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a_01" sheetId="1" state="visible" r:id="rId3"/>
    <sheet name="Aba_02" sheetId="2" state="visible" r:id="rId4"/>
    <sheet name="Aba_03" sheetId="3" state="visible" r:id="rId5"/>
    <sheet name="Aba_04" sheetId="4" state="visible" r:id="rId6"/>
    <sheet name="Aba_05" sheetId="5" state="visible" r:id="rId7"/>
    <sheet name="Aba_06" sheetId="6" state="visible" r:id="rId8"/>
    <sheet name="Aba_07" sheetId="7" state="visible" r:id="rId9"/>
    <sheet name="Aba_08" sheetId="8" state="visible" r:id="rId10"/>
    <sheet name="Aba_09" sheetId="9" state="visible" r:id="rId11"/>
    <sheet name="Aba_10" sheetId="10" state="visible" r:id="rId12"/>
    <sheet name="Aba_11" sheetId="11" state="visible" r:id="rId13"/>
    <sheet name="Aba_12" sheetId="12" state="visible" r:id="rId14"/>
    <sheet name="Aba_13" sheetId="13" state="visible" r:id="rId15"/>
    <sheet name="Aba_14" sheetId="14" state="visible" r:id="rId16"/>
    <sheet name="Aba_15" sheetId="15" state="visible" r:id="rId17"/>
    <sheet name="Aba_16" sheetId="16" state="visible" r:id="rId18"/>
    <sheet name="Aba_17" sheetId="17" state="visible" r:id="rId19"/>
    <sheet name="Aba_18" sheetId="18" state="visible" r:id="rId20"/>
    <sheet name="Aba_19" sheetId="19" state="visible" r:id="rId21"/>
    <sheet name="Aba_20" sheetId="20" state="visible" r:id="rId22"/>
    <sheet name="Aba_21" sheetId="21" state="visible" r:id="rId23"/>
    <sheet name="Aba_22" sheetId="22" state="visible" r:id="rId24"/>
    <sheet name="Aba_23" sheetId="23" state="visible" r:id="rId25"/>
    <sheet name="Aba_24" sheetId="24" state="visible" r:id="rId26"/>
    <sheet name="Aba_25" sheetId="25" state="visible" r:id="rId27"/>
    <sheet name="Aba_26" sheetId="26" state="visible" r:id="rId28"/>
    <sheet name="Aba_27" sheetId="27" state="visible" r:id="rId29"/>
    <sheet name="Aba_28" sheetId="28" state="visible" r:id="rId30"/>
    <sheet name="Aba_29" sheetId="29" state="visible" r:id="rId31"/>
    <sheet name="Aba_30" sheetId="30" state="visible" r:id="rId32"/>
    <sheet name="Aba_31" sheetId="31" state="visible" r:id="rId33"/>
    <sheet name="Aba_32" sheetId="32" state="visible" r:id="rId34"/>
    <sheet name="Aba_33" sheetId="33" state="visible" r:id="rId35"/>
    <sheet name="Aba_34" sheetId="34" state="visible" r:id="rId36"/>
    <sheet name="Aba_35" sheetId="35" state="visible" r:id="rId37"/>
    <sheet name="Aba_36" sheetId="36" state="visible" r:id="rId38"/>
    <sheet name="Aba_37" sheetId="37" state="visible" r:id="rId39"/>
    <sheet name="Aba_38" sheetId="38" state="visible" r:id="rId40"/>
    <sheet name="Aba_39" sheetId="39" state="visible" r:id="rId41"/>
    <sheet name="Aba_40" sheetId="40" state="visible" r:id="rId42"/>
    <sheet name="Aba_41" sheetId="41" state="visible" r:id="rId43"/>
    <sheet name="Aba_42" sheetId="42" state="visible" r:id="rId44"/>
    <sheet name="Aba_43" sheetId="43" state="visible" r:id="rId45"/>
    <sheet name="Aba_44" sheetId="44" state="visible" r:id="rId46"/>
    <sheet name="Aba_45" sheetId="45" state="visible" r:id="rId47"/>
    <sheet name="Aba_46" sheetId="46" state="visible" r:id="rId48"/>
    <sheet name="Aba_47" sheetId="47" state="visible" r:id="rId49"/>
    <sheet name="Aba_48" sheetId="48" state="visible" r:id="rId50"/>
    <sheet name="Aba_49" sheetId="49" state="visible" r:id="rId51"/>
    <sheet name="Aba_50" sheetId="50" state="visible" r:id="rId5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<sst xmlns="http://schemas.openxmlformats.org/spreadsheetml/2006/main" count="102100" uniqueCount="13861">
  <si>
    <t xml:space="preserve">Planilha — Aba 1 | Relatório de Equipe</t>
  </si>
  <si>
    <t xml:space="preserve">Este relatório apresenta dados consolidados de colaboradores para análise de desempenho e alocação.</t>
  </si>
  <si>
    <t xml:space="preserve">Tabela 1 — Engenharia (Aba 1)</t>
  </si>
  <si>
    <t xml:space="preserve">ID</t>
  </si>
  <si>
    <t xml:space="preserve">Nome</t>
  </si>
  <si>
    <t xml:space="preserve">Departamento</t>
  </si>
  <si>
    <t xml:space="preserve">Cargo</t>
  </si>
  <si>
    <t xml:space="preserve">Salário</t>
  </si>
  <si>
    <t xml:space="preserve">Data Admissão</t>
  </si>
  <si>
    <t xml:space="preserve">Status</t>
  </si>
  <si>
    <t xml:space="preserve">Avaliação</t>
  </si>
  <si>
    <t xml:space="preserve">Projeto</t>
  </si>
  <si>
    <t xml:space="preserve">Meta</t>
  </si>
  <si>
    <t xml:space="preserve">01001</t>
  </si>
  <si>
    <t xml:space="preserve">Colaborador A1</t>
  </si>
  <si>
    <t xml:space="preserve">Engenharia</t>
  </si>
  <si>
    <t xml:space="preserve">Júnior</t>
  </si>
  <si>
    <t xml:space="preserve">2022-01-01</t>
  </si>
  <si>
    <t xml:space="preserve">Ativo</t>
  </si>
  <si>
    <t xml:space="preserve">Moonlight</t>
  </si>
  <si>
    <t xml:space="preserve">01002</t>
  </si>
  <si>
    <t xml:space="preserve">Colaborador B1</t>
  </si>
  <si>
    <t xml:space="preserve">Pleno</t>
  </si>
  <si>
    <t xml:space="preserve">2022-02-02</t>
  </si>
  <si>
    <t xml:space="preserve">Férias</t>
  </si>
  <si>
    <t xml:space="preserve">Backstage</t>
  </si>
  <si>
    <t xml:space="preserve">01003</t>
  </si>
  <si>
    <t xml:space="preserve">Colaborador C1</t>
  </si>
  <si>
    <t xml:space="preserve">Sênior</t>
  </si>
  <si>
    <t xml:space="preserve">2022-03-03</t>
  </si>
  <si>
    <t xml:space="preserve">Afastado</t>
  </si>
  <si>
    <t xml:space="preserve">BuildAgent</t>
  </si>
  <si>
    <t xml:space="preserve">01004</t>
  </si>
  <si>
    <t xml:space="preserve">Colaborador D1</t>
  </si>
  <si>
    <t xml:space="preserve">Especialista</t>
  </si>
  <si>
    <t xml:space="preserve">2022-04-04</t>
  </si>
  <si>
    <t xml:space="preserve">DevOps</t>
  </si>
  <si>
    <t xml:space="preserve">01005</t>
  </si>
  <si>
    <t xml:space="preserve">Colaborador E1</t>
  </si>
  <si>
    <t xml:space="preserve">Staff</t>
  </si>
  <si>
    <t xml:space="preserve">2022-05-05</t>
  </si>
  <si>
    <t xml:space="preserve">DORA</t>
  </si>
  <si>
    <t xml:space="preserve">01006</t>
  </si>
  <si>
    <t xml:space="preserve">Colaborador F1</t>
  </si>
  <si>
    <t xml:space="preserve">Lead</t>
  </si>
  <si>
    <t xml:space="preserve">2022-06-06</t>
  </si>
  <si>
    <t xml:space="preserve">SCIM</t>
  </si>
  <si>
    <t xml:space="preserve">01007</t>
  </si>
  <si>
    <t xml:space="preserve">Colaborador G1</t>
  </si>
  <si>
    <t xml:space="preserve">2022-07-07</t>
  </si>
  <si>
    <t xml:space="preserve">01008</t>
  </si>
  <si>
    <t xml:space="preserve">Colaborador H1</t>
  </si>
  <si>
    <t xml:space="preserve">2022-08-08</t>
  </si>
  <si>
    <t xml:space="preserve">Total colaboradores na tabela 1:</t>
  </si>
  <si>
    <t xml:space="preserve">Tabela 2 — Produto (Aba 1)</t>
  </si>
  <si>
    <t xml:space="preserve">01011</t>
  </si>
  <si>
    <t xml:space="preserve">Colaborador A2</t>
  </si>
  <si>
    <t xml:space="preserve">Produto</t>
  </si>
  <si>
    <t xml:space="preserve">01012</t>
  </si>
  <si>
    <t xml:space="preserve">Colaborador B2</t>
  </si>
  <si>
    <t xml:space="preserve">01013</t>
  </si>
  <si>
    <t xml:space="preserve">Colaborador C2</t>
  </si>
  <si>
    <t xml:space="preserve">01014</t>
  </si>
  <si>
    <t xml:space="preserve">Colaborador D2</t>
  </si>
  <si>
    <t xml:space="preserve">01015</t>
  </si>
  <si>
    <t xml:space="preserve">Colaborador E2</t>
  </si>
  <si>
    <t xml:space="preserve">01016</t>
  </si>
  <si>
    <t xml:space="preserve">Colaborador F2</t>
  </si>
  <si>
    <t xml:space="preserve">01017</t>
  </si>
  <si>
    <t xml:space="preserve">Colaborador G2</t>
  </si>
  <si>
    <t xml:space="preserve">01018</t>
  </si>
  <si>
    <t xml:space="preserve">Colaborador H2</t>
  </si>
  <si>
    <t xml:space="preserve">Total colaboradores na tabela 2:</t>
  </si>
  <si>
    <t xml:space="preserve">Tabela 3 — Design (Aba 1)</t>
  </si>
  <si>
    <t xml:space="preserve">01021</t>
  </si>
  <si>
    <t xml:space="preserve">Colaborador A3</t>
  </si>
  <si>
    <t xml:space="preserve">Design</t>
  </si>
  <si>
    <t xml:space="preserve">01022</t>
  </si>
  <si>
    <t xml:space="preserve">Colaborador B3</t>
  </si>
  <si>
    <t xml:space="preserve">01023</t>
  </si>
  <si>
    <t xml:space="preserve">Colaborador C3</t>
  </si>
  <si>
    <t xml:space="preserve">01024</t>
  </si>
  <si>
    <t xml:space="preserve">Colaborador D3</t>
  </si>
  <si>
    <t xml:space="preserve">01025</t>
  </si>
  <si>
    <t xml:space="preserve">Colaborador E3</t>
  </si>
  <si>
    <t xml:space="preserve">01026</t>
  </si>
  <si>
    <t xml:space="preserve">Colaborador F3</t>
  </si>
  <si>
    <t xml:space="preserve">01027</t>
  </si>
  <si>
    <t xml:space="preserve">Colaborador G3</t>
  </si>
  <si>
    <t xml:space="preserve">01028</t>
  </si>
  <si>
    <t xml:space="preserve">Colaborador H3</t>
  </si>
  <si>
    <t xml:space="preserve">Total colaboradores na tabela 3:</t>
  </si>
  <si>
    <t xml:space="preserve">Tabela 4 — DevEx (Aba 1)</t>
  </si>
  <si>
    <t xml:space="preserve">01031</t>
  </si>
  <si>
    <t xml:space="preserve">Colaborador A4</t>
  </si>
  <si>
    <t xml:space="preserve">DevEx</t>
  </si>
  <si>
    <t xml:space="preserve">01032</t>
  </si>
  <si>
    <t xml:space="preserve">Colaborador B4</t>
  </si>
  <si>
    <t xml:space="preserve">01033</t>
  </si>
  <si>
    <t xml:space="preserve">Colaborador C4</t>
  </si>
  <si>
    <t xml:space="preserve">01034</t>
  </si>
  <si>
    <t xml:space="preserve">Colaborador D4</t>
  </si>
  <si>
    <t xml:space="preserve">01035</t>
  </si>
  <si>
    <t xml:space="preserve">Colaborador E4</t>
  </si>
  <si>
    <t xml:space="preserve">01036</t>
  </si>
  <si>
    <t xml:space="preserve">Colaborador F4</t>
  </si>
  <si>
    <t xml:space="preserve">01037</t>
  </si>
  <si>
    <t xml:space="preserve">Colaborador G4</t>
  </si>
  <si>
    <t xml:space="preserve">01038</t>
  </si>
  <si>
    <t xml:space="preserve">Colaborador H4</t>
  </si>
  <si>
    <t xml:space="preserve">Total colaboradores na tabela 4:</t>
  </si>
  <si>
    <t xml:space="preserve">Tabela 5 — Dados (Aba 1)</t>
  </si>
  <si>
    <t xml:space="preserve">01041</t>
  </si>
  <si>
    <t xml:space="preserve">Colaborador A5</t>
  </si>
  <si>
    <t xml:space="preserve">Dados</t>
  </si>
  <si>
    <t xml:space="preserve">01042</t>
  </si>
  <si>
    <t xml:space="preserve">Colaborador B5</t>
  </si>
  <si>
    <t xml:space="preserve">01043</t>
  </si>
  <si>
    <t xml:space="preserve">Colaborador C5</t>
  </si>
  <si>
    <t xml:space="preserve">01044</t>
  </si>
  <si>
    <t xml:space="preserve">Colaborador D5</t>
  </si>
  <si>
    <t xml:space="preserve">01045</t>
  </si>
  <si>
    <t xml:space="preserve">Colaborador E5</t>
  </si>
  <si>
    <t xml:space="preserve">01046</t>
  </si>
  <si>
    <t xml:space="preserve">Colaborador F5</t>
  </si>
  <si>
    <t xml:space="preserve">01047</t>
  </si>
  <si>
    <t xml:space="preserve">Colaborador G5</t>
  </si>
  <si>
    <t xml:space="preserve">01048</t>
  </si>
  <si>
    <t xml:space="preserve">Colaborador H5</t>
  </si>
  <si>
    <t xml:space="preserve">Total colaboradores na tabela 5:</t>
  </si>
  <si>
    <t xml:space="preserve">Tabela 6 — Infra (Aba 1)</t>
  </si>
  <si>
    <t xml:space="preserve">01051</t>
  </si>
  <si>
    <t xml:space="preserve">Colaborador A6</t>
  </si>
  <si>
    <t xml:space="preserve">Infra</t>
  </si>
  <si>
    <t xml:space="preserve">01052</t>
  </si>
  <si>
    <t xml:space="preserve">Colaborador B6</t>
  </si>
  <si>
    <t xml:space="preserve">01053</t>
  </si>
  <si>
    <t xml:space="preserve">Colaborador C6</t>
  </si>
  <si>
    <t xml:space="preserve">01054</t>
  </si>
  <si>
    <t xml:space="preserve">Colaborador D6</t>
  </si>
  <si>
    <t xml:space="preserve">01055</t>
  </si>
  <si>
    <t xml:space="preserve">Colaborador E6</t>
  </si>
  <si>
    <t xml:space="preserve">01056</t>
  </si>
  <si>
    <t xml:space="preserve">Colaborador F6</t>
  </si>
  <si>
    <t xml:space="preserve">01057</t>
  </si>
  <si>
    <t xml:space="preserve">Colaborador G6</t>
  </si>
  <si>
    <t xml:space="preserve">01058</t>
  </si>
  <si>
    <t xml:space="preserve">Colaborador H6</t>
  </si>
  <si>
    <t xml:space="preserve">Total colaboradores na tabela 6:</t>
  </si>
  <si>
    <t xml:space="preserve">Tabela 7 — Segurança (Aba 1)</t>
  </si>
  <si>
    <t xml:space="preserve">01061</t>
  </si>
  <si>
    <t xml:space="preserve">Colaborador A7</t>
  </si>
  <si>
    <t xml:space="preserve">Segurança</t>
  </si>
  <si>
    <t xml:space="preserve">01062</t>
  </si>
  <si>
    <t xml:space="preserve">Colaborador B7</t>
  </si>
  <si>
    <t xml:space="preserve">01063</t>
  </si>
  <si>
    <t xml:space="preserve">Colaborador C7</t>
  </si>
  <si>
    <t xml:space="preserve">01064</t>
  </si>
  <si>
    <t xml:space="preserve">Colaborador D7</t>
  </si>
  <si>
    <t xml:space="preserve">01065</t>
  </si>
  <si>
    <t xml:space="preserve">Colaborador E7</t>
  </si>
  <si>
    <t xml:space="preserve">01066</t>
  </si>
  <si>
    <t xml:space="preserve">Colaborador F7</t>
  </si>
  <si>
    <t xml:space="preserve">01067</t>
  </si>
  <si>
    <t xml:space="preserve">Colaborador G7</t>
  </si>
  <si>
    <t xml:space="preserve">01068</t>
  </si>
  <si>
    <t xml:space="preserve">Colaborador H7</t>
  </si>
  <si>
    <t xml:space="preserve">Total colaboradores na tabela 7:</t>
  </si>
  <si>
    <t xml:space="preserve">Tabela 8 — Engenharia (Aba 1)</t>
  </si>
  <si>
    <t xml:space="preserve">01071</t>
  </si>
  <si>
    <t xml:space="preserve">Colaborador A8</t>
  </si>
  <si>
    <t xml:space="preserve">01072</t>
  </si>
  <si>
    <t xml:space="preserve">Colaborador B8</t>
  </si>
  <si>
    <t xml:space="preserve">01073</t>
  </si>
  <si>
    <t xml:space="preserve">Colaborador C8</t>
  </si>
  <si>
    <t xml:space="preserve">01074</t>
  </si>
  <si>
    <t xml:space="preserve">Colaborador D8</t>
  </si>
  <si>
    <t xml:space="preserve">01075</t>
  </si>
  <si>
    <t xml:space="preserve">Colaborador E8</t>
  </si>
  <si>
    <t xml:space="preserve">01076</t>
  </si>
  <si>
    <t xml:space="preserve">Colaborador F8</t>
  </si>
  <si>
    <t xml:space="preserve">01077</t>
  </si>
  <si>
    <t xml:space="preserve">Colaborador G8</t>
  </si>
  <si>
    <t xml:space="preserve">01078</t>
  </si>
  <si>
    <t xml:space="preserve">Colaborador H8</t>
  </si>
  <si>
    <t xml:space="preserve">Total colaboradores na tabela 8:</t>
  </si>
  <si>
    <t xml:space="preserve">Tabela 9 — Produto (Aba 1)</t>
  </si>
  <si>
    <t xml:space="preserve">01081</t>
  </si>
  <si>
    <t xml:space="preserve">Colaborador A9</t>
  </si>
  <si>
    <t xml:space="preserve">01082</t>
  </si>
  <si>
    <t xml:space="preserve">Colaborador B9</t>
  </si>
  <si>
    <t xml:space="preserve">01083</t>
  </si>
  <si>
    <t xml:space="preserve">Colaborador C9</t>
  </si>
  <si>
    <t xml:space="preserve">01084</t>
  </si>
  <si>
    <t xml:space="preserve">Colaborador D9</t>
  </si>
  <si>
    <t xml:space="preserve">01085</t>
  </si>
  <si>
    <t xml:space="preserve">Colaborador E9</t>
  </si>
  <si>
    <t xml:space="preserve">01086</t>
  </si>
  <si>
    <t xml:space="preserve">Colaborador F9</t>
  </si>
  <si>
    <t xml:space="preserve">01087</t>
  </si>
  <si>
    <t xml:space="preserve">Colaborador G9</t>
  </si>
  <si>
    <t xml:space="preserve">01088</t>
  </si>
  <si>
    <t xml:space="preserve">Colaborador H9</t>
  </si>
  <si>
    <t xml:space="preserve">Total colaboradores na tabela 9:</t>
  </si>
  <si>
    <t xml:space="preserve">Tabela 10 — Design (Aba 1)</t>
  </si>
  <si>
    <t xml:space="preserve">01091</t>
  </si>
  <si>
    <t xml:space="preserve">Colaborador A10</t>
  </si>
  <si>
    <t xml:space="preserve">01092</t>
  </si>
  <si>
    <t xml:space="preserve">Colaborador B10</t>
  </si>
  <si>
    <t xml:space="preserve">01093</t>
  </si>
  <si>
    <t xml:space="preserve">Colaborador C10</t>
  </si>
  <si>
    <t xml:space="preserve">01094</t>
  </si>
  <si>
    <t xml:space="preserve">Colaborador D10</t>
  </si>
  <si>
    <t xml:space="preserve">01095</t>
  </si>
  <si>
    <t xml:space="preserve">Colaborador E10</t>
  </si>
  <si>
    <t xml:space="preserve">01096</t>
  </si>
  <si>
    <t xml:space="preserve">Colaborador F10</t>
  </si>
  <si>
    <t xml:space="preserve">01097</t>
  </si>
  <si>
    <t xml:space="preserve">Colaborador G10</t>
  </si>
  <si>
    <t xml:space="preserve">01098</t>
  </si>
  <si>
    <t xml:space="preserve">Colaborador H10</t>
  </si>
  <si>
    <t xml:space="preserve">Total colaboradores na tabela 10:</t>
  </si>
  <si>
    <t xml:space="preserve">Tabela 11 — DevEx (Aba 1)</t>
  </si>
  <si>
    <t xml:space="preserve">01101</t>
  </si>
  <si>
    <t xml:space="preserve">Colaborador A11</t>
  </si>
  <si>
    <t xml:space="preserve">01102</t>
  </si>
  <si>
    <t xml:space="preserve">Colaborador B11</t>
  </si>
  <si>
    <t xml:space="preserve">01103</t>
  </si>
  <si>
    <t xml:space="preserve">Colaborador C11</t>
  </si>
  <si>
    <t xml:space="preserve">01104</t>
  </si>
  <si>
    <t xml:space="preserve">Colaborador D11</t>
  </si>
  <si>
    <t xml:space="preserve">01105</t>
  </si>
  <si>
    <t xml:space="preserve">Colaborador E11</t>
  </si>
  <si>
    <t xml:space="preserve">01106</t>
  </si>
  <si>
    <t xml:space="preserve">Colaborador F11</t>
  </si>
  <si>
    <t xml:space="preserve">01107</t>
  </si>
  <si>
    <t xml:space="preserve">Colaborador G11</t>
  </si>
  <si>
    <t xml:space="preserve">01108</t>
  </si>
  <si>
    <t xml:space="preserve">Colaborador H11</t>
  </si>
  <si>
    <t xml:space="preserve">Total colaboradores na tabela 11:</t>
  </si>
  <si>
    <t xml:space="preserve">Tabela 12 — Dados (Aba 1)</t>
  </si>
  <si>
    <t xml:space="preserve">01111</t>
  </si>
  <si>
    <t xml:space="preserve">Colaborador A12</t>
  </si>
  <si>
    <t xml:space="preserve">01112</t>
  </si>
  <si>
    <t xml:space="preserve">Colaborador B12</t>
  </si>
  <si>
    <t xml:space="preserve">01113</t>
  </si>
  <si>
    <t xml:space="preserve">Colaborador C12</t>
  </si>
  <si>
    <t xml:space="preserve">01114</t>
  </si>
  <si>
    <t xml:space="preserve">Colaborador D12</t>
  </si>
  <si>
    <t xml:space="preserve">01115</t>
  </si>
  <si>
    <t xml:space="preserve">Colaborador E12</t>
  </si>
  <si>
    <t xml:space="preserve">01116</t>
  </si>
  <si>
    <t xml:space="preserve">Colaborador F12</t>
  </si>
  <si>
    <t xml:space="preserve">01117</t>
  </si>
  <si>
    <t xml:space="preserve">Colaborador G12</t>
  </si>
  <si>
    <t xml:space="preserve">01118</t>
  </si>
  <si>
    <t xml:space="preserve">Colaborador H12</t>
  </si>
  <si>
    <t xml:space="preserve">Total colaboradores na tabela 12:</t>
  </si>
  <si>
    <t xml:space="preserve">Tabela 13 — Infra (Aba 1)</t>
  </si>
  <si>
    <t xml:space="preserve">01121</t>
  </si>
  <si>
    <t xml:space="preserve">Colaborador A13</t>
  </si>
  <si>
    <t xml:space="preserve">01122</t>
  </si>
  <si>
    <t xml:space="preserve">Colaborador B13</t>
  </si>
  <si>
    <t xml:space="preserve">01123</t>
  </si>
  <si>
    <t xml:space="preserve">Colaborador C13</t>
  </si>
  <si>
    <t xml:space="preserve">01124</t>
  </si>
  <si>
    <t xml:space="preserve">Colaborador D13</t>
  </si>
  <si>
    <t xml:space="preserve">01125</t>
  </si>
  <si>
    <t xml:space="preserve">Colaborador E13</t>
  </si>
  <si>
    <t xml:space="preserve">01126</t>
  </si>
  <si>
    <t xml:space="preserve">Colaborador F13</t>
  </si>
  <si>
    <t xml:space="preserve">01127</t>
  </si>
  <si>
    <t xml:space="preserve">Colaborador G13</t>
  </si>
  <si>
    <t xml:space="preserve">01128</t>
  </si>
  <si>
    <t xml:space="preserve">Colaborador H13</t>
  </si>
  <si>
    <t xml:space="preserve">Total colaboradores na tabela 13:</t>
  </si>
  <si>
    <t xml:space="preserve">Tabela 14 — Segurança (Aba 1)</t>
  </si>
  <si>
    <t xml:space="preserve">01131</t>
  </si>
  <si>
    <t xml:space="preserve">Colaborador A14</t>
  </si>
  <si>
    <t xml:space="preserve">01132</t>
  </si>
  <si>
    <t xml:space="preserve">Colaborador B14</t>
  </si>
  <si>
    <t xml:space="preserve">01133</t>
  </si>
  <si>
    <t xml:space="preserve">Colaborador C14</t>
  </si>
  <si>
    <t xml:space="preserve">01134</t>
  </si>
  <si>
    <t xml:space="preserve">Colaborador D14</t>
  </si>
  <si>
    <t xml:space="preserve">01135</t>
  </si>
  <si>
    <t xml:space="preserve">Colaborador E14</t>
  </si>
  <si>
    <t xml:space="preserve">01136</t>
  </si>
  <si>
    <t xml:space="preserve">Colaborador F14</t>
  </si>
  <si>
    <t xml:space="preserve">01137</t>
  </si>
  <si>
    <t xml:space="preserve">Colaborador G14</t>
  </si>
  <si>
    <t xml:space="preserve">01138</t>
  </si>
  <si>
    <t xml:space="preserve">Colaborador H14</t>
  </si>
  <si>
    <t xml:space="preserve">Total colaboradores na tabela 14:</t>
  </si>
  <si>
    <t xml:space="preserve">Tabela 15 — Engenharia (Aba 1)</t>
  </si>
  <si>
    <t xml:space="preserve">01141</t>
  </si>
  <si>
    <t xml:space="preserve">Colaborador A15</t>
  </si>
  <si>
    <t xml:space="preserve">01142</t>
  </si>
  <si>
    <t xml:space="preserve">Colaborador B15</t>
  </si>
  <si>
    <t xml:space="preserve">01143</t>
  </si>
  <si>
    <t xml:space="preserve">Colaborador C15</t>
  </si>
  <si>
    <t xml:space="preserve">01144</t>
  </si>
  <si>
    <t xml:space="preserve">Colaborador D15</t>
  </si>
  <si>
    <t xml:space="preserve">01145</t>
  </si>
  <si>
    <t xml:space="preserve">Colaborador E15</t>
  </si>
  <si>
    <t xml:space="preserve">01146</t>
  </si>
  <si>
    <t xml:space="preserve">Colaborador F15</t>
  </si>
  <si>
    <t xml:space="preserve">01147</t>
  </si>
  <si>
    <t xml:space="preserve">Colaborador G15</t>
  </si>
  <si>
    <t xml:space="preserve">01148</t>
  </si>
  <si>
    <t xml:space="preserve">Colaborador H15</t>
  </si>
  <si>
    <t xml:space="preserve">Total colaboradores na tabela 15:</t>
  </si>
  <si>
    <t xml:space="preserve">Tabela 16 — Produto (Aba 1)</t>
  </si>
  <si>
    <t xml:space="preserve">01151</t>
  </si>
  <si>
    <t xml:space="preserve">Colaborador A16</t>
  </si>
  <si>
    <t xml:space="preserve">01152</t>
  </si>
  <si>
    <t xml:space="preserve">Colaborador B16</t>
  </si>
  <si>
    <t xml:space="preserve">01153</t>
  </si>
  <si>
    <t xml:space="preserve">Colaborador C16</t>
  </si>
  <si>
    <t xml:space="preserve">01154</t>
  </si>
  <si>
    <t xml:space="preserve">Colaborador D16</t>
  </si>
  <si>
    <t xml:space="preserve">01155</t>
  </si>
  <si>
    <t xml:space="preserve">Colaborador E16</t>
  </si>
  <si>
    <t xml:space="preserve">01156</t>
  </si>
  <si>
    <t xml:space="preserve">Colaborador F16</t>
  </si>
  <si>
    <t xml:space="preserve">01157</t>
  </si>
  <si>
    <t xml:space="preserve">Colaborador G16</t>
  </si>
  <si>
    <t xml:space="preserve">01158</t>
  </si>
  <si>
    <t xml:space="preserve">Colaborador H16</t>
  </si>
  <si>
    <t xml:space="preserve">Total colaboradores na tabela 16:</t>
  </si>
  <si>
    <t xml:space="preserve">Tabela 17 — Design (Aba 1)</t>
  </si>
  <si>
    <t xml:space="preserve">01161</t>
  </si>
  <si>
    <t xml:space="preserve">Colaborador A17</t>
  </si>
  <si>
    <t xml:space="preserve">01162</t>
  </si>
  <si>
    <t xml:space="preserve">Colaborador B17</t>
  </si>
  <si>
    <t xml:space="preserve">01163</t>
  </si>
  <si>
    <t xml:space="preserve">Colaborador C17</t>
  </si>
  <si>
    <t xml:space="preserve">01164</t>
  </si>
  <si>
    <t xml:space="preserve">Colaborador D17</t>
  </si>
  <si>
    <t xml:space="preserve">01165</t>
  </si>
  <si>
    <t xml:space="preserve">Colaborador E17</t>
  </si>
  <si>
    <t xml:space="preserve">01166</t>
  </si>
  <si>
    <t xml:space="preserve">Colaborador F17</t>
  </si>
  <si>
    <t xml:space="preserve">01167</t>
  </si>
  <si>
    <t xml:space="preserve">Colaborador G17</t>
  </si>
  <si>
    <t xml:space="preserve">01168</t>
  </si>
  <si>
    <t xml:space="preserve">Colaborador H17</t>
  </si>
  <si>
    <t xml:space="preserve">Total colaboradores na tabela 17:</t>
  </si>
  <si>
    <t xml:space="preserve">Tabela 18 — DevEx (Aba 1)</t>
  </si>
  <si>
    <t xml:space="preserve">01171</t>
  </si>
  <si>
    <t xml:space="preserve">Colaborador A18</t>
  </si>
  <si>
    <t xml:space="preserve">01172</t>
  </si>
  <si>
    <t xml:space="preserve">Colaborador B18</t>
  </si>
  <si>
    <t xml:space="preserve">01173</t>
  </si>
  <si>
    <t xml:space="preserve">Colaborador C18</t>
  </si>
  <si>
    <t xml:space="preserve">01174</t>
  </si>
  <si>
    <t xml:space="preserve">Colaborador D18</t>
  </si>
  <si>
    <t xml:space="preserve">01175</t>
  </si>
  <si>
    <t xml:space="preserve">Colaborador E18</t>
  </si>
  <si>
    <t xml:space="preserve">01176</t>
  </si>
  <si>
    <t xml:space="preserve">Colaborador F18</t>
  </si>
  <si>
    <t xml:space="preserve">01177</t>
  </si>
  <si>
    <t xml:space="preserve">Colaborador G18</t>
  </si>
  <si>
    <t xml:space="preserve">01178</t>
  </si>
  <si>
    <t xml:space="preserve">Colaborador H18</t>
  </si>
  <si>
    <t xml:space="preserve">Total colaboradores na tabela 18:</t>
  </si>
  <si>
    <t xml:space="preserve">Tabela 19 — Dados (Aba 1)</t>
  </si>
  <si>
    <t xml:space="preserve">01181</t>
  </si>
  <si>
    <t xml:space="preserve">Colaborador A19</t>
  </si>
  <si>
    <t xml:space="preserve">01182</t>
  </si>
  <si>
    <t xml:space="preserve">Colaborador B19</t>
  </si>
  <si>
    <t xml:space="preserve">01183</t>
  </si>
  <si>
    <t xml:space="preserve">Colaborador C19</t>
  </si>
  <si>
    <t xml:space="preserve">01184</t>
  </si>
  <si>
    <t xml:space="preserve">Colaborador D19</t>
  </si>
  <si>
    <t xml:space="preserve">01185</t>
  </si>
  <si>
    <t xml:space="preserve">Colaborador E19</t>
  </si>
  <si>
    <t xml:space="preserve">01186</t>
  </si>
  <si>
    <t xml:space="preserve">Colaborador F19</t>
  </si>
  <si>
    <t xml:space="preserve">01187</t>
  </si>
  <si>
    <t xml:space="preserve">Colaborador G19</t>
  </si>
  <si>
    <t xml:space="preserve">01188</t>
  </si>
  <si>
    <t xml:space="preserve">Colaborador H19</t>
  </si>
  <si>
    <t xml:space="preserve">Total colaboradores na tabela 19:</t>
  </si>
  <si>
    <t xml:space="preserve">Tabela 20 — Infra (Aba 1)</t>
  </si>
  <si>
    <t xml:space="preserve">01191</t>
  </si>
  <si>
    <t xml:space="preserve">Colaborador A20</t>
  </si>
  <si>
    <t xml:space="preserve">01192</t>
  </si>
  <si>
    <t xml:space="preserve">Colaborador B20</t>
  </si>
  <si>
    <t xml:space="preserve">01193</t>
  </si>
  <si>
    <t xml:space="preserve">Colaborador C20</t>
  </si>
  <si>
    <t xml:space="preserve">01194</t>
  </si>
  <si>
    <t xml:space="preserve">Colaborador D20</t>
  </si>
  <si>
    <t xml:space="preserve">01195</t>
  </si>
  <si>
    <t xml:space="preserve">Colaborador E20</t>
  </si>
  <si>
    <t xml:space="preserve">01196</t>
  </si>
  <si>
    <t xml:space="preserve">Colaborador F20</t>
  </si>
  <si>
    <t xml:space="preserve">01197</t>
  </si>
  <si>
    <t xml:space="preserve">Colaborador G20</t>
  </si>
  <si>
    <t xml:space="preserve">01198</t>
  </si>
  <si>
    <t xml:space="preserve">Colaborador H20</t>
  </si>
  <si>
    <t xml:space="preserve">Total colaboradores na tabela 20:</t>
  </si>
  <si>
    <t xml:space="preserve">Tabela 21 — Segurança (Aba 1)</t>
  </si>
  <si>
    <t xml:space="preserve">01201</t>
  </si>
  <si>
    <t xml:space="preserve">Colaborador A21</t>
  </si>
  <si>
    <t xml:space="preserve">01202</t>
  </si>
  <si>
    <t xml:space="preserve">Colaborador B21</t>
  </si>
  <si>
    <t xml:space="preserve">01203</t>
  </si>
  <si>
    <t xml:space="preserve">Colaborador C21</t>
  </si>
  <si>
    <t xml:space="preserve">01204</t>
  </si>
  <si>
    <t xml:space="preserve">Colaborador D21</t>
  </si>
  <si>
    <t xml:space="preserve">01205</t>
  </si>
  <si>
    <t xml:space="preserve">Colaborador E21</t>
  </si>
  <si>
    <t xml:space="preserve">01206</t>
  </si>
  <si>
    <t xml:space="preserve">Colaborador F21</t>
  </si>
  <si>
    <t xml:space="preserve">01207</t>
  </si>
  <si>
    <t xml:space="preserve">Colaborador G21</t>
  </si>
  <si>
    <t xml:space="preserve">01208</t>
  </si>
  <si>
    <t xml:space="preserve">Colaborador H21</t>
  </si>
  <si>
    <t xml:space="preserve">Total colaboradores na tabela 21:</t>
  </si>
  <si>
    <t xml:space="preserve">Tabela 22 — Engenharia (Aba 1)</t>
  </si>
  <si>
    <t xml:space="preserve">01211</t>
  </si>
  <si>
    <t xml:space="preserve">Colaborador A22</t>
  </si>
  <si>
    <t xml:space="preserve">01212</t>
  </si>
  <si>
    <t xml:space="preserve">Colaborador B22</t>
  </si>
  <si>
    <t xml:space="preserve">01213</t>
  </si>
  <si>
    <t xml:space="preserve">Colaborador C22</t>
  </si>
  <si>
    <t xml:space="preserve">01214</t>
  </si>
  <si>
    <t xml:space="preserve">Colaborador D22</t>
  </si>
  <si>
    <t xml:space="preserve">01215</t>
  </si>
  <si>
    <t xml:space="preserve">Colaborador E22</t>
  </si>
  <si>
    <t xml:space="preserve">01216</t>
  </si>
  <si>
    <t xml:space="preserve">Colaborador F22</t>
  </si>
  <si>
    <t xml:space="preserve">01217</t>
  </si>
  <si>
    <t xml:space="preserve">Colaborador G22</t>
  </si>
  <si>
    <t xml:space="preserve">01218</t>
  </si>
  <si>
    <t xml:space="preserve">Colaborador H22</t>
  </si>
  <si>
    <t xml:space="preserve">Total colaboradores na tabela 22:</t>
  </si>
  <si>
    <t xml:space="preserve">Tabela 23 — Produto (Aba 1)</t>
  </si>
  <si>
    <t xml:space="preserve">01221</t>
  </si>
  <si>
    <t xml:space="preserve">Colaborador A23</t>
  </si>
  <si>
    <t xml:space="preserve">01222</t>
  </si>
  <si>
    <t xml:space="preserve">Colaborador B23</t>
  </si>
  <si>
    <t xml:space="preserve">01223</t>
  </si>
  <si>
    <t xml:space="preserve">Colaborador C23</t>
  </si>
  <si>
    <t xml:space="preserve">01224</t>
  </si>
  <si>
    <t xml:space="preserve">Colaborador D23</t>
  </si>
  <si>
    <t xml:space="preserve">01225</t>
  </si>
  <si>
    <t xml:space="preserve">Colaborador E23</t>
  </si>
  <si>
    <t xml:space="preserve">01226</t>
  </si>
  <si>
    <t xml:space="preserve">Colaborador F23</t>
  </si>
  <si>
    <t xml:space="preserve">01227</t>
  </si>
  <si>
    <t xml:space="preserve">Colaborador G23</t>
  </si>
  <si>
    <t xml:space="preserve">01228</t>
  </si>
  <si>
    <t xml:space="preserve">Colaborador H23</t>
  </si>
  <si>
    <t xml:space="preserve">Total colaboradores na tabela 23:</t>
  </si>
  <si>
    <t xml:space="preserve">Tabela 24 — Design (Aba 1)</t>
  </si>
  <si>
    <t xml:space="preserve">01231</t>
  </si>
  <si>
    <t xml:space="preserve">Colaborador A24</t>
  </si>
  <si>
    <t xml:space="preserve">01232</t>
  </si>
  <si>
    <t xml:space="preserve">Colaborador B24</t>
  </si>
  <si>
    <t xml:space="preserve">01233</t>
  </si>
  <si>
    <t xml:space="preserve">Colaborador C24</t>
  </si>
  <si>
    <t xml:space="preserve">01234</t>
  </si>
  <si>
    <t xml:space="preserve">Colaborador D24</t>
  </si>
  <si>
    <t xml:space="preserve">01235</t>
  </si>
  <si>
    <t xml:space="preserve">Colaborador E24</t>
  </si>
  <si>
    <t xml:space="preserve">01236</t>
  </si>
  <si>
    <t xml:space="preserve">Colaborador F24</t>
  </si>
  <si>
    <t xml:space="preserve">01237</t>
  </si>
  <si>
    <t xml:space="preserve">Colaborador G24</t>
  </si>
  <si>
    <t xml:space="preserve">01238</t>
  </si>
  <si>
    <t xml:space="preserve">Colaborador H24</t>
  </si>
  <si>
    <t xml:space="preserve">Total colaboradores na tabela 24:</t>
  </si>
  <si>
    <t xml:space="preserve">Tabela 25 — DevEx (Aba 1)</t>
  </si>
  <si>
    <t xml:space="preserve">01241</t>
  </si>
  <si>
    <t xml:space="preserve">Colaborador A25</t>
  </si>
  <si>
    <t xml:space="preserve">01242</t>
  </si>
  <si>
    <t xml:space="preserve">Colaborador B25</t>
  </si>
  <si>
    <t xml:space="preserve">01243</t>
  </si>
  <si>
    <t xml:space="preserve">Colaborador C25</t>
  </si>
  <si>
    <t xml:space="preserve">01244</t>
  </si>
  <si>
    <t xml:space="preserve">Colaborador D25</t>
  </si>
  <si>
    <t xml:space="preserve">01245</t>
  </si>
  <si>
    <t xml:space="preserve">Colaborador E25</t>
  </si>
  <si>
    <t xml:space="preserve">01246</t>
  </si>
  <si>
    <t xml:space="preserve">Colaborador F25</t>
  </si>
  <si>
    <t xml:space="preserve">01247</t>
  </si>
  <si>
    <t xml:space="preserve">Colaborador G25</t>
  </si>
  <si>
    <t xml:space="preserve">01248</t>
  </si>
  <si>
    <t xml:space="preserve">Colaborador H25</t>
  </si>
  <si>
    <t xml:space="preserve">Total colaboradores na tabela 25:</t>
  </si>
  <si>
    <t xml:space="preserve">Tabela 26 — Dados (Aba 1)</t>
  </si>
  <si>
    <t xml:space="preserve">01251</t>
  </si>
  <si>
    <t xml:space="preserve">Colaborador A26</t>
  </si>
  <si>
    <t xml:space="preserve">01252</t>
  </si>
  <si>
    <t xml:space="preserve">Colaborador B26</t>
  </si>
  <si>
    <t xml:space="preserve">01253</t>
  </si>
  <si>
    <t xml:space="preserve">Colaborador C26</t>
  </si>
  <si>
    <t xml:space="preserve">01254</t>
  </si>
  <si>
    <t xml:space="preserve">Colaborador D26</t>
  </si>
  <si>
    <t xml:space="preserve">01255</t>
  </si>
  <si>
    <t xml:space="preserve">Colaborador E26</t>
  </si>
  <si>
    <t xml:space="preserve">01256</t>
  </si>
  <si>
    <t xml:space="preserve">Colaborador F26</t>
  </si>
  <si>
    <t xml:space="preserve">01257</t>
  </si>
  <si>
    <t xml:space="preserve">Colaborador G26</t>
  </si>
  <si>
    <t xml:space="preserve">01258</t>
  </si>
  <si>
    <t xml:space="preserve">Colaborador H26</t>
  </si>
  <si>
    <t xml:space="preserve">Total colaboradores na tabela 26:</t>
  </si>
  <si>
    <t xml:space="preserve">Tabela 27 — Infra (Aba 1)</t>
  </si>
  <si>
    <t xml:space="preserve">01261</t>
  </si>
  <si>
    <t xml:space="preserve">Colaborador A27</t>
  </si>
  <si>
    <t xml:space="preserve">01262</t>
  </si>
  <si>
    <t xml:space="preserve">Colaborador B27</t>
  </si>
  <si>
    <t xml:space="preserve">01263</t>
  </si>
  <si>
    <t xml:space="preserve">Colaborador C27</t>
  </si>
  <si>
    <t xml:space="preserve">01264</t>
  </si>
  <si>
    <t xml:space="preserve">Colaborador D27</t>
  </si>
  <si>
    <t xml:space="preserve">01265</t>
  </si>
  <si>
    <t xml:space="preserve">Colaborador E27</t>
  </si>
  <si>
    <t xml:space="preserve">01266</t>
  </si>
  <si>
    <t xml:space="preserve">Colaborador F27</t>
  </si>
  <si>
    <t xml:space="preserve">01267</t>
  </si>
  <si>
    <t xml:space="preserve">Colaborador G27</t>
  </si>
  <si>
    <t xml:space="preserve">01268</t>
  </si>
  <si>
    <t xml:space="preserve">Colaborador H27</t>
  </si>
  <si>
    <t xml:space="preserve">Total colaboradores na tabela 27:</t>
  </si>
  <si>
    <t xml:space="preserve">Tabela 28 — Segurança (Aba 1)</t>
  </si>
  <si>
    <t xml:space="preserve">01271</t>
  </si>
  <si>
    <t xml:space="preserve">Colaborador A28</t>
  </si>
  <si>
    <t xml:space="preserve">01272</t>
  </si>
  <si>
    <t xml:space="preserve">Colaborador B28</t>
  </si>
  <si>
    <t xml:space="preserve">01273</t>
  </si>
  <si>
    <t xml:space="preserve">Colaborador C28</t>
  </si>
  <si>
    <t xml:space="preserve">01274</t>
  </si>
  <si>
    <t xml:space="preserve">Colaborador D28</t>
  </si>
  <si>
    <t xml:space="preserve">01275</t>
  </si>
  <si>
    <t xml:space="preserve">Colaborador E28</t>
  </si>
  <si>
    <t xml:space="preserve">01276</t>
  </si>
  <si>
    <t xml:space="preserve">Colaborador F28</t>
  </si>
  <si>
    <t xml:space="preserve">01277</t>
  </si>
  <si>
    <t xml:space="preserve">Colaborador G28</t>
  </si>
  <si>
    <t xml:space="preserve">01278</t>
  </si>
  <si>
    <t xml:space="preserve">Colaborador H28</t>
  </si>
  <si>
    <t xml:space="preserve">Total colaboradores na tabela 28:</t>
  </si>
  <si>
    <t xml:space="preserve">Tabela 29 — Engenharia (Aba 1)</t>
  </si>
  <si>
    <t xml:space="preserve">01281</t>
  </si>
  <si>
    <t xml:space="preserve">Colaborador A29</t>
  </si>
  <si>
    <t xml:space="preserve">01282</t>
  </si>
  <si>
    <t xml:space="preserve">Colaborador B29</t>
  </si>
  <si>
    <t xml:space="preserve">01283</t>
  </si>
  <si>
    <t xml:space="preserve">Colaborador C29</t>
  </si>
  <si>
    <t xml:space="preserve">01284</t>
  </si>
  <si>
    <t xml:space="preserve">Colaborador D29</t>
  </si>
  <si>
    <t xml:space="preserve">01285</t>
  </si>
  <si>
    <t xml:space="preserve">Colaborador E29</t>
  </si>
  <si>
    <t xml:space="preserve">01286</t>
  </si>
  <si>
    <t xml:space="preserve">Colaborador F29</t>
  </si>
  <si>
    <t xml:space="preserve">01287</t>
  </si>
  <si>
    <t xml:space="preserve">Colaborador G29</t>
  </si>
  <si>
    <t xml:space="preserve">01288</t>
  </si>
  <si>
    <t xml:space="preserve">Colaborador H29</t>
  </si>
  <si>
    <t xml:space="preserve">Total colaboradores na tabela 29:</t>
  </si>
  <si>
    <t xml:space="preserve">Tabela 30 — Produto (Aba 1)</t>
  </si>
  <si>
    <t xml:space="preserve">01291</t>
  </si>
  <si>
    <t xml:space="preserve">Colaborador A30</t>
  </si>
  <si>
    <t xml:space="preserve">01292</t>
  </si>
  <si>
    <t xml:space="preserve">Colaborador B30</t>
  </si>
  <si>
    <t xml:space="preserve">01293</t>
  </si>
  <si>
    <t xml:space="preserve">Colaborador C30</t>
  </si>
  <si>
    <t xml:space="preserve">01294</t>
  </si>
  <si>
    <t xml:space="preserve">Colaborador D30</t>
  </si>
  <si>
    <t xml:space="preserve">01295</t>
  </si>
  <si>
    <t xml:space="preserve">Colaborador E30</t>
  </si>
  <si>
    <t xml:space="preserve">01296</t>
  </si>
  <si>
    <t xml:space="preserve">Colaborador F30</t>
  </si>
  <si>
    <t xml:space="preserve">01297</t>
  </si>
  <si>
    <t xml:space="preserve">Colaborador G30</t>
  </si>
  <si>
    <t xml:space="preserve">01298</t>
  </si>
  <si>
    <t xml:space="preserve">Colaborador H30</t>
  </si>
  <si>
    <t xml:space="preserve">Total colaboradores na tabela 30:</t>
  </si>
  <si>
    <t xml:space="preserve">Planilha — Aba 2 | Relatório de Equipe</t>
  </si>
  <si>
    <t xml:space="preserve">Tabela 1 — Engenharia (Aba 2)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</si>
  <si>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</si>
  <si>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</si>
  <si>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</si>
  <si>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</si>
  <si>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</si>
  <si>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</si>
  <si>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</si>
  <si>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</si>
  <si>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Tabela 2 — Produto (Aba 2)</t>
  </si>
  <si>
    <t xml:space="preserve">02011</t>
  </si>
  <si>
    <t xml:space="preserve">02012</t>
  </si>
  <si>
    <t xml:space="preserve">02013</t>
  </si>
  <si>
    <t xml:space="preserve">02014</t>
  </si>
  <si>
    <t xml:space="preserve">02015</t>
  </si>
  <si>
    <t xml:space="preserve">02016</t>
  </si>
  <si>
    <t xml:space="preserve">02017</t>
  </si>
  <si>
    <t xml:space="preserve">02018</t>
  </si>
  <si>
    <t xml:space="preserve">Tabela 3 — Design (Aba 2)</t>
  </si>
  <si>
    <t xml:space="preserve">02021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</si>
  <si>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</si>
  <si>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</si>
  <si>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</si>
  <si>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</si>
  <si>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</si>
  <si>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</si>
  <si>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</si>
  <si>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Tabela 4 — DevEx (Aba 2)</t>
  </si>
  <si>
    <t xml:space="preserve">02031</t>
  </si>
  <si>
    <t xml:space="preserve">02032</t>
  </si>
  <si>
    <t xml:space="preserve">02033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</si>
  <si>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</si>
  <si>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</si>
  <si>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</si>
  <si>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</si>
  <si>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</si>
  <si>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Tabela 5 — Dados (Aba 2)</t>
  </si>
  <si>
    <t xml:space="preserve">02041</t>
  </si>
  <si>
    <t xml:space="preserve">02042</t>
  </si>
  <si>
    <t xml:space="preserve">02043</t>
  </si>
  <si>
    <t xml:space="preserve">02044</t>
  </si>
  <si>
    <t xml:space="preserve">02045</t>
  </si>
  <si>
    <t xml:space="preserve">02046</t>
  </si>
  <si>
    <t xml:space="preserve">02047</t>
  </si>
  <si>
    <t xml:space="preserve">02048</t>
  </si>
  <si>
    <t xml:space="preserve">Tabela 6 — Infra (Aba 2)</t>
  </si>
  <si>
    <t xml:space="preserve">02051</t>
  </si>
  <si>
    <t xml:space="preserve">02052</t>
  </si>
  <si>
    <t xml:space="preserve">02053</t>
  </si>
  <si>
    <t xml:space="preserve">02054</t>
  </si>
  <si>
    <t xml:space="preserve">02055</t>
  </si>
  <si>
    <t xml:space="preserve">02056</t>
  </si>
  <si>
    <t xml:space="preserve">02057</t>
  </si>
  <si>
    <t xml:space="preserve">02058</t>
  </si>
  <si>
    <t xml:space="preserve">Tabela 7 — Segurança (Aba 2)</t>
  </si>
  <si>
    <t xml:space="preserve">02061</t>
  </si>
  <si>
    <t xml:space="preserve">02062</t>
  </si>
  <si>
    <t xml:space="preserve">02063</t>
  </si>
  <si>
    <t xml:space="preserve">02064</t>
  </si>
  <si>
    <t xml:space="preserve">02065</t>
  </si>
  <si>
    <t xml:space="preserve">02066</t>
  </si>
  <si>
    <t xml:space="preserve">02067</t>
  </si>
  <si>
    <t xml:space="preserve">02068</t>
  </si>
  <si>
    <t xml:space="preserve">Tabela 8 — Engenharia (Aba 2)</t>
  </si>
  <si>
    <t xml:space="preserve">02071</t>
  </si>
  <si>
    <t xml:space="preserve">02072</t>
  </si>
  <si>
    <t xml:space="preserve">02073</t>
  </si>
  <si>
    <t xml:space="preserve">02074</t>
  </si>
  <si>
    <t xml:space="preserve">02075</t>
  </si>
  <si>
    <t xml:space="preserve">02076</t>
  </si>
  <si>
    <t xml:space="preserve">02077</t>
  </si>
  <si>
    <t xml:space="preserve">02078</t>
  </si>
  <si>
    <t xml:space="preserve">Tabela 9 — Produto (Aba 2)</t>
  </si>
  <si>
    <t xml:space="preserve">02081</t>
  </si>
  <si>
    <t xml:space="preserve">02082</t>
  </si>
  <si>
    <t xml:space="preserve">02083</t>
  </si>
  <si>
    <t xml:space="preserve">02084</t>
  </si>
  <si>
    <t xml:space="preserve">02085</t>
  </si>
  <si>
    <t xml:space="preserve">02086</t>
  </si>
  <si>
    <t xml:space="preserve">02087</t>
  </si>
  <si>
    <t xml:space="preserve">02088</t>
  </si>
  <si>
    <t xml:space="preserve">Tabela 10 — Design (Aba 2)</t>
  </si>
  <si>
    <t xml:space="preserve">02091</t>
  </si>
  <si>
    <t xml:space="preserve">02092</t>
  </si>
  <si>
    <t xml:space="preserve">02093</t>
  </si>
  <si>
    <t xml:space="preserve">02094</t>
  </si>
  <si>
    <t xml:space="preserve">02095</t>
  </si>
  <si>
    <t xml:space="preserve">02096</t>
  </si>
  <si>
    <t xml:space="preserve">02097</t>
  </si>
  <si>
    <t xml:space="preserve">02098</t>
  </si>
  <si>
    <t xml:space="preserve">Tabela 11 — DevEx (Aba 2)</t>
  </si>
  <si>
    <t xml:space="preserve">02101</t>
  </si>
  <si>
    <t xml:space="preserve">02102</t>
  </si>
  <si>
    <t xml:space="preserve">02103</t>
  </si>
  <si>
    <t xml:space="preserve">02104</t>
  </si>
  <si>
    <t xml:space="preserve">02105</t>
  </si>
  <si>
    <t xml:space="preserve">02106</t>
  </si>
  <si>
    <t xml:space="preserve">02107</t>
  </si>
  <si>
    <t xml:space="preserve">02108</t>
  </si>
  <si>
    <t xml:space="preserve">Tabela 12 — Dados (Aba 2)</t>
  </si>
  <si>
    <t xml:space="preserve">02111</t>
  </si>
  <si>
    <t xml:space="preserve">02112</t>
  </si>
  <si>
    <t xml:space="preserve">02113</t>
  </si>
  <si>
    <t xml:space="preserve">02114</t>
  </si>
  <si>
    <t xml:space="preserve">02115</t>
  </si>
  <si>
    <t xml:space="preserve">02116</t>
  </si>
  <si>
    <t xml:space="preserve">02117</t>
  </si>
  <si>
    <t xml:space="preserve">02118</t>
  </si>
  <si>
    <t xml:space="preserve">Tabela 13 — Infra (Aba 2)</t>
  </si>
  <si>
    <t xml:space="preserve">02121</t>
  </si>
  <si>
    <t xml:space="preserve">02122</t>
  </si>
  <si>
    <t xml:space="preserve">02123</t>
  </si>
  <si>
    <t xml:space="preserve">02124</t>
  </si>
  <si>
    <t xml:space="preserve">02125</t>
  </si>
  <si>
    <t xml:space="preserve">02126</t>
  </si>
  <si>
    <t xml:space="preserve">02127</t>
  </si>
  <si>
    <t xml:space="preserve">02128</t>
  </si>
  <si>
    <t xml:space="preserve">Tabela 14 — Segurança (Aba 2)</t>
  </si>
  <si>
    <t xml:space="preserve">02131</t>
  </si>
  <si>
    <t xml:space="preserve">02132</t>
  </si>
  <si>
    <t xml:space="preserve">02133</t>
  </si>
  <si>
    <t xml:space="preserve">02134</t>
  </si>
  <si>
    <t xml:space="preserve">02135</t>
  </si>
  <si>
    <t xml:space="preserve">02136</t>
  </si>
  <si>
    <t xml:space="preserve">02137</t>
  </si>
  <si>
    <t xml:space="preserve">02138</t>
  </si>
  <si>
    <t xml:space="preserve">Tabela 15 — Engenharia (Aba 2)</t>
  </si>
  <si>
    <t xml:space="preserve">02141</t>
  </si>
  <si>
    <t xml:space="preserve">02142</t>
  </si>
  <si>
    <t xml:space="preserve">02143</t>
  </si>
  <si>
    <t xml:space="preserve">02144</t>
  </si>
  <si>
    <t xml:space="preserve">02145</t>
  </si>
  <si>
    <t xml:space="preserve">02146</t>
  </si>
  <si>
    <t xml:space="preserve">02147</t>
  </si>
  <si>
    <t xml:space="preserve">02148</t>
  </si>
  <si>
    <t xml:space="preserve">Tabela 16 — Produto (Aba 2)</t>
  </si>
  <si>
    <t xml:space="preserve">02151</t>
  </si>
  <si>
    <t xml:space="preserve">02152</t>
  </si>
  <si>
    <t xml:space="preserve">02153</t>
  </si>
  <si>
    <t xml:space="preserve">02154</t>
  </si>
  <si>
    <t xml:space="preserve">02155</t>
  </si>
  <si>
    <t xml:space="preserve">02156</t>
  </si>
  <si>
    <t xml:space="preserve">02157</t>
  </si>
  <si>
    <t xml:space="preserve">02158</t>
  </si>
  <si>
    <t xml:space="preserve">Tabela 17 — Design (Aba 2)</t>
  </si>
  <si>
    <t xml:space="preserve">02161</t>
  </si>
  <si>
    <t xml:space="preserve">02162</t>
  </si>
  <si>
    <t xml:space="preserve">02163</t>
  </si>
  <si>
    <t xml:space="preserve">02164</t>
  </si>
  <si>
    <t xml:space="preserve">02165</t>
  </si>
  <si>
    <t xml:space="preserve">02166</t>
  </si>
  <si>
    <t xml:space="preserve">02167</t>
  </si>
  <si>
    <t xml:space="preserve">02168</t>
  </si>
  <si>
    <t xml:space="preserve">Tabela 18 — DevEx (Aba 2)</t>
  </si>
  <si>
    <t xml:space="preserve">02171</t>
  </si>
  <si>
    <t xml:space="preserve">02172</t>
  </si>
  <si>
    <t xml:space="preserve">02173</t>
  </si>
  <si>
    <t xml:space="preserve">02174</t>
  </si>
  <si>
    <t xml:space="preserve">02175</t>
  </si>
  <si>
    <t xml:space="preserve">02176</t>
  </si>
  <si>
    <t xml:space="preserve">02177</t>
  </si>
  <si>
    <t xml:space="preserve">02178</t>
  </si>
  <si>
    <t xml:space="preserve">Tabela 19 — Dados (Aba 2)</t>
  </si>
  <si>
    <t xml:space="preserve">02181</t>
  </si>
  <si>
    <t xml:space="preserve">02182</t>
  </si>
  <si>
    <t xml:space="preserve">02183</t>
  </si>
  <si>
    <t xml:space="preserve">02184</t>
  </si>
  <si>
    <t xml:space="preserve">02185</t>
  </si>
  <si>
    <t xml:space="preserve">02186</t>
  </si>
  <si>
    <t xml:space="preserve">02187</t>
  </si>
  <si>
    <t xml:space="preserve">02188</t>
  </si>
  <si>
    <t xml:space="preserve">Tabela 20 — Infra (Aba 2)</t>
  </si>
  <si>
    <t xml:space="preserve">02191</t>
  </si>
  <si>
    <t xml:space="preserve">02192</t>
  </si>
  <si>
    <t xml:space="preserve">02193</t>
  </si>
  <si>
    <t xml:space="preserve">02194</t>
  </si>
  <si>
    <t xml:space="preserve">02195</t>
  </si>
  <si>
    <t xml:space="preserve">02196</t>
  </si>
  <si>
    <t xml:space="preserve">02197</t>
  </si>
  <si>
    <t xml:space="preserve">02198</t>
  </si>
  <si>
    <t xml:space="preserve">Tabela 21 — Segurança (Aba 2)</t>
  </si>
  <si>
    <t xml:space="preserve">02201</t>
  </si>
  <si>
    <t xml:space="preserve">02202</t>
  </si>
  <si>
    <t xml:space="preserve">02203</t>
  </si>
  <si>
    <t xml:space="preserve">02204</t>
  </si>
  <si>
    <t xml:space="preserve">02205</t>
  </si>
  <si>
    <t xml:space="preserve">02206</t>
  </si>
  <si>
    <t xml:space="preserve">02207</t>
  </si>
  <si>
    <t xml:space="preserve">02208</t>
  </si>
  <si>
    <t xml:space="preserve">Tabela 22 — Engenharia (Aba 2)</t>
  </si>
  <si>
    <t xml:space="preserve">02211</t>
  </si>
  <si>
    <t xml:space="preserve">02212</t>
  </si>
  <si>
    <t xml:space="preserve">02213</t>
  </si>
  <si>
    <t xml:space="preserve">02214</t>
  </si>
  <si>
    <t xml:space="preserve">02215</t>
  </si>
  <si>
    <t xml:space="preserve">02216</t>
  </si>
  <si>
    <t xml:space="preserve">02217</t>
  </si>
  <si>
    <t xml:space="preserve">02218</t>
  </si>
  <si>
    <t xml:space="preserve">Tabela 23 — Produto (Aba 2)</t>
  </si>
  <si>
    <t xml:space="preserve">02221</t>
  </si>
  <si>
    <t xml:space="preserve">02222</t>
  </si>
  <si>
    <t xml:space="preserve">02223</t>
  </si>
  <si>
    <t xml:space="preserve">02224</t>
  </si>
  <si>
    <t xml:space="preserve">02225</t>
  </si>
  <si>
    <t xml:space="preserve">02226</t>
  </si>
  <si>
    <t xml:space="preserve">02227</t>
  </si>
  <si>
    <t xml:space="preserve">02228</t>
  </si>
  <si>
    <t xml:space="preserve">Tabela 24 — Design (Aba 2)</t>
  </si>
  <si>
    <t xml:space="preserve">02231</t>
  </si>
  <si>
    <t xml:space="preserve">02232</t>
  </si>
  <si>
    <t xml:space="preserve">02233</t>
  </si>
  <si>
    <t xml:space="preserve">02234</t>
  </si>
  <si>
    <t xml:space="preserve">02235</t>
  </si>
  <si>
    <t xml:space="preserve">02236</t>
  </si>
  <si>
    <t xml:space="preserve">02237</t>
  </si>
  <si>
    <t xml:space="preserve">02238</t>
  </si>
  <si>
    <t xml:space="preserve">Tabela 25 — DevEx (Aba 2)</t>
  </si>
  <si>
    <t xml:space="preserve">02241</t>
  </si>
  <si>
    <t xml:space="preserve">02242</t>
  </si>
  <si>
    <t xml:space="preserve">02243</t>
  </si>
  <si>
    <t xml:space="preserve">02244</t>
  </si>
  <si>
    <t xml:space="preserve">02245</t>
  </si>
  <si>
    <t xml:space="preserve">02246</t>
  </si>
  <si>
    <t xml:space="preserve">02247</t>
  </si>
  <si>
    <t xml:space="preserve">02248</t>
  </si>
  <si>
    <t xml:space="preserve">Tabela 26 — Dados (Aba 2)</t>
  </si>
  <si>
    <t xml:space="preserve">02251</t>
  </si>
  <si>
    <t xml:space="preserve">02252</t>
  </si>
  <si>
    <t xml:space="preserve">02253</t>
  </si>
  <si>
    <t xml:space="preserve">02254</t>
  </si>
  <si>
    <t xml:space="preserve">02255</t>
  </si>
  <si>
    <t xml:space="preserve">02256</t>
  </si>
  <si>
    <t xml:space="preserve">02257</t>
  </si>
  <si>
    <t xml:space="preserve">02258</t>
  </si>
  <si>
    <t xml:space="preserve">Tabela 27 — Infra (Aba 2)</t>
  </si>
  <si>
    <t xml:space="preserve">02261</t>
  </si>
  <si>
    <t xml:space="preserve">02262</t>
  </si>
  <si>
    <t xml:space="preserve">02263</t>
  </si>
  <si>
    <t xml:space="preserve">02264</t>
  </si>
  <si>
    <t xml:space="preserve">02265</t>
  </si>
  <si>
    <t xml:space="preserve">02266</t>
  </si>
  <si>
    <t xml:space="preserve">02267</t>
  </si>
  <si>
    <t xml:space="preserve">02268</t>
  </si>
  <si>
    <t xml:space="preserve">Tabela 28 — Segurança (Aba 2)</t>
  </si>
  <si>
    <t xml:space="preserve">02271</t>
  </si>
  <si>
    <t xml:space="preserve">02272</t>
  </si>
  <si>
    <t xml:space="preserve">02273</t>
  </si>
  <si>
    <t xml:space="preserve">02274</t>
  </si>
  <si>
    <t xml:space="preserve">02275</t>
  </si>
  <si>
    <t xml:space="preserve">02276</t>
  </si>
  <si>
    <t xml:space="preserve">02277</t>
  </si>
  <si>
    <t xml:space="preserve">02278</t>
  </si>
  <si>
    <t xml:space="preserve">Tabela 29 — Engenharia (Aba 2)</t>
  </si>
  <si>
    <t xml:space="preserve">02281</t>
  </si>
  <si>
    <t xml:space="preserve">02282</t>
  </si>
  <si>
    <t xml:space="preserve">02283</t>
  </si>
  <si>
    <t xml:space="preserve">02284</t>
  </si>
  <si>
    <t xml:space="preserve">02285</t>
  </si>
  <si>
    <t xml:space="preserve">02286</t>
  </si>
  <si>
    <t xml:space="preserve">02287</t>
  </si>
  <si>
    <t xml:space="preserve">02288</t>
  </si>
  <si>
    <t xml:space="preserve">Tabela 30 — Produto (Aba 2)</t>
  </si>
  <si>
    <t xml:space="preserve">02291</t>
  </si>
  <si>
    <t xml:space="preserve">02292</t>
  </si>
  <si>
    <t xml:space="preserve">02293</t>
  </si>
  <si>
    <t xml:space="preserve">02294</t>
  </si>
  <si>
    <t xml:space="preserve">02295</t>
  </si>
  <si>
    <t xml:space="preserve">02296</t>
  </si>
  <si>
    <t xml:space="preserve">02297</t>
  </si>
  <si>
    <t xml:space="preserve">02298</t>
  </si>
  <si>
    <t xml:space="preserve">Planilha — Aba 3 | Relatório de Equipe</t>
  </si>
  <si>
    <t xml:space="preserve">Tabela 1 — Engenharia (Aba 3)</t>
  </si>
  <si>
    <t xml:space="preserve">03001</t>
  </si>
  <si>
    <t xml:space="preserve">03002</t>
  </si>
  <si>
    <t xml:space="preserve">03003</t>
  </si>
  <si>
    <t xml:space="preserve">03004</t>
  </si>
  <si>
    <t xml:space="preserve">03005</t>
  </si>
  <si>
    <t xml:space="preserve">03006</t>
  </si>
  <si>
    <t xml:space="preserve">03007</t>
  </si>
  <si>
    <t xml:space="preserve">03008</t>
  </si>
  <si>
    <t xml:space="preserve">Tabela 2 — Produto (Aba 3)</t>
  </si>
  <si>
    <t xml:space="preserve">03011</t>
  </si>
  <si>
    <t xml:space="preserve">03012</t>
  </si>
  <si>
    <t xml:space="preserve">03013</t>
  </si>
  <si>
    <t xml:space="preserve">03014</t>
  </si>
  <si>
    <t xml:space="preserve">03015</t>
  </si>
  <si>
    <t xml:space="preserve">03016</t>
  </si>
  <si>
    <t xml:space="preserve">03017</t>
  </si>
  <si>
    <t xml:space="preserve">03018</t>
  </si>
  <si>
    <t xml:space="preserve">Tabela 3 — Design (Aba 3)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</si>
  <si>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</si>
  <si>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</si>
  <si>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</si>
  <si>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</si>
  <si>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</si>
  <si>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</si>
  <si>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03027</t>
  </si>
  <si>
    <t xml:space="preserve">03028</t>
  </si>
  <si>
    <t xml:space="preserve">Tabela 4 — DevEx (Aba 3)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</si>
  <si>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</si>
  <si>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</si>
  <si>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</si>
  <si>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</si>
  <si>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</si>
  <si>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</si>
  <si>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03037</t>
  </si>
  <si>
    <t xml:space="preserve">03038</t>
  </si>
  <si>
    <t xml:space="preserve">Tabela 5 — Dados (Aba 3)</t>
  </si>
  <si>
    <t xml:space="preserve">03041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</si>
  <si>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</si>
  <si>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</si>
  <si>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</si>
  <si>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</si>
  <si>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</si>
  <si>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</si>
  <si>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</si>
  <si>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Tabela 6 — Infra (Aba 3)</t>
  </si>
  <si>
    <t xml:space="preserve">03051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</si>
  <si>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</si>
  <si>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</si>
  <si>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</si>
  <si>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</si>
  <si>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</si>
  <si>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</si>
  <si>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</si>
  <si>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Tabela 7 — Segurança (Aba 3)</t>
  </si>
  <si>
    <t xml:space="preserve">03061</t>
  </si>
  <si>
    <t xml:space="preserve">03062</t>
  </si>
  <si>
    <t xml:space="preserve">03063</t>
  </si>
  <si>
    <t xml:space="preserve">03064</t>
  </si>
  <si>
    <t xml:space="preserve">03065</t>
  </si>
  <si>
    <t xml:space="preserve">03066</t>
  </si>
  <si>
    <t xml:space="preserve">03067</t>
  </si>
  <si>
    <t xml:space="preserve">03068</t>
  </si>
  <si>
    <t xml:space="preserve">Tabela 8 — Engenharia (Aba 3)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</si>
  <si>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</si>
  <si>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</si>
  <si>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</si>
  <si>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</si>
  <si>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</si>
  <si>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</si>
  <si>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</si>
  <si>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</si>
  <si>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Tabela 9 — Produto (Aba 3)</t>
  </si>
  <si>
    <t xml:space="preserve">03081</t>
  </si>
  <si>
    <t xml:space="preserve">03082</t>
  </si>
  <si>
    <t xml:space="preserve">03083</t>
  </si>
  <si>
    <t xml:space="preserve">03084</t>
  </si>
  <si>
    <t xml:space="preserve">03085</t>
  </si>
  <si>
    <t xml:space="preserve">03086</t>
  </si>
  <si>
    <t xml:space="preserve">03087</t>
  </si>
  <si>
    <t xml:space="preserve">03088</t>
  </si>
  <si>
    <t xml:space="preserve">Tabela 10 — Design (Aba 3)</t>
  </si>
  <si>
    <t xml:space="preserve">03091</t>
  </si>
  <si>
    <t xml:space="preserve">03092</t>
  </si>
  <si>
    <t xml:space="preserve">03093</t>
  </si>
  <si>
    <t xml:space="preserve">03094</t>
  </si>
  <si>
    <t xml:space="preserve">03095</t>
  </si>
  <si>
    <t xml:space="preserve">03096</t>
  </si>
  <si>
    <t xml:space="preserve">03097</t>
  </si>
  <si>
    <t xml:space="preserve">03098</t>
  </si>
  <si>
    <t xml:space="preserve">Tabela 11 — DevEx (Aba 3)</t>
  </si>
  <si>
    <t xml:space="preserve">03101</t>
  </si>
  <si>
    <t xml:space="preserve">03102</t>
  </si>
  <si>
    <t xml:space="preserve">03103</t>
  </si>
  <si>
    <t xml:space="preserve">03104</t>
  </si>
  <si>
    <t xml:space="preserve">03105</t>
  </si>
  <si>
    <t xml:space="preserve">03106</t>
  </si>
  <si>
    <t xml:space="preserve">03107</t>
  </si>
  <si>
    <t xml:space="preserve">03108</t>
  </si>
  <si>
    <t xml:space="preserve">Tabela 12 — Dados (Aba 3)</t>
  </si>
  <si>
    <t xml:space="preserve">03111</t>
  </si>
  <si>
    <t xml:space="preserve">03112</t>
  </si>
  <si>
    <t xml:space="preserve">03113</t>
  </si>
  <si>
    <t xml:space="preserve">03114</t>
  </si>
  <si>
    <t xml:space="preserve">03115</t>
  </si>
  <si>
    <t xml:space="preserve">03116</t>
  </si>
  <si>
    <t xml:space="preserve">03117</t>
  </si>
  <si>
    <t xml:space="preserve">03118</t>
  </si>
  <si>
    <t xml:space="preserve">Tabela 13 — Infra (Aba 3)</t>
  </si>
  <si>
    <t xml:space="preserve">03121</t>
  </si>
  <si>
    <t xml:space="preserve">03122</t>
  </si>
  <si>
    <t xml:space="preserve">03123</t>
  </si>
  <si>
    <t xml:space="preserve">03124</t>
  </si>
  <si>
    <t xml:space="preserve">03125</t>
  </si>
  <si>
    <t xml:space="preserve">03126</t>
  </si>
  <si>
    <t xml:space="preserve">03127</t>
  </si>
  <si>
    <t xml:space="preserve">03128</t>
  </si>
  <si>
    <t xml:space="preserve">Tabela 14 — Segurança (Aba 3)</t>
  </si>
  <si>
    <t xml:space="preserve">03131</t>
  </si>
  <si>
    <t xml:space="preserve">03132</t>
  </si>
  <si>
    <t xml:space="preserve">03133</t>
  </si>
  <si>
    <t xml:space="preserve">03134</t>
  </si>
  <si>
    <t xml:space="preserve">03135</t>
  </si>
  <si>
    <t xml:space="preserve">03136</t>
  </si>
  <si>
    <t xml:space="preserve">03137</t>
  </si>
  <si>
    <t xml:space="preserve">03138</t>
  </si>
  <si>
    <t xml:space="preserve">Tabela 15 — Engenharia (Aba 3)</t>
  </si>
  <si>
    <t xml:space="preserve">03141</t>
  </si>
  <si>
    <t xml:space="preserve">03142</t>
  </si>
  <si>
    <t xml:space="preserve">03143</t>
  </si>
  <si>
    <t xml:space="preserve">03144</t>
  </si>
  <si>
    <t xml:space="preserve">03145</t>
  </si>
  <si>
    <t xml:space="preserve">03146</t>
  </si>
  <si>
    <t xml:space="preserve">03147</t>
  </si>
  <si>
    <t xml:space="preserve">03148</t>
  </si>
  <si>
    <t xml:space="preserve">Tabela 16 — Produto (Aba 3)</t>
  </si>
  <si>
    <t xml:space="preserve">03151</t>
  </si>
  <si>
    <t xml:space="preserve">03152</t>
  </si>
  <si>
    <t xml:space="preserve">03153</t>
  </si>
  <si>
    <t xml:space="preserve">03154</t>
  </si>
  <si>
    <t xml:space="preserve">03155</t>
  </si>
  <si>
    <t xml:space="preserve">03156</t>
  </si>
  <si>
    <t xml:space="preserve">03157</t>
  </si>
  <si>
    <t xml:space="preserve">03158</t>
  </si>
  <si>
    <t xml:space="preserve">Tabela 17 — Design (Aba 3)</t>
  </si>
  <si>
    <t xml:space="preserve">03161</t>
  </si>
  <si>
    <t xml:space="preserve">03162</t>
  </si>
  <si>
    <t xml:space="preserve">03163</t>
  </si>
  <si>
    <t xml:space="preserve">03164</t>
  </si>
  <si>
    <t xml:space="preserve">03165</t>
  </si>
  <si>
    <t xml:space="preserve">03166</t>
  </si>
  <si>
    <t xml:space="preserve">03167</t>
  </si>
  <si>
    <t xml:space="preserve">03168</t>
  </si>
  <si>
    <t xml:space="preserve">Tabela 18 — DevEx (Aba 3)</t>
  </si>
  <si>
    <t xml:space="preserve">03171</t>
  </si>
  <si>
    <t xml:space="preserve">03172</t>
  </si>
  <si>
    <t xml:space="preserve">03173</t>
  </si>
  <si>
    <t xml:space="preserve">03174</t>
  </si>
  <si>
    <t xml:space="preserve">03175</t>
  </si>
  <si>
    <t xml:space="preserve">03176</t>
  </si>
  <si>
    <t xml:space="preserve">03177</t>
  </si>
  <si>
    <t xml:space="preserve">03178</t>
  </si>
  <si>
    <t xml:space="preserve">Tabela 19 — Dados (Aba 3)</t>
  </si>
  <si>
    <t xml:space="preserve">03181</t>
  </si>
  <si>
    <t xml:space="preserve">03182</t>
  </si>
  <si>
    <t xml:space="preserve">03183</t>
  </si>
  <si>
    <t xml:space="preserve">03184</t>
  </si>
  <si>
    <t xml:space="preserve">03185</t>
  </si>
  <si>
    <t xml:space="preserve">03186</t>
  </si>
  <si>
    <t xml:space="preserve">03187</t>
  </si>
  <si>
    <t xml:space="preserve">03188</t>
  </si>
  <si>
    <t xml:space="preserve">Tabela 20 — Infra (Aba 3)</t>
  </si>
  <si>
    <t xml:space="preserve">03191</t>
  </si>
  <si>
    <t xml:space="preserve">03192</t>
  </si>
  <si>
    <t xml:space="preserve">03193</t>
  </si>
  <si>
    <t xml:space="preserve">03194</t>
  </si>
  <si>
    <t xml:space="preserve">03195</t>
  </si>
  <si>
    <t xml:space="preserve">03196</t>
  </si>
  <si>
    <t xml:space="preserve">03197</t>
  </si>
  <si>
    <t xml:space="preserve">03198</t>
  </si>
  <si>
    <t xml:space="preserve">Tabela 21 — Segurança (Aba 3)</t>
  </si>
  <si>
    <t xml:space="preserve">03201</t>
  </si>
  <si>
    <t xml:space="preserve">03202</t>
  </si>
  <si>
    <t xml:space="preserve">03203</t>
  </si>
  <si>
    <t xml:space="preserve">03204</t>
  </si>
  <si>
    <t xml:space="preserve">03205</t>
  </si>
  <si>
    <t xml:space="preserve">03206</t>
  </si>
  <si>
    <t xml:space="preserve">03207</t>
  </si>
  <si>
    <t xml:space="preserve">03208</t>
  </si>
  <si>
    <t xml:space="preserve">Tabela 22 — Engenharia (Aba 3)</t>
  </si>
  <si>
    <t xml:space="preserve">03211</t>
  </si>
  <si>
    <t xml:space="preserve">03212</t>
  </si>
  <si>
    <t xml:space="preserve">03213</t>
  </si>
  <si>
    <t xml:space="preserve">03214</t>
  </si>
  <si>
    <t xml:space="preserve">03215</t>
  </si>
  <si>
    <t xml:space="preserve">03216</t>
  </si>
  <si>
    <t xml:space="preserve">03217</t>
  </si>
  <si>
    <t xml:space="preserve">03218</t>
  </si>
  <si>
    <t xml:space="preserve">Tabela 23 — Produto (Aba 3)</t>
  </si>
  <si>
    <t xml:space="preserve">03221</t>
  </si>
  <si>
    <t xml:space="preserve">03222</t>
  </si>
  <si>
    <t xml:space="preserve">03223</t>
  </si>
  <si>
    <t xml:space="preserve">03224</t>
  </si>
  <si>
    <t xml:space="preserve">03225</t>
  </si>
  <si>
    <t xml:space="preserve">03226</t>
  </si>
  <si>
    <t xml:space="preserve">03227</t>
  </si>
  <si>
    <t xml:space="preserve">03228</t>
  </si>
  <si>
    <t xml:space="preserve">Tabela 24 — Design (Aba 3)</t>
  </si>
  <si>
    <t xml:space="preserve">03231</t>
  </si>
  <si>
    <t xml:space="preserve">03232</t>
  </si>
  <si>
    <t xml:space="preserve">03233</t>
  </si>
  <si>
    <t xml:space="preserve">03234</t>
  </si>
  <si>
    <t xml:space="preserve">03235</t>
  </si>
  <si>
    <t xml:space="preserve">03236</t>
  </si>
  <si>
    <t xml:space="preserve">03237</t>
  </si>
  <si>
    <t xml:space="preserve">03238</t>
  </si>
  <si>
    <t xml:space="preserve">Tabela 25 — DevEx (Aba 3)</t>
  </si>
  <si>
    <t xml:space="preserve">03241</t>
  </si>
  <si>
    <t xml:space="preserve">03242</t>
  </si>
  <si>
    <t xml:space="preserve">03243</t>
  </si>
  <si>
    <t xml:space="preserve">03244</t>
  </si>
  <si>
    <t xml:space="preserve">03245</t>
  </si>
  <si>
    <t xml:space="preserve">03246</t>
  </si>
  <si>
    <t xml:space="preserve">03247</t>
  </si>
  <si>
    <t xml:space="preserve">03248</t>
  </si>
  <si>
    <t xml:space="preserve">Tabela 26 — Dados (Aba 3)</t>
  </si>
  <si>
    <t xml:space="preserve">03251</t>
  </si>
  <si>
    <t xml:space="preserve">03252</t>
  </si>
  <si>
    <t xml:space="preserve">03253</t>
  </si>
  <si>
    <t xml:space="preserve">03254</t>
  </si>
  <si>
    <t xml:space="preserve">03255</t>
  </si>
  <si>
    <t xml:space="preserve">03256</t>
  </si>
  <si>
    <t xml:space="preserve">03257</t>
  </si>
  <si>
    <t xml:space="preserve">03258</t>
  </si>
  <si>
    <t xml:space="preserve">Tabela 27 — Infra (Aba 3)</t>
  </si>
  <si>
    <t xml:space="preserve">03261</t>
  </si>
  <si>
    <t xml:space="preserve">03262</t>
  </si>
  <si>
    <t xml:space="preserve">03263</t>
  </si>
  <si>
    <t xml:space="preserve">03264</t>
  </si>
  <si>
    <t xml:space="preserve">03265</t>
  </si>
  <si>
    <t xml:space="preserve">03266</t>
  </si>
  <si>
    <t xml:space="preserve">03267</t>
  </si>
  <si>
    <t xml:space="preserve">03268</t>
  </si>
  <si>
    <t xml:space="preserve">Tabela 28 — Segurança (Aba 3)</t>
  </si>
  <si>
    <t xml:space="preserve">03271</t>
  </si>
  <si>
    <t xml:space="preserve">03272</t>
  </si>
  <si>
    <t xml:space="preserve">03273</t>
  </si>
  <si>
    <t xml:space="preserve">03274</t>
  </si>
  <si>
    <t xml:space="preserve">03275</t>
  </si>
  <si>
    <t xml:space="preserve">03276</t>
  </si>
  <si>
    <t xml:space="preserve">03277</t>
  </si>
  <si>
    <t xml:space="preserve">03278</t>
  </si>
  <si>
    <t xml:space="preserve">Tabela 29 — Engenharia (Aba 3)</t>
  </si>
  <si>
    <t xml:space="preserve">03281</t>
  </si>
  <si>
    <t xml:space="preserve">03282</t>
  </si>
  <si>
    <t xml:space="preserve">03283</t>
  </si>
  <si>
    <t xml:space="preserve">03284</t>
  </si>
  <si>
    <t xml:space="preserve">03285</t>
  </si>
  <si>
    <t xml:space="preserve">03286</t>
  </si>
  <si>
    <t xml:space="preserve">03287</t>
  </si>
  <si>
    <t xml:space="preserve">03288</t>
  </si>
  <si>
    <t xml:space="preserve">Tabela 30 — Produto (Aba 3)</t>
  </si>
  <si>
    <t xml:space="preserve">03291</t>
  </si>
  <si>
    <t xml:space="preserve">03292</t>
  </si>
  <si>
    <t xml:space="preserve">03293</t>
  </si>
  <si>
    <t xml:space="preserve">03294</t>
  </si>
  <si>
    <t xml:space="preserve">03295</t>
  </si>
  <si>
    <t xml:space="preserve">03296</t>
  </si>
  <si>
    <t xml:space="preserve">03297</t>
  </si>
  <si>
    <t xml:space="preserve">03298</t>
  </si>
  <si>
    <t xml:space="preserve">Planilha — Aba 4 | Relatório de Equipe</t>
  </si>
  <si>
    <t xml:space="preserve">Tabela 1 — Engenharia (Aba 4)</t>
  </si>
  <si>
    <t xml:space="preserve">04001</t>
  </si>
  <si>
    <t xml:space="preserve">04002</t>
  </si>
  <si>
    <t xml:space="preserve">04003</t>
  </si>
  <si>
    <t xml:space="preserve">04004</t>
  </si>
  <si>
    <t xml:space="preserve">04005</t>
  </si>
  <si>
    <t xml:space="preserve">04006</t>
  </si>
  <si>
    <t xml:space="preserve">04007</t>
  </si>
  <si>
    <t xml:space="preserve">04008</t>
  </si>
  <si>
    <t xml:space="preserve">Tabela 2 — Produto (Aba 4)</t>
  </si>
  <si>
    <t xml:space="preserve">04011</t>
  </si>
  <si>
    <t xml:space="preserve">04012</t>
  </si>
  <si>
    <t xml:space="preserve">04013</t>
  </si>
  <si>
    <t xml:space="preserve">04014</t>
  </si>
  <si>
    <t xml:space="preserve">04015</t>
  </si>
  <si>
    <t xml:space="preserve">04016</t>
  </si>
  <si>
    <t xml:space="preserve">04017</t>
  </si>
  <si>
    <t xml:space="preserve">04018</t>
  </si>
  <si>
    <t xml:space="preserve">Tabela 3 — Design (Aba 4)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</si>
  <si>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</si>
  <si>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</si>
  <si>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</si>
  <si>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</si>
  <si>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</si>
  <si>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</si>
  <si>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</si>
  <si>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</si>
  <si>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Tabela 4 — DevEx (Aba 4)</t>
  </si>
  <si>
    <t xml:space="preserve">04031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</si>
  <si>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</si>
  <si>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</si>
  <si>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</si>
  <si>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</si>
  <si>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</si>
  <si>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</si>
  <si>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</si>
  <si>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Tabela 5 — Dados (Aba 4)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</si>
  <si>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</si>
  <si>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</si>
  <si>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</si>
  <si>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</si>
  <si>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</si>
  <si>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</si>
  <si>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</si>
  <si>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</si>
  <si>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Tabela 6 — Infra (Aba 4)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</si>
  <si>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</si>
  <si>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</si>
  <si>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</si>
  <si>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</si>
  <si>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</si>
  <si>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</si>
  <si>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</si>
  <si>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</si>
  <si>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Tabela 7 — Segurança (Aba 4)</t>
  </si>
  <si>
    <t xml:space="preserve">04061</t>
  </si>
  <si>
    <t xml:space="preserve">04062</t>
  </si>
  <si>
    <t xml:space="preserve">04063</t>
  </si>
  <si>
    <t xml:space="preserve">04064</t>
  </si>
  <si>
    <t xml:space="preserve">04065</t>
  </si>
  <si>
    <t xml:space="preserve">04066</t>
  </si>
  <si>
    <t xml:space="preserve">04067</t>
  </si>
  <si>
    <t xml:space="preserve">04068</t>
  </si>
  <si>
    <t xml:space="preserve">Tabela 8 — Engenharia (Aba 4)</t>
  </si>
  <si>
    <t xml:space="preserve">04071</t>
  </si>
  <si>
    <t xml:space="preserve">04072</t>
  </si>
  <si>
    <t xml:space="preserve">04073</t>
  </si>
  <si>
    <t xml:space="preserve">04074</t>
  </si>
  <si>
    <t xml:space="preserve">04075</t>
  </si>
  <si>
    <t xml:space="preserve">04076</t>
  </si>
  <si>
    <t xml:space="preserve">04077</t>
  </si>
  <si>
    <t xml:space="preserve">04078</t>
  </si>
  <si>
    <t xml:space="preserve">Tabela 9 — Produto (Aba 4)</t>
  </si>
  <si>
    <t xml:space="preserve">04081</t>
  </si>
  <si>
    <t xml:space="preserve">04082</t>
  </si>
  <si>
    <t xml:space="preserve">04083</t>
  </si>
  <si>
    <t xml:space="preserve">04084</t>
  </si>
  <si>
    <t xml:space="preserve">04085</t>
  </si>
  <si>
    <t xml:space="preserve">04086</t>
  </si>
  <si>
    <t xml:space="preserve">04087</t>
  </si>
  <si>
    <t xml:space="preserve">04088</t>
  </si>
  <si>
    <t xml:space="preserve">Tabela 10 — Design (Aba 4)</t>
  </si>
  <si>
    <t xml:space="preserve">04091</t>
  </si>
  <si>
    <t xml:space="preserve">04092</t>
  </si>
  <si>
    <t xml:space="preserve">04093</t>
  </si>
  <si>
    <t xml:space="preserve">04094</t>
  </si>
  <si>
    <t xml:space="preserve">04095</t>
  </si>
  <si>
    <t xml:space="preserve">04096</t>
  </si>
  <si>
    <t xml:space="preserve">04097</t>
  </si>
  <si>
    <t xml:space="preserve">04098</t>
  </si>
  <si>
    <t xml:space="preserve">Tabela 11 — DevEx (Aba 4)</t>
  </si>
  <si>
    <t xml:space="preserve">04101</t>
  </si>
  <si>
    <t xml:space="preserve">04102</t>
  </si>
  <si>
    <t xml:space="preserve">04103</t>
  </si>
  <si>
    <t xml:space="preserve">04104</t>
  </si>
  <si>
    <t xml:space="preserve">04105</t>
  </si>
  <si>
    <t xml:space="preserve">04106</t>
  </si>
  <si>
    <t xml:space="preserve">04107</t>
  </si>
  <si>
    <t xml:space="preserve">04108</t>
  </si>
  <si>
    <t xml:space="preserve">Tabela 12 — Dados (Aba 4)</t>
  </si>
  <si>
    <t xml:space="preserve">04111</t>
  </si>
  <si>
    <t xml:space="preserve">04112</t>
  </si>
  <si>
    <t xml:space="preserve">04113</t>
  </si>
  <si>
    <t xml:space="preserve">04114</t>
  </si>
  <si>
    <t xml:space="preserve">04115</t>
  </si>
  <si>
    <t xml:space="preserve">04116</t>
  </si>
  <si>
    <t xml:space="preserve">04117</t>
  </si>
  <si>
    <t xml:space="preserve">04118</t>
  </si>
  <si>
    <t xml:space="preserve">Tabela 13 — Infra (Aba 4)</t>
  </si>
  <si>
    <t xml:space="preserve">04121</t>
  </si>
  <si>
    <t xml:space="preserve">04122</t>
  </si>
  <si>
    <t xml:space="preserve">04123</t>
  </si>
  <si>
    <t xml:space="preserve">04124</t>
  </si>
  <si>
    <t xml:space="preserve">04125</t>
  </si>
  <si>
    <t xml:space="preserve">04126</t>
  </si>
  <si>
    <t xml:space="preserve">04127</t>
  </si>
  <si>
    <t xml:space="preserve">04128</t>
  </si>
  <si>
    <t xml:space="preserve">Tabela 14 — Segurança (Aba 4)</t>
  </si>
  <si>
    <t xml:space="preserve">04131</t>
  </si>
  <si>
    <t xml:space="preserve">04132</t>
  </si>
  <si>
    <t xml:space="preserve">04133</t>
  </si>
  <si>
    <t xml:space="preserve">04134</t>
  </si>
  <si>
    <t xml:space="preserve">04135</t>
  </si>
  <si>
    <t xml:space="preserve">04136</t>
  </si>
  <si>
    <t xml:space="preserve">04137</t>
  </si>
  <si>
    <t xml:space="preserve">04138</t>
  </si>
  <si>
    <t xml:space="preserve">Tabela 15 — Engenharia (Aba 4)</t>
  </si>
  <si>
    <t xml:space="preserve">04141</t>
  </si>
  <si>
    <t xml:space="preserve">04142</t>
  </si>
  <si>
    <t xml:space="preserve">04143</t>
  </si>
  <si>
    <t xml:space="preserve">04144</t>
  </si>
  <si>
    <t xml:space="preserve">04145</t>
  </si>
  <si>
    <t xml:space="preserve">04146</t>
  </si>
  <si>
    <t xml:space="preserve">04147</t>
  </si>
  <si>
    <t xml:space="preserve">04148</t>
  </si>
  <si>
    <t xml:space="preserve">Tabela 16 — Produto (Aba 4)</t>
  </si>
  <si>
    <t xml:space="preserve">04151</t>
  </si>
  <si>
    <t xml:space="preserve">04152</t>
  </si>
  <si>
    <t xml:space="preserve">04153</t>
  </si>
  <si>
    <t xml:space="preserve">04154</t>
  </si>
  <si>
    <t xml:space="preserve">04155</t>
  </si>
  <si>
    <t xml:space="preserve">04156</t>
  </si>
  <si>
    <t xml:space="preserve">04157</t>
  </si>
  <si>
    <t xml:space="preserve">04158</t>
  </si>
  <si>
    <t xml:space="preserve">Tabela 17 — Design (Aba 4)</t>
  </si>
  <si>
    <t xml:space="preserve">04161</t>
  </si>
  <si>
    <t xml:space="preserve">04162</t>
  </si>
  <si>
    <t xml:space="preserve">04163</t>
  </si>
  <si>
    <t xml:space="preserve">04164</t>
  </si>
  <si>
    <t xml:space="preserve">04165</t>
  </si>
  <si>
    <t xml:space="preserve">04166</t>
  </si>
  <si>
    <t xml:space="preserve">04167</t>
  </si>
  <si>
    <t xml:space="preserve">04168</t>
  </si>
  <si>
    <t xml:space="preserve">Tabela 18 — DevEx (Aba 4)</t>
  </si>
  <si>
    <t xml:space="preserve">04171</t>
  </si>
  <si>
    <t xml:space="preserve">04172</t>
  </si>
  <si>
    <t xml:space="preserve">04173</t>
  </si>
  <si>
    <t xml:space="preserve">04174</t>
  </si>
  <si>
    <t xml:space="preserve">04175</t>
  </si>
  <si>
    <t xml:space="preserve">04176</t>
  </si>
  <si>
    <t xml:space="preserve">04177</t>
  </si>
  <si>
    <t xml:space="preserve">04178</t>
  </si>
  <si>
    <t xml:space="preserve">Tabela 19 — Dados (Aba 4)</t>
  </si>
  <si>
    <t xml:space="preserve">04181</t>
  </si>
  <si>
    <t xml:space="preserve">04182</t>
  </si>
  <si>
    <t xml:space="preserve">04183</t>
  </si>
  <si>
    <t xml:space="preserve">04184</t>
  </si>
  <si>
    <t xml:space="preserve">04185</t>
  </si>
  <si>
    <t xml:space="preserve">04186</t>
  </si>
  <si>
    <t xml:space="preserve">04187</t>
  </si>
  <si>
    <t xml:space="preserve">04188</t>
  </si>
  <si>
    <t xml:space="preserve">Tabela 20 — Infra (Aba 4)</t>
  </si>
  <si>
    <t xml:space="preserve">04191</t>
  </si>
  <si>
    <t xml:space="preserve">04192</t>
  </si>
  <si>
    <t xml:space="preserve">04193</t>
  </si>
  <si>
    <t xml:space="preserve">04194</t>
  </si>
  <si>
    <t xml:space="preserve">04195</t>
  </si>
  <si>
    <t xml:space="preserve">04196</t>
  </si>
  <si>
    <t xml:space="preserve">04197</t>
  </si>
  <si>
    <t xml:space="preserve">04198</t>
  </si>
  <si>
    <t xml:space="preserve">Tabela 21 — Segurança (Aba 4)</t>
  </si>
  <si>
    <t xml:space="preserve">04201</t>
  </si>
  <si>
    <t xml:space="preserve">04202</t>
  </si>
  <si>
    <t xml:space="preserve">04203</t>
  </si>
  <si>
    <t xml:space="preserve">04204</t>
  </si>
  <si>
    <t xml:space="preserve">04205</t>
  </si>
  <si>
    <t xml:space="preserve">04206</t>
  </si>
  <si>
    <t xml:space="preserve">04207</t>
  </si>
  <si>
    <t xml:space="preserve">04208</t>
  </si>
  <si>
    <t xml:space="preserve">Tabela 22 — Engenharia (Aba 4)</t>
  </si>
  <si>
    <t xml:space="preserve">04211</t>
  </si>
  <si>
    <t xml:space="preserve">04212</t>
  </si>
  <si>
    <t xml:space="preserve">04213</t>
  </si>
  <si>
    <t xml:space="preserve">04214</t>
  </si>
  <si>
    <t xml:space="preserve">04215</t>
  </si>
  <si>
    <t xml:space="preserve">04216</t>
  </si>
  <si>
    <t xml:space="preserve">04217</t>
  </si>
  <si>
    <t xml:space="preserve">04218</t>
  </si>
  <si>
    <t xml:space="preserve">Tabela 23 — Produto (Aba 4)</t>
  </si>
  <si>
    <t xml:space="preserve">04221</t>
  </si>
  <si>
    <t xml:space="preserve">04222</t>
  </si>
  <si>
    <t xml:space="preserve">04223</t>
  </si>
  <si>
    <t xml:space="preserve">04224</t>
  </si>
  <si>
    <t xml:space="preserve">04225</t>
  </si>
  <si>
    <t xml:space="preserve">04226</t>
  </si>
  <si>
    <t xml:space="preserve">04227</t>
  </si>
  <si>
    <t xml:space="preserve">04228</t>
  </si>
  <si>
    <t xml:space="preserve">Tabela 24 — Design (Aba 4)</t>
  </si>
  <si>
    <t xml:space="preserve">04231</t>
  </si>
  <si>
    <t xml:space="preserve">04232</t>
  </si>
  <si>
    <t xml:space="preserve">04233</t>
  </si>
  <si>
    <t xml:space="preserve">04234</t>
  </si>
  <si>
    <t xml:space="preserve">04235</t>
  </si>
  <si>
    <t xml:space="preserve">04236</t>
  </si>
  <si>
    <t xml:space="preserve">04237</t>
  </si>
  <si>
    <t xml:space="preserve">04238</t>
  </si>
  <si>
    <t xml:space="preserve">Tabela 25 — DevEx (Aba 4)</t>
  </si>
  <si>
    <t xml:space="preserve">04241</t>
  </si>
  <si>
    <t xml:space="preserve">04242</t>
  </si>
  <si>
    <t xml:space="preserve">04243</t>
  </si>
  <si>
    <t xml:space="preserve">04244</t>
  </si>
  <si>
    <t xml:space="preserve">04245</t>
  </si>
  <si>
    <t xml:space="preserve">04246</t>
  </si>
  <si>
    <t xml:space="preserve">04247</t>
  </si>
  <si>
    <t xml:space="preserve">04248</t>
  </si>
  <si>
    <t xml:space="preserve">Tabela 26 — Dados (Aba 4)</t>
  </si>
  <si>
    <t xml:space="preserve">04251</t>
  </si>
  <si>
    <t xml:space="preserve">04252</t>
  </si>
  <si>
    <t xml:space="preserve">04253</t>
  </si>
  <si>
    <t xml:space="preserve">04254</t>
  </si>
  <si>
    <t xml:space="preserve">04255</t>
  </si>
  <si>
    <t xml:space="preserve">04256</t>
  </si>
  <si>
    <t xml:space="preserve">04257</t>
  </si>
  <si>
    <t xml:space="preserve">04258</t>
  </si>
  <si>
    <t xml:space="preserve">Tabela 27 — Infra (Aba 4)</t>
  </si>
  <si>
    <t xml:space="preserve">04261</t>
  </si>
  <si>
    <t xml:space="preserve">04262</t>
  </si>
  <si>
    <t xml:space="preserve">04263</t>
  </si>
  <si>
    <t xml:space="preserve">04264</t>
  </si>
  <si>
    <t xml:space="preserve">04265</t>
  </si>
  <si>
    <t xml:space="preserve">04266</t>
  </si>
  <si>
    <t xml:space="preserve">04267</t>
  </si>
  <si>
    <t xml:space="preserve">04268</t>
  </si>
  <si>
    <t xml:space="preserve">Tabela 28 — Segurança (Aba 4)</t>
  </si>
  <si>
    <t xml:space="preserve">04271</t>
  </si>
  <si>
    <t xml:space="preserve">04272</t>
  </si>
  <si>
    <t xml:space="preserve">04273</t>
  </si>
  <si>
    <t xml:space="preserve">04274</t>
  </si>
  <si>
    <t xml:space="preserve">04275</t>
  </si>
  <si>
    <t xml:space="preserve">04276</t>
  </si>
  <si>
    <t xml:space="preserve">04277</t>
  </si>
  <si>
    <t xml:space="preserve">04278</t>
  </si>
  <si>
    <t xml:space="preserve">Tabela 29 — Engenharia (Aba 4)</t>
  </si>
  <si>
    <t xml:space="preserve">04281</t>
  </si>
  <si>
    <t xml:space="preserve">04282</t>
  </si>
  <si>
    <t xml:space="preserve">04283</t>
  </si>
  <si>
    <t xml:space="preserve">04284</t>
  </si>
  <si>
    <t xml:space="preserve">04285</t>
  </si>
  <si>
    <t xml:space="preserve">04286</t>
  </si>
  <si>
    <t xml:space="preserve">04287</t>
  </si>
  <si>
    <t xml:space="preserve">04288</t>
  </si>
  <si>
    <t xml:space="preserve">Tabela 30 — Produto (Aba 4)</t>
  </si>
  <si>
    <t xml:space="preserve">04291</t>
  </si>
  <si>
    <t xml:space="preserve">04292</t>
  </si>
  <si>
    <t xml:space="preserve">04293</t>
  </si>
  <si>
    <t xml:space="preserve">04294</t>
  </si>
  <si>
    <t xml:space="preserve">04295</t>
  </si>
  <si>
    <t xml:space="preserve">04296</t>
  </si>
  <si>
    <t xml:space="preserve">04297</t>
  </si>
  <si>
    <t xml:space="preserve">04298</t>
  </si>
  <si>
    <t xml:space="preserve">Planilha — Aba 5 | Relatório de Equipe</t>
  </si>
  <si>
    <t xml:space="preserve">Tabela 1 — Engenharia (Aba 5)</t>
  </si>
  <si>
    <t xml:space="preserve">05001</t>
  </si>
  <si>
    <t xml:space="preserve">05002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</si>
  <si>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</si>
  <si>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</si>
  <si>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</si>
  <si>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</si>
  <si>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</si>
  <si>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</si>
  <si>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Tabela 2 — Produto (Aba 5)</t>
  </si>
  <si>
    <t xml:space="preserve">05011</t>
  </si>
  <si>
    <t xml:space="preserve">05012</t>
  </si>
  <si>
    <t xml:space="preserve">05013</t>
  </si>
  <si>
    <t xml:space="preserve">05014</t>
  </si>
  <si>
    <t xml:space="preserve">05015</t>
  </si>
  <si>
    <t xml:space="preserve">05016</t>
  </si>
  <si>
    <t xml:space="preserve">05017</t>
  </si>
  <si>
    <t xml:space="preserve">05018</t>
  </si>
  <si>
    <t xml:space="preserve">Tabela 3 — Design (Aba 5)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</si>
  <si>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</si>
  <si>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</si>
  <si>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</si>
  <si>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</si>
  <si>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</si>
  <si>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</si>
  <si>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</si>
  <si>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</si>
  <si>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Tabela 4 — DevEx (Aba 5)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</si>
  <si>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</si>
  <si>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</si>
  <si>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</si>
  <si>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</si>
  <si>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</si>
  <si>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</si>
  <si>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05037</t>
  </si>
  <si>
    <t xml:space="preserve">05038</t>
  </si>
  <si>
    <t xml:space="preserve">Tabela 5 — Dados (Aba 5)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</si>
  <si>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</si>
  <si>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</si>
  <si>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</si>
  <si>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</si>
  <si>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</si>
  <si>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</si>
  <si>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</si>
  <si>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</si>
  <si>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Tabela 6 — Infra (Aba 5)</t>
  </si>
  <si>
    <t xml:space="preserve">05051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</si>
  <si>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</si>
  <si>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</si>
  <si>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</si>
  <si>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</si>
  <si>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</si>
  <si>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</si>
  <si>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</si>
  <si>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Tabela 7 — Segurança (Aba 5)</t>
  </si>
  <si>
    <t xml:space="preserve">05061</t>
  </si>
  <si>
    <t xml:space="preserve">05062</t>
  </si>
  <si>
    <t xml:space="preserve">05063</t>
  </si>
  <si>
    <t xml:space="preserve">05064</t>
  </si>
  <si>
    <t xml:space="preserve">05065</t>
  </si>
  <si>
    <t xml:space="preserve">05066</t>
  </si>
  <si>
    <t xml:space="preserve">05067</t>
  </si>
  <si>
    <t xml:space="preserve">05068</t>
  </si>
  <si>
    <t xml:space="preserve">Tabela 8 — Engenharia (Aba 5)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</si>
  <si>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</si>
  <si>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</si>
  <si>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</si>
  <si>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</si>
  <si>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</si>
  <si>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</si>
  <si>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</si>
  <si>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</si>
  <si>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Tabela 9 — Produto (Aba 5)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</si>
  <si>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</si>
  <si>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</si>
  <si>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</si>
  <si>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</si>
  <si>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</si>
  <si>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</si>
  <si>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</si>
  <si>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05088</t>
  </si>
  <si>
    <t xml:space="preserve">Tabela 10 — Design (Aba 5)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</si>
  <si>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</si>
  <si>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</si>
  <si>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</si>
  <si>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</si>
  <si>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</si>
  <si>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</si>
  <si>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05097</t>
  </si>
  <si>
    <t xml:space="preserve">05098</t>
  </si>
  <si>
    <t xml:space="preserve">Tabela 11 — DevEx (Aba 5)</t>
  </si>
  <si>
    <t xml:space="preserve">05101</t>
  </si>
  <si>
    <t xml:space="preserve">05102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</si>
  <si>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</si>
  <si>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</si>
  <si>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</si>
  <si>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</si>
  <si>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</si>
  <si>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</si>
  <si>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Tabela 12 — Dados (Aba 5)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</si>
  <si>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</si>
  <si>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</si>
  <si>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</si>
  <si>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</si>
  <si>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</si>
  <si>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</si>
  <si>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</si>
  <si>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</si>
  <si>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Tabela 13 — Infra (Aba 5)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</si>
  <si>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</si>
  <si>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</si>
  <si>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</si>
  <si>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</si>
  <si>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</si>
  <si>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</si>
  <si>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</si>
  <si>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</si>
  <si>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Tabela 14 — Segurança (Aba 5)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</si>
  <si>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</si>
  <si>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</si>
  <si>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</si>
  <si>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</si>
  <si>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</si>
  <si>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</si>
  <si>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</si>
  <si>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</si>
  <si>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Tabela 15 — Engenharia (Aba 5)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</si>
  <si>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</si>
  <si>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</si>
  <si>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</si>
  <si>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</si>
  <si>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</si>
  <si>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</si>
  <si>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</si>
  <si>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</si>
  <si>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Tabela 16 — Produto (Aba 5)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</si>
  <si>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</si>
  <si>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</si>
  <si>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</si>
  <si>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</si>
  <si>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</si>
  <si>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</si>
  <si>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</si>
  <si>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</si>
  <si>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Tabela 17 — Design (Aba 5)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</si>
  <si>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</si>
  <si>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</si>
  <si>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</si>
  <si>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</si>
  <si>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</si>
  <si>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05166</t>
  </si>
  <si>
    <t xml:space="preserve">05167</t>
  </si>
  <si>
    <t xml:space="preserve">05168</t>
  </si>
  <si>
    <t xml:space="preserve">Tabela 18 — DevEx (Aba 5)</t>
  </si>
  <si>
    <t xml:space="preserve">05171</t>
  </si>
  <si>
    <t xml:space="preserve">05172</t>
  </si>
  <si>
    <t xml:space="preserve">05173</t>
  </si>
  <si>
    <t xml:space="preserve">05174</t>
  </si>
  <si>
    <t xml:space="preserve">05175</t>
  </si>
  <si>
    <t xml:space="preserve">05176</t>
  </si>
  <si>
    <t xml:space="preserve">05177</t>
  </si>
  <si>
    <t xml:space="preserve">05178</t>
  </si>
  <si>
    <t xml:space="preserve">Tabela 19 — Dados (Aba 5)</t>
  </si>
  <si>
    <t xml:space="preserve">05181</t>
  </si>
  <si>
    <t xml:space="preserve">05182</t>
  </si>
  <si>
    <t xml:space="preserve">05183</t>
  </si>
  <si>
    <t xml:space="preserve">05184</t>
  </si>
  <si>
    <t xml:space="preserve">05185</t>
  </si>
  <si>
    <t xml:space="preserve">05186</t>
  </si>
  <si>
    <t xml:space="preserve">05187</t>
  </si>
  <si>
    <t xml:space="preserve">05188</t>
  </si>
  <si>
    <t xml:space="preserve">Tabela 20 — Infra (Aba 5)</t>
  </si>
  <si>
    <t xml:space="preserve">05191</t>
  </si>
  <si>
    <t xml:space="preserve">05192</t>
  </si>
  <si>
    <t xml:space="preserve">05193</t>
  </si>
  <si>
    <t xml:space="preserve">05194</t>
  </si>
  <si>
    <t xml:space="preserve">05195</t>
  </si>
  <si>
    <t xml:space="preserve">05196</t>
  </si>
  <si>
    <t xml:space="preserve">05197</t>
  </si>
  <si>
    <t xml:space="preserve">05198</t>
  </si>
  <si>
    <t xml:space="preserve">Tabela 21 — Segurança (Aba 5)</t>
  </si>
  <si>
    <t xml:space="preserve">05201</t>
  </si>
  <si>
    <t xml:space="preserve">05202</t>
  </si>
  <si>
    <t xml:space="preserve">05203</t>
  </si>
  <si>
    <t xml:space="preserve">05204</t>
  </si>
  <si>
    <t xml:space="preserve">05205</t>
  </si>
  <si>
    <t xml:space="preserve">05206</t>
  </si>
  <si>
    <t xml:space="preserve">05207</t>
  </si>
  <si>
    <t xml:space="preserve">05208</t>
  </si>
  <si>
    <t xml:space="preserve">Tabela 22 — Engenharia (Aba 5)</t>
  </si>
  <si>
    <t xml:space="preserve">05211</t>
  </si>
  <si>
    <t xml:space="preserve">05212</t>
  </si>
  <si>
    <t xml:space="preserve">05213</t>
  </si>
  <si>
    <t xml:space="preserve">05214</t>
  </si>
  <si>
    <t xml:space="preserve">05215</t>
  </si>
  <si>
    <t xml:space="preserve">05216</t>
  </si>
  <si>
    <t xml:space="preserve">05217</t>
  </si>
  <si>
    <t xml:space="preserve">05218</t>
  </si>
  <si>
    <t xml:space="preserve">Tabela 23 — Produto (Aba 5)</t>
  </si>
  <si>
    <t xml:space="preserve">05221</t>
  </si>
  <si>
    <t xml:space="preserve">05222</t>
  </si>
  <si>
    <t xml:space="preserve">05223</t>
  </si>
  <si>
    <t xml:space="preserve">05224</t>
  </si>
  <si>
    <t xml:space="preserve">05225</t>
  </si>
  <si>
    <t xml:space="preserve">05226</t>
  </si>
  <si>
    <t xml:space="preserve">05227</t>
  </si>
  <si>
    <t xml:space="preserve">05228</t>
  </si>
  <si>
    <t xml:space="preserve">Tabela 24 — Design (Aba 5)</t>
  </si>
  <si>
    <t xml:space="preserve">05231</t>
  </si>
  <si>
    <t xml:space="preserve">05232</t>
  </si>
  <si>
    <t xml:space="preserve">05233</t>
  </si>
  <si>
    <t xml:space="preserve">05234</t>
  </si>
  <si>
    <t xml:space="preserve">05235</t>
  </si>
  <si>
    <t xml:space="preserve">05236</t>
  </si>
  <si>
    <t xml:space="preserve">05237</t>
  </si>
  <si>
    <t xml:space="preserve">05238</t>
  </si>
  <si>
    <t xml:space="preserve">Tabela 25 — DevEx (Aba 5)</t>
  </si>
  <si>
    <t xml:space="preserve">05241</t>
  </si>
  <si>
    <t xml:space="preserve">05242</t>
  </si>
  <si>
    <t xml:space="preserve">05243</t>
  </si>
  <si>
    <t xml:space="preserve">05244</t>
  </si>
  <si>
    <t xml:space="preserve">05245</t>
  </si>
  <si>
    <t xml:space="preserve">05246</t>
  </si>
  <si>
    <t xml:space="preserve">05247</t>
  </si>
  <si>
    <t xml:space="preserve">05248</t>
  </si>
  <si>
    <t xml:space="preserve">Tabela 26 — Dados (Aba 5)</t>
  </si>
  <si>
    <t xml:space="preserve">05251</t>
  </si>
  <si>
    <t xml:space="preserve">05252</t>
  </si>
  <si>
    <t xml:space="preserve">05253</t>
  </si>
  <si>
    <t xml:space="preserve">05254</t>
  </si>
  <si>
    <t xml:space="preserve">05255</t>
  </si>
  <si>
    <t xml:space="preserve">05256</t>
  </si>
  <si>
    <t xml:space="preserve">05257</t>
  </si>
  <si>
    <t xml:space="preserve">05258</t>
  </si>
  <si>
    <t xml:space="preserve">Tabela 27 — Infra (Aba 5)</t>
  </si>
  <si>
    <t xml:space="preserve">05261</t>
  </si>
  <si>
    <t xml:space="preserve">05262</t>
  </si>
  <si>
    <t xml:space="preserve">05263</t>
  </si>
  <si>
    <t xml:space="preserve">05264</t>
  </si>
  <si>
    <t xml:space="preserve">05265</t>
  </si>
  <si>
    <t xml:space="preserve">05266</t>
  </si>
  <si>
    <t xml:space="preserve">05267</t>
  </si>
  <si>
    <t xml:space="preserve">05268</t>
  </si>
  <si>
    <t xml:space="preserve">Tabela 28 — Segurança (Aba 5)</t>
  </si>
  <si>
    <t xml:space="preserve">05271</t>
  </si>
  <si>
    <t xml:space="preserve">05272</t>
  </si>
  <si>
    <t xml:space="preserve">05273</t>
  </si>
  <si>
    <t xml:space="preserve">05274</t>
  </si>
  <si>
    <t xml:space="preserve">05275</t>
  </si>
  <si>
    <t xml:space="preserve">05276</t>
  </si>
  <si>
    <t xml:space="preserve">05277</t>
  </si>
  <si>
    <t xml:space="preserve">05278</t>
  </si>
  <si>
    <t xml:space="preserve">Tabela 29 — Engenharia (Aba 5)</t>
  </si>
  <si>
    <t xml:space="preserve">05281</t>
  </si>
  <si>
    <t xml:space="preserve">05282</t>
  </si>
  <si>
    <t xml:space="preserve">05283</t>
  </si>
  <si>
    <t xml:space="preserve">05284</t>
  </si>
  <si>
    <t xml:space="preserve">05285</t>
  </si>
  <si>
    <t xml:space="preserve">05286</t>
  </si>
  <si>
    <t xml:space="preserve">05287</t>
  </si>
  <si>
    <t xml:space="preserve">05288</t>
  </si>
  <si>
    <t xml:space="preserve">Tabela 30 — Produto (Aba 5)</t>
  </si>
  <si>
    <t xml:space="preserve">05291</t>
  </si>
  <si>
    <t xml:space="preserve">05292</t>
  </si>
  <si>
    <t xml:space="preserve">05293</t>
  </si>
  <si>
    <t xml:space="preserve">05294</t>
  </si>
  <si>
    <t xml:space="preserve">05295</t>
  </si>
  <si>
    <t xml:space="preserve">05296</t>
  </si>
  <si>
    <t xml:space="preserve">05297</t>
  </si>
  <si>
    <t xml:space="preserve">05298</t>
  </si>
  <si>
    <t xml:space="preserve">Planilha — Aba 6 | Relatório de Equipe</t>
  </si>
  <si>
    <t xml:space="preserve">Tabela 1 — Engenharia (Aba 6)</t>
  </si>
  <si>
    <t xml:space="preserve">06001</t>
  </si>
  <si>
    <t xml:space="preserve">06002</t>
  </si>
  <si>
    <t xml:space="preserve">06003</t>
  </si>
  <si>
    <t xml:space="preserve">06004</t>
  </si>
  <si>
    <t xml:space="preserve">06005</t>
  </si>
  <si>
    <t xml:space="preserve">06006</t>
  </si>
  <si>
    <t xml:space="preserve">06007</t>
  </si>
  <si>
    <t xml:space="preserve">06008</t>
  </si>
  <si>
    <t xml:space="preserve">Tabela 2 — Produto (Aba 6)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</si>
  <si>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</si>
  <si>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</si>
  <si>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</si>
  <si>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</si>
  <si>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</si>
  <si>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</si>
  <si>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</si>
  <si>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</si>
  <si>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Tabela 3 — Design (Aba 6)</t>
  </si>
  <si>
    <t xml:space="preserve">06021</t>
  </si>
  <si>
    <t xml:space="preserve">06022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</si>
  <si>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</si>
  <si>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</si>
  <si>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</si>
  <si>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</si>
  <si>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</si>
  <si>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06028</t>
  </si>
  <si>
    <t xml:space="preserve">Tabela 4 — DevEx (Aba 6)</t>
  </si>
  <si>
    <t xml:space="preserve">06031</t>
  </si>
  <si>
    <t xml:space="preserve">06032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</si>
  <si>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</si>
  <si>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</si>
  <si>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</si>
  <si>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</si>
  <si>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</si>
  <si>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06038</t>
  </si>
  <si>
    <t xml:space="preserve">Tabela 5 — Dados (Aba 6)</t>
  </si>
  <si>
    <t xml:space="preserve">06041</t>
  </si>
  <si>
    <t xml:space="preserve">06042</t>
  </si>
  <si>
    <t xml:space="preserve">06043</t>
  </si>
  <si>
    <t xml:space="preserve">06044</t>
  </si>
  <si>
    <t xml:space="preserve">06045</t>
  </si>
  <si>
    <t xml:space="preserve">06046</t>
  </si>
  <si>
    <t xml:space="preserve">06047</t>
  </si>
  <si>
    <t xml:space="preserve">06048</t>
  </si>
  <si>
    <t xml:space="preserve">Tabela 6 — Infra (Aba 6)</t>
  </si>
  <si>
    <t xml:space="preserve">06051</t>
  </si>
  <si>
    <t xml:space="preserve">06052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</si>
  <si>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</si>
  <si>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</si>
  <si>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</si>
  <si>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</si>
  <si>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</si>
  <si>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06058</t>
  </si>
  <si>
    <t xml:space="preserve">Tabela 7 — Segurança (Aba 6)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</si>
  <si>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</si>
  <si>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</si>
  <si>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</si>
  <si>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</si>
  <si>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</si>
  <si>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</si>
  <si>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</si>
  <si>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</si>
  <si>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Tabela 8 — Engenharia (Aba 6)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</si>
  <si>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</si>
  <si>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</si>
  <si>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</si>
  <si>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</si>
  <si>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</si>
  <si>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</si>
  <si>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</si>
  <si>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</si>
  <si>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Tabela 9 — Produto (Aba 6)</t>
  </si>
  <si>
    <t xml:space="preserve">06081</t>
  </si>
  <si>
    <t xml:space="preserve">06082</t>
  </si>
  <si>
    <t xml:space="preserve">06083</t>
  </si>
  <si>
    <t xml:space="preserve">06084</t>
  </si>
  <si>
    <t xml:space="preserve">06085</t>
  </si>
  <si>
    <t xml:space="preserve">06086</t>
  </si>
  <si>
    <t xml:space="preserve">06087</t>
  </si>
  <si>
    <t xml:space="preserve">06088</t>
  </si>
  <si>
    <t xml:space="preserve">Tabela 10 — Design (Aba 6)</t>
  </si>
  <si>
    <t xml:space="preserve">06091</t>
  </si>
  <si>
    <t xml:space="preserve">06092</t>
  </si>
  <si>
    <t xml:space="preserve">06093</t>
  </si>
  <si>
    <t xml:space="preserve">06094</t>
  </si>
  <si>
    <t xml:space="preserve">06095</t>
  </si>
  <si>
    <t xml:space="preserve">06096</t>
  </si>
  <si>
    <t xml:space="preserve">06097</t>
  </si>
  <si>
    <t xml:space="preserve">06098</t>
  </si>
  <si>
    <t xml:space="preserve">Tabela 11 — DevEx (Aba 6)</t>
  </si>
  <si>
    <t xml:space="preserve">06101</t>
  </si>
  <si>
    <t xml:space="preserve">06102</t>
  </si>
  <si>
    <t xml:space="preserve">06103</t>
  </si>
  <si>
    <t xml:space="preserve">06104</t>
  </si>
  <si>
    <t xml:space="preserve">06105</t>
  </si>
  <si>
    <t xml:space="preserve">06106</t>
  </si>
  <si>
    <t xml:space="preserve">06107</t>
  </si>
  <si>
    <t xml:space="preserve">06108</t>
  </si>
  <si>
    <t xml:space="preserve">Tabela 12 — Dados (Aba 6)</t>
  </si>
  <si>
    <t xml:space="preserve">06111</t>
  </si>
  <si>
    <t xml:space="preserve">06112</t>
  </si>
  <si>
    <t xml:space="preserve">06113</t>
  </si>
  <si>
    <t xml:space="preserve">06114</t>
  </si>
  <si>
    <t xml:space="preserve">06115</t>
  </si>
  <si>
    <t xml:space="preserve">06116</t>
  </si>
  <si>
    <t xml:space="preserve">06117</t>
  </si>
  <si>
    <t xml:space="preserve">06118</t>
  </si>
  <si>
    <t xml:space="preserve">Tabela 13 — Infra (Aba 6)</t>
  </si>
  <si>
    <t xml:space="preserve">06121</t>
  </si>
  <si>
    <t xml:space="preserve">06122</t>
  </si>
  <si>
    <t xml:space="preserve">06123</t>
  </si>
  <si>
    <t xml:space="preserve">06124</t>
  </si>
  <si>
    <t xml:space="preserve">06125</t>
  </si>
  <si>
    <t xml:space="preserve">06126</t>
  </si>
  <si>
    <t xml:space="preserve">06127</t>
  </si>
  <si>
    <t xml:space="preserve">06128</t>
  </si>
  <si>
    <t xml:space="preserve">Tabela 14 — Segurança (Aba 6)</t>
  </si>
  <si>
    <t xml:space="preserve">06131</t>
  </si>
  <si>
    <t xml:space="preserve">06132</t>
  </si>
  <si>
    <t xml:space="preserve">06133</t>
  </si>
  <si>
    <t xml:space="preserve">06134</t>
  </si>
  <si>
    <t xml:space="preserve">06135</t>
  </si>
  <si>
    <t xml:space="preserve">06136</t>
  </si>
  <si>
    <t xml:space="preserve">06137</t>
  </si>
  <si>
    <t xml:space="preserve">06138</t>
  </si>
  <si>
    <t xml:space="preserve">Tabela 15 — Engenharia (Aba 6)</t>
  </si>
  <si>
    <t xml:space="preserve">06141</t>
  </si>
  <si>
    <t xml:space="preserve">06142</t>
  </si>
  <si>
    <t xml:space="preserve">06143</t>
  </si>
  <si>
    <t xml:space="preserve">06144</t>
  </si>
  <si>
    <t xml:space="preserve">06145</t>
  </si>
  <si>
    <t xml:space="preserve">06146</t>
  </si>
  <si>
    <t xml:space="preserve">06147</t>
  </si>
  <si>
    <t xml:space="preserve">06148</t>
  </si>
  <si>
    <t xml:space="preserve">Tabela 16 — Produto (Aba 6)</t>
  </si>
  <si>
    <t xml:space="preserve">06151</t>
  </si>
  <si>
    <t xml:space="preserve">06152</t>
  </si>
  <si>
    <t xml:space="preserve">06153</t>
  </si>
  <si>
    <t xml:space="preserve">06154</t>
  </si>
  <si>
    <t xml:space="preserve">06155</t>
  </si>
  <si>
    <t xml:space="preserve">06156</t>
  </si>
  <si>
    <t xml:space="preserve">06157</t>
  </si>
  <si>
    <t xml:space="preserve">06158</t>
  </si>
  <si>
    <t xml:space="preserve">Tabela 17 — Design (Aba 6)</t>
  </si>
  <si>
    <t xml:space="preserve">06161</t>
  </si>
  <si>
    <t xml:space="preserve">06162</t>
  </si>
  <si>
    <t xml:space="preserve">06163</t>
  </si>
  <si>
    <t xml:space="preserve">06164</t>
  </si>
  <si>
    <t xml:space="preserve">06165</t>
  </si>
  <si>
    <t xml:space="preserve">06166</t>
  </si>
  <si>
    <t xml:space="preserve">06167</t>
  </si>
  <si>
    <t xml:space="preserve">06168</t>
  </si>
  <si>
    <t xml:space="preserve">Tabela 18 — DevEx (Aba 6)</t>
  </si>
  <si>
    <t xml:space="preserve">06171</t>
  </si>
  <si>
    <t xml:space="preserve">06172</t>
  </si>
  <si>
    <t xml:space="preserve">06173</t>
  </si>
  <si>
    <t xml:space="preserve">06174</t>
  </si>
  <si>
    <t xml:space="preserve">06175</t>
  </si>
  <si>
    <t xml:space="preserve">06176</t>
  </si>
  <si>
    <t xml:space="preserve">06177</t>
  </si>
  <si>
    <t xml:space="preserve">06178</t>
  </si>
  <si>
    <t xml:space="preserve">Tabela 19 — Dados (Aba 6)</t>
  </si>
  <si>
    <t xml:space="preserve">06181</t>
  </si>
  <si>
    <t xml:space="preserve">06182</t>
  </si>
  <si>
    <t xml:space="preserve">06183</t>
  </si>
  <si>
    <t xml:space="preserve">06184</t>
  </si>
  <si>
    <t xml:space="preserve">06185</t>
  </si>
  <si>
    <t xml:space="preserve">06186</t>
  </si>
  <si>
    <t xml:space="preserve">06187</t>
  </si>
  <si>
    <t xml:space="preserve">06188</t>
  </si>
  <si>
    <t xml:space="preserve">Tabela 20 — Infra (Aba 6)</t>
  </si>
  <si>
    <t xml:space="preserve">06191</t>
  </si>
  <si>
    <t xml:space="preserve">06192</t>
  </si>
  <si>
    <t xml:space="preserve">06193</t>
  </si>
  <si>
    <t xml:space="preserve">06194</t>
  </si>
  <si>
    <t xml:space="preserve">06195</t>
  </si>
  <si>
    <t xml:space="preserve">06196</t>
  </si>
  <si>
    <t xml:space="preserve">06197</t>
  </si>
  <si>
    <t xml:space="preserve">06198</t>
  </si>
  <si>
    <t xml:space="preserve">Tabela 21 — Segurança (Aba 6)</t>
  </si>
  <si>
    <t xml:space="preserve">06201</t>
  </si>
  <si>
    <t xml:space="preserve">06202</t>
  </si>
  <si>
    <t xml:space="preserve">06203</t>
  </si>
  <si>
    <t xml:space="preserve">06204</t>
  </si>
  <si>
    <t xml:space="preserve">06205</t>
  </si>
  <si>
    <t xml:space="preserve">06206</t>
  </si>
  <si>
    <t xml:space="preserve">06207</t>
  </si>
  <si>
    <t xml:space="preserve">06208</t>
  </si>
  <si>
    <t xml:space="preserve">Tabela 22 — Engenharia (Aba 6)</t>
  </si>
  <si>
    <t xml:space="preserve">06211</t>
  </si>
  <si>
    <t xml:space="preserve">06212</t>
  </si>
  <si>
    <t xml:space="preserve">06213</t>
  </si>
  <si>
    <t xml:space="preserve">06214</t>
  </si>
  <si>
    <t xml:space="preserve">06215</t>
  </si>
  <si>
    <t xml:space="preserve">06216</t>
  </si>
  <si>
    <t xml:space="preserve">06217</t>
  </si>
  <si>
    <t xml:space="preserve">06218</t>
  </si>
  <si>
    <t xml:space="preserve">Tabela 23 — Produto (Aba 6)</t>
  </si>
  <si>
    <t xml:space="preserve">06221</t>
  </si>
  <si>
    <t xml:space="preserve">06222</t>
  </si>
  <si>
    <t xml:space="preserve">06223</t>
  </si>
  <si>
    <t xml:space="preserve">06224</t>
  </si>
  <si>
    <t xml:space="preserve">06225</t>
  </si>
  <si>
    <t xml:space="preserve">06226</t>
  </si>
  <si>
    <t xml:space="preserve">06227</t>
  </si>
  <si>
    <t xml:space="preserve">06228</t>
  </si>
  <si>
    <t xml:space="preserve">Tabela 24 — Design (Aba 6)</t>
  </si>
  <si>
    <t xml:space="preserve">06231</t>
  </si>
  <si>
    <t xml:space="preserve">06232</t>
  </si>
  <si>
    <t xml:space="preserve">06233</t>
  </si>
  <si>
    <t xml:space="preserve">06234</t>
  </si>
  <si>
    <t xml:space="preserve">06235</t>
  </si>
  <si>
    <t xml:space="preserve">06236</t>
  </si>
  <si>
    <t xml:space="preserve">06237</t>
  </si>
  <si>
    <t xml:space="preserve">06238</t>
  </si>
  <si>
    <t xml:space="preserve">Tabela 25 — DevEx (Aba 6)</t>
  </si>
  <si>
    <t xml:space="preserve">06241</t>
  </si>
  <si>
    <t xml:space="preserve">06242</t>
  </si>
  <si>
    <t xml:space="preserve">06243</t>
  </si>
  <si>
    <t xml:space="preserve">06244</t>
  </si>
  <si>
    <t xml:space="preserve">06245</t>
  </si>
  <si>
    <t xml:space="preserve">06246</t>
  </si>
  <si>
    <t xml:space="preserve">06247</t>
  </si>
  <si>
    <t xml:space="preserve">06248</t>
  </si>
  <si>
    <t xml:space="preserve">Tabela 26 — Dados (Aba 6)</t>
  </si>
  <si>
    <t xml:space="preserve">06251</t>
  </si>
  <si>
    <t xml:space="preserve">06252</t>
  </si>
  <si>
    <t xml:space="preserve">06253</t>
  </si>
  <si>
    <t xml:space="preserve">06254</t>
  </si>
  <si>
    <t xml:space="preserve">06255</t>
  </si>
  <si>
    <t xml:space="preserve">06256</t>
  </si>
  <si>
    <t xml:space="preserve">06257</t>
  </si>
  <si>
    <t xml:space="preserve">06258</t>
  </si>
  <si>
    <t xml:space="preserve">Tabela 27 — Infra (Aba 6)</t>
  </si>
  <si>
    <t xml:space="preserve">06261</t>
  </si>
  <si>
    <t xml:space="preserve">06262</t>
  </si>
  <si>
    <t xml:space="preserve">06263</t>
  </si>
  <si>
    <t xml:space="preserve">06264</t>
  </si>
  <si>
    <t xml:space="preserve">06265</t>
  </si>
  <si>
    <t xml:space="preserve">06266</t>
  </si>
  <si>
    <t xml:space="preserve">06267</t>
  </si>
  <si>
    <t xml:space="preserve">06268</t>
  </si>
  <si>
    <t xml:space="preserve">Tabela 28 — Segurança (Aba 6)</t>
  </si>
  <si>
    <t xml:space="preserve">06271</t>
  </si>
  <si>
    <t xml:space="preserve">06272</t>
  </si>
  <si>
    <t xml:space="preserve">06273</t>
  </si>
  <si>
    <t xml:space="preserve">06274</t>
  </si>
  <si>
    <t xml:space="preserve">06275</t>
  </si>
  <si>
    <t xml:space="preserve">06276</t>
  </si>
  <si>
    <t xml:space="preserve">06277</t>
  </si>
  <si>
    <t xml:space="preserve">06278</t>
  </si>
  <si>
    <t xml:space="preserve">Tabela 29 — Engenharia (Aba 6)</t>
  </si>
  <si>
    <t xml:space="preserve">06281</t>
  </si>
  <si>
    <t xml:space="preserve">06282</t>
  </si>
  <si>
    <t xml:space="preserve">06283</t>
  </si>
  <si>
    <t xml:space="preserve">06284</t>
  </si>
  <si>
    <t xml:space="preserve">06285</t>
  </si>
  <si>
    <t xml:space="preserve">06286</t>
  </si>
  <si>
    <t xml:space="preserve">06287</t>
  </si>
  <si>
    <t xml:space="preserve">06288</t>
  </si>
  <si>
    <t xml:space="preserve">Tabela 30 — Produto (Aba 6)</t>
  </si>
  <si>
    <t xml:space="preserve">06291</t>
  </si>
  <si>
    <t xml:space="preserve">06292</t>
  </si>
  <si>
    <t xml:space="preserve">06293</t>
  </si>
  <si>
    <t xml:space="preserve">06294</t>
  </si>
  <si>
    <t xml:space="preserve">06295</t>
  </si>
  <si>
    <t xml:space="preserve">06296</t>
  </si>
  <si>
    <t xml:space="preserve">06297</t>
  </si>
  <si>
    <t xml:space="preserve">06298</t>
  </si>
  <si>
    <t xml:space="preserve">Planilha — Aba 7 | Relatório de Equipe</t>
  </si>
  <si>
    <t xml:space="preserve">Tabela 1 — Engenharia (Aba 7)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</si>
  <si>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</si>
  <si>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</si>
  <si>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</si>
  <si>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</si>
  <si>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</si>
  <si>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</si>
  <si>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</si>
  <si>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07008</t>
  </si>
  <si>
    <t xml:space="preserve">Tabela 2 — Produto (Aba 7)</t>
  </si>
  <si>
    <t xml:space="preserve">07011</t>
  </si>
  <si>
    <t xml:space="preserve">07012</t>
  </si>
  <si>
    <t xml:space="preserve">07013</t>
  </si>
  <si>
    <t xml:space="preserve">07014</t>
  </si>
  <si>
    <t xml:space="preserve">07015</t>
  </si>
  <si>
    <t xml:space="preserve">07016</t>
  </si>
  <si>
    <t xml:space="preserve">07017</t>
  </si>
  <si>
    <t xml:space="preserve">07018</t>
  </si>
  <si>
    <t xml:space="preserve">Tabela 3 — Design (Aba 7)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</si>
  <si>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</si>
  <si>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</si>
  <si>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</si>
  <si>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</si>
  <si>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</si>
  <si>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</si>
  <si>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</si>
  <si>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</si>
  <si>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Tabela 4 — DevEx (Aba 7)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</si>
  <si>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</si>
  <si>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</si>
  <si>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</si>
  <si>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</si>
  <si>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</si>
  <si>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</si>
  <si>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</si>
  <si>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</si>
  <si>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Tabela 5 — Dados (Aba 7)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</si>
  <si>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</si>
  <si>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</si>
  <si>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</si>
  <si>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</si>
  <si>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</si>
  <si>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07046</t>
  </si>
  <si>
    <t xml:space="preserve">07047</t>
  </si>
  <si>
    <t xml:space="preserve">07048</t>
  </si>
  <si>
    <t xml:space="preserve">Tabela 6 — Infra (Aba 7)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</si>
  <si>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</si>
  <si>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</si>
  <si>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</si>
  <si>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</si>
  <si>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</si>
  <si>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</si>
  <si>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</si>
  <si>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</si>
  <si>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Tabela 7 — Segurança (Aba 7)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</si>
  <si>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</si>
  <si>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</si>
  <si>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</si>
  <si>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</si>
  <si>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</si>
  <si>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</si>
  <si>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</si>
  <si>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</si>
  <si>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Tabela 8 — Engenharia (Aba 7)</t>
  </si>
  <si>
    <t xml:space="preserve">07071</t>
  </si>
  <si>
    <t xml:space="preserve">07072</t>
  </si>
  <si>
    <t xml:space="preserve">07073</t>
  </si>
  <si>
    <t xml:space="preserve">07074</t>
  </si>
  <si>
    <t xml:space="preserve">07075</t>
  </si>
  <si>
    <t xml:space="preserve">07076</t>
  </si>
  <si>
    <t xml:space="preserve">07077</t>
  </si>
  <si>
    <t xml:space="preserve">07078</t>
  </si>
  <si>
    <t xml:space="preserve">Tabela 9 — Produto (Aba 7)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</si>
  <si>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</si>
  <si>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</si>
  <si>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</si>
  <si>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</si>
  <si>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</si>
  <si>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</si>
  <si>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</si>
  <si>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</si>
  <si>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Tabela 10 — Design (Aba 7)</t>
  </si>
  <si>
    <t xml:space="preserve">07091</t>
  </si>
  <si>
    <t xml:space="preserve">07092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</si>
  <si>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</si>
  <si>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</si>
  <si>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</si>
  <si>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</si>
  <si>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</si>
  <si>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</si>
  <si>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Tabela 11 — DevEx (Aba 7)</t>
  </si>
  <si>
    <t xml:space="preserve">07101</t>
  </si>
  <si>
    <t xml:space="preserve">07102</t>
  </si>
  <si>
    <t xml:space="preserve">07103</t>
  </si>
  <si>
    <t xml:space="preserve">07104</t>
  </si>
  <si>
    <t xml:space="preserve">07105</t>
  </si>
  <si>
    <t xml:space="preserve">07106</t>
  </si>
  <si>
    <t xml:space="preserve">07107</t>
  </si>
  <si>
    <t xml:space="preserve">07108</t>
  </si>
  <si>
    <t xml:space="preserve">Tabela 12 — Dados (Aba 7)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</si>
  <si>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</si>
  <si>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</si>
  <si>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</si>
  <si>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</si>
  <si>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</si>
  <si>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</si>
  <si>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</si>
  <si>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07118</t>
  </si>
  <si>
    <t xml:space="preserve">Tabela 13 — Infra (Aba 7)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</si>
  <si>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</si>
  <si>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</si>
  <si>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</si>
  <si>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</si>
  <si>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</si>
  <si>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07126</t>
  </si>
  <si>
    <t xml:space="preserve">07127</t>
  </si>
  <si>
    <t xml:space="preserve">07128</t>
  </si>
  <si>
    <t xml:space="preserve">Tabela 14 — Segurança (Aba 7)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</si>
  <si>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</si>
  <si>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</si>
  <si>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</si>
  <si>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</si>
  <si>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</si>
  <si>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</si>
  <si>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</si>
  <si>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</si>
  <si>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Tabela 15 — Engenharia (Aba 7)</t>
  </si>
  <si>
    <t xml:space="preserve">07141</t>
  </si>
  <si>
    <t xml:space="preserve">07142</t>
  </si>
  <si>
    <t xml:space="preserve">07143</t>
  </si>
  <si>
    <t xml:space="preserve">07144</t>
  </si>
  <si>
    <t xml:space="preserve">07145</t>
  </si>
  <si>
    <t xml:space="preserve">07146</t>
  </si>
  <si>
    <t xml:space="preserve">07147</t>
  </si>
  <si>
    <t xml:space="preserve">07148</t>
  </si>
  <si>
    <t xml:space="preserve">Tabela 16 — Produto (Aba 7)</t>
  </si>
  <si>
    <t xml:space="preserve">07151</t>
  </si>
  <si>
    <t xml:space="preserve">07152</t>
  </si>
  <si>
    <t xml:space="preserve">07153</t>
  </si>
  <si>
    <t xml:space="preserve">07154</t>
  </si>
  <si>
    <t xml:space="preserve">07155</t>
  </si>
  <si>
    <t xml:space="preserve">07156</t>
  </si>
  <si>
    <t xml:space="preserve">07157</t>
  </si>
  <si>
    <t xml:space="preserve">07158</t>
  </si>
  <si>
    <t xml:space="preserve">Tabela 17 — Design (Aba 7)</t>
  </si>
  <si>
    <t xml:space="preserve">07161</t>
  </si>
  <si>
    <t xml:space="preserve">07162</t>
  </si>
  <si>
    <t xml:space="preserve">07163</t>
  </si>
  <si>
    <t xml:space="preserve">07164</t>
  </si>
  <si>
    <t xml:space="preserve">07165</t>
  </si>
  <si>
    <t xml:space="preserve">07166</t>
  </si>
  <si>
    <t xml:space="preserve">07167</t>
  </si>
  <si>
    <t xml:space="preserve">07168</t>
  </si>
  <si>
    <t xml:space="preserve">Tabela 18 — DevEx (Aba 7)</t>
  </si>
  <si>
    <t xml:space="preserve">07171</t>
  </si>
  <si>
    <t xml:space="preserve">07172</t>
  </si>
  <si>
    <t xml:space="preserve">07173</t>
  </si>
  <si>
    <t xml:space="preserve">07174</t>
  </si>
  <si>
    <t xml:space="preserve">07175</t>
  </si>
  <si>
    <t xml:space="preserve">07176</t>
  </si>
  <si>
    <t xml:space="preserve">07177</t>
  </si>
  <si>
    <t xml:space="preserve">07178</t>
  </si>
  <si>
    <t xml:space="preserve">Tabela 19 — Dados (Aba 7)</t>
  </si>
  <si>
    <t xml:space="preserve">07181</t>
  </si>
  <si>
    <t xml:space="preserve">07182</t>
  </si>
  <si>
    <t xml:space="preserve">07183</t>
  </si>
  <si>
    <t xml:space="preserve">07184</t>
  </si>
  <si>
    <t xml:space="preserve">07185</t>
  </si>
  <si>
    <t xml:space="preserve">07186</t>
  </si>
  <si>
    <t xml:space="preserve">07187</t>
  </si>
  <si>
    <t xml:space="preserve">07188</t>
  </si>
  <si>
    <t xml:space="preserve">Tabela 20 — Infra (Aba 7)</t>
  </si>
  <si>
    <t xml:space="preserve">07191</t>
  </si>
  <si>
    <t xml:space="preserve">07192</t>
  </si>
  <si>
    <t xml:space="preserve">07193</t>
  </si>
  <si>
    <t xml:space="preserve">07194</t>
  </si>
  <si>
    <t xml:space="preserve">07195</t>
  </si>
  <si>
    <t xml:space="preserve">07196</t>
  </si>
  <si>
    <t xml:space="preserve">07197</t>
  </si>
  <si>
    <t xml:space="preserve">07198</t>
  </si>
  <si>
    <t xml:space="preserve">Tabela 21 — Segurança (Aba 7)</t>
  </si>
  <si>
    <t xml:space="preserve">07201</t>
  </si>
  <si>
    <t xml:space="preserve">07202</t>
  </si>
  <si>
    <t xml:space="preserve">07203</t>
  </si>
  <si>
    <t xml:space="preserve">07204</t>
  </si>
  <si>
    <t xml:space="preserve">07205</t>
  </si>
  <si>
    <t xml:space="preserve">07206</t>
  </si>
  <si>
    <t xml:space="preserve">07207</t>
  </si>
  <si>
    <t xml:space="preserve">07208</t>
  </si>
  <si>
    <t xml:space="preserve">Tabela 22 — Engenharia (Aba 7)</t>
  </si>
  <si>
    <t xml:space="preserve">07211</t>
  </si>
  <si>
    <t xml:space="preserve">07212</t>
  </si>
  <si>
    <t xml:space="preserve">07213</t>
  </si>
  <si>
    <t xml:space="preserve">07214</t>
  </si>
  <si>
    <t xml:space="preserve">07215</t>
  </si>
  <si>
    <t xml:space="preserve">07216</t>
  </si>
  <si>
    <t xml:space="preserve">07217</t>
  </si>
  <si>
    <t xml:space="preserve">07218</t>
  </si>
  <si>
    <t xml:space="preserve">Tabela 23 — Produto (Aba 7)</t>
  </si>
  <si>
    <t xml:space="preserve">07221</t>
  </si>
  <si>
    <t xml:space="preserve">07222</t>
  </si>
  <si>
    <t xml:space="preserve">07223</t>
  </si>
  <si>
    <t xml:space="preserve">07224</t>
  </si>
  <si>
    <t xml:space="preserve">07225</t>
  </si>
  <si>
    <t xml:space="preserve">07226</t>
  </si>
  <si>
    <t xml:space="preserve">07227</t>
  </si>
  <si>
    <t xml:space="preserve">07228</t>
  </si>
  <si>
    <t xml:space="preserve">Tabela 24 — Design (Aba 7)</t>
  </si>
  <si>
    <t xml:space="preserve">07231</t>
  </si>
  <si>
    <t xml:space="preserve">07232</t>
  </si>
  <si>
    <t xml:space="preserve">07233</t>
  </si>
  <si>
    <t xml:space="preserve">07234</t>
  </si>
  <si>
    <t xml:space="preserve">07235</t>
  </si>
  <si>
    <t xml:space="preserve">07236</t>
  </si>
  <si>
    <t xml:space="preserve">07237</t>
  </si>
  <si>
    <t xml:space="preserve">07238</t>
  </si>
  <si>
    <t xml:space="preserve">Tabela 25 — DevEx (Aba 7)</t>
  </si>
  <si>
    <t xml:space="preserve">07241</t>
  </si>
  <si>
    <t xml:space="preserve">07242</t>
  </si>
  <si>
    <t xml:space="preserve">07243</t>
  </si>
  <si>
    <t xml:space="preserve">07244</t>
  </si>
  <si>
    <t xml:space="preserve">07245</t>
  </si>
  <si>
    <t xml:space="preserve">07246</t>
  </si>
  <si>
    <t xml:space="preserve">07247</t>
  </si>
  <si>
    <t xml:space="preserve">07248</t>
  </si>
  <si>
    <t xml:space="preserve">Tabela 26 — Dados (Aba 7)</t>
  </si>
  <si>
    <t xml:space="preserve">07251</t>
  </si>
  <si>
    <t xml:space="preserve">07252</t>
  </si>
  <si>
    <t xml:space="preserve">07253</t>
  </si>
  <si>
    <t xml:space="preserve">07254</t>
  </si>
  <si>
    <t xml:space="preserve">07255</t>
  </si>
  <si>
    <t xml:space="preserve">07256</t>
  </si>
  <si>
    <t xml:space="preserve">07257</t>
  </si>
  <si>
    <t xml:space="preserve">07258</t>
  </si>
  <si>
    <t xml:space="preserve">Tabela 27 — Infra (Aba 7)</t>
  </si>
  <si>
    <t xml:space="preserve">07261</t>
  </si>
  <si>
    <t xml:space="preserve">07262</t>
  </si>
  <si>
    <t xml:space="preserve">07263</t>
  </si>
  <si>
    <t xml:space="preserve">07264</t>
  </si>
  <si>
    <t xml:space="preserve">07265</t>
  </si>
  <si>
    <t xml:space="preserve">07266</t>
  </si>
  <si>
    <t xml:space="preserve">07267</t>
  </si>
  <si>
    <t xml:space="preserve">07268</t>
  </si>
  <si>
    <t xml:space="preserve">Tabela 28 — Segurança (Aba 7)</t>
  </si>
  <si>
    <t xml:space="preserve">07271</t>
  </si>
  <si>
    <t xml:space="preserve">07272</t>
  </si>
  <si>
    <t xml:space="preserve">07273</t>
  </si>
  <si>
    <t xml:space="preserve">07274</t>
  </si>
  <si>
    <t xml:space="preserve">07275</t>
  </si>
  <si>
    <t xml:space="preserve">07276</t>
  </si>
  <si>
    <t xml:space="preserve">07277</t>
  </si>
  <si>
    <t xml:space="preserve">07278</t>
  </si>
  <si>
    <t xml:space="preserve">Tabela 29 — Engenharia (Aba 7)</t>
  </si>
  <si>
    <t xml:space="preserve">07281</t>
  </si>
  <si>
    <t xml:space="preserve">07282</t>
  </si>
  <si>
    <t xml:space="preserve">07283</t>
  </si>
  <si>
    <t xml:space="preserve">07284</t>
  </si>
  <si>
    <t xml:space="preserve">07285</t>
  </si>
  <si>
    <t xml:space="preserve">07286</t>
  </si>
  <si>
    <t xml:space="preserve">07287</t>
  </si>
  <si>
    <t xml:space="preserve">07288</t>
  </si>
  <si>
    <t xml:space="preserve">Tabela 30 — Produto (Aba 7)</t>
  </si>
  <si>
    <t xml:space="preserve">07291</t>
  </si>
  <si>
    <t xml:space="preserve">07292</t>
  </si>
  <si>
    <t xml:space="preserve">07293</t>
  </si>
  <si>
    <t xml:space="preserve">07294</t>
  </si>
  <si>
    <t xml:space="preserve">07295</t>
  </si>
  <si>
    <t xml:space="preserve">07296</t>
  </si>
  <si>
    <t xml:space="preserve">07297</t>
  </si>
  <si>
    <t xml:space="preserve">07298</t>
  </si>
  <si>
    <t xml:space="preserve">Planilha — Aba 8 | Relatório de Equipe</t>
  </si>
  <si>
    <t xml:space="preserve">Tabela 1 — Engenharia (Aba 8)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</si>
  <si>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</si>
  <si>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</si>
  <si>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</si>
  <si>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</si>
  <si>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</si>
  <si>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</si>
  <si>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</si>
  <si>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</si>
  <si>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Tabela 2 — Produto (Aba 8)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</si>
  <si>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</si>
  <si>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</si>
  <si>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</si>
  <si>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</si>
  <si>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</si>
  <si>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</si>
  <si>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08017</t>
  </si>
  <si>
    <t xml:space="preserve">08018</t>
  </si>
  <si>
    <t xml:space="preserve">Tabela 3 — Design (Aba 8)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</si>
  <si>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</si>
  <si>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</si>
  <si>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</si>
  <si>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</si>
  <si>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</si>
  <si>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</si>
  <si>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</si>
  <si>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</si>
  <si>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Tabela 4 — DevEx (Aba 8)</t>
  </si>
  <si>
    <t xml:space="preserve">08031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</si>
  <si>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</si>
  <si>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</si>
  <si>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</si>
  <si>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</si>
  <si>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</si>
  <si>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</si>
  <si>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</si>
  <si>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Tabela 5 — Dados (Aba 8)</t>
  </si>
  <si>
    <t xml:space="preserve">08041</t>
  </si>
  <si>
    <t xml:space="preserve">08042</t>
  </si>
  <si>
    <t xml:space="preserve">08043</t>
  </si>
  <si>
    <t xml:space="preserve">08044</t>
  </si>
  <si>
    <t xml:space="preserve">08045</t>
  </si>
  <si>
    <t xml:space="preserve">08046</t>
  </si>
  <si>
    <t xml:space="preserve">08047</t>
  </si>
  <si>
    <t xml:space="preserve">08048</t>
  </si>
  <si>
    <t xml:space="preserve">Tabela 6 — Infra (Aba 8)</t>
  </si>
  <si>
    <t xml:space="preserve">08051</t>
  </si>
  <si>
    <t xml:space="preserve">08052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</si>
  <si>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</si>
  <si>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</si>
  <si>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</si>
  <si>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</si>
  <si>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</si>
  <si>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</si>
  <si>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Tabela 7 — Segurança (Aba 8)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</si>
  <si>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</si>
  <si>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</si>
  <si>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</si>
  <si>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</si>
  <si>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</si>
  <si>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</si>
  <si>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</si>
  <si>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</si>
  <si>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Tabela 8 — Engenharia (Aba 8)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</si>
  <si>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</si>
  <si>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</si>
  <si>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</si>
  <si>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</si>
  <si>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</si>
  <si>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</si>
  <si>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</si>
  <si>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</si>
  <si>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Tabela 9 — Produto (Aba 8)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</si>
  <si>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</si>
  <si>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</si>
  <si>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</si>
  <si>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</si>
  <si>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</si>
  <si>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</si>
  <si>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</si>
  <si>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</si>
  <si>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Tabela 10 — Design (Aba 8)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</si>
  <si>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</si>
  <si>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</si>
  <si>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</si>
  <si>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</si>
  <si>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</si>
  <si>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</si>
  <si>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</si>
  <si>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</si>
  <si>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Tabela 11 — DevEx (Aba 8)</t>
  </si>
  <si>
    <t xml:space="preserve">08101</t>
  </si>
  <si>
    <t xml:space="preserve">08102</t>
  </si>
  <si>
    <t xml:space="preserve">08103</t>
  </si>
  <si>
    <t xml:space="preserve">08104</t>
  </si>
  <si>
    <t xml:space="preserve">08105</t>
  </si>
  <si>
    <t xml:space="preserve">08106</t>
  </si>
  <si>
    <t xml:space="preserve">08107</t>
  </si>
  <si>
    <t xml:space="preserve">08108</t>
  </si>
  <si>
    <t xml:space="preserve">Tabela 12 — Dados (Aba 8)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</si>
  <si>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</si>
  <si>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</si>
  <si>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</si>
  <si>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</si>
  <si>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</si>
  <si>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</si>
  <si>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</si>
  <si>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</si>
  <si>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Tabela 13 — Infra (Aba 8)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</si>
  <si>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</si>
  <si>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</si>
  <si>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</si>
  <si>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</si>
  <si>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</si>
  <si>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</si>
  <si>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</si>
  <si>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</si>
  <si>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Tabela 14 — Segurança (Aba 8)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</si>
  <si>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</si>
  <si>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</si>
  <si>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</si>
  <si>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</si>
  <si>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</si>
  <si>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</si>
  <si>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</si>
  <si>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</si>
  <si>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Tabela 15 — Engenharia (Aba 8)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</si>
  <si>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</si>
  <si>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</si>
  <si>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</si>
  <si>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</si>
  <si>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</si>
  <si>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</si>
  <si>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</si>
  <si>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</si>
  <si>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Tabela 16 — Produto (Aba 8)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</si>
  <si>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</si>
  <si>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</si>
  <si>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</si>
  <si>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</si>
  <si>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</si>
  <si>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</si>
  <si>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</si>
  <si>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</si>
  <si>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Tabela 17 — Design (Aba 8)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</si>
  <si>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</si>
  <si>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</si>
  <si>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</si>
  <si>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</si>
  <si>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</si>
  <si>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</si>
  <si>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</si>
  <si>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</si>
  <si>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Tabela 18 — DevEx (Aba 8)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</si>
  <si>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</si>
  <si>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</si>
  <si>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</si>
  <si>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</si>
  <si>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</si>
  <si>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</si>
  <si>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</si>
  <si>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</si>
  <si>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Tabela 19 — Dados (Aba 8)</t>
  </si>
  <si>
    <t xml:space="preserve">08181</t>
  </si>
  <si>
    <t xml:space="preserve">08182</t>
  </si>
  <si>
    <t xml:space="preserve">08183</t>
  </si>
  <si>
    <t xml:space="preserve">08184</t>
  </si>
  <si>
    <t xml:space="preserve">08185</t>
  </si>
  <si>
    <t xml:space="preserve">08186</t>
  </si>
  <si>
    <t xml:space="preserve">08187</t>
  </si>
  <si>
    <t xml:space="preserve">08188</t>
  </si>
  <si>
    <t xml:space="preserve">Tabela 20 — Infra (Aba 8)</t>
  </si>
  <si>
    <t xml:space="preserve">08191</t>
  </si>
  <si>
    <t xml:space="preserve">08192</t>
  </si>
  <si>
    <t xml:space="preserve">08193</t>
  </si>
  <si>
    <t xml:space="preserve">08194</t>
  </si>
  <si>
    <t xml:space="preserve">08195</t>
  </si>
  <si>
    <t xml:space="preserve">08196</t>
  </si>
  <si>
    <t xml:space="preserve">08197</t>
  </si>
  <si>
    <t xml:space="preserve">08198</t>
  </si>
  <si>
    <t xml:space="preserve">Tabela 21 — Segurança (Aba 8)</t>
  </si>
  <si>
    <t xml:space="preserve">08201</t>
  </si>
  <si>
    <t xml:space="preserve">08202</t>
  </si>
  <si>
    <t xml:space="preserve">08203</t>
  </si>
  <si>
    <t xml:space="preserve">08204</t>
  </si>
  <si>
    <t xml:space="preserve">08205</t>
  </si>
  <si>
    <t xml:space="preserve">08206</t>
  </si>
  <si>
    <t xml:space="preserve">08207</t>
  </si>
  <si>
    <t xml:space="preserve">08208</t>
  </si>
  <si>
    <t xml:space="preserve">Tabela 22 — Engenharia (Aba 8)</t>
  </si>
  <si>
    <t xml:space="preserve">08211</t>
  </si>
  <si>
    <t xml:space="preserve">08212</t>
  </si>
  <si>
    <t xml:space="preserve">08213</t>
  </si>
  <si>
    <t xml:space="preserve">08214</t>
  </si>
  <si>
    <t xml:space="preserve">08215</t>
  </si>
  <si>
    <t xml:space="preserve">08216</t>
  </si>
  <si>
    <t xml:space="preserve">08217</t>
  </si>
  <si>
    <t xml:space="preserve">08218</t>
  </si>
  <si>
    <t xml:space="preserve">Tabela 23 — Produto (Aba 8)</t>
  </si>
  <si>
    <t xml:space="preserve">08221</t>
  </si>
  <si>
    <t xml:space="preserve">08222</t>
  </si>
  <si>
    <t xml:space="preserve">08223</t>
  </si>
  <si>
    <t xml:space="preserve">08224</t>
  </si>
  <si>
    <t xml:space="preserve">08225</t>
  </si>
  <si>
    <t xml:space="preserve">08226</t>
  </si>
  <si>
    <t xml:space="preserve">08227</t>
  </si>
  <si>
    <t xml:space="preserve">08228</t>
  </si>
  <si>
    <t xml:space="preserve">Tabela 24 — Design (Aba 8)</t>
  </si>
  <si>
    <t xml:space="preserve">08231</t>
  </si>
  <si>
    <t xml:space="preserve">08232</t>
  </si>
  <si>
    <t xml:space="preserve">08233</t>
  </si>
  <si>
    <t xml:space="preserve">08234</t>
  </si>
  <si>
    <t xml:space="preserve">08235</t>
  </si>
  <si>
    <t xml:space="preserve">08236</t>
  </si>
  <si>
    <t xml:space="preserve">08237</t>
  </si>
  <si>
    <t xml:space="preserve">08238</t>
  </si>
  <si>
    <t xml:space="preserve">Tabela 25 — DevEx (Aba 8)</t>
  </si>
  <si>
    <t xml:space="preserve">08241</t>
  </si>
  <si>
    <t xml:space="preserve">08242</t>
  </si>
  <si>
    <t xml:space="preserve">08243</t>
  </si>
  <si>
    <t xml:space="preserve">08244</t>
  </si>
  <si>
    <t xml:space="preserve">08245</t>
  </si>
  <si>
    <t xml:space="preserve">08246</t>
  </si>
  <si>
    <t xml:space="preserve">08247</t>
  </si>
  <si>
    <t xml:space="preserve">08248</t>
  </si>
  <si>
    <t xml:space="preserve">Tabela 26 — Dados (Aba 8)</t>
  </si>
  <si>
    <t xml:space="preserve">08251</t>
  </si>
  <si>
    <t xml:space="preserve">08252</t>
  </si>
  <si>
    <t xml:space="preserve">08253</t>
  </si>
  <si>
    <t xml:space="preserve">08254</t>
  </si>
  <si>
    <t xml:space="preserve">08255</t>
  </si>
  <si>
    <t xml:space="preserve">08256</t>
  </si>
  <si>
    <t xml:space="preserve">08257</t>
  </si>
  <si>
    <t xml:space="preserve">08258</t>
  </si>
  <si>
    <t xml:space="preserve">Tabela 27 — Infra (Aba 8)</t>
  </si>
  <si>
    <t xml:space="preserve">08261</t>
  </si>
  <si>
    <t xml:space="preserve">08262</t>
  </si>
  <si>
    <t xml:space="preserve">08263</t>
  </si>
  <si>
    <t xml:space="preserve">08264</t>
  </si>
  <si>
    <t xml:space="preserve">08265</t>
  </si>
  <si>
    <t xml:space="preserve">08266</t>
  </si>
  <si>
    <t xml:space="preserve">08267</t>
  </si>
  <si>
    <t xml:space="preserve">08268</t>
  </si>
  <si>
    <t xml:space="preserve">Tabela 28 — Segurança (Aba 8)</t>
  </si>
  <si>
    <t xml:space="preserve">08271</t>
  </si>
  <si>
    <t xml:space="preserve">08272</t>
  </si>
  <si>
    <t xml:space="preserve">08273</t>
  </si>
  <si>
    <t xml:space="preserve">08274</t>
  </si>
  <si>
    <t xml:space="preserve">08275</t>
  </si>
  <si>
    <t xml:space="preserve">08276</t>
  </si>
  <si>
    <t xml:space="preserve">08277</t>
  </si>
  <si>
    <t xml:space="preserve">08278</t>
  </si>
  <si>
    <t xml:space="preserve">Tabela 29 — Engenharia (Aba 8)</t>
  </si>
  <si>
    <t xml:space="preserve">08281</t>
  </si>
  <si>
    <t xml:space="preserve">08282</t>
  </si>
  <si>
    <t xml:space="preserve">08283</t>
  </si>
  <si>
    <t xml:space="preserve">08284</t>
  </si>
  <si>
    <t xml:space="preserve">08285</t>
  </si>
  <si>
    <t xml:space="preserve">08286</t>
  </si>
  <si>
    <t xml:space="preserve">08287</t>
  </si>
  <si>
    <t xml:space="preserve">08288</t>
  </si>
  <si>
    <t xml:space="preserve">Tabela 30 — Produto (Aba 8)</t>
  </si>
  <si>
    <t xml:space="preserve">08291</t>
  </si>
  <si>
    <t xml:space="preserve">08292</t>
  </si>
  <si>
    <t xml:space="preserve">08293</t>
  </si>
  <si>
    <t xml:space="preserve">08294</t>
  </si>
  <si>
    <t xml:space="preserve">08295</t>
  </si>
  <si>
    <t xml:space="preserve">08296</t>
  </si>
  <si>
    <t xml:space="preserve">08297</t>
  </si>
  <si>
    <t xml:space="preserve">08298</t>
  </si>
  <si>
    <t xml:space="preserve">Planilha — Aba 9 | Relatório de Equipe</t>
  </si>
  <si>
    <t xml:space="preserve">Tabela 1 — Engenharia (Aba 9)</t>
  </si>
  <si>
    <t xml:space="preserve">09001</t>
  </si>
  <si>
    <t xml:space="preserve">09002</t>
  </si>
  <si>
    <t xml:space="preserve">09003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</si>
  <si>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</si>
  <si>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</si>
  <si>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</si>
  <si>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</si>
  <si>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</si>
  <si>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Tabela 2 — Produto (Aba 9)</t>
  </si>
  <si>
    <t xml:space="preserve">09011</t>
  </si>
  <si>
    <t xml:space="preserve">09012</t>
  </si>
  <si>
    <t xml:space="preserve">09013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</si>
  <si>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</si>
  <si>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</si>
  <si>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</si>
  <si>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</si>
  <si>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</si>
  <si>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Tabela 3 — Design (Aba 9)</t>
  </si>
  <si>
    <t xml:space="preserve">09021</t>
  </si>
  <si>
    <t xml:space="preserve">09022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</si>
  <si>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</si>
  <si>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</si>
  <si>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</si>
  <si>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</si>
  <si>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</si>
  <si>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09028</t>
  </si>
  <si>
    <t xml:space="preserve">Tabela 4 — DevEx (Aba 9)</t>
  </si>
  <si>
    <t xml:space="preserve">09031</t>
  </si>
  <si>
    <t xml:space="preserve">09032</t>
  </si>
  <si>
    <t xml:space="preserve">09033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</si>
  <si>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</si>
  <si>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</si>
  <si>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</si>
  <si>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</si>
  <si>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</si>
  <si>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Tabela 5 — Dados (Aba 9)</t>
  </si>
  <si>
    <t xml:space="preserve">09041</t>
  </si>
  <si>
    <t xml:space="preserve">09042</t>
  </si>
  <si>
    <t xml:space="preserve">09043</t>
  </si>
  <si>
    <t xml:space="preserve">09044</t>
  </si>
  <si>
    <t xml:space="preserve">09045</t>
  </si>
  <si>
    <t xml:space="preserve">09046</t>
  </si>
  <si>
    <t xml:space="preserve">09047</t>
  </si>
  <si>
    <t xml:space="preserve">09048</t>
  </si>
  <si>
    <t xml:space="preserve">Tabela 6 — Infra (Aba 9)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</si>
  <si>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</si>
  <si>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</si>
  <si>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</si>
  <si>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</si>
  <si>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</si>
  <si>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09056</t>
  </si>
  <si>
    <t xml:space="preserve">09057</t>
  </si>
  <si>
    <t xml:space="preserve">09058</t>
  </si>
  <si>
    <t xml:space="preserve">Tabela 7 — Segurança (Aba 9)</t>
  </si>
  <si>
    <t xml:space="preserve">09061</t>
  </si>
  <si>
    <t xml:space="preserve">09062</t>
  </si>
  <si>
    <t xml:space="preserve">09063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</si>
  <si>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</si>
  <si>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</si>
  <si>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</si>
  <si>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</si>
  <si>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</si>
  <si>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Tabela 8 — Engenharia (Aba 9)</t>
  </si>
  <si>
    <t xml:space="preserve">09071</t>
  </si>
  <si>
    <t xml:space="preserve">09072</t>
  </si>
  <si>
    <t xml:space="preserve">09073</t>
  </si>
  <si>
    <t xml:space="preserve">09074</t>
  </si>
  <si>
    <t xml:space="preserve">09075</t>
  </si>
  <si>
    <t xml:space="preserve">09076</t>
  </si>
  <si>
    <t xml:space="preserve">09077</t>
  </si>
  <si>
    <t xml:space="preserve">09078</t>
  </si>
  <si>
    <t xml:space="preserve">Tabela 9 — Produto (Aba 9)</t>
  </si>
  <si>
    <t xml:space="preserve">09081</t>
  </si>
  <si>
    <t xml:space="preserve">09082</t>
  </si>
  <si>
    <t xml:space="preserve">09083</t>
  </si>
  <si>
    <t xml:space="preserve">09084</t>
  </si>
  <si>
    <t xml:space="preserve">09085</t>
  </si>
  <si>
    <t xml:space="preserve">09086</t>
  </si>
  <si>
    <t xml:space="preserve">09087</t>
  </si>
  <si>
    <t xml:space="preserve">09088</t>
  </si>
  <si>
    <t xml:space="preserve">Tabela 10 — Design (Aba 9)</t>
  </si>
  <si>
    <t xml:space="preserve">09091</t>
  </si>
  <si>
    <t xml:space="preserve">09092</t>
  </si>
  <si>
    <t xml:space="preserve">09093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</si>
  <si>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</si>
  <si>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</si>
  <si>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</si>
  <si>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</si>
  <si>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</si>
  <si>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Tabela 11 — DevEx (Aba 9)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</si>
  <si>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</si>
  <si>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</si>
  <si>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</si>
  <si>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</si>
  <si>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</si>
  <si>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09106</t>
  </si>
  <si>
    <t xml:space="preserve">09107</t>
  </si>
  <si>
    <t xml:space="preserve">09108</t>
  </si>
  <si>
    <t xml:space="preserve">Tabela 12 — Dados (Aba 9)</t>
  </si>
  <si>
    <t xml:space="preserve">09111</t>
  </si>
  <si>
    <t xml:space="preserve">09112</t>
  </si>
  <si>
    <t xml:space="preserve">09113</t>
  </si>
  <si>
    <t xml:space="preserve">09114</t>
  </si>
  <si>
    <t xml:space="preserve">09115</t>
  </si>
  <si>
    <t xml:space="preserve">09116</t>
  </si>
  <si>
    <t xml:space="preserve">09117</t>
  </si>
  <si>
    <t xml:space="preserve">09118</t>
  </si>
  <si>
    <t xml:space="preserve">Tabela 13 — Infra (Aba 9)</t>
  </si>
  <si>
    <t xml:space="preserve">09121</t>
  </si>
  <si>
    <t xml:space="preserve">09122</t>
  </si>
  <si>
    <t xml:space="preserve">09123</t>
  </si>
  <si>
    <t xml:space="preserve">09124</t>
  </si>
  <si>
    <t xml:space="preserve">09125</t>
  </si>
  <si>
    <t xml:space="preserve">09126</t>
  </si>
  <si>
    <t xml:space="preserve">09127</t>
  </si>
  <si>
    <t xml:space="preserve">09128</t>
  </si>
  <si>
    <t xml:space="preserve">Tabela 14 — Segurança (Aba 9)</t>
  </si>
  <si>
    <t xml:space="preserve">09131</t>
  </si>
  <si>
    <t xml:space="preserve">09132</t>
  </si>
  <si>
    <t xml:space="preserve">09133</t>
  </si>
  <si>
    <t xml:space="preserve">09134</t>
  </si>
  <si>
    <t xml:space="preserve">09135</t>
  </si>
  <si>
    <t xml:space="preserve">09136</t>
  </si>
  <si>
    <t xml:space="preserve">09137</t>
  </si>
  <si>
    <t xml:space="preserve">09138</t>
  </si>
  <si>
    <t xml:space="preserve">Tabela 15 — Engenharia (Aba 9)</t>
  </si>
  <si>
    <t xml:space="preserve">09141</t>
  </si>
  <si>
    <t xml:space="preserve">09142</t>
  </si>
  <si>
    <t xml:space="preserve">09143</t>
  </si>
  <si>
    <t xml:space="preserve">09144</t>
  </si>
  <si>
    <t xml:space="preserve">09145</t>
  </si>
  <si>
    <t xml:space="preserve">09146</t>
  </si>
  <si>
    <t xml:space="preserve">09147</t>
  </si>
  <si>
    <t xml:space="preserve">09148</t>
  </si>
  <si>
    <t xml:space="preserve">Tabela 16 — Produto (Aba 9)</t>
  </si>
  <si>
    <t xml:space="preserve">09151</t>
  </si>
  <si>
    <t xml:space="preserve">09152</t>
  </si>
  <si>
    <t xml:space="preserve">09153</t>
  </si>
  <si>
    <t xml:space="preserve">09154</t>
  </si>
  <si>
    <t xml:space="preserve">09155</t>
  </si>
  <si>
    <t xml:space="preserve">09156</t>
  </si>
  <si>
    <t xml:space="preserve">09157</t>
  </si>
  <si>
    <t xml:space="preserve">09158</t>
  </si>
  <si>
    <t xml:space="preserve">Tabela 17 — Design (Aba 9)</t>
  </si>
  <si>
    <t xml:space="preserve">09161</t>
  </si>
  <si>
    <t xml:space="preserve">09162</t>
  </si>
  <si>
    <t xml:space="preserve">09163</t>
  </si>
  <si>
    <t xml:space="preserve">09164</t>
  </si>
  <si>
    <t xml:space="preserve">09165</t>
  </si>
  <si>
    <t xml:space="preserve">09166</t>
  </si>
  <si>
    <t xml:space="preserve">09167</t>
  </si>
  <si>
    <t xml:space="preserve">09168</t>
  </si>
  <si>
    <t xml:space="preserve">Tabela 18 — DevEx (Aba 9)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</si>
  <si>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</si>
  <si>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</si>
  <si>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</si>
  <si>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</si>
  <si>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</si>
  <si>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</si>
  <si>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</si>
  <si>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</si>
  <si>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Tabela 19 — Dados (Aba 9)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</si>
  <si>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</si>
  <si>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</si>
  <si>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</si>
  <si>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</si>
  <si>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</si>
  <si>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</si>
  <si>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</si>
  <si>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</si>
  <si>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Tabela 20 — Infra (Aba 9)</t>
  </si>
  <si>
    <t xml:space="preserve">09191</t>
  </si>
  <si>
    <t xml:space="preserve">09192</t>
  </si>
  <si>
    <t xml:space="preserve">09193</t>
  </si>
  <si>
    <t xml:space="preserve">09194</t>
  </si>
  <si>
    <t xml:space="preserve">09195</t>
  </si>
  <si>
    <t xml:space="preserve">09196</t>
  </si>
  <si>
    <t xml:space="preserve">09197</t>
  </si>
  <si>
    <t xml:space="preserve">09198</t>
  </si>
  <si>
    <t xml:space="preserve">Tabela 21 — Segurança (Aba 9)</t>
  </si>
  <si>
    <t xml:space="preserve">09201</t>
  </si>
  <si>
    <t xml:space="preserve">09202</t>
  </si>
  <si>
    <t xml:space="preserve">09203</t>
  </si>
  <si>
    <t xml:space="preserve">09204</t>
  </si>
  <si>
    <t xml:space="preserve">09205</t>
  </si>
  <si>
    <t xml:space="preserve">09206</t>
  </si>
  <si>
    <t xml:space="preserve">09207</t>
  </si>
  <si>
    <t xml:space="preserve">09208</t>
  </si>
  <si>
    <t xml:space="preserve">Tabela 22 — Engenharia (Aba 9)</t>
  </si>
  <si>
    <t xml:space="preserve">09211</t>
  </si>
  <si>
    <t xml:space="preserve">09212</t>
  </si>
  <si>
    <t xml:space="preserve">09213</t>
  </si>
  <si>
    <t xml:space="preserve">09214</t>
  </si>
  <si>
    <t xml:space="preserve">09215</t>
  </si>
  <si>
    <t xml:space="preserve">09216</t>
  </si>
  <si>
    <t xml:space="preserve">09217</t>
  </si>
  <si>
    <t xml:space="preserve">09218</t>
  </si>
  <si>
    <t xml:space="preserve">Tabela 23 — Produto (Aba 9)</t>
  </si>
  <si>
    <t xml:space="preserve">09221</t>
  </si>
  <si>
    <t xml:space="preserve">09222</t>
  </si>
  <si>
    <t xml:space="preserve">09223</t>
  </si>
  <si>
    <t xml:space="preserve">09224</t>
  </si>
  <si>
    <t xml:space="preserve">09225</t>
  </si>
  <si>
    <t xml:space="preserve">09226</t>
  </si>
  <si>
    <t xml:space="preserve">09227</t>
  </si>
  <si>
    <t xml:space="preserve">09228</t>
  </si>
  <si>
    <t xml:space="preserve">Tabela 24 — Design (Aba 9)</t>
  </si>
  <si>
    <t xml:space="preserve">09231</t>
  </si>
  <si>
    <t xml:space="preserve">09232</t>
  </si>
  <si>
    <t xml:space="preserve">09233</t>
  </si>
  <si>
    <t xml:space="preserve">09234</t>
  </si>
  <si>
    <t xml:space="preserve">09235</t>
  </si>
  <si>
    <t xml:space="preserve">09236</t>
  </si>
  <si>
    <t xml:space="preserve">09237</t>
  </si>
  <si>
    <t xml:space="preserve">09238</t>
  </si>
  <si>
    <t xml:space="preserve">Tabela 25 — DevEx (Aba 9)</t>
  </si>
  <si>
    <t xml:space="preserve">09241</t>
  </si>
  <si>
    <t xml:space="preserve">09242</t>
  </si>
  <si>
    <t xml:space="preserve">09243</t>
  </si>
  <si>
    <t xml:space="preserve">09244</t>
  </si>
  <si>
    <t xml:space="preserve">09245</t>
  </si>
  <si>
    <t xml:space="preserve">09246</t>
  </si>
  <si>
    <t xml:space="preserve">09247</t>
  </si>
  <si>
    <t xml:space="preserve">09248</t>
  </si>
  <si>
    <t xml:space="preserve">Tabela 26 — Dados (Aba 9)</t>
  </si>
  <si>
    <t xml:space="preserve">09251</t>
  </si>
  <si>
    <t xml:space="preserve">09252</t>
  </si>
  <si>
    <t xml:space="preserve">09253</t>
  </si>
  <si>
    <t xml:space="preserve">09254</t>
  </si>
  <si>
    <t xml:space="preserve">09255</t>
  </si>
  <si>
    <t xml:space="preserve">09256</t>
  </si>
  <si>
    <t xml:space="preserve">09257</t>
  </si>
  <si>
    <t xml:space="preserve">09258</t>
  </si>
  <si>
    <t xml:space="preserve">Tabela 27 — Infra (Aba 9)</t>
  </si>
  <si>
    <t xml:space="preserve">09261</t>
  </si>
  <si>
    <t xml:space="preserve">09262</t>
  </si>
  <si>
    <t xml:space="preserve">09263</t>
  </si>
  <si>
    <t xml:space="preserve">09264</t>
  </si>
  <si>
    <t xml:space="preserve">09265</t>
  </si>
  <si>
    <t xml:space="preserve">09266</t>
  </si>
  <si>
    <t xml:space="preserve">09267</t>
  </si>
  <si>
    <t xml:space="preserve">09268</t>
  </si>
  <si>
    <t xml:space="preserve">Tabela 28 — Segurança (Aba 9)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</si>
  <si>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</si>
  <si>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</si>
  <si>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</si>
  <si>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</si>
  <si>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</si>
  <si>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</si>
  <si>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</si>
  <si>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</si>
  <si>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Tabela 29 — Engenharia (Aba 9)</t>
  </si>
  <si>
    <t xml:space="preserve">09281</t>
  </si>
  <si>
    <t xml:space="preserve">09282</t>
  </si>
  <si>
    <t xml:space="preserve">09283</t>
  </si>
  <si>
    <t xml:space="preserve">09284</t>
  </si>
  <si>
    <t xml:space="preserve">09285</t>
  </si>
  <si>
    <t xml:space="preserve">09286</t>
  </si>
  <si>
    <t xml:space="preserve">09287</t>
  </si>
  <si>
    <t xml:space="preserve">09288</t>
  </si>
  <si>
    <t xml:space="preserve">Tabela 30 — Produto (Aba 9)</t>
  </si>
  <si>
    <t xml:space="preserve">09291</t>
  </si>
  <si>
    <t xml:space="preserve">09292</t>
  </si>
  <si>
    <t xml:space="preserve">09293</t>
  </si>
  <si>
    <t xml:space="preserve">09294</t>
  </si>
  <si>
    <t xml:space="preserve">09295</t>
  </si>
  <si>
    <t xml:space="preserve">09296</t>
  </si>
  <si>
    <t xml:space="preserve">09297</t>
  </si>
  <si>
    <t xml:space="preserve">09298</t>
  </si>
  <si>
    <t xml:space="preserve">Planilha — Aba 10 | Relatório de Equipe</t>
  </si>
  <si>
    <t xml:space="preserve">Tabela 1 — Engenharia (Aba 10)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</si>
  <si>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</si>
  <si>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</si>
  <si>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</si>
  <si>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</si>
  <si>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</si>
  <si>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</si>
  <si>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</si>
  <si>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</si>
  <si>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Tabela 2 — Produto (Aba 10)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</si>
  <si>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</si>
  <si>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</si>
  <si>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</si>
  <si>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</si>
  <si>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</si>
  <si>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</si>
  <si>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</si>
  <si>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</si>
  <si>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Tabela 3 — Design (Aba 10)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</si>
  <si>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</si>
  <si>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</si>
  <si>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</si>
  <si>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</si>
  <si>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</si>
  <si>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</si>
  <si>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</si>
  <si>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</si>
  <si>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Tabela 4 — DevEx (Aba 10)</t>
  </si>
  <si>
    <t xml:space="preserve">10031</t>
  </si>
  <si>
    <t xml:space="preserve">10032</t>
  </si>
  <si>
    <t xml:space="preserve">10033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</si>
  <si>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</si>
  <si>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</si>
  <si>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</si>
  <si>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</si>
  <si>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</si>
  <si>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Tabela 5 — Dados (Aba 10)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</si>
  <si>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</si>
  <si>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</si>
  <si>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</si>
  <si>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</si>
  <si>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</si>
  <si>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</si>
  <si>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</si>
  <si>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10048</t>
  </si>
  <si>
    <t xml:space="preserve">Tabela 6 — Infra (Aba 10)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</si>
  <si>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</si>
  <si>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</si>
  <si>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</si>
  <si>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</si>
  <si>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</si>
  <si>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</si>
  <si>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</si>
  <si>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10058</t>
  </si>
  <si>
    <t xml:space="preserve">Tabela 7 — Segurança (Aba 10)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</si>
  <si>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</si>
  <si>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</si>
  <si>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</si>
  <si>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</si>
  <si>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</si>
  <si>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10066</t>
  </si>
  <si>
    <t xml:space="preserve">10067</t>
  </si>
  <si>
    <t xml:space="preserve">10068</t>
  </si>
  <si>
    <t xml:space="preserve">Tabela 8 — Engenharia (Aba 10)</t>
  </si>
  <si>
    <t xml:space="preserve">10071</t>
  </si>
  <si>
    <t xml:space="preserve">10072</t>
  </si>
  <si>
    <t xml:space="preserve">10073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</si>
  <si>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</si>
  <si>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</si>
  <si>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</si>
  <si>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</si>
  <si>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</si>
  <si>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Tabela 9 — Produto (Aba 10)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</si>
  <si>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</si>
  <si>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</si>
  <si>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</si>
  <si>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</si>
  <si>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</si>
  <si>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10086</t>
  </si>
  <si>
    <t xml:space="preserve">10087</t>
  </si>
  <si>
    <t xml:space="preserve">10088</t>
  </si>
  <si>
    <t xml:space="preserve">Tabela 10 — Design (Aba 10)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</si>
  <si>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</si>
  <si>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</si>
  <si>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</si>
  <si>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</si>
  <si>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</si>
  <si>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</si>
  <si>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</si>
  <si>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</si>
  <si>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Tabela 11 — DevEx (Aba 10)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</si>
  <si>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</si>
  <si>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</si>
  <si>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</si>
  <si>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</si>
  <si>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</si>
  <si>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10106</t>
  </si>
  <si>
    <t xml:space="preserve">10107</t>
  </si>
  <si>
    <t xml:space="preserve">10108</t>
  </si>
  <si>
    <t xml:space="preserve">Tabela 12 — Dados (Aba 10)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</si>
  <si>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</si>
  <si>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</si>
  <si>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</si>
  <si>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</si>
  <si>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</si>
  <si>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</si>
  <si>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</si>
  <si>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</si>
  <si>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Tabela 13 — Infra (Aba 10)</t>
  </si>
  <si>
    <t xml:space="preserve">10121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</si>
  <si>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</si>
  <si>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</si>
  <si>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</si>
  <si>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</si>
  <si>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</si>
  <si>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</si>
  <si>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</si>
  <si>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Tabela 14 — Segurança (Aba 10)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</si>
  <si>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</si>
  <si>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</si>
  <si>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</si>
  <si>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</si>
  <si>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</si>
  <si>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</si>
  <si>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</si>
  <si>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</si>
  <si>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Tabela 15 — Engenharia (Aba 10)</t>
  </si>
  <si>
    <t xml:space="preserve">10141</t>
  </si>
  <si>
    <t xml:space="preserve">10142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</si>
  <si>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</si>
  <si>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</si>
  <si>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</si>
  <si>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</si>
  <si>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</si>
  <si>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</si>
  <si>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Tabela 16 — Produto (Aba 10)</t>
  </si>
  <si>
    <t xml:space="preserve">10151</t>
  </si>
  <si>
    <t xml:space="preserve">10152</t>
  </si>
  <si>
    <t xml:space="preserve">10153</t>
  </si>
  <si>
    <t xml:space="preserve">10154</t>
  </si>
  <si>
    <t xml:space="preserve">10155</t>
  </si>
  <si>
    <t xml:space="preserve">10156</t>
  </si>
  <si>
    <t xml:space="preserve">10157</t>
  </si>
  <si>
    <t xml:space="preserve">10158</t>
  </si>
  <si>
    <t xml:space="preserve">Tabela 17 — Design (Aba 10)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</si>
  <si>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</si>
  <si>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</si>
  <si>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</si>
  <si>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</si>
  <si>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</si>
  <si>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10166</t>
  </si>
  <si>
    <t xml:space="preserve">10167</t>
  </si>
  <si>
    <t xml:space="preserve">10168</t>
  </si>
  <si>
    <t xml:space="preserve">Tabela 18 — DevEx (Aba 10)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</si>
  <si>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</si>
  <si>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</si>
  <si>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</si>
  <si>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</si>
  <si>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</si>
  <si>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</si>
  <si>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</si>
  <si>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</si>
  <si>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Tabela 19 — Dados (Aba 10)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</si>
  <si>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</si>
  <si>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</si>
  <si>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</si>
  <si>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</si>
  <si>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</si>
  <si>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</si>
  <si>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</si>
  <si>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</si>
  <si>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Tabela 20 — Infra (Aba 10)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</si>
  <si>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</si>
  <si>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</si>
  <si>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</si>
  <si>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</si>
  <si>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</si>
  <si>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</si>
  <si>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</si>
  <si>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</si>
  <si>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Tabela 21 — Segurança (Aba 10)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</si>
  <si>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</si>
  <si>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</si>
  <si>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</si>
  <si>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</si>
  <si>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</si>
  <si>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</si>
  <si>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</si>
  <si>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</si>
  <si>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Tabela 22 — Engenharia (Aba 10)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</si>
  <si>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</si>
  <si>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</si>
  <si>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</si>
  <si>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</si>
  <si>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</si>
  <si>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</si>
  <si>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</si>
  <si>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</si>
  <si>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Tabela 23 — Produto (Aba 10)</t>
  </si>
  <si>
    <t xml:space="preserve">10221</t>
  </si>
  <si>
    <t xml:space="preserve">10222</t>
  </si>
  <si>
    <t xml:space="preserve">10223</t>
  </si>
  <si>
    <t xml:space="preserve">10224</t>
  </si>
  <si>
    <t xml:space="preserve">10225</t>
  </si>
  <si>
    <t xml:space="preserve">10226</t>
  </si>
  <si>
    <t xml:space="preserve">10227</t>
  </si>
  <si>
    <t xml:space="preserve">10228</t>
  </si>
  <si>
    <t xml:space="preserve">Tabela 24 — Design (Aba 10)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</si>
  <si>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</si>
  <si>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</si>
  <si>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</si>
  <si>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</si>
  <si>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</si>
  <si>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</si>
  <si>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</si>
  <si>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</si>
  <si>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Tabela 25 — DevEx (Aba 10)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</si>
  <si>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</si>
  <si>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</si>
  <si>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</si>
  <si>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</si>
  <si>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</si>
  <si>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</si>
  <si>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10247</t>
  </si>
  <si>
    <t xml:space="preserve">10248</t>
  </si>
  <si>
    <t xml:space="preserve">Tabela 26 — Dados (Aba 10)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</si>
  <si>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</si>
  <si>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</si>
  <si>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</si>
  <si>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</si>
  <si>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</si>
  <si>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</si>
  <si>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</si>
  <si>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</si>
  <si>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Tabela 27 — Infra (Aba 10)</t>
  </si>
  <si>
    <t xml:space="preserve">10261</t>
  </si>
  <si>
    <t xml:space="preserve">10262</t>
  </si>
  <si>
    <t xml:space="preserve">10263</t>
  </si>
  <si>
    <t xml:space="preserve">10264</t>
  </si>
  <si>
    <t xml:space="preserve">10265</t>
  </si>
  <si>
    <t xml:space="preserve">10266</t>
  </si>
  <si>
    <t xml:space="preserve">10267</t>
  </si>
  <si>
    <t xml:space="preserve">10268</t>
  </si>
  <si>
    <t xml:space="preserve">Tabela 28 — Segurança (Aba 10)</t>
  </si>
  <si>
    <t xml:space="preserve">10271</t>
  </si>
  <si>
    <t xml:space="preserve">10272</t>
  </si>
  <si>
    <t xml:space="preserve">10273</t>
  </si>
  <si>
    <t xml:space="preserve">10274</t>
  </si>
  <si>
    <t xml:space="preserve">10275</t>
  </si>
  <si>
    <t xml:space="preserve">10276</t>
  </si>
  <si>
    <t xml:space="preserve">10277</t>
  </si>
  <si>
    <t xml:space="preserve">10278</t>
  </si>
  <si>
    <t xml:space="preserve">Tabela 29 — Engenharia (Aba 10)</t>
  </si>
  <si>
    <t xml:space="preserve">10281</t>
  </si>
  <si>
    <t xml:space="preserve">10282</t>
  </si>
  <si>
    <t xml:space="preserve">10283</t>
  </si>
  <si>
    <t xml:space="preserve">10284</t>
  </si>
  <si>
    <t xml:space="preserve">10285</t>
  </si>
  <si>
    <t xml:space="preserve">10286</t>
  </si>
  <si>
    <t xml:space="preserve">10287</t>
  </si>
  <si>
    <t xml:space="preserve">10288</t>
  </si>
  <si>
    <t xml:space="preserve">Tabela 30 — Produto (Aba 10)</t>
  </si>
  <si>
    <t xml:space="preserve">10291</t>
  </si>
  <si>
    <t xml:space="preserve">10292</t>
  </si>
  <si>
    <t xml:space="preserve">10293</t>
  </si>
  <si>
    <t xml:space="preserve">10294</t>
  </si>
  <si>
    <t xml:space="preserve">10295</t>
  </si>
  <si>
    <t xml:space="preserve">10296</t>
  </si>
  <si>
    <t xml:space="preserve">10297</t>
  </si>
  <si>
    <t xml:space="preserve">10298</t>
  </si>
  <si>
    <t xml:space="preserve">Planilha — Aba 11 | Relatório de Equipe</t>
  </si>
  <si>
    <t xml:space="preserve">Tabela 1 — Engenharia (Aba 11)</t>
  </si>
  <si>
    <t xml:space="preserve">11001</t>
  </si>
  <si>
    <t xml:space="preserve">11002</t>
  </si>
  <si>
    <t xml:space="preserve">11003</t>
  </si>
  <si>
    <t xml:space="preserve">11004</t>
  </si>
  <si>
    <t xml:space="preserve">11005</t>
  </si>
  <si>
    <t xml:space="preserve">11006</t>
  </si>
  <si>
    <t xml:space="preserve">11007</t>
  </si>
  <si>
    <t xml:space="preserve">11008</t>
  </si>
  <si>
    <t xml:space="preserve">Tabela 2 — Produto (Aba 11)</t>
  </si>
  <si>
    <t xml:space="preserve">11011</t>
  </si>
  <si>
    <t xml:space="preserve">11012</t>
  </si>
  <si>
    <t xml:space="preserve">11013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</si>
  <si>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</si>
  <si>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</si>
  <si>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</si>
  <si>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</si>
  <si>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</si>
  <si>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Tabela 3 — Design (Aba 11)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</si>
  <si>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</si>
  <si>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</si>
  <si>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</si>
  <si>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</si>
  <si>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</si>
  <si>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</si>
  <si>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</si>
  <si>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</si>
  <si>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Tabela 4 — DevEx (Aba 11)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</si>
  <si>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</si>
  <si>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</si>
  <si>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</si>
  <si>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</si>
  <si>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</si>
  <si>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</si>
  <si>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</si>
  <si>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11038</t>
  </si>
  <si>
    <t xml:space="preserve">Tabela 5 — Dados (Aba 11)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</si>
  <si>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</si>
  <si>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</si>
  <si>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</si>
  <si>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</si>
  <si>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</si>
  <si>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</si>
  <si>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</si>
  <si>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</si>
  <si>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Tabela 6 — Infra (Aba 11)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</si>
  <si>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</si>
  <si>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</si>
  <si>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</si>
  <si>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</si>
  <si>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</si>
  <si>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</si>
  <si>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</si>
  <si>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</si>
  <si>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Tabela 7 — Segurança (Aba 11)</t>
  </si>
  <si>
    <t xml:space="preserve">11061</t>
  </si>
  <si>
    <t xml:space="preserve">11062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</si>
  <si>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</si>
  <si>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</si>
  <si>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</si>
  <si>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</si>
  <si>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</si>
  <si>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</si>
  <si>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Tabela 8 — Engenharia (Aba 11)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</si>
  <si>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</si>
  <si>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</si>
  <si>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</si>
  <si>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</si>
  <si>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</si>
  <si>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11076</t>
  </si>
  <si>
    <t xml:space="preserve">11077</t>
  </si>
  <si>
    <t xml:space="preserve">11078</t>
  </si>
  <si>
    <t xml:space="preserve">Tabela 9 — Produto (Aba 11)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</si>
  <si>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</si>
  <si>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</si>
  <si>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</si>
  <si>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</si>
  <si>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</si>
  <si>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</si>
  <si>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</si>
  <si>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</si>
  <si>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Tabela 10 — Design (Aba 11)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</si>
  <si>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</si>
  <si>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</si>
  <si>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</si>
  <si>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</si>
  <si>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</si>
  <si>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</si>
  <si>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</si>
  <si>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</si>
  <si>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Tabela 11 — DevEx (Aba 11)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</si>
  <si>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</si>
  <si>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</si>
  <si>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</si>
  <si>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</si>
  <si>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</si>
  <si>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11106</t>
  </si>
  <si>
    <t xml:space="preserve">11107</t>
  </si>
  <si>
    <t xml:space="preserve">11108</t>
  </si>
  <si>
    <t xml:space="preserve">Tabela 12 — Dados (Aba 11)</t>
  </si>
  <si>
    <t xml:space="preserve">11111</t>
  </si>
  <si>
    <t xml:space="preserve">11112</t>
  </si>
  <si>
    <t xml:space="preserve">11113</t>
  </si>
  <si>
    <t xml:space="preserve">11114</t>
  </si>
  <si>
    <t xml:space="preserve">11115</t>
  </si>
  <si>
    <t xml:space="preserve">11116</t>
  </si>
  <si>
    <t xml:space="preserve">11117</t>
  </si>
  <si>
    <t xml:space="preserve">11118</t>
  </si>
  <si>
    <t xml:space="preserve">Tabela 13 — Infra (Aba 11)</t>
  </si>
  <si>
    <t xml:space="preserve">11121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</si>
  <si>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</si>
  <si>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</si>
  <si>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</si>
  <si>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</si>
  <si>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</si>
  <si>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11127</t>
  </si>
  <si>
    <t xml:space="preserve">11128</t>
  </si>
  <si>
    <t xml:space="preserve">Tabela 14 — Segurança (Aba 11)</t>
  </si>
  <si>
    <t xml:space="preserve">11131</t>
  </si>
  <si>
    <t xml:space="preserve">11132</t>
  </si>
  <si>
    <t xml:space="preserve">11133</t>
  </si>
  <si>
    <t xml:space="preserve">11134</t>
  </si>
  <si>
    <t xml:space="preserve">11135</t>
  </si>
  <si>
    <t xml:space="preserve">11136</t>
  </si>
  <si>
    <t xml:space="preserve">11137</t>
  </si>
  <si>
    <t xml:space="preserve">11138</t>
  </si>
  <si>
    <t xml:space="preserve">Tabela 15 — Engenharia (Aba 11)</t>
  </si>
  <si>
    <t xml:space="preserve">11141</t>
  </si>
  <si>
    <t xml:space="preserve">11142</t>
  </si>
  <si>
    <t xml:space="preserve">11143</t>
  </si>
  <si>
    <t xml:space="preserve">11144</t>
  </si>
  <si>
    <t xml:space="preserve">11145</t>
  </si>
  <si>
    <t xml:space="preserve">11146</t>
  </si>
  <si>
    <t xml:space="preserve">11147</t>
  </si>
  <si>
    <t xml:space="preserve">11148</t>
  </si>
  <si>
    <t xml:space="preserve">Tabela 16 — Produto (Aba 11)</t>
  </si>
  <si>
    <t xml:space="preserve">11151</t>
  </si>
  <si>
    <t xml:space="preserve">11152</t>
  </si>
  <si>
    <t xml:space="preserve">11153</t>
  </si>
  <si>
    <t xml:space="preserve">11154</t>
  </si>
  <si>
    <t xml:space="preserve">11155</t>
  </si>
  <si>
    <t xml:space="preserve">11156</t>
  </si>
  <si>
    <t xml:space="preserve">11157</t>
  </si>
  <si>
    <t xml:space="preserve">11158</t>
  </si>
  <si>
    <t xml:space="preserve">Tabela 17 — Design (Aba 11)</t>
  </si>
  <si>
    <t xml:space="preserve">11161</t>
  </si>
  <si>
    <t xml:space="preserve">11162</t>
  </si>
  <si>
    <t xml:space="preserve">11163</t>
  </si>
  <si>
    <t xml:space="preserve">11164</t>
  </si>
  <si>
    <t xml:space="preserve">11165</t>
  </si>
  <si>
    <t xml:space="preserve">11166</t>
  </si>
  <si>
    <t xml:space="preserve">11167</t>
  </si>
  <si>
    <t xml:space="preserve">11168</t>
  </si>
  <si>
    <t xml:space="preserve">Tabela 18 — DevEx (Aba 11)</t>
  </si>
  <si>
    <t xml:space="preserve">11171</t>
  </si>
  <si>
    <t xml:space="preserve">11172</t>
  </si>
  <si>
    <t xml:space="preserve">11173</t>
  </si>
  <si>
    <t xml:space="preserve">11174</t>
  </si>
  <si>
    <t xml:space="preserve">11175</t>
  </si>
  <si>
    <t xml:space="preserve">11176</t>
  </si>
  <si>
    <t xml:space="preserve">11177</t>
  </si>
  <si>
    <t xml:space="preserve">11178</t>
  </si>
  <si>
    <t xml:space="preserve">Tabela 19 — Dados (Aba 11)</t>
  </si>
  <si>
    <t xml:space="preserve">11181</t>
  </si>
  <si>
    <t xml:space="preserve">11182</t>
  </si>
  <si>
    <t xml:space="preserve">11183</t>
  </si>
  <si>
    <t xml:space="preserve">11184</t>
  </si>
  <si>
    <t xml:space="preserve">11185</t>
  </si>
  <si>
    <t xml:space="preserve">11186</t>
  </si>
  <si>
    <t xml:space="preserve">11187</t>
  </si>
  <si>
    <t xml:space="preserve">11188</t>
  </si>
  <si>
    <t xml:space="preserve">Tabela 20 — Infra (Aba 11)</t>
  </si>
  <si>
    <t xml:space="preserve">11191</t>
  </si>
  <si>
    <t xml:space="preserve">11192</t>
  </si>
  <si>
    <t xml:space="preserve">11193</t>
  </si>
  <si>
    <t xml:space="preserve">11194</t>
  </si>
  <si>
    <t xml:space="preserve">11195</t>
  </si>
  <si>
    <t xml:space="preserve">11196</t>
  </si>
  <si>
    <t xml:space="preserve">11197</t>
  </si>
  <si>
    <t xml:space="preserve">11198</t>
  </si>
  <si>
    <t xml:space="preserve">Tabela 21 — Segurança (Aba 11)</t>
  </si>
  <si>
    <t xml:space="preserve">11201</t>
  </si>
  <si>
    <t xml:space="preserve">11202</t>
  </si>
  <si>
    <t xml:space="preserve">11203</t>
  </si>
  <si>
    <t xml:space="preserve">11204</t>
  </si>
  <si>
    <t xml:space="preserve">11205</t>
  </si>
  <si>
    <t xml:space="preserve">11206</t>
  </si>
  <si>
    <t xml:space="preserve">11207</t>
  </si>
  <si>
    <t xml:space="preserve">11208</t>
  </si>
  <si>
    <t xml:space="preserve">Tabela 22 — Engenharia (Aba 11)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</si>
  <si>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</si>
  <si>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</si>
  <si>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</si>
  <si>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</si>
  <si>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</si>
  <si>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</si>
  <si>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</si>
  <si>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</si>
  <si>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Tabela 23 — Produto (Aba 11)</t>
  </si>
  <si>
    <t xml:space="preserve">11221</t>
  </si>
  <si>
    <t xml:space="preserve">11222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</si>
  <si>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</si>
  <si>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</si>
  <si>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</si>
  <si>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</si>
  <si>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</si>
  <si>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11228</t>
  </si>
  <si>
    <t xml:space="preserve">Tabela 24 — Design (Aba 11)</t>
  </si>
  <si>
    <t xml:space="preserve">11231</t>
  </si>
  <si>
    <t xml:space="preserve">11232</t>
  </si>
  <si>
    <t xml:space="preserve">11233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</si>
  <si>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</si>
  <si>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</si>
  <si>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</si>
  <si>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</si>
  <si>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</si>
  <si>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Tabela 25 — DevEx (Aba 11)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</si>
  <si>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</si>
  <si>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</si>
  <si>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</si>
  <si>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</si>
  <si>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</si>
  <si>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</si>
  <si>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</si>
  <si>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11248</t>
  </si>
  <si>
    <t xml:space="preserve">Tabela 26 — Dados (Aba 11)</t>
  </si>
  <si>
    <t xml:space="preserve">11251</t>
  </si>
  <si>
    <t xml:space="preserve">11252</t>
  </si>
  <si>
    <t xml:space="preserve">11253</t>
  </si>
  <si>
    <t xml:space="preserve">11254</t>
  </si>
  <si>
    <t xml:space="preserve">11255</t>
  </si>
  <si>
    <t xml:space="preserve">11256</t>
  </si>
  <si>
    <t xml:space="preserve">11257</t>
  </si>
  <si>
    <t xml:space="preserve">11258</t>
  </si>
  <si>
    <t xml:space="preserve">Tabela 27 — Infra (Aba 11)</t>
  </si>
  <si>
    <t xml:space="preserve">11261</t>
  </si>
  <si>
    <t xml:space="preserve">11262</t>
  </si>
  <si>
    <t xml:space="preserve">11263</t>
  </si>
  <si>
    <t xml:space="preserve">11264</t>
  </si>
  <si>
    <t xml:space="preserve">11265</t>
  </si>
  <si>
    <t xml:space="preserve">11266</t>
  </si>
  <si>
    <t xml:space="preserve">11267</t>
  </si>
  <si>
    <t xml:space="preserve">11268</t>
  </si>
  <si>
    <t xml:space="preserve">Tabela 28 — Segurança (Aba 11)</t>
  </si>
  <si>
    <t xml:space="preserve">11271</t>
  </si>
  <si>
    <t xml:space="preserve">11272</t>
  </si>
  <si>
    <t xml:space="preserve">11273</t>
  </si>
  <si>
    <t xml:space="preserve">11274</t>
  </si>
  <si>
    <t xml:space="preserve">11275</t>
  </si>
  <si>
    <t xml:space="preserve">11276</t>
  </si>
  <si>
    <t xml:space="preserve">11277</t>
  </si>
  <si>
    <t xml:space="preserve">11278</t>
  </si>
  <si>
    <t xml:space="preserve">Tabela 29 — Engenharia (Aba 11)</t>
  </si>
  <si>
    <t xml:space="preserve">11281</t>
  </si>
  <si>
    <t xml:space="preserve">11282</t>
  </si>
  <si>
    <t xml:space="preserve">11283</t>
  </si>
  <si>
    <t xml:space="preserve">11284</t>
  </si>
  <si>
    <t xml:space="preserve">11285</t>
  </si>
  <si>
    <t xml:space="preserve">11286</t>
  </si>
  <si>
    <t xml:space="preserve">11287</t>
  </si>
  <si>
    <t xml:space="preserve">11288</t>
  </si>
  <si>
    <t xml:space="preserve">Tabela 30 — Produto (Aba 11)</t>
  </si>
  <si>
    <t xml:space="preserve">11291</t>
  </si>
  <si>
    <t xml:space="preserve">11292</t>
  </si>
  <si>
    <t xml:space="preserve">11293</t>
  </si>
  <si>
    <t xml:space="preserve">11294</t>
  </si>
  <si>
    <t xml:space="preserve">11295</t>
  </si>
  <si>
    <t xml:space="preserve">11296</t>
  </si>
  <si>
    <t xml:space="preserve">11297</t>
  </si>
  <si>
    <t xml:space="preserve">11298</t>
  </si>
  <si>
    <t xml:space="preserve">Planilha — Aba 12 | Relatório de Equipe</t>
  </si>
  <si>
    <t xml:space="preserve">Tabela 1 — Engenharia (Aba 12)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</si>
  <si>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</si>
  <si>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</si>
  <si>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</si>
  <si>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</si>
  <si>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</si>
  <si>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</si>
  <si>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</si>
  <si>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</si>
  <si>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Tabela 2 — Produto (Aba 12)</t>
  </si>
  <si>
    <t xml:space="preserve">12011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</si>
  <si>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</si>
  <si>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</si>
  <si>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</si>
  <si>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</si>
  <si>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</si>
  <si>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</si>
  <si>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</si>
  <si>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Tabela 3 — Design (Aba 12)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</si>
  <si>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</si>
  <si>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</si>
  <si>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</si>
  <si>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</si>
  <si>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</si>
  <si>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</si>
  <si>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12027</t>
  </si>
  <si>
    <t xml:space="preserve">12028</t>
  </si>
  <si>
    <t xml:space="preserve">Tabela 4 — DevEx (Aba 12)</t>
  </si>
  <si>
    <t xml:space="preserve">12031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</si>
  <si>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</si>
  <si>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</si>
  <si>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</si>
  <si>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</si>
  <si>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</si>
  <si>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</si>
  <si>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</si>
  <si>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Tabela 5 — Dados (Aba 12)</t>
  </si>
  <si>
    <t xml:space="preserve">12041</t>
  </si>
  <si>
    <t xml:space="preserve">12042</t>
  </si>
  <si>
    <t xml:space="preserve">12043</t>
  </si>
  <si>
    <t xml:space="preserve">12044</t>
  </si>
  <si>
    <t xml:space="preserve">12045</t>
  </si>
  <si>
    <t xml:space="preserve">12046</t>
  </si>
  <si>
    <t xml:space="preserve">12047</t>
  </si>
  <si>
    <t xml:space="preserve">12048</t>
  </si>
  <si>
    <t xml:space="preserve">Tabela 6 — Infra (Aba 12)</t>
  </si>
  <si>
    <t xml:space="preserve">12051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</si>
  <si>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</si>
  <si>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</si>
  <si>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</si>
  <si>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</si>
  <si>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</si>
  <si>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12057</t>
  </si>
  <si>
    <t xml:space="preserve">12058</t>
  </si>
  <si>
    <t xml:space="preserve">Tabela 7 — Segurança (Aba 12)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</si>
  <si>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</si>
  <si>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</si>
  <si>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</si>
  <si>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</si>
  <si>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</si>
  <si>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</si>
  <si>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</si>
  <si>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</si>
  <si>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Tabela 8 — Engenharia (Aba 12)</t>
  </si>
  <si>
    <t xml:space="preserve">12071</t>
  </si>
  <si>
    <t xml:space="preserve">12072</t>
  </si>
  <si>
    <t xml:space="preserve">12073</t>
  </si>
  <si>
    <t xml:space="preserve">12074</t>
  </si>
  <si>
    <t xml:space="preserve">12075</t>
  </si>
  <si>
    <t xml:space="preserve">12076</t>
  </si>
  <si>
    <t xml:space="preserve">12077</t>
  </si>
  <si>
    <t xml:space="preserve">12078</t>
  </si>
  <si>
    <t xml:space="preserve">Tabela 9 — Produto (Aba 12)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</si>
  <si>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</si>
  <si>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</si>
  <si>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</si>
  <si>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</si>
  <si>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</si>
  <si>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12086</t>
  </si>
  <si>
    <t xml:space="preserve">12087</t>
  </si>
  <si>
    <t xml:space="preserve">12088</t>
  </si>
  <si>
    <t xml:space="preserve">Tabela 10 — Design (Aba 12)</t>
  </si>
  <si>
    <t xml:space="preserve">12091</t>
  </si>
  <si>
    <t xml:space="preserve">12092</t>
  </si>
  <si>
    <t xml:space="preserve">12093</t>
  </si>
  <si>
    <t xml:space="preserve">12094</t>
  </si>
  <si>
    <t xml:space="preserve">12095</t>
  </si>
  <si>
    <t xml:space="preserve">12096</t>
  </si>
  <si>
    <t xml:space="preserve">12097</t>
  </si>
  <si>
    <t xml:space="preserve">12098</t>
  </si>
  <si>
    <t xml:space="preserve">Tabela 11 — DevEx (Aba 12)</t>
  </si>
  <si>
    <t xml:space="preserve">12101</t>
  </si>
  <si>
    <t xml:space="preserve">12102</t>
  </si>
  <si>
    <t xml:space="preserve">12103</t>
  </si>
  <si>
    <t xml:space="preserve">12104</t>
  </si>
  <si>
    <t xml:space="preserve">12105</t>
  </si>
  <si>
    <t xml:space="preserve">12106</t>
  </si>
  <si>
    <t xml:space="preserve">12107</t>
  </si>
  <si>
    <t xml:space="preserve">12108</t>
  </si>
  <si>
    <t xml:space="preserve">Tabela 12 — Dados (Aba 12)</t>
  </si>
  <si>
    <t xml:space="preserve">12111</t>
  </si>
  <si>
    <t xml:space="preserve">12112</t>
  </si>
  <si>
    <t xml:space="preserve">12113</t>
  </si>
  <si>
    <t xml:space="preserve">12114</t>
  </si>
  <si>
    <t xml:space="preserve">12115</t>
  </si>
  <si>
    <t xml:space="preserve">12116</t>
  </si>
  <si>
    <t xml:space="preserve">12117</t>
  </si>
  <si>
    <t xml:space="preserve">12118</t>
  </si>
  <si>
    <t xml:space="preserve">Tabela 13 — Infra (Aba 12)</t>
  </si>
  <si>
    <t xml:space="preserve">12121</t>
  </si>
  <si>
    <t xml:space="preserve">12122</t>
  </si>
  <si>
    <t xml:space="preserve">12123</t>
  </si>
  <si>
    <t xml:space="preserve">12124</t>
  </si>
  <si>
    <t xml:space="preserve">12125</t>
  </si>
  <si>
    <t xml:space="preserve">12126</t>
  </si>
  <si>
    <t xml:space="preserve">12127</t>
  </si>
  <si>
    <t xml:space="preserve">12128</t>
  </si>
  <si>
    <t xml:space="preserve">Tabela 14 — Segurança (Aba 12)</t>
  </si>
  <si>
    <t xml:space="preserve">12131</t>
  </si>
  <si>
    <t xml:space="preserve">12132</t>
  </si>
  <si>
    <t xml:space="preserve">12133</t>
  </si>
  <si>
    <t xml:space="preserve">12134</t>
  </si>
  <si>
    <t xml:space="preserve">12135</t>
  </si>
  <si>
    <t xml:space="preserve">12136</t>
  </si>
  <si>
    <t xml:space="preserve">12137</t>
  </si>
  <si>
    <t xml:space="preserve">12138</t>
  </si>
  <si>
    <t xml:space="preserve">Tabela 15 — Engenharia (Aba 12)</t>
  </si>
  <si>
    <t xml:space="preserve">12141</t>
  </si>
  <si>
    <t xml:space="preserve">12142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</si>
  <si>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</si>
  <si>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</si>
  <si>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</si>
  <si>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</si>
  <si>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</si>
  <si>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</si>
  <si>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Tabela 16 — Produto (Aba 12)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</si>
  <si>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</si>
  <si>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</si>
  <si>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</si>
  <si>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</si>
  <si>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</si>
  <si>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</si>
  <si>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</si>
  <si>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</si>
  <si>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Tabela 17 — Design (Aba 12)</t>
  </si>
  <si>
    <t xml:space="preserve">12161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</si>
  <si>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</si>
  <si>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</si>
  <si>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</si>
  <si>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</si>
  <si>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</si>
  <si>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</si>
  <si>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</si>
  <si>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Tabela 18 — DevEx (Aba 12)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</si>
  <si>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</si>
  <si>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</si>
  <si>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</si>
  <si>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</si>
  <si>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</si>
  <si>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</si>
  <si>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</si>
  <si>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</si>
  <si>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Tabela 19 — Dados (Aba 12)</t>
  </si>
  <si>
    <t xml:space="preserve">12181</t>
  </si>
  <si>
    <t xml:space="preserve">12182</t>
  </si>
  <si>
    <t xml:space="preserve">12183</t>
  </si>
  <si>
    <t xml:space="preserve">12184</t>
  </si>
  <si>
    <t xml:space="preserve">12185</t>
  </si>
  <si>
    <t xml:space="preserve">12186</t>
  </si>
  <si>
    <t xml:space="preserve">12187</t>
  </si>
  <si>
    <t xml:space="preserve">12188</t>
  </si>
  <si>
    <t xml:space="preserve">Tabela 20 — Infra (Aba 12)</t>
  </si>
  <si>
    <t xml:space="preserve">12191</t>
  </si>
  <si>
    <t xml:space="preserve">12192</t>
  </si>
  <si>
    <t xml:space="preserve">12193</t>
  </si>
  <si>
    <t xml:space="preserve">12194</t>
  </si>
  <si>
    <t xml:space="preserve">12195</t>
  </si>
  <si>
    <t xml:space="preserve">12196</t>
  </si>
  <si>
    <t xml:space="preserve">12197</t>
  </si>
  <si>
    <t xml:space="preserve">12198</t>
  </si>
  <si>
    <t xml:space="preserve">Tabela 21 — Segurança (Aba 12)</t>
  </si>
  <si>
    <t xml:space="preserve">12201</t>
  </si>
  <si>
    <t xml:space="preserve">12202</t>
  </si>
  <si>
    <t xml:space="preserve">12203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</si>
  <si>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</si>
  <si>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</si>
  <si>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</si>
  <si>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</si>
  <si>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</si>
  <si>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Tabela 22 — Engenharia (Aba 12)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</si>
  <si>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</si>
  <si>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</si>
  <si>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</si>
  <si>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</si>
  <si>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</si>
  <si>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</si>
  <si>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</si>
  <si>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</si>
  <si>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Tabela 23 — Produto (Aba 12)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</si>
  <si>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</si>
  <si>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</si>
  <si>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</si>
  <si>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</si>
  <si>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</si>
  <si>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</si>
  <si>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</si>
  <si>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</si>
  <si>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Tabela 24 — Design (Aba 12)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</si>
  <si>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</si>
  <si>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</si>
  <si>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</si>
  <si>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</si>
  <si>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</si>
  <si>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</si>
  <si>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</si>
  <si>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</si>
  <si>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Tabela 25 — DevEx (Aba 12)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</si>
  <si>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</si>
  <si>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</si>
  <si>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</si>
  <si>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</si>
  <si>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</si>
  <si>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</si>
  <si>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</si>
  <si>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</si>
  <si>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Tabela 26 — Dados (Aba 12)</t>
  </si>
  <si>
    <t xml:space="preserve">12251</t>
  </si>
  <si>
    <t xml:space="preserve">12252</t>
  </si>
  <si>
    <t xml:space="preserve">12253</t>
  </si>
  <si>
    <t xml:space="preserve">12254</t>
  </si>
  <si>
    <t xml:space="preserve">12255</t>
  </si>
  <si>
    <t xml:space="preserve">12256</t>
  </si>
  <si>
    <t xml:space="preserve">12257</t>
  </si>
  <si>
    <t xml:space="preserve">12258</t>
  </si>
  <si>
    <t xml:space="preserve">Tabela 27 — Infra (Aba 12)</t>
  </si>
  <si>
    <t xml:space="preserve">12261</t>
  </si>
  <si>
    <t xml:space="preserve">12262</t>
  </si>
  <si>
    <t xml:space="preserve">12263</t>
  </si>
  <si>
    <t xml:space="preserve">12264</t>
  </si>
  <si>
    <t xml:space="preserve">12265</t>
  </si>
  <si>
    <t xml:space="preserve">12266</t>
  </si>
  <si>
    <t xml:space="preserve">12267</t>
  </si>
  <si>
    <t xml:space="preserve">12268</t>
  </si>
  <si>
    <t xml:space="preserve">Tabela 28 — Segurança (Aba 12)</t>
  </si>
  <si>
    <t xml:space="preserve">12271</t>
  </si>
  <si>
    <t xml:space="preserve">12272</t>
  </si>
  <si>
    <t xml:space="preserve">12273</t>
  </si>
  <si>
    <t xml:space="preserve">12274</t>
  </si>
  <si>
    <t xml:space="preserve">12275</t>
  </si>
  <si>
    <t xml:space="preserve">12276</t>
  </si>
  <si>
    <t xml:space="preserve">12277</t>
  </si>
  <si>
    <t xml:space="preserve">12278</t>
  </si>
  <si>
    <t xml:space="preserve">Tabela 29 — Engenharia (Aba 12)</t>
  </si>
  <si>
    <t xml:space="preserve">12281</t>
  </si>
  <si>
    <t xml:space="preserve">12282</t>
  </si>
  <si>
    <t xml:space="preserve">12283</t>
  </si>
  <si>
    <t xml:space="preserve">12284</t>
  </si>
  <si>
    <t xml:space="preserve">12285</t>
  </si>
  <si>
    <t xml:space="preserve">12286</t>
  </si>
  <si>
    <t xml:space="preserve">12287</t>
  </si>
  <si>
    <t xml:space="preserve">12288</t>
  </si>
  <si>
    <t xml:space="preserve">Tabela 30 — Produto (Aba 12)</t>
  </si>
  <si>
    <t xml:space="preserve">12291</t>
  </si>
  <si>
    <t xml:space="preserve">12292</t>
  </si>
  <si>
    <t xml:space="preserve">12293</t>
  </si>
  <si>
    <t xml:space="preserve">12294</t>
  </si>
  <si>
    <t xml:space="preserve">12295</t>
  </si>
  <si>
    <t xml:space="preserve">12296</t>
  </si>
  <si>
    <t xml:space="preserve">12297</t>
  </si>
  <si>
    <t xml:space="preserve">12298</t>
  </si>
  <si>
    <t xml:space="preserve">Planilha — Aba 13 | Relatório de Equipe</t>
  </si>
  <si>
    <t xml:space="preserve">Tabela 1 — Engenharia (Aba 13)</t>
  </si>
  <si>
    <t xml:space="preserve">13001</t>
  </si>
  <si>
    <t xml:space="preserve">13002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</si>
  <si>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</si>
  <si>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</si>
  <si>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</si>
  <si>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</si>
  <si>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</si>
  <si>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</si>
  <si>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Tabela 2 — Produto (Aba 13)</t>
  </si>
  <si>
    <t xml:space="preserve">13011</t>
  </si>
  <si>
    <t xml:space="preserve">13012</t>
  </si>
  <si>
    <t xml:space="preserve">13013</t>
  </si>
  <si>
    <t xml:space="preserve">13014</t>
  </si>
  <si>
    <t xml:space="preserve">13015</t>
  </si>
  <si>
    <t xml:space="preserve">13016</t>
  </si>
  <si>
    <t xml:space="preserve">13017</t>
  </si>
  <si>
    <t xml:space="preserve">13018</t>
  </si>
  <si>
    <t xml:space="preserve">Tabela 3 — Design (Aba 13)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</si>
  <si>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</si>
  <si>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</si>
  <si>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</si>
  <si>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</si>
  <si>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</si>
  <si>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</si>
  <si>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</si>
  <si>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</si>
  <si>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Tabela 4 — DevEx (Aba 13)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</si>
  <si>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</si>
  <si>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</si>
  <si>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</si>
  <si>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</si>
  <si>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</si>
  <si>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</si>
  <si>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</si>
  <si>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</si>
  <si>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Tabela 5 — Dados (Aba 13)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</si>
  <si>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</si>
  <si>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</si>
  <si>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</si>
  <si>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</si>
  <si>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</si>
  <si>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13046</t>
  </si>
  <si>
    <t xml:space="preserve">13047</t>
  </si>
  <si>
    <t xml:space="preserve">13048</t>
  </si>
  <si>
    <t xml:space="preserve">Tabela 6 — Infra (Aba 13)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</si>
  <si>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</si>
  <si>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</si>
  <si>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</si>
  <si>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</si>
  <si>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</si>
  <si>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</si>
  <si>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</si>
  <si>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</si>
  <si>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Tabela 7 — Segurança (Aba 13)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</si>
  <si>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</si>
  <si>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</si>
  <si>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</si>
  <si>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</si>
  <si>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</si>
  <si>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</si>
  <si>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</si>
  <si>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</si>
  <si>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Tabela 8 — Engenharia (Aba 13)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</si>
  <si>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</si>
  <si>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</si>
  <si>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</si>
  <si>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</si>
  <si>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</si>
  <si>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</si>
  <si>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</si>
  <si>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13078</t>
  </si>
  <si>
    <t xml:space="preserve">Tabela 9 — Produto (Aba 13)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</si>
  <si>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</si>
  <si>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</si>
  <si>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</si>
  <si>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</si>
  <si>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</si>
  <si>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13086</t>
  </si>
  <si>
    <t xml:space="preserve">13087</t>
  </si>
  <si>
    <t xml:space="preserve">13088</t>
  </si>
  <si>
    <t xml:space="preserve">Tabela 10 — Design (Aba 13)</t>
  </si>
  <si>
    <t xml:space="preserve">13091</t>
  </si>
  <si>
    <t xml:space="preserve">13092</t>
  </si>
  <si>
    <t xml:space="preserve">13093</t>
  </si>
  <si>
    <t xml:space="preserve">13094</t>
  </si>
  <si>
    <t xml:space="preserve">13095</t>
  </si>
  <si>
    <t xml:space="preserve">13096</t>
  </si>
  <si>
    <t xml:space="preserve">13097</t>
  </si>
  <si>
    <t xml:space="preserve">13098</t>
  </si>
  <si>
    <t xml:space="preserve">Tabela 11 — DevEx (Aba 13)</t>
  </si>
  <si>
    <t xml:space="preserve">13101</t>
  </si>
  <si>
    <t xml:space="preserve">13102</t>
  </si>
  <si>
    <t xml:space="preserve">13103</t>
  </si>
  <si>
    <t xml:space="preserve">13104</t>
  </si>
  <si>
    <t xml:space="preserve">13105</t>
  </si>
  <si>
    <t xml:space="preserve">13106</t>
  </si>
  <si>
    <t xml:space="preserve">13107</t>
  </si>
  <si>
    <t xml:space="preserve">13108</t>
  </si>
  <si>
    <t xml:space="preserve">Tabela 12 — Dados (Aba 13)</t>
  </si>
  <si>
    <t xml:space="preserve">13111</t>
  </si>
  <si>
    <t xml:space="preserve">13112</t>
  </si>
  <si>
    <t xml:space="preserve">13113</t>
  </si>
  <si>
    <t xml:space="preserve">13114</t>
  </si>
  <si>
    <t xml:space="preserve">13115</t>
  </si>
  <si>
    <t xml:space="preserve">13116</t>
  </si>
  <si>
    <t xml:space="preserve">13117</t>
  </si>
  <si>
    <t xml:space="preserve">13118</t>
  </si>
  <si>
    <t xml:space="preserve">Tabela 13 — Infra (Aba 13)</t>
  </si>
  <si>
    <t xml:space="preserve">13121</t>
  </si>
  <si>
    <t xml:space="preserve">13122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</si>
  <si>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</si>
  <si>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</si>
  <si>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</si>
  <si>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</si>
  <si>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</si>
  <si>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</si>
  <si>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Tabela 14 — Segurança (Aba 13)</t>
  </si>
  <si>
    <t xml:space="preserve">13131</t>
  </si>
  <si>
    <t xml:space="preserve">13132</t>
  </si>
  <si>
    <t xml:space="preserve">13133</t>
  </si>
  <si>
    <t xml:space="preserve">13134</t>
  </si>
  <si>
    <t xml:space="preserve">13135</t>
  </si>
  <si>
    <t xml:space="preserve">13136</t>
  </si>
  <si>
    <t xml:space="preserve">13137</t>
  </si>
  <si>
    <t xml:space="preserve">13138</t>
  </si>
  <si>
    <t xml:space="preserve">Tabela 15 — Engenharia (Aba 13)</t>
  </si>
  <si>
    <t xml:space="preserve">13141</t>
  </si>
  <si>
    <t xml:space="preserve">13142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</si>
  <si>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</si>
  <si>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</si>
  <si>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</si>
  <si>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</si>
  <si>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</si>
  <si>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</si>
  <si>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Tabela 16 — Produto (Aba 13)</t>
  </si>
  <si>
    <t xml:space="preserve">13151</t>
  </si>
  <si>
    <t xml:space="preserve">13152</t>
  </si>
  <si>
    <t xml:space="preserve">13153</t>
  </si>
  <si>
    <t xml:space="preserve">13154</t>
  </si>
  <si>
    <t xml:space="preserve">13155</t>
  </si>
  <si>
    <t xml:space="preserve">13156</t>
  </si>
  <si>
    <t xml:space="preserve">13157</t>
  </si>
  <si>
    <t xml:space="preserve">13158</t>
  </si>
  <si>
    <t xml:space="preserve">Tabela 17 — Design (Aba 13)</t>
  </si>
  <si>
    <t xml:space="preserve">13161</t>
  </si>
  <si>
    <t xml:space="preserve">13162</t>
  </si>
  <si>
    <t xml:space="preserve">13163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</si>
  <si>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</si>
  <si>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</si>
  <si>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</si>
  <si>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</si>
  <si>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</si>
  <si>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Tabela 18 — DevEx (Aba 13)</t>
  </si>
  <si>
    <t xml:space="preserve">13171</t>
  </si>
  <si>
    <t xml:space="preserve">13172</t>
  </si>
  <si>
    <t xml:space="preserve">13173</t>
  </si>
  <si>
    <t xml:space="preserve">13174</t>
  </si>
  <si>
    <t xml:space="preserve">13175</t>
  </si>
  <si>
    <t xml:space="preserve">13176</t>
  </si>
  <si>
    <t xml:space="preserve">13177</t>
  </si>
  <si>
    <t xml:space="preserve">13178</t>
  </si>
  <si>
    <t xml:space="preserve">Tabela 19 — Dados (Aba 13)</t>
  </si>
  <si>
    <t xml:space="preserve">13181</t>
  </si>
  <si>
    <t xml:space="preserve">13182</t>
  </si>
  <si>
    <t xml:space="preserve">13183</t>
  </si>
  <si>
    <t xml:space="preserve">13184</t>
  </si>
  <si>
    <t xml:space="preserve">13185</t>
  </si>
  <si>
    <t xml:space="preserve">13186</t>
  </si>
  <si>
    <t xml:space="preserve">13187</t>
  </si>
  <si>
    <t xml:space="preserve">13188</t>
  </si>
  <si>
    <t xml:space="preserve">Tabela 20 — Infra (Aba 13)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</si>
  <si>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</si>
  <si>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</si>
  <si>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</si>
  <si>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</si>
  <si>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</si>
  <si>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13196</t>
  </si>
  <si>
    <t xml:space="preserve">13197</t>
  </si>
  <si>
    <t xml:space="preserve">13198</t>
  </si>
  <si>
    <t xml:space="preserve">Tabela 21 — Segurança (Aba 13)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</si>
  <si>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</si>
  <si>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</si>
  <si>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</si>
  <si>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</si>
  <si>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</si>
  <si>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</si>
  <si>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13207</t>
  </si>
  <si>
    <t xml:space="preserve">13208</t>
  </si>
  <si>
    <t xml:space="preserve">Tabela 22 — Engenharia (Aba 13)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</si>
  <si>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</si>
  <si>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</si>
  <si>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</si>
  <si>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</si>
  <si>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</si>
  <si>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</si>
  <si>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</si>
  <si>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</si>
  <si>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Tabela 23 — Produto (Aba 13)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</si>
  <si>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</si>
  <si>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</si>
  <si>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</si>
  <si>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</si>
  <si>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</si>
  <si>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</si>
  <si>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</si>
  <si>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</si>
  <si>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Tabela 24 — Design (Aba 13)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</si>
  <si>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</si>
  <si>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</si>
  <si>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</si>
  <si>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</si>
  <si>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</si>
  <si>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</si>
  <si>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</si>
  <si>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</si>
  <si>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Tabela 25 — DevEx (Aba 13)</t>
  </si>
  <si>
    <t xml:space="preserve">13241</t>
  </si>
  <si>
    <t xml:space="preserve">13242</t>
  </si>
  <si>
    <t xml:space="preserve">13243</t>
  </si>
  <si>
    <t xml:space="preserve">13244</t>
  </si>
  <si>
    <t xml:space="preserve">13245</t>
  </si>
  <si>
    <t xml:space="preserve">13246</t>
  </si>
  <si>
    <t xml:space="preserve">13247</t>
  </si>
  <si>
    <t xml:space="preserve">13248</t>
  </si>
  <si>
    <t xml:space="preserve">Tabela 26 — Dados (Aba 13)</t>
  </si>
  <si>
    <t xml:space="preserve">13251</t>
  </si>
  <si>
    <t xml:space="preserve">13252</t>
  </si>
  <si>
    <t xml:space="preserve">13253</t>
  </si>
  <si>
    <t xml:space="preserve">13254</t>
  </si>
  <si>
    <t xml:space="preserve">13255</t>
  </si>
  <si>
    <t xml:space="preserve">13256</t>
  </si>
  <si>
    <t xml:space="preserve">13257</t>
  </si>
  <si>
    <t xml:space="preserve">13258</t>
  </si>
  <si>
    <t xml:space="preserve">Tabela 27 — Infra (Aba 13)</t>
  </si>
  <si>
    <t xml:space="preserve">13261</t>
  </si>
  <si>
    <t xml:space="preserve">13262</t>
  </si>
  <si>
    <t xml:space="preserve">13263</t>
  </si>
  <si>
    <t xml:space="preserve">13264</t>
  </si>
  <si>
    <t xml:space="preserve">13265</t>
  </si>
  <si>
    <t xml:space="preserve">13266</t>
  </si>
  <si>
    <t xml:space="preserve">13267</t>
  </si>
  <si>
    <t xml:space="preserve">13268</t>
  </si>
  <si>
    <t xml:space="preserve">Tabela 28 — Segurança (Aba 13)</t>
  </si>
  <si>
    <t xml:space="preserve">13271</t>
  </si>
  <si>
    <t xml:space="preserve">13272</t>
  </si>
  <si>
    <t xml:space="preserve">13273</t>
  </si>
  <si>
    <t xml:space="preserve">13274</t>
  </si>
  <si>
    <t xml:space="preserve">13275</t>
  </si>
  <si>
    <t xml:space="preserve">13276</t>
  </si>
  <si>
    <t xml:space="preserve">13277</t>
  </si>
  <si>
    <t xml:space="preserve">13278</t>
  </si>
  <si>
    <t xml:space="preserve">Tabela 29 — Engenharia (Aba 13)</t>
  </si>
  <si>
    <t xml:space="preserve">13281</t>
  </si>
  <si>
    <t xml:space="preserve">13282</t>
  </si>
  <si>
    <t xml:space="preserve">13283</t>
  </si>
  <si>
    <t xml:space="preserve">13284</t>
  </si>
  <si>
    <t xml:space="preserve">13285</t>
  </si>
  <si>
    <t xml:space="preserve">13286</t>
  </si>
  <si>
    <t xml:space="preserve">13287</t>
  </si>
  <si>
    <t xml:space="preserve">13288</t>
  </si>
  <si>
    <t xml:space="preserve">Tabela 30 — Produto (Aba 13)</t>
  </si>
  <si>
    <t xml:space="preserve">13291</t>
  </si>
  <si>
    <t xml:space="preserve">13292</t>
  </si>
  <si>
    <t xml:space="preserve">13293</t>
  </si>
  <si>
    <t xml:space="preserve">13294</t>
  </si>
  <si>
    <t xml:space="preserve">13295</t>
  </si>
  <si>
    <t xml:space="preserve">13296</t>
  </si>
  <si>
    <t xml:space="preserve">13297</t>
  </si>
  <si>
    <t xml:space="preserve">13298</t>
  </si>
  <si>
    <t xml:space="preserve">Planilha — Aba 14 | Relatório de Equipe</t>
  </si>
  <si>
    <t xml:space="preserve">Tabela 1 — Engenharia (Aba 14)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</si>
  <si>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</si>
  <si>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</si>
  <si>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</si>
  <si>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</si>
  <si>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</si>
  <si>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</si>
  <si>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</si>
  <si>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</si>
  <si>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Tabela 2 — Produto (Aba 14)</t>
  </si>
  <si>
    <t xml:space="preserve">14011</t>
  </si>
  <si>
    <t xml:space="preserve">14012</t>
  </si>
  <si>
    <t xml:space="preserve">14013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</si>
  <si>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</si>
  <si>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</si>
  <si>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</si>
  <si>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</si>
  <si>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</si>
  <si>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Tabela 3 — Design (Aba 14)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</si>
  <si>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</si>
  <si>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</si>
  <si>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</si>
  <si>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</si>
  <si>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</si>
  <si>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</si>
  <si>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</si>
  <si>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</si>
  <si>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Tabela 4 — DevEx (Aba 14)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</si>
  <si>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</si>
  <si>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</si>
  <si>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</si>
  <si>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</si>
  <si>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</si>
  <si>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</si>
  <si>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</si>
  <si>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</si>
  <si>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Tabela 5 — Dados (Aba 14)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</si>
  <si>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</si>
  <si>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</si>
  <si>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</si>
  <si>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</si>
  <si>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</si>
  <si>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</si>
  <si>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</si>
  <si>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14048</t>
  </si>
  <si>
    <t xml:space="preserve">Tabela 6 — Infra (Aba 14)</t>
  </si>
  <si>
    <t xml:space="preserve">14051</t>
  </si>
  <si>
    <t xml:space="preserve">14052</t>
  </si>
  <si>
    <t xml:space="preserve">14053</t>
  </si>
  <si>
    <t xml:space="preserve">14054</t>
  </si>
  <si>
    <t xml:space="preserve">14055</t>
  </si>
  <si>
    <t xml:space="preserve">14056</t>
  </si>
  <si>
    <t xml:space="preserve">14057</t>
  </si>
  <si>
    <t xml:space="preserve">14058</t>
  </si>
  <si>
    <t xml:space="preserve">Tabela 7 — Segurança (Aba 14)</t>
  </si>
  <si>
    <t xml:space="preserve">14061</t>
  </si>
  <si>
    <t xml:space="preserve">14062</t>
  </si>
  <si>
    <t xml:space="preserve">14063</t>
  </si>
  <si>
    <t xml:space="preserve">14064</t>
  </si>
  <si>
    <t xml:space="preserve">14065</t>
  </si>
  <si>
    <t xml:space="preserve">14066</t>
  </si>
  <si>
    <t xml:space="preserve">14067</t>
  </si>
  <si>
    <t xml:space="preserve">14068</t>
  </si>
  <si>
    <t xml:space="preserve">Tabela 8 — Engenharia (Aba 14)</t>
  </si>
  <si>
    <t xml:space="preserve">14071</t>
  </si>
  <si>
    <t xml:space="preserve">14072</t>
  </si>
  <si>
    <t xml:space="preserve">14073</t>
  </si>
  <si>
    <t xml:space="preserve">14074</t>
  </si>
  <si>
    <t xml:space="preserve">14075</t>
  </si>
  <si>
    <t xml:space="preserve">14076</t>
  </si>
  <si>
    <t xml:space="preserve">14077</t>
  </si>
  <si>
    <t xml:space="preserve">14078</t>
  </si>
  <si>
    <t xml:space="preserve">Tabela 9 — Produto (Aba 14)</t>
  </si>
  <si>
    <t xml:space="preserve">14081</t>
  </si>
  <si>
    <t xml:space="preserve">14082</t>
  </si>
  <si>
    <t xml:space="preserve">14083</t>
  </si>
  <si>
    <t xml:space="preserve">14084</t>
  </si>
  <si>
    <t xml:space="preserve">14085</t>
  </si>
  <si>
    <t xml:space="preserve">14086</t>
  </si>
  <si>
    <t xml:space="preserve">14087</t>
  </si>
  <si>
    <t xml:space="preserve">14088</t>
  </si>
  <si>
    <t xml:space="preserve">Tabela 10 — Design (Aba 14)</t>
  </si>
  <si>
    <t xml:space="preserve">14091</t>
  </si>
  <si>
    <t xml:space="preserve">14092</t>
  </si>
  <si>
    <t xml:space="preserve">14093</t>
  </si>
  <si>
    <t xml:space="preserve">14094</t>
  </si>
  <si>
    <t xml:space="preserve">14095</t>
  </si>
  <si>
    <t xml:space="preserve">14096</t>
  </si>
  <si>
    <t xml:space="preserve">14097</t>
  </si>
  <si>
    <t xml:space="preserve">14098</t>
  </si>
  <si>
    <t xml:space="preserve">Tabela 11 — DevEx (Aba 14)</t>
  </si>
  <si>
    <t xml:space="preserve">14101</t>
  </si>
  <si>
    <t xml:space="preserve">14102</t>
  </si>
  <si>
    <t xml:space="preserve">14103</t>
  </si>
  <si>
    <t xml:space="preserve">14104</t>
  </si>
  <si>
    <t xml:space="preserve">14105</t>
  </si>
  <si>
    <t xml:space="preserve">14106</t>
  </si>
  <si>
    <t xml:space="preserve">14107</t>
  </si>
  <si>
    <t xml:space="preserve">14108</t>
  </si>
  <si>
    <t xml:space="preserve">Tabela 12 — Dados (Aba 14)</t>
  </si>
  <si>
    <t xml:space="preserve">14111</t>
  </si>
  <si>
    <t xml:space="preserve">14112</t>
  </si>
  <si>
    <t xml:space="preserve">14113</t>
  </si>
  <si>
    <t xml:space="preserve">14114</t>
  </si>
  <si>
    <t xml:space="preserve">14115</t>
  </si>
  <si>
    <t xml:space="preserve">14116</t>
  </si>
  <si>
    <t xml:space="preserve">14117</t>
  </si>
  <si>
    <t xml:space="preserve">14118</t>
  </si>
  <si>
    <t xml:space="preserve">Tabela 13 — Infra (Aba 14)</t>
  </si>
  <si>
    <t xml:space="preserve">14121</t>
  </si>
  <si>
    <t xml:space="preserve">14122</t>
  </si>
  <si>
    <t xml:space="preserve">14123</t>
  </si>
  <si>
    <t xml:space="preserve">14124</t>
  </si>
  <si>
    <t xml:space="preserve">14125</t>
  </si>
  <si>
    <t xml:space="preserve">14126</t>
  </si>
  <si>
    <t xml:space="preserve">14127</t>
  </si>
  <si>
    <t xml:space="preserve">14128</t>
  </si>
  <si>
    <t xml:space="preserve">Tabela 14 — Segurança (Aba 14)</t>
  </si>
  <si>
    <t xml:space="preserve">14131</t>
  </si>
  <si>
    <t xml:space="preserve">14132</t>
  </si>
  <si>
    <t xml:space="preserve">14133</t>
  </si>
  <si>
    <t xml:space="preserve">14134</t>
  </si>
  <si>
    <t xml:space="preserve">14135</t>
  </si>
  <si>
    <t xml:space="preserve">14136</t>
  </si>
  <si>
    <t xml:space="preserve">14137</t>
  </si>
  <si>
    <t xml:space="preserve">14138</t>
  </si>
  <si>
    <t xml:space="preserve">Tabela 15 — Engenharia (Aba 14)</t>
  </si>
  <si>
    <t xml:space="preserve">14141</t>
  </si>
  <si>
    <t xml:space="preserve">14142</t>
  </si>
  <si>
    <t xml:space="preserve">14143</t>
  </si>
  <si>
    <t xml:space="preserve">14144</t>
  </si>
  <si>
    <t xml:space="preserve">14145</t>
  </si>
  <si>
    <t xml:space="preserve">14146</t>
  </si>
  <si>
    <t xml:space="preserve">14147</t>
  </si>
  <si>
    <t xml:space="preserve">14148</t>
  </si>
  <si>
    <t xml:space="preserve">Tabela 16 — Produto (Aba 14)</t>
  </si>
  <si>
    <t xml:space="preserve">14151</t>
  </si>
  <si>
    <t xml:space="preserve">14152</t>
  </si>
  <si>
    <t xml:space="preserve">14153</t>
  </si>
  <si>
    <t xml:space="preserve">14154</t>
  </si>
  <si>
    <t xml:space="preserve">14155</t>
  </si>
  <si>
    <t xml:space="preserve">14156</t>
  </si>
  <si>
    <t xml:space="preserve">14157</t>
  </si>
  <si>
    <t xml:space="preserve">14158</t>
  </si>
  <si>
    <t xml:space="preserve">Tabela 17 — Design (Aba 14)</t>
  </si>
  <si>
    <t xml:space="preserve">14161</t>
  </si>
  <si>
    <t xml:space="preserve">14162</t>
  </si>
  <si>
    <t xml:space="preserve">14163</t>
  </si>
  <si>
    <t xml:space="preserve">14164</t>
  </si>
  <si>
    <t xml:space="preserve">14165</t>
  </si>
  <si>
    <t xml:space="preserve">14166</t>
  </si>
  <si>
    <t xml:space="preserve">14167</t>
  </si>
  <si>
    <t xml:space="preserve">14168</t>
  </si>
  <si>
    <t xml:space="preserve">Tabela 18 — DevEx (Aba 14)</t>
  </si>
  <si>
    <t xml:space="preserve">14171</t>
  </si>
  <si>
    <t xml:space="preserve">14172</t>
  </si>
  <si>
    <t xml:space="preserve">14173</t>
  </si>
  <si>
    <t xml:space="preserve">14174</t>
  </si>
  <si>
    <t xml:space="preserve">14175</t>
  </si>
  <si>
    <t xml:space="preserve">14176</t>
  </si>
  <si>
    <t xml:space="preserve">14177</t>
  </si>
  <si>
    <t xml:space="preserve">14178</t>
  </si>
  <si>
    <t xml:space="preserve">Tabela 19 — Dados (Aba 14)</t>
  </si>
  <si>
    <t xml:space="preserve">14181</t>
  </si>
  <si>
    <t xml:space="preserve">14182</t>
  </si>
  <si>
    <t xml:space="preserve">14183</t>
  </si>
  <si>
    <t xml:space="preserve">14184</t>
  </si>
  <si>
    <t xml:space="preserve">14185</t>
  </si>
  <si>
    <t xml:space="preserve">14186</t>
  </si>
  <si>
    <t xml:space="preserve">14187</t>
  </si>
  <si>
    <t xml:space="preserve">14188</t>
  </si>
  <si>
    <t xml:space="preserve">Tabela 20 — Infra (Aba 14)</t>
  </si>
  <si>
    <t xml:space="preserve">14191</t>
  </si>
  <si>
    <t xml:space="preserve">14192</t>
  </si>
  <si>
    <t xml:space="preserve">14193</t>
  </si>
  <si>
    <t xml:space="preserve">14194</t>
  </si>
  <si>
    <t xml:space="preserve">14195</t>
  </si>
  <si>
    <t xml:space="preserve">14196</t>
  </si>
  <si>
    <t xml:space="preserve">14197</t>
  </si>
  <si>
    <t xml:space="preserve">14198</t>
  </si>
  <si>
    <t xml:space="preserve">Tabela 21 — Segurança (Aba 14)</t>
  </si>
  <si>
    <t xml:space="preserve">14201</t>
  </si>
  <si>
    <t xml:space="preserve">14202</t>
  </si>
  <si>
    <t xml:space="preserve">14203</t>
  </si>
  <si>
    <t xml:space="preserve">14204</t>
  </si>
  <si>
    <t xml:space="preserve">14205</t>
  </si>
  <si>
    <t xml:space="preserve">14206</t>
  </si>
  <si>
    <t xml:space="preserve">14207</t>
  </si>
  <si>
    <t xml:space="preserve">14208</t>
  </si>
  <si>
    <t xml:space="preserve">Tabela 22 — Engenharia (Aba 14)</t>
  </si>
  <si>
    <t xml:space="preserve">14211</t>
  </si>
  <si>
    <t xml:space="preserve">14212</t>
  </si>
  <si>
    <t xml:space="preserve">14213</t>
  </si>
  <si>
    <t xml:space="preserve">14214</t>
  </si>
  <si>
    <t xml:space="preserve">14215</t>
  </si>
  <si>
    <t xml:space="preserve">14216</t>
  </si>
  <si>
    <t xml:space="preserve">14217</t>
  </si>
  <si>
    <t xml:space="preserve">14218</t>
  </si>
  <si>
    <t xml:space="preserve">Tabela 23 — Produto (Aba 14)</t>
  </si>
  <si>
    <t xml:space="preserve">14221</t>
  </si>
  <si>
    <t xml:space="preserve">14222</t>
  </si>
  <si>
    <t xml:space="preserve">14223</t>
  </si>
  <si>
    <t xml:space="preserve">14224</t>
  </si>
  <si>
    <t xml:space="preserve">14225</t>
  </si>
  <si>
    <t xml:space="preserve">14226</t>
  </si>
  <si>
    <t xml:space="preserve">14227</t>
  </si>
  <si>
    <t xml:space="preserve">14228</t>
  </si>
  <si>
    <t xml:space="preserve">Tabela 24 — Design (Aba 14)</t>
  </si>
  <si>
    <t xml:space="preserve">14231</t>
  </si>
  <si>
    <t xml:space="preserve">14232</t>
  </si>
  <si>
    <t xml:space="preserve">14233</t>
  </si>
  <si>
    <t xml:space="preserve">14234</t>
  </si>
  <si>
    <t xml:space="preserve">14235</t>
  </si>
  <si>
    <t xml:space="preserve">14236</t>
  </si>
  <si>
    <t xml:space="preserve">14237</t>
  </si>
  <si>
    <t xml:space="preserve">14238</t>
  </si>
  <si>
    <t xml:space="preserve">Tabela 25 — DevEx (Aba 14)</t>
  </si>
  <si>
    <t xml:space="preserve">14241</t>
  </si>
  <si>
    <t xml:space="preserve">14242</t>
  </si>
  <si>
    <t xml:space="preserve">14243</t>
  </si>
  <si>
    <t xml:space="preserve">14244</t>
  </si>
  <si>
    <t xml:space="preserve">14245</t>
  </si>
  <si>
    <t xml:space="preserve">14246</t>
  </si>
  <si>
    <t xml:space="preserve">14247</t>
  </si>
  <si>
    <t xml:space="preserve">14248</t>
  </si>
  <si>
    <t xml:space="preserve">Tabela 26 — Dados (Aba 14)</t>
  </si>
  <si>
    <t xml:space="preserve">14251</t>
  </si>
  <si>
    <t xml:space="preserve">14252</t>
  </si>
  <si>
    <t xml:space="preserve">14253</t>
  </si>
  <si>
    <t xml:space="preserve">14254</t>
  </si>
  <si>
    <t xml:space="preserve">14255</t>
  </si>
  <si>
    <t xml:space="preserve">14256</t>
  </si>
  <si>
    <t xml:space="preserve">14257</t>
  </si>
  <si>
    <t xml:space="preserve">14258</t>
  </si>
  <si>
    <t xml:space="preserve">Tabela 27 — Infra (Aba 14)</t>
  </si>
  <si>
    <t xml:space="preserve">14261</t>
  </si>
  <si>
    <t xml:space="preserve">14262</t>
  </si>
  <si>
    <t xml:space="preserve">14263</t>
  </si>
  <si>
    <t xml:space="preserve">14264</t>
  </si>
  <si>
    <t xml:space="preserve">14265</t>
  </si>
  <si>
    <t xml:space="preserve">14266</t>
  </si>
  <si>
    <t xml:space="preserve">14267</t>
  </si>
  <si>
    <t xml:space="preserve">14268</t>
  </si>
  <si>
    <t xml:space="preserve">Tabela 28 — Segurança (Aba 14)</t>
  </si>
  <si>
    <t xml:space="preserve">14271</t>
  </si>
  <si>
    <t xml:space="preserve">14272</t>
  </si>
  <si>
    <t xml:space="preserve">14273</t>
  </si>
  <si>
    <t xml:space="preserve">14274</t>
  </si>
  <si>
    <t xml:space="preserve">14275</t>
  </si>
  <si>
    <t xml:space="preserve">14276</t>
  </si>
  <si>
    <t xml:space="preserve">14277</t>
  </si>
  <si>
    <t xml:space="preserve">14278</t>
  </si>
  <si>
    <t xml:space="preserve">Tabela 29 — Engenharia (Aba 14)</t>
  </si>
  <si>
    <t xml:space="preserve">14281</t>
  </si>
  <si>
    <t xml:space="preserve">14282</t>
  </si>
  <si>
    <t xml:space="preserve">14283</t>
  </si>
  <si>
    <t xml:space="preserve">14284</t>
  </si>
  <si>
    <t xml:space="preserve">14285</t>
  </si>
  <si>
    <t xml:space="preserve">14286</t>
  </si>
  <si>
    <t xml:space="preserve">14287</t>
  </si>
  <si>
    <t xml:space="preserve">14288</t>
  </si>
  <si>
    <t xml:space="preserve">Tabela 30 — Produto (Aba 14)</t>
  </si>
  <si>
    <t xml:space="preserve">14291</t>
  </si>
  <si>
    <t xml:space="preserve">14292</t>
  </si>
  <si>
    <t xml:space="preserve">14293</t>
  </si>
  <si>
    <t xml:space="preserve">14294</t>
  </si>
  <si>
    <t xml:space="preserve">14295</t>
  </si>
  <si>
    <t xml:space="preserve">14296</t>
  </si>
  <si>
    <t xml:space="preserve">14297</t>
  </si>
  <si>
    <t xml:space="preserve">14298</t>
  </si>
  <si>
    <t xml:space="preserve">Planilha — Aba 15 | Relatório de Equipe</t>
  </si>
  <si>
    <t xml:space="preserve">Tabela 1 — Engenharia (Aba 15)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</si>
  <si>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</si>
  <si>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</si>
  <si>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</si>
  <si>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</si>
  <si>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</si>
  <si>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</si>
  <si>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</si>
  <si>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</si>
  <si>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Tabela 2 — Produto (Aba 15)</t>
  </si>
  <si>
    <t xml:space="preserve">15011</t>
  </si>
  <si>
    <t xml:space="preserve">15012</t>
  </si>
  <si>
    <t xml:space="preserve">15013</t>
  </si>
  <si>
    <t xml:space="preserve">15014</t>
  </si>
  <si>
    <t xml:space="preserve">15015</t>
  </si>
  <si>
    <t xml:space="preserve">15016</t>
  </si>
  <si>
    <t xml:space="preserve">15017</t>
  </si>
  <si>
    <t xml:space="preserve">15018</t>
  </si>
  <si>
    <t xml:space="preserve">Tabela 3 — Design (Aba 15)</t>
  </si>
  <si>
    <t xml:space="preserve">15021</t>
  </si>
  <si>
    <t xml:space="preserve">15022</t>
  </si>
  <si>
    <t xml:space="preserve">15023</t>
  </si>
  <si>
    <t xml:space="preserve">15024</t>
  </si>
  <si>
    <t xml:space="preserve">15025</t>
  </si>
  <si>
    <t xml:space="preserve">15026</t>
  </si>
  <si>
    <t xml:space="preserve">15027</t>
  </si>
  <si>
    <t xml:space="preserve">15028</t>
  </si>
  <si>
    <t xml:space="preserve">Tabela 4 — DevEx (Aba 15)</t>
  </si>
  <si>
    <t xml:space="preserve">15031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</si>
  <si>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</si>
  <si>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</si>
  <si>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</si>
  <si>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</si>
  <si>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</si>
  <si>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</si>
  <si>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15038</t>
  </si>
  <si>
    <t xml:space="preserve">Tabela 5 — Dados (Aba 15)</t>
  </si>
  <si>
    <t xml:space="preserve">15041</t>
  </si>
  <si>
    <t xml:space="preserve">15042</t>
  </si>
  <si>
    <t xml:space="preserve">15043</t>
  </si>
  <si>
    <t xml:space="preserve">15044</t>
  </si>
  <si>
    <t xml:space="preserve">15045</t>
  </si>
  <si>
    <t xml:space="preserve">15046</t>
  </si>
  <si>
    <t xml:space="preserve">15047</t>
  </si>
  <si>
    <t xml:space="preserve">15048</t>
  </si>
  <si>
    <t xml:space="preserve">Tabela 6 — Infra (Aba 15)</t>
  </si>
  <si>
    <t xml:space="preserve">15051</t>
  </si>
  <si>
    <t xml:space="preserve">15052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</si>
  <si>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</si>
  <si>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</si>
  <si>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</si>
  <si>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</si>
  <si>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</si>
  <si>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</si>
  <si>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Tabela 7 — Segurança (Aba 15)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</si>
  <si>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</si>
  <si>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</si>
  <si>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</si>
  <si>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</si>
  <si>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</si>
  <si>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</si>
  <si>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</si>
  <si>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</si>
  <si>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Tabela 8 — Engenharia (Aba 15)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</si>
  <si>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</si>
  <si>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</si>
  <si>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</si>
  <si>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</si>
  <si>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</si>
  <si>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</si>
  <si>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</si>
  <si>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</si>
  <si>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Tabela 9 — Produto (Aba 15)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</si>
  <si>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</si>
  <si>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</si>
  <si>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</si>
  <si>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</si>
  <si>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</si>
  <si>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</si>
  <si>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</si>
  <si>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</si>
  <si>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Tabela 10 — Design (Aba 15)</t>
  </si>
  <si>
    <t xml:space="preserve">15091</t>
  </si>
  <si>
    <t xml:space="preserve">15092</t>
  </si>
  <si>
    <t xml:space="preserve">15093</t>
  </si>
  <si>
    <t xml:space="preserve">15094</t>
  </si>
  <si>
    <t xml:space="preserve">15095</t>
  </si>
  <si>
    <t xml:space="preserve">15096</t>
  </si>
  <si>
    <t xml:space="preserve">15097</t>
  </si>
  <si>
    <t xml:space="preserve">15098</t>
  </si>
  <si>
    <t xml:space="preserve">Tabela 11 — DevEx (Aba 15)</t>
  </si>
  <si>
    <t xml:space="preserve">15101</t>
  </si>
  <si>
    <t xml:space="preserve">15102</t>
  </si>
  <si>
    <t xml:space="preserve">15103</t>
  </si>
  <si>
    <t xml:space="preserve">15104</t>
  </si>
  <si>
    <t xml:space="preserve">15105</t>
  </si>
  <si>
    <t xml:space="preserve">15106</t>
  </si>
  <si>
    <t xml:space="preserve">15107</t>
  </si>
  <si>
    <t xml:space="preserve">15108</t>
  </si>
  <si>
    <t xml:space="preserve">Tabela 12 — Dados (Aba 15)</t>
  </si>
  <si>
    <t xml:space="preserve">15111</t>
  </si>
  <si>
    <t xml:space="preserve">15112</t>
  </si>
  <si>
    <t xml:space="preserve">15113</t>
  </si>
  <si>
    <t xml:space="preserve">15114</t>
  </si>
  <si>
    <t xml:space="preserve">15115</t>
  </si>
  <si>
    <t xml:space="preserve">15116</t>
  </si>
  <si>
    <t xml:space="preserve">15117</t>
  </si>
  <si>
    <t xml:space="preserve">15118</t>
  </si>
  <si>
    <t xml:space="preserve">Tabela 13 — Infra (Aba 15)</t>
  </si>
  <si>
    <t xml:space="preserve">15121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</si>
  <si>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</si>
  <si>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</si>
  <si>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</si>
  <si>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</si>
  <si>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</si>
  <si>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</si>
  <si>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</si>
  <si>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Tabela 14 — Segurança (Aba 15)</t>
  </si>
  <si>
    <t xml:space="preserve">15131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</si>
  <si>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</si>
  <si>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</si>
  <si>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</si>
  <si>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</si>
  <si>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</si>
  <si>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</si>
  <si>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</si>
  <si>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Tabela 15 — Engenharia (Aba 15)</t>
  </si>
  <si>
    <t xml:space="preserve">15141</t>
  </si>
  <si>
    <t xml:space="preserve">15142</t>
  </si>
  <si>
    <t xml:space="preserve">15143</t>
  </si>
  <si>
    <t xml:space="preserve">15144</t>
  </si>
  <si>
    <t xml:space="preserve">15145</t>
  </si>
  <si>
    <t xml:space="preserve">15146</t>
  </si>
  <si>
    <t xml:space="preserve">15147</t>
  </si>
  <si>
    <t xml:space="preserve">15148</t>
  </si>
  <si>
    <t xml:space="preserve">Tabela 16 — Produto (Aba 15)</t>
  </si>
  <si>
    <t xml:space="preserve">15151</t>
  </si>
  <si>
    <t xml:space="preserve">15152</t>
  </si>
  <si>
    <t xml:space="preserve">15153</t>
  </si>
  <si>
    <t xml:space="preserve">15154</t>
  </si>
  <si>
    <t xml:space="preserve">15155</t>
  </si>
  <si>
    <t xml:space="preserve">15156</t>
  </si>
  <si>
    <t xml:space="preserve">15157</t>
  </si>
  <si>
    <t xml:space="preserve">15158</t>
  </si>
  <si>
    <t xml:space="preserve">Tabela 17 — Design (Aba 15)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</si>
  <si>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</si>
  <si>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</si>
  <si>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</si>
  <si>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</si>
  <si>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</si>
  <si>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</si>
  <si>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</si>
  <si>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</si>
  <si>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Tabela 18 — DevEx (Aba 15)</t>
  </si>
  <si>
    <t xml:space="preserve">15171</t>
  </si>
  <si>
    <t xml:space="preserve">15172</t>
  </si>
  <si>
    <t xml:space="preserve">15173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</si>
  <si>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</si>
  <si>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</si>
  <si>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</si>
  <si>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</si>
  <si>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</si>
  <si>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Tabela 19 — Dados (Aba 15)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</si>
  <si>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</si>
  <si>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</si>
  <si>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</si>
  <si>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</si>
  <si>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</si>
  <si>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</si>
  <si>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</si>
  <si>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</si>
  <si>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Tabela 20 — Infra (Aba 15)</t>
  </si>
  <si>
    <t xml:space="preserve">15191</t>
  </si>
  <si>
    <t xml:space="preserve">15192</t>
  </si>
  <si>
    <t xml:space="preserve">15193</t>
  </si>
  <si>
    <t xml:space="preserve">15194</t>
  </si>
  <si>
    <t xml:space="preserve">15195</t>
  </si>
  <si>
    <t xml:space="preserve">15196</t>
  </si>
  <si>
    <t xml:space="preserve">15197</t>
  </si>
  <si>
    <t xml:space="preserve">15198</t>
  </si>
  <si>
    <t xml:space="preserve">Tabela 21 — Segurança (Aba 15)</t>
  </si>
  <si>
    <t xml:space="preserve">15201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</si>
  <si>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</si>
  <si>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</si>
  <si>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</si>
  <si>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</si>
  <si>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</si>
  <si>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</si>
  <si>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</si>
  <si>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Tabela 22 — Engenharia (Aba 15)</t>
  </si>
  <si>
    <t xml:space="preserve">15211</t>
  </si>
  <si>
    <t xml:space="preserve">15212</t>
  </si>
  <si>
    <t xml:space="preserve">15213</t>
  </si>
  <si>
    <t xml:space="preserve">15214</t>
  </si>
  <si>
    <t xml:space="preserve">15215</t>
  </si>
  <si>
    <t xml:space="preserve">15216</t>
  </si>
  <si>
    <t xml:space="preserve">15217</t>
  </si>
  <si>
    <t xml:space="preserve">15218</t>
  </si>
  <si>
    <t xml:space="preserve">Tabela 23 — Produto (Aba 15)</t>
  </si>
  <si>
    <t xml:space="preserve">15221</t>
  </si>
  <si>
    <t xml:space="preserve">15222</t>
  </si>
  <si>
    <t xml:space="preserve">15223</t>
  </si>
  <si>
    <t xml:space="preserve">15224</t>
  </si>
  <si>
    <t xml:space="preserve">15225</t>
  </si>
  <si>
    <t xml:space="preserve">15226</t>
  </si>
  <si>
    <t xml:space="preserve">15227</t>
  </si>
  <si>
    <t xml:space="preserve">15228</t>
  </si>
  <si>
    <t xml:space="preserve">Tabela 24 — Design (Aba 15)</t>
  </si>
  <si>
    <t xml:space="preserve">15231</t>
  </si>
  <si>
    <t xml:space="preserve">15232</t>
  </si>
  <si>
    <t xml:space="preserve">15233</t>
  </si>
  <si>
    <t xml:space="preserve">15234</t>
  </si>
  <si>
    <t xml:space="preserve">15235</t>
  </si>
  <si>
    <t xml:space="preserve">15236</t>
  </si>
  <si>
    <t xml:space="preserve">15237</t>
  </si>
  <si>
    <t xml:space="preserve">15238</t>
  </si>
  <si>
    <t xml:space="preserve">Tabela 25 — DevEx (Aba 15)</t>
  </si>
  <si>
    <t xml:space="preserve">15241</t>
  </si>
  <si>
    <t xml:space="preserve">15242</t>
  </si>
  <si>
    <t xml:space="preserve">15243</t>
  </si>
  <si>
    <t xml:space="preserve">15244</t>
  </si>
  <si>
    <t xml:space="preserve">15245</t>
  </si>
  <si>
    <t xml:space="preserve">15246</t>
  </si>
  <si>
    <t xml:space="preserve">15247</t>
  </si>
  <si>
    <t xml:space="preserve">15248</t>
  </si>
  <si>
    <t xml:space="preserve">Tabela 26 — Dados (Aba 15)</t>
  </si>
  <si>
    <t xml:space="preserve">15251</t>
  </si>
  <si>
    <t xml:space="preserve">15252</t>
  </si>
  <si>
    <t xml:space="preserve">15253</t>
  </si>
  <si>
    <t xml:space="preserve">15254</t>
  </si>
  <si>
    <t xml:space="preserve">15255</t>
  </si>
  <si>
    <t xml:space="preserve">15256</t>
  </si>
  <si>
    <t xml:space="preserve">15257</t>
  </si>
  <si>
    <t xml:space="preserve">15258</t>
  </si>
  <si>
    <t xml:space="preserve">Tabela 27 — Infra (Aba 15)</t>
  </si>
  <si>
    <t xml:space="preserve">15261</t>
  </si>
  <si>
    <t xml:space="preserve">15262</t>
  </si>
  <si>
    <t xml:space="preserve">15263</t>
  </si>
  <si>
    <t xml:space="preserve">15264</t>
  </si>
  <si>
    <t xml:space="preserve">15265</t>
  </si>
  <si>
    <t xml:space="preserve">15266</t>
  </si>
  <si>
    <t xml:space="preserve">15267</t>
  </si>
  <si>
    <t xml:space="preserve">15268</t>
  </si>
  <si>
    <t xml:space="preserve">Tabela 28 — Segurança (Aba 15)</t>
  </si>
  <si>
    <t xml:space="preserve">15271</t>
  </si>
  <si>
    <t xml:space="preserve">15272</t>
  </si>
  <si>
    <t xml:space="preserve">15273</t>
  </si>
  <si>
    <t xml:space="preserve">15274</t>
  </si>
  <si>
    <t xml:space="preserve">15275</t>
  </si>
  <si>
    <t xml:space="preserve">15276</t>
  </si>
  <si>
    <t xml:space="preserve">15277</t>
  </si>
  <si>
    <t xml:space="preserve">15278</t>
  </si>
  <si>
    <t xml:space="preserve">Tabela 29 — Engenharia (Aba 15)</t>
  </si>
  <si>
    <t xml:space="preserve">15281</t>
  </si>
  <si>
    <t xml:space="preserve">15282</t>
  </si>
  <si>
    <t xml:space="preserve">15283</t>
  </si>
  <si>
    <t xml:space="preserve">15284</t>
  </si>
  <si>
    <t xml:space="preserve">15285</t>
  </si>
  <si>
    <t xml:space="preserve">15286</t>
  </si>
  <si>
    <t xml:space="preserve">15287</t>
  </si>
  <si>
    <t xml:space="preserve">15288</t>
  </si>
  <si>
    <t xml:space="preserve">Tabela 30 — Produto (Aba 15)</t>
  </si>
  <si>
    <t xml:space="preserve">15291</t>
  </si>
  <si>
    <t xml:space="preserve">15292</t>
  </si>
  <si>
    <t xml:space="preserve">15293</t>
  </si>
  <si>
    <t xml:space="preserve">15294</t>
  </si>
  <si>
    <t xml:space="preserve">15295</t>
  </si>
  <si>
    <t xml:space="preserve">15296</t>
  </si>
  <si>
    <t xml:space="preserve">15297</t>
  </si>
  <si>
    <t xml:space="preserve">15298</t>
  </si>
  <si>
    <t xml:space="preserve">Planilha — Aba 16 | Relatório de Equipe</t>
  </si>
  <si>
    <t xml:space="preserve">Tabela 1 — Engenharia (Aba 16)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</si>
  <si>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</si>
  <si>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</si>
  <si>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</si>
  <si>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</si>
  <si>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</si>
  <si>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</si>
  <si>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</si>
  <si>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</si>
  <si>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Tabela 2 — Produto (Aba 16)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</si>
  <si>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</si>
  <si>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</si>
  <si>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</si>
  <si>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</si>
  <si>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</si>
  <si>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</si>
  <si>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</si>
  <si>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</si>
  <si>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Tabela 3 — Design (Aba 16)</t>
  </si>
  <si>
    <t xml:space="preserve">16021</t>
  </si>
  <si>
    <t xml:space="preserve">16022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</si>
  <si>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</si>
  <si>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</si>
  <si>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</si>
  <si>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</si>
  <si>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</si>
  <si>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</si>
  <si>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Tabela 4 — DevEx (Aba 16)</t>
  </si>
  <si>
    <t xml:space="preserve">16031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</si>
  <si>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</si>
  <si>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</si>
  <si>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</si>
  <si>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</si>
  <si>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</si>
  <si>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</si>
  <si>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16038</t>
  </si>
  <si>
    <t xml:space="preserve">Tabela 5 — Dados (Aba 16)</t>
  </si>
  <si>
    <t xml:space="preserve">16041</t>
  </si>
  <si>
    <t xml:space="preserve">16042</t>
  </si>
  <si>
    <t xml:space="preserve">16043</t>
  </si>
  <si>
    <t xml:space="preserve">16044</t>
  </si>
  <si>
    <t xml:space="preserve">16045</t>
  </si>
  <si>
    <t xml:space="preserve">16046</t>
  </si>
  <si>
    <t xml:space="preserve">16047</t>
  </si>
  <si>
    <t xml:space="preserve">16048</t>
  </si>
  <si>
    <t xml:space="preserve">Tabela 6 — Infra (Aba 16)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</si>
  <si>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</si>
  <si>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</si>
  <si>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</si>
  <si>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</si>
  <si>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</si>
  <si>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</si>
  <si>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16057</t>
  </si>
  <si>
    <t xml:space="preserve">16058</t>
  </si>
  <si>
    <t xml:space="preserve">Tabela 7 — Segurança (Aba 16)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</si>
  <si>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</si>
  <si>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</si>
  <si>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</si>
  <si>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</si>
  <si>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</si>
  <si>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</si>
  <si>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</si>
  <si>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</si>
  <si>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Tabela 8 — Engenharia (Aba 16)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</si>
  <si>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</si>
  <si>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</si>
  <si>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</si>
  <si>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</si>
  <si>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</si>
  <si>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</si>
  <si>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</si>
  <si>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</si>
  <si>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Tabela 9 — Produto (Aba 16)</t>
  </si>
  <si>
    <t xml:space="preserve">16081</t>
  </si>
  <si>
    <t xml:space="preserve">16082</t>
  </si>
  <si>
    <t xml:space="preserve">16083</t>
  </si>
  <si>
    <t xml:space="preserve">16084</t>
  </si>
  <si>
    <t xml:space="preserve">16085</t>
  </si>
  <si>
    <t xml:space="preserve">16086</t>
  </si>
  <si>
    <t xml:space="preserve">16087</t>
  </si>
  <si>
    <t xml:space="preserve">16088</t>
  </si>
  <si>
    <t xml:space="preserve">Tabela 10 — Design (Aba 16)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</si>
  <si>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</si>
  <si>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</si>
  <si>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</si>
  <si>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</si>
  <si>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</si>
  <si>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16096</t>
  </si>
  <si>
    <t xml:space="preserve">16097</t>
  </si>
  <si>
    <t xml:space="preserve">16098</t>
  </si>
  <si>
    <t xml:space="preserve">Tabela 11 — DevEx (Aba 16)</t>
  </si>
  <si>
    <t xml:space="preserve">16101</t>
  </si>
  <si>
    <t xml:space="preserve">16102</t>
  </si>
  <si>
    <t xml:space="preserve">16103</t>
  </si>
  <si>
    <t xml:space="preserve">16104</t>
  </si>
  <si>
    <t xml:space="preserve">16105</t>
  </si>
  <si>
    <t xml:space="preserve">16106</t>
  </si>
  <si>
    <t xml:space="preserve">16107</t>
  </si>
  <si>
    <t xml:space="preserve">16108</t>
  </si>
  <si>
    <t xml:space="preserve">Tabela 12 — Dados (Aba 16)</t>
  </si>
  <si>
    <t xml:space="preserve">16111</t>
  </si>
  <si>
    <t xml:space="preserve">16112</t>
  </si>
  <si>
    <t xml:space="preserve">16113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</si>
  <si>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</si>
  <si>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</si>
  <si>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</si>
  <si>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</si>
  <si>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</si>
  <si>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Tabela 13 — Infra (Aba 16)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</si>
  <si>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</si>
  <si>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</si>
  <si>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</si>
  <si>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</si>
  <si>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</si>
  <si>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</si>
  <si>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</si>
  <si>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16128</t>
  </si>
  <si>
    <t xml:space="preserve">Tabela 14 — Segurança (Aba 16)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</si>
  <si>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</si>
  <si>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</si>
  <si>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</si>
  <si>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</si>
  <si>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</si>
  <si>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</si>
  <si>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</si>
  <si>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</si>
  <si>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Tabela 15 — Engenharia (Aba 16)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</si>
  <si>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</si>
  <si>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</si>
  <si>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</si>
  <si>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</si>
  <si>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</si>
  <si>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</si>
  <si>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</si>
  <si>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</si>
  <si>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Tabela 16 — Produto (Aba 16)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</si>
  <si>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</si>
  <si>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</si>
  <si>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</si>
  <si>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</si>
  <si>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</si>
  <si>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</si>
  <si>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</si>
  <si>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</si>
  <si>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Tabela 17 — Design (Aba 16)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</si>
  <si>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</si>
  <si>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</si>
  <si>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</si>
  <si>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</si>
  <si>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</si>
  <si>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</si>
  <si>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</si>
  <si>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</si>
  <si>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Tabela 18 — DevEx (Aba 16)</t>
  </si>
  <si>
    <t xml:space="preserve">16171</t>
  </si>
  <si>
    <t xml:space="preserve">16172</t>
  </si>
  <si>
    <t xml:space="preserve">16173</t>
  </si>
  <si>
    <t xml:space="preserve">16174</t>
  </si>
  <si>
    <t xml:space="preserve">16175</t>
  </si>
  <si>
    <t xml:space="preserve">16176</t>
  </si>
  <si>
    <t xml:space="preserve">16177</t>
  </si>
  <si>
    <t xml:space="preserve">16178</t>
  </si>
  <si>
    <t xml:space="preserve">Tabela 19 — Dados (Aba 16)</t>
  </si>
  <si>
    <t xml:space="preserve">16181</t>
  </si>
  <si>
    <t xml:space="preserve">16182</t>
  </si>
  <si>
    <t xml:space="preserve">16183</t>
  </si>
  <si>
    <t xml:space="preserve">16184</t>
  </si>
  <si>
    <t xml:space="preserve">16185</t>
  </si>
  <si>
    <t xml:space="preserve">16186</t>
  </si>
  <si>
    <t xml:space="preserve">16187</t>
  </si>
  <si>
    <t xml:space="preserve">16188</t>
  </si>
  <si>
    <t xml:space="preserve">Tabela 20 — Infra (Aba 16)</t>
  </si>
  <si>
    <t xml:space="preserve">16191</t>
  </si>
  <si>
    <t xml:space="preserve">16192</t>
  </si>
  <si>
    <t xml:space="preserve">16193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</si>
  <si>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</si>
  <si>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</si>
  <si>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</si>
  <si>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</si>
  <si>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</si>
  <si>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Tabela 21 — Segurança (Aba 16)</t>
  </si>
  <si>
    <t xml:space="preserve">16201</t>
  </si>
  <si>
    <t xml:space="preserve">16202</t>
  </si>
  <si>
    <t xml:space="preserve">16203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</si>
  <si>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</si>
  <si>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</si>
  <si>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</si>
  <si>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</si>
  <si>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</si>
  <si>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Tabela 22 — Engenharia (Aba 16)</t>
  </si>
  <si>
    <t xml:space="preserve">16211</t>
  </si>
  <si>
    <t xml:space="preserve">16212</t>
  </si>
  <si>
    <t xml:space="preserve">16213</t>
  </si>
  <si>
    <t xml:space="preserve">16214</t>
  </si>
  <si>
    <t xml:space="preserve">16215</t>
  </si>
  <si>
    <t xml:space="preserve">16216</t>
  </si>
  <si>
    <t xml:space="preserve">16217</t>
  </si>
  <si>
    <t xml:space="preserve">16218</t>
  </si>
  <si>
    <t xml:space="preserve">Tabela 23 — Produto (Aba 16)</t>
  </si>
  <si>
    <t xml:space="preserve">16221</t>
  </si>
  <si>
    <t xml:space="preserve">16222</t>
  </si>
  <si>
    <t xml:space="preserve">16223</t>
  </si>
  <si>
    <t xml:space="preserve">16224</t>
  </si>
  <si>
    <t xml:space="preserve">16225</t>
  </si>
  <si>
    <t xml:space="preserve">16226</t>
  </si>
  <si>
    <t xml:space="preserve">16227</t>
  </si>
  <si>
    <t xml:space="preserve">16228</t>
  </si>
  <si>
    <t xml:space="preserve">Tabela 24 — Design (Aba 16)</t>
  </si>
  <si>
    <t xml:space="preserve">16231</t>
  </si>
  <si>
    <t xml:space="preserve">16232</t>
  </si>
  <si>
    <t xml:space="preserve">16233</t>
  </si>
  <si>
    <t xml:space="preserve">16234</t>
  </si>
  <si>
    <t xml:space="preserve">16235</t>
  </si>
  <si>
    <t xml:space="preserve">16236</t>
  </si>
  <si>
    <t xml:space="preserve">16237</t>
  </si>
  <si>
    <t xml:space="preserve">16238</t>
  </si>
  <si>
    <t xml:space="preserve">Tabela 25 — DevEx (Aba 16)</t>
  </si>
  <si>
    <t xml:space="preserve">16241</t>
  </si>
  <si>
    <t xml:space="preserve">16242</t>
  </si>
  <si>
    <t xml:space="preserve">16243</t>
  </si>
  <si>
    <t xml:space="preserve">16244</t>
  </si>
  <si>
    <t xml:space="preserve">16245</t>
  </si>
  <si>
    <t xml:space="preserve">16246</t>
  </si>
  <si>
    <t xml:space="preserve">16247</t>
  </si>
  <si>
    <t xml:space="preserve">16248</t>
  </si>
  <si>
    <t xml:space="preserve">Tabela 26 — Dados (Aba 16)</t>
  </si>
  <si>
    <t xml:space="preserve">16251</t>
  </si>
  <si>
    <t xml:space="preserve">16252</t>
  </si>
  <si>
    <t xml:space="preserve">16253</t>
  </si>
  <si>
    <t xml:space="preserve">16254</t>
  </si>
  <si>
    <t xml:space="preserve">16255</t>
  </si>
  <si>
    <t xml:space="preserve">16256</t>
  </si>
  <si>
    <t xml:space="preserve">16257</t>
  </si>
  <si>
    <t xml:space="preserve">16258</t>
  </si>
  <si>
    <t xml:space="preserve">Tabela 27 — Infra (Aba 16)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</si>
  <si>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</si>
  <si>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</si>
  <si>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</si>
  <si>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</si>
  <si>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</si>
  <si>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</si>
  <si>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16267</t>
  </si>
  <si>
    <t xml:space="preserve">16268</t>
  </si>
  <si>
    <t xml:space="preserve">Tabela 28 — Segurança (Aba 16)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</si>
  <si>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</si>
  <si>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</si>
  <si>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</si>
  <si>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</si>
  <si>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</si>
  <si>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</si>
  <si>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</si>
  <si>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</si>
  <si>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Tabela 29 — Engenharia (Aba 16)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</si>
  <si>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</si>
  <si>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</si>
  <si>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</si>
  <si>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</si>
  <si>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</si>
  <si>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</si>
  <si>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</si>
  <si>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16288</t>
  </si>
  <si>
    <t xml:space="preserve">Tabela 30 — Produto (Aba 16)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</si>
  <si>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</si>
  <si>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</si>
  <si>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</si>
  <si>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</si>
  <si>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</si>
  <si>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</si>
  <si>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</si>
  <si>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</si>
  <si>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Planilha — Aba 17 | Relatório de Equipe</t>
  </si>
  <si>
    <t xml:space="preserve">Tabela 1 — Engenharia (Aba 17)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</si>
  <si>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</si>
  <si>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</si>
  <si>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</si>
  <si>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</si>
  <si>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</si>
  <si>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</si>
  <si>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</si>
  <si>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</si>
  <si>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Tabela 2 — Produto (Aba 17)</t>
  </si>
  <si>
    <t xml:space="preserve">17011</t>
  </si>
  <si>
    <t xml:space="preserve">17012</t>
  </si>
  <si>
    <t xml:space="preserve">17013</t>
  </si>
  <si>
    <t xml:space="preserve">17014</t>
  </si>
  <si>
    <t xml:space="preserve">17015</t>
  </si>
  <si>
    <t xml:space="preserve">17016</t>
  </si>
  <si>
    <t xml:space="preserve">17017</t>
  </si>
  <si>
    <t xml:space="preserve">17018</t>
  </si>
  <si>
    <t xml:space="preserve">Tabela 3 — Design (Aba 17)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</si>
  <si>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</si>
  <si>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</si>
  <si>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</si>
  <si>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</si>
  <si>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</si>
  <si>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</si>
  <si>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</si>
  <si>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</si>
  <si>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Tabela 4 — DevEx (Aba 17)</t>
  </si>
  <si>
    <t xml:space="preserve">17031</t>
  </si>
  <si>
    <t xml:space="preserve">17032</t>
  </si>
  <si>
    <t xml:space="preserve">17033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</si>
  <si>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</si>
  <si>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</si>
  <si>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</si>
  <si>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</si>
  <si>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</si>
  <si>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Tabela 5 — Dados (Aba 17)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</si>
  <si>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</si>
  <si>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</si>
  <si>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</si>
  <si>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</si>
  <si>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</si>
  <si>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</si>
  <si>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</si>
  <si>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</si>
  <si>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Tabela 6 — Infra (Aba 17)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</si>
  <si>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</si>
  <si>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</si>
  <si>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</si>
  <si>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</si>
  <si>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</si>
  <si>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</si>
  <si>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</si>
  <si>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</si>
  <si>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Tabela 7 — Segurança (Aba 17)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</si>
  <si>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</si>
  <si>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</si>
  <si>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</si>
  <si>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</si>
  <si>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</si>
  <si>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17066</t>
  </si>
  <si>
    <t xml:space="preserve">17067</t>
  </si>
  <si>
    <t xml:space="preserve">17068</t>
  </si>
  <si>
    <t xml:space="preserve">Tabela 8 — Engenharia (Aba 17)</t>
  </si>
  <si>
    <t xml:space="preserve">17071</t>
  </si>
  <si>
    <t xml:space="preserve">17072</t>
  </si>
  <si>
    <t xml:space="preserve">17073</t>
  </si>
  <si>
    <t xml:space="preserve">17074</t>
  </si>
  <si>
    <t xml:space="preserve">17075</t>
  </si>
  <si>
    <t xml:space="preserve">17076</t>
  </si>
  <si>
    <t xml:space="preserve">17077</t>
  </si>
  <si>
    <t xml:space="preserve">17078</t>
  </si>
  <si>
    <t xml:space="preserve">Tabela 9 — Produto (Aba 17)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</si>
  <si>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</si>
  <si>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</si>
  <si>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</si>
  <si>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</si>
  <si>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</si>
  <si>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</si>
  <si>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</si>
  <si>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</si>
  <si>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Tabela 10 — Design (Aba 17)</t>
  </si>
  <si>
    <t xml:space="preserve">17091</t>
  </si>
  <si>
    <t xml:space="preserve">17092</t>
  </si>
  <si>
    <t xml:space="preserve">17093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</si>
  <si>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</si>
  <si>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</si>
  <si>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</si>
  <si>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</si>
  <si>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</si>
  <si>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Tabela 11 — DevEx (Aba 17)</t>
  </si>
  <si>
    <t xml:space="preserve">17101</t>
  </si>
  <si>
    <t xml:space="preserve">17102</t>
  </si>
  <si>
    <t xml:space="preserve">17103</t>
  </si>
  <si>
    <t xml:space="preserve">17104</t>
  </si>
  <si>
    <t xml:space="preserve">17105</t>
  </si>
  <si>
    <t xml:space="preserve">17106</t>
  </si>
  <si>
    <t xml:space="preserve">17107</t>
  </si>
  <si>
    <t xml:space="preserve">17108</t>
  </si>
  <si>
    <t xml:space="preserve">Tabela 12 — Dados (Aba 17)</t>
  </si>
  <si>
    <t xml:space="preserve">17111</t>
  </si>
  <si>
    <t xml:space="preserve">17112</t>
  </si>
  <si>
    <t xml:space="preserve">17113</t>
  </si>
  <si>
    <t xml:space="preserve">17114</t>
  </si>
  <si>
    <t xml:space="preserve">17115</t>
  </si>
  <si>
    <t xml:space="preserve">17116</t>
  </si>
  <si>
    <t xml:space="preserve">17117</t>
  </si>
  <si>
    <t xml:space="preserve">17118</t>
  </si>
  <si>
    <t xml:space="preserve">Tabela 13 — Infra (Aba 17)</t>
  </si>
  <si>
    <t xml:space="preserve">17121</t>
  </si>
  <si>
    <t xml:space="preserve">17122</t>
  </si>
  <si>
    <t xml:space="preserve">17123</t>
  </si>
  <si>
    <t xml:space="preserve">17124</t>
  </si>
  <si>
    <t xml:space="preserve">17125</t>
  </si>
  <si>
    <t xml:space="preserve">17126</t>
  </si>
  <si>
    <t xml:space="preserve">17127</t>
  </si>
  <si>
    <t xml:space="preserve">17128</t>
  </si>
  <si>
    <t xml:space="preserve">Tabela 14 — Segurança (Aba 17)</t>
  </si>
  <si>
    <t xml:space="preserve">17131</t>
  </si>
  <si>
    <t xml:space="preserve">17132</t>
  </si>
  <si>
    <t xml:space="preserve">17133</t>
  </si>
  <si>
    <t xml:space="preserve">17134</t>
  </si>
  <si>
    <t xml:space="preserve">17135</t>
  </si>
  <si>
    <t xml:space="preserve">17136</t>
  </si>
  <si>
    <t xml:space="preserve">17137</t>
  </si>
  <si>
    <t xml:space="preserve">17138</t>
  </si>
  <si>
    <t xml:space="preserve">Tabela 15 — Engenharia (Aba 17)</t>
  </si>
  <si>
    <t xml:space="preserve">17141</t>
  </si>
  <si>
    <t xml:space="preserve">17142</t>
  </si>
  <si>
    <t xml:space="preserve">17143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</si>
  <si>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</si>
  <si>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</si>
  <si>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</si>
  <si>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</si>
  <si>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</si>
  <si>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Tabela 16 — Produto (Aba 17)</t>
  </si>
  <si>
    <t xml:space="preserve">17151</t>
  </si>
  <si>
    <t xml:space="preserve">17152</t>
  </si>
  <si>
    <t xml:space="preserve">17153</t>
  </si>
  <si>
    <t xml:space="preserve">17154</t>
  </si>
  <si>
    <t xml:space="preserve">17155</t>
  </si>
  <si>
    <t xml:space="preserve">17156</t>
  </si>
  <si>
    <t xml:space="preserve">17157</t>
  </si>
  <si>
    <t xml:space="preserve">17158</t>
  </si>
  <si>
    <t xml:space="preserve">Tabela 17 — Design (Aba 17)</t>
  </si>
  <si>
    <t xml:space="preserve">17161</t>
  </si>
  <si>
    <t xml:space="preserve">17162</t>
  </si>
  <si>
    <t xml:space="preserve">17163</t>
  </si>
  <si>
    <t xml:space="preserve">17164</t>
  </si>
  <si>
    <t xml:space="preserve">17165</t>
  </si>
  <si>
    <t xml:space="preserve">17166</t>
  </si>
  <si>
    <t xml:space="preserve">17167</t>
  </si>
  <si>
    <t xml:space="preserve">17168</t>
  </si>
  <si>
    <t xml:space="preserve">Tabela 18 — DevEx (Aba 17)</t>
  </si>
  <si>
    <t xml:space="preserve">17171</t>
  </si>
  <si>
    <t xml:space="preserve">17172</t>
  </si>
  <si>
    <t xml:space="preserve">17173</t>
  </si>
  <si>
    <t xml:space="preserve">17174</t>
  </si>
  <si>
    <t xml:space="preserve">17175</t>
  </si>
  <si>
    <t xml:space="preserve">17176</t>
  </si>
  <si>
    <t xml:space="preserve">17177</t>
  </si>
  <si>
    <t xml:space="preserve">17178</t>
  </si>
  <si>
    <t xml:space="preserve">Tabela 19 — Dados (Aba 17)</t>
  </si>
  <si>
    <t xml:space="preserve">17181</t>
  </si>
  <si>
    <t xml:space="preserve">17182</t>
  </si>
  <si>
    <t xml:space="preserve">17183</t>
  </si>
  <si>
    <t xml:space="preserve">17184</t>
  </si>
  <si>
    <t xml:space="preserve">17185</t>
  </si>
  <si>
    <t xml:space="preserve">17186</t>
  </si>
  <si>
    <t xml:space="preserve">17187</t>
  </si>
  <si>
    <t xml:space="preserve">17188</t>
  </si>
  <si>
    <t xml:space="preserve">Tabela 20 — Infra (Aba 17)</t>
  </si>
  <si>
    <t xml:space="preserve">17191</t>
  </si>
  <si>
    <t xml:space="preserve">17192</t>
  </si>
  <si>
    <t xml:space="preserve">17193</t>
  </si>
  <si>
    <t xml:space="preserve">17194</t>
  </si>
  <si>
    <t xml:space="preserve">17195</t>
  </si>
  <si>
    <t xml:space="preserve">17196</t>
  </si>
  <si>
    <t xml:space="preserve">17197</t>
  </si>
  <si>
    <t xml:space="preserve">17198</t>
  </si>
  <si>
    <t xml:space="preserve">Tabela 21 — Segurança (Aba 17)</t>
  </si>
  <si>
    <t xml:space="preserve">17201</t>
  </si>
  <si>
    <t xml:space="preserve">17202</t>
  </si>
  <si>
    <t xml:space="preserve">17203</t>
  </si>
  <si>
    <t xml:space="preserve">17204</t>
  </si>
  <si>
    <t xml:space="preserve">17205</t>
  </si>
  <si>
    <t xml:space="preserve">17206</t>
  </si>
  <si>
    <t xml:space="preserve">17207</t>
  </si>
  <si>
    <t xml:space="preserve">17208</t>
  </si>
  <si>
    <t xml:space="preserve">Tabela 22 — Engenharia (Aba 17)</t>
  </si>
  <si>
    <t xml:space="preserve">17211</t>
  </si>
  <si>
    <t xml:space="preserve">17212</t>
  </si>
  <si>
    <t xml:space="preserve">17213</t>
  </si>
  <si>
    <t xml:space="preserve">17214</t>
  </si>
  <si>
    <t xml:space="preserve">17215</t>
  </si>
  <si>
    <t xml:space="preserve">17216</t>
  </si>
  <si>
    <t xml:space="preserve">17217</t>
  </si>
  <si>
    <t xml:space="preserve">17218</t>
  </si>
  <si>
    <t xml:space="preserve">Tabela 23 — Produto (Aba 17)</t>
  </si>
  <si>
    <t xml:space="preserve">17221</t>
  </si>
  <si>
    <t xml:space="preserve">17222</t>
  </si>
  <si>
    <t xml:space="preserve">17223</t>
  </si>
  <si>
    <t xml:space="preserve">17224</t>
  </si>
  <si>
    <t xml:space="preserve">17225</t>
  </si>
  <si>
    <t xml:space="preserve">17226</t>
  </si>
  <si>
    <t xml:space="preserve">17227</t>
  </si>
  <si>
    <t xml:space="preserve">17228</t>
  </si>
  <si>
    <t xml:space="preserve">Tabela 24 — Design (Aba 17)</t>
  </si>
  <si>
    <t xml:space="preserve">17231</t>
  </si>
  <si>
    <t xml:space="preserve">17232</t>
  </si>
  <si>
    <t xml:space="preserve">17233</t>
  </si>
  <si>
    <t xml:space="preserve">17234</t>
  </si>
  <si>
    <t xml:space="preserve">17235</t>
  </si>
  <si>
    <t xml:space="preserve">17236</t>
  </si>
  <si>
    <t xml:space="preserve">17237</t>
  </si>
  <si>
    <t xml:space="preserve">17238</t>
  </si>
  <si>
    <t xml:space="preserve">Tabela 25 — DevEx (Aba 17)</t>
  </si>
  <si>
    <t xml:space="preserve">17241</t>
  </si>
  <si>
    <t xml:space="preserve">17242</t>
  </si>
  <si>
    <t xml:space="preserve">17243</t>
  </si>
  <si>
    <t xml:space="preserve">17244</t>
  </si>
  <si>
    <t xml:space="preserve">17245</t>
  </si>
  <si>
    <t xml:space="preserve">17246</t>
  </si>
  <si>
    <t xml:space="preserve">17247</t>
  </si>
  <si>
    <t xml:space="preserve">17248</t>
  </si>
  <si>
    <t xml:space="preserve">Tabela 26 — Dados (Aba 17)</t>
  </si>
  <si>
    <t xml:space="preserve">17251</t>
  </si>
  <si>
    <t xml:space="preserve">17252</t>
  </si>
  <si>
    <t xml:space="preserve">17253</t>
  </si>
  <si>
    <t xml:space="preserve">17254</t>
  </si>
  <si>
    <t xml:space="preserve">17255</t>
  </si>
  <si>
    <t xml:space="preserve">17256</t>
  </si>
  <si>
    <t xml:space="preserve">17257</t>
  </si>
  <si>
    <t xml:space="preserve">17258</t>
  </si>
  <si>
    <t xml:space="preserve">Tabela 27 — Infra (Aba 17)</t>
  </si>
  <si>
    <t xml:space="preserve">17261</t>
  </si>
  <si>
    <t xml:space="preserve">17262</t>
  </si>
  <si>
    <t xml:space="preserve">17263</t>
  </si>
  <si>
    <t xml:space="preserve">17264</t>
  </si>
  <si>
    <t xml:space="preserve">17265</t>
  </si>
  <si>
    <t xml:space="preserve">17266</t>
  </si>
  <si>
    <t xml:space="preserve">17267</t>
  </si>
  <si>
    <t xml:space="preserve">17268</t>
  </si>
  <si>
    <t xml:space="preserve">Tabela 28 — Segurança (Aba 17)</t>
  </si>
  <si>
    <t xml:space="preserve">17271</t>
  </si>
  <si>
    <t xml:space="preserve">17272</t>
  </si>
  <si>
    <t xml:space="preserve">17273</t>
  </si>
  <si>
    <t xml:space="preserve">17274</t>
  </si>
  <si>
    <t xml:space="preserve">17275</t>
  </si>
  <si>
    <t xml:space="preserve">17276</t>
  </si>
  <si>
    <t xml:space="preserve">17277</t>
  </si>
  <si>
    <t xml:space="preserve">17278</t>
  </si>
  <si>
    <t xml:space="preserve">Tabela 29 — Engenharia (Aba 17)</t>
  </si>
  <si>
    <t xml:space="preserve">17281</t>
  </si>
  <si>
    <t xml:space="preserve">17282</t>
  </si>
  <si>
    <t xml:space="preserve">17283</t>
  </si>
  <si>
    <t xml:space="preserve">17284</t>
  </si>
  <si>
    <t xml:space="preserve">17285</t>
  </si>
  <si>
    <t xml:space="preserve">17286</t>
  </si>
  <si>
    <t xml:space="preserve">17287</t>
  </si>
  <si>
    <t xml:space="preserve">17288</t>
  </si>
  <si>
    <t xml:space="preserve">Tabela 30 — Produto (Aba 17)</t>
  </si>
  <si>
    <t xml:space="preserve">17291</t>
  </si>
  <si>
    <t xml:space="preserve">17292</t>
  </si>
  <si>
    <t xml:space="preserve">17293</t>
  </si>
  <si>
    <t xml:space="preserve">17294</t>
  </si>
  <si>
    <t xml:space="preserve">17295</t>
  </si>
  <si>
    <t xml:space="preserve">17296</t>
  </si>
  <si>
    <t xml:space="preserve">17297</t>
  </si>
  <si>
    <t xml:space="preserve">17298</t>
  </si>
  <si>
    <t xml:space="preserve">Planilha — Aba 18 | Relatório de Equipe</t>
  </si>
  <si>
    <t xml:space="preserve">Tabela 1 — Engenharia (Aba 18)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</si>
  <si>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</si>
  <si>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</si>
  <si>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</si>
  <si>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</si>
  <si>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</si>
  <si>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</si>
  <si>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</si>
  <si>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</si>
  <si>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Tabela 2 — Produto (Aba 18)</t>
  </si>
  <si>
    <t xml:space="preserve">18011</t>
  </si>
  <si>
    <t xml:space="preserve">18012</t>
  </si>
  <si>
    <t xml:space="preserve">18013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</si>
  <si>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</si>
  <si>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</si>
  <si>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</si>
  <si>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</si>
  <si>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</si>
  <si>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Tabela 3 — Design (Aba 18)</t>
  </si>
  <si>
    <t xml:space="preserve">18021</t>
  </si>
  <si>
    <t xml:space="preserve">18022</t>
  </si>
  <si>
    <t xml:space="preserve">18023</t>
  </si>
  <si>
    <t xml:space="preserve">18024</t>
  </si>
  <si>
    <t xml:space="preserve">18025</t>
  </si>
  <si>
    <t xml:space="preserve">18026</t>
  </si>
  <si>
    <t xml:space="preserve">18027</t>
  </si>
  <si>
    <t xml:space="preserve">18028</t>
  </si>
  <si>
    <t xml:space="preserve">Tabela 4 — DevEx (Aba 18)</t>
  </si>
  <si>
    <t xml:space="preserve">18031</t>
  </si>
  <si>
    <t xml:space="preserve">18032</t>
  </si>
  <si>
    <t xml:space="preserve">18033</t>
  </si>
  <si>
    <t xml:space="preserve">18034</t>
  </si>
  <si>
    <t xml:space="preserve">18035</t>
  </si>
  <si>
    <t xml:space="preserve">18036</t>
  </si>
  <si>
    <t xml:space="preserve">18037</t>
  </si>
  <si>
    <t xml:space="preserve">18038</t>
  </si>
  <si>
    <t xml:space="preserve">Tabela 5 — Dados (Aba 18)</t>
  </si>
  <si>
    <t xml:space="preserve">18041</t>
  </si>
  <si>
    <t xml:space="preserve">18042</t>
  </si>
  <si>
    <t xml:space="preserve">18043</t>
  </si>
  <si>
    <t xml:space="preserve">18044</t>
  </si>
  <si>
    <t xml:space="preserve">18045</t>
  </si>
  <si>
    <t xml:space="preserve">18046</t>
  </si>
  <si>
    <t xml:space="preserve">18047</t>
  </si>
  <si>
    <t xml:space="preserve">18048</t>
  </si>
  <si>
    <t xml:space="preserve">Tabela 6 — Infra (Aba 18)</t>
  </si>
  <si>
    <t xml:space="preserve">18051</t>
  </si>
  <si>
    <t xml:space="preserve">18052</t>
  </si>
  <si>
    <t xml:space="preserve">18053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</si>
  <si>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</si>
  <si>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</si>
  <si>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</si>
  <si>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</si>
  <si>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</si>
  <si>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Tabela 7 — Segurança (Aba 18)</t>
  </si>
  <si>
    <t xml:space="preserve">18061</t>
  </si>
  <si>
    <t xml:space="preserve">18062</t>
  </si>
  <si>
    <t xml:space="preserve">18063</t>
  </si>
  <si>
    <t xml:space="preserve">18064</t>
  </si>
  <si>
    <t xml:space="preserve">18065</t>
  </si>
  <si>
    <t xml:space="preserve">18066</t>
  </si>
  <si>
    <t xml:space="preserve">18067</t>
  </si>
  <si>
    <t xml:space="preserve">18068</t>
  </si>
  <si>
    <t xml:space="preserve">Tabela 8 — Engenharia (Aba 18)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</si>
  <si>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</si>
  <si>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</si>
  <si>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</si>
  <si>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</si>
  <si>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</si>
  <si>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</si>
  <si>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</si>
  <si>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</si>
  <si>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Tabela 9 — Produto (Aba 18)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</si>
  <si>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</si>
  <si>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</si>
  <si>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</si>
  <si>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</si>
  <si>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</si>
  <si>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</si>
  <si>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</si>
  <si>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</si>
  <si>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Tabela 10 — Design (Aba 18)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</si>
  <si>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</si>
  <si>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</si>
  <si>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</si>
  <si>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</si>
  <si>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</si>
  <si>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</si>
  <si>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</si>
  <si>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</si>
  <si>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Tabela 11 — DevEx (Aba 18)</t>
  </si>
  <si>
    <t xml:space="preserve">18101</t>
  </si>
  <si>
    <t xml:space="preserve">18102</t>
  </si>
  <si>
    <t xml:space="preserve">18103</t>
  </si>
  <si>
    <t xml:space="preserve">18104</t>
  </si>
  <si>
    <t xml:space="preserve">18105</t>
  </si>
  <si>
    <t xml:space="preserve">18106</t>
  </si>
  <si>
    <t xml:space="preserve">18107</t>
  </si>
  <si>
    <t xml:space="preserve">18108</t>
  </si>
  <si>
    <t xml:space="preserve">Tabela 12 — Dados (Aba 18)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</si>
  <si>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</si>
  <si>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</si>
  <si>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</si>
  <si>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</si>
  <si>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</si>
  <si>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18116</t>
  </si>
  <si>
    <t xml:space="preserve">18117</t>
  </si>
  <si>
    <t xml:space="preserve">18118</t>
  </si>
  <si>
    <t xml:space="preserve">Tabela 13 — Infra (Aba 18)</t>
  </si>
  <si>
    <t xml:space="preserve">18121</t>
  </si>
  <si>
    <t xml:space="preserve">18122</t>
  </si>
  <si>
    <t xml:space="preserve">18123</t>
  </si>
  <si>
    <t xml:space="preserve">18124</t>
  </si>
  <si>
    <t xml:space="preserve">18125</t>
  </si>
  <si>
    <t xml:space="preserve">18126</t>
  </si>
  <si>
    <t xml:space="preserve">18127</t>
  </si>
  <si>
    <t xml:space="preserve">18128</t>
  </si>
  <si>
    <t xml:space="preserve">Tabela 14 — Segurança (Aba 18)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</si>
  <si>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</si>
  <si>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</si>
  <si>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</si>
  <si>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</si>
  <si>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</si>
  <si>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</si>
  <si>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</si>
  <si>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</si>
  <si>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Tabela 15 — Engenharia (Aba 18)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</si>
  <si>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</si>
  <si>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</si>
  <si>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</si>
  <si>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</si>
  <si>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</si>
  <si>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</si>
  <si>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</si>
  <si>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</si>
  <si>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Tabela 16 — Produto (Aba 18)</t>
  </si>
  <si>
    <t xml:space="preserve">18151</t>
  </si>
  <si>
    <t xml:space="preserve">18152</t>
  </si>
  <si>
    <t xml:space="preserve">18153</t>
  </si>
  <si>
    <t xml:space="preserve">18154</t>
  </si>
  <si>
    <t xml:space="preserve">18155</t>
  </si>
  <si>
    <t xml:space="preserve">18156</t>
  </si>
  <si>
    <t xml:space="preserve">18157</t>
  </si>
  <si>
    <t xml:space="preserve">18158</t>
  </si>
  <si>
    <t xml:space="preserve">Tabela 17 — Design (Aba 18)</t>
  </si>
  <si>
    <t xml:space="preserve">18161</t>
  </si>
  <si>
    <t xml:space="preserve">18162</t>
  </si>
  <si>
    <t xml:space="preserve">18163</t>
  </si>
  <si>
    <t xml:space="preserve">18164</t>
  </si>
  <si>
    <t xml:space="preserve">18165</t>
  </si>
  <si>
    <t xml:space="preserve">18166</t>
  </si>
  <si>
    <t xml:space="preserve">18167</t>
  </si>
  <si>
    <t xml:space="preserve">18168</t>
  </si>
  <si>
    <t xml:space="preserve">Tabela 18 — DevEx (Aba 18)</t>
  </si>
  <si>
    <t xml:space="preserve">18171</t>
  </si>
  <si>
    <t xml:space="preserve">18172</t>
  </si>
  <si>
    <t xml:space="preserve">18173</t>
  </si>
  <si>
    <t xml:space="preserve">18174</t>
  </si>
  <si>
    <t xml:space="preserve">18175</t>
  </si>
  <si>
    <t xml:space="preserve">18176</t>
  </si>
  <si>
    <t xml:space="preserve">18177</t>
  </si>
  <si>
    <t xml:space="preserve">18178</t>
  </si>
  <si>
    <t xml:space="preserve">Tabela 19 — Dados (Aba 18)</t>
  </si>
  <si>
    <t xml:space="preserve">18181</t>
  </si>
  <si>
    <t xml:space="preserve">18182</t>
  </si>
  <si>
    <t xml:space="preserve">18183</t>
  </si>
  <si>
    <t xml:space="preserve">18184</t>
  </si>
  <si>
    <t xml:space="preserve">18185</t>
  </si>
  <si>
    <t xml:space="preserve">18186</t>
  </si>
  <si>
    <t xml:space="preserve">18187</t>
  </si>
  <si>
    <t xml:space="preserve">18188</t>
  </si>
  <si>
    <t xml:space="preserve">Tabela 20 — Infra (Aba 18)</t>
  </si>
  <si>
    <t xml:space="preserve">18191</t>
  </si>
  <si>
    <t xml:space="preserve">18192</t>
  </si>
  <si>
    <t xml:space="preserve">18193</t>
  </si>
  <si>
    <t xml:space="preserve">18194</t>
  </si>
  <si>
    <t xml:space="preserve">18195</t>
  </si>
  <si>
    <t xml:space="preserve">18196</t>
  </si>
  <si>
    <t xml:space="preserve">18197</t>
  </si>
  <si>
    <t xml:space="preserve">18198</t>
  </si>
  <si>
    <t xml:space="preserve">Tabela 21 — Segurança (Aba 18)</t>
  </si>
  <si>
    <t xml:space="preserve">18201</t>
  </si>
  <si>
    <t xml:space="preserve">18202</t>
  </si>
  <si>
    <t xml:space="preserve">18203</t>
  </si>
  <si>
    <t xml:space="preserve">18204</t>
  </si>
  <si>
    <t xml:space="preserve">18205</t>
  </si>
  <si>
    <t xml:space="preserve">18206</t>
  </si>
  <si>
    <t xml:space="preserve">18207</t>
  </si>
  <si>
    <t xml:space="preserve">18208</t>
  </si>
  <si>
    <t xml:space="preserve">Tabela 22 — Engenharia (Aba 18)</t>
  </si>
  <si>
    <t xml:space="preserve">18211</t>
  </si>
  <si>
    <t xml:space="preserve">18212</t>
  </si>
  <si>
    <t xml:space="preserve">18213</t>
  </si>
  <si>
    <t xml:space="preserve">18214</t>
  </si>
  <si>
    <t xml:space="preserve">18215</t>
  </si>
  <si>
    <t xml:space="preserve">18216</t>
  </si>
  <si>
    <t xml:space="preserve">18217</t>
  </si>
  <si>
    <t xml:space="preserve">18218</t>
  </si>
  <si>
    <t xml:space="preserve">Tabela 23 — Produto (Aba 18)</t>
  </si>
  <si>
    <t xml:space="preserve">18221</t>
  </si>
  <si>
    <t xml:space="preserve">18222</t>
  </si>
  <si>
    <t xml:space="preserve">18223</t>
  </si>
  <si>
    <t xml:space="preserve">18224</t>
  </si>
  <si>
    <t xml:space="preserve">18225</t>
  </si>
  <si>
    <t xml:space="preserve">18226</t>
  </si>
  <si>
    <t xml:space="preserve">18227</t>
  </si>
  <si>
    <t xml:space="preserve">18228</t>
  </si>
  <si>
    <t xml:space="preserve">Tabela 24 — Design (Aba 18)</t>
  </si>
  <si>
    <t xml:space="preserve">18231</t>
  </si>
  <si>
    <t xml:space="preserve">18232</t>
  </si>
  <si>
    <t xml:space="preserve">18233</t>
  </si>
  <si>
    <t xml:space="preserve">18234</t>
  </si>
  <si>
    <t xml:space="preserve">18235</t>
  </si>
  <si>
    <t xml:space="preserve">18236</t>
  </si>
  <si>
    <t xml:space="preserve">18237</t>
  </si>
  <si>
    <t xml:space="preserve">18238</t>
  </si>
  <si>
    <t xml:space="preserve">Tabela 25 — DevEx (Aba 18)</t>
  </si>
  <si>
    <t xml:space="preserve">18241</t>
  </si>
  <si>
    <t xml:space="preserve">18242</t>
  </si>
  <si>
    <t xml:space="preserve">18243</t>
  </si>
  <si>
    <t xml:space="preserve">18244</t>
  </si>
  <si>
    <t xml:space="preserve">18245</t>
  </si>
  <si>
    <t xml:space="preserve">18246</t>
  </si>
  <si>
    <t xml:space="preserve">18247</t>
  </si>
  <si>
    <t xml:space="preserve">18248</t>
  </si>
  <si>
    <t xml:space="preserve">Tabela 26 — Dados (Aba 18)</t>
  </si>
  <si>
    <t xml:space="preserve">18251</t>
  </si>
  <si>
    <t xml:space="preserve">18252</t>
  </si>
  <si>
    <t xml:space="preserve">18253</t>
  </si>
  <si>
    <t xml:space="preserve">18254</t>
  </si>
  <si>
    <t xml:space="preserve">18255</t>
  </si>
  <si>
    <t xml:space="preserve">18256</t>
  </si>
  <si>
    <t xml:space="preserve">18257</t>
  </si>
  <si>
    <t xml:space="preserve">18258</t>
  </si>
  <si>
    <t xml:space="preserve">Tabela 27 — Infra (Aba 18)</t>
  </si>
  <si>
    <t xml:space="preserve">18261</t>
  </si>
  <si>
    <t xml:space="preserve">18262</t>
  </si>
  <si>
    <t xml:space="preserve">18263</t>
  </si>
  <si>
    <t xml:space="preserve">18264</t>
  </si>
  <si>
    <t xml:space="preserve">18265</t>
  </si>
  <si>
    <t xml:space="preserve">18266</t>
  </si>
  <si>
    <t xml:space="preserve">18267</t>
  </si>
  <si>
    <t xml:space="preserve">18268</t>
  </si>
  <si>
    <t xml:space="preserve">Tabela 28 — Segurança (Aba 18)</t>
  </si>
  <si>
    <t xml:space="preserve">18271</t>
  </si>
  <si>
    <t xml:space="preserve">18272</t>
  </si>
  <si>
    <t xml:space="preserve">18273</t>
  </si>
  <si>
    <t xml:space="preserve">18274</t>
  </si>
  <si>
    <t xml:space="preserve">18275</t>
  </si>
  <si>
    <t xml:space="preserve">18276</t>
  </si>
  <si>
    <t xml:space="preserve">18277</t>
  </si>
  <si>
    <t xml:space="preserve">18278</t>
  </si>
  <si>
    <t xml:space="preserve">Tabela 29 — Engenharia (Aba 18)</t>
  </si>
  <si>
    <t xml:space="preserve">18281</t>
  </si>
  <si>
    <t xml:space="preserve">18282</t>
  </si>
  <si>
    <t xml:space="preserve">18283</t>
  </si>
  <si>
    <t xml:space="preserve">18284</t>
  </si>
  <si>
    <t xml:space="preserve">18285</t>
  </si>
  <si>
    <t xml:space="preserve">18286</t>
  </si>
  <si>
    <t xml:space="preserve">18287</t>
  </si>
  <si>
    <t xml:space="preserve">18288</t>
  </si>
  <si>
    <t xml:space="preserve">Tabela 30 — Produto (Aba 18)</t>
  </si>
  <si>
    <t xml:space="preserve">18291</t>
  </si>
  <si>
    <t xml:space="preserve">18292</t>
  </si>
  <si>
    <t xml:space="preserve">18293</t>
  </si>
  <si>
    <t xml:space="preserve">18294</t>
  </si>
  <si>
    <t xml:space="preserve">18295</t>
  </si>
  <si>
    <t xml:space="preserve">18296</t>
  </si>
  <si>
    <t xml:space="preserve">18297</t>
  </si>
  <si>
    <t xml:space="preserve">18298</t>
  </si>
  <si>
    <t xml:space="preserve">Planilha — Aba 19 | Relatório de Equipe</t>
  </si>
  <si>
    <t xml:space="preserve">Tabela 1 — Engenharia (Aba 19)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</si>
  <si>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</si>
  <si>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</si>
  <si>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</si>
  <si>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</si>
  <si>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</si>
  <si>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</si>
  <si>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</si>
  <si>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</si>
  <si>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Tabela 2 — Produto (Aba 19)</t>
  </si>
  <si>
    <t xml:space="preserve">19011</t>
  </si>
  <si>
    <t xml:space="preserve">19012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</si>
  <si>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</si>
  <si>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</si>
  <si>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</si>
  <si>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</si>
  <si>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</si>
  <si>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</si>
  <si>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Tabela 3 — Design (Aba 19)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</si>
  <si>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</si>
  <si>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</si>
  <si>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</si>
  <si>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</si>
  <si>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</si>
  <si>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</si>
  <si>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</si>
  <si>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</si>
  <si>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Tabela 4 — DevEx (Aba 19)</t>
  </si>
  <si>
    <t xml:space="preserve">19031</t>
  </si>
  <si>
    <t xml:space="preserve">19032</t>
  </si>
  <si>
    <t xml:space="preserve">19033</t>
  </si>
  <si>
    <t xml:space="preserve">19034</t>
  </si>
  <si>
    <t xml:space="preserve">19035</t>
  </si>
  <si>
    <t xml:space="preserve">19036</t>
  </si>
  <si>
    <t xml:space="preserve">19037</t>
  </si>
  <si>
    <t xml:space="preserve">19038</t>
  </si>
  <si>
    <t xml:space="preserve">Tabela 5 — Dados (Aba 19)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</si>
  <si>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</si>
  <si>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</si>
  <si>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</si>
  <si>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</si>
  <si>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</si>
  <si>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</si>
  <si>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</si>
  <si>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</si>
  <si>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Tabela 6 — Infra (Aba 19)</t>
  </si>
  <si>
    <t xml:space="preserve">19051</t>
  </si>
  <si>
    <t xml:space="preserve">19052</t>
  </si>
  <si>
    <t xml:space="preserve">19053</t>
  </si>
  <si>
    <t xml:space="preserve">19054</t>
  </si>
  <si>
    <t xml:space="preserve">19055</t>
  </si>
  <si>
    <t xml:space="preserve">19056</t>
  </si>
  <si>
    <t xml:space="preserve">19057</t>
  </si>
  <si>
    <t xml:space="preserve">19058</t>
  </si>
  <si>
    <t xml:space="preserve">Tabela 7 — Segurança (Aba 19)</t>
  </si>
  <si>
    <t xml:space="preserve">19061</t>
  </si>
  <si>
    <t xml:space="preserve">19062</t>
  </si>
  <si>
    <t xml:space="preserve">19063</t>
  </si>
  <si>
    <t xml:space="preserve">19064</t>
  </si>
  <si>
    <t xml:space="preserve">19065</t>
  </si>
  <si>
    <t xml:space="preserve">19066</t>
  </si>
  <si>
    <t xml:space="preserve">19067</t>
  </si>
  <si>
    <t xml:space="preserve">19068</t>
  </si>
  <si>
    <t xml:space="preserve">Tabela 8 — Engenharia (Aba 19)</t>
  </si>
  <si>
    <t xml:space="preserve">19071</t>
  </si>
  <si>
    <t xml:space="preserve">19072</t>
  </si>
  <si>
    <t xml:space="preserve">19073</t>
  </si>
  <si>
    <t xml:space="preserve">19074</t>
  </si>
  <si>
    <t xml:space="preserve">19075</t>
  </si>
  <si>
    <t xml:space="preserve">19076</t>
  </si>
  <si>
    <t xml:space="preserve">19077</t>
  </si>
  <si>
    <t xml:space="preserve">19078</t>
  </si>
  <si>
    <t xml:space="preserve">Tabela 9 — Produto (Aba 19)</t>
  </si>
  <si>
    <t xml:space="preserve">19081</t>
  </si>
  <si>
    <t xml:space="preserve">19082</t>
  </si>
  <si>
    <t xml:space="preserve">19083</t>
  </si>
  <si>
    <t xml:space="preserve">19084</t>
  </si>
  <si>
    <t xml:space="preserve">19085</t>
  </si>
  <si>
    <t xml:space="preserve">19086</t>
  </si>
  <si>
    <t xml:space="preserve">19087</t>
  </si>
  <si>
    <t xml:space="preserve">19088</t>
  </si>
  <si>
    <t xml:space="preserve">Tabela 10 — Design (Aba 19)</t>
  </si>
  <si>
    <t xml:space="preserve">19091</t>
  </si>
  <si>
    <t xml:space="preserve">19092</t>
  </si>
  <si>
    <t xml:space="preserve">19093</t>
  </si>
  <si>
    <t xml:space="preserve">19094</t>
  </si>
  <si>
    <t xml:space="preserve">19095</t>
  </si>
  <si>
    <t xml:space="preserve">19096</t>
  </si>
  <si>
    <t xml:space="preserve">19097</t>
  </si>
  <si>
    <t xml:space="preserve">19098</t>
  </si>
  <si>
    <t xml:space="preserve">Tabela 11 — DevEx (Aba 19)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</si>
  <si>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</si>
  <si>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</si>
  <si>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</si>
  <si>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</si>
  <si>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</si>
  <si>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</si>
  <si>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</si>
  <si>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</si>
  <si>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Tabela 12 — Dados (Aba 19)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</si>
  <si>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</si>
  <si>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</si>
  <si>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</si>
  <si>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</si>
  <si>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</si>
  <si>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</si>
  <si>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</si>
  <si>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</si>
  <si>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Tabela 13 — Infra (Aba 19)</t>
  </si>
  <si>
    <t xml:space="preserve">19121</t>
  </si>
  <si>
    <t xml:space="preserve">19122</t>
  </si>
  <si>
    <t xml:space="preserve">19123</t>
  </si>
  <si>
    <t xml:space="preserve">19124</t>
  </si>
  <si>
    <t xml:space="preserve">19125</t>
  </si>
  <si>
    <t xml:space="preserve">19126</t>
  </si>
  <si>
    <t xml:space="preserve">19127</t>
  </si>
  <si>
    <t xml:space="preserve">19128</t>
  </si>
  <si>
    <t xml:space="preserve">Tabela 14 — Segurança (Aba 19)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</si>
  <si>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</si>
  <si>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</si>
  <si>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</si>
  <si>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</si>
  <si>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</si>
  <si>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</si>
  <si>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</si>
  <si>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19138</t>
  </si>
  <si>
    <t xml:space="preserve">Tabela 15 — Engenharia (Aba 19)</t>
  </si>
  <si>
    <t xml:space="preserve">19141</t>
  </si>
  <si>
    <t xml:space="preserve">19142</t>
  </si>
  <si>
    <t xml:space="preserve">19143</t>
  </si>
  <si>
    <t xml:space="preserve">19144</t>
  </si>
  <si>
    <t xml:space="preserve">19145</t>
  </si>
  <si>
    <t xml:space="preserve">19146</t>
  </si>
  <si>
    <t xml:space="preserve">19147</t>
  </si>
  <si>
    <t xml:space="preserve">19148</t>
  </si>
  <si>
    <t xml:space="preserve">Tabela 16 — Produto (Aba 19)</t>
  </si>
  <si>
    <t xml:space="preserve">19151</t>
  </si>
  <si>
    <t xml:space="preserve">19152</t>
  </si>
  <si>
    <t xml:space="preserve">19153</t>
  </si>
  <si>
    <t xml:space="preserve">19154</t>
  </si>
  <si>
    <t xml:space="preserve">19155</t>
  </si>
  <si>
    <t xml:space="preserve">19156</t>
  </si>
  <si>
    <t xml:space="preserve">19157</t>
  </si>
  <si>
    <t xml:space="preserve">19158</t>
  </si>
  <si>
    <t xml:space="preserve">Tabela 17 — Design (Aba 19)</t>
  </si>
  <si>
    <t xml:space="preserve">19161</t>
  </si>
  <si>
    <t xml:space="preserve">19162</t>
  </si>
  <si>
    <t xml:space="preserve">19163</t>
  </si>
  <si>
    <t xml:space="preserve">19164</t>
  </si>
  <si>
    <t xml:space="preserve">19165</t>
  </si>
  <si>
    <t xml:space="preserve">19166</t>
  </si>
  <si>
    <t xml:space="preserve">19167</t>
  </si>
  <si>
    <t xml:space="preserve">19168</t>
  </si>
  <si>
    <t xml:space="preserve">Tabela 18 — DevEx (Aba 19)</t>
  </si>
  <si>
    <t xml:space="preserve">19171</t>
  </si>
  <si>
    <t xml:space="preserve">19172</t>
  </si>
  <si>
    <t xml:space="preserve">19173</t>
  </si>
  <si>
    <t xml:space="preserve">19174</t>
  </si>
  <si>
    <t xml:space="preserve">19175</t>
  </si>
  <si>
    <t xml:space="preserve">19176</t>
  </si>
  <si>
    <t xml:space="preserve">19177</t>
  </si>
  <si>
    <t xml:space="preserve">19178</t>
  </si>
  <si>
    <t xml:space="preserve">Tabela 19 — Dados (Aba 19)</t>
  </si>
  <si>
    <t xml:space="preserve">19181</t>
  </si>
  <si>
    <t xml:space="preserve">19182</t>
  </si>
  <si>
    <t xml:space="preserve">19183</t>
  </si>
  <si>
    <t xml:space="preserve">19184</t>
  </si>
  <si>
    <t xml:space="preserve">19185</t>
  </si>
  <si>
    <t xml:space="preserve">19186</t>
  </si>
  <si>
    <t xml:space="preserve">19187</t>
  </si>
  <si>
    <t xml:space="preserve">19188</t>
  </si>
  <si>
    <t xml:space="preserve">Tabela 20 — Infra (Aba 19)</t>
  </si>
  <si>
    <t xml:space="preserve">19191</t>
  </si>
  <si>
    <t xml:space="preserve">19192</t>
  </si>
  <si>
    <t xml:space="preserve">19193</t>
  </si>
  <si>
    <t xml:space="preserve">19194</t>
  </si>
  <si>
    <t xml:space="preserve">19195</t>
  </si>
  <si>
    <t xml:space="preserve">19196</t>
  </si>
  <si>
    <t xml:space="preserve">19197</t>
  </si>
  <si>
    <t xml:space="preserve">19198</t>
  </si>
  <si>
    <t xml:space="preserve">Tabela 21 — Segurança (Aba 19)</t>
  </si>
  <si>
    <t xml:space="preserve">19201</t>
  </si>
  <si>
    <t xml:space="preserve">19202</t>
  </si>
  <si>
    <t xml:space="preserve">19203</t>
  </si>
  <si>
    <t xml:space="preserve">19204</t>
  </si>
  <si>
    <t xml:space="preserve">19205</t>
  </si>
  <si>
    <t xml:space="preserve">19206</t>
  </si>
  <si>
    <t xml:space="preserve">19207</t>
  </si>
  <si>
    <t xml:space="preserve">19208</t>
  </si>
  <si>
    <t xml:space="preserve">Tabela 22 — Engenharia (Aba 19)</t>
  </si>
  <si>
    <t xml:space="preserve">19211</t>
  </si>
  <si>
    <t xml:space="preserve">19212</t>
  </si>
  <si>
    <t xml:space="preserve">19213</t>
  </si>
  <si>
    <t xml:space="preserve">19214</t>
  </si>
  <si>
    <t xml:space="preserve">19215</t>
  </si>
  <si>
    <t xml:space="preserve">19216</t>
  </si>
  <si>
    <t xml:space="preserve">19217</t>
  </si>
  <si>
    <t xml:space="preserve">19218</t>
  </si>
  <si>
    <t xml:space="preserve">Tabela 23 — Produto (Aba 19)</t>
  </si>
  <si>
    <t xml:space="preserve">19221</t>
  </si>
  <si>
    <t xml:space="preserve">19222</t>
  </si>
  <si>
    <t xml:space="preserve">19223</t>
  </si>
  <si>
    <t xml:space="preserve">19224</t>
  </si>
  <si>
    <t xml:space="preserve">19225</t>
  </si>
  <si>
    <t xml:space="preserve">19226</t>
  </si>
  <si>
    <t xml:space="preserve">19227</t>
  </si>
  <si>
    <t xml:space="preserve">19228</t>
  </si>
  <si>
    <t xml:space="preserve">Tabela 24 — Design (Aba 19)</t>
  </si>
  <si>
    <t xml:space="preserve">19231</t>
  </si>
  <si>
    <t xml:space="preserve">19232</t>
  </si>
  <si>
    <t xml:space="preserve">19233</t>
  </si>
  <si>
    <t xml:space="preserve">19234</t>
  </si>
  <si>
    <t xml:space="preserve">19235</t>
  </si>
  <si>
    <t xml:space="preserve">19236</t>
  </si>
  <si>
    <t xml:space="preserve">19237</t>
  </si>
  <si>
    <t xml:space="preserve">19238</t>
  </si>
  <si>
    <t xml:space="preserve">Tabela 25 — DevEx (Aba 19)</t>
  </si>
  <si>
    <t xml:space="preserve">19241</t>
  </si>
  <si>
    <t xml:space="preserve">19242</t>
  </si>
  <si>
    <t xml:space="preserve">19243</t>
  </si>
  <si>
    <t xml:space="preserve">19244</t>
  </si>
  <si>
    <t xml:space="preserve">19245</t>
  </si>
  <si>
    <t xml:space="preserve">19246</t>
  </si>
  <si>
    <t xml:space="preserve">19247</t>
  </si>
  <si>
    <t xml:space="preserve">19248</t>
  </si>
  <si>
    <t xml:space="preserve">Tabela 26 — Dados (Aba 19)</t>
  </si>
  <si>
    <t xml:space="preserve">19251</t>
  </si>
  <si>
    <t xml:space="preserve">19252</t>
  </si>
  <si>
    <t xml:space="preserve">19253</t>
  </si>
  <si>
    <t xml:space="preserve">19254</t>
  </si>
  <si>
    <t xml:space="preserve">19255</t>
  </si>
  <si>
    <t xml:space="preserve">19256</t>
  </si>
  <si>
    <t xml:space="preserve">19257</t>
  </si>
  <si>
    <t xml:space="preserve">19258</t>
  </si>
  <si>
    <t xml:space="preserve">Tabela 27 — Infra (Aba 19)</t>
  </si>
  <si>
    <t xml:space="preserve">19261</t>
  </si>
  <si>
    <t xml:space="preserve">19262</t>
  </si>
  <si>
    <t xml:space="preserve">19263</t>
  </si>
  <si>
    <t xml:space="preserve">19264</t>
  </si>
  <si>
    <t xml:space="preserve">19265</t>
  </si>
  <si>
    <t xml:space="preserve">19266</t>
  </si>
  <si>
    <t xml:space="preserve">19267</t>
  </si>
  <si>
    <t xml:space="preserve">19268</t>
  </si>
  <si>
    <t xml:space="preserve">Tabela 28 — Segurança (Aba 19)</t>
  </si>
  <si>
    <t xml:space="preserve">19271</t>
  </si>
  <si>
    <t xml:space="preserve">19272</t>
  </si>
  <si>
    <t xml:space="preserve">19273</t>
  </si>
  <si>
    <t xml:space="preserve">19274</t>
  </si>
  <si>
    <t xml:space="preserve">19275</t>
  </si>
  <si>
    <t xml:space="preserve">19276</t>
  </si>
  <si>
    <t xml:space="preserve">19277</t>
  </si>
  <si>
    <t xml:space="preserve">19278</t>
  </si>
  <si>
    <t xml:space="preserve">Tabela 29 — Engenharia (Aba 19)</t>
  </si>
  <si>
    <t xml:space="preserve">19281</t>
  </si>
  <si>
    <t xml:space="preserve">19282</t>
  </si>
  <si>
    <t xml:space="preserve">19283</t>
  </si>
  <si>
    <t xml:space="preserve">19284</t>
  </si>
  <si>
    <t xml:space="preserve">19285</t>
  </si>
  <si>
    <t xml:space="preserve">19286</t>
  </si>
  <si>
    <t xml:space="preserve">19287</t>
  </si>
  <si>
    <t xml:space="preserve">19288</t>
  </si>
  <si>
    <t xml:space="preserve">Tabela 30 — Produto (Aba 19)</t>
  </si>
  <si>
    <t xml:space="preserve">19291</t>
  </si>
  <si>
    <t xml:space="preserve">19292</t>
  </si>
  <si>
    <t xml:space="preserve">19293</t>
  </si>
  <si>
    <t xml:space="preserve">19294</t>
  </si>
  <si>
    <t xml:space="preserve">19295</t>
  </si>
  <si>
    <t xml:space="preserve">19296</t>
  </si>
  <si>
    <t xml:space="preserve">19297</t>
  </si>
  <si>
    <t xml:space="preserve">19298</t>
  </si>
  <si>
    <t xml:space="preserve">Planilha — Aba 20 | Relatório de Equipe</t>
  </si>
  <si>
    <t xml:space="preserve">Tabela 1 — Engenharia (Aba 20)</t>
  </si>
  <si>
    <t xml:space="preserve">20001</t>
  </si>
  <si>
    <t xml:space="preserve">20002</t>
  </si>
  <si>
    <t xml:space="preserve">20003</t>
  </si>
  <si>
    <t xml:space="preserve">20004</t>
  </si>
  <si>
    <t xml:space="preserve">20005</t>
  </si>
  <si>
    <t xml:space="preserve">20006</t>
  </si>
  <si>
    <t xml:space="preserve">20007</t>
  </si>
  <si>
    <t xml:space="preserve">20008</t>
  </si>
  <si>
    <t xml:space="preserve">Tabela 2 — Produto (Aba 20)</t>
  </si>
  <si>
    <t xml:space="preserve">20011</t>
  </si>
  <si>
    <t xml:space="preserve">20012</t>
  </si>
  <si>
    <t xml:space="preserve">20013</t>
  </si>
  <si>
    <t xml:space="preserve">20014</t>
  </si>
  <si>
    <t xml:space="preserve">20015</t>
  </si>
  <si>
    <t xml:space="preserve">20016</t>
  </si>
  <si>
    <t xml:space="preserve">20017</t>
  </si>
  <si>
    <t xml:space="preserve">20018</t>
  </si>
  <si>
    <t xml:space="preserve">Tabela 3 — Design (Aba 20)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</si>
  <si>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</si>
  <si>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</si>
  <si>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</si>
  <si>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</si>
  <si>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</si>
  <si>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</si>
  <si>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20027</t>
  </si>
  <si>
    <t xml:space="preserve">20028</t>
  </si>
  <si>
    <t xml:space="preserve">Tabela 4 — DevEx (Aba 20)</t>
  </si>
  <si>
    <t xml:space="preserve">20031</t>
  </si>
  <si>
    <t xml:space="preserve">20032</t>
  </si>
  <si>
    <t xml:space="preserve">20033</t>
  </si>
  <si>
    <t xml:space="preserve">20034</t>
  </si>
  <si>
    <t xml:space="preserve">20035</t>
  </si>
  <si>
    <t xml:space="preserve">20036</t>
  </si>
  <si>
    <t xml:space="preserve">20037</t>
  </si>
  <si>
    <t xml:space="preserve">20038</t>
  </si>
  <si>
    <t xml:space="preserve">Tabela 5 — Dados (Aba 20)</t>
  </si>
  <si>
    <t xml:space="preserve">20041</t>
  </si>
  <si>
    <t xml:space="preserve">20042</t>
  </si>
  <si>
    <t xml:space="preserve">20043</t>
  </si>
  <si>
    <t xml:space="preserve">20044</t>
  </si>
  <si>
    <t xml:space="preserve">20045</t>
  </si>
  <si>
    <t xml:space="preserve">20046</t>
  </si>
  <si>
    <t xml:space="preserve">20047</t>
  </si>
  <si>
    <t xml:space="preserve">20048</t>
  </si>
  <si>
    <t xml:space="preserve">Tabela 6 — Infra (Aba 20)</t>
  </si>
  <si>
    <t xml:space="preserve">20051</t>
  </si>
  <si>
    <t xml:space="preserve">20052</t>
  </si>
  <si>
    <t xml:space="preserve">20053</t>
  </si>
  <si>
    <t xml:space="preserve">20054</t>
  </si>
  <si>
    <t xml:space="preserve">20055</t>
  </si>
  <si>
    <t xml:space="preserve">20056</t>
  </si>
  <si>
    <t xml:space="preserve">20057</t>
  </si>
  <si>
    <t xml:space="preserve">20058</t>
  </si>
  <si>
    <t xml:space="preserve">Tabela 7 — Segurança (Aba 20)</t>
  </si>
  <si>
    <t xml:space="preserve">20061</t>
  </si>
  <si>
    <t xml:space="preserve">20062</t>
  </si>
  <si>
    <t xml:space="preserve">20063</t>
  </si>
  <si>
    <t xml:space="preserve">20064</t>
  </si>
  <si>
    <t xml:space="preserve">20065</t>
  </si>
  <si>
    <t xml:space="preserve">20066</t>
  </si>
  <si>
    <t xml:space="preserve">20067</t>
  </si>
  <si>
    <t xml:space="preserve">20068</t>
  </si>
  <si>
    <t xml:space="preserve">Tabela 8 — Engenharia (Aba 20)</t>
  </si>
  <si>
    <t xml:space="preserve">20071</t>
  </si>
  <si>
    <t xml:space="preserve">20072</t>
  </si>
  <si>
    <t xml:space="preserve">20073</t>
  </si>
  <si>
    <t xml:space="preserve">20074</t>
  </si>
  <si>
    <t xml:space="preserve">20075</t>
  </si>
  <si>
    <t xml:space="preserve">20076</t>
  </si>
  <si>
    <t xml:space="preserve">20077</t>
  </si>
  <si>
    <t xml:space="preserve">20078</t>
  </si>
  <si>
    <t xml:space="preserve">Tabela 9 — Produto (Aba 20)</t>
  </si>
  <si>
    <t xml:space="preserve">20081</t>
  </si>
  <si>
    <t xml:space="preserve">20082</t>
  </si>
  <si>
    <t xml:space="preserve">20083</t>
  </si>
  <si>
    <t xml:space="preserve">20084</t>
  </si>
  <si>
    <t xml:space="preserve">20085</t>
  </si>
  <si>
    <t xml:space="preserve">20086</t>
  </si>
  <si>
    <t xml:space="preserve">20087</t>
  </si>
  <si>
    <t xml:space="preserve">20088</t>
  </si>
  <si>
    <t xml:space="preserve">Tabela 10 — Design (Aba 20)</t>
  </si>
  <si>
    <t xml:space="preserve">20091</t>
  </si>
  <si>
    <t xml:space="preserve">20092</t>
  </si>
  <si>
    <t xml:space="preserve">20093</t>
  </si>
  <si>
    <t xml:space="preserve">20094</t>
  </si>
  <si>
    <t xml:space="preserve">20095</t>
  </si>
  <si>
    <t xml:space="preserve">20096</t>
  </si>
  <si>
    <t xml:space="preserve">20097</t>
  </si>
  <si>
    <t xml:space="preserve">20098</t>
  </si>
  <si>
    <t xml:space="preserve">Tabela 11 — DevEx (Aba 20)</t>
  </si>
  <si>
    <t xml:space="preserve">20101</t>
  </si>
  <si>
    <t xml:space="preserve">20102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</si>
  <si>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</si>
  <si>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</si>
  <si>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</si>
  <si>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</si>
  <si>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</si>
  <si>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</si>
  <si>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Tabela 12 — Dados (Aba 20)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</si>
  <si>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</si>
  <si>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</si>
  <si>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</si>
  <si>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</si>
  <si>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</si>
  <si>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20116</t>
  </si>
  <si>
    <t xml:space="preserve">20117</t>
  </si>
  <si>
    <t xml:space="preserve">20118</t>
  </si>
  <si>
    <t xml:space="preserve">Tabela 13 — Infra (Aba 20)</t>
  </si>
  <si>
    <t xml:space="preserve">20121</t>
  </si>
  <si>
    <t xml:space="preserve">20122</t>
  </si>
  <si>
    <t xml:space="preserve">20123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</si>
  <si>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</si>
  <si>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</si>
  <si>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</si>
  <si>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</si>
  <si>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</si>
  <si>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Tabela 14 — Segurança (Aba 20)</t>
  </si>
  <si>
    <t xml:space="preserve">20131</t>
  </si>
  <si>
    <t xml:space="preserve">20132</t>
  </si>
  <si>
    <t xml:space="preserve">20133</t>
  </si>
  <si>
    <t xml:space="preserve">20134</t>
  </si>
  <si>
    <t xml:space="preserve">20135</t>
  </si>
  <si>
    <t xml:space="preserve">20136</t>
  </si>
  <si>
    <t xml:space="preserve">20137</t>
  </si>
  <si>
    <t xml:space="preserve">20138</t>
  </si>
  <si>
    <t xml:space="preserve">Tabela 15 — Engenharia (Aba 20)</t>
  </si>
  <si>
    <t xml:space="preserve">20141</t>
  </si>
  <si>
    <t xml:space="preserve">20142</t>
  </si>
  <si>
    <t xml:space="preserve">20143</t>
  </si>
  <si>
    <t xml:space="preserve">20144</t>
  </si>
  <si>
    <t xml:space="preserve">20145</t>
  </si>
  <si>
    <t xml:space="preserve">20146</t>
  </si>
  <si>
    <t xml:space="preserve">20147</t>
  </si>
  <si>
    <t xml:space="preserve">20148</t>
  </si>
  <si>
    <t xml:space="preserve">Tabela 16 — Produto (Aba 20)</t>
  </si>
  <si>
    <t xml:space="preserve">20151</t>
  </si>
  <si>
    <t xml:space="preserve">20152</t>
  </si>
  <si>
    <t xml:space="preserve">20153</t>
  </si>
  <si>
    <t xml:space="preserve">20154</t>
  </si>
  <si>
    <t xml:space="preserve">20155</t>
  </si>
  <si>
    <t xml:space="preserve">20156</t>
  </si>
  <si>
    <t xml:space="preserve">20157</t>
  </si>
  <si>
    <t xml:space="preserve">20158</t>
  </si>
  <si>
    <t xml:space="preserve">Tabela 17 — Design (Aba 20)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</si>
  <si>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</si>
  <si>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</si>
  <si>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</si>
  <si>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</si>
  <si>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</si>
  <si>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20166</t>
  </si>
  <si>
    <t xml:space="preserve">20167</t>
  </si>
  <si>
    <t xml:space="preserve">20168</t>
  </si>
  <si>
    <t xml:space="preserve">Tabela 18 — DevEx (Aba 20)</t>
  </si>
  <si>
    <t xml:space="preserve">20171</t>
  </si>
  <si>
    <t xml:space="preserve">20172</t>
  </si>
  <si>
    <t xml:space="preserve">20173</t>
  </si>
  <si>
    <t xml:space="preserve">20174</t>
  </si>
  <si>
    <t xml:space="preserve">20175</t>
  </si>
  <si>
    <t xml:space="preserve">20176</t>
  </si>
  <si>
    <t xml:space="preserve">20177</t>
  </si>
  <si>
    <t xml:space="preserve">20178</t>
  </si>
  <si>
    <t xml:space="preserve">Tabela 19 — Dados (Aba 20)</t>
  </si>
  <si>
    <t xml:space="preserve">20181</t>
  </si>
  <si>
    <t xml:space="preserve">20182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</si>
  <si>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</si>
  <si>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</si>
  <si>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</si>
  <si>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</si>
  <si>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</si>
  <si>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</si>
  <si>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Tabela 20 — Infra (Aba 20)</t>
  </si>
  <si>
    <t xml:space="preserve">20191</t>
  </si>
  <si>
    <t xml:space="preserve">20192</t>
  </si>
  <si>
    <t xml:space="preserve">20193</t>
  </si>
  <si>
    <t xml:space="preserve">20194</t>
  </si>
  <si>
    <t xml:space="preserve">20195</t>
  </si>
  <si>
    <t xml:space="preserve">20196</t>
  </si>
  <si>
    <t xml:space="preserve">20197</t>
  </si>
  <si>
    <t xml:space="preserve">20198</t>
  </si>
  <si>
    <t xml:space="preserve">Tabela 21 — Segurança (Aba 20)</t>
  </si>
  <si>
    <t xml:space="preserve">20201</t>
  </si>
  <si>
    <t xml:space="preserve">20202</t>
  </si>
  <si>
    <t xml:space="preserve">20203</t>
  </si>
  <si>
    <t xml:space="preserve">20204</t>
  </si>
  <si>
    <t xml:space="preserve">20205</t>
  </si>
  <si>
    <t xml:space="preserve">20206</t>
  </si>
  <si>
    <t xml:space="preserve">20207</t>
  </si>
  <si>
    <t xml:space="preserve">20208</t>
  </si>
  <si>
    <t xml:space="preserve">Tabela 22 — Engenharia (Aba 20)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</si>
  <si>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</si>
  <si>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</si>
  <si>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</si>
  <si>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</si>
  <si>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</si>
  <si>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</si>
  <si>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</si>
  <si>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20218</t>
  </si>
  <si>
    <t xml:space="preserve">Tabela 23 — Produto (Aba 20)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</si>
  <si>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</si>
  <si>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</si>
  <si>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</si>
  <si>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</si>
  <si>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</si>
  <si>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</si>
  <si>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</si>
  <si>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</si>
  <si>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Tabela 24 — Design (Aba 20)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</si>
  <si>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</si>
  <si>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</si>
  <si>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</si>
  <si>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</si>
  <si>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</si>
  <si>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</si>
  <si>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20237</t>
  </si>
  <si>
    <t xml:space="preserve">20238</t>
  </si>
  <si>
    <t xml:space="preserve">Tabela 25 — DevEx (Aba 20)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</si>
  <si>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</si>
  <si>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</si>
  <si>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</si>
  <si>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</si>
  <si>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</si>
  <si>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</si>
  <si>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</si>
  <si>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20248</t>
  </si>
  <si>
    <t xml:space="preserve">Tabela 26 — Dados (Aba 20)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</si>
  <si>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</si>
  <si>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</si>
  <si>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</si>
  <si>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</si>
  <si>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</si>
  <si>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</si>
  <si>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</si>
  <si>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</si>
  <si>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Tabela 27 — Infra (Aba 20)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</si>
  <si>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</si>
  <si>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</si>
  <si>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</si>
  <si>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</si>
  <si>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</si>
  <si>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</si>
  <si>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</si>
  <si>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</si>
  <si>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Tabela 28 — Segurança (Aba 20)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</si>
  <si>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</si>
  <si>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</si>
  <si>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</si>
  <si>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</si>
  <si>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</si>
  <si>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</si>
  <si>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</si>
  <si>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</si>
  <si>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Tabela 29 — Engenharia (Aba 20)</t>
  </si>
  <si>
    <t xml:space="preserve">20281</t>
  </si>
  <si>
    <t xml:space="preserve">20282</t>
  </si>
  <si>
    <t xml:space="preserve">20283</t>
  </si>
  <si>
    <t xml:space="preserve">20284</t>
  </si>
  <si>
    <t xml:space="preserve">20285</t>
  </si>
  <si>
    <t xml:space="preserve">20286</t>
  </si>
  <si>
    <t xml:space="preserve">20287</t>
  </si>
  <si>
    <t xml:space="preserve">20288</t>
  </si>
  <si>
    <t xml:space="preserve">Tabela 30 — Produto (Aba 20)</t>
  </si>
  <si>
    <t xml:space="preserve">20291</t>
  </si>
  <si>
    <t xml:space="preserve">20292</t>
  </si>
  <si>
    <t xml:space="preserve">20293</t>
  </si>
  <si>
    <t xml:space="preserve">20294</t>
  </si>
  <si>
    <t xml:space="preserve">20295</t>
  </si>
  <si>
    <t xml:space="preserve">20296</t>
  </si>
  <si>
    <t xml:space="preserve">20297</t>
  </si>
  <si>
    <t xml:space="preserve">20298</t>
  </si>
  <si>
    <t xml:space="preserve">Planilha — Aba 21 | Relatório de Equipe</t>
  </si>
  <si>
    <t xml:space="preserve">Tabela 1 — Engenharia (Aba 21)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</si>
  <si>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</si>
  <si>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</si>
  <si>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</si>
  <si>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</si>
  <si>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</si>
  <si>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</si>
  <si>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21007</t>
  </si>
  <si>
    <t xml:space="preserve">21008</t>
  </si>
  <si>
    <t xml:space="preserve">Tabela 2 — Produto (Aba 21)</t>
  </si>
  <si>
    <t xml:space="preserve">21011</t>
  </si>
  <si>
    <t xml:space="preserve">21012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</si>
  <si>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</si>
  <si>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</si>
  <si>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</si>
  <si>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</si>
  <si>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</si>
  <si>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</si>
  <si>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Tabela 3 — Design (Aba 21)</t>
  </si>
  <si>
    <t xml:space="preserve">21021</t>
  </si>
  <si>
    <t xml:space="preserve">21022</t>
  </si>
  <si>
    <t xml:space="preserve">21023</t>
  </si>
  <si>
    <t xml:space="preserve">21024</t>
  </si>
  <si>
    <t xml:space="preserve">21025</t>
  </si>
  <si>
    <t xml:space="preserve">21026</t>
  </si>
  <si>
    <t xml:space="preserve">21027</t>
  </si>
  <si>
    <t xml:space="preserve">21028</t>
  </si>
  <si>
    <t xml:space="preserve">Tabela 4 — DevEx (Aba 21)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</si>
  <si>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</si>
  <si>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</si>
  <si>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</si>
  <si>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</si>
  <si>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</si>
  <si>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</si>
  <si>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</si>
  <si>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</si>
  <si>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Tabela 5 — Dados (Aba 21)</t>
  </si>
  <si>
    <t xml:space="preserve">21041</t>
  </si>
  <si>
    <t xml:space="preserve">21042</t>
  </si>
  <si>
    <t xml:space="preserve">21043</t>
  </si>
  <si>
    <t xml:space="preserve">21044</t>
  </si>
  <si>
    <t xml:space="preserve">21045</t>
  </si>
  <si>
    <t xml:space="preserve">21046</t>
  </si>
  <si>
    <t xml:space="preserve">21047</t>
  </si>
  <si>
    <t xml:space="preserve">21048</t>
  </si>
  <si>
    <t xml:space="preserve">Tabela 6 — Infra (Aba 21)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</si>
  <si>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</si>
  <si>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</si>
  <si>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</si>
  <si>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</si>
  <si>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</si>
  <si>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</si>
  <si>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21057</t>
  </si>
  <si>
    <t xml:space="preserve">21058</t>
  </si>
  <si>
    <t xml:space="preserve">Tabela 7 — Segurança (Aba 21)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</si>
  <si>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</si>
  <si>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</si>
  <si>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</si>
  <si>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</si>
  <si>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</si>
  <si>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21066</t>
  </si>
  <si>
    <t xml:space="preserve">21067</t>
  </si>
  <si>
    <t xml:space="preserve">21068</t>
  </si>
  <si>
    <t xml:space="preserve">Tabela 8 — Engenharia (Aba 21)</t>
  </si>
  <si>
    <t xml:space="preserve">21071</t>
  </si>
  <si>
    <t xml:space="preserve">21072</t>
  </si>
  <si>
    <t xml:space="preserve">21073</t>
  </si>
  <si>
    <t xml:space="preserve">21074</t>
  </si>
  <si>
    <t xml:space="preserve">21075</t>
  </si>
  <si>
    <t xml:space="preserve">21076</t>
  </si>
  <si>
    <t xml:space="preserve">21077</t>
  </si>
  <si>
    <t xml:space="preserve">21078</t>
  </si>
  <si>
    <t xml:space="preserve">Tabela 9 — Produto (Aba 21)</t>
  </si>
  <si>
    <t xml:space="preserve">21081</t>
  </si>
  <si>
    <t xml:space="preserve">21082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</si>
  <si>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</si>
  <si>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</si>
  <si>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</si>
  <si>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</si>
  <si>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</si>
  <si>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</si>
  <si>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Tabela 10 — Design (Aba 21)</t>
  </si>
  <si>
    <t xml:space="preserve">21091</t>
  </si>
  <si>
    <t xml:space="preserve">21092</t>
  </si>
  <si>
    <t xml:space="preserve">21093</t>
  </si>
  <si>
    <t xml:space="preserve">21094</t>
  </si>
  <si>
    <t xml:space="preserve">21095</t>
  </si>
  <si>
    <t xml:space="preserve">21096</t>
  </si>
  <si>
    <t xml:space="preserve">21097</t>
  </si>
  <si>
    <t xml:space="preserve">21098</t>
  </si>
  <si>
    <t xml:space="preserve">Tabela 11 — DevEx (Aba 21)</t>
  </si>
  <si>
    <t xml:space="preserve">21101</t>
  </si>
  <si>
    <t xml:space="preserve">21102</t>
  </si>
  <si>
    <t xml:space="preserve">21103</t>
  </si>
  <si>
    <t xml:space="preserve">21104</t>
  </si>
  <si>
    <t xml:space="preserve">21105</t>
  </si>
  <si>
    <t xml:space="preserve">21106</t>
  </si>
  <si>
    <t xml:space="preserve">21107</t>
  </si>
  <si>
    <t xml:space="preserve">21108</t>
  </si>
  <si>
    <t xml:space="preserve">Tabela 12 — Dados (Aba 21)</t>
  </si>
  <si>
    <t xml:space="preserve">21111</t>
  </si>
  <si>
    <t xml:space="preserve">21112</t>
  </si>
  <si>
    <t xml:space="preserve">21113</t>
  </si>
  <si>
    <t xml:space="preserve">21114</t>
  </si>
  <si>
    <t xml:space="preserve">21115</t>
  </si>
  <si>
    <t xml:space="preserve">21116</t>
  </si>
  <si>
    <t xml:space="preserve">21117</t>
  </si>
  <si>
    <t xml:space="preserve">21118</t>
  </si>
  <si>
    <t xml:space="preserve">Tabela 13 — Infra (Aba 21)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</si>
  <si>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</si>
  <si>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</si>
  <si>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</si>
  <si>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</si>
  <si>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</si>
  <si>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21126</t>
  </si>
  <si>
    <t xml:space="preserve">21127</t>
  </si>
  <si>
    <t xml:space="preserve">21128</t>
  </si>
  <si>
    <t xml:space="preserve">Tabela 14 — Segurança (Aba 21)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</si>
  <si>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</si>
  <si>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</si>
  <si>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</si>
  <si>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</si>
  <si>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</si>
  <si>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</si>
  <si>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</si>
  <si>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</si>
  <si>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Tabela 15 — Engenharia (Aba 21)</t>
  </si>
  <si>
    <t xml:space="preserve">21141</t>
  </si>
  <si>
    <t xml:space="preserve">21142</t>
  </si>
  <si>
    <t xml:space="preserve">21143</t>
  </si>
  <si>
    <t xml:space="preserve">21144</t>
  </si>
  <si>
    <t xml:space="preserve">21145</t>
  </si>
  <si>
    <t xml:space="preserve">21146</t>
  </si>
  <si>
    <t xml:space="preserve">21147</t>
  </si>
  <si>
    <t xml:space="preserve">21148</t>
  </si>
  <si>
    <t xml:space="preserve">Tabela 16 — Produto (Aba 21)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</si>
  <si>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</si>
  <si>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</si>
  <si>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</si>
  <si>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</si>
  <si>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</si>
  <si>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</si>
  <si>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</si>
  <si>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21158</t>
  </si>
  <si>
    <t xml:space="preserve">Tabela 17 — Design (Aba 21)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</si>
  <si>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</si>
  <si>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</si>
  <si>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</si>
  <si>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</si>
  <si>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</si>
  <si>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21166</t>
  </si>
  <si>
    <t xml:space="preserve">21167</t>
  </si>
  <si>
    <t xml:space="preserve">21168</t>
  </si>
  <si>
    <t xml:space="preserve">Tabela 18 — DevEx (Aba 21)</t>
  </si>
  <si>
    <t xml:space="preserve">21171</t>
  </si>
  <si>
    <t xml:space="preserve">21172</t>
  </si>
  <si>
    <t xml:space="preserve">21173</t>
  </si>
  <si>
    <t xml:space="preserve">21174</t>
  </si>
  <si>
    <t xml:space="preserve">21175</t>
  </si>
  <si>
    <t xml:space="preserve">21176</t>
  </si>
  <si>
    <t xml:space="preserve">21177</t>
  </si>
  <si>
    <t xml:space="preserve">21178</t>
  </si>
  <si>
    <t xml:space="preserve">Tabela 19 — Dados (Aba 21)</t>
  </si>
  <si>
    <t xml:space="preserve">21181</t>
  </si>
  <si>
    <t xml:space="preserve">21182</t>
  </si>
  <si>
    <t xml:space="preserve">21183</t>
  </si>
  <si>
    <t xml:space="preserve">21184</t>
  </si>
  <si>
    <t xml:space="preserve">21185</t>
  </si>
  <si>
    <t xml:space="preserve">21186</t>
  </si>
  <si>
    <t xml:space="preserve">21187</t>
  </si>
  <si>
    <t xml:space="preserve">21188</t>
  </si>
  <si>
    <t xml:space="preserve">Tabela 20 — Infra (Aba 21)</t>
  </si>
  <si>
    <t xml:space="preserve">21191</t>
  </si>
  <si>
    <t xml:space="preserve">21192</t>
  </si>
  <si>
    <t xml:space="preserve">21193</t>
  </si>
  <si>
    <t xml:space="preserve">21194</t>
  </si>
  <si>
    <t xml:space="preserve">21195</t>
  </si>
  <si>
    <t xml:space="preserve">21196</t>
  </si>
  <si>
    <t xml:space="preserve">21197</t>
  </si>
  <si>
    <t xml:space="preserve">21198</t>
  </si>
  <si>
    <t xml:space="preserve">Tabela 21 — Segurança (Aba 21)</t>
  </si>
  <si>
    <t xml:space="preserve">21201</t>
  </si>
  <si>
    <t xml:space="preserve">21202</t>
  </si>
  <si>
    <t xml:space="preserve">21203</t>
  </si>
  <si>
    <t xml:space="preserve">21204</t>
  </si>
  <si>
    <t xml:space="preserve">21205</t>
  </si>
  <si>
    <t xml:space="preserve">21206</t>
  </si>
  <si>
    <t xml:space="preserve">21207</t>
  </si>
  <si>
    <t xml:space="preserve">21208</t>
  </si>
  <si>
    <t xml:space="preserve">Tabela 22 — Engenharia (Aba 21)</t>
  </si>
  <si>
    <t xml:space="preserve">21211</t>
  </si>
  <si>
    <t xml:space="preserve">21212</t>
  </si>
  <si>
    <t xml:space="preserve">21213</t>
  </si>
  <si>
    <t xml:space="preserve">21214</t>
  </si>
  <si>
    <t xml:space="preserve">21215</t>
  </si>
  <si>
    <t xml:space="preserve">21216</t>
  </si>
  <si>
    <t xml:space="preserve">21217</t>
  </si>
  <si>
    <t xml:space="preserve">21218</t>
  </si>
  <si>
    <t xml:space="preserve">Tabela 23 — Produto (Aba 21)</t>
  </si>
  <si>
    <t xml:space="preserve">21221</t>
  </si>
  <si>
    <t xml:space="preserve">21222</t>
  </si>
  <si>
    <t xml:space="preserve">21223</t>
  </si>
  <si>
    <t xml:space="preserve">21224</t>
  </si>
  <si>
    <t xml:space="preserve">21225</t>
  </si>
  <si>
    <t xml:space="preserve">21226</t>
  </si>
  <si>
    <t xml:space="preserve">21227</t>
  </si>
  <si>
    <t xml:space="preserve">21228</t>
  </si>
  <si>
    <t xml:space="preserve">Tabela 24 — Design (Aba 21)</t>
  </si>
  <si>
    <t xml:space="preserve">21231</t>
  </si>
  <si>
    <t xml:space="preserve">21232</t>
  </si>
  <si>
    <t xml:space="preserve">21233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</si>
  <si>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</si>
  <si>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</si>
  <si>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</si>
  <si>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</si>
  <si>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</si>
  <si>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Tabela 25 — DevEx (Aba 21)</t>
  </si>
  <si>
    <t xml:space="preserve">21241</t>
  </si>
  <si>
    <t xml:space="preserve">21242</t>
  </si>
  <si>
    <t xml:space="preserve">21243</t>
  </si>
  <si>
    <t xml:space="preserve">21244</t>
  </si>
  <si>
    <t xml:space="preserve">21245</t>
  </si>
  <si>
    <t xml:space="preserve">21246</t>
  </si>
  <si>
    <t xml:space="preserve">21247</t>
  </si>
  <si>
    <t xml:space="preserve">21248</t>
  </si>
  <si>
    <t xml:space="preserve">Tabela 26 — Dados (Aba 21)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</si>
  <si>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</si>
  <si>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</si>
  <si>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</si>
  <si>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</si>
  <si>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</si>
  <si>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</si>
  <si>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</si>
  <si>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</si>
  <si>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Tabela 27 — Infra (Aba 21)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</si>
  <si>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</si>
  <si>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</si>
  <si>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</si>
  <si>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</si>
  <si>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</si>
  <si>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</si>
  <si>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</si>
  <si>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</si>
  <si>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Tabela 28 — Segurança (Aba 21)</t>
  </si>
  <si>
    <t xml:space="preserve">21271</t>
  </si>
  <si>
    <t xml:space="preserve">21272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</si>
  <si>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</si>
  <si>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</si>
  <si>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</si>
  <si>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</si>
  <si>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</si>
  <si>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</si>
  <si>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Tabela 29 — Engenharia (Aba 21)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</si>
  <si>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</si>
  <si>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</si>
  <si>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</si>
  <si>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</si>
  <si>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</si>
  <si>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</si>
  <si>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</si>
  <si>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</si>
  <si>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Tabela 30 — Produto (Aba 21)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</si>
  <si>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</si>
  <si>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</si>
  <si>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</si>
  <si>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</si>
  <si>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</si>
  <si>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</si>
  <si>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</si>
  <si>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</si>
  <si>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Planilha — Aba 22 | Relatório de Equipe</t>
  </si>
  <si>
    <t xml:space="preserve">Tabela 1 — Engenharia (Aba 22)</t>
  </si>
  <si>
    <t xml:space="preserve">22001</t>
  </si>
  <si>
    <t xml:space="preserve">22002</t>
  </si>
  <si>
    <t xml:space="preserve">22003</t>
  </si>
  <si>
    <t xml:space="preserve">22004</t>
  </si>
  <si>
    <t xml:space="preserve">22005</t>
  </si>
  <si>
    <t xml:space="preserve">22006</t>
  </si>
  <si>
    <t xml:space="preserve">22007</t>
  </si>
  <si>
    <t xml:space="preserve">22008</t>
  </si>
  <si>
    <t xml:space="preserve">Tabela 2 — Produto (Aba 22)</t>
  </si>
  <si>
    <t xml:space="preserve">22011</t>
  </si>
  <si>
    <t xml:space="preserve">22012</t>
  </si>
  <si>
    <t xml:space="preserve">22013</t>
  </si>
  <si>
    <t xml:space="preserve">22014</t>
  </si>
  <si>
    <t xml:space="preserve">22015</t>
  </si>
  <si>
    <t xml:space="preserve">22016</t>
  </si>
  <si>
    <t xml:space="preserve">22017</t>
  </si>
  <si>
    <t xml:space="preserve">22018</t>
  </si>
  <si>
    <t xml:space="preserve">Tabela 3 — Design (Aba 22)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</si>
  <si>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</si>
  <si>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</si>
  <si>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</si>
  <si>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</si>
  <si>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</si>
  <si>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22026</t>
  </si>
  <si>
    <t xml:space="preserve">22027</t>
  </si>
  <si>
    <t xml:space="preserve">22028</t>
  </si>
  <si>
    <t xml:space="preserve">Tabela 4 — DevEx (Aba 22)</t>
  </si>
  <si>
    <t xml:space="preserve">22031</t>
  </si>
  <si>
    <t xml:space="preserve">22032</t>
  </si>
  <si>
    <t xml:space="preserve">22033</t>
  </si>
  <si>
    <t xml:space="preserve">22034</t>
  </si>
  <si>
    <t xml:space="preserve">22035</t>
  </si>
  <si>
    <t xml:space="preserve">22036</t>
  </si>
  <si>
    <t xml:space="preserve">22037</t>
  </si>
  <si>
    <t xml:space="preserve">22038</t>
  </si>
  <si>
    <t xml:space="preserve">Tabela 5 — Dados (Aba 22)</t>
  </si>
  <si>
    <t xml:space="preserve">22041</t>
  </si>
  <si>
    <t xml:space="preserve">22042</t>
  </si>
  <si>
    <t xml:space="preserve">22043</t>
  </si>
  <si>
    <t xml:space="preserve">22044</t>
  </si>
  <si>
    <t xml:space="preserve">22045</t>
  </si>
  <si>
    <t xml:space="preserve">22046</t>
  </si>
  <si>
    <t xml:space="preserve">22047</t>
  </si>
  <si>
    <t xml:space="preserve">22048</t>
  </si>
  <si>
    <t xml:space="preserve">Tabela 6 — Infra (Aba 22)</t>
  </si>
  <si>
    <t xml:space="preserve">22051</t>
  </si>
  <si>
    <t xml:space="preserve">22052</t>
  </si>
  <si>
    <t xml:space="preserve">22053</t>
  </si>
  <si>
    <t xml:space="preserve">22054</t>
  </si>
  <si>
    <t xml:space="preserve">22055</t>
  </si>
  <si>
    <t xml:space="preserve">22056</t>
  </si>
  <si>
    <t xml:space="preserve">22057</t>
  </si>
  <si>
    <t xml:space="preserve">22058</t>
  </si>
  <si>
    <t xml:space="preserve">Tabela 7 — Segurança (Aba 22)</t>
  </si>
  <si>
    <t xml:space="preserve">22061</t>
  </si>
  <si>
    <t xml:space="preserve">22062</t>
  </si>
  <si>
    <t xml:space="preserve">22063</t>
  </si>
  <si>
    <t xml:space="preserve">22064</t>
  </si>
  <si>
    <t xml:space="preserve">22065</t>
  </si>
  <si>
    <t xml:space="preserve">22066</t>
  </si>
  <si>
    <t xml:space="preserve">22067</t>
  </si>
  <si>
    <t xml:space="preserve">22068</t>
  </si>
  <si>
    <t xml:space="preserve">Tabela 8 — Engenharia (Aba 22)</t>
  </si>
  <si>
    <t xml:space="preserve">22071</t>
  </si>
  <si>
    <t xml:space="preserve">22072</t>
  </si>
  <si>
    <t xml:space="preserve">22073</t>
  </si>
  <si>
    <t xml:space="preserve">22074</t>
  </si>
  <si>
    <t xml:space="preserve">22075</t>
  </si>
  <si>
    <t xml:space="preserve">22076</t>
  </si>
  <si>
    <t xml:space="preserve">22077</t>
  </si>
  <si>
    <t xml:space="preserve">22078</t>
  </si>
  <si>
    <t xml:space="preserve">Tabela 9 — Produto (Aba 22)</t>
  </si>
  <si>
    <t xml:space="preserve">22081</t>
  </si>
  <si>
    <t xml:space="preserve">22082</t>
  </si>
  <si>
    <t xml:space="preserve">22083</t>
  </si>
  <si>
    <t xml:space="preserve">22084</t>
  </si>
  <si>
    <t xml:space="preserve">22085</t>
  </si>
  <si>
    <t xml:space="preserve">22086</t>
  </si>
  <si>
    <t xml:space="preserve">22087</t>
  </si>
  <si>
    <t xml:space="preserve">22088</t>
  </si>
  <si>
    <t xml:space="preserve">Tabela 10 — Design (Aba 22)</t>
  </si>
  <si>
    <t xml:space="preserve">22091</t>
  </si>
  <si>
    <t xml:space="preserve">22092</t>
  </si>
  <si>
    <t xml:space="preserve">22093</t>
  </si>
  <si>
    <t xml:space="preserve">22094</t>
  </si>
  <si>
    <t xml:space="preserve">22095</t>
  </si>
  <si>
    <t xml:space="preserve">22096</t>
  </si>
  <si>
    <t xml:space="preserve">22097</t>
  </si>
  <si>
    <t xml:space="preserve">22098</t>
  </si>
  <si>
    <t xml:space="preserve">Tabela 11 — DevEx (Aba 22)</t>
  </si>
  <si>
    <t xml:space="preserve">22101</t>
  </si>
  <si>
    <t xml:space="preserve">22102</t>
  </si>
  <si>
    <t xml:space="preserve">22103</t>
  </si>
  <si>
    <t xml:space="preserve">22104</t>
  </si>
  <si>
    <t xml:space="preserve">22105</t>
  </si>
  <si>
    <t xml:space="preserve">22106</t>
  </si>
  <si>
    <t xml:space="preserve">22107</t>
  </si>
  <si>
    <t xml:space="preserve">22108</t>
  </si>
  <si>
    <t xml:space="preserve">Tabela 12 — Dados (Aba 22)</t>
  </si>
  <si>
    <t xml:space="preserve">22111</t>
  </si>
  <si>
    <t xml:space="preserve">22112</t>
  </si>
  <si>
    <t xml:space="preserve">22113</t>
  </si>
  <si>
    <t xml:space="preserve">22114</t>
  </si>
  <si>
    <t xml:space="preserve">22115</t>
  </si>
  <si>
    <t xml:space="preserve">22116</t>
  </si>
  <si>
    <t xml:space="preserve">22117</t>
  </si>
  <si>
    <t xml:space="preserve">22118</t>
  </si>
  <si>
    <t xml:space="preserve">Tabela 13 — Infra (Aba 22)</t>
  </si>
  <si>
    <t xml:space="preserve">22121</t>
  </si>
  <si>
    <t xml:space="preserve">22122</t>
  </si>
  <si>
    <t xml:space="preserve">22123</t>
  </si>
  <si>
    <t xml:space="preserve">22124</t>
  </si>
  <si>
    <t xml:space="preserve">22125</t>
  </si>
  <si>
    <t xml:space="preserve">22126</t>
  </si>
  <si>
    <t xml:space="preserve">22127</t>
  </si>
  <si>
    <t xml:space="preserve">22128</t>
  </si>
  <si>
    <t xml:space="preserve">Tabela 14 — Segurança (Aba 22)</t>
  </si>
  <si>
    <t xml:space="preserve">22131</t>
  </si>
  <si>
    <t xml:space="preserve">22132</t>
  </si>
  <si>
    <t xml:space="preserve">22133</t>
  </si>
  <si>
    <t xml:space="preserve">22134</t>
  </si>
  <si>
    <t xml:space="preserve">22135</t>
  </si>
  <si>
    <t xml:space="preserve">22136</t>
  </si>
  <si>
    <t xml:space="preserve">22137</t>
  </si>
  <si>
    <t xml:space="preserve">22138</t>
  </si>
  <si>
    <t xml:space="preserve">Tabela 15 — Engenharia (Aba 22)</t>
  </si>
  <si>
    <t xml:space="preserve">22141</t>
  </si>
  <si>
    <t xml:space="preserve">22142</t>
  </si>
  <si>
    <t xml:space="preserve">22143</t>
  </si>
  <si>
    <t xml:space="preserve">22144</t>
  </si>
  <si>
    <t xml:space="preserve">22145</t>
  </si>
  <si>
    <t xml:space="preserve">22146</t>
  </si>
  <si>
    <t xml:space="preserve">22147</t>
  </si>
  <si>
    <t xml:space="preserve">22148</t>
  </si>
  <si>
    <t xml:space="preserve">Tabela 16 — Produto (Aba 22)</t>
  </si>
  <si>
    <t xml:space="preserve">22151</t>
  </si>
  <si>
    <t xml:space="preserve">22152</t>
  </si>
  <si>
    <t xml:space="preserve">22153</t>
  </si>
  <si>
    <t xml:space="preserve">22154</t>
  </si>
  <si>
    <t xml:space="preserve">22155</t>
  </si>
  <si>
    <t xml:space="preserve">22156</t>
  </si>
  <si>
    <t xml:space="preserve">22157</t>
  </si>
  <si>
    <t xml:space="preserve">22158</t>
  </si>
  <si>
    <t xml:space="preserve">Tabela 17 — Design (Aba 22)</t>
  </si>
  <si>
    <t xml:space="preserve">22161</t>
  </si>
  <si>
    <t xml:space="preserve">22162</t>
  </si>
  <si>
    <t xml:space="preserve">22163</t>
  </si>
  <si>
    <t xml:space="preserve">22164</t>
  </si>
  <si>
    <t xml:space="preserve">22165</t>
  </si>
  <si>
    <t xml:space="preserve">22166</t>
  </si>
  <si>
    <t xml:space="preserve">22167</t>
  </si>
  <si>
    <t xml:space="preserve">22168</t>
  </si>
  <si>
    <t xml:space="preserve">Tabela 18 — DevEx (Aba 22)</t>
  </si>
  <si>
    <t xml:space="preserve">22171</t>
  </si>
  <si>
    <t xml:space="preserve">22172</t>
  </si>
  <si>
    <t xml:space="preserve">22173</t>
  </si>
  <si>
    <t xml:space="preserve">22174</t>
  </si>
  <si>
    <t xml:space="preserve">22175</t>
  </si>
  <si>
    <t xml:space="preserve">22176</t>
  </si>
  <si>
    <t xml:space="preserve">22177</t>
  </si>
  <si>
    <t xml:space="preserve">22178</t>
  </si>
  <si>
    <t xml:space="preserve">Tabela 19 — Dados (Aba 22)</t>
  </si>
  <si>
    <t xml:space="preserve">22181</t>
  </si>
  <si>
    <t xml:space="preserve">22182</t>
  </si>
  <si>
    <t xml:space="preserve">22183</t>
  </si>
  <si>
    <t xml:space="preserve">22184</t>
  </si>
  <si>
    <t xml:space="preserve">22185</t>
  </si>
  <si>
    <t xml:space="preserve">22186</t>
  </si>
  <si>
    <t xml:space="preserve">22187</t>
  </si>
  <si>
    <t xml:space="preserve">22188</t>
  </si>
  <si>
    <t xml:space="preserve">Tabela 20 — Infra (Aba 22)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</si>
  <si>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</si>
  <si>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</si>
  <si>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</si>
  <si>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</si>
  <si>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</si>
  <si>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</si>
  <si>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</si>
  <si>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</si>
  <si>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Tabela 21 — Segurança (Aba 22)</t>
  </si>
  <si>
    <t xml:space="preserve">22201</t>
  </si>
  <si>
    <t xml:space="preserve">22202</t>
  </si>
  <si>
    <t xml:space="preserve">22203</t>
  </si>
  <si>
    <t xml:space="preserve">22204</t>
  </si>
  <si>
    <t xml:space="preserve">22205</t>
  </si>
  <si>
    <t xml:space="preserve">22206</t>
  </si>
  <si>
    <t xml:space="preserve">22207</t>
  </si>
  <si>
    <t xml:space="preserve">22208</t>
  </si>
  <si>
    <t xml:space="preserve">Tabela 22 — Engenharia (Aba 22)</t>
  </si>
  <si>
    <t xml:space="preserve">22211</t>
  </si>
  <si>
    <t xml:space="preserve">22212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</si>
  <si>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</si>
  <si>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</si>
  <si>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</si>
  <si>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</si>
  <si>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</si>
  <si>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</si>
  <si>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Tabela 23 — Produto (Aba 22)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</si>
  <si>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</si>
  <si>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</si>
  <si>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</si>
  <si>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</si>
  <si>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</si>
  <si>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</si>
  <si>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</si>
  <si>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</si>
  <si>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Tabela 24 — Design (Aba 22)</t>
  </si>
  <si>
    <t xml:space="preserve">22231</t>
  </si>
  <si>
    <t xml:space="preserve">22232</t>
  </si>
  <si>
    <t xml:space="preserve">22233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</si>
  <si>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</si>
  <si>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</si>
  <si>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</si>
  <si>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</si>
  <si>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</si>
  <si>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Tabela 25 — DevEx (Aba 22)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</si>
  <si>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</si>
  <si>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</si>
  <si>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</si>
  <si>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</si>
  <si>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</si>
  <si>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</si>
  <si>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</si>
  <si>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</si>
  <si>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Tabela 26 — Dados (Aba 22)</t>
  </si>
  <si>
    <t xml:space="preserve">22251</t>
  </si>
  <si>
    <t xml:space="preserve">22252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</si>
  <si>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</si>
  <si>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</si>
  <si>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</si>
  <si>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</si>
  <si>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</si>
  <si>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</si>
  <si>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Tabela 27 — Infra (Aba 22)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</si>
  <si>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</si>
  <si>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</si>
  <si>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</si>
  <si>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</si>
  <si>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</si>
  <si>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</si>
  <si>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</si>
  <si>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</si>
  <si>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Tabela 28 — Segurança (Aba 22)</t>
  </si>
  <si>
    <t xml:space="preserve">22271</t>
  </si>
  <si>
    <t xml:space="preserve">22272</t>
  </si>
  <si>
    <t xml:space="preserve">22273</t>
  </si>
  <si>
    <t xml:space="preserve">22274</t>
  </si>
  <si>
    <t xml:space="preserve">22275</t>
  </si>
  <si>
    <t xml:space="preserve">22276</t>
  </si>
  <si>
    <t xml:space="preserve">22277</t>
  </si>
  <si>
    <t xml:space="preserve">22278</t>
  </si>
  <si>
    <t xml:space="preserve">Tabela 29 — Engenharia (Aba 22)</t>
  </si>
  <si>
    <t xml:space="preserve">22281</t>
  </si>
  <si>
    <t xml:space="preserve">22282</t>
  </si>
  <si>
    <t xml:space="preserve">22283</t>
  </si>
  <si>
    <t xml:space="preserve">22284</t>
  </si>
  <si>
    <t xml:space="preserve">22285</t>
  </si>
  <si>
    <t xml:space="preserve">22286</t>
  </si>
  <si>
    <t xml:space="preserve">22287</t>
  </si>
  <si>
    <t xml:space="preserve">22288</t>
  </si>
  <si>
    <t xml:space="preserve">Tabela 30 — Produto (Aba 22)</t>
  </si>
  <si>
    <t xml:space="preserve">22291</t>
  </si>
  <si>
    <t xml:space="preserve">22292</t>
  </si>
  <si>
    <t xml:space="preserve">22293</t>
  </si>
  <si>
    <t xml:space="preserve">22294</t>
  </si>
  <si>
    <t xml:space="preserve">22295</t>
  </si>
  <si>
    <t xml:space="preserve">22296</t>
  </si>
  <si>
    <t xml:space="preserve">22297</t>
  </si>
  <si>
    <t xml:space="preserve">22298</t>
  </si>
  <si>
    <t xml:space="preserve">Planilha — Aba 23 | Relatório de Equipe</t>
  </si>
  <si>
    <t xml:space="preserve">Tabela 1 — Engenharia (Aba 23)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</si>
  <si>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</si>
  <si>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</si>
  <si>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</si>
  <si>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</si>
  <si>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</si>
  <si>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</si>
  <si>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</si>
  <si>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</si>
  <si>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Tabela 2 — Produto (Aba 23)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</si>
  <si>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</si>
  <si>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</si>
  <si>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</si>
  <si>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</si>
  <si>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</si>
  <si>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23016</t>
  </si>
  <si>
    <t xml:space="preserve">23017</t>
  </si>
  <si>
    <t xml:space="preserve">23018</t>
  </si>
  <si>
    <t xml:space="preserve">Tabela 3 — Design (Aba 23)</t>
  </si>
  <si>
    <t xml:space="preserve">23021</t>
  </si>
  <si>
    <t xml:space="preserve">23022</t>
  </si>
  <si>
    <t xml:space="preserve">23023</t>
  </si>
  <si>
    <t xml:space="preserve">23024</t>
  </si>
  <si>
    <t xml:space="preserve">23025</t>
  </si>
  <si>
    <t xml:space="preserve">23026</t>
  </si>
  <si>
    <t xml:space="preserve">23027</t>
  </si>
  <si>
    <t xml:space="preserve">23028</t>
  </si>
  <si>
    <t xml:space="preserve">Tabela 4 — DevEx (Aba 23)</t>
  </si>
  <si>
    <t xml:space="preserve">23031</t>
  </si>
  <si>
    <t xml:space="preserve">23032</t>
  </si>
  <si>
    <t xml:space="preserve">23033</t>
  </si>
  <si>
    <t xml:space="preserve">23034</t>
  </si>
  <si>
    <t xml:space="preserve">23035</t>
  </si>
  <si>
    <t xml:space="preserve">23036</t>
  </si>
  <si>
    <t xml:space="preserve">23037</t>
  </si>
  <si>
    <t xml:space="preserve">23038</t>
  </si>
  <si>
    <t xml:space="preserve">Tabela 5 — Dados (Aba 23)</t>
  </si>
  <si>
    <t xml:space="preserve">23041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</si>
  <si>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</si>
  <si>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</si>
  <si>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</si>
  <si>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</si>
  <si>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</si>
  <si>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</si>
  <si>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</si>
  <si>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Tabela 6 — Infra (Aba 23)</t>
  </si>
  <si>
    <t xml:space="preserve">23051</t>
  </si>
  <si>
    <t xml:space="preserve">23052</t>
  </si>
  <si>
    <t xml:space="preserve">23053</t>
  </si>
  <si>
    <t xml:space="preserve">23054</t>
  </si>
  <si>
    <t xml:space="preserve">23055</t>
  </si>
  <si>
    <t xml:space="preserve">23056</t>
  </si>
  <si>
    <t xml:space="preserve">23057</t>
  </si>
  <si>
    <t xml:space="preserve">23058</t>
  </si>
  <si>
    <t xml:space="preserve">Tabela 7 — Segurança (Aba 23)</t>
  </si>
  <si>
    <t xml:space="preserve">23061</t>
  </si>
  <si>
    <t xml:space="preserve">23062</t>
  </si>
  <si>
    <t xml:space="preserve">23063</t>
  </si>
  <si>
    <t xml:space="preserve">23064</t>
  </si>
  <si>
    <t xml:space="preserve">23065</t>
  </si>
  <si>
    <t xml:space="preserve">23066</t>
  </si>
  <si>
    <t xml:space="preserve">23067</t>
  </si>
  <si>
    <t xml:space="preserve">23068</t>
  </si>
  <si>
    <t xml:space="preserve">Tabela 8 — Engenharia (Aba 23)</t>
  </si>
  <si>
    <t xml:space="preserve">23071</t>
  </si>
  <si>
    <t xml:space="preserve">23072</t>
  </si>
  <si>
    <t xml:space="preserve">23073</t>
  </si>
  <si>
    <t xml:space="preserve">23074</t>
  </si>
  <si>
    <t xml:space="preserve">23075</t>
  </si>
  <si>
    <t xml:space="preserve">23076</t>
  </si>
  <si>
    <t xml:space="preserve">23077</t>
  </si>
  <si>
    <t xml:space="preserve">23078</t>
  </si>
  <si>
    <t xml:space="preserve">Tabela 9 — Produto (Aba 23)</t>
  </si>
  <si>
    <t xml:space="preserve">23081</t>
  </si>
  <si>
    <t xml:space="preserve">23082</t>
  </si>
  <si>
    <t xml:space="preserve">23083</t>
  </si>
  <si>
    <t xml:space="preserve">23084</t>
  </si>
  <si>
    <t xml:space="preserve">23085</t>
  </si>
  <si>
    <t xml:space="preserve">23086</t>
  </si>
  <si>
    <t xml:space="preserve">23087</t>
  </si>
  <si>
    <t xml:space="preserve">23088</t>
  </si>
  <si>
    <t xml:space="preserve">Tabela 10 — Design (Aba 23)</t>
  </si>
  <si>
    <t xml:space="preserve">23091</t>
  </si>
  <si>
    <t xml:space="preserve">23092</t>
  </si>
  <si>
    <t xml:space="preserve">23093</t>
  </si>
  <si>
    <t xml:space="preserve">23094</t>
  </si>
  <si>
    <t xml:space="preserve">23095</t>
  </si>
  <si>
    <t xml:space="preserve">23096</t>
  </si>
  <si>
    <t xml:space="preserve">23097</t>
  </si>
  <si>
    <t xml:space="preserve">23098</t>
  </si>
  <si>
    <t xml:space="preserve">Tabela 11 — DevEx (Aba 23)</t>
  </si>
  <si>
    <t xml:space="preserve">23101</t>
  </si>
  <si>
    <t xml:space="preserve">23102</t>
  </si>
  <si>
    <t xml:space="preserve">23103</t>
  </si>
  <si>
    <t xml:space="preserve">23104</t>
  </si>
  <si>
    <t xml:space="preserve">23105</t>
  </si>
  <si>
    <t xml:space="preserve">23106</t>
  </si>
  <si>
    <t xml:space="preserve">23107</t>
  </si>
  <si>
    <t xml:space="preserve">23108</t>
  </si>
  <si>
    <t xml:space="preserve">Tabela 12 — Dados (Aba 23)</t>
  </si>
  <si>
    <t xml:space="preserve">23111</t>
  </si>
  <si>
    <t xml:space="preserve">23112</t>
  </si>
  <si>
    <t xml:space="preserve">23113</t>
  </si>
  <si>
    <t xml:space="preserve">23114</t>
  </si>
  <si>
    <t xml:space="preserve">23115</t>
  </si>
  <si>
    <t xml:space="preserve">23116</t>
  </si>
  <si>
    <t xml:space="preserve">23117</t>
  </si>
  <si>
    <t xml:space="preserve">23118</t>
  </si>
  <si>
    <t xml:space="preserve">Tabela 13 — Infra (Aba 23)</t>
  </si>
  <si>
    <t xml:space="preserve">23121</t>
  </si>
  <si>
    <t xml:space="preserve">23122</t>
  </si>
  <si>
    <t xml:space="preserve">23123</t>
  </si>
  <si>
    <t xml:space="preserve">23124</t>
  </si>
  <si>
    <t xml:space="preserve">23125</t>
  </si>
  <si>
    <t xml:space="preserve">23126</t>
  </si>
  <si>
    <t xml:space="preserve">23127</t>
  </si>
  <si>
    <t xml:space="preserve">23128</t>
  </si>
  <si>
    <t xml:space="preserve">Tabela 14 — Segurança (Aba 23)</t>
  </si>
  <si>
    <t xml:space="preserve">23131</t>
  </si>
  <si>
    <t xml:space="preserve">23132</t>
  </si>
  <si>
    <t xml:space="preserve">23133</t>
  </si>
  <si>
    <t xml:space="preserve">23134</t>
  </si>
  <si>
    <t xml:space="preserve">23135</t>
  </si>
  <si>
    <t xml:space="preserve">23136</t>
  </si>
  <si>
    <t xml:space="preserve">23137</t>
  </si>
  <si>
    <t xml:space="preserve">23138</t>
  </si>
  <si>
    <t xml:space="preserve">Tabela 15 — Engenharia (Aba 23)</t>
  </si>
  <si>
    <t xml:space="preserve">23141</t>
  </si>
  <si>
    <t xml:space="preserve">23142</t>
  </si>
  <si>
    <t xml:space="preserve">23143</t>
  </si>
  <si>
    <t xml:space="preserve">23144</t>
  </si>
  <si>
    <t xml:space="preserve">23145</t>
  </si>
  <si>
    <t xml:space="preserve">23146</t>
  </si>
  <si>
    <t xml:space="preserve">23147</t>
  </si>
  <si>
    <t xml:space="preserve">23148</t>
  </si>
  <si>
    <t xml:space="preserve">Tabela 16 — Produto (Aba 23)</t>
  </si>
  <si>
    <t xml:space="preserve">23151</t>
  </si>
  <si>
    <t xml:space="preserve">23152</t>
  </si>
  <si>
    <t xml:space="preserve">23153</t>
  </si>
  <si>
    <t xml:space="preserve">23154</t>
  </si>
  <si>
    <t xml:space="preserve">23155</t>
  </si>
  <si>
    <t xml:space="preserve">23156</t>
  </si>
  <si>
    <t xml:space="preserve">23157</t>
  </si>
  <si>
    <t xml:space="preserve">23158</t>
  </si>
  <si>
    <t xml:space="preserve">Tabela 17 — Design (Aba 23)</t>
  </si>
  <si>
    <t xml:space="preserve">23161</t>
  </si>
  <si>
    <t xml:space="preserve">23162</t>
  </si>
  <si>
    <t xml:space="preserve">23163</t>
  </si>
  <si>
    <t xml:space="preserve">23164</t>
  </si>
  <si>
    <t xml:space="preserve">23165</t>
  </si>
  <si>
    <t xml:space="preserve">23166</t>
  </si>
  <si>
    <t xml:space="preserve">23167</t>
  </si>
  <si>
    <t xml:space="preserve">23168</t>
  </si>
  <si>
    <t xml:space="preserve">Tabela 18 — DevEx (Aba 23)</t>
  </si>
  <si>
    <t xml:space="preserve">23171</t>
  </si>
  <si>
    <t xml:space="preserve">23172</t>
  </si>
  <si>
    <t xml:space="preserve">23173</t>
  </si>
  <si>
    <t xml:space="preserve">23174</t>
  </si>
  <si>
    <t xml:space="preserve">23175</t>
  </si>
  <si>
    <t xml:space="preserve">23176</t>
  </si>
  <si>
    <t xml:space="preserve">23177</t>
  </si>
  <si>
    <t xml:space="preserve">23178</t>
  </si>
  <si>
    <t xml:space="preserve">Tabela 19 — Dados (Aba 23)</t>
  </si>
  <si>
    <t xml:space="preserve">23181</t>
  </si>
  <si>
    <t xml:space="preserve">23182</t>
  </si>
  <si>
    <t xml:space="preserve">23183</t>
  </si>
  <si>
    <t xml:space="preserve">23184</t>
  </si>
  <si>
    <t xml:space="preserve">23185</t>
  </si>
  <si>
    <t xml:space="preserve">23186</t>
  </si>
  <si>
    <t xml:space="preserve">23187</t>
  </si>
  <si>
    <t xml:space="preserve">23188</t>
  </si>
  <si>
    <t xml:space="preserve">Tabela 20 — Infra (Aba 23)</t>
  </si>
  <si>
    <t xml:space="preserve">23191</t>
  </si>
  <si>
    <t xml:space="preserve">23192</t>
  </si>
  <si>
    <t xml:space="preserve">23193</t>
  </si>
  <si>
    <t xml:space="preserve">23194</t>
  </si>
  <si>
    <t xml:space="preserve">23195</t>
  </si>
  <si>
    <t xml:space="preserve">23196</t>
  </si>
  <si>
    <t xml:space="preserve">23197</t>
  </si>
  <si>
    <t xml:space="preserve">23198</t>
  </si>
  <si>
    <t xml:space="preserve">Tabela 21 — Segurança (Aba 23)</t>
  </si>
  <si>
    <t xml:space="preserve">23201</t>
  </si>
  <si>
    <t xml:space="preserve">23202</t>
  </si>
  <si>
    <t xml:space="preserve">23203</t>
  </si>
  <si>
    <t xml:space="preserve">23204</t>
  </si>
  <si>
    <t xml:space="preserve">23205</t>
  </si>
  <si>
    <t xml:space="preserve">23206</t>
  </si>
  <si>
    <t xml:space="preserve">23207</t>
  </si>
  <si>
    <t xml:space="preserve">23208</t>
  </si>
  <si>
    <t xml:space="preserve">Tabela 22 — Engenharia (Aba 23)</t>
  </si>
  <si>
    <t xml:space="preserve">23211</t>
  </si>
  <si>
    <t xml:space="preserve">23212</t>
  </si>
  <si>
    <t xml:space="preserve">23213</t>
  </si>
  <si>
    <t xml:space="preserve">23214</t>
  </si>
  <si>
    <t xml:space="preserve">23215</t>
  </si>
  <si>
    <t xml:space="preserve">23216</t>
  </si>
  <si>
    <t xml:space="preserve">23217</t>
  </si>
  <si>
    <t xml:space="preserve">23218</t>
  </si>
  <si>
    <t xml:space="preserve">Tabela 23 — Produto (Aba 23)</t>
  </si>
  <si>
    <t xml:space="preserve">23221</t>
  </si>
  <si>
    <t xml:space="preserve">23222</t>
  </si>
  <si>
    <t xml:space="preserve">23223</t>
  </si>
  <si>
    <t xml:space="preserve">23224</t>
  </si>
  <si>
    <t xml:space="preserve">23225</t>
  </si>
  <si>
    <t xml:space="preserve">23226</t>
  </si>
  <si>
    <t xml:space="preserve">23227</t>
  </si>
  <si>
    <t xml:space="preserve">23228</t>
  </si>
  <si>
    <t xml:space="preserve">Tabela 24 — Design (Aba 23)</t>
  </si>
  <si>
    <t xml:space="preserve">23231</t>
  </si>
  <si>
    <t xml:space="preserve">23232</t>
  </si>
  <si>
    <t xml:space="preserve">23233</t>
  </si>
  <si>
    <t xml:space="preserve">23234</t>
  </si>
  <si>
    <t xml:space="preserve">23235</t>
  </si>
  <si>
    <t xml:space="preserve">23236</t>
  </si>
  <si>
    <t xml:space="preserve">23237</t>
  </si>
  <si>
    <t xml:space="preserve">23238</t>
  </si>
  <si>
    <t xml:space="preserve">Tabela 25 — DevEx (Aba 23)</t>
  </si>
  <si>
    <t xml:space="preserve">23241</t>
  </si>
  <si>
    <t xml:space="preserve">23242</t>
  </si>
  <si>
    <t xml:space="preserve">23243</t>
  </si>
  <si>
    <t xml:space="preserve">23244</t>
  </si>
  <si>
    <t xml:space="preserve">23245</t>
  </si>
  <si>
    <t xml:space="preserve">23246</t>
  </si>
  <si>
    <t xml:space="preserve">23247</t>
  </si>
  <si>
    <t xml:space="preserve">23248</t>
  </si>
  <si>
    <t xml:space="preserve">Tabela 26 — Dados (Aba 23)</t>
  </si>
  <si>
    <t xml:space="preserve">23251</t>
  </si>
  <si>
    <t xml:space="preserve">23252</t>
  </si>
  <si>
    <t xml:space="preserve">23253</t>
  </si>
  <si>
    <t xml:space="preserve">23254</t>
  </si>
  <si>
    <t xml:space="preserve">23255</t>
  </si>
  <si>
    <t xml:space="preserve">23256</t>
  </si>
  <si>
    <t xml:space="preserve">23257</t>
  </si>
  <si>
    <t xml:space="preserve">23258</t>
  </si>
  <si>
    <t xml:space="preserve">Tabela 27 — Infra (Aba 23)</t>
  </si>
  <si>
    <t xml:space="preserve">23261</t>
  </si>
  <si>
    <t xml:space="preserve">23262</t>
  </si>
  <si>
    <t xml:space="preserve">23263</t>
  </si>
  <si>
    <t xml:space="preserve">23264</t>
  </si>
  <si>
    <t xml:space="preserve">23265</t>
  </si>
  <si>
    <t xml:space="preserve">23266</t>
  </si>
  <si>
    <t xml:space="preserve">23267</t>
  </si>
  <si>
    <t xml:space="preserve">23268</t>
  </si>
  <si>
    <t xml:space="preserve">Tabela 28 — Segurança (Aba 23)</t>
  </si>
  <si>
    <t xml:space="preserve">23271</t>
  </si>
  <si>
    <t xml:space="preserve">23272</t>
  </si>
  <si>
    <t xml:space="preserve">23273</t>
  </si>
  <si>
    <t xml:space="preserve">23274</t>
  </si>
  <si>
    <t xml:space="preserve">23275</t>
  </si>
  <si>
    <t xml:space="preserve">23276</t>
  </si>
  <si>
    <t xml:space="preserve">23277</t>
  </si>
  <si>
    <t xml:space="preserve">23278</t>
  </si>
  <si>
    <t xml:space="preserve">Tabela 29 — Engenharia (Aba 23)</t>
  </si>
  <si>
    <t xml:space="preserve">23281</t>
  </si>
  <si>
    <t xml:space="preserve">23282</t>
  </si>
  <si>
    <t xml:space="preserve">23283</t>
  </si>
  <si>
    <t xml:space="preserve">23284</t>
  </si>
  <si>
    <t xml:space="preserve">23285</t>
  </si>
  <si>
    <t xml:space="preserve">23286</t>
  </si>
  <si>
    <t xml:space="preserve">23287</t>
  </si>
  <si>
    <t xml:space="preserve">23288</t>
  </si>
  <si>
    <t xml:space="preserve">Tabela 30 — Produto (Aba 23)</t>
  </si>
  <si>
    <t xml:space="preserve">23291</t>
  </si>
  <si>
    <t xml:space="preserve">23292</t>
  </si>
  <si>
    <t xml:space="preserve">23293</t>
  </si>
  <si>
    <t xml:space="preserve">23294</t>
  </si>
  <si>
    <t xml:space="preserve">23295</t>
  </si>
  <si>
    <t xml:space="preserve">23296</t>
  </si>
  <si>
    <t xml:space="preserve">23297</t>
  </si>
  <si>
    <t xml:space="preserve">23298</t>
  </si>
  <si>
    <t xml:space="preserve">Planilha — Aba 24 | Relatório de Equipe</t>
  </si>
  <si>
    <t xml:space="preserve">Tabela 1 — Engenharia (Aba 24)</t>
  </si>
  <si>
    <t xml:space="preserve">24001</t>
  </si>
  <si>
    <t xml:space="preserve">24002</t>
  </si>
  <si>
    <t xml:space="preserve">24003</t>
  </si>
  <si>
    <t xml:space="preserve">24004</t>
  </si>
  <si>
    <t xml:space="preserve">24005</t>
  </si>
  <si>
    <t xml:space="preserve">24006</t>
  </si>
  <si>
    <t xml:space="preserve">24007</t>
  </si>
  <si>
    <t xml:space="preserve">24008</t>
  </si>
  <si>
    <t xml:space="preserve">Tabela 2 — Produto (Aba 24)</t>
  </si>
  <si>
    <t xml:space="preserve">24011</t>
  </si>
  <si>
    <t xml:space="preserve">24012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</si>
  <si>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</si>
  <si>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</si>
  <si>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</si>
  <si>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</si>
  <si>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</si>
  <si>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</si>
  <si>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Tabela 3 — Design (Aba 24)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</si>
  <si>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</si>
  <si>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</si>
  <si>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</si>
  <si>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</si>
  <si>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</si>
  <si>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</si>
  <si>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</si>
  <si>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</si>
  <si>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Tabela 4 — DevEx (Aba 24)</t>
  </si>
  <si>
    <t xml:space="preserve">24031</t>
  </si>
  <si>
    <t xml:space="preserve">24032</t>
  </si>
  <si>
    <t xml:space="preserve">24033</t>
  </si>
  <si>
    <t xml:space="preserve">24034</t>
  </si>
  <si>
    <t xml:space="preserve">24035</t>
  </si>
  <si>
    <t xml:space="preserve">24036</t>
  </si>
  <si>
    <t xml:space="preserve">24037</t>
  </si>
  <si>
    <t xml:space="preserve">24038</t>
  </si>
  <si>
    <t xml:space="preserve">Tabela 5 — Dados (Aba 24)</t>
  </si>
  <si>
    <t xml:space="preserve">24041</t>
  </si>
  <si>
    <t xml:space="preserve">24042</t>
  </si>
  <si>
    <t xml:space="preserve">24043</t>
  </si>
  <si>
    <t xml:space="preserve">24044</t>
  </si>
  <si>
    <t xml:space="preserve">24045</t>
  </si>
  <si>
    <t xml:space="preserve">24046</t>
  </si>
  <si>
    <t xml:space="preserve">24047</t>
  </si>
  <si>
    <t xml:space="preserve">24048</t>
  </si>
  <si>
    <t xml:space="preserve">Tabela 6 — Infra (Aba 24)</t>
  </si>
  <si>
    <t xml:space="preserve">24051</t>
  </si>
  <si>
    <t xml:space="preserve">24052</t>
  </si>
  <si>
    <t xml:space="preserve">24053</t>
  </si>
  <si>
    <t xml:space="preserve">24054</t>
  </si>
  <si>
    <t xml:space="preserve">24055</t>
  </si>
  <si>
    <t xml:space="preserve">24056</t>
  </si>
  <si>
    <t xml:space="preserve">24057</t>
  </si>
  <si>
    <t xml:space="preserve">24058</t>
  </si>
  <si>
    <t xml:space="preserve">Tabela 7 — Segurança (Aba 24)</t>
  </si>
  <si>
    <t xml:space="preserve">24061</t>
  </si>
  <si>
    <t xml:space="preserve">24062</t>
  </si>
  <si>
    <t xml:space="preserve">24063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</si>
  <si>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</si>
  <si>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</si>
  <si>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</si>
  <si>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</si>
  <si>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</si>
  <si>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Tabela 8 — Engenharia (Aba 24)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</si>
  <si>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</si>
  <si>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</si>
  <si>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</si>
  <si>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</si>
  <si>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</si>
  <si>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</si>
  <si>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</si>
  <si>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</si>
  <si>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Tabela 9 — Produto (Aba 24)</t>
  </si>
  <si>
    <t xml:space="preserve">24081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</si>
  <si>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</si>
  <si>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</si>
  <si>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</si>
  <si>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</si>
  <si>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</si>
  <si>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</si>
  <si>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</si>
  <si>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Tabela 10 — Design (Aba 24)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</si>
  <si>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</si>
  <si>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</si>
  <si>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</si>
  <si>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</si>
  <si>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</si>
  <si>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</si>
  <si>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24097</t>
  </si>
  <si>
    <t xml:space="preserve">24098</t>
  </si>
  <si>
    <t xml:space="preserve">Tabela 11 — DevEx (Aba 24)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</si>
  <si>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</si>
  <si>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</si>
  <si>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</si>
  <si>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</si>
  <si>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</si>
  <si>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24106</t>
  </si>
  <si>
    <t xml:space="preserve">24107</t>
  </si>
  <si>
    <t xml:space="preserve">24108</t>
  </si>
  <si>
    <t xml:space="preserve">Tabela 12 — Dados (Aba 24)</t>
  </si>
  <si>
    <t xml:space="preserve">24111</t>
  </si>
  <si>
    <t xml:space="preserve">24112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</si>
  <si>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</si>
  <si>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</si>
  <si>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</si>
  <si>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</si>
  <si>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</si>
  <si>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</si>
  <si>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Tabela 13 — Infra (Aba 24)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</si>
  <si>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</si>
  <si>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</si>
  <si>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</si>
  <si>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</si>
  <si>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</si>
  <si>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</si>
  <si>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</si>
  <si>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</si>
  <si>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Tabela 14 — Segurança (Aba 24)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</si>
  <si>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</si>
  <si>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</si>
  <si>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</si>
  <si>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</si>
  <si>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</si>
  <si>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</si>
  <si>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</si>
  <si>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</si>
  <si>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Tabela 15 — Engenharia (Aba 24)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</si>
  <si>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</si>
  <si>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</si>
  <si>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</si>
  <si>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</si>
  <si>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</si>
  <si>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</si>
  <si>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</si>
  <si>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</si>
  <si>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Tabela 16 — Produto (Aba 24)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</si>
  <si>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</si>
  <si>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</si>
  <si>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</si>
  <si>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</si>
  <si>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</si>
  <si>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24156</t>
  </si>
  <si>
    <t xml:space="preserve">24157</t>
  </si>
  <si>
    <t xml:space="preserve">24158</t>
  </si>
  <si>
    <t xml:space="preserve">Tabela 17 — Design (Aba 24)</t>
  </si>
  <si>
    <t xml:space="preserve">24161</t>
  </si>
  <si>
    <t xml:space="preserve">24162</t>
  </si>
  <si>
    <t xml:space="preserve">24163</t>
  </si>
  <si>
    <t xml:space="preserve">24164</t>
  </si>
  <si>
    <t xml:space="preserve">24165</t>
  </si>
  <si>
    <t xml:space="preserve">24166</t>
  </si>
  <si>
    <t xml:space="preserve">24167</t>
  </si>
  <si>
    <t xml:space="preserve">24168</t>
  </si>
  <si>
    <t xml:space="preserve">Tabela 18 — DevEx (Aba 24)</t>
  </si>
  <si>
    <t xml:space="preserve">24171</t>
  </si>
  <si>
    <t xml:space="preserve">24172</t>
  </si>
  <si>
    <t xml:space="preserve">24173</t>
  </si>
  <si>
    <t xml:space="preserve">24174</t>
  </si>
  <si>
    <t xml:space="preserve">24175</t>
  </si>
  <si>
    <t xml:space="preserve">24176</t>
  </si>
  <si>
    <t xml:space="preserve">24177</t>
  </si>
  <si>
    <t xml:space="preserve">24178</t>
  </si>
  <si>
    <t xml:space="preserve">Tabela 19 — Dados (Aba 24)</t>
  </si>
  <si>
    <t xml:space="preserve">24181</t>
  </si>
  <si>
    <t xml:space="preserve">24182</t>
  </si>
  <si>
    <t xml:space="preserve">24183</t>
  </si>
  <si>
    <t xml:space="preserve">24184</t>
  </si>
  <si>
    <t xml:space="preserve">24185</t>
  </si>
  <si>
    <t xml:space="preserve">24186</t>
  </si>
  <si>
    <t xml:space="preserve">24187</t>
  </si>
  <si>
    <t xml:space="preserve">24188</t>
  </si>
  <si>
    <t xml:space="preserve">Tabela 20 — Infra (Aba 24)</t>
  </si>
  <si>
    <t xml:space="preserve">24191</t>
  </si>
  <si>
    <t xml:space="preserve">24192</t>
  </si>
  <si>
    <t xml:space="preserve">24193</t>
  </si>
  <si>
    <t xml:space="preserve">24194</t>
  </si>
  <si>
    <t xml:space="preserve">24195</t>
  </si>
  <si>
    <t xml:space="preserve">24196</t>
  </si>
  <si>
    <t xml:space="preserve">24197</t>
  </si>
  <si>
    <t xml:space="preserve">24198</t>
  </si>
  <si>
    <t xml:space="preserve">Tabela 21 — Segurança (Aba 24)</t>
  </si>
  <si>
    <t xml:space="preserve">24201</t>
  </si>
  <si>
    <t xml:space="preserve">24202</t>
  </si>
  <si>
    <t xml:space="preserve">24203</t>
  </si>
  <si>
    <t xml:space="preserve">24204</t>
  </si>
  <si>
    <t xml:space="preserve">24205</t>
  </si>
  <si>
    <t xml:space="preserve">24206</t>
  </si>
  <si>
    <t xml:space="preserve">24207</t>
  </si>
  <si>
    <t xml:space="preserve">24208</t>
  </si>
  <si>
    <t xml:space="preserve">Tabela 22 — Engenharia (Aba 24)</t>
  </si>
  <si>
    <t xml:space="preserve">24211</t>
  </si>
  <si>
    <t xml:space="preserve">24212</t>
  </si>
  <si>
    <t xml:space="preserve">24213</t>
  </si>
  <si>
    <t xml:space="preserve">24214</t>
  </si>
  <si>
    <t xml:space="preserve">24215</t>
  </si>
  <si>
    <t xml:space="preserve">24216</t>
  </si>
  <si>
    <t xml:space="preserve">24217</t>
  </si>
  <si>
    <t xml:space="preserve">24218</t>
  </si>
  <si>
    <t xml:space="preserve">Tabela 23 — Produto (Aba 24)</t>
  </si>
  <si>
    <t xml:space="preserve">24221</t>
  </si>
  <si>
    <t xml:space="preserve">24222</t>
  </si>
  <si>
    <t xml:space="preserve">24223</t>
  </si>
  <si>
    <t xml:space="preserve">24224</t>
  </si>
  <si>
    <t xml:space="preserve">24225</t>
  </si>
  <si>
    <t xml:space="preserve">24226</t>
  </si>
  <si>
    <t xml:space="preserve">24227</t>
  </si>
  <si>
    <t xml:space="preserve">24228</t>
  </si>
  <si>
    <t xml:space="preserve">Tabela 24 — Design (Aba 24)</t>
  </si>
  <si>
    <t xml:space="preserve">24231</t>
  </si>
  <si>
    <t xml:space="preserve">24232</t>
  </si>
  <si>
    <t xml:space="preserve">24233</t>
  </si>
  <si>
    <t xml:space="preserve">24234</t>
  </si>
  <si>
    <t xml:space="preserve">24235</t>
  </si>
  <si>
    <t xml:space="preserve">24236</t>
  </si>
  <si>
    <t xml:space="preserve">24237</t>
  </si>
  <si>
    <t xml:space="preserve">24238</t>
  </si>
  <si>
    <t xml:space="preserve">Tabela 25 — DevEx (Aba 24)</t>
  </si>
  <si>
    <t xml:space="preserve">24241</t>
  </si>
  <si>
    <t xml:space="preserve">24242</t>
  </si>
  <si>
    <t xml:space="preserve">24243</t>
  </si>
  <si>
    <t xml:space="preserve">24244</t>
  </si>
  <si>
    <t xml:space="preserve">24245</t>
  </si>
  <si>
    <t xml:space="preserve">24246</t>
  </si>
  <si>
    <t xml:space="preserve">24247</t>
  </si>
  <si>
    <t xml:space="preserve">24248</t>
  </si>
  <si>
    <t xml:space="preserve">Tabela 26 — Dados (Aba 24)</t>
  </si>
  <si>
    <t xml:space="preserve">24251</t>
  </si>
  <si>
    <t xml:space="preserve">24252</t>
  </si>
  <si>
    <t xml:space="preserve">24253</t>
  </si>
  <si>
    <t xml:space="preserve">24254</t>
  </si>
  <si>
    <t xml:space="preserve">24255</t>
  </si>
  <si>
    <t xml:space="preserve">24256</t>
  </si>
  <si>
    <t xml:space="preserve">24257</t>
  </si>
  <si>
    <t xml:space="preserve">24258</t>
  </si>
  <si>
    <t xml:space="preserve">Tabela 27 — Infra (Aba 24)</t>
  </si>
  <si>
    <t xml:space="preserve">24261</t>
  </si>
  <si>
    <t xml:space="preserve">24262</t>
  </si>
  <si>
    <t xml:space="preserve">24263</t>
  </si>
  <si>
    <t xml:space="preserve">24264</t>
  </si>
  <si>
    <t xml:space="preserve">24265</t>
  </si>
  <si>
    <t xml:space="preserve">24266</t>
  </si>
  <si>
    <t xml:space="preserve">24267</t>
  </si>
  <si>
    <t xml:space="preserve">24268</t>
  </si>
  <si>
    <t xml:space="preserve">Tabela 28 — Segurança (Aba 24)</t>
  </si>
  <si>
    <t xml:space="preserve">24271</t>
  </si>
  <si>
    <t xml:space="preserve">24272</t>
  </si>
  <si>
    <t xml:space="preserve">24273</t>
  </si>
  <si>
    <t xml:space="preserve">24274</t>
  </si>
  <si>
    <t xml:space="preserve">24275</t>
  </si>
  <si>
    <t xml:space="preserve">24276</t>
  </si>
  <si>
    <t xml:space="preserve">24277</t>
  </si>
  <si>
    <t xml:space="preserve">24278</t>
  </si>
  <si>
    <t xml:space="preserve">Tabela 29 — Engenharia (Aba 24)</t>
  </si>
  <si>
    <t xml:space="preserve">24281</t>
  </si>
  <si>
    <t xml:space="preserve">24282</t>
  </si>
  <si>
    <t xml:space="preserve">24283</t>
  </si>
  <si>
    <t xml:space="preserve">24284</t>
  </si>
  <si>
    <t xml:space="preserve">24285</t>
  </si>
  <si>
    <t xml:space="preserve">24286</t>
  </si>
  <si>
    <t xml:space="preserve">24287</t>
  </si>
  <si>
    <t xml:space="preserve">24288</t>
  </si>
  <si>
    <t xml:space="preserve">Tabela 30 — Produto (Aba 24)</t>
  </si>
  <si>
    <t xml:space="preserve">24291</t>
  </si>
  <si>
    <t xml:space="preserve">24292</t>
  </si>
  <si>
    <t xml:space="preserve">24293</t>
  </si>
  <si>
    <t xml:space="preserve">24294</t>
  </si>
  <si>
    <t xml:space="preserve">24295</t>
  </si>
  <si>
    <t xml:space="preserve">24296</t>
  </si>
  <si>
    <t xml:space="preserve">24297</t>
  </si>
  <si>
    <t xml:space="preserve">24298</t>
  </si>
  <si>
    <t xml:space="preserve">Planilha — Aba 25 | Relatório de Equipe</t>
  </si>
  <si>
    <t xml:space="preserve">Tabela 1 — Engenharia (Aba 25)</t>
  </si>
  <si>
    <t xml:space="preserve">25001</t>
  </si>
  <si>
    <t xml:space="preserve">25002</t>
  </si>
  <si>
    <t xml:space="preserve">25003</t>
  </si>
  <si>
    <t xml:space="preserve">25004</t>
  </si>
  <si>
    <t xml:space="preserve">25005</t>
  </si>
  <si>
    <t xml:space="preserve">25006</t>
  </si>
  <si>
    <t xml:space="preserve">25007</t>
  </si>
  <si>
    <t xml:space="preserve">25008</t>
  </si>
  <si>
    <t xml:space="preserve">Tabela 2 — Produto (Aba 25)</t>
  </si>
  <si>
    <t xml:space="preserve">25011</t>
  </si>
  <si>
    <t xml:space="preserve">25012</t>
  </si>
  <si>
    <t xml:space="preserve">25013</t>
  </si>
  <si>
    <t xml:space="preserve">25014</t>
  </si>
  <si>
    <t xml:space="preserve">25015</t>
  </si>
  <si>
    <t xml:space="preserve">25016</t>
  </si>
  <si>
    <t xml:space="preserve">25017</t>
  </si>
  <si>
    <t xml:space="preserve">25018</t>
  </si>
  <si>
    <t xml:space="preserve">Tabela 3 — Design (Aba 25)</t>
  </si>
  <si>
    <t xml:space="preserve">25021</t>
  </si>
  <si>
    <t xml:space="preserve">25022</t>
  </si>
  <si>
    <t xml:space="preserve">25023</t>
  </si>
  <si>
    <t xml:space="preserve">25024</t>
  </si>
  <si>
    <t xml:space="preserve">25025</t>
  </si>
  <si>
    <t xml:space="preserve">25026</t>
  </si>
  <si>
    <t xml:space="preserve">25027</t>
  </si>
  <si>
    <t xml:space="preserve">25028</t>
  </si>
  <si>
    <t xml:space="preserve">Tabela 4 — DevEx (Aba 25)</t>
  </si>
  <si>
    <t xml:space="preserve">25031</t>
  </si>
  <si>
    <t xml:space="preserve">25032</t>
  </si>
  <si>
    <t xml:space="preserve">25033</t>
  </si>
  <si>
    <t xml:space="preserve">25034</t>
  </si>
  <si>
    <t xml:space="preserve">25035</t>
  </si>
  <si>
    <t xml:space="preserve">25036</t>
  </si>
  <si>
    <t xml:space="preserve">25037</t>
  </si>
  <si>
    <t xml:space="preserve">25038</t>
  </si>
  <si>
    <t xml:space="preserve">Tabela 5 — Dados (Aba 25)</t>
  </si>
  <si>
    <t xml:space="preserve">25041</t>
  </si>
  <si>
    <t xml:space="preserve">25042</t>
  </si>
  <si>
    <t xml:space="preserve">25043</t>
  </si>
  <si>
    <t xml:space="preserve">25044</t>
  </si>
  <si>
    <t xml:space="preserve">25045</t>
  </si>
  <si>
    <t xml:space="preserve">25046</t>
  </si>
  <si>
    <t xml:space="preserve">25047</t>
  </si>
  <si>
    <t xml:space="preserve">25048</t>
  </si>
  <si>
    <t xml:space="preserve">Tabela 6 — Infra (Aba 25)</t>
  </si>
  <si>
    <t xml:space="preserve">25051</t>
  </si>
  <si>
    <t xml:space="preserve">25052</t>
  </si>
  <si>
    <t xml:space="preserve">25053</t>
  </si>
  <si>
    <t xml:space="preserve">25054</t>
  </si>
  <si>
    <t xml:space="preserve">25055</t>
  </si>
  <si>
    <t xml:space="preserve">25056</t>
  </si>
  <si>
    <t xml:space="preserve">25057</t>
  </si>
  <si>
    <t xml:space="preserve">25058</t>
  </si>
  <si>
    <t xml:space="preserve">Tabela 7 — Segurança (Aba 25)</t>
  </si>
  <si>
    <t xml:space="preserve">25061</t>
  </si>
  <si>
    <t xml:space="preserve">25062</t>
  </si>
  <si>
    <t xml:space="preserve">25063</t>
  </si>
  <si>
    <t xml:space="preserve">25064</t>
  </si>
  <si>
    <t xml:space="preserve">25065</t>
  </si>
  <si>
    <t xml:space="preserve">25066</t>
  </si>
  <si>
    <t xml:space="preserve">25067</t>
  </si>
  <si>
    <t xml:space="preserve">25068</t>
  </si>
  <si>
    <t xml:space="preserve">Tabela 8 — Engenharia (Aba 25)</t>
  </si>
  <si>
    <t xml:space="preserve">25071</t>
  </si>
  <si>
    <t xml:space="preserve">25072</t>
  </si>
  <si>
    <t xml:space="preserve">25073</t>
  </si>
  <si>
    <t xml:space="preserve">25074</t>
  </si>
  <si>
    <t xml:space="preserve">25075</t>
  </si>
  <si>
    <t xml:space="preserve">25076</t>
  </si>
  <si>
    <t xml:space="preserve">25077</t>
  </si>
  <si>
    <t xml:space="preserve">25078</t>
  </si>
  <si>
    <t xml:space="preserve">Tabela 9 — Produto (Aba 25)</t>
  </si>
  <si>
    <t xml:space="preserve">25081</t>
  </si>
  <si>
    <t xml:space="preserve">25082</t>
  </si>
  <si>
    <t xml:space="preserve">25083</t>
  </si>
  <si>
    <t xml:space="preserve">25084</t>
  </si>
  <si>
    <t xml:space="preserve">25085</t>
  </si>
  <si>
    <t xml:space="preserve">25086</t>
  </si>
  <si>
    <t xml:space="preserve">25087</t>
  </si>
  <si>
    <t xml:space="preserve">25088</t>
  </si>
  <si>
    <t xml:space="preserve">Tabela 10 — Design (Aba 25)</t>
  </si>
  <si>
    <t xml:space="preserve">25091</t>
  </si>
  <si>
    <t xml:space="preserve">25092</t>
  </si>
  <si>
    <t xml:space="preserve">25093</t>
  </si>
  <si>
    <t xml:space="preserve">25094</t>
  </si>
  <si>
    <t xml:space="preserve">25095</t>
  </si>
  <si>
    <t xml:space="preserve">25096</t>
  </si>
  <si>
    <t xml:space="preserve">25097</t>
  </si>
  <si>
    <t xml:space="preserve">25098</t>
  </si>
  <si>
    <t xml:space="preserve">Tabela 11 — DevEx (Aba 25)</t>
  </si>
  <si>
    <t xml:space="preserve">25101</t>
  </si>
  <si>
    <t xml:space="preserve">25102</t>
  </si>
  <si>
    <t xml:space="preserve">25103</t>
  </si>
  <si>
    <t xml:space="preserve">25104</t>
  </si>
  <si>
    <t xml:space="preserve">25105</t>
  </si>
  <si>
    <t xml:space="preserve">25106</t>
  </si>
  <si>
    <t xml:space="preserve">25107</t>
  </si>
  <si>
    <t xml:space="preserve">25108</t>
  </si>
  <si>
    <t xml:space="preserve">Tabela 12 — Dados (Aba 25)</t>
  </si>
  <si>
    <t xml:space="preserve">25111</t>
  </si>
  <si>
    <t xml:space="preserve">25112</t>
  </si>
  <si>
    <t xml:space="preserve">25113</t>
  </si>
  <si>
    <t xml:space="preserve">25114</t>
  </si>
  <si>
    <t xml:space="preserve">25115</t>
  </si>
  <si>
    <t xml:space="preserve">25116</t>
  </si>
  <si>
    <t xml:space="preserve">25117</t>
  </si>
  <si>
    <t xml:space="preserve">25118</t>
  </si>
  <si>
    <t xml:space="preserve">Tabela 13 — Infra (Aba 25)</t>
  </si>
  <si>
    <t xml:space="preserve">25121</t>
  </si>
  <si>
    <t xml:space="preserve">25122</t>
  </si>
  <si>
    <t xml:space="preserve">25123</t>
  </si>
  <si>
    <t xml:space="preserve">25124</t>
  </si>
  <si>
    <t xml:space="preserve">25125</t>
  </si>
  <si>
    <t xml:space="preserve">25126</t>
  </si>
  <si>
    <t xml:space="preserve">25127</t>
  </si>
  <si>
    <t xml:space="preserve">25128</t>
  </si>
  <si>
    <t xml:space="preserve">Tabela 14 — Segurança (Aba 25)</t>
  </si>
  <si>
    <t xml:space="preserve">25131</t>
  </si>
  <si>
    <t xml:space="preserve">25132</t>
  </si>
  <si>
    <t xml:space="preserve">25133</t>
  </si>
  <si>
    <t xml:space="preserve">25134</t>
  </si>
  <si>
    <t xml:space="preserve">25135</t>
  </si>
  <si>
    <t xml:space="preserve">25136</t>
  </si>
  <si>
    <t xml:space="preserve">25137</t>
  </si>
  <si>
    <t xml:space="preserve">25138</t>
  </si>
  <si>
    <t xml:space="preserve">Tabela 15 — Engenharia (Aba 25)</t>
  </si>
  <si>
    <t xml:space="preserve">25141</t>
  </si>
  <si>
    <t xml:space="preserve">25142</t>
  </si>
  <si>
    <t xml:space="preserve">25143</t>
  </si>
  <si>
    <t xml:space="preserve">25144</t>
  </si>
  <si>
    <t xml:space="preserve">25145</t>
  </si>
  <si>
    <t xml:space="preserve">25146</t>
  </si>
  <si>
    <t xml:space="preserve">25147</t>
  </si>
  <si>
    <t xml:space="preserve">25148</t>
  </si>
  <si>
    <t xml:space="preserve">Tabela 16 — Produto (Aba 25)</t>
  </si>
  <si>
    <t xml:space="preserve">25151</t>
  </si>
  <si>
    <t xml:space="preserve">25152</t>
  </si>
  <si>
    <t xml:space="preserve">25153</t>
  </si>
  <si>
    <t xml:space="preserve">25154</t>
  </si>
  <si>
    <t xml:space="preserve">25155</t>
  </si>
  <si>
    <t xml:space="preserve">25156</t>
  </si>
  <si>
    <t xml:space="preserve">25157</t>
  </si>
  <si>
    <t xml:space="preserve">25158</t>
  </si>
  <si>
    <t xml:space="preserve">Tabela 17 — Design (Aba 25)</t>
  </si>
  <si>
    <t xml:space="preserve">25161</t>
  </si>
  <si>
    <t xml:space="preserve">25162</t>
  </si>
  <si>
    <t xml:space="preserve">25163</t>
  </si>
  <si>
    <t xml:space="preserve">25164</t>
  </si>
  <si>
    <t xml:space="preserve">25165</t>
  </si>
  <si>
    <t xml:space="preserve">25166</t>
  </si>
  <si>
    <t xml:space="preserve">25167</t>
  </si>
  <si>
    <t xml:space="preserve">25168</t>
  </si>
  <si>
    <t xml:space="preserve">Tabela 18 — DevEx (Aba 25)</t>
  </si>
  <si>
    <t xml:space="preserve">25171</t>
  </si>
  <si>
    <t xml:space="preserve">25172</t>
  </si>
  <si>
    <t xml:space="preserve">25173</t>
  </si>
  <si>
    <t xml:space="preserve">25174</t>
  </si>
  <si>
    <t xml:space="preserve">25175</t>
  </si>
  <si>
    <t xml:space="preserve">25176</t>
  </si>
  <si>
    <t xml:space="preserve">25177</t>
  </si>
  <si>
    <t xml:space="preserve">25178</t>
  </si>
  <si>
    <t xml:space="preserve">Tabela 19 — Dados (Aba 25)</t>
  </si>
  <si>
    <t xml:space="preserve">25181</t>
  </si>
  <si>
    <t xml:space="preserve">25182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</si>
  <si>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</si>
  <si>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</si>
  <si>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</si>
  <si>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</si>
  <si>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</si>
  <si>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</si>
  <si>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Tabela 20 — Infra (Aba 25)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</si>
  <si>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</si>
  <si>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</si>
  <si>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</si>
  <si>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</si>
  <si>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</si>
  <si>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</si>
  <si>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25197</t>
  </si>
  <si>
    <t xml:space="preserve">25198</t>
  </si>
  <si>
    <t xml:space="preserve">Tabela 21 — Segurança (Aba 25)</t>
  </si>
  <si>
    <t xml:space="preserve">25201</t>
  </si>
  <si>
    <t xml:space="preserve">25202</t>
  </si>
  <si>
    <t xml:space="preserve">25203</t>
  </si>
  <si>
    <t xml:space="preserve">25204</t>
  </si>
  <si>
    <t xml:space="preserve">25205</t>
  </si>
  <si>
    <t xml:space="preserve">25206</t>
  </si>
  <si>
    <t xml:space="preserve">25207</t>
  </si>
  <si>
    <t xml:space="preserve">25208</t>
  </si>
  <si>
    <t xml:space="preserve">Tabela 22 — Engenharia (Aba 25)</t>
  </si>
  <si>
    <t xml:space="preserve">25211</t>
  </si>
  <si>
    <t xml:space="preserve">25212</t>
  </si>
  <si>
    <t xml:space="preserve">25213</t>
  </si>
  <si>
    <t xml:space="preserve">25214</t>
  </si>
  <si>
    <t xml:space="preserve">25215</t>
  </si>
  <si>
    <t xml:space="preserve">25216</t>
  </si>
  <si>
    <t xml:space="preserve">25217</t>
  </si>
  <si>
    <t xml:space="preserve">25218</t>
  </si>
  <si>
    <t xml:space="preserve">Tabela 23 — Produto (Aba 25)</t>
  </si>
  <si>
    <t xml:space="preserve">25221</t>
  </si>
  <si>
    <t xml:space="preserve">25222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</si>
  <si>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</si>
  <si>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</si>
  <si>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</si>
  <si>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</si>
  <si>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</si>
  <si>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</si>
  <si>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Tabela 24 — Design (Aba 25)</t>
  </si>
  <si>
    <t xml:space="preserve">25231</t>
  </si>
  <si>
    <t xml:space="preserve">25232</t>
  </si>
  <si>
    <t xml:space="preserve">25233</t>
  </si>
  <si>
    <t xml:space="preserve">25234</t>
  </si>
  <si>
    <t xml:space="preserve">25235</t>
  </si>
  <si>
    <t xml:space="preserve">25236</t>
  </si>
  <si>
    <t xml:space="preserve">25237</t>
  </si>
  <si>
    <t xml:space="preserve">25238</t>
  </si>
  <si>
    <t xml:space="preserve">Tabela 25 — DevEx (Aba 25)</t>
  </si>
  <si>
    <t xml:space="preserve">25241</t>
  </si>
  <si>
    <t xml:space="preserve">25242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</si>
  <si>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</si>
  <si>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</si>
  <si>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</si>
  <si>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</si>
  <si>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</si>
  <si>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</si>
  <si>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Tabela 26 — Dados (Aba 25)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</si>
  <si>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</si>
  <si>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</si>
  <si>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</si>
  <si>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</si>
  <si>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</si>
  <si>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</si>
  <si>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</si>
  <si>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25258</t>
  </si>
  <si>
    <t xml:space="preserve">Tabela 27 — Infra (Aba 25)</t>
  </si>
  <si>
    <t xml:space="preserve">25261</t>
  </si>
  <si>
    <t xml:space="preserve">25262</t>
  </si>
  <si>
    <t xml:space="preserve">25263</t>
  </si>
  <si>
    <t xml:space="preserve">25264</t>
  </si>
  <si>
    <t xml:space="preserve">25265</t>
  </si>
  <si>
    <t xml:space="preserve">25266</t>
  </si>
  <si>
    <t xml:space="preserve">25267</t>
  </si>
  <si>
    <t xml:space="preserve">25268</t>
  </si>
  <si>
    <t xml:space="preserve">Tabela 28 — Segurança (Aba 25)</t>
  </si>
  <si>
    <t xml:space="preserve">25271</t>
  </si>
  <si>
    <t xml:space="preserve">25272</t>
  </si>
  <si>
    <t xml:space="preserve">25273</t>
  </si>
  <si>
    <t xml:space="preserve">25274</t>
  </si>
  <si>
    <t xml:space="preserve">25275</t>
  </si>
  <si>
    <t xml:space="preserve">25276</t>
  </si>
  <si>
    <t xml:space="preserve">25277</t>
  </si>
  <si>
    <t xml:space="preserve">25278</t>
  </si>
  <si>
    <t xml:space="preserve">Tabela 29 — Engenharia (Aba 25)</t>
  </si>
  <si>
    <t xml:space="preserve">25281</t>
  </si>
  <si>
    <t xml:space="preserve">25282</t>
  </si>
  <si>
    <t xml:space="preserve">25283</t>
  </si>
  <si>
    <t xml:space="preserve">25284</t>
  </si>
  <si>
    <t xml:space="preserve">25285</t>
  </si>
  <si>
    <t xml:space="preserve">25286</t>
  </si>
  <si>
    <t xml:space="preserve">25287</t>
  </si>
  <si>
    <t xml:space="preserve">25288</t>
  </si>
  <si>
    <t xml:space="preserve">Tabela 30 — Produto (Aba 25)</t>
  </si>
  <si>
    <t xml:space="preserve">25291</t>
  </si>
  <si>
    <t xml:space="preserve">25292</t>
  </si>
  <si>
    <t xml:space="preserve">25293</t>
  </si>
  <si>
    <t xml:space="preserve">25294</t>
  </si>
  <si>
    <t xml:space="preserve">25295</t>
  </si>
  <si>
    <t xml:space="preserve">25296</t>
  </si>
  <si>
    <t xml:space="preserve">25297</t>
  </si>
  <si>
    <t xml:space="preserve">25298</t>
  </si>
  <si>
    <t xml:space="preserve">Planilha — Aba 26 | Relatório de Equipe</t>
  </si>
  <si>
    <t xml:space="preserve">Tabela 1 — Engenharia (Aba 26)</t>
  </si>
  <si>
    <t xml:space="preserve">26001</t>
  </si>
  <si>
    <t xml:space="preserve">26002</t>
  </si>
  <si>
    <t xml:space="preserve">26003</t>
  </si>
  <si>
    <t xml:space="preserve">26004</t>
  </si>
  <si>
    <t xml:space="preserve">26005</t>
  </si>
  <si>
    <t xml:space="preserve">26006</t>
  </si>
  <si>
    <t xml:space="preserve">26007</t>
  </si>
  <si>
    <t xml:space="preserve">26008</t>
  </si>
  <si>
    <t xml:space="preserve">Tabela 2 — Produto (Aba 26)</t>
  </si>
  <si>
    <t xml:space="preserve">26011</t>
  </si>
  <si>
    <t xml:space="preserve">26012</t>
  </si>
  <si>
    <t xml:space="preserve">26013</t>
  </si>
  <si>
    <t xml:space="preserve">26014</t>
  </si>
  <si>
    <t xml:space="preserve">26015</t>
  </si>
  <si>
    <t xml:space="preserve">26016</t>
  </si>
  <si>
    <t xml:space="preserve">26017</t>
  </si>
  <si>
    <t xml:space="preserve">26018</t>
  </si>
  <si>
    <t xml:space="preserve">Tabela 3 — Design (Aba 26)</t>
  </si>
  <si>
    <t xml:space="preserve">26021</t>
  </si>
  <si>
    <t xml:space="preserve">26022</t>
  </si>
  <si>
    <t xml:space="preserve">26023</t>
  </si>
  <si>
    <t xml:space="preserve">26024</t>
  </si>
  <si>
    <t xml:space="preserve">26025</t>
  </si>
  <si>
    <t xml:space="preserve">26026</t>
  </si>
  <si>
    <t xml:space="preserve">26027</t>
  </si>
  <si>
    <t xml:space="preserve">26028</t>
  </si>
  <si>
    <t xml:space="preserve">Tabela 4 — DevEx (Aba 26)</t>
  </si>
  <si>
    <t xml:space="preserve">26031</t>
  </si>
  <si>
    <t xml:space="preserve">26032</t>
  </si>
  <si>
    <t xml:space="preserve">26033</t>
  </si>
  <si>
    <t xml:space="preserve">26034</t>
  </si>
  <si>
    <t xml:space="preserve">26035</t>
  </si>
  <si>
    <t xml:space="preserve">26036</t>
  </si>
  <si>
    <t xml:space="preserve">26037</t>
  </si>
  <si>
    <t xml:space="preserve">26038</t>
  </si>
  <si>
    <t xml:space="preserve">Tabela 5 — Dados (Aba 26)</t>
  </si>
  <si>
    <t xml:space="preserve">26041</t>
  </si>
  <si>
    <t xml:space="preserve">26042</t>
  </si>
  <si>
    <t xml:space="preserve">26043</t>
  </si>
  <si>
    <t xml:space="preserve">26044</t>
  </si>
  <si>
    <t xml:space="preserve">26045</t>
  </si>
  <si>
    <t xml:space="preserve">26046</t>
  </si>
  <si>
    <t xml:space="preserve">26047</t>
  </si>
  <si>
    <t xml:space="preserve">26048</t>
  </si>
  <si>
    <t xml:space="preserve">Tabela 6 — Infra (Aba 26)</t>
  </si>
  <si>
    <t xml:space="preserve">26051</t>
  </si>
  <si>
    <t xml:space="preserve">26052</t>
  </si>
  <si>
    <t xml:space="preserve">26053</t>
  </si>
  <si>
    <t xml:space="preserve">26054</t>
  </si>
  <si>
    <t xml:space="preserve">26055</t>
  </si>
  <si>
    <t xml:space="preserve">26056</t>
  </si>
  <si>
    <t xml:space="preserve">26057</t>
  </si>
  <si>
    <t xml:space="preserve">26058</t>
  </si>
  <si>
    <t xml:space="preserve">Tabela 7 — Segurança (Aba 26)</t>
  </si>
  <si>
    <t xml:space="preserve">26061</t>
  </si>
  <si>
    <t xml:space="preserve">26062</t>
  </si>
  <si>
    <t xml:space="preserve">26063</t>
  </si>
  <si>
    <t xml:space="preserve">26064</t>
  </si>
  <si>
    <t xml:space="preserve">26065</t>
  </si>
  <si>
    <t xml:space="preserve">26066</t>
  </si>
  <si>
    <t xml:space="preserve">26067</t>
  </si>
  <si>
    <t xml:space="preserve">26068</t>
  </si>
  <si>
    <t xml:space="preserve">Tabela 8 — Engenharia (Aba 26)</t>
  </si>
  <si>
    <t xml:space="preserve">26071</t>
  </si>
  <si>
    <t xml:space="preserve">26072</t>
  </si>
  <si>
    <t xml:space="preserve">26073</t>
  </si>
  <si>
    <t xml:space="preserve">26074</t>
  </si>
  <si>
    <t xml:space="preserve">26075</t>
  </si>
  <si>
    <t xml:space="preserve">26076</t>
  </si>
  <si>
    <t xml:space="preserve">26077</t>
  </si>
  <si>
    <t xml:space="preserve">26078</t>
  </si>
  <si>
    <t xml:space="preserve">Tabela 9 — Produto (Aba 26)</t>
  </si>
  <si>
    <t xml:space="preserve">26081</t>
  </si>
  <si>
    <t xml:space="preserve">26082</t>
  </si>
  <si>
    <t xml:space="preserve">26083</t>
  </si>
  <si>
    <t xml:space="preserve">26084</t>
  </si>
  <si>
    <t xml:space="preserve">26085</t>
  </si>
  <si>
    <t xml:space="preserve">26086</t>
  </si>
  <si>
    <t xml:space="preserve">26087</t>
  </si>
  <si>
    <t xml:space="preserve">26088</t>
  </si>
  <si>
    <t xml:space="preserve">Tabela 10 — Design (Aba 26)</t>
  </si>
  <si>
    <t xml:space="preserve">26091</t>
  </si>
  <si>
    <t xml:space="preserve">26092</t>
  </si>
  <si>
    <t xml:space="preserve">26093</t>
  </si>
  <si>
    <t xml:space="preserve">26094</t>
  </si>
  <si>
    <t xml:space="preserve">26095</t>
  </si>
  <si>
    <t xml:space="preserve">26096</t>
  </si>
  <si>
    <t xml:space="preserve">26097</t>
  </si>
  <si>
    <t xml:space="preserve">26098</t>
  </si>
  <si>
    <t xml:space="preserve">Tabela 11 — DevEx (Aba 26)</t>
  </si>
  <si>
    <t xml:space="preserve">26101</t>
  </si>
  <si>
    <t xml:space="preserve">26102</t>
  </si>
  <si>
    <t xml:space="preserve">26103</t>
  </si>
  <si>
    <t xml:space="preserve">26104</t>
  </si>
  <si>
    <t xml:space="preserve">26105</t>
  </si>
  <si>
    <t xml:space="preserve">26106</t>
  </si>
  <si>
    <t xml:space="preserve">26107</t>
  </si>
  <si>
    <t xml:space="preserve">26108</t>
  </si>
  <si>
    <t xml:space="preserve">Tabela 12 — Dados (Aba 26)</t>
  </si>
  <si>
    <t xml:space="preserve">26111</t>
  </si>
  <si>
    <t xml:space="preserve">26112</t>
  </si>
  <si>
    <t xml:space="preserve">26113</t>
  </si>
  <si>
    <t xml:space="preserve">26114</t>
  </si>
  <si>
    <t xml:space="preserve">26115</t>
  </si>
  <si>
    <t xml:space="preserve">26116</t>
  </si>
  <si>
    <t xml:space="preserve">26117</t>
  </si>
  <si>
    <t xml:space="preserve">26118</t>
  </si>
  <si>
    <t xml:space="preserve">Tabela 13 — Infra (Aba 26)</t>
  </si>
  <si>
    <t xml:space="preserve">26121</t>
  </si>
  <si>
    <t xml:space="preserve">26122</t>
  </si>
  <si>
    <t xml:space="preserve">26123</t>
  </si>
  <si>
    <t xml:space="preserve">26124</t>
  </si>
  <si>
    <t xml:space="preserve">26125</t>
  </si>
  <si>
    <t xml:space="preserve">26126</t>
  </si>
  <si>
    <t xml:space="preserve">26127</t>
  </si>
  <si>
    <t xml:space="preserve">26128</t>
  </si>
  <si>
    <t xml:space="preserve">Tabela 14 — Segurança (Aba 26)</t>
  </si>
  <si>
    <t xml:space="preserve">26131</t>
  </si>
  <si>
    <t xml:space="preserve">26132</t>
  </si>
  <si>
    <t xml:space="preserve">26133</t>
  </si>
  <si>
    <t xml:space="preserve">26134</t>
  </si>
  <si>
    <t xml:space="preserve">26135</t>
  </si>
  <si>
    <t xml:space="preserve">26136</t>
  </si>
  <si>
    <t xml:space="preserve">26137</t>
  </si>
  <si>
    <t xml:space="preserve">26138</t>
  </si>
  <si>
    <t xml:space="preserve">Tabela 15 — Engenharia (Aba 26)</t>
  </si>
  <si>
    <t xml:space="preserve">26141</t>
  </si>
  <si>
    <t xml:space="preserve">26142</t>
  </si>
  <si>
    <t xml:space="preserve">26143</t>
  </si>
  <si>
    <t xml:space="preserve">26144</t>
  </si>
  <si>
    <t xml:space="preserve">26145</t>
  </si>
  <si>
    <t xml:space="preserve">26146</t>
  </si>
  <si>
    <t xml:space="preserve">26147</t>
  </si>
  <si>
    <t xml:space="preserve">26148</t>
  </si>
  <si>
    <t xml:space="preserve">Tabela 16 — Produto (Aba 26)</t>
  </si>
  <si>
    <t xml:space="preserve">26151</t>
  </si>
  <si>
    <t xml:space="preserve">26152</t>
  </si>
  <si>
    <t xml:space="preserve">26153</t>
  </si>
  <si>
    <t xml:space="preserve">26154</t>
  </si>
  <si>
    <t xml:space="preserve">26155</t>
  </si>
  <si>
    <t xml:space="preserve">26156</t>
  </si>
  <si>
    <t xml:space="preserve">26157</t>
  </si>
  <si>
    <t xml:space="preserve">26158</t>
  </si>
  <si>
    <t xml:space="preserve">Tabela 17 — Design (Aba 26)</t>
  </si>
  <si>
    <t xml:space="preserve">26161</t>
  </si>
  <si>
    <t xml:space="preserve">26162</t>
  </si>
  <si>
    <t xml:space="preserve">26163</t>
  </si>
  <si>
    <t xml:space="preserve">26164</t>
  </si>
  <si>
    <t xml:space="preserve">26165</t>
  </si>
  <si>
    <t xml:space="preserve">26166</t>
  </si>
  <si>
    <t xml:space="preserve">26167</t>
  </si>
  <si>
    <t xml:space="preserve">26168</t>
  </si>
  <si>
    <t xml:space="preserve">Tabela 18 — DevEx (Aba 26)</t>
  </si>
  <si>
    <t xml:space="preserve">26171</t>
  </si>
  <si>
    <t xml:space="preserve">26172</t>
  </si>
  <si>
    <t xml:space="preserve">26173</t>
  </si>
  <si>
    <t xml:space="preserve">26174</t>
  </si>
  <si>
    <t xml:space="preserve">26175</t>
  </si>
  <si>
    <t xml:space="preserve">26176</t>
  </si>
  <si>
    <t xml:space="preserve">26177</t>
  </si>
  <si>
    <t xml:space="preserve">26178</t>
  </si>
  <si>
    <t xml:space="preserve">Tabela 19 — Dados (Aba 26)</t>
  </si>
  <si>
    <t xml:space="preserve">26181</t>
  </si>
  <si>
    <t xml:space="preserve">26182</t>
  </si>
  <si>
    <t xml:space="preserve">26183</t>
  </si>
  <si>
    <t xml:space="preserve">26184</t>
  </si>
  <si>
    <t xml:space="preserve">26185</t>
  </si>
  <si>
    <t xml:space="preserve">26186</t>
  </si>
  <si>
    <t xml:space="preserve">26187</t>
  </si>
  <si>
    <t xml:space="preserve">26188</t>
  </si>
  <si>
    <t xml:space="preserve">Tabela 20 — Infra (Aba 26)</t>
  </si>
  <si>
    <t xml:space="preserve">26191</t>
  </si>
  <si>
    <t xml:space="preserve">26192</t>
  </si>
  <si>
    <t xml:space="preserve">26193</t>
  </si>
  <si>
    <t xml:space="preserve">26194</t>
  </si>
  <si>
    <t xml:space="preserve">26195</t>
  </si>
  <si>
    <t xml:space="preserve">26196</t>
  </si>
  <si>
    <t xml:space="preserve">26197</t>
  </si>
  <si>
    <t xml:space="preserve">26198</t>
  </si>
  <si>
    <t xml:space="preserve">Tabela 21 — Segurança (Aba 26)</t>
  </si>
  <si>
    <t xml:space="preserve">26201</t>
  </si>
  <si>
    <t xml:space="preserve">26202</t>
  </si>
  <si>
    <t xml:space="preserve">26203</t>
  </si>
  <si>
    <t xml:space="preserve">26204</t>
  </si>
  <si>
    <t xml:space="preserve">26205</t>
  </si>
  <si>
    <t xml:space="preserve">26206</t>
  </si>
  <si>
    <t xml:space="preserve">26207</t>
  </si>
  <si>
    <t xml:space="preserve">26208</t>
  </si>
  <si>
    <t xml:space="preserve">Tabela 22 — Engenharia (Aba 26)</t>
  </si>
  <si>
    <t xml:space="preserve">26211</t>
  </si>
  <si>
    <t xml:space="preserve">26212</t>
  </si>
  <si>
    <t xml:space="preserve">26213</t>
  </si>
  <si>
    <t xml:space="preserve">26214</t>
  </si>
  <si>
    <t xml:space="preserve">26215</t>
  </si>
  <si>
    <t xml:space="preserve">26216</t>
  </si>
  <si>
    <t xml:space="preserve">26217</t>
  </si>
  <si>
    <t xml:space="preserve">26218</t>
  </si>
  <si>
    <t xml:space="preserve">Tabela 23 — Produto (Aba 26)</t>
  </si>
  <si>
    <t xml:space="preserve">26221</t>
  </si>
  <si>
    <t xml:space="preserve">26222</t>
  </si>
  <si>
    <t xml:space="preserve">26223</t>
  </si>
  <si>
    <t xml:space="preserve">26224</t>
  </si>
  <si>
    <t xml:space="preserve">26225</t>
  </si>
  <si>
    <t xml:space="preserve">26226</t>
  </si>
  <si>
    <t xml:space="preserve">26227</t>
  </si>
  <si>
    <t xml:space="preserve">26228</t>
  </si>
  <si>
    <t xml:space="preserve">Tabela 24 — Design (Aba 26)</t>
  </si>
  <si>
    <t xml:space="preserve">26231</t>
  </si>
  <si>
    <t xml:space="preserve">26232</t>
  </si>
  <si>
    <t xml:space="preserve">26233</t>
  </si>
  <si>
    <t xml:space="preserve">26234</t>
  </si>
  <si>
    <t xml:space="preserve">26235</t>
  </si>
  <si>
    <t xml:space="preserve">26236</t>
  </si>
  <si>
    <t xml:space="preserve">26237</t>
  </si>
  <si>
    <t xml:space="preserve">26238</t>
  </si>
  <si>
    <t xml:space="preserve">Tabela 25 — DevEx (Aba 26)</t>
  </si>
  <si>
    <t xml:space="preserve">26241</t>
  </si>
  <si>
    <t xml:space="preserve">26242</t>
  </si>
  <si>
    <t xml:space="preserve">26243</t>
  </si>
  <si>
    <t xml:space="preserve">26244</t>
  </si>
  <si>
    <t xml:space="preserve">26245</t>
  </si>
  <si>
    <t xml:space="preserve">26246</t>
  </si>
  <si>
    <t xml:space="preserve">26247</t>
  </si>
  <si>
    <t xml:space="preserve">26248</t>
  </si>
  <si>
    <t xml:space="preserve">Tabela 26 — Dados (Aba 26)</t>
  </si>
  <si>
    <t xml:space="preserve">26251</t>
  </si>
  <si>
    <t xml:space="preserve">26252</t>
  </si>
  <si>
    <t xml:space="preserve">26253</t>
  </si>
  <si>
    <t xml:space="preserve">26254</t>
  </si>
  <si>
    <t xml:space="preserve">26255</t>
  </si>
  <si>
    <t xml:space="preserve">26256</t>
  </si>
  <si>
    <t xml:space="preserve">26257</t>
  </si>
  <si>
    <t xml:space="preserve">26258</t>
  </si>
  <si>
    <t xml:space="preserve">Tabela 27 — Infra (Aba 26)</t>
  </si>
  <si>
    <t xml:space="preserve">26261</t>
  </si>
  <si>
    <t xml:space="preserve">26262</t>
  </si>
  <si>
    <t xml:space="preserve">26263</t>
  </si>
  <si>
    <t xml:space="preserve">26264</t>
  </si>
  <si>
    <t xml:space="preserve">26265</t>
  </si>
  <si>
    <t xml:space="preserve">26266</t>
  </si>
  <si>
    <t xml:space="preserve">26267</t>
  </si>
  <si>
    <t xml:space="preserve">26268</t>
  </si>
  <si>
    <t xml:space="preserve">Tabela 28 — Segurança (Aba 26)</t>
  </si>
  <si>
    <t xml:space="preserve">26271</t>
  </si>
  <si>
    <t xml:space="preserve">26272</t>
  </si>
  <si>
    <t xml:space="preserve">26273</t>
  </si>
  <si>
    <t xml:space="preserve">26274</t>
  </si>
  <si>
    <t xml:space="preserve">26275</t>
  </si>
  <si>
    <t xml:space="preserve">26276</t>
  </si>
  <si>
    <t xml:space="preserve">26277</t>
  </si>
  <si>
    <t xml:space="preserve">26278</t>
  </si>
  <si>
    <t xml:space="preserve">Tabela 29 — Engenharia (Aba 26)</t>
  </si>
  <si>
    <t xml:space="preserve">26281</t>
  </si>
  <si>
    <t xml:space="preserve">26282</t>
  </si>
  <si>
    <t xml:space="preserve">26283</t>
  </si>
  <si>
    <t xml:space="preserve">26284</t>
  </si>
  <si>
    <t xml:space="preserve">26285</t>
  </si>
  <si>
    <t xml:space="preserve">26286</t>
  </si>
  <si>
    <t xml:space="preserve">26287</t>
  </si>
  <si>
    <t xml:space="preserve">26288</t>
  </si>
  <si>
    <t xml:space="preserve">Tabela 30 — Produto (Aba 26)</t>
  </si>
  <si>
    <t xml:space="preserve">26291</t>
  </si>
  <si>
    <t xml:space="preserve">26292</t>
  </si>
  <si>
    <t xml:space="preserve">26293</t>
  </si>
  <si>
    <t xml:space="preserve">26294</t>
  </si>
  <si>
    <t xml:space="preserve">26295</t>
  </si>
  <si>
    <t xml:space="preserve">26296</t>
  </si>
  <si>
    <t xml:space="preserve">26297</t>
  </si>
  <si>
    <t xml:space="preserve">26298</t>
  </si>
  <si>
    <t xml:space="preserve">Planilha — Aba 27 | Relatório de Equipe</t>
  </si>
  <si>
    <t xml:space="preserve">Tabela 1 — Engenharia (Aba 27)</t>
  </si>
  <si>
    <t xml:space="preserve">27001</t>
  </si>
  <si>
    <t xml:space="preserve">27002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</si>
  <si>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</si>
  <si>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</si>
  <si>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</si>
  <si>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</si>
  <si>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</si>
  <si>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</si>
  <si>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Tabela 2 — Produto (Aba 27)</t>
  </si>
  <si>
    <t xml:space="preserve">27011</t>
  </si>
  <si>
    <t xml:space="preserve">27012</t>
  </si>
  <si>
    <t xml:space="preserve">27013</t>
  </si>
  <si>
    <t xml:space="preserve">27014</t>
  </si>
  <si>
    <t xml:space="preserve">27015</t>
  </si>
  <si>
    <t xml:space="preserve">27016</t>
  </si>
  <si>
    <t xml:space="preserve">27017</t>
  </si>
  <si>
    <t xml:space="preserve">27018</t>
  </si>
  <si>
    <t xml:space="preserve">Tabela 3 — Design (Aba 27)</t>
  </si>
  <si>
    <t xml:space="preserve">27021</t>
  </si>
  <si>
    <t xml:space="preserve">27022</t>
  </si>
  <si>
    <t xml:space="preserve">27023</t>
  </si>
  <si>
    <t xml:space="preserve">27024</t>
  </si>
  <si>
    <t xml:space="preserve">27025</t>
  </si>
  <si>
    <t xml:space="preserve">27026</t>
  </si>
  <si>
    <t xml:space="preserve">27027</t>
  </si>
  <si>
    <t xml:space="preserve">27028</t>
  </si>
  <si>
    <t xml:space="preserve">Tabela 4 — DevEx (Aba 27)</t>
  </si>
  <si>
    <t xml:space="preserve">27031</t>
  </si>
  <si>
    <t xml:space="preserve">27032</t>
  </si>
  <si>
    <t xml:space="preserve">27033</t>
  </si>
  <si>
    <t xml:space="preserve">27034</t>
  </si>
  <si>
    <t xml:space="preserve">27035</t>
  </si>
  <si>
    <t xml:space="preserve">27036</t>
  </si>
  <si>
    <t xml:space="preserve">27037</t>
  </si>
  <si>
    <t xml:space="preserve">27038</t>
  </si>
  <si>
    <t xml:space="preserve">Tabela 5 — Dados (Aba 27)</t>
  </si>
  <si>
    <t xml:space="preserve">27041</t>
  </si>
  <si>
    <t xml:space="preserve">27042</t>
  </si>
  <si>
    <t xml:space="preserve">27043</t>
  </si>
  <si>
    <t xml:space="preserve">27044</t>
  </si>
  <si>
    <t xml:space="preserve">27045</t>
  </si>
  <si>
    <t xml:space="preserve">27046</t>
  </si>
  <si>
    <t xml:space="preserve">27047</t>
  </si>
  <si>
    <t xml:space="preserve">27048</t>
  </si>
  <si>
    <t xml:space="preserve">Tabela 6 — Infra (Aba 27)</t>
  </si>
  <si>
    <t xml:space="preserve">27051</t>
  </si>
  <si>
    <t xml:space="preserve">27052</t>
  </si>
  <si>
    <t xml:space="preserve">27053</t>
  </si>
  <si>
    <t xml:space="preserve">27054</t>
  </si>
  <si>
    <t xml:space="preserve">27055</t>
  </si>
  <si>
    <t xml:space="preserve">27056</t>
  </si>
  <si>
    <t xml:space="preserve">27057</t>
  </si>
  <si>
    <t xml:space="preserve">27058</t>
  </si>
  <si>
    <t xml:space="preserve">Tabela 7 — Segurança (Aba 27)</t>
  </si>
  <si>
    <t xml:space="preserve">27061</t>
  </si>
  <si>
    <t xml:space="preserve">27062</t>
  </si>
  <si>
    <t xml:space="preserve">27063</t>
  </si>
  <si>
    <t xml:space="preserve">27064</t>
  </si>
  <si>
    <t xml:space="preserve">27065</t>
  </si>
  <si>
    <t xml:space="preserve">27066</t>
  </si>
  <si>
    <t xml:space="preserve">27067</t>
  </si>
  <si>
    <t xml:space="preserve">27068</t>
  </si>
  <si>
    <t xml:space="preserve">Tabela 8 — Engenharia (Aba 27)</t>
  </si>
  <si>
    <t xml:space="preserve">27071</t>
  </si>
  <si>
    <t xml:space="preserve">27072</t>
  </si>
  <si>
    <t xml:space="preserve">27073</t>
  </si>
  <si>
    <t xml:space="preserve">27074</t>
  </si>
  <si>
    <t xml:space="preserve">27075</t>
  </si>
  <si>
    <t xml:space="preserve">27076</t>
  </si>
  <si>
    <t xml:space="preserve">27077</t>
  </si>
  <si>
    <t xml:space="preserve">27078</t>
  </si>
  <si>
    <t xml:space="preserve">Tabela 9 — Produto (Aba 27)</t>
  </si>
  <si>
    <t xml:space="preserve">27081</t>
  </si>
  <si>
    <t xml:space="preserve">27082</t>
  </si>
  <si>
    <t xml:space="preserve">27083</t>
  </si>
  <si>
    <t xml:space="preserve">27084</t>
  </si>
  <si>
    <t xml:space="preserve">27085</t>
  </si>
  <si>
    <t xml:space="preserve">27086</t>
  </si>
  <si>
    <t xml:space="preserve">27087</t>
  </si>
  <si>
    <t xml:space="preserve">27088</t>
  </si>
  <si>
    <t xml:space="preserve">Tabela 10 — Design (Aba 27)</t>
  </si>
  <si>
    <t xml:space="preserve">27091</t>
  </si>
  <si>
    <t xml:space="preserve">27092</t>
  </si>
  <si>
    <t xml:space="preserve">27093</t>
  </si>
  <si>
    <t xml:space="preserve">27094</t>
  </si>
  <si>
    <t xml:space="preserve">27095</t>
  </si>
  <si>
    <t xml:space="preserve">27096</t>
  </si>
  <si>
    <t xml:space="preserve">27097</t>
  </si>
  <si>
    <t xml:space="preserve">27098</t>
  </si>
  <si>
    <t xml:space="preserve">Tabela 11 — DevEx (Aba 27)</t>
  </si>
  <si>
    <t xml:space="preserve">27101</t>
  </si>
  <si>
    <t xml:space="preserve">27102</t>
  </si>
  <si>
    <t xml:space="preserve">27103</t>
  </si>
  <si>
    <t xml:space="preserve">27104</t>
  </si>
  <si>
    <t xml:space="preserve">27105</t>
  </si>
  <si>
    <t xml:space="preserve">27106</t>
  </si>
  <si>
    <t xml:space="preserve">27107</t>
  </si>
  <si>
    <t xml:space="preserve">27108</t>
  </si>
  <si>
    <t xml:space="preserve">Tabela 12 — Dados (Aba 27)</t>
  </si>
  <si>
    <t xml:space="preserve">27111</t>
  </si>
  <si>
    <t xml:space="preserve">27112</t>
  </si>
  <si>
    <t xml:space="preserve">27113</t>
  </si>
  <si>
    <t xml:space="preserve">27114</t>
  </si>
  <si>
    <t xml:space="preserve">27115</t>
  </si>
  <si>
    <t xml:space="preserve">27116</t>
  </si>
  <si>
    <t xml:space="preserve">27117</t>
  </si>
  <si>
    <t xml:space="preserve">27118</t>
  </si>
  <si>
    <t xml:space="preserve">Tabela 13 — Infra (Aba 27)</t>
  </si>
  <si>
    <t xml:space="preserve">27121</t>
  </si>
  <si>
    <t xml:space="preserve">27122</t>
  </si>
  <si>
    <t xml:space="preserve">27123</t>
  </si>
  <si>
    <t xml:space="preserve">27124</t>
  </si>
  <si>
    <t xml:space="preserve">27125</t>
  </si>
  <si>
    <t xml:space="preserve">27126</t>
  </si>
  <si>
    <t xml:space="preserve">27127</t>
  </si>
  <si>
    <t xml:space="preserve">27128</t>
  </si>
  <si>
    <t xml:space="preserve">Tabela 14 — Segurança (Aba 27)</t>
  </si>
  <si>
    <t xml:space="preserve">27131</t>
  </si>
  <si>
    <t xml:space="preserve">27132</t>
  </si>
  <si>
    <t xml:space="preserve">27133</t>
  </si>
  <si>
    <t xml:space="preserve">27134</t>
  </si>
  <si>
    <t xml:space="preserve">27135</t>
  </si>
  <si>
    <t xml:space="preserve">27136</t>
  </si>
  <si>
    <t xml:space="preserve">27137</t>
  </si>
  <si>
    <t xml:space="preserve">27138</t>
  </si>
  <si>
    <t xml:space="preserve">Tabela 15 — Engenharia (Aba 27)</t>
  </si>
  <si>
    <t xml:space="preserve">27141</t>
  </si>
  <si>
    <t xml:space="preserve">27142</t>
  </si>
  <si>
    <t xml:space="preserve">27143</t>
  </si>
  <si>
    <t xml:space="preserve">27144</t>
  </si>
  <si>
    <t xml:space="preserve">27145</t>
  </si>
  <si>
    <t xml:space="preserve">27146</t>
  </si>
  <si>
    <t xml:space="preserve">27147</t>
  </si>
  <si>
    <t xml:space="preserve">27148</t>
  </si>
  <si>
    <t xml:space="preserve">Tabela 16 — Produto (Aba 27)</t>
  </si>
  <si>
    <t xml:space="preserve">27151</t>
  </si>
  <si>
    <t xml:space="preserve">27152</t>
  </si>
  <si>
    <t xml:space="preserve">27153</t>
  </si>
  <si>
    <t xml:space="preserve">27154</t>
  </si>
  <si>
    <t xml:space="preserve">27155</t>
  </si>
  <si>
    <t xml:space="preserve">27156</t>
  </si>
  <si>
    <t xml:space="preserve">27157</t>
  </si>
  <si>
    <t xml:space="preserve">27158</t>
  </si>
  <si>
    <t xml:space="preserve">Tabela 17 — Design (Aba 27)</t>
  </si>
  <si>
    <t xml:space="preserve">27161</t>
  </si>
  <si>
    <t xml:space="preserve">27162</t>
  </si>
  <si>
    <t xml:space="preserve">27163</t>
  </si>
  <si>
    <t xml:space="preserve">27164</t>
  </si>
  <si>
    <t xml:space="preserve">27165</t>
  </si>
  <si>
    <t xml:space="preserve">27166</t>
  </si>
  <si>
    <t xml:space="preserve">27167</t>
  </si>
  <si>
    <t xml:space="preserve">27168</t>
  </si>
  <si>
    <t xml:space="preserve">Tabela 18 — DevEx (Aba 27)</t>
  </si>
  <si>
    <t xml:space="preserve">27171</t>
  </si>
  <si>
    <t xml:space="preserve">27172</t>
  </si>
  <si>
    <t xml:space="preserve">27173</t>
  </si>
  <si>
    <t xml:space="preserve">27174</t>
  </si>
  <si>
    <t xml:space="preserve">27175</t>
  </si>
  <si>
    <t xml:space="preserve">27176</t>
  </si>
  <si>
    <t xml:space="preserve">27177</t>
  </si>
  <si>
    <t xml:space="preserve">27178</t>
  </si>
  <si>
    <t xml:space="preserve">Tabela 19 — Dados (Aba 27)</t>
  </si>
  <si>
    <t xml:space="preserve">27181</t>
  </si>
  <si>
    <t xml:space="preserve">27182</t>
  </si>
  <si>
    <t xml:space="preserve">27183</t>
  </si>
  <si>
    <t xml:space="preserve">27184</t>
  </si>
  <si>
    <t xml:space="preserve">27185</t>
  </si>
  <si>
    <t xml:space="preserve">27186</t>
  </si>
  <si>
    <t xml:space="preserve">27187</t>
  </si>
  <si>
    <t xml:space="preserve">27188</t>
  </si>
  <si>
    <t xml:space="preserve">Tabela 20 — Infra (Aba 27)</t>
  </si>
  <si>
    <t xml:space="preserve">27191</t>
  </si>
  <si>
    <t xml:space="preserve">27192</t>
  </si>
  <si>
    <t xml:space="preserve">27193</t>
  </si>
  <si>
    <t xml:space="preserve">27194</t>
  </si>
  <si>
    <t xml:space="preserve">27195</t>
  </si>
  <si>
    <t xml:space="preserve">27196</t>
  </si>
  <si>
    <t xml:space="preserve">27197</t>
  </si>
  <si>
    <t xml:space="preserve">27198</t>
  </si>
  <si>
    <t xml:space="preserve">Tabela 21 — Segurança (Aba 27)</t>
  </si>
  <si>
    <t xml:space="preserve">27201</t>
  </si>
  <si>
    <t xml:space="preserve">27202</t>
  </si>
  <si>
    <t xml:space="preserve">27203</t>
  </si>
  <si>
    <t xml:space="preserve">27204</t>
  </si>
  <si>
    <t xml:space="preserve">27205</t>
  </si>
  <si>
    <t xml:space="preserve">27206</t>
  </si>
  <si>
    <t xml:space="preserve">27207</t>
  </si>
  <si>
    <t xml:space="preserve">27208</t>
  </si>
  <si>
    <t xml:space="preserve">Tabela 22 — Engenharia (Aba 27)</t>
  </si>
  <si>
    <t xml:space="preserve">27211</t>
  </si>
  <si>
    <t xml:space="preserve">27212</t>
  </si>
  <si>
    <t xml:space="preserve">27213</t>
  </si>
  <si>
    <t xml:space="preserve">27214</t>
  </si>
  <si>
    <t xml:space="preserve">27215</t>
  </si>
  <si>
    <t xml:space="preserve">27216</t>
  </si>
  <si>
    <t xml:space="preserve">27217</t>
  </si>
  <si>
    <t xml:space="preserve">27218</t>
  </si>
  <si>
    <t xml:space="preserve">Tabela 23 — Produto (Aba 27)</t>
  </si>
  <si>
    <t xml:space="preserve">27221</t>
  </si>
  <si>
    <t xml:space="preserve">27222</t>
  </si>
  <si>
    <t xml:space="preserve">27223</t>
  </si>
  <si>
    <t xml:space="preserve">27224</t>
  </si>
  <si>
    <t xml:space="preserve">27225</t>
  </si>
  <si>
    <t xml:space="preserve">27226</t>
  </si>
  <si>
    <t xml:space="preserve">27227</t>
  </si>
  <si>
    <t xml:space="preserve">27228</t>
  </si>
  <si>
    <t xml:space="preserve">Tabela 24 — Design (Aba 27)</t>
  </si>
  <si>
    <t xml:space="preserve">27231</t>
  </si>
  <si>
    <t xml:space="preserve">27232</t>
  </si>
  <si>
    <t xml:space="preserve">27233</t>
  </si>
  <si>
    <t xml:space="preserve">27234</t>
  </si>
  <si>
    <t xml:space="preserve">27235</t>
  </si>
  <si>
    <t xml:space="preserve">27236</t>
  </si>
  <si>
    <t xml:space="preserve">27237</t>
  </si>
  <si>
    <t xml:space="preserve">27238</t>
  </si>
  <si>
    <t xml:space="preserve">Tabela 25 — DevEx (Aba 27)</t>
  </si>
  <si>
    <t xml:space="preserve">27241</t>
  </si>
  <si>
    <t xml:space="preserve">27242</t>
  </si>
  <si>
    <t xml:space="preserve">27243</t>
  </si>
  <si>
    <t xml:space="preserve">27244</t>
  </si>
  <si>
    <t xml:space="preserve">27245</t>
  </si>
  <si>
    <t xml:space="preserve">27246</t>
  </si>
  <si>
    <t xml:space="preserve">27247</t>
  </si>
  <si>
    <t xml:space="preserve">27248</t>
  </si>
  <si>
    <t xml:space="preserve">Tabela 26 — Dados (Aba 27)</t>
  </si>
  <si>
    <t xml:space="preserve">27251</t>
  </si>
  <si>
    <t xml:space="preserve">27252</t>
  </si>
  <si>
    <t xml:space="preserve">27253</t>
  </si>
  <si>
    <t xml:space="preserve">27254</t>
  </si>
  <si>
    <t xml:space="preserve">27255</t>
  </si>
  <si>
    <t xml:space="preserve">27256</t>
  </si>
  <si>
    <t xml:space="preserve">27257</t>
  </si>
  <si>
    <t xml:space="preserve">27258</t>
  </si>
  <si>
    <t xml:space="preserve">Tabela 27 — Infra (Aba 27)</t>
  </si>
  <si>
    <t xml:space="preserve">27261</t>
  </si>
  <si>
    <t xml:space="preserve">27262</t>
  </si>
  <si>
    <t xml:space="preserve">27263</t>
  </si>
  <si>
    <t xml:space="preserve">27264</t>
  </si>
  <si>
    <t xml:space="preserve">27265</t>
  </si>
  <si>
    <t xml:space="preserve">27266</t>
  </si>
  <si>
    <t xml:space="preserve">27267</t>
  </si>
  <si>
    <t xml:space="preserve">27268</t>
  </si>
  <si>
    <t xml:space="preserve">Tabela 28 — Segurança (Aba 27)</t>
  </si>
  <si>
    <t xml:space="preserve">27271</t>
  </si>
  <si>
    <t xml:space="preserve">27272</t>
  </si>
  <si>
    <t xml:space="preserve">27273</t>
  </si>
  <si>
    <t xml:space="preserve">27274</t>
  </si>
  <si>
    <t xml:space="preserve">27275</t>
  </si>
  <si>
    <t xml:space="preserve">27276</t>
  </si>
  <si>
    <t xml:space="preserve">27277</t>
  </si>
  <si>
    <t xml:space="preserve">27278</t>
  </si>
  <si>
    <t xml:space="preserve">Tabela 29 — Engenharia (Aba 27)</t>
  </si>
  <si>
    <t xml:space="preserve">27281</t>
  </si>
  <si>
    <t xml:space="preserve">27282</t>
  </si>
  <si>
    <t xml:space="preserve">27283</t>
  </si>
  <si>
    <t xml:space="preserve">27284</t>
  </si>
  <si>
    <t xml:space="preserve">27285</t>
  </si>
  <si>
    <t xml:space="preserve">27286</t>
  </si>
  <si>
    <t xml:space="preserve">27287</t>
  </si>
  <si>
    <t xml:space="preserve">27288</t>
  </si>
  <si>
    <t xml:space="preserve">Tabela 30 — Produto (Aba 27)</t>
  </si>
  <si>
    <t xml:space="preserve">27291</t>
  </si>
  <si>
    <t xml:space="preserve">27292</t>
  </si>
  <si>
    <t xml:space="preserve">27293</t>
  </si>
  <si>
    <t xml:space="preserve">27294</t>
  </si>
  <si>
    <t xml:space="preserve">27295</t>
  </si>
  <si>
    <t xml:space="preserve">27296</t>
  </si>
  <si>
    <t xml:space="preserve">27297</t>
  </si>
  <si>
    <t xml:space="preserve">27298</t>
  </si>
  <si>
    <t xml:space="preserve">Planilha — Aba 28 | Relatório de Equipe</t>
  </si>
  <si>
    <t xml:space="preserve">Tabela 1 — Engenharia (Aba 28)</t>
  </si>
  <si>
    <t xml:space="preserve">28001</t>
  </si>
  <si>
    <t xml:space="preserve">28002</t>
  </si>
  <si>
    <t xml:space="preserve">28003</t>
  </si>
  <si>
    <t xml:space="preserve">28004</t>
  </si>
  <si>
    <t xml:space="preserve">28005</t>
  </si>
  <si>
    <t xml:space="preserve">28006</t>
  </si>
  <si>
    <t xml:space="preserve">28007</t>
  </si>
  <si>
    <t xml:space="preserve">28008</t>
  </si>
  <si>
    <t xml:space="preserve">Tabela 2 — Produto (Aba 28)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</si>
  <si>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</si>
  <si>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</si>
  <si>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</si>
  <si>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</si>
  <si>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</si>
  <si>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</si>
  <si>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28017</t>
  </si>
  <si>
    <t xml:space="preserve">28018</t>
  </si>
  <si>
    <t xml:space="preserve">Tabela 3 — Design (Aba 28)</t>
  </si>
  <si>
    <t xml:space="preserve">28021</t>
  </si>
  <si>
    <t xml:space="preserve">28022</t>
  </si>
  <si>
    <t xml:space="preserve">28023</t>
  </si>
  <si>
    <t xml:space="preserve">28024</t>
  </si>
  <si>
    <t xml:space="preserve">28025</t>
  </si>
  <si>
    <t xml:space="preserve">28026</t>
  </si>
  <si>
    <t xml:space="preserve">28027</t>
  </si>
  <si>
    <t xml:space="preserve">28028</t>
  </si>
  <si>
    <t xml:space="preserve">Tabela 4 — DevEx (Aba 28)</t>
  </si>
  <si>
    <t xml:space="preserve">28031</t>
  </si>
  <si>
    <t xml:space="preserve">28032</t>
  </si>
  <si>
    <t xml:space="preserve">28033</t>
  </si>
  <si>
    <t xml:space="preserve">28034</t>
  </si>
  <si>
    <t xml:space="preserve">28035</t>
  </si>
  <si>
    <t xml:space="preserve">28036</t>
  </si>
  <si>
    <t xml:space="preserve">28037</t>
  </si>
  <si>
    <t xml:space="preserve">28038</t>
  </si>
  <si>
    <t xml:space="preserve">Tabela 5 — Dados (Aba 28)</t>
  </si>
  <si>
    <t xml:space="preserve">28041</t>
  </si>
  <si>
    <t xml:space="preserve">28042</t>
  </si>
  <si>
    <t xml:space="preserve">28043</t>
  </si>
  <si>
    <t xml:space="preserve">28044</t>
  </si>
  <si>
    <t xml:space="preserve">28045</t>
  </si>
  <si>
    <t xml:space="preserve">28046</t>
  </si>
  <si>
    <t xml:space="preserve">28047</t>
  </si>
  <si>
    <t xml:space="preserve">28048</t>
  </si>
  <si>
    <t xml:space="preserve">Tabela 6 — Infra (Aba 28)</t>
  </si>
  <si>
    <t xml:space="preserve">28051</t>
  </si>
  <si>
    <t xml:space="preserve">28052</t>
  </si>
  <si>
    <t xml:space="preserve">28053</t>
  </si>
  <si>
    <t xml:space="preserve">28054</t>
  </si>
  <si>
    <t xml:space="preserve">28055</t>
  </si>
  <si>
    <t xml:space="preserve">28056</t>
  </si>
  <si>
    <t xml:space="preserve">28057</t>
  </si>
  <si>
    <t xml:space="preserve">28058</t>
  </si>
  <si>
    <t xml:space="preserve">Tabela 7 — Segurança (Aba 28)</t>
  </si>
  <si>
    <t xml:space="preserve">28061</t>
  </si>
  <si>
    <t xml:space="preserve">28062</t>
  </si>
  <si>
    <t xml:space="preserve">28063</t>
  </si>
  <si>
    <t xml:space="preserve">28064</t>
  </si>
  <si>
    <t xml:space="preserve">28065</t>
  </si>
  <si>
    <t xml:space="preserve">28066</t>
  </si>
  <si>
    <t xml:space="preserve">28067</t>
  </si>
  <si>
    <t xml:space="preserve">28068</t>
  </si>
  <si>
    <t xml:space="preserve">Tabela 8 — Engenharia (Aba 28)</t>
  </si>
  <si>
    <t xml:space="preserve">28071</t>
  </si>
  <si>
    <t xml:space="preserve">28072</t>
  </si>
  <si>
    <t xml:space="preserve">28073</t>
  </si>
  <si>
    <t xml:space="preserve">28074</t>
  </si>
  <si>
    <t xml:space="preserve">28075</t>
  </si>
  <si>
    <t xml:space="preserve">28076</t>
  </si>
  <si>
    <t xml:space="preserve">28077</t>
  </si>
  <si>
    <t xml:space="preserve">28078</t>
  </si>
  <si>
    <t xml:space="preserve">Tabela 9 — Produto (Aba 28)</t>
  </si>
  <si>
    <t xml:space="preserve">28081</t>
  </si>
  <si>
    <t xml:space="preserve">28082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</si>
  <si>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</si>
  <si>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</si>
  <si>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</si>
  <si>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</si>
  <si>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</si>
  <si>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28088</t>
  </si>
  <si>
    <t xml:space="preserve">Tabela 10 — Design (Aba 28)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</si>
  <si>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</si>
  <si>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</si>
  <si>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</si>
  <si>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</si>
  <si>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</si>
  <si>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</si>
  <si>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</si>
  <si>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</si>
  <si>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Tabela 11 — DevEx (Aba 28)</t>
  </si>
  <si>
    <t xml:space="preserve">28101</t>
  </si>
  <si>
    <t xml:space="preserve">28102</t>
  </si>
  <si>
    <t xml:space="preserve">28103</t>
  </si>
  <si>
    <t xml:space="preserve">28104</t>
  </si>
  <si>
    <t xml:space="preserve">28105</t>
  </si>
  <si>
    <t xml:space="preserve">28106</t>
  </si>
  <si>
    <t xml:space="preserve">28107</t>
  </si>
  <si>
    <t xml:space="preserve">28108</t>
  </si>
  <si>
    <t xml:space="preserve">Tabela 12 — Dados (Aba 28)</t>
  </si>
  <si>
    <t xml:space="preserve">28111</t>
  </si>
  <si>
    <t xml:space="preserve">28112</t>
  </si>
  <si>
    <t xml:space="preserve">28113</t>
  </si>
  <si>
    <t xml:space="preserve">28114</t>
  </si>
  <si>
    <t xml:space="preserve">28115</t>
  </si>
  <si>
    <t xml:space="preserve">28116</t>
  </si>
  <si>
    <t xml:space="preserve">28117</t>
  </si>
  <si>
    <t xml:space="preserve">28118</t>
  </si>
  <si>
    <t xml:space="preserve">Tabela 13 — Infra (Aba 28)</t>
  </si>
  <si>
    <t xml:space="preserve">28121</t>
  </si>
  <si>
    <t xml:space="preserve">28122</t>
  </si>
  <si>
    <t xml:space="preserve">28123</t>
  </si>
  <si>
    <t xml:space="preserve">28124</t>
  </si>
  <si>
    <t xml:space="preserve">28125</t>
  </si>
  <si>
    <t xml:space="preserve">28126</t>
  </si>
  <si>
    <t xml:space="preserve">28127</t>
  </si>
  <si>
    <t xml:space="preserve">28128</t>
  </si>
  <si>
    <t xml:space="preserve">Tabela 14 — Segurança (Aba 28)</t>
  </si>
  <si>
    <t xml:space="preserve">28131</t>
  </si>
  <si>
    <t xml:space="preserve">28132</t>
  </si>
  <si>
    <t xml:space="preserve">28133</t>
  </si>
  <si>
    <t xml:space="preserve">28134</t>
  </si>
  <si>
    <t xml:space="preserve">28135</t>
  </si>
  <si>
    <t xml:space="preserve">28136</t>
  </si>
  <si>
    <t xml:space="preserve">28137</t>
  </si>
  <si>
    <t xml:space="preserve">28138</t>
  </si>
  <si>
    <t xml:space="preserve">Tabela 15 — Engenharia (Aba 28)</t>
  </si>
  <si>
    <t xml:space="preserve">28141</t>
  </si>
  <si>
    <t xml:space="preserve">28142</t>
  </si>
  <si>
    <t xml:space="preserve">28143</t>
  </si>
  <si>
    <t xml:space="preserve">28144</t>
  </si>
  <si>
    <t xml:space="preserve">28145</t>
  </si>
  <si>
    <t xml:space="preserve">28146</t>
  </si>
  <si>
    <t xml:space="preserve">28147</t>
  </si>
  <si>
    <t xml:space="preserve">28148</t>
  </si>
  <si>
    <t xml:space="preserve">Tabela 16 — Produto (Aba 28)</t>
  </si>
  <si>
    <t xml:space="preserve">28151</t>
  </si>
  <si>
    <t xml:space="preserve">28152</t>
  </si>
  <si>
    <t xml:space="preserve">28153</t>
  </si>
  <si>
    <t xml:space="preserve">28154</t>
  </si>
  <si>
    <t xml:space="preserve">28155</t>
  </si>
  <si>
    <t xml:space="preserve">28156</t>
  </si>
  <si>
    <t xml:space="preserve">28157</t>
  </si>
  <si>
    <t xml:space="preserve">28158</t>
  </si>
  <si>
    <t xml:space="preserve">Tabela 17 — Design (Aba 28)</t>
  </si>
  <si>
    <t xml:space="preserve">28161</t>
  </si>
  <si>
    <t xml:space="preserve">28162</t>
  </si>
  <si>
    <t xml:space="preserve">28163</t>
  </si>
  <si>
    <t xml:space="preserve">28164</t>
  </si>
  <si>
    <t xml:space="preserve">28165</t>
  </si>
  <si>
    <t xml:space="preserve">28166</t>
  </si>
  <si>
    <t xml:space="preserve">28167</t>
  </si>
  <si>
    <t xml:space="preserve">28168</t>
  </si>
  <si>
    <t xml:space="preserve">Tabela 18 — DevEx (Aba 28)</t>
  </si>
  <si>
    <t xml:space="preserve">28171</t>
  </si>
  <si>
    <t xml:space="preserve">28172</t>
  </si>
  <si>
    <t xml:space="preserve">28173</t>
  </si>
  <si>
    <t xml:space="preserve">28174</t>
  </si>
  <si>
    <t xml:space="preserve">28175</t>
  </si>
  <si>
    <t xml:space="preserve">28176</t>
  </si>
  <si>
    <t xml:space="preserve">28177</t>
  </si>
  <si>
    <t xml:space="preserve">28178</t>
  </si>
  <si>
    <t xml:space="preserve">Tabela 19 — Dados (Aba 28)</t>
  </si>
  <si>
    <t xml:space="preserve">28181</t>
  </si>
  <si>
    <t xml:space="preserve">28182</t>
  </si>
  <si>
    <t xml:space="preserve">28183</t>
  </si>
  <si>
    <t xml:space="preserve">28184</t>
  </si>
  <si>
    <t xml:space="preserve">28185</t>
  </si>
  <si>
    <t xml:space="preserve">28186</t>
  </si>
  <si>
    <t xml:space="preserve">28187</t>
  </si>
  <si>
    <t xml:space="preserve">28188</t>
  </si>
  <si>
    <t xml:space="preserve">Tabela 20 — Infra (Aba 28)</t>
  </si>
  <si>
    <t xml:space="preserve">28191</t>
  </si>
  <si>
    <t xml:space="preserve">28192</t>
  </si>
  <si>
    <t xml:space="preserve">28193</t>
  </si>
  <si>
    <t xml:space="preserve">28194</t>
  </si>
  <si>
    <t xml:space="preserve">28195</t>
  </si>
  <si>
    <t xml:space="preserve">28196</t>
  </si>
  <si>
    <t xml:space="preserve">28197</t>
  </si>
  <si>
    <t xml:space="preserve">28198</t>
  </si>
  <si>
    <t xml:space="preserve">Tabela 21 — Segurança (Aba 28)</t>
  </si>
  <si>
    <t xml:space="preserve">28201</t>
  </si>
  <si>
    <t xml:space="preserve">28202</t>
  </si>
  <si>
    <t xml:space="preserve">28203</t>
  </si>
  <si>
    <t xml:space="preserve">28204</t>
  </si>
  <si>
    <t xml:space="preserve">28205</t>
  </si>
  <si>
    <t xml:space="preserve">28206</t>
  </si>
  <si>
    <t xml:space="preserve">28207</t>
  </si>
  <si>
    <t xml:space="preserve">28208</t>
  </si>
  <si>
    <t xml:space="preserve">Tabela 22 — Engenharia (Aba 28)</t>
  </si>
  <si>
    <t xml:space="preserve">28211</t>
  </si>
  <si>
    <t xml:space="preserve">28212</t>
  </si>
  <si>
    <t xml:space="preserve">28213</t>
  </si>
  <si>
    <t xml:space="preserve">28214</t>
  </si>
  <si>
    <t xml:space="preserve">28215</t>
  </si>
  <si>
    <t xml:space="preserve">28216</t>
  </si>
  <si>
    <t xml:space="preserve">28217</t>
  </si>
  <si>
    <t xml:space="preserve">28218</t>
  </si>
  <si>
    <t xml:space="preserve">Tabela 23 — Produto (Aba 28)</t>
  </si>
  <si>
    <t xml:space="preserve">28221</t>
  </si>
  <si>
    <t xml:space="preserve">28222</t>
  </si>
  <si>
    <t xml:space="preserve">28223</t>
  </si>
  <si>
    <t xml:space="preserve">28224</t>
  </si>
  <si>
    <t xml:space="preserve">28225</t>
  </si>
  <si>
    <t xml:space="preserve">28226</t>
  </si>
  <si>
    <t xml:space="preserve">28227</t>
  </si>
  <si>
    <t xml:space="preserve">28228</t>
  </si>
  <si>
    <t xml:space="preserve">Tabela 24 — Design (Aba 28)</t>
  </si>
  <si>
    <t xml:space="preserve">28231</t>
  </si>
  <si>
    <t xml:space="preserve">28232</t>
  </si>
  <si>
    <t xml:space="preserve">28233</t>
  </si>
  <si>
    <t xml:space="preserve">28234</t>
  </si>
  <si>
    <t xml:space="preserve">28235</t>
  </si>
  <si>
    <t xml:space="preserve">28236</t>
  </si>
  <si>
    <t xml:space="preserve">28237</t>
  </si>
  <si>
    <t xml:space="preserve">28238</t>
  </si>
  <si>
    <t xml:space="preserve">Tabela 25 — DevEx (Aba 28)</t>
  </si>
  <si>
    <t xml:space="preserve">28241</t>
  </si>
  <si>
    <t xml:space="preserve">28242</t>
  </si>
  <si>
    <t xml:space="preserve">28243</t>
  </si>
  <si>
    <t xml:space="preserve">28244</t>
  </si>
  <si>
    <t xml:space="preserve">28245</t>
  </si>
  <si>
    <t xml:space="preserve">28246</t>
  </si>
  <si>
    <t xml:space="preserve">28247</t>
  </si>
  <si>
    <t xml:space="preserve">28248</t>
  </si>
  <si>
    <t xml:space="preserve">Tabela 26 — Dados (Aba 28)</t>
  </si>
  <si>
    <t xml:space="preserve">28251</t>
  </si>
  <si>
    <t xml:space="preserve">28252</t>
  </si>
  <si>
    <t xml:space="preserve">28253</t>
  </si>
  <si>
    <t xml:space="preserve">28254</t>
  </si>
  <si>
    <t xml:space="preserve">28255</t>
  </si>
  <si>
    <t xml:space="preserve">28256</t>
  </si>
  <si>
    <t xml:space="preserve">28257</t>
  </si>
  <si>
    <t xml:space="preserve">28258</t>
  </si>
  <si>
    <t xml:space="preserve">Tabela 27 — Infra (Aba 28)</t>
  </si>
  <si>
    <t xml:space="preserve">28261</t>
  </si>
  <si>
    <t xml:space="preserve">28262</t>
  </si>
  <si>
    <t xml:space="preserve">28263</t>
  </si>
  <si>
    <t xml:space="preserve">28264</t>
  </si>
  <si>
    <t xml:space="preserve">28265</t>
  </si>
  <si>
    <t xml:space="preserve">28266</t>
  </si>
  <si>
    <t xml:space="preserve">28267</t>
  </si>
  <si>
    <t xml:space="preserve">28268</t>
  </si>
  <si>
    <t xml:space="preserve">Tabela 28 — Segurança (Aba 28)</t>
  </si>
  <si>
    <t xml:space="preserve">28271</t>
  </si>
  <si>
    <t xml:space="preserve">28272</t>
  </si>
  <si>
    <t xml:space="preserve">28273</t>
  </si>
  <si>
    <t xml:space="preserve">28274</t>
  </si>
  <si>
    <t xml:space="preserve">28275</t>
  </si>
  <si>
    <t xml:space="preserve">28276</t>
  </si>
  <si>
    <t xml:space="preserve">28277</t>
  </si>
  <si>
    <t xml:space="preserve">28278</t>
  </si>
  <si>
    <t xml:space="preserve">Tabela 29 — Engenharia (Aba 28)</t>
  </si>
  <si>
    <t xml:space="preserve">28281</t>
  </si>
  <si>
    <t xml:space="preserve">28282</t>
  </si>
  <si>
    <t xml:space="preserve">28283</t>
  </si>
  <si>
    <t xml:space="preserve">28284</t>
  </si>
  <si>
    <t xml:space="preserve">28285</t>
  </si>
  <si>
    <t xml:space="preserve">28286</t>
  </si>
  <si>
    <t xml:space="preserve">28287</t>
  </si>
  <si>
    <t xml:space="preserve">28288</t>
  </si>
  <si>
    <t xml:space="preserve">Tabela 30 — Produto (Aba 28)</t>
  </si>
  <si>
    <t xml:space="preserve">28291</t>
  </si>
  <si>
    <t xml:space="preserve">28292</t>
  </si>
  <si>
    <t xml:space="preserve">28293</t>
  </si>
  <si>
    <t xml:space="preserve">28294</t>
  </si>
  <si>
    <t xml:space="preserve">28295</t>
  </si>
  <si>
    <t xml:space="preserve">28296</t>
  </si>
  <si>
    <t xml:space="preserve">28297</t>
  </si>
  <si>
    <t xml:space="preserve">28298</t>
  </si>
  <si>
    <t xml:space="preserve">Planilha — Aba 29 | Relatório de Equipe</t>
  </si>
  <si>
    <t xml:space="preserve">Tabela 1 — Engenharia (Aba 29)</t>
  </si>
  <si>
    <t xml:space="preserve">29001</t>
  </si>
  <si>
    <t xml:space="preserve">29002</t>
  </si>
  <si>
    <t xml:space="preserve">29003</t>
  </si>
  <si>
    <t xml:space="preserve">29004</t>
  </si>
  <si>
    <t xml:space="preserve">29005</t>
  </si>
  <si>
    <t xml:space="preserve">29006</t>
  </si>
  <si>
    <t xml:space="preserve">29007</t>
  </si>
  <si>
    <t xml:space="preserve">29008</t>
  </si>
  <si>
    <t xml:space="preserve">Tabela 2 — Produto (Aba 29)</t>
  </si>
  <si>
    <t xml:space="preserve">29011</t>
  </si>
  <si>
    <t xml:space="preserve">29012</t>
  </si>
  <si>
    <t xml:space="preserve">29013</t>
  </si>
  <si>
    <t xml:space="preserve">29014</t>
  </si>
  <si>
    <t xml:space="preserve">29015</t>
  </si>
  <si>
    <t xml:space="preserve">29016</t>
  </si>
  <si>
    <t xml:space="preserve">29017</t>
  </si>
  <si>
    <t xml:space="preserve">29018</t>
  </si>
  <si>
    <t xml:space="preserve">Tabela 3 — Design (Aba 29)</t>
  </si>
  <si>
    <t xml:space="preserve">29021</t>
  </si>
  <si>
    <t xml:space="preserve">29022</t>
  </si>
  <si>
    <t xml:space="preserve">29023</t>
  </si>
  <si>
    <t xml:space="preserve">29024</t>
  </si>
  <si>
    <t xml:space="preserve">29025</t>
  </si>
  <si>
    <t xml:space="preserve">29026</t>
  </si>
  <si>
    <t xml:space="preserve">29027</t>
  </si>
  <si>
    <t xml:space="preserve">29028</t>
  </si>
  <si>
    <t xml:space="preserve">Tabela 4 — DevEx (Aba 29)</t>
  </si>
  <si>
    <t xml:space="preserve">29031</t>
  </si>
  <si>
    <t xml:space="preserve">29032</t>
  </si>
  <si>
    <t xml:space="preserve">29033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</si>
  <si>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</si>
  <si>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</si>
  <si>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</si>
  <si>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</si>
  <si>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</si>
  <si>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Tabela 5 — Dados (Aba 29)</t>
  </si>
  <si>
    <t xml:space="preserve">29041</t>
  </si>
  <si>
    <t xml:space="preserve">29042</t>
  </si>
  <si>
    <t xml:space="preserve">29043</t>
  </si>
  <si>
    <t xml:space="preserve">29044</t>
  </si>
  <si>
    <t xml:space="preserve">29045</t>
  </si>
  <si>
    <t xml:space="preserve">29046</t>
  </si>
  <si>
    <t xml:space="preserve">29047</t>
  </si>
  <si>
    <t xml:space="preserve">29048</t>
  </si>
  <si>
    <t xml:space="preserve">Tabela 6 — Infra (Aba 29)</t>
  </si>
  <si>
    <t xml:space="preserve">29051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</si>
  <si>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</si>
  <si>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</si>
  <si>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</si>
  <si>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</si>
  <si>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</si>
  <si>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29057</t>
  </si>
  <si>
    <t xml:space="preserve">29058</t>
  </si>
  <si>
    <t xml:space="preserve">Tabela 7 — Segurança (Aba 29)</t>
  </si>
  <si>
    <t xml:space="preserve">29061</t>
  </si>
  <si>
    <t xml:space="preserve">29062</t>
  </si>
  <si>
    <t xml:space="preserve">29063</t>
  </si>
  <si>
    <t xml:space="preserve">29064</t>
  </si>
  <si>
    <t xml:space="preserve">29065</t>
  </si>
  <si>
    <t xml:space="preserve">29066</t>
  </si>
  <si>
    <t xml:space="preserve">29067</t>
  </si>
  <si>
    <t xml:space="preserve">29068</t>
  </si>
  <si>
    <t xml:space="preserve">Tabela 8 — Engenharia (Aba 29)</t>
  </si>
  <si>
    <t xml:space="preserve">29071</t>
  </si>
  <si>
    <t xml:space="preserve">29072</t>
  </si>
  <si>
    <t xml:space="preserve">29073</t>
  </si>
  <si>
    <t xml:space="preserve">29074</t>
  </si>
  <si>
    <t xml:space="preserve">29075</t>
  </si>
  <si>
    <t xml:space="preserve">29076</t>
  </si>
  <si>
    <t xml:space="preserve">29077</t>
  </si>
  <si>
    <t xml:space="preserve">29078</t>
  </si>
  <si>
    <t xml:space="preserve">Tabela 9 — Produto (Aba 29)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</si>
  <si>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</si>
  <si>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</si>
  <si>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</si>
  <si>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</si>
  <si>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</si>
  <si>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29086</t>
  </si>
  <si>
    <t xml:space="preserve">29087</t>
  </si>
  <si>
    <t xml:space="preserve">29088</t>
  </si>
  <si>
    <t xml:space="preserve">Tabela 10 — Design (Aba 29)</t>
  </si>
  <si>
    <t xml:space="preserve">29091</t>
  </si>
  <si>
    <t xml:space="preserve">29092</t>
  </si>
  <si>
    <t xml:space="preserve">29093</t>
  </si>
  <si>
    <t xml:space="preserve">29094</t>
  </si>
  <si>
    <t xml:space="preserve">29095</t>
  </si>
  <si>
    <t xml:space="preserve">29096</t>
  </si>
  <si>
    <t xml:space="preserve">29097</t>
  </si>
  <si>
    <t xml:space="preserve">29098</t>
  </si>
  <si>
    <t xml:space="preserve">Tabela 11 — DevEx (Aba 29)</t>
  </si>
  <si>
    <t xml:space="preserve">29101</t>
  </si>
  <si>
    <t xml:space="preserve">29102</t>
  </si>
  <si>
    <t xml:space="preserve">29103</t>
  </si>
  <si>
    <t xml:space="preserve">29104</t>
  </si>
  <si>
    <t xml:space="preserve">29105</t>
  </si>
  <si>
    <t xml:space="preserve">29106</t>
  </si>
  <si>
    <t xml:space="preserve">29107</t>
  </si>
  <si>
    <t xml:space="preserve">29108</t>
  </si>
  <si>
    <t xml:space="preserve">Tabela 12 — Dados (Aba 29)</t>
  </si>
  <si>
    <t xml:space="preserve">29111</t>
  </si>
  <si>
    <t xml:space="preserve">29112</t>
  </si>
  <si>
    <t xml:space="preserve">29113</t>
  </si>
  <si>
    <t xml:space="preserve">29114</t>
  </si>
  <si>
    <t xml:space="preserve">29115</t>
  </si>
  <si>
    <t xml:space="preserve">29116</t>
  </si>
  <si>
    <t xml:space="preserve">29117</t>
  </si>
  <si>
    <t xml:space="preserve">29118</t>
  </si>
  <si>
    <t xml:space="preserve">Tabela 13 — Infra (Aba 29)</t>
  </si>
  <si>
    <t xml:space="preserve">29121</t>
  </si>
  <si>
    <t xml:space="preserve">29122</t>
  </si>
  <si>
    <t xml:space="preserve">29123</t>
  </si>
  <si>
    <t xml:space="preserve">29124</t>
  </si>
  <si>
    <t xml:space="preserve">29125</t>
  </si>
  <si>
    <t xml:space="preserve">29126</t>
  </si>
  <si>
    <t xml:space="preserve">29127</t>
  </si>
  <si>
    <t xml:space="preserve">29128</t>
  </si>
  <si>
    <t xml:space="preserve">Tabela 14 — Segurança (Aba 29)</t>
  </si>
  <si>
    <t xml:space="preserve">29131</t>
  </si>
  <si>
    <t xml:space="preserve">29132</t>
  </si>
  <si>
    <t xml:space="preserve">29133</t>
  </si>
  <si>
    <t xml:space="preserve">29134</t>
  </si>
  <si>
    <t xml:space="preserve">29135</t>
  </si>
  <si>
    <t xml:space="preserve">29136</t>
  </si>
  <si>
    <t xml:space="preserve">29137</t>
  </si>
  <si>
    <t xml:space="preserve">29138</t>
  </si>
  <si>
    <t xml:space="preserve">Tabela 15 — Engenharia (Aba 29)</t>
  </si>
  <si>
    <t xml:space="preserve">29141</t>
  </si>
  <si>
    <t xml:space="preserve">29142</t>
  </si>
  <si>
    <t xml:space="preserve">29143</t>
  </si>
  <si>
    <t xml:space="preserve">29144</t>
  </si>
  <si>
    <t xml:space="preserve">29145</t>
  </si>
  <si>
    <t xml:space="preserve">29146</t>
  </si>
  <si>
    <t xml:space="preserve">29147</t>
  </si>
  <si>
    <t xml:space="preserve">29148</t>
  </si>
  <si>
    <t xml:space="preserve">Tabela 16 — Produto (Aba 29)</t>
  </si>
  <si>
    <t xml:space="preserve">29151</t>
  </si>
  <si>
    <t xml:space="preserve">29152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</si>
  <si>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</si>
  <si>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</si>
  <si>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</si>
  <si>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</si>
  <si>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</si>
  <si>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</si>
  <si>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Tabela 17 — Design (Aba 29)</t>
  </si>
  <si>
    <t xml:space="preserve">29161</t>
  </si>
  <si>
    <t xml:space="preserve">29162</t>
  </si>
  <si>
    <t xml:space="preserve">29163</t>
  </si>
  <si>
    <t xml:space="preserve">29164</t>
  </si>
  <si>
    <t xml:space="preserve">29165</t>
  </si>
  <si>
    <t xml:space="preserve">29166</t>
  </si>
  <si>
    <t xml:space="preserve">29167</t>
  </si>
  <si>
    <t xml:space="preserve">29168</t>
  </si>
  <si>
    <t xml:space="preserve">Tabela 18 — DevEx (Aba 29)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</si>
  <si>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</si>
  <si>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</si>
  <si>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</si>
  <si>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</si>
  <si>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</si>
  <si>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</si>
  <si>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</si>
  <si>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</si>
  <si>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Tabela 19 — Dados (Aba 29)</t>
  </si>
  <si>
    <t xml:space="preserve">29181</t>
  </si>
  <si>
    <t xml:space="preserve">29182</t>
  </si>
  <si>
    <t xml:space="preserve">29183</t>
  </si>
  <si>
    <t xml:space="preserve">29184</t>
  </si>
  <si>
    <t xml:space="preserve">29185</t>
  </si>
  <si>
    <t xml:space="preserve">29186</t>
  </si>
  <si>
    <t xml:space="preserve">29187</t>
  </si>
  <si>
    <t xml:space="preserve">29188</t>
  </si>
  <si>
    <t xml:space="preserve">Tabela 20 — Infra (Aba 29)</t>
  </si>
  <si>
    <t xml:space="preserve">29191</t>
  </si>
  <si>
    <t xml:space="preserve">29192</t>
  </si>
  <si>
    <t xml:space="preserve">29193</t>
  </si>
  <si>
    <t xml:space="preserve">29194</t>
  </si>
  <si>
    <t xml:space="preserve">29195</t>
  </si>
  <si>
    <t xml:space="preserve">29196</t>
  </si>
  <si>
    <t xml:space="preserve">29197</t>
  </si>
  <si>
    <t xml:space="preserve">29198</t>
  </si>
  <si>
    <t xml:space="preserve">Tabela 21 — Segurança (Aba 29)</t>
  </si>
  <si>
    <t xml:space="preserve">29201</t>
  </si>
  <si>
    <t xml:space="preserve">29202</t>
  </si>
  <si>
    <t xml:space="preserve">29203</t>
  </si>
  <si>
    <t xml:space="preserve">29204</t>
  </si>
  <si>
    <t xml:space="preserve">29205</t>
  </si>
  <si>
    <t xml:space="preserve">29206</t>
  </si>
  <si>
    <t xml:space="preserve">29207</t>
  </si>
  <si>
    <t xml:space="preserve">29208</t>
  </si>
  <si>
    <t xml:space="preserve">Tabela 22 — Engenharia (Aba 29)</t>
  </si>
  <si>
    <t xml:space="preserve">29211</t>
  </si>
  <si>
    <t xml:space="preserve">29212</t>
  </si>
  <si>
    <t xml:space="preserve">29213</t>
  </si>
  <si>
    <t xml:space="preserve">29214</t>
  </si>
  <si>
    <t xml:space="preserve">29215</t>
  </si>
  <si>
    <t xml:space="preserve">29216</t>
  </si>
  <si>
    <t xml:space="preserve">29217</t>
  </si>
  <si>
    <t xml:space="preserve">29218</t>
  </si>
  <si>
    <t xml:space="preserve">Tabela 23 — Produto (Aba 29)</t>
  </si>
  <si>
    <t xml:space="preserve">29221</t>
  </si>
  <si>
    <t xml:space="preserve">29222</t>
  </si>
  <si>
    <t xml:space="preserve">29223</t>
  </si>
  <si>
    <t xml:space="preserve">29224</t>
  </si>
  <si>
    <t xml:space="preserve">29225</t>
  </si>
  <si>
    <t xml:space="preserve">29226</t>
  </si>
  <si>
    <t xml:space="preserve">29227</t>
  </si>
  <si>
    <t xml:space="preserve">29228</t>
  </si>
  <si>
    <t xml:space="preserve">Tabela 24 — Design (Aba 29)</t>
  </si>
  <si>
    <t xml:space="preserve">29231</t>
  </si>
  <si>
    <t xml:space="preserve">29232</t>
  </si>
  <si>
    <t xml:space="preserve">29233</t>
  </si>
  <si>
    <t xml:space="preserve">29234</t>
  </si>
  <si>
    <t xml:space="preserve">29235</t>
  </si>
  <si>
    <t xml:space="preserve">29236</t>
  </si>
  <si>
    <t xml:space="preserve">29237</t>
  </si>
  <si>
    <t xml:space="preserve">29238</t>
  </si>
  <si>
    <t xml:space="preserve">Tabela 25 — DevEx (Aba 29)</t>
  </si>
  <si>
    <t xml:space="preserve">29241</t>
  </si>
  <si>
    <t xml:space="preserve">29242</t>
  </si>
  <si>
    <t xml:space="preserve">29243</t>
  </si>
  <si>
    <t xml:space="preserve">29244</t>
  </si>
  <si>
    <t xml:space="preserve">29245</t>
  </si>
  <si>
    <t xml:space="preserve">29246</t>
  </si>
  <si>
    <t xml:space="preserve">29247</t>
  </si>
  <si>
    <t xml:space="preserve">29248</t>
  </si>
  <si>
    <t xml:space="preserve">Tabela 26 — Dados (Aba 29)</t>
  </si>
  <si>
    <t xml:space="preserve">29251</t>
  </si>
  <si>
    <t xml:space="preserve">29252</t>
  </si>
  <si>
    <t xml:space="preserve">29253</t>
  </si>
  <si>
    <t xml:space="preserve">29254</t>
  </si>
  <si>
    <t xml:space="preserve">29255</t>
  </si>
  <si>
    <t xml:space="preserve">29256</t>
  </si>
  <si>
    <t xml:space="preserve">29257</t>
  </si>
  <si>
    <t xml:space="preserve">29258</t>
  </si>
  <si>
    <t xml:space="preserve">Tabela 27 — Infra (Aba 29)</t>
  </si>
  <si>
    <t xml:space="preserve">29261</t>
  </si>
  <si>
    <t xml:space="preserve">29262</t>
  </si>
  <si>
    <t xml:space="preserve">29263</t>
  </si>
  <si>
    <t xml:space="preserve">29264</t>
  </si>
  <si>
    <t xml:space="preserve">29265</t>
  </si>
  <si>
    <t xml:space="preserve">29266</t>
  </si>
  <si>
    <t xml:space="preserve">29267</t>
  </si>
  <si>
    <t xml:space="preserve">29268</t>
  </si>
  <si>
    <t xml:space="preserve">Tabela 28 — Segurança (Aba 29)</t>
  </si>
  <si>
    <t xml:space="preserve">29271</t>
  </si>
  <si>
    <t xml:space="preserve">29272</t>
  </si>
  <si>
    <t xml:space="preserve">29273</t>
  </si>
  <si>
    <t xml:space="preserve">29274</t>
  </si>
  <si>
    <t xml:space="preserve">29275</t>
  </si>
  <si>
    <t xml:space="preserve">29276</t>
  </si>
  <si>
    <t xml:space="preserve">29277</t>
  </si>
  <si>
    <t xml:space="preserve">29278</t>
  </si>
  <si>
    <t xml:space="preserve">Tabela 29 — Engenharia (Aba 29)</t>
  </si>
  <si>
    <t xml:space="preserve">29281</t>
  </si>
  <si>
    <t xml:space="preserve">29282</t>
  </si>
  <si>
    <t xml:space="preserve">29283</t>
  </si>
  <si>
    <t xml:space="preserve">29284</t>
  </si>
  <si>
    <t xml:space="preserve">29285</t>
  </si>
  <si>
    <t xml:space="preserve">29286</t>
  </si>
  <si>
    <t xml:space="preserve">29287</t>
  </si>
  <si>
    <t xml:space="preserve">29288</t>
  </si>
  <si>
    <t xml:space="preserve">Tabela 30 — Produto (Aba 29)</t>
  </si>
  <si>
    <t xml:space="preserve">29291</t>
  </si>
  <si>
    <t xml:space="preserve">29292</t>
  </si>
  <si>
    <t xml:space="preserve">29293</t>
  </si>
  <si>
    <t xml:space="preserve">29294</t>
  </si>
  <si>
    <t xml:space="preserve">29295</t>
  </si>
  <si>
    <t xml:space="preserve">29296</t>
  </si>
  <si>
    <t xml:space="preserve">29297</t>
  </si>
  <si>
    <t xml:space="preserve">29298</t>
  </si>
  <si>
    <t xml:space="preserve">Planilha — Aba 30 | Relatório de Equipe</t>
  </si>
  <si>
    <t xml:space="preserve">Tabela 1 — Engenharia (Aba 30)</t>
  </si>
  <si>
    <t xml:space="preserve">30001</t>
  </si>
  <si>
    <t xml:space="preserve">30002</t>
  </si>
  <si>
    <t xml:space="preserve">30003</t>
  </si>
  <si>
    <t xml:space="preserve">30004</t>
  </si>
  <si>
    <t xml:space="preserve">30005</t>
  </si>
  <si>
    <t xml:space="preserve">30006</t>
  </si>
  <si>
    <t xml:space="preserve">30007</t>
  </si>
  <si>
    <t xml:space="preserve">30008</t>
  </si>
  <si>
    <t xml:space="preserve">Tabela 2 — Produto (Aba 30)</t>
  </si>
  <si>
    <t xml:space="preserve">30011</t>
  </si>
  <si>
    <t xml:space="preserve">30012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</si>
  <si>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</si>
  <si>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</si>
  <si>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</si>
  <si>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</si>
  <si>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</si>
  <si>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30018</t>
  </si>
  <si>
    <t xml:space="preserve">Tabela 3 — Design (Aba 30)</t>
  </si>
  <si>
    <t xml:space="preserve">30021</t>
  </si>
  <si>
    <t xml:space="preserve">30022</t>
  </si>
  <si>
    <t xml:space="preserve">30023</t>
  </si>
  <si>
    <t xml:space="preserve">30024</t>
  </si>
  <si>
    <t xml:space="preserve">30025</t>
  </si>
  <si>
    <t xml:space="preserve">30026</t>
  </si>
  <si>
    <t xml:space="preserve">30027</t>
  </si>
  <si>
    <t xml:space="preserve">30028</t>
  </si>
  <si>
    <t xml:space="preserve">Tabela 4 — DevEx (Aba 30)</t>
  </si>
  <si>
    <t xml:space="preserve">30031</t>
  </si>
  <si>
    <t xml:space="preserve">30032</t>
  </si>
  <si>
    <t xml:space="preserve">30033</t>
  </si>
  <si>
    <t xml:space="preserve">30034</t>
  </si>
  <si>
    <t xml:space="preserve">30035</t>
  </si>
  <si>
    <t xml:space="preserve">30036</t>
  </si>
  <si>
    <t xml:space="preserve">30037</t>
  </si>
  <si>
    <t xml:space="preserve">30038</t>
  </si>
  <si>
    <t xml:space="preserve">Tabela 5 — Dados (Aba 30)</t>
  </si>
  <si>
    <t xml:space="preserve">30041</t>
  </si>
  <si>
    <t xml:space="preserve">30042</t>
  </si>
  <si>
    <t xml:space="preserve">30043</t>
  </si>
  <si>
    <t xml:space="preserve">30044</t>
  </si>
  <si>
    <t xml:space="preserve">30045</t>
  </si>
  <si>
    <t xml:space="preserve">30046</t>
  </si>
  <si>
    <t xml:space="preserve">30047</t>
  </si>
  <si>
    <t xml:space="preserve">30048</t>
  </si>
  <si>
    <t xml:space="preserve">Tabela 6 — Infra (Aba 30)</t>
  </si>
  <si>
    <t xml:space="preserve">30051</t>
  </si>
  <si>
    <t xml:space="preserve">30052</t>
  </si>
  <si>
    <t xml:space="preserve">30053</t>
  </si>
  <si>
    <t xml:space="preserve">30054</t>
  </si>
  <si>
    <t xml:space="preserve">30055</t>
  </si>
  <si>
    <t xml:space="preserve">30056</t>
  </si>
  <si>
    <t xml:space="preserve">30057</t>
  </si>
  <si>
    <t xml:space="preserve">30058</t>
  </si>
  <si>
    <t xml:space="preserve">Tabela 7 — Segurança (Aba 30)</t>
  </si>
  <si>
    <t xml:space="preserve">30061</t>
  </si>
  <si>
    <t xml:space="preserve">30062</t>
  </si>
  <si>
    <t xml:space="preserve">30063</t>
  </si>
  <si>
    <t xml:space="preserve">30064</t>
  </si>
  <si>
    <t xml:space="preserve">30065</t>
  </si>
  <si>
    <t xml:space="preserve">30066</t>
  </si>
  <si>
    <t xml:space="preserve">30067</t>
  </si>
  <si>
    <t xml:space="preserve">30068</t>
  </si>
  <si>
    <t xml:space="preserve">Tabela 8 — Engenharia (Aba 30)</t>
  </si>
  <si>
    <t xml:space="preserve">30071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</si>
  <si>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</si>
  <si>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</si>
  <si>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</si>
  <si>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</si>
  <si>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</si>
  <si>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</si>
  <si>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</si>
  <si>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Tabela 9 — Produto (Aba 30)</t>
  </si>
  <si>
    <t xml:space="preserve">30081</t>
  </si>
  <si>
    <t xml:space="preserve">30082</t>
  </si>
  <si>
    <t xml:space="preserve">30083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</si>
  <si>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</si>
  <si>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</si>
  <si>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</si>
  <si>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</si>
  <si>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</si>
  <si>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Tabela 10 — Design (Aba 30)</t>
  </si>
  <si>
    <t xml:space="preserve">30091</t>
  </si>
  <si>
    <t xml:space="preserve">30092</t>
  </si>
  <si>
    <t xml:space="preserve">30093</t>
  </si>
  <si>
    <t xml:space="preserve">30094</t>
  </si>
  <si>
    <t xml:space="preserve">30095</t>
  </si>
  <si>
    <t xml:space="preserve">30096</t>
  </si>
  <si>
    <t xml:space="preserve">30097</t>
  </si>
  <si>
    <t xml:space="preserve">30098</t>
  </si>
  <si>
    <t xml:space="preserve">Tabela 11 — DevEx (Aba 30)</t>
  </si>
  <si>
    <t xml:space="preserve">30101</t>
  </si>
  <si>
    <t xml:space="preserve">30102</t>
  </si>
  <si>
    <t xml:space="preserve">30103</t>
  </si>
  <si>
    <t xml:space="preserve">30104</t>
  </si>
  <si>
    <t xml:space="preserve">30105</t>
  </si>
  <si>
    <t xml:space="preserve">30106</t>
  </si>
  <si>
    <t xml:space="preserve">30107</t>
  </si>
  <si>
    <t xml:space="preserve">30108</t>
  </si>
  <si>
    <t xml:space="preserve">Tabela 12 — Dados (Aba 30)</t>
  </si>
  <si>
    <t xml:space="preserve">30111</t>
  </si>
  <si>
    <t xml:space="preserve">30112</t>
  </si>
  <si>
    <t xml:space="preserve">30113</t>
  </si>
  <si>
    <t xml:space="preserve">30114</t>
  </si>
  <si>
    <t xml:space="preserve">30115</t>
  </si>
  <si>
    <t xml:space="preserve">30116</t>
  </si>
  <si>
    <t xml:space="preserve">30117</t>
  </si>
  <si>
    <t xml:space="preserve">30118</t>
  </si>
  <si>
    <t xml:space="preserve">Tabela 13 — Infra (Aba 30)</t>
  </si>
  <si>
    <t xml:space="preserve">30121</t>
  </si>
  <si>
    <t xml:space="preserve">30122</t>
  </si>
  <si>
    <t xml:space="preserve">30123</t>
  </si>
  <si>
    <t xml:space="preserve">30124</t>
  </si>
  <si>
    <t xml:space="preserve">30125</t>
  </si>
  <si>
    <t xml:space="preserve">30126</t>
  </si>
  <si>
    <t xml:space="preserve">30127</t>
  </si>
  <si>
    <t xml:space="preserve">30128</t>
  </si>
  <si>
    <t xml:space="preserve">Tabela 14 — Segurança (Aba 30)</t>
  </si>
  <si>
    <t xml:space="preserve">30131</t>
  </si>
  <si>
    <t xml:space="preserve">30132</t>
  </si>
  <si>
    <t xml:space="preserve">30133</t>
  </si>
  <si>
    <t xml:space="preserve">30134</t>
  </si>
  <si>
    <t xml:space="preserve">30135</t>
  </si>
  <si>
    <t xml:space="preserve">30136</t>
  </si>
  <si>
    <t xml:space="preserve">30137</t>
  </si>
  <si>
    <t xml:space="preserve">30138</t>
  </si>
  <si>
    <t xml:space="preserve">Tabela 15 — Engenharia (Aba 30)</t>
  </si>
  <si>
    <t xml:space="preserve">30141</t>
  </si>
  <si>
    <t xml:space="preserve">30142</t>
  </si>
  <si>
    <t xml:space="preserve">30143</t>
  </si>
  <si>
    <t xml:space="preserve">30144</t>
  </si>
  <si>
    <t xml:space="preserve">30145</t>
  </si>
  <si>
    <t xml:space="preserve">30146</t>
  </si>
  <si>
    <t xml:space="preserve">30147</t>
  </si>
  <si>
    <t xml:space="preserve">30148</t>
  </si>
  <si>
    <t xml:space="preserve">Tabela 16 — Produto (Aba 30)</t>
  </si>
  <si>
    <t xml:space="preserve">30151</t>
  </si>
  <si>
    <t xml:space="preserve">30152</t>
  </si>
  <si>
    <t xml:space="preserve">30153</t>
  </si>
  <si>
    <t xml:space="preserve">30154</t>
  </si>
  <si>
    <t xml:space="preserve">30155</t>
  </si>
  <si>
    <t xml:space="preserve">30156</t>
  </si>
  <si>
    <t xml:space="preserve">30157</t>
  </si>
  <si>
    <t xml:space="preserve">30158</t>
  </si>
  <si>
    <t xml:space="preserve">Tabela 17 — Design (Aba 30)</t>
  </si>
  <si>
    <t xml:space="preserve">30161</t>
  </si>
  <si>
    <t xml:space="preserve">30162</t>
  </si>
  <si>
    <t xml:space="preserve">30163</t>
  </si>
  <si>
    <t xml:space="preserve">30164</t>
  </si>
  <si>
    <t xml:space="preserve">30165</t>
  </si>
  <si>
    <t xml:space="preserve">30166</t>
  </si>
  <si>
    <t xml:space="preserve">30167</t>
  </si>
  <si>
    <t xml:space="preserve">30168</t>
  </si>
  <si>
    <t xml:space="preserve">Tabela 18 — DevEx (Aba 30)</t>
  </si>
  <si>
    <t xml:space="preserve">30171</t>
  </si>
  <si>
    <t xml:space="preserve">30172</t>
  </si>
  <si>
    <t xml:space="preserve">30173</t>
  </si>
  <si>
    <t xml:space="preserve">30174</t>
  </si>
  <si>
    <t xml:space="preserve">30175</t>
  </si>
  <si>
    <t xml:space="preserve">30176</t>
  </si>
  <si>
    <t xml:space="preserve">30177</t>
  </si>
  <si>
    <t xml:space="preserve">30178</t>
  </si>
  <si>
    <t xml:space="preserve">Tabela 19 — Dados (Aba 30)</t>
  </si>
  <si>
    <t xml:space="preserve">30181</t>
  </si>
  <si>
    <t xml:space="preserve">30182</t>
  </si>
  <si>
    <t xml:space="preserve">30183</t>
  </si>
  <si>
    <t xml:space="preserve">30184</t>
  </si>
  <si>
    <t xml:space="preserve">30185</t>
  </si>
  <si>
    <t xml:space="preserve">30186</t>
  </si>
  <si>
    <t xml:space="preserve">30187</t>
  </si>
  <si>
    <t xml:space="preserve">30188</t>
  </si>
  <si>
    <t xml:space="preserve">Tabela 20 — Infra (Aba 30)</t>
  </si>
  <si>
    <t xml:space="preserve">30191</t>
  </si>
  <si>
    <t xml:space="preserve">30192</t>
  </si>
  <si>
    <t xml:space="preserve">30193</t>
  </si>
  <si>
    <t xml:space="preserve">30194</t>
  </si>
  <si>
    <t xml:space="preserve">30195</t>
  </si>
  <si>
    <t xml:space="preserve">30196</t>
  </si>
  <si>
    <t xml:space="preserve">30197</t>
  </si>
  <si>
    <t xml:space="preserve">30198</t>
  </si>
  <si>
    <t xml:space="preserve">Tabela 21 — Segurança (Aba 30)</t>
  </si>
  <si>
    <t xml:space="preserve">30201</t>
  </si>
  <si>
    <t xml:space="preserve">30202</t>
  </si>
  <si>
    <t xml:space="preserve">30203</t>
  </si>
  <si>
    <t xml:space="preserve">30204</t>
  </si>
  <si>
    <t xml:space="preserve">30205</t>
  </si>
  <si>
    <t xml:space="preserve">30206</t>
  </si>
  <si>
    <t xml:space="preserve">30207</t>
  </si>
  <si>
    <t xml:space="preserve">30208</t>
  </si>
  <si>
    <t xml:space="preserve">Tabela 22 — Engenharia (Aba 30)</t>
  </si>
  <si>
    <t xml:space="preserve">30211</t>
  </si>
  <si>
    <t xml:space="preserve">30212</t>
  </si>
  <si>
    <t xml:space="preserve">30213</t>
  </si>
  <si>
    <t xml:space="preserve">30214</t>
  </si>
  <si>
    <t xml:space="preserve">30215</t>
  </si>
  <si>
    <t xml:space="preserve">30216</t>
  </si>
  <si>
    <t xml:space="preserve">30217</t>
  </si>
  <si>
    <t xml:space="preserve">30218</t>
  </si>
  <si>
    <t xml:space="preserve">Tabela 23 — Produto (Aba 30)</t>
  </si>
  <si>
    <t xml:space="preserve">30221</t>
  </si>
  <si>
    <t xml:space="preserve">30222</t>
  </si>
  <si>
    <t xml:space="preserve">30223</t>
  </si>
  <si>
    <t xml:space="preserve">30224</t>
  </si>
  <si>
    <t xml:space="preserve">30225</t>
  </si>
  <si>
    <t xml:space="preserve">30226</t>
  </si>
  <si>
    <t xml:space="preserve">30227</t>
  </si>
  <si>
    <t xml:space="preserve">30228</t>
  </si>
  <si>
    <t xml:space="preserve">Tabela 24 — Design (Aba 30)</t>
  </si>
  <si>
    <t xml:space="preserve">30231</t>
  </si>
  <si>
    <t xml:space="preserve">30232</t>
  </si>
  <si>
    <t xml:space="preserve">30233</t>
  </si>
  <si>
    <t xml:space="preserve">30234</t>
  </si>
  <si>
    <t xml:space="preserve">30235</t>
  </si>
  <si>
    <t xml:space="preserve">30236</t>
  </si>
  <si>
    <t xml:space="preserve">30237</t>
  </si>
  <si>
    <t xml:space="preserve">30238</t>
  </si>
  <si>
    <t xml:space="preserve">Tabela 25 — DevEx (Aba 30)</t>
  </si>
  <si>
    <t xml:space="preserve">30241</t>
  </si>
  <si>
    <t xml:space="preserve">30242</t>
  </si>
  <si>
    <t xml:space="preserve">30243</t>
  </si>
  <si>
    <t xml:space="preserve">30244</t>
  </si>
  <si>
    <t xml:space="preserve">30245</t>
  </si>
  <si>
    <t xml:space="preserve">30246</t>
  </si>
  <si>
    <t xml:space="preserve">30247</t>
  </si>
  <si>
    <t xml:space="preserve">30248</t>
  </si>
  <si>
    <t xml:space="preserve">Tabela 26 — Dados (Aba 30)</t>
  </si>
  <si>
    <t xml:space="preserve">30251</t>
  </si>
  <si>
    <t xml:space="preserve">30252</t>
  </si>
  <si>
    <t xml:space="preserve">30253</t>
  </si>
  <si>
    <t xml:space="preserve">30254</t>
  </si>
  <si>
    <t xml:space="preserve">30255</t>
  </si>
  <si>
    <t xml:space="preserve">30256</t>
  </si>
  <si>
    <t xml:space="preserve">30257</t>
  </si>
  <si>
    <t xml:space="preserve">30258</t>
  </si>
  <si>
    <t xml:space="preserve">Tabela 27 — Infra (Aba 30)</t>
  </si>
  <si>
    <t xml:space="preserve">30261</t>
  </si>
  <si>
    <t xml:space="preserve">30262</t>
  </si>
  <si>
    <t xml:space="preserve">30263</t>
  </si>
  <si>
    <t xml:space="preserve">30264</t>
  </si>
  <si>
    <t xml:space="preserve">30265</t>
  </si>
  <si>
    <t xml:space="preserve">30266</t>
  </si>
  <si>
    <t xml:space="preserve">30267</t>
  </si>
  <si>
    <t xml:space="preserve">30268</t>
  </si>
  <si>
    <t xml:space="preserve">Tabela 28 — Segurança (Aba 30)</t>
  </si>
  <si>
    <t xml:space="preserve">30271</t>
  </si>
  <si>
    <t xml:space="preserve">30272</t>
  </si>
  <si>
    <t xml:space="preserve">30273</t>
  </si>
  <si>
    <t xml:space="preserve">30274</t>
  </si>
  <si>
    <t xml:space="preserve">30275</t>
  </si>
  <si>
    <t xml:space="preserve">30276</t>
  </si>
  <si>
    <t xml:space="preserve">30277</t>
  </si>
  <si>
    <t xml:space="preserve">30278</t>
  </si>
  <si>
    <t xml:space="preserve">Tabela 29 — Engenharia (Aba 30)</t>
  </si>
  <si>
    <t xml:space="preserve">30281</t>
  </si>
  <si>
    <t xml:space="preserve">30282</t>
  </si>
  <si>
    <t xml:space="preserve">30283</t>
  </si>
  <si>
    <t xml:space="preserve">30284</t>
  </si>
  <si>
    <t xml:space="preserve">30285</t>
  </si>
  <si>
    <t xml:space="preserve">30286</t>
  </si>
  <si>
    <t xml:space="preserve">30287</t>
  </si>
  <si>
    <t xml:space="preserve">30288</t>
  </si>
  <si>
    <t xml:space="preserve">Tabela 30 — Produto (Aba 30)</t>
  </si>
  <si>
    <t xml:space="preserve">30291</t>
  </si>
  <si>
    <t xml:space="preserve">30292</t>
  </si>
  <si>
    <t xml:space="preserve">30293</t>
  </si>
  <si>
    <t xml:space="preserve">30294</t>
  </si>
  <si>
    <t xml:space="preserve">30295</t>
  </si>
  <si>
    <t xml:space="preserve">30296</t>
  </si>
  <si>
    <t xml:space="preserve">30297</t>
  </si>
  <si>
    <t xml:space="preserve">30298</t>
  </si>
  <si>
    <t xml:space="preserve">Planilha — Aba 31 | Relatório de Equipe</t>
  </si>
  <si>
    <t xml:space="preserve">Tabela 1 — Engenharia (Aba 31)</t>
  </si>
  <si>
    <t xml:space="preserve">31001</t>
  </si>
  <si>
    <t xml:space="preserve">31002</t>
  </si>
  <si>
    <t xml:space="preserve">31003</t>
  </si>
  <si>
    <t xml:space="preserve">31004</t>
  </si>
  <si>
    <t xml:space="preserve">31005</t>
  </si>
  <si>
    <t xml:space="preserve">31006</t>
  </si>
  <si>
    <t xml:space="preserve">31007</t>
  </si>
  <si>
    <t xml:space="preserve">31008</t>
  </si>
  <si>
    <t xml:space="preserve">Tabela 2 — Produto (Aba 31)</t>
  </si>
  <si>
    <t xml:space="preserve">31011</t>
  </si>
  <si>
    <t xml:space="preserve">31012</t>
  </si>
  <si>
    <t xml:space="preserve">31013</t>
  </si>
  <si>
    <t xml:space="preserve">31014</t>
  </si>
  <si>
    <t xml:space="preserve">31015</t>
  </si>
  <si>
    <t xml:space="preserve">31016</t>
  </si>
  <si>
    <t xml:space="preserve">31017</t>
  </si>
  <si>
    <t xml:space="preserve">31018</t>
  </si>
  <si>
    <t xml:space="preserve">Tabela 3 — Design (Aba 31)</t>
  </si>
  <si>
    <t xml:space="preserve">31021</t>
  </si>
  <si>
    <t xml:space="preserve">31022</t>
  </si>
  <si>
    <t xml:space="preserve">31023</t>
  </si>
  <si>
    <t xml:space="preserve">31024</t>
  </si>
  <si>
    <t xml:space="preserve">31025</t>
  </si>
  <si>
    <t xml:space="preserve">31026</t>
  </si>
  <si>
    <t xml:space="preserve">31027</t>
  </si>
  <si>
    <t xml:space="preserve">31028</t>
  </si>
  <si>
    <t xml:space="preserve">Tabela 4 — DevEx (Aba 31)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</si>
  <si>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</si>
  <si>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</si>
  <si>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</si>
  <si>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</si>
  <si>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</si>
  <si>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</si>
  <si>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31037</t>
  </si>
  <si>
    <t xml:space="preserve">31038</t>
  </si>
  <si>
    <t xml:space="preserve">Tabela 5 — Dados (Aba 31)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</si>
  <si>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</si>
  <si>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</si>
  <si>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</si>
  <si>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</si>
  <si>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</si>
  <si>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</si>
  <si>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</si>
  <si>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</si>
  <si>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Tabela 6 — Infra (Aba 31)</t>
  </si>
  <si>
    <t xml:space="preserve">31051</t>
  </si>
  <si>
    <t xml:space="preserve">31052</t>
  </si>
  <si>
    <t xml:space="preserve">31053</t>
  </si>
  <si>
    <t xml:space="preserve">31054</t>
  </si>
  <si>
    <t xml:space="preserve">31055</t>
  </si>
  <si>
    <t xml:space="preserve">31056</t>
  </si>
  <si>
    <t xml:space="preserve">31057</t>
  </si>
  <si>
    <t xml:space="preserve">31058</t>
  </si>
  <si>
    <t xml:space="preserve">Tabela 7 — Segurança (Aba 31)</t>
  </si>
  <si>
    <t xml:space="preserve">31061</t>
  </si>
  <si>
    <t xml:space="preserve">31062</t>
  </si>
  <si>
    <t xml:space="preserve">31063</t>
  </si>
  <si>
    <t xml:space="preserve">31064</t>
  </si>
  <si>
    <t xml:space="preserve">31065</t>
  </si>
  <si>
    <t xml:space="preserve">31066</t>
  </si>
  <si>
    <t xml:space="preserve">31067</t>
  </si>
  <si>
    <t xml:space="preserve">31068</t>
  </si>
  <si>
    <t xml:space="preserve">Tabela 8 — Engenharia (Aba 31)</t>
  </si>
  <si>
    <t xml:space="preserve">31071</t>
  </si>
  <si>
    <t xml:space="preserve">31072</t>
  </si>
  <si>
    <t xml:space="preserve">31073</t>
  </si>
  <si>
    <t xml:space="preserve">31074</t>
  </si>
  <si>
    <t xml:space="preserve">31075</t>
  </si>
  <si>
    <t xml:space="preserve">31076</t>
  </si>
  <si>
    <t xml:space="preserve">31077</t>
  </si>
  <si>
    <t xml:space="preserve">31078</t>
  </si>
  <si>
    <t xml:space="preserve">Tabela 9 — Produto (Aba 31)</t>
  </si>
  <si>
    <t xml:space="preserve">31081</t>
  </si>
  <si>
    <t xml:space="preserve">31082</t>
  </si>
  <si>
    <t xml:space="preserve">31083</t>
  </si>
  <si>
    <t xml:space="preserve">31084</t>
  </si>
  <si>
    <t xml:space="preserve">31085</t>
  </si>
  <si>
    <t xml:space="preserve">31086</t>
  </si>
  <si>
    <t xml:space="preserve">31087</t>
  </si>
  <si>
    <t xml:space="preserve">31088</t>
  </si>
  <si>
    <t xml:space="preserve">Tabela 10 — Design (Aba 31)</t>
  </si>
  <si>
    <t xml:space="preserve">31091</t>
  </si>
  <si>
    <t xml:space="preserve">31092</t>
  </si>
  <si>
    <t xml:space="preserve">31093</t>
  </si>
  <si>
    <t xml:space="preserve">31094</t>
  </si>
  <si>
    <t xml:space="preserve">31095</t>
  </si>
  <si>
    <t xml:space="preserve">31096</t>
  </si>
  <si>
    <t xml:space="preserve">31097</t>
  </si>
  <si>
    <t xml:space="preserve">31098</t>
  </si>
  <si>
    <t xml:space="preserve">Tabela 11 — DevEx (Aba 31)</t>
  </si>
  <si>
    <t xml:space="preserve">31101</t>
  </si>
  <si>
    <t xml:space="preserve">31102</t>
  </si>
  <si>
    <t xml:space="preserve">31103</t>
  </si>
  <si>
    <t xml:space="preserve">31104</t>
  </si>
  <si>
    <t xml:space="preserve">31105</t>
  </si>
  <si>
    <t xml:space="preserve">31106</t>
  </si>
  <si>
    <t xml:space="preserve">31107</t>
  </si>
  <si>
    <t xml:space="preserve">31108</t>
  </si>
  <si>
    <t xml:space="preserve">Tabela 12 — Dados (Aba 31)</t>
  </si>
  <si>
    <t xml:space="preserve">31111</t>
  </si>
  <si>
    <t xml:space="preserve">31112</t>
  </si>
  <si>
    <t xml:space="preserve">31113</t>
  </si>
  <si>
    <t xml:space="preserve">31114</t>
  </si>
  <si>
    <t xml:space="preserve">31115</t>
  </si>
  <si>
    <t xml:space="preserve">31116</t>
  </si>
  <si>
    <t xml:space="preserve">31117</t>
  </si>
  <si>
    <t xml:space="preserve">31118</t>
  </si>
  <si>
    <t xml:space="preserve">Tabela 13 — Infra (Aba 31)</t>
  </si>
  <si>
    <t xml:space="preserve">31121</t>
  </si>
  <si>
    <t xml:space="preserve">31122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</si>
  <si>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</si>
  <si>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</si>
  <si>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</si>
  <si>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</si>
  <si>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</si>
  <si>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</si>
  <si>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Tabela 14 — Segurança (Aba 31)</t>
  </si>
  <si>
    <t xml:space="preserve">31131</t>
  </si>
  <si>
    <t xml:space="preserve">31132</t>
  </si>
  <si>
    <t xml:space="preserve">31133</t>
  </si>
  <si>
    <t xml:space="preserve">31134</t>
  </si>
  <si>
    <t xml:space="preserve">31135</t>
  </si>
  <si>
    <t xml:space="preserve">31136</t>
  </si>
  <si>
    <t xml:space="preserve">31137</t>
  </si>
  <si>
    <t xml:space="preserve">31138</t>
  </si>
  <si>
    <t xml:space="preserve">Tabela 15 — Engenharia (Aba 31)</t>
  </si>
  <si>
    <t xml:space="preserve">31141</t>
  </si>
  <si>
    <t xml:space="preserve">31142</t>
  </si>
  <si>
    <t xml:space="preserve">31143</t>
  </si>
  <si>
    <t xml:space="preserve">31144</t>
  </si>
  <si>
    <t xml:space="preserve">31145</t>
  </si>
  <si>
    <t xml:space="preserve">31146</t>
  </si>
  <si>
    <t xml:space="preserve">31147</t>
  </si>
  <si>
    <t xml:space="preserve">31148</t>
  </si>
  <si>
    <t xml:space="preserve">Tabela 16 — Produto (Aba 31)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</si>
  <si>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</si>
  <si>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</si>
  <si>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</si>
  <si>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</si>
  <si>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</si>
  <si>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</si>
  <si>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</si>
  <si>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</si>
  <si>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Tabela 17 — Design (Aba 31)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</si>
  <si>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</si>
  <si>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</si>
  <si>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</si>
  <si>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</si>
  <si>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</si>
  <si>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</si>
  <si>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</si>
  <si>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31168</t>
  </si>
  <si>
    <t xml:space="preserve">Tabela 18 — DevEx (Aba 31)</t>
  </si>
  <si>
    <t xml:space="preserve">31171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</si>
  <si>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</si>
  <si>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</si>
  <si>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</si>
  <si>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</si>
  <si>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</si>
  <si>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31177</t>
  </si>
  <si>
    <t xml:space="preserve">31178</t>
  </si>
  <si>
    <t xml:space="preserve">Tabela 19 — Dados (Aba 31)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</si>
  <si>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</si>
  <si>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</si>
  <si>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</si>
  <si>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</si>
  <si>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</si>
  <si>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</si>
  <si>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</si>
  <si>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</si>
  <si>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Tabela 20 — Infra (Aba 31)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</si>
  <si>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</si>
  <si>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</si>
  <si>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</si>
  <si>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</si>
  <si>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</si>
  <si>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</si>
  <si>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</si>
  <si>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</si>
  <si>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Tabela 21 — Segurança (Aba 31)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</si>
  <si>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</si>
  <si>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</si>
  <si>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</si>
  <si>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</si>
  <si>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</si>
  <si>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</si>
  <si>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</si>
  <si>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</si>
  <si>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Tabela 22 — Engenharia (Aba 31)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</si>
  <si>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</si>
  <si>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</si>
  <si>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</si>
  <si>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</si>
  <si>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</si>
  <si>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</si>
  <si>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</si>
  <si>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</si>
  <si>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Tabela 23 — Produto (Aba 31)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</si>
  <si>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</si>
  <si>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</si>
  <si>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</si>
  <si>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</si>
  <si>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</si>
  <si>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</si>
  <si>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</si>
  <si>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</si>
  <si>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Tabela 24 — Design (Aba 31)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</si>
  <si>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</si>
  <si>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</si>
  <si>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</si>
  <si>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</si>
  <si>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</si>
  <si>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</si>
  <si>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</si>
  <si>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</si>
  <si>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Tabela 25 — DevEx (Aba 31)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</si>
  <si>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</si>
  <si>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</si>
  <si>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</si>
  <si>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</si>
  <si>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</si>
  <si>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</si>
  <si>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</si>
  <si>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</si>
  <si>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Tabela 26 — Dados (Aba 31)</t>
  </si>
  <si>
    <t xml:space="preserve">31251</t>
  </si>
  <si>
    <t xml:space="preserve">31252</t>
  </si>
  <si>
    <t xml:space="preserve">31253</t>
  </si>
  <si>
    <t xml:space="preserve">31254</t>
  </si>
  <si>
    <t xml:space="preserve">31255</t>
  </si>
  <si>
    <t xml:space="preserve">31256</t>
  </si>
  <si>
    <t xml:space="preserve">31257</t>
  </si>
  <si>
    <t xml:space="preserve">31258</t>
  </si>
  <si>
    <t xml:space="preserve">Tabela 27 — Infra (Aba 31)</t>
  </si>
  <si>
    <t xml:space="preserve">31261</t>
  </si>
  <si>
    <t xml:space="preserve">31262</t>
  </si>
  <si>
    <t xml:space="preserve">31263</t>
  </si>
  <si>
    <t xml:space="preserve">31264</t>
  </si>
  <si>
    <t xml:space="preserve">31265</t>
  </si>
  <si>
    <t xml:space="preserve">31266</t>
  </si>
  <si>
    <t xml:space="preserve">31267</t>
  </si>
  <si>
    <t xml:space="preserve">31268</t>
  </si>
  <si>
    <t xml:space="preserve">Tabela 28 — Segurança (Aba 31)</t>
  </si>
  <si>
    <t xml:space="preserve">31271</t>
  </si>
  <si>
    <t xml:space="preserve">31272</t>
  </si>
  <si>
    <t xml:space="preserve">31273</t>
  </si>
  <si>
    <t xml:space="preserve">31274</t>
  </si>
  <si>
    <t xml:space="preserve">31275</t>
  </si>
  <si>
    <t xml:space="preserve">31276</t>
  </si>
  <si>
    <t xml:space="preserve">31277</t>
  </si>
  <si>
    <t xml:space="preserve">31278</t>
  </si>
  <si>
    <t xml:space="preserve">Tabela 29 — Engenharia (Aba 31)</t>
  </si>
  <si>
    <t xml:space="preserve">31281</t>
  </si>
  <si>
    <t xml:space="preserve">31282</t>
  </si>
  <si>
    <t xml:space="preserve">31283</t>
  </si>
  <si>
    <t xml:space="preserve">31284</t>
  </si>
  <si>
    <t xml:space="preserve">31285</t>
  </si>
  <si>
    <t xml:space="preserve">31286</t>
  </si>
  <si>
    <t xml:space="preserve">31287</t>
  </si>
  <si>
    <t xml:space="preserve">31288</t>
  </si>
  <si>
    <t xml:space="preserve">Tabela 30 — Produto (Aba 31)</t>
  </si>
  <si>
    <t xml:space="preserve">31291</t>
  </si>
  <si>
    <t xml:space="preserve">31292</t>
  </si>
  <si>
    <t xml:space="preserve">31293</t>
  </si>
  <si>
    <t xml:space="preserve">31294</t>
  </si>
  <si>
    <t xml:space="preserve">31295</t>
  </si>
  <si>
    <t xml:space="preserve">31296</t>
  </si>
  <si>
    <t xml:space="preserve">31297</t>
  </si>
  <si>
    <t xml:space="preserve">31298</t>
  </si>
  <si>
    <t xml:space="preserve">Planilha — Aba 32 | Relatório de Equipe</t>
  </si>
  <si>
    <t xml:space="preserve">Tabela 1 — Engenharia (Aba 32)</t>
  </si>
  <si>
    <t xml:space="preserve">32001</t>
  </si>
  <si>
    <t xml:space="preserve">32002</t>
  </si>
  <si>
    <t xml:space="preserve">32003</t>
  </si>
  <si>
    <t xml:space="preserve">32004</t>
  </si>
  <si>
    <t xml:space="preserve">32005</t>
  </si>
  <si>
    <t xml:space="preserve">32006</t>
  </si>
  <si>
    <t xml:space="preserve">32007</t>
  </si>
  <si>
    <t xml:space="preserve">32008</t>
  </si>
  <si>
    <t xml:space="preserve">Tabela 2 — Produto (Aba 32)</t>
  </si>
  <si>
    <t xml:space="preserve">32011</t>
  </si>
  <si>
    <t xml:space="preserve">32012</t>
  </si>
  <si>
    <t xml:space="preserve">32013</t>
  </si>
  <si>
    <t xml:space="preserve">32014</t>
  </si>
  <si>
    <t xml:space="preserve">32015</t>
  </si>
  <si>
    <t xml:space="preserve">32016</t>
  </si>
  <si>
    <t xml:space="preserve">32017</t>
  </si>
  <si>
    <t xml:space="preserve">32018</t>
  </si>
  <si>
    <t xml:space="preserve">Tabela 3 — Design (Aba 32)</t>
  </si>
  <si>
    <t xml:space="preserve">32021</t>
  </si>
  <si>
    <t xml:space="preserve">32022</t>
  </si>
  <si>
    <t xml:space="preserve">32023</t>
  </si>
  <si>
    <t xml:space="preserve">32024</t>
  </si>
  <si>
    <t xml:space="preserve">32025</t>
  </si>
  <si>
    <t xml:space="preserve">32026</t>
  </si>
  <si>
    <t xml:space="preserve">32027</t>
  </si>
  <si>
    <t xml:space="preserve">32028</t>
  </si>
  <si>
    <t xml:space="preserve">Tabela 4 — DevEx (Aba 32)</t>
  </si>
  <si>
    <t xml:space="preserve">32031</t>
  </si>
  <si>
    <t xml:space="preserve">32032</t>
  </si>
  <si>
    <t xml:space="preserve">32033</t>
  </si>
  <si>
    <t xml:space="preserve">32034</t>
  </si>
  <si>
    <t xml:space="preserve">32035</t>
  </si>
  <si>
    <t xml:space="preserve">32036</t>
  </si>
  <si>
    <t xml:space="preserve">32037</t>
  </si>
  <si>
    <t xml:space="preserve">32038</t>
  </si>
  <si>
    <t xml:space="preserve">Tabela 5 — Dados (Aba 32)</t>
  </si>
  <si>
    <t xml:space="preserve">32041</t>
  </si>
  <si>
    <t xml:space="preserve">32042</t>
  </si>
  <si>
    <t xml:space="preserve">32043</t>
  </si>
  <si>
    <t xml:space="preserve">32044</t>
  </si>
  <si>
    <t xml:space="preserve">32045</t>
  </si>
  <si>
    <t xml:space="preserve">32046</t>
  </si>
  <si>
    <t xml:space="preserve">32047</t>
  </si>
  <si>
    <t xml:space="preserve">32048</t>
  </si>
  <si>
    <t xml:space="preserve">Tabela 6 — Infra (Aba 32)</t>
  </si>
  <si>
    <t xml:space="preserve">32051</t>
  </si>
  <si>
    <t xml:space="preserve">32052</t>
  </si>
  <si>
    <t xml:space="preserve">32053</t>
  </si>
  <si>
    <t xml:space="preserve">32054</t>
  </si>
  <si>
    <t xml:space="preserve">32055</t>
  </si>
  <si>
    <t xml:space="preserve">32056</t>
  </si>
  <si>
    <t xml:space="preserve">32057</t>
  </si>
  <si>
    <t xml:space="preserve">32058</t>
  </si>
  <si>
    <t xml:space="preserve">Tabela 7 — Segurança (Aba 32)</t>
  </si>
  <si>
    <t xml:space="preserve">32061</t>
  </si>
  <si>
    <t xml:space="preserve">32062</t>
  </si>
  <si>
    <t xml:space="preserve">32063</t>
  </si>
  <si>
    <t xml:space="preserve">32064</t>
  </si>
  <si>
    <t xml:space="preserve">32065</t>
  </si>
  <si>
    <t xml:space="preserve">32066</t>
  </si>
  <si>
    <t xml:space="preserve">32067</t>
  </si>
  <si>
    <t xml:space="preserve">32068</t>
  </si>
  <si>
    <t xml:space="preserve">Tabela 8 — Engenharia (Aba 32)</t>
  </si>
  <si>
    <t xml:space="preserve">32071</t>
  </si>
  <si>
    <t xml:space="preserve">32072</t>
  </si>
  <si>
    <t xml:space="preserve">32073</t>
  </si>
  <si>
    <t xml:space="preserve">32074</t>
  </si>
  <si>
    <t xml:space="preserve">32075</t>
  </si>
  <si>
    <t xml:space="preserve">32076</t>
  </si>
  <si>
    <t xml:space="preserve">32077</t>
  </si>
  <si>
    <t xml:space="preserve">32078</t>
  </si>
  <si>
    <t xml:space="preserve">Tabela 9 — Produto (Aba 32)</t>
  </si>
  <si>
    <t xml:space="preserve">32081</t>
  </si>
  <si>
    <t xml:space="preserve">32082</t>
  </si>
  <si>
    <t xml:space="preserve">32083</t>
  </si>
  <si>
    <t xml:space="preserve">32084</t>
  </si>
  <si>
    <t xml:space="preserve">32085</t>
  </si>
  <si>
    <t xml:space="preserve">32086</t>
  </si>
  <si>
    <t xml:space="preserve">32087</t>
  </si>
  <si>
    <t xml:space="preserve">32088</t>
  </si>
  <si>
    <t xml:space="preserve">Tabela 10 — Design (Aba 32)</t>
  </si>
  <si>
    <t xml:space="preserve">32091</t>
  </si>
  <si>
    <t xml:space="preserve">32092</t>
  </si>
  <si>
    <t xml:space="preserve">32093</t>
  </si>
  <si>
    <t xml:space="preserve">32094</t>
  </si>
  <si>
    <t xml:space="preserve">32095</t>
  </si>
  <si>
    <t xml:space="preserve">32096</t>
  </si>
  <si>
    <t xml:space="preserve">32097</t>
  </si>
  <si>
    <t xml:space="preserve">32098</t>
  </si>
  <si>
    <t xml:space="preserve">Tabela 11 — DevEx (Aba 32)</t>
  </si>
  <si>
    <t xml:space="preserve">32101</t>
  </si>
  <si>
    <t xml:space="preserve">32102</t>
  </si>
  <si>
    <t xml:space="preserve">32103</t>
  </si>
  <si>
    <t xml:space="preserve">32104</t>
  </si>
  <si>
    <t xml:space="preserve">32105</t>
  </si>
  <si>
    <t xml:space="preserve">32106</t>
  </si>
  <si>
    <t xml:space="preserve">32107</t>
  </si>
  <si>
    <t xml:space="preserve">32108</t>
  </si>
  <si>
    <t xml:space="preserve">Tabela 12 — Dados (Aba 32)</t>
  </si>
  <si>
    <t xml:space="preserve">32111</t>
  </si>
  <si>
    <t xml:space="preserve">32112</t>
  </si>
  <si>
    <t xml:space="preserve">32113</t>
  </si>
  <si>
    <t xml:space="preserve">32114</t>
  </si>
  <si>
    <t xml:space="preserve">32115</t>
  </si>
  <si>
    <t xml:space="preserve">32116</t>
  </si>
  <si>
    <t xml:space="preserve">32117</t>
  </si>
  <si>
    <t xml:space="preserve">32118</t>
  </si>
  <si>
    <t xml:space="preserve">Tabela 13 — Infra (Aba 32)</t>
  </si>
  <si>
    <t xml:space="preserve">32121</t>
  </si>
  <si>
    <t xml:space="preserve">32122</t>
  </si>
  <si>
    <t xml:space="preserve">32123</t>
  </si>
  <si>
    <t xml:space="preserve">32124</t>
  </si>
  <si>
    <t xml:space="preserve">32125</t>
  </si>
  <si>
    <t xml:space="preserve">32126</t>
  </si>
  <si>
    <t xml:space="preserve">32127</t>
  </si>
  <si>
    <t xml:space="preserve">32128</t>
  </si>
  <si>
    <t xml:space="preserve">Tabela 14 — Segurança (Aba 32)</t>
  </si>
  <si>
    <t xml:space="preserve">32131</t>
  </si>
  <si>
    <t xml:space="preserve">32132</t>
  </si>
  <si>
    <t xml:space="preserve">32133</t>
  </si>
  <si>
    <t xml:space="preserve">32134</t>
  </si>
  <si>
    <t xml:space="preserve">32135</t>
  </si>
  <si>
    <t xml:space="preserve">32136</t>
  </si>
  <si>
    <t xml:space="preserve">32137</t>
  </si>
  <si>
    <t xml:space="preserve">32138</t>
  </si>
  <si>
    <t xml:space="preserve">Tabela 15 — Engenharia (Aba 32)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</si>
  <si>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</si>
  <si>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</si>
  <si>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</si>
  <si>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</si>
  <si>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</si>
  <si>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</si>
  <si>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32147</t>
  </si>
  <si>
    <t xml:space="preserve">32148</t>
  </si>
  <si>
    <t xml:space="preserve">Tabela 16 — Produto (Aba 32)</t>
  </si>
  <si>
    <t xml:space="preserve">32151</t>
  </si>
  <si>
    <t xml:space="preserve">32152</t>
  </si>
  <si>
    <t xml:space="preserve">32153</t>
  </si>
  <si>
    <t xml:space="preserve">32154</t>
  </si>
  <si>
    <t xml:space="preserve">32155</t>
  </si>
  <si>
    <t xml:space="preserve">32156</t>
  </si>
  <si>
    <t xml:space="preserve">32157</t>
  </si>
  <si>
    <t xml:space="preserve">32158</t>
  </si>
  <si>
    <t xml:space="preserve">Tabela 17 — Design (Aba 32)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</si>
  <si>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</si>
  <si>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</si>
  <si>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</si>
  <si>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</si>
  <si>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</si>
  <si>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</si>
  <si>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</si>
  <si>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</si>
  <si>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Tabela 18 — DevEx (Aba 32)</t>
  </si>
  <si>
    <t xml:space="preserve">32171</t>
  </si>
  <si>
    <t xml:space="preserve">32172</t>
  </si>
  <si>
    <t xml:space="preserve">32173</t>
  </si>
  <si>
    <t xml:space="preserve">32174</t>
  </si>
  <si>
    <t xml:space="preserve">32175</t>
  </si>
  <si>
    <t xml:space="preserve">32176</t>
  </si>
  <si>
    <t xml:space="preserve">32177</t>
  </si>
  <si>
    <t xml:space="preserve">32178</t>
  </si>
  <si>
    <t xml:space="preserve">Tabela 19 — Dados (Aba 32)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</si>
  <si>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</si>
  <si>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</si>
  <si>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</si>
  <si>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</si>
  <si>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</si>
  <si>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</si>
  <si>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</si>
  <si>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</si>
  <si>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Tabela 20 — Infra (Aba 32)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</si>
  <si>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</si>
  <si>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</si>
  <si>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</si>
  <si>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</si>
  <si>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</si>
  <si>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</si>
  <si>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</si>
  <si>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</si>
  <si>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Tabela 21 — Segurança (Aba 32)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</si>
  <si>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</si>
  <si>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</si>
  <si>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</si>
  <si>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</si>
  <si>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</si>
  <si>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</si>
  <si>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32207</t>
  </si>
  <si>
    <t xml:space="preserve">32208</t>
  </si>
  <si>
    <t xml:space="preserve">Tabela 22 — Engenharia (Aba 32)</t>
  </si>
  <si>
    <t xml:space="preserve">32211</t>
  </si>
  <si>
    <t xml:space="preserve">32212</t>
  </si>
  <si>
    <t xml:space="preserve">32213</t>
  </si>
  <si>
    <t xml:space="preserve">32214</t>
  </si>
  <si>
    <t xml:space="preserve">32215</t>
  </si>
  <si>
    <t xml:space="preserve">32216</t>
  </si>
  <si>
    <t xml:space="preserve">32217</t>
  </si>
  <si>
    <t xml:space="preserve">32218</t>
  </si>
  <si>
    <t xml:space="preserve">Tabela 23 — Produto (Aba 32)</t>
  </si>
  <si>
    <t xml:space="preserve">32221</t>
  </si>
  <si>
    <t xml:space="preserve">32222</t>
  </si>
  <si>
    <t xml:space="preserve">32223</t>
  </si>
  <si>
    <t xml:space="preserve">32224</t>
  </si>
  <si>
    <t xml:space="preserve">32225</t>
  </si>
  <si>
    <t xml:space="preserve">32226</t>
  </si>
  <si>
    <t xml:space="preserve">32227</t>
  </si>
  <si>
    <t xml:space="preserve">32228</t>
  </si>
  <si>
    <t xml:space="preserve">Tabela 24 — Design (Aba 32)</t>
  </si>
  <si>
    <t xml:space="preserve">32231</t>
  </si>
  <si>
    <t xml:space="preserve">32232</t>
  </si>
  <si>
    <t xml:space="preserve">32233</t>
  </si>
  <si>
    <t xml:space="preserve">32234</t>
  </si>
  <si>
    <t xml:space="preserve">32235</t>
  </si>
  <si>
    <t xml:space="preserve">32236</t>
  </si>
  <si>
    <t xml:space="preserve">32237</t>
  </si>
  <si>
    <t xml:space="preserve">32238</t>
  </si>
  <si>
    <t xml:space="preserve">Tabela 25 — DevEx (Aba 32)</t>
  </si>
  <si>
    <t xml:space="preserve">32241</t>
  </si>
  <si>
    <t xml:space="preserve">32242</t>
  </si>
  <si>
    <t xml:space="preserve">32243</t>
  </si>
  <si>
    <t xml:space="preserve">32244</t>
  </si>
  <si>
    <t xml:space="preserve">32245</t>
  </si>
  <si>
    <t xml:space="preserve">32246</t>
  </si>
  <si>
    <t xml:space="preserve">32247</t>
  </si>
  <si>
    <t xml:space="preserve">32248</t>
  </si>
  <si>
    <t xml:space="preserve">Tabela 26 — Dados (Aba 32)</t>
  </si>
  <si>
    <t xml:space="preserve">32251</t>
  </si>
  <si>
    <t xml:space="preserve">32252</t>
  </si>
  <si>
    <t xml:space="preserve">32253</t>
  </si>
  <si>
    <t xml:space="preserve">32254</t>
  </si>
  <si>
    <t xml:space="preserve">32255</t>
  </si>
  <si>
    <t xml:space="preserve">32256</t>
  </si>
  <si>
    <t xml:space="preserve">32257</t>
  </si>
  <si>
    <t xml:space="preserve">32258</t>
  </si>
  <si>
    <t xml:space="preserve">Tabela 27 — Infra (Aba 32)</t>
  </si>
  <si>
    <t xml:space="preserve">32261</t>
  </si>
  <si>
    <t xml:space="preserve">32262</t>
  </si>
  <si>
    <t xml:space="preserve">32263</t>
  </si>
  <si>
    <t xml:space="preserve">32264</t>
  </si>
  <si>
    <t xml:space="preserve">32265</t>
  </si>
  <si>
    <t xml:space="preserve">32266</t>
  </si>
  <si>
    <t xml:space="preserve">32267</t>
  </si>
  <si>
    <t xml:space="preserve">32268</t>
  </si>
  <si>
    <t xml:space="preserve">Tabela 28 — Segurança (Aba 32)</t>
  </si>
  <si>
    <t xml:space="preserve">32271</t>
  </si>
  <si>
    <t xml:space="preserve">32272</t>
  </si>
  <si>
    <t xml:space="preserve">32273</t>
  </si>
  <si>
    <t xml:space="preserve">32274</t>
  </si>
  <si>
    <t xml:space="preserve">32275</t>
  </si>
  <si>
    <t xml:space="preserve">32276</t>
  </si>
  <si>
    <t xml:space="preserve">32277</t>
  </si>
  <si>
    <t xml:space="preserve">32278</t>
  </si>
  <si>
    <t xml:space="preserve">Tabela 29 — Engenharia (Aba 32)</t>
  </si>
  <si>
    <t xml:space="preserve">32281</t>
  </si>
  <si>
    <t xml:space="preserve">32282</t>
  </si>
  <si>
    <t xml:space="preserve">32283</t>
  </si>
  <si>
    <t xml:space="preserve">32284</t>
  </si>
  <si>
    <t xml:space="preserve">32285</t>
  </si>
  <si>
    <t xml:space="preserve">32286</t>
  </si>
  <si>
    <t xml:space="preserve">32287</t>
  </si>
  <si>
    <t xml:space="preserve">32288</t>
  </si>
  <si>
    <t xml:space="preserve">Tabela 30 — Produto (Aba 32)</t>
  </si>
  <si>
    <t xml:space="preserve">32291</t>
  </si>
  <si>
    <t xml:space="preserve">32292</t>
  </si>
  <si>
    <t xml:space="preserve">32293</t>
  </si>
  <si>
    <t xml:space="preserve">32294</t>
  </si>
  <si>
    <t xml:space="preserve">32295</t>
  </si>
  <si>
    <t xml:space="preserve">32296</t>
  </si>
  <si>
    <t xml:space="preserve">32297</t>
  </si>
  <si>
    <t xml:space="preserve">32298</t>
  </si>
  <si>
    <t xml:space="preserve">Planilha — Aba 33 | Relatório de Equipe</t>
  </si>
  <si>
    <t xml:space="preserve">Tabela 1 — Engenharia (Aba 33)</t>
  </si>
  <si>
    <t xml:space="preserve">33001</t>
  </si>
  <si>
    <t xml:space="preserve">33002</t>
  </si>
  <si>
    <t xml:space="preserve">33003</t>
  </si>
  <si>
    <t xml:space="preserve">33004</t>
  </si>
  <si>
    <t xml:space="preserve">33005</t>
  </si>
  <si>
    <t xml:space="preserve">33006</t>
  </si>
  <si>
    <t xml:space="preserve">33007</t>
  </si>
  <si>
    <t xml:space="preserve">33008</t>
  </si>
  <si>
    <t xml:space="preserve">Tabela 2 — Produto (Aba 33)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</si>
  <si>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</si>
  <si>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</si>
  <si>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</si>
  <si>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</si>
  <si>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</si>
  <si>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33016</t>
  </si>
  <si>
    <t xml:space="preserve">33017</t>
  </si>
  <si>
    <t xml:space="preserve">33018</t>
  </si>
  <si>
    <t xml:space="preserve">Tabela 3 — Design (Aba 33)</t>
  </si>
  <si>
    <t xml:space="preserve">33021</t>
  </si>
  <si>
    <t xml:space="preserve">33022</t>
  </si>
  <si>
    <t xml:space="preserve">33023</t>
  </si>
  <si>
    <t xml:space="preserve">33024</t>
  </si>
  <si>
    <t xml:space="preserve">33025</t>
  </si>
  <si>
    <t xml:space="preserve">33026</t>
  </si>
  <si>
    <t xml:space="preserve">33027</t>
  </si>
  <si>
    <t xml:space="preserve">33028</t>
  </si>
  <si>
    <t xml:space="preserve">Tabela 4 — DevEx (Aba 33)</t>
  </si>
  <si>
    <t xml:space="preserve">33031</t>
  </si>
  <si>
    <t xml:space="preserve">33032</t>
  </si>
  <si>
    <t xml:space="preserve">33033</t>
  </si>
  <si>
    <t xml:space="preserve">33034</t>
  </si>
  <si>
    <t xml:space="preserve">33035</t>
  </si>
  <si>
    <t xml:space="preserve">33036</t>
  </si>
  <si>
    <t xml:space="preserve">33037</t>
  </si>
  <si>
    <t xml:space="preserve">33038</t>
  </si>
  <si>
    <t xml:space="preserve">Tabela 5 — Dados (Aba 33)</t>
  </si>
  <si>
    <t xml:space="preserve">33041</t>
  </si>
  <si>
    <t xml:space="preserve">33042</t>
  </si>
  <si>
    <t xml:space="preserve">33043</t>
  </si>
  <si>
    <t xml:space="preserve">33044</t>
  </si>
  <si>
    <t xml:space="preserve">33045</t>
  </si>
  <si>
    <t xml:space="preserve">33046</t>
  </si>
  <si>
    <t xml:space="preserve">33047</t>
  </si>
  <si>
    <t xml:space="preserve">33048</t>
  </si>
  <si>
    <t xml:space="preserve">Tabela 6 — Infra (Aba 33)</t>
  </si>
  <si>
    <t xml:space="preserve">33051</t>
  </si>
  <si>
    <t xml:space="preserve">33052</t>
  </si>
  <si>
    <t xml:space="preserve">33053</t>
  </si>
  <si>
    <t xml:space="preserve">33054</t>
  </si>
  <si>
    <t xml:space="preserve">33055</t>
  </si>
  <si>
    <t xml:space="preserve">33056</t>
  </si>
  <si>
    <t xml:space="preserve">33057</t>
  </si>
  <si>
    <t xml:space="preserve">33058</t>
  </si>
  <si>
    <t xml:space="preserve">Tabela 7 — Segurança (Aba 33)</t>
  </si>
  <si>
    <t xml:space="preserve">33061</t>
  </si>
  <si>
    <t xml:space="preserve">33062</t>
  </si>
  <si>
    <t xml:space="preserve">33063</t>
  </si>
  <si>
    <t xml:space="preserve">33064</t>
  </si>
  <si>
    <t xml:space="preserve">33065</t>
  </si>
  <si>
    <t xml:space="preserve">33066</t>
  </si>
  <si>
    <t xml:space="preserve">33067</t>
  </si>
  <si>
    <t xml:space="preserve">33068</t>
  </si>
  <si>
    <t xml:space="preserve">Tabela 8 — Engenharia (Aba 33)</t>
  </si>
  <si>
    <t xml:space="preserve">33071</t>
  </si>
  <si>
    <t xml:space="preserve">33072</t>
  </si>
  <si>
    <t xml:space="preserve">33073</t>
  </si>
  <si>
    <t xml:space="preserve">33074</t>
  </si>
  <si>
    <t xml:space="preserve">33075</t>
  </si>
  <si>
    <t xml:space="preserve">33076</t>
  </si>
  <si>
    <t xml:space="preserve">33077</t>
  </si>
  <si>
    <t xml:space="preserve">33078</t>
  </si>
  <si>
    <t xml:space="preserve">Tabela 9 — Produto (Aba 33)</t>
  </si>
  <si>
    <t xml:space="preserve">33081</t>
  </si>
  <si>
    <t xml:space="preserve">33082</t>
  </si>
  <si>
    <t xml:space="preserve">33083</t>
  </si>
  <si>
    <t xml:space="preserve">33084</t>
  </si>
  <si>
    <t xml:space="preserve">33085</t>
  </si>
  <si>
    <t xml:space="preserve">33086</t>
  </si>
  <si>
    <t xml:space="preserve">33087</t>
  </si>
  <si>
    <t xml:space="preserve">33088</t>
  </si>
  <si>
    <t xml:space="preserve">Tabela 10 — Design (Aba 33)</t>
  </si>
  <si>
    <t xml:space="preserve">33091</t>
  </si>
  <si>
    <t xml:space="preserve">33092</t>
  </si>
  <si>
    <t xml:space="preserve">33093</t>
  </si>
  <si>
    <t xml:space="preserve">33094</t>
  </si>
  <si>
    <t xml:space="preserve">33095</t>
  </si>
  <si>
    <t xml:space="preserve">33096</t>
  </si>
  <si>
    <t xml:space="preserve">33097</t>
  </si>
  <si>
    <t xml:space="preserve">33098</t>
  </si>
  <si>
    <t xml:space="preserve">Tabela 11 — DevEx (Aba 33)</t>
  </si>
  <si>
    <t xml:space="preserve">33101</t>
  </si>
  <si>
    <t xml:space="preserve">33102</t>
  </si>
  <si>
    <t xml:space="preserve">33103</t>
  </si>
  <si>
    <t xml:space="preserve">33104</t>
  </si>
  <si>
    <t xml:space="preserve">33105</t>
  </si>
  <si>
    <t xml:space="preserve">33106</t>
  </si>
  <si>
    <t xml:space="preserve">33107</t>
  </si>
  <si>
    <t xml:space="preserve">33108</t>
  </si>
  <si>
    <t xml:space="preserve">Tabela 12 — Dados (Aba 33)</t>
  </si>
  <si>
    <t xml:space="preserve">33111</t>
  </si>
  <si>
    <t xml:space="preserve">33112</t>
  </si>
  <si>
    <t xml:space="preserve">33113</t>
  </si>
  <si>
    <t xml:space="preserve">33114</t>
  </si>
  <si>
    <t xml:space="preserve">33115</t>
  </si>
  <si>
    <t xml:space="preserve">33116</t>
  </si>
  <si>
    <t xml:space="preserve">33117</t>
  </si>
  <si>
    <t xml:space="preserve">33118</t>
  </si>
  <si>
    <t xml:space="preserve">Tabela 13 — Infra (Aba 33)</t>
  </si>
  <si>
    <t xml:space="preserve">33121</t>
  </si>
  <si>
    <t xml:space="preserve">33122</t>
  </si>
  <si>
    <t xml:space="preserve">33123</t>
  </si>
  <si>
    <t xml:space="preserve">33124</t>
  </si>
  <si>
    <t xml:space="preserve">33125</t>
  </si>
  <si>
    <t xml:space="preserve">33126</t>
  </si>
  <si>
    <t xml:space="preserve">33127</t>
  </si>
  <si>
    <t xml:space="preserve">33128</t>
  </si>
  <si>
    <t xml:space="preserve">Tabela 14 — Segurança (Aba 33)</t>
  </si>
  <si>
    <t xml:space="preserve">33131</t>
  </si>
  <si>
    <t xml:space="preserve">33132</t>
  </si>
  <si>
    <t xml:space="preserve">33133</t>
  </si>
  <si>
    <t xml:space="preserve">33134</t>
  </si>
  <si>
    <t xml:space="preserve">33135</t>
  </si>
  <si>
    <t xml:space="preserve">33136</t>
  </si>
  <si>
    <t xml:space="preserve">33137</t>
  </si>
  <si>
    <t xml:space="preserve">33138</t>
  </si>
  <si>
    <t xml:space="preserve">Tabela 15 — Engenharia (Aba 33)</t>
  </si>
  <si>
    <t xml:space="preserve">33141</t>
  </si>
  <si>
    <t xml:space="preserve">33142</t>
  </si>
  <si>
    <t xml:space="preserve">33143</t>
  </si>
  <si>
    <t xml:space="preserve">33144</t>
  </si>
  <si>
    <t xml:space="preserve">33145</t>
  </si>
  <si>
    <t xml:space="preserve">33146</t>
  </si>
  <si>
    <t xml:space="preserve">33147</t>
  </si>
  <si>
    <t xml:space="preserve">33148</t>
  </si>
  <si>
    <t xml:space="preserve">Tabela 16 — Produto (Aba 33)</t>
  </si>
  <si>
    <t xml:space="preserve">33151</t>
  </si>
  <si>
    <t xml:space="preserve">33152</t>
  </si>
  <si>
    <t xml:space="preserve">33153</t>
  </si>
  <si>
    <t xml:space="preserve">33154</t>
  </si>
  <si>
    <t xml:space="preserve">33155</t>
  </si>
  <si>
    <t xml:space="preserve">33156</t>
  </si>
  <si>
    <t xml:space="preserve">33157</t>
  </si>
  <si>
    <t xml:space="preserve">33158</t>
  </si>
  <si>
    <t xml:space="preserve">Tabela 17 — Design (Aba 33)</t>
  </si>
  <si>
    <t xml:space="preserve">33161</t>
  </si>
  <si>
    <t xml:space="preserve">33162</t>
  </si>
  <si>
    <t xml:space="preserve">33163</t>
  </si>
  <si>
    <t xml:space="preserve">33164</t>
  </si>
  <si>
    <t xml:space="preserve">33165</t>
  </si>
  <si>
    <t xml:space="preserve">33166</t>
  </si>
  <si>
    <t xml:space="preserve">33167</t>
  </si>
  <si>
    <t xml:space="preserve">33168</t>
  </si>
  <si>
    <t xml:space="preserve">Tabela 18 — DevEx (Aba 33)</t>
  </si>
  <si>
    <t xml:space="preserve">33171</t>
  </si>
  <si>
    <t xml:space="preserve">33172</t>
  </si>
  <si>
    <t xml:space="preserve">33173</t>
  </si>
  <si>
    <t xml:space="preserve">33174</t>
  </si>
  <si>
    <t xml:space="preserve">33175</t>
  </si>
  <si>
    <t xml:space="preserve">33176</t>
  </si>
  <si>
    <t xml:space="preserve">33177</t>
  </si>
  <si>
    <t xml:space="preserve">33178</t>
  </si>
  <si>
    <t xml:space="preserve">Tabela 19 — Dados (Aba 33)</t>
  </si>
  <si>
    <t xml:space="preserve">33181</t>
  </si>
  <si>
    <t xml:space="preserve">33182</t>
  </si>
  <si>
    <t xml:space="preserve">33183</t>
  </si>
  <si>
    <t xml:space="preserve">33184</t>
  </si>
  <si>
    <t xml:space="preserve">33185</t>
  </si>
  <si>
    <t xml:space="preserve">33186</t>
  </si>
  <si>
    <t xml:space="preserve">33187</t>
  </si>
  <si>
    <t xml:space="preserve">33188</t>
  </si>
  <si>
    <t xml:space="preserve">Tabela 20 — Infra (Aba 33)</t>
  </si>
  <si>
    <t xml:space="preserve">33191</t>
  </si>
  <si>
    <t xml:space="preserve">33192</t>
  </si>
  <si>
    <t xml:space="preserve">33193</t>
  </si>
  <si>
    <t xml:space="preserve">33194</t>
  </si>
  <si>
    <t xml:space="preserve">33195</t>
  </si>
  <si>
    <t xml:space="preserve">33196</t>
  </si>
  <si>
    <t xml:space="preserve">33197</t>
  </si>
  <si>
    <t xml:space="preserve">33198</t>
  </si>
  <si>
    <t xml:space="preserve">Tabela 21 — Segurança (Aba 33)</t>
  </si>
  <si>
    <t xml:space="preserve">33201</t>
  </si>
  <si>
    <t xml:space="preserve">33202</t>
  </si>
  <si>
    <t xml:space="preserve">33203</t>
  </si>
  <si>
    <t xml:space="preserve">33204</t>
  </si>
  <si>
    <t xml:space="preserve">33205</t>
  </si>
  <si>
    <t xml:space="preserve">33206</t>
  </si>
  <si>
    <t xml:space="preserve">33207</t>
  </si>
  <si>
    <t xml:space="preserve">33208</t>
  </si>
  <si>
    <t xml:space="preserve">Tabela 22 — Engenharia (Aba 33)</t>
  </si>
  <si>
    <t xml:space="preserve">33211</t>
  </si>
  <si>
    <t xml:space="preserve">33212</t>
  </si>
  <si>
    <t xml:space="preserve">33213</t>
  </si>
  <si>
    <t xml:space="preserve">33214</t>
  </si>
  <si>
    <t xml:space="preserve">33215</t>
  </si>
  <si>
    <t xml:space="preserve">33216</t>
  </si>
  <si>
    <t xml:space="preserve">33217</t>
  </si>
  <si>
    <t xml:space="preserve">33218</t>
  </si>
  <si>
    <t xml:space="preserve">Tabela 23 — Produto (Aba 33)</t>
  </si>
  <si>
    <t xml:space="preserve">33221</t>
  </si>
  <si>
    <t xml:space="preserve">33222</t>
  </si>
  <si>
    <t xml:space="preserve">33223</t>
  </si>
  <si>
    <t xml:space="preserve">33224</t>
  </si>
  <si>
    <t xml:space="preserve">33225</t>
  </si>
  <si>
    <t xml:space="preserve">33226</t>
  </si>
  <si>
    <t xml:space="preserve">33227</t>
  </si>
  <si>
    <t xml:space="preserve">33228</t>
  </si>
  <si>
    <t xml:space="preserve">Tabela 24 — Design (Aba 33)</t>
  </si>
  <si>
    <t xml:space="preserve">33231</t>
  </si>
  <si>
    <t xml:space="preserve">33232</t>
  </si>
  <si>
    <t xml:space="preserve">33233</t>
  </si>
  <si>
    <t xml:space="preserve">33234</t>
  </si>
  <si>
    <t xml:space="preserve">33235</t>
  </si>
  <si>
    <t xml:space="preserve">33236</t>
  </si>
  <si>
    <t xml:space="preserve">33237</t>
  </si>
  <si>
    <t xml:space="preserve">33238</t>
  </si>
  <si>
    <t xml:space="preserve">Tabela 25 — DevEx (Aba 33)</t>
  </si>
  <si>
    <t xml:space="preserve">33241</t>
  </si>
  <si>
    <t xml:space="preserve">33242</t>
  </si>
  <si>
    <t xml:space="preserve">33243</t>
  </si>
  <si>
    <t xml:space="preserve">33244</t>
  </si>
  <si>
    <t xml:space="preserve">33245</t>
  </si>
  <si>
    <t xml:space="preserve">33246</t>
  </si>
  <si>
    <t xml:space="preserve">33247</t>
  </si>
  <si>
    <t xml:space="preserve">33248</t>
  </si>
  <si>
    <t xml:space="preserve">Tabela 26 — Dados (Aba 33)</t>
  </si>
  <si>
    <t xml:space="preserve">33251</t>
  </si>
  <si>
    <t xml:space="preserve">33252</t>
  </si>
  <si>
    <t xml:space="preserve">33253</t>
  </si>
  <si>
    <t xml:space="preserve">33254</t>
  </si>
  <si>
    <t xml:space="preserve">33255</t>
  </si>
  <si>
    <t xml:space="preserve">33256</t>
  </si>
  <si>
    <t xml:space="preserve">33257</t>
  </si>
  <si>
    <t xml:space="preserve">33258</t>
  </si>
  <si>
    <t xml:space="preserve">Tabela 27 — Infra (Aba 33)</t>
  </si>
  <si>
    <t xml:space="preserve">33261</t>
  </si>
  <si>
    <t xml:space="preserve">33262</t>
  </si>
  <si>
    <t xml:space="preserve">33263</t>
  </si>
  <si>
    <t xml:space="preserve">33264</t>
  </si>
  <si>
    <t xml:space="preserve">33265</t>
  </si>
  <si>
    <t xml:space="preserve">33266</t>
  </si>
  <si>
    <t xml:space="preserve">33267</t>
  </si>
  <si>
    <t xml:space="preserve">33268</t>
  </si>
  <si>
    <t xml:space="preserve">Tabela 28 — Segurança (Aba 33)</t>
  </si>
  <si>
    <t xml:space="preserve">33271</t>
  </si>
  <si>
    <t xml:space="preserve">33272</t>
  </si>
  <si>
    <t xml:space="preserve">33273</t>
  </si>
  <si>
    <t xml:space="preserve">33274</t>
  </si>
  <si>
    <t xml:space="preserve">33275</t>
  </si>
  <si>
    <t xml:space="preserve">33276</t>
  </si>
  <si>
    <t xml:space="preserve">33277</t>
  </si>
  <si>
    <t xml:space="preserve">33278</t>
  </si>
  <si>
    <t xml:space="preserve">Tabela 29 — Engenharia (Aba 33)</t>
  </si>
  <si>
    <t xml:space="preserve">33281</t>
  </si>
  <si>
    <t xml:space="preserve">33282</t>
  </si>
  <si>
    <t xml:space="preserve">33283</t>
  </si>
  <si>
    <t xml:space="preserve">33284</t>
  </si>
  <si>
    <t xml:space="preserve">33285</t>
  </si>
  <si>
    <t xml:space="preserve">33286</t>
  </si>
  <si>
    <t xml:space="preserve">33287</t>
  </si>
  <si>
    <t xml:space="preserve">33288</t>
  </si>
  <si>
    <t xml:space="preserve">Tabela 30 — Produto (Aba 33)</t>
  </si>
  <si>
    <t xml:space="preserve">33291</t>
  </si>
  <si>
    <t xml:space="preserve">33292</t>
  </si>
  <si>
    <t xml:space="preserve">33293</t>
  </si>
  <si>
    <t xml:space="preserve">33294</t>
  </si>
  <si>
    <t xml:space="preserve">33295</t>
  </si>
  <si>
    <t xml:space="preserve">33296</t>
  </si>
  <si>
    <t xml:space="preserve">33297</t>
  </si>
  <si>
    <t xml:space="preserve">33298</t>
  </si>
  <si>
    <t xml:space="preserve">Planilha — Aba 34 | Relatório de Equipe</t>
  </si>
  <si>
    <t xml:space="preserve">Tabela 1 — Engenharia (Aba 34)</t>
  </si>
  <si>
    <t xml:space="preserve">34001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</si>
  <si>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</si>
  <si>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</si>
  <si>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</si>
  <si>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</si>
  <si>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</si>
  <si>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</si>
  <si>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</si>
  <si>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Tabela 2 — Produto (Aba 34)</t>
  </si>
  <si>
    <t xml:space="preserve">34011</t>
  </si>
  <si>
    <t xml:space="preserve">34012</t>
  </si>
  <si>
    <t xml:space="preserve">34013</t>
  </si>
  <si>
    <t xml:space="preserve">34014</t>
  </si>
  <si>
    <t xml:space="preserve">34015</t>
  </si>
  <si>
    <t xml:space="preserve">34016</t>
  </si>
  <si>
    <t xml:space="preserve">34017</t>
  </si>
  <si>
    <t xml:space="preserve">34018</t>
  </si>
  <si>
    <t xml:space="preserve">Tabela 3 — Design (Aba 34)</t>
  </si>
  <si>
    <t xml:space="preserve">34021</t>
  </si>
  <si>
    <t xml:space="preserve">34022</t>
  </si>
  <si>
    <t xml:space="preserve">34023</t>
  </si>
  <si>
    <t xml:space="preserve">34024</t>
  </si>
  <si>
    <t xml:space="preserve">34025</t>
  </si>
  <si>
    <t xml:space="preserve">34026</t>
  </si>
  <si>
    <t xml:space="preserve">34027</t>
  </si>
  <si>
    <t xml:space="preserve">34028</t>
  </si>
  <si>
    <t xml:space="preserve">Tabela 4 — DevEx (Aba 34)</t>
  </si>
  <si>
    <t xml:space="preserve">34031</t>
  </si>
  <si>
    <t xml:space="preserve">34032</t>
  </si>
  <si>
    <t xml:space="preserve">34033</t>
  </si>
  <si>
    <t xml:space="preserve">34034</t>
  </si>
  <si>
    <t xml:space="preserve">34035</t>
  </si>
  <si>
    <t xml:space="preserve">34036</t>
  </si>
  <si>
    <t xml:space="preserve">34037</t>
  </si>
  <si>
    <t xml:space="preserve">34038</t>
  </si>
  <si>
    <t xml:space="preserve">Tabela 5 — Dados (Aba 34)</t>
  </si>
  <si>
    <t xml:space="preserve">34041</t>
  </si>
  <si>
    <t xml:space="preserve">34042</t>
  </si>
  <si>
    <t xml:space="preserve">34043</t>
  </si>
  <si>
    <t xml:space="preserve">34044</t>
  </si>
  <si>
    <t xml:space="preserve">34045</t>
  </si>
  <si>
    <t xml:space="preserve">34046</t>
  </si>
  <si>
    <t xml:space="preserve">34047</t>
  </si>
  <si>
    <t xml:space="preserve">34048</t>
  </si>
  <si>
    <t xml:space="preserve">Tabela 6 — Infra (Aba 34)</t>
  </si>
  <si>
    <t xml:space="preserve">34051</t>
  </si>
  <si>
    <t xml:space="preserve">34052</t>
  </si>
  <si>
    <t xml:space="preserve">34053</t>
  </si>
  <si>
    <t xml:space="preserve">34054</t>
  </si>
  <si>
    <t xml:space="preserve">34055</t>
  </si>
  <si>
    <t xml:space="preserve">34056</t>
  </si>
  <si>
    <t xml:space="preserve">34057</t>
  </si>
  <si>
    <t xml:space="preserve">34058</t>
  </si>
  <si>
    <t xml:space="preserve">Tabela 7 — Segurança (Aba 34)</t>
  </si>
  <si>
    <t xml:space="preserve">34061</t>
  </si>
  <si>
    <t xml:space="preserve">34062</t>
  </si>
  <si>
    <t xml:space="preserve">34063</t>
  </si>
  <si>
    <t xml:space="preserve">34064</t>
  </si>
  <si>
    <t xml:space="preserve">34065</t>
  </si>
  <si>
    <t xml:space="preserve">34066</t>
  </si>
  <si>
    <t xml:space="preserve">34067</t>
  </si>
  <si>
    <t xml:space="preserve">34068</t>
  </si>
  <si>
    <t xml:space="preserve">Tabela 8 — Engenharia (Aba 34)</t>
  </si>
  <si>
    <t xml:space="preserve">34071</t>
  </si>
  <si>
    <t xml:space="preserve">34072</t>
  </si>
  <si>
    <t xml:space="preserve">34073</t>
  </si>
  <si>
    <t xml:space="preserve">34074</t>
  </si>
  <si>
    <t xml:space="preserve">34075</t>
  </si>
  <si>
    <t xml:space="preserve">34076</t>
  </si>
  <si>
    <t xml:space="preserve">34077</t>
  </si>
  <si>
    <t xml:space="preserve">34078</t>
  </si>
  <si>
    <t xml:space="preserve">Tabela 9 — Produto (Aba 34)</t>
  </si>
  <si>
    <t xml:space="preserve">34081</t>
  </si>
  <si>
    <t xml:space="preserve">34082</t>
  </si>
  <si>
    <t xml:space="preserve">34083</t>
  </si>
  <si>
    <t xml:space="preserve">34084</t>
  </si>
  <si>
    <t xml:space="preserve">34085</t>
  </si>
  <si>
    <t xml:space="preserve">34086</t>
  </si>
  <si>
    <t xml:space="preserve">34087</t>
  </si>
  <si>
    <t xml:space="preserve">34088</t>
  </si>
  <si>
    <t xml:space="preserve">Tabela 10 — Design (Aba 34)</t>
  </si>
  <si>
    <t xml:space="preserve">34091</t>
  </si>
  <si>
    <t xml:space="preserve">34092</t>
  </si>
  <si>
    <t xml:space="preserve">34093</t>
  </si>
  <si>
    <t xml:space="preserve">34094</t>
  </si>
  <si>
    <t xml:space="preserve">34095</t>
  </si>
  <si>
    <t xml:space="preserve">34096</t>
  </si>
  <si>
    <t xml:space="preserve">34097</t>
  </si>
  <si>
    <t xml:space="preserve">34098</t>
  </si>
  <si>
    <t xml:space="preserve">Tabela 11 — DevEx (Aba 34)</t>
  </si>
  <si>
    <t xml:space="preserve">34101</t>
  </si>
  <si>
    <t xml:space="preserve">34102</t>
  </si>
  <si>
    <t xml:space="preserve">34103</t>
  </si>
  <si>
    <t xml:space="preserve">34104</t>
  </si>
  <si>
    <t xml:space="preserve">34105</t>
  </si>
  <si>
    <t xml:space="preserve">34106</t>
  </si>
  <si>
    <t xml:space="preserve">34107</t>
  </si>
  <si>
    <t xml:space="preserve">34108</t>
  </si>
  <si>
    <t xml:space="preserve">Tabela 12 — Dados (Aba 34)</t>
  </si>
  <si>
    <t xml:space="preserve">34111</t>
  </si>
  <si>
    <t xml:space="preserve">34112</t>
  </si>
  <si>
    <t xml:space="preserve">34113</t>
  </si>
  <si>
    <t xml:space="preserve">34114</t>
  </si>
  <si>
    <t xml:space="preserve">34115</t>
  </si>
  <si>
    <t xml:space="preserve">34116</t>
  </si>
  <si>
    <t xml:space="preserve">34117</t>
  </si>
  <si>
    <t xml:space="preserve">34118</t>
  </si>
  <si>
    <t xml:space="preserve">Tabela 13 — Infra (Aba 34)</t>
  </si>
  <si>
    <t xml:space="preserve">34121</t>
  </si>
  <si>
    <t xml:space="preserve">34122</t>
  </si>
  <si>
    <t xml:space="preserve">34123</t>
  </si>
  <si>
    <t xml:space="preserve">34124</t>
  </si>
  <si>
    <t xml:space="preserve">34125</t>
  </si>
  <si>
    <t xml:space="preserve">34126</t>
  </si>
  <si>
    <t xml:space="preserve">34127</t>
  </si>
  <si>
    <t xml:space="preserve">34128</t>
  </si>
  <si>
    <t xml:space="preserve">Tabela 14 — Segurança (Aba 34)</t>
  </si>
  <si>
    <t xml:space="preserve">34131</t>
  </si>
  <si>
    <t xml:space="preserve">34132</t>
  </si>
  <si>
    <t xml:space="preserve">34133</t>
  </si>
  <si>
    <t xml:space="preserve">34134</t>
  </si>
  <si>
    <t xml:space="preserve">34135</t>
  </si>
  <si>
    <t xml:space="preserve">34136</t>
  </si>
  <si>
    <t xml:space="preserve">34137</t>
  </si>
  <si>
    <t xml:space="preserve">34138</t>
  </si>
  <si>
    <t xml:space="preserve">Tabela 15 — Engenharia (Aba 34)</t>
  </si>
  <si>
    <t xml:space="preserve">34141</t>
  </si>
  <si>
    <t xml:space="preserve">34142</t>
  </si>
  <si>
    <t xml:space="preserve">34143</t>
  </si>
  <si>
    <t xml:space="preserve">34144</t>
  </si>
  <si>
    <t xml:space="preserve">34145</t>
  </si>
  <si>
    <t xml:space="preserve">34146</t>
  </si>
  <si>
    <t xml:space="preserve">34147</t>
  </si>
  <si>
    <t xml:space="preserve">34148</t>
  </si>
  <si>
    <t xml:space="preserve">Tabela 16 — Produto (Aba 34)</t>
  </si>
  <si>
    <t xml:space="preserve">34151</t>
  </si>
  <si>
    <t xml:space="preserve">34152</t>
  </si>
  <si>
    <t xml:space="preserve">34153</t>
  </si>
  <si>
    <t xml:space="preserve">34154</t>
  </si>
  <si>
    <t xml:space="preserve">34155</t>
  </si>
  <si>
    <t xml:space="preserve">34156</t>
  </si>
  <si>
    <t xml:space="preserve">34157</t>
  </si>
  <si>
    <t xml:space="preserve">34158</t>
  </si>
  <si>
    <t xml:space="preserve">Tabela 17 — Design (Aba 34)</t>
  </si>
  <si>
    <t xml:space="preserve">34161</t>
  </si>
  <si>
    <t xml:space="preserve">34162</t>
  </si>
  <si>
    <t xml:space="preserve">34163</t>
  </si>
  <si>
    <t xml:space="preserve">34164</t>
  </si>
  <si>
    <t xml:space="preserve">34165</t>
  </si>
  <si>
    <t xml:space="preserve">34166</t>
  </si>
  <si>
    <t xml:space="preserve">34167</t>
  </si>
  <si>
    <t xml:space="preserve">34168</t>
  </si>
  <si>
    <t xml:space="preserve">Tabela 18 — DevEx (Aba 34)</t>
  </si>
  <si>
    <t xml:space="preserve">34171</t>
  </si>
  <si>
    <t xml:space="preserve">34172</t>
  </si>
  <si>
    <t xml:space="preserve">34173</t>
  </si>
  <si>
    <t xml:space="preserve">34174</t>
  </si>
  <si>
    <t xml:space="preserve">34175</t>
  </si>
  <si>
    <t xml:space="preserve">34176</t>
  </si>
  <si>
    <t xml:space="preserve">34177</t>
  </si>
  <si>
    <t xml:space="preserve">34178</t>
  </si>
  <si>
    <t xml:space="preserve">Tabela 19 — Dados (Aba 34)</t>
  </si>
  <si>
    <t xml:space="preserve">34181</t>
  </si>
  <si>
    <t xml:space="preserve">34182</t>
  </si>
  <si>
    <t xml:space="preserve">34183</t>
  </si>
  <si>
    <t xml:space="preserve">34184</t>
  </si>
  <si>
    <t xml:space="preserve">34185</t>
  </si>
  <si>
    <t xml:space="preserve">34186</t>
  </si>
  <si>
    <t xml:space="preserve">34187</t>
  </si>
  <si>
    <t xml:space="preserve">34188</t>
  </si>
  <si>
    <t xml:space="preserve">Tabela 20 — Infra (Aba 34)</t>
  </si>
  <si>
    <t xml:space="preserve">34191</t>
  </si>
  <si>
    <t xml:space="preserve">34192</t>
  </si>
  <si>
    <t xml:space="preserve">34193</t>
  </si>
  <si>
    <t xml:space="preserve">34194</t>
  </si>
  <si>
    <t xml:space="preserve">34195</t>
  </si>
  <si>
    <t xml:space="preserve">34196</t>
  </si>
  <si>
    <t xml:space="preserve">34197</t>
  </si>
  <si>
    <t xml:space="preserve">34198</t>
  </si>
  <si>
    <t xml:space="preserve">Tabela 21 — Segurança (Aba 34)</t>
  </si>
  <si>
    <t xml:space="preserve">34201</t>
  </si>
  <si>
    <t xml:space="preserve">34202</t>
  </si>
  <si>
    <t xml:space="preserve">34203</t>
  </si>
  <si>
    <t xml:space="preserve">34204</t>
  </si>
  <si>
    <t xml:space="preserve">34205</t>
  </si>
  <si>
    <t xml:space="preserve">34206</t>
  </si>
  <si>
    <t xml:space="preserve">34207</t>
  </si>
  <si>
    <t xml:space="preserve">34208</t>
  </si>
  <si>
    <t xml:space="preserve">Tabela 22 — Engenharia (Aba 34)</t>
  </si>
  <si>
    <t xml:space="preserve">34211</t>
  </si>
  <si>
    <t xml:space="preserve">34212</t>
  </si>
  <si>
    <t xml:space="preserve">34213</t>
  </si>
  <si>
    <t xml:space="preserve">34214</t>
  </si>
  <si>
    <t xml:space="preserve">34215</t>
  </si>
  <si>
    <t xml:space="preserve">34216</t>
  </si>
  <si>
    <t xml:space="preserve">34217</t>
  </si>
  <si>
    <t xml:space="preserve">34218</t>
  </si>
  <si>
    <t xml:space="preserve">Tabela 23 — Produto (Aba 34)</t>
  </si>
  <si>
    <t xml:space="preserve">34221</t>
  </si>
  <si>
    <t xml:space="preserve">34222</t>
  </si>
  <si>
    <t xml:space="preserve">34223</t>
  </si>
  <si>
    <t xml:space="preserve">34224</t>
  </si>
  <si>
    <t xml:space="preserve">34225</t>
  </si>
  <si>
    <t xml:space="preserve">34226</t>
  </si>
  <si>
    <t xml:space="preserve">34227</t>
  </si>
  <si>
    <t xml:space="preserve">34228</t>
  </si>
  <si>
    <t xml:space="preserve">Tabela 24 — Design (Aba 34)</t>
  </si>
  <si>
    <t xml:space="preserve">34231</t>
  </si>
  <si>
    <t xml:space="preserve">34232</t>
  </si>
  <si>
    <t xml:space="preserve">34233</t>
  </si>
  <si>
    <t xml:space="preserve">34234</t>
  </si>
  <si>
    <t xml:space="preserve">34235</t>
  </si>
  <si>
    <t xml:space="preserve">34236</t>
  </si>
  <si>
    <t xml:space="preserve">34237</t>
  </si>
  <si>
    <t xml:space="preserve">34238</t>
  </si>
  <si>
    <t xml:space="preserve">Tabela 25 — DevEx (Aba 34)</t>
  </si>
  <si>
    <t xml:space="preserve">34241</t>
  </si>
  <si>
    <t xml:space="preserve">34242</t>
  </si>
  <si>
    <t xml:space="preserve">34243</t>
  </si>
  <si>
    <t xml:space="preserve">34244</t>
  </si>
  <si>
    <t xml:space="preserve">34245</t>
  </si>
  <si>
    <t xml:space="preserve">34246</t>
  </si>
  <si>
    <t xml:space="preserve">34247</t>
  </si>
  <si>
    <t xml:space="preserve">34248</t>
  </si>
  <si>
    <t xml:space="preserve">Tabela 26 — Dados (Aba 34)</t>
  </si>
  <si>
    <t xml:space="preserve">34251</t>
  </si>
  <si>
    <t xml:space="preserve">34252</t>
  </si>
  <si>
    <t xml:space="preserve">34253</t>
  </si>
  <si>
    <t xml:space="preserve">34254</t>
  </si>
  <si>
    <t xml:space="preserve">34255</t>
  </si>
  <si>
    <t xml:space="preserve">34256</t>
  </si>
  <si>
    <t xml:space="preserve">34257</t>
  </si>
  <si>
    <t xml:space="preserve">34258</t>
  </si>
  <si>
    <t xml:space="preserve">Tabela 27 — Infra (Aba 34)</t>
  </si>
  <si>
    <t xml:space="preserve">34261</t>
  </si>
  <si>
    <t xml:space="preserve">34262</t>
  </si>
  <si>
    <t xml:space="preserve">34263</t>
  </si>
  <si>
    <t xml:space="preserve">34264</t>
  </si>
  <si>
    <t xml:space="preserve">34265</t>
  </si>
  <si>
    <t xml:space="preserve">34266</t>
  </si>
  <si>
    <t xml:space="preserve">34267</t>
  </si>
  <si>
    <t xml:space="preserve">34268</t>
  </si>
  <si>
    <t xml:space="preserve">Tabela 28 — Segurança (Aba 34)</t>
  </si>
  <si>
    <t xml:space="preserve">34271</t>
  </si>
  <si>
    <t xml:space="preserve">34272</t>
  </si>
  <si>
    <t xml:space="preserve">34273</t>
  </si>
  <si>
    <t xml:space="preserve">34274</t>
  </si>
  <si>
    <t xml:space="preserve">34275</t>
  </si>
  <si>
    <t xml:space="preserve">34276</t>
  </si>
  <si>
    <t xml:space="preserve">34277</t>
  </si>
  <si>
    <t xml:space="preserve">34278</t>
  </si>
  <si>
    <t xml:space="preserve">Tabela 29 — Engenharia (Aba 34)</t>
  </si>
  <si>
    <t xml:space="preserve">34281</t>
  </si>
  <si>
    <t xml:space="preserve">34282</t>
  </si>
  <si>
    <t xml:space="preserve">34283</t>
  </si>
  <si>
    <t xml:space="preserve">34284</t>
  </si>
  <si>
    <t xml:space="preserve">34285</t>
  </si>
  <si>
    <t xml:space="preserve">34286</t>
  </si>
  <si>
    <t xml:space="preserve">34287</t>
  </si>
  <si>
    <t xml:space="preserve">34288</t>
  </si>
  <si>
    <t xml:space="preserve">Tabela 30 — Produto (Aba 34)</t>
  </si>
  <si>
    <t xml:space="preserve">34291</t>
  </si>
  <si>
    <t xml:space="preserve">34292</t>
  </si>
  <si>
    <t xml:space="preserve">34293</t>
  </si>
  <si>
    <t xml:space="preserve">34294</t>
  </si>
  <si>
    <t xml:space="preserve">34295</t>
  </si>
  <si>
    <t xml:space="preserve">34296</t>
  </si>
  <si>
    <t xml:space="preserve">34297</t>
  </si>
  <si>
    <t xml:space="preserve">34298</t>
  </si>
  <si>
    <t xml:space="preserve">Planilha — Aba 35 | Relatório de Equipe</t>
  </si>
  <si>
    <t xml:space="preserve">Tabela 1 — Engenharia (Aba 35)</t>
  </si>
  <si>
    <t xml:space="preserve">35001</t>
  </si>
  <si>
    <t xml:space="preserve">35002</t>
  </si>
  <si>
    <t xml:space="preserve">35003</t>
  </si>
  <si>
    <t xml:space="preserve">35004</t>
  </si>
  <si>
    <t xml:space="preserve">35005</t>
  </si>
  <si>
    <t xml:space="preserve">35006</t>
  </si>
  <si>
    <t xml:space="preserve">35007</t>
  </si>
  <si>
    <t xml:space="preserve">35008</t>
  </si>
  <si>
    <t xml:space="preserve">Tabela 2 — Produto (Aba 35)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</si>
  <si>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</si>
  <si>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</si>
  <si>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</si>
  <si>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</si>
  <si>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</si>
  <si>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35016</t>
  </si>
  <si>
    <t xml:space="preserve">35017</t>
  </si>
  <si>
    <t xml:space="preserve">35018</t>
  </si>
  <si>
    <t xml:space="preserve">Tabela 3 — Design (Aba 35)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</si>
  <si>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</si>
  <si>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</si>
  <si>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</si>
  <si>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</si>
  <si>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</si>
  <si>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35026</t>
  </si>
  <si>
    <t xml:space="preserve">35027</t>
  </si>
  <si>
    <t xml:space="preserve">35028</t>
  </si>
  <si>
    <t xml:space="preserve">Tabela 4 — DevEx (Aba 35)</t>
  </si>
  <si>
    <t xml:space="preserve">35031</t>
  </si>
  <si>
    <t xml:space="preserve">35032</t>
  </si>
  <si>
    <t xml:space="preserve">35033</t>
  </si>
  <si>
    <t xml:space="preserve">35034</t>
  </si>
  <si>
    <t xml:space="preserve">35035</t>
  </si>
  <si>
    <t xml:space="preserve">35036</t>
  </si>
  <si>
    <t xml:space="preserve">35037</t>
  </si>
  <si>
    <t xml:space="preserve">35038</t>
  </si>
  <si>
    <t xml:space="preserve">Tabela 5 — Dados (Aba 35)</t>
  </si>
  <si>
    <t xml:space="preserve">35041</t>
  </si>
  <si>
    <t xml:space="preserve">35042</t>
  </si>
  <si>
    <t xml:space="preserve">35043</t>
  </si>
  <si>
    <t xml:space="preserve">35044</t>
  </si>
  <si>
    <t xml:space="preserve">35045</t>
  </si>
  <si>
    <t xml:space="preserve">35046</t>
  </si>
  <si>
    <t xml:space="preserve">35047</t>
  </si>
  <si>
    <t xml:space="preserve">35048</t>
  </si>
  <si>
    <t xml:space="preserve">Tabela 6 — Infra (Aba 35)</t>
  </si>
  <si>
    <t xml:space="preserve">35051</t>
  </si>
  <si>
    <t xml:space="preserve">35052</t>
  </si>
  <si>
    <t xml:space="preserve">35053</t>
  </si>
  <si>
    <t xml:space="preserve">35054</t>
  </si>
  <si>
    <t xml:space="preserve">35055</t>
  </si>
  <si>
    <t xml:space="preserve">35056</t>
  </si>
  <si>
    <t xml:space="preserve">35057</t>
  </si>
  <si>
    <t xml:space="preserve">35058</t>
  </si>
  <si>
    <t xml:space="preserve">Tabela 7 — Segurança (Aba 35)</t>
  </si>
  <si>
    <t xml:space="preserve">35061</t>
  </si>
  <si>
    <t xml:space="preserve">35062</t>
  </si>
  <si>
    <t xml:space="preserve">35063</t>
  </si>
  <si>
    <t xml:space="preserve">35064</t>
  </si>
  <si>
    <t xml:space="preserve">35065</t>
  </si>
  <si>
    <t xml:space="preserve">35066</t>
  </si>
  <si>
    <t xml:space="preserve">35067</t>
  </si>
  <si>
    <t xml:space="preserve">35068</t>
  </si>
  <si>
    <t xml:space="preserve">Tabela 8 — Engenharia (Aba 35)</t>
  </si>
  <si>
    <t xml:space="preserve">35071</t>
  </si>
  <si>
    <t xml:space="preserve">35072</t>
  </si>
  <si>
    <t xml:space="preserve">35073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</si>
  <si>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</si>
  <si>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</si>
  <si>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</si>
  <si>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</si>
  <si>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</si>
  <si>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Tabela 9 — Produto (Aba 35)</t>
  </si>
  <si>
    <t xml:space="preserve">35081</t>
  </si>
  <si>
    <t xml:space="preserve">35082</t>
  </si>
  <si>
    <t xml:space="preserve">35083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</si>
  <si>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</si>
  <si>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</si>
  <si>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</si>
  <si>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</si>
  <si>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</si>
  <si>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Tabela 10 — Design (Aba 35)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</si>
  <si>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</si>
  <si>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</si>
  <si>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</si>
  <si>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</si>
  <si>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</si>
  <si>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</si>
  <si>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</si>
  <si>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</si>
  <si>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Tabela 11 — DevEx (Aba 35)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</si>
  <si>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</si>
  <si>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</si>
  <si>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</si>
  <si>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</si>
  <si>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</si>
  <si>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</si>
  <si>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</si>
  <si>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</si>
  <si>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Tabela 12 — Dados (Aba 35)</t>
  </si>
  <si>
    <t xml:space="preserve">35111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</si>
  <si>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</si>
  <si>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</si>
  <si>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</si>
  <si>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</si>
  <si>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</si>
  <si>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</si>
  <si>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</si>
  <si>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Tabela 13 — Infra (Aba 35)</t>
  </si>
  <si>
    <t xml:space="preserve">35121</t>
  </si>
  <si>
    <t xml:space="preserve">35122</t>
  </si>
  <si>
    <t xml:space="preserve">35123</t>
  </si>
  <si>
    <t xml:space="preserve">35124</t>
  </si>
  <si>
    <t xml:space="preserve">35125</t>
  </si>
  <si>
    <t xml:space="preserve">35126</t>
  </si>
  <si>
    <t xml:space="preserve">35127</t>
  </si>
  <si>
    <t xml:space="preserve">35128</t>
  </si>
  <si>
    <t xml:space="preserve">Tabela 14 — Segurança (Aba 35)</t>
  </si>
  <si>
    <t xml:space="preserve">35131</t>
  </si>
  <si>
    <t xml:space="preserve">35132</t>
  </si>
  <si>
    <t xml:space="preserve">35133</t>
  </si>
  <si>
    <t xml:space="preserve">35134</t>
  </si>
  <si>
    <t xml:space="preserve">35135</t>
  </si>
  <si>
    <t xml:space="preserve">35136</t>
  </si>
  <si>
    <t xml:space="preserve">35137</t>
  </si>
  <si>
    <t xml:space="preserve">35138</t>
  </si>
  <si>
    <t xml:space="preserve">Tabela 15 — Engenharia (Aba 35)</t>
  </si>
  <si>
    <t xml:space="preserve">35141</t>
  </si>
  <si>
    <t xml:space="preserve">35142</t>
  </si>
  <si>
    <t xml:space="preserve">35143</t>
  </si>
  <si>
    <t xml:space="preserve">35144</t>
  </si>
  <si>
    <t xml:space="preserve">35145</t>
  </si>
  <si>
    <t xml:space="preserve">35146</t>
  </si>
  <si>
    <t xml:space="preserve">35147</t>
  </si>
  <si>
    <t xml:space="preserve">35148</t>
  </si>
  <si>
    <t xml:space="preserve">Tabela 16 — Produto (Aba 35)</t>
  </si>
  <si>
    <t xml:space="preserve">35151</t>
  </si>
  <si>
    <t xml:space="preserve">35152</t>
  </si>
  <si>
    <t xml:space="preserve">35153</t>
  </si>
  <si>
    <t xml:space="preserve">35154</t>
  </si>
  <si>
    <t xml:space="preserve">35155</t>
  </si>
  <si>
    <t xml:space="preserve">35156</t>
  </si>
  <si>
    <t xml:space="preserve">35157</t>
  </si>
  <si>
    <t xml:space="preserve">35158</t>
  </si>
  <si>
    <t xml:space="preserve">Tabela 17 — Design (Aba 35)</t>
  </si>
  <si>
    <t xml:space="preserve">35161</t>
  </si>
  <si>
    <t xml:space="preserve">35162</t>
  </si>
  <si>
    <t xml:space="preserve">35163</t>
  </si>
  <si>
    <t xml:space="preserve">35164</t>
  </si>
  <si>
    <t xml:space="preserve">35165</t>
  </si>
  <si>
    <t xml:space="preserve">35166</t>
  </si>
  <si>
    <t xml:space="preserve">35167</t>
  </si>
  <si>
    <t xml:space="preserve">35168</t>
  </si>
  <si>
    <t xml:space="preserve">Tabela 18 — DevEx (Aba 35)</t>
  </si>
  <si>
    <t xml:space="preserve">35171</t>
  </si>
  <si>
    <t xml:space="preserve">35172</t>
  </si>
  <si>
    <t xml:space="preserve">35173</t>
  </si>
  <si>
    <t xml:space="preserve">35174</t>
  </si>
  <si>
    <t xml:space="preserve">35175</t>
  </si>
  <si>
    <t xml:space="preserve">35176</t>
  </si>
  <si>
    <t xml:space="preserve">35177</t>
  </si>
  <si>
    <t xml:space="preserve">35178</t>
  </si>
  <si>
    <t xml:space="preserve">Tabela 19 — Dados (Aba 35)</t>
  </si>
  <si>
    <t xml:space="preserve">35181</t>
  </si>
  <si>
    <t xml:space="preserve">35182</t>
  </si>
  <si>
    <t xml:space="preserve">35183</t>
  </si>
  <si>
    <t xml:space="preserve">35184</t>
  </si>
  <si>
    <t xml:space="preserve">35185</t>
  </si>
  <si>
    <t xml:space="preserve">35186</t>
  </si>
  <si>
    <t xml:space="preserve">35187</t>
  </si>
  <si>
    <t xml:space="preserve">35188</t>
  </si>
  <si>
    <t xml:space="preserve">Tabela 20 — Infra (Aba 35)</t>
  </si>
  <si>
    <t xml:space="preserve">35191</t>
  </si>
  <si>
    <t xml:space="preserve">35192</t>
  </si>
  <si>
    <t xml:space="preserve">35193</t>
  </si>
  <si>
    <t xml:space="preserve">35194</t>
  </si>
  <si>
    <t xml:space="preserve">35195</t>
  </si>
  <si>
    <t xml:space="preserve">35196</t>
  </si>
  <si>
    <t xml:space="preserve">35197</t>
  </si>
  <si>
    <t xml:space="preserve">35198</t>
  </si>
  <si>
    <t xml:space="preserve">Tabela 21 — Segurança (Aba 35)</t>
  </si>
  <si>
    <t xml:space="preserve">35201</t>
  </si>
  <si>
    <t xml:space="preserve">35202</t>
  </si>
  <si>
    <t xml:space="preserve">35203</t>
  </si>
  <si>
    <t xml:space="preserve">35204</t>
  </si>
  <si>
    <t xml:space="preserve">35205</t>
  </si>
  <si>
    <t xml:space="preserve">35206</t>
  </si>
  <si>
    <t xml:space="preserve">35207</t>
  </si>
  <si>
    <t xml:space="preserve">35208</t>
  </si>
  <si>
    <t xml:space="preserve">Tabela 22 — Engenharia (Aba 35)</t>
  </si>
  <si>
    <t xml:space="preserve">35211</t>
  </si>
  <si>
    <t xml:space="preserve">35212</t>
  </si>
  <si>
    <t xml:space="preserve">35213</t>
  </si>
  <si>
    <t xml:space="preserve">35214</t>
  </si>
  <si>
    <t xml:space="preserve">35215</t>
  </si>
  <si>
    <t xml:space="preserve">35216</t>
  </si>
  <si>
    <t xml:space="preserve">35217</t>
  </si>
  <si>
    <t xml:space="preserve">35218</t>
  </si>
  <si>
    <t xml:space="preserve">Tabela 23 — Produto (Aba 35)</t>
  </si>
  <si>
    <t xml:space="preserve">35221</t>
  </si>
  <si>
    <t xml:space="preserve">35222</t>
  </si>
  <si>
    <t xml:space="preserve">35223</t>
  </si>
  <si>
    <t xml:space="preserve">35224</t>
  </si>
  <si>
    <t xml:space="preserve">35225</t>
  </si>
  <si>
    <t xml:space="preserve">35226</t>
  </si>
  <si>
    <t xml:space="preserve">35227</t>
  </si>
  <si>
    <t xml:space="preserve">35228</t>
  </si>
  <si>
    <t xml:space="preserve">Tabela 24 — Design (Aba 35)</t>
  </si>
  <si>
    <t xml:space="preserve">35231</t>
  </si>
  <si>
    <t xml:space="preserve">35232</t>
  </si>
  <si>
    <t xml:space="preserve">35233</t>
  </si>
  <si>
    <t xml:space="preserve">35234</t>
  </si>
  <si>
    <t xml:space="preserve">35235</t>
  </si>
  <si>
    <t xml:space="preserve">35236</t>
  </si>
  <si>
    <t xml:space="preserve">35237</t>
  </si>
  <si>
    <t xml:space="preserve">35238</t>
  </si>
  <si>
    <t xml:space="preserve">Tabela 25 — DevEx (Aba 35)</t>
  </si>
  <si>
    <t xml:space="preserve">35241</t>
  </si>
  <si>
    <t xml:space="preserve">35242</t>
  </si>
  <si>
    <t xml:space="preserve">35243</t>
  </si>
  <si>
    <t xml:space="preserve">35244</t>
  </si>
  <si>
    <t xml:space="preserve">35245</t>
  </si>
  <si>
    <t xml:space="preserve">35246</t>
  </si>
  <si>
    <t xml:space="preserve">35247</t>
  </si>
  <si>
    <t xml:space="preserve">35248</t>
  </si>
  <si>
    <t xml:space="preserve">Tabela 26 — Dados (Aba 35)</t>
  </si>
  <si>
    <t xml:space="preserve">35251</t>
  </si>
  <si>
    <t xml:space="preserve">35252</t>
  </si>
  <si>
    <t xml:space="preserve">35253</t>
  </si>
  <si>
    <t xml:space="preserve">35254</t>
  </si>
  <si>
    <t xml:space="preserve">35255</t>
  </si>
  <si>
    <t xml:space="preserve">35256</t>
  </si>
  <si>
    <t xml:space="preserve">35257</t>
  </si>
  <si>
    <t xml:space="preserve">35258</t>
  </si>
  <si>
    <t xml:space="preserve">Tabela 27 — Infra (Aba 35)</t>
  </si>
  <si>
    <t xml:space="preserve">35261</t>
  </si>
  <si>
    <t xml:space="preserve">35262</t>
  </si>
  <si>
    <t xml:space="preserve">35263</t>
  </si>
  <si>
    <t xml:space="preserve">35264</t>
  </si>
  <si>
    <t xml:space="preserve">35265</t>
  </si>
  <si>
    <t xml:space="preserve">35266</t>
  </si>
  <si>
    <t xml:space="preserve">35267</t>
  </si>
  <si>
    <t xml:space="preserve">35268</t>
  </si>
  <si>
    <t xml:space="preserve">Tabela 28 — Segurança (Aba 35)</t>
  </si>
  <si>
    <t xml:space="preserve">35271</t>
  </si>
  <si>
    <t xml:space="preserve">35272</t>
  </si>
  <si>
    <t xml:space="preserve">35273</t>
  </si>
  <si>
    <t xml:space="preserve">35274</t>
  </si>
  <si>
    <t xml:space="preserve">35275</t>
  </si>
  <si>
    <t xml:space="preserve">35276</t>
  </si>
  <si>
    <t xml:space="preserve">35277</t>
  </si>
  <si>
    <t xml:space="preserve">35278</t>
  </si>
  <si>
    <t xml:space="preserve">Tabela 29 — Engenharia (Aba 35)</t>
  </si>
  <si>
    <t xml:space="preserve">35281</t>
  </si>
  <si>
    <t xml:space="preserve">35282</t>
  </si>
  <si>
    <t xml:space="preserve">35283</t>
  </si>
  <si>
    <t xml:space="preserve">35284</t>
  </si>
  <si>
    <t xml:space="preserve">35285</t>
  </si>
  <si>
    <t xml:space="preserve">35286</t>
  </si>
  <si>
    <t xml:space="preserve">35287</t>
  </si>
  <si>
    <t xml:space="preserve">35288</t>
  </si>
  <si>
    <t xml:space="preserve">Tabela 30 — Produto (Aba 35)</t>
  </si>
  <si>
    <t xml:space="preserve">35291</t>
  </si>
  <si>
    <t xml:space="preserve">35292</t>
  </si>
  <si>
    <t xml:space="preserve">35293</t>
  </si>
  <si>
    <t xml:space="preserve">35294</t>
  </si>
  <si>
    <t xml:space="preserve">35295</t>
  </si>
  <si>
    <t xml:space="preserve">35296</t>
  </si>
  <si>
    <t xml:space="preserve">35297</t>
  </si>
  <si>
    <t xml:space="preserve">35298</t>
  </si>
  <si>
    <t xml:space="preserve">Planilha — Aba 36 | Relatório de Equipe</t>
  </si>
  <si>
    <t xml:space="preserve">Tabela 1 — Engenharia (Aba 36)</t>
  </si>
  <si>
    <t xml:space="preserve">36001</t>
  </si>
  <si>
    <t xml:space="preserve">36002</t>
  </si>
  <si>
    <t xml:space="preserve">36003</t>
  </si>
  <si>
    <t xml:space="preserve">36004</t>
  </si>
  <si>
    <t xml:space="preserve">36005</t>
  </si>
  <si>
    <t xml:space="preserve">36006</t>
  </si>
  <si>
    <t xml:space="preserve">36007</t>
  </si>
  <si>
    <t xml:space="preserve">36008</t>
  </si>
  <si>
    <t xml:space="preserve">Tabela 2 — Produto (Aba 36)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</si>
  <si>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</si>
  <si>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</si>
  <si>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</si>
  <si>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</si>
  <si>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</si>
  <si>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</si>
  <si>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</si>
  <si>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</si>
  <si>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Tabela 3 — Design (Aba 36)</t>
  </si>
  <si>
    <t xml:space="preserve">36021</t>
  </si>
  <si>
    <t xml:space="preserve">36022</t>
  </si>
  <si>
    <t xml:space="preserve">36023</t>
  </si>
  <si>
    <t xml:space="preserve">36024</t>
  </si>
  <si>
    <t xml:space="preserve">36025</t>
  </si>
  <si>
    <t xml:space="preserve">36026</t>
  </si>
  <si>
    <t xml:space="preserve">36027</t>
  </si>
  <si>
    <t xml:space="preserve">36028</t>
  </si>
  <si>
    <t xml:space="preserve">Tabela 4 — DevEx (Aba 36)</t>
  </si>
  <si>
    <t xml:space="preserve">36031</t>
  </si>
  <si>
    <t xml:space="preserve">36032</t>
  </si>
  <si>
    <t xml:space="preserve">36033</t>
  </si>
  <si>
    <t xml:space="preserve">36034</t>
  </si>
  <si>
    <t xml:space="preserve">36035</t>
  </si>
  <si>
    <t xml:space="preserve">36036</t>
  </si>
  <si>
    <t xml:space="preserve">36037</t>
  </si>
  <si>
    <t xml:space="preserve">36038</t>
  </si>
  <si>
    <t xml:space="preserve">Tabela 5 — Dados (Aba 36)</t>
  </si>
  <si>
    <t xml:space="preserve">36041</t>
  </si>
  <si>
    <t xml:space="preserve">36042</t>
  </si>
  <si>
    <t xml:space="preserve">36043</t>
  </si>
  <si>
    <t xml:space="preserve">36044</t>
  </si>
  <si>
    <t xml:space="preserve">36045</t>
  </si>
  <si>
    <t xml:space="preserve">36046</t>
  </si>
  <si>
    <t xml:space="preserve">36047</t>
  </si>
  <si>
    <t xml:space="preserve">36048</t>
  </si>
  <si>
    <t xml:space="preserve">Tabela 6 — Infra (Aba 36)</t>
  </si>
  <si>
    <t xml:space="preserve">36051</t>
  </si>
  <si>
    <t xml:space="preserve">36052</t>
  </si>
  <si>
    <t xml:space="preserve">36053</t>
  </si>
  <si>
    <t xml:space="preserve">36054</t>
  </si>
  <si>
    <t xml:space="preserve">36055</t>
  </si>
  <si>
    <t xml:space="preserve">36056</t>
  </si>
  <si>
    <t xml:space="preserve">36057</t>
  </si>
  <si>
    <t xml:space="preserve">36058</t>
  </si>
  <si>
    <t xml:space="preserve">Tabela 7 — Segurança (Aba 36)</t>
  </si>
  <si>
    <t xml:space="preserve">36061</t>
  </si>
  <si>
    <t xml:space="preserve">36062</t>
  </si>
  <si>
    <t xml:space="preserve">36063</t>
  </si>
  <si>
    <t xml:space="preserve">36064</t>
  </si>
  <si>
    <t xml:space="preserve">36065</t>
  </si>
  <si>
    <t xml:space="preserve">36066</t>
  </si>
  <si>
    <t xml:space="preserve">36067</t>
  </si>
  <si>
    <t xml:space="preserve">36068</t>
  </si>
  <si>
    <t xml:space="preserve">Tabela 8 — Engenharia (Aba 36)</t>
  </si>
  <si>
    <t xml:space="preserve">36071</t>
  </si>
  <si>
    <t xml:space="preserve">36072</t>
  </si>
  <si>
    <t xml:space="preserve">36073</t>
  </si>
  <si>
    <t xml:space="preserve">36074</t>
  </si>
  <si>
    <t xml:space="preserve">36075</t>
  </si>
  <si>
    <t xml:space="preserve">36076</t>
  </si>
  <si>
    <t xml:space="preserve">36077</t>
  </si>
  <si>
    <t xml:space="preserve">36078</t>
  </si>
  <si>
    <t xml:space="preserve">Tabela 9 — Produto (Aba 36)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</si>
  <si>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</si>
  <si>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</si>
  <si>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</si>
  <si>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</si>
  <si>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</si>
  <si>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</si>
  <si>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</si>
  <si>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</si>
  <si>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Tabela 10 — Design (Aba 36)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</si>
  <si>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</si>
  <si>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</si>
  <si>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</si>
  <si>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</si>
  <si>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</si>
  <si>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</si>
  <si>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36097</t>
  </si>
  <si>
    <t xml:space="preserve">36098</t>
  </si>
  <si>
    <t xml:space="preserve">Tabela 11 — DevEx (Aba 36)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</si>
  <si>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</si>
  <si>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</si>
  <si>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</si>
  <si>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</si>
  <si>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</si>
  <si>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</si>
  <si>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</si>
  <si>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36108</t>
  </si>
  <si>
    <t xml:space="preserve">Tabela 12 — Dados (Aba 36)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</si>
  <si>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</si>
  <si>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</si>
  <si>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</si>
  <si>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</si>
  <si>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</si>
  <si>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</si>
  <si>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36117</t>
  </si>
  <si>
    <t xml:space="preserve">36118</t>
  </si>
  <si>
    <t xml:space="preserve">Tabela 13 — Infra (Aba 36)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</si>
  <si>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</si>
  <si>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</si>
  <si>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</si>
  <si>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</si>
  <si>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</si>
  <si>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</si>
  <si>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</si>
  <si>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</si>
  <si>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Tabela 14 — Segurança (Aba 36)</t>
  </si>
  <si>
    <t xml:space="preserve">36131</t>
  </si>
  <si>
    <t xml:space="preserve">36132</t>
  </si>
  <si>
    <t xml:space="preserve">36133</t>
  </si>
  <si>
    <t xml:space="preserve">36134</t>
  </si>
  <si>
    <t xml:space="preserve">36135</t>
  </si>
  <si>
    <t xml:space="preserve">36136</t>
  </si>
  <si>
    <t xml:space="preserve">36137</t>
  </si>
  <si>
    <t xml:space="preserve">36138</t>
  </si>
  <si>
    <t xml:space="preserve">Tabela 15 — Engenharia (Aba 36)</t>
  </si>
  <si>
    <t xml:space="preserve">36141</t>
  </si>
  <si>
    <t xml:space="preserve">36142</t>
  </si>
  <si>
    <t xml:space="preserve">36143</t>
  </si>
  <si>
    <t xml:space="preserve">36144</t>
  </si>
  <si>
    <t xml:space="preserve">36145</t>
  </si>
  <si>
    <t xml:space="preserve">36146</t>
  </si>
  <si>
    <t xml:space="preserve">36147</t>
  </si>
  <si>
    <t xml:space="preserve">36148</t>
  </si>
  <si>
    <t xml:space="preserve">Tabela 16 — Produto (Aba 36)</t>
  </si>
  <si>
    <t xml:space="preserve">36151</t>
  </si>
  <si>
    <t xml:space="preserve">36152</t>
  </si>
  <si>
    <t xml:space="preserve">36153</t>
  </si>
  <si>
    <t xml:space="preserve">36154</t>
  </si>
  <si>
    <t xml:space="preserve">36155</t>
  </si>
  <si>
    <t xml:space="preserve">36156</t>
  </si>
  <si>
    <t xml:space="preserve">36157</t>
  </si>
  <si>
    <t xml:space="preserve">36158</t>
  </si>
  <si>
    <t xml:space="preserve">Tabela 17 — Design (Aba 36)</t>
  </si>
  <si>
    <t xml:space="preserve">36161</t>
  </si>
  <si>
    <t xml:space="preserve">36162</t>
  </si>
  <si>
    <t xml:space="preserve">36163</t>
  </si>
  <si>
    <t xml:space="preserve">36164</t>
  </si>
  <si>
    <t xml:space="preserve">36165</t>
  </si>
  <si>
    <t xml:space="preserve">36166</t>
  </si>
  <si>
    <t xml:space="preserve">36167</t>
  </si>
  <si>
    <t xml:space="preserve">36168</t>
  </si>
  <si>
    <t xml:space="preserve">Tabela 18 — DevEx (Aba 36)</t>
  </si>
  <si>
    <t xml:space="preserve">36171</t>
  </si>
  <si>
    <t xml:space="preserve">36172</t>
  </si>
  <si>
    <t xml:space="preserve">36173</t>
  </si>
  <si>
    <t xml:space="preserve">36174</t>
  </si>
  <si>
    <t xml:space="preserve">36175</t>
  </si>
  <si>
    <t xml:space="preserve">36176</t>
  </si>
  <si>
    <t xml:space="preserve">36177</t>
  </si>
  <si>
    <t xml:space="preserve">36178</t>
  </si>
  <si>
    <t xml:space="preserve">Tabela 19 — Dados (Aba 36)</t>
  </si>
  <si>
    <t xml:space="preserve">36181</t>
  </si>
  <si>
    <t xml:space="preserve">36182</t>
  </si>
  <si>
    <t xml:space="preserve">36183</t>
  </si>
  <si>
    <t xml:space="preserve">36184</t>
  </si>
  <si>
    <t xml:space="preserve">36185</t>
  </si>
  <si>
    <t xml:space="preserve">36186</t>
  </si>
  <si>
    <t xml:space="preserve">36187</t>
  </si>
  <si>
    <t xml:space="preserve">36188</t>
  </si>
  <si>
    <t xml:space="preserve">Tabela 20 — Infra (Aba 36)</t>
  </si>
  <si>
    <t xml:space="preserve">36191</t>
  </si>
  <si>
    <t xml:space="preserve">36192</t>
  </si>
  <si>
    <t xml:space="preserve">36193</t>
  </si>
  <si>
    <t xml:space="preserve">36194</t>
  </si>
  <si>
    <t xml:space="preserve">36195</t>
  </si>
  <si>
    <t xml:space="preserve">36196</t>
  </si>
  <si>
    <t xml:space="preserve">36197</t>
  </si>
  <si>
    <t xml:space="preserve">36198</t>
  </si>
  <si>
    <t xml:space="preserve">Tabela 21 — Segurança (Aba 36)</t>
  </si>
  <si>
    <t xml:space="preserve">36201</t>
  </si>
  <si>
    <t xml:space="preserve">36202</t>
  </si>
  <si>
    <t xml:space="preserve">36203</t>
  </si>
  <si>
    <t xml:space="preserve">36204</t>
  </si>
  <si>
    <t xml:space="preserve">36205</t>
  </si>
  <si>
    <t xml:space="preserve">36206</t>
  </si>
  <si>
    <t xml:space="preserve">36207</t>
  </si>
  <si>
    <t xml:space="preserve">36208</t>
  </si>
  <si>
    <t xml:space="preserve">Tabela 22 — Engenharia (Aba 36)</t>
  </si>
  <si>
    <t xml:space="preserve">36211</t>
  </si>
  <si>
    <t xml:space="preserve">36212</t>
  </si>
  <si>
    <t xml:space="preserve">36213</t>
  </si>
  <si>
    <t xml:space="preserve">36214</t>
  </si>
  <si>
    <t xml:space="preserve">36215</t>
  </si>
  <si>
    <t xml:space="preserve">36216</t>
  </si>
  <si>
    <t xml:space="preserve">36217</t>
  </si>
  <si>
    <t xml:space="preserve">36218</t>
  </si>
  <si>
    <t xml:space="preserve">Tabela 23 — Produto (Aba 36)</t>
  </si>
  <si>
    <t xml:space="preserve">36221</t>
  </si>
  <si>
    <t xml:space="preserve">36222</t>
  </si>
  <si>
    <t xml:space="preserve">36223</t>
  </si>
  <si>
    <t xml:space="preserve">36224</t>
  </si>
  <si>
    <t xml:space="preserve">36225</t>
  </si>
  <si>
    <t xml:space="preserve">36226</t>
  </si>
  <si>
    <t xml:space="preserve">36227</t>
  </si>
  <si>
    <t xml:space="preserve">36228</t>
  </si>
  <si>
    <t xml:space="preserve">Tabela 24 — Design (Aba 36)</t>
  </si>
  <si>
    <t xml:space="preserve">36231</t>
  </si>
  <si>
    <t xml:space="preserve">36232</t>
  </si>
  <si>
    <t xml:space="preserve">36233</t>
  </si>
  <si>
    <t xml:space="preserve">36234</t>
  </si>
  <si>
    <t xml:space="preserve">36235</t>
  </si>
  <si>
    <t xml:space="preserve">36236</t>
  </si>
  <si>
    <t xml:space="preserve">36237</t>
  </si>
  <si>
    <t xml:space="preserve">36238</t>
  </si>
  <si>
    <t xml:space="preserve">Tabela 25 — DevEx (Aba 36)</t>
  </si>
  <si>
    <t xml:space="preserve">36241</t>
  </si>
  <si>
    <t xml:space="preserve">36242</t>
  </si>
  <si>
    <t xml:space="preserve">36243</t>
  </si>
  <si>
    <t xml:space="preserve">36244</t>
  </si>
  <si>
    <t xml:space="preserve">36245</t>
  </si>
  <si>
    <t xml:space="preserve">36246</t>
  </si>
  <si>
    <t xml:space="preserve">36247</t>
  </si>
  <si>
    <t xml:space="preserve">36248</t>
  </si>
  <si>
    <t xml:space="preserve">Tabela 26 — Dados (Aba 36)</t>
  </si>
  <si>
    <t xml:space="preserve">36251</t>
  </si>
  <si>
    <t xml:space="preserve">36252</t>
  </si>
  <si>
    <t xml:space="preserve">36253</t>
  </si>
  <si>
    <t xml:space="preserve">36254</t>
  </si>
  <si>
    <t xml:space="preserve">36255</t>
  </si>
  <si>
    <t xml:space="preserve">36256</t>
  </si>
  <si>
    <t xml:space="preserve">36257</t>
  </si>
  <si>
    <t xml:space="preserve">36258</t>
  </si>
  <si>
    <t xml:space="preserve">Tabela 27 — Infra (Aba 36)</t>
  </si>
  <si>
    <t xml:space="preserve">36261</t>
  </si>
  <si>
    <t xml:space="preserve">36262</t>
  </si>
  <si>
    <t xml:space="preserve">36263</t>
  </si>
  <si>
    <t xml:space="preserve">36264</t>
  </si>
  <si>
    <t xml:space="preserve">36265</t>
  </si>
  <si>
    <t xml:space="preserve">36266</t>
  </si>
  <si>
    <t xml:space="preserve">36267</t>
  </si>
  <si>
    <t xml:space="preserve">36268</t>
  </si>
  <si>
    <t xml:space="preserve">Tabela 28 — Segurança (Aba 36)</t>
  </si>
  <si>
    <t xml:space="preserve">36271</t>
  </si>
  <si>
    <t xml:space="preserve">36272</t>
  </si>
  <si>
    <t xml:space="preserve">36273</t>
  </si>
  <si>
    <t xml:space="preserve">36274</t>
  </si>
  <si>
    <t xml:space="preserve">36275</t>
  </si>
  <si>
    <t xml:space="preserve">36276</t>
  </si>
  <si>
    <t xml:space="preserve">36277</t>
  </si>
  <si>
    <t xml:space="preserve">36278</t>
  </si>
  <si>
    <t xml:space="preserve">Tabela 29 — Engenharia (Aba 36)</t>
  </si>
  <si>
    <t xml:space="preserve">36281</t>
  </si>
  <si>
    <t xml:space="preserve">36282</t>
  </si>
  <si>
    <t xml:space="preserve">36283</t>
  </si>
  <si>
    <t xml:space="preserve">36284</t>
  </si>
  <si>
    <t xml:space="preserve">36285</t>
  </si>
  <si>
    <t xml:space="preserve">36286</t>
  </si>
  <si>
    <t xml:space="preserve">36287</t>
  </si>
  <si>
    <t xml:space="preserve">36288</t>
  </si>
  <si>
    <t xml:space="preserve">Tabela 30 — Produto (Aba 36)</t>
  </si>
  <si>
    <t xml:space="preserve">36291</t>
  </si>
  <si>
    <t xml:space="preserve">36292</t>
  </si>
  <si>
    <t xml:space="preserve">36293</t>
  </si>
  <si>
    <t xml:space="preserve">36294</t>
  </si>
  <si>
    <t xml:space="preserve">36295</t>
  </si>
  <si>
    <t xml:space="preserve">36296</t>
  </si>
  <si>
    <t xml:space="preserve">36297</t>
  </si>
  <si>
    <t xml:space="preserve">36298</t>
  </si>
  <si>
    <t xml:space="preserve">Planilha — Aba 37 | Relatório de Equipe</t>
  </si>
  <si>
    <t xml:space="preserve">Tabela 1 — Engenharia (Aba 37)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</si>
  <si>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</si>
  <si>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</si>
  <si>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</si>
  <si>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</si>
  <si>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</si>
  <si>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37006</t>
  </si>
  <si>
    <t xml:space="preserve">37007</t>
  </si>
  <si>
    <t xml:space="preserve">37008</t>
  </si>
  <si>
    <t xml:space="preserve">Tabela 2 — Produto (Aba 37)</t>
  </si>
  <si>
    <t xml:space="preserve">37011</t>
  </si>
  <si>
    <t xml:space="preserve">37012</t>
  </si>
  <si>
    <t xml:space="preserve">37013</t>
  </si>
  <si>
    <t xml:space="preserve">37014</t>
  </si>
  <si>
    <t xml:space="preserve">37015</t>
  </si>
  <si>
    <t xml:space="preserve">37016</t>
  </si>
  <si>
    <t xml:space="preserve">37017</t>
  </si>
  <si>
    <t xml:space="preserve">37018</t>
  </si>
  <si>
    <t xml:space="preserve">Tabela 3 — Design (Aba 37)</t>
  </si>
  <si>
    <t xml:space="preserve">37021</t>
  </si>
  <si>
    <t xml:space="preserve">37022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</si>
  <si>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</si>
  <si>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</si>
  <si>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</si>
  <si>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</si>
  <si>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</si>
  <si>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37028</t>
  </si>
  <si>
    <t xml:space="preserve">Tabela 4 — DevEx (Aba 37)</t>
  </si>
  <si>
    <t xml:space="preserve">37031</t>
  </si>
  <si>
    <t xml:space="preserve">37032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</si>
  <si>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</si>
  <si>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</si>
  <si>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</si>
  <si>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</si>
  <si>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</si>
  <si>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</si>
  <si>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Tabela 5 — Dados (Aba 37)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</si>
  <si>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</si>
  <si>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</si>
  <si>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</si>
  <si>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</si>
  <si>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</si>
  <si>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</si>
  <si>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</si>
  <si>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</si>
  <si>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Tabela 6 — Infra (Aba 37)</t>
  </si>
  <si>
    <t xml:space="preserve">37051</t>
  </si>
  <si>
    <t xml:space="preserve">37052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</si>
  <si>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</si>
  <si>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</si>
  <si>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</si>
  <si>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</si>
  <si>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</si>
  <si>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</si>
  <si>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Tabela 7 — Segurança (Aba 37)</t>
  </si>
  <si>
    <t xml:space="preserve">37061</t>
  </si>
  <si>
    <t xml:space="preserve">37062</t>
  </si>
  <si>
    <t xml:space="preserve">37063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</si>
  <si>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</si>
  <si>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</si>
  <si>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</si>
  <si>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</si>
  <si>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</si>
  <si>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Tabela 8 — Engenharia (Aba 37)</t>
  </si>
  <si>
    <t xml:space="preserve">37071</t>
  </si>
  <si>
    <t xml:space="preserve">37072</t>
  </si>
  <si>
    <t xml:space="preserve">37073</t>
  </si>
  <si>
    <t xml:space="preserve">37074</t>
  </si>
  <si>
    <t xml:space="preserve">37075</t>
  </si>
  <si>
    <t xml:space="preserve">37076</t>
  </si>
  <si>
    <t xml:space="preserve">37077</t>
  </si>
  <si>
    <t xml:space="preserve">37078</t>
  </si>
  <si>
    <t xml:space="preserve">Tabela 9 — Produto (Aba 37)</t>
  </si>
  <si>
    <t xml:space="preserve">37081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</si>
  <si>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</si>
  <si>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</si>
  <si>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</si>
  <si>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</si>
  <si>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</si>
  <si>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37087</t>
  </si>
  <si>
    <t xml:space="preserve">37088</t>
  </si>
  <si>
    <t xml:space="preserve">Tabela 10 — Design (Aba 37)</t>
  </si>
  <si>
    <t xml:space="preserve">37091</t>
  </si>
  <si>
    <t xml:space="preserve">37092</t>
  </si>
  <si>
    <t xml:space="preserve">37093</t>
  </si>
  <si>
    <t xml:space="preserve">37094</t>
  </si>
  <si>
    <t xml:space="preserve">37095</t>
  </si>
  <si>
    <t xml:space="preserve">37096</t>
  </si>
  <si>
    <t xml:space="preserve">37097</t>
  </si>
  <si>
    <t xml:space="preserve">37098</t>
  </si>
  <si>
    <t xml:space="preserve">Tabela 11 — DevEx (Aba 37)</t>
  </si>
  <si>
    <t xml:space="preserve">37101</t>
  </si>
  <si>
    <t xml:space="preserve">37102</t>
  </si>
  <si>
    <t xml:space="preserve">37103</t>
  </si>
  <si>
    <t xml:space="preserve">37104</t>
  </si>
  <si>
    <t xml:space="preserve">37105</t>
  </si>
  <si>
    <t xml:space="preserve">37106</t>
  </si>
  <si>
    <t xml:space="preserve">37107</t>
  </si>
  <si>
    <t xml:space="preserve">37108</t>
  </si>
  <si>
    <t xml:space="preserve">Tabela 12 — Dados (Aba 37)</t>
  </si>
  <si>
    <t xml:space="preserve">37111</t>
  </si>
  <si>
    <t xml:space="preserve">37112</t>
  </si>
  <si>
    <t xml:space="preserve">37113</t>
  </si>
  <si>
    <t xml:space="preserve">37114</t>
  </si>
  <si>
    <t xml:space="preserve">37115</t>
  </si>
  <si>
    <t xml:space="preserve">37116</t>
  </si>
  <si>
    <t xml:space="preserve">37117</t>
  </si>
  <si>
    <t xml:space="preserve">37118</t>
  </si>
  <si>
    <t xml:space="preserve">Tabela 13 — Infra (Aba 37)</t>
  </si>
  <si>
    <t xml:space="preserve">37121</t>
  </si>
  <si>
    <t xml:space="preserve">37122</t>
  </si>
  <si>
    <t xml:space="preserve">37123</t>
  </si>
  <si>
    <t xml:space="preserve">37124</t>
  </si>
  <si>
    <t xml:space="preserve">37125</t>
  </si>
  <si>
    <t xml:space="preserve">37126</t>
  </si>
  <si>
    <t xml:space="preserve">37127</t>
  </si>
  <si>
    <t xml:space="preserve">37128</t>
  </si>
  <si>
    <t xml:space="preserve">Tabela 14 — Segurança (Aba 37)</t>
  </si>
  <si>
    <t xml:space="preserve">37131</t>
  </si>
  <si>
    <t xml:space="preserve">37132</t>
  </si>
  <si>
    <t xml:space="preserve">37133</t>
  </si>
  <si>
    <t xml:space="preserve">37134</t>
  </si>
  <si>
    <t xml:space="preserve">37135</t>
  </si>
  <si>
    <t xml:space="preserve">37136</t>
  </si>
  <si>
    <t xml:space="preserve">37137</t>
  </si>
  <si>
    <t xml:space="preserve">37138</t>
  </si>
  <si>
    <t xml:space="preserve">Tabela 15 — Engenharia (Aba 37)</t>
  </si>
  <si>
    <t xml:space="preserve">37141</t>
  </si>
  <si>
    <t xml:space="preserve">37142</t>
  </si>
  <si>
    <t xml:space="preserve">37143</t>
  </si>
  <si>
    <t xml:space="preserve">37144</t>
  </si>
  <si>
    <t xml:space="preserve">37145</t>
  </si>
  <si>
    <t xml:space="preserve">37146</t>
  </si>
  <si>
    <t xml:space="preserve">37147</t>
  </si>
  <si>
    <t xml:space="preserve">37148</t>
  </si>
  <si>
    <t xml:space="preserve">Tabela 16 — Produto (Aba 37)</t>
  </si>
  <si>
    <t xml:space="preserve">37151</t>
  </si>
  <si>
    <t xml:space="preserve">37152</t>
  </si>
  <si>
    <t xml:space="preserve">37153</t>
  </si>
  <si>
    <t xml:space="preserve">37154</t>
  </si>
  <si>
    <t xml:space="preserve">37155</t>
  </si>
  <si>
    <t xml:space="preserve">37156</t>
  </si>
  <si>
    <t xml:space="preserve">37157</t>
  </si>
  <si>
    <t xml:space="preserve">37158</t>
  </si>
  <si>
    <t xml:space="preserve">Tabela 17 — Design (Aba 37)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</si>
  <si>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</si>
  <si>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</si>
  <si>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</si>
  <si>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</si>
  <si>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</si>
  <si>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</si>
  <si>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</si>
  <si>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</si>
  <si>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Tabela 18 — DevEx (Aba 37)</t>
  </si>
  <si>
    <t xml:space="preserve">37171</t>
  </si>
  <si>
    <t xml:space="preserve">37172</t>
  </si>
  <si>
    <t xml:space="preserve">37173</t>
  </si>
  <si>
    <t xml:space="preserve">37174</t>
  </si>
  <si>
    <t xml:space="preserve">37175</t>
  </si>
  <si>
    <t xml:space="preserve">37176</t>
  </si>
  <si>
    <t xml:space="preserve">37177</t>
  </si>
  <si>
    <t xml:space="preserve">37178</t>
  </si>
  <si>
    <t xml:space="preserve">Tabela 19 — Dados (Aba 37)</t>
  </si>
  <si>
    <t xml:space="preserve">37181</t>
  </si>
  <si>
    <t xml:space="preserve">37182</t>
  </si>
  <si>
    <t xml:space="preserve">37183</t>
  </si>
  <si>
    <t xml:space="preserve">37184</t>
  </si>
  <si>
    <t xml:space="preserve">37185</t>
  </si>
  <si>
    <t xml:space="preserve">37186</t>
  </si>
  <si>
    <t xml:space="preserve">37187</t>
  </si>
  <si>
    <t xml:space="preserve">37188</t>
  </si>
  <si>
    <t xml:space="preserve">Tabela 20 — Infra (Aba 37)</t>
  </si>
  <si>
    <t xml:space="preserve">37191</t>
  </si>
  <si>
    <t xml:space="preserve">37192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</si>
  <si>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</si>
  <si>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</si>
  <si>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</si>
  <si>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</si>
  <si>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</si>
  <si>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</si>
  <si>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Tabela 21 — Segurança (Aba 37)</t>
  </si>
  <si>
    <t xml:space="preserve">37201</t>
  </si>
  <si>
    <t xml:space="preserve">37202</t>
  </si>
  <si>
    <t xml:space="preserve">37203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</si>
  <si>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</si>
  <si>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</si>
  <si>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</si>
  <si>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</si>
  <si>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</si>
  <si>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Tabela 22 — Engenharia (Aba 37)</t>
  </si>
  <si>
    <t xml:space="preserve">37211</t>
  </si>
  <si>
    <t xml:space="preserve">37212</t>
  </si>
  <si>
    <t xml:space="preserve">37213</t>
  </si>
  <si>
    <t xml:space="preserve">37214</t>
  </si>
  <si>
    <t xml:space="preserve">37215</t>
  </si>
  <si>
    <t xml:space="preserve">37216</t>
  </si>
  <si>
    <t xml:space="preserve">37217</t>
  </si>
  <si>
    <t xml:space="preserve">37218</t>
  </si>
  <si>
    <t xml:space="preserve">Tabela 23 — Produto (Aba 37)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</si>
  <si>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</si>
  <si>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</si>
  <si>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</si>
  <si>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</si>
  <si>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</si>
  <si>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</si>
  <si>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</si>
  <si>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</si>
  <si>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Tabela 24 — Design (Aba 37)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</si>
  <si>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</si>
  <si>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</si>
  <si>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</si>
  <si>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</si>
  <si>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</si>
  <si>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</si>
  <si>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</si>
  <si>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</si>
  <si>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Tabela 25 — DevEx (Aba 37)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</si>
  <si>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</si>
  <si>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</si>
  <si>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</si>
  <si>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</si>
  <si>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</si>
  <si>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</si>
  <si>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37247</t>
  </si>
  <si>
    <t xml:space="preserve">37248</t>
  </si>
  <si>
    <t xml:space="preserve">Tabela 26 — Dados (Aba 37)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</si>
  <si>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</si>
  <si>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</si>
  <si>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</si>
  <si>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</si>
  <si>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</si>
  <si>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</si>
  <si>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</si>
  <si>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</si>
  <si>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Tabela 27 — Infra (Aba 37)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</si>
  <si>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</si>
  <si>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</si>
  <si>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</si>
  <si>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</si>
  <si>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</si>
  <si>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</si>
  <si>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</si>
  <si>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</si>
  <si>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Tabela 28 — Segurança (Aba 37)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</si>
  <si>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</si>
  <si>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</si>
  <si>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</si>
  <si>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</si>
  <si>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</si>
  <si>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</si>
  <si>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</si>
  <si>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</si>
  <si>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Tabela 29 — Engenharia (Aba 37)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</si>
  <si>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</si>
  <si>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</si>
  <si>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</si>
  <si>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</si>
  <si>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</si>
  <si>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</si>
  <si>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</si>
  <si>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</si>
  <si>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Tabela 30 — Produto (Aba 37)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</si>
  <si>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</si>
  <si>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</si>
  <si>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</si>
  <si>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</si>
  <si>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</si>
  <si>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</si>
  <si>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</si>
  <si>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</si>
  <si>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Planilha — Aba 38 | Relatório de Equipe</t>
  </si>
  <si>
    <t xml:space="preserve">Tabela 1 — Engenharia (Aba 38)</t>
  </si>
  <si>
    <t xml:space="preserve">38001</t>
  </si>
  <si>
    <t xml:space="preserve">38002</t>
  </si>
  <si>
    <t xml:space="preserve">38003</t>
  </si>
  <si>
    <t xml:space="preserve">38004</t>
  </si>
  <si>
    <t xml:space="preserve">38005</t>
  </si>
  <si>
    <t xml:space="preserve">38006</t>
  </si>
  <si>
    <t xml:space="preserve">38007</t>
  </si>
  <si>
    <t xml:space="preserve">38008</t>
  </si>
  <si>
    <t xml:space="preserve">Tabela 2 — Produto (Aba 38)</t>
  </si>
  <si>
    <t xml:space="preserve">38011</t>
  </si>
  <si>
    <t xml:space="preserve">38012</t>
  </si>
  <si>
    <t xml:space="preserve">38013</t>
  </si>
  <si>
    <t xml:space="preserve">38014</t>
  </si>
  <si>
    <t xml:space="preserve">38015</t>
  </si>
  <si>
    <t xml:space="preserve">38016</t>
  </si>
  <si>
    <t xml:space="preserve">38017</t>
  </si>
  <si>
    <t xml:space="preserve">38018</t>
  </si>
  <si>
    <t xml:space="preserve">Tabela 3 — Design (Aba 38)</t>
  </si>
  <si>
    <t xml:space="preserve">38021</t>
  </si>
  <si>
    <t xml:space="preserve">38022</t>
  </si>
  <si>
    <t xml:space="preserve">38023</t>
  </si>
  <si>
    <t xml:space="preserve">38024</t>
  </si>
  <si>
    <t xml:space="preserve">38025</t>
  </si>
  <si>
    <t xml:space="preserve">38026</t>
  </si>
  <si>
    <t xml:space="preserve">38027</t>
  </si>
  <si>
    <t xml:space="preserve">38028</t>
  </si>
  <si>
    <t xml:space="preserve">Tabela 4 — DevEx (Aba 38)</t>
  </si>
  <si>
    <t xml:space="preserve">38031</t>
  </si>
  <si>
    <t xml:space="preserve">38032</t>
  </si>
  <si>
    <t xml:space="preserve">38033</t>
  </si>
  <si>
    <t xml:space="preserve">38034</t>
  </si>
  <si>
    <t xml:space="preserve">38035</t>
  </si>
  <si>
    <t xml:space="preserve">38036</t>
  </si>
  <si>
    <t xml:space="preserve">38037</t>
  </si>
  <si>
    <t xml:space="preserve">38038</t>
  </si>
  <si>
    <t xml:space="preserve">Tabela 5 — Dados (Aba 38)</t>
  </si>
  <si>
    <t xml:space="preserve">38041</t>
  </si>
  <si>
    <t xml:space="preserve">38042</t>
  </si>
  <si>
    <t xml:space="preserve">38043</t>
  </si>
  <si>
    <t xml:space="preserve">38044</t>
  </si>
  <si>
    <t xml:space="preserve">38045</t>
  </si>
  <si>
    <t xml:space="preserve">38046</t>
  </si>
  <si>
    <t xml:space="preserve">38047</t>
  </si>
  <si>
    <t xml:space="preserve">38048</t>
  </si>
  <si>
    <t xml:space="preserve">Tabela 6 — Infra (Aba 38)</t>
  </si>
  <si>
    <t xml:space="preserve">38051</t>
  </si>
  <si>
    <t xml:space="preserve">38052</t>
  </si>
  <si>
    <t xml:space="preserve">38053</t>
  </si>
  <si>
    <t xml:space="preserve">38054</t>
  </si>
  <si>
    <t xml:space="preserve">38055</t>
  </si>
  <si>
    <t xml:space="preserve">38056</t>
  </si>
  <si>
    <t xml:space="preserve">38057</t>
  </si>
  <si>
    <t xml:space="preserve">38058</t>
  </si>
  <si>
    <t xml:space="preserve">Tabela 7 — Segurança (Aba 38)</t>
  </si>
  <si>
    <t xml:space="preserve">38061</t>
  </si>
  <si>
    <t xml:space="preserve">38062</t>
  </si>
  <si>
    <t xml:space="preserve">38063</t>
  </si>
  <si>
    <t xml:space="preserve">38064</t>
  </si>
  <si>
    <t xml:space="preserve">38065</t>
  </si>
  <si>
    <t xml:space="preserve">38066</t>
  </si>
  <si>
    <t xml:space="preserve">38067</t>
  </si>
  <si>
    <t xml:space="preserve">38068</t>
  </si>
  <si>
    <t xml:space="preserve">Tabela 8 — Engenharia (Aba 38)</t>
  </si>
  <si>
    <t xml:space="preserve">38071</t>
  </si>
  <si>
    <t xml:space="preserve">38072</t>
  </si>
  <si>
    <t xml:space="preserve">38073</t>
  </si>
  <si>
    <t xml:space="preserve">38074</t>
  </si>
  <si>
    <t xml:space="preserve">38075</t>
  </si>
  <si>
    <t xml:space="preserve">38076</t>
  </si>
  <si>
    <t xml:space="preserve">38077</t>
  </si>
  <si>
    <t xml:space="preserve">38078</t>
  </si>
  <si>
    <t xml:space="preserve">Tabela 9 — Produto (Aba 38)</t>
  </si>
  <si>
    <t xml:space="preserve">38081</t>
  </si>
  <si>
    <t xml:space="preserve">38082</t>
  </si>
  <si>
    <t xml:space="preserve">38083</t>
  </si>
  <si>
    <t xml:space="preserve">38084</t>
  </si>
  <si>
    <t xml:space="preserve">38085</t>
  </si>
  <si>
    <t xml:space="preserve">38086</t>
  </si>
  <si>
    <t xml:space="preserve">38087</t>
  </si>
  <si>
    <t xml:space="preserve">38088</t>
  </si>
  <si>
    <t xml:space="preserve">Tabela 10 — Design (Aba 38)</t>
  </si>
  <si>
    <t xml:space="preserve">38091</t>
  </si>
  <si>
    <t xml:space="preserve">38092</t>
  </si>
  <si>
    <t xml:space="preserve">38093</t>
  </si>
  <si>
    <t xml:space="preserve">38094</t>
  </si>
  <si>
    <t xml:space="preserve">38095</t>
  </si>
  <si>
    <t xml:space="preserve">38096</t>
  </si>
  <si>
    <t xml:space="preserve">38097</t>
  </si>
  <si>
    <t xml:space="preserve">38098</t>
  </si>
  <si>
    <t xml:space="preserve">Tabela 11 — DevEx (Aba 38)</t>
  </si>
  <si>
    <t xml:space="preserve">38101</t>
  </si>
  <si>
    <t xml:space="preserve">38102</t>
  </si>
  <si>
    <t xml:space="preserve">38103</t>
  </si>
  <si>
    <t xml:space="preserve">38104</t>
  </si>
  <si>
    <t xml:space="preserve">38105</t>
  </si>
  <si>
    <t xml:space="preserve">38106</t>
  </si>
  <si>
    <t xml:space="preserve">38107</t>
  </si>
  <si>
    <t xml:space="preserve">38108</t>
  </si>
  <si>
    <t xml:space="preserve">Tabela 12 — Dados (Aba 38)</t>
  </si>
  <si>
    <t xml:space="preserve">38111</t>
  </si>
  <si>
    <t xml:space="preserve">38112</t>
  </si>
  <si>
    <t xml:space="preserve">38113</t>
  </si>
  <si>
    <t xml:space="preserve">38114</t>
  </si>
  <si>
    <t xml:space="preserve">38115</t>
  </si>
  <si>
    <t xml:space="preserve">38116</t>
  </si>
  <si>
    <t xml:space="preserve">38117</t>
  </si>
  <si>
    <t xml:space="preserve">38118</t>
  </si>
  <si>
    <t xml:space="preserve">Tabela 13 — Infra (Aba 38)</t>
  </si>
  <si>
    <t xml:space="preserve">38121</t>
  </si>
  <si>
    <t xml:space="preserve">38122</t>
  </si>
  <si>
    <t xml:space="preserve">38123</t>
  </si>
  <si>
    <t xml:space="preserve">38124</t>
  </si>
  <si>
    <t xml:space="preserve">38125</t>
  </si>
  <si>
    <t xml:space="preserve">38126</t>
  </si>
  <si>
    <t xml:space="preserve">38127</t>
  </si>
  <si>
    <t xml:space="preserve">38128</t>
  </si>
  <si>
    <t xml:space="preserve">Tabela 14 — Segurança (Aba 38)</t>
  </si>
  <si>
    <t xml:space="preserve">38131</t>
  </si>
  <si>
    <t xml:space="preserve">38132</t>
  </si>
  <si>
    <t xml:space="preserve">38133</t>
  </si>
  <si>
    <t xml:space="preserve">38134</t>
  </si>
  <si>
    <t xml:space="preserve">38135</t>
  </si>
  <si>
    <t xml:space="preserve">38136</t>
  </si>
  <si>
    <t xml:space="preserve">38137</t>
  </si>
  <si>
    <t xml:space="preserve">38138</t>
  </si>
  <si>
    <t xml:space="preserve">Tabela 15 — Engenharia (Aba 38)</t>
  </si>
  <si>
    <t xml:space="preserve">38141</t>
  </si>
  <si>
    <t xml:space="preserve">38142</t>
  </si>
  <si>
    <t xml:space="preserve">38143</t>
  </si>
  <si>
    <t xml:space="preserve">38144</t>
  </si>
  <si>
    <t xml:space="preserve">38145</t>
  </si>
  <si>
    <t xml:space="preserve">38146</t>
  </si>
  <si>
    <t xml:space="preserve">38147</t>
  </si>
  <si>
    <t xml:space="preserve">38148</t>
  </si>
  <si>
    <t xml:space="preserve">Tabela 16 — Produto (Aba 38)</t>
  </si>
  <si>
    <t xml:space="preserve">38151</t>
  </si>
  <si>
    <t xml:space="preserve">38152</t>
  </si>
  <si>
    <t xml:space="preserve">38153</t>
  </si>
  <si>
    <t xml:space="preserve">38154</t>
  </si>
  <si>
    <t xml:space="preserve">38155</t>
  </si>
  <si>
    <t xml:space="preserve">38156</t>
  </si>
  <si>
    <t xml:space="preserve">38157</t>
  </si>
  <si>
    <t xml:space="preserve">38158</t>
  </si>
  <si>
    <t xml:space="preserve">Tabela 17 — Design (Aba 38)</t>
  </si>
  <si>
    <t xml:space="preserve">38161</t>
  </si>
  <si>
    <t xml:space="preserve">38162</t>
  </si>
  <si>
    <t xml:space="preserve">38163</t>
  </si>
  <si>
    <t xml:space="preserve">38164</t>
  </si>
  <si>
    <t xml:space="preserve">38165</t>
  </si>
  <si>
    <t xml:space="preserve">38166</t>
  </si>
  <si>
    <t xml:space="preserve">38167</t>
  </si>
  <si>
    <t xml:space="preserve">38168</t>
  </si>
  <si>
    <t xml:space="preserve">Tabela 18 — DevEx (Aba 38)</t>
  </si>
  <si>
    <t xml:space="preserve">38171</t>
  </si>
  <si>
    <t xml:space="preserve">38172</t>
  </si>
  <si>
    <t xml:space="preserve">38173</t>
  </si>
  <si>
    <t xml:space="preserve">38174</t>
  </si>
  <si>
    <t xml:space="preserve">38175</t>
  </si>
  <si>
    <t xml:space="preserve">38176</t>
  </si>
  <si>
    <t xml:space="preserve">38177</t>
  </si>
  <si>
    <t xml:space="preserve">38178</t>
  </si>
  <si>
    <t xml:space="preserve">Tabela 19 — Dados (Aba 38)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</si>
  <si>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</si>
  <si>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</si>
  <si>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</si>
  <si>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</si>
  <si>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</si>
  <si>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38186</t>
  </si>
  <si>
    <t xml:space="preserve">38187</t>
  </si>
  <si>
    <t xml:space="preserve">38188</t>
  </si>
  <si>
    <t xml:space="preserve">Tabela 20 — Infra (Aba 38)</t>
  </si>
  <si>
    <t xml:space="preserve">38191</t>
  </si>
  <si>
    <t xml:space="preserve">38192</t>
  </si>
  <si>
    <t xml:space="preserve">38193</t>
  </si>
  <si>
    <t xml:space="preserve">38194</t>
  </si>
  <si>
    <t xml:space="preserve">38195</t>
  </si>
  <si>
    <t xml:space="preserve">38196</t>
  </si>
  <si>
    <t xml:space="preserve">38197</t>
  </si>
  <si>
    <t xml:space="preserve">38198</t>
  </si>
  <si>
    <t xml:space="preserve">Tabela 21 — Segurança (Aba 38)</t>
  </si>
  <si>
    <t xml:space="preserve">38201</t>
  </si>
  <si>
    <t xml:space="preserve">38202</t>
  </si>
  <si>
    <t xml:space="preserve">38203</t>
  </si>
  <si>
    <t xml:space="preserve">38204</t>
  </si>
  <si>
    <t xml:space="preserve">38205</t>
  </si>
  <si>
    <t xml:space="preserve">38206</t>
  </si>
  <si>
    <t xml:space="preserve">38207</t>
  </si>
  <si>
    <t xml:space="preserve">38208</t>
  </si>
  <si>
    <t xml:space="preserve">Tabela 22 — Engenharia (Aba 38)</t>
  </si>
  <si>
    <t xml:space="preserve">38211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</si>
  <si>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</si>
  <si>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</si>
  <si>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</si>
  <si>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</si>
  <si>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</si>
  <si>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</si>
  <si>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</si>
  <si>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Tabela 23 — Produto (Aba 38)</t>
  </si>
  <si>
    <t xml:space="preserve">38221</t>
  </si>
  <si>
    <t xml:space="preserve">38222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</si>
  <si>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</si>
  <si>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</si>
  <si>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</si>
  <si>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</si>
  <si>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</si>
  <si>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</si>
  <si>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Tabela 24 — Design (Aba 38)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</si>
  <si>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</si>
  <si>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</si>
  <si>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</si>
  <si>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</si>
  <si>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</si>
  <si>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</si>
  <si>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</si>
  <si>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</si>
  <si>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Tabela 25 — DevEx (Aba 38)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</si>
  <si>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</si>
  <si>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</si>
  <si>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</si>
  <si>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</si>
  <si>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</si>
  <si>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</si>
  <si>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</si>
  <si>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</si>
  <si>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Tabela 26 — Dados (Aba 38)</t>
  </si>
  <si>
    <t xml:space="preserve">38251</t>
  </si>
  <si>
    <t xml:space="preserve">38252</t>
  </si>
  <si>
    <t xml:space="preserve">38253</t>
  </si>
  <si>
    <t xml:space="preserve">38254</t>
  </si>
  <si>
    <t xml:space="preserve">38255</t>
  </si>
  <si>
    <t xml:space="preserve">38256</t>
  </si>
  <si>
    <t xml:space="preserve">38257</t>
  </si>
  <si>
    <t xml:space="preserve">38258</t>
  </si>
  <si>
    <t xml:space="preserve">Tabela 27 — Infra (Aba 38)</t>
  </si>
  <si>
    <t xml:space="preserve">38261</t>
  </si>
  <si>
    <t xml:space="preserve">38262</t>
  </si>
  <si>
    <t xml:space="preserve">38263</t>
  </si>
  <si>
    <t xml:space="preserve">38264</t>
  </si>
  <si>
    <t xml:space="preserve">38265</t>
  </si>
  <si>
    <t xml:space="preserve">38266</t>
  </si>
  <si>
    <t xml:space="preserve">38267</t>
  </si>
  <si>
    <t xml:space="preserve">38268</t>
  </si>
  <si>
    <t xml:space="preserve">Tabela 28 — Segurança (Aba 38)</t>
  </si>
  <si>
    <t xml:space="preserve">38271</t>
  </si>
  <si>
    <t xml:space="preserve">38272</t>
  </si>
  <si>
    <t xml:space="preserve">38273</t>
  </si>
  <si>
    <t xml:space="preserve">38274</t>
  </si>
  <si>
    <t xml:space="preserve">38275</t>
  </si>
  <si>
    <t xml:space="preserve">38276</t>
  </si>
  <si>
    <t xml:space="preserve">38277</t>
  </si>
  <si>
    <t xml:space="preserve">38278</t>
  </si>
  <si>
    <t xml:space="preserve">Tabela 29 — Engenharia (Aba 38)</t>
  </si>
  <si>
    <t xml:space="preserve">38281</t>
  </si>
  <si>
    <t xml:space="preserve">38282</t>
  </si>
  <si>
    <t xml:space="preserve">38283</t>
  </si>
  <si>
    <t xml:space="preserve">38284</t>
  </si>
  <si>
    <t xml:space="preserve">38285</t>
  </si>
  <si>
    <t xml:space="preserve">38286</t>
  </si>
  <si>
    <t xml:space="preserve">38287</t>
  </si>
  <si>
    <t xml:space="preserve">38288</t>
  </si>
  <si>
    <t xml:space="preserve">Tabela 30 — Produto (Aba 38)</t>
  </si>
  <si>
    <t xml:space="preserve">38291</t>
  </si>
  <si>
    <t xml:space="preserve">38292</t>
  </si>
  <si>
    <t xml:space="preserve">38293</t>
  </si>
  <si>
    <t xml:space="preserve">38294</t>
  </si>
  <si>
    <t xml:space="preserve">38295</t>
  </si>
  <si>
    <t xml:space="preserve">38296</t>
  </si>
  <si>
    <t xml:space="preserve">38297</t>
  </si>
  <si>
    <t xml:space="preserve">38298</t>
  </si>
  <si>
    <t xml:space="preserve">Planilha — Aba 39 | Relatório de Equipe</t>
  </si>
  <si>
    <t xml:space="preserve">Tabela 1 — Engenharia (Aba 39)</t>
  </si>
  <si>
    <t xml:space="preserve">39001</t>
  </si>
  <si>
    <t xml:space="preserve">39002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</si>
  <si>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</si>
  <si>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</si>
  <si>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</si>
  <si>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</si>
  <si>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</si>
  <si>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</si>
  <si>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Tabela 2 — Produto (Aba 39)</t>
  </si>
  <si>
    <t xml:space="preserve">39011</t>
  </si>
  <si>
    <t xml:space="preserve">39012</t>
  </si>
  <si>
    <t xml:space="preserve">39013</t>
  </si>
  <si>
    <t xml:space="preserve">39014</t>
  </si>
  <si>
    <t xml:space="preserve">39015</t>
  </si>
  <si>
    <t xml:space="preserve">39016</t>
  </si>
  <si>
    <t xml:space="preserve">39017</t>
  </si>
  <si>
    <t xml:space="preserve">39018</t>
  </si>
  <si>
    <t xml:space="preserve">Tabela 3 — Design (Aba 39)</t>
  </si>
  <si>
    <t xml:space="preserve">39021</t>
  </si>
  <si>
    <t xml:space="preserve">39022</t>
  </si>
  <si>
    <t xml:space="preserve">39023</t>
  </si>
  <si>
    <t xml:space="preserve">39024</t>
  </si>
  <si>
    <t xml:space="preserve">39025</t>
  </si>
  <si>
    <t xml:space="preserve">39026</t>
  </si>
  <si>
    <t xml:space="preserve">39027</t>
  </si>
  <si>
    <t xml:space="preserve">39028</t>
  </si>
  <si>
    <t xml:space="preserve">Tabela 4 — DevEx (Aba 39)</t>
  </si>
  <si>
    <t xml:space="preserve">39031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</si>
  <si>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</si>
  <si>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</si>
  <si>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</si>
  <si>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</si>
  <si>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</si>
  <si>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</si>
  <si>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</si>
  <si>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Tabela 5 — Dados (Aba 39)</t>
  </si>
  <si>
    <t xml:space="preserve">39041</t>
  </si>
  <si>
    <t xml:space="preserve">39042</t>
  </si>
  <si>
    <t xml:space="preserve">39043</t>
  </si>
  <si>
    <t xml:space="preserve">39044</t>
  </si>
  <si>
    <t xml:space="preserve">39045</t>
  </si>
  <si>
    <t xml:space="preserve">39046</t>
  </si>
  <si>
    <t xml:space="preserve">39047</t>
  </si>
  <si>
    <t xml:space="preserve">39048</t>
  </si>
  <si>
    <t xml:space="preserve">Tabela 6 — Infra (Aba 39)</t>
  </si>
  <si>
    <t xml:space="preserve">39051</t>
  </si>
  <si>
    <t xml:space="preserve">39052</t>
  </si>
  <si>
    <t xml:space="preserve">39053</t>
  </si>
  <si>
    <t xml:space="preserve">39054</t>
  </si>
  <si>
    <t xml:space="preserve">39055</t>
  </si>
  <si>
    <t xml:space="preserve">39056</t>
  </si>
  <si>
    <t xml:space="preserve">39057</t>
  </si>
  <si>
    <t xml:space="preserve">39058</t>
  </si>
  <si>
    <t xml:space="preserve">Tabela 7 — Segurança (Aba 39)</t>
  </si>
  <si>
    <t xml:space="preserve">39061</t>
  </si>
  <si>
    <t xml:space="preserve">39062</t>
  </si>
  <si>
    <t xml:space="preserve">39063</t>
  </si>
  <si>
    <t xml:space="preserve">39064</t>
  </si>
  <si>
    <t xml:space="preserve">39065</t>
  </si>
  <si>
    <t xml:space="preserve">39066</t>
  </si>
  <si>
    <t xml:space="preserve">39067</t>
  </si>
  <si>
    <t xml:space="preserve">39068</t>
  </si>
  <si>
    <t xml:space="preserve">Tabela 8 — Engenharia (Aba 39)</t>
  </si>
  <si>
    <t xml:space="preserve">39071</t>
  </si>
  <si>
    <t xml:space="preserve">39072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</si>
  <si>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</si>
  <si>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</si>
  <si>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</si>
  <si>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</si>
  <si>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</si>
  <si>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</si>
  <si>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Tabela 9 — Produto (Aba 39)</t>
  </si>
  <si>
    <t xml:space="preserve">39081</t>
  </si>
  <si>
    <t xml:space="preserve">39082</t>
  </si>
  <si>
    <t xml:space="preserve">39083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</si>
  <si>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</si>
  <si>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</si>
  <si>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</si>
  <si>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</si>
  <si>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</si>
  <si>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Tabela 10 — Design (Aba 39)</t>
  </si>
  <si>
    <t xml:space="preserve">39091</t>
  </si>
  <si>
    <t xml:space="preserve">39092</t>
  </si>
  <si>
    <t xml:space="preserve">39093</t>
  </si>
  <si>
    <t xml:space="preserve">39094</t>
  </si>
  <si>
    <t xml:space="preserve">39095</t>
  </si>
  <si>
    <t xml:space="preserve">39096</t>
  </si>
  <si>
    <t xml:space="preserve">39097</t>
  </si>
  <si>
    <t xml:space="preserve">39098</t>
  </si>
  <si>
    <t xml:space="preserve">Tabela 11 — DevEx (Aba 39)</t>
  </si>
  <si>
    <t xml:space="preserve">39101</t>
  </si>
  <si>
    <t xml:space="preserve">39102</t>
  </si>
  <si>
    <t xml:space="preserve">39103</t>
  </si>
  <si>
    <t xml:space="preserve">39104</t>
  </si>
  <si>
    <t xml:space="preserve">39105</t>
  </si>
  <si>
    <t xml:space="preserve">39106</t>
  </si>
  <si>
    <t xml:space="preserve">39107</t>
  </si>
  <si>
    <t xml:space="preserve">39108</t>
  </si>
  <si>
    <t xml:space="preserve">Tabela 12 — Dados (Aba 39)</t>
  </si>
  <si>
    <t xml:space="preserve">39111</t>
  </si>
  <si>
    <t xml:space="preserve">39112</t>
  </si>
  <si>
    <t xml:space="preserve">39113</t>
  </si>
  <si>
    <t xml:space="preserve">39114</t>
  </si>
  <si>
    <t xml:space="preserve">39115</t>
  </si>
  <si>
    <t xml:space="preserve">39116</t>
  </si>
  <si>
    <t xml:space="preserve">39117</t>
  </si>
  <si>
    <t xml:space="preserve">39118</t>
  </si>
  <si>
    <t xml:space="preserve">Tabela 13 — Infra (Aba 39)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</si>
  <si>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</si>
  <si>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</si>
  <si>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</si>
  <si>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</si>
  <si>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</si>
  <si>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39126</t>
  </si>
  <si>
    <t xml:space="preserve">39127</t>
  </si>
  <si>
    <t xml:space="preserve">39128</t>
  </si>
  <si>
    <t xml:space="preserve">Tabela 14 — Segurança (Aba 39)</t>
  </si>
  <si>
    <t xml:space="preserve">39131</t>
  </si>
  <si>
    <t xml:space="preserve">39132</t>
  </si>
  <si>
    <t xml:space="preserve">39133</t>
  </si>
  <si>
    <t xml:space="preserve">39134</t>
  </si>
  <si>
    <t xml:space="preserve">39135</t>
  </si>
  <si>
    <t xml:space="preserve">39136</t>
  </si>
  <si>
    <t xml:space="preserve">39137</t>
  </si>
  <si>
    <t xml:space="preserve">39138</t>
  </si>
  <si>
    <t xml:space="preserve">Tabela 15 — Engenharia (Aba 39)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</si>
  <si>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</si>
  <si>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</si>
  <si>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</si>
  <si>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</si>
  <si>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</si>
  <si>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</si>
  <si>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39147</t>
  </si>
  <si>
    <t xml:space="preserve">39148</t>
  </si>
  <si>
    <t xml:space="preserve">Tabela 16 — Produto (Aba 39)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</si>
  <si>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</si>
  <si>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</si>
  <si>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</si>
  <si>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</si>
  <si>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</si>
  <si>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</si>
  <si>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</si>
  <si>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</si>
  <si>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Tabela 17 — Design (Aba 39)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</si>
  <si>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</si>
  <si>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</si>
  <si>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</si>
  <si>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</si>
  <si>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</si>
  <si>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</si>
  <si>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</si>
  <si>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</si>
  <si>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Tabela 18 — DevEx (Aba 39)</t>
  </si>
  <si>
    <t xml:space="preserve">39171</t>
  </si>
  <si>
    <t xml:space="preserve">39172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</si>
  <si>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</si>
  <si>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</si>
  <si>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</si>
  <si>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</si>
  <si>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</si>
  <si>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</si>
  <si>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Tabela 19 — Dados (Aba 39)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</si>
  <si>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</si>
  <si>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</si>
  <si>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</si>
  <si>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</si>
  <si>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</si>
  <si>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</si>
  <si>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</si>
  <si>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</si>
  <si>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Tabela 20 — Infra (Aba 39)</t>
  </si>
  <si>
    <t xml:space="preserve">39191</t>
  </si>
  <si>
    <t xml:space="preserve">39192</t>
  </si>
  <si>
    <t xml:space="preserve">39193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</si>
  <si>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</si>
  <si>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</si>
  <si>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</si>
  <si>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</si>
  <si>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</si>
  <si>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Tabela 21 — Segurança (Aba 39)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</si>
  <si>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</si>
  <si>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</si>
  <si>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</si>
  <si>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</si>
  <si>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</si>
  <si>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39206</t>
  </si>
  <si>
    <t xml:space="preserve">39207</t>
  </si>
  <si>
    <t xml:space="preserve">39208</t>
  </si>
  <si>
    <t xml:space="preserve">Tabela 22 — Engenharia (Aba 39)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</si>
  <si>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</si>
  <si>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</si>
  <si>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</si>
  <si>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</si>
  <si>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</si>
  <si>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</si>
  <si>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</si>
  <si>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</si>
  <si>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Tabela 23 — Produto (Aba 39)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</si>
  <si>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</si>
  <si>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</si>
  <si>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</si>
  <si>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</si>
  <si>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</si>
  <si>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</si>
  <si>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</si>
  <si>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</si>
  <si>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Tabela 24 — Design (Aba 39)</t>
  </si>
  <si>
    <t xml:space="preserve">39231</t>
  </si>
  <si>
    <t xml:space="preserve">39232</t>
  </si>
  <si>
    <t xml:space="preserve">39233</t>
  </si>
  <si>
    <t xml:space="preserve">39234</t>
  </si>
  <si>
    <t xml:space="preserve">39235</t>
  </si>
  <si>
    <t xml:space="preserve">39236</t>
  </si>
  <si>
    <t xml:space="preserve">39237</t>
  </si>
  <si>
    <t xml:space="preserve">39238</t>
  </si>
  <si>
    <t xml:space="preserve">Tabela 25 — DevEx (Aba 39)</t>
  </si>
  <si>
    <t xml:space="preserve">39241</t>
  </si>
  <si>
    <t xml:space="preserve">39242</t>
  </si>
  <si>
    <t xml:space="preserve">39243</t>
  </si>
  <si>
    <t xml:space="preserve">39244</t>
  </si>
  <si>
    <t xml:space="preserve">39245</t>
  </si>
  <si>
    <t xml:space="preserve">39246</t>
  </si>
  <si>
    <t xml:space="preserve">39247</t>
  </si>
  <si>
    <t xml:space="preserve">39248</t>
  </si>
  <si>
    <t xml:space="preserve">Tabela 26 — Dados (Aba 39)</t>
  </si>
  <si>
    <t xml:space="preserve">39251</t>
  </si>
  <si>
    <t xml:space="preserve">39252</t>
  </si>
  <si>
    <t xml:space="preserve">39253</t>
  </si>
  <si>
    <t xml:space="preserve">39254</t>
  </si>
  <si>
    <t xml:space="preserve">39255</t>
  </si>
  <si>
    <t xml:space="preserve">39256</t>
  </si>
  <si>
    <t xml:space="preserve">39257</t>
  </si>
  <si>
    <t xml:space="preserve">39258</t>
  </si>
  <si>
    <t xml:space="preserve">Tabela 27 — Infra (Aba 39)</t>
  </si>
  <si>
    <t xml:space="preserve">39261</t>
  </si>
  <si>
    <t xml:space="preserve">39262</t>
  </si>
  <si>
    <t xml:space="preserve">39263</t>
  </si>
  <si>
    <t xml:space="preserve">39264</t>
  </si>
  <si>
    <t xml:space="preserve">39265</t>
  </si>
  <si>
    <t xml:space="preserve">39266</t>
  </si>
  <si>
    <t xml:space="preserve">39267</t>
  </si>
  <si>
    <t xml:space="preserve">39268</t>
  </si>
  <si>
    <t xml:space="preserve">Tabela 28 — Segurança (Aba 39)</t>
  </si>
  <si>
    <t xml:space="preserve">39271</t>
  </si>
  <si>
    <t xml:space="preserve">39272</t>
  </si>
  <si>
    <t xml:space="preserve">39273</t>
  </si>
  <si>
    <t xml:space="preserve">39274</t>
  </si>
  <si>
    <t xml:space="preserve">39275</t>
  </si>
  <si>
    <t xml:space="preserve">39276</t>
  </si>
  <si>
    <t xml:space="preserve">39277</t>
  </si>
  <si>
    <t xml:space="preserve">39278</t>
  </si>
  <si>
    <t xml:space="preserve">Tabela 29 — Engenharia (Aba 39)</t>
  </si>
  <si>
    <t xml:space="preserve">39281</t>
  </si>
  <si>
    <t xml:space="preserve">39282</t>
  </si>
  <si>
    <t xml:space="preserve">39283</t>
  </si>
  <si>
    <t xml:space="preserve">39284</t>
  </si>
  <si>
    <t xml:space="preserve">39285</t>
  </si>
  <si>
    <t xml:space="preserve">39286</t>
  </si>
  <si>
    <t xml:space="preserve">39287</t>
  </si>
  <si>
    <t xml:space="preserve">39288</t>
  </si>
  <si>
    <t xml:space="preserve">Tabela 30 — Produto (Aba 39)</t>
  </si>
  <si>
    <t xml:space="preserve">39291</t>
  </si>
  <si>
    <t xml:space="preserve">39292</t>
  </si>
  <si>
    <t xml:space="preserve">39293</t>
  </si>
  <si>
    <t xml:space="preserve">39294</t>
  </si>
  <si>
    <t xml:space="preserve">39295</t>
  </si>
  <si>
    <t xml:space="preserve">39296</t>
  </si>
  <si>
    <t xml:space="preserve">39297</t>
  </si>
  <si>
    <t xml:space="preserve">39298</t>
  </si>
  <si>
    <t xml:space="preserve">Planilha — Aba 40 | Relatório de Equipe</t>
  </si>
  <si>
    <t xml:space="preserve">Tabela 1 — Engenharia (Aba 40)</t>
  </si>
  <si>
    <t xml:space="preserve">40001</t>
  </si>
  <si>
    <t xml:space="preserve">40002</t>
  </si>
  <si>
    <t xml:space="preserve">40003</t>
  </si>
  <si>
    <t xml:space="preserve">40004</t>
  </si>
  <si>
    <t xml:space="preserve">40005</t>
  </si>
  <si>
    <t xml:space="preserve">40006</t>
  </si>
  <si>
    <t xml:space="preserve">40007</t>
  </si>
  <si>
    <t xml:space="preserve">40008</t>
  </si>
  <si>
    <t xml:space="preserve">Tabela 2 — Produto (Aba 40)</t>
  </si>
  <si>
    <t xml:space="preserve">40011</t>
  </si>
  <si>
    <t xml:space="preserve">40012</t>
  </si>
  <si>
    <t xml:space="preserve">40013</t>
  </si>
  <si>
    <t xml:space="preserve">40014</t>
  </si>
  <si>
    <t xml:space="preserve">40015</t>
  </si>
  <si>
    <t xml:space="preserve">40016</t>
  </si>
  <si>
    <t xml:space="preserve">40017</t>
  </si>
  <si>
    <t xml:space="preserve">40018</t>
  </si>
  <si>
    <t xml:space="preserve">Tabela 3 — Design (Aba 40)</t>
  </si>
  <si>
    <t xml:space="preserve">40021</t>
  </si>
  <si>
    <t xml:space="preserve">40022</t>
  </si>
  <si>
    <t xml:space="preserve">40023</t>
  </si>
  <si>
    <t xml:space="preserve">40024</t>
  </si>
  <si>
    <t xml:space="preserve">40025</t>
  </si>
  <si>
    <t xml:space="preserve">40026</t>
  </si>
  <si>
    <t xml:space="preserve">40027</t>
  </si>
  <si>
    <t xml:space="preserve">40028</t>
  </si>
  <si>
    <t xml:space="preserve">Tabela 4 — DevEx (Aba 40)</t>
  </si>
  <si>
    <t xml:space="preserve">40031</t>
  </si>
  <si>
    <t xml:space="preserve">40032</t>
  </si>
  <si>
    <t xml:space="preserve">40033</t>
  </si>
  <si>
    <t xml:space="preserve">40034</t>
  </si>
  <si>
    <t xml:space="preserve">40035</t>
  </si>
  <si>
    <t xml:space="preserve">40036</t>
  </si>
  <si>
    <t xml:space="preserve">40037</t>
  </si>
  <si>
    <t xml:space="preserve">40038</t>
  </si>
  <si>
    <t xml:space="preserve">Tabela 5 — Dados (Aba 40)</t>
  </si>
  <si>
    <t xml:space="preserve">40041</t>
  </si>
  <si>
    <t xml:space="preserve">40042</t>
  </si>
  <si>
    <t xml:space="preserve">40043</t>
  </si>
  <si>
    <t xml:space="preserve">40044</t>
  </si>
  <si>
    <t xml:space="preserve">40045</t>
  </si>
  <si>
    <t xml:space="preserve">40046</t>
  </si>
  <si>
    <t xml:space="preserve">40047</t>
  </si>
  <si>
    <t xml:space="preserve">40048</t>
  </si>
  <si>
    <t xml:space="preserve">Tabela 6 — Infra (Aba 40)</t>
  </si>
  <si>
    <t xml:space="preserve">40051</t>
  </si>
  <si>
    <t xml:space="preserve">40052</t>
  </si>
  <si>
    <t xml:space="preserve">40053</t>
  </si>
  <si>
    <t xml:space="preserve">40054</t>
  </si>
  <si>
    <t xml:space="preserve">40055</t>
  </si>
  <si>
    <t xml:space="preserve">40056</t>
  </si>
  <si>
    <t xml:space="preserve">40057</t>
  </si>
  <si>
    <t xml:space="preserve">40058</t>
  </si>
  <si>
    <t xml:space="preserve">Tabela 7 — Segurança (Aba 40)</t>
  </si>
  <si>
    <t xml:space="preserve">40061</t>
  </si>
  <si>
    <t xml:space="preserve">40062</t>
  </si>
  <si>
    <t xml:space="preserve">40063</t>
  </si>
  <si>
    <t xml:space="preserve">40064</t>
  </si>
  <si>
    <t xml:space="preserve">40065</t>
  </si>
  <si>
    <t xml:space="preserve">40066</t>
  </si>
  <si>
    <t xml:space="preserve">40067</t>
  </si>
  <si>
    <t xml:space="preserve">40068</t>
  </si>
  <si>
    <t xml:space="preserve">Tabela 8 — Engenharia (Aba 40)</t>
  </si>
  <si>
    <t xml:space="preserve">40071</t>
  </si>
  <si>
    <t xml:space="preserve">40072</t>
  </si>
  <si>
    <t xml:space="preserve">40073</t>
  </si>
  <si>
    <t xml:space="preserve">40074</t>
  </si>
  <si>
    <t xml:space="preserve">40075</t>
  </si>
  <si>
    <t xml:space="preserve">40076</t>
  </si>
  <si>
    <t xml:space="preserve">40077</t>
  </si>
  <si>
    <t xml:space="preserve">40078</t>
  </si>
  <si>
    <t xml:space="preserve">Tabela 9 — Produto (Aba 40)</t>
  </si>
  <si>
    <t xml:space="preserve">40081</t>
  </si>
  <si>
    <t xml:space="preserve">40082</t>
  </si>
  <si>
    <t xml:space="preserve">40083</t>
  </si>
  <si>
    <t xml:space="preserve">40084</t>
  </si>
  <si>
    <t xml:space="preserve">40085</t>
  </si>
  <si>
    <t xml:space="preserve">40086</t>
  </si>
  <si>
    <t xml:space="preserve">40087</t>
  </si>
  <si>
    <t xml:space="preserve">40088</t>
  </si>
  <si>
    <t xml:space="preserve">Tabela 10 — Design (Aba 40)</t>
  </si>
  <si>
    <t xml:space="preserve">40091</t>
  </si>
  <si>
    <t xml:space="preserve">40092</t>
  </si>
  <si>
    <t xml:space="preserve">40093</t>
  </si>
  <si>
    <t xml:space="preserve">40094</t>
  </si>
  <si>
    <t xml:space="preserve">40095</t>
  </si>
  <si>
    <t xml:space="preserve">40096</t>
  </si>
  <si>
    <t xml:space="preserve">40097</t>
  </si>
  <si>
    <t xml:space="preserve">40098</t>
  </si>
  <si>
    <t xml:space="preserve">Tabela 11 — DevEx (Aba 40)</t>
  </si>
  <si>
    <t xml:space="preserve">40101</t>
  </si>
  <si>
    <t xml:space="preserve">40102</t>
  </si>
  <si>
    <t xml:space="preserve">40103</t>
  </si>
  <si>
    <t xml:space="preserve">40104</t>
  </si>
  <si>
    <t xml:space="preserve">40105</t>
  </si>
  <si>
    <t xml:space="preserve">40106</t>
  </si>
  <si>
    <t xml:space="preserve">40107</t>
  </si>
  <si>
    <t xml:space="preserve">40108</t>
  </si>
  <si>
    <t xml:space="preserve">Tabela 12 — Dados (Aba 40)</t>
  </si>
  <si>
    <t xml:space="preserve">40111</t>
  </si>
  <si>
    <t xml:space="preserve">40112</t>
  </si>
  <si>
    <t xml:space="preserve">40113</t>
  </si>
  <si>
    <t xml:space="preserve">40114</t>
  </si>
  <si>
    <t xml:space="preserve">40115</t>
  </si>
  <si>
    <t xml:space="preserve">40116</t>
  </si>
  <si>
    <t xml:space="preserve">40117</t>
  </si>
  <si>
    <t xml:space="preserve">40118</t>
  </si>
  <si>
    <t xml:space="preserve">Tabela 13 — Infra (Aba 40)</t>
  </si>
  <si>
    <t xml:space="preserve">40121</t>
  </si>
  <si>
    <t xml:space="preserve">40122</t>
  </si>
  <si>
    <t xml:space="preserve">40123</t>
  </si>
  <si>
    <t xml:space="preserve">40124</t>
  </si>
  <si>
    <t xml:space="preserve">40125</t>
  </si>
  <si>
    <t xml:space="preserve">40126</t>
  </si>
  <si>
    <t xml:space="preserve">40127</t>
  </si>
  <si>
    <t xml:space="preserve">40128</t>
  </si>
  <si>
    <t xml:space="preserve">Tabela 14 — Segurança (Aba 40)</t>
  </si>
  <si>
    <t xml:space="preserve">40131</t>
  </si>
  <si>
    <t xml:space="preserve">40132</t>
  </si>
  <si>
    <t xml:space="preserve">40133</t>
  </si>
  <si>
    <t xml:space="preserve">40134</t>
  </si>
  <si>
    <t xml:space="preserve">40135</t>
  </si>
  <si>
    <t xml:space="preserve">40136</t>
  </si>
  <si>
    <t xml:space="preserve">40137</t>
  </si>
  <si>
    <t xml:space="preserve">40138</t>
  </si>
  <si>
    <t xml:space="preserve">Tabela 15 — Engenharia (Aba 40)</t>
  </si>
  <si>
    <t xml:space="preserve">40141</t>
  </si>
  <si>
    <t xml:space="preserve">40142</t>
  </si>
  <si>
    <t xml:space="preserve">40143</t>
  </si>
  <si>
    <t xml:space="preserve">40144</t>
  </si>
  <si>
    <t xml:space="preserve">40145</t>
  </si>
  <si>
    <t xml:space="preserve">40146</t>
  </si>
  <si>
    <t xml:space="preserve">40147</t>
  </si>
  <si>
    <t xml:space="preserve">40148</t>
  </si>
  <si>
    <t xml:space="preserve">Tabela 16 — Produto (Aba 40)</t>
  </si>
  <si>
    <t xml:space="preserve">40151</t>
  </si>
  <si>
    <t xml:space="preserve">40152</t>
  </si>
  <si>
    <t xml:space="preserve">40153</t>
  </si>
  <si>
    <t xml:space="preserve">40154</t>
  </si>
  <si>
    <t xml:space="preserve">40155</t>
  </si>
  <si>
    <t xml:space="preserve">40156</t>
  </si>
  <si>
    <t xml:space="preserve">40157</t>
  </si>
  <si>
    <t xml:space="preserve">40158</t>
  </si>
  <si>
    <t xml:space="preserve">Tabela 17 — Design (Aba 40)</t>
  </si>
  <si>
    <t xml:space="preserve">40161</t>
  </si>
  <si>
    <t xml:space="preserve">40162</t>
  </si>
  <si>
    <t xml:space="preserve">40163</t>
  </si>
  <si>
    <t xml:space="preserve">40164</t>
  </si>
  <si>
    <t xml:space="preserve">40165</t>
  </si>
  <si>
    <t xml:space="preserve">40166</t>
  </si>
  <si>
    <t xml:space="preserve">40167</t>
  </si>
  <si>
    <t xml:space="preserve">40168</t>
  </si>
  <si>
    <t xml:space="preserve">Tabela 18 — DevEx (Aba 40)</t>
  </si>
  <si>
    <t xml:space="preserve">40171</t>
  </si>
  <si>
    <t xml:space="preserve">40172</t>
  </si>
  <si>
    <t xml:space="preserve">40173</t>
  </si>
  <si>
    <t xml:space="preserve">40174</t>
  </si>
  <si>
    <t xml:space="preserve">40175</t>
  </si>
  <si>
    <t xml:space="preserve">40176</t>
  </si>
  <si>
    <t xml:space="preserve">40177</t>
  </si>
  <si>
    <t xml:space="preserve">40178</t>
  </si>
  <si>
    <t xml:space="preserve">Tabela 19 — Dados (Aba 40)</t>
  </si>
  <si>
    <t xml:space="preserve">40181</t>
  </si>
  <si>
    <t xml:space="preserve">40182</t>
  </si>
  <si>
    <t xml:space="preserve">40183</t>
  </si>
  <si>
    <t xml:space="preserve">40184</t>
  </si>
  <si>
    <t xml:space="preserve">40185</t>
  </si>
  <si>
    <t xml:space="preserve">40186</t>
  </si>
  <si>
    <t xml:space="preserve">40187</t>
  </si>
  <si>
    <t xml:space="preserve">40188</t>
  </si>
  <si>
    <t xml:space="preserve">Tabela 20 — Infra (Aba 40)</t>
  </si>
  <si>
    <t xml:space="preserve">40191</t>
  </si>
  <si>
    <t xml:space="preserve">40192</t>
  </si>
  <si>
    <t xml:space="preserve">40193</t>
  </si>
  <si>
    <t xml:space="preserve">40194</t>
  </si>
  <si>
    <t xml:space="preserve">40195</t>
  </si>
  <si>
    <t xml:space="preserve">40196</t>
  </si>
  <si>
    <t xml:space="preserve">40197</t>
  </si>
  <si>
    <t xml:space="preserve">40198</t>
  </si>
  <si>
    <t xml:space="preserve">Tabela 21 — Segurança (Aba 40)</t>
  </si>
  <si>
    <t xml:space="preserve">40201</t>
  </si>
  <si>
    <t xml:space="preserve">40202</t>
  </si>
  <si>
    <t xml:space="preserve">40203</t>
  </si>
  <si>
    <t xml:space="preserve">40204</t>
  </si>
  <si>
    <t xml:space="preserve">40205</t>
  </si>
  <si>
    <t xml:space="preserve">40206</t>
  </si>
  <si>
    <t xml:space="preserve">40207</t>
  </si>
  <si>
    <t xml:space="preserve">40208</t>
  </si>
  <si>
    <t xml:space="preserve">Tabela 22 — Engenharia (Aba 40)</t>
  </si>
  <si>
    <t xml:space="preserve">40211</t>
  </si>
  <si>
    <t xml:space="preserve">40212</t>
  </si>
  <si>
    <t xml:space="preserve">40213</t>
  </si>
  <si>
    <t xml:space="preserve">40214</t>
  </si>
  <si>
    <t xml:space="preserve">40215</t>
  </si>
  <si>
    <t xml:space="preserve">40216</t>
  </si>
  <si>
    <t xml:space="preserve">40217</t>
  </si>
  <si>
    <t xml:space="preserve">40218</t>
  </si>
  <si>
    <t xml:space="preserve">Tabela 23 — Produto (Aba 40)</t>
  </si>
  <si>
    <t xml:space="preserve">40221</t>
  </si>
  <si>
    <t xml:space="preserve">40222</t>
  </si>
  <si>
    <t xml:space="preserve">40223</t>
  </si>
  <si>
    <t xml:space="preserve">40224</t>
  </si>
  <si>
    <t xml:space="preserve">40225</t>
  </si>
  <si>
    <t xml:space="preserve">40226</t>
  </si>
  <si>
    <t xml:space="preserve">40227</t>
  </si>
  <si>
    <t xml:space="preserve">40228</t>
  </si>
  <si>
    <t xml:space="preserve">Tabela 24 — Design (Aba 40)</t>
  </si>
  <si>
    <t xml:space="preserve">40231</t>
  </si>
  <si>
    <t xml:space="preserve">40232</t>
  </si>
  <si>
    <t xml:space="preserve">40233</t>
  </si>
  <si>
    <t xml:space="preserve">40234</t>
  </si>
  <si>
    <t xml:space="preserve">40235</t>
  </si>
  <si>
    <t xml:space="preserve">40236</t>
  </si>
  <si>
    <t xml:space="preserve">40237</t>
  </si>
  <si>
    <t xml:space="preserve">40238</t>
  </si>
  <si>
    <t xml:space="preserve">Tabela 25 — DevEx (Aba 40)</t>
  </si>
  <si>
    <t xml:space="preserve">40241</t>
  </si>
  <si>
    <t xml:space="preserve">40242</t>
  </si>
  <si>
    <t xml:space="preserve">40243</t>
  </si>
  <si>
    <t xml:space="preserve">40244</t>
  </si>
  <si>
    <t xml:space="preserve">40245</t>
  </si>
  <si>
    <t xml:space="preserve">40246</t>
  </si>
  <si>
    <t xml:space="preserve">40247</t>
  </si>
  <si>
    <t xml:space="preserve">40248</t>
  </si>
  <si>
    <t xml:space="preserve">Tabela 26 — Dados (Aba 40)</t>
  </si>
  <si>
    <t xml:space="preserve">40251</t>
  </si>
  <si>
    <t xml:space="preserve">40252</t>
  </si>
  <si>
    <t xml:space="preserve">40253</t>
  </si>
  <si>
    <t xml:space="preserve">40254</t>
  </si>
  <si>
    <t xml:space="preserve">40255</t>
  </si>
  <si>
    <t xml:space="preserve">40256</t>
  </si>
  <si>
    <t xml:space="preserve">40257</t>
  </si>
  <si>
    <t xml:space="preserve">40258</t>
  </si>
  <si>
    <t xml:space="preserve">Tabela 27 — Infra (Aba 40)</t>
  </si>
  <si>
    <t xml:space="preserve">40261</t>
  </si>
  <si>
    <t xml:space="preserve">40262</t>
  </si>
  <si>
    <t xml:space="preserve">40263</t>
  </si>
  <si>
    <t xml:space="preserve">40264</t>
  </si>
  <si>
    <t xml:space="preserve">40265</t>
  </si>
  <si>
    <t xml:space="preserve">40266</t>
  </si>
  <si>
    <t xml:space="preserve">40267</t>
  </si>
  <si>
    <t xml:space="preserve">40268</t>
  </si>
  <si>
    <t xml:space="preserve">Tabela 28 — Segurança (Aba 40)</t>
  </si>
  <si>
    <t xml:space="preserve">40271</t>
  </si>
  <si>
    <t xml:space="preserve">40272</t>
  </si>
  <si>
    <t xml:space="preserve">40273</t>
  </si>
  <si>
    <t xml:space="preserve">40274</t>
  </si>
  <si>
    <t xml:space="preserve">40275</t>
  </si>
  <si>
    <t xml:space="preserve">40276</t>
  </si>
  <si>
    <t xml:space="preserve">40277</t>
  </si>
  <si>
    <t xml:space="preserve">40278</t>
  </si>
  <si>
    <t xml:space="preserve">Tabela 29 — Engenharia (Aba 40)</t>
  </si>
  <si>
    <t xml:space="preserve">40281</t>
  </si>
  <si>
    <t xml:space="preserve">40282</t>
  </si>
  <si>
    <t xml:space="preserve">40283</t>
  </si>
  <si>
    <t xml:space="preserve">40284</t>
  </si>
  <si>
    <t xml:space="preserve">40285</t>
  </si>
  <si>
    <t xml:space="preserve">40286</t>
  </si>
  <si>
    <t xml:space="preserve">40287</t>
  </si>
  <si>
    <t xml:space="preserve">40288</t>
  </si>
  <si>
    <t xml:space="preserve">Tabela 30 — Produto (Aba 40)</t>
  </si>
  <si>
    <t xml:space="preserve">40291</t>
  </si>
  <si>
    <t xml:space="preserve">40292</t>
  </si>
  <si>
    <t xml:space="preserve">40293</t>
  </si>
  <si>
    <t xml:space="preserve">40294</t>
  </si>
  <si>
    <t xml:space="preserve">40295</t>
  </si>
  <si>
    <t xml:space="preserve">40296</t>
  </si>
  <si>
    <t xml:space="preserve">40297</t>
  </si>
  <si>
    <t xml:space="preserve">40298</t>
  </si>
  <si>
    <t xml:space="preserve">Planilha — Aba 41 | Relatório de Equipe</t>
  </si>
  <si>
    <t xml:space="preserve">Tabela 1 — Engenharia (Aba 41)</t>
  </si>
  <si>
    <t xml:space="preserve">41001</t>
  </si>
  <si>
    <t xml:space="preserve">41002</t>
  </si>
  <si>
    <t xml:space="preserve">41003</t>
  </si>
  <si>
    <t xml:space="preserve">41004</t>
  </si>
  <si>
    <t xml:space="preserve">41005</t>
  </si>
  <si>
    <t xml:space="preserve">41006</t>
  </si>
  <si>
    <t xml:space="preserve">41007</t>
  </si>
  <si>
    <t xml:space="preserve">41008</t>
  </si>
  <si>
    <t xml:space="preserve">Tabela 2 — Produto (Aba 41)</t>
  </si>
  <si>
    <t xml:space="preserve">41011</t>
  </si>
  <si>
    <t xml:space="preserve">41012</t>
  </si>
  <si>
    <t xml:space="preserve">41013</t>
  </si>
  <si>
    <t xml:space="preserve">41014</t>
  </si>
  <si>
    <t xml:space="preserve">41015</t>
  </si>
  <si>
    <t xml:space="preserve">41016</t>
  </si>
  <si>
    <t xml:space="preserve">41017</t>
  </si>
  <si>
    <t xml:space="preserve">41018</t>
  </si>
  <si>
    <t xml:space="preserve">Tabela 3 — Design (Aba 41)</t>
  </si>
  <si>
    <t xml:space="preserve">41021</t>
  </si>
  <si>
    <t xml:space="preserve">41022</t>
  </si>
  <si>
    <t xml:space="preserve">41023</t>
  </si>
  <si>
    <t xml:space="preserve">41024</t>
  </si>
  <si>
    <t xml:space="preserve">41025</t>
  </si>
  <si>
    <t xml:space="preserve">41026</t>
  </si>
  <si>
    <t xml:space="preserve">41027</t>
  </si>
  <si>
    <t xml:space="preserve">41028</t>
  </si>
  <si>
    <t xml:space="preserve">Tabela 4 — DevEx (Aba 41)</t>
  </si>
  <si>
    <t xml:space="preserve">41031</t>
  </si>
  <si>
    <t xml:space="preserve">41032</t>
  </si>
  <si>
    <t xml:space="preserve">41033</t>
  </si>
  <si>
    <t xml:space="preserve">41034</t>
  </si>
  <si>
    <t xml:space="preserve">41035</t>
  </si>
  <si>
    <t xml:space="preserve">41036</t>
  </si>
  <si>
    <t xml:space="preserve">41037</t>
  </si>
  <si>
    <t xml:space="preserve">41038</t>
  </si>
  <si>
    <t xml:space="preserve">Tabela 5 — Dados (Aba 41)</t>
  </si>
  <si>
    <t xml:space="preserve">41041</t>
  </si>
  <si>
    <t xml:space="preserve">41042</t>
  </si>
  <si>
    <t xml:space="preserve">41043</t>
  </si>
  <si>
    <t xml:space="preserve">41044</t>
  </si>
  <si>
    <t xml:space="preserve">41045</t>
  </si>
  <si>
    <t xml:space="preserve">41046</t>
  </si>
  <si>
    <t xml:space="preserve">41047</t>
  </si>
  <si>
    <t xml:space="preserve">41048</t>
  </si>
  <si>
    <t xml:space="preserve">Tabela 6 — Infra (Aba 41)</t>
  </si>
  <si>
    <t xml:space="preserve">41051</t>
  </si>
  <si>
    <t xml:space="preserve">41052</t>
  </si>
  <si>
    <t xml:space="preserve">41053</t>
  </si>
  <si>
    <t xml:space="preserve">41054</t>
  </si>
  <si>
    <t xml:space="preserve">41055</t>
  </si>
  <si>
    <t xml:space="preserve">41056</t>
  </si>
  <si>
    <t xml:space="preserve">41057</t>
  </si>
  <si>
    <t xml:space="preserve">41058</t>
  </si>
  <si>
    <t xml:space="preserve">Tabela 7 — Segurança (Aba 41)</t>
  </si>
  <si>
    <t xml:space="preserve">41061</t>
  </si>
  <si>
    <t xml:space="preserve">41062</t>
  </si>
  <si>
    <t xml:space="preserve">41063</t>
  </si>
  <si>
    <t xml:space="preserve">41064</t>
  </si>
  <si>
    <t xml:space="preserve">41065</t>
  </si>
  <si>
    <t xml:space="preserve">41066</t>
  </si>
  <si>
    <t xml:space="preserve">41067</t>
  </si>
  <si>
    <t xml:space="preserve">41068</t>
  </si>
  <si>
    <t xml:space="preserve">Tabela 8 — Engenharia (Aba 41)</t>
  </si>
  <si>
    <t xml:space="preserve">41071</t>
  </si>
  <si>
    <t xml:space="preserve">41072</t>
  </si>
  <si>
    <t xml:space="preserve">41073</t>
  </si>
  <si>
    <t xml:space="preserve">41074</t>
  </si>
  <si>
    <t xml:space="preserve">41075</t>
  </si>
  <si>
    <t xml:space="preserve">41076</t>
  </si>
  <si>
    <t xml:space="preserve">41077</t>
  </si>
  <si>
    <t xml:space="preserve">41078</t>
  </si>
  <si>
    <t xml:space="preserve">Tabela 9 — Produto (Aba 41)</t>
  </si>
  <si>
    <t xml:space="preserve">41081</t>
  </si>
  <si>
    <t xml:space="preserve">41082</t>
  </si>
  <si>
    <t xml:space="preserve">41083</t>
  </si>
  <si>
    <t xml:space="preserve">41084</t>
  </si>
  <si>
    <t xml:space="preserve">41085</t>
  </si>
  <si>
    <t xml:space="preserve">41086</t>
  </si>
  <si>
    <t xml:space="preserve">41087</t>
  </si>
  <si>
    <t xml:space="preserve">41088</t>
  </si>
  <si>
    <t xml:space="preserve">Tabela 10 — Design (Aba 41)</t>
  </si>
  <si>
    <t xml:space="preserve">41091</t>
  </si>
  <si>
    <t xml:space="preserve">41092</t>
  </si>
  <si>
    <t xml:space="preserve">41093</t>
  </si>
  <si>
    <t xml:space="preserve">41094</t>
  </si>
  <si>
    <t xml:space="preserve">41095</t>
  </si>
  <si>
    <t xml:space="preserve">41096</t>
  </si>
  <si>
    <t xml:space="preserve">41097</t>
  </si>
  <si>
    <t xml:space="preserve">41098</t>
  </si>
  <si>
    <t xml:space="preserve">Tabela 11 — DevEx (Aba 41)</t>
  </si>
  <si>
    <t xml:space="preserve">41101</t>
  </si>
  <si>
    <t xml:space="preserve">41102</t>
  </si>
  <si>
    <t xml:space="preserve">41103</t>
  </si>
  <si>
    <t xml:space="preserve">41104</t>
  </si>
  <si>
    <t xml:space="preserve">41105</t>
  </si>
  <si>
    <t xml:space="preserve">41106</t>
  </si>
  <si>
    <t xml:space="preserve">41107</t>
  </si>
  <si>
    <t xml:space="preserve">41108</t>
  </si>
  <si>
    <t xml:space="preserve">Tabela 12 — Dados (Aba 41)</t>
  </si>
  <si>
    <t xml:space="preserve">41111</t>
  </si>
  <si>
    <t xml:space="preserve">41112</t>
  </si>
  <si>
    <t xml:space="preserve">41113</t>
  </si>
  <si>
    <t xml:space="preserve">41114</t>
  </si>
  <si>
    <t xml:space="preserve">41115</t>
  </si>
  <si>
    <t xml:space="preserve">41116</t>
  </si>
  <si>
    <t xml:space="preserve">41117</t>
  </si>
  <si>
    <t xml:space="preserve">41118</t>
  </si>
  <si>
    <t xml:space="preserve">Tabela 13 — Infra (Aba 41)</t>
  </si>
  <si>
    <t xml:space="preserve">41121</t>
  </si>
  <si>
    <t xml:space="preserve">41122</t>
  </si>
  <si>
    <t xml:space="preserve">41123</t>
  </si>
  <si>
    <t xml:space="preserve">41124</t>
  </si>
  <si>
    <t xml:space="preserve">41125</t>
  </si>
  <si>
    <t xml:space="preserve">41126</t>
  </si>
  <si>
    <t xml:space="preserve">41127</t>
  </si>
  <si>
    <t xml:space="preserve">41128</t>
  </si>
  <si>
    <t xml:space="preserve">Tabela 14 — Segurança (Aba 41)</t>
  </si>
  <si>
    <t xml:space="preserve">41131</t>
  </si>
  <si>
    <t xml:space="preserve">41132</t>
  </si>
  <si>
    <t xml:space="preserve">41133</t>
  </si>
  <si>
    <t xml:space="preserve">41134</t>
  </si>
  <si>
    <t xml:space="preserve">41135</t>
  </si>
  <si>
    <t xml:space="preserve">41136</t>
  </si>
  <si>
    <t xml:space="preserve">41137</t>
  </si>
  <si>
    <t xml:space="preserve">41138</t>
  </si>
  <si>
    <t xml:space="preserve">Tabela 15 — Engenharia (Aba 41)</t>
  </si>
  <si>
    <t xml:space="preserve">41141</t>
  </si>
  <si>
    <t xml:space="preserve">41142</t>
  </si>
  <si>
    <t xml:space="preserve">41143</t>
  </si>
  <si>
    <t xml:space="preserve">41144</t>
  </si>
  <si>
    <t xml:space="preserve">41145</t>
  </si>
  <si>
    <t xml:space="preserve">41146</t>
  </si>
  <si>
    <t xml:space="preserve">41147</t>
  </si>
  <si>
    <t xml:space="preserve">41148</t>
  </si>
  <si>
    <t xml:space="preserve">Tabela 16 — Produto (Aba 41)</t>
  </si>
  <si>
    <t xml:space="preserve">41151</t>
  </si>
  <si>
    <t xml:space="preserve">41152</t>
  </si>
  <si>
    <t xml:space="preserve">41153</t>
  </si>
  <si>
    <t xml:space="preserve">41154</t>
  </si>
  <si>
    <t xml:space="preserve">41155</t>
  </si>
  <si>
    <t xml:space="preserve">41156</t>
  </si>
  <si>
    <t xml:space="preserve">41157</t>
  </si>
  <si>
    <t xml:space="preserve">41158</t>
  </si>
  <si>
    <t xml:space="preserve">Tabela 17 — Design (Aba 41)</t>
  </si>
  <si>
    <t xml:space="preserve">41161</t>
  </si>
  <si>
    <t xml:space="preserve">41162</t>
  </si>
  <si>
    <t xml:space="preserve">41163</t>
  </si>
  <si>
    <t xml:space="preserve">41164</t>
  </si>
  <si>
    <t xml:space="preserve">41165</t>
  </si>
  <si>
    <t xml:space="preserve">41166</t>
  </si>
  <si>
    <t xml:space="preserve">41167</t>
  </si>
  <si>
    <t xml:space="preserve">41168</t>
  </si>
  <si>
    <t xml:space="preserve">Tabela 18 — DevEx (Aba 41)</t>
  </si>
  <si>
    <t xml:space="preserve">41171</t>
  </si>
  <si>
    <t xml:space="preserve">41172</t>
  </si>
  <si>
    <t xml:space="preserve">41173</t>
  </si>
  <si>
    <t xml:space="preserve">41174</t>
  </si>
  <si>
    <t xml:space="preserve">41175</t>
  </si>
  <si>
    <t xml:space="preserve">41176</t>
  </si>
  <si>
    <t xml:space="preserve">41177</t>
  </si>
  <si>
    <t xml:space="preserve">41178</t>
  </si>
  <si>
    <t xml:space="preserve">Tabela 19 — Dados (Aba 41)</t>
  </si>
  <si>
    <t xml:space="preserve">41181</t>
  </si>
  <si>
    <t xml:space="preserve">41182</t>
  </si>
  <si>
    <t xml:space="preserve">41183</t>
  </si>
  <si>
    <t xml:space="preserve">41184</t>
  </si>
  <si>
    <t xml:space="preserve">41185</t>
  </si>
  <si>
    <t xml:space="preserve">41186</t>
  </si>
  <si>
    <t xml:space="preserve">41187</t>
  </si>
  <si>
    <t xml:space="preserve">41188</t>
  </si>
  <si>
    <t xml:space="preserve">Tabela 20 — Infra (Aba 41)</t>
  </si>
  <si>
    <t xml:space="preserve">41191</t>
  </si>
  <si>
    <t xml:space="preserve">41192</t>
  </si>
  <si>
    <t xml:space="preserve">41193</t>
  </si>
  <si>
    <t xml:space="preserve">41194</t>
  </si>
  <si>
    <t xml:space="preserve">41195</t>
  </si>
  <si>
    <t xml:space="preserve">41196</t>
  </si>
  <si>
    <t xml:space="preserve">41197</t>
  </si>
  <si>
    <t xml:space="preserve">41198</t>
  </si>
  <si>
    <t xml:space="preserve">Tabela 21 — Segurança (Aba 41)</t>
  </si>
  <si>
    <t xml:space="preserve">41201</t>
  </si>
  <si>
    <t xml:space="preserve">41202</t>
  </si>
  <si>
    <t xml:space="preserve">41203</t>
  </si>
  <si>
    <t xml:space="preserve">41204</t>
  </si>
  <si>
    <t xml:space="preserve">41205</t>
  </si>
  <si>
    <t xml:space="preserve">41206</t>
  </si>
  <si>
    <t xml:space="preserve">41207</t>
  </si>
  <si>
    <t xml:space="preserve">41208</t>
  </si>
  <si>
    <t xml:space="preserve">Tabela 22 — Engenharia (Aba 41)</t>
  </si>
  <si>
    <t xml:space="preserve">41211</t>
  </si>
  <si>
    <t xml:space="preserve">41212</t>
  </si>
  <si>
    <t xml:space="preserve">41213</t>
  </si>
  <si>
    <t xml:space="preserve">41214</t>
  </si>
  <si>
    <t xml:space="preserve">41215</t>
  </si>
  <si>
    <t xml:space="preserve">41216</t>
  </si>
  <si>
    <t xml:space="preserve">41217</t>
  </si>
  <si>
    <t xml:space="preserve">41218</t>
  </si>
  <si>
    <t xml:space="preserve">Tabela 23 — Produto (Aba 41)</t>
  </si>
  <si>
    <t xml:space="preserve">41221</t>
  </si>
  <si>
    <t xml:space="preserve">41222</t>
  </si>
  <si>
    <t xml:space="preserve">41223</t>
  </si>
  <si>
    <t xml:space="preserve">41224</t>
  </si>
  <si>
    <t xml:space="preserve">41225</t>
  </si>
  <si>
    <t xml:space="preserve">41226</t>
  </si>
  <si>
    <t xml:space="preserve">41227</t>
  </si>
  <si>
    <t xml:space="preserve">41228</t>
  </si>
  <si>
    <t xml:space="preserve">Tabela 24 — Design (Aba 41)</t>
  </si>
  <si>
    <t xml:space="preserve">41231</t>
  </si>
  <si>
    <t xml:space="preserve">41232</t>
  </si>
  <si>
    <t xml:space="preserve">41233</t>
  </si>
  <si>
    <t xml:space="preserve">41234</t>
  </si>
  <si>
    <t xml:space="preserve">41235</t>
  </si>
  <si>
    <t xml:space="preserve">41236</t>
  </si>
  <si>
    <t xml:space="preserve">41237</t>
  </si>
  <si>
    <t xml:space="preserve">41238</t>
  </si>
  <si>
    <t xml:space="preserve">Tabela 25 — DevEx (Aba 41)</t>
  </si>
  <si>
    <t xml:space="preserve">41241</t>
  </si>
  <si>
    <t xml:space="preserve">41242</t>
  </si>
  <si>
    <t xml:space="preserve">41243</t>
  </si>
  <si>
    <t xml:space="preserve">41244</t>
  </si>
  <si>
    <t xml:space="preserve">41245</t>
  </si>
  <si>
    <t xml:space="preserve">41246</t>
  </si>
  <si>
    <t xml:space="preserve">41247</t>
  </si>
  <si>
    <t xml:space="preserve">41248</t>
  </si>
  <si>
    <t xml:space="preserve">Tabela 26 — Dados (Aba 41)</t>
  </si>
  <si>
    <t xml:space="preserve">41251</t>
  </si>
  <si>
    <t xml:space="preserve">41252</t>
  </si>
  <si>
    <t xml:space="preserve">41253</t>
  </si>
  <si>
    <t xml:space="preserve">41254</t>
  </si>
  <si>
    <t xml:space="preserve">41255</t>
  </si>
  <si>
    <t xml:space="preserve">41256</t>
  </si>
  <si>
    <t xml:space="preserve">41257</t>
  </si>
  <si>
    <t xml:space="preserve">41258</t>
  </si>
  <si>
    <t xml:space="preserve">Tabela 27 — Infra (Aba 41)</t>
  </si>
  <si>
    <t xml:space="preserve">41261</t>
  </si>
  <si>
    <t xml:space="preserve">41262</t>
  </si>
  <si>
    <t xml:space="preserve">41263</t>
  </si>
  <si>
    <t xml:space="preserve">41264</t>
  </si>
  <si>
    <t xml:space="preserve">41265</t>
  </si>
  <si>
    <t xml:space="preserve">41266</t>
  </si>
  <si>
    <t xml:space="preserve">41267</t>
  </si>
  <si>
    <t xml:space="preserve">41268</t>
  </si>
  <si>
    <t xml:space="preserve">Tabela 28 — Segurança (Aba 41)</t>
  </si>
  <si>
    <t xml:space="preserve">41271</t>
  </si>
  <si>
    <t xml:space="preserve">41272</t>
  </si>
  <si>
    <t xml:space="preserve">41273</t>
  </si>
  <si>
    <t xml:space="preserve">41274</t>
  </si>
  <si>
    <t xml:space="preserve">41275</t>
  </si>
  <si>
    <t xml:space="preserve">41276</t>
  </si>
  <si>
    <t xml:space="preserve">41277</t>
  </si>
  <si>
    <t xml:space="preserve">41278</t>
  </si>
  <si>
    <t xml:space="preserve">Tabela 29 — Engenharia (Aba 41)</t>
  </si>
  <si>
    <t xml:space="preserve">41281</t>
  </si>
  <si>
    <t xml:space="preserve">41282</t>
  </si>
  <si>
    <t xml:space="preserve">41283</t>
  </si>
  <si>
    <t xml:space="preserve">41284</t>
  </si>
  <si>
    <t xml:space="preserve">41285</t>
  </si>
  <si>
    <t xml:space="preserve">41286</t>
  </si>
  <si>
    <t xml:space="preserve">41287</t>
  </si>
  <si>
    <t xml:space="preserve">41288</t>
  </si>
  <si>
    <t xml:space="preserve">Tabela 30 — Produto (Aba 41)</t>
  </si>
  <si>
    <t xml:space="preserve">41291</t>
  </si>
  <si>
    <t xml:space="preserve">41292</t>
  </si>
  <si>
    <t xml:space="preserve">41293</t>
  </si>
  <si>
    <t xml:space="preserve">41294</t>
  </si>
  <si>
    <t xml:space="preserve">41295</t>
  </si>
  <si>
    <t xml:space="preserve">41296</t>
  </si>
  <si>
    <t xml:space="preserve">41297</t>
  </si>
  <si>
    <t xml:space="preserve">41298</t>
  </si>
  <si>
    <t xml:space="preserve">Planilha — Aba 42 | Relatório de Equipe</t>
  </si>
  <si>
    <t xml:space="preserve">Tabela 1 — Engenharia (Aba 42)</t>
  </si>
  <si>
    <t xml:space="preserve">42001</t>
  </si>
  <si>
    <t xml:space="preserve">42002</t>
  </si>
  <si>
    <t xml:space="preserve">42003</t>
  </si>
  <si>
    <t xml:space="preserve">42004</t>
  </si>
  <si>
    <t xml:space="preserve">42005</t>
  </si>
  <si>
    <t xml:space="preserve">42006</t>
  </si>
  <si>
    <t xml:space="preserve">42007</t>
  </si>
  <si>
    <t xml:space="preserve">42008</t>
  </si>
  <si>
    <t xml:space="preserve">Tabela 2 — Produto (Aba 42)</t>
  </si>
  <si>
    <t xml:space="preserve">42011</t>
  </si>
  <si>
    <t xml:space="preserve">42012</t>
  </si>
  <si>
    <t xml:space="preserve">42013</t>
  </si>
  <si>
    <t xml:space="preserve">42014</t>
  </si>
  <si>
    <t xml:space="preserve">42015</t>
  </si>
  <si>
    <t xml:space="preserve">42016</t>
  </si>
  <si>
    <t xml:space="preserve">42017</t>
  </si>
  <si>
    <t xml:space="preserve">42018</t>
  </si>
  <si>
    <t xml:space="preserve">Tabela 3 — Design (Aba 42)</t>
  </si>
  <si>
    <t xml:space="preserve">42021</t>
  </si>
  <si>
    <t xml:space="preserve">42022</t>
  </si>
  <si>
    <t xml:space="preserve">42023</t>
  </si>
  <si>
    <t xml:space="preserve">42024</t>
  </si>
  <si>
    <t xml:space="preserve">42025</t>
  </si>
  <si>
    <t xml:space="preserve">42026</t>
  </si>
  <si>
    <t xml:space="preserve">42027</t>
  </si>
  <si>
    <t xml:space="preserve">42028</t>
  </si>
  <si>
    <t xml:space="preserve">Tabela 4 — DevEx (Aba 42)</t>
  </si>
  <si>
    <t xml:space="preserve">42031</t>
  </si>
  <si>
    <t xml:space="preserve">42032</t>
  </si>
  <si>
    <t xml:space="preserve">42033</t>
  </si>
  <si>
    <t xml:space="preserve">42034</t>
  </si>
  <si>
    <t xml:space="preserve">42035</t>
  </si>
  <si>
    <t xml:space="preserve">42036</t>
  </si>
  <si>
    <t xml:space="preserve">42037</t>
  </si>
  <si>
    <t xml:space="preserve">42038</t>
  </si>
  <si>
    <t xml:space="preserve">Tabela 5 — Dados (Aba 42)</t>
  </si>
  <si>
    <t xml:space="preserve">42041</t>
  </si>
  <si>
    <t xml:space="preserve">42042</t>
  </si>
  <si>
    <t xml:space="preserve">42043</t>
  </si>
  <si>
    <t xml:space="preserve">42044</t>
  </si>
  <si>
    <t xml:space="preserve">42045</t>
  </si>
  <si>
    <t xml:space="preserve">42046</t>
  </si>
  <si>
    <t xml:space="preserve">42047</t>
  </si>
  <si>
    <t xml:space="preserve">42048</t>
  </si>
  <si>
    <t xml:space="preserve">Tabela 6 — Infra (Aba 42)</t>
  </si>
  <si>
    <t xml:space="preserve">42051</t>
  </si>
  <si>
    <t xml:space="preserve">42052</t>
  </si>
  <si>
    <t xml:space="preserve">42053</t>
  </si>
  <si>
    <t xml:space="preserve">42054</t>
  </si>
  <si>
    <t xml:space="preserve">42055</t>
  </si>
  <si>
    <t xml:space="preserve">42056</t>
  </si>
  <si>
    <t xml:space="preserve">42057</t>
  </si>
  <si>
    <t xml:space="preserve">42058</t>
  </si>
  <si>
    <t xml:space="preserve">Tabela 7 — Segurança (Aba 42)</t>
  </si>
  <si>
    <t xml:space="preserve">42061</t>
  </si>
  <si>
    <t xml:space="preserve">42062</t>
  </si>
  <si>
    <t xml:space="preserve">42063</t>
  </si>
  <si>
    <t xml:space="preserve">42064</t>
  </si>
  <si>
    <t xml:space="preserve">42065</t>
  </si>
  <si>
    <t xml:space="preserve">42066</t>
  </si>
  <si>
    <t xml:space="preserve">42067</t>
  </si>
  <si>
    <t xml:space="preserve">42068</t>
  </si>
  <si>
    <t xml:space="preserve">Tabela 8 — Engenharia (Aba 42)</t>
  </si>
  <si>
    <t xml:space="preserve">42071</t>
  </si>
  <si>
    <t xml:space="preserve">42072</t>
  </si>
  <si>
    <t xml:space="preserve">42073</t>
  </si>
  <si>
    <t xml:space="preserve">42074</t>
  </si>
  <si>
    <t xml:space="preserve">42075</t>
  </si>
  <si>
    <t xml:space="preserve">42076</t>
  </si>
  <si>
    <t xml:space="preserve">42077</t>
  </si>
  <si>
    <t xml:space="preserve">42078</t>
  </si>
  <si>
    <t xml:space="preserve">Tabela 9 — Produto (Aba 42)</t>
  </si>
  <si>
    <t xml:space="preserve">42081</t>
  </si>
  <si>
    <t xml:space="preserve">42082</t>
  </si>
  <si>
    <t xml:space="preserve">42083</t>
  </si>
  <si>
    <t xml:space="preserve">42084</t>
  </si>
  <si>
    <t xml:space="preserve">42085</t>
  </si>
  <si>
    <t xml:space="preserve">42086</t>
  </si>
  <si>
    <t xml:space="preserve">42087</t>
  </si>
  <si>
    <t xml:space="preserve">42088</t>
  </si>
  <si>
    <t xml:space="preserve">Tabela 10 — Design (Aba 42)</t>
  </si>
  <si>
    <t xml:space="preserve">42091</t>
  </si>
  <si>
    <t xml:space="preserve">42092</t>
  </si>
  <si>
    <t xml:space="preserve">42093</t>
  </si>
  <si>
    <t xml:space="preserve">42094</t>
  </si>
  <si>
    <t xml:space="preserve">42095</t>
  </si>
  <si>
    <t xml:space="preserve">42096</t>
  </si>
  <si>
    <t xml:space="preserve">42097</t>
  </si>
  <si>
    <t xml:space="preserve">42098</t>
  </si>
  <si>
    <t xml:space="preserve">Tabela 11 — DevEx (Aba 42)</t>
  </si>
  <si>
    <t xml:space="preserve">42101</t>
  </si>
  <si>
    <t xml:space="preserve">42102</t>
  </si>
  <si>
    <t xml:space="preserve">42103</t>
  </si>
  <si>
    <t xml:space="preserve">42104</t>
  </si>
  <si>
    <t xml:space="preserve">42105</t>
  </si>
  <si>
    <t xml:space="preserve">42106</t>
  </si>
  <si>
    <t xml:space="preserve">42107</t>
  </si>
  <si>
    <t xml:space="preserve">42108</t>
  </si>
  <si>
    <t xml:space="preserve">Tabela 12 — Dados (Aba 42)</t>
  </si>
  <si>
    <t xml:space="preserve">42111</t>
  </si>
  <si>
    <t xml:space="preserve">42112</t>
  </si>
  <si>
    <t xml:space="preserve">42113</t>
  </si>
  <si>
    <t xml:space="preserve">42114</t>
  </si>
  <si>
    <t xml:space="preserve">42115</t>
  </si>
  <si>
    <t xml:space="preserve">42116</t>
  </si>
  <si>
    <t xml:space="preserve">42117</t>
  </si>
  <si>
    <t xml:space="preserve">42118</t>
  </si>
  <si>
    <t xml:space="preserve">Tabela 13 — Infra (Aba 42)</t>
  </si>
  <si>
    <t xml:space="preserve">42121</t>
  </si>
  <si>
    <t xml:space="preserve">42122</t>
  </si>
  <si>
    <t xml:space="preserve">42123</t>
  </si>
  <si>
    <t xml:space="preserve">42124</t>
  </si>
  <si>
    <t xml:space="preserve">42125</t>
  </si>
  <si>
    <t xml:space="preserve">42126</t>
  </si>
  <si>
    <t xml:space="preserve">42127</t>
  </si>
  <si>
    <t xml:space="preserve">42128</t>
  </si>
  <si>
    <t xml:space="preserve">Tabela 14 — Segurança (Aba 42)</t>
  </si>
  <si>
    <t xml:space="preserve">42131</t>
  </si>
  <si>
    <t xml:space="preserve">42132</t>
  </si>
  <si>
    <t xml:space="preserve">42133</t>
  </si>
  <si>
    <t xml:space="preserve">42134</t>
  </si>
  <si>
    <t xml:space="preserve">42135</t>
  </si>
  <si>
    <t xml:space="preserve">42136</t>
  </si>
  <si>
    <t xml:space="preserve">42137</t>
  </si>
  <si>
    <t xml:space="preserve">42138</t>
  </si>
  <si>
    <t xml:space="preserve">Tabela 15 — Engenharia (Aba 42)</t>
  </si>
  <si>
    <t xml:space="preserve">42141</t>
  </si>
  <si>
    <t xml:space="preserve">42142</t>
  </si>
  <si>
    <t xml:space="preserve">42143</t>
  </si>
  <si>
    <t xml:space="preserve">42144</t>
  </si>
  <si>
    <t xml:space="preserve">42145</t>
  </si>
  <si>
    <t xml:space="preserve">42146</t>
  </si>
  <si>
    <t xml:space="preserve">42147</t>
  </si>
  <si>
    <t xml:space="preserve">42148</t>
  </si>
  <si>
    <t xml:space="preserve">Tabela 16 — Produto (Aba 42)</t>
  </si>
  <si>
    <t xml:space="preserve">42151</t>
  </si>
  <si>
    <t xml:space="preserve">42152</t>
  </si>
  <si>
    <t xml:space="preserve">42153</t>
  </si>
  <si>
    <t xml:space="preserve">42154</t>
  </si>
  <si>
    <t xml:space="preserve">42155</t>
  </si>
  <si>
    <t xml:space="preserve">42156</t>
  </si>
  <si>
    <t xml:space="preserve">42157</t>
  </si>
  <si>
    <t xml:space="preserve">42158</t>
  </si>
  <si>
    <t xml:space="preserve">Tabela 17 — Design (Aba 42)</t>
  </si>
  <si>
    <t xml:space="preserve">42161</t>
  </si>
  <si>
    <t xml:space="preserve">42162</t>
  </si>
  <si>
    <t xml:space="preserve">42163</t>
  </si>
  <si>
    <t xml:space="preserve">42164</t>
  </si>
  <si>
    <t xml:space="preserve">42165</t>
  </si>
  <si>
    <t xml:space="preserve">42166</t>
  </si>
  <si>
    <t xml:space="preserve">42167</t>
  </si>
  <si>
    <t xml:space="preserve">42168</t>
  </si>
  <si>
    <t xml:space="preserve">Tabela 18 — DevEx (Aba 42)</t>
  </si>
  <si>
    <t xml:space="preserve">42171</t>
  </si>
  <si>
    <t xml:space="preserve">42172</t>
  </si>
  <si>
    <t xml:space="preserve">42173</t>
  </si>
  <si>
    <t xml:space="preserve">42174</t>
  </si>
  <si>
    <t xml:space="preserve">42175</t>
  </si>
  <si>
    <t xml:space="preserve">42176</t>
  </si>
  <si>
    <t xml:space="preserve">42177</t>
  </si>
  <si>
    <t xml:space="preserve">42178</t>
  </si>
  <si>
    <t xml:space="preserve">Tabela 19 — Dados (Aba 42)</t>
  </si>
  <si>
    <t xml:space="preserve">42181</t>
  </si>
  <si>
    <t xml:space="preserve">42182</t>
  </si>
  <si>
    <t xml:space="preserve">42183</t>
  </si>
  <si>
    <t xml:space="preserve">42184</t>
  </si>
  <si>
    <t xml:space="preserve">42185</t>
  </si>
  <si>
    <t xml:space="preserve">42186</t>
  </si>
  <si>
    <t xml:space="preserve">42187</t>
  </si>
  <si>
    <t xml:space="preserve">42188</t>
  </si>
  <si>
    <t xml:space="preserve">Tabela 20 — Infra (Aba 42)</t>
  </si>
  <si>
    <t xml:space="preserve">42191</t>
  </si>
  <si>
    <t xml:space="preserve">42192</t>
  </si>
  <si>
    <t xml:space="preserve">42193</t>
  </si>
  <si>
    <t xml:space="preserve">42194</t>
  </si>
  <si>
    <t xml:space="preserve">42195</t>
  </si>
  <si>
    <t xml:space="preserve">42196</t>
  </si>
  <si>
    <t xml:space="preserve">42197</t>
  </si>
  <si>
    <t xml:space="preserve">42198</t>
  </si>
  <si>
    <t xml:space="preserve">Tabela 21 — Segurança (Aba 42)</t>
  </si>
  <si>
    <t xml:space="preserve">42201</t>
  </si>
  <si>
    <t xml:space="preserve">42202</t>
  </si>
  <si>
    <t xml:space="preserve">42203</t>
  </si>
  <si>
    <t xml:space="preserve">42204</t>
  </si>
  <si>
    <t xml:space="preserve">42205</t>
  </si>
  <si>
    <t xml:space="preserve">42206</t>
  </si>
  <si>
    <t xml:space="preserve">42207</t>
  </si>
  <si>
    <t xml:space="preserve">42208</t>
  </si>
  <si>
    <t xml:space="preserve">Tabela 22 — Engenharia (Aba 42)</t>
  </si>
  <si>
    <t xml:space="preserve">42211</t>
  </si>
  <si>
    <t xml:space="preserve">42212</t>
  </si>
  <si>
    <t xml:space="preserve">42213</t>
  </si>
  <si>
    <t xml:space="preserve">42214</t>
  </si>
  <si>
    <t xml:space="preserve">42215</t>
  </si>
  <si>
    <t xml:space="preserve">42216</t>
  </si>
  <si>
    <t xml:space="preserve">42217</t>
  </si>
  <si>
    <t xml:space="preserve">42218</t>
  </si>
  <si>
    <t xml:space="preserve">Tabela 23 — Produto (Aba 42)</t>
  </si>
  <si>
    <t xml:space="preserve">42221</t>
  </si>
  <si>
    <t xml:space="preserve">42222</t>
  </si>
  <si>
    <t xml:space="preserve">42223</t>
  </si>
  <si>
    <t xml:space="preserve">42224</t>
  </si>
  <si>
    <t xml:space="preserve">42225</t>
  </si>
  <si>
    <t xml:space="preserve">42226</t>
  </si>
  <si>
    <t xml:space="preserve">42227</t>
  </si>
  <si>
    <t xml:space="preserve">42228</t>
  </si>
  <si>
    <t xml:space="preserve">Tabela 24 — Design (Aba 42)</t>
  </si>
  <si>
    <t xml:space="preserve">42231</t>
  </si>
  <si>
    <t xml:space="preserve">42232</t>
  </si>
  <si>
    <t xml:space="preserve">42233</t>
  </si>
  <si>
    <t xml:space="preserve">42234</t>
  </si>
  <si>
    <t xml:space="preserve">42235</t>
  </si>
  <si>
    <t xml:space="preserve">42236</t>
  </si>
  <si>
    <t xml:space="preserve">42237</t>
  </si>
  <si>
    <t xml:space="preserve">42238</t>
  </si>
  <si>
    <t xml:space="preserve">Tabela 25 — DevEx (Aba 42)</t>
  </si>
  <si>
    <t xml:space="preserve">42241</t>
  </si>
  <si>
    <t xml:space="preserve">42242</t>
  </si>
  <si>
    <t xml:space="preserve">42243</t>
  </si>
  <si>
    <t xml:space="preserve">42244</t>
  </si>
  <si>
    <t xml:space="preserve">42245</t>
  </si>
  <si>
    <t xml:space="preserve">42246</t>
  </si>
  <si>
    <t xml:space="preserve">42247</t>
  </si>
  <si>
    <t xml:space="preserve">42248</t>
  </si>
  <si>
    <t xml:space="preserve">Tabela 26 — Dados (Aba 42)</t>
  </si>
  <si>
    <t xml:space="preserve">42251</t>
  </si>
  <si>
    <t xml:space="preserve">42252</t>
  </si>
  <si>
    <t xml:space="preserve">42253</t>
  </si>
  <si>
    <t xml:space="preserve">42254</t>
  </si>
  <si>
    <t xml:space="preserve">42255</t>
  </si>
  <si>
    <t xml:space="preserve">42256</t>
  </si>
  <si>
    <t xml:space="preserve">42257</t>
  </si>
  <si>
    <t xml:space="preserve">42258</t>
  </si>
  <si>
    <t xml:space="preserve">Tabela 27 — Infra (Aba 42)</t>
  </si>
  <si>
    <t xml:space="preserve">42261</t>
  </si>
  <si>
    <t xml:space="preserve">42262</t>
  </si>
  <si>
    <t xml:space="preserve">42263</t>
  </si>
  <si>
    <t xml:space="preserve">42264</t>
  </si>
  <si>
    <t xml:space="preserve">42265</t>
  </si>
  <si>
    <t xml:space="preserve">42266</t>
  </si>
  <si>
    <t xml:space="preserve">42267</t>
  </si>
  <si>
    <t xml:space="preserve">42268</t>
  </si>
  <si>
    <t xml:space="preserve">Tabela 28 — Segurança (Aba 42)</t>
  </si>
  <si>
    <t xml:space="preserve">42271</t>
  </si>
  <si>
    <t xml:space="preserve">42272</t>
  </si>
  <si>
    <t xml:space="preserve">42273</t>
  </si>
  <si>
    <t xml:space="preserve">42274</t>
  </si>
  <si>
    <t xml:space="preserve">42275</t>
  </si>
  <si>
    <t xml:space="preserve">42276</t>
  </si>
  <si>
    <t xml:space="preserve">42277</t>
  </si>
  <si>
    <t xml:space="preserve">42278</t>
  </si>
  <si>
    <t xml:space="preserve">Tabela 29 — Engenharia (Aba 42)</t>
  </si>
  <si>
    <t xml:space="preserve">42281</t>
  </si>
  <si>
    <t xml:space="preserve">42282</t>
  </si>
  <si>
    <t xml:space="preserve">42283</t>
  </si>
  <si>
    <t xml:space="preserve">42284</t>
  </si>
  <si>
    <t xml:space="preserve">42285</t>
  </si>
  <si>
    <t xml:space="preserve">42286</t>
  </si>
  <si>
    <t xml:space="preserve">42287</t>
  </si>
  <si>
    <t xml:space="preserve">42288</t>
  </si>
  <si>
    <t xml:space="preserve">Tabela 30 — Produto (Aba 42)</t>
  </si>
  <si>
    <t xml:space="preserve">42291</t>
  </si>
  <si>
    <t xml:space="preserve">42292</t>
  </si>
  <si>
    <t xml:space="preserve">42293</t>
  </si>
  <si>
    <t xml:space="preserve">42294</t>
  </si>
  <si>
    <t xml:space="preserve">42295</t>
  </si>
  <si>
    <t xml:space="preserve">42296</t>
  </si>
  <si>
    <t xml:space="preserve">42297</t>
  </si>
  <si>
    <t xml:space="preserve">42298</t>
  </si>
  <si>
    <t xml:space="preserve">Planilha — Aba 43 | Relatório de Equipe</t>
  </si>
  <si>
    <t xml:space="preserve">Tabela 1 — Engenharia (Aba 43)</t>
  </si>
  <si>
    <t xml:space="preserve">43001</t>
  </si>
  <si>
    <t xml:space="preserve">43002</t>
  </si>
  <si>
    <t xml:space="preserve">43003</t>
  </si>
  <si>
    <t xml:space="preserve">43004</t>
  </si>
  <si>
    <t xml:space="preserve">43005</t>
  </si>
  <si>
    <t xml:space="preserve">43006</t>
  </si>
  <si>
    <t xml:space="preserve">43007</t>
  </si>
  <si>
    <t xml:space="preserve">43008</t>
  </si>
  <si>
    <t xml:space="preserve">Tabela 2 — Produto (Aba 43)</t>
  </si>
  <si>
    <t xml:space="preserve">43011</t>
  </si>
  <si>
    <t xml:space="preserve">43012</t>
  </si>
  <si>
    <t xml:space="preserve">43013</t>
  </si>
  <si>
    <t xml:space="preserve">43014</t>
  </si>
  <si>
    <t xml:space="preserve">43015</t>
  </si>
  <si>
    <t xml:space="preserve">43016</t>
  </si>
  <si>
    <t xml:space="preserve">43017</t>
  </si>
  <si>
    <t xml:space="preserve">43018</t>
  </si>
  <si>
    <t xml:space="preserve">Tabela 3 — Design (Aba 43)</t>
  </si>
  <si>
    <t xml:space="preserve">43021</t>
  </si>
  <si>
    <t xml:space="preserve">43022</t>
  </si>
  <si>
    <t xml:space="preserve">43023</t>
  </si>
  <si>
    <t xml:space="preserve">43024</t>
  </si>
  <si>
    <t xml:space="preserve">43025</t>
  </si>
  <si>
    <t xml:space="preserve">43026</t>
  </si>
  <si>
    <t xml:space="preserve">43027</t>
  </si>
  <si>
    <t xml:space="preserve">43028</t>
  </si>
  <si>
    <t xml:space="preserve">Tabela 4 — DevEx (Aba 43)</t>
  </si>
  <si>
    <t xml:space="preserve">43031</t>
  </si>
  <si>
    <t xml:space="preserve">43032</t>
  </si>
  <si>
    <t xml:space="preserve">43033</t>
  </si>
  <si>
    <t xml:space="preserve">43034</t>
  </si>
  <si>
    <t xml:space="preserve">43035</t>
  </si>
  <si>
    <t xml:space="preserve">43036</t>
  </si>
  <si>
    <t xml:space="preserve">43037</t>
  </si>
  <si>
    <t xml:space="preserve">43038</t>
  </si>
  <si>
    <t xml:space="preserve">Tabela 5 — Dados (Aba 43)</t>
  </si>
  <si>
    <t xml:space="preserve">43041</t>
  </si>
  <si>
    <t xml:space="preserve">43042</t>
  </si>
  <si>
    <t xml:space="preserve">43043</t>
  </si>
  <si>
    <t xml:space="preserve">43044</t>
  </si>
  <si>
    <t xml:space="preserve">43045</t>
  </si>
  <si>
    <t xml:space="preserve">43046</t>
  </si>
  <si>
    <t xml:space="preserve">43047</t>
  </si>
  <si>
    <t xml:space="preserve">43048</t>
  </si>
  <si>
    <t xml:space="preserve">Tabela 6 — Infra (Aba 43)</t>
  </si>
  <si>
    <t xml:space="preserve">43051</t>
  </si>
  <si>
    <t xml:space="preserve">43052</t>
  </si>
  <si>
    <t xml:space="preserve">43053</t>
  </si>
  <si>
    <t xml:space="preserve">43054</t>
  </si>
  <si>
    <t xml:space="preserve">43055</t>
  </si>
  <si>
    <t xml:space="preserve">43056</t>
  </si>
  <si>
    <t xml:space="preserve">43057</t>
  </si>
  <si>
    <t xml:space="preserve">43058</t>
  </si>
  <si>
    <t xml:space="preserve">Tabela 7 — Segurança (Aba 43)</t>
  </si>
  <si>
    <t xml:space="preserve">43061</t>
  </si>
  <si>
    <t xml:space="preserve">43062</t>
  </si>
  <si>
    <t xml:space="preserve">43063</t>
  </si>
  <si>
    <t xml:space="preserve">43064</t>
  </si>
  <si>
    <t xml:space="preserve">43065</t>
  </si>
  <si>
    <t xml:space="preserve">43066</t>
  </si>
  <si>
    <t xml:space="preserve">43067</t>
  </si>
  <si>
    <t xml:space="preserve">43068</t>
  </si>
  <si>
    <t xml:space="preserve">Tabela 8 — Engenharia (Aba 43)</t>
  </si>
  <si>
    <t xml:space="preserve">43071</t>
  </si>
  <si>
    <t xml:space="preserve">43072</t>
  </si>
  <si>
    <t xml:space="preserve">43073</t>
  </si>
  <si>
    <t xml:space="preserve">43074</t>
  </si>
  <si>
    <t xml:space="preserve">43075</t>
  </si>
  <si>
    <t xml:space="preserve">43076</t>
  </si>
  <si>
    <t xml:space="preserve">43077</t>
  </si>
  <si>
    <t xml:space="preserve">43078</t>
  </si>
  <si>
    <t xml:space="preserve">Tabela 9 — Produto (Aba 43)</t>
  </si>
  <si>
    <t xml:space="preserve">43081</t>
  </si>
  <si>
    <t xml:space="preserve">43082</t>
  </si>
  <si>
    <t xml:space="preserve">43083</t>
  </si>
  <si>
    <t xml:space="preserve">43084</t>
  </si>
  <si>
    <t xml:space="preserve">43085</t>
  </si>
  <si>
    <t xml:space="preserve">43086</t>
  </si>
  <si>
    <t xml:space="preserve">43087</t>
  </si>
  <si>
    <t xml:space="preserve">43088</t>
  </si>
  <si>
    <t xml:space="preserve">Tabela 10 — Design (Aba 43)</t>
  </si>
  <si>
    <t xml:space="preserve">43091</t>
  </si>
  <si>
    <t xml:space="preserve">43092</t>
  </si>
  <si>
    <t xml:space="preserve">43093</t>
  </si>
  <si>
    <t xml:space="preserve">43094</t>
  </si>
  <si>
    <t xml:space="preserve">43095</t>
  </si>
  <si>
    <t xml:space="preserve">43096</t>
  </si>
  <si>
    <t xml:space="preserve">43097</t>
  </si>
  <si>
    <t xml:space="preserve">43098</t>
  </si>
  <si>
    <t xml:space="preserve">Tabela 11 — DevEx (Aba 43)</t>
  </si>
  <si>
    <t xml:space="preserve">43101</t>
  </si>
  <si>
    <t xml:space="preserve">43102</t>
  </si>
  <si>
    <t xml:space="preserve">43103</t>
  </si>
  <si>
    <t xml:space="preserve">43104</t>
  </si>
  <si>
    <t xml:space="preserve">43105</t>
  </si>
  <si>
    <t xml:space="preserve">43106</t>
  </si>
  <si>
    <t xml:space="preserve">43107</t>
  </si>
  <si>
    <t xml:space="preserve">43108</t>
  </si>
  <si>
    <t xml:space="preserve">Tabela 12 — Dados (Aba 43)</t>
  </si>
  <si>
    <t xml:space="preserve">43111</t>
  </si>
  <si>
    <t xml:space="preserve">43112</t>
  </si>
  <si>
    <t xml:space="preserve">43113</t>
  </si>
  <si>
    <t xml:space="preserve">43114</t>
  </si>
  <si>
    <t xml:space="preserve">43115</t>
  </si>
  <si>
    <t xml:space="preserve">43116</t>
  </si>
  <si>
    <t xml:space="preserve">43117</t>
  </si>
  <si>
    <t xml:space="preserve">43118</t>
  </si>
  <si>
    <t xml:space="preserve">Tabela 13 — Infra (Aba 43)</t>
  </si>
  <si>
    <t xml:space="preserve">43121</t>
  </si>
  <si>
    <t xml:space="preserve">43122</t>
  </si>
  <si>
    <t xml:space="preserve">43123</t>
  </si>
  <si>
    <t xml:space="preserve">43124</t>
  </si>
  <si>
    <t xml:space="preserve">43125</t>
  </si>
  <si>
    <t xml:space="preserve">43126</t>
  </si>
  <si>
    <t xml:space="preserve">43127</t>
  </si>
  <si>
    <t xml:space="preserve">43128</t>
  </si>
  <si>
    <t xml:space="preserve">Tabela 14 — Segurança (Aba 43)</t>
  </si>
  <si>
    <t xml:space="preserve">43131</t>
  </si>
  <si>
    <t xml:space="preserve">43132</t>
  </si>
  <si>
    <t xml:space="preserve">43133</t>
  </si>
  <si>
    <t xml:space="preserve">43134</t>
  </si>
  <si>
    <t xml:space="preserve">43135</t>
  </si>
  <si>
    <t xml:space="preserve">43136</t>
  </si>
  <si>
    <t xml:space="preserve">43137</t>
  </si>
  <si>
    <t xml:space="preserve">43138</t>
  </si>
  <si>
    <t xml:space="preserve">Tabela 15 — Engenharia (Aba 43)</t>
  </si>
  <si>
    <t xml:space="preserve">43141</t>
  </si>
  <si>
    <t xml:space="preserve">43142</t>
  </si>
  <si>
    <t xml:space="preserve">43143</t>
  </si>
  <si>
    <t xml:space="preserve">43144</t>
  </si>
  <si>
    <t xml:space="preserve">43145</t>
  </si>
  <si>
    <t xml:space="preserve">43146</t>
  </si>
  <si>
    <t xml:space="preserve">43147</t>
  </si>
  <si>
    <t xml:space="preserve">43148</t>
  </si>
  <si>
    <t xml:space="preserve">Tabela 16 — Produto (Aba 43)</t>
  </si>
  <si>
    <t xml:space="preserve">43151</t>
  </si>
  <si>
    <t xml:space="preserve">43152</t>
  </si>
  <si>
    <t xml:space="preserve">43153</t>
  </si>
  <si>
    <t xml:space="preserve">43154</t>
  </si>
  <si>
    <t xml:space="preserve">43155</t>
  </si>
  <si>
    <t xml:space="preserve">43156</t>
  </si>
  <si>
    <t xml:space="preserve">43157</t>
  </si>
  <si>
    <t xml:space="preserve">43158</t>
  </si>
  <si>
    <t xml:space="preserve">Tabela 17 — Design (Aba 43)</t>
  </si>
  <si>
    <t xml:space="preserve">43161</t>
  </si>
  <si>
    <t xml:space="preserve">43162</t>
  </si>
  <si>
    <t xml:space="preserve">43163</t>
  </si>
  <si>
    <t xml:space="preserve">43164</t>
  </si>
  <si>
    <t xml:space="preserve">43165</t>
  </si>
  <si>
    <t xml:space="preserve">43166</t>
  </si>
  <si>
    <t xml:space="preserve">43167</t>
  </si>
  <si>
    <t xml:space="preserve">43168</t>
  </si>
  <si>
    <t xml:space="preserve">Tabela 18 — DevEx (Aba 43)</t>
  </si>
  <si>
    <t xml:space="preserve">43171</t>
  </si>
  <si>
    <t xml:space="preserve">43172</t>
  </si>
  <si>
    <t xml:space="preserve">43173</t>
  </si>
  <si>
    <t xml:space="preserve">43174</t>
  </si>
  <si>
    <t xml:space="preserve">43175</t>
  </si>
  <si>
    <t xml:space="preserve">43176</t>
  </si>
  <si>
    <t xml:space="preserve">43177</t>
  </si>
  <si>
    <t xml:space="preserve">43178</t>
  </si>
  <si>
    <t xml:space="preserve">Tabela 19 — Dados (Aba 43)</t>
  </si>
  <si>
    <t xml:space="preserve">43181</t>
  </si>
  <si>
    <t xml:space="preserve">43182</t>
  </si>
  <si>
    <t xml:space="preserve">43183</t>
  </si>
  <si>
    <t xml:space="preserve">43184</t>
  </si>
  <si>
    <t xml:space="preserve">43185</t>
  </si>
  <si>
    <t xml:space="preserve">43186</t>
  </si>
  <si>
    <t xml:space="preserve">43187</t>
  </si>
  <si>
    <t xml:space="preserve">43188</t>
  </si>
  <si>
    <t xml:space="preserve">Tabela 20 — Infra (Aba 43)</t>
  </si>
  <si>
    <t xml:space="preserve">43191</t>
  </si>
  <si>
    <t xml:space="preserve">43192</t>
  </si>
  <si>
    <t xml:space="preserve">43193</t>
  </si>
  <si>
    <t xml:space="preserve">43194</t>
  </si>
  <si>
    <t xml:space="preserve">43195</t>
  </si>
  <si>
    <t xml:space="preserve">43196</t>
  </si>
  <si>
    <t xml:space="preserve">43197</t>
  </si>
  <si>
    <t xml:space="preserve">43198</t>
  </si>
  <si>
    <t xml:space="preserve">Tabela 21 — Segurança (Aba 43)</t>
  </si>
  <si>
    <t xml:space="preserve">43201</t>
  </si>
  <si>
    <t xml:space="preserve">43202</t>
  </si>
  <si>
    <t xml:space="preserve">43203</t>
  </si>
  <si>
    <t xml:space="preserve">43204</t>
  </si>
  <si>
    <t xml:space="preserve">43205</t>
  </si>
  <si>
    <t xml:space="preserve">43206</t>
  </si>
  <si>
    <t xml:space="preserve">43207</t>
  </si>
  <si>
    <t xml:space="preserve">43208</t>
  </si>
  <si>
    <t xml:space="preserve">Tabela 22 — Engenharia (Aba 43)</t>
  </si>
  <si>
    <t xml:space="preserve">43211</t>
  </si>
  <si>
    <t xml:space="preserve">43212</t>
  </si>
  <si>
    <t xml:space="preserve">43213</t>
  </si>
  <si>
    <t xml:space="preserve">43214</t>
  </si>
  <si>
    <t xml:space="preserve">43215</t>
  </si>
  <si>
    <t xml:space="preserve">43216</t>
  </si>
  <si>
    <t xml:space="preserve">43217</t>
  </si>
  <si>
    <t xml:space="preserve">43218</t>
  </si>
  <si>
    <t xml:space="preserve">Tabela 23 — Produto (Aba 43)</t>
  </si>
  <si>
    <t xml:space="preserve">43221</t>
  </si>
  <si>
    <t xml:space="preserve">43222</t>
  </si>
  <si>
    <t xml:space="preserve">43223</t>
  </si>
  <si>
    <t xml:space="preserve">43224</t>
  </si>
  <si>
    <t xml:space="preserve">43225</t>
  </si>
  <si>
    <t xml:space="preserve">43226</t>
  </si>
  <si>
    <t xml:space="preserve">43227</t>
  </si>
  <si>
    <t xml:space="preserve">43228</t>
  </si>
  <si>
    <t xml:space="preserve">Tabela 24 — Design (Aba 43)</t>
  </si>
  <si>
    <t xml:space="preserve">43231</t>
  </si>
  <si>
    <t xml:space="preserve">43232</t>
  </si>
  <si>
    <t xml:space="preserve">43233</t>
  </si>
  <si>
    <t xml:space="preserve">43234</t>
  </si>
  <si>
    <t xml:space="preserve">43235</t>
  </si>
  <si>
    <t xml:space="preserve">43236</t>
  </si>
  <si>
    <t xml:space="preserve">43237</t>
  </si>
  <si>
    <t xml:space="preserve">43238</t>
  </si>
  <si>
    <t xml:space="preserve">Tabela 25 — DevEx (Aba 43)</t>
  </si>
  <si>
    <t xml:space="preserve">43241</t>
  </si>
  <si>
    <t xml:space="preserve">43242</t>
  </si>
  <si>
    <t xml:space="preserve">43243</t>
  </si>
  <si>
    <t xml:space="preserve">43244</t>
  </si>
  <si>
    <t xml:space="preserve">43245</t>
  </si>
  <si>
    <t xml:space="preserve">43246</t>
  </si>
  <si>
    <t xml:space="preserve">43247</t>
  </si>
  <si>
    <t xml:space="preserve">43248</t>
  </si>
  <si>
    <t xml:space="preserve">Tabela 26 — Dados (Aba 43)</t>
  </si>
  <si>
    <t xml:space="preserve">43251</t>
  </si>
  <si>
    <t xml:space="preserve">43252</t>
  </si>
  <si>
    <t xml:space="preserve">43253</t>
  </si>
  <si>
    <t xml:space="preserve">43254</t>
  </si>
  <si>
    <t xml:space="preserve">43255</t>
  </si>
  <si>
    <t xml:space="preserve">43256</t>
  </si>
  <si>
    <t xml:space="preserve">43257</t>
  </si>
  <si>
    <t xml:space="preserve">43258</t>
  </si>
  <si>
    <t xml:space="preserve">Tabela 27 — Infra (Aba 43)</t>
  </si>
  <si>
    <t xml:space="preserve">43261</t>
  </si>
  <si>
    <t xml:space="preserve">43262</t>
  </si>
  <si>
    <t xml:space="preserve">43263</t>
  </si>
  <si>
    <t xml:space="preserve">43264</t>
  </si>
  <si>
    <t xml:space="preserve">43265</t>
  </si>
  <si>
    <t xml:space="preserve">43266</t>
  </si>
  <si>
    <t xml:space="preserve">43267</t>
  </si>
  <si>
    <t xml:space="preserve">43268</t>
  </si>
  <si>
    <t xml:space="preserve">Tabela 28 — Segurança (Aba 43)</t>
  </si>
  <si>
    <t xml:space="preserve">43271</t>
  </si>
  <si>
    <t xml:space="preserve">43272</t>
  </si>
  <si>
    <t xml:space="preserve">43273</t>
  </si>
  <si>
    <t xml:space="preserve">43274</t>
  </si>
  <si>
    <t xml:space="preserve">43275</t>
  </si>
  <si>
    <t xml:space="preserve">43276</t>
  </si>
  <si>
    <t xml:space="preserve">43277</t>
  </si>
  <si>
    <t xml:space="preserve">43278</t>
  </si>
  <si>
    <t xml:space="preserve">Tabela 29 — Engenharia (Aba 43)</t>
  </si>
  <si>
    <t xml:space="preserve">43281</t>
  </si>
  <si>
    <t xml:space="preserve">43282</t>
  </si>
  <si>
    <t xml:space="preserve">43283</t>
  </si>
  <si>
    <t xml:space="preserve">43284</t>
  </si>
  <si>
    <t xml:space="preserve">43285</t>
  </si>
  <si>
    <t xml:space="preserve">43286</t>
  </si>
  <si>
    <t xml:space="preserve">43287</t>
  </si>
  <si>
    <t xml:space="preserve">43288</t>
  </si>
  <si>
    <t xml:space="preserve">Tabela 30 — Produto (Aba 43)</t>
  </si>
  <si>
    <t xml:space="preserve">43291</t>
  </si>
  <si>
    <t xml:space="preserve">43292</t>
  </si>
  <si>
    <t xml:space="preserve">43293</t>
  </si>
  <si>
    <t xml:space="preserve">43294</t>
  </si>
  <si>
    <t xml:space="preserve">43295</t>
  </si>
  <si>
    <t xml:space="preserve">43296</t>
  </si>
  <si>
    <t xml:space="preserve">43297</t>
  </si>
  <si>
    <t xml:space="preserve">43298</t>
  </si>
  <si>
    <t xml:space="preserve">Planilha — Aba 44 | Relatório de Equipe</t>
  </si>
  <si>
    <t xml:space="preserve">Tabela 1 — Engenharia (Aba 44)</t>
  </si>
  <si>
    <t xml:space="preserve">44001</t>
  </si>
  <si>
    <t xml:space="preserve">44002</t>
  </si>
  <si>
    <t xml:space="preserve">44003</t>
  </si>
  <si>
    <t xml:space="preserve">44004</t>
  </si>
  <si>
    <t xml:space="preserve">44005</t>
  </si>
  <si>
    <t xml:space="preserve">44006</t>
  </si>
  <si>
    <t xml:space="preserve">44007</t>
  </si>
  <si>
    <t xml:space="preserve">44008</t>
  </si>
  <si>
    <t xml:space="preserve">Tabela 2 — Produto (Aba 44)</t>
  </si>
  <si>
    <t xml:space="preserve">44011</t>
  </si>
  <si>
    <t xml:space="preserve">44012</t>
  </si>
  <si>
    <t xml:space="preserve">44013</t>
  </si>
  <si>
    <t xml:space="preserve">44014</t>
  </si>
  <si>
    <t xml:space="preserve">44015</t>
  </si>
  <si>
    <t xml:space="preserve">44016</t>
  </si>
  <si>
    <t xml:space="preserve">44017</t>
  </si>
  <si>
    <t xml:space="preserve">44018</t>
  </si>
  <si>
    <t xml:space="preserve">Tabela 3 — Design (Aba 44)</t>
  </si>
  <si>
    <t xml:space="preserve">44021</t>
  </si>
  <si>
    <t xml:space="preserve">44022</t>
  </si>
  <si>
    <t xml:space="preserve">44023</t>
  </si>
  <si>
    <t xml:space="preserve">44024</t>
  </si>
  <si>
    <t xml:space="preserve">44025</t>
  </si>
  <si>
    <t xml:space="preserve">44026</t>
  </si>
  <si>
    <t xml:space="preserve">44027</t>
  </si>
  <si>
    <t xml:space="preserve">44028</t>
  </si>
  <si>
    <t xml:space="preserve">Tabela 4 — DevEx (Aba 44)</t>
  </si>
  <si>
    <t xml:space="preserve">44031</t>
  </si>
  <si>
    <t xml:space="preserve">44032</t>
  </si>
  <si>
    <t xml:space="preserve">44033</t>
  </si>
  <si>
    <t xml:space="preserve">44034</t>
  </si>
  <si>
    <t xml:space="preserve">44035</t>
  </si>
  <si>
    <t xml:space="preserve">44036</t>
  </si>
  <si>
    <t xml:space="preserve">44037</t>
  </si>
  <si>
    <t xml:space="preserve">44038</t>
  </si>
  <si>
    <t xml:space="preserve">Tabela 5 — Dados (Aba 44)</t>
  </si>
  <si>
    <t xml:space="preserve">44041</t>
  </si>
  <si>
    <t xml:space="preserve">44042</t>
  </si>
  <si>
    <t xml:space="preserve">44043</t>
  </si>
  <si>
    <t xml:space="preserve">44044</t>
  </si>
  <si>
    <t xml:space="preserve">44045</t>
  </si>
  <si>
    <t xml:space="preserve">44046</t>
  </si>
  <si>
    <t xml:space="preserve">44047</t>
  </si>
  <si>
    <t xml:space="preserve">44048</t>
  </si>
  <si>
    <t xml:space="preserve">Tabela 6 — Infra (Aba 44)</t>
  </si>
  <si>
    <t xml:space="preserve">44051</t>
  </si>
  <si>
    <t xml:space="preserve">44052</t>
  </si>
  <si>
    <t xml:space="preserve">44053</t>
  </si>
  <si>
    <t xml:space="preserve">44054</t>
  </si>
  <si>
    <t xml:space="preserve">44055</t>
  </si>
  <si>
    <t xml:space="preserve">44056</t>
  </si>
  <si>
    <t xml:space="preserve">44057</t>
  </si>
  <si>
    <t xml:space="preserve">44058</t>
  </si>
  <si>
    <t xml:space="preserve">Tabela 7 — Segurança (Aba 44)</t>
  </si>
  <si>
    <t xml:space="preserve">44061</t>
  </si>
  <si>
    <t xml:space="preserve">44062</t>
  </si>
  <si>
    <t xml:space="preserve">44063</t>
  </si>
  <si>
    <t xml:space="preserve">44064</t>
  </si>
  <si>
    <t xml:space="preserve">44065</t>
  </si>
  <si>
    <t xml:space="preserve">44066</t>
  </si>
  <si>
    <t xml:space="preserve">44067</t>
  </si>
  <si>
    <t xml:space="preserve">44068</t>
  </si>
  <si>
    <t xml:space="preserve">Tabela 8 — Engenharia (Aba 44)</t>
  </si>
  <si>
    <t xml:space="preserve">44071</t>
  </si>
  <si>
    <t xml:space="preserve">44072</t>
  </si>
  <si>
    <t xml:space="preserve">44073</t>
  </si>
  <si>
    <t xml:space="preserve">44074</t>
  </si>
  <si>
    <t xml:space="preserve">44075</t>
  </si>
  <si>
    <t xml:space="preserve">44076</t>
  </si>
  <si>
    <t xml:space="preserve">44077</t>
  </si>
  <si>
    <t xml:space="preserve">44078</t>
  </si>
  <si>
    <t xml:space="preserve">Tabela 9 — Produto (Aba 44)</t>
  </si>
  <si>
    <t xml:space="preserve">44081</t>
  </si>
  <si>
    <t xml:space="preserve">44082</t>
  </si>
  <si>
    <t xml:space="preserve">44083</t>
  </si>
  <si>
    <t xml:space="preserve">44084</t>
  </si>
  <si>
    <t xml:space="preserve">44085</t>
  </si>
  <si>
    <t xml:space="preserve">44086</t>
  </si>
  <si>
    <t xml:space="preserve">44087</t>
  </si>
  <si>
    <t xml:space="preserve">44088</t>
  </si>
  <si>
    <t xml:space="preserve">Tabela 10 — Design (Aba 44)</t>
  </si>
  <si>
    <t xml:space="preserve">44091</t>
  </si>
  <si>
    <t xml:space="preserve">44092</t>
  </si>
  <si>
    <t xml:space="preserve">44093</t>
  </si>
  <si>
    <t xml:space="preserve">44094</t>
  </si>
  <si>
    <t xml:space="preserve">44095</t>
  </si>
  <si>
    <t xml:space="preserve">44096</t>
  </si>
  <si>
    <t xml:space="preserve">44097</t>
  </si>
  <si>
    <t xml:space="preserve">44098</t>
  </si>
  <si>
    <t xml:space="preserve">Tabela 11 — DevEx (Aba 44)</t>
  </si>
  <si>
    <t xml:space="preserve">44101</t>
  </si>
  <si>
    <t xml:space="preserve">44102</t>
  </si>
  <si>
    <t xml:space="preserve">44103</t>
  </si>
  <si>
    <t xml:space="preserve">44104</t>
  </si>
  <si>
    <t xml:space="preserve">44105</t>
  </si>
  <si>
    <t xml:space="preserve">44106</t>
  </si>
  <si>
    <t xml:space="preserve">44107</t>
  </si>
  <si>
    <t xml:space="preserve">44108</t>
  </si>
  <si>
    <t xml:space="preserve">Tabela 12 — Dados (Aba 44)</t>
  </si>
  <si>
    <t xml:space="preserve">44111</t>
  </si>
  <si>
    <t xml:space="preserve">44112</t>
  </si>
  <si>
    <t xml:space="preserve">44113</t>
  </si>
  <si>
    <t xml:space="preserve">44114</t>
  </si>
  <si>
    <t xml:space="preserve">44115</t>
  </si>
  <si>
    <t xml:space="preserve">44116</t>
  </si>
  <si>
    <t xml:space="preserve">44117</t>
  </si>
  <si>
    <t xml:space="preserve">44118</t>
  </si>
  <si>
    <t xml:space="preserve">Tabela 13 — Infra (Aba 44)</t>
  </si>
  <si>
    <t xml:space="preserve">44121</t>
  </si>
  <si>
    <t xml:space="preserve">44122</t>
  </si>
  <si>
    <t xml:space="preserve">44123</t>
  </si>
  <si>
    <t xml:space="preserve">44124</t>
  </si>
  <si>
    <t xml:space="preserve">44125</t>
  </si>
  <si>
    <t xml:space="preserve">44126</t>
  </si>
  <si>
    <t xml:space="preserve">44127</t>
  </si>
  <si>
    <t xml:space="preserve">44128</t>
  </si>
  <si>
    <t xml:space="preserve">Tabela 14 — Segurança (Aba 44)</t>
  </si>
  <si>
    <t xml:space="preserve">44131</t>
  </si>
  <si>
    <t xml:space="preserve">44132</t>
  </si>
  <si>
    <t xml:space="preserve">44133</t>
  </si>
  <si>
    <t xml:space="preserve">44134</t>
  </si>
  <si>
    <t xml:space="preserve">44135</t>
  </si>
  <si>
    <t xml:space="preserve">44136</t>
  </si>
  <si>
    <t xml:space="preserve">44137</t>
  </si>
  <si>
    <t xml:space="preserve">44138</t>
  </si>
  <si>
    <t xml:space="preserve">Tabela 15 — Engenharia (Aba 44)</t>
  </si>
  <si>
    <t xml:space="preserve">44141</t>
  </si>
  <si>
    <t xml:space="preserve">44142</t>
  </si>
  <si>
    <t xml:space="preserve">44143</t>
  </si>
  <si>
    <t xml:space="preserve">44144</t>
  </si>
  <si>
    <t xml:space="preserve">44145</t>
  </si>
  <si>
    <t xml:space="preserve">44146</t>
  </si>
  <si>
    <t xml:space="preserve">44147</t>
  </si>
  <si>
    <t xml:space="preserve">44148</t>
  </si>
  <si>
    <t xml:space="preserve">Tabela 16 — Produto (Aba 44)</t>
  </si>
  <si>
    <t xml:space="preserve">44151</t>
  </si>
  <si>
    <t xml:space="preserve">44152</t>
  </si>
  <si>
    <t xml:space="preserve">44153</t>
  </si>
  <si>
    <t xml:space="preserve">44154</t>
  </si>
  <si>
    <t xml:space="preserve">44155</t>
  </si>
  <si>
    <t xml:space="preserve">44156</t>
  </si>
  <si>
    <t xml:space="preserve">44157</t>
  </si>
  <si>
    <t xml:space="preserve">44158</t>
  </si>
  <si>
    <t xml:space="preserve">Tabela 17 — Design (Aba 44)</t>
  </si>
  <si>
    <t xml:space="preserve">44161</t>
  </si>
  <si>
    <t xml:space="preserve">44162</t>
  </si>
  <si>
    <t xml:space="preserve">44163</t>
  </si>
  <si>
    <t xml:space="preserve">44164</t>
  </si>
  <si>
    <t xml:space="preserve">44165</t>
  </si>
  <si>
    <t xml:space="preserve">44166</t>
  </si>
  <si>
    <t xml:space="preserve">44167</t>
  </si>
  <si>
    <t xml:space="preserve">44168</t>
  </si>
  <si>
    <t xml:space="preserve">Tabela 18 — DevEx (Aba 44)</t>
  </si>
  <si>
    <t xml:space="preserve">44171</t>
  </si>
  <si>
    <t xml:space="preserve">44172</t>
  </si>
  <si>
    <t xml:space="preserve">44173</t>
  </si>
  <si>
    <t xml:space="preserve">44174</t>
  </si>
  <si>
    <t xml:space="preserve">44175</t>
  </si>
  <si>
    <t xml:space="preserve">44176</t>
  </si>
  <si>
    <t xml:space="preserve">44177</t>
  </si>
  <si>
    <t xml:space="preserve">44178</t>
  </si>
  <si>
    <t xml:space="preserve">Tabela 19 — Dados (Aba 44)</t>
  </si>
  <si>
    <t xml:space="preserve">44181</t>
  </si>
  <si>
    <t xml:space="preserve">44182</t>
  </si>
  <si>
    <t xml:space="preserve">44183</t>
  </si>
  <si>
    <t xml:space="preserve">44184</t>
  </si>
  <si>
    <t xml:space="preserve">44185</t>
  </si>
  <si>
    <t xml:space="preserve">44186</t>
  </si>
  <si>
    <t xml:space="preserve">44187</t>
  </si>
  <si>
    <t xml:space="preserve">44188</t>
  </si>
  <si>
    <t xml:space="preserve">Tabela 20 — Infra (Aba 44)</t>
  </si>
  <si>
    <t xml:space="preserve">44191</t>
  </si>
  <si>
    <t xml:space="preserve">44192</t>
  </si>
  <si>
    <t xml:space="preserve">44193</t>
  </si>
  <si>
    <t xml:space="preserve">44194</t>
  </si>
  <si>
    <t xml:space="preserve">44195</t>
  </si>
  <si>
    <t xml:space="preserve">44196</t>
  </si>
  <si>
    <t xml:space="preserve">44197</t>
  </si>
  <si>
    <t xml:space="preserve">44198</t>
  </si>
  <si>
    <t xml:space="preserve">Tabela 21 — Segurança (Aba 44)</t>
  </si>
  <si>
    <t xml:space="preserve">44201</t>
  </si>
  <si>
    <t xml:space="preserve">44202</t>
  </si>
  <si>
    <t xml:space="preserve">44203</t>
  </si>
  <si>
    <t xml:space="preserve">44204</t>
  </si>
  <si>
    <t xml:space="preserve">44205</t>
  </si>
  <si>
    <t xml:space="preserve">44206</t>
  </si>
  <si>
    <t xml:space="preserve">44207</t>
  </si>
  <si>
    <t xml:space="preserve">44208</t>
  </si>
  <si>
    <t xml:space="preserve">Tabela 22 — Engenharia (Aba 44)</t>
  </si>
  <si>
    <t xml:space="preserve">44211</t>
  </si>
  <si>
    <t xml:space="preserve">44212</t>
  </si>
  <si>
    <t xml:space="preserve">44213</t>
  </si>
  <si>
    <t xml:space="preserve">44214</t>
  </si>
  <si>
    <t xml:space="preserve">44215</t>
  </si>
  <si>
    <t xml:space="preserve">44216</t>
  </si>
  <si>
    <t xml:space="preserve">44217</t>
  </si>
  <si>
    <t xml:space="preserve">44218</t>
  </si>
  <si>
    <t xml:space="preserve">Tabela 23 — Produto (Aba 44)</t>
  </si>
  <si>
    <t xml:space="preserve">44221</t>
  </si>
  <si>
    <t xml:space="preserve">44222</t>
  </si>
  <si>
    <t xml:space="preserve">44223</t>
  </si>
  <si>
    <t xml:space="preserve">44224</t>
  </si>
  <si>
    <t xml:space="preserve">44225</t>
  </si>
  <si>
    <t xml:space="preserve">44226</t>
  </si>
  <si>
    <t xml:space="preserve">44227</t>
  </si>
  <si>
    <t xml:space="preserve">44228</t>
  </si>
  <si>
    <t xml:space="preserve">Tabela 24 — Design (Aba 44)</t>
  </si>
  <si>
    <t xml:space="preserve">44231</t>
  </si>
  <si>
    <t xml:space="preserve">44232</t>
  </si>
  <si>
    <t xml:space="preserve">44233</t>
  </si>
  <si>
    <t xml:space="preserve">44234</t>
  </si>
  <si>
    <t xml:space="preserve">44235</t>
  </si>
  <si>
    <t xml:space="preserve">44236</t>
  </si>
  <si>
    <t xml:space="preserve">44237</t>
  </si>
  <si>
    <t xml:space="preserve">44238</t>
  </si>
  <si>
    <t xml:space="preserve">Tabela 25 — DevEx (Aba 44)</t>
  </si>
  <si>
    <t xml:space="preserve">44241</t>
  </si>
  <si>
    <t xml:space="preserve">44242</t>
  </si>
  <si>
    <t xml:space="preserve">44243</t>
  </si>
  <si>
    <t xml:space="preserve">44244</t>
  </si>
  <si>
    <t xml:space="preserve">44245</t>
  </si>
  <si>
    <t xml:space="preserve">44246</t>
  </si>
  <si>
    <t xml:space="preserve">44247</t>
  </si>
  <si>
    <t xml:space="preserve">44248</t>
  </si>
  <si>
    <t xml:space="preserve">Tabela 26 — Dados (Aba 44)</t>
  </si>
  <si>
    <t xml:space="preserve">44251</t>
  </si>
  <si>
    <t xml:space="preserve">44252</t>
  </si>
  <si>
    <t xml:space="preserve">44253</t>
  </si>
  <si>
    <t xml:space="preserve">44254</t>
  </si>
  <si>
    <t xml:space="preserve">44255</t>
  </si>
  <si>
    <t xml:space="preserve">44256</t>
  </si>
  <si>
    <t xml:space="preserve">44257</t>
  </si>
  <si>
    <t xml:space="preserve">44258</t>
  </si>
  <si>
    <t xml:space="preserve">Tabela 27 — Infra (Aba 44)</t>
  </si>
  <si>
    <t xml:space="preserve">44261</t>
  </si>
  <si>
    <t xml:space="preserve">44262</t>
  </si>
  <si>
    <t xml:space="preserve">44263</t>
  </si>
  <si>
    <t xml:space="preserve">44264</t>
  </si>
  <si>
    <t xml:space="preserve">44265</t>
  </si>
  <si>
    <t xml:space="preserve">44266</t>
  </si>
  <si>
    <t xml:space="preserve">44267</t>
  </si>
  <si>
    <t xml:space="preserve">44268</t>
  </si>
  <si>
    <t xml:space="preserve">Tabela 28 — Segurança (Aba 44)</t>
  </si>
  <si>
    <t xml:space="preserve">44271</t>
  </si>
  <si>
    <t xml:space="preserve">44272</t>
  </si>
  <si>
    <t xml:space="preserve">44273</t>
  </si>
  <si>
    <t xml:space="preserve">44274</t>
  </si>
  <si>
    <t xml:space="preserve">44275</t>
  </si>
  <si>
    <t xml:space="preserve">44276</t>
  </si>
  <si>
    <t xml:space="preserve">44277</t>
  </si>
  <si>
    <t xml:space="preserve">44278</t>
  </si>
  <si>
    <t xml:space="preserve">Tabela 29 — Engenharia (Aba 44)</t>
  </si>
  <si>
    <t xml:space="preserve">44281</t>
  </si>
  <si>
    <t xml:space="preserve">44282</t>
  </si>
  <si>
    <t xml:space="preserve">44283</t>
  </si>
  <si>
    <t xml:space="preserve">44284</t>
  </si>
  <si>
    <t xml:space="preserve">44285</t>
  </si>
  <si>
    <t xml:space="preserve">44286</t>
  </si>
  <si>
    <t xml:space="preserve">44287</t>
  </si>
  <si>
    <t xml:space="preserve">44288</t>
  </si>
  <si>
    <t xml:space="preserve">Tabela 30 — Produto (Aba 44)</t>
  </si>
  <si>
    <t xml:space="preserve">44291</t>
  </si>
  <si>
    <t xml:space="preserve">44292</t>
  </si>
  <si>
    <t xml:space="preserve">44293</t>
  </si>
  <si>
    <t xml:space="preserve">44294</t>
  </si>
  <si>
    <t xml:space="preserve">44295</t>
  </si>
  <si>
    <t xml:space="preserve">44296</t>
  </si>
  <si>
    <t xml:space="preserve">44297</t>
  </si>
  <si>
    <t xml:space="preserve">44298</t>
  </si>
  <si>
    <t xml:space="preserve">Planilha — Aba 45 | Relatório de Equipe</t>
  </si>
  <si>
    <t xml:space="preserve">Tabela 1 — Engenharia (Aba 45)</t>
  </si>
  <si>
    <t xml:space="preserve">45001</t>
  </si>
  <si>
    <t xml:space="preserve">45002</t>
  </si>
  <si>
    <t xml:space="preserve">45003</t>
  </si>
  <si>
    <t xml:space="preserve">45004</t>
  </si>
  <si>
    <t xml:space="preserve">45005</t>
  </si>
  <si>
    <t xml:space="preserve">45006</t>
  </si>
  <si>
    <t xml:space="preserve">45007</t>
  </si>
  <si>
    <t xml:space="preserve">45008</t>
  </si>
  <si>
    <t xml:space="preserve">Tabela 2 — Produto (Aba 45)</t>
  </si>
  <si>
    <t xml:space="preserve">45011</t>
  </si>
  <si>
    <t xml:space="preserve">45012</t>
  </si>
  <si>
    <t xml:space="preserve">45013</t>
  </si>
  <si>
    <t xml:space="preserve">45014</t>
  </si>
  <si>
    <t xml:space="preserve">45015</t>
  </si>
  <si>
    <t xml:space="preserve">45016</t>
  </si>
  <si>
    <t xml:space="preserve">45017</t>
  </si>
  <si>
    <t xml:space="preserve">45018</t>
  </si>
  <si>
    <t xml:space="preserve">Tabela 3 — Design (Aba 45)</t>
  </si>
  <si>
    <t xml:space="preserve">45021</t>
  </si>
  <si>
    <t xml:space="preserve">45022</t>
  </si>
  <si>
    <t xml:space="preserve">45023</t>
  </si>
  <si>
    <t xml:space="preserve">45024</t>
  </si>
  <si>
    <t xml:space="preserve">45025</t>
  </si>
  <si>
    <t xml:space="preserve">45026</t>
  </si>
  <si>
    <t xml:space="preserve">45027</t>
  </si>
  <si>
    <t xml:space="preserve">45028</t>
  </si>
  <si>
    <t xml:space="preserve">Tabela 4 — DevEx (Aba 45)</t>
  </si>
  <si>
    <t xml:space="preserve">45031</t>
  </si>
  <si>
    <t xml:space="preserve">45032</t>
  </si>
  <si>
    <t xml:space="preserve">45033</t>
  </si>
  <si>
    <t xml:space="preserve">45034</t>
  </si>
  <si>
    <t xml:space="preserve">45035</t>
  </si>
  <si>
    <t xml:space="preserve">45036</t>
  </si>
  <si>
    <t xml:space="preserve">45037</t>
  </si>
  <si>
    <t xml:space="preserve">45038</t>
  </si>
  <si>
    <t xml:space="preserve">Tabela 5 — Dados (Aba 45)</t>
  </si>
  <si>
    <t xml:space="preserve">45041</t>
  </si>
  <si>
    <t xml:space="preserve">45042</t>
  </si>
  <si>
    <t xml:space="preserve">45043</t>
  </si>
  <si>
    <t xml:space="preserve">45044</t>
  </si>
  <si>
    <t xml:space="preserve">45045</t>
  </si>
  <si>
    <t xml:space="preserve">45046</t>
  </si>
  <si>
    <t xml:space="preserve">45047</t>
  </si>
  <si>
    <t xml:space="preserve">45048</t>
  </si>
  <si>
    <t xml:space="preserve">Tabela 6 — Infra (Aba 45)</t>
  </si>
  <si>
    <t xml:space="preserve">45051</t>
  </si>
  <si>
    <t xml:space="preserve">45052</t>
  </si>
  <si>
    <t xml:space="preserve">45053</t>
  </si>
  <si>
    <t xml:space="preserve">45054</t>
  </si>
  <si>
    <t xml:space="preserve">45055</t>
  </si>
  <si>
    <t xml:space="preserve">45056</t>
  </si>
  <si>
    <t xml:space="preserve">45057</t>
  </si>
  <si>
    <t xml:space="preserve">45058</t>
  </si>
  <si>
    <t xml:space="preserve">Tabela 7 — Segurança (Aba 45)</t>
  </si>
  <si>
    <t xml:space="preserve">45061</t>
  </si>
  <si>
    <t xml:space="preserve">45062</t>
  </si>
  <si>
    <t xml:space="preserve">45063</t>
  </si>
  <si>
    <t xml:space="preserve">45064</t>
  </si>
  <si>
    <t xml:space="preserve">45065</t>
  </si>
  <si>
    <t xml:space="preserve">45066</t>
  </si>
  <si>
    <t xml:space="preserve">45067</t>
  </si>
  <si>
    <t xml:space="preserve">45068</t>
  </si>
  <si>
    <t xml:space="preserve">Tabela 8 — Engenharia (Aba 45)</t>
  </si>
  <si>
    <t xml:space="preserve">45071</t>
  </si>
  <si>
    <t xml:space="preserve">45072</t>
  </si>
  <si>
    <t xml:space="preserve">45073</t>
  </si>
  <si>
    <t xml:space="preserve">45074</t>
  </si>
  <si>
    <t xml:space="preserve">45075</t>
  </si>
  <si>
    <t xml:space="preserve">45076</t>
  </si>
  <si>
    <t xml:space="preserve">45077</t>
  </si>
  <si>
    <t xml:space="preserve">45078</t>
  </si>
  <si>
    <t xml:space="preserve">Tabela 9 — Produto (Aba 45)</t>
  </si>
  <si>
    <t xml:space="preserve">45081</t>
  </si>
  <si>
    <t xml:space="preserve">45082</t>
  </si>
  <si>
    <t xml:space="preserve">45083</t>
  </si>
  <si>
    <t xml:space="preserve">45084</t>
  </si>
  <si>
    <t xml:space="preserve">45085</t>
  </si>
  <si>
    <t xml:space="preserve">45086</t>
  </si>
  <si>
    <t xml:space="preserve">45087</t>
  </si>
  <si>
    <t xml:space="preserve">45088</t>
  </si>
  <si>
    <t xml:space="preserve">Tabela 10 — Design (Aba 45)</t>
  </si>
  <si>
    <t xml:space="preserve">45091</t>
  </si>
  <si>
    <t xml:space="preserve">45092</t>
  </si>
  <si>
    <t xml:space="preserve">45093</t>
  </si>
  <si>
    <t xml:space="preserve">45094</t>
  </si>
  <si>
    <t xml:space="preserve">45095</t>
  </si>
  <si>
    <t xml:space="preserve">45096</t>
  </si>
  <si>
    <t xml:space="preserve">45097</t>
  </si>
  <si>
    <t xml:space="preserve">45098</t>
  </si>
  <si>
    <t xml:space="preserve">Tabela 11 — DevEx (Aba 45)</t>
  </si>
  <si>
    <t xml:space="preserve">45101</t>
  </si>
  <si>
    <t xml:space="preserve">45102</t>
  </si>
  <si>
    <t xml:space="preserve">45103</t>
  </si>
  <si>
    <t xml:space="preserve">45104</t>
  </si>
  <si>
    <t xml:space="preserve">45105</t>
  </si>
  <si>
    <t xml:space="preserve">45106</t>
  </si>
  <si>
    <t xml:space="preserve">45107</t>
  </si>
  <si>
    <t xml:space="preserve">45108</t>
  </si>
  <si>
    <t xml:space="preserve">Tabela 12 — Dados (Aba 45)</t>
  </si>
  <si>
    <t xml:space="preserve">45111</t>
  </si>
  <si>
    <t xml:space="preserve">45112</t>
  </si>
  <si>
    <t xml:space="preserve">45113</t>
  </si>
  <si>
    <t xml:space="preserve">45114</t>
  </si>
  <si>
    <t xml:space="preserve">45115</t>
  </si>
  <si>
    <t xml:space="preserve">45116</t>
  </si>
  <si>
    <t xml:space="preserve">45117</t>
  </si>
  <si>
    <t xml:space="preserve">45118</t>
  </si>
  <si>
    <t xml:space="preserve">Tabela 13 — Infra (Aba 45)</t>
  </si>
  <si>
    <t xml:space="preserve">45121</t>
  </si>
  <si>
    <t xml:space="preserve">45122</t>
  </si>
  <si>
    <t xml:space="preserve">45123</t>
  </si>
  <si>
    <t xml:space="preserve">45124</t>
  </si>
  <si>
    <t xml:space="preserve">45125</t>
  </si>
  <si>
    <t xml:space="preserve">45126</t>
  </si>
  <si>
    <t xml:space="preserve">45127</t>
  </si>
  <si>
    <t xml:space="preserve">45128</t>
  </si>
  <si>
    <t xml:space="preserve">Tabela 14 — Segurança (Aba 45)</t>
  </si>
  <si>
    <t xml:space="preserve">45131</t>
  </si>
  <si>
    <t xml:space="preserve">45132</t>
  </si>
  <si>
    <t xml:space="preserve">45133</t>
  </si>
  <si>
    <t xml:space="preserve">45134</t>
  </si>
  <si>
    <t xml:space="preserve">45135</t>
  </si>
  <si>
    <t xml:space="preserve">45136</t>
  </si>
  <si>
    <t xml:space="preserve">45137</t>
  </si>
  <si>
    <t xml:space="preserve">45138</t>
  </si>
  <si>
    <t xml:space="preserve">Tabela 15 — Engenharia (Aba 45)</t>
  </si>
  <si>
    <t xml:space="preserve">45141</t>
  </si>
  <si>
    <t xml:space="preserve">45142</t>
  </si>
  <si>
    <t xml:space="preserve">45143</t>
  </si>
  <si>
    <t xml:space="preserve">45144</t>
  </si>
  <si>
    <t xml:space="preserve">45145</t>
  </si>
  <si>
    <t xml:space="preserve">45146</t>
  </si>
  <si>
    <t xml:space="preserve">45147</t>
  </si>
  <si>
    <t xml:space="preserve">45148</t>
  </si>
  <si>
    <t xml:space="preserve">Tabela 16 — Produto (Aba 45)</t>
  </si>
  <si>
    <t xml:space="preserve">45151</t>
  </si>
  <si>
    <t xml:space="preserve">45152</t>
  </si>
  <si>
    <t xml:space="preserve">45153</t>
  </si>
  <si>
    <t xml:space="preserve">45154</t>
  </si>
  <si>
    <t xml:space="preserve">45155</t>
  </si>
  <si>
    <t xml:space="preserve">45156</t>
  </si>
  <si>
    <t xml:space="preserve">45157</t>
  </si>
  <si>
    <t xml:space="preserve">45158</t>
  </si>
  <si>
    <t xml:space="preserve">Tabela 17 — Design (Aba 45)</t>
  </si>
  <si>
    <t xml:space="preserve">45161</t>
  </si>
  <si>
    <t xml:space="preserve">45162</t>
  </si>
  <si>
    <t xml:space="preserve">45163</t>
  </si>
  <si>
    <t xml:space="preserve">45164</t>
  </si>
  <si>
    <t xml:space="preserve">45165</t>
  </si>
  <si>
    <t xml:space="preserve">45166</t>
  </si>
  <si>
    <t xml:space="preserve">45167</t>
  </si>
  <si>
    <t xml:space="preserve">45168</t>
  </si>
  <si>
    <t xml:space="preserve">Tabela 18 — DevEx (Aba 45)</t>
  </si>
  <si>
    <t xml:space="preserve">45171</t>
  </si>
  <si>
    <t xml:space="preserve">45172</t>
  </si>
  <si>
    <t xml:space="preserve">45173</t>
  </si>
  <si>
    <t xml:space="preserve">45174</t>
  </si>
  <si>
    <t xml:space="preserve">45175</t>
  </si>
  <si>
    <t xml:space="preserve">45176</t>
  </si>
  <si>
    <t xml:space="preserve">45177</t>
  </si>
  <si>
    <t xml:space="preserve">45178</t>
  </si>
  <si>
    <t xml:space="preserve">Tabela 19 — Dados (Aba 45)</t>
  </si>
  <si>
    <t xml:space="preserve">45181</t>
  </si>
  <si>
    <t xml:space="preserve">45182</t>
  </si>
  <si>
    <t xml:space="preserve">45183</t>
  </si>
  <si>
    <t xml:space="preserve">45184</t>
  </si>
  <si>
    <t xml:space="preserve">45185</t>
  </si>
  <si>
    <t xml:space="preserve">45186</t>
  </si>
  <si>
    <t xml:space="preserve">45187</t>
  </si>
  <si>
    <t xml:space="preserve">45188</t>
  </si>
  <si>
    <t xml:space="preserve">Tabela 20 — Infra (Aba 45)</t>
  </si>
  <si>
    <t xml:space="preserve">45191</t>
  </si>
  <si>
    <t xml:space="preserve">45192</t>
  </si>
  <si>
    <t xml:space="preserve">45193</t>
  </si>
  <si>
    <t xml:space="preserve">45194</t>
  </si>
  <si>
    <t xml:space="preserve">45195</t>
  </si>
  <si>
    <t xml:space="preserve">45196</t>
  </si>
  <si>
    <t xml:space="preserve">45197</t>
  </si>
  <si>
    <t xml:space="preserve">45198</t>
  </si>
  <si>
    <t xml:space="preserve">Tabela 21 — Segurança (Aba 45)</t>
  </si>
  <si>
    <t xml:space="preserve">45201</t>
  </si>
  <si>
    <t xml:space="preserve">45202</t>
  </si>
  <si>
    <t xml:space="preserve">45203</t>
  </si>
  <si>
    <t xml:space="preserve">45204</t>
  </si>
  <si>
    <t xml:space="preserve">45205</t>
  </si>
  <si>
    <t xml:space="preserve">45206</t>
  </si>
  <si>
    <t xml:space="preserve">45207</t>
  </si>
  <si>
    <t xml:space="preserve">45208</t>
  </si>
  <si>
    <t xml:space="preserve">Tabela 22 — Engenharia (Aba 45)</t>
  </si>
  <si>
    <t xml:space="preserve">45211</t>
  </si>
  <si>
    <t xml:space="preserve">45212</t>
  </si>
  <si>
    <t xml:space="preserve">45213</t>
  </si>
  <si>
    <t xml:space="preserve">45214</t>
  </si>
  <si>
    <t xml:space="preserve">45215</t>
  </si>
  <si>
    <t xml:space="preserve">45216</t>
  </si>
  <si>
    <t xml:space="preserve">45217</t>
  </si>
  <si>
    <t xml:space="preserve">45218</t>
  </si>
  <si>
    <t xml:space="preserve">Tabela 23 — Produto (Aba 45)</t>
  </si>
  <si>
    <t xml:space="preserve">45221</t>
  </si>
  <si>
    <t xml:space="preserve">45222</t>
  </si>
  <si>
    <t xml:space="preserve">45223</t>
  </si>
  <si>
    <t xml:space="preserve">45224</t>
  </si>
  <si>
    <t xml:space="preserve">45225</t>
  </si>
  <si>
    <t xml:space="preserve">45226</t>
  </si>
  <si>
    <t xml:space="preserve">45227</t>
  </si>
  <si>
    <t xml:space="preserve">45228</t>
  </si>
  <si>
    <t xml:space="preserve">Tabela 24 — Design (Aba 45)</t>
  </si>
  <si>
    <t xml:space="preserve">45231</t>
  </si>
  <si>
    <t xml:space="preserve">45232</t>
  </si>
  <si>
    <t xml:space="preserve">45233</t>
  </si>
  <si>
    <t xml:space="preserve">45234</t>
  </si>
  <si>
    <t xml:space="preserve">45235</t>
  </si>
  <si>
    <t xml:space="preserve">45236</t>
  </si>
  <si>
    <t xml:space="preserve">45237</t>
  </si>
  <si>
    <t xml:space="preserve">45238</t>
  </si>
  <si>
    <t xml:space="preserve">Tabela 25 — DevEx (Aba 45)</t>
  </si>
  <si>
    <t xml:space="preserve">45241</t>
  </si>
  <si>
    <t xml:space="preserve">45242</t>
  </si>
  <si>
    <t xml:space="preserve">45243</t>
  </si>
  <si>
    <t xml:space="preserve">45244</t>
  </si>
  <si>
    <t xml:space="preserve">45245</t>
  </si>
  <si>
    <t xml:space="preserve">45246</t>
  </si>
  <si>
    <t xml:space="preserve">45247</t>
  </si>
  <si>
    <t xml:space="preserve">45248</t>
  </si>
  <si>
    <t xml:space="preserve">Tabela 26 — Dados (Aba 45)</t>
  </si>
  <si>
    <t xml:space="preserve">45251</t>
  </si>
  <si>
    <t xml:space="preserve">45252</t>
  </si>
  <si>
    <t xml:space="preserve">45253</t>
  </si>
  <si>
    <t xml:space="preserve">45254</t>
  </si>
  <si>
    <t xml:space="preserve">45255</t>
  </si>
  <si>
    <t xml:space="preserve">45256</t>
  </si>
  <si>
    <t xml:space="preserve">45257</t>
  </si>
  <si>
    <t xml:space="preserve">45258</t>
  </si>
  <si>
    <t xml:space="preserve">Tabela 27 — Infra (Aba 45)</t>
  </si>
  <si>
    <t xml:space="preserve">45261</t>
  </si>
  <si>
    <t xml:space="preserve">45262</t>
  </si>
  <si>
    <t xml:space="preserve">45263</t>
  </si>
  <si>
    <t xml:space="preserve">45264</t>
  </si>
  <si>
    <t xml:space="preserve">45265</t>
  </si>
  <si>
    <t xml:space="preserve">45266</t>
  </si>
  <si>
    <t xml:space="preserve">45267</t>
  </si>
  <si>
    <t xml:space="preserve">45268</t>
  </si>
  <si>
    <t xml:space="preserve">Tabela 28 — Segurança (Aba 45)</t>
  </si>
  <si>
    <t xml:space="preserve">45271</t>
  </si>
  <si>
    <t xml:space="preserve">45272</t>
  </si>
  <si>
    <t xml:space="preserve">45273</t>
  </si>
  <si>
    <t xml:space="preserve">45274</t>
  </si>
  <si>
    <t xml:space="preserve">45275</t>
  </si>
  <si>
    <t xml:space="preserve">45276</t>
  </si>
  <si>
    <t xml:space="preserve">45277</t>
  </si>
  <si>
    <t xml:space="preserve">45278</t>
  </si>
  <si>
    <t xml:space="preserve">Tabela 29 — Engenharia (Aba 45)</t>
  </si>
  <si>
    <t xml:space="preserve">45281</t>
  </si>
  <si>
    <t xml:space="preserve">45282</t>
  </si>
  <si>
    <t xml:space="preserve">45283</t>
  </si>
  <si>
    <t xml:space="preserve">45284</t>
  </si>
  <si>
    <t xml:space="preserve">45285</t>
  </si>
  <si>
    <t xml:space="preserve">45286</t>
  </si>
  <si>
    <t xml:space="preserve">45287</t>
  </si>
  <si>
    <t xml:space="preserve">45288</t>
  </si>
  <si>
    <t xml:space="preserve">Tabela 30 — Produto (Aba 45)</t>
  </si>
  <si>
    <t xml:space="preserve">45291</t>
  </si>
  <si>
    <t xml:space="preserve">45292</t>
  </si>
  <si>
    <t xml:space="preserve">45293</t>
  </si>
  <si>
    <t xml:space="preserve">45294</t>
  </si>
  <si>
    <t xml:space="preserve">45295</t>
  </si>
  <si>
    <t xml:space="preserve">45296</t>
  </si>
  <si>
    <t xml:space="preserve">45297</t>
  </si>
  <si>
    <t xml:space="preserve">45298</t>
  </si>
  <si>
    <t xml:space="preserve">Planilha — Aba 46 | Relatório de Equipe</t>
  </si>
  <si>
    <t xml:space="preserve">Tabela 1 — Engenharia (Aba 46)</t>
  </si>
  <si>
    <t xml:space="preserve">46001</t>
  </si>
  <si>
    <t xml:space="preserve">46002</t>
  </si>
  <si>
    <t xml:space="preserve">46003</t>
  </si>
  <si>
    <t xml:space="preserve">46004</t>
  </si>
  <si>
    <t xml:space="preserve">46005</t>
  </si>
  <si>
    <t xml:space="preserve">46006</t>
  </si>
  <si>
    <t xml:space="preserve">46007</t>
  </si>
  <si>
    <t xml:space="preserve">46008</t>
  </si>
  <si>
    <t xml:space="preserve">Tabela 2 — Produto (Aba 46)</t>
  </si>
  <si>
    <t xml:space="preserve">46011</t>
  </si>
  <si>
    <t xml:space="preserve">46012</t>
  </si>
  <si>
    <t xml:space="preserve">46013</t>
  </si>
  <si>
    <t xml:space="preserve">46014</t>
  </si>
  <si>
    <t xml:space="preserve">46015</t>
  </si>
  <si>
    <t xml:space="preserve">46016</t>
  </si>
  <si>
    <t xml:space="preserve">46017</t>
  </si>
  <si>
    <t xml:space="preserve">46018</t>
  </si>
  <si>
    <t xml:space="preserve">Tabela 3 — Design (Aba 46)</t>
  </si>
  <si>
    <t xml:space="preserve">46021</t>
  </si>
  <si>
    <t xml:space="preserve">46022</t>
  </si>
  <si>
    <t xml:space="preserve">46023</t>
  </si>
  <si>
    <t xml:space="preserve">46024</t>
  </si>
  <si>
    <t xml:space="preserve">46025</t>
  </si>
  <si>
    <t xml:space="preserve">46026</t>
  </si>
  <si>
    <t xml:space="preserve">46027</t>
  </si>
  <si>
    <t xml:space="preserve">46028</t>
  </si>
  <si>
    <t xml:space="preserve">Tabela 4 — DevEx (Aba 46)</t>
  </si>
  <si>
    <t xml:space="preserve">46031</t>
  </si>
  <si>
    <t xml:space="preserve">46032</t>
  </si>
  <si>
    <t xml:space="preserve">46033</t>
  </si>
  <si>
    <t xml:space="preserve">46034</t>
  </si>
  <si>
    <t xml:space="preserve">46035</t>
  </si>
  <si>
    <t xml:space="preserve">46036</t>
  </si>
  <si>
    <t xml:space="preserve">46037</t>
  </si>
  <si>
    <t xml:space="preserve">46038</t>
  </si>
  <si>
    <t xml:space="preserve">Tabela 5 — Dados (Aba 46)</t>
  </si>
  <si>
    <t xml:space="preserve">46041</t>
  </si>
  <si>
    <t xml:space="preserve">46042</t>
  </si>
  <si>
    <t xml:space="preserve">46043</t>
  </si>
  <si>
    <t xml:space="preserve">46044</t>
  </si>
  <si>
    <t xml:space="preserve">46045</t>
  </si>
  <si>
    <t xml:space="preserve">46046</t>
  </si>
  <si>
    <t xml:space="preserve">46047</t>
  </si>
  <si>
    <t xml:space="preserve">46048</t>
  </si>
  <si>
    <t xml:space="preserve">Tabela 6 — Infra (Aba 46)</t>
  </si>
  <si>
    <t xml:space="preserve">46051</t>
  </si>
  <si>
    <t xml:space="preserve">46052</t>
  </si>
  <si>
    <t xml:space="preserve">46053</t>
  </si>
  <si>
    <t xml:space="preserve">46054</t>
  </si>
  <si>
    <t xml:space="preserve">46055</t>
  </si>
  <si>
    <t xml:space="preserve">46056</t>
  </si>
  <si>
    <t xml:space="preserve">46057</t>
  </si>
  <si>
    <t xml:space="preserve">46058</t>
  </si>
  <si>
    <t xml:space="preserve">Tabela 7 — Segurança (Aba 46)</t>
  </si>
  <si>
    <t xml:space="preserve">46061</t>
  </si>
  <si>
    <t xml:space="preserve">46062</t>
  </si>
  <si>
    <t xml:space="preserve">46063</t>
  </si>
  <si>
    <t xml:space="preserve">46064</t>
  </si>
  <si>
    <t xml:space="preserve">46065</t>
  </si>
  <si>
    <t xml:space="preserve">46066</t>
  </si>
  <si>
    <t xml:space="preserve">46067</t>
  </si>
  <si>
    <t xml:space="preserve">46068</t>
  </si>
  <si>
    <t xml:space="preserve">Tabela 8 — Engenharia (Aba 46)</t>
  </si>
  <si>
    <t xml:space="preserve">46071</t>
  </si>
  <si>
    <t xml:space="preserve">46072</t>
  </si>
  <si>
    <t xml:space="preserve">46073</t>
  </si>
  <si>
    <t xml:space="preserve">46074</t>
  </si>
  <si>
    <t xml:space="preserve">46075</t>
  </si>
  <si>
    <t xml:space="preserve">46076</t>
  </si>
  <si>
    <t xml:space="preserve">46077</t>
  </si>
  <si>
    <t xml:space="preserve">46078</t>
  </si>
  <si>
    <t xml:space="preserve">Tabela 9 — Produto (Aba 46)</t>
  </si>
  <si>
    <t xml:space="preserve">46081</t>
  </si>
  <si>
    <t xml:space="preserve">46082</t>
  </si>
  <si>
    <t xml:space="preserve">46083</t>
  </si>
  <si>
    <t xml:space="preserve">46084</t>
  </si>
  <si>
    <t xml:space="preserve">46085</t>
  </si>
  <si>
    <t xml:space="preserve">46086</t>
  </si>
  <si>
    <t xml:space="preserve">46087</t>
  </si>
  <si>
    <t xml:space="preserve">46088</t>
  </si>
  <si>
    <t xml:space="preserve">Tabela 10 — Design (Aba 46)</t>
  </si>
  <si>
    <t xml:space="preserve">46091</t>
  </si>
  <si>
    <t xml:space="preserve">46092</t>
  </si>
  <si>
    <t xml:space="preserve">46093</t>
  </si>
  <si>
    <t xml:space="preserve">46094</t>
  </si>
  <si>
    <t xml:space="preserve">46095</t>
  </si>
  <si>
    <t xml:space="preserve">46096</t>
  </si>
  <si>
    <t xml:space="preserve">46097</t>
  </si>
  <si>
    <t xml:space="preserve">46098</t>
  </si>
  <si>
    <t xml:space="preserve">Tabela 11 — DevEx (Aba 46)</t>
  </si>
  <si>
    <t xml:space="preserve">46101</t>
  </si>
  <si>
    <t xml:space="preserve">46102</t>
  </si>
  <si>
    <t xml:space="preserve">46103</t>
  </si>
  <si>
    <t xml:space="preserve">46104</t>
  </si>
  <si>
    <t xml:space="preserve">46105</t>
  </si>
  <si>
    <t xml:space="preserve">46106</t>
  </si>
  <si>
    <t xml:space="preserve">46107</t>
  </si>
  <si>
    <t xml:space="preserve">46108</t>
  </si>
  <si>
    <t xml:space="preserve">Tabela 12 — Dados (Aba 46)</t>
  </si>
  <si>
    <t xml:space="preserve">46111</t>
  </si>
  <si>
    <t xml:space="preserve">46112</t>
  </si>
  <si>
    <t xml:space="preserve">46113</t>
  </si>
  <si>
    <t xml:space="preserve">46114</t>
  </si>
  <si>
    <t xml:space="preserve">46115</t>
  </si>
  <si>
    <t xml:space="preserve">46116</t>
  </si>
  <si>
    <t xml:space="preserve">46117</t>
  </si>
  <si>
    <t xml:space="preserve">46118</t>
  </si>
  <si>
    <t xml:space="preserve">Tabela 13 — Infra (Aba 46)</t>
  </si>
  <si>
    <t xml:space="preserve">46121</t>
  </si>
  <si>
    <t xml:space="preserve">46122</t>
  </si>
  <si>
    <t xml:space="preserve">46123</t>
  </si>
  <si>
    <t xml:space="preserve">46124</t>
  </si>
  <si>
    <t xml:space="preserve">46125</t>
  </si>
  <si>
    <t xml:space="preserve">46126</t>
  </si>
  <si>
    <t xml:space="preserve">46127</t>
  </si>
  <si>
    <t xml:space="preserve">46128</t>
  </si>
  <si>
    <t xml:space="preserve">Tabela 14 — Segurança (Aba 46)</t>
  </si>
  <si>
    <t xml:space="preserve">46131</t>
  </si>
  <si>
    <t xml:space="preserve">46132</t>
  </si>
  <si>
    <t xml:space="preserve">46133</t>
  </si>
  <si>
    <t xml:space="preserve">46134</t>
  </si>
  <si>
    <t xml:space="preserve">46135</t>
  </si>
  <si>
    <t xml:space="preserve">46136</t>
  </si>
  <si>
    <t xml:space="preserve">46137</t>
  </si>
  <si>
    <t xml:space="preserve">46138</t>
  </si>
  <si>
    <t xml:space="preserve">Tabela 15 — Engenharia (Aba 46)</t>
  </si>
  <si>
    <t xml:space="preserve">46141</t>
  </si>
  <si>
    <t xml:space="preserve">46142</t>
  </si>
  <si>
    <t xml:space="preserve">46143</t>
  </si>
  <si>
    <t xml:space="preserve">46144</t>
  </si>
  <si>
    <t xml:space="preserve">46145</t>
  </si>
  <si>
    <t xml:space="preserve">46146</t>
  </si>
  <si>
    <t xml:space="preserve">46147</t>
  </si>
  <si>
    <t xml:space="preserve">46148</t>
  </si>
  <si>
    <t xml:space="preserve">Tabela 16 — Produto (Aba 46)</t>
  </si>
  <si>
    <t xml:space="preserve">46151</t>
  </si>
  <si>
    <t xml:space="preserve">46152</t>
  </si>
  <si>
    <t xml:space="preserve">46153</t>
  </si>
  <si>
    <t xml:space="preserve">46154</t>
  </si>
  <si>
    <t xml:space="preserve">46155</t>
  </si>
  <si>
    <t xml:space="preserve">46156</t>
  </si>
  <si>
    <t xml:space="preserve">46157</t>
  </si>
  <si>
    <t xml:space="preserve">46158</t>
  </si>
  <si>
    <t xml:space="preserve">Tabela 17 — Design (Aba 46)</t>
  </si>
  <si>
    <t xml:space="preserve">46161</t>
  </si>
  <si>
    <t xml:space="preserve">46162</t>
  </si>
  <si>
    <t xml:space="preserve">46163</t>
  </si>
  <si>
    <t xml:space="preserve">46164</t>
  </si>
  <si>
    <t xml:space="preserve">46165</t>
  </si>
  <si>
    <t xml:space="preserve">46166</t>
  </si>
  <si>
    <t xml:space="preserve">46167</t>
  </si>
  <si>
    <t xml:space="preserve">46168</t>
  </si>
  <si>
    <t xml:space="preserve">Tabela 18 — DevEx (Aba 46)</t>
  </si>
  <si>
    <t xml:space="preserve">46171</t>
  </si>
  <si>
    <t xml:space="preserve">46172</t>
  </si>
  <si>
    <t xml:space="preserve">46173</t>
  </si>
  <si>
    <t xml:space="preserve">46174</t>
  </si>
  <si>
    <t xml:space="preserve">46175</t>
  </si>
  <si>
    <t xml:space="preserve">46176</t>
  </si>
  <si>
    <t xml:space="preserve">46177</t>
  </si>
  <si>
    <t xml:space="preserve">46178</t>
  </si>
  <si>
    <t xml:space="preserve">Tabela 19 — Dados (Aba 46)</t>
  </si>
  <si>
    <t xml:space="preserve">46181</t>
  </si>
  <si>
    <t xml:space="preserve">46182</t>
  </si>
  <si>
    <t xml:space="preserve">46183</t>
  </si>
  <si>
    <t xml:space="preserve">46184</t>
  </si>
  <si>
    <t xml:space="preserve">46185</t>
  </si>
  <si>
    <t xml:space="preserve">46186</t>
  </si>
  <si>
    <t xml:space="preserve">46187</t>
  </si>
  <si>
    <t xml:space="preserve">46188</t>
  </si>
  <si>
    <t xml:space="preserve">Tabela 20 — Infra (Aba 46)</t>
  </si>
  <si>
    <t xml:space="preserve">46191</t>
  </si>
  <si>
    <t xml:space="preserve">46192</t>
  </si>
  <si>
    <t xml:space="preserve">46193</t>
  </si>
  <si>
    <t xml:space="preserve">46194</t>
  </si>
  <si>
    <t xml:space="preserve">46195</t>
  </si>
  <si>
    <t xml:space="preserve">46196</t>
  </si>
  <si>
    <t xml:space="preserve">46197</t>
  </si>
  <si>
    <t xml:space="preserve">46198</t>
  </si>
  <si>
    <t xml:space="preserve">Tabela 21 — Segurança (Aba 46)</t>
  </si>
  <si>
    <t xml:space="preserve">46201</t>
  </si>
  <si>
    <t xml:space="preserve">46202</t>
  </si>
  <si>
    <t xml:space="preserve">46203</t>
  </si>
  <si>
    <t xml:space="preserve">46204</t>
  </si>
  <si>
    <t xml:space="preserve">46205</t>
  </si>
  <si>
    <t xml:space="preserve">46206</t>
  </si>
  <si>
    <t xml:space="preserve">46207</t>
  </si>
  <si>
    <t xml:space="preserve">46208</t>
  </si>
  <si>
    <t xml:space="preserve">Tabela 22 — Engenharia (Aba 46)</t>
  </si>
  <si>
    <t xml:space="preserve">46211</t>
  </si>
  <si>
    <t xml:space="preserve">46212</t>
  </si>
  <si>
    <t xml:space="preserve">46213</t>
  </si>
  <si>
    <t xml:space="preserve">46214</t>
  </si>
  <si>
    <t xml:space="preserve">46215</t>
  </si>
  <si>
    <t xml:space="preserve">46216</t>
  </si>
  <si>
    <t xml:space="preserve">46217</t>
  </si>
  <si>
    <t xml:space="preserve">46218</t>
  </si>
  <si>
    <t xml:space="preserve">Tabela 23 — Produto (Aba 46)</t>
  </si>
  <si>
    <t xml:space="preserve">46221</t>
  </si>
  <si>
    <t xml:space="preserve">46222</t>
  </si>
  <si>
    <t xml:space="preserve">46223</t>
  </si>
  <si>
    <t xml:space="preserve">46224</t>
  </si>
  <si>
    <t xml:space="preserve">46225</t>
  </si>
  <si>
    <t xml:space="preserve">46226</t>
  </si>
  <si>
    <t xml:space="preserve">46227</t>
  </si>
  <si>
    <t xml:space="preserve">46228</t>
  </si>
  <si>
    <t xml:space="preserve">Tabela 24 — Design (Aba 46)</t>
  </si>
  <si>
    <t xml:space="preserve">46231</t>
  </si>
  <si>
    <t xml:space="preserve">46232</t>
  </si>
  <si>
    <t xml:space="preserve">46233</t>
  </si>
  <si>
    <t xml:space="preserve">46234</t>
  </si>
  <si>
    <t xml:space="preserve">46235</t>
  </si>
  <si>
    <t xml:space="preserve">46236</t>
  </si>
  <si>
    <t xml:space="preserve">46237</t>
  </si>
  <si>
    <t xml:space="preserve">46238</t>
  </si>
  <si>
    <t xml:space="preserve">Tabela 25 — DevEx (Aba 46)</t>
  </si>
  <si>
    <t xml:space="preserve">46241</t>
  </si>
  <si>
    <t xml:space="preserve">46242</t>
  </si>
  <si>
    <t xml:space="preserve">46243</t>
  </si>
  <si>
    <t xml:space="preserve">46244</t>
  </si>
  <si>
    <t xml:space="preserve">46245</t>
  </si>
  <si>
    <t xml:space="preserve">46246</t>
  </si>
  <si>
    <t xml:space="preserve">46247</t>
  </si>
  <si>
    <t xml:space="preserve">46248</t>
  </si>
  <si>
    <t xml:space="preserve">Tabela 26 — Dados (Aba 46)</t>
  </si>
  <si>
    <t xml:space="preserve">46251</t>
  </si>
  <si>
    <t xml:space="preserve">46252</t>
  </si>
  <si>
    <t xml:space="preserve">46253</t>
  </si>
  <si>
    <t xml:space="preserve">46254</t>
  </si>
  <si>
    <t xml:space="preserve">46255</t>
  </si>
  <si>
    <t xml:space="preserve">46256</t>
  </si>
  <si>
    <t xml:space="preserve">46257</t>
  </si>
  <si>
    <t xml:space="preserve">46258</t>
  </si>
  <si>
    <t xml:space="preserve">Tabela 27 — Infra (Aba 46)</t>
  </si>
  <si>
    <t xml:space="preserve">46261</t>
  </si>
  <si>
    <t xml:space="preserve">46262</t>
  </si>
  <si>
    <t xml:space="preserve">46263</t>
  </si>
  <si>
    <t xml:space="preserve">46264</t>
  </si>
  <si>
    <t xml:space="preserve">46265</t>
  </si>
  <si>
    <t xml:space="preserve">46266</t>
  </si>
  <si>
    <t xml:space="preserve">46267</t>
  </si>
  <si>
    <t xml:space="preserve">46268</t>
  </si>
  <si>
    <t xml:space="preserve">Tabela 28 — Segurança (Aba 46)</t>
  </si>
  <si>
    <t xml:space="preserve">46271</t>
  </si>
  <si>
    <t xml:space="preserve">46272</t>
  </si>
  <si>
    <t xml:space="preserve">46273</t>
  </si>
  <si>
    <t xml:space="preserve">46274</t>
  </si>
  <si>
    <t xml:space="preserve">46275</t>
  </si>
  <si>
    <t xml:space="preserve">46276</t>
  </si>
  <si>
    <t xml:space="preserve">46277</t>
  </si>
  <si>
    <t xml:space="preserve">46278</t>
  </si>
  <si>
    <t xml:space="preserve">Tabela 29 — Engenharia (Aba 46)</t>
  </si>
  <si>
    <t xml:space="preserve">46281</t>
  </si>
  <si>
    <t xml:space="preserve">46282</t>
  </si>
  <si>
    <t xml:space="preserve">46283</t>
  </si>
  <si>
    <t xml:space="preserve">46284</t>
  </si>
  <si>
    <t xml:space="preserve">46285</t>
  </si>
  <si>
    <t xml:space="preserve">46286</t>
  </si>
  <si>
    <t xml:space="preserve">46287</t>
  </si>
  <si>
    <t xml:space="preserve">46288</t>
  </si>
  <si>
    <t xml:space="preserve">Tabela 30 — Produto (Aba 46)</t>
  </si>
  <si>
    <t xml:space="preserve">46291</t>
  </si>
  <si>
    <t xml:space="preserve">46292</t>
  </si>
  <si>
    <t xml:space="preserve">46293</t>
  </si>
  <si>
    <t xml:space="preserve">46294</t>
  </si>
  <si>
    <t xml:space="preserve">46295</t>
  </si>
  <si>
    <t xml:space="preserve">46296</t>
  </si>
  <si>
    <t xml:space="preserve">46297</t>
  </si>
  <si>
    <t xml:space="preserve">46298</t>
  </si>
  <si>
    <t xml:space="preserve">Planilha — Aba 47 | Relatório de Equipe</t>
  </si>
  <si>
    <t xml:space="preserve">Tabela 1 — Engenharia (Aba 47)</t>
  </si>
  <si>
    <t xml:space="preserve">47001</t>
  </si>
  <si>
    <t xml:space="preserve">47002</t>
  </si>
  <si>
    <t xml:space="preserve">47003</t>
  </si>
  <si>
    <t xml:space="preserve">47004</t>
  </si>
  <si>
    <t xml:space="preserve">47005</t>
  </si>
  <si>
    <t xml:space="preserve">47006</t>
  </si>
  <si>
    <t xml:space="preserve">47007</t>
  </si>
  <si>
    <t xml:space="preserve">47008</t>
  </si>
  <si>
    <t xml:space="preserve">Tabela 2 — Produto (Aba 47)</t>
  </si>
  <si>
    <t xml:space="preserve">47011</t>
  </si>
  <si>
    <t xml:space="preserve">47012</t>
  </si>
  <si>
    <t xml:space="preserve">47013</t>
  </si>
  <si>
    <t xml:space="preserve">47014</t>
  </si>
  <si>
    <t xml:space="preserve">47015</t>
  </si>
  <si>
    <t xml:space="preserve">47016</t>
  </si>
  <si>
    <t xml:space="preserve">47017</t>
  </si>
  <si>
    <t xml:space="preserve">47018</t>
  </si>
  <si>
    <t xml:space="preserve">Tabela 3 — Design (Aba 47)</t>
  </si>
  <si>
    <t xml:space="preserve">47021</t>
  </si>
  <si>
    <t xml:space="preserve">47022</t>
  </si>
  <si>
    <t xml:space="preserve">47023</t>
  </si>
  <si>
    <t xml:space="preserve">47024</t>
  </si>
  <si>
    <t xml:space="preserve">47025</t>
  </si>
  <si>
    <t xml:space="preserve">47026</t>
  </si>
  <si>
    <t xml:space="preserve">47027</t>
  </si>
  <si>
    <t xml:space="preserve">47028</t>
  </si>
  <si>
    <t xml:space="preserve">Tabela 4 — DevEx (Aba 47)</t>
  </si>
  <si>
    <t xml:space="preserve">47031</t>
  </si>
  <si>
    <t xml:space="preserve">47032</t>
  </si>
  <si>
    <t xml:space="preserve">47033</t>
  </si>
  <si>
    <t xml:space="preserve">47034</t>
  </si>
  <si>
    <t xml:space="preserve">47035</t>
  </si>
  <si>
    <t xml:space="preserve">47036</t>
  </si>
  <si>
    <t xml:space="preserve">47037</t>
  </si>
  <si>
    <t xml:space="preserve">47038</t>
  </si>
  <si>
    <t xml:space="preserve">Tabela 5 — Dados (Aba 47)</t>
  </si>
  <si>
    <t xml:space="preserve">47041</t>
  </si>
  <si>
    <t xml:space="preserve">47042</t>
  </si>
  <si>
    <t xml:space="preserve">47043</t>
  </si>
  <si>
    <t xml:space="preserve">47044</t>
  </si>
  <si>
    <t xml:space="preserve">47045</t>
  </si>
  <si>
    <t xml:space="preserve">47046</t>
  </si>
  <si>
    <t xml:space="preserve">47047</t>
  </si>
  <si>
    <t xml:space="preserve">47048</t>
  </si>
  <si>
    <t xml:space="preserve">Tabela 6 — Infra (Aba 47)</t>
  </si>
  <si>
    <t xml:space="preserve">47051</t>
  </si>
  <si>
    <t xml:space="preserve">47052</t>
  </si>
  <si>
    <t xml:space="preserve">47053</t>
  </si>
  <si>
    <t xml:space="preserve">47054</t>
  </si>
  <si>
    <t xml:space="preserve">47055</t>
  </si>
  <si>
    <t xml:space="preserve">47056</t>
  </si>
  <si>
    <t xml:space="preserve">47057</t>
  </si>
  <si>
    <t xml:space="preserve">47058</t>
  </si>
  <si>
    <t xml:space="preserve">Tabela 7 — Segurança (Aba 47)</t>
  </si>
  <si>
    <t xml:space="preserve">47061</t>
  </si>
  <si>
    <t xml:space="preserve">47062</t>
  </si>
  <si>
    <t xml:space="preserve">47063</t>
  </si>
  <si>
    <t xml:space="preserve">47064</t>
  </si>
  <si>
    <t xml:space="preserve">47065</t>
  </si>
  <si>
    <t xml:space="preserve">47066</t>
  </si>
  <si>
    <t xml:space="preserve">47067</t>
  </si>
  <si>
    <t xml:space="preserve">47068</t>
  </si>
  <si>
    <t xml:space="preserve">Tabela 8 — Engenharia (Aba 47)</t>
  </si>
  <si>
    <t xml:space="preserve">47071</t>
  </si>
  <si>
    <t xml:space="preserve">47072</t>
  </si>
  <si>
    <t xml:space="preserve">47073</t>
  </si>
  <si>
    <t xml:space="preserve">47074</t>
  </si>
  <si>
    <t xml:space="preserve">47075</t>
  </si>
  <si>
    <t xml:space="preserve">47076</t>
  </si>
  <si>
    <t xml:space="preserve">47077</t>
  </si>
  <si>
    <t xml:space="preserve">47078</t>
  </si>
  <si>
    <t xml:space="preserve">Tabela 9 — Produto (Aba 47)</t>
  </si>
  <si>
    <t xml:space="preserve">47081</t>
  </si>
  <si>
    <t xml:space="preserve">47082</t>
  </si>
  <si>
    <t xml:space="preserve">47083</t>
  </si>
  <si>
    <t xml:space="preserve">47084</t>
  </si>
  <si>
    <t xml:space="preserve">47085</t>
  </si>
  <si>
    <t xml:space="preserve">47086</t>
  </si>
  <si>
    <t xml:space="preserve">47087</t>
  </si>
  <si>
    <t xml:space="preserve">47088</t>
  </si>
  <si>
    <t xml:space="preserve">Tabela 10 — Design (Aba 47)</t>
  </si>
  <si>
    <t xml:space="preserve">47091</t>
  </si>
  <si>
    <t xml:space="preserve">47092</t>
  </si>
  <si>
    <t xml:space="preserve">47093</t>
  </si>
  <si>
    <t xml:space="preserve">47094</t>
  </si>
  <si>
    <t xml:space="preserve">47095</t>
  </si>
  <si>
    <t xml:space="preserve">47096</t>
  </si>
  <si>
    <t xml:space="preserve">47097</t>
  </si>
  <si>
    <t xml:space="preserve">47098</t>
  </si>
  <si>
    <t xml:space="preserve">Tabela 11 — DevEx (Aba 47)</t>
  </si>
  <si>
    <t xml:space="preserve">47101</t>
  </si>
  <si>
    <t xml:space="preserve">47102</t>
  </si>
  <si>
    <t xml:space="preserve">47103</t>
  </si>
  <si>
    <t xml:space="preserve">47104</t>
  </si>
  <si>
    <t xml:space="preserve">47105</t>
  </si>
  <si>
    <t xml:space="preserve">47106</t>
  </si>
  <si>
    <t xml:space="preserve">47107</t>
  </si>
  <si>
    <t xml:space="preserve">47108</t>
  </si>
  <si>
    <t xml:space="preserve">Tabela 12 — Dados (Aba 47)</t>
  </si>
  <si>
    <t xml:space="preserve">47111</t>
  </si>
  <si>
    <t xml:space="preserve">47112</t>
  </si>
  <si>
    <t xml:space="preserve">47113</t>
  </si>
  <si>
    <t xml:space="preserve">47114</t>
  </si>
  <si>
    <t xml:space="preserve">47115</t>
  </si>
  <si>
    <t xml:space="preserve">47116</t>
  </si>
  <si>
    <t xml:space="preserve">47117</t>
  </si>
  <si>
    <t xml:space="preserve">47118</t>
  </si>
  <si>
    <t xml:space="preserve">Tabela 13 — Infra (Aba 47)</t>
  </si>
  <si>
    <t xml:space="preserve">47121</t>
  </si>
  <si>
    <t xml:space="preserve">47122</t>
  </si>
  <si>
    <t xml:space="preserve">47123</t>
  </si>
  <si>
    <t xml:space="preserve">47124</t>
  </si>
  <si>
    <t xml:space="preserve">47125</t>
  </si>
  <si>
    <t xml:space="preserve">47126</t>
  </si>
  <si>
    <t xml:space="preserve">47127</t>
  </si>
  <si>
    <t xml:space="preserve">47128</t>
  </si>
  <si>
    <t xml:space="preserve">Tabela 14 — Segurança (Aba 47)</t>
  </si>
  <si>
    <t xml:space="preserve">47131</t>
  </si>
  <si>
    <t xml:space="preserve">47132</t>
  </si>
  <si>
    <t xml:space="preserve">47133</t>
  </si>
  <si>
    <t xml:space="preserve">47134</t>
  </si>
  <si>
    <t xml:space="preserve">47135</t>
  </si>
  <si>
    <t xml:space="preserve">47136</t>
  </si>
  <si>
    <t xml:space="preserve">47137</t>
  </si>
  <si>
    <t xml:space="preserve">47138</t>
  </si>
  <si>
    <t xml:space="preserve">Tabela 15 — Engenharia (Aba 47)</t>
  </si>
  <si>
    <t xml:space="preserve">47141</t>
  </si>
  <si>
    <t xml:space="preserve">47142</t>
  </si>
  <si>
    <t xml:space="preserve">47143</t>
  </si>
  <si>
    <t xml:space="preserve">47144</t>
  </si>
  <si>
    <t xml:space="preserve">47145</t>
  </si>
  <si>
    <t xml:space="preserve">47146</t>
  </si>
  <si>
    <t xml:space="preserve">47147</t>
  </si>
  <si>
    <t xml:space="preserve">47148</t>
  </si>
  <si>
    <t xml:space="preserve">Tabela 16 — Produto (Aba 47)</t>
  </si>
  <si>
    <t xml:space="preserve">47151</t>
  </si>
  <si>
    <t xml:space="preserve">47152</t>
  </si>
  <si>
    <t xml:space="preserve">47153</t>
  </si>
  <si>
    <t xml:space="preserve">47154</t>
  </si>
  <si>
    <t xml:space="preserve">47155</t>
  </si>
  <si>
    <t xml:space="preserve">47156</t>
  </si>
  <si>
    <t xml:space="preserve">47157</t>
  </si>
  <si>
    <t xml:space="preserve">47158</t>
  </si>
  <si>
    <t xml:space="preserve">Tabela 17 — Design (Aba 47)</t>
  </si>
  <si>
    <t xml:space="preserve">47161</t>
  </si>
  <si>
    <t xml:space="preserve">47162</t>
  </si>
  <si>
    <t xml:space="preserve">47163</t>
  </si>
  <si>
    <t xml:space="preserve">47164</t>
  </si>
  <si>
    <t xml:space="preserve">47165</t>
  </si>
  <si>
    <t xml:space="preserve">47166</t>
  </si>
  <si>
    <t xml:space="preserve">47167</t>
  </si>
  <si>
    <t xml:space="preserve">47168</t>
  </si>
  <si>
    <t xml:space="preserve">Tabela 18 — DevEx (Aba 47)</t>
  </si>
  <si>
    <t xml:space="preserve">47171</t>
  </si>
  <si>
    <t xml:space="preserve">47172</t>
  </si>
  <si>
    <t xml:space="preserve">47173</t>
  </si>
  <si>
    <t xml:space="preserve">47174</t>
  </si>
  <si>
    <t xml:space="preserve">47175</t>
  </si>
  <si>
    <t xml:space="preserve">47176</t>
  </si>
  <si>
    <t xml:space="preserve">47177</t>
  </si>
  <si>
    <t xml:space="preserve">47178</t>
  </si>
  <si>
    <t xml:space="preserve">Tabela 19 — Dados (Aba 47)</t>
  </si>
  <si>
    <t xml:space="preserve">47181</t>
  </si>
  <si>
    <t xml:space="preserve">47182</t>
  </si>
  <si>
    <t xml:space="preserve">47183</t>
  </si>
  <si>
    <t xml:space="preserve">47184</t>
  </si>
  <si>
    <t xml:space="preserve">47185</t>
  </si>
  <si>
    <t xml:space="preserve">47186</t>
  </si>
  <si>
    <t xml:space="preserve">47187</t>
  </si>
  <si>
    <t xml:space="preserve">47188</t>
  </si>
  <si>
    <t xml:space="preserve">Tabela 20 — Infra (Aba 47)</t>
  </si>
  <si>
    <t xml:space="preserve">47191</t>
  </si>
  <si>
    <t xml:space="preserve">47192</t>
  </si>
  <si>
    <t xml:space="preserve">47193</t>
  </si>
  <si>
    <t xml:space="preserve">47194</t>
  </si>
  <si>
    <t xml:space="preserve">47195</t>
  </si>
  <si>
    <t xml:space="preserve">47196</t>
  </si>
  <si>
    <t xml:space="preserve">47197</t>
  </si>
  <si>
    <t xml:space="preserve">47198</t>
  </si>
  <si>
    <t xml:space="preserve">Tabela 21 — Segurança (Aba 47)</t>
  </si>
  <si>
    <t xml:space="preserve">47201</t>
  </si>
  <si>
    <t xml:space="preserve">47202</t>
  </si>
  <si>
    <t xml:space="preserve">47203</t>
  </si>
  <si>
    <t xml:space="preserve">47204</t>
  </si>
  <si>
    <t xml:space="preserve">47205</t>
  </si>
  <si>
    <t xml:space="preserve">47206</t>
  </si>
  <si>
    <t xml:space="preserve">47207</t>
  </si>
  <si>
    <t xml:space="preserve">47208</t>
  </si>
  <si>
    <t xml:space="preserve">Tabela 22 — Engenharia (Aba 47)</t>
  </si>
  <si>
    <t xml:space="preserve">47211</t>
  </si>
  <si>
    <t xml:space="preserve">47212</t>
  </si>
  <si>
    <t xml:space="preserve">47213</t>
  </si>
  <si>
    <t xml:space="preserve">47214</t>
  </si>
  <si>
    <t xml:space="preserve">47215</t>
  </si>
  <si>
    <t xml:space="preserve">47216</t>
  </si>
  <si>
    <t xml:space="preserve">47217</t>
  </si>
  <si>
    <t xml:space="preserve">47218</t>
  </si>
  <si>
    <t xml:space="preserve">Tabela 23 — Produto (Aba 47)</t>
  </si>
  <si>
    <t xml:space="preserve">47221</t>
  </si>
  <si>
    <t xml:space="preserve">47222</t>
  </si>
  <si>
    <t xml:space="preserve">47223</t>
  </si>
  <si>
    <t xml:space="preserve">47224</t>
  </si>
  <si>
    <t xml:space="preserve">47225</t>
  </si>
  <si>
    <t xml:space="preserve">47226</t>
  </si>
  <si>
    <t xml:space="preserve">47227</t>
  </si>
  <si>
    <t xml:space="preserve">47228</t>
  </si>
  <si>
    <t xml:space="preserve">Tabela 24 — Design (Aba 47)</t>
  </si>
  <si>
    <t xml:space="preserve">47231</t>
  </si>
  <si>
    <t xml:space="preserve">47232</t>
  </si>
  <si>
    <t xml:space="preserve">47233</t>
  </si>
  <si>
    <t xml:space="preserve">47234</t>
  </si>
  <si>
    <t xml:space="preserve">47235</t>
  </si>
  <si>
    <t xml:space="preserve">47236</t>
  </si>
  <si>
    <t xml:space="preserve">47237</t>
  </si>
  <si>
    <t xml:space="preserve">47238</t>
  </si>
  <si>
    <t xml:space="preserve">Tabela 25 — DevEx (Aba 47)</t>
  </si>
  <si>
    <t xml:space="preserve">47241</t>
  </si>
  <si>
    <t xml:space="preserve">47242</t>
  </si>
  <si>
    <t xml:space="preserve">47243</t>
  </si>
  <si>
    <t xml:space="preserve">47244</t>
  </si>
  <si>
    <t xml:space="preserve">47245</t>
  </si>
  <si>
    <t xml:space="preserve">47246</t>
  </si>
  <si>
    <t xml:space="preserve">47247</t>
  </si>
  <si>
    <t xml:space="preserve">47248</t>
  </si>
  <si>
    <t xml:space="preserve">Tabela 26 — Dados (Aba 47)</t>
  </si>
  <si>
    <t xml:space="preserve">47251</t>
  </si>
  <si>
    <t xml:space="preserve">47252</t>
  </si>
  <si>
    <t xml:space="preserve">47253</t>
  </si>
  <si>
    <t xml:space="preserve">47254</t>
  </si>
  <si>
    <t xml:space="preserve">47255</t>
  </si>
  <si>
    <t xml:space="preserve">47256</t>
  </si>
  <si>
    <t xml:space="preserve">47257</t>
  </si>
  <si>
    <t xml:space="preserve">47258</t>
  </si>
  <si>
    <t xml:space="preserve">Tabela 27 — Infra (Aba 47)</t>
  </si>
  <si>
    <t xml:space="preserve">47261</t>
  </si>
  <si>
    <t xml:space="preserve">47262</t>
  </si>
  <si>
    <t xml:space="preserve">47263</t>
  </si>
  <si>
    <t xml:space="preserve">47264</t>
  </si>
  <si>
    <t xml:space="preserve">47265</t>
  </si>
  <si>
    <t xml:space="preserve">47266</t>
  </si>
  <si>
    <t xml:space="preserve">47267</t>
  </si>
  <si>
    <t xml:space="preserve">47268</t>
  </si>
  <si>
    <t xml:space="preserve">Tabela 28 — Segurança (Aba 47)</t>
  </si>
  <si>
    <t xml:space="preserve">47271</t>
  </si>
  <si>
    <t xml:space="preserve">47272</t>
  </si>
  <si>
    <t xml:space="preserve">47273</t>
  </si>
  <si>
    <t xml:space="preserve">47274</t>
  </si>
  <si>
    <t xml:space="preserve">47275</t>
  </si>
  <si>
    <t xml:space="preserve">47276</t>
  </si>
  <si>
    <t xml:space="preserve">47277</t>
  </si>
  <si>
    <t xml:space="preserve">47278</t>
  </si>
  <si>
    <t xml:space="preserve">Tabela 29 — Engenharia (Aba 47)</t>
  </si>
  <si>
    <t xml:space="preserve">47281</t>
  </si>
  <si>
    <t xml:space="preserve">47282</t>
  </si>
  <si>
    <t xml:space="preserve">47283</t>
  </si>
  <si>
    <t xml:space="preserve">47284</t>
  </si>
  <si>
    <t xml:space="preserve">47285</t>
  </si>
  <si>
    <t xml:space="preserve">47286</t>
  </si>
  <si>
    <t xml:space="preserve">47287</t>
  </si>
  <si>
    <t xml:space="preserve">47288</t>
  </si>
  <si>
    <t xml:space="preserve">Tabela 30 — Produto (Aba 47)</t>
  </si>
  <si>
    <t xml:space="preserve">47291</t>
  </si>
  <si>
    <t xml:space="preserve">47292</t>
  </si>
  <si>
    <t xml:space="preserve">47293</t>
  </si>
  <si>
    <t xml:space="preserve">47294</t>
  </si>
  <si>
    <t xml:space="preserve">47295</t>
  </si>
  <si>
    <t xml:space="preserve">47296</t>
  </si>
  <si>
    <t xml:space="preserve">47297</t>
  </si>
  <si>
    <t xml:space="preserve">47298</t>
  </si>
  <si>
    <t xml:space="preserve">Planilha — Aba 48 | Relatório de Equipe</t>
  </si>
  <si>
    <t xml:space="preserve">Tabela 1 — Engenharia (Aba 48)</t>
  </si>
  <si>
    <t xml:space="preserve">48001</t>
  </si>
  <si>
    <t xml:space="preserve">48002</t>
  </si>
  <si>
    <t xml:space="preserve">48003</t>
  </si>
  <si>
    <t xml:space="preserve">48004</t>
  </si>
  <si>
    <t xml:space="preserve">48005</t>
  </si>
  <si>
    <t xml:space="preserve">48006</t>
  </si>
  <si>
    <t xml:space="preserve">48007</t>
  </si>
  <si>
    <t xml:space="preserve">48008</t>
  </si>
  <si>
    <t xml:space="preserve">Tabela 2 — Produto (Aba 48)</t>
  </si>
  <si>
    <t xml:space="preserve">48011</t>
  </si>
  <si>
    <t xml:space="preserve">48012</t>
  </si>
  <si>
    <t xml:space="preserve">48013</t>
  </si>
  <si>
    <t xml:space="preserve">48014</t>
  </si>
  <si>
    <t xml:space="preserve">48015</t>
  </si>
  <si>
    <t xml:space="preserve">48016</t>
  </si>
  <si>
    <t xml:space="preserve">48017</t>
  </si>
  <si>
    <t xml:space="preserve">48018</t>
  </si>
  <si>
    <t xml:space="preserve">Tabela 3 — Design (Aba 48)</t>
  </si>
  <si>
    <t xml:space="preserve">48021</t>
  </si>
  <si>
    <t xml:space="preserve">48022</t>
  </si>
  <si>
    <t xml:space="preserve">48023</t>
  </si>
  <si>
    <t xml:space="preserve">48024</t>
  </si>
  <si>
    <t xml:space="preserve">48025</t>
  </si>
  <si>
    <t xml:space="preserve">48026</t>
  </si>
  <si>
    <t xml:space="preserve">48027</t>
  </si>
  <si>
    <t xml:space="preserve">48028</t>
  </si>
  <si>
    <t xml:space="preserve">Tabela 4 — DevEx (Aba 48)</t>
  </si>
  <si>
    <t xml:space="preserve">48031</t>
  </si>
  <si>
    <t xml:space="preserve">48032</t>
  </si>
  <si>
    <t xml:space="preserve">48033</t>
  </si>
  <si>
    <t xml:space="preserve">48034</t>
  </si>
  <si>
    <t xml:space="preserve">48035</t>
  </si>
  <si>
    <t xml:space="preserve">48036</t>
  </si>
  <si>
    <t xml:space="preserve">48037</t>
  </si>
  <si>
    <t xml:space="preserve">48038</t>
  </si>
  <si>
    <t xml:space="preserve">Tabela 5 — Dados (Aba 48)</t>
  </si>
  <si>
    <t xml:space="preserve">48041</t>
  </si>
  <si>
    <t xml:space="preserve">48042</t>
  </si>
  <si>
    <t xml:space="preserve">48043</t>
  </si>
  <si>
    <t xml:space="preserve">48044</t>
  </si>
  <si>
    <t xml:space="preserve">48045</t>
  </si>
  <si>
    <t xml:space="preserve">48046</t>
  </si>
  <si>
    <t xml:space="preserve">48047</t>
  </si>
  <si>
    <t xml:space="preserve">48048</t>
  </si>
  <si>
    <t xml:space="preserve">Tabela 6 — Infra (Aba 48)</t>
  </si>
  <si>
    <t xml:space="preserve">48051</t>
  </si>
  <si>
    <t xml:space="preserve">48052</t>
  </si>
  <si>
    <t xml:space="preserve">48053</t>
  </si>
  <si>
    <t xml:space="preserve">48054</t>
  </si>
  <si>
    <t xml:space="preserve">48055</t>
  </si>
  <si>
    <t xml:space="preserve">48056</t>
  </si>
  <si>
    <t xml:space="preserve">48057</t>
  </si>
  <si>
    <t xml:space="preserve">48058</t>
  </si>
  <si>
    <t xml:space="preserve">Tabela 7 — Segurança (Aba 48)</t>
  </si>
  <si>
    <t xml:space="preserve">48061</t>
  </si>
  <si>
    <t xml:space="preserve">48062</t>
  </si>
  <si>
    <t xml:space="preserve">48063</t>
  </si>
  <si>
    <t xml:space="preserve">48064</t>
  </si>
  <si>
    <t xml:space="preserve">48065</t>
  </si>
  <si>
    <t xml:space="preserve">48066</t>
  </si>
  <si>
    <t xml:space="preserve">48067</t>
  </si>
  <si>
    <t xml:space="preserve">48068</t>
  </si>
  <si>
    <t xml:space="preserve">Tabela 8 — Engenharia (Aba 48)</t>
  </si>
  <si>
    <t xml:space="preserve">48071</t>
  </si>
  <si>
    <t xml:space="preserve">48072</t>
  </si>
  <si>
    <t xml:space="preserve">48073</t>
  </si>
  <si>
    <t xml:space="preserve">48074</t>
  </si>
  <si>
    <t xml:space="preserve">48075</t>
  </si>
  <si>
    <t xml:space="preserve">48076</t>
  </si>
  <si>
    <t xml:space="preserve">48077</t>
  </si>
  <si>
    <t xml:space="preserve">48078</t>
  </si>
  <si>
    <t xml:space="preserve">Tabela 9 — Produto (Aba 48)</t>
  </si>
  <si>
    <t xml:space="preserve">48081</t>
  </si>
  <si>
    <t xml:space="preserve">48082</t>
  </si>
  <si>
    <t xml:space="preserve">48083</t>
  </si>
  <si>
    <t xml:space="preserve">48084</t>
  </si>
  <si>
    <t xml:space="preserve">48085</t>
  </si>
  <si>
    <t xml:space="preserve">48086</t>
  </si>
  <si>
    <t xml:space="preserve">48087</t>
  </si>
  <si>
    <t xml:space="preserve">48088</t>
  </si>
  <si>
    <t xml:space="preserve">Tabela 10 — Design (Aba 48)</t>
  </si>
  <si>
    <t xml:space="preserve">48091</t>
  </si>
  <si>
    <t xml:space="preserve">48092</t>
  </si>
  <si>
    <t xml:space="preserve">48093</t>
  </si>
  <si>
    <t xml:space="preserve">48094</t>
  </si>
  <si>
    <t xml:space="preserve">48095</t>
  </si>
  <si>
    <t xml:space="preserve">48096</t>
  </si>
  <si>
    <t xml:space="preserve">48097</t>
  </si>
  <si>
    <t xml:space="preserve">48098</t>
  </si>
  <si>
    <t xml:space="preserve">Tabela 11 — DevEx (Aba 48)</t>
  </si>
  <si>
    <t xml:space="preserve">48101</t>
  </si>
  <si>
    <t xml:space="preserve">48102</t>
  </si>
  <si>
    <t xml:space="preserve">48103</t>
  </si>
  <si>
    <t xml:space="preserve">48104</t>
  </si>
  <si>
    <t xml:space="preserve">48105</t>
  </si>
  <si>
    <t xml:space="preserve">48106</t>
  </si>
  <si>
    <t xml:space="preserve">48107</t>
  </si>
  <si>
    <t xml:space="preserve">48108</t>
  </si>
  <si>
    <t xml:space="preserve">Tabela 12 — Dados (Aba 48)</t>
  </si>
  <si>
    <t xml:space="preserve">48111</t>
  </si>
  <si>
    <t xml:space="preserve">48112</t>
  </si>
  <si>
    <t xml:space="preserve">48113</t>
  </si>
  <si>
    <t xml:space="preserve">48114</t>
  </si>
  <si>
    <t xml:space="preserve">48115</t>
  </si>
  <si>
    <t xml:space="preserve">48116</t>
  </si>
  <si>
    <t xml:space="preserve">48117</t>
  </si>
  <si>
    <t xml:space="preserve">48118</t>
  </si>
  <si>
    <t xml:space="preserve">Tabela 13 — Infra (Aba 48)</t>
  </si>
  <si>
    <t xml:space="preserve">48121</t>
  </si>
  <si>
    <t xml:space="preserve">48122</t>
  </si>
  <si>
    <t xml:space="preserve">48123</t>
  </si>
  <si>
    <t xml:space="preserve">48124</t>
  </si>
  <si>
    <t xml:space="preserve">48125</t>
  </si>
  <si>
    <t xml:space="preserve">48126</t>
  </si>
  <si>
    <t xml:space="preserve">48127</t>
  </si>
  <si>
    <t xml:space="preserve">48128</t>
  </si>
  <si>
    <t xml:space="preserve">Tabela 14 — Segurança (Aba 48)</t>
  </si>
  <si>
    <t xml:space="preserve">48131</t>
  </si>
  <si>
    <t xml:space="preserve">48132</t>
  </si>
  <si>
    <t xml:space="preserve">48133</t>
  </si>
  <si>
    <t xml:space="preserve">48134</t>
  </si>
  <si>
    <t xml:space="preserve">48135</t>
  </si>
  <si>
    <t xml:space="preserve">48136</t>
  </si>
  <si>
    <t xml:space="preserve">48137</t>
  </si>
  <si>
    <t xml:space="preserve">48138</t>
  </si>
  <si>
    <t xml:space="preserve">Tabela 15 — Engenharia (Aba 48)</t>
  </si>
  <si>
    <t xml:space="preserve">48141</t>
  </si>
  <si>
    <t xml:space="preserve">48142</t>
  </si>
  <si>
    <t xml:space="preserve">48143</t>
  </si>
  <si>
    <t xml:space="preserve">48144</t>
  </si>
  <si>
    <t xml:space="preserve">48145</t>
  </si>
  <si>
    <t xml:space="preserve">48146</t>
  </si>
  <si>
    <t xml:space="preserve">48147</t>
  </si>
  <si>
    <t xml:space="preserve">48148</t>
  </si>
  <si>
    <t xml:space="preserve">Tabela 16 — Produto (Aba 48)</t>
  </si>
  <si>
    <t xml:space="preserve">48151</t>
  </si>
  <si>
    <t xml:space="preserve">48152</t>
  </si>
  <si>
    <t xml:space="preserve">48153</t>
  </si>
  <si>
    <t xml:space="preserve">48154</t>
  </si>
  <si>
    <t xml:space="preserve">48155</t>
  </si>
  <si>
    <t xml:space="preserve">48156</t>
  </si>
  <si>
    <t xml:space="preserve">48157</t>
  </si>
  <si>
    <t xml:space="preserve">48158</t>
  </si>
  <si>
    <t xml:space="preserve">Tabela 17 — Design (Aba 48)</t>
  </si>
  <si>
    <t xml:space="preserve">48161</t>
  </si>
  <si>
    <t xml:space="preserve">48162</t>
  </si>
  <si>
    <t xml:space="preserve">48163</t>
  </si>
  <si>
    <t xml:space="preserve">48164</t>
  </si>
  <si>
    <t xml:space="preserve">48165</t>
  </si>
  <si>
    <t xml:space="preserve">48166</t>
  </si>
  <si>
    <t xml:space="preserve">48167</t>
  </si>
  <si>
    <t xml:space="preserve">48168</t>
  </si>
  <si>
    <t xml:space="preserve">Tabela 18 — DevEx (Aba 48)</t>
  </si>
  <si>
    <t xml:space="preserve">48171</t>
  </si>
  <si>
    <t xml:space="preserve">48172</t>
  </si>
  <si>
    <t xml:space="preserve">48173</t>
  </si>
  <si>
    <t xml:space="preserve">48174</t>
  </si>
  <si>
    <t xml:space="preserve">48175</t>
  </si>
  <si>
    <t xml:space="preserve">48176</t>
  </si>
  <si>
    <t xml:space="preserve">48177</t>
  </si>
  <si>
    <t xml:space="preserve">48178</t>
  </si>
  <si>
    <t xml:space="preserve">Tabela 19 — Dados (Aba 48)</t>
  </si>
  <si>
    <t xml:space="preserve">48181</t>
  </si>
  <si>
    <t xml:space="preserve">48182</t>
  </si>
  <si>
    <t xml:space="preserve">48183</t>
  </si>
  <si>
    <t xml:space="preserve">48184</t>
  </si>
  <si>
    <t xml:space="preserve">48185</t>
  </si>
  <si>
    <t xml:space="preserve">48186</t>
  </si>
  <si>
    <t xml:space="preserve">48187</t>
  </si>
  <si>
    <t xml:space="preserve">48188</t>
  </si>
  <si>
    <t xml:space="preserve">Tabela 20 — Infra (Aba 48)</t>
  </si>
  <si>
    <t xml:space="preserve">48191</t>
  </si>
  <si>
    <t xml:space="preserve">48192</t>
  </si>
  <si>
    <t xml:space="preserve">48193</t>
  </si>
  <si>
    <t xml:space="preserve">48194</t>
  </si>
  <si>
    <t xml:space="preserve">48195</t>
  </si>
  <si>
    <t xml:space="preserve">48196</t>
  </si>
  <si>
    <t xml:space="preserve">48197</t>
  </si>
  <si>
    <t xml:space="preserve">48198</t>
  </si>
  <si>
    <t xml:space="preserve">Tabela 21 — Segurança (Aba 48)</t>
  </si>
  <si>
    <t xml:space="preserve">48201</t>
  </si>
  <si>
    <t xml:space="preserve">48202</t>
  </si>
  <si>
    <t xml:space="preserve">48203</t>
  </si>
  <si>
    <t xml:space="preserve">48204</t>
  </si>
  <si>
    <t xml:space="preserve">48205</t>
  </si>
  <si>
    <t xml:space="preserve">48206</t>
  </si>
  <si>
    <t xml:space="preserve">48207</t>
  </si>
  <si>
    <t xml:space="preserve">48208</t>
  </si>
  <si>
    <t xml:space="preserve">Tabela 22 — Engenharia (Aba 48)</t>
  </si>
  <si>
    <t xml:space="preserve">48211</t>
  </si>
  <si>
    <t xml:space="preserve">48212</t>
  </si>
  <si>
    <t xml:space="preserve">48213</t>
  </si>
  <si>
    <t xml:space="preserve">48214</t>
  </si>
  <si>
    <t xml:space="preserve">48215</t>
  </si>
  <si>
    <t xml:space="preserve">48216</t>
  </si>
  <si>
    <t xml:space="preserve">48217</t>
  </si>
  <si>
    <t xml:space="preserve">48218</t>
  </si>
  <si>
    <t xml:space="preserve">Tabela 23 — Produto (Aba 48)</t>
  </si>
  <si>
    <t xml:space="preserve">48221</t>
  </si>
  <si>
    <t xml:space="preserve">48222</t>
  </si>
  <si>
    <t xml:space="preserve">48223</t>
  </si>
  <si>
    <t xml:space="preserve">48224</t>
  </si>
  <si>
    <t xml:space="preserve">48225</t>
  </si>
  <si>
    <t xml:space="preserve">48226</t>
  </si>
  <si>
    <t xml:space="preserve">48227</t>
  </si>
  <si>
    <t xml:space="preserve">48228</t>
  </si>
  <si>
    <t xml:space="preserve">Tabela 24 — Design (Aba 48)</t>
  </si>
  <si>
    <t xml:space="preserve">48231</t>
  </si>
  <si>
    <t xml:space="preserve">48232</t>
  </si>
  <si>
    <t xml:space="preserve">48233</t>
  </si>
  <si>
    <t xml:space="preserve">48234</t>
  </si>
  <si>
    <t xml:space="preserve">48235</t>
  </si>
  <si>
    <t xml:space="preserve">48236</t>
  </si>
  <si>
    <t xml:space="preserve">48237</t>
  </si>
  <si>
    <t xml:space="preserve">48238</t>
  </si>
  <si>
    <t xml:space="preserve">Tabela 25 — DevEx (Aba 48)</t>
  </si>
  <si>
    <t xml:space="preserve">48241</t>
  </si>
  <si>
    <t xml:space="preserve">48242</t>
  </si>
  <si>
    <t xml:space="preserve">48243</t>
  </si>
  <si>
    <t xml:space="preserve">48244</t>
  </si>
  <si>
    <t xml:space="preserve">48245</t>
  </si>
  <si>
    <t xml:space="preserve">48246</t>
  </si>
  <si>
    <t xml:space="preserve">48247</t>
  </si>
  <si>
    <t xml:space="preserve">48248</t>
  </si>
  <si>
    <t xml:space="preserve">Tabela 26 — Dados (Aba 48)</t>
  </si>
  <si>
    <t xml:space="preserve">48251</t>
  </si>
  <si>
    <t xml:space="preserve">48252</t>
  </si>
  <si>
    <t xml:space="preserve">48253</t>
  </si>
  <si>
    <t xml:space="preserve">48254</t>
  </si>
  <si>
    <t xml:space="preserve">48255</t>
  </si>
  <si>
    <t xml:space="preserve">48256</t>
  </si>
  <si>
    <t xml:space="preserve">48257</t>
  </si>
  <si>
    <t xml:space="preserve">48258</t>
  </si>
  <si>
    <t xml:space="preserve">Tabela 27 — Infra (Aba 48)</t>
  </si>
  <si>
    <t xml:space="preserve">48261</t>
  </si>
  <si>
    <t xml:space="preserve">48262</t>
  </si>
  <si>
    <t xml:space="preserve">48263</t>
  </si>
  <si>
    <t xml:space="preserve">48264</t>
  </si>
  <si>
    <t xml:space="preserve">48265</t>
  </si>
  <si>
    <t xml:space="preserve">48266</t>
  </si>
  <si>
    <t xml:space="preserve">48267</t>
  </si>
  <si>
    <t xml:space="preserve">48268</t>
  </si>
  <si>
    <t xml:space="preserve">Tabela 28 — Segurança (Aba 48)</t>
  </si>
  <si>
    <t xml:space="preserve">48271</t>
  </si>
  <si>
    <t xml:space="preserve">48272</t>
  </si>
  <si>
    <t xml:space="preserve">48273</t>
  </si>
  <si>
    <t xml:space="preserve">48274</t>
  </si>
  <si>
    <t xml:space="preserve">48275</t>
  </si>
  <si>
    <t xml:space="preserve">48276</t>
  </si>
  <si>
    <t xml:space="preserve">48277</t>
  </si>
  <si>
    <t xml:space="preserve">48278</t>
  </si>
  <si>
    <t xml:space="preserve">Tabela 29 — Engenharia (Aba 48)</t>
  </si>
  <si>
    <t xml:space="preserve">48281</t>
  </si>
  <si>
    <t xml:space="preserve">48282</t>
  </si>
  <si>
    <t xml:space="preserve">48283</t>
  </si>
  <si>
    <t xml:space="preserve">48284</t>
  </si>
  <si>
    <t xml:space="preserve">48285</t>
  </si>
  <si>
    <t xml:space="preserve">48286</t>
  </si>
  <si>
    <t xml:space="preserve">48287</t>
  </si>
  <si>
    <t xml:space="preserve">48288</t>
  </si>
  <si>
    <t xml:space="preserve">Tabela 30 — Produto (Aba 48)</t>
  </si>
  <si>
    <t xml:space="preserve">48291</t>
  </si>
  <si>
    <t xml:space="preserve">48292</t>
  </si>
  <si>
    <t xml:space="preserve">48293</t>
  </si>
  <si>
    <t xml:space="preserve">48294</t>
  </si>
  <si>
    <t xml:space="preserve">48295</t>
  </si>
  <si>
    <t xml:space="preserve">48296</t>
  </si>
  <si>
    <t xml:space="preserve">48297</t>
  </si>
  <si>
    <t xml:space="preserve">48298</t>
  </si>
  <si>
    <t xml:space="preserve">Planilha — Aba 49 | Relatório de Equipe</t>
  </si>
  <si>
    <t xml:space="preserve">Tabela 1 — Engenharia (Aba 49)</t>
  </si>
  <si>
    <t xml:space="preserve">49001</t>
  </si>
  <si>
    <t xml:space="preserve">49002</t>
  </si>
  <si>
    <t xml:space="preserve">49003</t>
  </si>
  <si>
    <t xml:space="preserve">49004</t>
  </si>
  <si>
    <t xml:space="preserve">49005</t>
  </si>
  <si>
    <t xml:space="preserve">49006</t>
  </si>
  <si>
    <t xml:space="preserve">49007</t>
  </si>
  <si>
    <t xml:space="preserve">49008</t>
  </si>
  <si>
    <t xml:space="preserve">Tabela 2 — Produto (Aba 49)</t>
  </si>
  <si>
    <t xml:space="preserve">49011</t>
  </si>
  <si>
    <t xml:space="preserve">49012</t>
  </si>
  <si>
    <t xml:space="preserve">49013</t>
  </si>
  <si>
    <t xml:space="preserve">49014</t>
  </si>
  <si>
    <t xml:space="preserve">49015</t>
  </si>
  <si>
    <t xml:space="preserve">49016</t>
  </si>
  <si>
    <t xml:space="preserve">49017</t>
  </si>
  <si>
    <t xml:space="preserve">49018</t>
  </si>
  <si>
    <t xml:space="preserve">Tabela 3 — Design (Aba 49)</t>
  </si>
  <si>
    <t xml:space="preserve">49021</t>
  </si>
  <si>
    <t xml:space="preserve">49022</t>
  </si>
  <si>
    <t xml:space="preserve">49023</t>
  </si>
  <si>
    <t xml:space="preserve">49024</t>
  </si>
  <si>
    <t xml:space="preserve">49025</t>
  </si>
  <si>
    <t xml:space="preserve">49026</t>
  </si>
  <si>
    <t xml:space="preserve">49027</t>
  </si>
  <si>
    <t xml:space="preserve">49028</t>
  </si>
  <si>
    <t xml:space="preserve">Tabela 4 — DevEx (Aba 49)</t>
  </si>
  <si>
    <t xml:space="preserve">49031</t>
  </si>
  <si>
    <t xml:space="preserve">49032</t>
  </si>
  <si>
    <t xml:space="preserve">49033</t>
  </si>
  <si>
    <t xml:space="preserve">49034</t>
  </si>
  <si>
    <t xml:space="preserve">49035</t>
  </si>
  <si>
    <t xml:space="preserve">49036</t>
  </si>
  <si>
    <t xml:space="preserve">49037</t>
  </si>
  <si>
    <t xml:space="preserve">49038</t>
  </si>
  <si>
    <t xml:space="preserve">Tabela 5 — Dados (Aba 49)</t>
  </si>
  <si>
    <t xml:space="preserve">49041</t>
  </si>
  <si>
    <t xml:space="preserve">49042</t>
  </si>
  <si>
    <t xml:space="preserve">49043</t>
  </si>
  <si>
    <t xml:space="preserve">49044</t>
  </si>
  <si>
    <t xml:space="preserve">49045</t>
  </si>
  <si>
    <t xml:space="preserve">49046</t>
  </si>
  <si>
    <t xml:space="preserve">49047</t>
  </si>
  <si>
    <t xml:space="preserve">49048</t>
  </si>
  <si>
    <t xml:space="preserve">Tabela 6 — Infra (Aba 49)</t>
  </si>
  <si>
    <t xml:space="preserve">49051</t>
  </si>
  <si>
    <t xml:space="preserve">49052</t>
  </si>
  <si>
    <t xml:space="preserve">49053</t>
  </si>
  <si>
    <t xml:space="preserve">49054</t>
  </si>
  <si>
    <t xml:space="preserve">49055</t>
  </si>
  <si>
    <t xml:space="preserve">49056</t>
  </si>
  <si>
    <t xml:space="preserve">49057</t>
  </si>
  <si>
    <t xml:space="preserve">49058</t>
  </si>
  <si>
    <t xml:space="preserve">Tabela 7 — Segurança (Aba 49)</t>
  </si>
  <si>
    <t xml:space="preserve">49061</t>
  </si>
  <si>
    <t xml:space="preserve">49062</t>
  </si>
  <si>
    <t xml:space="preserve">49063</t>
  </si>
  <si>
    <t xml:space="preserve">49064</t>
  </si>
  <si>
    <t xml:space="preserve">49065</t>
  </si>
  <si>
    <t xml:space="preserve">49066</t>
  </si>
  <si>
    <t xml:space="preserve">49067</t>
  </si>
  <si>
    <t xml:space="preserve">49068</t>
  </si>
  <si>
    <t xml:space="preserve">Tabela 8 — Engenharia (Aba 49)</t>
  </si>
  <si>
    <t xml:space="preserve">49071</t>
  </si>
  <si>
    <t xml:space="preserve">49072</t>
  </si>
  <si>
    <t xml:space="preserve">49073</t>
  </si>
  <si>
    <t xml:space="preserve">49074</t>
  </si>
  <si>
    <t xml:space="preserve">49075</t>
  </si>
  <si>
    <t xml:space="preserve">49076</t>
  </si>
  <si>
    <t xml:space="preserve">49077</t>
  </si>
  <si>
    <t xml:space="preserve">49078</t>
  </si>
  <si>
    <t xml:space="preserve">Tabela 9 — Produto (Aba 49)</t>
  </si>
  <si>
    <t xml:space="preserve">49081</t>
  </si>
  <si>
    <t xml:space="preserve">49082</t>
  </si>
  <si>
    <t xml:space="preserve">49083</t>
  </si>
  <si>
    <t xml:space="preserve">49084</t>
  </si>
  <si>
    <t xml:space="preserve">49085</t>
  </si>
  <si>
    <t xml:space="preserve">49086</t>
  </si>
  <si>
    <t xml:space="preserve">49087</t>
  </si>
  <si>
    <t xml:space="preserve">49088</t>
  </si>
  <si>
    <t xml:space="preserve">Tabela 10 — Design (Aba 49)</t>
  </si>
  <si>
    <t xml:space="preserve">49091</t>
  </si>
  <si>
    <t xml:space="preserve">49092</t>
  </si>
  <si>
    <t xml:space="preserve">49093</t>
  </si>
  <si>
    <t xml:space="preserve">49094</t>
  </si>
  <si>
    <t xml:space="preserve">49095</t>
  </si>
  <si>
    <t xml:space="preserve">49096</t>
  </si>
  <si>
    <t xml:space="preserve">49097</t>
  </si>
  <si>
    <t xml:space="preserve">49098</t>
  </si>
  <si>
    <t xml:space="preserve">Tabela 11 — DevEx (Aba 49)</t>
  </si>
  <si>
    <t xml:space="preserve">49101</t>
  </si>
  <si>
    <t xml:space="preserve">49102</t>
  </si>
  <si>
    <t xml:space="preserve">49103</t>
  </si>
  <si>
    <t xml:space="preserve">49104</t>
  </si>
  <si>
    <t xml:space="preserve">49105</t>
  </si>
  <si>
    <t xml:space="preserve">49106</t>
  </si>
  <si>
    <t xml:space="preserve">49107</t>
  </si>
  <si>
    <t xml:space="preserve">49108</t>
  </si>
  <si>
    <t xml:space="preserve">Tabela 12 — Dados (Aba 49)</t>
  </si>
  <si>
    <t xml:space="preserve">49111</t>
  </si>
  <si>
    <t xml:space="preserve">49112</t>
  </si>
  <si>
    <t xml:space="preserve">49113</t>
  </si>
  <si>
    <t xml:space="preserve">49114</t>
  </si>
  <si>
    <t xml:space="preserve">49115</t>
  </si>
  <si>
    <t xml:space="preserve">49116</t>
  </si>
  <si>
    <t xml:space="preserve">49117</t>
  </si>
  <si>
    <t xml:space="preserve">49118</t>
  </si>
  <si>
    <t xml:space="preserve">Tabela 13 — Infra (Aba 49)</t>
  </si>
  <si>
    <t xml:space="preserve">49121</t>
  </si>
  <si>
    <t xml:space="preserve">49122</t>
  </si>
  <si>
    <t xml:space="preserve">49123</t>
  </si>
  <si>
    <t xml:space="preserve">49124</t>
  </si>
  <si>
    <t xml:space="preserve">49125</t>
  </si>
  <si>
    <t xml:space="preserve">49126</t>
  </si>
  <si>
    <t xml:space="preserve">49127</t>
  </si>
  <si>
    <t xml:space="preserve">49128</t>
  </si>
  <si>
    <t xml:space="preserve">Tabela 14 — Segurança (Aba 49)</t>
  </si>
  <si>
    <t xml:space="preserve">49131</t>
  </si>
  <si>
    <t xml:space="preserve">49132</t>
  </si>
  <si>
    <t xml:space="preserve">49133</t>
  </si>
  <si>
    <t xml:space="preserve">49134</t>
  </si>
  <si>
    <t xml:space="preserve">49135</t>
  </si>
  <si>
    <t xml:space="preserve">49136</t>
  </si>
  <si>
    <t xml:space="preserve">49137</t>
  </si>
  <si>
    <t xml:space="preserve">49138</t>
  </si>
  <si>
    <t xml:space="preserve">Tabela 15 — Engenharia (Aba 49)</t>
  </si>
  <si>
    <t xml:space="preserve">49141</t>
  </si>
  <si>
    <t xml:space="preserve">49142</t>
  </si>
  <si>
    <t xml:space="preserve">49143</t>
  </si>
  <si>
    <t xml:space="preserve">49144</t>
  </si>
  <si>
    <t xml:space="preserve">49145</t>
  </si>
  <si>
    <t xml:space="preserve">49146</t>
  </si>
  <si>
    <t xml:space="preserve">49147</t>
  </si>
  <si>
    <t xml:space="preserve">49148</t>
  </si>
  <si>
    <t xml:space="preserve">Tabela 16 — Produto (Aba 49)</t>
  </si>
  <si>
    <t xml:space="preserve">49151</t>
  </si>
  <si>
    <t xml:space="preserve">49152</t>
  </si>
  <si>
    <t xml:space="preserve">49153</t>
  </si>
  <si>
    <t xml:space="preserve">49154</t>
  </si>
  <si>
    <t xml:space="preserve">49155</t>
  </si>
  <si>
    <t xml:space="preserve">49156</t>
  </si>
  <si>
    <t xml:space="preserve">49157</t>
  </si>
  <si>
    <t xml:space="preserve">49158</t>
  </si>
  <si>
    <t xml:space="preserve">Tabela 17 — Design (Aba 49)</t>
  </si>
  <si>
    <t xml:space="preserve">49161</t>
  </si>
  <si>
    <t xml:space="preserve">49162</t>
  </si>
  <si>
    <t xml:space="preserve">49163</t>
  </si>
  <si>
    <t xml:space="preserve">49164</t>
  </si>
  <si>
    <t xml:space="preserve">49165</t>
  </si>
  <si>
    <t xml:space="preserve">49166</t>
  </si>
  <si>
    <t xml:space="preserve">49167</t>
  </si>
  <si>
    <t xml:space="preserve">49168</t>
  </si>
  <si>
    <t xml:space="preserve">Tabela 18 — DevEx (Aba 49)</t>
  </si>
  <si>
    <t xml:space="preserve">49171</t>
  </si>
  <si>
    <t xml:space="preserve">49172</t>
  </si>
  <si>
    <t xml:space="preserve">49173</t>
  </si>
  <si>
    <t xml:space="preserve">49174</t>
  </si>
  <si>
    <t xml:space="preserve">49175</t>
  </si>
  <si>
    <t xml:space="preserve">49176</t>
  </si>
  <si>
    <t xml:space="preserve">49177</t>
  </si>
  <si>
    <t xml:space="preserve">49178</t>
  </si>
  <si>
    <t xml:space="preserve">Tabela 19 — Dados (Aba 49)</t>
  </si>
  <si>
    <t xml:space="preserve">49181</t>
  </si>
  <si>
    <t xml:space="preserve">49182</t>
  </si>
  <si>
    <t xml:space="preserve">49183</t>
  </si>
  <si>
    <t xml:space="preserve">49184</t>
  </si>
  <si>
    <t xml:space="preserve">49185</t>
  </si>
  <si>
    <t xml:space="preserve">49186</t>
  </si>
  <si>
    <t xml:space="preserve">49187</t>
  </si>
  <si>
    <t xml:space="preserve">49188</t>
  </si>
  <si>
    <t xml:space="preserve">Tabela 20 — Infra (Aba 49)</t>
  </si>
  <si>
    <t xml:space="preserve">49191</t>
  </si>
  <si>
    <t xml:space="preserve">49192</t>
  </si>
  <si>
    <t xml:space="preserve">49193</t>
  </si>
  <si>
    <t xml:space="preserve">49194</t>
  </si>
  <si>
    <t xml:space="preserve">49195</t>
  </si>
  <si>
    <t xml:space="preserve">49196</t>
  </si>
  <si>
    <t xml:space="preserve">49197</t>
  </si>
  <si>
    <t xml:space="preserve">49198</t>
  </si>
  <si>
    <t xml:space="preserve">Tabela 21 — Segurança (Aba 49)</t>
  </si>
  <si>
    <t xml:space="preserve">49201</t>
  </si>
  <si>
    <t xml:space="preserve">49202</t>
  </si>
  <si>
    <t xml:space="preserve">49203</t>
  </si>
  <si>
    <t xml:space="preserve">49204</t>
  </si>
  <si>
    <t xml:space="preserve">49205</t>
  </si>
  <si>
    <t xml:space="preserve">49206</t>
  </si>
  <si>
    <t xml:space="preserve">49207</t>
  </si>
  <si>
    <t xml:space="preserve">49208</t>
  </si>
  <si>
    <t xml:space="preserve">Tabela 22 — Engenharia (Aba 49)</t>
  </si>
  <si>
    <t xml:space="preserve">49211</t>
  </si>
  <si>
    <t xml:space="preserve">49212</t>
  </si>
  <si>
    <t xml:space="preserve">49213</t>
  </si>
  <si>
    <t xml:space="preserve">49214</t>
  </si>
  <si>
    <t xml:space="preserve">49215</t>
  </si>
  <si>
    <t xml:space="preserve">49216</t>
  </si>
  <si>
    <t xml:space="preserve">49217</t>
  </si>
  <si>
    <t xml:space="preserve">49218</t>
  </si>
  <si>
    <t xml:space="preserve">Tabela 23 — Produto (Aba 49)</t>
  </si>
  <si>
    <t xml:space="preserve">49221</t>
  </si>
  <si>
    <t xml:space="preserve">49222</t>
  </si>
  <si>
    <t xml:space="preserve">49223</t>
  </si>
  <si>
    <t xml:space="preserve">49224</t>
  </si>
  <si>
    <t xml:space="preserve">49225</t>
  </si>
  <si>
    <t xml:space="preserve">49226</t>
  </si>
  <si>
    <t xml:space="preserve">49227</t>
  </si>
  <si>
    <t xml:space="preserve">49228</t>
  </si>
  <si>
    <t xml:space="preserve">Tabela 24 — Design (Aba 49)</t>
  </si>
  <si>
    <t xml:space="preserve">49231</t>
  </si>
  <si>
    <t xml:space="preserve">49232</t>
  </si>
  <si>
    <t xml:space="preserve">49233</t>
  </si>
  <si>
    <t xml:space="preserve">49234</t>
  </si>
  <si>
    <t xml:space="preserve">49235</t>
  </si>
  <si>
    <t xml:space="preserve">49236</t>
  </si>
  <si>
    <t xml:space="preserve">49237</t>
  </si>
  <si>
    <t xml:space="preserve">49238</t>
  </si>
  <si>
    <t xml:space="preserve">Tabela 25 — DevEx (Aba 49)</t>
  </si>
  <si>
    <t xml:space="preserve">49241</t>
  </si>
  <si>
    <t xml:space="preserve">49242</t>
  </si>
  <si>
    <t xml:space="preserve">49243</t>
  </si>
  <si>
    <t xml:space="preserve">49244</t>
  </si>
  <si>
    <t xml:space="preserve">49245</t>
  </si>
  <si>
    <t xml:space="preserve">49246</t>
  </si>
  <si>
    <t xml:space="preserve">49247</t>
  </si>
  <si>
    <t xml:space="preserve">49248</t>
  </si>
  <si>
    <t xml:space="preserve">Tabela 26 — Dados (Aba 49)</t>
  </si>
  <si>
    <t xml:space="preserve">49251</t>
  </si>
  <si>
    <t xml:space="preserve">49252</t>
  </si>
  <si>
    <t xml:space="preserve">49253</t>
  </si>
  <si>
    <t xml:space="preserve">49254</t>
  </si>
  <si>
    <t xml:space="preserve">49255</t>
  </si>
  <si>
    <t xml:space="preserve">49256</t>
  </si>
  <si>
    <t xml:space="preserve">49257</t>
  </si>
  <si>
    <t xml:space="preserve">49258</t>
  </si>
  <si>
    <t xml:space="preserve">Tabela 27 — Infra (Aba 49)</t>
  </si>
  <si>
    <t xml:space="preserve">49261</t>
  </si>
  <si>
    <t xml:space="preserve">49262</t>
  </si>
  <si>
    <t xml:space="preserve">49263</t>
  </si>
  <si>
    <t xml:space="preserve">49264</t>
  </si>
  <si>
    <t xml:space="preserve">49265</t>
  </si>
  <si>
    <t xml:space="preserve">49266</t>
  </si>
  <si>
    <t xml:space="preserve">49267</t>
  </si>
  <si>
    <t xml:space="preserve">49268</t>
  </si>
  <si>
    <t xml:space="preserve">Tabela 28 — Segurança (Aba 49)</t>
  </si>
  <si>
    <t xml:space="preserve">49271</t>
  </si>
  <si>
    <t xml:space="preserve">49272</t>
  </si>
  <si>
    <t xml:space="preserve">49273</t>
  </si>
  <si>
    <t xml:space="preserve">49274</t>
  </si>
  <si>
    <t xml:space="preserve">49275</t>
  </si>
  <si>
    <t xml:space="preserve">49276</t>
  </si>
  <si>
    <t xml:space="preserve">49277</t>
  </si>
  <si>
    <t xml:space="preserve">49278</t>
  </si>
  <si>
    <t xml:space="preserve">Tabela 29 — Engenharia (Aba 49)</t>
  </si>
  <si>
    <t xml:space="preserve">49281</t>
  </si>
  <si>
    <t xml:space="preserve">49282</t>
  </si>
  <si>
    <t xml:space="preserve">49283</t>
  </si>
  <si>
    <t xml:space="preserve">49284</t>
  </si>
  <si>
    <t xml:space="preserve">49285</t>
  </si>
  <si>
    <t xml:space="preserve">49286</t>
  </si>
  <si>
    <t xml:space="preserve">49287</t>
  </si>
  <si>
    <t xml:space="preserve">49288</t>
  </si>
  <si>
    <t xml:space="preserve">Tabela 30 — Produto (Aba 49)</t>
  </si>
  <si>
    <t xml:space="preserve">49291</t>
  </si>
  <si>
    <t xml:space="preserve">49292</t>
  </si>
  <si>
    <t xml:space="preserve">49293</t>
  </si>
  <si>
    <t xml:space="preserve">49294</t>
  </si>
  <si>
    <t xml:space="preserve">49295</t>
  </si>
  <si>
    <t xml:space="preserve">49296</t>
  </si>
  <si>
    <t xml:space="preserve">49297</t>
  </si>
  <si>
    <t xml:space="preserve">49298</t>
  </si>
  <si>
    <t xml:space="preserve">Planilha — Aba 50 | Relatório de Equipe</t>
  </si>
  <si>
    <t xml:space="preserve">Tabela 1 — Engenharia (Aba 50)</t>
  </si>
  <si>
    <t xml:space="preserve">50001</t>
  </si>
  <si>
    <t xml:space="preserve">50002</t>
  </si>
  <si>
    <t xml:space="preserve">50003</t>
  </si>
  <si>
    <t xml:space="preserve">50004</t>
  </si>
  <si>
    <t xml:space="preserve">50005</t>
  </si>
  <si>
    <t xml:space="preserve">50006</t>
  </si>
  <si>
    <t xml:space="preserve">50007</t>
  </si>
  <si>
    <t xml:space="preserve">50008</t>
  </si>
  <si>
    <t xml:space="preserve">Tabela 2 — Produto (Aba 50)</t>
  </si>
  <si>
    <t xml:space="preserve">50011</t>
  </si>
  <si>
    <t xml:space="preserve">50012</t>
  </si>
  <si>
    <t xml:space="preserve">50013</t>
  </si>
  <si>
    <t xml:space="preserve">50014</t>
  </si>
  <si>
    <t xml:space="preserve">50015</t>
  </si>
  <si>
    <t xml:space="preserve">50016</t>
  </si>
  <si>
    <t xml:space="preserve">50017</t>
  </si>
  <si>
    <t xml:space="preserve">50018</t>
  </si>
  <si>
    <t xml:space="preserve">Tabela 3 — Design (Aba 50)</t>
  </si>
  <si>
    <t xml:space="preserve">50021</t>
  </si>
  <si>
    <t xml:space="preserve">50022</t>
  </si>
  <si>
    <t xml:space="preserve">50023</t>
  </si>
  <si>
    <t xml:space="preserve">50024</t>
  </si>
  <si>
    <t xml:space="preserve">50025</t>
  </si>
  <si>
    <t xml:space="preserve">50026</t>
  </si>
  <si>
    <t xml:space="preserve">50027</t>
  </si>
  <si>
    <t xml:space="preserve">50028</t>
  </si>
  <si>
    <t xml:space="preserve">Tabela 4 — DevEx (Aba 50)</t>
  </si>
  <si>
    <t xml:space="preserve">50031</t>
  </si>
  <si>
    <t xml:space="preserve">50032</t>
  </si>
  <si>
    <t xml:space="preserve">50033</t>
  </si>
  <si>
    <t xml:space="preserve">50034</t>
  </si>
  <si>
    <t xml:space="preserve">50035</t>
  </si>
  <si>
    <t xml:space="preserve">50036</t>
  </si>
  <si>
    <t xml:space="preserve">50037</t>
  </si>
  <si>
    <t xml:space="preserve">50038</t>
  </si>
  <si>
    <t xml:space="preserve">Tabela 5 — Dados (Aba 50)</t>
  </si>
  <si>
    <t xml:space="preserve">50041</t>
  </si>
  <si>
    <t xml:space="preserve">50042</t>
  </si>
  <si>
    <t xml:space="preserve">50043</t>
  </si>
  <si>
    <t xml:space="preserve">50044</t>
  </si>
  <si>
    <t xml:space="preserve">50045</t>
  </si>
  <si>
    <t xml:space="preserve">50046</t>
  </si>
  <si>
    <t xml:space="preserve">50047</t>
  </si>
  <si>
    <t xml:space="preserve">50048</t>
  </si>
  <si>
    <t xml:space="preserve">Tabela 6 — Infra (Aba 50)</t>
  </si>
  <si>
    <t xml:space="preserve">50051</t>
  </si>
  <si>
    <t xml:space="preserve">50052</t>
  </si>
  <si>
    <t xml:space="preserve">50053</t>
  </si>
  <si>
    <t xml:space="preserve">50054</t>
  </si>
  <si>
    <t xml:space="preserve">50055</t>
  </si>
  <si>
    <t xml:space="preserve">50056</t>
  </si>
  <si>
    <t xml:space="preserve">50057</t>
  </si>
  <si>
    <t xml:space="preserve">50058</t>
  </si>
  <si>
    <t xml:space="preserve">Tabela 7 — Segurança (Aba 50)</t>
  </si>
  <si>
    <t xml:space="preserve">50061</t>
  </si>
  <si>
    <t xml:space="preserve">50062</t>
  </si>
  <si>
    <t xml:space="preserve">50063</t>
  </si>
  <si>
    <t xml:space="preserve">50064</t>
  </si>
  <si>
    <t xml:space="preserve">50065</t>
  </si>
  <si>
    <t xml:space="preserve">50066</t>
  </si>
  <si>
    <t xml:space="preserve">50067</t>
  </si>
  <si>
    <t xml:space="preserve">50068</t>
  </si>
  <si>
    <t xml:space="preserve">Tabela 8 — Engenharia (Aba 50)</t>
  </si>
  <si>
    <t xml:space="preserve">50071</t>
  </si>
  <si>
    <t xml:space="preserve">50072</t>
  </si>
  <si>
    <t xml:space="preserve">50073</t>
  </si>
  <si>
    <t xml:space="preserve">50074</t>
  </si>
  <si>
    <t xml:space="preserve">50075</t>
  </si>
  <si>
    <t xml:space="preserve">50076</t>
  </si>
  <si>
    <t xml:space="preserve">50077</t>
  </si>
  <si>
    <t xml:space="preserve">50078</t>
  </si>
  <si>
    <t xml:space="preserve">Tabela 9 — Produto (Aba 50)</t>
  </si>
  <si>
    <t xml:space="preserve">50081</t>
  </si>
  <si>
    <t xml:space="preserve">50082</t>
  </si>
  <si>
    <t xml:space="preserve">50083</t>
  </si>
  <si>
    <t xml:space="preserve">50084</t>
  </si>
  <si>
    <t xml:space="preserve">50085</t>
  </si>
  <si>
    <t xml:space="preserve">50086</t>
  </si>
  <si>
    <t xml:space="preserve">50087</t>
  </si>
  <si>
    <t xml:space="preserve">50088</t>
  </si>
  <si>
    <t xml:space="preserve">Tabela 10 — Design (Aba 50)</t>
  </si>
  <si>
    <t xml:space="preserve">50091</t>
  </si>
  <si>
    <t xml:space="preserve">50092</t>
  </si>
  <si>
    <t xml:space="preserve">50093</t>
  </si>
  <si>
    <t xml:space="preserve">50094</t>
  </si>
  <si>
    <t xml:space="preserve">50095</t>
  </si>
  <si>
    <t xml:space="preserve">50096</t>
  </si>
  <si>
    <t xml:space="preserve">50097</t>
  </si>
  <si>
    <t xml:space="preserve">50098</t>
  </si>
  <si>
    <t xml:space="preserve">Tabela 11 — DevEx (Aba 50)</t>
  </si>
  <si>
    <t xml:space="preserve">50101</t>
  </si>
  <si>
    <t xml:space="preserve">50102</t>
  </si>
  <si>
    <t xml:space="preserve">50103</t>
  </si>
  <si>
    <t xml:space="preserve">50104</t>
  </si>
  <si>
    <t xml:space="preserve">50105</t>
  </si>
  <si>
    <t xml:space="preserve">50106</t>
  </si>
  <si>
    <t xml:space="preserve">50107</t>
  </si>
  <si>
    <t xml:space="preserve">50108</t>
  </si>
  <si>
    <t xml:space="preserve">Tabela 12 — Dados (Aba 50)</t>
  </si>
  <si>
    <t xml:space="preserve">50111</t>
  </si>
  <si>
    <t xml:space="preserve">50112</t>
  </si>
  <si>
    <t xml:space="preserve">50113</t>
  </si>
  <si>
    <t xml:space="preserve">50114</t>
  </si>
  <si>
    <t xml:space="preserve">50115</t>
  </si>
  <si>
    <t xml:space="preserve">50116</t>
  </si>
  <si>
    <t xml:space="preserve">50117</t>
  </si>
  <si>
    <t xml:space="preserve">50118</t>
  </si>
  <si>
    <t xml:space="preserve">Tabela 13 — Infra (Aba 50)</t>
  </si>
  <si>
    <t xml:space="preserve">50121</t>
  </si>
  <si>
    <t xml:space="preserve">50122</t>
  </si>
  <si>
    <t xml:space="preserve">50123</t>
  </si>
  <si>
    <t xml:space="preserve">50124</t>
  </si>
  <si>
    <t xml:space="preserve">50125</t>
  </si>
  <si>
    <t xml:space="preserve">50126</t>
  </si>
  <si>
    <t xml:space="preserve">50127</t>
  </si>
  <si>
    <t xml:space="preserve">50128</t>
  </si>
  <si>
    <t xml:space="preserve">Tabela 14 — Segurança (Aba 50)</t>
  </si>
  <si>
    <t xml:space="preserve">50131</t>
  </si>
  <si>
    <t xml:space="preserve">50132</t>
  </si>
  <si>
    <t xml:space="preserve">50133</t>
  </si>
  <si>
    <t xml:space="preserve">50134</t>
  </si>
  <si>
    <t xml:space="preserve">50135</t>
  </si>
  <si>
    <t xml:space="preserve">50136</t>
  </si>
  <si>
    <t xml:space="preserve">50137</t>
  </si>
  <si>
    <t xml:space="preserve">50138</t>
  </si>
  <si>
    <t xml:space="preserve">Tabela 15 — Engenharia (Aba 50)</t>
  </si>
  <si>
    <t xml:space="preserve">50141</t>
  </si>
  <si>
    <t xml:space="preserve">50142</t>
  </si>
  <si>
    <t xml:space="preserve">50143</t>
  </si>
  <si>
    <t xml:space="preserve">50144</t>
  </si>
  <si>
    <t xml:space="preserve">50145</t>
  </si>
  <si>
    <t xml:space="preserve">50146</t>
  </si>
  <si>
    <t xml:space="preserve">50147</t>
  </si>
  <si>
    <t xml:space="preserve">50148</t>
  </si>
  <si>
    <t xml:space="preserve">Tabela 16 — Produto (Aba 50)</t>
  </si>
  <si>
    <t xml:space="preserve">50151</t>
  </si>
  <si>
    <t xml:space="preserve">50152</t>
  </si>
  <si>
    <t xml:space="preserve">50153</t>
  </si>
  <si>
    <t xml:space="preserve">50154</t>
  </si>
  <si>
    <t xml:space="preserve">50155</t>
  </si>
  <si>
    <t xml:space="preserve">50156</t>
  </si>
  <si>
    <t xml:space="preserve">50157</t>
  </si>
  <si>
    <t xml:space="preserve">50158</t>
  </si>
  <si>
    <t xml:space="preserve">Tabela 17 — Design (Aba 50)</t>
  </si>
  <si>
    <t xml:space="preserve">50161</t>
  </si>
  <si>
    <t xml:space="preserve">50162</t>
  </si>
  <si>
    <t xml:space="preserve">50163</t>
  </si>
  <si>
    <t xml:space="preserve">50164</t>
  </si>
  <si>
    <t xml:space="preserve">50165</t>
  </si>
  <si>
    <t xml:space="preserve">50166</t>
  </si>
  <si>
    <t xml:space="preserve">50167</t>
  </si>
  <si>
    <t xml:space="preserve">50168</t>
  </si>
  <si>
    <t xml:space="preserve">Tabela 18 — DevEx (Aba 50)</t>
  </si>
  <si>
    <t xml:space="preserve">50171</t>
  </si>
  <si>
    <t xml:space="preserve">50172</t>
  </si>
  <si>
    <t xml:space="preserve">50173</t>
  </si>
  <si>
    <t xml:space="preserve">50174</t>
  </si>
  <si>
    <t xml:space="preserve">50175</t>
  </si>
  <si>
    <t xml:space="preserve">50176</t>
  </si>
  <si>
    <t xml:space="preserve">50177</t>
  </si>
  <si>
    <t xml:space="preserve">50178</t>
  </si>
  <si>
    <t xml:space="preserve">Tabela 19 — Dados (Aba 50)</t>
  </si>
  <si>
    <t xml:space="preserve">50181</t>
  </si>
  <si>
    <t xml:space="preserve">50182</t>
  </si>
  <si>
    <t xml:space="preserve">50183</t>
  </si>
  <si>
    <t xml:space="preserve">50184</t>
  </si>
  <si>
    <t xml:space="preserve">50185</t>
  </si>
  <si>
    <t xml:space="preserve">50186</t>
  </si>
  <si>
    <t xml:space="preserve">50187</t>
  </si>
  <si>
    <t xml:space="preserve">50188</t>
  </si>
  <si>
    <t xml:space="preserve">Tabela 20 — Infra (Aba 50)</t>
  </si>
  <si>
    <t xml:space="preserve">50191</t>
  </si>
  <si>
    <t xml:space="preserve">50192</t>
  </si>
  <si>
    <t xml:space="preserve">50193</t>
  </si>
  <si>
    <t xml:space="preserve">50194</t>
  </si>
  <si>
    <t xml:space="preserve">50195</t>
  </si>
  <si>
    <t xml:space="preserve">50196</t>
  </si>
  <si>
    <t xml:space="preserve">50197</t>
  </si>
  <si>
    <t xml:space="preserve">50198</t>
  </si>
  <si>
    <t xml:space="preserve">Tabela 21 — Segurança (Aba 50)</t>
  </si>
  <si>
    <t xml:space="preserve">50201</t>
  </si>
  <si>
    <t xml:space="preserve">50202</t>
  </si>
  <si>
    <t xml:space="preserve">50203</t>
  </si>
  <si>
    <t xml:space="preserve">50204</t>
  </si>
  <si>
    <t xml:space="preserve">50205</t>
  </si>
  <si>
    <t xml:space="preserve">50206</t>
  </si>
  <si>
    <t xml:space="preserve">50207</t>
  </si>
  <si>
    <t xml:space="preserve">50208</t>
  </si>
  <si>
    <t xml:space="preserve">Tabela 22 — Engenharia (Aba 50)</t>
  </si>
  <si>
    <t xml:space="preserve">50211</t>
  </si>
  <si>
    <t xml:space="preserve">50212</t>
  </si>
  <si>
    <t xml:space="preserve">50213</t>
  </si>
  <si>
    <t xml:space="preserve">50214</t>
  </si>
  <si>
    <t xml:space="preserve">50215</t>
  </si>
  <si>
    <t xml:space="preserve">50216</t>
  </si>
  <si>
    <t xml:space="preserve">50217</t>
  </si>
  <si>
    <t xml:space="preserve">50218</t>
  </si>
  <si>
    <t xml:space="preserve">Tabela 23 — Produto (Aba 50)</t>
  </si>
  <si>
    <t xml:space="preserve">50221</t>
  </si>
  <si>
    <t xml:space="preserve">50222</t>
  </si>
  <si>
    <t xml:space="preserve">50223</t>
  </si>
  <si>
    <t xml:space="preserve">50224</t>
  </si>
  <si>
    <t xml:space="preserve">50225</t>
  </si>
  <si>
    <t xml:space="preserve">50226</t>
  </si>
  <si>
    <t xml:space="preserve">50227</t>
  </si>
  <si>
    <t xml:space="preserve">50228</t>
  </si>
  <si>
    <t xml:space="preserve">Tabela 24 — Design (Aba 50)</t>
  </si>
  <si>
    <t xml:space="preserve">50231</t>
  </si>
  <si>
    <t xml:space="preserve">50232</t>
  </si>
  <si>
    <t xml:space="preserve">50233</t>
  </si>
  <si>
    <t xml:space="preserve">50234</t>
  </si>
  <si>
    <t xml:space="preserve">50235</t>
  </si>
  <si>
    <t xml:space="preserve">50236</t>
  </si>
  <si>
    <t xml:space="preserve">50237</t>
  </si>
  <si>
    <t xml:space="preserve">50238</t>
  </si>
  <si>
    <t xml:space="preserve">Tabela 25 — DevEx (Aba 50)</t>
  </si>
  <si>
    <t xml:space="preserve">50241</t>
  </si>
  <si>
    <t xml:space="preserve">50242</t>
  </si>
  <si>
    <t xml:space="preserve">50243</t>
  </si>
  <si>
    <t xml:space="preserve">50244</t>
  </si>
  <si>
    <t xml:space="preserve">50245</t>
  </si>
  <si>
    <t xml:space="preserve">50246</t>
  </si>
  <si>
    <t xml:space="preserve">50247</t>
  </si>
  <si>
    <t xml:space="preserve">50248</t>
  </si>
  <si>
    <t xml:space="preserve">Tabela 26 — Dados (Aba 50)</t>
  </si>
  <si>
    <t xml:space="preserve">50251</t>
  </si>
  <si>
    <t xml:space="preserve">50252</t>
  </si>
  <si>
    <t xml:space="preserve">50253</t>
  </si>
  <si>
    <t xml:space="preserve">50254</t>
  </si>
  <si>
    <t xml:space="preserve">50255</t>
  </si>
  <si>
    <t xml:space="preserve">50256</t>
  </si>
  <si>
    <t xml:space="preserve">50257</t>
  </si>
  <si>
    <t xml:space="preserve">50258</t>
  </si>
  <si>
    <t xml:space="preserve">Tabela 27 — Infra (Aba 50)</t>
  </si>
  <si>
    <t xml:space="preserve">50261</t>
  </si>
  <si>
    <t xml:space="preserve">50262</t>
  </si>
  <si>
    <t xml:space="preserve">50263</t>
  </si>
  <si>
    <t xml:space="preserve">50264</t>
  </si>
  <si>
    <t xml:space="preserve">50265</t>
  </si>
  <si>
    <t xml:space="preserve">50266</t>
  </si>
  <si>
    <t xml:space="preserve">50267</t>
  </si>
  <si>
    <t xml:space="preserve">50268</t>
  </si>
  <si>
    <t xml:space="preserve">Tabela 28 — Segurança (Aba 50)</t>
  </si>
  <si>
    <t xml:space="preserve">50271</t>
  </si>
  <si>
    <t xml:space="preserve">50272</t>
  </si>
  <si>
    <t xml:space="preserve">50273</t>
  </si>
  <si>
    <t xml:space="preserve">50274</t>
  </si>
  <si>
    <t xml:space="preserve">50275</t>
  </si>
  <si>
    <t xml:space="preserve">50276</t>
  </si>
  <si>
    <t xml:space="preserve">50277</t>
  </si>
  <si>
    <t xml:space="preserve">50278</t>
  </si>
  <si>
    <t xml:space="preserve">Tabela 29 — Engenharia (Aba 50)</t>
  </si>
  <si>
    <t xml:space="preserve">50281</t>
  </si>
  <si>
    <t xml:space="preserve">50282</t>
  </si>
  <si>
    <t xml:space="preserve">50283</t>
  </si>
  <si>
    <t xml:space="preserve">50284</t>
  </si>
  <si>
    <t xml:space="preserve">50285</t>
  </si>
  <si>
    <t xml:space="preserve">50286</t>
  </si>
  <si>
    <t xml:space="preserve">50287</t>
  </si>
  <si>
    <t xml:space="preserve">50288</t>
  </si>
  <si>
    <t xml:space="preserve">Tabela 30 — Produto (Aba 50)</t>
  </si>
  <si>
    <t xml:space="preserve">50291</t>
  </si>
  <si>
    <t xml:space="preserve">50292</t>
  </si>
  <si>
    <t xml:space="preserve">50293</t>
  </si>
  <si>
    <t xml:space="preserve">50294</t>
  </si>
  <si>
    <t xml:space="preserve">50295</t>
  </si>
  <si>
    <t xml:space="preserve">50296</t>
  </si>
  <si>
    <t xml:space="preserve">50297</t>
  </si>
  <si>
    <t xml:space="preserve">50298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</si>
</sst>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n">
        <f aca="false">ROUND(17908*1.05,2)</f>
        <v>18803.4</v>
      </c>
      <c r="F6" s="5" t="s">
        <v>17</v>
      </c>
      <c r="G6" s="5" t="s">
        <v>18</v>
      </c>
      <c r="H6" s="5" t="n">
        <f aca="true">ROUND(RAND()*4+6,1)</f>
        <v>9.4</v>
      </c>
      <c r="I6" s="5" t="s">
        <v>19</v>
      </c>
      <c r="J6" s="5" t="str">
        <f aca="false">ROUND(85*1,0)&amp;"%"</f>
        <v>85%</v>
      </c>
    </row>
    <row r="7" customFormat="false" ht="15" hidden="false" customHeight="false" outlineLevel="0" collapsed="false">
      <c r="A7" s="6" t="s">
        <v>20</v>
      </c>
      <c r="B7" s="6" t="s">
        <v>21</v>
      </c>
      <c r="C7" s="6" t="s">
        <v>15</v>
      </c>
      <c r="D7" s="6" t="s">
        <v>22</v>
      </c>
      <c r="E7" s="6" t="n">
        <f aca="false">ROUND(13580*1.05,2)</f>
        <v>14259</v>
      </c>
      <c r="F7" s="6" t="s">
        <v>23</v>
      </c>
      <c r="G7" s="6" t="s">
        <v>24</v>
      </c>
      <c r="H7" s="6" t="n">
        <f aca="true">ROUND(RAND()*4+6,1)</f>
        <v>6.9</v>
      </c>
      <c r="I7" s="6" t="s">
        <v>25</v>
      </c>
      <c r="J7" s="6" t="str">
        <f aca="false">ROUND(81*1,0)&amp;"%"</f>
        <v>81%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s">
        <v>15</v>
      </c>
      <c r="D8" s="5" t="s">
        <v>28</v>
      </c>
      <c r="E8" s="5" t="n">
        <f aca="false">ROUND(9595*1.05,2)</f>
        <v>10074.75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ROUND(67*1,0)&amp;"%"</f>
        <v>67%</v>
      </c>
    </row>
    <row r="9" customFormat="false" ht="15" hidden="false" customHeight="false" outlineLevel="0" collapsed="false">
      <c r="A9" s="6" t="s">
        <v>32</v>
      </c>
      <c r="B9" s="6" t="s">
        <v>33</v>
      </c>
      <c r="C9" s="6" t="s">
        <v>15</v>
      </c>
      <c r="D9" s="6" t="s">
        <v>34</v>
      </c>
      <c r="E9" s="6" t="n">
        <f aca="false">ROUND(11513*1.05,2)</f>
        <v>12088.65</v>
      </c>
      <c r="F9" s="6" t="s">
        <v>35</v>
      </c>
      <c r="G9" s="6" t="s">
        <v>18</v>
      </c>
      <c r="H9" s="6" t="n">
        <f aca="true">ROUND(RAND()*4+6,1)</f>
        <v>7.1</v>
      </c>
      <c r="I9" s="6" t="s">
        <v>36</v>
      </c>
      <c r="J9" s="6" t="str">
        <f aca="false">ROUND(87*1,0)&amp;"%"</f>
        <v>87%</v>
      </c>
    </row>
    <row r="10" customFormat="false" ht="15" hidden="false" customHeight="false" outlineLevel="0" collapsed="false">
      <c r="A10" s="5" t="s">
        <v>37</v>
      </c>
      <c r="B10" s="5" t="s">
        <v>38</v>
      </c>
      <c r="C10" s="5" t="s">
        <v>15</v>
      </c>
      <c r="D10" s="5" t="s">
        <v>39</v>
      </c>
      <c r="E10" s="5" t="n">
        <f aca="false">ROUND(6757*1.05,2)</f>
        <v>7094.85</v>
      </c>
      <c r="F10" s="5" t="s">
        <v>40</v>
      </c>
      <c r="G10" s="5" t="s">
        <v>24</v>
      </c>
      <c r="H10" s="5" t="n">
        <f aca="true">ROUND(RAND()*4+6,1)</f>
        <v>9.1</v>
      </c>
      <c r="I10" s="5" t="s">
        <v>41</v>
      </c>
      <c r="J10" s="5" t="str">
        <f aca="false">ROUND(60*1,0)&amp;"%"</f>
        <v>60%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15</v>
      </c>
      <c r="D11" s="6" t="s">
        <v>44</v>
      </c>
      <c r="E11" s="6" t="n">
        <f aca="false">ROUND(12752*1.05,2)</f>
        <v>13389.6</v>
      </c>
      <c r="F11" s="6" t="s">
        <v>45</v>
      </c>
      <c r="G11" s="6" t="s">
        <v>30</v>
      </c>
      <c r="H11" s="6" t="n">
        <f aca="true">ROUND(RAND()*4+6,1)</f>
        <v>9.6</v>
      </c>
      <c r="I11" s="6" t="s">
        <v>46</v>
      </c>
      <c r="J11" s="6" t="str">
        <f aca="false">ROUND(76*1,0)&amp;"%"</f>
        <v>76%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5" t="s">
        <v>15</v>
      </c>
      <c r="D12" s="5" t="s">
        <v>16</v>
      </c>
      <c r="E12" s="5" t="n">
        <f aca="false">ROUND(17402*1.05,2)</f>
        <v>18272.1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50</v>
      </c>
      <c r="B13" s="6" t="s">
        <v>51</v>
      </c>
      <c r="C13" s="6" t="s">
        <v>15</v>
      </c>
      <c r="D13" s="6" t="s">
        <v>22</v>
      </c>
      <c r="E13" s="6" t="n">
        <f aca="false">ROUND(15989*1.05,2)</f>
        <v>16788.45</v>
      </c>
      <c r="F13" s="6" t="s">
        <v>52</v>
      </c>
      <c r="G13" s="6" t="s">
        <v>24</v>
      </c>
      <c r="H13" s="6" t="n">
        <f aca="true">ROUND(RAND()*4+6,1)</f>
        <v>7</v>
      </c>
      <c r="I13" s="6" t="s">
        <v>25</v>
      </c>
      <c r="J13" s="6" t="str">
        <f aca="false">ROUND(69*1,0)&amp;"%"</f>
        <v>69%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55</v>
      </c>
      <c r="B18" s="5" t="s">
        <v>56</v>
      </c>
      <c r="C18" s="5" t="s">
        <v>57</v>
      </c>
      <c r="D18" s="5" t="s">
        <v>16</v>
      </c>
      <c r="E18" s="5" t="n">
        <f aca="false">ROUND(12292*1.05,2)</f>
        <v>12906.6</v>
      </c>
      <c r="F18" s="5" t="s">
        <v>17</v>
      </c>
      <c r="G18" s="5" t="s">
        <v>18</v>
      </c>
      <c r="H18" s="5" t="n">
        <f aca="true">ROUND(RAND()*4+6,1)</f>
        <v>9.5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58</v>
      </c>
      <c r="B19" s="6" t="s">
        <v>59</v>
      </c>
      <c r="C19" s="6" t="s">
        <v>57</v>
      </c>
      <c r="D19" s="6" t="s">
        <v>22</v>
      </c>
      <c r="E19" s="6" t="n">
        <f aca="false">ROUND(8668*1.05,2)</f>
        <v>9101.4</v>
      </c>
      <c r="F19" s="6" t="s">
        <v>23</v>
      </c>
      <c r="G19" s="6" t="s">
        <v>24</v>
      </c>
      <c r="H19" s="6" t="n">
        <f aca="true">ROUND(RAND()*4+6,1)</f>
        <v>9.9</v>
      </c>
      <c r="I19" s="6" t="s">
        <v>25</v>
      </c>
      <c r="J19" s="6" t="str">
        <f aca="false">ROUND(84*1,0)&amp;"%"</f>
        <v>84%</v>
      </c>
    </row>
    <row r="20" customFormat="false" ht="15" hidden="false" customHeight="false" outlineLevel="0" collapsed="false">
      <c r="A20" s="5" t="s">
        <v>60</v>
      </c>
      <c r="B20" s="5" t="s">
        <v>61</v>
      </c>
      <c r="C20" s="5" t="s">
        <v>57</v>
      </c>
      <c r="D20" s="5" t="s">
        <v>28</v>
      </c>
      <c r="E20" s="5" t="n">
        <f aca="false">ROUND(6259*1.05,2)</f>
        <v>6571.95</v>
      </c>
      <c r="F20" s="5" t="s">
        <v>29</v>
      </c>
      <c r="G20" s="5" t="s">
        <v>30</v>
      </c>
      <c r="H20" s="5" t="n">
        <f aca="true">ROUND(RAND()*4+6,1)</f>
        <v>7.8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62</v>
      </c>
      <c r="B21" s="6" t="s">
        <v>63</v>
      </c>
      <c r="C21" s="6" t="s">
        <v>57</v>
      </c>
      <c r="D21" s="6" t="s">
        <v>34</v>
      </c>
      <c r="E21" s="6" t="n">
        <f aca="false">ROUND(5840*1.05,2)</f>
        <v>6132</v>
      </c>
      <c r="F21" s="6" t="s">
        <v>35</v>
      </c>
      <c r="G21" s="6" t="s">
        <v>18</v>
      </c>
      <c r="H21" s="6" t="n">
        <f aca="true">ROUND(RAND()*4+6,1)</f>
        <v>7.2</v>
      </c>
      <c r="I21" s="6" t="s">
        <v>36</v>
      </c>
      <c r="J21" s="6" t="str">
        <f aca="false">ROUND(80*1,0)&amp;"%"</f>
        <v>80%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57</v>
      </c>
      <c r="D22" s="5" t="s">
        <v>39</v>
      </c>
      <c r="E22" s="5" t="n">
        <f aca="false">ROUND(14502*1.05,2)</f>
        <v>15227.1</v>
      </c>
      <c r="F22" s="5" t="s">
        <v>40</v>
      </c>
      <c r="G22" s="5" t="s">
        <v>24</v>
      </c>
      <c r="H22" s="5" t="n">
        <f aca="true">ROUND(RAND()*4+6,1)</f>
        <v>7.7</v>
      </c>
      <c r="I22" s="5" t="s">
        <v>41</v>
      </c>
      <c r="J22" s="5" t="str">
        <f aca="false">ROUND(87*1,0)&amp;"%"</f>
        <v>87%</v>
      </c>
    </row>
    <row r="23" customFormat="false" ht="15" hidden="false" customHeight="false" outlineLevel="0" collapsed="false">
      <c r="A23" s="6" t="s">
        <v>66</v>
      </c>
      <c r="B23" s="6" t="s">
        <v>67</v>
      </c>
      <c r="C23" s="6" t="s">
        <v>57</v>
      </c>
      <c r="D23" s="6" t="s">
        <v>44</v>
      </c>
      <c r="E23" s="6" t="n">
        <f aca="false">ROUND(5082*1.05,2)</f>
        <v>5336.1</v>
      </c>
      <c r="F23" s="6" t="s">
        <v>45</v>
      </c>
      <c r="G23" s="6" t="s">
        <v>30</v>
      </c>
      <c r="H23" s="6" t="n">
        <f aca="true">ROUND(RAND()*4+6,1)</f>
        <v>9.6</v>
      </c>
      <c r="I23" s="6" t="s">
        <v>46</v>
      </c>
      <c r="J23" s="6" t="str">
        <f aca="false">ROUND(85*1,0)&amp;"%"</f>
        <v>85%</v>
      </c>
    </row>
    <row r="24" customFormat="false" ht="15" hidden="false" customHeight="false" outlineLevel="0" collapsed="false">
      <c r="A24" s="5" t="s">
        <v>68</v>
      </c>
      <c r="B24" s="5" t="s">
        <v>69</v>
      </c>
      <c r="C24" s="5" t="s">
        <v>57</v>
      </c>
      <c r="D24" s="5" t="s">
        <v>16</v>
      </c>
      <c r="E24" s="5" t="n">
        <f aca="false">ROUND(11428*1.05,2)</f>
        <v>11999.4</v>
      </c>
      <c r="F24" s="5" t="s">
        <v>49</v>
      </c>
      <c r="G24" s="5" t="s">
        <v>18</v>
      </c>
      <c r="H24" s="5" t="n">
        <f aca="true">ROUND(RAND()*4+6,1)</f>
        <v>8.2</v>
      </c>
      <c r="I24" s="5" t="s">
        <v>19</v>
      </c>
      <c r="J24" s="5" t="str">
        <f aca="false">ROUND(95*1,0)&amp;"%"</f>
        <v>95%</v>
      </c>
    </row>
    <row r="25" customFormat="false" ht="15" hidden="false" customHeight="false" outlineLevel="0" collapsed="false">
      <c r="A25" s="6" t="s">
        <v>70</v>
      </c>
      <c r="B25" s="6" t="s">
        <v>71</v>
      </c>
      <c r="C25" s="6" t="s">
        <v>57</v>
      </c>
      <c r="D25" s="6" t="s">
        <v>22</v>
      </c>
      <c r="E25" s="6" t="n">
        <f aca="false">ROUND(12032*1.05,2)</f>
        <v>12633.6</v>
      </c>
      <c r="F25" s="6" t="s">
        <v>52</v>
      </c>
      <c r="G25" s="6" t="s">
        <v>24</v>
      </c>
      <c r="H25" s="6" t="n">
        <f aca="true">ROUND(RAND()*4+6,1)</f>
        <v>8.7</v>
      </c>
      <c r="I25" s="6" t="s">
        <v>25</v>
      </c>
      <c r="J25" s="6" t="str">
        <f aca="false">ROUND(60*1,0)&amp;"%"</f>
        <v>60%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74</v>
      </c>
      <c r="B30" s="5" t="s">
        <v>75</v>
      </c>
      <c r="C30" s="5" t="s">
        <v>76</v>
      </c>
      <c r="D30" s="5" t="s">
        <v>16</v>
      </c>
      <c r="E30" s="5" t="n">
        <f aca="false">ROUND(9113*1.05,2)</f>
        <v>9568.65</v>
      </c>
      <c r="F30" s="5" t="s">
        <v>17</v>
      </c>
      <c r="G30" s="5" t="s">
        <v>18</v>
      </c>
      <c r="H30" s="5" t="n">
        <f aca="true">ROUND(RAND()*4+6,1)</f>
        <v>9.3</v>
      </c>
      <c r="I30" s="5" t="s">
        <v>19</v>
      </c>
      <c r="J30" s="5" t="str">
        <f aca="false">ROUND(97*1,0)&amp;"%"</f>
        <v>97%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6" t="s">
        <v>76</v>
      </c>
      <c r="D31" s="6" t="s">
        <v>22</v>
      </c>
      <c r="E31" s="6" t="n">
        <f aca="false">ROUND(8264*1.05,2)</f>
        <v>8677.2</v>
      </c>
      <c r="F31" s="6" t="s">
        <v>23</v>
      </c>
      <c r="G31" s="6" t="s">
        <v>24</v>
      </c>
      <c r="H31" s="6" t="n">
        <f aca="true">ROUND(RAND()*4+6,1)</f>
        <v>6.1</v>
      </c>
      <c r="I31" s="6" t="s">
        <v>25</v>
      </c>
      <c r="J31" s="6" t="str">
        <f aca="false">ROUND(93*1,0)&amp;"%"</f>
        <v>93%</v>
      </c>
    </row>
    <row r="32" customFormat="false" ht="15" hidden="false" customHeight="false" outlineLevel="0" collapsed="false">
      <c r="A32" s="5" t="s">
        <v>79</v>
      </c>
      <c r="B32" s="5" t="s">
        <v>80</v>
      </c>
      <c r="C32" s="5" t="s">
        <v>76</v>
      </c>
      <c r="D32" s="5" t="s">
        <v>28</v>
      </c>
      <c r="E32" s="5" t="n">
        <f aca="false">ROUND(8264*1.05,2)</f>
        <v>8677.2</v>
      </c>
      <c r="F32" s="5" t="s">
        <v>29</v>
      </c>
      <c r="G32" s="5" t="s">
        <v>30</v>
      </c>
      <c r="H32" s="5" t="n">
        <f aca="true">ROUND(RAND()*4+6,1)</f>
        <v>6.9</v>
      </c>
      <c r="I32" s="5" t="s">
        <v>31</v>
      </c>
      <c r="J32" s="5" t="str">
        <f aca="false">ROUND(86*1,0)&amp;"%"</f>
        <v>86%</v>
      </c>
    </row>
    <row r="33" customFormat="false" ht="15" hidden="false" customHeight="false" outlineLevel="0" collapsed="false">
      <c r="A33" s="6" t="s">
        <v>81</v>
      </c>
      <c r="B33" s="6" t="s">
        <v>82</v>
      </c>
      <c r="C33" s="6" t="s">
        <v>76</v>
      </c>
      <c r="D33" s="6" t="s">
        <v>34</v>
      </c>
      <c r="E33" s="6" t="n">
        <f aca="false">ROUND(12484*1.05,2)</f>
        <v>13108.2</v>
      </c>
      <c r="F33" s="6" t="s">
        <v>35</v>
      </c>
      <c r="G33" s="6" t="s">
        <v>18</v>
      </c>
      <c r="H33" s="6" t="n">
        <f aca="true">ROUND(RAND()*4+6,1)</f>
        <v>8.8</v>
      </c>
      <c r="I33" s="6" t="s">
        <v>36</v>
      </c>
      <c r="J33" s="6" t="str">
        <f aca="false">ROUND(75*1,0)&amp;"%"</f>
        <v>75%</v>
      </c>
    </row>
    <row r="34" customFormat="false" ht="15" hidden="false" customHeight="false" outlineLevel="0" collapsed="false">
      <c r="A34" s="5" t="s">
        <v>83</v>
      </c>
      <c r="B34" s="5" t="s">
        <v>84</v>
      </c>
      <c r="C34" s="5" t="s">
        <v>76</v>
      </c>
      <c r="D34" s="5" t="s">
        <v>39</v>
      </c>
      <c r="E34" s="5" t="n">
        <f aca="false">ROUND(13211*1.05,2)</f>
        <v>13871.55</v>
      </c>
      <c r="F34" s="5" t="s">
        <v>40</v>
      </c>
      <c r="G34" s="5" t="s">
        <v>24</v>
      </c>
      <c r="H34" s="5" t="n">
        <f aca="true">ROUND(RAND()*4+6,1)</f>
        <v>9.3</v>
      </c>
      <c r="I34" s="5" t="s">
        <v>41</v>
      </c>
      <c r="J34" s="5" t="str">
        <f aca="false">ROUND(87*1,0)&amp;"%"</f>
        <v>87%</v>
      </c>
    </row>
    <row r="35" customFormat="false" ht="15" hidden="false" customHeight="false" outlineLevel="0" collapsed="false">
      <c r="A35" s="6" t="s">
        <v>85</v>
      </c>
      <c r="B35" s="6" t="s">
        <v>86</v>
      </c>
      <c r="C35" s="6" t="s">
        <v>76</v>
      </c>
      <c r="D35" s="6" t="s">
        <v>44</v>
      </c>
      <c r="E35" s="6" t="n">
        <f aca="false">ROUND(11275*1.05,2)</f>
        <v>11838.75</v>
      </c>
      <c r="F35" s="6" t="s">
        <v>45</v>
      </c>
      <c r="G35" s="6" t="s">
        <v>30</v>
      </c>
      <c r="H35" s="6" t="n">
        <f aca="true">ROUND(RAND()*4+6,1)</f>
        <v>6.3</v>
      </c>
      <c r="I35" s="6" t="s">
        <v>46</v>
      </c>
      <c r="J35" s="6" t="str">
        <f aca="false">ROUND(74*1,0)&amp;"%"</f>
        <v>74%</v>
      </c>
    </row>
    <row r="36" customFormat="false" ht="15" hidden="false" customHeight="false" outlineLevel="0" collapsed="false">
      <c r="A36" s="5" t="s">
        <v>87</v>
      </c>
      <c r="B36" s="5" t="s">
        <v>88</v>
      </c>
      <c r="C36" s="5" t="s">
        <v>76</v>
      </c>
      <c r="D36" s="5" t="s">
        <v>16</v>
      </c>
      <c r="E36" s="5" t="n">
        <f aca="false">ROUND(15351*1.05,2)</f>
        <v>16118.55</v>
      </c>
      <c r="F36" s="5" t="s">
        <v>49</v>
      </c>
      <c r="G36" s="5" t="s">
        <v>18</v>
      </c>
      <c r="H36" s="5" t="n">
        <f aca="true">ROUND(RAND()*4+6,1)</f>
        <v>6.5</v>
      </c>
      <c r="I36" s="5" t="s">
        <v>19</v>
      </c>
      <c r="J36" s="5" t="str">
        <f aca="false">ROUND(63*1,0)&amp;"%"</f>
        <v>63%</v>
      </c>
    </row>
    <row r="37" customFormat="false" ht="15" hidden="false" customHeight="false" outlineLevel="0" collapsed="false">
      <c r="A37" s="6" t="s">
        <v>89</v>
      </c>
      <c r="B37" s="6" t="s">
        <v>90</v>
      </c>
      <c r="C37" s="6" t="s">
        <v>76</v>
      </c>
      <c r="D37" s="6" t="s">
        <v>22</v>
      </c>
      <c r="E37" s="6" t="n">
        <f aca="false">ROUND(4069*1.05,2)</f>
        <v>4272.45</v>
      </c>
      <c r="F37" s="6" t="s">
        <v>52</v>
      </c>
      <c r="G37" s="6" t="s">
        <v>24</v>
      </c>
      <c r="H37" s="6" t="n">
        <f aca="true">ROUND(RAND()*4+6,1)</f>
        <v>7.4</v>
      </c>
      <c r="I37" s="6" t="s">
        <v>25</v>
      </c>
      <c r="J37" s="6" t="str">
        <f aca="false">ROUND(86*1,0)&amp;"%"</f>
        <v>86%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93</v>
      </c>
      <c r="B42" s="5" t="s">
        <v>94</v>
      </c>
      <c r="C42" s="5" t="s">
        <v>95</v>
      </c>
      <c r="D42" s="5" t="s">
        <v>16</v>
      </c>
      <c r="E42" s="5" t="n">
        <f aca="false">ROUND(10439*1.05,2)</f>
        <v>10960.95</v>
      </c>
      <c r="F42" s="5" t="s">
        <v>17</v>
      </c>
      <c r="G42" s="5" t="s">
        <v>18</v>
      </c>
      <c r="H42" s="5" t="n">
        <f aca="true">ROUND(RAND()*4+6,1)</f>
        <v>9.2</v>
      </c>
      <c r="I42" s="5" t="s">
        <v>19</v>
      </c>
      <c r="J42" s="5" t="str">
        <f aca="false">ROUND(90*1,0)&amp;"%"</f>
        <v>90%</v>
      </c>
    </row>
    <row r="43" customFormat="false" ht="15" hidden="false" customHeight="false" outlineLevel="0" collapsed="false">
      <c r="A43" s="6" t="s">
        <v>96</v>
      </c>
      <c r="B43" s="6" t="s">
        <v>97</v>
      </c>
      <c r="C43" s="6" t="s">
        <v>95</v>
      </c>
      <c r="D43" s="6" t="s">
        <v>22</v>
      </c>
      <c r="E43" s="6" t="n">
        <f aca="false">ROUND(15440*1.05,2)</f>
        <v>16212</v>
      </c>
      <c r="F43" s="6" t="s">
        <v>23</v>
      </c>
      <c r="G43" s="6" t="s">
        <v>24</v>
      </c>
      <c r="H43" s="6" t="n">
        <f aca="true">ROUND(RAND()*4+6,1)</f>
        <v>8.2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98</v>
      </c>
      <c r="B44" s="5" t="s">
        <v>99</v>
      </c>
      <c r="C44" s="5" t="s">
        <v>95</v>
      </c>
      <c r="D44" s="5" t="s">
        <v>28</v>
      </c>
      <c r="E44" s="5" t="n">
        <f aca="false">ROUND(13743*1.05,2)</f>
        <v>14430.15</v>
      </c>
      <c r="F44" s="5" t="s">
        <v>29</v>
      </c>
      <c r="G44" s="5" t="s">
        <v>30</v>
      </c>
      <c r="H44" s="5" t="n">
        <f aca="true">ROUND(RAND()*4+6,1)</f>
        <v>7.2</v>
      </c>
      <c r="I44" s="5" t="s">
        <v>31</v>
      </c>
      <c r="J44" s="5" t="str">
        <f aca="false">ROUND(89*1,0)&amp;"%"</f>
        <v>89%</v>
      </c>
    </row>
    <row r="45" customFormat="false" ht="15" hidden="false" customHeight="false" outlineLevel="0" collapsed="false">
      <c r="A45" s="6" t="s">
        <v>100</v>
      </c>
      <c r="B45" s="6" t="s">
        <v>101</v>
      </c>
      <c r="C45" s="6" t="s">
        <v>95</v>
      </c>
      <c r="D45" s="6" t="s">
        <v>34</v>
      </c>
      <c r="E45" s="6" t="n">
        <f aca="false">ROUND(6782*1.05,2)</f>
        <v>7121.1</v>
      </c>
      <c r="F45" s="6" t="s">
        <v>35</v>
      </c>
      <c r="G45" s="6" t="s">
        <v>18</v>
      </c>
      <c r="H45" s="6" t="n">
        <f aca="true">ROUND(RAND()*4+6,1)</f>
        <v>6.7</v>
      </c>
      <c r="I45" s="6" t="s">
        <v>36</v>
      </c>
      <c r="J45" s="6" t="str">
        <f aca="false">ROUND(94*1,0)&amp;"%"</f>
        <v>94%</v>
      </c>
    </row>
    <row r="46" customFormat="false" ht="15" hidden="false" customHeight="false" outlineLevel="0" collapsed="false">
      <c r="A46" s="5" t="s">
        <v>102</v>
      </c>
      <c r="B46" s="5" t="s">
        <v>103</v>
      </c>
      <c r="C46" s="5" t="s">
        <v>95</v>
      </c>
      <c r="D46" s="5" t="s">
        <v>39</v>
      </c>
      <c r="E46" s="5" t="n">
        <f aca="false">ROUND(8442*1.05,2)</f>
        <v>8864.1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ROUND(71*1,0)&amp;"%"</f>
        <v>71%</v>
      </c>
    </row>
    <row r="47" customFormat="false" ht="15" hidden="false" customHeight="false" outlineLevel="0" collapsed="false">
      <c r="A47" s="6" t="s">
        <v>104</v>
      </c>
      <c r="B47" s="6" t="s">
        <v>105</v>
      </c>
      <c r="C47" s="6" t="s">
        <v>95</v>
      </c>
      <c r="D47" s="6" t="s">
        <v>44</v>
      </c>
      <c r="E47" s="6" t="n">
        <f aca="false">ROUND(7999*1.05,2)</f>
        <v>8398.95</v>
      </c>
      <c r="F47" s="6" t="s">
        <v>45</v>
      </c>
      <c r="G47" s="6" t="s">
        <v>30</v>
      </c>
      <c r="H47" s="6" t="n">
        <f aca="true">ROUND(RAND()*4+6,1)</f>
        <v>7.6</v>
      </c>
      <c r="I47" s="6" t="s">
        <v>46</v>
      </c>
      <c r="J47" s="6" t="str">
        <f aca="false">ROUND(64*1,0)&amp;"%"</f>
        <v>64%</v>
      </c>
    </row>
    <row r="48" customFormat="false" ht="15" hidden="false" customHeight="false" outlineLevel="0" collapsed="false">
      <c r="A48" s="5" t="s">
        <v>106</v>
      </c>
      <c r="B48" s="5" t="s">
        <v>107</v>
      </c>
      <c r="C48" s="5" t="s">
        <v>95</v>
      </c>
      <c r="D48" s="5" t="s">
        <v>16</v>
      </c>
      <c r="E48" s="5" t="n">
        <f aca="false">ROUND(9841*1.05,2)</f>
        <v>10333.05</v>
      </c>
      <c r="F48" s="5" t="s">
        <v>49</v>
      </c>
      <c r="G48" s="5" t="s">
        <v>18</v>
      </c>
      <c r="H48" s="5" t="n">
        <f aca="true">ROUND(RAND()*4+6,1)</f>
        <v>9.4</v>
      </c>
      <c r="I48" s="5" t="s">
        <v>19</v>
      </c>
      <c r="J48" s="5" t="str">
        <f aca="false">ROUND(62*1,0)&amp;"%"</f>
        <v>62%</v>
      </c>
    </row>
    <row r="49" customFormat="false" ht="15" hidden="false" customHeight="false" outlineLevel="0" collapsed="false">
      <c r="A49" s="6" t="s">
        <v>108</v>
      </c>
      <c r="B49" s="6" t="s">
        <v>109</v>
      </c>
      <c r="C49" s="6" t="s">
        <v>95</v>
      </c>
      <c r="D49" s="6" t="s">
        <v>22</v>
      </c>
      <c r="E49" s="6" t="n">
        <f aca="false">ROUND(17421*1.05,2)</f>
        <v>18292.05</v>
      </c>
      <c r="F49" s="6" t="s">
        <v>52</v>
      </c>
      <c r="G49" s="6" t="s">
        <v>24</v>
      </c>
      <c r="H49" s="6" t="n">
        <f aca="true">ROUND(RAND()*4+6,1)</f>
        <v>6.4</v>
      </c>
      <c r="I49" s="6" t="s">
        <v>25</v>
      </c>
      <c r="J49" s="6" t="str">
        <f aca="false">ROUND(72*1,0)&amp;"%"</f>
        <v>72%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112</v>
      </c>
      <c r="B54" s="5" t="s">
        <v>113</v>
      </c>
      <c r="C54" s="5" t="s">
        <v>114</v>
      </c>
      <c r="D54" s="5" t="s">
        <v>16</v>
      </c>
      <c r="E54" s="5" t="n">
        <f aca="false">ROUND(6284*1.05,2)</f>
        <v>6598.2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115</v>
      </c>
      <c r="B55" s="6" t="s">
        <v>116</v>
      </c>
      <c r="C55" s="6" t="s">
        <v>114</v>
      </c>
      <c r="D55" s="6" t="s">
        <v>22</v>
      </c>
      <c r="E55" s="6" t="n">
        <f aca="false">ROUND(12410*1.05,2)</f>
        <v>13030.5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ROUND(74*1,0)&amp;"%"</f>
        <v>74%</v>
      </c>
    </row>
    <row r="56" customFormat="false" ht="15" hidden="false" customHeight="false" outlineLevel="0" collapsed="false">
      <c r="A56" s="5" t="s">
        <v>117</v>
      </c>
      <c r="B56" s="5" t="s">
        <v>118</v>
      </c>
      <c r="C56" s="5" t="s">
        <v>114</v>
      </c>
      <c r="D56" s="5" t="s">
        <v>28</v>
      </c>
      <c r="E56" s="5" t="n">
        <f aca="false">ROUND(11847*1.05,2)</f>
        <v>12439.35</v>
      </c>
      <c r="F56" s="5" t="s">
        <v>29</v>
      </c>
      <c r="G56" s="5" t="s">
        <v>30</v>
      </c>
      <c r="H56" s="5" t="n">
        <f aca="true">ROUND(RAND()*4+6,1)</f>
        <v>9.2</v>
      </c>
      <c r="I56" s="5" t="s">
        <v>31</v>
      </c>
      <c r="J56" s="5" t="str">
        <f aca="false">ROUND(93*1,0)&amp;"%"</f>
        <v>93%</v>
      </c>
    </row>
    <row r="57" customFormat="false" ht="15" hidden="false" customHeight="false" outlineLevel="0" collapsed="false">
      <c r="A57" s="6" t="s">
        <v>119</v>
      </c>
      <c r="B57" s="6" t="s">
        <v>120</v>
      </c>
      <c r="C57" s="6" t="s">
        <v>114</v>
      </c>
      <c r="D57" s="6" t="s">
        <v>34</v>
      </c>
      <c r="E57" s="6" t="n">
        <f aca="false">ROUND(8805*1.05,2)</f>
        <v>9245.25</v>
      </c>
      <c r="F57" s="6" t="s">
        <v>35</v>
      </c>
      <c r="G57" s="6" t="s">
        <v>18</v>
      </c>
      <c r="H57" s="6" t="n">
        <f aca="true">ROUND(RAND()*4+6,1)</f>
        <v>7.8</v>
      </c>
      <c r="I57" s="6" t="s">
        <v>36</v>
      </c>
      <c r="J57" s="6" t="str">
        <f aca="false">ROUND(86*1,0)&amp;"%"</f>
        <v>86%</v>
      </c>
    </row>
    <row r="58" customFormat="false" ht="15" hidden="false" customHeight="false" outlineLevel="0" collapsed="false">
      <c r="A58" s="5" t="s">
        <v>121</v>
      </c>
      <c r="B58" s="5" t="s">
        <v>122</v>
      </c>
      <c r="C58" s="5" t="s">
        <v>114</v>
      </c>
      <c r="D58" s="5" t="s">
        <v>39</v>
      </c>
      <c r="E58" s="5" t="n">
        <f aca="false">ROUND(5404*1.05,2)</f>
        <v>5674.2</v>
      </c>
      <c r="F58" s="5" t="s">
        <v>40</v>
      </c>
      <c r="G58" s="5" t="s">
        <v>24</v>
      </c>
      <c r="H58" s="5" t="n">
        <f aca="true">ROUND(RAND()*4+6,1)</f>
        <v>8.5</v>
      </c>
      <c r="I58" s="5" t="s">
        <v>41</v>
      </c>
      <c r="J58" s="5" t="str">
        <f aca="false">ROUND(90*1,0)&amp;"%"</f>
        <v>90%</v>
      </c>
    </row>
    <row r="59" customFormat="false" ht="15" hidden="false" customHeight="false" outlineLevel="0" collapsed="false">
      <c r="A59" s="6" t="s">
        <v>123</v>
      </c>
      <c r="B59" s="6" t="s">
        <v>124</v>
      </c>
      <c r="C59" s="6" t="s">
        <v>114</v>
      </c>
      <c r="D59" s="6" t="s">
        <v>44</v>
      </c>
      <c r="E59" s="6" t="n">
        <f aca="false">ROUND(9179*1.05,2)</f>
        <v>9637.95</v>
      </c>
      <c r="F59" s="6" t="s">
        <v>45</v>
      </c>
      <c r="G59" s="6" t="s">
        <v>30</v>
      </c>
      <c r="H59" s="6" t="n">
        <f aca="true">ROUND(RAND()*4+6,1)</f>
        <v>6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125</v>
      </c>
      <c r="B60" s="5" t="s">
        <v>126</v>
      </c>
      <c r="C60" s="5" t="s">
        <v>114</v>
      </c>
      <c r="D60" s="5" t="s">
        <v>16</v>
      </c>
      <c r="E60" s="5" t="n">
        <f aca="false">ROUND(5573*1.05,2)</f>
        <v>5851.65</v>
      </c>
      <c r="F60" s="5" t="s">
        <v>49</v>
      </c>
      <c r="G60" s="5" t="s">
        <v>18</v>
      </c>
      <c r="H60" s="5" t="n">
        <f aca="true">ROUND(RAND()*4+6,1)</f>
        <v>6.5</v>
      </c>
      <c r="I60" s="5" t="s">
        <v>19</v>
      </c>
      <c r="J60" s="5" t="str">
        <f aca="false">ROUND(91*1,0)&amp;"%"</f>
        <v>91%</v>
      </c>
    </row>
    <row r="61" customFormat="false" ht="15" hidden="false" customHeight="false" outlineLevel="0" collapsed="false">
      <c r="A61" s="6" t="s">
        <v>127</v>
      </c>
      <c r="B61" s="6" t="s">
        <v>128</v>
      </c>
      <c r="C61" s="6" t="s">
        <v>114</v>
      </c>
      <c r="D61" s="6" t="s">
        <v>22</v>
      </c>
      <c r="E61" s="6" t="n">
        <f aca="false">ROUND(8420*1.05,2)</f>
        <v>8841</v>
      </c>
      <c r="F61" s="6" t="s">
        <v>52</v>
      </c>
      <c r="G61" s="6" t="s">
        <v>24</v>
      </c>
      <c r="H61" s="6" t="n">
        <f aca="true">ROUND(RAND()*4+6,1)</f>
        <v>8.5</v>
      </c>
      <c r="I61" s="6" t="s">
        <v>25</v>
      </c>
      <c r="J61" s="6" t="str">
        <f aca="false">ROUND(98*1,0)&amp;"%"</f>
        <v>98%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131</v>
      </c>
      <c r="B66" s="5" t="s">
        <v>132</v>
      </c>
      <c r="C66" s="5" t="s">
        <v>133</v>
      </c>
      <c r="D66" s="5" t="s">
        <v>16</v>
      </c>
      <c r="E66" s="5" t="n">
        <f aca="false">ROUND(4419*1.05,2)</f>
        <v>4639.95</v>
      </c>
      <c r="F66" s="5" t="s">
        <v>17</v>
      </c>
      <c r="G66" s="5" t="s">
        <v>18</v>
      </c>
      <c r="H66" s="5" t="n">
        <f aca="true">ROUND(RAND()*4+6,1)</f>
        <v>7</v>
      </c>
      <c r="I66" s="5" t="s">
        <v>19</v>
      </c>
      <c r="J66" s="5" t="str">
        <f aca="false">ROUND(88*1,0)&amp;"%"</f>
        <v>88%</v>
      </c>
    </row>
    <row r="67" customFormat="false" ht="15" hidden="false" customHeight="false" outlineLevel="0" collapsed="false">
      <c r="A67" s="6" t="s">
        <v>134</v>
      </c>
      <c r="B67" s="6" t="s">
        <v>135</v>
      </c>
      <c r="C67" s="6" t="s">
        <v>133</v>
      </c>
      <c r="D67" s="6" t="s">
        <v>22</v>
      </c>
      <c r="E67" s="6" t="n">
        <f aca="false">ROUND(6937*1.05,2)</f>
        <v>7283.85</v>
      </c>
      <c r="F67" s="6" t="s">
        <v>23</v>
      </c>
      <c r="G67" s="6" t="s">
        <v>24</v>
      </c>
      <c r="H67" s="6" t="n">
        <f aca="true">ROUND(RAND()*4+6,1)</f>
        <v>7.8</v>
      </c>
      <c r="I67" s="6" t="s">
        <v>25</v>
      </c>
      <c r="J67" s="6" t="str">
        <f aca="false">ROUND(93*1,0)&amp;"%"</f>
        <v>93%</v>
      </c>
    </row>
    <row r="68" customFormat="false" ht="15" hidden="false" customHeight="false" outlineLevel="0" collapsed="false">
      <c r="A68" s="5" t="s">
        <v>136</v>
      </c>
      <c r="B68" s="5" t="s">
        <v>137</v>
      </c>
      <c r="C68" s="5" t="s">
        <v>133</v>
      </c>
      <c r="D68" s="5" t="s">
        <v>28</v>
      </c>
      <c r="E68" s="5" t="n">
        <f aca="false">ROUND(17317*1.05,2)</f>
        <v>18182.85</v>
      </c>
      <c r="F68" s="5" t="s">
        <v>29</v>
      </c>
      <c r="G68" s="5" t="s">
        <v>30</v>
      </c>
      <c r="H68" s="5" t="n">
        <f aca="true">ROUND(RAND()*4+6,1)</f>
        <v>7.4</v>
      </c>
      <c r="I68" s="5" t="s">
        <v>31</v>
      </c>
      <c r="J68" s="5" t="str">
        <f aca="false">ROUND(69*1,0)&amp;"%"</f>
        <v>69%</v>
      </c>
    </row>
    <row r="69" customFormat="false" ht="15" hidden="false" customHeight="false" outlineLevel="0" collapsed="false">
      <c r="A69" s="6" t="s">
        <v>138</v>
      </c>
      <c r="B69" s="6" t="s">
        <v>139</v>
      </c>
      <c r="C69" s="6" t="s">
        <v>133</v>
      </c>
      <c r="D69" s="6" t="s">
        <v>34</v>
      </c>
      <c r="E69" s="6" t="n">
        <f aca="false">ROUND(9125*1.05,2)</f>
        <v>9581.25</v>
      </c>
      <c r="F69" s="6" t="s">
        <v>35</v>
      </c>
      <c r="G69" s="6" t="s">
        <v>18</v>
      </c>
      <c r="H69" s="6" t="n">
        <f aca="true">ROUND(RAND()*4+6,1)</f>
        <v>8</v>
      </c>
      <c r="I69" s="6" t="s">
        <v>36</v>
      </c>
      <c r="J69" s="6" t="str">
        <f aca="false">ROUND(92*1,0)&amp;"%"</f>
        <v>92%</v>
      </c>
    </row>
    <row r="70" customFormat="false" ht="15" hidden="false" customHeight="false" outlineLevel="0" collapsed="false">
      <c r="A70" s="5" t="s">
        <v>140</v>
      </c>
      <c r="B70" s="5" t="s">
        <v>141</v>
      </c>
      <c r="C70" s="5" t="s">
        <v>133</v>
      </c>
      <c r="D70" s="5" t="s">
        <v>39</v>
      </c>
      <c r="E70" s="5" t="n">
        <f aca="false">ROUND(14099*1.05,2)</f>
        <v>14803.95</v>
      </c>
      <c r="F70" s="5" t="s">
        <v>40</v>
      </c>
      <c r="G70" s="5" t="s">
        <v>24</v>
      </c>
      <c r="H70" s="5" t="n">
        <f aca="true">ROUND(RAND()*4+6,1)</f>
        <v>9.6</v>
      </c>
      <c r="I70" s="5" t="s">
        <v>41</v>
      </c>
      <c r="J70" s="5" t="str">
        <f aca="false">ROUND(79*1,0)&amp;"%"</f>
        <v>79%</v>
      </c>
    </row>
    <row r="71" customFormat="false" ht="15" hidden="false" customHeight="false" outlineLevel="0" collapsed="false">
      <c r="A71" s="6" t="s">
        <v>142</v>
      </c>
      <c r="B71" s="6" t="s">
        <v>143</v>
      </c>
      <c r="C71" s="6" t="s">
        <v>133</v>
      </c>
      <c r="D71" s="6" t="s">
        <v>44</v>
      </c>
      <c r="E71" s="6" t="n">
        <f aca="false">ROUND(5906*1.05,2)</f>
        <v>6201.3</v>
      </c>
      <c r="F71" s="6" t="s">
        <v>45</v>
      </c>
      <c r="G71" s="6" t="s">
        <v>30</v>
      </c>
      <c r="H71" s="6" t="n">
        <f aca="true">ROUND(RAND()*4+6,1)</f>
        <v>7.2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144</v>
      </c>
      <c r="B72" s="5" t="s">
        <v>145</v>
      </c>
      <c r="C72" s="5" t="s">
        <v>133</v>
      </c>
      <c r="D72" s="5" t="s">
        <v>16</v>
      </c>
      <c r="E72" s="5" t="n">
        <f aca="false">ROUND(4423*1.05,2)</f>
        <v>4644.15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ROUND(80*1,0)&amp;"%"</f>
        <v>80%</v>
      </c>
    </row>
    <row r="73" customFormat="false" ht="15" hidden="false" customHeight="false" outlineLevel="0" collapsed="false">
      <c r="A73" s="6" t="s">
        <v>146</v>
      </c>
      <c r="B73" s="6" t="s">
        <v>147</v>
      </c>
      <c r="C73" s="6" t="s">
        <v>133</v>
      </c>
      <c r="D73" s="6" t="s">
        <v>22</v>
      </c>
      <c r="E73" s="6" t="n">
        <f aca="false">ROUND(13444*1.05,2)</f>
        <v>14116.2</v>
      </c>
      <c r="F73" s="6" t="s">
        <v>52</v>
      </c>
      <c r="G73" s="6" t="s">
        <v>24</v>
      </c>
      <c r="H73" s="6" t="n">
        <f aca="true">ROUND(RAND()*4+6,1)</f>
        <v>6.9</v>
      </c>
      <c r="I73" s="6" t="s">
        <v>25</v>
      </c>
      <c r="J73" s="6" t="str">
        <f aca="false">ROUND(93*1,0)&amp;"%"</f>
        <v>93%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149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150</v>
      </c>
      <c r="B78" s="5" t="s">
        <v>151</v>
      </c>
      <c r="C78" s="5" t="s">
        <v>152</v>
      </c>
      <c r="D78" s="5" t="s">
        <v>16</v>
      </c>
      <c r="E78" s="5" t="n">
        <f aca="false">ROUND(7420*1.05,2)</f>
        <v>7791</v>
      </c>
      <c r="F78" s="5" t="s">
        <v>17</v>
      </c>
      <c r="G78" s="5" t="s">
        <v>18</v>
      </c>
      <c r="H78" s="5" t="n">
        <f aca="true">ROUND(RAND()*4+6,1)</f>
        <v>6.7</v>
      </c>
      <c r="I78" s="5" t="s">
        <v>19</v>
      </c>
      <c r="J78" s="5" t="str">
        <f aca="false">ROUND(90*1,0)&amp;"%"</f>
        <v>90%</v>
      </c>
    </row>
    <row r="79" customFormat="false" ht="15" hidden="false" customHeight="false" outlineLevel="0" collapsed="false">
      <c r="A79" s="6" t="s">
        <v>153</v>
      </c>
      <c r="B79" s="6" t="s">
        <v>154</v>
      </c>
      <c r="C79" s="6" t="s">
        <v>152</v>
      </c>
      <c r="D79" s="6" t="s">
        <v>22</v>
      </c>
      <c r="E79" s="6" t="n">
        <f aca="false">ROUND(4187*1.05,2)</f>
        <v>4396.35</v>
      </c>
      <c r="F79" s="6" t="s">
        <v>23</v>
      </c>
      <c r="G79" s="6" t="s">
        <v>24</v>
      </c>
      <c r="H79" s="6" t="n">
        <f aca="true">ROUND(RAND()*4+6,1)</f>
        <v>8.3</v>
      </c>
      <c r="I79" s="6" t="s">
        <v>25</v>
      </c>
      <c r="J79" s="6" t="str">
        <f aca="false">ROUND(60*1,0)&amp;"%"</f>
        <v>60%</v>
      </c>
    </row>
    <row r="80" customFormat="false" ht="15" hidden="false" customHeight="false" outlineLevel="0" collapsed="false">
      <c r="A80" s="5" t="s">
        <v>155</v>
      </c>
      <c r="B80" s="5" t="s">
        <v>156</v>
      </c>
      <c r="C80" s="5" t="s">
        <v>152</v>
      </c>
      <c r="D80" s="5" t="s">
        <v>28</v>
      </c>
      <c r="E80" s="5" t="n">
        <f aca="false">ROUND(5785*1.05,2)</f>
        <v>6074.25</v>
      </c>
      <c r="F80" s="5" t="s">
        <v>29</v>
      </c>
      <c r="G80" s="5" t="s">
        <v>30</v>
      </c>
      <c r="H80" s="5" t="n">
        <f aca="true">ROUND(RAND()*4+6,1)</f>
        <v>6</v>
      </c>
      <c r="I80" s="5" t="s">
        <v>31</v>
      </c>
      <c r="J80" s="5" t="str">
        <f aca="false">ROUND(88*1,0)&amp;"%"</f>
        <v>88%</v>
      </c>
    </row>
    <row r="81" customFormat="false" ht="15" hidden="false" customHeight="false" outlineLevel="0" collapsed="false">
      <c r="A81" s="6" t="s">
        <v>157</v>
      </c>
      <c r="B81" s="6" t="s">
        <v>158</v>
      </c>
      <c r="C81" s="6" t="s">
        <v>152</v>
      </c>
      <c r="D81" s="6" t="s">
        <v>34</v>
      </c>
      <c r="E81" s="6" t="n">
        <f aca="false">ROUND(6565*1.05,2)</f>
        <v>6893.25</v>
      </c>
      <c r="F81" s="6" t="s">
        <v>35</v>
      </c>
      <c r="G81" s="6" t="s">
        <v>18</v>
      </c>
      <c r="H81" s="6" t="n">
        <f aca="true">ROUND(RAND()*4+6,1)</f>
        <v>8</v>
      </c>
      <c r="I81" s="6" t="s">
        <v>36</v>
      </c>
      <c r="J81" s="6" t="str">
        <f aca="false">ROUND(75*1,0)&amp;"%"</f>
        <v>75%</v>
      </c>
    </row>
    <row r="82" customFormat="false" ht="15" hidden="false" customHeight="false" outlineLevel="0" collapsed="false">
      <c r="A82" s="5" t="s">
        <v>159</v>
      </c>
      <c r="B82" s="5" t="s">
        <v>160</v>
      </c>
      <c r="C82" s="5" t="s">
        <v>152</v>
      </c>
      <c r="D82" s="5" t="s">
        <v>39</v>
      </c>
      <c r="E82" s="5" t="n">
        <f aca="false">ROUND(5084*1.05,2)</f>
        <v>5338.2</v>
      </c>
      <c r="F82" s="5" t="s">
        <v>40</v>
      </c>
      <c r="G82" s="5" t="s">
        <v>24</v>
      </c>
      <c r="H82" s="5" t="n">
        <f aca="true">ROUND(RAND()*4+6,1)</f>
        <v>7.4</v>
      </c>
      <c r="I82" s="5" t="s">
        <v>41</v>
      </c>
      <c r="J82" s="5" t="str">
        <f aca="false">ROUND(91*1,0)&amp;"%"</f>
        <v>91%</v>
      </c>
    </row>
    <row r="83" customFormat="false" ht="15" hidden="false" customHeight="false" outlineLevel="0" collapsed="false">
      <c r="A83" s="6" t="s">
        <v>161</v>
      </c>
      <c r="B83" s="6" t="s">
        <v>162</v>
      </c>
      <c r="C83" s="6" t="s">
        <v>152</v>
      </c>
      <c r="D83" s="6" t="s">
        <v>44</v>
      </c>
      <c r="E83" s="6" t="n">
        <f aca="false">ROUND(10620*1.05,2)</f>
        <v>11151</v>
      </c>
      <c r="F83" s="6" t="s">
        <v>45</v>
      </c>
      <c r="G83" s="6" t="s">
        <v>30</v>
      </c>
      <c r="H83" s="6" t="n">
        <f aca="true">ROUND(RAND()*4+6,1)</f>
        <v>8.4</v>
      </c>
      <c r="I83" s="6" t="s">
        <v>46</v>
      </c>
      <c r="J83" s="6" t="str">
        <f aca="false">ROUND(95*1,0)&amp;"%"</f>
        <v>95%</v>
      </c>
    </row>
    <row r="84" customFormat="false" ht="15" hidden="false" customHeight="false" outlineLevel="0" collapsed="false">
      <c r="A84" s="5" t="s">
        <v>163</v>
      </c>
      <c r="B84" s="5" t="s">
        <v>164</v>
      </c>
      <c r="C84" s="5" t="s">
        <v>152</v>
      </c>
      <c r="D84" s="5" t="s">
        <v>16</v>
      </c>
      <c r="E84" s="5" t="n">
        <f aca="false">ROUND(13293*1.05,2)</f>
        <v>13957.65</v>
      </c>
      <c r="F84" s="5" t="s">
        <v>49</v>
      </c>
      <c r="G84" s="5" t="s">
        <v>18</v>
      </c>
      <c r="H84" s="5" t="n">
        <f aca="true">ROUND(RAND()*4+6,1)</f>
        <v>7.2</v>
      </c>
      <c r="I84" s="5" t="s">
        <v>19</v>
      </c>
      <c r="J84" s="5" t="str">
        <f aca="false">ROUND(68*1,0)&amp;"%"</f>
        <v>68%</v>
      </c>
    </row>
    <row r="85" customFormat="false" ht="15" hidden="false" customHeight="false" outlineLevel="0" collapsed="false">
      <c r="A85" s="6" t="s">
        <v>165</v>
      </c>
      <c r="B85" s="6" t="s">
        <v>166</v>
      </c>
      <c r="C85" s="6" t="s">
        <v>152</v>
      </c>
      <c r="D85" s="6" t="s">
        <v>22</v>
      </c>
      <c r="E85" s="6" t="n">
        <f aca="false">ROUND(4546*1.05,2)</f>
        <v>4773.3</v>
      </c>
      <c r="F85" s="6" t="s">
        <v>52</v>
      </c>
      <c r="G85" s="6" t="s">
        <v>24</v>
      </c>
      <c r="H85" s="6" t="n">
        <f aca="true">ROUND(RAND()*4+6,1)</f>
        <v>6.4</v>
      </c>
      <c r="I85" s="6" t="s">
        <v>25</v>
      </c>
      <c r="J85" s="6" t="str">
        <f aca="false">ROUND(71*1,0)&amp;"%"</f>
        <v>71%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168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169</v>
      </c>
      <c r="B90" s="5" t="s">
        <v>170</v>
      </c>
      <c r="C90" s="5" t="s">
        <v>15</v>
      </c>
      <c r="D90" s="5" t="s">
        <v>16</v>
      </c>
      <c r="E90" s="5" t="n">
        <f aca="false">ROUND(4606*1.05,2)</f>
        <v>4836.3</v>
      </c>
      <c r="F90" s="5" t="s">
        <v>17</v>
      </c>
      <c r="G90" s="5" t="s">
        <v>18</v>
      </c>
      <c r="H90" s="5" t="n">
        <f aca="true">ROUND(RAND()*4+6,1)</f>
        <v>8.1</v>
      </c>
      <c r="I90" s="5" t="s">
        <v>19</v>
      </c>
      <c r="J90" s="5" t="str">
        <f aca="false">ROUND(88*1,0)&amp;"%"</f>
        <v>88%</v>
      </c>
    </row>
    <row r="91" customFormat="false" ht="15" hidden="false" customHeight="false" outlineLevel="0" collapsed="false">
      <c r="A91" s="6" t="s">
        <v>171</v>
      </c>
      <c r="B91" s="6" t="s">
        <v>172</v>
      </c>
      <c r="C91" s="6" t="s">
        <v>15</v>
      </c>
      <c r="D91" s="6" t="s">
        <v>22</v>
      </c>
      <c r="E91" s="6" t="n">
        <f aca="false">ROUND(6030*1.05,2)</f>
        <v>6331.5</v>
      </c>
      <c r="F91" s="6" t="s">
        <v>23</v>
      </c>
      <c r="G91" s="6" t="s">
        <v>24</v>
      </c>
      <c r="H91" s="6" t="n">
        <f aca="true">ROUND(RAND()*4+6,1)</f>
        <v>8.2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173</v>
      </c>
      <c r="B92" s="5" t="s">
        <v>174</v>
      </c>
      <c r="C92" s="5" t="s">
        <v>15</v>
      </c>
      <c r="D92" s="5" t="s">
        <v>28</v>
      </c>
      <c r="E92" s="5" t="n">
        <f aca="false">ROUND(15332*1.05,2)</f>
        <v>16098.6</v>
      </c>
      <c r="F92" s="5" t="s">
        <v>29</v>
      </c>
      <c r="G92" s="5" t="s">
        <v>30</v>
      </c>
      <c r="H92" s="5" t="n">
        <f aca="true">ROUND(RAND()*4+6,1)</f>
        <v>6.2</v>
      </c>
      <c r="I92" s="5" t="s">
        <v>31</v>
      </c>
      <c r="J92" s="5" t="str">
        <f aca="false">ROUND(84*1,0)&amp;"%"</f>
        <v>84%</v>
      </c>
    </row>
    <row r="93" customFormat="false" ht="15" hidden="false" customHeight="false" outlineLevel="0" collapsed="false">
      <c r="A93" s="6" t="s">
        <v>175</v>
      </c>
      <c r="B93" s="6" t="s">
        <v>176</v>
      </c>
      <c r="C93" s="6" t="s">
        <v>15</v>
      </c>
      <c r="D93" s="6" t="s">
        <v>34</v>
      </c>
      <c r="E93" s="6" t="n">
        <f aca="false">ROUND(7430*1.05,2)</f>
        <v>7801.5</v>
      </c>
      <c r="F93" s="6" t="s">
        <v>35</v>
      </c>
      <c r="G93" s="6" t="s">
        <v>18</v>
      </c>
      <c r="H93" s="6" t="n">
        <f aca="true">ROUND(RAND()*4+6,1)</f>
        <v>8.8</v>
      </c>
      <c r="I93" s="6" t="s">
        <v>36</v>
      </c>
      <c r="J93" s="6" t="str">
        <f aca="false">ROUND(83*1,0)&amp;"%"</f>
        <v>83%</v>
      </c>
    </row>
    <row r="94" customFormat="false" ht="15" hidden="false" customHeight="false" outlineLevel="0" collapsed="false">
      <c r="A94" s="5" t="s">
        <v>177</v>
      </c>
      <c r="B94" s="5" t="s">
        <v>178</v>
      </c>
      <c r="C94" s="5" t="s">
        <v>15</v>
      </c>
      <c r="D94" s="5" t="s">
        <v>39</v>
      </c>
      <c r="E94" s="5" t="n">
        <f aca="false">ROUND(17226*1.05,2)</f>
        <v>18087.3</v>
      </c>
      <c r="F94" s="5" t="s">
        <v>40</v>
      </c>
      <c r="G94" s="5" t="s">
        <v>24</v>
      </c>
      <c r="H94" s="5" t="n">
        <f aca="true">ROUND(RAND()*4+6,1)</f>
        <v>8.2</v>
      </c>
      <c r="I94" s="5" t="s">
        <v>41</v>
      </c>
      <c r="J94" s="5" t="str">
        <f aca="false">ROUND(100*1,0)&amp;"%"</f>
        <v>100%</v>
      </c>
    </row>
    <row r="95" customFormat="false" ht="15" hidden="false" customHeight="false" outlineLevel="0" collapsed="false">
      <c r="A95" s="6" t="s">
        <v>179</v>
      </c>
      <c r="B95" s="6" t="s">
        <v>180</v>
      </c>
      <c r="C95" s="6" t="s">
        <v>15</v>
      </c>
      <c r="D95" s="6" t="s">
        <v>44</v>
      </c>
      <c r="E95" s="6" t="n">
        <f aca="false">ROUND(14441*1.05,2)</f>
        <v>15163.05</v>
      </c>
      <c r="F95" s="6" t="s">
        <v>45</v>
      </c>
      <c r="G95" s="6" t="s">
        <v>30</v>
      </c>
      <c r="H95" s="6" t="n">
        <f aca="true">ROUND(RAND()*4+6,1)</f>
        <v>9.4</v>
      </c>
      <c r="I95" s="6" t="s">
        <v>46</v>
      </c>
      <c r="J95" s="6" t="str">
        <f aca="false">ROUND(62*1,0)&amp;"%"</f>
        <v>62%</v>
      </c>
    </row>
    <row r="96" customFormat="false" ht="15" hidden="false" customHeight="false" outlineLevel="0" collapsed="false">
      <c r="A96" s="5" t="s">
        <v>181</v>
      </c>
      <c r="B96" s="5" t="s">
        <v>182</v>
      </c>
      <c r="C96" s="5" t="s">
        <v>15</v>
      </c>
      <c r="D96" s="5" t="s">
        <v>16</v>
      </c>
      <c r="E96" s="5" t="n">
        <f aca="false">ROUND(15755*1.05,2)</f>
        <v>16542.75</v>
      </c>
      <c r="F96" s="5" t="s">
        <v>49</v>
      </c>
      <c r="G96" s="5" t="s">
        <v>18</v>
      </c>
      <c r="H96" s="5" t="n">
        <f aca="true">ROUND(RAND()*4+6,1)</f>
        <v>9.4</v>
      </c>
      <c r="I96" s="5" t="s">
        <v>19</v>
      </c>
      <c r="J96" s="5" t="str">
        <f aca="false">ROUND(92*1,0)&amp;"%"</f>
        <v>92%</v>
      </c>
    </row>
    <row r="97" customFormat="false" ht="15" hidden="false" customHeight="false" outlineLevel="0" collapsed="false">
      <c r="A97" s="6" t="s">
        <v>183</v>
      </c>
      <c r="B97" s="6" t="s">
        <v>184</v>
      </c>
      <c r="C97" s="6" t="s">
        <v>15</v>
      </c>
      <c r="D97" s="6" t="s">
        <v>22</v>
      </c>
      <c r="E97" s="6" t="n">
        <f aca="false">ROUND(12881*1.05,2)</f>
        <v>13525.05</v>
      </c>
      <c r="F97" s="6" t="s">
        <v>52</v>
      </c>
      <c r="G97" s="6" t="s">
        <v>24</v>
      </c>
      <c r="H97" s="6" t="n">
        <f aca="true">ROUND(RAND()*4+6,1)</f>
        <v>8.1</v>
      </c>
      <c r="I97" s="6" t="s">
        <v>25</v>
      </c>
      <c r="J97" s="6" t="str">
        <f aca="false">ROUND(74*1,0)&amp;"%"</f>
        <v>74%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186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187</v>
      </c>
      <c r="B102" s="5" t="s">
        <v>188</v>
      </c>
      <c r="C102" s="5" t="s">
        <v>57</v>
      </c>
      <c r="D102" s="5" t="s">
        <v>16</v>
      </c>
      <c r="E102" s="5" t="n">
        <f aca="false">ROUND(10853*1.05,2)</f>
        <v>11395.65</v>
      </c>
      <c r="F102" s="5" t="s">
        <v>17</v>
      </c>
      <c r="G102" s="5" t="s">
        <v>18</v>
      </c>
      <c r="H102" s="5" t="n">
        <f aca="true">ROUND(RAND()*4+6,1)</f>
        <v>9.8</v>
      </c>
      <c r="I102" s="5" t="s">
        <v>19</v>
      </c>
      <c r="J102" s="5" t="str">
        <f aca="false">ROUND(100*1,0)&amp;"%"</f>
        <v>100%</v>
      </c>
    </row>
    <row r="103" customFormat="false" ht="15" hidden="false" customHeight="false" outlineLevel="0" collapsed="false">
      <c r="A103" s="6" t="s">
        <v>189</v>
      </c>
      <c r="B103" s="6" t="s">
        <v>190</v>
      </c>
      <c r="C103" s="6" t="s">
        <v>57</v>
      </c>
      <c r="D103" s="6" t="s">
        <v>22</v>
      </c>
      <c r="E103" s="6" t="n">
        <f aca="false">ROUND(7519*1.05,2)</f>
        <v>7894.95</v>
      </c>
      <c r="F103" s="6" t="s">
        <v>23</v>
      </c>
      <c r="G103" s="6" t="s">
        <v>24</v>
      </c>
      <c r="H103" s="6" t="n">
        <f aca="true">ROUND(RAND()*4+6,1)</f>
        <v>8.4</v>
      </c>
      <c r="I103" s="6" t="s">
        <v>25</v>
      </c>
      <c r="J103" s="6" t="str">
        <f aca="false">ROUND(88*1,0)&amp;"%"</f>
        <v>88%</v>
      </c>
    </row>
    <row r="104" customFormat="false" ht="15" hidden="false" customHeight="false" outlineLevel="0" collapsed="false">
      <c r="A104" s="5" t="s">
        <v>191</v>
      </c>
      <c r="B104" s="5" t="s">
        <v>192</v>
      </c>
      <c r="C104" s="5" t="s">
        <v>57</v>
      </c>
      <c r="D104" s="5" t="s">
        <v>28</v>
      </c>
      <c r="E104" s="5" t="n">
        <f aca="false">ROUND(14479*1.05,2)</f>
        <v>15202.95</v>
      </c>
      <c r="F104" s="5" t="s">
        <v>29</v>
      </c>
      <c r="G104" s="5" t="s">
        <v>30</v>
      </c>
      <c r="H104" s="5" t="n">
        <f aca="true">ROUND(RAND()*4+6,1)</f>
        <v>8.4</v>
      </c>
      <c r="I104" s="5" t="s">
        <v>31</v>
      </c>
      <c r="J104" s="5" t="str">
        <f aca="false">ROUND(81*1,0)&amp;"%"</f>
        <v>81%</v>
      </c>
    </row>
    <row r="105" customFormat="false" ht="15" hidden="false" customHeight="false" outlineLevel="0" collapsed="false">
      <c r="A105" s="6" t="s">
        <v>193</v>
      </c>
      <c r="B105" s="6" t="s">
        <v>194</v>
      </c>
      <c r="C105" s="6" t="s">
        <v>57</v>
      </c>
      <c r="D105" s="6" t="s">
        <v>34</v>
      </c>
      <c r="E105" s="6" t="n">
        <f aca="false">ROUND(15726*1.05,2)</f>
        <v>16512.3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ROUND(67*1,0)&amp;"%"</f>
        <v>67%</v>
      </c>
    </row>
    <row r="106" customFormat="false" ht="15" hidden="false" customHeight="false" outlineLevel="0" collapsed="false">
      <c r="A106" s="5" t="s">
        <v>195</v>
      </c>
      <c r="B106" s="5" t="s">
        <v>196</v>
      </c>
      <c r="C106" s="5" t="s">
        <v>57</v>
      </c>
      <c r="D106" s="5" t="s">
        <v>39</v>
      </c>
      <c r="E106" s="5" t="n">
        <f aca="false">ROUND(15130*1.05,2)</f>
        <v>15886.5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ROUND(96*1,0)&amp;"%"</f>
        <v>96%</v>
      </c>
    </row>
    <row r="107" customFormat="false" ht="15" hidden="false" customHeight="false" outlineLevel="0" collapsed="false">
      <c r="A107" s="6" t="s">
        <v>197</v>
      </c>
      <c r="B107" s="6" t="s">
        <v>198</v>
      </c>
      <c r="C107" s="6" t="s">
        <v>57</v>
      </c>
      <c r="D107" s="6" t="s">
        <v>44</v>
      </c>
      <c r="E107" s="6" t="n">
        <f aca="false">ROUND(15003*1.05,2)</f>
        <v>15753.15</v>
      </c>
      <c r="F107" s="6" t="s">
        <v>45</v>
      </c>
      <c r="G107" s="6" t="s">
        <v>30</v>
      </c>
      <c r="H107" s="6" t="n">
        <f aca="true">ROUND(RAND()*4+6,1)</f>
        <v>6.2</v>
      </c>
      <c r="I107" s="6" t="s">
        <v>46</v>
      </c>
      <c r="J107" s="6" t="str">
        <f aca="false">ROUND(76*1,0)&amp;"%"</f>
        <v>76%</v>
      </c>
    </row>
    <row r="108" customFormat="false" ht="15" hidden="false" customHeight="false" outlineLevel="0" collapsed="false">
      <c r="A108" s="5" t="s">
        <v>199</v>
      </c>
      <c r="B108" s="5" t="s">
        <v>200</v>
      </c>
      <c r="C108" s="5" t="s">
        <v>57</v>
      </c>
      <c r="D108" s="5" t="s">
        <v>16</v>
      </c>
      <c r="E108" s="5" t="n">
        <f aca="false">ROUND(7147*1.05,2)</f>
        <v>7504.35</v>
      </c>
      <c r="F108" s="5" t="s">
        <v>49</v>
      </c>
      <c r="G108" s="5" t="s">
        <v>18</v>
      </c>
      <c r="H108" s="5" t="n">
        <f aca="true">ROUND(RAND()*4+6,1)</f>
        <v>9.2</v>
      </c>
      <c r="I108" s="5" t="s">
        <v>19</v>
      </c>
      <c r="J108" s="5" t="str">
        <f aca="false">ROUND(96*1,0)&amp;"%"</f>
        <v>96%</v>
      </c>
    </row>
    <row r="109" customFormat="false" ht="15" hidden="false" customHeight="false" outlineLevel="0" collapsed="false">
      <c r="A109" s="6" t="s">
        <v>201</v>
      </c>
      <c r="B109" s="6" t="s">
        <v>202</v>
      </c>
      <c r="C109" s="6" t="s">
        <v>57</v>
      </c>
      <c r="D109" s="6" t="s">
        <v>22</v>
      </c>
      <c r="E109" s="6" t="n">
        <f aca="false">ROUND(11465*1.05,2)</f>
        <v>12038.25</v>
      </c>
      <c r="F109" s="6" t="s">
        <v>52</v>
      </c>
      <c r="G109" s="6" t="s">
        <v>24</v>
      </c>
      <c r="H109" s="6" t="n">
        <f aca="true">ROUND(RAND()*4+6,1)</f>
        <v>9.1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204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205</v>
      </c>
      <c r="B114" s="5" t="s">
        <v>206</v>
      </c>
      <c r="C114" s="5" t="s">
        <v>76</v>
      </c>
      <c r="D114" s="5" t="s">
        <v>16</v>
      </c>
      <c r="E114" s="5" t="n">
        <f aca="false">ROUND(13321*1.05,2)</f>
        <v>13987.05</v>
      </c>
      <c r="F114" s="5" t="s">
        <v>17</v>
      </c>
      <c r="G114" s="5" t="s">
        <v>18</v>
      </c>
      <c r="H114" s="5" t="n">
        <f aca="true">ROUND(RAND()*4+6,1)</f>
        <v>7.8</v>
      </c>
      <c r="I114" s="5" t="s">
        <v>19</v>
      </c>
      <c r="J114" s="5" t="str">
        <f aca="false">ROUND(87*1,0)&amp;"%"</f>
        <v>87%</v>
      </c>
    </row>
    <row r="115" customFormat="false" ht="15" hidden="false" customHeight="false" outlineLevel="0" collapsed="false">
      <c r="A115" s="6" t="s">
        <v>207</v>
      </c>
      <c r="B115" s="6" t="s">
        <v>208</v>
      </c>
      <c r="C115" s="6" t="s">
        <v>76</v>
      </c>
      <c r="D115" s="6" t="s">
        <v>22</v>
      </c>
      <c r="E115" s="6" t="n">
        <f aca="false">ROUND(15345*1.05,2)</f>
        <v>16112.25</v>
      </c>
      <c r="F115" s="6" t="s">
        <v>23</v>
      </c>
      <c r="G115" s="6" t="s">
        <v>24</v>
      </c>
      <c r="H115" s="6" t="n">
        <f aca="true">ROUND(RAND()*4+6,1)</f>
        <v>9.5</v>
      </c>
      <c r="I115" s="6" t="s">
        <v>25</v>
      </c>
      <c r="J115" s="6" t="str">
        <f aca="false">ROUND(61*1,0)&amp;"%"</f>
        <v>61%</v>
      </c>
    </row>
    <row r="116" customFormat="false" ht="15" hidden="false" customHeight="false" outlineLevel="0" collapsed="false">
      <c r="A116" s="5" t="s">
        <v>209</v>
      </c>
      <c r="B116" s="5" t="s">
        <v>210</v>
      </c>
      <c r="C116" s="5" t="s">
        <v>76</v>
      </c>
      <c r="D116" s="5" t="s">
        <v>28</v>
      </c>
      <c r="E116" s="5" t="n">
        <f aca="false">ROUND(5862*1.05,2)</f>
        <v>6155.1</v>
      </c>
      <c r="F116" s="5" t="s">
        <v>29</v>
      </c>
      <c r="G116" s="5" t="s">
        <v>30</v>
      </c>
      <c r="H116" s="5" t="n">
        <f aca="true">ROUND(RAND()*4+6,1)</f>
        <v>9.9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211</v>
      </c>
      <c r="B117" s="6" t="s">
        <v>212</v>
      </c>
      <c r="C117" s="6" t="s">
        <v>76</v>
      </c>
      <c r="D117" s="6" t="s">
        <v>34</v>
      </c>
      <c r="E117" s="6" t="n">
        <f aca="false">ROUND(12456*1.05,2)</f>
        <v>13078.8</v>
      </c>
      <c r="F117" s="6" t="s">
        <v>35</v>
      </c>
      <c r="G117" s="6" t="s">
        <v>18</v>
      </c>
      <c r="H117" s="6" t="n">
        <f aca="true">ROUND(RAND()*4+6,1)</f>
        <v>8.8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213</v>
      </c>
      <c r="B118" s="5" t="s">
        <v>214</v>
      </c>
      <c r="C118" s="5" t="s">
        <v>76</v>
      </c>
      <c r="D118" s="5" t="s">
        <v>39</v>
      </c>
      <c r="E118" s="5" t="n">
        <f aca="false">ROUND(14019*1.05,2)</f>
        <v>14719.95</v>
      </c>
      <c r="F118" s="5" t="s">
        <v>40</v>
      </c>
      <c r="G118" s="5" t="s">
        <v>24</v>
      </c>
      <c r="H118" s="5" t="n">
        <f aca="true">ROUND(RAND()*4+6,1)</f>
        <v>9.8</v>
      </c>
      <c r="I118" s="5" t="s">
        <v>41</v>
      </c>
      <c r="J118" s="5" t="str">
        <f aca="false">ROUND(70*1,0)&amp;"%"</f>
        <v>70%</v>
      </c>
    </row>
    <row r="119" customFormat="false" ht="15" hidden="false" customHeight="false" outlineLevel="0" collapsed="false">
      <c r="A119" s="6" t="s">
        <v>215</v>
      </c>
      <c r="B119" s="6" t="s">
        <v>216</v>
      </c>
      <c r="C119" s="6" t="s">
        <v>76</v>
      </c>
      <c r="D119" s="6" t="s">
        <v>44</v>
      </c>
      <c r="E119" s="6" t="n">
        <f aca="false">ROUND(14353*1.05,2)</f>
        <v>15070.65</v>
      </c>
      <c r="F119" s="6" t="s">
        <v>45</v>
      </c>
      <c r="G119" s="6" t="s">
        <v>30</v>
      </c>
      <c r="H119" s="6" t="n">
        <f aca="true">ROUND(RAND()*4+6,1)</f>
        <v>6.5</v>
      </c>
      <c r="I119" s="6" t="s">
        <v>46</v>
      </c>
      <c r="J119" s="6" t="str">
        <f aca="false">ROUND(86*1,0)&amp;"%"</f>
        <v>86%</v>
      </c>
    </row>
    <row r="120" customFormat="false" ht="15" hidden="false" customHeight="false" outlineLevel="0" collapsed="false">
      <c r="A120" s="5" t="s">
        <v>217</v>
      </c>
      <c r="B120" s="5" t="s">
        <v>218</v>
      </c>
      <c r="C120" s="5" t="s">
        <v>76</v>
      </c>
      <c r="D120" s="5" t="s">
        <v>16</v>
      </c>
      <c r="E120" s="5" t="n">
        <f aca="false">ROUND(13595*1.05,2)</f>
        <v>14274.75</v>
      </c>
      <c r="F120" s="5" t="s">
        <v>49</v>
      </c>
      <c r="G120" s="5" t="s">
        <v>18</v>
      </c>
      <c r="H120" s="5" t="n">
        <f aca="true">ROUND(RAND()*4+6,1)</f>
        <v>6.2</v>
      </c>
      <c r="I120" s="5" t="s">
        <v>19</v>
      </c>
      <c r="J120" s="5" t="str">
        <f aca="false">ROUND(63*1,0)&amp;"%"</f>
        <v>63%</v>
      </c>
    </row>
    <row r="121" customFormat="false" ht="15" hidden="false" customHeight="false" outlineLevel="0" collapsed="false">
      <c r="A121" s="6" t="s">
        <v>219</v>
      </c>
      <c r="B121" s="6" t="s">
        <v>220</v>
      </c>
      <c r="C121" s="6" t="s">
        <v>76</v>
      </c>
      <c r="D121" s="6" t="s">
        <v>22</v>
      </c>
      <c r="E121" s="6" t="n">
        <f aca="false">ROUND(16327*1.05,2)</f>
        <v>17143.35</v>
      </c>
      <c r="F121" s="6" t="s">
        <v>52</v>
      </c>
      <c r="G121" s="6" t="s">
        <v>24</v>
      </c>
      <c r="H121" s="6" t="n">
        <f aca="true">ROUND(RAND()*4+6,1)</f>
        <v>7.6</v>
      </c>
      <c r="I121" s="6" t="s">
        <v>25</v>
      </c>
      <c r="J121" s="6" t="str">
        <f aca="false">ROUND(74*1,0)&amp;"%"</f>
        <v>74%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222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223</v>
      </c>
      <c r="B126" s="5" t="s">
        <v>224</v>
      </c>
      <c r="C126" s="5" t="s">
        <v>95</v>
      </c>
      <c r="D126" s="5" t="s">
        <v>16</v>
      </c>
      <c r="E126" s="5" t="n">
        <f aca="false">ROUND(15150*1.05,2)</f>
        <v>15907.5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ROUND(93*1,0)&amp;"%"</f>
        <v>93%</v>
      </c>
    </row>
    <row r="127" customFormat="false" ht="15" hidden="false" customHeight="false" outlineLevel="0" collapsed="false">
      <c r="A127" s="6" t="s">
        <v>225</v>
      </c>
      <c r="B127" s="6" t="s">
        <v>226</v>
      </c>
      <c r="C127" s="6" t="s">
        <v>95</v>
      </c>
      <c r="D127" s="6" t="s">
        <v>22</v>
      </c>
      <c r="E127" s="6" t="n">
        <f aca="false">ROUND(10063*1.05,2)</f>
        <v>10566.15</v>
      </c>
      <c r="F127" s="6" t="s">
        <v>23</v>
      </c>
      <c r="G127" s="6" t="s">
        <v>24</v>
      </c>
      <c r="H127" s="6" t="n">
        <f aca="true">ROUND(RAND()*4+6,1)</f>
        <v>9.6</v>
      </c>
      <c r="I127" s="6" t="s">
        <v>25</v>
      </c>
      <c r="J127" s="6" t="str">
        <f aca="false">ROUND(97*1,0)&amp;"%"</f>
        <v>97%</v>
      </c>
    </row>
    <row r="128" customFormat="false" ht="15" hidden="false" customHeight="false" outlineLevel="0" collapsed="false">
      <c r="A128" s="5" t="s">
        <v>227</v>
      </c>
      <c r="B128" s="5" t="s">
        <v>228</v>
      </c>
      <c r="C128" s="5" t="s">
        <v>95</v>
      </c>
      <c r="D128" s="5" t="s">
        <v>28</v>
      </c>
      <c r="E128" s="5" t="n">
        <f aca="false">ROUND(13754*1.05,2)</f>
        <v>14441.7</v>
      </c>
      <c r="F128" s="5" t="s">
        <v>29</v>
      </c>
      <c r="G128" s="5" t="s">
        <v>30</v>
      </c>
      <c r="H128" s="5" t="n">
        <f aca="true">ROUND(RAND()*4+6,1)</f>
        <v>6.7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229</v>
      </c>
      <c r="B129" s="6" t="s">
        <v>230</v>
      </c>
      <c r="C129" s="6" t="s">
        <v>95</v>
      </c>
      <c r="D129" s="6" t="s">
        <v>34</v>
      </c>
      <c r="E129" s="6" t="n">
        <f aca="false">ROUND(5543*1.05,2)</f>
        <v>5820.15</v>
      </c>
      <c r="F129" s="6" t="s">
        <v>35</v>
      </c>
      <c r="G129" s="6" t="s">
        <v>18</v>
      </c>
      <c r="H129" s="6" t="n">
        <f aca="true">ROUND(RAND()*4+6,1)</f>
        <v>7.3</v>
      </c>
      <c r="I129" s="6" t="s">
        <v>36</v>
      </c>
      <c r="J129" s="6" t="str">
        <f aca="false">ROUND(100*1,0)&amp;"%"</f>
        <v>100%</v>
      </c>
    </row>
    <row r="130" customFormat="false" ht="15" hidden="false" customHeight="false" outlineLevel="0" collapsed="false">
      <c r="A130" s="5" t="s">
        <v>231</v>
      </c>
      <c r="B130" s="5" t="s">
        <v>232</v>
      </c>
      <c r="C130" s="5" t="s">
        <v>95</v>
      </c>
      <c r="D130" s="5" t="s">
        <v>39</v>
      </c>
      <c r="E130" s="5" t="n">
        <f aca="false">ROUND(8685*1.05,2)</f>
        <v>9119.25</v>
      </c>
      <c r="F130" s="5" t="s">
        <v>40</v>
      </c>
      <c r="G130" s="5" t="s">
        <v>24</v>
      </c>
      <c r="H130" s="5" t="n">
        <f aca="true">ROUND(RAND()*4+6,1)</f>
        <v>6.7</v>
      </c>
      <c r="I130" s="5" t="s">
        <v>41</v>
      </c>
      <c r="J130" s="5" t="str">
        <f aca="false">ROUND(90*1,0)&amp;"%"</f>
        <v>90%</v>
      </c>
    </row>
    <row r="131" customFormat="false" ht="15" hidden="false" customHeight="false" outlineLevel="0" collapsed="false">
      <c r="A131" s="6" t="s">
        <v>233</v>
      </c>
      <c r="B131" s="6" t="s">
        <v>234</v>
      </c>
      <c r="C131" s="6" t="s">
        <v>95</v>
      </c>
      <c r="D131" s="6" t="s">
        <v>44</v>
      </c>
      <c r="E131" s="6" t="n">
        <f aca="false">ROUND(17195*1.05,2)</f>
        <v>18054.75</v>
      </c>
      <c r="F131" s="6" t="s">
        <v>45</v>
      </c>
      <c r="G131" s="6" t="s">
        <v>30</v>
      </c>
      <c r="H131" s="6" t="n">
        <f aca="true">ROUND(RAND()*4+6,1)</f>
        <v>9.4</v>
      </c>
      <c r="I131" s="6" t="s">
        <v>46</v>
      </c>
      <c r="J131" s="6" t="str">
        <f aca="false">ROUND(65*1,0)&amp;"%"</f>
        <v>65%</v>
      </c>
    </row>
    <row r="132" customFormat="false" ht="15" hidden="false" customHeight="false" outlineLevel="0" collapsed="false">
      <c r="A132" s="5" t="s">
        <v>235</v>
      </c>
      <c r="B132" s="5" t="s">
        <v>236</v>
      </c>
      <c r="C132" s="5" t="s">
        <v>95</v>
      </c>
      <c r="D132" s="5" t="s">
        <v>16</v>
      </c>
      <c r="E132" s="5" t="n">
        <f aca="false">ROUND(15823*1.05,2)</f>
        <v>16614.15</v>
      </c>
      <c r="F132" s="5" t="s">
        <v>49</v>
      </c>
      <c r="G132" s="5" t="s">
        <v>18</v>
      </c>
      <c r="H132" s="5" t="n">
        <f aca="true">ROUND(RAND()*4+6,1)</f>
        <v>6.8</v>
      </c>
      <c r="I132" s="5" t="s">
        <v>19</v>
      </c>
      <c r="J132" s="5" t="str">
        <f aca="false">ROUND(94*1,0)&amp;"%"</f>
        <v>94%</v>
      </c>
    </row>
    <row r="133" customFormat="false" ht="15" hidden="false" customHeight="false" outlineLevel="0" collapsed="false">
      <c r="A133" s="6" t="s">
        <v>237</v>
      </c>
      <c r="B133" s="6" t="s">
        <v>238</v>
      </c>
      <c r="C133" s="6" t="s">
        <v>95</v>
      </c>
      <c r="D133" s="6" t="s">
        <v>22</v>
      </c>
      <c r="E133" s="6" t="n">
        <f aca="false">ROUND(7508*1.05,2)</f>
        <v>7883.4</v>
      </c>
      <c r="F133" s="6" t="s">
        <v>52</v>
      </c>
      <c r="G133" s="6" t="s">
        <v>24</v>
      </c>
      <c r="H133" s="6" t="n">
        <f aca="true">ROUND(RAND()*4+6,1)</f>
        <v>9.7</v>
      </c>
      <c r="I133" s="6" t="s">
        <v>25</v>
      </c>
      <c r="J133" s="6" t="str">
        <f aca="false">ROUND(64*1,0)&amp;"%"</f>
        <v>64%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240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241</v>
      </c>
      <c r="B138" s="5" t="s">
        <v>242</v>
      </c>
      <c r="C138" s="5" t="s">
        <v>114</v>
      </c>
      <c r="D138" s="5" t="s">
        <v>16</v>
      </c>
      <c r="E138" s="5" t="n">
        <f aca="false">ROUND(4235*1.05,2)</f>
        <v>4446.75</v>
      </c>
      <c r="F138" s="5" t="s">
        <v>17</v>
      </c>
      <c r="G138" s="5" t="s">
        <v>18</v>
      </c>
      <c r="H138" s="5" t="n">
        <f aca="true">ROUND(RAND()*4+6,1)</f>
        <v>8.3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243</v>
      </c>
      <c r="B139" s="6" t="s">
        <v>244</v>
      </c>
      <c r="C139" s="6" t="s">
        <v>114</v>
      </c>
      <c r="D139" s="6" t="s">
        <v>22</v>
      </c>
      <c r="E139" s="6" t="n">
        <f aca="false">ROUND(16337*1.05,2)</f>
        <v>17153.85</v>
      </c>
      <c r="F139" s="6" t="s">
        <v>23</v>
      </c>
      <c r="G139" s="6" t="s">
        <v>24</v>
      </c>
      <c r="H139" s="6" t="n">
        <f aca="true">ROUND(RAND()*4+6,1)</f>
        <v>8.9</v>
      </c>
      <c r="I139" s="6" t="s">
        <v>25</v>
      </c>
      <c r="J139" s="6" t="str">
        <f aca="false">ROUND(73*1,0)&amp;"%"</f>
        <v>73%</v>
      </c>
    </row>
    <row r="140" customFormat="false" ht="15" hidden="false" customHeight="false" outlineLevel="0" collapsed="false">
      <c r="A140" s="5" t="s">
        <v>245</v>
      </c>
      <c r="B140" s="5" t="s">
        <v>246</v>
      </c>
      <c r="C140" s="5" t="s">
        <v>114</v>
      </c>
      <c r="D140" s="5" t="s">
        <v>28</v>
      </c>
      <c r="E140" s="5" t="n">
        <f aca="false">ROUND(5803*1.05,2)</f>
        <v>6093.15</v>
      </c>
      <c r="F140" s="5" t="s">
        <v>29</v>
      </c>
      <c r="G140" s="5" t="s">
        <v>30</v>
      </c>
      <c r="H140" s="5" t="n">
        <f aca="true">ROUND(RAND()*4+6,1)</f>
        <v>7.9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247</v>
      </c>
      <c r="B141" s="6" t="s">
        <v>248</v>
      </c>
      <c r="C141" s="6" t="s">
        <v>114</v>
      </c>
      <c r="D141" s="6" t="s">
        <v>34</v>
      </c>
      <c r="E141" s="6" t="n">
        <f aca="false">ROUND(6986*1.05,2)</f>
        <v>7335.3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ROUND(87*1,0)&amp;"%"</f>
        <v>87%</v>
      </c>
    </row>
    <row r="142" customFormat="false" ht="15" hidden="false" customHeight="false" outlineLevel="0" collapsed="false">
      <c r="A142" s="5" t="s">
        <v>249</v>
      </c>
      <c r="B142" s="5" t="s">
        <v>250</v>
      </c>
      <c r="C142" s="5" t="s">
        <v>114</v>
      </c>
      <c r="D142" s="5" t="s">
        <v>39</v>
      </c>
      <c r="E142" s="5" t="n">
        <f aca="false">ROUND(10567*1.05,2)</f>
        <v>11095.35</v>
      </c>
      <c r="F142" s="5" t="s">
        <v>40</v>
      </c>
      <c r="G142" s="5" t="s">
        <v>24</v>
      </c>
      <c r="H142" s="5" t="n">
        <f aca="true">ROUND(RAND()*4+6,1)</f>
        <v>8.2</v>
      </c>
      <c r="I142" s="5" t="s">
        <v>41</v>
      </c>
      <c r="J142" s="5" t="str">
        <f aca="false">ROUND(66*1,0)&amp;"%"</f>
        <v>66%</v>
      </c>
    </row>
    <row r="143" customFormat="false" ht="15" hidden="false" customHeight="false" outlineLevel="0" collapsed="false">
      <c r="A143" s="6" t="s">
        <v>251</v>
      </c>
      <c r="B143" s="6" t="s">
        <v>252</v>
      </c>
      <c r="C143" s="6" t="s">
        <v>114</v>
      </c>
      <c r="D143" s="6" t="s">
        <v>44</v>
      </c>
      <c r="E143" s="6" t="n">
        <f aca="false">ROUND(10123*1.05,2)</f>
        <v>10629.15</v>
      </c>
      <c r="F143" s="6" t="s">
        <v>45</v>
      </c>
      <c r="G143" s="6" t="s">
        <v>30</v>
      </c>
      <c r="H143" s="6" t="n">
        <f aca="true">ROUND(RAND()*4+6,1)</f>
        <v>8.9</v>
      </c>
      <c r="I143" s="6" t="s">
        <v>46</v>
      </c>
      <c r="J143" s="6" t="str">
        <f aca="false">ROUND(68*1,0)&amp;"%"</f>
        <v>68%</v>
      </c>
    </row>
    <row r="144" customFormat="false" ht="15" hidden="false" customHeight="false" outlineLevel="0" collapsed="false">
      <c r="A144" s="5" t="s">
        <v>253</v>
      </c>
      <c r="B144" s="5" t="s">
        <v>254</v>
      </c>
      <c r="C144" s="5" t="s">
        <v>114</v>
      </c>
      <c r="D144" s="5" t="s">
        <v>16</v>
      </c>
      <c r="E144" s="5" t="n">
        <f aca="false">ROUND(12041*1.05,2)</f>
        <v>12643.05</v>
      </c>
      <c r="F144" s="5" t="s">
        <v>49</v>
      </c>
      <c r="G144" s="5" t="s">
        <v>18</v>
      </c>
      <c r="H144" s="5" t="n">
        <f aca="true">ROUND(RAND()*4+6,1)</f>
        <v>7.8</v>
      </c>
      <c r="I144" s="5" t="s">
        <v>19</v>
      </c>
      <c r="J144" s="5" t="str">
        <f aca="false">ROUND(76*1,0)&amp;"%"</f>
        <v>76%</v>
      </c>
    </row>
    <row r="145" customFormat="false" ht="15" hidden="false" customHeight="false" outlineLevel="0" collapsed="false">
      <c r="A145" s="6" t="s">
        <v>255</v>
      </c>
      <c r="B145" s="6" t="s">
        <v>256</v>
      </c>
      <c r="C145" s="6" t="s">
        <v>114</v>
      </c>
      <c r="D145" s="6" t="s">
        <v>22</v>
      </c>
      <c r="E145" s="6" t="n">
        <f aca="false">ROUND(15455*1.05,2)</f>
        <v>16227.75</v>
      </c>
      <c r="F145" s="6" t="s">
        <v>52</v>
      </c>
      <c r="G145" s="6" t="s">
        <v>24</v>
      </c>
      <c r="H145" s="6" t="n">
        <f aca="true">ROUND(RAND()*4+6,1)</f>
        <v>7.4</v>
      </c>
      <c r="I145" s="6" t="s">
        <v>25</v>
      </c>
      <c r="J145" s="6" t="str">
        <f aca="false">ROUND(94*1,0)&amp;"%"</f>
        <v>94%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258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259</v>
      </c>
      <c r="B150" s="5" t="s">
        <v>260</v>
      </c>
      <c r="C150" s="5" t="s">
        <v>133</v>
      </c>
      <c r="D150" s="5" t="s">
        <v>16</v>
      </c>
      <c r="E150" s="5" t="n">
        <f aca="false">ROUND(6082*1.05,2)</f>
        <v>6386.1</v>
      </c>
      <c r="F150" s="5" t="s">
        <v>17</v>
      </c>
      <c r="G150" s="5" t="s">
        <v>18</v>
      </c>
      <c r="H150" s="5" t="n">
        <f aca="true">ROUND(RAND()*4+6,1)</f>
        <v>9</v>
      </c>
      <c r="I150" s="5" t="s">
        <v>19</v>
      </c>
      <c r="J150" s="5" t="str">
        <f aca="false">ROUND(71*1,0)&amp;"%"</f>
        <v>71%</v>
      </c>
    </row>
    <row r="151" customFormat="false" ht="15" hidden="false" customHeight="false" outlineLevel="0" collapsed="false">
      <c r="A151" s="6" t="s">
        <v>261</v>
      </c>
      <c r="B151" s="6" t="s">
        <v>262</v>
      </c>
      <c r="C151" s="6" t="s">
        <v>133</v>
      </c>
      <c r="D151" s="6" t="s">
        <v>22</v>
      </c>
      <c r="E151" s="6" t="n">
        <f aca="false">ROUND(17926*1.05,2)</f>
        <v>18822.3</v>
      </c>
      <c r="F151" s="6" t="s">
        <v>23</v>
      </c>
      <c r="G151" s="6" t="s">
        <v>24</v>
      </c>
      <c r="H151" s="6" t="n">
        <f aca="true">ROUND(RAND()*4+6,1)</f>
        <v>8.2</v>
      </c>
      <c r="I151" s="6" t="s">
        <v>25</v>
      </c>
      <c r="J151" s="6" t="str">
        <f aca="false">ROUND(71*1,0)&amp;"%"</f>
        <v>71%</v>
      </c>
    </row>
    <row r="152" customFormat="false" ht="15" hidden="false" customHeight="false" outlineLevel="0" collapsed="false">
      <c r="A152" s="5" t="s">
        <v>263</v>
      </c>
      <c r="B152" s="5" t="s">
        <v>264</v>
      </c>
      <c r="C152" s="5" t="s">
        <v>133</v>
      </c>
      <c r="D152" s="5" t="s">
        <v>28</v>
      </c>
      <c r="E152" s="5" t="n">
        <f aca="false">ROUND(6694*1.05,2)</f>
        <v>7028.7</v>
      </c>
      <c r="F152" s="5" t="s">
        <v>29</v>
      </c>
      <c r="G152" s="5" t="s">
        <v>30</v>
      </c>
      <c r="H152" s="5" t="n">
        <f aca="true">ROUND(RAND()*4+6,1)</f>
        <v>9.4</v>
      </c>
      <c r="I152" s="5" t="s">
        <v>31</v>
      </c>
      <c r="J152" s="5" t="str">
        <f aca="false">ROUND(95*1,0)&amp;"%"</f>
        <v>95%</v>
      </c>
    </row>
    <row r="153" customFormat="false" ht="15" hidden="false" customHeight="false" outlineLevel="0" collapsed="false">
      <c r="A153" s="6" t="s">
        <v>265</v>
      </c>
      <c r="B153" s="6" t="s">
        <v>266</v>
      </c>
      <c r="C153" s="6" t="s">
        <v>133</v>
      </c>
      <c r="D153" s="6" t="s">
        <v>34</v>
      </c>
      <c r="E153" s="6" t="n">
        <f aca="false">ROUND(17319*1.05,2)</f>
        <v>18184.95</v>
      </c>
      <c r="F153" s="6" t="s">
        <v>35</v>
      </c>
      <c r="G153" s="6" t="s">
        <v>18</v>
      </c>
      <c r="H153" s="6" t="n">
        <f aca="true">ROUND(RAND()*4+6,1)</f>
        <v>7.8</v>
      </c>
      <c r="I153" s="6" t="s">
        <v>36</v>
      </c>
      <c r="J153" s="6" t="str">
        <f aca="false">ROUND(89*1,0)&amp;"%"</f>
        <v>89%</v>
      </c>
    </row>
    <row r="154" customFormat="false" ht="15" hidden="false" customHeight="false" outlineLevel="0" collapsed="false">
      <c r="A154" s="5" t="s">
        <v>267</v>
      </c>
      <c r="B154" s="5" t="s">
        <v>268</v>
      </c>
      <c r="C154" s="5" t="s">
        <v>133</v>
      </c>
      <c r="D154" s="5" t="s">
        <v>39</v>
      </c>
      <c r="E154" s="5" t="n">
        <f aca="false">ROUND(11351*1.05,2)</f>
        <v>11918.55</v>
      </c>
      <c r="F154" s="5" t="s">
        <v>40</v>
      </c>
      <c r="G154" s="5" t="s">
        <v>24</v>
      </c>
      <c r="H154" s="5" t="n">
        <f aca="true">ROUND(RAND()*4+6,1)</f>
        <v>9</v>
      </c>
      <c r="I154" s="5" t="s">
        <v>41</v>
      </c>
      <c r="J154" s="5" t="str">
        <f aca="false">ROUND(82*1,0)&amp;"%"</f>
        <v>82%</v>
      </c>
    </row>
    <row r="155" customFormat="false" ht="15" hidden="false" customHeight="false" outlineLevel="0" collapsed="false">
      <c r="A155" s="6" t="s">
        <v>269</v>
      </c>
      <c r="B155" s="6" t="s">
        <v>270</v>
      </c>
      <c r="C155" s="6" t="s">
        <v>133</v>
      </c>
      <c r="D155" s="6" t="s">
        <v>44</v>
      </c>
      <c r="E155" s="6" t="n">
        <f aca="false">ROUND(16987*1.05,2)</f>
        <v>17836.35</v>
      </c>
      <c r="F155" s="6" t="s">
        <v>45</v>
      </c>
      <c r="G155" s="6" t="s">
        <v>30</v>
      </c>
      <c r="H155" s="6" t="n">
        <f aca="true">ROUND(RAND()*4+6,1)</f>
        <v>7.4</v>
      </c>
      <c r="I155" s="6" t="s">
        <v>46</v>
      </c>
      <c r="J155" s="6" t="str">
        <f aca="false">ROUND(65*1,0)&amp;"%"</f>
        <v>65%</v>
      </c>
    </row>
    <row r="156" customFormat="false" ht="15" hidden="false" customHeight="false" outlineLevel="0" collapsed="false">
      <c r="A156" s="5" t="s">
        <v>271</v>
      </c>
      <c r="B156" s="5" t="s">
        <v>272</v>
      </c>
      <c r="C156" s="5" t="s">
        <v>133</v>
      </c>
      <c r="D156" s="5" t="s">
        <v>16</v>
      </c>
      <c r="E156" s="5" t="n">
        <f aca="false">ROUND(6039*1.05,2)</f>
        <v>6340.95</v>
      </c>
      <c r="F156" s="5" t="s">
        <v>49</v>
      </c>
      <c r="G156" s="5" t="s">
        <v>18</v>
      </c>
      <c r="H156" s="5" t="n">
        <f aca="true">ROUND(RAND()*4+6,1)</f>
        <v>7.9</v>
      </c>
      <c r="I156" s="5" t="s">
        <v>19</v>
      </c>
      <c r="J156" s="5" t="str">
        <f aca="false">ROUND(73*1,0)&amp;"%"</f>
        <v>73%</v>
      </c>
    </row>
    <row r="157" customFormat="false" ht="15" hidden="false" customHeight="false" outlineLevel="0" collapsed="false">
      <c r="A157" s="6" t="s">
        <v>273</v>
      </c>
      <c r="B157" s="6" t="s">
        <v>274</v>
      </c>
      <c r="C157" s="6" t="s">
        <v>133</v>
      </c>
      <c r="D157" s="6" t="s">
        <v>22</v>
      </c>
      <c r="E157" s="6" t="n">
        <f aca="false">ROUND(10745*1.05,2)</f>
        <v>11282.25</v>
      </c>
      <c r="F157" s="6" t="s">
        <v>52</v>
      </c>
      <c r="G157" s="6" t="s">
        <v>24</v>
      </c>
      <c r="H157" s="6" t="n">
        <f aca="true">ROUND(RAND()*4+6,1)</f>
        <v>8.3</v>
      </c>
      <c r="I157" s="6" t="s">
        <v>25</v>
      </c>
      <c r="J157" s="6" t="str">
        <f aca="false">ROUND(90*1,0)&amp;"%"</f>
        <v>90%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276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277</v>
      </c>
      <c r="B162" s="5" t="s">
        <v>278</v>
      </c>
      <c r="C162" s="5" t="s">
        <v>152</v>
      </c>
      <c r="D162" s="5" t="s">
        <v>16</v>
      </c>
      <c r="E162" s="5" t="n">
        <f aca="false">ROUND(14883*1.05,2)</f>
        <v>15627.15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ROUND(60*1,0)&amp;"%"</f>
        <v>60%</v>
      </c>
    </row>
    <row r="163" customFormat="false" ht="15" hidden="false" customHeight="false" outlineLevel="0" collapsed="false">
      <c r="A163" s="6" t="s">
        <v>279</v>
      </c>
      <c r="B163" s="6" t="s">
        <v>280</v>
      </c>
      <c r="C163" s="6" t="s">
        <v>152</v>
      </c>
      <c r="D163" s="6" t="s">
        <v>22</v>
      </c>
      <c r="E163" s="6" t="n">
        <f aca="false">ROUND(12871*1.05,2)</f>
        <v>13514.55</v>
      </c>
      <c r="F163" s="6" t="s">
        <v>23</v>
      </c>
      <c r="G163" s="6" t="s">
        <v>24</v>
      </c>
      <c r="H163" s="6" t="n">
        <f aca="true">ROUND(RAND()*4+6,1)</f>
        <v>6.9</v>
      </c>
      <c r="I163" s="6" t="s">
        <v>25</v>
      </c>
      <c r="J163" s="6" t="str">
        <f aca="false">ROUND(61*1,0)&amp;"%"</f>
        <v>61%</v>
      </c>
    </row>
    <row r="164" customFormat="false" ht="15" hidden="false" customHeight="false" outlineLevel="0" collapsed="false">
      <c r="A164" s="5" t="s">
        <v>281</v>
      </c>
      <c r="B164" s="5" t="s">
        <v>282</v>
      </c>
      <c r="C164" s="5" t="s">
        <v>152</v>
      </c>
      <c r="D164" s="5" t="s">
        <v>28</v>
      </c>
      <c r="E164" s="5" t="n">
        <f aca="false">ROUND(9781*1.05,2)</f>
        <v>10270.05</v>
      </c>
      <c r="F164" s="5" t="s">
        <v>29</v>
      </c>
      <c r="G164" s="5" t="s">
        <v>30</v>
      </c>
      <c r="H164" s="5" t="n">
        <f aca="true">ROUND(RAND()*4+6,1)</f>
        <v>8.8</v>
      </c>
      <c r="I164" s="5" t="s">
        <v>31</v>
      </c>
      <c r="J164" s="5" t="str">
        <f aca="false">ROUND(72*1,0)&amp;"%"</f>
        <v>72%</v>
      </c>
    </row>
    <row r="165" customFormat="false" ht="15" hidden="false" customHeight="false" outlineLevel="0" collapsed="false">
      <c r="A165" s="6" t="s">
        <v>283</v>
      </c>
      <c r="B165" s="6" t="s">
        <v>284</v>
      </c>
      <c r="C165" s="6" t="s">
        <v>152</v>
      </c>
      <c r="D165" s="6" t="s">
        <v>34</v>
      </c>
      <c r="E165" s="6" t="n">
        <f aca="false">ROUND(4133*1.05,2)</f>
        <v>4339.65</v>
      </c>
      <c r="F165" s="6" t="s">
        <v>35</v>
      </c>
      <c r="G165" s="6" t="s">
        <v>18</v>
      </c>
      <c r="H165" s="6" t="n">
        <f aca="true">ROUND(RAND()*4+6,1)</f>
        <v>6.1</v>
      </c>
      <c r="I165" s="6" t="s">
        <v>36</v>
      </c>
      <c r="J165" s="6" t="str">
        <f aca="false">ROUND(81*1,0)&amp;"%"</f>
        <v>81%</v>
      </c>
    </row>
    <row r="166" customFormat="false" ht="15" hidden="false" customHeight="false" outlineLevel="0" collapsed="false">
      <c r="A166" s="5" t="s">
        <v>285</v>
      </c>
      <c r="B166" s="5" t="s">
        <v>286</v>
      </c>
      <c r="C166" s="5" t="s">
        <v>152</v>
      </c>
      <c r="D166" s="5" t="s">
        <v>39</v>
      </c>
      <c r="E166" s="5" t="n">
        <f aca="false">ROUND(11697*1.05,2)</f>
        <v>12281.85</v>
      </c>
      <c r="F166" s="5" t="s">
        <v>40</v>
      </c>
      <c r="G166" s="5" t="s">
        <v>24</v>
      </c>
      <c r="H166" s="5" t="n">
        <f aca="true">ROUND(RAND()*4+6,1)</f>
        <v>7.2</v>
      </c>
      <c r="I166" s="5" t="s">
        <v>41</v>
      </c>
      <c r="J166" s="5" t="str">
        <f aca="false">ROUND(83*1,0)&amp;"%"</f>
        <v>83%</v>
      </c>
    </row>
    <row r="167" customFormat="false" ht="15" hidden="false" customHeight="false" outlineLevel="0" collapsed="false">
      <c r="A167" s="6" t="s">
        <v>287</v>
      </c>
      <c r="B167" s="6" t="s">
        <v>288</v>
      </c>
      <c r="C167" s="6" t="s">
        <v>152</v>
      </c>
      <c r="D167" s="6" t="s">
        <v>44</v>
      </c>
      <c r="E167" s="6" t="n">
        <f aca="false">ROUND(10059*1.05,2)</f>
        <v>10561.95</v>
      </c>
      <c r="F167" s="6" t="s">
        <v>45</v>
      </c>
      <c r="G167" s="6" t="s">
        <v>30</v>
      </c>
      <c r="H167" s="6" t="n">
        <f aca="true">ROUND(RAND()*4+6,1)</f>
        <v>6.5</v>
      </c>
      <c r="I167" s="6" t="s">
        <v>46</v>
      </c>
      <c r="J167" s="6" t="str">
        <f aca="false">ROUND(94*1,0)&amp;"%"</f>
        <v>94%</v>
      </c>
    </row>
    <row r="168" customFormat="false" ht="15" hidden="false" customHeight="false" outlineLevel="0" collapsed="false">
      <c r="A168" s="5" t="s">
        <v>289</v>
      </c>
      <c r="B168" s="5" t="s">
        <v>290</v>
      </c>
      <c r="C168" s="5" t="s">
        <v>152</v>
      </c>
      <c r="D168" s="5" t="s">
        <v>16</v>
      </c>
      <c r="E168" s="5" t="n">
        <f aca="false">ROUND(15414*1.05,2)</f>
        <v>16184.7</v>
      </c>
      <c r="F168" s="5" t="s">
        <v>49</v>
      </c>
      <c r="G168" s="5" t="s">
        <v>18</v>
      </c>
      <c r="H168" s="5" t="n">
        <f aca="true">ROUND(RAND()*4+6,1)</f>
        <v>7.7</v>
      </c>
      <c r="I168" s="5" t="s">
        <v>19</v>
      </c>
      <c r="J168" s="5" t="str">
        <f aca="false">ROUND(89*1,0)&amp;"%"</f>
        <v>89%</v>
      </c>
    </row>
    <row r="169" customFormat="false" ht="15" hidden="false" customHeight="false" outlineLevel="0" collapsed="false">
      <c r="A169" s="6" t="s">
        <v>291</v>
      </c>
      <c r="B169" s="6" t="s">
        <v>292</v>
      </c>
      <c r="C169" s="6" t="s">
        <v>152</v>
      </c>
      <c r="D169" s="6" t="s">
        <v>22</v>
      </c>
      <c r="E169" s="6" t="n">
        <f aca="false">ROUND(8696*1.05,2)</f>
        <v>9130.8</v>
      </c>
      <c r="F169" s="6" t="s">
        <v>52</v>
      </c>
      <c r="G169" s="6" t="s">
        <v>24</v>
      </c>
      <c r="H169" s="6" t="n">
        <f aca="true">ROUND(RAND()*4+6,1)</f>
        <v>8.7</v>
      </c>
      <c r="I169" s="6" t="s">
        <v>25</v>
      </c>
      <c r="J169" s="6" t="str">
        <f aca="false">ROUND(96*1,0)&amp;"%"</f>
        <v>96%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294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295</v>
      </c>
      <c r="B174" s="5" t="s">
        <v>296</v>
      </c>
      <c r="C174" s="5" t="s">
        <v>15</v>
      </c>
      <c r="D174" s="5" t="s">
        <v>16</v>
      </c>
      <c r="E174" s="5" t="n">
        <f aca="false">ROUND(10215*1.05,2)</f>
        <v>10725.75</v>
      </c>
      <c r="F174" s="5" t="s">
        <v>17</v>
      </c>
      <c r="G174" s="5" t="s">
        <v>18</v>
      </c>
      <c r="H174" s="5" t="n">
        <f aca="true">ROUND(RAND()*4+6,1)</f>
        <v>8.5</v>
      </c>
      <c r="I174" s="5" t="s">
        <v>19</v>
      </c>
      <c r="J174" s="5" t="str">
        <f aca="false">ROUND(69*1,0)&amp;"%"</f>
        <v>69%</v>
      </c>
    </row>
    <row r="175" customFormat="false" ht="15" hidden="false" customHeight="false" outlineLevel="0" collapsed="false">
      <c r="A175" s="6" t="s">
        <v>297</v>
      </c>
      <c r="B175" s="6" t="s">
        <v>298</v>
      </c>
      <c r="C175" s="6" t="s">
        <v>15</v>
      </c>
      <c r="D175" s="6" t="s">
        <v>22</v>
      </c>
      <c r="E175" s="6" t="n">
        <f aca="false">ROUND(11266*1.05,2)</f>
        <v>11829.3</v>
      </c>
      <c r="F175" s="6" t="s">
        <v>23</v>
      </c>
      <c r="G175" s="6" t="s">
        <v>24</v>
      </c>
      <c r="H175" s="6" t="n">
        <f aca="true">ROUND(RAND()*4+6,1)</f>
        <v>8.6</v>
      </c>
      <c r="I175" s="6" t="s">
        <v>25</v>
      </c>
      <c r="J175" s="6" t="str">
        <f aca="false">ROUND(97*1,0)&amp;"%"</f>
        <v>97%</v>
      </c>
    </row>
    <row r="176" customFormat="false" ht="15" hidden="false" customHeight="false" outlineLevel="0" collapsed="false">
      <c r="A176" s="5" t="s">
        <v>299</v>
      </c>
      <c r="B176" s="5" t="s">
        <v>300</v>
      </c>
      <c r="C176" s="5" t="s">
        <v>15</v>
      </c>
      <c r="D176" s="5" t="s">
        <v>28</v>
      </c>
      <c r="E176" s="5" t="n">
        <f aca="false">ROUND(13518*1.05,2)</f>
        <v>14193.9</v>
      </c>
      <c r="F176" s="5" t="s">
        <v>29</v>
      </c>
      <c r="G176" s="5" t="s">
        <v>30</v>
      </c>
      <c r="H176" s="5" t="n">
        <f aca="true">ROUND(RAND()*4+6,1)</f>
        <v>6.4</v>
      </c>
      <c r="I176" s="5" t="s">
        <v>31</v>
      </c>
      <c r="J176" s="5" t="str">
        <f aca="false">ROUND(81*1,0)&amp;"%"</f>
        <v>81%</v>
      </c>
    </row>
    <row r="177" customFormat="false" ht="15" hidden="false" customHeight="false" outlineLevel="0" collapsed="false">
      <c r="A177" s="6" t="s">
        <v>301</v>
      </c>
      <c r="B177" s="6" t="s">
        <v>302</v>
      </c>
      <c r="C177" s="6" t="s">
        <v>15</v>
      </c>
      <c r="D177" s="6" t="s">
        <v>34</v>
      </c>
      <c r="E177" s="6" t="n">
        <f aca="false">ROUND(11432*1.05,2)</f>
        <v>12003.6</v>
      </c>
      <c r="F177" s="6" t="s">
        <v>35</v>
      </c>
      <c r="G177" s="6" t="s">
        <v>18</v>
      </c>
      <c r="H177" s="6" t="n">
        <f aca="true">ROUND(RAND()*4+6,1)</f>
        <v>6.5</v>
      </c>
      <c r="I177" s="6" t="s">
        <v>36</v>
      </c>
      <c r="J177" s="6" t="str">
        <f aca="false">ROUND(61*1,0)&amp;"%"</f>
        <v>61%</v>
      </c>
    </row>
    <row r="178" customFormat="false" ht="15" hidden="false" customHeight="false" outlineLevel="0" collapsed="false">
      <c r="A178" s="5" t="s">
        <v>303</v>
      </c>
      <c r="B178" s="5" t="s">
        <v>304</v>
      </c>
      <c r="C178" s="5" t="s">
        <v>15</v>
      </c>
      <c r="D178" s="5" t="s">
        <v>39</v>
      </c>
      <c r="E178" s="5" t="n">
        <f aca="false">ROUND(10170*1.05,2)</f>
        <v>10678.5</v>
      </c>
      <c r="F178" s="5" t="s">
        <v>40</v>
      </c>
      <c r="G178" s="5" t="s">
        <v>24</v>
      </c>
      <c r="H178" s="5" t="n">
        <f aca="true">ROUND(RAND()*4+6,1)</f>
        <v>6.7</v>
      </c>
      <c r="I178" s="5" t="s">
        <v>41</v>
      </c>
      <c r="J178" s="5" t="str">
        <f aca="false">ROUND(60*1,0)&amp;"%"</f>
        <v>60%</v>
      </c>
    </row>
    <row r="179" customFormat="false" ht="15" hidden="false" customHeight="false" outlineLevel="0" collapsed="false">
      <c r="A179" s="6" t="s">
        <v>305</v>
      </c>
      <c r="B179" s="6" t="s">
        <v>306</v>
      </c>
      <c r="C179" s="6" t="s">
        <v>15</v>
      </c>
      <c r="D179" s="6" t="s">
        <v>44</v>
      </c>
      <c r="E179" s="6" t="n">
        <f aca="false">ROUND(4045*1.05,2)</f>
        <v>4247.25</v>
      </c>
      <c r="F179" s="6" t="s">
        <v>45</v>
      </c>
      <c r="G179" s="6" t="s">
        <v>30</v>
      </c>
      <c r="H179" s="6" t="n">
        <f aca="true">ROUND(RAND()*4+6,1)</f>
        <v>9.1</v>
      </c>
      <c r="I179" s="6" t="s">
        <v>46</v>
      </c>
      <c r="J179" s="6" t="str">
        <f aca="false">ROUND(86*1,0)&amp;"%"</f>
        <v>86%</v>
      </c>
    </row>
    <row r="180" customFormat="false" ht="15" hidden="false" customHeight="false" outlineLevel="0" collapsed="false">
      <c r="A180" s="5" t="s">
        <v>307</v>
      </c>
      <c r="B180" s="5" t="s">
        <v>308</v>
      </c>
      <c r="C180" s="5" t="s">
        <v>15</v>
      </c>
      <c r="D180" s="5" t="s">
        <v>16</v>
      </c>
      <c r="E180" s="5" t="n">
        <f aca="false">ROUND(8134*1.05,2)</f>
        <v>8540.7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ROUND(100*1,0)&amp;"%"</f>
        <v>100%</v>
      </c>
    </row>
    <row r="181" customFormat="false" ht="15" hidden="false" customHeight="false" outlineLevel="0" collapsed="false">
      <c r="A181" s="6" t="s">
        <v>309</v>
      </c>
      <c r="B181" s="6" t="s">
        <v>310</v>
      </c>
      <c r="C181" s="6" t="s">
        <v>15</v>
      </c>
      <c r="D181" s="6" t="s">
        <v>22</v>
      </c>
      <c r="E181" s="6" t="n">
        <f aca="false">ROUND(17215*1.05,2)</f>
        <v>18075.75</v>
      </c>
      <c r="F181" s="6" t="s">
        <v>52</v>
      </c>
      <c r="G181" s="6" t="s">
        <v>24</v>
      </c>
      <c r="H181" s="6" t="n">
        <f aca="true">ROUND(RAND()*4+6,1)</f>
        <v>7.3</v>
      </c>
      <c r="I181" s="6" t="s">
        <v>25</v>
      </c>
      <c r="J181" s="6" t="str">
        <f aca="false">ROUND(92*1,0)&amp;"%"</f>
        <v>92%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312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313</v>
      </c>
      <c r="B186" s="5" t="s">
        <v>314</v>
      </c>
      <c r="C186" s="5" t="s">
        <v>57</v>
      </c>
      <c r="D186" s="5" t="s">
        <v>16</v>
      </c>
      <c r="E186" s="5" t="n">
        <f aca="false">ROUND(16653*1.05,2)</f>
        <v>17485.65</v>
      </c>
      <c r="F186" s="5" t="s">
        <v>17</v>
      </c>
      <c r="G186" s="5" t="s">
        <v>18</v>
      </c>
      <c r="H186" s="5" t="n">
        <f aca="true">ROUND(RAND()*4+6,1)</f>
        <v>9.3</v>
      </c>
      <c r="I186" s="5" t="s">
        <v>19</v>
      </c>
      <c r="J186" s="5" t="str">
        <f aca="false">ROUND(65*1,0)&amp;"%"</f>
        <v>65%</v>
      </c>
    </row>
    <row r="187" customFormat="false" ht="15" hidden="false" customHeight="false" outlineLevel="0" collapsed="false">
      <c r="A187" s="6" t="s">
        <v>315</v>
      </c>
      <c r="B187" s="6" t="s">
        <v>316</v>
      </c>
      <c r="C187" s="6" t="s">
        <v>57</v>
      </c>
      <c r="D187" s="6" t="s">
        <v>22</v>
      </c>
      <c r="E187" s="6" t="n">
        <f aca="false">ROUND(17502*1.05,2)</f>
        <v>18377.1</v>
      </c>
      <c r="F187" s="6" t="s">
        <v>23</v>
      </c>
      <c r="G187" s="6" t="s">
        <v>24</v>
      </c>
      <c r="H187" s="6" t="n">
        <f aca="true">ROUND(RAND()*4+6,1)</f>
        <v>9.6</v>
      </c>
      <c r="I187" s="6" t="s">
        <v>25</v>
      </c>
      <c r="J187" s="6" t="str">
        <f aca="false">ROUND(98*1,0)&amp;"%"</f>
        <v>98%</v>
      </c>
    </row>
    <row r="188" customFormat="false" ht="15" hidden="false" customHeight="false" outlineLevel="0" collapsed="false">
      <c r="A188" s="5" t="s">
        <v>317</v>
      </c>
      <c r="B188" s="5" t="s">
        <v>318</v>
      </c>
      <c r="C188" s="5" t="s">
        <v>57</v>
      </c>
      <c r="D188" s="5" t="s">
        <v>28</v>
      </c>
      <c r="E188" s="5" t="n">
        <f aca="false">ROUND(17447*1.05,2)</f>
        <v>18319.35</v>
      </c>
      <c r="F188" s="5" t="s">
        <v>29</v>
      </c>
      <c r="G188" s="5" t="s">
        <v>30</v>
      </c>
      <c r="H188" s="5" t="n">
        <f aca="true">ROUND(RAND()*4+6,1)</f>
        <v>6.9</v>
      </c>
      <c r="I188" s="5" t="s">
        <v>31</v>
      </c>
      <c r="J188" s="5" t="str">
        <f aca="false">ROUND(60*1,0)&amp;"%"</f>
        <v>60%</v>
      </c>
    </row>
    <row r="189" customFormat="false" ht="15" hidden="false" customHeight="false" outlineLevel="0" collapsed="false">
      <c r="A189" s="6" t="s">
        <v>319</v>
      </c>
      <c r="B189" s="6" t="s">
        <v>320</v>
      </c>
      <c r="C189" s="6" t="s">
        <v>57</v>
      </c>
      <c r="D189" s="6" t="s">
        <v>34</v>
      </c>
      <c r="E189" s="6" t="n">
        <f aca="false">ROUND(12922*1.05,2)</f>
        <v>13568.1</v>
      </c>
      <c r="F189" s="6" t="s">
        <v>35</v>
      </c>
      <c r="G189" s="6" t="s">
        <v>18</v>
      </c>
      <c r="H189" s="6" t="n">
        <f aca="true">ROUND(RAND()*4+6,1)</f>
        <v>9.3</v>
      </c>
      <c r="I189" s="6" t="s">
        <v>36</v>
      </c>
      <c r="J189" s="6" t="str">
        <f aca="false">ROUND(91*1,0)&amp;"%"</f>
        <v>91%</v>
      </c>
    </row>
    <row r="190" customFormat="false" ht="15" hidden="false" customHeight="false" outlineLevel="0" collapsed="false">
      <c r="A190" s="5" t="s">
        <v>321</v>
      </c>
      <c r="B190" s="5" t="s">
        <v>322</v>
      </c>
      <c r="C190" s="5" t="s">
        <v>57</v>
      </c>
      <c r="D190" s="5" t="s">
        <v>39</v>
      </c>
      <c r="E190" s="5" t="n">
        <f aca="false">ROUND(4641*1.05,2)</f>
        <v>4873.05</v>
      </c>
      <c r="F190" s="5" t="s">
        <v>40</v>
      </c>
      <c r="G190" s="5" t="s">
        <v>24</v>
      </c>
      <c r="H190" s="5" t="n">
        <f aca="true">ROUND(RAND()*4+6,1)</f>
        <v>6.1</v>
      </c>
      <c r="I190" s="5" t="s">
        <v>41</v>
      </c>
      <c r="J190" s="5" t="str">
        <f aca="false">ROUND(64*1,0)&amp;"%"</f>
        <v>64%</v>
      </c>
    </row>
    <row r="191" customFormat="false" ht="15" hidden="false" customHeight="false" outlineLevel="0" collapsed="false">
      <c r="A191" s="6" t="s">
        <v>323</v>
      </c>
      <c r="B191" s="6" t="s">
        <v>324</v>
      </c>
      <c r="C191" s="6" t="s">
        <v>57</v>
      </c>
      <c r="D191" s="6" t="s">
        <v>44</v>
      </c>
      <c r="E191" s="6" t="n">
        <f aca="false">ROUND(9540*1.05,2)</f>
        <v>10017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ROUND(82*1,0)&amp;"%"</f>
        <v>82%</v>
      </c>
    </row>
    <row r="192" customFormat="false" ht="15" hidden="false" customHeight="false" outlineLevel="0" collapsed="false">
      <c r="A192" s="5" t="s">
        <v>325</v>
      </c>
      <c r="B192" s="5" t="s">
        <v>326</v>
      </c>
      <c r="C192" s="5" t="s">
        <v>57</v>
      </c>
      <c r="D192" s="5" t="s">
        <v>16</v>
      </c>
      <c r="E192" s="5" t="n">
        <f aca="false">ROUND(4798*1.05,2)</f>
        <v>5037.9</v>
      </c>
      <c r="F192" s="5" t="s">
        <v>49</v>
      </c>
      <c r="G192" s="5" t="s">
        <v>18</v>
      </c>
      <c r="H192" s="5" t="n">
        <f aca="true">ROUND(RAND()*4+6,1)</f>
        <v>9.3</v>
      </c>
      <c r="I192" s="5" t="s">
        <v>19</v>
      </c>
      <c r="J192" s="5" t="str">
        <f aca="false">ROUND(94*1,0)&amp;"%"</f>
        <v>94%</v>
      </c>
    </row>
    <row r="193" customFormat="false" ht="15" hidden="false" customHeight="false" outlineLevel="0" collapsed="false">
      <c r="A193" s="6" t="s">
        <v>327</v>
      </c>
      <c r="B193" s="6" t="s">
        <v>328</v>
      </c>
      <c r="C193" s="6" t="s">
        <v>57</v>
      </c>
      <c r="D193" s="6" t="s">
        <v>22</v>
      </c>
      <c r="E193" s="6" t="n">
        <f aca="false">ROUND(4074*1.05,2)</f>
        <v>4277.7</v>
      </c>
      <c r="F193" s="6" t="s">
        <v>52</v>
      </c>
      <c r="G193" s="6" t="s">
        <v>24</v>
      </c>
      <c r="H193" s="6" t="n">
        <f aca="true">ROUND(RAND()*4+6,1)</f>
        <v>7.9</v>
      </c>
      <c r="I193" s="6" t="s">
        <v>25</v>
      </c>
      <c r="J193" s="6" t="str">
        <f aca="false">ROUND(70*1,0)&amp;"%"</f>
        <v>70%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330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331</v>
      </c>
      <c r="B198" s="5" t="s">
        <v>332</v>
      </c>
      <c r="C198" s="5" t="s">
        <v>76</v>
      </c>
      <c r="D198" s="5" t="s">
        <v>16</v>
      </c>
      <c r="E198" s="5" t="n">
        <f aca="false">ROUND(13879*1.05,2)</f>
        <v>14572.95</v>
      </c>
      <c r="F198" s="5" t="s">
        <v>17</v>
      </c>
      <c r="G198" s="5" t="s">
        <v>18</v>
      </c>
      <c r="H198" s="5" t="n">
        <f aca="true">ROUND(RAND()*4+6,1)</f>
        <v>8.4</v>
      </c>
      <c r="I198" s="5" t="s">
        <v>19</v>
      </c>
      <c r="J198" s="5" t="str">
        <f aca="false">ROUND(90*1,0)&amp;"%"</f>
        <v>90%</v>
      </c>
    </row>
    <row r="199" customFormat="false" ht="15" hidden="false" customHeight="false" outlineLevel="0" collapsed="false">
      <c r="A199" s="6" t="s">
        <v>333</v>
      </c>
      <c r="B199" s="6" t="s">
        <v>334</v>
      </c>
      <c r="C199" s="6" t="s">
        <v>76</v>
      </c>
      <c r="D199" s="6" t="s">
        <v>22</v>
      </c>
      <c r="E199" s="6" t="n">
        <f aca="false">ROUND(13442*1.05,2)</f>
        <v>14114.1</v>
      </c>
      <c r="F199" s="6" t="s">
        <v>23</v>
      </c>
      <c r="G199" s="6" t="s">
        <v>24</v>
      </c>
      <c r="H199" s="6" t="n">
        <f aca="true">ROUND(RAND()*4+6,1)</f>
        <v>7</v>
      </c>
      <c r="I199" s="6" t="s">
        <v>25</v>
      </c>
      <c r="J199" s="6" t="str">
        <f aca="false">ROUND(83*1,0)&amp;"%"</f>
        <v>83%</v>
      </c>
    </row>
    <row r="200" customFormat="false" ht="15" hidden="false" customHeight="false" outlineLevel="0" collapsed="false">
      <c r="A200" s="5" t="s">
        <v>335</v>
      </c>
      <c r="B200" s="5" t="s">
        <v>336</v>
      </c>
      <c r="C200" s="5" t="s">
        <v>76</v>
      </c>
      <c r="D200" s="5" t="s">
        <v>28</v>
      </c>
      <c r="E200" s="5" t="n">
        <f aca="false">ROUND(8254*1.05,2)</f>
        <v>8666.7</v>
      </c>
      <c r="F200" s="5" t="s">
        <v>29</v>
      </c>
      <c r="G200" s="5" t="s">
        <v>30</v>
      </c>
      <c r="H200" s="5" t="n">
        <f aca="true">ROUND(RAND()*4+6,1)</f>
        <v>7.8</v>
      </c>
      <c r="I200" s="5" t="s">
        <v>31</v>
      </c>
      <c r="J200" s="5" t="str">
        <f aca="false">ROUND(65*1,0)&amp;"%"</f>
        <v>65%</v>
      </c>
    </row>
    <row r="201" customFormat="false" ht="15" hidden="false" customHeight="false" outlineLevel="0" collapsed="false">
      <c r="A201" s="6" t="s">
        <v>337</v>
      </c>
      <c r="B201" s="6" t="s">
        <v>338</v>
      </c>
      <c r="C201" s="6" t="s">
        <v>76</v>
      </c>
      <c r="D201" s="6" t="s">
        <v>34</v>
      </c>
      <c r="E201" s="6" t="n">
        <f aca="false">ROUND(15573*1.05,2)</f>
        <v>16351.65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ROUND(100*1,0)&amp;"%"</f>
        <v>100%</v>
      </c>
    </row>
    <row r="202" customFormat="false" ht="15" hidden="false" customHeight="false" outlineLevel="0" collapsed="false">
      <c r="A202" s="5" t="s">
        <v>339</v>
      </c>
      <c r="B202" s="5" t="s">
        <v>340</v>
      </c>
      <c r="C202" s="5" t="s">
        <v>76</v>
      </c>
      <c r="D202" s="5" t="s">
        <v>39</v>
      </c>
      <c r="E202" s="5" t="n">
        <f aca="false">ROUND(12012*1.05,2)</f>
        <v>12612.6</v>
      </c>
      <c r="F202" s="5" t="s">
        <v>40</v>
      </c>
      <c r="G202" s="5" t="s">
        <v>24</v>
      </c>
      <c r="H202" s="5" t="n">
        <f aca="true">ROUND(RAND()*4+6,1)</f>
        <v>6.8</v>
      </c>
      <c r="I202" s="5" t="s">
        <v>41</v>
      </c>
      <c r="J202" s="5" t="str">
        <f aca="false">ROUND(62*1,0)&amp;"%"</f>
        <v>62%</v>
      </c>
    </row>
    <row r="203" customFormat="false" ht="15" hidden="false" customHeight="false" outlineLevel="0" collapsed="false">
      <c r="A203" s="6" t="s">
        <v>341</v>
      </c>
      <c r="B203" s="6" t="s">
        <v>342</v>
      </c>
      <c r="C203" s="6" t="s">
        <v>76</v>
      </c>
      <c r="D203" s="6" t="s">
        <v>44</v>
      </c>
      <c r="E203" s="6" t="n">
        <f aca="false">ROUND(7952*1.05,2)</f>
        <v>8349.6</v>
      </c>
      <c r="F203" s="6" t="s">
        <v>45</v>
      </c>
      <c r="G203" s="6" t="s">
        <v>30</v>
      </c>
      <c r="H203" s="6" t="n">
        <f aca="true">ROUND(RAND()*4+6,1)</f>
        <v>8.1</v>
      </c>
      <c r="I203" s="6" t="s">
        <v>46</v>
      </c>
      <c r="J203" s="6" t="str">
        <f aca="false">ROUND(83*1,0)&amp;"%"</f>
        <v>83%</v>
      </c>
    </row>
    <row r="204" customFormat="false" ht="15" hidden="false" customHeight="false" outlineLevel="0" collapsed="false">
      <c r="A204" s="5" t="s">
        <v>343</v>
      </c>
      <c r="B204" s="5" t="s">
        <v>344</v>
      </c>
      <c r="C204" s="5" t="s">
        <v>76</v>
      </c>
      <c r="D204" s="5" t="s">
        <v>16</v>
      </c>
      <c r="E204" s="5" t="n">
        <f aca="false">ROUND(7648*1.05,2)</f>
        <v>8030.4</v>
      </c>
      <c r="F204" s="5" t="s">
        <v>49</v>
      </c>
      <c r="G204" s="5" t="s">
        <v>18</v>
      </c>
      <c r="H204" s="5" t="n">
        <f aca="true">ROUND(RAND()*4+6,1)</f>
        <v>9.4</v>
      </c>
      <c r="I204" s="5" t="s">
        <v>19</v>
      </c>
      <c r="J204" s="5" t="str">
        <f aca="false">ROUND(75*1,0)&amp;"%"</f>
        <v>75%</v>
      </c>
    </row>
    <row r="205" customFormat="false" ht="15" hidden="false" customHeight="false" outlineLevel="0" collapsed="false">
      <c r="A205" s="6" t="s">
        <v>345</v>
      </c>
      <c r="B205" s="6" t="s">
        <v>346</v>
      </c>
      <c r="C205" s="6" t="s">
        <v>76</v>
      </c>
      <c r="D205" s="6" t="s">
        <v>22</v>
      </c>
      <c r="E205" s="6" t="n">
        <f aca="false">ROUND(6299*1.05,2)</f>
        <v>6613.95</v>
      </c>
      <c r="F205" s="6" t="s">
        <v>52</v>
      </c>
      <c r="G205" s="6" t="s">
        <v>24</v>
      </c>
      <c r="H205" s="6" t="n">
        <f aca="true">ROUND(RAND()*4+6,1)</f>
        <v>8.1</v>
      </c>
      <c r="I205" s="6" t="s">
        <v>25</v>
      </c>
      <c r="J205" s="6" t="str">
        <f aca="false">ROUND(64*1,0)&amp;"%"</f>
        <v>64%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348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349</v>
      </c>
      <c r="B210" s="5" t="s">
        <v>350</v>
      </c>
      <c r="C210" s="5" t="s">
        <v>95</v>
      </c>
      <c r="D210" s="5" t="s">
        <v>16</v>
      </c>
      <c r="E210" s="5" t="n">
        <f aca="false">ROUND(5176*1.05,2)</f>
        <v>5434.8</v>
      </c>
      <c r="F210" s="5" t="s">
        <v>17</v>
      </c>
      <c r="G210" s="5" t="s">
        <v>18</v>
      </c>
      <c r="H210" s="5" t="n">
        <f aca="true">ROUND(RAND()*4+6,1)</f>
        <v>9.8</v>
      </c>
      <c r="I210" s="5" t="s">
        <v>19</v>
      </c>
      <c r="J210" s="5" t="str">
        <f aca="false">ROUND(76*1,0)&amp;"%"</f>
        <v>76%</v>
      </c>
    </row>
    <row r="211" customFormat="false" ht="15" hidden="false" customHeight="false" outlineLevel="0" collapsed="false">
      <c r="A211" s="6" t="s">
        <v>351</v>
      </c>
      <c r="B211" s="6" t="s">
        <v>352</v>
      </c>
      <c r="C211" s="6" t="s">
        <v>95</v>
      </c>
      <c r="D211" s="6" t="s">
        <v>22</v>
      </c>
      <c r="E211" s="6" t="n">
        <f aca="false">ROUND(12670*1.05,2)</f>
        <v>13303.5</v>
      </c>
      <c r="F211" s="6" t="s">
        <v>23</v>
      </c>
      <c r="G211" s="6" t="s">
        <v>24</v>
      </c>
      <c r="H211" s="6" t="n">
        <f aca="true">ROUND(RAND()*4+6,1)</f>
        <v>6.6</v>
      </c>
      <c r="I211" s="6" t="s">
        <v>25</v>
      </c>
      <c r="J211" s="6" t="str">
        <f aca="false">ROUND(87*1,0)&amp;"%"</f>
        <v>87%</v>
      </c>
    </row>
    <row r="212" customFormat="false" ht="15" hidden="false" customHeight="false" outlineLevel="0" collapsed="false">
      <c r="A212" s="5" t="s">
        <v>353</v>
      </c>
      <c r="B212" s="5" t="s">
        <v>354</v>
      </c>
      <c r="C212" s="5" t="s">
        <v>95</v>
      </c>
      <c r="D212" s="5" t="s">
        <v>28</v>
      </c>
      <c r="E212" s="5" t="n">
        <f aca="false">ROUND(11974*1.05,2)</f>
        <v>12572.7</v>
      </c>
      <c r="F212" s="5" t="s">
        <v>29</v>
      </c>
      <c r="G212" s="5" t="s">
        <v>30</v>
      </c>
      <c r="H212" s="5" t="n">
        <f aca="true">ROUND(RAND()*4+6,1)</f>
        <v>9.8</v>
      </c>
      <c r="I212" s="5" t="s">
        <v>31</v>
      </c>
      <c r="J212" s="5" t="str">
        <f aca="false">ROUND(82*1,0)&amp;"%"</f>
        <v>82%</v>
      </c>
    </row>
    <row r="213" customFormat="false" ht="15" hidden="false" customHeight="false" outlineLevel="0" collapsed="false">
      <c r="A213" s="6" t="s">
        <v>355</v>
      </c>
      <c r="B213" s="6" t="s">
        <v>356</v>
      </c>
      <c r="C213" s="6" t="s">
        <v>95</v>
      </c>
      <c r="D213" s="6" t="s">
        <v>34</v>
      </c>
      <c r="E213" s="6" t="n">
        <f aca="false">ROUND(14192*1.05,2)</f>
        <v>14901.6</v>
      </c>
      <c r="F213" s="6" t="s">
        <v>35</v>
      </c>
      <c r="G213" s="6" t="s">
        <v>18</v>
      </c>
      <c r="H213" s="6" t="n">
        <f aca="true">ROUND(RAND()*4+6,1)</f>
        <v>9.6</v>
      </c>
      <c r="I213" s="6" t="s">
        <v>36</v>
      </c>
      <c r="J213" s="6" t="str">
        <f aca="false">ROUND(71*1,0)&amp;"%"</f>
        <v>71%</v>
      </c>
    </row>
    <row r="214" customFormat="false" ht="15" hidden="false" customHeight="false" outlineLevel="0" collapsed="false">
      <c r="A214" s="5" t="s">
        <v>357</v>
      </c>
      <c r="B214" s="5" t="s">
        <v>358</v>
      </c>
      <c r="C214" s="5" t="s">
        <v>95</v>
      </c>
      <c r="D214" s="5" t="s">
        <v>39</v>
      </c>
      <c r="E214" s="5" t="n">
        <f aca="false">ROUND(4742*1.05,2)</f>
        <v>4979.1</v>
      </c>
      <c r="F214" s="5" t="s">
        <v>40</v>
      </c>
      <c r="G214" s="5" t="s">
        <v>24</v>
      </c>
      <c r="H214" s="5" t="n">
        <f aca="true">ROUND(RAND()*4+6,1)</f>
        <v>6.6</v>
      </c>
      <c r="I214" s="5" t="s">
        <v>41</v>
      </c>
      <c r="J214" s="5" t="str">
        <f aca="false">ROUND(94*1,0)&amp;"%"</f>
        <v>94%</v>
      </c>
    </row>
    <row r="215" customFormat="false" ht="15" hidden="false" customHeight="false" outlineLevel="0" collapsed="false">
      <c r="A215" s="6" t="s">
        <v>359</v>
      </c>
      <c r="B215" s="6" t="s">
        <v>360</v>
      </c>
      <c r="C215" s="6" t="s">
        <v>95</v>
      </c>
      <c r="D215" s="6" t="s">
        <v>44</v>
      </c>
      <c r="E215" s="6" t="n">
        <f aca="false">ROUND(15809*1.05,2)</f>
        <v>16599.45</v>
      </c>
      <c r="F215" s="6" t="s">
        <v>45</v>
      </c>
      <c r="G215" s="6" t="s">
        <v>30</v>
      </c>
      <c r="H215" s="6" t="n">
        <f aca="true">ROUND(RAND()*4+6,1)</f>
        <v>6.1</v>
      </c>
      <c r="I215" s="6" t="s">
        <v>46</v>
      </c>
      <c r="J215" s="6" t="str">
        <f aca="false">ROUND(100*1,0)&amp;"%"</f>
        <v>100%</v>
      </c>
    </row>
    <row r="216" customFormat="false" ht="15" hidden="false" customHeight="false" outlineLevel="0" collapsed="false">
      <c r="A216" s="5" t="s">
        <v>361</v>
      </c>
      <c r="B216" s="5" t="s">
        <v>362</v>
      </c>
      <c r="C216" s="5" t="s">
        <v>95</v>
      </c>
      <c r="D216" s="5" t="s">
        <v>16</v>
      </c>
      <c r="E216" s="5" t="n">
        <f aca="false">ROUND(17469*1.05,2)</f>
        <v>18342.45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ROUND(88*1,0)&amp;"%"</f>
        <v>88%</v>
      </c>
    </row>
    <row r="217" customFormat="false" ht="15" hidden="false" customHeight="false" outlineLevel="0" collapsed="false">
      <c r="A217" s="6" t="s">
        <v>363</v>
      </c>
      <c r="B217" s="6" t="s">
        <v>364</v>
      </c>
      <c r="C217" s="6" t="s">
        <v>95</v>
      </c>
      <c r="D217" s="6" t="s">
        <v>22</v>
      </c>
      <c r="E217" s="6" t="n">
        <f aca="false">ROUND(12302*1.05,2)</f>
        <v>12917.1</v>
      </c>
      <c r="F217" s="6" t="s">
        <v>52</v>
      </c>
      <c r="G217" s="6" t="s">
        <v>24</v>
      </c>
      <c r="H217" s="6" t="n">
        <f aca="true">ROUND(RAND()*4+6,1)</f>
        <v>9.9</v>
      </c>
      <c r="I217" s="6" t="s">
        <v>25</v>
      </c>
      <c r="J217" s="6" t="str">
        <f aca="false">ROUND(66*1,0)&amp;"%"</f>
        <v>66%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366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367</v>
      </c>
      <c r="B222" s="5" t="s">
        <v>368</v>
      </c>
      <c r="C222" s="5" t="s">
        <v>114</v>
      </c>
      <c r="D222" s="5" t="s">
        <v>16</v>
      </c>
      <c r="E222" s="5" t="n">
        <f aca="false">ROUND(14297*1.05,2)</f>
        <v>15011.85</v>
      </c>
      <c r="F222" s="5" t="s">
        <v>17</v>
      </c>
      <c r="G222" s="5" t="s">
        <v>18</v>
      </c>
      <c r="H222" s="5" t="n">
        <f aca="true">ROUND(RAND()*4+6,1)</f>
        <v>6.3</v>
      </c>
      <c r="I222" s="5" t="s">
        <v>19</v>
      </c>
      <c r="J222" s="5" t="str">
        <f aca="false">ROUND(79*1,0)&amp;"%"</f>
        <v>79%</v>
      </c>
    </row>
    <row r="223" customFormat="false" ht="15" hidden="false" customHeight="false" outlineLevel="0" collapsed="false">
      <c r="A223" s="6" t="s">
        <v>369</v>
      </c>
      <c r="B223" s="6" t="s">
        <v>370</v>
      </c>
      <c r="C223" s="6" t="s">
        <v>114</v>
      </c>
      <c r="D223" s="6" t="s">
        <v>22</v>
      </c>
      <c r="E223" s="6" t="n">
        <f aca="false">ROUND(11516*1.05,2)</f>
        <v>12091.8</v>
      </c>
      <c r="F223" s="6" t="s">
        <v>23</v>
      </c>
      <c r="G223" s="6" t="s">
        <v>24</v>
      </c>
      <c r="H223" s="6" t="n">
        <f aca="true">ROUND(RAND()*4+6,1)</f>
        <v>9.7</v>
      </c>
      <c r="I223" s="6" t="s">
        <v>25</v>
      </c>
      <c r="J223" s="6" t="str">
        <f aca="false">ROUND(83*1,0)&amp;"%"</f>
        <v>83%</v>
      </c>
    </row>
    <row r="224" customFormat="false" ht="15" hidden="false" customHeight="false" outlineLevel="0" collapsed="false">
      <c r="A224" s="5" t="s">
        <v>371</v>
      </c>
      <c r="B224" s="5" t="s">
        <v>372</v>
      </c>
      <c r="C224" s="5" t="s">
        <v>114</v>
      </c>
      <c r="D224" s="5" t="s">
        <v>28</v>
      </c>
      <c r="E224" s="5" t="n">
        <f aca="false">ROUND(14983*1.05,2)</f>
        <v>15732.15</v>
      </c>
      <c r="F224" s="5" t="s">
        <v>29</v>
      </c>
      <c r="G224" s="5" t="s">
        <v>30</v>
      </c>
      <c r="H224" s="5" t="n">
        <f aca="true">ROUND(RAND()*4+6,1)</f>
        <v>9.1</v>
      </c>
      <c r="I224" s="5" t="s">
        <v>31</v>
      </c>
      <c r="J224" s="5" t="str">
        <f aca="false">ROUND(100*1,0)&amp;"%"</f>
        <v>100%</v>
      </c>
    </row>
    <row r="225" customFormat="false" ht="15" hidden="false" customHeight="false" outlineLevel="0" collapsed="false">
      <c r="A225" s="6" t="s">
        <v>373</v>
      </c>
      <c r="B225" s="6" t="s">
        <v>374</v>
      </c>
      <c r="C225" s="6" t="s">
        <v>114</v>
      </c>
      <c r="D225" s="6" t="s">
        <v>34</v>
      </c>
      <c r="E225" s="6" t="n">
        <f aca="false">ROUND(15288*1.05,2)</f>
        <v>16052.4</v>
      </c>
      <c r="F225" s="6" t="s">
        <v>35</v>
      </c>
      <c r="G225" s="6" t="s">
        <v>18</v>
      </c>
      <c r="H225" s="6" t="n">
        <f aca="true">ROUND(RAND()*4+6,1)</f>
        <v>10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375</v>
      </c>
      <c r="B226" s="5" t="s">
        <v>376</v>
      </c>
      <c r="C226" s="5" t="s">
        <v>114</v>
      </c>
      <c r="D226" s="5" t="s">
        <v>39</v>
      </c>
      <c r="E226" s="5" t="n">
        <f aca="false">ROUND(11919*1.05,2)</f>
        <v>12514.95</v>
      </c>
      <c r="F226" s="5" t="s">
        <v>40</v>
      </c>
      <c r="G226" s="5" t="s">
        <v>24</v>
      </c>
      <c r="H226" s="5" t="n">
        <f aca="true">ROUND(RAND()*4+6,1)</f>
        <v>7.6</v>
      </c>
      <c r="I226" s="5" t="s">
        <v>41</v>
      </c>
      <c r="J226" s="5" t="str">
        <f aca="false">ROUND(61*1,0)&amp;"%"</f>
        <v>61%</v>
      </c>
    </row>
    <row r="227" customFormat="false" ht="15" hidden="false" customHeight="false" outlineLevel="0" collapsed="false">
      <c r="A227" s="6" t="s">
        <v>377</v>
      </c>
      <c r="B227" s="6" t="s">
        <v>378</v>
      </c>
      <c r="C227" s="6" t="s">
        <v>114</v>
      </c>
      <c r="D227" s="6" t="s">
        <v>44</v>
      </c>
      <c r="E227" s="6" t="n">
        <f aca="false">ROUND(13471*1.05,2)</f>
        <v>14144.55</v>
      </c>
      <c r="F227" s="6" t="s">
        <v>45</v>
      </c>
      <c r="G227" s="6" t="s">
        <v>30</v>
      </c>
      <c r="H227" s="6" t="n">
        <f aca="true">ROUND(RAND()*4+6,1)</f>
        <v>8.2</v>
      </c>
      <c r="I227" s="6" t="s">
        <v>46</v>
      </c>
      <c r="J227" s="6" t="str">
        <f aca="false">ROUND(74*1,0)&amp;"%"</f>
        <v>74%</v>
      </c>
    </row>
    <row r="228" customFormat="false" ht="15" hidden="false" customHeight="false" outlineLevel="0" collapsed="false">
      <c r="A228" s="5" t="s">
        <v>379</v>
      </c>
      <c r="B228" s="5" t="s">
        <v>380</v>
      </c>
      <c r="C228" s="5" t="s">
        <v>114</v>
      </c>
      <c r="D228" s="5" t="s">
        <v>16</v>
      </c>
      <c r="E228" s="5" t="n">
        <f aca="false">ROUND(8319*1.05,2)</f>
        <v>8734.95</v>
      </c>
      <c r="F228" s="5" t="s">
        <v>49</v>
      </c>
      <c r="G228" s="5" t="s">
        <v>18</v>
      </c>
      <c r="H228" s="5" t="n">
        <f aca="true">ROUND(RAND()*4+6,1)</f>
        <v>9.2</v>
      </c>
      <c r="I228" s="5" t="s">
        <v>19</v>
      </c>
      <c r="J228" s="5" t="str">
        <f aca="false">ROUND(73*1,0)&amp;"%"</f>
        <v>73%</v>
      </c>
    </row>
    <row r="229" customFormat="false" ht="15" hidden="false" customHeight="false" outlineLevel="0" collapsed="false">
      <c r="A229" s="6" t="s">
        <v>381</v>
      </c>
      <c r="B229" s="6" t="s">
        <v>382</v>
      </c>
      <c r="C229" s="6" t="s">
        <v>114</v>
      </c>
      <c r="D229" s="6" t="s">
        <v>22</v>
      </c>
      <c r="E229" s="6" t="n">
        <f aca="false">ROUND(17787*1.05,2)</f>
        <v>18676.35</v>
      </c>
      <c r="F229" s="6" t="s">
        <v>52</v>
      </c>
      <c r="G229" s="6" t="s">
        <v>24</v>
      </c>
      <c r="H229" s="6" t="n">
        <f aca="true">ROUND(RAND()*4+6,1)</f>
        <v>8</v>
      </c>
      <c r="I229" s="6" t="s">
        <v>25</v>
      </c>
      <c r="J229" s="6" t="str">
        <f aca="false">ROUND(82*1,0)&amp;"%"</f>
        <v>82%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384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385</v>
      </c>
      <c r="B234" s="5" t="s">
        <v>386</v>
      </c>
      <c r="C234" s="5" t="s">
        <v>133</v>
      </c>
      <c r="D234" s="5" t="s">
        <v>16</v>
      </c>
      <c r="E234" s="5" t="n">
        <f aca="false">ROUND(8537*1.05,2)</f>
        <v>8963.85</v>
      </c>
      <c r="F234" s="5" t="s">
        <v>17</v>
      </c>
      <c r="G234" s="5" t="s">
        <v>18</v>
      </c>
      <c r="H234" s="5" t="n">
        <f aca="true">ROUND(RAND()*4+6,1)</f>
        <v>7.8</v>
      </c>
      <c r="I234" s="5" t="s">
        <v>19</v>
      </c>
      <c r="J234" s="5" t="str">
        <f aca="false">ROUND(78*1,0)&amp;"%"</f>
        <v>78%</v>
      </c>
    </row>
    <row r="235" customFormat="false" ht="15" hidden="false" customHeight="false" outlineLevel="0" collapsed="false">
      <c r="A235" s="6" t="s">
        <v>387</v>
      </c>
      <c r="B235" s="6" t="s">
        <v>388</v>
      </c>
      <c r="C235" s="6" t="s">
        <v>133</v>
      </c>
      <c r="D235" s="6" t="s">
        <v>22</v>
      </c>
      <c r="E235" s="6" t="n">
        <f aca="false">ROUND(8462*1.05,2)</f>
        <v>8885.1</v>
      </c>
      <c r="F235" s="6" t="s">
        <v>23</v>
      </c>
      <c r="G235" s="6" t="s">
        <v>24</v>
      </c>
      <c r="H235" s="6" t="n">
        <f aca="true">ROUND(RAND()*4+6,1)</f>
        <v>9</v>
      </c>
      <c r="I235" s="6" t="s">
        <v>25</v>
      </c>
      <c r="J235" s="6" t="str">
        <f aca="false">ROUND(83*1,0)&amp;"%"</f>
        <v>83%</v>
      </c>
    </row>
    <row r="236" customFormat="false" ht="15" hidden="false" customHeight="false" outlineLevel="0" collapsed="false">
      <c r="A236" s="5" t="s">
        <v>389</v>
      </c>
      <c r="B236" s="5" t="s">
        <v>390</v>
      </c>
      <c r="C236" s="5" t="s">
        <v>133</v>
      </c>
      <c r="D236" s="5" t="s">
        <v>28</v>
      </c>
      <c r="E236" s="5" t="n">
        <f aca="false">ROUND(6478*1.05,2)</f>
        <v>6801.9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ROUND(82*1,0)&amp;"%"</f>
        <v>82%</v>
      </c>
    </row>
    <row r="237" customFormat="false" ht="15" hidden="false" customHeight="false" outlineLevel="0" collapsed="false">
      <c r="A237" s="6" t="s">
        <v>391</v>
      </c>
      <c r="B237" s="6" t="s">
        <v>392</v>
      </c>
      <c r="C237" s="6" t="s">
        <v>133</v>
      </c>
      <c r="D237" s="6" t="s">
        <v>34</v>
      </c>
      <c r="E237" s="6" t="n">
        <f aca="false">ROUND(11952*1.05,2)</f>
        <v>12549.6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ROUND(95*1,0)&amp;"%"</f>
        <v>95%</v>
      </c>
    </row>
    <row r="238" customFormat="false" ht="15" hidden="false" customHeight="false" outlineLevel="0" collapsed="false">
      <c r="A238" s="5" t="s">
        <v>393</v>
      </c>
      <c r="B238" s="5" t="s">
        <v>394</v>
      </c>
      <c r="C238" s="5" t="s">
        <v>133</v>
      </c>
      <c r="D238" s="5" t="s">
        <v>39</v>
      </c>
      <c r="E238" s="5" t="n">
        <f aca="false">ROUND(6048*1.05,2)</f>
        <v>6350.4</v>
      </c>
      <c r="F238" s="5" t="s">
        <v>40</v>
      </c>
      <c r="G238" s="5" t="s">
        <v>24</v>
      </c>
      <c r="H238" s="5" t="n">
        <f aca="true">ROUND(RAND()*4+6,1)</f>
        <v>8.9</v>
      </c>
      <c r="I238" s="5" t="s">
        <v>41</v>
      </c>
      <c r="J238" s="5" t="str">
        <f aca="false">ROUND(76*1,0)&amp;"%"</f>
        <v>76%</v>
      </c>
    </row>
    <row r="239" customFormat="false" ht="15" hidden="false" customHeight="false" outlineLevel="0" collapsed="false">
      <c r="A239" s="6" t="s">
        <v>395</v>
      </c>
      <c r="B239" s="6" t="s">
        <v>396</v>
      </c>
      <c r="C239" s="6" t="s">
        <v>133</v>
      </c>
      <c r="D239" s="6" t="s">
        <v>44</v>
      </c>
      <c r="E239" s="6" t="n">
        <f aca="false">ROUND(12685*1.05,2)</f>
        <v>13319.25</v>
      </c>
      <c r="F239" s="6" t="s">
        <v>45</v>
      </c>
      <c r="G239" s="6" t="s">
        <v>30</v>
      </c>
      <c r="H239" s="6" t="n">
        <f aca="true">ROUND(RAND()*4+6,1)</f>
        <v>7.5</v>
      </c>
      <c r="I239" s="6" t="s">
        <v>46</v>
      </c>
      <c r="J239" s="6" t="str">
        <f aca="false">ROUND(61*1,0)&amp;"%"</f>
        <v>61%</v>
      </c>
    </row>
    <row r="240" customFormat="false" ht="15" hidden="false" customHeight="false" outlineLevel="0" collapsed="false">
      <c r="A240" s="5" t="s">
        <v>397</v>
      </c>
      <c r="B240" s="5" t="s">
        <v>398</v>
      </c>
      <c r="C240" s="5" t="s">
        <v>133</v>
      </c>
      <c r="D240" s="5" t="s">
        <v>16</v>
      </c>
      <c r="E240" s="5" t="n">
        <f aca="false">ROUND(9463*1.05,2)</f>
        <v>9936.15</v>
      </c>
      <c r="F240" s="5" t="s">
        <v>49</v>
      </c>
      <c r="G240" s="5" t="s">
        <v>18</v>
      </c>
      <c r="H240" s="5" t="n">
        <f aca="true">ROUND(RAND()*4+6,1)</f>
        <v>9.9</v>
      </c>
      <c r="I240" s="5" t="s">
        <v>19</v>
      </c>
      <c r="J240" s="5" t="str">
        <f aca="false">ROUND(82*1,0)&amp;"%"</f>
        <v>82%</v>
      </c>
    </row>
    <row r="241" customFormat="false" ht="15" hidden="false" customHeight="false" outlineLevel="0" collapsed="false">
      <c r="A241" s="6" t="s">
        <v>399</v>
      </c>
      <c r="B241" s="6" t="s">
        <v>400</v>
      </c>
      <c r="C241" s="6" t="s">
        <v>133</v>
      </c>
      <c r="D241" s="6" t="s">
        <v>22</v>
      </c>
      <c r="E241" s="6" t="n">
        <f aca="false">ROUND(14281*1.05,2)</f>
        <v>14995.05</v>
      </c>
      <c r="F241" s="6" t="s">
        <v>52</v>
      </c>
      <c r="G241" s="6" t="s">
        <v>24</v>
      </c>
      <c r="H241" s="6" t="n">
        <f aca="true">ROUND(RAND()*4+6,1)</f>
        <v>9.7</v>
      </c>
      <c r="I241" s="6" t="s">
        <v>25</v>
      </c>
      <c r="J241" s="6" t="str">
        <f aca="false">ROUND(67*1,0)&amp;"%"</f>
        <v>67%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402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403</v>
      </c>
      <c r="B246" s="5" t="s">
        <v>404</v>
      </c>
      <c r="C246" s="5" t="s">
        <v>152</v>
      </c>
      <c r="D246" s="5" t="s">
        <v>16</v>
      </c>
      <c r="E246" s="5" t="n">
        <f aca="false">ROUND(5046*1.05,2)</f>
        <v>5298.3</v>
      </c>
      <c r="F246" s="5" t="s">
        <v>17</v>
      </c>
      <c r="G246" s="5" t="s">
        <v>18</v>
      </c>
      <c r="H246" s="5" t="n">
        <f aca="true">ROUND(RAND()*4+6,1)</f>
        <v>6.2</v>
      </c>
      <c r="I246" s="5" t="s">
        <v>19</v>
      </c>
      <c r="J246" s="5" t="str">
        <f aca="false">ROUND(90*1,0)&amp;"%"</f>
        <v>90%</v>
      </c>
    </row>
    <row r="247" customFormat="false" ht="15" hidden="false" customHeight="false" outlineLevel="0" collapsed="false">
      <c r="A247" s="6" t="s">
        <v>405</v>
      </c>
      <c r="B247" s="6" t="s">
        <v>406</v>
      </c>
      <c r="C247" s="6" t="s">
        <v>152</v>
      </c>
      <c r="D247" s="6" t="s">
        <v>22</v>
      </c>
      <c r="E247" s="6" t="n">
        <f aca="false">ROUND(7264*1.05,2)</f>
        <v>7627.2</v>
      </c>
      <c r="F247" s="6" t="s">
        <v>23</v>
      </c>
      <c r="G247" s="6" t="s">
        <v>24</v>
      </c>
      <c r="H247" s="6" t="n">
        <f aca="true">ROUND(RAND()*4+6,1)</f>
        <v>7.5</v>
      </c>
      <c r="I247" s="6" t="s">
        <v>25</v>
      </c>
      <c r="J247" s="6" t="str">
        <f aca="false">ROUND(62*1,0)&amp;"%"</f>
        <v>62%</v>
      </c>
    </row>
    <row r="248" customFormat="false" ht="15" hidden="false" customHeight="false" outlineLevel="0" collapsed="false">
      <c r="A248" s="5" t="s">
        <v>407</v>
      </c>
      <c r="B248" s="5" t="s">
        <v>408</v>
      </c>
      <c r="C248" s="5" t="s">
        <v>152</v>
      </c>
      <c r="D248" s="5" t="s">
        <v>28</v>
      </c>
      <c r="E248" s="5" t="n">
        <f aca="false">ROUND(5032*1.05,2)</f>
        <v>5283.6</v>
      </c>
      <c r="F248" s="5" t="s">
        <v>29</v>
      </c>
      <c r="G248" s="5" t="s">
        <v>30</v>
      </c>
      <c r="H248" s="5" t="n">
        <f aca="true">ROUND(RAND()*4+6,1)</f>
        <v>8.9</v>
      </c>
      <c r="I248" s="5" t="s">
        <v>31</v>
      </c>
      <c r="J248" s="5" t="str">
        <f aca="false">ROUND(86*1,0)&amp;"%"</f>
        <v>86%</v>
      </c>
    </row>
    <row r="249" customFormat="false" ht="15" hidden="false" customHeight="false" outlineLevel="0" collapsed="false">
      <c r="A249" s="6" t="s">
        <v>409</v>
      </c>
      <c r="B249" s="6" t="s">
        <v>410</v>
      </c>
      <c r="C249" s="6" t="s">
        <v>152</v>
      </c>
      <c r="D249" s="6" t="s">
        <v>34</v>
      </c>
      <c r="E249" s="6" t="n">
        <f aca="false">ROUND(15199*1.05,2)</f>
        <v>15958.95</v>
      </c>
      <c r="F249" s="6" t="s">
        <v>35</v>
      </c>
      <c r="G249" s="6" t="s">
        <v>18</v>
      </c>
      <c r="H249" s="6" t="n">
        <f aca="true">ROUND(RAND()*4+6,1)</f>
        <v>8.6</v>
      </c>
      <c r="I249" s="6" t="s">
        <v>36</v>
      </c>
      <c r="J249" s="6" t="str">
        <f aca="false">ROUND(99*1,0)&amp;"%"</f>
        <v>99%</v>
      </c>
    </row>
    <row r="250" customFormat="false" ht="15" hidden="false" customHeight="false" outlineLevel="0" collapsed="false">
      <c r="A250" s="5" t="s">
        <v>411</v>
      </c>
      <c r="B250" s="5" t="s">
        <v>412</v>
      </c>
      <c r="C250" s="5" t="s">
        <v>152</v>
      </c>
      <c r="D250" s="5" t="s">
        <v>39</v>
      </c>
      <c r="E250" s="5" t="n">
        <f aca="false">ROUND(9434*1.05,2)</f>
        <v>9905.7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ROUND(85*1,0)&amp;"%"</f>
        <v>85%</v>
      </c>
    </row>
    <row r="251" customFormat="false" ht="15" hidden="false" customHeight="false" outlineLevel="0" collapsed="false">
      <c r="A251" s="6" t="s">
        <v>413</v>
      </c>
      <c r="B251" s="6" t="s">
        <v>414</v>
      </c>
      <c r="C251" s="6" t="s">
        <v>152</v>
      </c>
      <c r="D251" s="6" t="s">
        <v>44</v>
      </c>
      <c r="E251" s="6" t="n">
        <f aca="false">ROUND(8269*1.05,2)</f>
        <v>8682.45</v>
      </c>
      <c r="F251" s="6" t="s">
        <v>45</v>
      </c>
      <c r="G251" s="6" t="s">
        <v>30</v>
      </c>
      <c r="H251" s="6" t="n">
        <f aca="true">ROUND(RAND()*4+6,1)</f>
        <v>6.7</v>
      </c>
      <c r="I251" s="6" t="s">
        <v>46</v>
      </c>
      <c r="J251" s="6" t="str">
        <f aca="false">ROUND(96*1,0)&amp;"%"</f>
        <v>96%</v>
      </c>
    </row>
    <row r="252" customFormat="false" ht="15" hidden="false" customHeight="false" outlineLevel="0" collapsed="false">
      <c r="A252" s="5" t="s">
        <v>415</v>
      </c>
      <c r="B252" s="5" t="s">
        <v>416</v>
      </c>
      <c r="C252" s="5" t="s">
        <v>152</v>
      </c>
      <c r="D252" s="5" t="s">
        <v>16</v>
      </c>
      <c r="E252" s="5" t="n">
        <f aca="false">ROUND(10207*1.05,2)</f>
        <v>10717.35</v>
      </c>
      <c r="F252" s="5" t="s">
        <v>49</v>
      </c>
      <c r="G252" s="5" t="s">
        <v>18</v>
      </c>
      <c r="H252" s="5" t="n">
        <f aca="true">ROUND(RAND()*4+6,1)</f>
        <v>7.6</v>
      </c>
      <c r="I252" s="5" t="s">
        <v>19</v>
      </c>
      <c r="J252" s="5" t="str">
        <f aca="false">ROUND(83*1,0)&amp;"%"</f>
        <v>83%</v>
      </c>
    </row>
    <row r="253" customFormat="false" ht="15" hidden="false" customHeight="false" outlineLevel="0" collapsed="false">
      <c r="A253" s="6" t="s">
        <v>417</v>
      </c>
      <c r="B253" s="6" t="s">
        <v>418</v>
      </c>
      <c r="C253" s="6" t="s">
        <v>152</v>
      </c>
      <c r="D253" s="6" t="s">
        <v>22</v>
      </c>
      <c r="E253" s="6" t="n">
        <f aca="false">ROUND(14726*1.05,2)</f>
        <v>15462.3</v>
      </c>
      <c r="F253" s="6" t="s">
        <v>52</v>
      </c>
      <c r="G253" s="6" t="s">
        <v>24</v>
      </c>
      <c r="H253" s="6" t="n">
        <f aca="true">ROUND(RAND()*4+6,1)</f>
        <v>9.4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420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421</v>
      </c>
      <c r="B258" s="5" t="s">
        <v>422</v>
      </c>
      <c r="C258" s="5" t="s">
        <v>15</v>
      </c>
      <c r="D258" s="5" t="s">
        <v>16</v>
      </c>
      <c r="E258" s="5" t="n">
        <f aca="false">ROUND(16662*1.05,2)</f>
        <v>17495.1</v>
      </c>
      <c r="F258" s="5" t="s">
        <v>17</v>
      </c>
      <c r="G258" s="5" t="s">
        <v>18</v>
      </c>
      <c r="H258" s="5" t="n">
        <f aca="true">ROUND(RAND()*4+6,1)</f>
        <v>6.5</v>
      </c>
      <c r="I258" s="5" t="s">
        <v>19</v>
      </c>
      <c r="J258" s="5" t="str">
        <f aca="false">ROUND(72*1,0)&amp;"%"</f>
        <v>72%</v>
      </c>
    </row>
    <row r="259" customFormat="false" ht="15" hidden="false" customHeight="false" outlineLevel="0" collapsed="false">
      <c r="A259" s="6" t="s">
        <v>423</v>
      </c>
      <c r="B259" s="6" t="s">
        <v>424</v>
      </c>
      <c r="C259" s="6" t="s">
        <v>15</v>
      </c>
      <c r="D259" s="6" t="s">
        <v>22</v>
      </c>
      <c r="E259" s="6" t="n">
        <f aca="false">ROUND(13754*1.05,2)</f>
        <v>14441.7</v>
      </c>
      <c r="F259" s="6" t="s">
        <v>23</v>
      </c>
      <c r="G259" s="6" t="s">
        <v>24</v>
      </c>
      <c r="H259" s="6" t="n">
        <f aca="true">ROUND(RAND()*4+6,1)</f>
        <v>7.5</v>
      </c>
      <c r="I259" s="6" t="s">
        <v>25</v>
      </c>
      <c r="J259" s="6" t="str">
        <f aca="false">ROUND(76*1,0)&amp;"%"</f>
        <v>76%</v>
      </c>
    </row>
    <row r="260" customFormat="false" ht="15" hidden="false" customHeight="false" outlineLevel="0" collapsed="false">
      <c r="A260" s="5" t="s">
        <v>425</v>
      </c>
      <c r="B260" s="5" t="s">
        <v>426</v>
      </c>
      <c r="C260" s="5" t="s">
        <v>15</v>
      </c>
      <c r="D260" s="5" t="s">
        <v>28</v>
      </c>
      <c r="E260" s="5" t="n">
        <f aca="false">ROUND(14185*1.05,2)</f>
        <v>14894.25</v>
      </c>
      <c r="F260" s="5" t="s">
        <v>29</v>
      </c>
      <c r="G260" s="5" t="s">
        <v>30</v>
      </c>
      <c r="H260" s="5" t="n">
        <f aca="true">ROUND(RAND()*4+6,1)</f>
        <v>9.5</v>
      </c>
      <c r="I260" s="5" t="s">
        <v>31</v>
      </c>
      <c r="J260" s="5" t="str">
        <f aca="false">ROUND(69*1,0)&amp;"%"</f>
        <v>69%</v>
      </c>
    </row>
    <row r="261" customFormat="false" ht="15" hidden="false" customHeight="false" outlineLevel="0" collapsed="false">
      <c r="A261" s="6" t="s">
        <v>427</v>
      </c>
      <c r="B261" s="6" t="s">
        <v>428</v>
      </c>
      <c r="C261" s="6" t="s">
        <v>15</v>
      </c>
      <c r="D261" s="6" t="s">
        <v>34</v>
      </c>
      <c r="E261" s="6" t="n">
        <f aca="false">ROUND(14013*1.05,2)</f>
        <v>14713.65</v>
      </c>
      <c r="F261" s="6" t="s">
        <v>35</v>
      </c>
      <c r="G261" s="6" t="s">
        <v>18</v>
      </c>
      <c r="H261" s="6" t="n">
        <f aca="true">ROUND(RAND()*4+6,1)</f>
        <v>7.1</v>
      </c>
      <c r="I261" s="6" t="s">
        <v>36</v>
      </c>
      <c r="J261" s="6" t="str">
        <f aca="false">ROUND(63*1,0)&amp;"%"</f>
        <v>63%</v>
      </c>
    </row>
    <row r="262" customFormat="false" ht="15" hidden="false" customHeight="false" outlineLevel="0" collapsed="false">
      <c r="A262" s="5" t="s">
        <v>429</v>
      </c>
      <c r="B262" s="5" t="s">
        <v>430</v>
      </c>
      <c r="C262" s="5" t="s">
        <v>15</v>
      </c>
      <c r="D262" s="5" t="s">
        <v>39</v>
      </c>
      <c r="E262" s="5" t="n">
        <f aca="false">ROUND(14776*1.05,2)</f>
        <v>15514.8</v>
      </c>
      <c r="F262" s="5" t="s">
        <v>40</v>
      </c>
      <c r="G262" s="5" t="s">
        <v>24</v>
      </c>
      <c r="H262" s="5" t="n">
        <f aca="true">ROUND(RAND()*4+6,1)</f>
        <v>7.5</v>
      </c>
      <c r="I262" s="5" t="s">
        <v>41</v>
      </c>
      <c r="J262" s="5" t="str">
        <f aca="false">ROUND(80*1,0)&amp;"%"</f>
        <v>80%</v>
      </c>
    </row>
    <row r="263" customFormat="false" ht="15" hidden="false" customHeight="false" outlineLevel="0" collapsed="false">
      <c r="A263" s="6" t="s">
        <v>431</v>
      </c>
      <c r="B263" s="6" t="s">
        <v>432</v>
      </c>
      <c r="C263" s="6" t="s">
        <v>15</v>
      </c>
      <c r="D263" s="6" t="s">
        <v>44</v>
      </c>
      <c r="E263" s="6" t="n">
        <f aca="false">ROUND(11526*1.05,2)</f>
        <v>12102.3</v>
      </c>
      <c r="F263" s="6" t="s">
        <v>45</v>
      </c>
      <c r="G263" s="6" t="s">
        <v>30</v>
      </c>
      <c r="H263" s="6" t="n">
        <f aca="true">ROUND(RAND()*4+6,1)</f>
        <v>8.7</v>
      </c>
      <c r="I263" s="6" t="s">
        <v>46</v>
      </c>
      <c r="J263" s="6" t="str">
        <f aca="false">ROUND(97*1,0)&amp;"%"</f>
        <v>97%</v>
      </c>
    </row>
    <row r="264" customFormat="false" ht="15" hidden="false" customHeight="false" outlineLevel="0" collapsed="false">
      <c r="A264" s="5" t="s">
        <v>433</v>
      </c>
      <c r="B264" s="5" t="s">
        <v>434</v>
      </c>
      <c r="C264" s="5" t="s">
        <v>15</v>
      </c>
      <c r="D264" s="5" t="s">
        <v>16</v>
      </c>
      <c r="E264" s="5" t="n">
        <f aca="false">ROUND(16141*1.05,2)</f>
        <v>16948.05</v>
      </c>
      <c r="F264" s="5" t="s">
        <v>49</v>
      </c>
      <c r="G264" s="5" t="s">
        <v>18</v>
      </c>
      <c r="H264" s="5" t="n">
        <f aca="true">ROUND(RAND()*4+6,1)</f>
        <v>8.5</v>
      </c>
      <c r="I264" s="5" t="s">
        <v>19</v>
      </c>
      <c r="J264" s="5" t="str">
        <f aca="false">ROUND(90*1,0)&amp;"%"</f>
        <v>90%</v>
      </c>
    </row>
    <row r="265" customFormat="false" ht="15" hidden="false" customHeight="false" outlineLevel="0" collapsed="false">
      <c r="A265" s="6" t="s">
        <v>435</v>
      </c>
      <c r="B265" s="6" t="s">
        <v>436</v>
      </c>
      <c r="C265" s="6" t="s">
        <v>15</v>
      </c>
      <c r="D265" s="6" t="s">
        <v>22</v>
      </c>
      <c r="E265" s="6" t="n">
        <f aca="false">ROUND(11691*1.05,2)</f>
        <v>12275.55</v>
      </c>
      <c r="F265" s="6" t="s">
        <v>52</v>
      </c>
      <c r="G265" s="6" t="s">
        <v>24</v>
      </c>
      <c r="H265" s="6" t="n">
        <f aca="true">ROUND(RAND()*4+6,1)</f>
        <v>7.4</v>
      </c>
      <c r="I265" s="6" t="s">
        <v>25</v>
      </c>
      <c r="J265" s="6" t="str">
        <f aca="false">ROUND(68*1,0)&amp;"%"</f>
        <v>68%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438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439</v>
      </c>
      <c r="B270" s="5" t="s">
        <v>440</v>
      </c>
      <c r="C270" s="5" t="s">
        <v>57</v>
      </c>
      <c r="D270" s="5" t="s">
        <v>16</v>
      </c>
      <c r="E270" s="5" t="n">
        <f aca="false">ROUND(17324*1.05,2)</f>
        <v>18190.2</v>
      </c>
      <c r="F270" s="5" t="s">
        <v>17</v>
      </c>
      <c r="G270" s="5" t="s">
        <v>18</v>
      </c>
      <c r="H270" s="5" t="n">
        <f aca="true">ROUND(RAND()*4+6,1)</f>
        <v>7.8</v>
      </c>
      <c r="I270" s="5" t="s">
        <v>19</v>
      </c>
      <c r="J270" s="5" t="str">
        <f aca="false">ROUND(99*1,0)&amp;"%"</f>
        <v>99%</v>
      </c>
    </row>
    <row r="271" customFormat="false" ht="15" hidden="false" customHeight="false" outlineLevel="0" collapsed="false">
      <c r="A271" s="6" t="s">
        <v>441</v>
      </c>
      <c r="B271" s="6" t="s">
        <v>442</v>
      </c>
      <c r="C271" s="6" t="s">
        <v>57</v>
      </c>
      <c r="D271" s="6" t="s">
        <v>22</v>
      </c>
      <c r="E271" s="6" t="n">
        <f aca="false">ROUND(12213*1.05,2)</f>
        <v>12823.65</v>
      </c>
      <c r="F271" s="6" t="s">
        <v>23</v>
      </c>
      <c r="G271" s="6" t="s">
        <v>24</v>
      </c>
      <c r="H271" s="6" t="n">
        <f aca="true">ROUND(RAND()*4+6,1)</f>
        <v>8.1</v>
      </c>
      <c r="I271" s="6" t="s">
        <v>25</v>
      </c>
      <c r="J271" s="6" t="str">
        <f aca="false">ROUND(72*1,0)&amp;"%"</f>
        <v>72%</v>
      </c>
    </row>
    <row r="272" customFormat="false" ht="15" hidden="false" customHeight="false" outlineLevel="0" collapsed="false">
      <c r="A272" s="5" t="s">
        <v>443</v>
      </c>
      <c r="B272" s="5" t="s">
        <v>444</v>
      </c>
      <c r="C272" s="5" t="s">
        <v>57</v>
      </c>
      <c r="D272" s="5" t="s">
        <v>28</v>
      </c>
      <c r="E272" s="5" t="n">
        <f aca="false">ROUND(9137*1.05,2)</f>
        <v>9593.85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445</v>
      </c>
      <c r="B273" s="6" t="s">
        <v>446</v>
      </c>
      <c r="C273" s="6" t="s">
        <v>57</v>
      </c>
      <c r="D273" s="6" t="s">
        <v>34</v>
      </c>
      <c r="E273" s="6" t="n">
        <f aca="false">ROUND(4919*1.05,2)</f>
        <v>5164.95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ROUND(84*1,0)&amp;"%"</f>
        <v>84%</v>
      </c>
    </row>
    <row r="274" customFormat="false" ht="15" hidden="false" customHeight="false" outlineLevel="0" collapsed="false">
      <c r="A274" s="5" t="s">
        <v>447</v>
      </c>
      <c r="B274" s="5" t="s">
        <v>448</v>
      </c>
      <c r="C274" s="5" t="s">
        <v>57</v>
      </c>
      <c r="D274" s="5" t="s">
        <v>39</v>
      </c>
      <c r="E274" s="5" t="n">
        <f aca="false">ROUND(13843*1.05,2)</f>
        <v>14535.15</v>
      </c>
      <c r="F274" s="5" t="s">
        <v>40</v>
      </c>
      <c r="G274" s="5" t="s">
        <v>24</v>
      </c>
      <c r="H274" s="5" t="n">
        <f aca="true">ROUND(RAND()*4+6,1)</f>
        <v>8.3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449</v>
      </c>
      <c r="B275" s="6" t="s">
        <v>450</v>
      </c>
      <c r="C275" s="6" t="s">
        <v>57</v>
      </c>
      <c r="D275" s="6" t="s">
        <v>44</v>
      </c>
      <c r="E275" s="6" t="n">
        <f aca="false">ROUND(5906*1.05,2)</f>
        <v>6201.3</v>
      </c>
      <c r="F275" s="6" t="s">
        <v>45</v>
      </c>
      <c r="G275" s="6" t="s">
        <v>30</v>
      </c>
      <c r="H275" s="6" t="n">
        <f aca="true">ROUND(RAND()*4+6,1)</f>
        <v>7.6</v>
      </c>
      <c r="I275" s="6" t="s">
        <v>46</v>
      </c>
      <c r="J275" s="6" t="str">
        <f aca="false">ROUND(79*1,0)&amp;"%"</f>
        <v>79%</v>
      </c>
    </row>
    <row r="276" customFormat="false" ht="15" hidden="false" customHeight="false" outlineLevel="0" collapsed="false">
      <c r="A276" s="5" t="s">
        <v>451</v>
      </c>
      <c r="B276" s="5" t="s">
        <v>452</v>
      </c>
      <c r="C276" s="5" t="s">
        <v>57</v>
      </c>
      <c r="D276" s="5" t="s">
        <v>16</v>
      </c>
      <c r="E276" s="5" t="n">
        <f aca="false">ROUND(5499*1.05,2)</f>
        <v>5773.95</v>
      </c>
      <c r="F276" s="5" t="s">
        <v>49</v>
      </c>
      <c r="G276" s="5" t="s">
        <v>18</v>
      </c>
      <c r="H276" s="5" t="n">
        <f aca="true">ROUND(RAND()*4+6,1)</f>
        <v>9.2</v>
      </c>
      <c r="I276" s="5" t="s">
        <v>19</v>
      </c>
      <c r="J276" s="5" t="str">
        <f aca="false">ROUND(100*1,0)&amp;"%"</f>
        <v>100%</v>
      </c>
    </row>
    <row r="277" customFormat="false" ht="15" hidden="false" customHeight="false" outlineLevel="0" collapsed="false">
      <c r="A277" s="6" t="s">
        <v>453</v>
      </c>
      <c r="B277" s="6" t="s">
        <v>454</v>
      </c>
      <c r="C277" s="6" t="s">
        <v>57</v>
      </c>
      <c r="D277" s="6" t="s">
        <v>22</v>
      </c>
      <c r="E277" s="6" t="n">
        <f aca="false">ROUND(9724*1.05,2)</f>
        <v>10210.2</v>
      </c>
      <c r="F277" s="6" t="s">
        <v>52</v>
      </c>
      <c r="G277" s="6" t="s">
        <v>24</v>
      </c>
      <c r="H277" s="6" t="n">
        <f aca="true">ROUND(RAND()*4+6,1)</f>
        <v>8.6</v>
      </c>
      <c r="I277" s="6" t="s">
        <v>25</v>
      </c>
      <c r="J277" s="6" t="str">
        <f aca="false">ROUND(68*1,0)&amp;"%"</f>
        <v>68%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456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457</v>
      </c>
      <c r="B282" s="5" t="s">
        <v>458</v>
      </c>
      <c r="C282" s="5" t="s">
        <v>76</v>
      </c>
      <c r="D282" s="5" t="s">
        <v>16</v>
      </c>
      <c r="E282" s="5" t="n">
        <f aca="false">ROUND(7169*1.05,2)</f>
        <v>7527.45</v>
      </c>
      <c r="F282" s="5" t="s">
        <v>17</v>
      </c>
      <c r="G282" s="5" t="s">
        <v>18</v>
      </c>
      <c r="H282" s="5" t="n">
        <f aca="true">ROUND(RAND()*4+6,1)</f>
        <v>8.6</v>
      </c>
      <c r="I282" s="5" t="s">
        <v>19</v>
      </c>
      <c r="J282" s="5" t="str">
        <f aca="false">ROUND(99*1,0)&amp;"%"</f>
        <v>99%</v>
      </c>
    </row>
    <row r="283" customFormat="false" ht="15" hidden="false" customHeight="false" outlineLevel="0" collapsed="false">
      <c r="A283" s="6" t="s">
        <v>459</v>
      </c>
      <c r="B283" s="6" t="s">
        <v>460</v>
      </c>
      <c r="C283" s="6" t="s">
        <v>76</v>
      </c>
      <c r="D283" s="6" t="s">
        <v>22</v>
      </c>
      <c r="E283" s="6" t="n">
        <f aca="false">ROUND(8613*1.05,2)</f>
        <v>9043.65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ROUND(81*1,0)&amp;"%"</f>
        <v>81%</v>
      </c>
    </row>
    <row r="284" customFormat="false" ht="15" hidden="false" customHeight="false" outlineLevel="0" collapsed="false">
      <c r="A284" s="5" t="s">
        <v>461</v>
      </c>
      <c r="B284" s="5" t="s">
        <v>462</v>
      </c>
      <c r="C284" s="5" t="s">
        <v>76</v>
      </c>
      <c r="D284" s="5" t="s">
        <v>28</v>
      </c>
      <c r="E284" s="5" t="n">
        <f aca="false">ROUND(14893*1.05,2)</f>
        <v>15637.65</v>
      </c>
      <c r="F284" s="5" t="s">
        <v>29</v>
      </c>
      <c r="G284" s="5" t="s">
        <v>30</v>
      </c>
      <c r="H284" s="5" t="n">
        <f aca="true">ROUND(RAND()*4+6,1)</f>
        <v>9.7</v>
      </c>
      <c r="I284" s="5" t="s">
        <v>31</v>
      </c>
      <c r="J284" s="5" t="str">
        <f aca="false">ROUND(91*1,0)&amp;"%"</f>
        <v>91%</v>
      </c>
    </row>
    <row r="285" customFormat="false" ht="15" hidden="false" customHeight="false" outlineLevel="0" collapsed="false">
      <c r="A285" s="6" t="s">
        <v>463</v>
      </c>
      <c r="B285" s="6" t="s">
        <v>464</v>
      </c>
      <c r="C285" s="6" t="s">
        <v>76</v>
      </c>
      <c r="D285" s="6" t="s">
        <v>34</v>
      </c>
      <c r="E285" s="6" t="n">
        <f aca="false">ROUND(6272*1.05,2)</f>
        <v>6585.6</v>
      </c>
      <c r="F285" s="6" t="s">
        <v>35</v>
      </c>
      <c r="G285" s="6" t="s">
        <v>18</v>
      </c>
      <c r="H285" s="6" t="n">
        <f aca="true">ROUND(RAND()*4+6,1)</f>
        <v>6.4</v>
      </c>
      <c r="I285" s="6" t="s">
        <v>36</v>
      </c>
      <c r="J285" s="6" t="str">
        <f aca="false">ROUND(100*1,0)&amp;"%"</f>
        <v>100%</v>
      </c>
    </row>
    <row r="286" customFormat="false" ht="15" hidden="false" customHeight="false" outlineLevel="0" collapsed="false">
      <c r="A286" s="5" t="s">
        <v>465</v>
      </c>
      <c r="B286" s="5" t="s">
        <v>466</v>
      </c>
      <c r="C286" s="5" t="s">
        <v>76</v>
      </c>
      <c r="D286" s="5" t="s">
        <v>39</v>
      </c>
      <c r="E286" s="5" t="n">
        <f aca="false">ROUND(17796*1.05,2)</f>
        <v>18685.8</v>
      </c>
      <c r="F286" s="5" t="s">
        <v>40</v>
      </c>
      <c r="G286" s="5" t="s">
        <v>24</v>
      </c>
      <c r="H286" s="5" t="n">
        <f aca="true">ROUND(RAND()*4+6,1)</f>
        <v>8.3</v>
      </c>
      <c r="I286" s="5" t="s">
        <v>41</v>
      </c>
      <c r="J286" s="5" t="str">
        <f aca="false">ROUND(67*1,0)&amp;"%"</f>
        <v>67%</v>
      </c>
    </row>
    <row r="287" customFormat="false" ht="15" hidden="false" customHeight="false" outlineLevel="0" collapsed="false">
      <c r="A287" s="6" t="s">
        <v>467</v>
      </c>
      <c r="B287" s="6" t="s">
        <v>468</v>
      </c>
      <c r="C287" s="6" t="s">
        <v>76</v>
      </c>
      <c r="D287" s="6" t="s">
        <v>44</v>
      </c>
      <c r="E287" s="6" t="n">
        <f aca="false">ROUND(13108*1.05,2)</f>
        <v>13763.4</v>
      </c>
      <c r="F287" s="6" t="s">
        <v>45</v>
      </c>
      <c r="G287" s="6" t="s">
        <v>30</v>
      </c>
      <c r="H287" s="6" t="n">
        <f aca="true">ROUND(RAND()*4+6,1)</f>
        <v>6.5</v>
      </c>
      <c r="I287" s="6" t="s">
        <v>46</v>
      </c>
      <c r="J287" s="6" t="str">
        <f aca="false">ROUND(72*1,0)&amp;"%"</f>
        <v>72%</v>
      </c>
    </row>
    <row r="288" customFormat="false" ht="15" hidden="false" customHeight="false" outlineLevel="0" collapsed="false">
      <c r="A288" s="5" t="s">
        <v>469</v>
      </c>
      <c r="B288" s="5" t="s">
        <v>470</v>
      </c>
      <c r="C288" s="5" t="s">
        <v>76</v>
      </c>
      <c r="D288" s="5" t="s">
        <v>16</v>
      </c>
      <c r="E288" s="5" t="n">
        <f aca="false">ROUND(9383*1.05,2)</f>
        <v>9852.15</v>
      </c>
      <c r="F288" s="5" t="s">
        <v>49</v>
      </c>
      <c r="G288" s="5" t="s">
        <v>18</v>
      </c>
      <c r="H288" s="5" t="n">
        <f aca="true">ROUND(RAND()*4+6,1)</f>
        <v>6.7</v>
      </c>
      <c r="I288" s="5" t="s">
        <v>19</v>
      </c>
      <c r="J288" s="5" t="str">
        <f aca="false">ROUND(96*1,0)&amp;"%"</f>
        <v>96%</v>
      </c>
    </row>
    <row r="289" customFormat="false" ht="15" hidden="false" customHeight="false" outlineLevel="0" collapsed="false">
      <c r="A289" s="6" t="s">
        <v>471</v>
      </c>
      <c r="B289" s="6" t="s">
        <v>472</v>
      </c>
      <c r="C289" s="6" t="s">
        <v>76</v>
      </c>
      <c r="D289" s="6" t="s">
        <v>22</v>
      </c>
      <c r="E289" s="6" t="n">
        <f aca="false">ROUND(4378*1.05,2)</f>
        <v>4596.9</v>
      </c>
      <c r="F289" s="6" t="s">
        <v>52</v>
      </c>
      <c r="G289" s="6" t="s">
        <v>24</v>
      </c>
      <c r="H289" s="6" t="n">
        <f aca="true">ROUND(RAND()*4+6,1)</f>
        <v>7.9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474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475</v>
      </c>
      <c r="B294" s="5" t="s">
        <v>476</v>
      </c>
      <c r="C294" s="5" t="s">
        <v>95</v>
      </c>
      <c r="D294" s="5" t="s">
        <v>16</v>
      </c>
      <c r="E294" s="5" t="n">
        <f aca="false">ROUND(12952*1.05,2)</f>
        <v>13599.6</v>
      </c>
      <c r="F294" s="5" t="s">
        <v>17</v>
      </c>
      <c r="G294" s="5" t="s">
        <v>18</v>
      </c>
      <c r="H294" s="5" t="n">
        <f aca="true">ROUND(RAND()*4+6,1)</f>
        <v>9.9</v>
      </c>
      <c r="I294" s="5" t="s">
        <v>19</v>
      </c>
      <c r="J294" s="5" t="str">
        <f aca="false">ROUND(72*1,0)&amp;"%"</f>
        <v>72%</v>
      </c>
    </row>
    <row r="295" customFormat="false" ht="15" hidden="false" customHeight="false" outlineLevel="0" collapsed="false">
      <c r="A295" s="6" t="s">
        <v>477</v>
      </c>
      <c r="B295" s="6" t="s">
        <v>478</v>
      </c>
      <c r="C295" s="6" t="s">
        <v>95</v>
      </c>
      <c r="D295" s="6" t="s">
        <v>22</v>
      </c>
      <c r="E295" s="6" t="n">
        <f aca="false">ROUND(13281*1.05,2)</f>
        <v>13945.05</v>
      </c>
      <c r="F295" s="6" t="s">
        <v>23</v>
      </c>
      <c r="G295" s="6" t="s">
        <v>24</v>
      </c>
      <c r="H295" s="6" t="n">
        <f aca="true">ROUND(RAND()*4+6,1)</f>
        <v>9.2</v>
      </c>
      <c r="I295" s="6" t="s">
        <v>25</v>
      </c>
      <c r="J295" s="6" t="str">
        <f aca="false">ROUND(71*1,0)&amp;"%"</f>
        <v>71%</v>
      </c>
    </row>
    <row r="296" customFormat="false" ht="15" hidden="false" customHeight="false" outlineLevel="0" collapsed="false">
      <c r="A296" s="5" t="s">
        <v>479</v>
      </c>
      <c r="B296" s="5" t="s">
        <v>480</v>
      </c>
      <c r="C296" s="5" t="s">
        <v>95</v>
      </c>
      <c r="D296" s="5" t="s">
        <v>28</v>
      </c>
      <c r="E296" s="5" t="n">
        <f aca="false">ROUND(17142*1.05,2)</f>
        <v>17999.1</v>
      </c>
      <c r="F296" s="5" t="s">
        <v>29</v>
      </c>
      <c r="G296" s="5" t="s">
        <v>30</v>
      </c>
      <c r="H296" s="5" t="n">
        <f aca="true">ROUND(RAND()*4+6,1)</f>
        <v>7.6</v>
      </c>
      <c r="I296" s="5" t="s">
        <v>31</v>
      </c>
      <c r="J296" s="5" t="str">
        <f aca="false">ROUND(100*1,0)&amp;"%"</f>
        <v>100%</v>
      </c>
    </row>
    <row r="297" customFormat="false" ht="15" hidden="false" customHeight="false" outlineLevel="0" collapsed="false">
      <c r="A297" s="6" t="s">
        <v>481</v>
      </c>
      <c r="B297" s="6" t="s">
        <v>482</v>
      </c>
      <c r="C297" s="6" t="s">
        <v>95</v>
      </c>
      <c r="D297" s="6" t="s">
        <v>34</v>
      </c>
      <c r="E297" s="6" t="n">
        <f aca="false">ROUND(14833*1.05,2)</f>
        <v>15574.65</v>
      </c>
      <c r="F297" s="6" t="s">
        <v>35</v>
      </c>
      <c r="G297" s="6" t="s">
        <v>18</v>
      </c>
      <c r="H297" s="6" t="n">
        <f aca="true">ROUND(RAND()*4+6,1)</f>
        <v>6.7</v>
      </c>
      <c r="I297" s="6" t="s">
        <v>36</v>
      </c>
      <c r="J297" s="6" t="str">
        <f aca="false">ROUND(76*1,0)&amp;"%"</f>
        <v>76%</v>
      </c>
    </row>
    <row r="298" customFormat="false" ht="15" hidden="false" customHeight="false" outlineLevel="0" collapsed="false">
      <c r="A298" s="5" t="s">
        <v>483</v>
      </c>
      <c r="B298" s="5" t="s">
        <v>484</v>
      </c>
      <c r="C298" s="5" t="s">
        <v>95</v>
      </c>
      <c r="D298" s="5" t="s">
        <v>39</v>
      </c>
      <c r="E298" s="5" t="n">
        <f aca="false">ROUND(5880*1.05,2)</f>
        <v>6174</v>
      </c>
      <c r="F298" s="5" t="s">
        <v>40</v>
      </c>
      <c r="G298" s="5" t="s">
        <v>24</v>
      </c>
      <c r="H298" s="5" t="n">
        <f aca="true">ROUND(RAND()*4+6,1)</f>
        <v>8.5</v>
      </c>
      <c r="I298" s="5" t="s">
        <v>41</v>
      </c>
      <c r="J298" s="5" t="str">
        <f aca="false">ROUND(85*1,0)&amp;"%"</f>
        <v>85%</v>
      </c>
    </row>
    <row r="299" customFormat="false" ht="15" hidden="false" customHeight="false" outlineLevel="0" collapsed="false">
      <c r="A299" s="6" t="s">
        <v>485</v>
      </c>
      <c r="B299" s="6" t="s">
        <v>486</v>
      </c>
      <c r="C299" s="6" t="s">
        <v>95</v>
      </c>
      <c r="D299" s="6" t="s">
        <v>44</v>
      </c>
      <c r="E299" s="6" t="n">
        <f aca="false">ROUND(17516*1.05,2)</f>
        <v>18391.8</v>
      </c>
      <c r="F299" s="6" t="s">
        <v>45</v>
      </c>
      <c r="G299" s="6" t="s">
        <v>30</v>
      </c>
      <c r="H299" s="6" t="n">
        <f aca="true">ROUND(RAND()*4+6,1)</f>
        <v>9.3</v>
      </c>
      <c r="I299" s="6" t="s">
        <v>46</v>
      </c>
      <c r="J299" s="6" t="str">
        <f aca="false">ROUND(68*1,0)&amp;"%"</f>
        <v>68%</v>
      </c>
    </row>
    <row r="300" customFormat="false" ht="15" hidden="false" customHeight="false" outlineLevel="0" collapsed="false">
      <c r="A300" s="5" t="s">
        <v>487</v>
      </c>
      <c r="B300" s="5" t="s">
        <v>488</v>
      </c>
      <c r="C300" s="5" t="s">
        <v>95</v>
      </c>
      <c r="D300" s="5" t="s">
        <v>16</v>
      </c>
      <c r="E300" s="5" t="n">
        <f aca="false">ROUND(5682*1.05,2)</f>
        <v>5966.1</v>
      </c>
      <c r="F300" s="5" t="s">
        <v>49</v>
      </c>
      <c r="G300" s="5" t="s">
        <v>18</v>
      </c>
      <c r="H300" s="5" t="n">
        <f aca="true">ROUND(RAND()*4+6,1)</f>
        <v>9.6</v>
      </c>
      <c r="I300" s="5" t="s">
        <v>19</v>
      </c>
      <c r="J300" s="5" t="str">
        <f aca="false">ROUND(79*1,0)&amp;"%"</f>
        <v>79%</v>
      </c>
    </row>
    <row r="301" customFormat="false" ht="15" hidden="false" customHeight="false" outlineLevel="0" collapsed="false">
      <c r="A301" s="6" t="s">
        <v>489</v>
      </c>
      <c r="B301" s="6" t="s">
        <v>490</v>
      </c>
      <c r="C301" s="6" t="s">
        <v>95</v>
      </c>
      <c r="D301" s="6" t="s">
        <v>22</v>
      </c>
      <c r="E301" s="6" t="n">
        <f aca="false">ROUND(17669*1.05,2)</f>
        <v>18552.45</v>
      </c>
      <c r="F301" s="6" t="s">
        <v>52</v>
      </c>
      <c r="G301" s="6" t="s">
        <v>24</v>
      </c>
      <c r="H301" s="6" t="n">
        <f aca="true">ROUND(RAND()*4+6,1)</f>
        <v>9.2</v>
      </c>
      <c r="I301" s="6" t="s">
        <v>25</v>
      </c>
      <c r="J301" s="6" t="str">
        <f aca="false">ROUND(68*1,0)&amp;"%"</f>
        <v>68%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492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493</v>
      </c>
      <c r="B306" s="5" t="s">
        <v>494</v>
      </c>
      <c r="C306" s="5" t="s">
        <v>114</v>
      </c>
      <c r="D306" s="5" t="s">
        <v>16</v>
      </c>
      <c r="E306" s="5" t="n">
        <f aca="false">ROUND(17675*1.05,2)</f>
        <v>18558.75</v>
      </c>
      <c r="F306" s="5" t="s">
        <v>17</v>
      </c>
      <c r="G306" s="5" t="s">
        <v>18</v>
      </c>
      <c r="H306" s="5" t="n">
        <f aca="true">ROUND(RAND()*4+6,1)</f>
        <v>8.3</v>
      </c>
      <c r="I306" s="5" t="s">
        <v>19</v>
      </c>
      <c r="J306" s="5" t="str">
        <f aca="false">ROUND(77*1,0)&amp;"%"</f>
        <v>77%</v>
      </c>
    </row>
    <row r="307" customFormat="false" ht="15" hidden="false" customHeight="false" outlineLevel="0" collapsed="false">
      <c r="A307" s="6" t="s">
        <v>495</v>
      </c>
      <c r="B307" s="6" t="s">
        <v>496</v>
      </c>
      <c r="C307" s="6" t="s">
        <v>114</v>
      </c>
      <c r="D307" s="6" t="s">
        <v>22</v>
      </c>
      <c r="E307" s="6" t="n">
        <f aca="false">ROUND(5707*1.05,2)</f>
        <v>5992.35</v>
      </c>
      <c r="F307" s="6" t="s">
        <v>23</v>
      </c>
      <c r="G307" s="6" t="s">
        <v>24</v>
      </c>
      <c r="H307" s="6" t="n">
        <f aca="true">ROUND(RAND()*4+6,1)</f>
        <v>8.8</v>
      </c>
      <c r="I307" s="6" t="s">
        <v>25</v>
      </c>
      <c r="J307" s="6" t="str">
        <f aca="false">ROUND(70*1,0)&amp;"%"</f>
        <v>70%</v>
      </c>
    </row>
    <row r="308" customFormat="false" ht="15" hidden="false" customHeight="false" outlineLevel="0" collapsed="false">
      <c r="A308" s="5" t="s">
        <v>497</v>
      </c>
      <c r="B308" s="5" t="s">
        <v>498</v>
      </c>
      <c r="C308" s="5" t="s">
        <v>114</v>
      </c>
      <c r="D308" s="5" t="s">
        <v>28</v>
      </c>
      <c r="E308" s="5" t="n">
        <f aca="false">ROUND(15567*1.05,2)</f>
        <v>16345.35</v>
      </c>
      <c r="F308" s="5" t="s">
        <v>29</v>
      </c>
      <c r="G308" s="5" t="s">
        <v>30</v>
      </c>
      <c r="H308" s="5" t="n">
        <f aca="true">ROUND(RAND()*4+6,1)</f>
        <v>6.8</v>
      </c>
      <c r="I308" s="5" t="s">
        <v>31</v>
      </c>
      <c r="J308" s="5" t="str">
        <f aca="false">ROUND(85*1,0)&amp;"%"</f>
        <v>85%</v>
      </c>
    </row>
    <row r="309" customFormat="false" ht="15" hidden="false" customHeight="false" outlineLevel="0" collapsed="false">
      <c r="A309" s="6" t="s">
        <v>499</v>
      </c>
      <c r="B309" s="6" t="s">
        <v>500</v>
      </c>
      <c r="C309" s="6" t="s">
        <v>114</v>
      </c>
      <c r="D309" s="6" t="s">
        <v>34</v>
      </c>
      <c r="E309" s="6" t="n">
        <f aca="false">ROUND(12726*1.05,2)</f>
        <v>13362.3</v>
      </c>
      <c r="F309" s="6" t="s">
        <v>35</v>
      </c>
      <c r="G309" s="6" t="s">
        <v>18</v>
      </c>
      <c r="H309" s="6" t="n">
        <f aca="true">ROUND(RAND()*4+6,1)</f>
        <v>9.2</v>
      </c>
      <c r="I309" s="6" t="s">
        <v>36</v>
      </c>
      <c r="J309" s="6" t="str">
        <f aca="false">ROUND(83*1,0)&amp;"%"</f>
        <v>83%</v>
      </c>
    </row>
    <row r="310" customFormat="false" ht="15" hidden="false" customHeight="false" outlineLevel="0" collapsed="false">
      <c r="A310" s="5" t="s">
        <v>501</v>
      </c>
      <c r="B310" s="5" t="s">
        <v>502</v>
      </c>
      <c r="C310" s="5" t="s">
        <v>114</v>
      </c>
      <c r="D310" s="5" t="s">
        <v>39</v>
      </c>
      <c r="E310" s="5" t="n">
        <f aca="false">ROUND(4156*1.05,2)</f>
        <v>4363.8</v>
      </c>
      <c r="F310" s="5" t="s">
        <v>40</v>
      </c>
      <c r="G310" s="5" t="s">
        <v>24</v>
      </c>
      <c r="H310" s="5" t="n">
        <f aca="true">ROUND(RAND()*4+6,1)</f>
        <v>6.6</v>
      </c>
      <c r="I310" s="5" t="s">
        <v>41</v>
      </c>
      <c r="J310" s="5" t="str">
        <f aca="false">ROUND(88*1,0)&amp;"%"</f>
        <v>88%</v>
      </c>
    </row>
    <row r="311" customFormat="false" ht="15" hidden="false" customHeight="false" outlineLevel="0" collapsed="false">
      <c r="A311" s="6" t="s">
        <v>503</v>
      </c>
      <c r="B311" s="6" t="s">
        <v>504</v>
      </c>
      <c r="C311" s="6" t="s">
        <v>114</v>
      </c>
      <c r="D311" s="6" t="s">
        <v>44</v>
      </c>
      <c r="E311" s="6" t="n">
        <f aca="false">ROUND(10438*1.05,2)</f>
        <v>10959.9</v>
      </c>
      <c r="F311" s="6" t="s">
        <v>45</v>
      </c>
      <c r="G311" s="6" t="s">
        <v>30</v>
      </c>
      <c r="H311" s="6" t="n">
        <f aca="true">ROUND(RAND()*4+6,1)</f>
        <v>6</v>
      </c>
      <c r="I311" s="6" t="s">
        <v>46</v>
      </c>
      <c r="J311" s="6" t="str">
        <f aca="false">ROUND(94*1,0)&amp;"%"</f>
        <v>94%</v>
      </c>
    </row>
    <row r="312" customFormat="false" ht="15" hidden="false" customHeight="false" outlineLevel="0" collapsed="false">
      <c r="A312" s="5" t="s">
        <v>505</v>
      </c>
      <c r="B312" s="5" t="s">
        <v>506</v>
      </c>
      <c r="C312" s="5" t="s">
        <v>114</v>
      </c>
      <c r="D312" s="5" t="s">
        <v>16</v>
      </c>
      <c r="E312" s="5" t="n">
        <f aca="false">ROUND(8481*1.05,2)</f>
        <v>8905.05</v>
      </c>
      <c r="F312" s="5" t="s">
        <v>49</v>
      </c>
      <c r="G312" s="5" t="s">
        <v>18</v>
      </c>
      <c r="H312" s="5" t="n">
        <f aca="true">ROUND(RAND()*4+6,1)</f>
        <v>7.6</v>
      </c>
      <c r="I312" s="5" t="s">
        <v>19</v>
      </c>
      <c r="J312" s="5" t="str">
        <f aca="false">ROUND(82*1,0)&amp;"%"</f>
        <v>82%</v>
      </c>
    </row>
    <row r="313" customFormat="false" ht="15" hidden="false" customHeight="false" outlineLevel="0" collapsed="false">
      <c r="A313" s="6" t="s">
        <v>507</v>
      </c>
      <c r="B313" s="6" t="s">
        <v>508</v>
      </c>
      <c r="C313" s="6" t="s">
        <v>114</v>
      </c>
      <c r="D313" s="6" t="s">
        <v>22</v>
      </c>
      <c r="E313" s="6" t="n">
        <f aca="false">ROUND(14933*1.05,2)</f>
        <v>15679.65</v>
      </c>
      <c r="F313" s="6" t="s">
        <v>52</v>
      </c>
      <c r="G313" s="6" t="s">
        <v>24</v>
      </c>
      <c r="H313" s="6" t="n">
        <f aca="true">ROUND(RAND()*4+6,1)</f>
        <v>6.1</v>
      </c>
      <c r="I313" s="6" t="s">
        <v>25</v>
      </c>
      <c r="J313" s="6" t="str">
        <f aca="false">ROUND(70*1,0)&amp;"%"</f>
        <v>70%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510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511</v>
      </c>
      <c r="B318" s="5" t="s">
        <v>512</v>
      </c>
      <c r="C318" s="5" t="s">
        <v>133</v>
      </c>
      <c r="D318" s="5" t="s">
        <v>16</v>
      </c>
      <c r="E318" s="5" t="n">
        <f aca="false">ROUND(11275*1.05,2)</f>
        <v>11838.75</v>
      </c>
      <c r="F318" s="5" t="s">
        <v>17</v>
      </c>
      <c r="G318" s="5" t="s">
        <v>18</v>
      </c>
      <c r="H318" s="5" t="n">
        <f aca="true">ROUND(RAND()*4+6,1)</f>
        <v>8.9</v>
      </c>
      <c r="I318" s="5" t="s">
        <v>19</v>
      </c>
      <c r="J318" s="5" t="str">
        <f aca="false">ROUND(60*1,0)&amp;"%"</f>
        <v>60%</v>
      </c>
    </row>
    <row r="319" customFormat="false" ht="15" hidden="false" customHeight="false" outlineLevel="0" collapsed="false">
      <c r="A319" s="6" t="s">
        <v>513</v>
      </c>
      <c r="B319" s="6" t="s">
        <v>514</v>
      </c>
      <c r="C319" s="6" t="s">
        <v>133</v>
      </c>
      <c r="D319" s="6" t="s">
        <v>22</v>
      </c>
      <c r="E319" s="6" t="n">
        <f aca="false">ROUND(16616*1.05,2)</f>
        <v>17446.8</v>
      </c>
      <c r="F319" s="6" t="s">
        <v>23</v>
      </c>
      <c r="G319" s="6" t="s">
        <v>24</v>
      </c>
      <c r="H319" s="6" t="n">
        <f aca="true">ROUND(RAND()*4+6,1)</f>
        <v>9.5</v>
      </c>
      <c r="I319" s="6" t="s">
        <v>25</v>
      </c>
      <c r="J319" s="6" t="str">
        <f aca="false">ROUND(64*1,0)&amp;"%"</f>
        <v>64%</v>
      </c>
    </row>
    <row r="320" customFormat="false" ht="15" hidden="false" customHeight="false" outlineLevel="0" collapsed="false">
      <c r="A320" s="5" t="s">
        <v>515</v>
      </c>
      <c r="B320" s="5" t="s">
        <v>516</v>
      </c>
      <c r="C320" s="5" t="s">
        <v>133</v>
      </c>
      <c r="D320" s="5" t="s">
        <v>28</v>
      </c>
      <c r="E320" s="5" t="n">
        <f aca="false">ROUND(13717*1.05,2)</f>
        <v>14402.85</v>
      </c>
      <c r="F320" s="5" t="s">
        <v>29</v>
      </c>
      <c r="G320" s="5" t="s">
        <v>30</v>
      </c>
      <c r="H320" s="5" t="n">
        <f aca="true">ROUND(RAND()*4+6,1)</f>
        <v>7</v>
      </c>
      <c r="I320" s="5" t="s">
        <v>31</v>
      </c>
      <c r="J320" s="5" t="str">
        <f aca="false">ROUND(73*1,0)&amp;"%"</f>
        <v>73%</v>
      </c>
    </row>
    <row r="321" customFormat="false" ht="15" hidden="false" customHeight="false" outlineLevel="0" collapsed="false">
      <c r="A321" s="6" t="s">
        <v>517</v>
      </c>
      <c r="B321" s="6" t="s">
        <v>518</v>
      </c>
      <c r="C321" s="6" t="s">
        <v>133</v>
      </c>
      <c r="D321" s="6" t="s">
        <v>34</v>
      </c>
      <c r="E321" s="6" t="n">
        <f aca="false">ROUND(6690*1.05,2)</f>
        <v>7024.5</v>
      </c>
      <c r="F321" s="6" t="s">
        <v>35</v>
      </c>
      <c r="G321" s="6" t="s">
        <v>18</v>
      </c>
      <c r="H321" s="6" t="n">
        <f aca="true">ROUND(RAND()*4+6,1)</f>
        <v>6.2</v>
      </c>
      <c r="I321" s="6" t="s">
        <v>36</v>
      </c>
      <c r="J321" s="6" t="str">
        <f aca="false">ROUND(94*1,0)&amp;"%"</f>
        <v>94%</v>
      </c>
    </row>
    <row r="322" customFormat="false" ht="15" hidden="false" customHeight="false" outlineLevel="0" collapsed="false">
      <c r="A322" s="5" t="s">
        <v>519</v>
      </c>
      <c r="B322" s="5" t="s">
        <v>520</v>
      </c>
      <c r="C322" s="5" t="s">
        <v>133</v>
      </c>
      <c r="D322" s="5" t="s">
        <v>39</v>
      </c>
      <c r="E322" s="5" t="n">
        <f aca="false">ROUND(17863*1.05,2)</f>
        <v>18756.15</v>
      </c>
      <c r="F322" s="5" t="s">
        <v>40</v>
      </c>
      <c r="G322" s="5" t="s">
        <v>24</v>
      </c>
      <c r="H322" s="5" t="n">
        <f aca="true">ROUND(RAND()*4+6,1)</f>
        <v>7.1</v>
      </c>
      <c r="I322" s="5" t="s">
        <v>41</v>
      </c>
      <c r="J322" s="5" t="str">
        <f aca="false">ROUND(66*1,0)&amp;"%"</f>
        <v>66%</v>
      </c>
    </row>
    <row r="323" customFormat="false" ht="15" hidden="false" customHeight="false" outlineLevel="0" collapsed="false">
      <c r="A323" s="6" t="s">
        <v>521</v>
      </c>
      <c r="B323" s="6" t="s">
        <v>522</v>
      </c>
      <c r="C323" s="6" t="s">
        <v>133</v>
      </c>
      <c r="D323" s="6" t="s">
        <v>44</v>
      </c>
      <c r="E323" s="6" t="n">
        <f aca="false">ROUND(12574*1.05,2)</f>
        <v>13202.7</v>
      </c>
      <c r="F323" s="6" t="s">
        <v>45</v>
      </c>
      <c r="G323" s="6" t="s">
        <v>30</v>
      </c>
      <c r="H323" s="6" t="n">
        <f aca="true">ROUND(RAND()*4+6,1)</f>
        <v>9.8</v>
      </c>
      <c r="I323" s="6" t="s">
        <v>46</v>
      </c>
      <c r="J323" s="6" t="str">
        <f aca="false">ROUND(79*1,0)&amp;"%"</f>
        <v>79%</v>
      </c>
    </row>
    <row r="324" customFormat="false" ht="15" hidden="false" customHeight="false" outlineLevel="0" collapsed="false">
      <c r="A324" s="5" t="s">
        <v>523</v>
      </c>
      <c r="B324" s="5" t="s">
        <v>524</v>
      </c>
      <c r="C324" s="5" t="s">
        <v>133</v>
      </c>
      <c r="D324" s="5" t="s">
        <v>16</v>
      </c>
      <c r="E324" s="5" t="n">
        <f aca="false">ROUND(10857*1.05,2)</f>
        <v>11399.85</v>
      </c>
      <c r="F324" s="5" t="s">
        <v>49</v>
      </c>
      <c r="G324" s="5" t="s">
        <v>18</v>
      </c>
      <c r="H324" s="5" t="n">
        <f aca="true">ROUND(RAND()*4+6,1)</f>
        <v>6.4</v>
      </c>
      <c r="I324" s="5" t="s">
        <v>19</v>
      </c>
      <c r="J324" s="5" t="str">
        <f aca="false">ROUND(67*1,0)&amp;"%"</f>
        <v>67%</v>
      </c>
    </row>
    <row r="325" customFormat="false" ht="15" hidden="false" customHeight="false" outlineLevel="0" collapsed="false">
      <c r="A325" s="6" t="s">
        <v>525</v>
      </c>
      <c r="B325" s="6" t="s">
        <v>526</v>
      </c>
      <c r="C325" s="6" t="s">
        <v>133</v>
      </c>
      <c r="D325" s="6" t="s">
        <v>22</v>
      </c>
      <c r="E325" s="6" t="n">
        <f aca="false">ROUND(9618*1.05,2)</f>
        <v>10098.9</v>
      </c>
      <c r="F325" s="6" t="s">
        <v>52</v>
      </c>
      <c r="G325" s="6" t="s">
        <v>24</v>
      </c>
      <c r="H325" s="6" t="n">
        <f aca="true">ROUND(RAND()*4+6,1)</f>
        <v>8.7</v>
      </c>
      <c r="I325" s="6" t="s">
        <v>25</v>
      </c>
      <c r="J325" s="6" t="str">
        <f aca="false">ROUND(72*1,0)&amp;"%"</f>
        <v>72%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528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529</v>
      </c>
      <c r="B330" s="5" t="s">
        <v>530</v>
      </c>
      <c r="C330" s="5" t="s">
        <v>152</v>
      </c>
      <c r="D330" s="5" t="s">
        <v>16</v>
      </c>
      <c r="E330" s="5" t="n">
        <f aca="false">ROUND(5475*1.05,2)</f>
        <v>5748.75</v>
      </c>
      <c r="F330" s="5" t="s">
        <v>17</v>
      </c>
      <c r="G330" s="5" t="s">
        <v>18</v>
      </c>
      <c r="H330" s="5" t="n">
        <f aca="true">ROUND(RAND()*4+6,1)</f>
        <v>6.7</v>
      </c>
      <c r="I330" s="5" t="s">
        <v>19</v>
      </c>
      <c r="J330" s="5" t="str">
        <f aca="false">ROUND(97*1,0)&amp;"%"</f>
        <v>97%</v>
      </c>
    </row>
    <row r="331" customFormat="false" ht="15" hidden="false" customHeight="false" outlineLevel="0" collapsed="false">
      <c r="A331" s="6" t="s">
        <v>531</v>
      </c>
      <c r="B331" s="6" t="s">
        <v>532</v>
      </c>
      <c r="C331" s="6" t="s">
        <v>152</v>
      </c>
      <c r="D331" s="6" t="s">
        <v>22</v>
      </c>
      <c r="E331" s="6" t="n">
        <f aca="false">ROUND(7651*1.05,2)</f>
        <v>8033.55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ROUND(74*1,0)&amp;"%"</f>
        <v>74%</v>
      </c>
    </row>
    <row r="332" customFormat="false" ht="15" hidden="false" customHeight="false" outlineLevel="0" collapsed="false">
      <c r="A332" s="5" t="s">
        <v>533</v>
      </c>
      <c r="B332" s="5" t="s">
        <v>534</v>
      </c>
      <c r="C332" s="5" t="s">
        <v>152</v>
      </c>
      <c r="D332" s="5" t="s">
        <v>28</v>
      </c>
      <c r="E332" s="5" t="n">
        <f aca="false">ROUND(5077*1.05,2)</f>
        <v>5330.85</v>
      </c>
      <c r="F332" s="5" t="s">
        <v>29</v>
      </c>
      <c r="G332" s="5" t="s">
        <v>30</v>
      </c>
      <c r="H332" s="5" t="n">
        <f aca="true">ROUND(RAND()*4+6,1)</f>
        <v>10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535</v>
      </c>
      <c r="B333" s="6" t="s">
        <v>536</v>
      </c>
      <c r="C333" s="6" t="s">
        <v>152</v>
      </c>
      <c r="D333" s="6" t="s">
        <v>34</v>
      </c>
      <c r="E333" s="6" t="n">
        <f aca="false">ROUND(16833*1.05,2)</f>
        <v>17674.65</v>
      </c>
      <c r="F333" s="6" t="s">
        <v>35</v>
      </c>
      <c r="G333" s="6" t="s">
        <v>18</v>
      </c>
      <c r="H333" s="6" t="n">
        <f aca="true">ROUND(RAND()*4+6,1)</f>
        <v>6.9</v>
      </c>
      <c r="I333" s="6" t="s">
        <v>36</v>
      </c>
      <c r="J333" s="6" t="str">
        <f aca="false">ROUND(65*1,0)&amp;"%"</f>
        <v>65%</v>
      </c>
    </row>
    <row r="334" customFormat="false" ht="15" hidden="false" customHeight="false" outlineLevel="0" collapsed="false">
      <c r="A334" s="5" t="s">
        <v>537</v>
      </c>
      <c r="B334" s="5" t="s">
        <v>538</v>
      </c>
      <c r="C334" s="5" t="s">
        <v>152</v>
      </c>
      <c r="D334" s="5" t="s">
        <v>39</v>
      </c>
      <c r="E334" s="5" t="n">
        <f aca="false">ROUND(4772*1.05,2)</f>
        <v>5010.6</v>
      </c>
      <c r="F334" s="5" t="s">
        <v>40</v>
      </c>
      <c r="G334" s="5" t="s">
        <v>24</v>
      </c>
      <c r="H334" s="5" t="n">
        <f aca="true">ROUND(RAND()*4+6,1)</f>
        <v>9.8</v>
      </c>
      <c r="I334" s="5" t="s">
        <v>41</v>
      </c>
      <c r="J334" s="5" t="str">
        <f aca="false">ROUND(84*1,0)&amp;"%"</f>
        <v>84%</v>
      </c>
    </row>
    <row r="335" customFormat="false" ht="15" hidden="false" customHeight="false" outlineLevel="0" collapsed="false">
      <c r="A335" s="6" t="s">
        <v>539</v>
      </c>
      <c r="B335" s="6" t="s">
        <v>540</v>
      </c>
      <c r="C335" s="6" t="s">
        <v>152</v>
      </c>
      <c r="D335" s="6" t="s">
        <v>44</v>
      </c>
      <c r="E335" s="6" t="n">
        <f aca="false">ROUND(17298*1.05,2)</f>
        <v>18162.9</v>
      </c>
      <c r="F335" s="6" t="s">
        <v>45</v>
      </c>
      <c r="G335" s="6" t="s">
        <v>30</v>
      </c>
      <c r="H335" s="6" t="n">
        <f aca="true">ROUND(RAND()*4+6,1)</f>
        <v>8.6</v>
      </c>
      <c r="I335" s="6" t="s">
        <v>46</v>
      </c>
      <c r="J335" s="6" t="str">
        <f aca="false">ROUND(96*1,0)&amp;"%"</f>
        <v>96%</v>
      </c>
    </row>
    <row r="336" customFormat="false" ht="15" hidden="false" customHeight="false" outlineLevel="0" collapsed="false">
      <c r="A336" s="5" t="s">
        <v>541</v>
      </c>
      <c r="B336" s="5" t="s">
        <v>542</v>
      </c>
      <c r="C336" s="5" t="s">
        <v>152</v>
      </c>
      <c r="D336" s="5" t="s">
        <v>16</v>
      </c>
      <c r="E336" s="5" t="n">
        <f aca="false">ROUND(4322*1.05,2)</f>
        <v>4538.1</v>
      </c>
      <c r="F336" s="5" t="s">
        <v>49</v>
      </c>
      <c r="G336" s="5" t="s">
        <v>18</v>
      </c>
      <c r="H336" s="5" t="n">
        <f aca="true">ROUND(RAND()*4+6,1)</f>
        <v>9</v>
      </c>
      <c r="I336" s="5" t="s">
        <v>19</v>
      </c>
      <c r="J336" s="5" t="str">
        <f aca="false">ROUND(86*1,0)&amp;"%"</f>
        <v>86%</v>
      </c>
    </row>
    <row r="337" customFormat="false" ht="15" hidden="false" customHeight="false" outlineLevel="0" collapsed="false">
      <c r="A337" s="6" t="s">
        <v>543</v>
      </c>
      <c r="B337" s="6" t="s">
        <v>544</v>
      </c>
      <c r="C337" s="6" t="s">
        <v>152</v>
      </c>
      <c r="D337" s="6" t="s">
        <v>22</v>
      </c>
      <c r="E337" s="6" t="n">
        <f aca="false">ROUND(11273*1.05,2)</f>
        <v>11836.65</v>
      </c>
      <c r="F337" s="6" t="s">
        <v>52</v>
      </c>
      <c r="G337" s="6" t="s">
        <v>24</v>
      </c>
      <c r="H337" s="6" t="n">
        <f aca="true">ROUND(RAND()*4+6,1)</f>
        <v>8.7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546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547</v>
      </c>
      <c r="B342" s="5" t="s">
        <v>548</v>
      </c>
      <c r="C342" s="5" t="s">
        <v>15</v>
      </c>
      <c r="D342" s="5" t="s">
        <v>16</v>
      </c>
      <c r="E342" s="5" t="n">
        <f aca="false">ROUND(4441*1.05,2)</f>
        <v>4663.05</v>
      </c>
      <c r="F342" s="5" t="s">
        <v>17</v>
      </c>
      <c r="G342" s="5" t="s">
        <v>18</v>
      </c>
      <c r="H342" s="5" t="n">
        <f aca="true">ROUND(RAND()*4+6,1)</f>
        <v>7.9</v>
      </c>
      <c r="I342" s="5" t="s">
        <v>19</v>
      </c>
      <c r="J342" s="5" t="str">
        <f aca="false">ROUND(98*1,0)&amp;"%"</f>
        <v>98%</v>
      </c>
    </row>
    <row r="343" customFormat="false" ht="15" hidden="false" customHeight="false" outlineLevel="0" collapsed="false">
      <c r="A343" s="6" t="s">
        <v>549</v>
      </c>
      <c r="B343" s="6" t="s">
        <v>550</v>
      </c>
      <c r="C343" s="6" t="s">
        <v>15</v>
      </c>
      <c r="D343" s="6" t="s">
        <v>22</v>
      </c>
      <c r="E343" s="6" t="n">
        <f aca="false">ROUND(17136*1.05,2)</f>
        <v>17992.8</v>
      </c>
      <c r="F343" s="6" t="s">
        <v>23</v>
      </c>
      <c r="G343" s="6" t="s">
        <v>24</v>
      </c>
      <c r="H343" s="6" t="n">
        <f aca="true">ROUND(RAND()*4+6,1)</f>
        <v>6.1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551</v>
      </c>
      <c r="B344" s="5" t="s">
        <v>552</v>
      </c>
      <c r="C344" s="5" t="s">
        <v>15</v>
      </c>
      <c r="D344" s="5" t="s">
        <v>28</v>
      </c>
      <c r="E344" s="5" t="n">
        <f aca="false">ROUND(10067*1.05,2)</f>
        <v>10570.35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553</v>
      </c>
      <c r="B345" s="6" t="s">
        <v>554</v>
      </c>
      <c r="C345" s="6" t="s">
        <v>15</v>
      </c>
      <c r="D345" s="6" t="s">
        <v>34</v>
      </c>
      <c r="E345" s="6" t="n">
        <f aca="false">ROUND(15638*1.05,2)</f>
        <v>16419.9</v>
      </c>
      <c r="F345" s="6" t="s">
        <v>35</v>
      </c>
      <c r="G345" s="6" t="s">
        <v>18</v>
      </c>
      <c r="H345" s="6" t="n">
        <f aca="true">ROUND(RAND()*4+6,1)</f>
        <v>9.4</v>
      </c>
      <c r="I345" s="6" t="s">
        <v>36</v>
      </c>
      <c r="J345" s="6" t="str">
        <f aca="false">ROUND(75*1,0)&amp;"%"</f>
        <v>75%</v>
      </c>
    </row>
    <row r="346" customFormat="false" ht="15" hidden="false" customHeight="false" outlineLevel="0" collapsed="false">
      <c r="A346" s="5" t="s">
        <v>555</v>
      </c>
      <c r="B346" s="5" t="s">
        <v>556</v>
      </c>
      <c r="C346" s="5" t="s">
        <v>15</v>
      </c>
      <c r="D346" s="5" t="s">
        <v>39</v>
      </c>
      <c r="E346" s="5" t="n">
        <f aca="false">ROUND(6239*1.05,2)</f>
        <v>6550.95</v>
      </c>
      <c r="F346" s="5" t="s">
        <v>40</v>
      </c>
      <c r="G346" s="5" t="s">
        <v>24</v>
      </c>
      <c r="H346" s="5" t="n">
        <f aca="true">ROUND(RAND()*4+6,1)</f>
        <v>7.2</v>
      </c>
      <c r="I346" s="5" t="s">
        <v>41</v>
      </c>
      <c r="J346" s="5" t="str">
        <f aca="false">ROUND(62*1,0)&amp;"%"</f>
        <v>62%</v>
      </c>
    </row>
    <row r="347" customFormat="false" ht="15" hidden="false" customHeight="false" outlineLevel="0" collapsed="false">
      <c r="A347" s="6" t="s">
        <v>557</v>
      </c>
      <c r="B347" s="6" t="s">
        <v>558</v>
      </c>
      <c r="C347" s="6" t="s">
        <v>15</v>
      </c>
      <c r="D347" s="6" t="s">
        <v>44</v>
      </c>
      <c r="E347" s="6" t="n">
        <f aca="false">ROUND(10157*1.05,2)</f>
        <v>10664.85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ROUND(62*1,0)&amp;"%"</f>
        <v>62%</v>
      </c>
    </row>
    <row r="348" customFormat="false" ht="15" hidden="false" customHeight="false" outlineLevel="0" collapsed="false">
      <c r="A348" s="5" t="s">
        <v>559</v>
      </c>
      <c r="B348" s="5" t="s">
        <v>560</v>
      </c>
      <c r="C348" s="5" t="s">
        <v>15</v>
      </c>
      <c r="D348" s="5" t="s">
        <v>16</v>
      </c>
      <c r="E348" s="5" t="n">
        <f aca="false">ROUND(15270*1.05,2)</f>
        <v>16033.5</v>
      </c>
      <c r="F348" s="5" t="s">
        <v>49</v>
      </c>
      <c r="G348" s="5" t="s">
        <v>18</v>
      </c>
      <c r="H348" s="5" t="n">
        <f aca="true">ROUND(RAND()*4+6,1)</f>
        <v>6.2</v>
      </c>
      <c r="I348" s="5" t="s">
        <v>19</v>
      </c>
      <c r="J348" s="5" t="str">
        <f aca="false">ROUND(70*1,0)&amp;"%"</f>
        <v>70%</v>
      </c>
    </row>
    <row r="349" customFormat="false" ht="15" hidden="false" customHeight="false" outlineLevel="0" collapsed="false">
      <c r="A349" s="6" t="s">
        <v>561</v>
      </c>
      <c r="B349" s="6" t="s">
        <v>562</v>
      </c>
      <c r="C349" s="6" t="s">
        <v>15</v>
      </c>
      <c r="D349" s="6" t="s">
        <v>22</v>
      </c>
      <c r="E349" s="6" t="n">
        <f aca="false">ROUND(9880*1.05,2)</f>
        <v>10374</v>
      </c>
      <c r="F349" s="6" t="s">
        <v>52</v>
      </c>
      <c r="G349" s="6" t="s">
        <v>24</v>
      </c>
      <c r="H349" s="6" t="n">
        <f aca="true">ROUND(RAND()*4+6,1)</f>
        <v>6.1</v>
      </c>
      <c r="I349" s="6" t="s">
        <v>25</v>
      </c>
      <c r="J349" s="6" t="str">
        <f aca="false">ROUND(68*1,0)&amp;"%"</f>
        <v>68%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564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565</v>
      </c>
      <c r="B354" s="5" t="s">
        <v>566</v>
      </c>
      <c r="C354" s="5" t="s">
        <v>57</v>
      </c>
      <c r="D354" s="5" t="s">
        <v>16</v>
      </c>
      <c r="E354" s="5" t="n">
        <f aca="false">ROUND(4716*1.05,2)</f>
        <v>4951.8</v>
      </c>
      <c r="F354" s="5" t="s">
        <v>17</v>
      </c>
      <c r="G354" s="5" t="s">
        <v>18</v>
      </c>
      <c r="H354" s="5" t="n">
        <f aca="true">ROUND(RAND()*4+6,1)</f>
        <v>9.1</v>
      </c>
      <c r="I354" s="5" t="s">
        <v>19</v>
      </c>
      <c r="J354" s="5" t="str">
        <f aca="false">ROUND(75*1,0)&amp;"%"</f>
        <v>75%</v>
      </c>
    </row>
    <row r="355" customFormat="false" ht="15" hidden="false" customHeight="false" outlineLevel="0" collapsed="false">
      <c r="A355" s="6" t="s">
        <v>567</v>
      </c>
      <c r="B355" s="6" t="s">
        <v>568</v>
      </c>
      <c r="C355" s="6" t="s">
        <v>57</v>
      </c>
      <c r="D355" s="6" t="s">
        <v>22</v>
      </c>
      <c r="E355" s="6" t="n">
        <f aca="false">ROUND(5307*1.05,2)</f>
        <v>5572.35</v>
      </c>
      <c r="F355" s="6" t="s">
        <v>23</v>
      </c>
      <c r="G355" s="6" t="s">
        <v>24</v>
      </c>
      <c r="H355" s="6" t="n">
        <f aca="true">ROUND(RAND()*4+6,1)</f>
        <v>8.2</v>
      </c>
      <c r="I355" s="6" t="s">
        <v>25</v>
      </c>
      <c r="J355" s="6" t="str">
        <f aca="false">ROUND(90*1,0)&amp;"%"</f>
        <v>90%</v>
      </c>
    </row>
    <row r="356" customFormat="false" ht="15" hidden="false" customHeight="false" outlineLevel="0" collapsed="false">
      <c r="A356" s="5" t="s">
        <v>569</v>
      </c>
      <c r="B356" s="5" t="s">
        <v>570</v>
      </c>
      <c r="C356" s="5" t="s">
        <v>57</v>
      </c>
      <c r="D356" s="5" t="s">
        <v>28</v>
      </c>
      <c r="E356" s="5" t="n">
        <f aca="false">ROUND(7929*1.05,2)</f>
        <v>8325.45</v>
      </c>
      <c r="F356" s="5" t="s">
        <v>29</v>
      </c>
      <c r="G356" s="5" t="s">
        <v>30</v>
      </c>
      <c r="H356" s="5" t="n">
        <f aca="true">ROUND(RAND()*4+6,1)</f>
        <v>6.1</v>
      </c>
      <c r="I356" s="5" t="s">
        <v>31</v>
      </c>
      <c r="J356" s="5" t="str">
        <f aca="false">ROUND(76*1,0)&amp;"%"</f>
        <v>76%</v>
      </c>
    </row>
    <row r="357" customFormat="false" ht="15" hidden="false" customHeight="false" outlineLevel="0" collapsed="false">
      <c r="A357" s="6" t="s">
        <v>571</v>
      </c>
      <c r="B357" s="6" t="s">
        <v>572</v>
      </c>
      <c r="C357" s="6" t="s">
        <v>57</v>
      </c>
      <c r="D357" s="6" t="s">
        <v>34</v>
      </c>
      <c r="E357" s="6" t="n">
        <f aca="false">ROUND(7127*1.05,2)</f>
        <v>7483.35</v>
      </c>
      <c r="F357" s="6" t="s">
        <v>35</v>
      </c>
      <c r="G357" s="6" t="s">
        <v>18</v>
      </c>
      <c r="H357" s="6" t="n">
        <f aca="true">ROUND(RAND()*4+6,1)</f>
        <v>8</v>
      </c>
      <c r="I357" s="6" t="s">
        <v>36</v>
      </c>
      <c r="J357" s="6" t="str">
        <f aca="false">ROUND(71*1,0)&amp;"%"</f>
        <v>71%</v>
      </c>
    </row>
    <row r="358" customFormat="false" ht="15" hidden="false" customHeight="false" outlineLevel="0" collapsed="false">
      <c r="A358" s="5" t="s">
        <v>573</v>
      </c>
      <c r="B358" s="5" t="s">
        <v>574</v>
      </c>
      <c r="C358" s="5" t="s">
        <v>57</v>
      </c>
      <c r="D358" s="5" t="s">
        <v>39</v>
      </c>
      <c r="E358" s="5" t="n">
        <f aca="false">ROUND(11232*1.05,2)</f>
        <v>11793.6</v>
      </c>
      <c r="F358" s="5" t="s">
        <v>40</v>
      </c>
      <c r="G358" s="5" t="s">
        <v>24</v>
      </c>
      <c r="H358" s="5" t="n">
        <f aca="true">ROUND(RAND()*4+6,1)</f>
        <v>6</v>
      </c>
      <c r="I358" s="5" t="s">
        <v>41</v>
      </c>
      <c r="J358" s="5" t="str">
        <f aca="false">ROUND(95*1,0)&amp;"%"</f>
        <v>95%</v>
      </c>
    </row>
    <row r="359" customFormat="false" ht="15" hidden="false" customHeight="false" outlineLevel="0" collapsed="false">
      <c r="A359" s="6" t="s">
        <v>575</v>
      </c>
      <c r="B359" s="6" t="s">
        <v>576</v>
      </c>
      <c r="C359" s="6" t="s">
        <v>57</v>
      </c>
      <c r="D359" s="6" t="s">
        <v>44</v>
      </c>
      <c r="E359" s="6" t="n">
        <f aca="false">ROUND(14171*1.05,2)</f>
        <v>14879.55</v>
      </c>
      <c r="F359" s="6" t="s">
        <v>45</v>
      </c>
      <c r="G359" s="6" t="s">
        <v>30</v>
      </c>
      <c r="H359" s="6" t="n">
        <f aca="true">ROUND(RAND()*4+6,1)</f>
        <v>6.6</v>
      </c>
      <c r="I359" s="6" t="s">
        <v>46</v>
      </c>
      <c r="J359" s="6" t="str">
        <f aca="false">ROUND(70*1,0)&amp;"%"</f>
        <v>70%</v>
      </c>
    </row>
    <row r="360" customFormat="false" ht="15" hidden="false" customHeight="false" outlineLevel="0" collapsed="false">
      <c r="A360" s="5" t="s">
        <v>577</v>
      </c>
      <c r="B360" s="5" t="s">
        <v>578</v>
      </c>
      <c r="C360" s="5" t="s">
        <v>57</v>
      </c>
      <c r="D360" s="5" t="s">
        <v>16</v>
      </c>
      <c r="E360" s="5" t="n">
        <f aca="false">ROUND(17668*1.05,2)</f>
        <v>18551.4</v>
      </c>
      <c r="F360" s="5" t="s">
        <v>49</v>
      </c>
      <c r="G360" s="5" t="s">
        <v>18</v>
      </c>
      <c r="H360" s="5" t="n">
        <f aca="true">ROUND(RAND()*4+6,1)</f>
        <v>7.6</v>
      </c>
      <c r="I360" s="5" t="s">
        <v>19</v>
      </c>
      <c r="J360" s="5" t="str">
        <f aca="false">ROUND(85*1,0)&amp;"%"</f>
        <v>85%</v>
      </c>
    </row>
    <row r="361" customFormat="false" ht="15" hidden="false" customHeight="false" outlineLevel="0" collapsed="false">
      <c r="A361" s="6" t="s">
        <v>579</v>
      </c>
      <c r="B361" s="6" t="s">
        <v>580</v>
      </c>
      <c r="C361" s="6" t="s">
        <v>57</v>
      </c>
      <c r="D361" s="6" t="s">
        <v>22</v>
      </c>
      <c r="E361" s="6" t="n">
        <f aca="false">ROUND(14497*1.05,2)</f>
        <v>15221.85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ROUND(89*1,0)&amp;"%"</f>
        <v>89%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583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584</v>
      </c>
      <c r="B6" s="5" t="s">
        <v>14</v>
      </c>
      <c r="C6" s="5" t="s">
        <v>15</v>
      </c>
      <c r="D6" s="5" t="s">
        <v>16</v>
      </c>
      <c r="E6" s="5" t="n">
        <f aca="false">ROUND(8325*1.05,2)</f>
        <v>8741.25</v>
      </c>
      <c r="F6" s="5" t="s">
        <v>17</v>
      </c>
      <c r="G6" s="5" t="s">
        <v>18</v>
      </c>
      <c r="H6" s="5" t="n">
        <f aca="true">ROUND(RAND()*4+6,1)</f>
        <v>8.9</v>
      </c>
      <c r="I6" s="5" t="s">
        <v>19</v>
      </c>
      <c r="J6" s="5" t="str">
        <f aca="false">ROUND(96*1,0)&amp;"%"</f>
        <v>96%</v>
      </c>
    </row>
    <row r="7" customFormat="false" ht="15" hidden="false" customHeight="false" outlineLevel="0" collapsed="false">
      <c r="A7" s="6" t="s">
        <v>585</v>
      </c>
      <c r="B7" s="6" t="s">
        <v>21</v>
      </c>
      <c r="C7" s="6" t="s">
        <v>15</v>
      </c>
      <c r="D7" s="6" t="s">
        <v>22</v>
      </c>
      <c r="E7" s="6" t="n">
        <f aca="false">ROUND(11872*1.05,2)</f>
        <v>12465.6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ROUND(75*1,0)&amp;"%"</f>
        <v>75%</v>
      </c>
    </row>
    <row r="8" customFormat="false" ht="15" hidden="false" customHeight="false" outlineLevel="0" collapsed="false">
      <c r="A8" s="5" t="s">
        <v>586</v>
      </c>
      <c r="B8" s="5" t="s">
        <v>27</v>
      </c>
      <c r="C8" s="5" t="s">
        <v>15</v>
      </c>
      <c r="D8" s="5" t="s">
        <v>28</v>
      </c>
      <c r="E8" s="5" t="n">
        <f aca="false">ROUND(8558*1.05,2)</f>
        <v>8985.9</v>
      </c>
      <c r="F8" s="5" t="s">
        <v>29</v>
      </c>
      <c r="G8" s="5" t="s">
        <v>30</v>
      </c>
      <c r="H8" s="5" t="n">
        <f aca="true">ROUND(RAND()*4+6,1)</f>
        <v>9.6</v>
      </c>
      <c r="I8" s="5" t="s">
        <v>31</v>
      </c>
      <c r="J8" s="5" t="str">
        <f aca="false">ROUND(97*1,0)&amp;"%"</f>
        <v>97%</v>
      </c>
    </row>
    <row r="9" customFormat="false" ht="15" hidden="false" customHeight="false" outlineLevel="0" collapsed="false">
      <c r="A9" s="6" t="s">
        <v>587</v>
      </c>
      <c r="B9" s="6" t="s">
        <v>33</v>
      </c>
      <c r="C9" s="6" t="s">
        <v>15</v>
      </c>
      <c r="D9" s="6" t="s">
        <v>34</v>
      </c>
      <c r="E9" s="6" t="n">
        <f aca="false">ROUND(7334*1.05,2)</f>
        <v>7700.7</v>
      </c>
      <c r="F9" s="6" t="s">
        <v>35</v>
      </c>
      <c r="G9" s="6" t="s">
        <v>18</v>
      </c>
      <c r="H9" s="6" t="n">
        <f aca="true">ROUND(RAND()*4+6,1)</f>
        <v>9.2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588</v>
      </c>
      <c r="B10" s="5" t="s">
        <v>38</v>
      </c>
      <c r="C10" s="5" t="s">
        <v>15</v>
      </c>
      <c r="D10" s="5" t="s">
        <v>39</v>
      </c>
      <c r="E10" s="5" t="n">
        <f aca="false">ROUND(14520*1.05,2)</f>
        <v>15246</v>
      </c>
      <c r="F10" s="5" t="s">
        <v>40</v>
      </c>
      <c r="G10" s="5" t="s">
        <v>24</v>
      </c>
      <c r="H10" s="5" t="n">
        <f aca="true">ROUND(RAND()*4+6,1)</f>
        <v>9.6</v>
      </c>
      <c r="I10" s="5" t="s">
        <v>41</v>
      </c>
      <c r="J10" s="5" t="str">
        <f aca="false">ROUND(83*1,0)&amp;"%"</f>
        <v>83%</v>
      </c>
    </row>
    <row r="11" customFormat="false" ht="15" hidden="false" customHeight="false" outlineLevel="0" collapsed="false">
      <c r="A11" s="6" t="s">
        <v>589</v>
      </c>
      <c r="B11" s="6" t="s">
        <v>43</v>
      </c>
      <c r="C11" s="6" t="s">
        <v>15</v>
      </c>
      <c r="D11" s="6" t="s">
        <v>44</v>
      </c>
      <c r="E11" s="6" t="n">
        <f aca="false">ROUND(4149*1.05,2)</f>
        <v>4356.45</v>
      </c>
      <c r="F11" s="6" t="s">
        <v>45</v>
      </c>
      <c r="G11" s="6" t="s">
        <v>30</v>
      </c>
      <c r="H11" s="6" t="n">
        <f aca="true">ROUND(RAND()*4+6,1)</f>
        <v>9.6</v>
      </c>
      <c r="I11" s="6" t="s">
        <v>46</v>
      </c>
      <c r="J11" s="6" t="str">
        <f aca="false">ROUND(73*1,0)&amp;"%"</f>
        <v>73%</v>
      </c>
    </row>
    <row r="12" customFormat="false" ht="15" hidden="false" customHeight="false" outlineLevel="0" collapsed="false">
      <c r="A12" s="5" t="s">
        <v>590</v>
      </c>
      <c r="B12" s="5" t="s">
        <v>48</v>
      </c>
      <c r="C12" s="5" t="s">
        <v>15</v>
      </c>
      <c r="D12" s="5" t="s">
        <v>16</v>
      </c>
      <c r="E12" s="5" t="n">
        <f aca="false">ROUND(5142*1.05,2)</f>
        <v>5399.1</v>
      </c>
      <c r="F12" s="5" t="s">
        <v>49</v>
      </c>
      <c r="G12" s="5" t="s">
        <v>18</v>
      </c>
      <c r="H12" s="5" t="n">
        <f aca="true">ROUND(RAND()*4+6,1)</f>
        <v>9.2</v>
      </c>
      <c r="I12" s="5" t="s">
        <v>19</v>
      </c>
      <c r="J12" s="5" t="str">
        <f aca="false">ROUND(60*1,0)&amp;"%"</f>
        <v>60%</v>
      </c>
    </row>
    <row r="13" customFormat="false" ht="15" hidden="false" customHeight="false" outlineLevel="0" collapsed="false">
      <c r="A13" s="6" t="s">
        <v>591</v>
      </c>
      <c r="B13" s="6" t="s">
        <v>51</v>
      </c>
      <c r="C13" s="6" t="s">
        <v>15</v>
      </c>
      <c r="D13" s="6" t="s">
        <v>22</v>
      </c>
      <c r="E13" s="6" t="n">
        <f aca="false">ROUND(4436*1.05,2)</f>
        <v>4657.8</v>
      </c>
      <c r="F13" s="6" t="s">
        <v>52</v>
      </c>
      <c r="G13" s="6" t="s">
        <v>24</v>
      </c>
      <c r="H13" s="6" t="n">
        <f aca="true">ROUND(RAND()*4+6,1)</f>
        <v>6.1</v>
      </c>
      <c r="I13" s="6" t="s">
        <v>25</v>
      </c>
      <c r="J13" s="6" t="str">
        <f aca="false">ROUND(94*1,0)&amp;"%"</f>
        <v>94%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592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593</v>
      </c>
      <c r="B18" s="5" t="s">
        <v>56</v>
      </c>
      <c r="C18" s="5" t="s">
        <v>57</v>
      </c>
      <c r="D18" s="5" t="s">
        <v>16</v>
      </c>
      <c r="E18" s="5" t="n">
        <f aca="false">ROUND(5889*1.05,2)</f>
        <v>6183.45</v>
      </c>
      <c r="F18" s="5" t="s">
        <v>17</v>
      </c>
      <c r="G18" s="5" t="s">
        <v>18</v>
      </c>
      <c r="H18" s="5" t="n">
        <f aca="true">ROUND(RAND()*4+6,1)</f>
        <v>8.4</v>
      </c>
      <c r="I18" s="5" t="s">
        <v>19</v>
      </c>
      <c r="J18" s="5" t="str">
        <f aca="false">ROUND(82*1,0)&amp;"%"</f>
        <v>82%</v>
      </c>
    </row>
    <row r="19" customFormat="false" ht="15" hidden="false" customHeight="false" outlineLevel="0" collapsed="false">
      <c r="A19" s="6" t="s">
        <v>594</v>
      </c>
      <c r="B19" s="6" t="s">
        <v>59</v>
      </c>
      <c r="C19" s="6" t="s">
        <v>57</v>
      </c>
      <c r="D19" s="6" t="s">
        <v>22</v>
      </c>
      <c r="E19" s="6" t="n">
        <f aca="false">ROUND(16669*1.05,2)</f>
        <v>17502.45</v>
      </c>
      <c r="F19" s="6" t="s">
        <v>23</v>
      </c>
      <c r="G19" s="6" t="s">
        <v>24</v>
      </c>
      <c r="H19" s="6" t="n">
        <f aca="true">ROUND(RAND()*4+6,1)</f>
        <v>8.3</v>
      </c>
      <c r="I19" s="6" t="s">
        <v>25</v>
      </c>
      <c r="J19" s="6" t="str">
        <f aca="false">ROUND(100*1,0)&amp;"%"</f>
        <v>100%</v>
      </c>
    </row>
    <row r="20" customFormat="false" ht="15" hidden="false" customHeight="false" outlineLevel="0" collapsed="false">
      <c r="A20" s="5" t="s">
        <v>595</v>
      </c>
      <c r="B20" s="5" t="s">
        <v>61</v>
      </c>
      <c r="C20" s="5" t="s">
        <v>57</v>
      </c>
      <c r="D20" s="5" t="s">
        <v>28</v>
      </c>
      <c r="E20" s="5" t="n">
        <f aca="false">ROUND(8430*1.05,2)</f>
        <v>8851.5</v>
      </c>
      <c r="F20" s="5" t="s">
        <v>29</v>
      </c>
      <c r="G20" s="5" t="s">
        <v>30</v>
      </c>
      <c r="H20" s="5" t="n">
        <f aca="true">ROUND(RAND()*4+6,1)</f>
        <v>8.4</v>
      </c>
      <c r="I20" s="5" t="s">
        <v>31</v>
      </c>
      <c r="J20" s="5" t="str">
        <f aca="false">ROUND(82*1,0)&amp;"%"</f>
        <v>82%</v>
      </c>
    </row>
    <row r="21" customFormat="false" ht="15" hidden="false" customHeight="false" outlineLevel="0" collapsed="false">
      <c r="A21" s="6" t="s">
        <v>596</v>
      </c>
      <c r="B21" s="6" t="s">
        <v>63</v>
      </c>
      <c r="C21" s="6" t="s">
        <v>57</v>
      </c>
      <c r="D21" s="6" t="s">
        <v>34</v>
      </c>
      <c r="E21" s="6" t="n">
        <f aca="false">ROUND(9716*1.05,2)</f>
        <v>10201.8</v>
      </c>
      <c r="F21" s="6" t="s">
        <v>35</v>
      </c>
      <c r="G21" s="6" t="s">
        <v>18</v>
      </c>
      <c r="H21" s="6" t="n">
        <f aca="true">ROUND(RAND()*4+6,1)</f>
        <v>8.5</v>
      </c>
      <c r="I21" s="6" t="s">
        <v>36</v>
      </c>
      <c r="J21" s="6" t="str">
        <f aca="false">ROUND(73*1,0)&amp;"%"</f>
        <v>73%</v>
      </c>
    </row>
    <row r="22" customFormat="false" ht="15" hidden="false" customHeight="false" outlineLevel="0" collapsed="false">
      <c r="A22" s="5" t="s">
        <v>597</v>
      </c>
      <c r="B22" s="5" t="s">
        <v>65</v>
      </c>
      <c r="C22" s="5" t="s">
        <v>57</v>
      </c>
      <c r="D22" s="5" t="s">
        <v>39</v>
      </c>
      <c r="E22" s="5" t="n">
        <f aca="false">ROUND(6116*1.05,2)</f>
        <v>6421.8</v>
      </c>
      <c r="F22" s="5" t="s">
        <v>40</v>
      </c>
      <c r="G22" s="5" t="s">
        <v>24</v>
      </c>
      <c r="H22" s="5" t="n">
        <f aca="true">ROUND(RAND()*4+6,1)</f>
        <v>7.1</v>
      </c>
      <c r="I22" s="5" t="s">
        <v>41</v>
      </c>
      <c r="J22" s="5" t="str">
        <f aca="false">ROUND(67*1,0)&amp;"%"</f>
        <v>67%</v>
      </c>
    </row>
    <row r="23" customFormat="false" ht="15" hidden="false" customHeight="false" outlineLevel="0" collapsed="false">
      <c r="A23" s="6" t="s">
        <v>598</v>
      </c>
      <c r="B23" s="6" t="s">
        <v>67</v>
      </c>
      <c r="C23" s="6" t="s">
        <v>57</v>
      </c>
      <c r="D23" s="6" t="s">
        <v>44</v>
      </c>
      <c r="E23" s="6" t="n">
        <f aca="false">ROUND(8059*1.05,2)</f>
        <v>8461.95</v>
      </c>
      <c r="F23" s="6" t="s">
        <v>45</v>
      </c>
      <c r="G23" s="6" t="s">
        <v>30</v>
      </c>
      <c r="H23" s="6" t="n">
        <f aca="true">ROUND(RAND()*4+6,1)</f>
        <v>9.2</v>
      </c>
      <c r="I23" s="6" t="s">
        <v>46</v>
      </c>
      <c r="J23" s="6" t="str">
        <f aca="false">ROUND(85*1,0)&amp;"%"</f>
        <v>85%</v>
      </c>
    </row>
    <row r="24" customFormat="false" ht="15" hidden="false" customHeight="false" outlineLevel="0" collapsed="false">
      <c r="A24" s="5" t="s">
        <v>599</v>
      </c>
      <c r="B24" s="5" t="s">
        <v>69</v>
      </c>
      <c r="C24" s="5" t="s">
        <v>57</v>
      </c>
      <c r="D24" s="5" t="s">
        <v>16</v>
      </c>
      <c r="E24" s="5" t="n">
        <f aca="false">ROUND(14628*1.05,2)</f>
        <v>15359.4</v>
      </c>
      <c r="F24" s="5" t="s">
        <v>49</v>
      </c>
      <c r="G24" s="5" t="s">
        <v>18</v>
      </c>
      <c r="H24" s="5" t="n">
        <f aca="true">ROUND(RAND()*4+6,1)</f>
        <v>8.5</v>
      </c>
      <c r="I24" s="5" t="s">
        <v>19</v>
      </c>
      <c r="J24" s="5" t="str">
        <f aca="false">ROUND(98*1,0)&amp;"%"</f>
        <v>98%</v>
      </c>
    </row>
    <row r="25" customFormat="false" ht="15" hidden="false" customHeight="false" outlineLevel="0" collapsed="false">
      <c r="A25" s="6" t="s">
        <v>600</v>
      </c>
      <c r="B25" s="6" t="s">
        <v>71</v>
      </c>
      <c r="C25" s="6" t="s">
        <v>57</v>
      </c>
      <c r="D25" s="6" t="s">
        <v>22</v>
      </c>
      <c r="E25" s="6" t="n">
        <f aca="false">ROUND(7760*1.05,2)</f>
        <v>8148</v>
      </c>
      <c r="F25" s="6" t="s">
        <v>52</v>
      </c>
      <c r="G25" s="6" t="s">
        <v>24</v>
      </c>
      <c r="H25" s="6" t="n">
        <f aca="true">ROUND(RAND()*4+6,1)</f>
        <v>8.4</v>
      </c>
      <c r="I25" s="6" t="s">
        <v>25</v>
      </c>
      <c r="J25" s="6" t="str">
        <f aca="false">ROUND(77*1,0)&amp;"%"</f>
        <v>77%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601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602</v>
      </c>
      <c r="B30" s="5" t="s">
        <v>75</v>
      </c>
      <c r="C30" s="5" t="s">
        <v>76</v>
      </c>
      <c r="D30" s="5" t="s">
        <v>16</v>
      </c>
      <c r="E30" s="5" t="n">
        <f aca="false">ROUND(16267*1.05,2)</f>
        <v>17080.35</v>
      </c>
      <c r="F30" s="5" t="s">
        <v>17</v>
      </c>
      <c r="G30" s="5" t="s">
        <v>18</v>
      </c>
      <c r="H30" s="5" t="n">
        <f aca="true">ROUND(RAND()*4+6,1)</f>
        <v>7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603</v>
      </c>
      <c r="B31" s="6" t="s">
        <v>78</v>
      </c>
      <c r="C31" s="6" t="s">
        <v>76</v>
      </c>
      <c r="D31" s="6" t="s">
        <v>22</v>
      </c>
      <c r="E31" s="6" t="n">
        <f aca="false">ROUND(4940*1.05,2)</f>
        <v>5187</v>
      </c>
      <c r="F31" s="6" t="s">
        <v>23</v>
      </c>
      <c r="G31" s="6" t="s">
        <v>24</v>
      </c>
      <c r="H31" s="6" t="n">
        <f aca="true">ROUND(RAND()*4+6,1)</f>
        <v>9.8</v>
      </c>
      <c r="I31" s="6" t="s">
        <v>25</v>
      </c>
      <c r="J31" s="6" t="str">
        <f aca="false">ROUND(61*1,0)&amp;"%"</f>
        <v>61%</v>
      </c>
    </row>
    <row r="32" customFormat="false" ht="15" hidden="false" customHeight="false" outlineLevel="0" collapsed="false">
      <c r="A32" s="5" t="s">
        <v>604</v>
      </c>
      <c r="B32" s="5" t="s">
        <v>80</v>
      </c>
      <c r="C32" s="5" t="s">
        <v>76</v>
      </c>
      <c r="D32" s="5" t="s">
        <v>28</v>
      </c>
      <c r="E32" s="5" t="n">
        <f aca="false">ROUND(4039*1.05,2)</f>
        <v>4240.95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ROUND(69*1,0)&amp;"%"</f>
        <v>69%</v>
      </c>
    </row>
    <row r="33" customFormat="false" ht="15" hidden="false" customHeight="false" outlineLevel="0" collapsed="false">
      <c r="A33" s="6" t="s">
        <v>605</v>
      </c>
      <c r="B33" s="6" t="s">
        <v>82</v>
      </c>
      <c r="C33" s="6" t="s">
        <v>76</v>
      </c>
      <c r="D33" s="6" t="s">
        <v>34</v>
      </c>
      <c r="E33" s="6" t="n">
        <f aca="false">ROUND(5372*1.05,2)</f>
        <v>5640.6</v>
      </c>
      <c r="F33" s="6" t="s">
        <v>35</v>
      </c>
      <c r="G33" s="6" t="s">
        <v>18</v>
      </c>
      <c r="H33" s="6" t="n">
        <f aca="true">ROUND(RAND()*4+6,1)</f>
        <v>6.8</v>
      </c>
      <c r="I33" s="6" t="s">
        <v>36</v>
      </c>
      <c r="J33" s="6" t="str">
        <f aca="false">ROUND(79*1,0)&amp;"%"</f>
        <v>79%</v>
      </c>
    </row>
    <row r="34" customFormat="false" ht="15" hidden="false" customHeight="false" outlineLevel="0" collapsed="false">
      <c r="A34" s="5" t="s">
        <v>606</v>
      </c>
      <c r="B34" s="5" t="s">
        <v>84</v>
      </c>
      <c r="C34" s="5" t="s">
        <v>76</v>
      </c>
      <c r="D34" s="5" t="s">
        <v>39</v>
      </c>
      <c r="E34" s="5" t="n">
        <f aca="false">ROUND(13933*1.05,2)</f>
        <v>14629.65</v>
      </c>
      <c r="F34" s="5" t="s">
        <v>40</v>
      </c>
      <c r="G34" s="5" t="s">
        <v>24</v>
      </c>
      <c r="H34" s="5" t="n">
        <f aca="true">ROUND(RAND()*4+6,1)</f>
        <v>7.5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607</v>
      </c>
      <c r="B35" s="6" t="s">
        <v>86</v>
      </c>
      <c r="C35" s="6" t="s">
        <v>76</v>
      </c>
      <c r="D35" s="6" t="s">
        <v>44</v>
      </c>
      <c r="E35" s="6" t="n">
        <f aca="false">ROUND(6779*1.05,2)</f>
        <v>7117.95</v>
      </c>
      <c r="F35" s="6" t="s">
        <v>45</v>
      </c>
      <c r="G35" s="6" t="s">
        <v>30</v>
      </c>
      <c r="H35" s="6" t="n">
        <f aca="true">ROUND(RAND()*4+6,1)</f>
        <v>6.9</v>
      </c>
      <c r="I35" s="6" t="s">
        <v>46</v>
      </c>
      <c r="J35" s="6" t="str">
        <f aca="false">ROUND(71*1,0)&amp;"%"</f>
        <v>71%</v>
      </c>
    </row>
    <row r="36" customFormat="false" ht="15" hidden="false" customHeight="false" outlineLevel="0" collapsed="false">
      <c r="A36" s="5" t="s">
        <v>608</v>
      </c>
      <c r="B36" s="5" t="s">
        <v>88</v>
      </c>
      <c r="C36" s="5" t="s">
        <v>76</v>
      </c>
      <c r="D36" s="5" t="s">
        <v>16</v>
      </c>
      <c r="E36" s="5" t="n">
        <f aca="false">ROUND(16458*1.05,2)</f>
        <v>17280.9</v>
      </c>
      <c r="F36" s="5" t="s">
        <v>49</v>
      </c>
      <c r="G36" s="5" t="s">
        <v>18</v>
      </c>
      <c r="H36" s="5" t="n">
        <f aca="true">ROUND(RAND()*4+6,1)</f>
        <v>9.5</v>
      </c>
      <c r="I36" s="5" t="s">
        <v>19</v>
      </c>
      <c r="J36" s="5" t="str">
        <f aca="false">ROUND(93*1,0)&amp;"%"</f>
        <v>93%</v>
      </c>
    </row>
    <row r="37" customFormat="false" ht="15" hidden="false" customHeight="false" outlineLevel="0" collapsed="false">
      <c r="A37" s="6" t="s">
        <v>609</v>
      </c>
      <c r="B37" s="6" t="s">
        <v>90</v>
      </c>
      <c r="C37" s="6" t="s">
        <v>76</v>
      </c>
      <c r="D37" s="6" t="s">
        <v>22</v>
      </c>
      <c r="E37" s="6" t="n">
        <f aca="false">ROUND(13478*1.05,2)</f>
        <v>14151.9</v>
      </c>
      <c r="F37" s="6" t="s">
        <v>52</v>
      </c>
      <c r="G37" s="6" t="s">
        <v>24</v>
      </c>
      <c r="H37" s="6" t="n">
        <f aca="true">ROUND(RAND()*4+6,1)</f>
        <v>6.1</v>
      </c>
      <c r="I37" s="6" t="s">
        <v>25</v>
      </c>
      <c r="J37" s="6" t="str">
        <f aca="false">ROUND(77*1,0)&amp;"%"</f>
        <v>77%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610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611</v>
      </c>
      <c r="B42" s="5" t="s">
        <v>94</v>
      </c>
      <c r="C42" s="5" t="s">
        <v>95</v>
      </c>
      <c r="D42" s="5" t="s">
        <v>16</v>
      </c>
      <c r="E42" s="5" t="n">
        <f aca="false">ROUND(7179*1.05,2)</f>
        <v>7537.95</v>
      </c>
      <c r="F42" s="5" t="s">
        <v>17</v>
      </c>
      <c r="G42" s="5" t="s">
        <v>18</v>
      </c>
      <c r="H42" s="5" t="n">
        <f aca="true">ROUND(RAND()*4+6,1)</f>
        <v>8.3</v>
      </c>
      <c r="I42" s="5" t="s">
        <v>19</v>
      </c>
      <c r="J42" s="5" t="str">
        <f aca="false">ROUND(100*1,0)&amp;"%"</f>
        <v>100%</v>
      </c>
    </row>
    <row r="43" customFormat="false" ht="15" hidden="false" customHeight="false" outlineLevel="0" collapsed="false">
      <c r="A43" s="6" t="s">
        <v>612</v>
      </c>
      <c r="B43" s="6" t="s">
        <v>97</v>
      </c>
      <c r="C43" s="6" t="s">
        <v>95</v>
      </c>
      <c r="D43" s="6" t="s">
        <v>22</v>
      </c>
      <c r="E43" s="6" t="n">
        <f aca="false">ROUND(13777*1.05,2)</f>
        <v>14465.85</v>
      </c>
      <c r="F43" s="6" t="s">
        <v>23</v>
      </c>
      <c r="G43" s="6" t="s">
        <v>24</v>
      </c>
      <c r="H43" s="6" t="n">
        <f aca="true">ROUND(RAND()*4+6,1)</f>
        <v>10</v>
      </c>
      <c r="I43" s="6" t="s">
        <v>25</v>
      </c>
      <c r="J43" s="6" t="str">
        <f aca="false">ROUND(64*1,0)&amp;"%"</f>
        <v>64%</v>
      </c>
    </row>
    <row r="44" customFormat="false" ht="15" hidden="false" customHeight="false" outlineLevel="0" collapsed="false">
      <c r="A44" s="5" t="s">
        <v>613</v>
      </c>
      <c r="B44" s="5" t="s">
        <v>99</v>
      </c>
      <c r="C44" s="5" t="s">
        <v>95</v>
      </c>
      <c r="D44" s="5" t="s">
        <v>28</v>
      </c>
      <c r="E44" s="5" t="n">
        <f aca="false">ROUND(10328*1.05,2)</f>
        <v>10844.4</v>
      </c>
      <c r="F44" s="5" t="s">
        <v>29</v>
      </c>
      <c r="G44" s="5" t="s">
        <v>30</v>
      </c>
      <c r="H44" s="5" t="n">
        <f aca="true">ROUND(RAND()*4+6,1)</f>
        <v>7.8</v>
      </c>
      <c r="I44" s="5" t="s">
        <v>31</v>
      </c>
      <c r="J44" s="5" t="str">
        <f aca="false">ROUND(86*1,0)&amp;"%"</f>
        <v>86%</v>
      </c>
    </row>
    <row r="45" customFormat="false" ht="15" hidden="false" customHeight="false" outlineLevel="0" collapsed="false">
      <c r="A45" s="6" t="s">
        <v>614</v>
      </c>
      <c r="B45" s="6" t="s">
        <v>101</v>
      </c>
      <c r="C45" s="6" t="s">
        <v>95</v>
      </c>
      <c r="D45" s="6" t="s">
        <v>34</v>
      </c>
      <c r="E45" s="6" t="n">
        <f aca="false">ROUND(11096*1.05,2)</f>
        <v>11650.8</v>
      </c>
      <c r="F45" s="6" t="s">
        <v>35</v>
      </c>
      <c r="G45" s="6" t="s">
        <v>18</v>
      </c>
      <c r="H45" s="6" t="n">
        <f aca="true">ROUND(RAND()*4+6,1)</f>
        <v>6.9</v>
      </c>
      <c r="I45" s="6" t="s">
        <v>36</v>
      </c>
      <c r="J45" s="6" t="str">
        <f aca="false">ROUND(64*1,0)&amp;"%"</f>
        <v>64%</v>
      </c>
    </row>
    <row r="46" customFormat="false" ht="15" hidden="false" customHeight="false" outlineLevel="0" collapsed="false">
      <c r="A46" s="5" t="s">
        <v>615</v>
      </c>
      <c r="B46" s="5" t="s">
        <v>103</v>
      </c>
      <c r="C46" s="5" t="s">
        <v>95</v>
      </c>
      <c r="D46" s="5" t="s">
        <v>39</v>
      </c>
      <c r="E46" s="5" t="n">
        <f aca="false">ROUND(16439*1.05,2)</f>
        <v>17260.95</v>
      </c>
      <c r="F46" s="5" t="s">
        <v>40</v>
      </c>
      <c r="G46" s="5" t="s">
        <v>24</v>
      </c>
      <c r="H46" s="5" t="n">
        <f aca="true">ROUND(RAND()*4+6,1)</f>
        <v>7.7</v>
      </c>
      <c r="I46" s="5" t="s">
        <v>41</v>
      </c>
      <c r="J46" s="5" t="str">
        <f aca="false">ROUND(69*1,0)&amp;"%"</f>
        <v>69%</v>
      </c>
    </row>
    <row r="47" customFormat="false" ht="15" hidden="false" customHeight="false" outlineLevel="0" collapsed="false">
      <c r="A47" s="6" t="s">
        <v>616</v>
      </c>
      <c r="B47" s="6" t="s">
        <v>105</v>
      </c>
      <c r="C47" s="6" t="s">
        <v>95</v>
      </c>
      <c r="D47" s="6" t="s">
        <v>44</v>
      </c>
      <c r="E47" s="6" t="n">
        <f aca="false">ROUND(13783*1.05,2)</f>
        <v>14472.15</v>
      </c>
      <c r="F47" s="6" t="s">
        <v>45</v>
      </c>
      <c r="G47" s="6" t="s">
        <v>30</v>
      </c>
      <c r="H47" s="6" t="n">
        <f aca="true">ROUND(RAND()*4+6,1)</f>
        <v>8.3</v>
      </c>
      <c r="I47" s="6" t="s">
        <v>46</v>
      </c>
      <c r="J47" s="6" t="str">
        <f aca="false">ROUND(80*1,0)&amp;"%"</f>
        <v>80%</v>
      </c>
    </row>
    <row r="48" customFormat="false" ht="15" hidden="false" customHeight="false" outlineLevel="0" collapsed="false">
      <c r="A48" s="5" t="s">
        <v>617</v>
      </c>
      <c r="B48" s="5" t="s">
        <v>107</v>
      </c>
      <c r="C48" s="5" t="s">
        <v>95</v>
      </c>
      <c r="D48" s="5" t="s">
        <v>16</v>
      </c>
      <c r="E48" s="5" t="n">
        <f aca="false">ROUND(15263*1.05,2)</f>
        <v>16026.15</v>
      </c>
      <c r="F48" s="5" t="s">
        <v>49</v>
      </c>
      <c r="G48" s="5" t="s">
        <v>18</v>
      </c>
      <c r="H48" s="5" t="n">
        <f aca="true">ROUND(RAND()*4+6,1)</f>
        <v>9.5</v>
      </c>
      <c r="I48" s="5" t="s">
        <v>19</v>
      </c>
      <c r="J48" s="5" t="str">
        <f aca="false">ROUND(64*1,0)&amp;"%"</f>
        <v>64%</v>
      </c>
    </row>
    <row r="49" customFormat="false" ht="15" hidden="false" customHeight="false" outlineLevel="0" collapsed="false">
      <c r="A49" s="6" t="s">
        <v>618</v>
      </c>
      <c r="B49" s="6" t="s">
        <v>109</v>
      </c>
      <c r="C49" s="6" t="s">
        <v>95</v>
      </c>
      <c r="D49" s="6" t="s">
        <v>22</v>
      </c>
      <c r="E49" s="6" t="n">
        <f aca="false">ROUND(12788*1.05,2)</f>
        <v>13427.4</v>
      </c>
      <c r="F49" s="6" t="s">
        <v>52</v>
      </c>
      <c r="G49" s="6" t="s">
        <v>24</v>
      </c>
      <c r="H49" s="6" t="n">
        <f aca="true">ROUND(RAND()*4+6,1)</f>
        <v>9.7</v>
      </c>
      <c r="I49" s="6" t="s">
        <v>25</v>
      </c>
      <c r="J49" s="6" t="str">
        <f aca="false">ROUND(78*1,0)&amp;"%"</f>
        <v>78%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619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620</v>
      </c>
      <c r="B54" s="5" t="s">
        <v>113</v>
      </c>
      <c r="C54" s="5" t="s">
        <v>114</v>
      </c>
      <c r="D54" s="5" t="s">
        <v>16</v>
      </c>
      <c r="E54" s="5" t="n">
        <f aca="false">ROUND(8145*1.05,2)</f>
        <v>8552.25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621</v>
      </c>
      <c r="B55" s="6" t="s">
        <v>116</v>
      </c>
      <c r="C55" s="6" t="s">
        <v>114</v>
      </c>
      <c r="D55" s="6" t="s">
        <v>22</v>
      </c>
      <c r="E55" s="6" t="n">
        <f aca="false">ROUND(8709*1.05,2)</f>
        <v>9144.45</v>
      </c>
      <c r="F55" s="6" t="s">
        <v>23</v>
      </c>
      <c r="G55" s="6" t="s">
        <v>24</v>
      </c>
      <c r="H55" s="6" t="n">
        <f aca="true">ROUND(RAND()*4+6,1)</f>
        <v>6.3</v>
      </c>
      <c r="I55" s="6" t="s">
        <v>25</v>
      </c>
      <c r="J55" s="6" t="str">
        <f aca="false">ROUND(70*1,0)&amp;"%"</f>
        <v>70%</v>
      </c>
    </row>
    <row r="56" customFormat="false" ht="15" hidden="false" customHeight="false" outlineLevel="0" collapsed="false">
      <c r="A56" s="5" t="s">
        <v>622</v>
      </c>
      <c r="B56" s="5" t="s">
        <v>118</v>
      </c>
      <c r="C56" s="5" t="s">
        <v>114</v>
      </c>
      <c r="D56" s="5" t="s">
        <v>28</v>
      </c>
      <c r="E56" s="5" t="n">
        <f aca="false">ROUND(16502*1.05,2)</f>
        <v>17327.1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623</v>
      </c>
      <c r="B57" s="6" t="s">
        <v>120</v>
      </c>
      <c r="C57" s="6" t="s">
        <v>114</v>
      </c>
      <c r="D57" s="6" t="s">
        <v>34</v>
      </c>
      <c r="E57" s="6" t="n">
        <f aca="false">ROUND(4564*1.05,2)</f>
        <v>4792.2</v>
      </c>
      <c r="F57" s="6" t="s">
        <v>35</v>
      </c>
      <c r="G57" s="6" t="s">
        <v>18</v>
      </c>
      <c r="H57" s="6" t="n">
        <f aca="true">ROUND(RAND()*4+6,1)</f>
        <v>7.2</v>
      </c>
      <c r="I57" s="6" t="s">
        <v>36</v>
      </c>
      <c r="J57" s="6" t="str">
        <f aca="false">ROUND(99*1,0)&amp;"%"</f>
        <v>99%</v>
      </c>
    </row>
    <row r="58" customFormat="false" ht="15" hidden="false" customHeight="false" outlineLevel="0" collapsed="false">
      <c r="A58" s="5" t="s">
        <v>624</v>
      </c>
      <c r="B58" s="5" t="s">
        <v>122</v>
      </c>
      <c r="C58" s="5" t="s">
        <v>114</v>
      </c>
      <c r="D58" s="5" t="s">
        <v>39</v>
      </c>
      <c r="E58" s="5" t="n">
        <f aca="false">ROUND(17531*1.05,2)</f>
        <v>18407.55</v>
      </c>
      <c r="F58" s="5" t="s">
        <v>40</v>
      </c>
      <c r="G58" s="5" t="s">
        <v>24</v>
      </c>
      <c r="H58" s="5" t="n">
        <f aca="true">ROUND(RAND()*4+6,1)</f>
        <v>9.3</v>
      </c>
      <c r="I58" s="5" t="s">
        <v>41</v>
      </c>
      <c r="J58" s="5" t="str">
        <f aca="false">ROUND(73*1,0)&amp;"%"</f>
        <v>73%</v>
      </c>
    </row>
    <row r="59" customFormat="false" ht="15" hidden="false" customHeight="false" outlineLevel="0" collapsed="false">
      <c r="A59" s="6" t="s">
        <v>625</v>
      </c>
      <c r="B59" s="6" t="s">
        <v>124</v>
      </c>
      <c r="C59" s="6" t="s">
        <v>114</v>
      </c>
      <c r="D59" s="6" t="s">
        <v>44</v>
      </c>
      <c r="E59" s="6" t="n">
        <f aca="false">ROUND(9744*1.05,2)</f>
        <v>10231.2</v>
      </c>
      <c r="F59" s="6" t="s">
        <v>45</v>
      </c>
      <c r="G59" s="6" t="s">
        <v>30</v>
      </c>
      <c r="H59" s="6" t="n">
        <f aca="true">ROUND(RAND()*4+6,1)</f>
        <v>8.8</v>
      </c>
      <c r="I59" s="6" t="s">
        <v>46</v>
      </c>
      <c r="J59" s="6" t="str">
        <f aca="false">ROUND(72*1,0)&amp;"%"</f>
        <v>72%</v>
      </c>
    </row>
    <row r="60" customFormat="false" ht="15" hidden="false" customHeight="false" outlineLevel="0" collapsed="false">
      <c r="A60" s="5" t="s">
        <v>626</v>
      </c>
      <c r="B60" s="5" t="s">
        <v>126</v>
      </c>
      <c r="C60" s="5" t="s">
        <v>114</v>
      </c>
      <c r="D60" s="5" t="s">
        <v>16</v>
      </c>
      <c r="E60" s="5" t="n">
        <f aca="false">ROUND(17499*1.05,2)</f>
        <v>18373.95</v>
      </c>
      <c r="F60" s="5" t="s">
        <v>49</v>
      </c>
      <c r="G60" s="5" t="s">
        <v>18</v>
      </c>
      <c r="H60" s="5" t="n">
        <f aca="true">ROUND(RAND()*4+6,1)</f>
        <v>6.2</v>
      </c>
      <c r="I60" s="5" t="s">
        <v>19</v>
      </c>
      <c r="J60" s="5" t="str">
        <f aca="false">ROUND(61*1,0)&amp;"%"</f>
        <v>61%</v>
      </c>
    </row>
    <row r="61" customFormat="false" ht="15" hidden="false" customHeight="false" outlineLevel="0" collapsed="false">
      <c r="A61" s="6" t="s">
        <v>627</v>
      </c>
      <c r="B61" s="6" t="s">
        <v>128</v>
      </c>
      <c r="C61" s="6" t="s">
        <v>114</v>
      </c>
      <c r="D61" s="6" t="s">
        <v>22</v>
      </c>
      <c r="E61" s="6" t="n">
        <f aca="false">ROUND(17783*1.05,2)</f>
        <v>18672.15</v>
      </c>
      <c r="F61" s="6" t="s">
        <v>52</v>
      </c>
      <c r="G61" s="6" t="s">
        <v>24</v>
      </c>
      <c r="H61" s="6" t="n">
        <f aca="true">ROUND(RAND()*4+6,1)</f>
        <v>7.4</v>
      </c>
      <c r="I61" s="6" t="s">
        <v>25</v>
      </c>
      <c r="J61" s="6" t="str">
        <f aca="false">ROUND(88*1,0)&amp;"%"</f>
        <v>88%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628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629</v>
      </c>
      <c r="B66" s="5" t="s">
        <v>132</v>
      </c>
      <c r="C66" s="5" t="s">
        <v>133</v>
      </c>
      <c r="D66" s="5" t="s">
        <v>16</v>
      </c>
      <c r="E66" s="5" t="n">
        <f aca="false">ROUND(10011*1.05,2)</f>
        <v>10511.55</v>
      </c>
      <c r="F66" s="5" t="s">
        <v>17</v>
      </c>
      <c r="G66" s="5" t="s">
        <v>18</v>
      </c>
      <c r="H66" s="5" t="n">
        <f aca="true">ROUND(RAND()*4+6,1)</f>
        <v>6.1</v>
      </c>
      <c r="I66" s="5" t="s">
        <v>19</v>
      </c>
      <c r="J66" s="5" t="str">
        <f aca="false">ROUND(71*1,0)&amp;"%"</f>
        <v>71%</v>
      </c>
    </row>
    <row r="67" customFormat="false" ht="15" hidden="false" customHeight="false" outlineLevel="0" collapsed="false">
      <c r="A67" s="6" t="s">
        <v>630</v>
      </c>
      <c r="B67" s="6" t="s">
        <v>135</v>
      </c>
      <c r="C67" s="6" t="s">
        <v>133</v>
      </c>
      <c r="D67" s="6" t="s">
        <v>22</v>
      </c>
      <c r="E67" s="6" t="n">
        <f aca="false">ROUND(5521*1.05,2)</f>
        <v>5797.05</v>
      </c>
      <c r="F67" s="6" t="s">
        <v>23</v>
      </c>
      <c r="G67" s="6" t="s">
        <v>24</v>
      </c>
      <c r="H67" s="6" t="n">
        <f aca="true">ROUND(RAND()*4+6,1)</f>
        <v>7.6</v>
      </c>
      <c r="I67" s="6" t="s">
        <v>25</v>
      </c>
      <c r="J67" s="6" t="str">
        <f aca="false">ROUND(68*1,0)&amp;"%"</f>
        <v>68%</v>
      </c>
    </row>
    <row r="68" customFormat="false" ht="15" hidden="false" customHeight="false" outlineLevel="0" collapsed="false">
      <c r="A68" s="5" t="s">
        <v>631</v>
      </c>
      <c r="B68" s="5" t="s">
        <v>137</v>
      </c>
      <c r="C68" s="5" t="s">
        <v>133</v>
      </c>
      <c r="D68" s="5" t="s">
        <v>28</v>
      </c>
      <c r="E68" s="5" t="n">
        <f aca="false">ROUND(12917*1.05,2)</f>
        <v>13562.85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632</v>
      </c>
      <c r="B69" s="6" t="s">
        <v>139</v>
      </c>
      <c r="C69" s="6" t="s">
        <v>133</v>
      </c>
      <c r="D69" s="6" t="s">
        <v>34</v>
      </c>
      <c r="E69" s="6" t="n">
        <f aca="false">ROUND(4169*1.05,2)</f>
        <v>4377.45</v>
      </c>
      <c r="F69" s="6" t="s">
        <v>35</v>
      </c>
      <c r="G69" s="6" t="s">
        <v>18</v>
      </c>
      <c r="H69" s="6" t="n">
        <f aca="true">ROUND(RAND()*4+6,1)</f>
        <v>8.4</v>
      </c>
      <c r="I69" s="6" t="s">
        <v>36</v>
      </c>
      <c r="J69" s="6" t="str">
        <f aca="false">ROUND(64*1,0)&amp;"%"</f>
        <v>64%</v>
      </c>
    </row>
    <row r="70" customFormat="false" ht="15" hidden="false" customHeight="false" outlineLevel="0" collapsed="false">
      <c r="A70" s="5" t="s">
        <v>633</v>
      </c>
      <c r="B70" s="5" t="s">
        <v>141</v>
      </c>
      <c r="C70" s="5" t="s">
        <v>133</v>
      </c>
      <c r="D70" s="5" t="s">
        <v>39</v>
      </c>
      <c r="E70" s="5" t="n">
        <f aca="false">ROUND(13927*1.05,2)</f>
        <v>14623.35</v>
      </c>
      <c r="F70" s="5" t="s">
        <v>40</v>
      </c>
      <c r="G70" s="5" t="s">
        <v>24</v>
      </c>
      <c r="H70" s="5" t="n">
        <f aca="true">ROUND(RAND()*4+6,1)</f>
        <v>7.5</v>
      </c>
      <c r="I70" s="5" t="s">
        <v>41</v>
      </c>
      <c r="J70" s="5" t="str">
        <f aca="false">ROUND(66*1,0)&amp;"%"</f>
        <v>66%</v>
      </c>
    </row>
    <row r="71" customFormat="false" ht="15" hidden="false" customHeight="false" outlineLevel="0" collapsed="false">
      <c r="A71" s="6" t="s">
        <v>634</v>
      </c>
      <c r="B71" s="6" t="s">
        <v>143</v>
      </c>
      <c r="C71" s="6" t="s">
        <v>133</v>
      </c>
      <c r="D71" s="6" t="s">
        <v>44</v>
      </c>
      <c r="E71" s="6" t="n">
        <f aca="false">ROUND(7270*1.05,2)</f>
        <v>7633.5</v>
      </c>
      <c r="F71" s="6" t="s">
        <v>45</v>
      </c>
      <c r="G71" s="6" t="s">
        <v>30</v>
      </c>
      <c r="H71" s="6" t="n">
        <f aca="true">ROUND(RAND()*4+6,1)</f>
        <v>7.4</v>
      </c>
      <c r="I71" s="6" t="s">
        <v>46</v>
      </c>
      <c r="J71" s="6" t="str">
        <f aca="false">ROUND(100*1,0)&amp;"%"</f>
        <v>100%</v>
      </c>
    </row>
    <row r="72" customFormat="false" ht="15" hidden="false" customHeight="false" outlineLevel="0" collapsed="false">
      <c r="A72" s="5" t="s">
        <v>635</v>
      </c>
      <c r="B72" s="5" t="s">
        <v>145</v>
      </c>
      <c r="C72" s="5" t="s">
        <v>133</v>
      </c>
      <c r="D72" s="5" t="s">
        <v>16</v>
      </c>
      <c r="E72" s="5" t="n">
        <f aca="false">ROUND(12415*1.05,2)</f>
        <v>13035.75</v>
      </c>
      <c r="F72" s="5" t="s">
        <v>49</v>
      </c>
      <c r="G72" s="5" t="s">
        <v>18</v>
      </c>
      <c r="H72" s="5" t="n">
        <f aca="true">ROUND(RAND()*4+6,1)</f>
        <v>6.6</v>
      </c>
      <c r="I72" s="5" t="s">
        <v>19</v>
      </c>
      <c r="J72" s="5" t="str">
        <f aca="false">ROUND(80*1,0)&amp;"%"</f>
        <v>80%</v>
      </c>
    </row>
    <row r="73" customFormat="false" ht="15" hidden="false" customHeight="false" outlineLevel="0" collapsed="false">
      <c r="A73" s="6" t="s">
        <v>636</v>
      </c>
      <c r="B73" s="6" t="s">
        <v>147</v>
      </c>
      <c r="C73" s="6" t="s">
        <v>133</v>
      </c>
      <c r="D73" s="6" t="s">
        <v>22</v>
      </c>
      <c r="E73" s="6" t="n">
        <f aca="false">ROUND(11908*1.05,2)</f>
        <v>12503.4</v>
      </c>
      <c r="F73" s="6" t="s">
        <v>52</v>
      </c>
      <c r="G73" s="6" t="s">
        <v>24</v>
      </c>
      <c r="H73" s="6" t="n">
        <f aca="true">ROUND(RAND()*4+6,1)</f>
        <v>9.6</v>
      </c>
      <c r="I73" s="6" t="s">
        <v>25</v>
      </c>
      <c r="J73" s="6" t="str">
        <f aca="false">ROUND(77*1,0)&amp;"%"</f>
        <v>77%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637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638</v>
      </c>
      <c r="B78" s="5" t="s">
        <v>151</v>
      </c>
      <c r="C78" s="5" t="s">
        <v>152</v>
      </c>
      <c r="D78" s="5" t="s">
        <v>16</v>
      </c>
      <c r="E78" s="5" t="n">
        <f aca="false">ROUND(12781*1.05,2)</f>
        <v>13420.05</v>
      </c>
      <c r="F78" s="5" t="s">
        <v>17</v>
      </c>
      <c r="G78" s="5" t="s">
        <v>18</v>
      </c>
      <c r="H78" s="5" t="n">
        <f aca="true">ROUND(RAND()*4+6,1)</f>
        <v>9.6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639</v>
      </c>
      <c r="B79" s="6" t="s">
        <v>154</v>
      </c>
      <c r="C79" s="6" t="s">
        <v>152</v>
      </c>
      <c r="D79" s="6" t="s">
        <v>22</v>
      </c>
      <c r="E79" s="6" t="n">
        <f aca="false">ROUND(15475*1.05,2)</f>
        <v>16248.75</v>
      </c>
      <c r="F79" s="6" t="s">
        <v>23</v>
      </c>
      <c r="G79" s="6" t="s">
        <v>24</v>
      </c>
      <c r="H79" s="6" t="n">
        <f aca="true">ROUND(RAND()*4+6,1)</f>
        <v>8.7</v>
      </c>
      <c r="I79" s="6" t="s">
        <v>25</v>
      </c>
      <c r="J79" s="6" t="str">
        <f aca="false">ROUND(79*1,0)&amp;"%"</f>
        <v>79%</v>
      </c>
    </row>
    <row r="80" customFormat="false" ht="15" hidden="false" customHeight="false" outlineLevel="0" collapsed="false">
      <c r="A80" s="5" t="s">
        <v>640</v>
      </c>
      <c r="B80" s="5" t="s">
        <v>156</v>
      </c>
      <c r="C80" s="5" t="s">
        <v>152</v>
      </c>
      <c r="D80" s="5" t="s">
        <v>28</v>
      </c>
      <c r="E80" s="5" t="n">
        <f aca="false">ROUND(10101*1.05,2)</f>
        <v>10606.05</v>
      </c>
      <c r="F80" s="5" t="s">
        <v>29</v>
      </c>
      <c r="G80" s="5" t="s">
        <v>30</v>
      </c>
      <c r="H80" s="5" t="n">
        <f aca="true">ROUND(RAND()*4+6,1)</f>
        <v>7.4</v>
      </c>
      <c r="I80" s="5" t="s">
        <v>31</v>
      </c>
      <c r="J80" s="5" t="str">
        <f aca="false">ROUND(70*1,0)&amp;"%"</f>
        <v>70%</v>
      </c>
    </row>
    <row r="81" customFormat="false" ht="15" hidden="false" customHeight="false" outlineLevel="0" collapsed="false">
      <c r="A81" s="6" t="s">
        <v>641</v>
      </c>
      <c r="B81" s="6" t="s">
        <v>158</v>
      </c>
      <c r="C81" s="6" t="s">
        <v>152</v>
      </c>
      <c r="D81" s="6" t="s">
        <v>34</v>
      </c>
      <c r="E81" s="6" t="n">
        <f aca="false">ROUND(9720*1.05,2)</f>
        <v>10206</v>
      </c>
      <c r="F81" s="6" t="s">
        <v>35</v>
      </c>
      <c r="G81" s="6" t="s">
        <v>18</v>
      </c>
      <c r="H81" s="6" t="n">
        <f aca="true">ROUND(RAND()*4+6,1)</f>
        <v>8.1</v>
      </c>
      <c r="I81" s="6" t="s">
        <v>36</v>
      </c>
      <c r="J81" s="6" t="str">
        <f aca="false">ROUND(100*1,0)&amp;"%"</f>
        <v>100%</v>
      </c>
    </row>
    <row r="82" customFormat="false" ht="15" hidden="false" customHeight="false" outlineLevel="0" collapsed="false">
      <c r="A82" s="5" t="s">
        <v>642</v>
      </c>
      <c r="B82" s="5" t="s">
        <v>160</v>
      </c>
      <c r="C82" s="5" t="s">
        <v>152</v>
      </c>
      <c r="D82" s="5" t="s">
        <v>39</v>
      </c>
      <c r="E82" s="5" t="n">
        <f aca="false">ROUND(10811*1.05,2)</f>
        <v>11351.55</v>
      </c>
      <c r="F82" s="5" t="s">
        <v>40</v>
      </c>
      <c r="G82" s="5" t="s">
        <v>24</v>
      </c>
      <c r="H82" s="5" t="n">
        <f aca="true">ROUND(RAND()*4+6,1)</f>
        <v>9</v>
      </c>
      <c r="I82" s="5" t="s">
        <v>41</v>
      </c>
      <c r="J82" s="5" t="str">
        <f aca="false">ROUND(90*1,0)&amp;"%"</f>
        <v>90%</v>
      </c>
    </row>
    <row r="83" customFormat="false" ht="15" hidden="false" customHeight="false" outlineLevel="0" collapsed="false">
      <c r="A83" s="6" t="s">
        <v>643</v>
      </c>
      <c r="B83" s="6" t="s">
        <v>162</v>
      </c>
      <c r="C83" s="6" t="s">
        <v>152</v>
      </c>
      <c r="D83" s="6" t="s">
        <v>44</v>
      </c>
      <c r="E83" s="6" t="n">
        <f aca="false">ROUND(11162*1.05,2)</f>
        <v>11720.1</v>
      </c>
      <c r="F83" s="6" t="s">
        <v>45</v>
      </c>
      <c r="G83" s="6" t="s">
        <v>30</v>
      </c>
      <c r="H83" s="6" t="n">
        <f aca="true">ROUND(RAND()*4+6,1)</f>
        <v>7.6</v>
      </c>
      <c r="I83" s="6" t="s">
        <v>46</v>
      </c>
      <c r="J83" s="6" t="str">
        <f aca="false">ROUND(86*1,0)&amp;"%"</f>
        <v>86%</v>
      </c>
    </row>
    <row r="84" customFormat="false" ht="15" hidden="false" customHeight="false" outlineLevel="0" collapsed="false">
      <c r="A84" s="5" t="s">
        <v>644</v>
      </c>
      <c r="B84" s="5" t="s">
        <v>164</v>
      </c>
      <c r="C84" s="5" t="s">
        <v>152</v>
      </c>
      <c r="D84" s="5" t="s">
        <v>16</v>
      </c>
      <c r="E84" s="5" t="n">
        <f aca="false">ROUND(13193*1.05,2)</f>
        <v>13852.65</v>
      </c>
      <c r="F84" s="5" t="s">
        <v>49</v>
      </c>
      <c r="G84" s="5" t="s">
        <v>18</v>
      </c>
      <c r="H84" s="5" t="n">
        <f aca="true">ROUND(RAND()*4+6,1)</f>
        <v>6.2</v>
      </c>
      <c r="I84" s="5" t="s">
        <v>19</v>
      </c>
      <c r="J84" s="5" t="str">
        <f aca="false">ROUND(60*1,0)&amp;"%"</f>
        <v>60%</v>
      </c>
    </row>
    <row r="85" customFormat="false" ht="15" hidden="false" customHeight="false" outlineLevel="0" collapsed="false">
      <c r="A85" s="6" t="s">
        <v>645</v>
      </c>
      <c r="B85" s="6" t="s">
        <v>166</v>
      </c>
      <c r="C85" s="6" t="s">
        <v>152</v>
      </c>
      <c r="D85" s="6" t="s">
        <v>22</v>
      </c>
      <c r="E85" s="6" t="n">
        <f aca="false">ROUND(15616*1.05,2)</f>
        <v>16396.8</v>
      </c>
      <c r="F85" s="6" t="s">
        <v>52</v>
      </c>
      <c r="G85" s="6" t="s">
        <v>24</v>
      </c>
      <c r="H85" s="6" t="n">
        <f aca="true">ROUND(RAND()*4+6,1)</f>
        <v>9.5</v>
      </c>
      <c r="I85" s="6" t="s">
        <v>25</v>
      </c>
      <c r="J85" s="6" t="str">
        <f aca="false">ROUND(66*1,0)&amp;"%"</f>
        <v>66%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646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647</v>
      </c>
      <c r="B90" s="5" t="s">
        <v>170</v>
      </c>
      <c r="C90" s="5" t="s">
        <v>15</v>
      </c>
      <c r="D90" s="5" t="s">
        <v>16</v>
      </c>
      <c r="E90" s="5" t="n">
        <f aca="false">ROUND(11952*1.05,2)</f>
        <v>12549.6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ROUND(70*1,0)&amp;"%"</f>
        <v>70%</v>
      </c>
    </row>
    <row r="91" customFormat="false" ht="15" hidden="false" customHeight="false" outlineLevel="0" collapsed="false">
      <c r="A91" s="6" t="s">
        <v>648</v>
      </c>
      <c r="B91" s="6" t="s">
        <v>172</v>
      </c>
      <c r="C91" s="6" t="s">
        <v>15</v>
      </c>
      <c r="D91" s="6" t="s">
        <v>22</v>
      </c>
      <c r="E91" s="6" t="n">
        <f aca="false">ROUND(11963*1.05,2)</f>
        <v>12561.15</v>
      </c>
      <c r="F91" s="6" t="s">
        <v>23</v>
      </c>
      <c r="G91" s="6" t="s">
        <v>24</v>
      </c>
      <c r="H91" s="6" t="n">
        <f aca="true">ROUND(RAND()*4+6,1)</f>
        <v>6.8</v>
      </c>
      <c r="I91" s="6" t="s">
        <v>25</v>
      </c>
      <c r="J91" s="6" t="str">
        <f aca="false">ROUND(83*1,0)&amp;"%"</f>
        <v>83%</v>
      </c>
    </row>
    <row r="92" customFormat="false" ht="15" hidden="false" customHeight="false" outlineLevel="0" collapsed="false">
      <c r="A92" s="5" t="s">
        <v>649</v>
      </c>
      <c r="B92" s="5" t="s">
        <v>174</v>
      </c>
      <c r="C92" s="5" t="s">
        <v>15</v>
      </c>
      <c r="D92" s="5" t="s">
        <v>28</v>
      </c>
      <c r="E92" s="5" t="n">
        <f aca="false">ROUND(8957*1.05,2)</f>
        <v>9404.85</v>
      </c>
      <c r="F92" s="5" t="s">
        <v>29</v>
      </c>
      <c r="G92" s="5" t="s">
        <v>30</v>
      </c>
      <c r="H92" s="5" t="n">
        <f aca="true">ROUND(RAND()*4+6,1)</f>
        <v>7.8</v>
      </c>
      <c r="I92" s="5" t="s">
        <v>31</v>
      </c>
      <c r="J92" s="5" t="str">
        <f aca="false">ROUND(84*1,0)&amp;"%"</f>
        <v>84%</v>
      </c>
    </row>
    <row r="93" customFormat="false" ht="15" hidden="false" customHeight="false" outlineLevel="0" collapsed="false">
      <c r="A93" s="6" t="s">
        <v>650</v>
      </c>
      <c r="B93" s="6" t="s">
        <v>176</v>
      </c>
      <c r="C93" s="6" t="s">
        <v>15</v>
      </c>
      <c r="D93" s="6" t="s">
        <v>34</v>
      </c>
      <c r="E93" s="6" t="n">
        <f aca="false">ROUND(9196*1.05,2)</f>
        <v>9655.8</v>
      </c>
      <c r="F93" s="6" t="s">
        <v>35</v>
      </c>
      <c r="G93" s="6" t="s">
        <v>18</v>
      </c>
      <c r="H93" s="6" t="n">
        <f aca="true">ROUND(RAND()*4+6,1)</f>
        <v>6.7</v>
      </c>
      <c r="I93" s="6" t="s">
        <v>36</v>
      </c>
      <c r="J93" s="6" t="str">
        <f aca="false">ROUND(78*1,0)&amp;"%"</f>
        <v>78%</v>
      </c>
    </row>
    <row r="94" customFormat="false" ht="15" hidden="false" customHeight="false" outlineLevel="0" collapsed="false">
      <c r="A94" s="5" t="s">
        <v>651</v>
      </c>
      <c r="B94" s="5" t="s">
        <v>178</v>
      </c>
      <c r="C94" s="5" t="s">
        <v>15</v>
      </c>
      <c r="D94" s="5" t="s">
        <v>39</v>
      </c>
      <c r="E94" s="5" t="n">
        <f aca="false">ROUND(9480*1.05,2)</f>
        <v>9954</v>
      </c>
      <c r="F94" s="5" t="s">
        <v>40</v>
      </c>
      <c r="G94" s="5" t="s">
        <v>24</v>
      </c>
      <c r="H94" s="5" t="n">
        <f aca="true">ROUND(RAND()*4+6,1)</f>
        <v>8.9</v>
      </c>
      <c r="I94" s="5" t="s">
        <v>41</v>
      </c>
      <c r="J94" s="5" t="str">
        <f aca="false">ROUND(66*1,0)&amp;"%"</f>
        <v>66%</v>
      </c>
    </row>
    <row r="95" customFormat="false" ht="15" hidden="false" customHeight="false" outlineLevel="0" collapsed="false">
      <c r="A95" s="6" t="s">
        <v>652</v>
      </c>
      <c r="B95" s="6" t="s">
        <v>180</v>
      </c>
      <c r="C95" s="6" t="s">
        <v>15</v>
      </c>
      <c r="D95" s="6" t="s">
        <v>44</v>
      </c>
      <c r="E95" s="6" t="n">
        <f aca="false">ROUND(10993*1.05,2)</f>
        <v>11542.65</v>
      </c>
      <c r="F95" s="6" t="s">
        <v>45</v>
      </c>
      <c r="G95" s="6" t="s">
        <v>30</v>
      </c>
      <c r="H95" s="6" t="n">
        <f aca="true">ROUND(RAND()*4+6,1)</f>
        <v>6.5</v>
      </c>
      <c r="I95" s="6" t="s">
        <v>46</v>
      </c>
      <c r="J95" s="6" t="str">
        <f aca="false">ROUND(78*1,0)&amp;"%"</f>
        <v>78%</v>
      </c>
    </row>
    <row r="96" customFormat="false" ht="15" hidden="false" customHeight="false" outlineLevel="0" collapsed="false">
      <c r="A96" s="5" t="s">
        <v>653</v>
      </c>
      <c r="B96" s="5" t="s">
        <v>182</v>
      </c>
      <c r="C96" s="5" t="s">
        <v>15</v>
      </c>
      <c r="D96" s="5" t="s">
        <v>16</v>
      </c>
      <c r="E96" s="5" t="n">
        <f aca="false">ROUND(17624*1.05,2)</f>
        <v>18505.2</v>
      </c>
      <c r="F96" s="5" t="s">
        <v>49</v>
      </c>
      <c r="G96" s="5" t="s">
        <v>18</v>
      </c>
      <c r="H96" s="5" t="n">
        <f aca="true">ROUND(RAND()*4+6,1)</f>
        <v>8.8</v>
      </c>
      <c r="I96" s="5" t="s">
        <v>19</v>
      </c>
      <c r="J96" s="5" t="str">
        <f aca="false">ROUND(93*1,0)&amp;"%"</f>
        <v>93%</v>
      </c>
    </row>
    <row r="97" customFormat="false" ht="15" hidden="false" customHeight="false" outlineLevel="0" collapsed="false">
      <c r="A97" s="6" t="s">
        <v>654</v>
      </c>
      <c r="B97" s="6" t="s">
        <v>184</v>
      </c>
      <c r="C97" s="6" t="s">
        <v>15</v>
      </c>
      <c r="D97" s="6" t="s">
        <v>22</v>
      </c>
      <c r="E97" s="6" t="n">
        <f aca="false">ROUND(10858*1.05,2)</f>
        <v>11400.9</v>
      </c>
      <c r="F97" s="6" t="s">
        <v>52</v>
      </c>
      <c r="G97" s="6" t="s">
        <v>24</v>
      </c>
      <c r="H97" s="6" t="n">
        <f aca="true">ROUND(RAND()*4+6,1)</f>
        <v>7.2</v>
      </c>
      <c r="I97" s="6" t="s">
        <v>25</v>
      </c>
      <c r="J97" s="6" t="str">
        <f aca="false">ROUND(77*1,0)&amp;"%"</f>
        <v>77%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655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656</v>
      </c>
      <c r="B102" s="5" t="s">
        <v>188</v>
      </c>
      <c r="C102" s="5" t="s">
        <v>57</v>
      </c>
      <c r="D102" s="5" t="s">
        <v>16</v>
      </c>
      <c r="E102" s="5" t="n">
        <f aca="false">ROUND(17329*1.05,2)</f>
        <v>18195.45</v>
      </c>
      <c r="F102" s="5" t="s">
        <v>17</v>
      </c>
      <c r="G102" s="5" t="s">
        <v>18</v>
      </c>
      <c r="H102" s="5" t="n">
        <f aca="true">ROUND(RAND()*4+6,1)</f>
        <v>8.4</v>
      </c>
      <c r="I102" s="5" t="s">
        <v>19</v>
      </c>
      <c r="J102" s="5" t="str">
        <f aca="false">ROUND(71*1,0)&amp;"%"</f>
        <v>71%</v>
      </c>
    </row>
    <row r="103" customFormat="false" ht="15" hidden="false" customHeight="false" outlineLevel="0" collapsed="false">
      <c r="A103" s="6" t="s">
        <v>657</v>
      </c>
      <c r="B103" s="6" t="s">
        <v>190</v>
      </c>
      <c r="C103" s="6" t="s">
        <v>57</v>
      </c>
      <c r="D103" s="6" t="s">
        <v>22</v>
      </c>
      <c r="E103" s="6" t="n">
        <f aca="false">ROUND(7311*1.05,2)</f>
        <v>7676.55</v>
      </c>
      <c r="F103" s="6" t="s">
        <v>23</v>
      </c>
      <c r="G103" s="6" t="s">
        <v>24</v>
      </c>
      <c r="H103" s="6" t="n">
        <f aca="true">ROUND(RAND()*4+6,1)</f>
        <v>6.9</v>
      </c>
      <c r="I103" s="6" t="s">
        <v>25</v>
      </c>
      <c r="J103" s="6" t="str">
        <f aca="false">ROUND(64*1,0)&amp;"%"</f>
        <v>64%</v>
      </c>
    </row>
    <row r="104" customFormat="false" ht="15" hidden="false" customHeight="false" outlineLevel="0" collapsed="false">
      <c r="A104" s="5" t="s">
        <v>658</v>
      </c>
      <c r="B104" s="5" t="s">
        <v>192</v>
      </c>
      <c r="C104" s="5" t="s">
        <v>57</v>
      </c>
      <c r="D104" s="5" t="s">
        <v>28</v>
      </c>
      <c r="E104" s="5" t="n">
        <f aca="false">ROUND(17455*1.05,2)</f>
        <v>18327.75</v>
      </c>
      <c r="F104" s="5" t="s">
        <v>29</v>
      </c>
      <c r="G104" s="5" t="s">
        <v>30</v>
      </c>
      <c r="H104" s="5" t="n">
        <f aca="true">ROUND(RAND()*4+6,1)</f>
        <v>8.4</v>
      </c>
      <c r="I104" s="5" t="s">
        <v>31</v>
      </c>
      <c r="J104" s="5" t="str">
        <f aca="false">ROUND(83*1,0)&amp;"%"</f>
        <v>83%</v>
      </c>
    </row>
    <row r="105" customFormat="false" ht="15" hidden="false" customHeight="false" outlineLevel="0" collapsed="false">
      <c r="A105" s="6" t="s">
        <v>659</v>
      </c>
      <c r="B105" s="6" t="s">
        <v>194</v>
      </c>
      <c r="C105" s="6" t="s">
        <v>57</v>
      </c>
      <c r="D105" s="6" t="s">
        <v>34</v>
      </c>
      <c r="E105" s="6" t="n">
        <f aca="false">ROUND(9859*1.05,2)</f>
        <v>10351.95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ROUND(67*1,0)&amp;"%"</f>
        <v>67%</v>
      </c>
    </row>
    <row r="106" customFormat="false" ht="15" hidden="false" customHeight="false" outlineLevel="0" collapsed="false">
      <c r="A106" s="5" t="s">
        <v>660</v>
      </c>
      <c r="B106" s="5" t="s">
        <v>196</v>
      </c>
      <c r="C106" s="5" t="s">
        <v>57</v>
      </c>
      <c r="D106" s="5" t="s">
        <v>39</v>
      </c>
      <c r="E106" s="5" t="n">
        <f aca="false">ROUND(9814*1.05,2)</f>
        <v>10304.7</v>
      </c>
      <c r="F106" s="5" t="s">
        <v>40</v>
      </c>
      <c r="G106" s="5" t="s">
        <v>24</v>
      </c>
      <c r="H106" s="5" t="n">
        <f aca="true">ROUND(RAND()*4+6,1)</f>
        <v>8.4</v>
      </c>
      <c r="I106" s="5" t="s">
        <v>41</v>
      </c>
      <c r="J106" s="5" t="str">
        <f aca="false">ROUND(95*1,0)&amp;"%"</f>
        <v>95%</v>
      </c>
    </row>
    <row r="107" customFormat="false" ht="15" hidden="false" customHeight="false" outlineLevel="0" collapsed="false">
      <c r="A107" s="6" t="s">
        <v>661</v>
      </c>
      <c r="B107" s="6" t="s">
        <v>198</v>
      </c>
      <c r="C107" s="6" t="s">
        <v>57</v>
      </c>
      <c r="D107" s="6" t="s">
        <v>44</v>
      </c>
      <c r="E107" s="6" t="n">
        <f aca="false">ROUND(6827*1.05,2)</f>
        <v>7168.35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ROUND(85*1,0)&amp;"%"</f>
        <v>85%</v>
      </c>
    </row>
    <row r="108" customFormat="false" ht="15" hidden="false" customHeight="false" outlineLevel="0" collapsed="false">
      <c r="A108" s="5" t="s">
        <v>662</v>
      </c>
      <c r="B108" s="5" t="s">
        <v>200</v>
      </c>
      <c r="C108" s="5" t="s">
        <v>57</v>
      </c>
      <c r="D108" s="5" t="s">
        <v>16</v>
      </c>
      <c r="E108" s="5" t="n">
        <f aca="false">ROUND(11140*1.05,2)</f>
        <v>11697</v>
      </c>
      <c r="F108" s="5" t="s">
        <v>49</v>
      </c>
      <c r="G108" s="5" t="s">
        <v>18</v>
      </c>
      <c r="H108" s="5" t="n">
        <f aca="true">ROUND(RAND()*4+6,1)</f>
        <v>8.8</v>
      </c>
      <c r="I108" s="5" t="s">
        <v>19</v>
      </c>
      <c r="J108" s="5" t="str">
        <f aca="false">ROUND(72*1,0)&amp;"%"</f>
        <v>72%</v>
      </c>
    </row>
    <row r="109" customFormat="false" ht="15" hidden="false" customHeight="false" outlineLevel="0" collapsed="false">
      <c r="A109" s="6" t="s">
        <v>663</v>
      </c>
      <c r="B109" s="6" t="s">
        <v>202</v>
      </c>
      <c r="C109" s="6" t="s">
        <v>57</v>
      </c>
      <c r="D109" s="6" t="s">
        <v>22</v>
      </c>
      <c r="E109" s="6" t="n">
        <f aca="false">ROUND(13957*1.05,2)</f>
        <v>14654.85</v>
      </c>
      <c r="F109" s="6" t="s">
        <v>52</v>
      </c>
      <c r="G109" s="6" t="s">
        <v>24</v>
      </c>
      <c r="H109" s="6" t="n">
        <f aca="true">ROUND(RAND()*4+6,1)</f>
        <v>6.5</v>
      </c>
      <c r="I109" s="6" t="s">
        <v>25</v>
      </c>
      <c r="J109" s="6" t="str">
        <f aca="false">ROUND(65*1,0)&amp;"%"</f>
        <v>65%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664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665</v>
      </c>
      <c r="B114" s="5" t="s">
        <v>206</v>
      </c>
      <c r="C114" s="5" t="s">
        <v>76</v>
      </c>
      <c r="D114" s="5" t="s">
        <v>16</v>
      </c>
      <c r="E114" s="5" t="n">
        <f aca="false">ROUND(13160*1.05,2)</f>
        <v>13818</v>
      </c>
      <c r="F114" s="5" t="s">
        <v>17</v>
      </c>
      <c r="G114" s="5" t="s">
        <v>18</v>
      </c>
      <c r="H114" s="5" t="n">
        <f aca="true">ROUND(RAND()*4+6,1)</f>
        <v>9.2</v>
      </c>
      <c r="I114" s="5" t="s">
        <v>19</v>
      </c>
      <c r="J114" s="5" t="str">
        <f aca="false">ROUND(60*1,0)&amp;"%"</f>
        <v>60%</v>
      </c>
    </row>
    <row r="115" customFormat="false" ht="15" hidden="false" customHeight="false" outlineLevel="0" collapsed="false">
      <c r="A115" s="6" t="s">
        <v>666</v>
      </c>
      <c r="B115" s="6" t="s">
        <v>208</v>
      </c>
      <c r="C115" s="6" t="s">
        <v>76</v>
      </c>
      <c r="D115" s="6" t="s">
        <v>22</v>
      </c>
      <c r="E115" s="6" t="n">
        <f aca="false">ROUND(4145*1.05,2)</f>
        <v>4352.25</v>
      </c>
      <c r="F115" s="6" t="s">
        <v>23</v>
      </c>
      <c r="G115" s="6" t="s">
        <v>24</v>
      </c>
      <c r="H115" s="6" t="n">
        <f aca="true">ROUND(RAND()*4+6,1)</f>
        <v>6.6</v>
      </c>
      <c r="I115" s="6" t="s">
        <v>25</v>
      </c>
      <c r="J115" s="6" t="str">
        <f aca="false">ROUND(88*1,0)&amp;"%"</f>
        <v>88%</v>
      </c>
    </row>
    <row r="116" customFormat="false" ht="15" hidden="false" customHeight="false" outlineLevel="0" collapsed="false">
      <c r="A116" s="5" t="s">
        <v>667</v>
      </c>
      <c r="B116" s="5" t="s">
        <v>210</v>
      </c>
      <c r="C116" s="5" t="s">
        <v>76</v>
      </c>
      <c r="D116" s="5" t="s">
        <v>28</v>
      </c>
      <c r="E116" s="5" t="n">
        <f aca="false">ROUND(4645*1.05,2)</f>
        <v>4877.25</v>
      </c>
      <c r="F116" s="5" t="s">
        <v>29</v>
      </c>
      <c r="G116" s="5" t="s">
        <v>30</v>
      </c>
      <c r="H116" s="5" t="n">
        <f aca="true">ROUND(RAND()*4+6,1)</f>
        <v>9.7</v>
      </c>
      <c r="I116" s="5" t="s">
        <v>31</v>
      </c>
      <c r="J116" s="5" t="str">
        <f aca="false">ROUND(62*1,0)&amp;"%"</f>
        <v>62%</v>
      </c>
    </row>
    <row r="117" customFormat="false" ht="15" hidden="false" customHeight="false" outlineLevel="0" collapsed="false">
      <c r="A117" s="6" t="s">
        <v>668</v>
      </c>
      <c r="B117" s="6" t="s">
        <v>212</v>
      </c>
      <c r="C117" s="6" t="s">
        <v>76</v>
      </c>
      <c r="D117" s="6" t="s">
        <v>34</v>
      </c>
      <c r="E117" s="6" t="n">
        <f aca="false">ROUND(11535*1.05,2)</f>
        <v>12111.75</v>
      </c>
      <c r="F117" s="6" t="s">
        <v>35</v>
      </c>
      <c r="G117" s="6" t="s">
        <v>18</v>
      </c>
      <c r="H117" s="6" t="n">
        <f aca="true">ROUND(RAND()*4+6,1)</f>
        <v>9.6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669</v>
      </c>
      <c r="B118" s="5" t="s">
        <v>214</v>
      </c>
      <c r="C118" s="5" t="s">
        <v>76</v>
      </c>
      <c r="D118" s="5" t="s">
        <v>39</v>
      </c>
      <c r="E118" s="5" t="n">
        <f aca="false">ROUND(11883*1.05,2)</f>
        <v>12477.15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ROUND(78*1,0)&amp;"%"</f>
        <v>78%</v>
      </c>
    </row>
    <row r="119" customFormat="false" ht="15" hidden="false" customHeight="false" outlineLevel="0" collapsed="false">
      <c r="A119" s="6" t="s">
        <v>670</v>
      </c>
      <c r="B119" s="6" t="s">
        <v>216</v>
      </c>
      <c r="C119" s="6" t="s">
        <v>76</v>
      </c>
      <c r="D119" s="6" t="s">
        <v>44</v>
      </c>
      <c r="E119" s="6" t="n">
        <f aca="false">ROUND(4041*1.05,2)</f>
        <v>4243.05</v>
      </c>
      <c r="F119" s="6" t="s">
        <v>45</v>
      </c>
      <c r="G119" s="6" t="s">
        <v>30</v>
      </c>
      <c r="H119" s="6" t="n">
        <f aca="true">ROUND(RAND()*4+6,1)</f>
        <v>9.4</v>
      </c>
      <c r="I119" s="6" t="s">
        <v>46</v>
      </c>
      <c r="J119" s="6" t="str">
        <f aca="false">ROUND(81*1,0)&amp;"%"</f>
        <v>81%</v>
      </c>
    </row>
    <row r="120" customFormat="false" ht="15" hidden="false" customHeight="false" outlineLevel="0" collapsed="false">
      <c r="A120" s="5" t="s">
        <v>671</v>
      </c>
      <c r="B120" s="5" t="s">
        <v>218</v>
      </c>
      <c r="C120" s="5" t="s">
        <v>76</v>
      </c>
      <c r="D120" s="5" t="s">
        <v>16</v>
      </c>
      <c r="E120" s="5" t="n">
        <f aca="false">ROUND(14953*1.05,2)</f>
        <v>15700.65</v>
      </c>
      <c r="F120" s="5" t="s">
        <v>49</v>
      </c>
      <c r="G120" s="5" t="s">
        <v>18</v>
      </c>
      <c r="H120" s="5" t="n">
        <f aca="true">ROUND(RAND()*4+6,1)</f>
        <v>6.5</v>
      </c>
      <c r="I120" s="5" t="s">
        <v>19</v>
      </c>
      <c r="J120" s="5" t="str">
        <f aca="false">ROUND(98*1,0)&amp;"%"</f>
        <v>98%</v>
      </c>
    </row>
    <row r="121" customFormat="false" ht="15" hidden="false" customHeight="false" outlineLevel="0" collapsed="false">
      <c r="A121" s="6" t="s">
        <v>672</v>
      </c>
      <c r="B121" s="6" t="s">
        <v>220</v>
      </c>
      <c r="C121" s="6" t="s">
        <v>76</v>
      </c>
      <c r="D121" s="6" t="s">
        <v>22</v>
      </c>
      <c r="E121" s="6" t="n">
        <f aca="false">ROUND(17469*1.05,2)</f>
        <v>18342.45</v>
      </c>
      <c r="F121" s="6" t="s">
        <v>52</v>
      </c>
      <c r="G121" s="6" t="s">
        <v>24</v>
      </c>
      <c r="H121" s="6" t="n">
        <f aca="true">ROUND(RAND()*4+6,1)</f>
        <v>9.1</v>
      </c>
      <c r="I121" s="6" t="s">
        <v>25</v>
      </c>
      <c r="J121" s="6" t="str">
        <f aca="false">ROUND(98*1,0)&amp;"%"</f>
        <v>98%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673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674</v>
      </c>
      <c r="B126" s="5" t="s">
        <v>224</v>
      </c>
      <c r="C126" s="5" t="s">
        <v>95</v>
      </c>
      <c r="D126" s="5" t="s">
        <v>16</v>
      </c>
      <c r="E126" s="5" t="n">
        <f aca="false">ROUND(4350*1.05,2)</f>
        <v>4567.5</v>
      </c>
      <c r="F126" s="5" t="s">
        <v>17</v>
      </c>
      <c r="G126" s="5" t="s">
        <v>18</v>
      </c>
      <c r="H126" s="5" t="n">
        <f aca="true">ROUND(RAND()*4+6,1)</f>
        <v>6.8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675</v>
      </c>
      <c r="B127" s="6" t="s">
        <v>226</v>
      </c>
      <c r="C127" s="6" t="s">
        <v>95</v>
      </c>
      <c r="D127" s="6" t="s">
        <v>22</v>
      </c>
      <c r="E127" s="6" t="n">
        <f aca="false">ROUND(8065*1.05,2)</f>
        <v>8468.25</v>
      </c>
      <c r="F127" s="6" t="s">
        <v>23</v>
      </c>
      <c r="G127" s="6" t="s">
        <v>24</v>
      </c>
      <c r="H127" s="6" t="n">
        <f aca="true">ROUND(RAND()*4+6,1)</f>
        <v>8.7</v>
      </c>
      <c r="I127" s="6" t="s">
        <v>25</v>
      </c>
      <c r="J127" s="6" t="str">
        <f aca="false">ROUND(61*1,0)&amp;"%"</f>
        <v>61%</v>
      </c>
    </row>
    <row r="128" customFormat="false" ht="15" hidden="false" customHeight="false" outlineLevel="0" collapsed="false">
      <c r="A128" s="5" t="s">
        <v>676</v>
      </c>
      <c r="B128" s="5" t="s">
        <v>228</v>
      </c>
      <c r="C128" s="5" t="s">
        <v>95</v>
      </c>
      <c r="D128" s="5" t="s">
        <v>28</v>
      </c>
      <c r="E128" s="5" t="n">
        <f aca="false">ROUND(7344*1.05,2)</f>
        <v>7711.2</v>
      </c>
      <c r="F128" s="5" t="s">
        <v>29</v>
      </c>
      <c r="G128" s="5" t="s">
        <v>30</v>
      </c>
      <c r="H128" s="5" t="n">
        <f aca="true">ROUND(RAND()*4+6,1)</f>
        <v>6.1</v>
      </c>
      <c r="I128" s="5" t="s">
        <v>31</v>
      </c>
      <c r="J128" s="5" t="str">
        <f aca="false">ROUND(85*1,0)&amp;"%"</f>
        <v>85%</v>
      </c>
    </row>
    <row r="129" customFormat="false" ht="15" hidden="false" customHeight="false" outlineLevel="0" collapsed="false">
      <c r="A129" s="6" t="s">
        <v>677</v>
      </c>
      <c r="B129" s="6" t="s">
        <v>230</v>
      </c>
      <c r="C129" s="6" t="s">
        <v>95</v>
      </c>
      <c r="D129" s="6" t="s">
        <v>34</v>
      </c>
      <c r="E129" s="6" t="n">
        <f aca="false">ROUND(8990*1.05,2)</f>
        <v>9439.5</v>
      </c>
      <c r="F129" s="6" t="s">
        <v>35</v>
      </c>
      <c r="G129" s="6" t="s">
        <v>18</v>
      </c>
      <c r="H129" s="6" t="n">
        <f aca="true">ROUND(RAND()*4+6,1)</f>
        <v>8.5</v>
      </c>
      <c r="I129" s="6" t="s">
        <v>36</v>
      </c>
      <c r="J129" s="6" t="str">
        <f aca="false">ROUND(87*1,0)&amp;"%"</f>
        <v>87%</v>
      </c>
    </row>
    <row r="130" customFormat="false" ht="15" hidden="false" customHeight="false" outlineLevel="0" collapsed="false">
      <c r="A130" s="5" t="s">
        <v>678</v>
      </c>
      <c r="B130" s="5" t="s">
        <v>232</v>
      </c>
      <c r="C130" s="5" t="s">
        <v>95</v>
      </c>
      <c r="D130" s="5" t="s">
        <v>39</v>
      </c>
      <c r="E130" s="5" t="n">
        <f aca="false">ROUND(5380*1.05,2)</f>
        <v>5649</v>
      </c>
      <c r="F130" s="5" t="s">
        <v>40</v>
      </c>
      <c r="G130" s="5" t="s">
        <v>24</v>
      </c>
      <c r="H130" s="5" t="n">
        <f aca="true">ROUND(RAND()*4+6,1)</f>
        <v>6.5</v>
      </c>
      <c r="I130" s="5" t="s">
        <v>41</v>
      </c>
      <c r="J130" s="5" t="str">
        <f aca="false">ROUND(94*1,0)&amp;"%"</f>
        <v>94%</v>
      </c>
    </row>
    <row r="131" customFormat="false" ht="15" hidden="false" customHeight="false" outlineLevel="0" collapsed="false">
      <c r="A131" s="6" t="s">
        <v>679</v>
      </c>
      <c r="B131" s="6" t="s">
        <v>234</v>
      </c>
      <c r="C131" s="6" t="s">
        <v>95</v>
      </c>
      <c r="D131" s="6" t="s">
        <v>44</v>
      </c>
      <c r="E131" s="6" t="n">
        <f aca="false">ROUND(8545*1.05,2)</f>
        <v>8972.25</v>
      </c>
      <c r="F131" s="6" t="s">
        <v>45</v>
      </c>
      <c r="G131" s="6" t="s">
        <v>30</v>
      </c>
      <c r="H131" s="6" t="n">
        <f aca="true">ROUND(RAND()*4+6,1)</f>
        <v>6.2</v>
      </c>
      <c r="I131" s="6" t="s">
        <v>46</v>
      </c>
      <c r="J131" s="6" t="str">
        <f aca="false">ROUND(89*1,0)&amp;"%"</f>
        <v>89%</v>
      </c>
    </row>
    <row r="132" customFormat="false" ht="15" hidden="false" customHeight="false" outlineLevel="0" collapsed="false">
      <c r="A132" s="5" t="s">
        <v>680</v>
      </c>
      <c r="B132" s="5" t="s">
        <v>236</v>
      </c>
      <c r="C132" s="5" t="s">
        <v>95</v>
      </c>
      <c r="D132" s="5" t="s">
        <v>16</v>
      </c>
      <c r="E132" s="5" t="n">
        <f aca="false">ROUND(8682*1.05,2)</f>
        <v>9116.1</v>
      </c>
      <c r="F132" s="5" t="s">
        <v>49</v>
      </c>
      <c r="G132" s="5" t="s">
        <v>18</v>
      </c>
      <c r="H132" s="5" t="n">
        <f aca="true">ROUND(RAND()*4+6,1)</f>
        <v>7.7</v>
      </c>
      <c r="I132" s="5" t="s">
        <v>19</v>
      </c>
      <c r="J132" s="5" t="str">
        <f aca="false">ROUND(66*1,0)&amp;"%"</f>
        <v>66%</v>
      </c>
    </row>
    <row r="133" customFormat="false" ht="15" hidden="false" customHeight="false" outlineLevel="0" collapsed="false">
      <c r="A133" s="6" t="s">
        <v>681</v>
      </c>
      <c r="B133" s="6" t="s">
        <v>238</v>
      </c>
      <c r="C133" s="6" t="s">
        <v>95</v>
      </c>
      <c r="D133" s="6" t="s">
        <v>22</v>
      </c>
      <c r="E133" s="6" t="n">
        <f aca="false">ROUND(8012*1.05,2)</f>
        <v>8412.6</v>
      </c>
      <c r="F133" s="6" t="s">
        <v>52</v>
      </c>
      <c r="G133" s="6" t="s">
        <v>24</v>
      </c>
      <c r="H133" s="6" t="n">
        <f aca="true">ROUND(RAND()*4+6,1)</f>
        <v>10</v>
      </c>
      <c r="I133" s="6" t="s">
        <v>25</v>
      </c>
      <c r="J133" s="6" t="str">
        <f aca="false">ROUND(60*1,0)&amp;"%"</f>
        <v>60%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682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683</v>
      </c>
      <c r="B138" s="5" t="s">
        <v>242</v>
      </c>
      <c r="C138" s="5" t="s">
        <v>114</v>
      </c>
      <c r="D138" s="5" t="s">
        <v>16</v>
      </c>
      <c r="E138" s="5" t="n">
        <f aca="false">ROUND(17768*1.05,2)</f>
        <v>18656.4</v>
      </c>
      <c r="F138" s="5" t="s">
        <v>17</v>
      </c>
      <c r="G138" s="5" t="s">
        <v>18</v>
      </c>
      <c r="H138" s="5" t="n">
        <f aca="true">ROUND(RAND()*4+6,1)</f>
        <v>8</v>
      </c>
      <c r="I138" s="5" t="s">
        <v>19</v>
      </c>
      <c r="J138" s="5" t="str">
        <f aca="false">ROUND(83*1,0)&amp;"%"</f>
        <v>83%</v>
      </c>
    </row>
    <row r="139" customFormat="false" ht="15" hidden="false" customHeight="false" outlineLevel="0" collapsed="false">
      <c r="A139" s="6" t="s">
        <v>684</v>
      </c>
      <c r="B139" s="6" t="s">
        <v>244</v>
      </c>
      <c r="C139" s="6" t="s">
        <v>114</v>
      </c>
      <c r="D139" s="6" t="s">
        <v>22</v>
      </c>
      <c r="E139" s="6" t="n">
        <f aca="false">ROUND(13614*1.05,2)</f>
        <v>14294.7</v>
      </c>
      <c r="F139" s="6" t="s">
        <v>23</v>
      </c>
      <c r="G139" s="6" t="s">
        <v>24</v>
      </c>
      <c r="H139" s="6" t="n">
        <f aca="true">ROUND(RAND()*4+6,1)</f>
        <v>8</v>
      </c>
      <c r="I139" s="6" t="s">
        <v>25</v>
      </c>
      <c r="J139" s="6" t="str">
        <f aca="false">ROUND(87*1,0)&amp;"%"</f>
        <v>87%</v>
      </c>
    </row>
    <row r="140" customFormat="false" ht="15" hidden="false" customHeight="false" outlineLevel="0" collapsed="false">
      <c r="A140" s="5" t="s">
        <v>685</v>
      </c>
      <c r="B140" s="5" t="s">
        <v>246</v>
      </c>
      <c r="C140" s="5" t="s">
        <v>114</v>
      </c>
      <c r="D140" s="5" t="s">
        <v>28</v>
      </c>
      <c r="E140" s="5" t="n">
        <f aca="false">ROUND(11843*1.05,2)</f>
        <v>12435.15</v>
      </c>
      <c r="F140" s="5" t="s">
        <v>29</v>
      </c>
      <c r="G140" s="5" t="s">
        <v>30</v>
      </c>
      <c r="H140" s="5" t="n">
        <f aca="true">ROUND(RAND()*4+6,1)</f>
        <v>9.2</v>
      </c>
      <c r="I140" s="5" t="s">
        <v>31</v>
      </c>
      <c r="J140" s="5" t="str">
        <f aca="false">ROUND(60*1,0)&amp;"%"</f>
        <v>60%</v>
      </c>
    </row>
    <row r="141" customFormat="false" ht="15" hidden="false" customHeight="false" outlineLevel="0" collapsed="false">
      <c r="A141" s="6" t="s">
        <v>686</v>
      </c>
      <c r="B141" s="6" t="s">
        <v>248</v>
      </c>
      <c r="C141" s="6" t="s">
        <v>114</v>
      </c>
      <c r="D141" s="6" t="s">
        <v>34</v>
      </c>
      <c r="E141" s="6" t="n">
        <f aca="false">ROUND(8241*1.05,2)</f>
        <v>8653.05</v>
      </c>
      <c r="F141" s="6" t="s">
        <v>35</v>
      </c>
      <c r="G141" s="6" t="s">
        <v>18</v>
      </c>
      <c r="H141" s="6" t="n">
        <f aca="true">ROUND(RAND()*4+6,1)</f>
        <v>9</v>
      </c>
      <c r="I141" s="6" t="s">
        <v>36</v>
      </c>
      <c r="J141" s="6" t="str">
        <f aca="false">ROUND(61*1,0)&amp;"%"</f>
        <v>61%</v>
      </c>
    </row>
    <row r="142" customFormat="false" ht="15" hidden="false" customHeight="false" outlineLevel="0" collapsed="false">
      <c r="A142" s="5" t="s">
        <v>687</v>
      </c>
      <c r="B142" s="5" t="s">
        <v>250</v>
      </c>
      <c r="C142" s="5" t="s">
        <v>114</v>
      </c>
      <c r="D142" s="5" t="s">
        <v>39</v>
      </c>
      <c r="E142" s="5" t="n">
        <f aca="false">ROUND(7202*1.05,2)</f>
        <v>7562.1</v>
      </c>
      <c r="F142" s="5" t="s">
        <v>40</v>
      </c>
      <c r="G142" s="5" t="s">
        <v>24</v>
      </c>
      <c r="H142" s="5" t="n">
        <f aca="true">ROUND(RAND()*4+6,1)</f>
        <v>9.1</v>
      </c>
      <c r="I142" s="5" t="s">
        <v>41</v>
      </c>
      <c r="J142" s="5" t="str">
        <f aca="false">ROUND(64*1,0)&amp;"%"</f>
        <v>64%</v>
      </c>
    </row>
    <row r="143" customFormat="false" ht="15" hidden="false" customHeight="false" outlineLevel="0" collapsed="false">
      <c r="A143" s="6" t="s">
        <v>688</v>
      </c>
      <c r="B143" s="6" t="s">
        <v>252</v>
      </c>
      <c r="C143" s="6" t="s">
        <v>114</v>
      </c>
      <c r="D143" s="6" t="s">
        <v>44</v>
      </c>
      <c r="E143" s="6" t="n">
        <f aca="false">ROUND(13257*1.05,2)</f>
        <v>13919.85</v>
      </c>
      <c r="F143" s="6" t="s">
        <v>45</v>
      </c>
      <c r="G143" s="6" t="s">
        <v>30</v>
      </c>
      <c r="H143" s="6" t="n">
        <f aca="true">ROUND(RAND()*4+6,1)</f>
        <v>8.8</v>
      </c>
      <c r="I143" s="6" t="s">
        <v>46</v>
      </c>
      <c r="J143" s="6" t="str">
        <f aca="false">ROUND(90*1,0)&amp;"%"</f>
        <v>90%</v>
      </c>
    </row>
    <row r="144" customFormat="false" ht="15" hidden="false" customHeight="false" outlineLevel="0" collapsed="false">
      <c r="A144" s="5" t="s">
        <v>689</v>
      </c>
      <c r="B144" s="5" t="s">
        <v>254</v>
      </c>
      <c r="C144" s="5" t="s">
        <v>114</v>
      </c>
      <c r="D144" s="5" t="s">
        <v>16</v>
      </c>
      <c r="E144" s="5" t="n">
        <f aca="false">ROUND(14429*1.05,2)</f>
        <v>15150.45</v>
      </c>
      <c r="F144" s="5" t="s">
        <v>49</v>
      </c>
      <c r="G144" s="5" t="s">
        <v>18</v>
      </c>
      <c r="H144" s="5" t="n">
        <f aca="true">ROUND(RAND()*4+6,1)</f>
        <v>7.2</v>
      </c>
      <c r="I144" s="5" t="s">
        <v>19</v>
      </c>
      <c r="J144" s="5" t="str">
        <f aca="false">ROUND(64*1,0)&amp;"%"</f>
        <v>64%</v>
      </c>
    </row>
    <row r="145" customFormat="false" ht="15" hidden="false" customHeight="false" outlineLevel="0" collapsed="false">
      <c r="A145" s="6" t="s">
        <v>690</v>
      </c>
      <c r="B145" s="6" t="s">
        <v>256</v>
      </c>
      <c r="C145" s="6" t="s">
        <v>114</v>
      </c>
      <c r="D145" s="6" t="s">
        <v>22</v>
      </c>
      <c r="E145" s="6" t="n">
        <f aca="false">ROUND(4141*1.05,2)</f>
        <v>4348.05</v>
      </c>
      <c r="F145" s="6" t="s">
        <v>52</v>
      </c>
      <c r="G145" s="6" t="s">
        <v>24</v>
      </c>
      <c r="H145" s="6" t="n">
        <f aca="true">ROUND(RAND()*4+6,1)</f>
        <v>9.9</v>
      </c>
      <c r="I145" s="6" t="s">
        <v>25</v>
      </c>
      <c r="J145" s="6" t="str">
        <f aca="false">ROUND(64*1,0)&amp;"%"</f>
        <v>64%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691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692</v>
      </c>
      <c r="B150" s="5" t="s">
        <v>260</v>
      </c>
      <c r="C150" s="5" t="s">
        <v>133</v>
      </c>
      <c r="D150" s="5" t="s">
        <v>16</v>
      </c>
      <c r="E150" s="5" t="n">
        <f aca="false">ROUND(14390*1.05,2)</f>
        <v>15109.5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ROUND(90*1,0)&amp;"%"</f>
        <v>90%</v>
      </c>
    </row>
    <row r="151" customFormat="false" ht="15" hidden="false" customHeight="false" outlineLevel="0" collapsed="false">
      <c r="A151" s="6" t="s">
        <v>693</v>
      </c>
      <c r="B151" s="6" t="s">
        <v>262</v>
      </c>
      <c r="C151" s="6" t="s">
        <v>133</v>
      </c>
      <c r="D151" s="6" t="s">
        <v>22</v>
      </c>
      <c r="E151" s="6" t="n">
        <f aca="false">ROUND(5988*1.05,2)</f>
        <v>6287.4</v>
      </c>
      <c r="F151" s="6" t="s">
        <v>23</v>
      </c>
      <c r="G151" s="6" t="s">
        <v>24</v>
      </c>
      <c r="H151" s="6" t="n">
        <f aca="true">ROUND(RAND()*4+6,1)</f>
        <v>9.1</v>
      </c>
      <c r="I151" s="6" t="s">
        <v>25</v>
      </c>
      <c r="J151" s="6" t="str">
        <f aca="false">ROUND(63*1,0)&amp;"%"</f>
        <v>63%</v>
      </c>
    </row>
    <row r="152" customFormat="false" ht="15" hidden="false" customHeight="false" outlineLevel="0" collapsed="false">
      <c r="A152" s="5" t="s">
        <v>694</v>
      </c>
      <c r="B152" s="5" t="s">
        <v>264</v>
      </c>
      <c r="C152" s="5" t="s">
        <v>133</v>
      </c>
      <c r="D152" s="5" t="s">
        <v>28</v>
      </c>
      <c r="E152" s="5" t="n">
        <f aca="false">ROUND(8664*1.05,2)</f>
        <v>9097.2</v>
      </c>
      <c r="F152" s="5" t="s">
        <v>29</v>
      </c>
      <c r="G152" s="5" t="s">
        <v>30</v>
      </c>
      <c r="H152" s="5" t="n">
        <f aca="true">ROUND(RAND()*4+6,1)</f>
        <v>6.8</v>
      </c>
      <c r="I152" s="5" t="s">
        <v>31</v>
      </c>
      <c r="J152" s="5" t="str">
        <f aca="false">ROUND(68*1,0)&amp;"%"</f>
        <v>68%</v>
      </c>
    </row>
    <row r="153" customFormat="false" ht="15" hidden="false" customHeight="false" outlineLevel="0" collapsed="false">
      <c r="A153" s="6" t="s">
        <v>695</v>
      </c>
      <c r="B153" s="6" t="s">
        <v>266</v>
      </c>
      <c r="C153" s="6" t="s">
        <v>133</v>
      </c>
      <c r="D153" s="6" t="s">
        <v>34</v>
      </c>
      <c r="E153" s="6" t="n">
        <f aca="false">ROUND(14676*1.05,2)</f>
        <v>15409.8</v>
      </c>
      <c r="F153" s="6" t="s">
        <v>35</v>
      </c>
      <c r="G153" s="6" t="s">
        <v>18</v>
      </c>
      <c r="H153" s="6" t="n">
        <f aca="true">ROUND(RAND()*4+6,1)</f>
        <v>8.8</v>
      </c>
      <c r="I153" s="6" t="s">
        <v>36</v>
      </c>
      <c r="J153" s="6" t="str">
        <f aca="false">ROUND(82*1,0)&amp;"%"</f>
        <v>82%</v>
      </c>
    </row>
    <row r="154" customFormat="false" ht="15" hidden="false" customHeight="false" outlineLevel="0" collapsed="false">
      <c r="A154" s="5" t="s">
        <v>696</v>
      </c>
      <c r="B154" s="5" t="s">
        <v>268</v>
      </c>
      <c r="C154" s="5" t="s">
        <v>133</v>
      </c>
      <c r="D154" s="5" t="s">
        <v>39</v>
      </c>
      <c r="E154" s="5" t="n">
        <f aca="false">ROUND(15382*1.05,2)</f>
        <v>16151.1</v>
      </c>
      <c r="F154" s="5" t="s">
        <v>40</v>
      </c>
      <c r="G154" s="5" t="s">
        <v>24</v>
      </c>
      <c r="H154" s="5" t="n">
        <f aca="true">ROUND(RAND()*4+6,1)</f>
        <v>7.6</v>
      </c>
      <c r="I154" s="5" t="s">
        <v>41</v>
      </c>
      <c r="J154" s="5" t="str">
        <f aca="false">ROUND(61*1,0)&amp;"%"</f>
        <v>61%</v>
      </c>
    </row>
    <row r="155" customFormat="false" ht="15" hidden="false" customHeight="false" outlineLevel="0" collapsed="false">
      <c r="A155" s="6" t="s">
        <v>697</v>
      </c>
      <c r="B155" s="6" t="s">
        <v>270</v>
      </c>
      <c r="C155" s="6" t="s">
        <v>133</v>
      </c>
      <c r="D155" s="6" t="s">
        <v>44</v>
      </c>
      <c r="E155" s="6" t="n">
        <f aca="false">ROUND(16929*1.05,2)</f>
        <v>17775.45</v>
      </c>
      <c r="F155" s="6" t="s">
        <v>45</v>
      </c>
      <c r="G155" s="6" t="s">
        <v>30</v>
      </c>
      <c r="H155" s="6" t="n">
        <f aca="true">ROUND(RAND()*4+6,1)</f>
        <v>6.2</v>
      </c>
      <c r="I155" s="6" t="s">
        <v>46</v>
      </c>
      <c r="J155" s="6" t="str">
        <f aca="false">ROUND(93*1,0)&amp;"%"</f>
        <v>93%</v>
      </c>
    </row>
    <row r="156" customFormat="false" ht="15" hidden="false" customHeight="false" outlineLevel="0" collapsed="false">
      <c r="A156" s="5" t="s">
        <v>698</v>
      </c>
      <c r="B156" s="5" t="s">
        <v>272</v>
      </c>
      <c r="C156" s="5" t="s">
        <v>133</v>
      </c>
      <c r="D156" s="5" t="s">
        <v>16</v>
      </c>
      <c r="E156" s="5" t="n">
        <f aca="false">ROUND(5127*1.05,2)</f>
        <v>5383.35</v>
      </c>
      <c r="F156" s="5" t="s">
        <v>49</v>
      </c>
      <c r="G156" s="5" t="s">
        <v>18</v>
      </c>
      <c r="H156" s="5" t="n">
        <f aca="true">ROUND(RAND()*4+6,1)</f>
        <v>9.8</v>
      </c>
      <c r="I156" s="5" t="s">
        <v>19</v>
      </c>
      <c r="J156" s="5" t="str">
        <f aca="false">ROUND(93*1,0)&amp;"%"</f>
        <v>93%</v>
      </c>
    </row>
    <row r="157" customFormat="false" ht="15" hidden="false" customHeight="false" outlineLevel="0" collapsed="false">
      <c r="A157" s="6" t="s">
        <v>699</v>
      </c>
      <c r="B157" s="6" t="s">
        <v>274</v>
      </c>
      <c r="C157" s="6" t="s">
        <v>133</v>
      </c>
      <c r="D157" s="6" t="s">
        <v>22</v>
      </c>
      <c r="E157" s="6" t="n">
        <f aca="false">ROUND(15170*1.05,2)</f>
        <v>15928.5</v>
      </c>
      <c r="F157" s="6" t="s">
        <v>52</v>
      </c>
      <c r="G157" s="6" t="s">
        <v>24</v>
      </c>
      <c r="H157" s="6" t="n">
        <f aca="true">ROUND(RAND()*4+6,1)</f>
        <v>8.1</v>
      </c>
      <c r="I157" s="6" t="s">
        <v>25</v>
      </c>
      <c r="J157" s="6" t="str">
        <f aca="false">ROUND(62*1,0)&amp;"%"</f>
        <v>62%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700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701</v>
      </c>
      <c r="B162" s="5" t="s">
        <v>278</v>
      </c>
      <c r="C162" s="5" t="s">
        <v>152</v>
      </c>
      <c r="D162" s="5" t="s">
        <v>16</v>
      </c>
      <c r="E162" s="5" t="n">
        <f aca="false">ROUND(9371*1.05,2)</f>
        <v>9839.55</v>
      </c>
      <c r="F162" s="5" t="s">
        <v>17</v>
      </c>
      <c r="G162" s="5" t="s">
        <v>18</v>
      </c>
      <c r="H162" s="5" t="n">
        <f aca="true">ROUND(RAND()*4+6,1)</f>
        <v>6.1</v>
      </c>
      <c r="I162" s="5" t="s">
        <v>19</v>
      </c>
      <c r="J162" s="5" t="str">
        <f aca="false">ROUND(78*1,0)&amp;"%"</f>
        <v>78%</v>
      </c>
    </row>
    <row r="163" customFormat="false" ht="15" hidden="false" customHeight="false" outlineLevel="0" collapsed="false">
      <c r="A163" s="6" t="s">
        <v>702</v>
      </c>
      <c r="B163" s="6" t="s">
        <v>280</v>
      </c>
      <c r="C163" s="6" t="s">
        <v>152</v>
      </c>
      <c r="D163" s="6" t="s">
        <v>22</v>
      </c>
      <c r="E163" s="6" t="n">
        <f aca="false">ROUND(14951*1.05,2)</f>
        <v>15698.55</v>
      </c>
      <c r="F163" s="6" t="s">
        <v>23</v>
      </c>
      <c r="G163" s="6" t="s">
        <v>24</v>
      </c>
      <c r="H163" s="6" t="n">
        <f aca="true">ROUND(RAND()*4+6,1)</f>
        <v>8.5</v>
      </c>
      <c r="I163" s="6" t="s">
        <v>25</v>
      </c>
      <c r="J163" s="6" t="str">
        <f aca="false">ROUND(75*1,0)&amp;"%"</f>
        <v>75%</v>
      </c>
    </row>
    <row r="164" customFormat="false" ht="15" hidden="false" customHeight="false" outlineLevel="0" collapsed="false">
      <c r="A164" s="5" t="s">
        <v>703</v>
      </c>
      <c r="B164" s="5" t="s">
        <v>282</v>
      </c>
      <c r="C164" s="5" t="s">
        <v>152</v>
      </c>
      <c r="D164" s="5" t="s">
        <v>28</v>
      </c>
      <c r="E164" s="5" t="n">
        <f aca="false">ROUND(14998*1.05,2)</f>
        <v>15747.9</v>
      </c>
      <c r="F164" s="5" t="s">
        <v>29</v>
      </c>
      <c r="G164" s="5" t="s">
        <v>30</v>
      </c>
      <c r="H164" s="5" t="n">
        <f aca="true">ROUND(RAND()*4+6,1)</f>
        <v>9.8</v>
      </c>
      <c r="I164" s="5" t="s">
        <v>31</v>
      </c>
      <c r="J164" s="5" t="str">
        <f aca="false">ROUND(60*1,0)&amp;"%"</f>
        <v>60%</v>
      </c>
    </row>
    <row r="165" customFormat="false" ht="15" hidden="false" customHeight="false" outlineLevel="0" collapsed="false">
      <c r="A165" s="6" t="s">
        <v>704</v>
      </c>
      <c r="B165" s="6" t="s">
        <v>284</v>
      </c>
      <c r="C165" s="6" t="s">
        <v>152</v>
      </c>
      <c r="D165" s="6" t="s">
        <v>34</v>
      </c>
      <c r="E165" s="6" t="n">
        <f aca="false">ROUND(10503*1.05,2)</f>
        <v>11028.15</v>
      </c>
      <c r="F165" s="6" t="s">
        <v>35</v>
      </c>
      <c r="G165" s="6" t="s">
        <v>18</v>
      </c>
      <c r="H165" s="6" t="n">
        <f aca="true">ROUND(RAND()*4+6,1)</f>
        <v>6.2</v>
      </c>
      <c r="I165" s="6" t="s">
        <v>36</v>
      </c>
      <c r="J165" s="6" t="str">
        <f aca="false">ROUND(93*1,0)&amp;"%"</f>
        <v>93%</v>
      </c>
    </row>
    <row r="166" customFormat="false" ht="15" hidden="false" customHeight="false" outlineLevel="0" collapsed="false">
      <c r="A166" s="5" t="s">
        <v>705</v>
      </c>
      <c r="B166" s="5" t="s">
        <v>286</v>
      </c>
      <c r="C166" s="5" t="s">
        <v>152</v>
      </c>
      <c r="D166" s="5" t="s">
        <v>39</v>
      </c>
      <c r="E166" s="5" t="n">
        <f aca="false">ROUND(17345*1.05,2)</f>
        <v>18212.25</v>
      </c>
      <c r="F166" s="5" t="s">
        <v>40</v>
      </c>
      <c r="G166" s="5" t="s">
        <v>24</v>
      </c>
      <c r="H166" s="5" t="n">
        <f aca="true">ROUND(RAND()*4+6,1)</f>
        <v>6.4</v>
      </c>
      <c r="I166" s="5" t="s">
        <v>41</v>
      </c>
      <c r="J166" s="5" t="str">
        <f aca="false">ROUND(75*1,0)&amp;"%"</f>
        <v>75%</v>
      </c>
    </row>
    <row r="167" customFormat="false" ht="15" hidden="false" customHeight="false" outlineLevel="0" collapsed="false">
      <c r="A167" s="6" t="s">
        <v>706</v>
      </c>
      <c r="B167" s="6" t="s">
        <v>288</v>
      </c>
      <c r="C167" s="6" t="s">
        <v>152</v>
      </c>
      <c r="D167" s="6" t="s">
        <v>44</v>
      </c>
      <c r="E167" s="6" t="n">
        <f aca="false">ROUND(15611*1.05,2)</f>
        <v>16391.55</v>
      </c>
      <c r="F167" s="6" t="s">
        <v>45</v>
      </c>
      <c r="G167" s="6" t="s">
        <v>30</v>
      </c>
      <c r="H167" s="6" t="n">
        <f aca="true">ROUND(RAND()*4+6,1)</f>
        <v>6.9</v>
      </c>
      <c r="I167" s="6" t="s">
        <v>46</v>
      </c>
      <c r="J167" s="6" t="str">
        <f aca="false">ROUND(68*1,0)&amp;"%"</f>
        <v>68%</v>
      </c>
    </row>
    <row r="168" customFormat="false" ht="15" hidden="false" customHeight="false" outlineLevel="0" collapsed="false">
      <c r="A168" s="5" t="s">
        <v>707</v>
      </c>
      <c r="B168" s="5" t="s">
        <v>290</v>
      </c>
      <c r="C168" s="5" t="s">
        <v>152</v>
      </c>
      <c r="D168" s="5" t="s">
        <v>16</v>
      </c>
      <c r="E168" s="5" t="n">
        <f aca="false">ROUND(13732*1.05,2)</f>
        <v>14418.6</v>
      </c>
      <c r="F168" s="5" t="s">
        <v>49</v>
      </c>
      <c r="G168" s="5" t="s">
        <v>18</v>
      </c>
      <c r="H168" s="5" t="n">
        <f aca="true">ROUND(RAND()*4+6,1)</f>
        <v>9.7</v>
      </c>
      <c r="I168" s="5" t="s">
        <v>19</v>
      </c>
      <c r="J168" s="5" t="str">
        <f aca="false">ROUND(83*1,0)&amp;"%"</f>
        <v>83%</v>
      </c>
    </row>
    <row r="169" customFormat="false" ht="15" hidden="false" customHeight="false" outlineLevel="0" collapsed="false">
      <c r="A169" s="6" t="s">
        <v>708</v>
      </c>
      <c r="B169" s="6" t="s">
        <v>292</v>
      </c>
      <c r="C169" s="6" t="s">
        <v>152</v>
      </c>
      <c r="D169" s="6" t="s">
        <v>22</v>
      </c>
      <c r="E169" s="6" t="n">
        <f aca="false">ROUND(4255*1.05,2)</f>
        <v>4467.75</v>
      </c>
      <c r="F169" s="6" t="s">
        <v>52</v>
      </c>
      <c r="G169" s="6" t="s">
        <v>24</v>
      </c>
      <c r="H169" s="6" t="n">
        <f aca="true">ROUND(RAND()*4+6,1)</f>
        <v>6.5</v>
      </c>
      <c r="I169" s="6" t="s">
        <v>25</v>
      </c>
      <c r="J169" s="6" t="str">
        <f aca="false">ROUND(74*1,0)&amp;"%"</f>
        <v>74%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709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710</v>
      </c>
      <c r="B174" s="5" t="s">
        <v>296</v>
      </c>
      <c r="C174" s="5" t="s">
        <v>15</v>
      </c>
      <c r="D174" s="5" t="s">
        <v>16</v>
      </c>
      <c r="E174" s="5" t="n">
        <f aca="false">ROUND(7016*1.05,2)</f>
        <v>7366.8</v>
      </c>
      <c r="F174" s="5" t="s">
        <v>17</v>
      </c>
      <c r="G174" s="5" t="s">
        <v>18</v>
      </c>
      <c r="H174" s="5" t="n">
        <f aca="true">ROUND(RAND()*4+6,1)</f>
        <v>7.2</v>
      </c>
      <c r="I174" s="5" t="s">
        <v>19</v>
      </c>
      <c r="J174" s="5" t="str">
        <f aca="false">ROUND(99*1,0)&amp;"%"</f>
        <v>99%</v>
      </c>
    </row>
    <row r="175" customFormat="false" ht="15" hidden="false" customHeight="false" outlineLevel="0" collapsed="false">
      <c r="A175" s="6" t="s">
        <v>711</v>
      </c>
      <c r="B175" s="6" t="s">
        <v>298</v>
      </c>
      <c r="C175" s="6" t="s">
        <v>15</v>
      </c>
      <c r="D175" s="6" t="s">
        <v>22</v>
      </c>
      <c r="E175" s="6" t="n">
        <f aca="false">ROUND(13527*1.05,2)</f>
        <v>14203.35</v>
      </c>
      <c r="F175" s="6" t="s">
        <v>23</v>
      </c>
      <c r="G175" s="6" t="s">
        <v>24</v>
      </c>
      <c r="H175" s="6" t="n">
        <f aca="true">ROUND(RAND()*4+6,1)</f>
        <v>6.9</v>
      </c>
      <c r="I175" s="6" t="s">
        <v>25</v>
      </c>
      <c r="J175" s="6" t="str">
        <f aca="false">ROUND(69*1,0)&amp;"%"</f>
        <v>69%</v>
      </c>
    </row>
    <row r="176" customFormat="false" ht="15" hidden="false" customHeight="false" outlineLevel="0" collapsed="false">
      <c r="A176" s="5" t="s">
        <v>712</v>
      </c>
      <c r="B176" s="5" t="s">
        <v>300</v>
      </c>
      <c r="C176" s="5" t="s">
        <v>15</v>
      </c>
      <c r="D176" s="5" t="s">
        <v>28</v>
      </c>
      <c r="E176" s="5" t="n">
        <f aca="false">ROUND(14190*1.05,2)</f>
        <v>14899.5</v>
      </c>
      <c r="F176" s="5" t="s">
        <v>29</v>
      </c>
      <c r="G176" s="5" t="s">
        <v>30</v>
      </c>
      <c r="H176" s="5" t="n">
        <f aca="true">ROUND(RAND()*4+6,1)</f>
        <v>7.4</v>
      </c>
      <c r="I176" s="5" t="s">
        <v>31</v>
      </c>
      <c r="J176" s="5" t="str">
        <f aca="false">ROUND(98*1,0)&amp;"%"</f>
        <v>98%</v>
      </c>
    </row>
    <row r="177" customFormat="false" ht="15" hidden="false" customHeight="false" outlineLevel="0" collapsed="false">
      <c r="A177" s="6" t="s">
        <v>713</v>
      </c>
      <c r="B177" s="6" t="s">
        <v>302</v>
      </c>
      <c r="C177" s="6" t="s">
        <v>15</v>
      </c>
      <c r="D177" s="6" t="s">
        <v>34</v>
      </c>
      <c r="E177" s="6" t="n">
        <f aca="false">ROUND(15831*1.05,2)</f>
        <v>16622.55</v>
      </c>
      <c r="F177" s="6" t="s">
        <v>35</v>
      </c>
      <c r="G177" s="6" t="s">
        <v>18</v>
      </c>
      <c r="H177" s="6" t="n">
        <f aca="true">ROUND(RAND()*4+6,1)</f>
        <v>8.2</v>
      </c>
      <c r="I177" s="6" t="s">
        <v>36</v>
      </c>
      <c r="J177" s="6" t="str">
        <f aca="false">ROUND(81*1,0)&amp;"%"</f>
        <v>81%</v>
      </c>
    </row>
    <row r="178" customFormat="false" ht="15" hidden="false" customHeight="false" outlineLevel="0" collapsed="false">
      <c r="A178" s="5" t="s">
        <v>714</v>
      </c>
      <c r="B178" s="5" t="s">
        <v>304</v>
      </c>
      <c r="C178" s="5" t="s">
        <v>15</v>
      </c>
      <c r="D178" s="5" t="s">
        <v>39</v>
      </c>
      <c r="E178" s="5" t="n">
        <f aca="false">ROUND(12635*1.05,2)</f>
        <v>13266.75</v>
      </c>
      <c r="F178" s="5" t="s">
        <v>40</v>
      </c>
      <c r="G178" s="5" t="s">
        <v>24</v>
      </c>
      <c r="H178" s="5" t="n">
        <f aca="true">ROUND(RAND()*4+6,1)</f>
        <v>10</v>
      </c>
      <c r="I178" s="5" t="s">
        <v>41</v>
      </c>
      <c r="J178" s="5" t="str">
        <f aca="false">ROUND(80*1,0)&amp;"%"</f>
        <v>80%</v>
      </c>
    </row>
    <row r="179" customFormat="false" ht="15" hidden="false" customHeight="false" outlineLevel="0" collapsed="false">
      <c r="A179" s="6" t="s">
        <v>715</v>
      </c>
      <c r="B179" s="6" t="s">
        <v>306</v>
      </c>
      <c r="C179" s="6" t="s">
        <v>15</v>
      </c>
      <c r="D179" s="6" t="s">
        <v>44</v>
      </c>
      <c r="E179" s="6" t="n">
        <f aca="false">ROUND(13974*1.05,2)</f>
        <v>14672.7</v>
      </c>
      <c r="F179" s="6" t="s">
        <v>45</v>
      </c>
      <c r="G179" s="6" t="s">
        <v>30</v>
      </c>
      <c r="H179" s="6" t="n">
        <f aca="true">ROUND(RAND()*4+6,1)</f>
        <v>7.6</v>
      </c>
      <c r="I179" s="6" t="s">
        <v>46</v>
      </c>
      <c r="J179" s="6" t="str">
        <f aca="false">ROUND(64*1,0)&amp;"%"</f>
        <v>64%</v>
      </c>
    </row>
    <row r="180" customFormat="false" ht="15" hidden="false" customHeight="false" outlineLevel="0" collapsed="false">
      <c r="A180" s="5" t="s">
        <v>716</v>
      </c>
      <c r="B180" s="5" t="s">
        <v>308</v>
      </c>
      <c r="C180" s="5" t="s">
        <v>15</v>
      </c>
      <c r="D180" s="5" t="s">
        <v>16</v>
      </c>
      <c r="E180" s="5" t="n">
        <f aca="false">ROUND(12901*1.05,2)</f>
        <v>13546.05</v>
      </c>
      <c r="F180" s="5" t="s">
        <v>49</v>
      </c>
      <c r="G180" s="5" t="s">
        <v>18</v>
      </c>
      <c r="H180" s="5" t="n">
        <f aca="true">ROUND(RAND()*4+6,1)</f>
        <v>8.8</v>
      </c>
      <c r="I180" s="5" t="s">
        <v>19</v>
      </c>
      <c r="J180" s="5" t="str">
        <f aca="false">ROUND(95*1,0)&amp;"%"</f>
        <v>95%</v>
      </c>
    </row>
    <row r="181" customFormat="false" ht="15" hidden="false" customHeight="false" outlineLevel="0" collapsed="false">
      <c r="A181" s="6" t="s">
        <v>717</v>
      </c>
      <c r="B181" s="6" t="s">
        <v>310</v>
      </c>
      <c r="C181" s="6" t="s">
        <v>15</v>
      </c>
      <c r="D181" s="6" t="s">
        <v>22</v>
      </c>
      <c r="E181" s="6" t="n">
        <f aca="false">ROUND(5121*1.05,2)</f>
        <v>5377.05</v>
      </c>
      <c r="F181" s="6" t="s">
        <v>52</v>
      </c>
      <c r="G181" s="6" t="s">
        <v>24</v>
      </c>
      <c r="H181" s="6" t="n">
        <f aca="true">ROUND(RAND()*4+6,1)</f>
        <v>7.4</v>
      </c>
      <c r="I181" s="6" t="s">
        <v>25</v>
      </c>
      <c r="J181" s="6" t="str">
        <f aca="false">ROUND(83*1,0)&amp;"%"</f>
        <v>83%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718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719</v>
      </c>
      <c r="B186" s="5" t="s">
        <v>314</v>
      </c>
      <c r="C186" s="5" t="s">
        <v>57</v>
      </c>
      <c r="D186" s="5" t="s">
        <v>16</v>
      </c>
      <c r="E186" s="5" t="n">
        <f aca="false">ROUND(6699*1.05,2)</f>
        <v>7033.95</v>
      </c>
      <c r="F186" s="5" t="s">
        <v>17</v>
      </c>
      <c r="G186" s="5" t="s">
        <v>18</v>
      </c>
      <c r="H186" s="5" t="n">
        <f aca="true">ROUND(RAND()*4+6,1)</f>
        <v>8.1</v>
      </c>
      <c r="I186" s="5" t="s">
        <v>19</v>
      </c>
      <c r="J186" s="5" t="str">
        <f aca="false">ROUND(80*1,0)&amp;"%"</f>
        <v>80%</v>
      </c>
    </row>
    <row r="187" customFormat="false" ht="15" hidden="false" customHeight="false" outlineLevel="0" collapsed="false">
      <c r="A187" s="6" t="s">
        <v>720</v>
      </c>
      <c r="B187" s="6" t="s">
        <v>316</v>
      </c>
      <c r="C187" s="6" t="s">
        <v>57</v>
      </c>
      <c r="D187" s="6" t="s">
        <v>22</v>
      </c>
      <c r="E187" s="6" t="n">
        <f aca="false">ROUND(14650*1.05,2)</f>
        <v>15382.5</v>
      </c>
      <c r="F187" s="6" t="s">
        <v>23</v>
      </c>
      <c r="G187" s="6" t="s">
        <v>24</v>
      </c>
      <c r="H187" s="6" t="n">
        <f aca="true">ROUND(RAND()*4+6,1)</f>
        <v>6.1</v>
      </c>
      <c r="I187" s="6" t="s">
        <v>25</v>
      </c>
      <c r="J187" s="6" t="str">
        <f aca="false">ROUND(83*1,0)&amp;"%"</f>
        <v>83%</v>
      </c>
    </row>
    <row r="188" customFormat="false" ht="15" hidden="false" customHeight="false" outlineLevel="0" collapsed="false">
      <c r="A188" s="5" t="s">
        <v>721</v>
      </c>
      <c r="B188" s="5" t="s">
        <v>318</v>
      </c>
      <c r="C188" s="5" t="s">
        <v>57</v>
      </c>
      <c r="D188" s="5" t="s">
        <v>28</v>
      </c>
      <c r="E188" s="5" t="n">
        <f aca="false">ROUND(4492*1.05,2)</f>
        <v>4716.6</v>
      </c>
      <c r="F188" s="5" t="s">
        <v>29</v>
      </c>
      <c r="G188" s="5" t="s">
        <v>30</v>
      </c>
      <c r="H188" s="5" t="n">
        <f aca="true">ROUND(RAND()*4+6,1)</f>
        <v>8.5</v>
      </c>
      <c r="I188" s="5" t="s">
        <v>31</v>
      </c>
      <c r="J188" s="5" t="str">
        <f aca="false">ROUND(69*1,0)&amp;"%"</f>
        <v>69%</v>
      </c>
    </row>
    <row r="189" customFormat="false" ht="15" hidden="false" customHeight="false" outlineLevel="0" collapsed="false">
      <c r="A189" s="6" t="s">
        <v>722</v>
      </c>
      <c r="B189" s="6" t="s">
        <v>320</v>
      </c>
      <c r="C189" s="6" t="s">
        <v>57</v>
      </c>
      <c r="D189" s="6" t="s">
        <v>34</v>
      </c>
      <c r="E189" s="6" t="n">
        <f aca="false">ROUND(11606*1.05,2)</f>
        <v>12186.3</v>
      </c>
      <c r="F189" s="6" t="s">
        <v>35</v>
      </c>
      <c r="G189" s="6" t="s">
        <v>18</v>
      </c>
      <c r="H189" s="6" t="n">
        <f aca="true">ROUND(RAND()*4+6,1)</f>
        <v>7.5</v>
      </c>
      <c r="I189" s="6" t="s">
        <v>36</v>
      </c>
      <c r="J189" s="6" t="str">
        <f aca="false">ROUND(64*1,0)&amp;"%"</f>
        <v>64%</v>
      </c>
    </row>
    <row r="190" customFormat="false" ht="15" hidden="false" customHeight="false" outlineLevel="0" collapsed="false">
      <c r="A190" s="5" t="s">
        <v>723</v>
      </c>
      <c r="B190" s="5" t="s">
        <v>322</v>
      </c>
      <c r="C190" s="5" t="s">
        <v>57</v>
      </c>
      <c r="D190" s="5" t="s">
        <v>39</v>
      </c>
      <c r="E190" s="5" t="n">
        <f aca="false">ROUND(17221*1.05,2)</f>
        <v>18082.05</v>
      </c>
      <c r="F190" s="5" t="s">
        <v>40</v>
      </c>
      <c r="G190" s="5" t="s">
        <v>24</v>
      </c>
      <c r="H190" s="5" t="n">
        <f aca="true">ROUND(RAND()*4+6,1)</f>
        <v>9.9</v>
      </c>
      <c r="I190" s="5" t="s">
        <v>41</v>
      </c>
      <c r="J190" s="5" t="str">
        <f aca="false">ROUND(85*1,0)&amp;"%"</f>
        <v>85%</v>
      </c>
    </row>
    <row r="191" customFormat="false" ht="15" hidden="false" customHeight="false" outlineLevel="0" collapsed="false">
      <c r="A191" s="6" t="s">
        <v>724</v>
      </c>
      <c r="B191" s="6" t="s">
        <v>324</v>
      </c>
      <c r="C191" s="6" t="s">
        <v>57</v>
      </c>
      <c r="D191" s="6" t="s">
        <v>44</v>
      </c>
      <c r="E191" s="6" t="n">
        <f aca="false">ROUND(7345*1.05,2)</f>
        <v>7712.25</v>
      </c>
      <c r="F191" s="6" t="s">
        <v>45</v>
      </c>
      <c r="G191" s="6" t="s">
        <v>30</v>
      </c>
      <c r="H191" s="6" t="n">
        <f aca="true">ROUND(RAND()*4+6,1)</f>
        <v>7.7</v>
      </c>
      <c r="I191" s="6" t="s">
        <v>46</v>
      </c>
      <c r="J191" s="6" t="str">
        <f aca="false">ROUND(76*1,0)&amp;"%"</f>
        <v>76%</v>
      </c>
    </row>
    <row r="192" customFormat="false" ht="15" hidden="false" customHeight="false" outlineLevel="0" collapsed="false">
      <c r="A192" s="5" t="s">
        <v>725</v>
      </c>
      <c r="B192" s="5" t="s">
        <v>326</v>
      </c>
      <c r="C192" s="5" t="s">
        <v>57</v>
      </c>
      <c r="D192" s="5" t="s">
        <v>16</v>
      </c>
      <c r="E192" s="5" t="n">
        <f aca="false">ROUND(7239*1.05,2)</f>
        <v>7600.95</v>
      </c>
      <c r="F192" s="5" t="s">
        <v>49</v>
      </c>
      <c r="G192" s="5" t="s">
        <v>18</v>
      </c>
      <c r="H192" s="5" t="n">
        <f aca="true">ROUND(RAND()*4+6,1)</f>
        <v>8.3</v>
      </c>
      <c r="I192" s="5" t="s">
        <v>19</v>
      </c>
      <c r="J192" s="5" t="str">
        <f aca="false">ROUND(67*1,0)&amp;"%"</f>
        <v>67%</v>
      </c>
    </row>
    <row r="193" customFormat="false" ht="15" hidden="false" customHeight="false" outlineLevel="0" collapsed="false">
      <c r="A193" s="6" t="s">
        <v>726</v>
      </c>
      <c r="B193" s="6" t="s">
        <v>328</v>
      </c>
      <c r="C193" s="6" t="s">
        <v>57</v>
      </c>
      <c r="D193" s="6" t="s">
        <v>22</v>
      </c>
      <c r="E193" s="6" t="n">
        <f aca="false">ROUND(13788*1.05,2)</f>
        <v>14477.4</v>
      </c>
      <c r="F193" s="6" t="s">
        <v>52</v>
      </c>
      <c r="G193" s="6" t="s">
        <v>24</v>
      </c>
      <c r="H193" s="6" t="n">
        <f aca="true">ROUND(RAND()*4+6,1)</f>
        <v>6.8</v>
      </c>
      <c r="I193" s="6" t="s">
        <v>25</v>
      </c>
      <c r="J193" s="6" t="str">
        <f aca="false">ROUND(90*1,0)&amp;"%"</f>
        <v>90%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727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728</v>
      </c>
      <c r="B198" s="5" t="s">
        <v>332</v>
      </c>
      <c r="C198" s="5" t="s">
        <v>76</v>
      </c>
      <c r="D198" s="5" t="s">
        <v>16</v>
      </c>
      <c r="E198" s="5" t="n">
        <f aca="false">ROUND(16861*1.05,2)</f>
        <v>17704.05</v>
      </c>
      <c r="F198" s="5" t="s">
        <v>17</v>
      </c>
      <c r="G198" s="5" t="s">
        <v>18</v>
      </c>
      <c r="H198" s="5" t="n">
        <f aca="true">ROUND(RAND()*4+6,1)</f>
        <v>6.3</v>
      </c>
      <c r="I198" s="5" t="s">
        <v>19</v>
      </c>
      <c r="J198" s="5" t="str">
        <f aca="false">ROUND(86*1,0)&amp;"%"</f>
        <v>86%</v>
      </c>
    </row>
    <row r="199" customFormat="false" ht="15" hidden="false" customHeight="false" outlineLevel="0" collapsed="false">
      <c r="A199" s="6" t="s">
        <v>729</v>
      </c>
      <c r="B199" s="6" t="s">
        <v>334</v>
      </c>
      <c r="C199" s="6" t="s">
        <v>76</v>
      </c>
      <c r="D199" s="6" t="s">
        <v>22</v>
      </c>
      <c r="E199" s="6" t="n">
        <f aca="false">ROUND(14251*1.05,2)</f>
        <v>14963.55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ROUND(79*1,0)&amp;"%"</f>
        <v>79%</v>
      </c>
    </row>
    <row r="200" customFormat="false" ht="15" hidden="false" customHeight="false" outlineLevel="0" collapsed="false">
      <c r="A200" s="5" t="s">
        <v>730</v>
      </c>
      <c r="B200" s="5" t="s">
        <v>336</v>
      </c>
      <c r="C200" s="5" t="s">
        <v>76</v>
      </c>
      <c r="D200" s="5" t="s">
        <v>28</v>
      </c>
      <c r="E200" s="5" t="n">
        <f aca="false">ROUND(7245*1.05,2)</f>
        <v>7607.25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ROUND(96*1,0)&amp;"%"</f>
        <v>96%</v>
      </c>
    </row>
    <row r="201" customFormat="false" ht="15" hidden="false" customHeight="false" outlineLevel="0" collapsed="false">
      <c r="A201" s="6" t="s">
        <v>731</v>
      </c>
      <c r="B201" s="6" t="s">
        <v>338</v>
      </c>
      <c r="C201" s="6" t="s">
        <v>76</v>
      </c>
      <c r="D201" s="6" t="s">
        <v>34</v>
      </c>
      <c r="E201" s="6" t="n">
        <f aca="false">ROUND(6496*1.05,2)</f>
        <v>6820.8</v>
      </c>
      <c r="F201" s="6" t="s">
        <v>35</v>
      </c>
      <c r="G201" s="6" t="s">
        <v>18</v>
      </c>
      <c r="H201" s="6" t="n">
        <f aca="true">ROUND(RAND()*4+6,1)</f>
        <v>8.2</v>
      </c>
      <c r="I201" s="6" t="s">
        <v>36</v>
      </c>
      <c r="J201" s="6" t="str">
        <f aca="false">ROUND(97*1,0)&amp;"%"</f>
        <v>97%</v>
      </c>
    </row>
    <row r="202" customFormat="false" ht="15" hidden="false" customHeight="false" outlineLevel="0" collapsed="false">
      <c r="A202" s="5" t="s">
        <v>732</v>
      </c>
      <c r="B202" s="5" t="s">
        <v>340</v>
      </c>
      <c r="C202" s="5" t="s">
        <v>76</v>
      </c>
      <c r="D202" s="5" t="s">
        <v>39</v>
      </c>
      <c r="E202" s="5" t="n">
        <f aca="false">ROUND(11529*1.05,2)</f>
        <v>12105.45</v>
      </c>
      <c r="F202" s="5" t="s">
        <v>40</v>
      </c>
      <c r="G202" s="5" t="s">
        <v>24</v>
      </c>
      <c r="H202" s="5" t="n">
        <f aca="true">ROUND(RAND()*4+6,1)</f>
        <v>6.5</v>
      </c>
      <c r="I202" s="5" t="s">
        <v>41</v>
      </c>
      <c r="J202" s="5" t="str">
        <f aca="false">ROUND(93*1,0)&amp;"%"</f>
        <v>93%</v>
      </c>
    </row>
    <row r="203" customFormat="false" ht="15" hidden="false" customHeight="false" outlineLevel="0" collapsed="false">
      <c r="A203" s="6" t="s">
        <v>733</v>
      </c>
      <c r="B203" s="6" t="s">
        <v>342</v>
      </c>
      <c r="C203" s="6" t="s">
        <v>76</v>
      </c>
      <c r="D203" s="6" t="s">
        <v>44</v>
      </c>
      <c r="E203" s="6" t="n">
        <f aca="false">ROUND(16517*1.05,2)</f>
        <v>17342.85</v>
      </c>
      <c r="F203" s="6" t="s">
        <v>45</v>
      </c>
      <c r="G203" s="6" t="s">
        <v>30</v>
      </c>
      <c r="H203" s="6" t="n">
        <f aca="true">ROUND(RAND()*4+6,1)</f>
        <v>6.9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734</v>
      </c>
      <c r="B204" s="5" t="s">
        <v>344</v>
      </c>
      <c r="C204" s="5" t="s">
        <v>76</v>
      </c>
      <c r="D204" s="5" t="s">
        <v>16</v>
      </c>
      <c r="E204" s="5" t="n">
        <f aca="false">ROUND(8767*1.05,2)</f>
        <v>9205.35</v>
      </c>
      <c r="F204" s="5" t="s">
        <v>49</v>
      </c>
      <c r="G204" s="5" t="s">
        <v>18</v>
      </c>
      <c r="H204" s="5" t="n">
        <f aca="true">ROUND(RAND()*4+6,1)</f>
        <v>7.1</v>
      </c>
      <c r="I204" s="5" t="s">
        <v>19</v>
      </c>
      <c r="J204" s="5" t="str">
        <f aca="false">ROUND(70*1,0)&amp;"%"</f>
        <v>70%</v>
      </c>
    </row>
    <row r="205" customFormat="false" ht="15" hidden="false" customHeight="false" outlineLevel="0" collapsed="false">
      <c r="A205" s="6" t="s">
        <v>735</v>
      </c>
      <c r="B205" s="6" t="s">
        <v>346</v>
      </c>
      <c r="C205" s="6" t="s">
        <v>76</v>
      </c>
      <c r="D205" s="6" t="s">
        <v>22</v>
      </c>
      <c r="E205" s="6" t="n">
        <f aca="false">ROUND(8662*1.05,2)</f>
        <v>9095.1</v>
      </c>
      <c r="F205" s="6" t="s">
        <v>52</v>
      </c>
      <c r="G205" s="6" t="s">
        <v>24</v>
      </c>
      <c r="H205" s="6" t="n">
        <f aca="true">ROUND(RAND()*4+6,1)</f>
        <v>7.1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736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737</v>
      </c>
      <c r="B210" s="5" t="s">
        <v>350</v>
      </c>
      <c r="C210" s="5" t="s">
        <v>95</v>
      </c>
      <c r="D210" s="5" t="s">
        <v>16</v>
      </c>
      <c r="E210" s="5" t="n">
        <f aca="false">ROUND(4796*1.05,2)</f>
        <v>5035.8</v>
      </c>
      <c r="F210" s="5" t="s">
        <v>17</v>
      </c>
      <c r="G210" s="5" t="s">
        <v>18</v>
      </c>
      <c r="H210" s="5" t="n">
        <f aca="true">ROUND(RAND()*4+6,1)</f>
        <v>7.8</v>
      </c>
      <c r="I210" s="5" t="s">
        <v>19</v>
      </c>
      <c r="J210" s="5" t="str">
        <f aca="false">ROUND(64*1,0)&amp;"%"</f>
        <v>64%</v>
      </c>
    </row>
    <row r="211" customFormat="false" ht="15" hidden="false" customHeight="false" outlineLevel="0" collapsed="false">
      <c r="A211" s="6" t="s">
        <v>738</v>
      </c>
      <c r="B211" s="6" t="s">
        <v>352</v>
      </c>
      <c r="C211" s="6" t="s">
        <v>95</v>
      </c>
      <c r="D211" s="6" t="s">
        <v>22</v>
      </c>
      <c r="E211" s="6" t="n">
        <f aca="false">ROUND(7080*1.05,2)</f>
        <v>7434</v>
      </c>
      <c r="F211" s="6" t="s">
        <v>23</v>
      </c>
      <c r="G211" s="6" t="s">
        <v>24</v>
      </c>
      <c r="H211" s="6" t="n">
        <f aca="true">ROUND(RAND()*4+6,1)</f>
        <v>8.1</v>
      </c>
      <c r="I211" s="6" t="s">
        <v>25</v>
      </c>
      <c r="J211" s="6" t="str">
        <f aca="false">ROUND(66*1,0)&amp;"%"</f>
        <v>66%</v>
      </c>
    </row>
    <row r="212" customFormat="false" ht="15" hidden="false" customHeight="false" outlineLevel="0" collapsed="false">
      <c r="A212" s="5" t="s">
        <v>739</v>
      </c>
      <c r="B212" s="5" t="s">
        <v>354</v>
      </c>
      <c r="C212" s="5" t="s">
        <v>95</v>
      </c>
      <c r="D212" s="5" t="s">
        <v>28</v>
      </c>
      <c r="E212" s="5" t="n">
        <f aca="false">ROUND(12086*1.05,2)</f>
        <v>12690.3</v>
      </c>
      <c r="F212" s="5" t="s">
        <v>29</v>
      </c>
      <c r="G212" s="5" t="s">
        <v>30</v>
      </c>
      <c r="H212" s="5" t="n">
        <f aca="true">ROUND(RAND()*4+6,1)</f>
        <v>9</v>
      </c>
      <c r="I212" s="5" t="s">
        <v>31</v>
      </c>
      <c r="J212" s="5" t="str">
        <f aca="false">ROUND(86*1,0)&amp;"%"</f>
        <v>86%</v>
      </c>
    </row>
    <row r="213" customFormat="false" ht="15" hidden="false" customHeight="false" outlineLevel="0" collapsed="false">
      <c r="A213" s="6" t="s">
        <v>740</v>
      </c>
      <c r="B213" s="6" t="s">
        <v>356</v>
      </c>
      <c r="C213" s="6" t="s">
        <v>95</v>
      </c>
      <c r="D213" s="6" t="s">
        <v>34</v>
      </c>
      <c r="E213" s="6" t="n">
        <f aca="false">ROUND(14361*1.05,2)</f>
        <v>15079.05</v>
      </c>
      <c r="F213" s="6" t="s">
        <v>35</v>
      </c>
      <c r="G213" s="6" t="s">
        <v>18</v>
      </c>
      <c r="H213" s="6" t="n">
        <f aca="true">ROUND(RAND()*4+6,1)</f>
        <v>7.9</v>
      </c>
      <c r="I213" s="6" t="s">
        <v>36</v>
      </c>
      <c r="J213" s="6" t="str">
        <f aca="false">ROUND(84*1,0)&amp;"%"</f>
        <v>84%</v>
      </c>
    </row>
    <row r="214" customFormat="false" ht="15" hidden="false" customHeight="false" outlineLevel="0" collapsed="false">
      <c r="A214" s="5" t="s">
        <v>741</v>
      </c>
      <c r="B214" s="5" t="s">
        <v>358</v>
      </c>
      <c r="C214" s="5" t="s">
        <v>95</v>
      </c>
      <c r="D214" s="5" t="s">
        <v>39</v>
      </c>
      <c r="E214" s="5" t="n">
        <f aca="false">ROUND(12313*1.05,2)</f>
        <v>12928.65</v>
      </c>
      <c r="F214" s="5" t="s">
        <v>40</v>
      </c>
      <c r="G214" s="5" t="s">
        <v>24</v>
      </c>
      <c r="H214" s="5" t="n">
        <f aca="true">ROUND(RAND()*4+6,1)</f>
        <v>8.2</v>
      </c>
      <c r="I214" s="5" t="s">
        <v>41</v>
      </c>
      <c r="J214" s="5" t="str">
        <f aca="false">ROUND(62*1,0)&amp;"%"</f>
        <v>62%</v>
      </c>
    </row>
    <row r="215" customFormat="false" ht="15" hidden="false" customHeight="false" outlineLevel="0" collapsed="false">
      <c r="A215" s="6" t="s">
        <v>742</v>
      </c>
      <c r="B215" s="6" t="s">
        <v>360</v>
      </c>
      <c r="C215" s="6" t="s">
        <v>95</v>
      </c>
      <c r="D215" s="6" t="s">
        <v>44</v>
      </c>
      <c r="E215" s="6" t="n">
        <f aca="false">ROUND(13674*1.05,2)</f>
        <v>14357.7</v>
      </c>
      <c r="F215" s="6" t="s">
        <v>45</v>
      </c>
      <c r="G215" s="6" t="s">
        <v>30</v>
      </c>
      <c r="H215" s="6" t="n">
        <f aca="true">ROUND(RAND()*4+6,1)</f>
        <v>8.3</v>
      </c>
      <c r="I215" s="6" t="s">
        <v>46</v>
      </c>
      <c r="J215" s="6" t="str">
        <f aca="false">ROUND(96*1,0)&amp;"%"</f>
        <v>96%</v>
      </c>
    </row>
    <row r="216" customFormat="false" ht="15" hidden="false" customHeight="false" outlineLevel="0" collapsed="false">
      <c r="A216" s="5" t="s">
        <v>743</v>
      </c>
      <c r="B216" s="5" t="s">
        <v>362</v>
      </c>
      <c r="C216" s="5" t="s">
        <v>95</v>
      </c>
      <c r="D216" s="5" t="s">
        <v>16</v>
      </c>
      <c r="E216" s="5" t="n">
        <f aca="false">ROUND(15173*1.05,2)</f>
        <v>15931.65</v>
      </c>
      <c r="F216" s="5" t="s">
        <v>49</v>
      </c>
      <c r="G216" s="5" t="s">
        <v>18</v>
      </c>
      <c r="H216" s="5" t="n">
        <f aca="true">ROUND(RAND()*4+6,1)</f>
        <v>8.8</v>
      </c>
      <c r="I216" s="5" t="s">
        <v>19</v>
      </c>
      <c r="J216" s="5" t="str">
        <f aca="false">ROUND(60*1,0)&amp;"%"</f>
        <v>60%</v>
      </c>
    </row>
    <row r="217" customFormat="false" ht="15" hidden="false" customHeight="false" outlineLevel="0" collapsed="false">
      <c r="A217" s="6" t="s">
        <v>744</v>
      </c>
      <c r="B217" s="6" t="s">
        <v>364</v>
      </c>
      <c r="C217" s="6" t="s">
        <v>95</v>
      </c>
      <c r="D217" s="6" t="s">
        <v>22</v>
      </c>
      <c r="E217" s="6" t="n">
        <f aca="false">ROUND(10881*1.05,2)</f>
        <v>11425.05</v>
      </c>
      <c r="F217" s="6" t="s">
        <v>52</v>
      </c>
      <c r="G217" s="6" t="s">
        <v>24</v>
      </c>
      <c r="H217" s="6" t="n">
        <f aca="true">ROUND(RAND()*4+6,1)</f>
        <v>9.4</v>
      </c>
      <c r="I217" s="6" t="s">
        <v>25</v>
      </c>
      <c r="J217" s="6" t="str">
        <f aca="false">ROUND(79*1,0)&amp;"%"</f>
        <v>79%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745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746</v>
      </c>
      <c r="B222" s="5" t="s">
        <v>368</v>
      </c>
      <c r="C222" s="5" t="s">
        <v>114</v>
      </c>
      <c r="D222" s="5" t="s">
        <v>16</v>
      </c>
      <c r="E222" s="5" t="n">
        <f aca="false">ROUND(7299*1.05,2)</f>
        <v>7663.95</v>
      </c>
      <c r="F222" s="5" t="s">
        <v>17</v>
      </c>
      <c r="G222" s="5" t="s">
        <v>18</v>
      </c>
      <c r="H222" s="5" t="n">
        <f aca="true">ROUND(RAND()*4+6,1)</f>
        <v>8.4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747</v>
      </c>
      <c r="B223" s="6" t="s">
        <v>370</v>
      </c>
      <c r="C223" s="6" t="s">
        <v>114</v>
      </c>
      <c r="D223" s="6" t="s">
        <v>22</v>
      </c>
      <c r="E223" s="6" t="n">
        <f aca="false">ROUND(7085*1.05,2)</f>
        <v>7439.25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ROUND(64*1,0)&amp;"%"</f>
        <v>64%</v>
      </c>
    </row>
    <row r="224" customFormat="false" ht="15" hidden="false" customHeight="false" outlineLevel="0" collapsed="false">
      <c r="A224" s="5" t="s">
        <v>748</v>
      </c>
      <c r="B224" s="5" t="s">
        <v>372</v>
      </c>
      <c r="C224" s="5" t="s">
        <v>114</v>
      </c>
      <c r="D224" s="5" t="s">
        <v>28</v>
      </c>
      <c r="E224" s="5" t="n">
        <f aca="false">ROUND(6867*1.05,2)</f>
        <v>7210.35</v>
      </c>
      <c r="F224" s="5" t="s">
        <v>29</v>
      </c>
      <c r="G224" s="5" t="s">
        <v>30</v>
      </c>
      <c r="H224" s="5" t="n">
        <f aca="true">ROUND(RAND()*4+6,1)</f>
        <v>7.3</v>
      </c>
      <c r="I224" s="5" t="s">
        <v>31</v>
      </c>
      <c r="J224" s="5" t="str">
        <f aca="false">ROUND(87*1,0)&amp;"%"</f>
        <v>87%</v>
      </c>
    </row>
    <row r="225" customFormat="false" ht="15" hidden="false" customHeight="false" outlineLevel="0" collapsed="false">
      <c r="A225" s="6" t="s">
        <v>749</v>
      </c>
      <c r="B225" s="6" t="s">
        <v>374</v>
      </c>
      <c r="C225" s="6" t="s">
        <v>114</v>
      </c>
      <c r="D225" s="6" t="s">
        <v>34</v>
      </c>
      <c r="E225" s="6" t="n">
        <f aca="false">ROUND(9369*1.05,2)</f>
        <v>9837.45</v>
      </c>
      <c r="F225" s="6" t="s">
        <v>35</v>
      </c>
      <c r="G225" s="6" t="s">
        <v>18</v>
      </c>
      <c r="H225" s="6" t="n">
        <f aca="true">ROUND(RAND()*4+6,1)</f>
        <v>7.5</v>
      </c>
      <c r="I225" s="6" t="s">
        <v>36</v>
      </c>
      <c r="J225" s="6" t="str">
        <f aca="false">ROUND(79*1,0)&amp;"%"</f>
        <v>79%</v>
      </c>
    </row>
    <row r="226" customFormat="false" ht="15" hidden="false" customHeight="false" outlineLevel="0" collapsed="false">
      <c r="A226" s="5" t="s">
        <v>750</v>
      </c>
      <c r="B226" s="5" t="s">
        <v>376</v>
      </c>
      <c r="C226" s="5" t="s">
        <v>114</v>
      </c>
      <c r="D226" s="5" t="s">
        <v>39</v>
      </c>
      <c r="E226" s="5" t="n">
        <f aca="false">ROUND(14522*1.05,2)</f>
        <v>15248.1</v>
      </c>
      <c r="F226" s="5" t="s">
        <v>40</v>
      </c>
      <c r="G226" s="5" t="s">
        <v>24</v>
      </c>
      <c r="H226" s="5" t="n">
        <f aca="true">ROUND(RAND()*4+6,1)</f>
        <v>6</v>
      </c>
      <c r="I226" s="5" t="s">
        <v>41</v>
      </c>
      <c r="J226" s="5" t="str">
        <f aca="false">ROUND(78*1,0)&amp;"%"</f>
        <v>78%</v>
      </c>
    </row>
    <row r="227" customFormat="false" ht="15" hidden="false" customHeight="false" outlineLevel="0" collapsed="false">
      <c r="A227" s="6" t="s">
        <v>751</v>
      </c>
      <c r="B227" s="6" t="s">
        <v>378</v>
      </c>
      <c r="C227" s="6" t="s">
        <v>114</v>
      </c>
      <c r="D227" s="6" t="s">
        <v>44</v>
      </c>
      <c r="E227" s="6" t="n">
        <f aca="false">ROUND(6008*1.05,2)</f>
        <v>6308.4</v>
      </c>
      <c r="F227" s="6" t="s">
        <v>45</v>
      </c>
      <c r="G227" s="6" t="s">
        <v>30</v>
      </c>
      <c r="H227" s="6" t="n">
        <f aca="true">ROUND(RAND()*4+6,1)</f>
        <v>7.5</v>
      </c>
      <c r="I227" s="6" t="s">
        <v>46</v>
      </c>
      <c r="J227" s="6" t="str">
        <f aca="false">ROUND(80*1,0)&amp;"%"</f>
        <v>80%</v>
      </c>
    </row>
    <row r="228" customFormat="false" ht="15" hidden="false" customHeight="false" outlineLevel="0" collapsed="false">
      <c r="A228" s="5" t="s">
        <v>752</v>
      </c>
      <c r="B228" s="5" t="s">
        <v>380</v>
      </c>
      <c r="C228" s="5" t="s">
        <v>114</v>
      </c>
      <c r="D228" s="5" t="s">
        <v>16</v>
      </c>
      <c r="E228" s="5" t="n">
        <f aca="false">ROUND(16286*1.05,2)</f>
        <v>17100.3</v>
      </c>
      <c r="F228" s="5" t="s">
        <v>49</v>
      </c>
      <c r="G228" s="5" t="s">
        <v>18</v>
      </c>
      <c r="H228" s="5" t="n">
        <f aca="true">ROUND(RAND()*4+6,1)</f>
        <v>9.6</v>
      </c>
      <c r="I228" s="5" t="s">
        <v>19</v>
      </c>
      <c r="J228" s="5" t="str">
        <f aca="false">ROUND(69*1,0)&amp;"%"</f>
        <v>69%</v>
      </c>
    </row>
    <row r="229" customFormat="false" ht="15" hidden="false" customHeight="false" outlineLevel="0" collapsed="false">
      <c r="A229" s="6" t="s">
        <v>753</v>
      </c>
      <c r="B229" s="6" t="s">
        <v>382</v>
      </c>
      <c r="C229" s="6" t="s">
        <v>114</v>
      </c>
      <c r="D229" s="6" t="s">
        <v>22</v>
      </c>
      <c r="E229" s="6" t="n">
        <f aca="false">ROUND(8043*1.05,2)</f>
        <v>8445.15</v>
      </c>
      <c r="F229" s="6" t="s">
        <v>52</v>
      </c>
      <c r="G229" s="6" t="s">
        <v>24</v>
      </c>
      <c r="H229" s="6" t="n">
        <f aca="true">ROUND(RAND()*4+6,1)</f>
        <v>7.3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754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755</v>
      </c>
      <c r="B234" s="5" t="s">
        <v>386</v>
      </c>
      <c r="C234" s="5" t="s">
        <v>133</v>
      </c>
      <c r="D234" s="5" t="s">
        <v>16</v>
      </c>
      <c r="E234" s="5" t="n">
        <f aca="false">ROUND(8249*1.05,2)</f>
        <v>8661.45</v>
      </c>
      <c r="F234" s="5" t="s">
        <v>17</v>
      </c>
      <c r="G234" s="5" t="s">
        <v>18</v>
      </c>
      <c r="H234" s="5" t="n">
        <f aca="true">ROUND(RAND()*4+6,1)</f>
        <v>6.3</v>
      </c>
      <c r="I234" s="5" t="s">
        <v>19</v>
      </c>
      <c r="J234" s="5" t="str">
        <f aca="false">ROUND(86*1,0)&amp;"%"</f>
        <v>86%</v>
      </c>
    </row>
    <row r="235" customFormat="false" ht="15" hidden="false" customHeight="false" outlineLevel="0" collapsed="false">
      <c r="A235" s="6" t="s">
        <v>756</v>
      </c>
      <c r="B235" s="6" t="s">
        <v>388</v>
      </c>
      <c r="C235" s="6" t="s">
        <v>133</v>
      </c>
      <c r="D235" s="6" t="s">
        <v>22</v>
      </c>
      <c r="E235" s="6" t="n">
        <f aca="false">ROUND(4495*1.05,2)</f>
        <v>4719.75</v>
      </c>
      <c r="F235" s="6" t="s">
        <v>23</v>
      </c>
      <c r="G235" s="6" t="s">
        <v>24</v>
      </c>
      <c r="H235" s="6" t="n">
        <f aca="true">ROUND(RAND()*4+6,1)</f>
        <v>9.4</v>
      </c>
      <c r="I235" s="6" t="s">
        <v>25</v>
      </c>
      <c r="J235" s="6" t="str">
        <f aca="false">ROUND(93*1,0)&amp;"%"</f>
        <v>93%</v>
      </c>
    </row>
    <row r="236" customFormat="false" ht="15" hidden="false" customHeight="false" outlineLevel="0" collapsed="false">
      <c r="A236" s="5" t="s">
        <v>757</v>
      </c>
      <c r="B236" s="5" t="s">
        <v>390</v>
      </c>
      <c r="C236" s="5" t="s">
        <v>133</v>
      </c>
      <c r="D236" s="5" t="s">
        <v>28</v>
      </c>
      <c r="E236" s="5" t="n">
        <f aca="false">ROUND(4876*1.05,2)</f>
        <v>5119.8</v>
      </c>
      <c r="F236" s="5" t="s">
        <v>29</v>
      </c>
      <c r="G236" s="5" t="s">
        <v>30</v>
      </c>
      <c r="H236" s="5" t="n">
        <f aca="true">ROUND(RAND()*4+6,1)</f>
        <v>9.9</v>
      </c>
      <c r="I236" s="5" t="s">
        <v>31</v>
      </c>
      <c r="J236" s="5" t="str">
        <f aca="false">ROUND(75*1,0)&amp;"%"</f>
        <v>75%</v>
      </c>
    </row>
    <row r="237" customFormat="false" ht="15" hidden="false" customHeight="false" outlineLevel="0" collapsed="false">
      <c r="A237" s="6" t="s">
        <v>758</v>
      </c>
      <c r="B237" s="6" t="s">
        <v>392</v>
      </c>
      <c r="C237" s="6" t="s">
        <v>133</v>
      </c>
      <c r="D237" s="6" t="s">
        <v>34</v>
      </c>
      <c r="E237" s="6" t="n">
        <f aca="false">ROUND(8859*1.05,2)</f>
        <v>9301.95</v>
      </c>
      <c r="F237" s="6" t="s">
        <v>35</v>
      </c>
      <c r="G237" s="6" t="s">
        <v>18</v>
      </c>
      <c r="H237" s="6" t="n">
        <f aca="true">ROUND(RAND()*4+6,1)</f>
        <v>6.5</v>
      </c>
      <c r="I237" s="6" t="s">
        <v>36</v>
      </c>
      <c r="J237" s="6" t="str">
        <f aca="false">ROUND(72*1,0)&amp;"%"</f>
        <v>72%</v>
      </c>
    </row>
    <row r="238" customFormat="false" ht="15" hidden="false" customHeight="false" outlineLevel="0" collapsed="false">
      <c r="A238" s="5" t="s">
        <v>759</v>
      </c>
      <c r="B238" s="5" t="s">
        <v>394</v>
      </c>
      <c r="C238" s="5" t="s">
        <v>133</v>
      </c>
      <c r="D238" s="5" t="s">
        <v>39</v>
      </c>
      <c r="E238" s="5" t="n">
        <f aca="false">ROUND(16620*1.05,2)</f>
        <v>17451</v>
      </c>
      <c r="F238" s="5" t="s">
        <v>40</v>
      </c>
      <c r="G238" s="5" t="s">
        <v>24</v>
      </c>
      <c r="H238" s="5" t="n">
        <f aca="true">ROUND(RAND()*4+6,1)</f>
        <v>6.8</v>
      </c>
      <c r="I238" s="5" t="s">
        <v>41</v>
      </c>
      <c r="J238" s="5" t="str">
        <f aca="false">ROUND(97*1,0)&amp;"%"</f>
        <v>97%</v>
      </c>
    </row>
    <row r="239" customFormat="false" ht="15" hidden="false" customHeight="false" outlineLevel="0" collapsed="false">
      <c r="A239" s="6" t="s">
        <v>760</v>
      </c>
      <c r="B239" s="6" t="s">
        <v>396</v>
      </c>
      <c r="C239" s="6" t="s">
        <v>133</v>
      </c>
      <c r="D239" s="6" t="s">
        <v>44</v>
      </c>
      <c r="E239" s="6" t="n">
        <f aca="false">ROUND(17907*1.05,2)</f>
        <v>18802.35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ROUND(74*1,0)&amp;"%"</f>
        <v>74%</v>
      </c>
    </row>
    <row r="240" customFormat="false" ht="15" hidden="false" customHeight="false" outlineLevel="0" collapsed="false">
      <c r="A240" s="5" t="s">
        <v>761</v>
      </c>
      <c r="B240" s="5" t="s">
        <v>398</v>
      </c>
      <c r="C240" s="5" t="s">
        <v>133</v>
      </c>
      <c r="D240" s="5" t="s">
        <v>16</v>
      </c>
      <c r="E240" s="5" t="n">
        <f aca="false">ROUND(6069*1.05,2)</f>
        <v>6372.45</v>
      </c>
      <c r="F240" s="5" t="s">
        <v>49</v>
      </c>
      <c r="G240" s="5" t="s">
        <v>18</v>
      </c>
      <c r="H240" s="5" t="n">
        <f aca="true">ROUND(RAND()*4+6,1)</f>
        <v>8.1</v>
      </c>
      <c r="I240" s="5" t="s">
        <v>19</v>
      </c>
      <c r="J240" s="5" t="str">
        <f aca="false">ROUND(94*1,0)&amp;"%"</f>
        <v>94%</v>
      </c>
    </row>
    <row r="241" customFormat="false" ht="15" hidden="false" customHeight="false" outlineLevel="0" collapsed="false">
      <c r="A241" s="6" t="s">
        <v>762</v>
      </c>
      <c r="B241" s="6" t="s">
        <v>400</v>
      </c>
      <c r="C241" s="6" t="s">
        <v>133</v>
      </c>
      <c r="D241" s="6" t="s">
        <v>22</v>
      </c>
      <c r="E241" s="6" t="n">
        <f aca="false">ROUND(12137*1.05,2)</f>
        <v>12743.85</v>
      </c>
      <c r="F241" s="6" t="s">
        <v>52</v>
      </c>
      <c r="G241" s="6" t="s">
        <v>24</v>
      </c>
      <c r="H241" s="6" t="n">
        <f aca="true">ROUND(RAND()*4+6,1)</f>
        <v>7.9</v>
      </c>
      <c r="I241" s="6" t="s">
        <v>25</v>
      </c>
      <c r="J241" s="6" t="str">
        <f aca="false">ROUND(88*1,0)&amp;"%"</f>
        <v>88%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763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764</v>
      </c>
      <c r="B246" s="5" t="s">
        <v>404</v>
      </c>
      <c r="C246" s="5" t="s">
        <v>152</v>
      </c>
      <c r="D246" s="5" t="s">
        <v>16</v>
      </c>
      <c r="E246" s="5" t="n">
        <f aca="false">ROUND(9459*1.05,2)</f>
        <v>9931.95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ROUND(89*1,0)&amp;"%"</f>
        <v>89%</v>
      </c>
    </row>
    <row r="247" customFormat="false" ht="15" hidden="false" customHeight="false" outlineLevel="0" collapsed="false">
      <c r="A247" s="6" t="s">
        <v>765</v>
      </c>
      <c r="B247" s="6" t="s">
        <v>406</v>
      </c>
      <c r="C247" s="6" t="s">
        <v>152</v>
      </c>
      <c r="D247" s="6" t="s">
        <v>22</v>
      </c>
      <c r="E247" s="6" t="n">
        <f aca="false">ROUND(4635*1.05,2)</f>
        <v>4866.75</v>
      </c>
      <c r="F247" s="6" t="s">
        <v>23</v>
      </c>
      <c r="G247" s="6" t="s">
        <v>24</v>
      </c>
      <c r="H247" s="6" t="n">
        <f aca="true">ROUND(RAND()*4+6,1)</f>
        <v>7.1</v>
      </c>
      <c r="I247" s="6" t="s">
        <v>25</v>
      </c>
      <c r="J247" s="6" t="str">
        <f aca="false">ROUND(78*1,0)&amp;"%"</f>
        <v>78%</v>
      </c>
    </row>
    <row r="248" customFormat="false" ht="15" hidden="false" customHeight="false" outlineLevel="0" collapsed="false">
      <c r="A248" s="5" t="s">
        <v>766</v>
      </c>
      <c r="B248" s="5" t="s">
        <v>408</v>
      </c>
      <c r="C248" s="5" t="s">
        <v>152</v>
      </c>
      <c r="D248" s="5" t="s">
        <v>28</v>
      </c>
      <c r="E248" s="5" t="n">
        <f aca="false">ROUND(4527*1.05,2)</f>
        <v>4753.35</v>
      </c>
      <c r="F248" s="5" t="s">
        <v>29</v>
      </c>
      <c r="G248" s="5" t="s">
        <v>30</v>
      </c>
      <c r="H248" s="5" t="n">
        <f aca="true">ROUND(RAND()*4+6,1)</f>
        <v>6.4</v>
      </c>
      <c r="I248" s="5" t="s">
        <v>31</v>
      </c>
      <c r="J248" s="5" t="str">
        <f aca="false">ROUND(86*1,0)&amp;"%"</f>
        <v>86%</v>
      </c>
    </row>
    <row r="249" customFormat="false" ht="15" hidden="false" customHeight="false" outlineLevel="0" collapsed="false">
      <c r="A249" s="6" t="s">
        <v>767</v>
      </c>
      <c r="B249" s="6" t="s">
        <v>410</v>
      </c>
      <c r="C249" s="6" t="s">
        <v>152</v>
      </c>
      <c r="D249" s="6" t="s">
        <v>34</v>
      </c>
      <c r="E249" s="6" t="n">
        <f aca="false">ROUND(9095*1.05,2)</f>
        <v>9549.75</v>
      </c>
      <c r="F249" s="6" t="s">
        <v>35</v>
      </c>
      <c r="G249" s="6" t="s">
        <v>18</v>
      </c>
      <c r="H249" s="6" t="n">
        <f aca="true">ROUND(RAND()*4+6,1)</f>
        <v>6.6</v>
      </c>
      <c r="I249" s="6" t="s">
        <v>36</v>
      </c>
      <c r="J249" s="6" t="str">
        <f aca="false">ROUND(83*1,0)&amp;"%"</f>
        <v>83%</v>
      </c>
    </row>
    <row r="250" customFormat="false" ht="15" hidden="false" customHeight="false" outlineLevel="0" collapsed="false">
      <c r="A250" s="5" t="s">
        <v>768</v>
      </c>
      <c r="B250" s="5" t="s">
        <v>412</v>
      </c>
      <c r="C250" s="5" t="s">
        <v>152</v>
      </c>
      <c r="D250" s="5" t="s">
        <v>39</v>
      </c>
      <c r="E250" s="5" t="n">
        <f aca="false">ROUND(13011*1.05,2)</f>
        <v>13661.55</v>
      </c>
      <c r="F250" s="5" t="s">
        <v>40</v>
      </c>
      <c r="G250" s="5" t="s">
        <v>24</v>
      </c>
      <c r="H250" s="5" t="n">
        <f aca="true">ROUND(RAND()*4+6,1)</f>
        <v>9.7</v>
      </c>
      <c r="I250" s="5" t="s">
        <v>41</v>
      </c>
      <c r="J250" s="5" t="str">
        <f aca="false">ROUND(74*1,0)&amp;"%"</f>
        <v>74%</v>
      </c>
    </row>
    <row r="251" customFormat="false" ht="15" hidden="false" customHeight="false" outlineLevel="0" collapsed="false">
      <c r="A251" s="6" t="s">
        <v>769</v>
      </c>
      <c r="B251" s="6" t="s">
        <v>414</v>
      </c>
      <c r="C251" s="6" t="s">
        <v>152</v>
      </c>
      <c r="D251" s="6" t="s">
        <v>44</v>
      </c>
      <c r="E251" s="6" t="n">
        <f aca="false">ROUND(16401*1.05,2)</f>
        <v>17221.05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ROUND(74*1,0)&amp;"%"</f>
        <v>74%</v>
      </c>
    </row>
    <row r="252" customFormat="false" ht="15" hidden="false" customHeight="false" outlineLevel="0" collapsed="false">
      <c r="A252" s="5" t="s">
        <v>770</v>
      </c>
      <c r="B252" s="5" t="s">
        <v>416</v>
      </c>
      <c r="C252" s="5" t="s">
        <v>152</v>
      </c>
      <c r="D252" s="5" t="s">
        <v>16</v>
      </c>
      <c r="E252" s="5" t="n">
        <f aca="false">ROUND(10550*1.05,2)</f>
        <v>11077.5</v>
      </c>
      <c r="F252" s="5" t="s">
        <v>49</v>
      </c>
      <c r="G252" s="5" t="s">
        <v>18</v>
      </c>
      <c r="H252" s="5" t="n">
        <f aca="true">ROUND(RAND()*4+6,1)</f>
        <v>8.6</v>
      </c>
      <c r="I252" s="5" t="s">
        <v>19</v>
      </c>
      <c r="J252" s="5" t="str">
        <f aca="false">ROUND(69*1,0)&amp;"%"</f>
        <v>69%</v>
      </c>
    </row>
    <row r="253" customFormat="false" ht="15" hidden="false" customHeight="false" outlineLevel="0" collapsed="false">
      <c r="A253" s="6" t="s">
        <v>771</v>
      </c>
      <c r="B253" s="6" t="s">
        <v>418</v>
      </c>
      <c r="C253" s="6" t="s">
        <v>152</v>
      </c>
      <c r="D253" s="6" t="s">
        <v>22</v>
      </c>
      <c r="E253" s="6" t="n">
        <f aca="false">ROUND(13450*1.05,2)</f>
        <v>14122.5</v>
      </c>
      <c r="F253" s="6" t="s">
        <v>52</v>
      </c>
      <c r="G253" s="6" t="s">
        <v>24</v>
      </c>
      <c r="H253" s="6" t="n">
        <f aca="true">ROUND(RAND()*4+6,1)</f>
        <v>7</v>
      </c>
      <c r="I253" s="6" t="s">
        <v>25</v>
      </c>
      <c r="J253" s="6" t="str">
        <f aca="false">ROUND(64*1,0)&amp;"%"</f>
        <v>64%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772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773</v>
      </c>
      <c r="B258" s="5" t="s">
        <v>422</v>
      </c>
      <c r="C258" s="5" t="s">
        <v>15</v>
      </c>
      <c r="D258" s="5" t="s">
        <v>16</v>
      </c>
      <c r="E258" s="5" t="n">
        <f aca="false">ROUND(7673*1.05,2)</f>
        <v>8056.65</v>
      </c>
      <c r="F258" s="5" t="s">
        <v>17</v>
      </c>
      <c r="G258" s="5" t="s">
        <v>18</v>
      </c>
      <c r="H258" s="5" t="n">
        <f aca="true">ROUND(RAND()*4+6,1)</f>
        <v>8.7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774</v>
      </c>
      <c r="B259" s="6" t="s">
        <v>424</v>
      </c>
      <c r="C259" s="6" t="s">
        <v>15</v>
      </c>
      <c r="D259" s="6" t="s">
        <v>22</v>
      </c>
      <c r="E259" s="6" t="n">
        <f aca="false">ROUND(9265*1.05,2)</f>
        <v>9728.25</v>
      </c>
      <c r="F259" s="6" t="s">
        <v>23</v>
      </c>
      <c r="G259" s="6" t="s">
        <v>24</v>
      </c>
      <c r="H259" s="6" t="n">
        <f aca="true">ROUND(RAND()*4+6,1)</f>
        <v>8.5</v>
      </c>
      <c r="I259" s="6" t="s">
        <v>25</v>
      </c>
      <c r="J259" s="6" t="str">
        <f aca="false">ROUND(98*1,0)&amp;"%"</f>
        <v>98%</v>
      </c>
    </row>
    <row r="260" customFormat="false" ht="15" hidden="false" customHeight="false" outlineLevel="0" collapsed="false">
      <c r="A260" s="5" t="s">
        <v>775</v>
      </c>
      <c r="B260" s="5" t="s">
        <v>426</v>
      </c>
      <c r="C260" s="5" t="s">
        <v>15</v>
      </c>
      <c r="D260" s="5" t="s">
        <v>28</v>
      </c>
      <c r="E260" s="5" t="n">
        <f aca="false">ROUND(5670*1.05,2)</f>
        <v>5953.5</v>
      </c>
      <c r="F260" s="5" t="s">
        <v>29</v>
      </c>
      <c r="G260" s="5" t="s">
        <v>30</v>
      </c>
      <c r="H260" s="5" t="n">
        <f aca="true">ROUND(RAND()*4+6,1)</f>
        <v>9.3</v>
      </c>
      <c r="I260" s="5" t="s">
        <v>31</v>
      </c>
      <c r="J260" s="5" t="str">
        <f aca="false">ROUND(62*1,0)&amp;"%"</f>
        <v>62%</v>
      </c>
    </row>
    <row r="261" customFormat="false" ht="15" hidden="false" customHeight="false" outlineLevel="0" collapsed="false">
      <c r="A261" s="6" t="s">
        <v>776</v>
      </c>
      <c r="B261" s="6" t="s">
        <v>428</v>
      </c>
      <c r="C261" s="6" t="s">
        <v>15</v>
      </c>
      <c r="D261" s="6" t="s">
        <v>34</v>
      </c>
      <c r="E261" s="6" t="n">
        <f aca="false">ROUND(5977*1.05,2)</f>
        <v>6275.85</v>
      </c>
      <c r="F261" s="6" t="s">
        <v>35</v>
      </c>
      <c r="G261" s="6" t="s">
        <v>18</v>
      </c>
      <c r="H261" s="6" t="n">
        <f aca="true">ROUND(RAND()*4+6,1)</f>
        <v>6.1</v>
      </c>
      <c r="I261" s="6" t="s">
        <v>36</v>
      </c>
      <c r="J261" s="6" t="str">
        <f aca="false">ROUND(69*1,0)&amp;"%"</f>
        <v>69%</v>
      </c>
    </row>
    <row r="262" customFormat="false" ht="15" hidden="false" customHeight="false" outlineLevel="0" collapsed="false">
      <c r="A262" s="5" t="s">
        <v>777</v>
      </c>
      <c r="B262" s="5" t="s">
        <v>430</v>
      </c>
      <c r="C262" s="5" t="s">
        <v>15</v>
      </c>
      <c r="D262" s="5" t="s">
        <v>39</v>
      </c>
      <c r="E262" s="5" t="n">
        <f aca="false">ROUND(12521*1.05,2)</f>
        <v>13147.05</v>
      </c>
      <c r="F262" s="5" t="s">
        <v>40</v>
      </c>
      <c r="G262" s="5" t="s">
        <v>24</v>
      </c>
      <c r="H262" s="5" t="n">
        <f aca="true">ROUND(RAND()*4+6,1)</f>
        <v>10</v>
      </c>
      <c r="I262" s="5" t="s">
        <v>41</v>
      </c>
      <c r="J262" s="5" t="str">
        <f aca="false">ROUND(78*1,0)&amp;"%"</f>
        <v>78%</v>
      </c>
    </row>
    <row r="263" customFormat="false" ht="15" hidden="false" customHeight="false" outlineLevel="0" collapsed="false">
      <c r="A263" s="6" t="s">
        <v>778</v>
      </c>
      <c r="B263" s="6" t="s">
        <v>432</v>
      </c>
      <c r="C263" s="6" t="s">
        <v>15</v>
      </c>
      <c r="D263" s="6" t="s">
        <v>44</v>
      </c>
      <c r="E263" s="6" t="n">
        <f aca="false">ROUND(4341*1.05,2)</f>
        <v>4558.05</v>
      </c>
      <c r="F263" s="6" t="s">
        <v>45</v>
      </c>
      <c r="G263" s="6" t="s">
        <v>30</v>
      </c>
      <c r="H263" s="6" t="n">
        <f aca="true">ROUND(RAND()*4+6,1)</f>
        <v>6.3</v>
      </c>
      <c r="I263" s="6" t="s">
        <v>46</v>
      </c>
      <c r="J263" s="6" t="str">
        <f aca="false">ROUND(75*1,0)&amp;"%"</f>
        <v>75%</v>
      </c>
    </row>
    <row r="264" customFormat="false" ht="15" hidden="false" customHeight="false" outlineLevel="0" collapsed="false">
      <c r="A264" s="5" t="s">
        <v>779</v>
      </c>
      <c r="B264" s="5" t="s">
        <v>434</v>
      </c>
      <c r="C264" s="5" t="s">
        <v>15</v>
      </c>
      <c r="D264" s="5" t="s">
        <v>16</v>
      </c>
      <c r="E264" s="5" t="n">
        <f aca="false">ROUND(8326*1.05,2)</f>
        <v>8742.3</v>
      </c>
      <c r="F264" s="5" t="s">
        <v>49</v>
      </c>
      <c r="G264" s="5" t="s">
        <v>18</v>
      </c>
      <c r="H264" s="5" t="n">
        <f aca="true">ROUND(RAND()*4+6,1)</f>
        <v>7.7</v>
      </c>
      <c r="I264" s="5" t="s">
        <v>19</v>
      </c>
      <c r="J264" s="5" t="str">
        <f aca="false">ROUND(78*1,0)&amp;"%"</f>
        <v>78%</v>
      </c>
    </row>
    <row r="265" customFormat="false" ht="15" hidden="false" customHeight="false" outlineLevel="0" collapsed="false">
      <c r="A265" s="6" t="s">
        <v>780</v>
      </c>
      <c r="B265" s="6" t="s">
        <v>436</v>
      </c>
      <c r="C265" s="6" t="s">
        <v>15</v>
      </c>
      <c r="D265" s="6" t="s">
        <v>22</v>
      </c>
      <c r="E265" s="6" t="n">
        <f aca="false">ROUND(11749*1.05,2)</f>
        <v>12336.45</v>
      </c>
      <c r="F265" s="6" t="s">
        <v>52</v>
      </c>
      <c r="G265" s="6" t="s">
        <v>24</v>
      </c>
      <c r="H265" s="6" t="n">
        <f aca="true">ROUND(RAND()*4+6,1)</f>
        <v>9.8</v>
      </c>
      <c r="I265" s="6" t="s">
        <v>25</v>
      </c>
      <c r="J265" s="6" t="str">
        <f aca="false">ROUND(91*1,0)&amp;"%"</f>
        <v>91%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781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782</v>
      </c>
      <c r="B270" s="5" t="s">
        <v>440</v>
      </c>
      <c r="C270" s="5" t="s">
        <v>57</v>
      </c>
      <c r="D270" s="5" t="s">
        <v>16</v>
      </c>
      <c r="E270" s="5" t="n">
        <f aca="false">ROUND(4980*1.05,2)</f>
        <v>5229</v>
      </c>
      <c r="F270" s="5" t="s">
        <v>17</v>
      </c>
      <c r="G270" s="5" t="s">
        <v>18</v>
      </c>
      <c r="H270" s="5" t="n">
        <f aca="true">ROUND(RAND()*4+6,1)</f>
        <v>8.7</v>
      </c>
      <c r="I270" s="5" t="s">
        <v>19</v>
      </c>
      <c r="J270" s="5" t="str">
        <f aca="false">ROUND(62*1,0)&amp;"%"</f>
        <v>62%</v>
      </c>
    </row>
    <row r="271" customFormat="false" ht="15" hidden="false" customHeight="false" outlineLevel="0" collapsed="false">
      <c r="A271" s="6" t="s">
        <v>783</v>
      </c>
      <c r="B271" s="6" t="s">
        <v>442</v>
      </c>
      <c r="C271" s="6" t="s">
        <v>57</v>
      </c>
      <c r="D271" s="6" t="s">
        <v>22</v>
      </c>
      <c r="E271" s="6" t="n">
        <f aca="false">ROUND(11893*1.05,2)</f>
        <v>12487.65</v>
      </c>
      <c r="F271" s="6" t="s">
        <v>23</v>
      </c>
      <c r="G271" s="6" t="s">
        <v>24</v>
      </c>
      <c r="H271" s="6" t="n">
        <f aca="true">ROUND(RAND()*4+6,1)</f>
        <v>6.5</v>
      </c>
      <c r="I271" s="6" t="s">
        <v>25</v>
      </c>
      <c r="J271" s="6" t="str">
        <f aca="false">ROUND(75*1,0)&amp;"%"</f>
        <v>75%</v>
      </c>
    </row>
    <row r="272" customFormat="false" ht="15" hidden="false" customHeight="false" outlineLevel="0" collapsed="false">
      <c r="A272" s="5" t="s">
        <v>784</v>
      </c>
      <c r="B272" s="5" t="s">
        <v>444</v>
      </c>
      <c r="C272" s="5" t="s">
        <v>57</v>
      </c>
      <c r="D272" s="5" t="s">
        <v>28</v>
      </c>
      <c r="E272" s="5" t="n">
        <f aca="false">ROUND(15514*1.05,2)</f>
        <v>16289.7</v>
      </c>
      <c r="F272" s="5" t="s">
        <v>29</v>
      </c>
      <c r="G272" s="5" t="s">
        <v>30</v>
      </c>
      <c r="H272" s="5" t="n">
        <f aca="true">ROUND(RAND()*4+6,1)</f>
        <v>6.9</v>
      </c>
      <c r="I272" s="5" t="s">
        <v>31</v>
      </c>
      <c r="J272" s="5" t="str">
        <f aca="false">ROUND(61*1,0)&amp;"%"</f>
        <v>61%</v>
      </c>
    </row>
    <row r="273" customFormat="false" ht="15" hidden="false" customHeight="false" outlineLevel="0" collapsed="false">
      <c r="A273" s="6" t="s">
        <v>785</v>
      </c>
      <c r="B273" s="6" t="s">
        <v>446</v>
      </c>
      <c r="C273" s="6" t="s">
        <v>57</v>
      </c>
      <c r="D273" s="6" t="s">
        <v>34</v>
      </c>
      <c r="E273" s="6" t="n">
        <f aca="false">ROUND(5954*1.05,2)</f>
        <v>6251.7</v>
      </c>
      <c r="F273" s="6" t="s">
        <v>35</v>
      </c>
      <c r="G273" s="6" t="s">
        <v>18</v>
      </c>
      <c r="H273" s="6" t="n">
        <f aca="true">ROUND(RAND()*4+6,1)</f>
        <v>7</v>
      </c>
      <c r="I273" s="6" t="s">
        <v>36</v>
      </c>
      <c r="J273" s="6" t="str">
        <f aca="false">ROUND(68*1,0)&amp;"%"</f>
        <v>68%</v>
      </c>
    </row>
    <row r="274" customFormat="false" ht="15" hidden="false" customHeight="false" outlineLevel="0" collapsed="false">
      <c r="A274" s="5" t="s">
        <v>786</v>
      </c>
      <c r="B274" s="5" t="s">
        <v>448</v>
      </c>
      <c r="C274" s="5" t="s">
        <v>57</v>
      </c>
      <c r="D274" s="5" t="s">
        <v>39</v>
      </c>
      <c r="E274" s="5" t="n">
        <f aca="false">ROUND(12473*1.05,2)</f>
        <v>13096.65</v>
      </c>
      <c r="F274" s="5" t="s">
        <v>40</v>
      </c>
      <c r="G274" s="5" t="s">
        <v>24</v>
      </c>
      <c r="H274" s="5" t="n">
        <f aca="true">ROUND(RAND()*4+6,1)</f>
        <v>9.1</v>
      </c>
      <c r="I274" s="5" t="s">
        <v>41</v>
      </c>
      <c r="J274" s="5" t="str">
        <f aca="false">ROUND(79*1,0)&amp;"%"</f>
        <v>79%</v>
      </c>
    </row>
    <row r="275" customFormat="false" ht="15" hidden="false" customHeight="false" outlineLevel="0" collapsed="false">
      <c r="A275" s="6" t="s">
        <v>787</v>
      </c>
      <c r="B275" s="6" t="s">
        <v>450</v>
      </c>
      <c r="C275" s="6" t="s">
        <v>57</v>
      </c>
      <c r="D275" s="6" t="s">
        <v>44</v>
      </c>
      <c r="E275" s="6" t="n">
        <f aca="false">ROUND(10293*1.05,2)</f>
        <v>10807.65</v>
      </c>
      <c r="F275" s="6" t="s">
        <v>45</v>
      </c>
      <c r="G275" s="6" t="s">
        <v>30</v>
      </c>
      <c r="H275" s="6" t="n">
        <f aca="true">ROUND(RAND()*4+6,1)</f>
        <v>7.9</v>
      </c>
      <c r="I275" s="6" t="s">
        <v>46</v>
      </c>
      <c r="J275" s="6" t="str">
        <f aca="false">ROUND(98*1,0)&amp;"%"</f>
        <v>98%</v>
      </c>
    </row>
    <row r="276" customFormat="false" ht="15" hidden="false" customHeight="false" outlineLevel="0" collapsed="false">
      <c r="A276" s="5" t="s">
        <v>788</v>
      </c>
      <c r="B276" s="5" t="s">
        <v>452</v>
      </c>
      <c r="C276" s="5" t="s">
        <v>57</v>
      </c>
      <c r="D276" s="5" t="s">
        <v>16</v>
      </c>
      <c r="E276" s="5" t="n">
        <f aca="false">ROUND(13635*1.05,2)</f>
        <v>14316.75</v>
      </c>
      <c r="F276" s="5" t="s">
        <v>49</v>
      </c>
      <c r="G276" s="5" t="s">
        <v>18</v>
      </c>
      <c r="H276" s="5" t="n">
        <f aca="true">ROUND(RAND()*4+6,1)</f>
        <v>6.4</v>
      </c>
      <c r="I276" s="5" t="s">
        <v>19</v>
      </c>
      <c r="J276" s="5" t="str">
        <f aca="false">ROUND(63*1,0)&amp;"%"</f>
        <v>63%</v>
      </c>
    </row>
    <row r="277" customFormat="false" ht="15" hidden="false" customHeight="false" outlineLevel="0" collapsed="false">
      <c r="A277" s="6" t="s">
        <v>789</v>
      </c>
      <c r="B277" s="6" t="s">
        <v>454</v>
      </c>
      <c r="C277" s="6" t="s">
        <v>57</v>
      </c>
      <c r="D277" s="6" t="s">
        <v>22</v>
      </c>
      <c r="E277" s="6" t="n">
        <f aca="false">ROUND(15163*1.05,2)</f>
        <v>15921.15</v>
      </c>
      <c r="F277" s="6" t="s">
        <v>52</v>
      </c>
      <c r="G277" s="6" t="s">
        <v>24</v>
      </c>
      <c r="H277" s="6" t="n">
        <f aca="true">ROUND(RAND()*4+6,1)</f>
        <v>9</v>
      </c>
      <c r="I277" s="6" t="s">
        <v>25</v>
      </c>
      <c r="J277" s="6" t="str">
        <f aca="false">ROUND(60*1,0)&amp;"%"</f>
        <v>60%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790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791</v>
      </c>
      <c r="B282" s="5" t="s">
        <v>458</v>
      </c>
      <c r="C282" s="5" t="s">
        <v>76</v>
      </c>
      <c r="D282" s="5" t="s">
        <v>16</v>
      </c>
      <c r="E282" s="5" t="n">
        <f aca="false">ROUND(12554*1.05,2)</f>
        <v>13181.7</v>
      </c>
      <c r="F282" s="5" t="s">
        <v>17</v>
      </c>
      <c r="G282" s="5" t="s">
        <v>18</v>
      </c>
      <c r="H282" s="5" t="n">
        <f aca="true">ROUND(RAND()*4+6,1)</f>
        <v>7.7</v>
      </c>
      <c r="I282" s="5" t="s">
        <v>19</v>
      </c>
      <c r="J282" s="5" t="str">
        <f aca="false">ROUND(67*1,0)&amp;"%"</f>
        <v>67%</v>
      </c>
    </row>
    <row r="283" customFormat="false" ht="15" hidden="false" customHeight="false" outlineLevel="0" collapsed="false">
      <c r="A283" s="6" t="s">
        <v>792</v>
      </c>
      <c r="B283" s="6" t="s">
        <v>460</v>
      </c>
      <c r="C283" s="6" t="s">
        <v>76</v>
      </c>
      <c r="D283" s="6" t="s">
        <v>22</v>
      </c>
      <c r="E283" s="6" t="n">
        <f aca="false">ROUND(10896*1.05,2)</f>
        <v>11440.8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ROUND(79*1,0)&amp;"%"</f>
        <v>79%</v>
      </c>
    </row>
    <row r="284" customFormat="false" ht="15" hidden="false" customHeight="false" outlineLevel="0" collapsed="false">
      <c r="A284" s="5" t="s">
        <v>793</v>
      </c>
      <c r="B284" s="5" t="s">
        <v>462</v>
      </c>
      <c r="C284" s="5" t="s">
        <v>76</v>
      </c>
      <c r="D284" s="5" t="s">
        <v>28</v>
      </c>
      <c r="E284" s="5" t="n">
        <f aca="false">ROUND(7098*1.05,2)</f>
        <v>7452.9</v>
      </c>
      <c r="F284" s="5" t="s">
        <v>29</v>
      </c>
      <c r="G284" s="5" t="s">
        <v>30</v>
      </c>
      <c r="H284" s="5" t="n">
        <f aca="true">ROUND(RAND()*4+6,1)</f>
        <v>9.9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794</v>
      </c>
      <c r="B285" s="6" t="s">
        <v>464</v>
      </c>
      <c r="C285" s="6" t="s">
        <v>76</v>
      </c>
      <c r="D285" s="6" t="s">
        <v>34</v>
      </c>
      <c r="E285" s="6" t="n">
        <f aca="false">ROUND(13178*1.05,2)</f>
        <v>13836.9</v>
      </c>
      <c r="F285" s="6" t="s">
        <v>35</v>
      </c>
      <c r="G285" s="6" t="s">
        <v>18</v>
      </c>
      <c r="H285" s="6" t="n">
        <f aca="true">ROUND(RAND()*4+6,1)</f>
        <v>9.7</v>
      </c>
      <c r="I285" s="6" t="s">
        <v>36</v>
      </c>
      <c r="J285" s="6" t="str">
        <f aca="false">ROUND(76*1,0)&amp;"%"</f>
        <v>76%</v>
      </c>
    </row>
    <row r="286" customFormat="false" ht="15" hidden="false" customHeight="false" outlineLevel="0" collapsed="false">
      <c r="A286" s="5" t="s">
        <v>795</v>
      </c>
      <c r="B286" s="5" t="s">
        <v>466</v>
      </c>
      <c r="C286" s="5" t="s">
        <v>76</v>
      </c>
      <c r="D286" s="5" t="s">
        <v>39</v>
      </c>
      <c r="E286" s="5" t="n">
        <f aca="false">ROUND(5081*1.05,2)</f>
        <v>5335.05</v>
      </c>
      <c r="F286" s="5" t="s">
        <v>40</v>
      </c>
      <c r="G286" s="5" t="s">
        <v>24</v>
      </c>
      <c r="H286" s="5" t="n">
        <f aca="true">ROUND(RAND()*4+6,1)</f>
        <v>6.4</v>
      </c>
      <c r="I286" s="5" t="s">
        <v>41</v>
      </c>
      <c r="J286" s="5" t="str">
        <f aca="false">ROUND(69*1,0)&amp;"%"</f>
        <v>69%</v>
      </c>
    </row>
    <row r="287" customFormat="false" ht="15" hidden="false" customHeight="false" outlineLevel="0" collapsed="false">
      <c r="A287" s="6" t="s">
        <v>796</v>
      </c>
      <c r="B287" s="6" t="s">
        <v>468</v>
      </c>
      <c r="C287" s="6" t="s">
        <v>76</v>
      </c>
      <c r="D287" s="6" t="s">
        <v>44</v>
      </c>
      <c r="E287" s="6" t="n">
        <f aca="false">ROUND(11159*1.05,2)</f>
        <v>11716.95</v>
      </c>
      <c r="F287" s="6" t="s">
        <v>45</v>
      </c>
      <c r="G287" s="6" t="s">
        <v>30</v>
      </c>
      <c r="H287" s="6" t="n">
        <f aca="true">ROUND(RAND()*4+6,1)</f>
        <v>10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797</v>
      </c>
      <c r="B288" s="5" t="s">
        <v>470</v>
      </c>
      <c r="C288" s="5" t="s">
        <v>76</v>
      </c>
      <c r="D288" s="5" t="s">
        <v>16</v>
      </c>
      <c r="E288" s="5" t="n">
        <f aca="false">ROUND(14631*1.05,2)</f>
        <v>15362.55</v>
      </c>
      <c r="F288" s="5" t="s">
        <v>49</v>
      </c>
      <c r="G288" s="5" t="s">
        <v>18</v>
      </c>
      <c r="H288" s="5" t="n">
        <f aca="true">ROUND(RAND()*4+6,1)</f>
        <v>7.4</v>
      </c>
      <c r="I288" s="5" t="s">
        <v>19</v>
      </c>
      <c r="J288" s="5" t="str">
        <f aca="false">ROUND(99*1,0)&amp;"%"</f>
        <v>99%</v>
      </c>
    </row>
    <row r="289" customFormat="false" ht="15" hidden="false" customHeight="false" outlineLevel="0" collapsed="false">
      <c r="A289" s="6" t="s">
        <v>798</v>
      </c>
      <c r="B289" s="6" t="s">
        <v>472</v>
      </c>
      <c r="C289" s="6" t="s">
        <v>76</v>
      </c>
      <c r="D289" s="6" t="s">
        <v>22</v>
      </c>
      <c r="E289" s="6" t="n">
        <f aca="false">ROUND(13312*1.05,2)</f>
        <v>13977.6</v>
      </c>
      <c r="F289" s="6" t="s">
        <v>52</v>
      </c>
      <c r="G289" s="6" t="s">
        <v>24</v>
      </c>
      <c r="H289" s="6" t="n">
        <f aca="true">ROUND(RAND()*4+6,1)</f>
        <v>7.1</v>
      </c>
      <c r="I289" s="6" t="s">
        <v>25</v>
      </c>
      <c r="J289" s="6" t="str">
        <f aca="false">ROUND(80*1,0)&amp;"%"</f>
        <v>80%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799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800</v>
      </c>
      <c r="B294" s="5" t="s">
        <v>476</v>
      </c>
      <c r="C294" s="5" t="s">
        <v>95</v>
      </c>
      <c r="D294" s="5" t="s">
        <v>16</v>
      </c>
      <c r="E294" s="5" t="n">
        <f aca="false">ROUND(13173*1.05,2)</f>
        <v>13831.65</v>
      </c>
      <c r="F294" s="5" t="s">
        <v>17</v>
      </c>
      <c r="G294" s="5" t="s">
        <v>18</v>
      </c>
      <c r="H294" s="5" t="n">
        <f aca="true">ROUND(RAND()*4+6,1)</f>
        <v>6.4</v>
      </c>
      <c r="I294" s="5" t="s">
        <v>19</v>
      </c>
      <c r="J294" s="5" t="str">
        <f aca="false">ROUND(91*1,0)&amp;"%"</f>
        <v>91%</v>
      </c>
    </row>
    <row r="295" customFormat="false" ht="15" hidden="false" customHeight="false" outlineLevel="0" collapsed="false">
      <c r="A295" s="6" t="s">
        <v>801</v>
      </c>
      <c r="B295" s="6" t="s">
        <v>478</v>
      </c>
      <c r="C295" s="6" t="s">
        <v>95</v>
      </c>
      <c r="D295" s="6" t="s">
        <v>22</v>
      </c>
      <c r="E295" s="6" t="n">
        <f aca="false">ROUND(13867*1.05,2)</f>
        <v>14560.35</v>
      </c>
      <c r="F295" s="6" t="s">
        <v>23</v>
      </c>
      <c r="G295" s="6" t="s">
        <v>24</v>
      </c>
      <c r="H295" s="6" t="n">
        <f aca="true">ROUND(RAND()*4+6,1)</f>
        <v>6.8</v>
      </c>
      <c r="I295" s="6" t="s">
        <v>25</v>
      </c>
      <c r="J295" s="6" t="str">
        <f aca="false">ROUND(94*1,0)&amp;"%"</f>
        <v>94%</v>
      </c>
    </row>
    <row r="296" customFormat="false" ht="15" hidden="false" customHeight="false" outlineLevel="0" collapsed="false">
      <c r="A296" s="5" t="s">
        <v>802</v>
      </c>
      <c r="B296" s="5" t="s">
        <v>480</v>
      </c>
      <c r="C296" s="5" t="s">
        <v>95</v>
      </c>
      <c r="D296" s="5" t="s">
        <v>28</v>
      </c>
      <c r="E296" s="5" t="n">
        <f aca="false">ROUND(8163*1.05,2)</f>
        <v>8571.15</v>
      </c>
      <c r="F296" s="5" t="s">
        <v>29</v>
      </c>
      <c r="G296" s="5" t="s">
        <v>30</v>
      </c>
      <c r="H296" s="5" t="n">
        <f aca="true">ROUND(RAND()*4+6,1)</f>
        <v>6.2</v>
      </c>
      <c r="I296" s="5" t="s">
        <v>31</v>
      </c>
      <c r="J296" s="5" t="str">
        <f aca="false">ROUND(89*1,0)&amp;"%"</f>
        <v>89%</v>
      </c>
    </row>
    <row r="297" customFormat="false" ht="15" hidden="false" customHeight="false" outlineLevel="0" collapsed="false">
      <c r="A297" s="6" t="s">
        <v>803</v>
      </c>
      <c r="B297" s="6" t="s">
        <v>482</v>
      </c>
      <c r="C297" s="6" t="s">
        <v>95</v>
      </c>
      <c r="D297" s="6" t="s">
        <v>34</v>
      </c>
      <c r="E297" s="6" t="n">
        <f aca="false">ROUND(12071*1.05,2)</f>
        <v>12674.55</v>
      </c>
      <c r="F297" s="6" t="s">
        <v>35</v>
      </c>
      <c r="G297" s="6" t="s">
        <v>18</v>
      </c>
      <c r="H297" s="6" t="n">
        <f aca="true">ROUND(RAND()*4+6,1)</f>
        <v>8.7</v>
      </c>
      <c r="I297" s="6" t="s">
        <v>36</v>
      </c>
      <c r="J297" s="6" t="str">
        <f aca="false">ROUND(74*1,0)&amp;"%"</f>
        <v>74%</v>
      </c>
    </row>
    <row r="298" customFormat="false" ht="15" hidden="false" customHeight="false" outlineLevel="0" collapsed="false">
      <c r="A298" s="5" t="s">
        <v>804</v>
      </c>
      <c r="B298" s="5" t="s">
        <v>484</v>
      </c>
      <c r="C298" s="5" t="s">
        <v>95</v>
      </c>
      <c r="D298" s="5" t="s">
        <v>39</v>
      </c>
      <c r="E298" s="5" t="n">
        <f aca="false">ROUND(10607*1.05,2)</f>
        <v>11137.35</v>
      </c>
      <c r="F298" s="5" t="s">
        <v>40</v>
      </c>
      <c r="G298" s="5" t="s">
        <v>24</v>
      </c>
      <c r="H298" s="5" t="n">
        <f aca="true">ROUND(RAND()*4+6,1)</f>
        <v>6.4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805</v>
      </c>
      <c r="B299" s="6" t="s">
        <v>486</v>
      </c>
      <c r="C299" s="6" t="s">
        <v>95</v>
      </c>
      <c r="D299" s="6" t="s">
        <v>44</v>
      </c>
      <c r="E299" s="6" t="n">
        <f aca="false">ROUND(5807*1.05,2)</f>
        <v>6097.35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ROUND(71*1,0)&amp;"%"</f>
        <v>71%</v>
      </c>
    </row>
    <row r="300" customFormat="false" ht="15" hidden="false" customHeight="false" outlineLevel="0" collapsed="false">
      <c r="A300" s="5" t="s">
        <v>806</v>
      </c>
      <c r="B300" s="5" t="s">
        <v>488</v>
      </c>
      <c r="C300" s="5" t="s">
        <v>95</v>
      </c>
      <c r="D300" s="5" t="s">
        <v>16</v>
      </c>
      <c r="E300" s="5" t="n">
        <f aca="false">ROUND(9739*1.05,2)</f>
        <v>10225.95</v>
      </c>
      <c r="F300" s="5" t="s">
        <v>49</v>
      </c>
      <c r="G300" s="5" t="s">
        <v>18</v>
      </c>
      <c r="H300" s="5" t="n">
        <f aca="true">ROUND(RAND()*4+6,1)</f>
        <v>9.7</v>
      </c>
      <c r="I300" s="5" t="s">
        <v>19</v>
      </c>
      <c r="J300" s="5" t="str">
        <f aca="false">ROUND(65*1,0)&amp;"%"</f>
        <v>65%</v>
      </c>
    </row>
    <row r="301" customFormat="false" ht="15" hidden="false" customHeight="false" outlineLevel="0" collapsed="false">
      <c r="A301" s="6" t="s">
        <v>807</v>
      </c>
      <c r="B301" s="6" t="s">
        <v>490</v>
      </c>
      <c r="C301" s="6" t="s">
        <v>95</v>
      </c>
      <c r="D301" s="6" t="s">
        <v>22</v>
      </c>
      <c r="E301" s="6" t="n">
        <f aca="false">ROUND(8579*1.05,2)</f>
        <v>9007.95</v>
      </c>
      <c r="F301" s="6" t="s">
        <v>52</v>
      </c>
      <c r="G301" s="6" t="s">
        <v>24</v>
      </c>
      <c r="H301" s="6" t="n">
        <f aca="true">ROUND(RAND()*4+6,1)</f>
        <v>8.2</v>
      </c>
      <c r="I301" s="6" t="s">
        <v>25</v>
      </c>
      <c r="J301" s="6" t="str">
        <f aca="false">ROUND(69*1,0)&amp;"%"</f>
        <v>69%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808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809</v>
      </c>
      <c r="B306" s="5" t="s">
        <v>494</v>
      </c>
      <c r="C306" s="5" t="s">
        <v>114</v>
      </c>
      <c r="D306" s="5" t="s">
        <v>16</v>
      </c>
      <c r="E306" s="5" t="n">
        <f aca="false">ROUND(14893*1.05,2)</f>
        <v>15637.65</v>
      </c>
      <c r="F306" s="5" t="s">
        <v>17</v>
      </c>
      <c r="G306" s="5" t="s">
        <v>18</v>
      </c>
      <c r="H306" s="5" t="n">
        <f aca="true">ROUND(RAND()*4+6,1)</f>
        <v>9.1</v>
      </c>
      <c r="I306" s="5" t="s">
        <v>19</v>
      </c>
      <c r="J306" s="5" t="str">
        <f aca="false">ROUND(92*1,0)&amp;"%"</f>
        <v>92%</v>
      </c>
    </row>
    <row r="307" customFormat="false" ht="15" hidden="false" customHeight="false" outlineLevel="0" collapsed="false">
      <c r="A307" s="6" t="s">
        <v>810</v>
      </c>
      <c r="B307" s="6" t="s">
        <v>496</v>
      </c>
      <c r="C307" s="6" t="s">
        <v>114</v>
      </c>
      <c r="D307" s="6" t="s">
        <v>22</v>
      </c>
      <c r="E307" s="6" t="n">
        <f aca="false">ROUND(13816*1.05,2)</f>
        <v>14506.8</v>
      </c>
      <c r="F307" s="6" t="s">
        <v>23</v>
      </c>
      <c r="G307" s="6" t="s">
        <v>24</v>
      </c>
      <c r="H307" s="6" t="n">
        <f aca="true">ROUND(RAND()*4+6,1)</f>
        <v>6.7</v>
      </c>
      <c r="I307" s="6" t="s">
        <v>25</v>
      </c>
      <c r="J307" s="6" t="str">
        <f aca="false">ROUND(69*1,0)&amp;"%"</f>
        <v>69%</v>
      </c>
    </row>
    <row r="308" customFormat="false" ht="15" hidden="false" customHeight="false" outlineLevel="0" collapsed="false">
      <c r="A308" s="5" t="s">
        <v>811</v>
      </c>
      <c r="B308" s="5" t="s">
        <v>498</v>
      </c>
      <c r="C308" s="5" t="s">
        <v>114</v>
      </c>
      <c r="D308" s="5" t="s">
        <v>28</v>
      </c>
      <c r="E308" s="5" t="n">
        <f aca="false">ROUND(14035*1.05,2)</f>
        <v>14736.75</v>
      </c>
      <c r="F308" s="5" t="s">
        <v>29</v>
      </c>
      <c r="G308" s="5" t="s">
        <v>30</v>
      </c>
      <c r="H308" s="5" t="n">
        <f aca="true">ROUND(RAND()*4+6,1)</f>
        <v>8.2</v>
      </c>
      <c r="I308" s="5" t="s">
        <v>31</v>
      </c>
      <c r="J308" s="5" t="str">
        <f aca="false">ROUND(63*1,0)&amp;"%"</f>
        <v>63%</v>
      </c>
    </row>
    <row r="309" customFormat="false" ht="15" hidden="false" customHeight="false" outlineLevel="0" collapsed="false">
      <c r="A309" s="6" t="s">
        <v>812</v>
      </c>
      <c r="B309" s="6" t="s">
        <v>500</v>
      </c>
      <c r="C309" s="6" t="s">
        <v>114</v>
      </c>
      <c r="D309" s="6" t="s">
        <v>34</v>
      </c>
      <c r="E309" s="6" t="n">
        <f aca="false">ROUND(12373*1.05,2)</f>
        <v>12991.65</v>
      </c>
      <c r="F309" s="6" t="s">
        <v>35</v>
      </c>
      <c r="G309" s="6" t="s">
        <v>18</v>
      </c>
      <c r="H309" s="6" t="n">
        <f aca="true">ROUND(RAND()*4+6,1)</f>
        <v>7.1</v>
      </c>
      <c r="I309" s="6" t="s">
        <v>36</v>
      </c>
      <c r="J309" s="6" t="str">
        <f aca="false">ROUND(95*1,0)&amp;"%"</f>
        <v>95%</v>
      </c>
    </row>
    <row r="310" customFormat="false" ht="15" hidden="false" customHeight="false" outlineLevel="0" collapsed="false">
      <c r="A310" s="5" t="s">
        <v>813</v>
      </c>
      <c r="B310" s="5" t="s">
        <v>502</v>
      </c>
      <c r="C310" s="5" t="s">
        <v>114</v>
      </c>
      <c r="D310" s="5" t="s">
        <v>39</v>
      </c>
      <c r="E310" s="5" t="n">
        <f aca="false">ROUND(14624*1.05,2)</f>
        <v>15355.2</v>
      </c>
      <c r="F310" s="5" t="s">
        <v>40</v>
      </c>
      <c r="G310" s="5" t="s">
        <v>24</v>
      </c>
      <c r="H310" s="5" t="n">
        <f aca="true">ROUND(RAND()*4+6,1)</f>
        <v>7.7</v>
      </c>
      <c r="I310" s="5" t="s">
        <v>41</v>
      </c>
      <c r="J310" s="5" t="str">
        <f aca="false">ROUND(99*1,0)&amp;"%"</f>
        <v>99%</v>
      </c>
    </row>
    <row r="311" customFormat="false" ht="15" hidden="false" customHeight="false" outlineLevel="0" collapsed="false">
      <c r="A311" s="6" t="s">
        <v>814</v>
      </c>
      <c r="B311" s="6" t="s">
        <v>504</v>
      </c>
      <c r="C311" s="6" t="s">
        <v>114</v>
      </c>
      <c r="D311" s="6" t="s">
        <v>44</v>
      </c>
      <c r="E311" s="6" t="n">
        <f aca="false">ROUND(14027*1.05,2)</f>
        <v>14728.35</v>
      </c>
      <c r="F311" s="6" t="s">
        <v>45</v>
      </c>
      <c r="G311" s="6" t="s">
        <v>30</v>
      </c>
      <c r="H311" s="6" t="n">
        <f aca="true">ROUND(RAND()*4+6,1)</f>
        <v>6.6</v>
      </c>
      <c r="I311" s="6" t="s">
        <v>46</v>
      </c>
      <c r="J311" s="6" t="str">
        <f aca="false">ROUND(94*1,0)&amp;"%"</f>
        <v>94%</v>
      </c>
    </row>
    <row r="312" customFormat="false" ht="15" hidden="false" customHeight="false" outlineLevel="0" collapsed="false">
      <c r="A312" s="5" t="s">
        <v>815</v>
      </c>
      <c r="B312" s="5" t="s">
        <v>506</v>
      </c>
      <c r="C312" s="5" t="s">
        <v>114</v>
      </c>
      <c r="D312" s="5" t="s">
        <v>16</v>
      </c>
      <c r="E312" s="5" t="n">
        <f aca="false">ROUND(7787*1.05,2)</f>
        <v>8176.35</v>
      </c>
      <c r="F312" s="5" t="s">
        <v>49</v>
      </c>
      <c r="G312" s="5" t="s">
        <v>18</v>
      </c>
      <c r="H312" s="5" t="n">
        <f aca="true">ROUND(RAND()*4+6,1)</f>
        <v>7.6</v>
      </c>
      <c r="I312" s="5" t="s">
        <v>19</v>
      </c>
      <c r="J312" s="5" t="str">
        <f aca="false">ROUND(99*1,0)&amp;"%"</f>
        <v>99%</v>
      </c>
    </row>
    <row r="313" customFormat="false" ht="15" hidden="false" customHeight="false" outlineLevel="0" collapsed="false">
      <c r="A313" s="6" t="s">
        <v>816</v>
      </c>
      <c r="B313" s="6" t="s">
        <v>508</v>
      </c>
      <c r="C313" s="6" t="s">
        <v>114</v>
      </c>
      <c r="D313" s="6" t="s">
        <v>22</v>
      </c>
      <c r="E313" s="6" t="n">
        <f aca="false">ROUND(5652*1.05,2)</f>
        <v>5934.6</v>
      </c>
      <c r="F313" s="6" t="s">
        <v>52</v>
      </c>
      <c r="G313" s="6" t="s">
        <v>24</v>
      </c>
      <c r="H313" s="6" t="n">
        <f aca="true">ROUND(RAND()*4+6,1)</f>
        <v>7</v>
      </c>
      <c r="I313" s="6" t="s">
        <v>25</v>
      </c>
      <c r="J313" s="6" t="str">
        <f aca="false">ROUND(64*1,0)&amp;"%"</f>
        <v>64%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817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818</v>
      </c>
      <c r="B318" s="5" t="s">
        <v>512</v>
      </c>
      <c r="C318" s="5" t="s">
        <v>133</v>
      </c>
      <c r="D318" s="5" t="s">
        <v>16</v>
      </c>
      <c r="E318" s="5" t="n">
        <f aca="false">ROUND(11293*1.05,2)</f>
        <v>11857.65</v>
      </c>
      <c r="F318" s="5" t="s">
        <v>17</v>
      </c>
      <c r="G318" s="5" t="s">
        <v>18</v>
      </c>
      <c r="H318" s="5" t="n">
        <f aca="true">ROUND(RAND()*4+6,1)</f>
        <v>9.9</v>
      </c>
      <c r="I318" s="5" t="s">
        <v>19</v>
      </c>
      <c r="J318" s="5" t="str">
        <f aca="false">ROUND(63*1,0)&amp;"%"</f>
        <v>63%</v>
      </c>
    </row>
    <row r="319" customFormat="false" ht="15" hidden="false" customHeight="false" outlineLevel="0" collapsed="false">
      <c r="A319" s="6" t="s">
        <v>819</v>
      </c>
      <c r="B319" s="6" t="s">
        <v>514</v>
      </c>
      <c r="C319" s="6" t="s">
        <v>133</v>
      </c>
      <c r="D319" s="6" t="s">
        <v>22</v>
      </c>
      <c r="E319" s="6" t="n">
        <f aca="false">ROUND(8162*1.05,2)</f>
        <v>8570.1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820</v>
      </c>
      <c r="B320" s="5" t="s">
        <v>516</v>
      </c>
      <c r="C320" s="5" t="s">
        <v>133</v>
      </c>
      <c r="D320" s="5" t="s">
        <v>28</v>
      </c>
      <c r="E320" s="5" t="n">
        <f aca="false">ROUND(17936*1.05,2)</f>
        <v>18832.8</v>
      </c>
      <c r="F320" s="5" t="s">
        <v>29</v>
      </c>
      <c r="G320" s="5" t="s">
        <v>30</v>
      </c>
      <c r="H320" s="5" t="n">
        <f aca="true">ROUND(RAND()*4+6,1)</f>
        <v>9</v>
      </c>
      <c r="I320" s="5" t="s">
        <v>31</v>
      </c>
      <c r="J320" s="5" t="str">
        <f aca="false">ROUND(95*1,0)&amp;"%"</f>
        <v>95%</v>
      </c>
    </row>
    <row r="321" customFormat="false" ht="15" hidden="false" customHeight="false" outlineLevel="0" collapsed="false">
      <c r="A321" s="6" t="s">
        <v>821</v>
      </c>
      <c r="B321" s="6" t="s">
        <v>518</v>
      </c>
      <c r="C321" s="6" t="s">
        <v>133</v>
      </c>
      <c r="D321" s="6" t="s">
        <v>34</v>
      </c>
      <c r="E321" s="6" t="n">
        <f aca="false">ROUND(7850*1.05,2)</f>
        <v>8242.5</v>
      </c>
      <c r="F321" s="6" t="s">
        <v>35</v>
      </c>
      <c r="G321" s="6" t="s">
        <v>18</v>
      </c>
      <c r="H321" s="6" t="n">
        <f aca="true">ROUND(RAND()*4+6,1)</f>
        <v>8.3</v>
      </c>
      <c r="I321" s="6" t="s">
        <v>36</v>
      </c>
      <c r="J321" s="6" t="str">
        <f aca="false">ROUND(67*1,0)&amp;"%"</f>
        <v>67%</v>
      </c>
    </row>
    <row r="322" customFormat="false" ht="15" hidden="false" customHeight="false" outlineLevel="0" collapsed="false">
      <c r="A322" s="5" t="s">
        <v>822</v>
      </c>
      <c r="B322" s="5" t="s">
        <v>520</v>
      </c>
      <c r="C322" s="5" t="s">
        <v>133</v>
      </c>
      <c r="D322" s="5" t="s">
        <v>39</v>
      </c>
      <c r="E322" s="5" t="n">
        <f aca="false">ROUND(10039*1.05,2)</f>
        <v>10540.95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ROUND(100*1,0)&amp;"%"</f>
        <v>100%</v>
      </c>
    </row>
    <row r="323" customFormat="false" ht="15" hidden="false" customHeight="false" outlineLevel="0" collapsed="false">
      <c r="A323" s="6" t="s">
        <v>823</v>
      </c>
      <c r="B323" s="6" t="s">
        <v>522</v>
      </c>
      <c r="C323" s="6" t="s">
        <v>133</v>
      </c>
      <c r="D323" s="6" t="s">
        <v>44</v>
      </c>
      <c r="E323" s="6" t="n">
        <f aca="false">ROUND(10086*1.05,2)</f>
        <v>10590.3</v>
      </c>
      <c r="F323" s="6" t="s">
        <v>45</v>
      </c>
      <c r="G323" s="6" t="s">
        <v>30</v>
      </c>
      <c r="H323" s="6" t="n">
        <f aca="true">ROUND(RAND()*4+6,1)</f>
        <v>7.7</v>
      </c>
      <c r="I323" s="6" t="s">
        <v>46</v>
      </c>
      <c r="J323" s="6" t="str">
        <f aca="false">ROUND(62*1,0)&amp;"%"</f>
        <v>62%</v>
      </c>
    </row>
    <row r="324" customFormat="false" ht="15" hidden="false" customHeight="false" outlineLevel="0" collapsed="false">
      <c r="A324" s="5" t="s">
        <v>824</v>
      </c>
      <c r="B324" s="5" t="s">
        <v>524</v>
      </c>
      <c r="C324" s="5" t="s">
        <v>133</v>
      </c>
      <c r="D324" s="5" t="s">
        <v>16</v>
      </c>
      <c r="E324" s="5" t="n">
        <f aca="false">ROUND(9245*1.05,2)</f>
        <v>9707.25</v>
      </c>
      <c r="F324" s="5" t="s">
        <v>49</v>
      </c>
      <c r="G324" s="5" t="s">
        <v>18</v>
      </c>
      <c r="H324" s="5" t="n">
        <f aca="true">ROUND(RAND()*4+6,1)</f>
        <v>8.5</v>
      </c>
      <c r="I324" s="5" t="s">
        <v>19</v>
      </c>
      <c r="J324" s="5" t="str">
        <f aca="false">ROUND(85*1,0)&amp;"%"</f>
        <v>85%</v>
      </c>
    </row>
    <row r="325" customFormat="false" ht="15" hidden="false" customHeight="false" outlineLevel="0" collapsed="false">
      <c r="A325" s="6" t="s">
        <v>825</v>
      </c>
      <c r="B325" s="6" t="s">
        <v>526</v>
      </c>
      <c r="C325" s="6" t="s">
        <v>133</v>
      </c>
      <c r="D325" s="6" t="s">
        <v>22</v>
      </c>
      <c r="E325" s="6" t="n">
        <f aca="false">ROUND(15005*1.05,2)</f>
        <v>15755.25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ROUND(92*1,0)&amp;"%"</f>
        <v>92%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826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827</v>
      </c>
      <c r="B330" s="5" t="s">
        <v>530</v>
      </c>
      <c r="C330" s="5" t="s">
        <v>152</v>
      </c>
      <c r="D330" s="5" t="s">
        <v>16</v>
      </c>
      <c r="E330" s="5" t="n">
        <f aca="false">ROUND(10158*1.05,2)</f>
        <v>10665.9</v>
      </c>
      <c r="F330" s="5" t="s">
        <v>17</v>
      </c>
      <c r="G330" s="5" t="s">
        <v>18</v>
      </c>
      <c r="H330" s="5" t="n">
        <f aca="true">ROUND(RAND()*4+6,1)</f>
        <v>9.6</v>
      </c>
      <c r="I330" s="5" t="s">
        <v>19</v>
      </c>
      <c r="J330" s="5" t="str">
        <f aca="false">ROUND(82*1,0)&amp;"%"</f>
        <v>82%</v>
      </c>
    </row>
    <row r="331" customFormat="false" ht="15" hidden="false" customHeight="false" outlineLevel="0" collapsed="false">
      <c r="A331" s="6" t="s">
        <v>828</v>
      </c>
      <c r="B331" s="6" t="s">
        <v>532</v>
      </c>
      <c r="C331" s="6" t="s">
        <v>152</v>
      </c>
      <c r="D331" s="6" t="s">
        <v>22</v>
      </c>
      <c r="E331" s="6" t="n">
        <f aca="false">ROUND(11004*1.05,2)</f>
        <v>11554.2</v>
      </c>
      <c r="F331" s="6" t="s">
        <v>23</v>
      </c>
      <c r="G331" s="6" t="s">
        <v>24</v>
      </c>
      <c r="H331" s="6" t="n">
        <f aca="true">ROUND(RAND()*4+6,1)</f>
        <v>8.8</v>
      </c>
      <c r="I331" s="6" t="s">
        <v>25</v>
      </c>
      <c r="J331" s="6" t="str">
        <f aca="false">ROUND(81*1,0)&amp;"%"</f>
        <v>81%</v>
      </c>
    </row>
    <row r="332" customFormat="false" ht="15" hidden="false" customHeight="false" outlineLevel="0" collapsed="false">
      <c r="A332" s="5" t="s">
        <v>829</v>
      </c>
      <c r="B332" s="5" t="s">
        <v>534</v>
      </c>
      <c r="C332" s="5" t="s">
        <v>152</v>
      </c>
      <c r="D332" s="5" t="s">
        <v>28</v>
      </c>
      <c r="E332" s="5" t="n">
        <f aca="false">ROUND(16472*1.05,2)</f>
        <v>17295.6</v>
      </c>
      <c r="F332" s="5" t="s">
        <v>29</v>
      </c>
      <c r="G332" s="5" t="s">
        <v>30</v>
      </c>
      <c r="H332" s="5" t="n">
        <f aca="true">ROUND(RAND()*4+6,1)</f>
        <v>8.9</v>
      </c>
      <c r="I332" s="5" t="s">
        <v>31</v>
      </c>
      <c r="J332" s="5" t="str">
        <f aca="false">ROUND(75*1,0)&amp;"%"</f>
        <v>75%</v>
      </c>
    </row>
    <row r="333" customFormat="false" ht="15" hidden="false" customHeight="false" outlineLevel="0" collapsed="false">
      <c r="A333" s="6" t="s">
        <v>830</v>
      </c>
      <c r="B333" s="6" t="s">
        <v>536</v>
      </c>
      <c r="C333" s="6" t="s">
        <v>152</v>
      </c>
      <c r="D333" s="6" t="s">
        <v>34</v>
      </c>
      <c r="E333" s="6" t="n">
        <f aca="false">ROUND(9473*1.05,2)</f>
        <v>9946.65</v>
      </c>
      <c r="F333" s="6" t="s">
        <v>35</v>
      </c>
      <c r="G333" s="6" t="s">
        <v>18</v>
      </c>
      <c r="H333" s="6" t="n">
        <f aca="true">ROUND(RAND()*4+6,1)</f>
        <v>7</v>
      </c>
      <c r="I333" s="6" t="s">
        <v>36</v>
      </c>
      <c r="J333" s="6" t="str">
        <f aca="false">ROUND(74*1,0)&amp;"%"</f>
        <v>74%</v>
      </c>
    </row>
    <row r="334" customFormat="false" ht="15" hidden="false" customHeight="false" outlineLevel="0" collapsed="false">
      <c r="A334" s="5" t="s">
        <v>831</v>
      </c>
      <c r="B334" s="5" t="s">
        <v>538</v>
      </c>
      <c r="C334" s="5" t="s">
        <v>152</v>
      </c>
      <c r="D334" s="5" t="s">
        <v>39</v>
      </c>
      <c r="E334" s="5" t="n">
        <f aca="false">ROUND(17428*1.05,2)</f>
        <v>18299.4</v>
      </c>
      <c r="F334" s="5" t="s">
        <v>40</v>
      </c>
      <c r="G334" s="5" t="s">
        <v>24</v>
      </c>
      <c r="H334" s="5" t="n">
        <f aca="true">ROUND(RAND()*4+6,1)</f>
        <v>6.6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832</v>
      </c>
      <c r="B335" s="6" t="s">
        <v>540</v>
      </c>
      <c r="C335" s="6" t="s">
        <v>152</v>
      </c>
      <c r="D335" s="6" t="s">
        <v>44</v>
      </c>
      <c r="E335" s="6" t="n">
        <f aca="false">ROUND(17602*1.05,2)</f>
        <v>18482.1</v>
      </c>
      <c r="F335" s="6" t="s">
        <v>45</v>
      </c>
      <c r="G335" s="6" t="s">
        <v>30</v>
      </c>
      <c r="H335" s="6" t="n">
        <f aca="true">ROUND(RAND()*4+6,1)</f>
        <v>9.3</v>
      </c>
      <c r="I335" s="6" t="s">
        <v>46</v>
      </c>
      <c r="J335" s="6" t="str">
        <f aca="false">ROUND(62*1,0)&amp;"%"</f>
        <v>62%</v>
      </c>
    </row>
    <row r="336" customFormat="false" ht="15" hidden="false" customHeight="false" outlineLevel="0" collapsed="false">
      <c r="A336" s="5" t="s">
        <v>833</v>
      </c>
      <c r="B336" s="5" t="s">
        <v>542</v>
      </c>
      <c r="C336" s="5" t="s">
        <v>152</v>
      </c>
      <c r="D336" s="5" t="s">
        <v>16</v>
      </c>
      <c r="E336" s="5" t="n">
        <f aca="false">ROUND(16977*1.05,2)</f>
        <v>17825.85</v>
      </c>
      <c r="F336" s="5" t="s">
        <v>49</v>
      </c>
      <c r="G336" s="5" t="s">
        <v>18</v>
      </c>
      <c r="H336" s="5" t="n">
        <f aca="true">ROUND(RAND()*4+6,1)</f>
        <v>6.8</v>
      </c>
      <c r="I336" s="5" t="s">
        <v>19</v>
      </c>
      <c r="J336" s="5" t="str">
        <f aca="false">ROUND(69*1,0)&amp;"%"</f>
        <v>69%</v>
      </c>
    </row>
    <row r="337" customFormat="false" ht="15" hidden="false" customHeight="false" outlineLevel="0" collapsed="false">
      <c r="A337" s="6" t="s">
        <v>834</v>
      </c>
      <c r="B337" s="6" t="s">
        <v>544</v>
      </c>
      <c r="C337" s="6" t="s">
        <v>152</v>
      </c>
      <c r="D337" s="6" t="s">
        <v>22</v>
      </c>
      <c r="E337" s="6" t="n">
        <f aca="false">ROUND(4484*1.05,2)</f>
        <v>4708.2</v>
      </c>
      <c r="F337" s="6" t="s">
        <v>52</v>
      </c>
      <c r="G337" s="6" t="s">
        <v>24</v>
      </c>
      <c r="H337" s="6" t="n">
        <f aca="true">ROUND(RAND()*4+6,1)</f>
        <v>9</v>
      </c>
      <c r="I337" s="6" t="s">
        <v>25</v>
      </c>
      <c r="J337" s="6" t="str">
        <f aca="false">ROUND(73*1,0)&amp;"%"</f>
        <v>73%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835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836</v>
      </c>
      <c r="B342" s="5" t="s">
        <v>548</v>
      </c>
      <c r="C342" s="5" t="s">
        <v>15</v>
      </c>
      <c r="D342" s="5" t="s">
        <v>16</v>
      </c>
      <c r="E342" s="5" t="n">
        <f aca="false">ROUND(14368*1.05,2)</f>
        <v>15086.4</v>
      </c>
      <c r="F342" s="5" t="s">
        <v>17</v>
      </c>
      <c r="G342" s="5" t="s">
        <v>18</v>
      </c>
      <c r="H342" s="5" t="n">
        <f aca="true">ROUND(RAND()*4+6,1)</f>
        <v>6.1</v>
      </c>
      <c r="I342" s="5" t="s">
        <v>19</v>
      </c>
      <c r="J342" s="5" t="str">
        <f aca="false">ROUND(60*1,0)&amp;"%"</f>
        <v>60%</v>
      </c>
    </row>
    <row r="343" customFormat="false" ht="15" hidden="false" customHeight="false" outlineLevel="0" collapsed="false">
      <c r="A343" s="6" t="s">
        <v>837</v>
      </c>
      <c r="B343" s="6" t="s">
        <v>550</v>
      </c>
      <c r="C343" s="6" t="s">
        <v>15</v>
      </c>
      <c r="D343" s="6" t="s">
        <v>22</v>
      </c>
      <c r="E343" s="6" t="n">
        <f aca="false">ROUND(17122*1.05,2)</f>
        <v>17978.1</v>
      </c>
      <c r="F343" s="6" t="s">
        <v>23</v>
      </c>
      <c r="G343" s="6" t="s">
        <v>24</v>
      </c>
      <c r="H343" s="6" t="n">
        <f aca="true">ROUND(RAND()*4+6,1)</f>
        <v>6.7</v>
      </c>
      <c r="I343" s="6" t="s">
        <v>25</v>
      </c>
      <c r="J343" s="6" t="str">
        <f aca="false">ROUND(68*1,0)&amp;"%"</f>
        <v>68%</v>
      </c>
    </row>
    <row r="344" customFormat="false" ht="15" hidden="false" customHeight="false" outlineLevel="0" collapsed="false">
      <c r="A344" s="5" t="s">
        <v>838</v>
      </c>
      <c r="B344" s="5" t="s">
        <v>552</v>
      </c>
      <c r="C344" s="5" t="s">
        <v>15</v>
      </c>
      <c r="D344" s="5" t="s">
        <v>28</v>
      </c>
      <c r="E344" s="5" t="n">
        <f aca="false">ROUND(15639*1.05,2)</f>
        <v>16420.95</v>
      </c>
      <c r="F344" s="5" t="s">
        <v>29</v>
      </c>
      <c r="G344" s="5" t="s">
        <v>30</v>
      </c>
      <c r="H344" s="5" t="n">
        <f aca="true">ROUND(RAND()*4+6,1)</f>
        <v>8.1</v>
      </c>
      <c r="I344" s="5" t="s">
        <v>31</v>
      </c>
      <c r="J344" s="5" t="str">
        <f aca="false">ROUND(66*1,0)&amp;"%"</f>
        <v>66%</v>
      </c>
    </row>
    <row r="345" customFormat="false" ht="15" hidden="false" customHeight="false" outlineLevel="0" collapsed="false">
      <c r="A345" s="6" t="s">
        <v>839</v>
      </c>
      <c r="B345" s="6" t="s">
        <v>554</v>
      </c>
      <c r="C345" s="6" t="s">
        <v>15</v>
      </c>
      <c r="D345" s="6" t="s">
        <v>34</v>
      </c>
      <c r="E345" s="6" t="n">
        <f aca="false">ROUND(16431*1.05,2)</f>
        <v>17252.55</v>
      </c>
      <c r="F345" s="6" t="s">
        <v>35</v>
      </c>
      <c r="G345" s="6" t="s">
        <v>18</v>
      </c>
      <c r="H345" s="6" t="n">
        <f aca="true">ROUND(RAND()*4+6,1)</f>
        <v>9.2</v>
      </c>
      <c r="I345" s="6" t="s">
        <v>36</v>
      </c>
      <c r="J345" s="6" t="str">
        <f aca="false">ROUND(91*1,0)&amp;"%"</f>
        <v>91%</v>
      </c>
    </row>
    <row r="346" customFormat="false" ht="15" hidden="false" customHeight="false" outlineLevel="0" collapsed="false">
      <c r="A346" s="5" t="s">
        <v>840</v>
      </c>
      <c r="B346" s="5" t="s">
        <v>556</v>
      </c>
      <c r="C346" s="5" t="s">
        <v>15</v>
      </c>
      <c r="D346" s="5" t="s">
        <v>39</v>
      </c>
      <c r="E346" s="5" t="n">
        <f aca="false">ROUND(12632*1.05,2)</f>
        <v>13263.6</v>
      </c>
      <c r="F346" s="5" t="s">
        <v>40</v>
      </c>
      <c r="G346" s="5" t="s">
        <v>24</v>
      </c>
      <c r="H346" s="5" t="n">
        <f aca="true">ROUND(RAND()*4+6,1)</f>
        <v>7.3</v>
      </c>
      <c r="I346" s="5" t="s">
        <v>41</v>
      </c>
      <c r="J346" s="5" t="str">
        <f aca="false">ROUND(99*1,0)&amp;"%"</f>
        <v>99%</v>
      </c>
    </row>
    <row r="347" customFormat="false" ht="15" hidden="false" customHeight="false" outlineLevel="0" collapsed="false">
      <c r="A347" s="6" t="s">
        <v>841</v>
      </c>
      <c r="B347" s="6" t="s">
        <v>558</v>
      </c>
      <c r="C347" s="6" t="s">
        <v>15</v>
      </c>
      <c r="D347" s="6" t="s">
        <v>44</v>
      </c>
      <c r="E347" s="6" t="n">
        <f aca="false">ROUND(11231*1.05,2)</f>
        <v>11792.55</v>
      </c>
      <c r="F347" s="6" t="s">
        <v>45</v>
      </c>
      <c r="G347" s="6" t="s">
        <v>30</v>
      </c>
      <c r="H347" s="6" t="n">
        <f aca="true">ROUND(RAND()*4+6,1)</f>
        <v>7.9</v>
      </c>
      <c r="I347" s="6" t="s">
        <v>46</v>
      </c>
      <c r="J347" s="6" t="str">
        <f aca="false">ROUND(68*1,0)&amp;"%"</f>
        <v>68%</v>
      </c>
    </row>
    <row r="348" customFormat="false" ht="15" hidden="false" customHeight="false" outlineLevel="0" collapsed="false">
      <c r="A348" s="5" t="s">
        <v>842</v>
      </c>
      <c r="B348" s="5" t="s">
        <v>560</v>
      </c>
      <c r="C348" s="5" t="s">
        <v>15</v>
      </c>
      <c r="D348" s="5" t="s">
        <v>16</v>
      </c>
      <c r="E348" s="5" t="n">
        <f aca="false">ROUND(17897*1.05,2)</f>
        <v>18791.85</v>
      </c>
      <c r="F348" s="5" t="s">
        <v>49</v>
      </c>
      <c r="G348" s="5" t="s">
        <v>18</v>
      </c>
      <c r="H348" s="5" t="n">
        <f aca="true">ROUND(RAND()*4+6,1)</f>
        <v>9.2</v>
      </c>
      <c r="I348" s="5" t="s">
        <v>19</v>
      </c>
      <c r="J348" s="5" t="str">
        <f aca="false">ROUND(75*1,0)&amp;"%"</f>
        <v>75%</v>
      </c>
    </row>
    <row r="349" customFormat="false" ht="15" hidden="false" customHeight="false" outlineLevel="0" collapsed="false">
      <c r="A349" s="6" t="s">
        <v>843</v>
      </c>
      <c r="B349" s="6" t="s">
        <v>562</v>
      </c>
      <c r="C349" s="6" t="s">
        <v>15</v>
      </c>
      <c r="D349" s="6" t="s">
        <v>22</v>
      </c>
      <c r="E349" s="6" t="n">
        <f aca="false">ROUND(14551*1.05,2)</f>
        <v>15278.55</v>
      </c>
      <c r="F349" s="6" t="s">
        <v>52</v>
      </c>
      <c r="G349" s="6" t="s">
        <v>24</v>
      </c>
      <c r="H349" s="6" t="n">
        <f aca="true">ROUND(RAND()*4+6,1)</f>
        <v>6.8</v>
      </c>
      <c r="I349" s="6" t="s">
        <v>25</v>
      </c>
      <c r="J349" s="6" t="str">
        <f aca="false">ROUND(81*1,0)&amp;"%"</f>
        <v>81%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844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845</v>
      </c>
      <c r="B354" s="5" t="s">
        <v>566</v>
      </c>
      <c r="C354" s="5" t="s">
        <v>57</v>
      </c>
      <c r="D354" s="5" t="s">
        <v>16</v>
      </c>
      <c r="E354" s="5" t="n">
        <f aca="false">ROUND(16097*1.05,2)</f>
        <v>16901.85</v>
      </c>
      <c r="F354" s="5" t="s">
        <v>17</v>
      </c>
      <c r="G354" s="5" t="s">
        <v>18</v>
      </c>
      <c r="H354" s="5" t="n">
        <f aca="true">ROUND(RAND()*4+6,1)</f>
        <v>6.1</v>
      </c>
      <c r="I354" s="5" t="s">
        <v>19</v>
      </c>
      <c r="J354" s="5" t="str">
        <f aca="false">ROUND(69*1,0)&amp;"%"</f>
        <v>69%</v>
      </c>
    </row>
    <row r="355" customFormat="false" ht="15" hidden="false" customHeight="false" outlineLevel="0" collapsed="false">
      <c r="A355" s="6" t="s">
        <v>846</v>
      </c>
      <c r="B355" s="6" t="s">
        <v>568</v>
      </c>
      <c r="C355" s="6" t="s">
        <v>57</v>
      </c>
      <c r="D355" s="6" t="s">
        <v>22</v>
      </c>
      <c r="E355" s="6" t="n">
        <f aca="false">ROUND(9429*1.05,2)</f>
        <v>9900.45</v>
      </c>
      <c r="F355" s="6" t="s">
        <v>23</v>
      </c>
      <c r="G355" s="6" t="s">
        <v>24</v>
      </c>
      <c r="H355" s="6" t="n">
        <f aca="true">ROUND(RAND()*4+6,1)</f>
        <v>9.4</v>
      </c>
      <c r="I355" s="6" t="s">
        <v>25</v>
      </c>
      <c r="J355" s="6" t="str">
        <f aca="false">ROUND(87*1,0)&amp;"%"</f>
        <v>87%</v>
      </c>
    </row>
    <row r="356" customFormat="false" ht="15" hidden="false" customHeight="false" outlineLevel="0" collapsed="false">
      <c r="A356" s="5" t="s">
        <v>847</v>
      </c>
      <c r="B356" s="5" t="s">
        <v>570</v>
      </c>
      <c r="C356" s="5" t="s">
        <v>57</v>
      </c>
      <c r="D356" s="5" t="s">
        <v>28</v>
      </c>
      <c r="E356" s="5" t="n">
        <f aca="false">ROUND(5387*1.05,2)</f>
        <v>5656.35</v>
      </c>
      <c r="F356" s="5" t="s">
        <v>29</v>
      </c>
      <c r="G356" s="5" t="s">
        <v>30</v>
      </c>
      <c r="H356" s="5" t="n">
        <f aca="true">ROUND(RAND()*4+6,1)</f>
        <v>7.8</v>
      </c>
      <c r="I356" s="5" t="s">
        <v>31</v>
      </c>
      <c r="J356" s="5" t="str">
        <f aca="false">ROUND(95*1,0)&amp;"%"</f>
        <v>95%</v>
      </c>
    </row>
    <row r="357" customFormat="false" ht="15" hidden="false" customHeight="false" outlineLevel="0" collapsed="false">
      <c r="A357" s="6" t="s">
        <v>848</v>
      </c>
      <c r="B357" s="6" t="s">
        <v>572</v>
      </c>
      <c r="C357" s="6" t="s">
        <v>57</v>
      </c>
      <c r="D357" s="6" t="s">
        <v>34</v>
      </c>
      <c r="E357" s="6" t="n">
        <f aca="false">ROUND(6327*1.05,2)</f>
        <v>6643.35</v>
      </c>
      <c r="F357" s="6" t="s">
        <v>35</v>
      </c>
      <c r="G357" s="6" t="s">
        <v>18</v>
      </c>
      <c r="H357" s="6" t="n">
        <f aca="true">ROUND(RAND()*4+6,1)</f>
        <v>7.1</v>
      </c>
      <c r="I357" s="6" t="s">
        <v>36</v>
      </c>
      <c r="J357" s="6" t="str">
        <f aca="false">ROUND(65*1,0)&amp;"%"</f>
        <v>65%</v>
      </c>
    </row>
    <row r="358" customFormat="false" ht="15" hidden="false" customHeight="false" outlineLevel="0" collapsed="false">
      <c r="A358" s="5" t="s">
        <v>849</v>
      </c>
      <c r="B358" s="5" t="s">
        <v>574</v>
      </c>
      <c r="C358" s="5" t="s">
        <v>57</v>
      </c>
      <c r="D358" s="5" t="s">
        <v>39</v>
      </c>
      <c r="E358" s="5" t="n">
        <f aca="false">ROUND(8432*1.05,2)</f>
        <v>8853.6</v>
      </c>
      <c r="F358" s="5" t="s">
        <v>40</v>
      </c>
      <c r="G358" s="5" t="s">
        <v>24</v>
      </c>
      <c r="H358" s="5" t="n">
        <f aca="true">ROUND(RAND()*4+6,1)</f>
        <v>6.4</v>
      </c>
      <c r="I358" s="5" t="s">
        <v>41</v>
      </c>
      <c r="J358" s="5" t="str">
        <f aca="false">ROUND(63*1,0)&amp;"%"</f>
        <v>63%</v>
      </c>
    </row>
    <row r="359" customFormat="false" ht="15" hidden="false" customHeight="false" outlineLevel="0" collapsed="false">
      <c r="A359" s="6" t="s">
        <v>850</v>
      </c>
      <c r="B359" s="6" t="s">
        <v>576</v>
      </c>
      <c r="C359" s="6" t="s">
        <v>57</v>
      </c>
      <c r="D359" s="6" t="s">
        <v>44</v>
      </c>
      <c r="E359" s="6" t="n">
        <f aca="false">ROUND(14985*1.05,2)</f>
        <v>15734.25</v>
      </c>
      <c r="F359" s="6" t="s">
        <v>45</v>
      </c>
      <c r="G359" s="6" t="s">
        <v>30</v>
      </c>
      <c r="H359" s="6" t="n">
        <f aca="true">ROUND(RAND()*4+6,1)</f>
        <v>9.8</v>
      </c>
      <c r="I359" s="6" t="s">
        <v>46</v>
      </c>
      <c r="J359" s="6" t="str">
        <f aca="false">ROUND(76*1,0)&amp;"%"</f>
        <v>76%</v>
      </c>
    </row>
    <row r="360" customFormat="false" ht="15" hidden="false" customHeight="false" outlineLevel="0" collapsed="false">
      <c r="A360" s="5" t="s">
        <v>851</v>
      </c>
      <c r="B360" s="5" t="s">
        <v>578</v>
      </c>
      <c r="C360" s="5" t="s">
        <v>57</v>
      </c>
      <c r="D360" s="5" t="s">
        <v>16</v>
      </c>
      <c r="E360" s="5" t="n">
        <f aca="false">ROUND(9136*1.05,2)</f>
        <v>9592.8</v>
      </c>
      <c r="F360" s="5" t="s">
        <v>49</v>
      </c>
      <c r="G360" s="5" t="s">
        <v>18</v>
      </c>
      <c r="H360" s="5" t="n">
        <f aca="true">ROUND(RAND()*4+6,1)</f>
        <v>6.7</v>
      </c>
      <c r="I360" s="5" t="s">
        <v>19</v>
      </c>
      <c r="J360" s="5" t="str">
        <f aca="false">ROUND(99*1,0)&amp;"%"</f>
        <v>99%</v>
      </c>
    </row>
    <row r="361" customFormat="false" ht="15" hidden="false" customHeight="false" outlineLevel="0" collapsed="false">
      <c r="A361" s="6" t="s">
        <v>852</v>
      </c>
      <c r="B361" s="6" t="s">
        <v>580</v>
      </c>
      <c r="C361" s="6" t="s">
        <v>57</v>
      </c>
      <c r="D361" s="6" t="s">
        <v>22</v>
      </c>
      <c r="E361" s="6" t="n">
        <f aca="false">ROUND(4717*1.05,2)</f>
        <v>4952.85</v>
      </c>
      <c r="F361" s="6" t="s">
        <v>52</v>
      </c>
      <c r="G361" s="6" t="s">
        <v>24</v>
      </c>
      <c r="H361" s="6" t="n">
        <f aca="true">ROUND(RAND()*4+6,1)</f>
        <v>9.3</v>
      </c>
      <c r="I361" s="6" t="s">
        <v>25</v>
      </c>
      <c r="J361" s="6" t="str">
        <f aca="false">ROUND(62*1,0)&amp;"%"</f>
        <v>62%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853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854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855</v>
      </c>
      <c r="B6" s="5" t="s">
        <v>14</v>
      </c>
      <c r="C6" s="5" t="s">
        <v>15</v>
      </c>
      <c r="D6" s="5" t="s">
        <v>16</v>
      </c>
      <c r="E6" s="5" t="n">
        <f aca="false">ROUND(14756*1.05,2)</f>
        <v>15493.8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ROUND(87*1,0)&amp;"%"</f>
        <v>87%</v>
      </c>
    </row>
    <row r="7" customFormat="false" ht="15" hidden="false" customHeight="false" outlineLevel="0" collapsed="false">
      <c r="A7" s="6" t="s">
        <v>856</v>
      </c>
      <c r="B7" s="6" t="s">
        <v>21</v>
      </c>
      <c r="C7" s="6" t="s">
        <v>15</v>
      </c>
      <c r="D7" s="6" t="s">
        <v>22</v>
      </c>
      <c r="E7" s="6" t="n">
        <f aca="false">ROUND(16253*1.05,2)</f>
        <v>17065.65</v>
      </c>
      <c r="F7" s="6" t="s">
        <v>23</v>
      </c>
      <c r="G7" s="6" t="s">
        <v>24</v>
      </c>
      <c r="H7" s="6" t="n">
        <f aca="true">ROUND(RAND()*4+6,1)</f>
        <v>7.4</v>
      </c>
      <c r="I7" s="6" t="s">
        <v>25</v>
      </c>
      <c r="J7" s="6" t="str">
        <f aca="false">ROUND(94*1,0)&amp;"%"</f>
        <v>94%</v>
      </c>
    </row>
    <row r="8" customFormat="false" ht="15" hidden="false" customHeight="false" outlineLevel="0" collapsed="false">
      <c r="A8" s="5" t="s">
        <v>857</v>
      </c>
      <c r="B8" s="5" t="s">
        <v>27</v>
      </c>
      <c r="C8" s="5" t="s">
        <v>15</v>
      </c>
      <c r="D8" s="5" t="s">
        <v>28</v>
      </c>
      <c r="E8" s="5" t="n">
        <f aca="false">ROUND(10760*1.05,2)</f>
        <v>11298</v>
      </c>
      <c r="F8" s="5" t="s">
        <v>29</v>
      </c>
      <c r="G8" s="5" t="s">
        <v>30</v>
      </c>
      <c r="H8" s="5" t="n">
        <f aca="true">ROUND(RAND()*4+6,1)</f>
        <v>7.4</v>
      </c>
      <c r="I8" s="5" t="s">
        <v>31</v>
      </c>
      <c r="J8" s="5" t="str">
        <f aca="false">ROUND(71*1,0)&amp;"%"</f>
        <v>71%</v>
      </c>
    </row>
    <row r="9" customFormat="false" ht="15" hidden="false" customHeight="false" outlineLevel="0" collapsed="false">
      <c r="A9" s="6" t="s">
        <v>858</v>
      </c>
      <c r="B9" s="6" t="s">
        <v>33</v>
      </c>
      <c r="C9" s="6" t="s">
        <v>15</v>
      </c>
      <c r="D9" s="6" t="s">
        <v>34</v>
      </c>
      <c r="E9" s="6" t="n">
        <f aca="false">ROUND(4553*1.05,2)</f>
        <v>4780.65</v>
      </c>
      <c r="F9" s="6" t="s">
        <v>35</v>
      </c>
      <c r="G9" s="6" t="s">
        <v>18</v>
      </c>
      <c r="H9" s="6" t="n">
        <f aca="true">ROUND(RAND()*4+6,1)</f>
        <v>9.9</v>
      </c>
      <c r="I9" s="6" t="s">
        <v>36</v>
      </c>
      <c r="J9" s="6" t="str">
        <f aca="false">ROUND(69*1,0)&amp;"%"</f>
        <v>69%</v>
      </c>
    </row>
    <row r="10" customFormat="false" ht="15" hidden="false" customHeight="false" outlineLevel="0" collapsed="false">
      <c r="A10" s="5" t="s">
        <v>859</v>
      </c>
      <c r="B10" s="5" t="s">
        <v>38</v>
      </c>
      <c r="C10" s="5" t="s">
        <v>15</v>
      </c>
      <c r="D10" s="5" t="s">
        <v>39</v>
      </c>
      <c r="E10" s="5" t="n">
        <f aca="false">ROUND(15087*1.05,2)</f>
        <v>15841.35</v>
      </c>
      <c r="F10" s="5" t="s">
        <v>40</v>
      </c>
      <c r="G10" s="5" t="s">
        <v>24</v>
      </c>
      <c r="H10" s="5" t="n">
        <f aca="true">ROUND(RAND()*4+6,1)</f>
        <v>6.8</v>
      </c>
      <c r="I10" s="5" t="s">
        <v>41</v>
      </c>
      <c r="J10" s="5" t="str">
        <f aca="false">ROUND(81*1,0)&amp;"%"</f>
        <v>81%</v>
      </c>
    </row>
    <row r="11" customFormat="false" ht="15" hidden="false" customHeight="false" outlineLevel="0" collapsed="false">
      <c r="A11" s="6" t="s">
        <v>860</v>
      </c>
      <c r="B11" s="6" t="s">
        <v>43</v>
      </c>
      <c r="C11" s="6" t="s">
        <v>15</v>
      </c>
      <c r="D11" s="6" t="s">
        <v>44</v>
      </c>
      <c r="E11" s="6" t="n">
        <f aca="false">ROUND(9068*1.05,2)</f>
        <v>9521.4</v>
      </c>
      <c r="F11" s="6" t="s">
        <v>45</v>
      </c>
      <c r="G11" s="6" t="s">
        <v>30</v>
      </c>
      <c r="H11" s="6" t="n">
        <f aca="true">ROUND(RAND()*4+6,1)</f>
        <v>6.8</v>
      </c>
      <c r="I11" s="6" t="s">
        <v>46</v>
      </c>
      <c r="J11" s="6" t="str">
        <f aca="false">ROUND(89*1,0)&amp;"%"</f>
        <v>89%</v>
      </c>
    </row>
    <row r="12" customFormat="false" ht="15" hidden="false" customHeight="false" outlineLevel="0" collapsed="false">
      <c r="A12" s="5" t="s">
        <v>861</v>
      </c>
      <c r="B12" s="5" t="s">
        <v>48</v>
      </c>
      <c r="C12" s="5" t="s">
        <v>15</v>
      </c>
      <c r="D12" s="5" t="s">
        <v>16</v>
      </c>
      <c r="E12" s="5" t="n">
        <f aca="false">ROUND(6563*1.05,2)</f>
        <v>6891.15</v>
      </c>
      <c r="F12" s="5" t="s">
        <v>49</v>
      </c>
      <c r="G12" s="5" t="s">
        <v>18</v>
      </c>
      <c r="H12" s="5" t="n">
        <f aca="true">ROUND(RAND()*4+6,1)</f>
        <v>6.6</v>
      </c>
      <c r="I12" s="5" t="s">
        <v>19</v>
      </c>
      <c r="J12" s="5" t="str">
        <f aca="false">ROUND(85*1,0)&amp;"%"</f>
        <v>85%</v>
      </c>
    </row>
    <row r="13" customFormat="false" ht="15" hidden="false" customHeight="false" outlineLevel="0" collapsed="false">
      <c r="A13" s="6" t="s">
        <v>862</v>
      </c>
      <c r="B13" s="6" t="s">
        <v>51</v>
      </c>
      <c r="C13" s="6" t="s">
        <v>15</v>
      </c>
      <c r="D13" s="6" t="s">
        <v>22</v>
      </c>
      <c r="E13" s="6" t="n">
        <f aca="false">ROUND(9346*1.05,2)</f>
        <v>9813.3</v>
      </c>
      <c r="F13" s="6" t="s">
        <v>52</v>
      </c>
      <c r="G13" s="6" t="s">
        <v>24</v>
      </c>
      <c r="H13" s="6" t="n">
        <f aca="true">ROUND(RAND()*4+6,1)</f>
        <v>7.4</v>
      </c>
      <c r="I13" s="6" t="s">
        <v>25</v>
      </c>
      <c r="J13" s="6" t="str">
        <f aca="false">ROUND(62*1,0)&amp;"%"</f>
        <v>62%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863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864</v>
      </c>
      <c r="B18" s="5" t="s">
        <v>56</v>
      </c>
      <c r="C18" s="5" t="s">
        <v>57</v>
      </c>
      <c r="D18" s="5" t="s">
        <v>16</v>
      </c>
      <c r="E18" s="5" t="n">
        <f aca="false">ROUND(15782*1.05,2)</f>
        <v>16571.1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ROUND(74*1,0)&amp;"%"</f>
        <v>74%</v>
      </c>
    </row>
    <row r="19" customFormat="false" ht="15" hidden="false" customHeight="false" outlineLevel="0" collapsed="false">
      <c r="A19" s="6" t="s">
        <v>865</v>
      </c>
      <c r="B19" s="6" t="s">
        <v>59</v>
      </c>
      <c r="C19" s="6" t="s">
        <v>57</v>
      </c>
      <c r="D19" s="6" t="s">
        <v>22</v>
      </c>
      <c r="E19" s="6" t="n">
        <f aca="false">ROUND(12340*1.05,2)</f>
        <v>12957</v>
      </c>
      <c r="F19" s="6" t="s">
        <v>23</v>
      </c>
      <c r="G19" s="6" t="s">
        <v>24</v>
      </c>
      <c r="H19" s="6" t="n">
        <f aca="true">ROUND(RAND()*4+6,1)</f>
        <v>8.7</v>
      </c>
      <c r="I19" s="6" t="s">
        <v>25</v>
      </c>
      <c r="J19" s="6" t="str">
        <f aca="false">ROUND(88*1,0)&amp;"%"</f>
        <v>88%</v>
      </c>
    </row>
    <row r="20" customFormat="false" ht="15" hidden="false" customHeight="false" outlineLevel="0" collapsed="false">
      <c r="A20" s="5" t="s">
        <v>866</v>
      </c>
      <c r="B20" s="5" t="s">
        <v>61</v>
      </c>
      <c r="C20" s="5" t="s">
        <v>57</v>
      </c>
      <c r="D20" s="5" t="s">
        <v>28</v>
      </c>
      <c r="E20" s="5" t="n">
        <f aca="false">ROUND(10057*1.05,2)</f>
        <v>10559.85</v>
      </c>
      <c r="F20" s="5" t="s">
        <v>29</v>
      </c>
      <c r="G20" s="5" t="s">
        <v>30</v>
      </c>
      <c r="H20" s="5" t="n">
        <f aca="true">ROUND(RAND()*4+6,1)</f>
        <v>6.6</v>
      </c>
      <c r="I20" s="5" t="s">
        <v>31</v>
      </c>
      <c r="J20" s="5" t="str">
        <f aca="false">ROUND(77*1,0)&amp;"%"</f>
        <v>77%</v>
      </c>
    </row>
    <row r="21" customFormat="false" ht="15" hidden="false" customHeight="false" outlineLevel="0" collapsed="false">
      <c r="A21" s="6" t="s">
        <v>867</v>
      </c>
      <c r="B21" s="6" t="s">
        <v>63</v>
      </c>
      <c r="C21" s="6" t="s">
        <v>57</v>
      </c>
      <c r="D21" s="6" t="s">
        <v>34</v>
      </c>
      <c r="E21" s="6" t="n">
        <f aca="false">ROUND(13451*1.05,2)</f>
        <v>14123.55</v>
      </c>
      <c r="F21" s="6" t="s">
        <v>35</v>
      </c>
      <c r="G21" s="6" t="s">
        <v>18</v>
      </c>
      <c r="H21" s="6" t="n">
        <f aca="true">ROUND(RAND()*4+6,1)</f>
        <v>6.8</v>
      </c>
      <c r="I21" s="6" t="s">
        <v>36</v>
      </c>
      <c r="J21" s="6" t="str">
        <f aca="false">ROUND(90*1,0)&amp;"%"</f>
        <v>90%</v>
      </c>
    </row>
    <row r="22" customFormat="false" ht="15" hidden="false" customHeight="false" outlineLevel="0" collapsed="false">
      <c r="A22" s="5" t="s">
        <v>868</v>
      </c>
      <c r="B22" s="5" t="s">
        <v>65</v>
      </c>
      <c r="C22" s="5" t="s">
        <v>57</v>
      </c>
      <c r="D22" s="5" t="s">
        <v>39</v>
      </c>
      <c r="E22" s="5" t="n">
        <f aca="false">ROUND(8464*1.05,2)</f>
        <v>8887.2</v>
      </c>
      <c r="F22" s="5" t="s">
        <v>40</v>
      </c>
      <c r="G22" s="5" t="s">
        <v>24</v>
      </c>
      <c r="H22" s="5" t="n">
        <f aca="true">ROUND(RAND()*4+6,1)</f>
        <v>7.6</v>
      </c>
      <c r="I22" s="5" t="s">
        <v>41</v>
      </c>
      <c r="J22" s="5" t="str">
        <f aca="false">ROUND(80*1,0)&amp;"%"</f>
        <v>80%</v>
      </c>
    </row>
    <row r="23" customFormat="false" ht="15" hidden="false" customHeight="false" outlineLevel="0" collapsed="false">
      <c r="A23" s="6" t="s">
        <v>869</v>
      </c>
      <c r="B23" s="6" t="s">
        <v>67</v>
      </c>
      <c r="C23" s="6" t="s">
        <v>57</v>
      </c>
      <c r="D23" s="6" t="s">
        <v>44</v>
      </c>
      <c r="E23" s="6" t="n">
        <f aca="false">ROUND(13348*1.05,2)</f>
        <v>14015.4</v>
      </c>
      <c r="F23" s="6" t="s">
        <v>45</v>
      </c>
      <c r="G23" s="6" t="s">
        <v>30</v>
      </c>
      <c r="H23" s="6" t="n">
        <f aca="true">ROUND(RAND()*4+6,1)</f>
        <v>8.5</v>
      </c>
      <c r="I23" s="6" t="s">
        <v>46</v>
      </c>
      <c r="J23" s="6" t="str">
        <f aca="false">ROUND(81*1,0)&amp;"%"</f>
        <v>81%</v>
      </c>
    </row>
    <row r="24" customFormat="false" ht="15" hidden="false" customHeight="false" outlineLevel="0" collapsed="false">
      <c r="A24" s="5" t="s">
        <v>870</v>
      </c>
      <c r="B24" s="5" t="s">
        <v>69</v>
      </c>
      <c r="C24" s="5" t="s">
        <v>57</v>
      </c>
      <c r="D24" s="5" t="s">
        <v>16</v>
      </c>
      <c r="E24" s="5" t="n">
        <f aca="false">ROUND(17770*1.05,2)</f>
        <v>18658.5</v>
      </c>
      <c r="F24" s="5" t="s">
        <v>49</v>
      </c>
      <c r="G24" s="5" t="s">
        <v>18</v>
      </c>
      <c r="H24" s="5" t="n">
        <f aca="true">ROUND(RAND()*4+6,1)</f>
        <v>6.9</v>
      </c>
      <c r="I24" s="5" t="s">
        <v>19</v>
      </c>
      <c r="J24" s="5" t="str">
        <f aca="false">ROUND(70*1,0)&amp;"%"</f>
        <v>70%</v>
      </c>
    </row>
    <row r="25" customFormat="false" ht="15" hidden="false" customHeight="false" outlineLevel="0" collapsed="false">
      <c r="A25" s="6" t="s">
        <v>871</v>
      </c>
      <c r="B25" s="6" t="s">
        <v>71</v>
      </c>
      <c r="C25" s="6" t="s">
        <v>57</v>
      </c>
      <c r="D25" s="6" t="s">
        <v>22</v>
      </c>
      <c r="E25" s="6" t="n">
        <f aca="false">ROUND(4544*1.05,2)</f>
        <v>4771.2</v>
      </c>
      <c r="F25" s="6" t="s">
        <v>52</v>
      </c>
      <c r="G25" s="6" t="s">
        <v>24</v>
      </c>
      <c r="H25" s="6" t="n">
        <f aca="true">ROUND(RAND()*4+6,1)</f>
        <v>9.5</v>
      </c>
      <c r="I25" s="6" t="s">
        <v>25</v>
      </c>
      <c r="J25" s="6" t="str">
        <f aca="false">ROUND(82*1,0)&amp;"%"</f>
        <v>82%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872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873</v>
      </c>
      <c r="B30" s="5" t="s">
        <v>75</v>
      </c>
      <c r="C30" s="5" t="s">
        <v>76</v>
      </c>
      <c r="D30" s="5" t="s">
        <v>16</v>
      </c>
      <c r="E30" s="5" t="n">
        <f aca="false">ROUND(5117*1.05,2)</f>
        <v>5372.85</v>
      </c>
      <c r="F30" s="5" t="s">
        <v>17</v>
      </c>
      <c r="G30" s="5" t="s">
        <v>18</v>
      </c>
      <c r="H30" s="5" t="n">
        <f aca="true">ROUND(RAND()*4+6,1)</f>
        <v>9.3</v>
      </c>
      <c r="I30" s="5" t="s">
        <v>19</v>
      </c>
      <c r="J30" s="5" t="str">
        <f aca="false">ROUND(74*1,0)&amp;"%"</f>
        <v>74%</v>
      </c>
    </row>
    <row r="31" customFormat="false" ht="15" hidden="false" customHeight="false" outlineLevel="0" collapsed="false">
      <c r="A31" s="6" t="s">
        <v>874</v>
      </c>
      <c r="B31" s="6" t="s">
        <v>78</v>
      </c>
      <c r="C31" s="6" t="s">
        <v>76</v>
      </c>
      <c r="D31" s="6" t="s">
        <v>22</v>
      </c>
      <c r="E31" s="6" t="n">
        <f aca="false">ROUND(9543*1.05,2)</f>
        <v>10020.15</v>
      </c>
      <c r="F31" s="6" t="s">
        <v>23</v>
      </c>
      <c r="G31" s="6" t="s">
        <v>24</v>
      </c>
      <c r="H31" s="6" t="n">
        <f aca="true">ROUND(RAND()*4+6,1)</f>
        <v>7.7</v>
      </c>
      <c r="I31" s="6" t="s">
        <v>25</v>
      </c>
      <c r="J31" s="6" t="str">
        <f aca="false">ROUND(80*1,0)&amp;"%"</f>
        <v>80%</v>
      </c>
    </row>
    <row r="32" customFormat="false" ht="15" hidden="false" customHeight="false" outlineLevel="0" collapsed="false">
      <c r="A32" s="5" t="s">
        <v>875</v>
      </c>
      <c r="B32" s="5" t="s">
        <v>80</v>
      </c>
      <c r="C32" s="5" t="s">
        <v>76</v>
      </c>
      <c r="D32" s="5" t="s">
        <v>28</v>
      </c>
      <c r="E32" s="5" t="n">
        <f aca="false">ROUND(7119*1.05,2)</f>
        <v>7474.95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ROUND(80*1,0)&amp;"%"</f>
        <v>80%</v>
      </c>
    </row>
    <row r="33" customFormat="false" ht="15" hidden="false" customHeight="false" outlineLevel="0" collapsed="false">
      <c r="A33" s="6" t="s">
        <v>876</v>
      </c>
      <c r="B33" s="6" t="s">
        <v>82</v>
      </c>
      <c r="C33" s="6" t="s">
        <v>76</v>
      </c>
      <c r="D33" s="6" t="s">
        <v>34</v>
      </c>
      <c r="E33" s="6" t="n">
        <f aca="false">ROUND(7895*1.05,2)</f>
        <v>8289.75</v>
      </c>
      <c r="F33" s="6" t="s">
        <v>35</v>
      </c>
      <c r="G33" s="6" t="s">
        <v>18</v>
      </c>
      <c r="H33" s="6" t="n">
        <f aca="true">ROUND(RAND()*4+6,1)</f>
        <v>9.6</v>
      </c>
      <c r="I33" s="6" t="s">
        <v>36</v>
      </c>
      <c r="J33" s="6" t="str">
        <f aca="false">ROUND(91*1,0)&amp;"%"</f>
        <v>91%</v>
      </c>
    </row>
    <row r="34" customFormat="false" ht="15" hidden="false" customHeight="false" outlineLevel="0" collapsed="false">
      <c r="A34" s="5" t="s">
        <v>877</v>
      </c>
      <c r="B34" s="5" t="s">
        <v>84</v>
      </c>
      <c r="C34" s="5" t="s">
        <v>76</v>
      </c>
      <c r="D34" s="5" t="s">
        <v>39</v>
      </c>
      <c r="E34" s="5" t="n">
        <f aca="false">ROUND(11558*1.05,2)</f>
        <v>12135.9</v>
      </c>
      <c r="F34" s="5" t="s">
        <v>40</v>
      </c>
      <c r="G34" s="5" t="s">
        <v>24</v>
      </c>
      <c r="H34" s="5" t="n">
        <f aca="true">ROUND(RAND()*4+6,1)</f>
        <v>7.9</v>
      </c>
      <c r="I34" s="5" t="s">
        <v>41</v>
      </c>
      <c r="J34" s="5" t="str">
        <f aca="false">ROUND(74*1,0)&amp;"%"</f>
        <v>74%</v>
      </c>
    </row>
    <row r="35" customFormat="false" ht="15" hidden="false" customHeight="false" outlineLevel="0" collapsed="false">
      <c r="A35" s="6" t="s">
        <v>878</v>
      </c>
      <c r="B35" s="6" t="s">
        <v>86</v>
      </c>
      <c r="C35" s="6" t="s">
        <v>76</v>
      </c>
      <c r="D35" s="6" t="s">
        <v>44</v>
      </c>
      <c r="E35" s="6" t="n">
        <f aca="false">ROUND(7693*1.05,2)</f>
        <v>8077.65</v>
      </c>
      <c r="F35" s="6" t="s">
        <v>45</v>
      </c>
      <c r="G35" s="6" t="s">
        <v>30</v>
      </c>
      <c r="H35" s="6" t="n">
        <f aca="true">ROUND(RAND()*4+6,1)</f>
        <v>8.8</v>
      </c>
      <c r="I35" s="6" t="s">
        <v>46</v>
      </c>
      <c r="J35" s="6" t="str">
        <f aca="false">ROUND(75*1,0)&amp;"%"</f>
        <v>75%</v>
      </c>
    </row>
    <row r="36" customFormat="false" ht="15" hidden="false" customHeight="false" outlineLevel="0" collapsed="false">
      <c r="A36" s="5" t="s">
        <v>879</v>
      </c>
      <c r="B36" s="5" t="s">
        <v>88</v>
      </c>
      <c r="C36" s="5" t="s">
        <v>76</v>
      </c>
      <c r="D36" s="5" t="s">
        <v>16</v>
      </c>
      <c r="E36" s="5" t="n">
        <f aca="false">ROUND(11751*1.05,2)</f>
        <v>12338.55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ROUND(79*1,0)&amp;"%"</f>
        <v>79%</v>
      </c>
    </row>
    <row r="37" customFormat="false" ht="15" hidden="false" customHeight="false" outlineLevel="0" collapsed="false">
      <c r="A37" s="6" t="s">
        <v>880</v>
      </c>
      <c r="B37" s="6" t="s">
        <v>90</v>
      </c>
      <c r="C37" s="6" t="s">
        <v>76</v>
      </c>
      <c r="D37" s="6" t="s">
        <v>22</v>
      </c>
      <c r="E37" s="6" t="n">
        <f aca="false">ROUND(7866*1.05,2)</f>
        <v>8259.3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ROUND(84*1,0)&amp;"%"</f>
        <v>84%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881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882</v>
      </c>
      <c r="B42" s="5" t="s">
        <v>94</v>
      </c>
      <c r="C42" s="5" t="s">
        <v>95</v>
      </c>
      <c r="D42" s="5" t="s">
        <v>16</v>
      </c>
      <c r="E42" s="5" t="n">
        <f aca="false">ROUND(6619*1.05,2)</f>
        <v>6949.95</v>
      </c>
      <c r="F42" s="5" t="s">
        <v>17</v>
      </c>
      <c r="G42" s="5" t="s">
        <v>18</v>
      </c>
      <c r="H42" s="5" t="n">
        <f aca="true">ROUND(RAND()*4+6,1)</f>
        <v>8.9</v>
      </c>
      <c r="I42" s="5" t="s">
        <v>19</v>
      </c>
      <c r="J42" s="5" t="str">
        <f aca="false">ROUND(78*1,0)&amp;"%"</f>
        <v>78%</v>
      </c>
    </row>
    <row r="43" customFormat="false" ht="15" hidden="false" customHeight="false" outlineLevel="0" collapsed="false">
      <c r="A43" s="6" t="s">
        <v>883</v>
      </c>
      <c r="B43" s="6" t="s">
        <v>97</v>
      </c>
      <c r="C43" s="6" t="s">
        <v>95</v>
      </c>
      <c r="D43" s="6" t="s">
        <v>22</v>
      </c>
      <c r="E43" s="6" t="n">
        <f aca="false">ROUND(8054*1.05,2)</f>
        <v>8456.7</v>
      </c>
      <c r="F43" s="6" t="s">
        <v>23</v>
      </c>
      <c r="G43" s="6" t="s">
        <v>24</v>
      </c>
      <c r="H43" s="6" t="n">
        <f aca="true">ROUND(RAND()*4+6,1)</f>
        <v>8.5</v>
      </c>
      <c r="I43" s="6" t="s">
        <v>25</v>
      </c>
      <c r="J43" s="6" t="str">
        <f aca="false">ROUND(67*1,0)&amp;"%"</f>
        <v>67%</v>
      </c>
    </row>
    <row r="44" customFormat="false" ht="15" hidden="false" customHeight="false" outlineLevel="0" collapsed="false">
      <c r="A44" s="5" t="s">
        <v>884</v>
      </c>
      <c r="B44" s="5" t="s">
        <v>99</v>
      </c>
      <c r="C44" s="5" t="s">
        <v>95</v>
      </c>
      <c r="D44" s="5" t="s">
        <v>28</v>
      </c>
      <c r="E44" s="5" t="n">
        <f aca="false">ROUND(11175*1.05,2)</f>
        <v>11733.75</v>
      </c>
      <c r="F44" s="5" t="s">
        <v>29</v>
      </c>
      <c r="G44" s="5" t="s">
        <v>30</v>
      </c>
      <c r="H44" s="5" t="n">
        <f aca="true">ROUND(RAND()*4+6,1)</f>
        <v>7.5</v>
      </c>
      <c r="I44" s="5" t="s">
        <v>31</v>
      </c>
      <c r="J44" s="5" t="str">
        <f aca="false">ROUND(66*1,0)&amp;"%"</f>
        <v>66%</v>
      </c>
    </row>
    <row r="45" customFormat="false" ht="15" hidden="false" customHeight="false" outlineLevel="0" collapsed="false">
      <c r="A45" s="6" t="s">
        <v>885</v>
      </c>
      <c r="B45" s="6" t="s">
        <v>101</v>
      </c>
      <c r="C45" s="6" t="s">
        <v>95</v>
      </c>
      <c r="D45" s="6" t="s">
        <v>34</v>
      </c>
      <c r="E45" s="6" t="n">
        <f aca="false">ROUND(17598*1.05,2)</f>
        <v>18477.9</v>
      </c>
      <c r="F45" s="6" t="s">
        <v>35</v>
      </c>
      <c r="G45" s="6" t="s">
        <v>18</v>
      </c>
      <c r="H45" s="6" t="n">
        <f aca="true">ROUND(RAND()*4+6,1)</f>
        <v>9.5</v>
      </c>
      <c r="I45" s="6" t="s">
        <v>36</v>
      </c>
      <c r="J45" s="6" t="str">
        <f aca="false">ROUND(68*1,0)&amp;"%"</f>
        <v>68%</v>
      </c>
    </row>
    <row r="46" customFormat="false" ht="15" hidden="false" customHeight="false" outlineLevel="0" collapsed="false">
      <c r="A46" s="5" t="s">
        <v>886</v>
      </c>
      <c r="B46" s="5" t="s">
        <v>103</v>
      </c>
      <c r="C46" s="5" t="s">
        <v>95</v>
      </c>
      <c r="D46" s="5" t="s">
        <v>39</v>
      </c>
      <c r="E46" s="5" t="n">
        <f aca="false">ROUND(5196*1.05,2)</f>
        <v>5455.8</v>
      </c>
      <c r="F46" s="5" t="s">
        <v>40</v>
      </c>
      <c r="G46" s="5" t="s">
        <v>24</v>
      </c>
      <c r="H46" s="5" t="n">
        <f aca="true">ROUND(RAND()*4+6,1)</f>
        <v>6.2</v>
      </c>
      <c r="I46" s="5" t="s">
        <v>41</v>
      </c>
      <c r="J46" s="5" t="str">
        <f aca="false">ROUND(85*1,0)&amp;"%"</f>
        <v>85%</v>
      </c>
    </row>
    <row r="47" customFormat="false" ht="15" hidden="false" customHeight="false" outlineLevel="0" collapsed="false">
      <c r="A47" s="6" t="s">
        <v>887</v>
      </c>
      <c r="B47" s="6" t="s">
        <v>105</v>
      </c>
      <c r="C47" s="6" t="s">
        <v>95</v>
      </c>
      <c r="D47" s="6" t="s">
        <v>44</v>
      </c>
      <c r="E47" s="6" t="n">
        <f aca="false">ROUND(13982*1.05,2)</f>
        <v>14681.1</v>
      </c>
      <c r="F47" s="6" t="s">
        <v>45</v>
      </c>
      <c r="G47" s="6" t="s">
        <v>30</v>
      </c>
      <c r="H47" s="6" t="n">
        <f aca="true">ROUND(RAND()*4+6,1)</f>
        <v>6.6</v>
      </c>
      <c r="I47" s="6" t="s">
        <v>46</v>
      </c>
      <c r="J47" s="6" t="str">
        <f aca="false">ROUND(73*1,0)&amp;"%"</f>
        <v>73%</v>
      </c>
    </row>
    <row r="48" customFormat="false" ht="15" hidden="false" customHeight="false" outlineLevel="0" collapsed="false">
      <c r="A48" s="5" t="s">
        <v>888</v>
      </c>
      <c r="B48" s="5" t="s">
        <v>107</v>
      </c>
      <c r="C48" s="5" t="s">
        <v>95</v>
      </c>
      <c r="D48" s="5" t="s">
        <v>16</v>
      </c>
      <c r="E48" s="5" t="n">
        <f aca="false">ROUND(15378*1.05,2)</f>
        <v>16146.9</v>
      </c>
      <c r="F48" s="5" t="s">
        <v>49</v>
      </c>
      <c r="G48" s="5" t="s">
        <v>18</v>
      </c>
      <c r="H48" s="5" t="n">
        <f aca="true">ROUND(RAND()*4+6,1)</f>
        <v>9.4</v>
      </c>
      <c r="I48" s="5" t="s">
        <v>19</v>
      </c>
      <c r="J48" s="5" t="str">
        <f aca="false">ROUND(63*1,0)&amp;"%"</f>
        <v>63%</v>
      </c>
    </row>
    <row r="49" customFormat="false" ht="15" hidden="false" customHeight="false" outlineLevel="0" collapsed="false">
      <c r="A49" s="6" t="s">
        <v>889</v>
      </c>
      <c r="B49" s="6" t="s">
        <v>109</v>
      </c>
      <c r="C49" s="6" t="s">
        <v>95</v>
      </c>
      <c r="D49" s="6" t="s">
        <v>22</v>
      </c>
      <c r="E49" s="6" t="n">
        <f aca="false">ROUND(13155*1.05,2)</f>
        <v>13812.75</v>
      </c>
      <c r="F49" s="6" t="s">
        <v>52</v>
      </c>
      <c r="G49" s="6" t="s">
        <v>24</v>
      </c>
      <c r="H49" s="6" t="n">
        <f aca="true">ROUND(RAND()*4+6,1)</f>
        <v>7.4</v>
      </c>
      <c r="I49" s="6" t="s">
        <v>25</v>
      </c>
      <c r="J49" s="6" t="str">
        <f aca="false">ROUND(74*1,0)&amp;"%"</f>
        <v>74%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890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891</v>
      </c>
      <c r="B54" s="5" t="s">
        <v>113</v>
      </c>
      <c r="C54" s="5" t="s">
        <v>114</v>
      </c>
      <c r="D54" s="5" t="s">
        <v>16</v>
      </c>
      <c r="E54" s="5" t="n">
        <f aca="false">ROUND(16297*1.05,2)</f>
        <v>17111.85</v>
      </c>
      <c r="F54" s="5" t="s">
        <v>17</v>
      </c>
      <c r="G54" s="5" t="s">
        <v>18</v>
      </c>
      <c r="H54" s="5" t="n">
        <f aca="true">ROUND(RAND()*4+6,1)</f>
        <v>7.7</v>
      </c>
      <c r="I54" s="5" t="s">
        <v>19</v>
      </c>
      <c r="J54" s="5" t="str">
        <f aca="false">ROUND(90*1,0)&amp;"%"</f>
        <v>90%</v>
      </c>
    </row>
    <row r="55" customFormat="false" ht="15" hidden="false" customHeight="false" outlineLevel="0" collapsed="false">
      <c r="A55" s="6" t="s">
        <v>892</v>
      </c>
      <c r="B55" s="6" t="s">
        <v>116</v>
      </c>
      <c r="C55" s="6" t="s">
        <v>114</v>
      </c>
      <c r="D55" s="6" t="s">
        <v>22</v>
      </c>
      <c r="E55" s="6" t="n">
        <f aca="false">ROUND(6759*1.05,2)</f>
        <v>7096.95</v>
      </c>
      <c r="F55" s="6" t="s">
        <v>23</v>
      </c>
      <c r="G55" s="6" t="s">
        <v>24</v>
      </c>
      <c r="H55" s="6" t="n">
        <f aca="true">ROUND(RAND()*4+6,1)</f>
        <v>8.9</v>
      </c>
      <c r="I55" s="6" t="s">
        <v>25</v>
      </c>
      <c r="J55" s="6" t="str">
        <f aca="false">ROUND(100*1,0)&amp;"%"</f>
        <v>100%</v>
      </c>
    </row>
    <row r="56" customFormat="false" ht="15" hidden="false" customHeight="false" outlineLevel="0" collapsed="false">
      <c r="A56" s="5" t="s">
        <v>893</v>
      </c>
      <c r="B56" s="5" t="s">
        <v>118</v>
      </c>
      <c r="C56" s="5" t="s">
        <v>114</v>
      </c>
      <c r="D56" s="5" t="s">
        <v>28</v>
      </c>
      <c r="E56" s="5" t="n">
        <f aca="false">ROUND(5788*1.05,2)</f>
        <v>6077.4</v>
      </c>
      <c r="F56" s="5" t="s">
        <v>29</v>
      </c>
      <c r="G56" s="5" t="s">
        <v>30</v>
      </c>
      <c r="H56" s="5" t="n">
        <f aca="true">ROUND(RAND()*4+6,1)</f>
        <v>10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894</v>
      </c>
      <c r="B57" s="6" t="s">
        <v>120</v>
      </c>
      <c r="C57" s="6" t="s">
        <v>114</v>
      </c>
      <c r="D57" s="6" t="s">
        <v>34</v>
      </c>
      <c r="E57" s="6" t="n">
        <f aca="false">ROUND(9966*1.05,2)</f>
        <v>10464.3</v>
      </c>
      <c r="F57" s="6" t="s">
        <v>35</v>
      </c>
      <c r="G57" s="6" t="s">
        <v>18</v>
      </c>
      <c r="H57" s="6" t="n">
        <f aca="true">ROUND(RAND()*4+6,1)</f>
        <v>7.9</v>
      </c>
      <c r="I57" s="6" t="s">
        <v>36</v>
      </c>
      <c r="J57" s="6" t="str">
        <f aca="false">ROUND(67*1,0)&amp;"%"</f>
        <v>67%</v>
      </c>
    </row>
    <row r="58" customFormat="false" ht="15" hidden="false" customHeight="false" outlineLevel="0" collapsed="false">
      <c r="A58" s="5" t="s">
        <v>895</v>
      </c>
      <c r="B58" s="5" t="s">
        <v>122</v>
      </c>
      <c r="C58" s="5" t="s">
        <v>114</v>
      </c>
      <c r="D58" s="5" t="s">
        <v>39</v>
      </c>
      <c r="E58" s="5" t="n">
        <f aca="false">ROUND(15611*1.05,2)</f>
        <v>16391.55</v>
      </c>
      <c r="F58" s="5" t="s">
        <v>40</v>
      </c>
      <c r="G58" s="5" t="s">
        <v>24</v>
      </c>
      <c r="H58" s="5" t="n">
        <f aca="true">ROUND(RAND()*4+6,1)</f>
        <v>8.4</v>
      </c>
      <c r="I58" s="5" t="s">
        <v>41</v>
      </c>
      <c r="J58" s="5" t="str">
        <f aca="false">ROUND(94*1,0)&amp;"%"</f>
        <v>94%</v>
      </c>
    </row>
    <row r="59" customFormat="false" ht="15" hidden="false" customHeight="false" outlineLevel="0" collapsed="false">
      <c r="A59" s="6" t="s">
        <v>896</v>
      </c>
      <c r="B59" s="6" t="s">
        <v>124</v>
      </c>
      <c r="C59" s="6" t="s">
        <v>114</v>
      </c>
      <c r="D59" s="6" t="s">
        <v>44</v>
      </c>
      <c r="E59" s="6" t="n">
        <f aca="false">ROUND(5644*1.05,2)</f>
        <v>5926.2</v>
      </c>
      <c r="F59" s="6" t="s">
        <v>45</v>
      </c>
      <c r="G59" s="6" t="s">
        <v>30</v>
      </c>
      <c r="H59" s="6" t="n">
        <f aca="true">ROUND(RAND()*4+6,1)</f>
        <v>7.3</v>
      </c>
      <c r="I59" s="6" t="s">
        <v>46</v>
      </c>
      <c r="J59" s="6" t="str">
        <f aca="false">ROUND(86*1,0)&amp;"%"</f>
        <v>86%</v>
      </c>
    </row>
    <row r="60" customFormat="false" ht="15" hidden="false" customHeight="false" outlineLevel="0" collapsed="false">
      <c r="A60" s="5" t="s">
        <v>897</v>
      </c>
      <c r="B60" s="5" t="s">
        <v>126</v>
      </c>
      <c r="C60" s="5" t="s">
        <v>114</v>
      </c>
      <c r="D60" s="5" t="s">
        <v>16</v>
      </c>
      <c r="E60" s="5" t="n">
        <f aca="false">ROUND(12510*1.05,2)</f>
        <v>13135.5</v>
      </c>
      <c r="F60" s="5" t="s">
        <v>49</v>
      </c>
      <c r="G60" s="5" t="s">
        <v>18</v>
      </c>
      <c r="H60" s="5" t="n">
        <f aca="true">ROUND(RAND()*4+6,1)</f>
        <v>8.8</v>
      </c>
      <c r="I60" s="5" t="s">
        <v>19</v>
      </c>
      <c r="J60" s="5" t="str">
        <f aca="false">ROUND(100*1,0)&amp;"%"</f>
        <v>100%</v>
      </c>
    </row>
    <row r="61" customFormat="false" ht="15" hidden="false" customHeight="false" outlineLevel="0" collapsed="false">
      <c r="A61" s="6" t="s">
        <v>898</v>
      </c>
      <c r="B61" s="6" t="s">
        <v>128</v>
      </c>
      <c r="C61" s="6" t="s">
        <v>114</v>
      </c>
      <c r="D61" s="6" t="s">
        <v>22</v>
      </c>
      <c r="E61" s="6" t="n">
        <f aca="false">ROUND(5487*1.05,2)</f>
        <v>5761.35</v>
      </c>
      <c r="F61" s="6" t="s">
        <v>52</v>
      </c>
      <c r="G61" s="6" t="s">
        <v>24</v>
      </c>
      <c r="H61" s="6" t="n">
        <f aca="true">ROUND(RAND()*4+6,1)</f>
        <v>7.1</v>
      </c>
      <c r="I61" s="6" t="s">
        <v>25</v>
      </c>
      <c r="J61" s="6" t="str">
        <f aca="false">ROUND(89*1,0)&amp;"%"</f>
        <v>89%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899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900</v>
      </c>
      <c r="B66" s="5" t="s">
        <v>132</v>
      </c>
      <c r="C66" s="5" t="s">
        <v>133</v>
      </c>
      <c r="D66" s="5" t="s">
        <v>16</v>
      </c>
      <c r="E66" s="5" t="n">
        <f aca="false">ROUND(10658*1.05,2)</f>
        <v>11190.9</v>
      </c>
      <c r="F66" s="5" t="s">
        <v>17</v>
      </c>
      <c r="G66" s="5" t="s">
        <v>18</v>
      </c>
      <c r="H66" s="5" t="n">
        <f aca="true">ROUND(RAND()*4+6,1)</f>
        <v>7.6</v>
      </c>
      <c r="I66" s="5" t="s">
        <v>19</v>
      </c>
      <c r="J66" s="5" t="str">
        <f aca="false">ROUND(78*1,0)&amp;"%"</f>
        <v>78%</v>
      </c>
    </row>
    <row r="67" customFormat="false" ht="15" hidden="false" customHeight="false" outlineLevel="0" collapsed="false">
      <c r="A67" s="6" t="s">
        <v>901</v>
      </c>
      <c r="B67" s="6" t="s">
        <v>135</v>
      </c>
      <c r="C67" s="6" t="s">
        <v>133</v>
      </c>
      <c r="D67" s="6" t="s">
        <v>22</v>
      </c>
      <c r="E67" s="6" t="n">
        <f aca="false">ROUND(9467*1.05,2)</f>
        <v>9940.35</v>
      </c>
      <c r="F67" s="6" t="s">
        <v>23</v>
      </c>
      <c r="G67" s="6" t="s">
        <v>24</v>
      </c>
      <c r="H67" s="6" t="n">
        <f aca="true">ROUND(RAND()*4+6,1)</f>
        <v>9.4</v>
      </c>
      <c r="I67" s="6" t="s">
        <v>25</v>
      </c>
      <c r="J67" s="6" t="str">
        <f aca="false">ROUND(66*1,0)&amp;"%"</f>
        <v>66%</v>
      </c>
    </row>
    <row r="68" customFormat="false" ht="15" hidden="false" customHeight="false" outlineLevel="0" collapsed="false">
      <c r="A68" s="5" t="s">
        <v>902</v>
      </c>
      <c r="B68" s="5" t="s">
        <v>137</v>
      </c>
      <c r="C68" s="5" t="s">
        <v>133</v>
      </c>
      <c r="D68" s="5" t="s">
        <v>28</v>
      </c>
      <c r="E68" s="5" t="n">
        <f aca="false">ROUND(14248*1.05,2)</f>
        <v>14960.4</v>
      </c>
      <c r="F68" s="5" t="s">
        <v>29</v>
      </c>
      <c r="G68" s="5" t="s">
        <v>30</v>
      </c>
      <c r="H68" s="5" t="n">
        <f aca="true">ROUND(RAND()*4+6,1)</f>
        <v>9</v>
      </c>
      <c r="I68" s="5" t="s">
        <v>31</v>
      </c>
      <c r="J68" s="5" t="str">
        <f aca="false">ROUND(89*1,0)&amp;"%"</f>
        <v>89%</v>
      </c>
    </row>
    <row r="69" customFormat="false" ht="15" hidden="false" customHeight="false" outlineLevel="0" collapsed="false">
      <c r="A69" s="6" t="s">
        <v>903</v>
      </c>
      <c r="B69" s="6" t="s">
        <v>139</v>
      </c>
      <c r="C69" s="6" t="s">
        <v>133</v>
      </c>
      <c r="D69" s="6" t="s">
        <v>34</v>
      </c>
      <c r="E69" s="6" t="n">
        <f aca="false">ROUND(9275*1.05,2)</f>
        <v>9738.75</v>
      </c>
      <c r="F69" s="6" t="s">
        <v>35</v>
      </c>
      <c r="G69" s="6" t="s">
        <v>18</v>
      </c>
      <c r="H69" s="6" t="n">
        <f aca="true">ROUND(RAND()*4+6,1)</f>
        <v>7.5</v>
      </c>
      <c r="I69" s="6" t="s">
        <v>36</v>
      </c>
      <c r="J69" s="6" t="str">
        <f aca="false">ROUND(88*1,0)&amp;"%"</f>
        <v>88%</v>
      </c>
    </row>
    <row r="70" customFormat="false" ht="15" hidden="false" customHeight="false" outlineLevel="0" collapsed="false">
      <c r="A70" s="5" t="s">
        <v>904</v>
      </c>
      <c r="B70" s="5" t="s">
        <v>141</v>
      </c>
      <c r="C70" s="5" t="s">
        <v>133</v>
      </c>
      <c r="D70" s="5" t="s">
        <v>39</v>
      </c>
      <c r="E70" s="5" t="n">
        <f aca="false">ROUND(5782*1.05,2)</f>
        <v>6071.1</v>
      </c>
      <c r="F70" s="5" t="s">
        <v>40</v>
      </c>
      <c r="G70" s="5" t="s">
        <v>24</v>
      </c>
      <c r="H70" s="5" t="n">
        <f aca="true">ROUND(RAND()*4+6,1)</f>
        <v>9.5</v>
      </c>
      <c r="I70" s="5" t="s">
        <v>41</v>
      </c>
      <c r="J70" s="5" t="str">
        <f aca="false">ROUND(84*1,0)&amp;"%"</f>
        <v>84%</v>
      </c>
    </row>
    <row r="71" customFormat="false" ht="15" hidden="false" customHeight="false" outlineLevel="0" collapsed="false">
      <c r="A71" s="6" t="s">
        <v>905</v>
      </c>
      <c r="B71" s="6" t="s">
        <v>143</v>
      </c>
      <c r="C71" s="6" t="s">
        <v>133</v>
      </c>
      <c r="D71" s="6" t="s">
        <v>44</v>
      </c>
      <c r="E71" s="6" t="n">
        <f aca="false">ROUND(7366*1.05,2)</f>
        <v>7734.3</v>
      </c>
      <c r="F71" s="6" t="s">
        <v>45</v>
      </c>
      <c r="G71" s="6" t="s">
        <v>30</v>
      </c>
      <c r="H71" s="6" t="n">
        <f aca="true">ROUND(RAND()*4+6,1)</f>
        <v>6</v>
      </c>
      <c r="I71" s="6" t="s">
        <v>46</v>
      </c>
      <c r="J71" s="6" t="str">
        <f aca="false">ROUND(98*1,0)&amp;"%"</f>
        <v>98%</v>
      </c>
    </row>
    <row r="72" customFormat="false" ht="15" hidden="false" customHeight="false" outlineLevel="0" collapsed="false">
      <c r="A72" s="5" t="s">
        <v>906</v>
      </c>
      <c r="B72" s="5" t="s">
        <v>145</v>
      </c>
      <c r="C72" s="5" t="s">
        <v>133</v>
      </c>
      <c r="D72" s="5" t="s">
        <v>16</v>
      </c>
      <c r="E72" s="5" t="n">
        <f aca="false">ROUND(15826*1.05,2)</f>
        <v>16617.3</v>
      </c>
      <c r="F72" s="5" t="s">
        <v>49</v>
      </c>
      <c r="G72" s="5" t="s">
        <v>18</v>
      </c>
      <c r="H72" s="5" t="n">
        <f aca="true">ROUND(RAND()*4+6,1)</f>
        <v>8.4</v>
      </c>
      <c r="I72" s="5" t="s">
        <v>19</v>
      </c>
      <c r="J72" s="5" t="str">
        <f aca="false">ROUND(65*1,0)&amp;"%"</f>
        <v>65%</v>
      </c>
    </row>
    <row r="73" customFormat="false" ht="15" hidden="false" customHeight="false" outlineLevel="0" collapsed="false">
      <c r="A73" s="6" t="s">
        <v>907</v>
      </c>
      <c r="B73" s="6" t="s">
        <v>147</v>
      </c>
      <c r="C73" s="6" t="s">
        <v>133</v>
      </c>
      <c r="D73" s="6" t="s">
        <v>22</v>
      </c>
      <c r="E73" s="6" t="n">
        <f aca="false">ROUND(4134*1.05,2)</f>
        <v>4340.7</v>
      </c>
      <c r="F73" s="6" t="s">
        <v>52</v>
      </c>
      <c r="G73" s="6" t="s">
        <v>24</v>
      </c>
      <c r="H73" s="6" t="n">
        <f aca="true">ROUND(RAND()*4+6,1)</f>
        <v>8</v>
      </c>
      <c r="I73" s="6" t="s">
        <v>25</v>
      </c>
      <c r="J73" s="6" t="str">
        <f aca="false">ROUND(92*1,0)&amp;"%"</f>
        <v>92%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908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909</v>
      </c>
      <c r="B78" s="5" t="s">
        <v>151</v>
      </c>
      <c r="C78" s="5" t="s">
        <v>152</v>
      </c>
      <c r="D78" s="5" t="s">
        <v>16</v>
      </c>
      <c r="E78" s="5" t="n">
        <f aca="false">ROUND(12835*1.05,2)</f>
        <v>13476.75</v>
      </c>
      <c r="F78" s="5" t="s">
        <v>17</v>
      </c>
      <c r="G78" s="5" t="s">
        <v>18</v>
      </c>
      <c r="H78" s="5" t="n">
        <f aca="true">ROUND(RAND()*4+6,1)</f>
        <v>6.1</v>
      </c>
      <c r="I78" s="5" t="s">
        <v>19</v>
      </c>
      <c r="J78" s="5" t="str">
        <f aca="false">ROUND(84*1,0)&amp;"%"</f>
        <v>84%</v>
      </c>
    </row>
    <row r="79" customFormat="false" ht="15" hidden="false" customHeight="false" outlineLevel="0" collapsed="false">
      <c r="A79" s="6" t="s">
        <v>910</v>
      </c>
      <c r="B79" s="6" t="s">
        <v>154</v>
      </c>
      <c r="C79" s="6" t="s">
        <v>152</v>
      </c>
      <c r="D79" s="6" t="s">
        <v>22</v>
      </c>
      <c r="E79" s="6" t="n">
        <f aca="false">ROUND(4435*1.05,2)</f>
        <v>4656.75</v>
      </c>
      <c r="F79" s="6" t="s">
        <v>23</v>
      </c>
      <c r="G79" s="6" t="s">
        <v>24</v>
      </c>
      <c r="H79" s="6" t="n">
        <f aca="true">ROUND(RAND()*4+6,1)</f>
        <v>9.2</v>
      </c>
      <c r="I79" s="6" t="s">
        <v>25</v>
      </c>
      <c r="J79" s="6" t="str">
        <f aca="false">ROUND(93*1,0)&amp;"%"</f>
        <v>93%</v>
      </c>
    </row>
    <row r="80" customFormat="false" ht="15" hidden="false" customHeight="false" outlineLevel="0" collapsed="false">
      <c r="A80" s="5" t="s">
        <v>911</v>
      </c>
      <c r="B80" s="5" t="s">
        <v>156</v>
      </c>
      <c r="C80" s="5" t="s">
        <v>152</v>
      </c>
      <c r="D80" s="5" t="s">
        <v>28</v>
      </c>
      <c r="E80" s="5" t="n">
        <f aca="false">ROUND(10235*1.05,2)</f>
        <v>10746.75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ROUND(81*1,0)&amp;"%"</f>
        <v>81%</v>
      </c>
    </row>
    <row r="81" customFormat="false" ht="15" hidden="false" customHeight="false" outlineLevel="0" collapsed="false">
      <c r="A81" s="6" t="s">
        <v>912</v>
      </c>
      <c r="B81" s="6" t="s">
        <v>158</v>
      </c>
      <c r="C81" s="6" t="s">
        <v>152</v>
      </c>
      <c r="D81" s="6" t="s">
        <v>34</v>
      </c>
      <c r="E81" s="6" t="n">
        <f aca="false">ROUND(4870*1.05,2)</f>
        <v>5113.5</v>
      </c>
      <c r="F81" s="6" t="s">
        <v>35</v>
      </c>
      <c r="G81" s="6" t="s">
        <v>18</v>
      </c>
      <c r="H81" s="6" t="n">
        <f aca="true">ROUND(RAND()*4+6,1)</f>
        <v>9.7</v>
      </c>
      <c r="I81" s="6" t="s">
        <v>36</v>
      </c>
      <c r="J81" s="6" t="str">
        <f aca="false">ROUND(86*1,0)&amp;"%"</f>
        <v>86%</v>
      </c>
    </row>
    <row r="82" customFormat="false" ht="15" hidden="false" customHeight="false" outlineLevel="0" collapsed="false">
      <c r="A82" s="5" t="s">
        <v>913</v>
      </c>
      <c r="B82" s="5" t="s">
        <v>160</v>
      </c>
      <c r="C82" s="5" t="s">
        <v>152</v>
      </c>
      <c r="D82" s="5" t="s">
        <v>39</v>
      </c>
      <c r="E82" s="5" t="n">
        <f aca="false">ROUND(12700*1.05,2)</f>
        <v>13335</v>
      </c>
      <c r="F82" s="5" t="s">
        <v>40</v>
      </c>
      <c r="G82" s="5" t="s">
        <v>24</v>
      </c>
      <c r="H82" s="5" t="n">
        <f aca="true">ROUND(RAND()*4+6,1)</f>
        <v>9</v>
      </c>
      <c r="I82" s="5" t="s">
        <v>41</v>
      </c>
      <c r="J82" s="5" t="str">
        <f aca="false">ROUND(86*1,0)&amp;"%"</f>
        <v>86%</v>
      </c>
    </row>
    <row r="83" customFormat="false" ht="15" hidden="false" customHeight="false" outlineLevel="0" collapsed="false">
      <c r="A83" s="6" t="s">
        <v>914</v>
      </c>
      <c r="B83" s="6" t="s">
        <v>162</v>
      </c>
      <c r="C83" s="6" t="s">
        <v>152</v>
      </c>
      <c r="D83" s="6" t="s">
        <v>44</v>
      </c>
      <c r="E83" s="6" t="n">
        <f aca="false">ROUND(5284*1.05,2)</f>
        <v>5548.2</v>
      </c>
      <c r="F83" s="6" t="s">
        <v>45</v>
      </c>
      <c r="G83" s="6" t="s">
        <v>30</v>
      </c>
      <c r="H83" s="6" t="n">
        <f aca="true">ROUND(RAND()*4+6,1)</f>
        <v>6.4</v>
      </c>
      <c r="I83" s="6" t="s">
        <v>46</v>
      </c>
      <c r="J83" s="6" t="str">
        <f aca="false">ROUND(98*1,0)&amp;"%"</f>
        <v>98%</v>
      </c>
    </row>
    <row r="84" customFormat="false" ht="15" hidden="false" customHeight="false" outlineLevel="0" collapsed="false">
      <c r="A84" s="5" t="s">
        <v>915</v>
      </c>
      <c r="B84" s="5" t="s">
        <v>164</v>
      </c>
      <c r="C84" s="5" t="s">
        <v>152</v>
      </c>
      <c r="D84" s="5" t="s">
        <v>16</v>
      </c>
      <c r="E84" s="5" t="n">
        <f aca="false">ROUND(5987*1.05,2)</f>
        <v>6286.35</v>
      </c>
      <c r="F84" s="5" t="s">
        <v>49</v>
      </c>
      <c r="G84" s="5" t="s">
        <v>18</v>
      </c>
      <c r="H84" s="5" t="n">
        <f aca="true">ROUND(RAND()*4+6,1)</f>
        <v>9.6</v>
      </c>
      <c r="I84" s="5" t="s">
        <v>19</v>
      </c>
      <c r="J84" s="5" t="str">
        <f aca="false">ROUND(92*1,0)&amp;"%"</f>
        <v>92%</v>
      </c>
    </row>
    <row r="85" customFormat="false" ht="15" hidden="false" customHeight="false" outlineLevel="0" collapsed="false">
      <c r="A85" s="6" t="s">
        <v>916</v>
      </c>
      <c r="B85" s="6" t="s">
        <v>166</v>
      </c>
      <c r="C85" s="6" t="s">
        <v>152</v>
      </c>
      <c r="D85" s="6" t="s">
        <v>22</v>
      </c>
      <c r="E85" s="6" t="n">
        <f aca="false">ROUND(14218*1.05,2)</f>
        <v>14928.9</v>
      </c>
      <c r="F85" s="6" t="s">
        <v>52</v>
      </c>
      <c r="G85" s="6" t="s">
        <v>24</v>
      </c>
      <c r="H85" s="6" t="n">
        <f aca="true">ROUND(RAND()*4+6,1)</f>
        <v>9.3</v>
      </c>
      <c r="I85" s="6" t="s">
        <v>25</v>
      </c>
      <c r="J85" s="6" t="str">
        <f aca="false">ROUND(72*1,0)&amp;"%"</f>
        <v>72%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917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918</v>
      </c>
      <c r="B90" s="5" t="s">
        <v>170</v>
      </c>
      <c r="C90" s="5" t="s">
        <v>15</v>
      </c>
      <c r="D90" s="5" t="s">
        <v>16</v>
      </c>
      <c r="E90" s="5" t="n">
        <f aca="false">ROUND(5455*1.05,2)</f>
        <v>5727.75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ROUND(60*1,0)&amp;"%"</f>
        <v>60%</v>
      </c>
    </row>
    <row r="91" customFormat="false" ht="15" hidden="false" customHeight="false" outlineLevel="0" collapsed="false">
      <c r="A91" s="6" t="s">
        <v>919</v>
      </c>
      <c r="B91" s="6" t="s">
        <v>172</v>
      </c>
      <c r="C91" s="6" t="s">
        <v>15</v>
      </c>
      <c r="D91" s="6" t="s">
        <v>22</v>
      </c>
      <c r="E91" s="6" t="n">
        <f aca="false">ROUND(16234*1.05,2)</f>
        <v>17045.7</v>
      </c>
      <c r="F91" s="6" t="s">
        <v>23</v>
      </c>
      <c r="G91" s="6" t="s">
        <v>24</v>
      </c>
      <c r="H91" s="6" t="n">
        <f aca="true">ROUND(RAND()*4+6,1)</f>
        <v>9.4</v>
      </c>
      <c r="I91" s="6" t="s">
        <v>25</v>
      </c>
      <c r="J91" s="6" t="str">
        <f aca="false">ROUND(76*1,0)&amp;"%"</f>
        <v>76%</v>
      </c>
    </row>
    <row r="92" customFormat="false" ht="15" hidden="false" customHeight="false" outlineLevel="0" collapsed="false">
      <c r="A92" s="5" t="s">
        <v>920</v>
      </c>
      <c r="B92" s="5" t="s">
        <v>174</v>
      </c>
      <c r="C92" s="5" t="s">
        <v>15</v>
      </c>
      <c r="D92" s="5" t="s">
        <v>28</v>
      </c>
      <c r="E92" s="5" t="n">
        <f aca="false">ROUND(13631*1.05,2)</f>
        <v>14312.55</v>
      </c>
      <c r="F92" s="5" t="s">
        <v>29</v>
      </c>
      <c r="G92" s="5" t="s">
        <v>30</v>
      </c>
      <c r="H92" s="5" t="n">
        <f aca="true">ROUND(RAND()*4+6,1)</f>
        <v>8.8</v>
      </c>
      <c r="I92" s="5" t="s">
        <v>31</v>
      </c>
      <c r="J92" s="5" t="str">
        <f aca="false">ROUND(90*1,0)&amp;"%"</f>
        <v>90%</v>
      </c>
    </row>
    <row r="93" customFormat="false" ht="15" hidden="false" customHeight="false" outlineLevel="0" collapsed="false">
      <c r="A93" s="6" t="s">
        <v>921</v>
      </c>
      <c r="B93" s="6" t="s">
        <v>176</v>
      </c>
      <c r="C93" s="6" t="s">
        <v>15</v>
      </c>
      <c r="D93" s="6" t="s">
        <v>34</v>
      </c>
      <c r="E93" s="6" t="n">
        <f aca="false">ROUND(15885*1.05,2)</f>
        <v>16679.25</v>
      </c>
      <c r="F93" s="6" t="s">
        <v>35</v>
      </c>
      <c r="G93" s="6" t="s">
        <v>18</v>
      </c>
      <c r="H93" s="6" t="n">
        <f aca="true">ROUND(RAND()*4+6,1)</f>
        <v>7.7</v>
      </c>
      <c r="I93" s="6" t="s">
        <v>36</v>
      </c>
      <c r="J93" s="6" t="str">
        <f aca="false">ROUND(87*1,0)&amp;"%"</f>
        <v>87%</v>
      </c>
    </row>
    <row r="94" customFormat="false" ht="15" hidden="false" customHeight="false" outlineLevel="0" collapsed="false">
      <c r="A94" s="5" t="s">
        <v>922</v>
      </c>
      <c r="B94" s="5" t="s">
        <v>178</v>
      </c>
      <c r="C94" s="5" t="s">
        <v>15</v>
      </c>
      <c r="D94" s="5" t="s">
        <v>39</v>
      </c>
      <c r="E94" s="5" t="n">
        <f aca="false">ROUND(10637*1.05,2)</f>
        <v>11168.85</v>
      </c>
      <c r="F94" s="5" t="s">
        <v>40</v>
      </c>
      <c r="G94" s="5" t="s">
        <v>24</v>
      </c>
      <c r="H94" s="5" t="n">
        <f aca="true">ROUND(RAND()*4+6,1)</f>
        <v>6.8</v>
      </c>
      <c r="I94" s="5" t="s">
        <v>41</v>
      </c>
      <c r="J94" s="5" t="str">
        <f aca="false">ROUND(74*1,0)&amp;"%"</f>
        <v>74%</v>
      </c>
    </row>
    <row r="95" customFormat="false" ht="15" hidden="false" customHeight="false" outlineLevel="0" collapsed="false">
      <c r="A95" s="6" t="s">
        <v>923</v>
      </c>
      <c r="B95" s="6" t="s">
        <v>180</v>
      </c>
      <c r="C95" s="6" t="s">
        <v>15</v>
      </c>
      <c r="D95" s="6" t="s">
        <v>44</v>
      </c>
      <c r="E95" s="6" t="n">
        <f aca="false">ROUND(14484*1.05,2)</f>
        <v>15208.2</v>
      </c>
      <c r="F95" s="6" t="s">
        <v>45</v>
      </c>
      <c r="G95" s="6" t="s">
        <v>30</v>
      </c>
      <c r="H95" s="6" t="n">
        <f aca="true">ROUND(RAND()*4+6,1)</f>
        <v>9.1</v>
      </c>
      <c r="I95" s="6" t="s">
        <v>46</v>
      </c>
      <c r="J95" s="6" t="str">
        <f aca="false">ROUND(90*1,0)&amp;"%"</f>
        <v>90%</v>
      </c>
    </row>
    <row r="96" customFormat="false" ht="15" hidden="false" customHeight="false" outlineLevel="0" collapsed="false">
      <c r="A96" s="5" t="s">
        <v>924</v>
      </c>
      <c r="B96" s="5" t="s">
        <v>182</v>
      </c>
      <c r="C96" s="5" t="s">
        <v>15</v>
      </c>
      <c r="D96" s="5" t="s">
        <v>16</v>
      </c>
      <c r="E96" s="5" t="n">
        <f aca="false">ROUND(4945*1.05,2)</f>
        <v>5192.25</v>
      </c>
      <c r="F96" s="5" t="s">
        <v>49</v>
      </c>
      <c r="G96" s="5" t="s">
        <v>18</v>
      </c>
      <c r="H96" s="5" t="n">
        <f aca="true">ROUND(RAND()*4+6,1)</f>
        <v>7.9</v>
      </c>
      <c r="I96" s="5" t="s">
        <v>19</v>
      </c>
      <c r="J96" s="5" t="str">
        <f aca="false">ROUND(91*1,0)&amp;"%"</f>
        <v>91%</v>
      </c>
    </row>
    <row r="97" customFormat="false" ht="15" hidden="false" customHeight="false" outlineLevel="0" collapsed="false">
      <c r="A97" s="6" t="s">
        <v>925</v>
      </c>
      <c r="B97" s="6" t="s">
        <v>184</v>
      </c>
      <c r="C97" s="6" t="s">
        <v>15</v>
      </c>
      <c r="D97" s="6" t="s">
        <v>22</v>
      </c>
      <c r="E97" s="6" t="n">
        <f aca="false">ROUND(8300*1.05,2)</f>
        <v>8715</v>
      </c>
      <c r="F97" s="6" t="s">
        <v>52</v>
      </c>
      <c r="G97" s="6" t="s">
        <v>24</v>
      </c>
      <c r="H97" s="6" t="n">
        <f aca="true">ROUND(RAND()*4+6,1)</f>
        <v>8.7</v>
      </c>
      <c r="I97" s="6" t="s">
        <v>25</v>
      </c>
      <c r="J97" s="6" t="str">
        <f aca="false">ROUND(63*1,0)&amp;"%"</f>
        <v>63%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926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927</v>
      </c>
      <c r="B102" s="5" t="s">
        <v>188</v>
      </c>
      <c r="C102" s="5" t="s">
        <v>57</v>
      </c>
      <c r="D102" s="5" t="s">
        <v>16</v>
      </c>
      <c r="E102" s="5" t="n">
        <f aca="false">ROUND(17664*1.05,2)</f>
        <v>18547.2</v>
      </c>
      <c r="F102" s="5" t="s">
        <v>17</v>
      </c>
      <c r="G102" s="5" t="s">
        <v>18</v>
      </c>
      <c r="H102" s="5" t="n">
        <f aca="true">ROUND(RAND()*4+6,1)</f>
        <v>7.1</v>
      </c>
      <c r="I102" s="5" t="s">
        <v>19</v>
      </c>
      <c r="J102" s="5" t="str">
        <f aca="false">ROUND(87*1,0)&amp;"%"</f>
        <v>87%</v>
      </c>
    </row>
    <row r="103" customFormat="false" ht="15" hidden="false" customHeight="false" outlineLevel="0" collapsed="false">
      <c r="A103" s="6" t="s">
        <v>928</v>
      </c>
      <c r="B103" s="6" t="s">
        <v>190</v>
      </c>
      <c r="C103" s="6" t="s">
        <v>57</v>
      </c>
      <c r="D103" s="6" t="s">
        <v>22</v>
      </c>
      <c r="E103" s="6" t="n">
        <f aca="false">ROUND(5588*1.05,2)</f>
        <v>5867.4</v>
      </c>
      <c r="F103" s="6" t="s">
        <v>23</v>
      </c>
      <c r="G103" s="6" t="s">
        <v>24</v>
      </c>
      <c r="H103" s="6" t="n">
        <f aca="true">ROUND(RAND()*4+6,1)</f>
        <v>6.4</v>
      </c>
      <c r="I103" s="6" t="s">
        <v>25</v>
      </c>
      <c r="J103" s="6" t="str">
        <f aca="false">ROUND(77*1,0)&amp;"%"</f>
        <v>77%</v>
      </c>
    </row>
    <row r="104" customFormat="false" ht="15" hidden="false" customHeight="false" outlineLevel="0" collapsed="false">
      <c r="A104" s="5" t="s">
        <v>929</v>
      </c>
      <c r="B104" s="5" t="s">
        <v>192</v>
      </c>
      <c r="C104" s="5" t="s">
        <v>57</v>
      </c>
      <c r="D104" s="5" t="s">
        <v>28</v>
      </c>
      <c r="E104" s="5" t="n">
        <f aca="false">ROUND(6245*1.05,2)</f>
        <v>6557.25</v>
      </c>
      <c r="F104" s="5" t="s">
        <v>29</v>
      </c>
      <c r="G104" s="5" t="s">
        <v>30</v>
      </c>
      <c r="H104" s="5" t="n">
        <f aca="true">ROUND(RAND()*4+6,1)</f>
        <v>7.6</v>
      </c>
      <c r="I104" s="5" t="s">
        <v>31</v>
      </c>
      <c r="J104" s="5" t="str">
        <f aca="false">ROUND(99*1,0)&amp;"%"</f>
        <v>99%</v>
      </c>
    </row>
    <row r="105" customFormat="false" ht="15" hidden="false" customHeight="false" outlineLevel="0" collapsed="false">
      <c r="A105" s="6" t="s">
        <v>930</v>
      </c>
      <c r="B105" s="6" t="s">
        <v>194</v>
      </c>
      <c r="C105" s="6" t="s">
        <v>57</v>
      </c>
      <c r="D105" s="6" t="s">
        <v>34</v>
      </c>
      <c r="E105" s="6" t="n">
        <f aca="false">ROUND(14352*1.05,2)</f>
        <v>15069.6</v>
      </c>
      <c r="F105" s="6" t="s">
        <v>35</v>
      </c>
      <c r="G105" s="6" t="s">
        <v>18</v>
      </c>
      <c r="H105" s="6" t="n">
        <f aca="true">ROUND(RAND()*4+6,1)</f>
        <v>8.6</v>
      </c>
      <c r="I105" s="6" t="s">
        <v>36</v>
      </c>
      <c r="J105" s="6" t="str">
        <f aca="false">ROUND(99*1,0)&amp;"%"</f>
        <v>99%</v>
      </c>
    </row>
    <row r="106" customFormat="false" ht="15" hidden="false" customHeight="false" outlineLevel="0" collapsed="false">
      <c r="A106" s="5" t="s">
        <v>931</v>
      </c>
      <c r="B106" s="5" t="s">
        <v>196</v>
      </c>
      <c r="C106" s="5" t="s">
        <v>57</v>
      </c>
      <c r="D106" s="5" t="s">
        <v>39</v>
      </c>
      <c r="E106" s="5" t="n">
        <f aca="false">ROUND(9315*1.05,2)</f>
        <v>9780.75</v>
      </c>
      <c r="F106" s="5" t="s">
        <v>40</v>
      </c>
      <c r="G106" s="5" t="s">
        <v>24</v>
      </c>
      <c r="H106" s="5" t="n">
        <f aca="true">ROUND(RAND()*4+6,1)</f>
        <v>7.1</v>
      </c>
      <c r="I106" s="5" t="s">
        <v>41</v>
      </c>
      <c r="J106" s="5" t="str">
        <f aca="false">ROUND(63*1,0)&amp;"%"</f>
        <v>63%</v>
      </c>
    </row>
    <row r="107" customFormat="false" ht="15" hidden="false" customHeight="false" outlineLevel="0" collapsed="false">
      <c r="A107" s="6" t="s">
        <v>932</v>
      </c>
      <c r="B107" s="6" t="s">
        <v>198</v>
      </c>
      <c r="C107" s="6" t="s">
        <v>57</v>
      </c>
      <c r="D107" s="6" t="s">
        <v>44</v>
      </c>
      <c r="E107" s="6" t="n">
        <f aca="false">ROUND(9186*1.05,2)</f>
        <v>9645.3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ROUND(99*1,0)&amp;"%"</f>
        <v>99%</v>
      </c>
    </row>
    <row r="108" customFormat="false" ht="15" hidden="false" customHeight="false" outlineLevel="0" collapsed="false">
      <c r="A108" s="5" t="s">
        <v>933</v>
      </c>
      <c r="B108" s="5" t="s">
        <v>200</v>
      </c>
      <c r="C108" s="5" t="s">
        <v>57</v>
      </c>
      <c r="D108" s="5" t="s">
        <v>16</v>
      </c>
      <c r="E108" s="5" t="n">
        <f aca="false">ROUND(9417*1.05,2)</f>
        <v>9887.85</v>
      </c>
      <c r="F108" s="5" t="s">
        <v>49</v>
      </c>
      <c r="G108" s="5" t="s">
        <v>18</v>
      </c>
      <c r="H108" s="5" t="n">
        <f aca="true">ROUND(RAND()*4+6,1)</f>
        <v>9.8</v>
      </c>
      <c r="I108" s="5" t="s">
        <v>19</v>
      </c>
      <c r="J108" s="5" t="str">
        <f aca="false">ROUND(61*1,0)&amp;"%"</f>
        <v>61%</v>
      </c>
    </row>
    <row r="109" customFormat="false" ht="15" hidden="false" customHeight="false" outlineLevel="0" collapsed="false">
      <c r="A109" s="6" t="s">
        <v>934</v>
      </c>
      <c r="B109" s="6" t="s">
        <v>202</v>
      </c>
      <c r="C109" s="6" t="s">
        <v>57</v>
      </c>
      <c r="D109" s="6" t="s">
        <v>22</v>
      </c>
      <c r="E109" s="6" t="n">
        <f aca="false">ROUND(16881*1.05,2)</f>
        <v>17725.05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ROUND(82*1,0)&amp;"%"</f>
        <v>82%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935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936</v>
      </c>
      <c r="B114" s="5" t="s">
        <v>206</v>
      </c>
      <c r="C114" s="5" t="s">
        <v>76</v>
      </c>
      <c r="D114" s="5" t="s">
        <v>16</v>
      </c>
      <c r="E114" s="5" t="n">
        <f aca="false">ROUND(6135*1.05,2)</f>
        <v>6441.75</v>
      </c>
      <c r="F114" s="5" t="s">
        <v>17</v>
      </c>
      <c r="G114" s="5" t="s">
        <v>18</v>
      </c>
      <c r="H114" s="5" t="n">
        <f aca="true">ROUND(RAND()*4+6,1)</f>
        <v>8.8</v>
      </c>
      <c r="I114" s="5" t="s">
        <v>19</v>
      </c>
      <c r="J114" s="5" t="str">
        <f aca="false">ROUND(89*1,0)&amp;"%"</f>
        <v>89%</v>
      </c>
    </row>
    <row r="115" customFormat="false" ht="15" hidden="false" customHeight="false" outlineLevel="0" collapsed="false">
      <c r="A115" s="6" t="s">
        <v>937</v>
      </c>
      <c r="B115" s="6" t="s">
        <v>208</v>
      </c>
      <c r="C115" s="6" t="s">
        <v>76</v>
      </c>
      <c r="D115" s="6" t="s">
        <v>22</v>
      </c>
      <c r="E115" s="6" t="n">
        <f aca="false">ROUND(6929*1.05,2)</f>
        <v>7275.45</v>
      </c>
      <c r="F115" s="6" t="s">
        <v>23</v>
      </c>
      <c r="G115" s="6" t="s">
        <v>24</v>
      </c>
      <c r="H115" s="6" t="n">
        <f aca="true">ROUND(RAND()*4+6,1)</f>
        <v>7.6</v>
      </c>
      <c r="I115" s="6" t="s">
        <v>25</v>
      </c>
      <c r="J115" s="6" t="str">
        <f aca="false">ROUND(71*1,0)&amp;"%"</f>
        <v>71%</v>
      </c>
    </row>
    <row r="116" customFormat="false" ht="15" hidden="false" customHeight="false" outlineLevel="0" collapsed="false">
      <c r="A116" s="5" t="s">
        <v>938</v>
      </c>
      <c r="B116" s="5" t="s">
        <v>210</v>
      </c>
      <c r="C116" s="5" t="s">
        <v>76</v>
      </c>
      <c r="D116" s="5" t="s">
        <v>28</v>
      </c>
      <c r="E116" s="5" t="n">
        <f aca="false">ROUND(8478*1.05,2)</f>
        <v>8901.9</v>
      </c>
      <c r="F116" s="5" t="s">
        <v>29</v>
      </c>
      <c r="G116" s="5" t="s">
        <v>30</v>
      </c>
      <c r="H116" s="5" t="n">
        <f aca="true">ROUND(RAND()*4+6,1)</f>
        <v>6.3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939</v>
      </c>
      <c r="B117" s="6" t="s">
        <v>212</v>
      </c>
      <c r="C117" s="6" t="s">
        <v>76</v>
      </c>
      <c r="D117" s="6" t="s">
        <v>34</v>
      </c>
      <c r="E117" s="6" t="n">
        <f aca="false">ROUND(15375*1.05,2)</f>
        <v>16143.75</v>
      </c>
      <c r="F117" s="6" t="s">
        <v>35</v>
      </c>
      <c r="G117" s="6" t="s">
        <v>18</v>
      </c>
      <c r="H117" s="6" t="n">
        <f aca="true">ROUND(RAND()*4+6,1)</f>
        <v>7.6</v>
      </c>
      <c r="I117" s="6" t="s">
        <v>36</v>
      </c>
      <c r="J117" s="6" t="str">
        <f aca="false">ROUND(69*1,0)&amp;"%"</f>
        <v>69%</v>
      </c>
    </row>
    <row r="118" customFormat="false" ht="15" hidden="false" customHeight="false" outlineLevel="0" collapsed="false">
      <c r="A118" s="5" t="s">
        <v>940</v>
      </c>
      <c r="B118" s="5" t="s">
        <v>214</v>
      </c>
      <c r="C118" s="5" t="s">
        <v>76</v>
      </c>
      <c r="D118" s="5" t="s">
        <v>39</v>
      </c>
      <c r="E118" s="5" t="n">
        <f aca="false">ROUND(10029*1.05,2)</f>
        <v>10530.45</v>
      </c>
      <c r="F118" s="5" t="s">
        <v>40</v>
      </c>
      <c r="G118" s="5" t="s">
        <v>24</v>
      </c>
      <c r="H118" s="5" t="n">
        <f aca="true">ROUND(RAND()*4+6,1)</f>
        <v>6.1</v>
      </c>
      <c r="I118" s="5" t="s">
        <v>41</v>
      </c>
      <c r="J118" s="5" t="str">
        <f aca="false">ROUND(81*1,0)&amp;"%"</f>
        <v>81%</v>
      </c>
    </row>
    <row r="119" customFormat="false" ht="15" hidden="false" customHeight="false" outlineLevel="0" collapsed="false">
      <c r="A119" s="6" t="s">
        <v>941</v>
      </c>
      <c r="B119" s="6" t="s">
        <v>216</v>
      </c>
      <c r="C119" s="6" t="s">
        <v>76</v>
      </c>
      <c r="D119" s="6" t="s">
        <v>44</v>
      </c>
      <c r="E119" s="6" t="n">
        <f aca="false">ROUND(4256*1.05,2)</f>
        <v>4468.8</v>
      </c>
      <c r="F119" s="6" t="s">
        <v>45</v>
      </c>
      <c r="G119" s="6" t="s">
        <v>30</v>
      </c>
      <c r="H119" s="6" t="n">
        <f aca="true">ROUND(RAND()*4+6,1)</f>
        <v>8.9</v>
      </c>
      <c r="I119" s="6" t="s">
        <v>46</v>
      </c>
      <c r="J119" s="6" t="str">
        <f aca="false">ROUND(67*1,0)&amp;"%"</f>
        <v>67%</v>
      </c>
    </row>
    <row r="120" customFormat="false" ht="15" hidden="false" customHeight="false" outlineLevel="0" collapsed="false">
      <c r="A120" s="5" t="s">
        <v>942</v>
      </c>
      <c r="B120" s="5" t="s">
        <v>218</v>
      </c>
      <c r="C120" s="5" t="s">
        <v>76</v>
      </c>
      <c r="D120" s="5" t="s">
        <v>16</v>
      </c>
      <c r="E120" s="5" t="n">
        <f aca="false">ROUND(10997*1.05,2)</f>
        <v>11546.85</v>
      </c>
      <c r="F120" s="5" t="s">
        <v>49</v>
      </c>
      <c r="G120" s="5" t="s">
        <v>18</v>
      </c>
      <c r="H120" s="5" t="n">
        <f aca="true">ROUND(RAND()*4+6,1)</f>
        <v>6.7</v>
      </c>
      <c r="I120" s="5" t="s">
        <v>19</v>
      </c>
      <c r="J120" s="5" t="str">
        <f aca="false">ROUND(88*1,0)&amp;"%"</f>
        <v>88%</v>
      </c>
    </row>
    <row r="121" customFormat="false" ht="15" hidden="false" customHeight="false" outlineLevel="0" collapsed="false">
      <c r="A121" s="6" t="s">
        <v>943</v>
      </c>
      <c r="B121" s="6" t="s">
        <v>220</v>
      </c>
      <c r="C121" s="6" t="s">
        <v>76</v>
      </c>
      <c r="D121" s="6" t="s">
        <v>22</v>
      </c>
      <c r="E121" s="6" t="n">
        <f aca="false">ROUND(12952*1.05,2)</f>
        <v>13599.6</v>
      </c>
      <c r="F121" s="6" t="s">
        <v>52</v>
      </c>
      <c r="G121" s="6" t="s">
        <v>24</v>
      </c>
      <c r="H121" s="6" t="n">
        <f aca="true">ROUND(RAND()*4+6,1)</f>
        <v>9.7</v>
      </c>
      <c r="I121" s="6" t="s">
        <v>25</v>
      </c>
      <c r="J121" s="6" t="str">
        <f aca="false">ROUND(82*1,0)&amp;"%"</f>
        <v>82%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944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945</v>
      </c>
      <c r="B126" s="5" t="s">
        <v>224</v>
      </c>
      <c r="C126" s="5" t="s">
        <v>95</v>
      </c>
      <c r="D126" s="5" t="s">
        <v>16</v>
      </c>
      <c r="E126" s="5" t="n">
        <f aca="false">ROUND(12855*1.05,2)</f>
        <v>13497.75</v>
      </c>
      <c r="F126" s="5" t="s">
        <v>17</v>
      </c>
      <c r="G126" s="5" t="s">
        <v>18</v>
      </c>
      <c r="H126" s="5" t="n">
        <f aca="true">ROUND(RAND()*4+6,1)</f>
        <v>9.4</v>
      </c>
      <c r="I126" s="5" t="s">
        <v>19</v>
      </c>
      <c r="J126" s="5" t="str">
        <f aca="false">ROUND(69*1,0)&amp;"%"</f>
        <v>69%</v>
      </c>
    </row>
    <row r="127" customFormat="false" ht="15" hidden="false" customHeight="false" outlineLevel="0" collapsed="false">
      <c r="A127" s="6" t="s">
        <v>946</v>
      </c>
      <c r="B127" s="6" t="s">
        <v>226</v>
      </c>
      <c r="C127" s="6" t="s">
        <v>95</v>
      </c>
      <c r="D127" s="6" t="s">
        <v>22</v>
      </c>
      <c r="E127" s="6" t="n">
        <f aca="false">ROUND(17302*1.05,2)</f>
        <v>18167.1</v>
      </c>
      <c r="F127" s="6" t="s">
        <v>23</v>
      </c>
      <c r="G127" s="6" t="s">
        <v>24</v>
      </c>
      <c r="H127" s="6" t="n">
        <f aca="true">ROUND(RAND()*4+6,1)</f>
        <v>9.7</v>
      </c>
      <c r="I127" s="6" t="s">
        <v>25</v>
      </c>
      <c r="J127" s="6" t="str">
        <f aca="false">ROUND(77*1,0)&amp;"%"</f>
        <v>77%</v>
      </c>
    </row>
    <row r="128" customFormat="false" ht="15" hidden="false" customHeight="false" outlineLevel="0" collapsed="false">
      <c r="A128" s="5" t="s">
        <v>947</v>
      </c>
      <c r="B128" s="5" t="s">
        <v>228</v>
      </c>
      <c r="C128" s="5" t="s">
        <v>95</v>
      </c>
      <c r="D128" s="5" t="s">
        <v>28</v>
      </c>
      <c r="E128" s="5" t="n">
        <f aca="false">ROUND(12348*1.05,2)</f>
        <v>12965.4</v>
      </c>
      <c r="F128" s="5" t="s">
        <v>29</v>
      </c>
      <c r="G128" s="5" t="s">
        <v>30</v>
      </c>
      <c r="H128" s="5" t="n">
        <f aca="true">ROUND(RAND()*4+6,1)</f>
        <v>7.2</v>
      </c>
      <c r="I128" s="5" t="s">
        <v>31</v>
      </c>
      <c r="J128" s="5" t="str">
        <f aca="false">ROUND(93*1,0)&amp;"%"</f>
        <v>93%</v>
      </c>
    </row>
    <row r="129" customFormat="false" ht="15" hidden="false" customHeight="false" outlineLevel="0" collapsed="false">
      <c r="A129" s="6" t="s">
        <v>948</v>
      </c>
      <c r="B129" s="6" t="s">
        <v>230</v>
      </c>
      <c r="C129" s="6" t="s">
        <v>95</v>
      </c>
      <c r="D129" s="6" t="s">
        <v>34</v>
      </c>
      <c r="E129" s="6" t="n">
        <f aca="false">ROUND(14902*1.05,2)</f>
        <v>15647.1</v>
      </c>
      <c r="F129" s="6" t="s">
        <v>35</v>
      </c>
      <c r="G129" s="6" t="s">
        <v>18</v>
      </c>
      <c r="H129" s="6" t="n">
        <f aca="true">ROUND(RAND()*4+6,1)</f>
        <v>9.6</v>
      </c>
      <c r="I129" s="6" t="s">
        <v>36</v>
      </c>
      <c r="J129" s="6" t="str">
        <f aca="false">ROUND(76*1,0)&amp;"%"</f>
        <v>76%</v>
      </c>
    </row>
    <row r="130" customFormat="false" ht="15" hidden="false" customHeight="false" outlineLevel="0" collapsed="false">
      <c r="A130" s="5" t="s">
        <v>949</v>
      </c>
      <c r="B130" s="5" t="s">
        <v>232</v>
      </c>
      <c r="C130" s="5" t="s">
        <v>95</v>
      </c>
      <c r="D130" s="5" t="s">
        <v>39</v>
      </c>
      <c r="E130" s="5" t="n">
        <f aca="false">ROUND(10926*1.05,2)</f>
        <v>11472.3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ROUND(97*1,0)&amp;"%"</f>
        <v>97%</v>
      </c>
    </row>
    <row r="131" customFormat="false" ht="15" hidden="false" customHeight="false" outlineLevel="0" collapsed="false">
      <c r="A131" s="6" t="s">
        <v>950</v>
      </c>
      <c r="B131" s="6" t="s">
        <v>234</v>
      </c>
      <c r="C131" s="6" t="s">
        <v>95</v>
      </c>
      <c r="D131" s="6" t="s">
        <v>44</v>
      </c>
      <c r="E131" s="6" t="n">
        <f aca="false">ROUND(4816*1.05,2)</f>
        <v>5056.8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ROUND(69*1,0)&amp;"%"</f>
        <v>69%</v>
      </c>
    </row>
    <row r="132" customFormat="false" ht="15" hidden="false" customHeight="false" outlineLevel="0" collapsed="false">
      <c r="A132" s="5" t="s">
        <v>951</v>
      </c>
      <c r="B132" s="5" t="s">
        <v>236</v>
      </c>
      <c r="C132" s="5" t="s">
        <v>95</v>
      </c>
      <c r="D132" s="5" t="s">
        <v>16</v>
      </c>
      <c r="E132" s="5" t="n">
        <f aca="false">ROUND(17098*1.05,2)</f>
        <v>17952.9</v>
      </c>
      <c r="F132" s="5" t="s">
        <v>49</v>
      </c>
      <c r="G132" s="5" t="s">
        <v>18</v>
      </c>
      <c r="H132" s="5" t="n">
        <f aca="true">ROUND(RAND()*4+6,1)</f>
        <v>7.5</v>
      </c>
      <c r="I132" s="5" t="s">
        <v>19</v>
      </c>
      <c r="J132" s="5" t="str">
        <f aca="false">ROUND(95*1,0)&amp;"%"</f>
        <v>95%</v>
      </c>
    </row>
    <row r="133" customFormat="false" ht="15" hidden="false" customHeight="false" outlineLevel="0" collapsed="false">
      <c r="A133" s="6" t="s">
        <v>952</v>
      </c>
      <c r="B133" s="6" t="s">
        <v>238</v>
      </c>
      <c r="C133" s="6" t="s">
        <v>95</v>
      </c>
      <c r="D133" s="6" t="s">
        <v>22</v>
      </c>
      <c r="E133" s="6" t="n">
        <f aca="false">ROUND(9499*1.05,2)</f>
        <v>9973.95</v>
      </c>
      <c r="F133" s="6" t="s">
        <v>52</v>
      </c>
      <c r="G133" s="6" t="s">
        <v>24</v>
      </c>
      <c r="H133" s="6" t="n">
        <f aca="true">ROUND(RAND()*4+6,1)</f>
        <v>7</v>
      </c>
      <c r="I133" s="6" t="s">
        <v>25</v>
      </c>
      <c r="J133" s="6" t="str">
        <f aca="false">ROUND(81*1,0)&amp;"%"</f>
        <v>81%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953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954</v>
      </c>
      <c r="B138" s="5" t="s">
        <v>242</v>
      </c>
      <c r="C138" s="5" t="s">
        <v>114</v>
      </c>
      <c r="D138" s="5" t="s">
        <v>16</v>
      </c>
      <c r="E138" s="5" t="n">
        <f aca="false">ROUND(14639*1.05,2)</f>
        <v>15370.95</v>
      </c>
      <c r="F138" s="5" t="s">
        <v>17</v>
      </c>
      <c r="G138" s="5" t="s">
        <v>18</v>
      </c>
      <c r="H138" s="5" t="n">
        <f aca="true">ROUND(RAND()*4+6,1)</f>
        <v>9.8</v>
      </c>
      <c r="I138" s="5" t="s">
        <v>19</v>
      </c>
      <c r="J138" s="5" t="str">
        <f aca="false">ROUND(90*1,0)&amp;"%"</f>
        <v>90%</v>
      </c>
    </row>
    <row r="139" customFormat="false" ht="15" hidden="false" customHeight="false" outlineLevel="0" collapsed="false">
      <c r="A139" s="6" t="s">
        <v>955</v>
      </c>
      <c r="B139" s="6" t="s">
        <v>244</v>
      </c>
      <c r="C139" s="6" t="s">
        <v>114</v>
      </c>
      <c r="D139" s="6" t="s">
        <v>22</v>
      </c>
      <c r="E139" s="6" t="n">
        <f aca="false">ROUND(16237*1.05,2)</f>
        <v>17048.85</v>
      </c>
      <c r="F139" s="6" t="s">
        <v>23</v>
      </c>
      <c r="G139" s="6" t="s">
        <v>24</v>
      </c>
      <c r="H139" s="6" t="n">
        <f aca="true">ROUND(RAND()*4+6,1)</f>
        <v>6.9</v>
      </c>
      <c r="I139" s="6" t="s">
        <v>25</v>
      </c>
      <c r="J139" s="6" t="str">
        <f aca="false">ROUND(84*1,0)&amp;"%"</f>
        <v>84%</v>
      </c>
    </row>
    <row r="140" customFormat="false" ht="15" hidden="false" customHeight="false" outlineLevel="0" collapsed="false">
      <c r="A140" s="5" t="s">
        <v>956</v>
      </c>
      <c r="B140" s="5" t="s">
        <v>246</v>
      </c>
      <c r="C140" s="5" t="s">
        <v>114</v>
      </c>
      <c r="D140" s="5" t="s">
        <v>28</v>
      </c>
      <c r="E140" s="5" t="n">
        <f aca="false">ROUND(10167*1.05,2)</f>
        <v>10675.35</v>
      </c>
      <c r="F140" s="5" t="s">
        <v>29</v>
      </c>
      <c r="G140" s="5" t="s">
        <v>30</v>
      </c>
      <c r="H140" s="5" t="n">
        <f aca="true">ROUND(RAND()*4+6,1)</f>
        <v>9.8</v>
      </c>
      <c r="I140" s="5" t="s">
        <v>31</v>
      </c>
      <c r="J140" s="5" t="str">
        <f aca="false">ROUND(73*1,0)&amp;"%"</f>
        <v>73%</v>
      </c>
    </row>
    <row r="141" customFormat="false" ht="15" hidden="false" customHeight="false" outlineLevel="0" collapsed="false">
      <c r="A141" s="6" t="s">
        <v>957</v>
      </c>
      <c r="B141" s="6" t="s">
        <v>248</v>
      </c>
      <c r="C141" s="6" t="s">
        <v>114</v>
      </c>
      <c r="D141" s="6" t="s">
        <v>34</v>
      </c>
      <c r="E141" s="6" t="n">
        <f aca="false">ROUND(16065*1.05,2)</f>
        <v>16868.25</v>
      </c>
      <c r="F141" s="6" t="s">
        <v>35</v>
      </c>
      <c r="G141" s="6" t="s">
        <v>18</v>
      </c>
      <c r="H141" s="6" t="n">
        <f aca="true">ROUND(RAND()*4+6,1)</f>
        <v>9.5</v>
      </c>
      <c r="I141" s="6" t="s">
        <v>36</v>
      </c>
      <c r="J141" s="6" t="str">
        <f aca="false">ROUND(89*1,0)&amp;"%"</f>
        <v>89%</v>
      </c>
    </row>
    <row r="142" customFormat="false" ht="15" hidden="false" customHeight="false" outlineLevel="0" collapsed="false">
      <c r="A142" s="5" t="s">
        <v>958</v>
      </c>
      <c r="B142" s="5" t="s">
        <v>250</v>
      </c>
      <c r="C142" s="5" t="s">
        <v>114</v>
      </c>
      <c r="D142" s="5" t="s">
        <v>39</v>
      </c>
      <c r="E142" s="5" t="n">
        <f aca="false">ROUND(11815*1.05,2)</f>
        <v>12405.75</v>
      </c>
      <c r="F142" s="5" t="s">
        <v>40</v>
      </c>
      <c r="G142" s="5" t="s">
        <v>24</v>
      </c>
      <c r="H142" s="5" t="n">
        <f aca="true">ROUND(RAND()*4+6,1)</f>
        <v>7.1</v>
      </c>
      <c r="I142" s="5" t="s">
        <v>41</v>
      </c>
      <c r="J142" s="5" t="str">
        <f aca="false">ROUND(66*1,0)&amp;"%"</f>
        <v>66%</v>
      </c>
    </row>
    <row r="143" customFormat="false" ht="15" hidden="false" customHeight="false" outlineLevel="0" collapsed="false">
      <c r="A143" s="6" t="s">
        <v>959</v>
      </c>
      <c r="B143" s="6" t="s">
        <v>252</v>
      </c>
      <c r="C143" s="6" t="s">
        <v>114</v>
      </c>
      <c r="D143" s="6" t="s">
        <v>44</v>
      </c>
      <c r="E143" s="6" t="n">
        <f aca="false">ROUND(14782*1.05,2)</f>
        <v>15521.1</v>
      </c>
      <c r="F143" s="6" t="s">
        <v>45</v>
      </c>
      <c r="G143" s="6" t="s">
        <v>30</v>
      </c>
      <c r="H143" s="6" t="n">
        <f aca="true">ROUND(RAND()*4+6,1)</f>
        <v>6.8</v>
      </c>
      <c r="I143" s="6" t="s">
        <v>46</v>
      </c>
      <c r="J143" s="6" t="str">
        <f aca="false">ROUND(86*1,0)&amp;"%"</f>
        <v>86%</v>
      </c>
    </row>
    <row r="144" customFormat="false" ht="15" hidden="false" customHeight="false" outlineLevel="0" collapsed="false">
      <c r="A144" s="5" t="s">
        <v>960</v>
      </c>
      <c r="B144" s="5" t="s">
        <v>254</v>
      </c>
      <c r="C144" s="5" t="s">
        <v>114</v>
      </c>
      <c r="D144" s="5" t="s">
        <v>16</v>
      </c>
      <c r="E144" s="5" t="n">
        <f aca="false">ROUND(10511*1.05,2)</f>
        <v>11036.55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ROUND(93*1,0)&amp;"%"</f>
        <v>93%</v>
      </c>
    </row>
    <row r="145" customFormat="false" ht="15" hidden="false" customHeight="false" outlineLevel="0" collapsed="false">
      <c r="A145" s="6" t="s">
        <v>961</v>
      </c>
      <c r="B145" s="6" t="s">
        <v>256</v>
      </c>
      <c r="C145" s="6" t="s">
        <v>114</v>
      </c>
      <c r="D145" s="6" t="s">
        <v>22</v>
      </c>
      <c r="E145" s="6" t="n">
        <f aca="false">ROUND(14344*1.05,2)</f>
        <v>15061.2</v>
      </c>
      <c r="F145" s="6" t="s">
        <v>52</v>
      </c>
      <c r="G145" s="6" t="s">
        <v>24</v>
      </c>
      <c r="H145" s="6" t="n">
        <f aca="true">ROUND(RAND()*4+6,1)</f>
        <v>7.3</v>
      </c>
      <c r="I145" s="6" t="s">
        <v>25</v>
      </c>
      <c r="J145" s="6" t="str">
        <f aca="false">ROUND(61*1,0)&amp;"%"</f>
        <v>61%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962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963</v>
      </c>
      <c r="B150" s="5" t="s">
        <v>260</v>
      </c>
      <c r="C150" s="5" t="s">
        <v>133</v>
      </c>
      <c r="D150" s="5" t="s">
        <v>16</v>
      </c>
      <c r="E150" s="5" t="n">
        <f aca="false">ROUND(7979*1.05,2)</f>
        <v>8377.95</v>
      </c>
      <c r="F150" s="5" t="s">
        <v>17</v>
      </c>
      <c r="G150" s="5" t="s">
        <v>18</v>
      </c>
      <c r="H150" s="5" t="n">
        <f aca="true">ROUND(RAND()*4+6,1)</f>
        <v>9.9</v>
      </c>
      <c r="I150" s="5" t="s">
        <v>19</v>
      </c>
      <c r="J150" s="5" t="str">
        <f aca="false">ROUND(71*1,0)&amp;"%"</f>
        <v>71%</v>
      </c>
    </row>
    <row r="151" customFormat="false" ht="15" hidden="false" customHeight="false" outlineLevel="0" collapsed="false">
      <c r="A151" s="6" t="s">
        <v>964</v>
      </c>
      <c r="B151" s="6" t="s">
        <v>262</v>
      </c>
      <c r="C151" s="6" t="s">
        <v>133</v>
      </c>
      <c r="D151" s="6" t="s">
        <v>22</v>
      </c>
      <c r="E151" s="6" t="n">
        <f aca="false">ROUND(17511*1.05,2)</f>
        <v>18386.55</v>
      </c>
      <c r="F151" s="6" t="s">
        <v>23</v>
      </c>
      <c r="G151" s="6" t="s">
        <v>24</v>
      </c>
      <c r="H151" s="6" t="n">
        <f aca="true">ROUND(RAND()*4+6,1)</f>
        <v>9.3</v>
      </c>
      <c r="I151" s="6" t="s">
        <v>25</v>
      </c>
      <c r="J151" s="6" t="str">
        <f aca="false">ROUND(84*1,0)&amp;"%"</f>
        <v>84%</v>
      </c>
    </row>
    <row r="152" customFormat="false" ht="15" hidden="false" customHeight="false" outlineLevel="0" collapsed="false">
      <c r="A152" s="5" t="s">
        <v>965</v>
      </c>
      <c r="B152" s="5" t="s">
        <v>264</v>
      </c>
      <c r="C152" s="5" t="s">
        <v>133</v>
      </c>
      <c r="D152" s="5" t="s">
        <v>28</v>
      </c>
      <c r="E152" s="5" t="n">
        <f aca="false">ROUND(5015*1.05,2)</f>
        <v>5265.75</v>
      </c>
      <c r="F152" s="5" t="s">
        <v>29</v>
      </c>
      <c r="G152" s="5" t="s">
        <v>30</v>
      </c>
      <c r="H152" s="5" t="n">
        <f aca="true">ROUND(RAND()*4+6,1)</f>
        <v>8.9</v>
      </c>
      <c r="I152" s="5" t="s">
        <v>31</v>
      </c>
      <c r="J152" s="5" t="str">
        <f aca="false">ROUND(66*1,0)&amp;"%"</f>
        <v>66%</v>
      </c>
    </row>
    <row r="153" customFormat="false" ht="15" hidden="false" customHeight="false" outlineLevel="0" collapsed="false">
      <c r="A153" s="6" t="s">
        <v>966</v>
      </c>
      <c r="B153" s="6" t="s">
        <v>266</v>
      </c>
      <c r="C153" s="6" t="s">
        <v>133</v>
      </c>
      <c r="D153" s="6" t="s">
        <v>34</v>
      </c>
      <c r="E153" s="6" t="n">
        <f aca="false">ROUND(10965*1.05,2)</f>
        <v>11513.25</v>
      </c>
      <c r="F153" s="6" t="s">
        <v>35</v>
      </c>
      <c r="G153" s="6" t="s">
        <v>18</v>
      </c>
      <c r="H153" s="6" t="n">
        <f aca="true">ROUND(RAND()*4+6,1)</f>
        <v>6.7</v>
      </c>
      <c r="I153" s="6" t="s">
        <v>36</v>
      </c>
      <c r="J153" s="6" t="str">
        <f aca="false">ROUND(75*1,0)&amp;"%"</f>
        <v>75%</v>
      </c>
    </row>
    <row r="154" customFormat="false" ht="15" hidden="false" customHeight="false" outlineLevel="0" collapsed="false">
      <c r="A154" s="5" t="s">
        <v>967</v>
      </c>
      <c r="B154" s="5" t="s">
        <v>268</v>
      </c>
      <c r="C154" s="5" t="s">
        <v>133</v>
      </c>
      <c r="D154" s="5" t="s">
        <v>39</v>
      </c>
      <c r="E154" s="5" t="n">
        <f aca="false">ROUND(9550*1.05,2)</f>
        <v>10027.5</v>
      </c>
      <c r="F154" s="5" t="s">
        <v>40</v>
      </c>
      <c r="G154" s="5" t="s">
        <v>24</v>
      </c>
      <c r="H154" s="5" t="n">
        <f aca="true">ROUND(RAND()*4+6,1)</f>
        <v>6.9</v>
      </c>
      <c r="I154" s="5" t="s">
        <v>41</v>
      </c>
      <c r="J154" s="5" t="str">
        <f aca="false">ROUND(93*1,0)&amp;"%"</f>
        <v>93%</v>
      </c>
    </row>
    <row r="155" customFormat="false" ht="15" hidden="false" customHeight="false" outlineLevel="0" collapsed="false">
      <c r="A155" s="6" t="s">
        <v>968</v>
      </c>
      <c r="B155" s="6" t="s">
        <v>270</v>
      </c>
      <c r="C155" s="6" t="s">
        <v>133</v>
      </c>
      <c r="D155" s="6" t="s">
        <v>44</v>
      </c>
      <c r="E155" s="6" t="n">
        <f aca="false">ROUND(15509*1.05,2)</f>
        <v>16284.45</v>
      </c>
      <c r="F155" s="6" t="s">
        <v>45</v>
      </c>
      <c r="G155" s="6" t="s">
        <v>30</v>
      </c>
      <c r="H155" s="6" t="n">
        <f aca="true">ROUND(RAND()*4+6,1)</f>
        <v>6.4</v>
      </c>
      <c r="I155" s="6" t="s">
        <v>46</v>
      </c>
      <c r="J155" s="6" t="str">
        <f aca="false">ROUND(80*1,0)&amp;"%"</f>
        <v>80%</v>
      </c>
    </row>
    <row r="156" customFormat="false" ht="15" hidden="false" customHeight="false" outlineLevel="0" collapsed="false">
      <c r="A156" s="5" t="s">
        <v>969</v>
      </c>
      <c r="B156" s="5" t="s">
        <v>272</v>
      </c>
      <c r="C156" s="5" t="s">
        <v>133</v>
      </c>
      <c r="D156" s="5" t="s">
        <v>16</v>
      </c>
      <c r="E156" s="5" t="n">
        <f aca="false">ROUND(17864*1.05,2)</f>
        <v>18757.2</v>
      </c>
      <c r="F156" s="5" t="s">
        <v>49</v>
      </c>
      <c r="G156" s="5" t="s">
        <v>18</v>
      </c>
      <c r="H156" s="5" t="n">
        <f aca="true">ROUND(RAND()*4+6,1)</f>
        <v>6.8</v>
      </c>
      <c r="I156" s="5" t="s">
        <v>19</v>
      </c>
      <c r="J156" s="5" t="str">
        <f aca="false">ROUND(97*1,0)&amp;"%"</f>
        <v>97%</v>
      </c>
    </row>
    <row r="157" customFormat="false" ht="15" hidden="false" customHeight="false" outlineLevel="0" collapsed="false">
      <c r="A157" s="6" t="s">
        <v>970</v>
      </c>
      <c r="B157" s="6" t="s">
        <v>274</v>
      </c>
      <c r="C157" s="6" t="s">
        <v>133</v>
      </c>
      <c r="D157" s="6" t="s">
        <v>22</v>
      </c>
      <c r="E157" s="6" t="n">
        <f aca="false">ROUND(6013*1.05,2)</f>
        <v>6313.65</v>
      </c>
      <c r="F157" s="6" t="s">
        <v>52</v>
      </c>
      <c r="G157" s="6" t="s">
        <v>24</v>
      </c>
      <c r="H157" s="6" t="n">
        <f aca="true">ROUND(RAND()*4+6,1)</f>
        <v>9.4</v>
      </c>
      <c r="I157" s="6" t="s">
        <v>25</v>
      </c>
      <c r="J157" s="6" t="str">
        <f aca="false">ROUND(81*1,0)&amp;"%"</f>
        <v>81%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971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972</v>
      </c>
      <c r="B162" s="5" t="s">
        <v>278</v>
      </c>
      <c r="C162" s="5" t="s">
        <v>152</v>
      </c>
      <c r="D162" s="5" t="s">
        <v>16</v>
      </c>
      <c r="E162" s="5" t="n">
        <f aca="false">ROUND(15266*1.05,2)</f>
        <v>16029.3</v>
      </c>
      <c r="F162" s="5" t="s">
        <v>17</v>
      </c>
      <c r="G162" s="5" t="s">
        <v>18</v>
      </c>
      <c r="H162" s="5" t="n">
        <f aca="true">ROUND(RAND()*4+6,1)</f>
        <v>9.3</v>
      </c>
      <c r="I162" s="5" t="s">
        <v>19</v>
      </c>
      <c r="J162" s="5" t="str">
        <f aca="false">ROUND(68*1,0)&amp;"%"</f>
        <v>68%</v>
      </c>
    </row>
    <row r="163" customFormat="false" ht="15" hidden="false" customHeight="false" outlineLevel="0" collapsed="false">
      <c r="A163" s="6" t="s">
        <v>973</v>
      </c>
      <c r="B163" s="6" t="s">
        <v>280</v>
      </c>
      <c r="C163" s="6" t="s">
        <v>152</v>
      </c>
      <c r="D163" s="6" t="s">
        <v>22</v>
      </c>
      <c r="E163" s="6" t="n">
        <f aca="false">ROUND(17038*1.05,2)</f>
        <v>17889.9</v>
      </c>
      <c r="F163" s="6" t="s">
        <v>23</v>
      </c>
      <c r="G163" s="6" t="s">
        <v>24</v>
      </c>
      <c r="H163" s="6" t="n">
        <f aca="true">ROUND(RAND()*4+6,1)</f>
        <v>6.5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974</v>
      </c>
      <c r="B164" s="5" t="s">
        <v>282</v>
      </c>
      <c r="C164" s="5" t="s">
        <v>152</v>
      </c>
      <c r="D164" s="5" t="s">
        <v>28</v>
      </c>
      <c r="E164" s="5" t="n">
        <f aca="false">ROUND(13423*1.05,2)</f>
        <v>14094.15</v>
      </c>
      <c r="F164" s="5" t="s">
        <v>29</v>
      </c>
      <c r="G164" s="5" t="s">
        <v>30</v>
      </c>
      <c r="H164" s="5" t="n">
        <f aca="true">ROUND(RAND()*4+6,1)</f>
        <v>8.7</v>
      </c>
      <c r="I164" s="5" t="s">
        <v>31</v>
      </c>
      <c r="J164" s="5" t="str">
        <f aca="false">ROUND(87*1,0)&amp;"%"</f>
        <v>87%</v>
      </c>
    </row>
    <row r="165" customFormat="false" ht="15" hidden="false" customHeight="false" outlineLevel="0" collapsed="false">
      <c r="A165" s="6" t="s">
        <v>975</v>
      </c>
      <c r="B165" s="6" t="s">
        <v>284</v>
      </c>
      <c r="C165" s="6" t="s">
        <v>152</v>
      </c>
      <c r="D165" s="6" t="s">
        <v>34</v>
      </c>
      <c r="E165" s="6" t="n">
        <f aca="false">ROUND(16684*1.05,2)</f>
        <v>17518.2</v>
      </c>
      <c r="F165" s="6" t="s">
        <v>35</v>
      </c>
      <c r="G165" s="6" t="s">
        <v>18</v>
      </c>
      <c r="H165" s="6" t="n">
        <f aca="true">ROUND(RAND()*4+6,1)</f>
        <v>9.8</v>
      </c>
      <c r="I165" s="6" t="s">
        <v>36</v>
      </c>
      <c r="J165" s="6" t="str">
        <f aca="false">ROUND(60*1,0)&amp;"%"</f>
        <v>60%</v>
      </c>
    </row>
    <row r="166" customFormat="false" ht="15" hidden="false" customHeight="false" outlineLevel="0" collapsed="false">
      <c r="A166" s="5" t="s">
        <v>976</v>
      </c>
      <c r="B166" s="5" t="s">
        <v>286</v>
      </c>
      <c r="C166" s="5" t="s">
        <v>152</v>
      </c>
      <c r="D166" s="5" t="s">
        <v>39</v>
      </c>
      <c r="E166" s="5" t="n">
        <f aca="false">ROUND(15748*1.05,2)</f>
        <v>16535.4</v>
      </c>
      <c r="F166" s="5" t="s">
        <v>40</v>
      </c>
      <c r="G166" s="5" t="s">
        <v>24</v>
      </c>
      <c r="H166" s="5" t="n">
        <f aca="true">ROUND(RAND()*4+6,1)</f>
        <v>6.5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977</v>
      </c>
      <c r="B167" s="6" t="s">
        <v>288</v>
      </c>
      <c r="C167" s="6" t="s">
        <v>152</v>
      </c>
      <c r="D167" s="6" t="s">
        <v>44</v>
      </c>
      <c r="E167" s="6" t="n">
        <f aca="false">ROUND(4473*1.05,2)</f>
        <v>4696.65</v>
      </c>
      <c r="F167" s="6" t="s">
        <v>45</v>
      </c>
      <c r="G167" s="6" t="s">
        <v>30</v>
      </c>
      <c r="H167" s="6" t="n">
        <f aca="true">ROUND(RAND()*4+6,1)</f>
        <v>8.2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978</v>
      </c>
      <c r="B168" s="5" t="s">
        <v>290</v>
      </c>
      <c r="C168" s="5" t="s">
        <v>152</v>
      </c>
      <c r="D168" s="5" t="s">
        <v>16</v>
      </c>
      <c r="E168" s="5" t="n">
        <f aca="false">ROUND(17378*1.05,2)</f>
        <v>18246.9</v>
      </c>
      <c r="F168" s="5" t="s">
        <v>49</v>
      </c>
      <c r="G168" s="5" t="s">
        <v>18</v>
      </c>
      <c r="H168" s="5" t="n">
        <f aca="true">ROUND(RAND()*4+6,1)</f>
        <v>7.4</v>
      </c>
      <c r="I168" s="5" t="s">
        <v>19</v>
      </c>
      <c r="J168" s="5" t="str">
        <f aca="false">ROUND(83*1,0)&amp;"%"</f>
        <v>83%</v>
      </c>
    </row>
    <row r="169" customFormat="false" ht="15" hidden="false" customHeight="false" outlineLevel="0" collapsed="false">
      <c r="A169" s="6" t="s">
        <v>979</v>
      </c>
      <c r="B169" s="6" t="s">
        <v>292</v>
      </c>
      <c r="C169" s="6" t="s">
        <v>152</v>
      </c>
      <c r="D169" s="6" t="s">
        <v>22</v>
      </c>
      <c r="E169" s="6" t="n">
        <f aca="false">ROUND(16907*1.05,2)</f>
        <v>17752.35</v>
      </c>
      <c r="F169" s="6" t="s">
        <v>52</v>
      </c>
      <c r="G169" s="6" t="s">
        <v>24</v>
      </c>
      <c r="H169" s="6" t="n">
        <f aca="true">ROUND(RAND()*4+6,1)</f>
        <v>7.1</v>
      </c>
      <c r="I169" s="6" t="s">
        <v>25</v>
      </c>
      <c r="J169" s="6" t="str">
        <f aca="false">ROUND(99*1,0)&amp;"%"</f>
        <v>99%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980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981</v>
      </c>
      <c r="B174" s="5" t="s">
        <v>296</v>
      </c>
      <c r="C174" s="5" t="s">
        <v>15</v>
      </c>
      <c r="D174" s="5" t="s">
        <v>16</v>
      </c>
      <c r="E174" s="5" t="n">
        <f aca="false">ROUND(11071*1.05,2)</f>
        <v>11624.55</v>
      </c>
      <c r="F174" s="5" t="s">
        <v>17</v>
      </c>
      <c r="G174" s="5" t="s">
        <v>18</v>
      </c>
      <c r="H174" s="5" t="n">
        <f aca="true">ROUND(RAND()*4+6,1)</f>
        <v>6.1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982</v>
      </c>
      <c r="B175" s="6" t="s">
        <v>298</v>
      </c>
      <c r="C175" s="6" t="s">
        <v>15</v>
      </c>
      <c r="D175" s="6" t="s">
        <v>22</v>
      </c>
      <c r="E175" s="6" t="n">
        <f aca="false">ROUND(9306*1.05,2)</f>
        <v>9771.3</v>
      </c>
      <c r="F175" s="6" t="s">
        <v>23</v>
      </c>
      <c r="G175" s="6" t="s">
        <v>24</v>
      </c>
      <c r="H175" s="6" t="n">
        <f aca="true">ROUND(RAND()*4+6,1)</f>
        <v>7.3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983</v>
      </c>
      <c r="B176" s="5" t="s">
        <v>300</v>
      </c>
      <c r="C176" s="5" t="s">
        <v>15</v>
      </c>
      <c r="D176" s="5" t="s">
        <v>28</v>
      </c>
      <c r="E176" s="5" t="n">
        <f aca="false">ROUND(10551*1.05,2)</f>
        <v>11078.55</v>
      </c>
      <c r="F176" s="5" t="s">
        <v>29</v>
      </c>
      <c r="G176" s="5" t="s">
        <v>30</v>
      </c>
      <c r="H176" s="5" t="n">
        <f aca="true">ROUND(RAND()*4+6,1)</f>
        <v>7.2</v>
      </c>
      <c r="I176" s="5" t="s">
        <v>31</v>
      </c>
      <c r="J176" s="5" t="str">
        <f aca="false">ROUND(80*1,0)&amp;"%"</f>
        <v>80%</v>
      </c>
    </row>
    <row r="177" customFormat="false" ht="15" hidden="false" customHeight="false" outlineLevel="0" collapsed="false">
      <c r="A177" s="6" t="s">
        <v>984</v>
      </c>
      <c r="B177" s="6" t="s">
        <v>302</v>
      </c>
      <c r="C177" s="6" t="s">
        <v>15</v>
      </c>
      <c r="D177" s="6" t="s">
        <v>34</v>
      </c>
      <c r="E177" s="6" t="n">
        <f aca="false">ROUND(5960*1.05,2)</f>
        <v>6258</v>
      </c>
      <c r="F177" s="6" t="s">
        <v>35</v>
      </c>
      <c r="G177" s="6" t="s">
        <v>18</v>
      </c>
      <c r="H177" s="6" t="n">
        <f aca="true">ROUND(RAND()*4+6,1)</f>
        <v>7.4</v>
      </c>
      <c r="I177" s="6" t="s">
        <v>36</v>
      </c>
      <c r="J177" s="6" t="str">
        <f aca="false">ROUND(94*1,0)&amp;"%"</f>
        <v>94%</v>
      </c>
    </row>
    <row r="178" customFormat="false" ht="15" hidden="false" customHeight="false" outlineLevel="0" collapsed="false">
      <c r="A178" s="5" t="s">
        <v>985</v>
      </c>
      <c r="B178" s="5" t="s">
        <v>304</v>
      </c>
      <c r="C178" s="5" t="s">
        <v>15</v>
      </c>
      <c r="D178" s="5" t="s">
        <v>39</v>
      </c>
      <c r="E178" s="5" t="n">
        <f aca="false">ROUND(8134*1.05,2)</f>
        <v>8540.7</v>
      </c>
      <c r="F178" s="5" t="s">
        <v>40</v>
      </c>
      <c r="G178" s="5" t="s">
        <v>24</v>
      </c>
      <c r="H178" s="5" t="n">
        <f aca="true">ROUND(RAND()*4+6,1)</f>
        <v>8.6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986</v>
      </c>
      <c r="B179" s="6" t="s">
        <v>306</v>
      </c>
      <c r="C179" s="6" t="s">
        <v>15</v>
      </c>
      <c r="D179" s="6" t="s">
        <v>44</v>
      </c>
      <c r="E179" s="6" t="n">
        <f aca="false">ROUND(16081*1.05,2)</f>
        <v>16885.05</v>
      </c>
      <c r="F179" s="6" t="s">
        <v>45</v>
      </c>
      <c r="G179" s="6" t="s">
        <v>30</v>
      </c>
      <c r="H179" s="6" t="n">
        <f aca="true">ROUND(RAND()*4+6,1)</f>
        <v>8.5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987</v>
      </c>
      <c r="B180" s="5" t="s">
        <v>308</v>
      </c>
      <c r="C180" s="5" t="s">
        <v>15</v>
      </c>
      <c r="D180" s="5" t="s">
        <v>16</v>
      </c>
      <c r="E180" s="5" t="n">
        <f aca="false">ROUND(7026*1.05,2)</f>
        <v>7377.3</v>
      </c>
      <c r="F180" s="5" t="s">
        <v>49</v>
      </c>
      <c r="G180" s="5" t="s">
        <v>18</v>
      </c>
      <c r="H180" s="5" t="n">
        <f aca="true">ROUND(RAND()*4+6,1)</f>
        <v>8.7</v>
      </c>
      <c r="I180" s="5" t="s">
        <v>19</v>
      </c>
      <c r="J180" s="5" t="str">
        <f aca="false">ROUND(62*1,0)&amp;"%"</f>
        <v>62%</v>
      </c>
    </row>
    <row r="181" customFormat="false" ht="15" hidden="false" customHeight="false" outlineLevel="0" collapsed="false">
      <c r="A181" s="6" t="s">
        <v>988</v>
      </c>
      <c r="B181" s="6" t="s">
        <v>310</v>
      </c>
      <c r="C181" s="6" t="s">
        <v>15</v>
      </c>
      <c r="D181" s="6" t="s">
        <v>22</v>
      </c>
      <c r="E181" s="6" t="n">
        <f aca="false">ROUND(6389*1.05,2)</f>
        <v>6708.45</v>
      </c>
      <c r="F181" s="6" t="s">
        <v>52</v>
      </c>
      <c r="G181" s="6" t="s">
        <v>24</v>
      </c>
      <c r="H181" s="6" t="n">
        <f aca="true">ROUND(RAND()*4+6,1)</f>
        <v>9.9</v>
      </c>
      <c r="I181" s="6" t="s">
        <v>25</v>
      </c>
      <c r="J181" s="6" t="str">
        <f aca="false">ROUND(69*1,0)&amp;"%"</f>
        <v>69%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989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990</v>
      </c>
      <c r="B186" s="5" t="s">
        <v>314</v>
      </c>
      <c r="C186" s="5" t="s">
        <v>57</v>
      </c>
      <c r="D186" s="5" t="s">
        <v>16</v>
      </c>
      <c r="E186" s="5" t="n">
        <f aca="false">ROUND(6123*1.05,2)</f>
        <v>6429.15</v>
      </c>
      <c r="F186" s="5" t="s">
        <v>17</v>
      </c>
      <c r="G186" s="5" t="s">
        <v>18</v>
      </c>
      <c r="H186" s="5" t="n">
        <f aca="true">ROUND(RAND()*4+6,1)</f>
        <v>6.3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991</v>
      </c>
      <c r="B187" s="6" t="s">
        <v>316</v>
      </c>
      <c r="C187" s="6" t="s">
        <v>57</v>
      </c>
      <c r="D187" s="6" t="s">
        <v>22</v>
      </c>
      <c r="E187" s="6" t="n">
        <f aca="false">ROUND(15719*1.05,2)</f>
        <v>16504.95</v>
      </c>
      <c r="F187" s="6" t="s">
        <v>23</v>
      </c>
      <c r="G187" s="6" t="s">
        <v>24</v>
      </c>
      <c r="H187" s="6" t="n">
        <f aca="true">ROUND(RAND()*4+6,1)</f>
        <v>8.8</v>
      </c>
      <c r="I187" s="6" t="s">
        <v>25</v>
      </c>
      <c r="J187" s="6" t="str">
        <f aca="false">ROUND(97*1,0)&amp;"%"</f>
        <v>97%</v>
      </c>
    </row>
    <row r="188" customFormat="false" ht="15" hidden="false" customHeight="false" outlineLevel="0" collapsed="false">
      <c r="A188" s="5" t="s">
        <v>992</v>
      </c>
      <c r="B188" s="5" t="s">
        <v>318</v>
      </c>
      <c r="C188" s="5" t="s">
        <v>57</v>
      </c>
      <c r="D188" s="5" t="s">
        <v>28</v>
      </c>
      <c r="E188" s="5" t="n">
        <f aca="false">ROUND(8195*1.05,2)</f>
        <v>8604.75</v>
      </c>
      <c r="F188" s="5" t="s">
        <v>29</v>
      </c>
      <c r="G188" s="5" t="s">
        <v>30</v>
      </c>
      <c r="H188" s="5" t="n">
        <f aca="true">ROUND(RAND()*4+6,1)</f>
        <v>6.9</v>
      </c>
      <c r="I188" s="5" t="s">
        <v>31</v>
      </c>
      <c r="J188" s="5" t="str">
        <f aca="false">ROUND(64*1,0)&amp;"%"</f>
        <v>64%</v>
      </c>
    </row>
    <row r="189" customFormat="false" ht="15" hidden="false" customHeight="false" outlineLevel="0" collapsed="false">
      <c r="A189" s="6" t="s">
        <v>993</v>
      </c>
      <c r="B189" s="6" t="s">
        <v>320</v>
      </c>
      <c r="C189" s="6" t="s">
        <v>57</v>
      </c>
      <c r="D189" s="6" t="s">
        <v>34</v>
      </c>
      <c r="E189" s="6" t="n">
        <f aca="false">ROUND(15455*1.05,2)</f>
        <v>16227.75</v>
      </c>
      <c r="F189" s="6" t="s">
        <v>35</v>
      </c>
      <c r="G189" s="6" t="s">
        <v>18</v>
      </c>
      <c r="H189" s="6" t="n">
        <f aca="true">ROUND(RAND()*4+6,1)</f>
        <v>6.8</v>
      </c>
      <c r="I189" s="6" t="s">
        <v>36</v>
      </c>
      <c r="J189" s="6" t="str">
        <f aca="false">ROUND(83*1,0)&amp;"%"</f>
        <v>83%</v>
      </c>
    </row>
    <row r="190" customFormat="false" ht="15" hidden="false" customHeight="false" outlineLevel="0" collapsed="false">
      <c r="A190" s="5" t="s">
        <v>994</v>
      </c>
      <c r="B190" s="5" t="s">
        <v>322</v>
      </c>
      <c r="C190" s="5" t="s">
        <v>57</v>
      </c>
      <c r="D190" s="5" t="s">
        <v>39</v>
      </c>
      <c r="E190" s="5" t="n">
        <f aca="false">ROUND(10300*1.05,2)</f>
        <v>10815</v>
      </c>
      <c r="F190" s="5" t="s">
        <v>40</v>
      </c>
      <c r="G190" s="5" t="s">
        <v>24</v>
      </c>
      <c r="H190" s="5" t="n">
        <f aca="true">ROUND(RAND()*4+6,1)</f>
        <v>7.1</v>
      </c>
      <c r="I190" s="5" t="s">
        <v>41</v>
      </c>
      <c r="J190" s="5" t="str">
        <f aca="false">ROUND(98*1,0)&amp;"%"</f>
        <v>98%</v>
      </c>
    </row>
    <row r="191" customFormat="false" ht="15" hidden="false" customHeight="false" outlineLevel="0" collapsed="false">
      <c r="A191" s="6" t="s">
        <v>995</v>
      </c>
      <c r="B191" s="6" t="s">
        <v>324</v>
      </c>
      <c r="C191" s="6" t="s">
        <v>57</v>
      </c>
      <c r="D191" s="6" t="s">
        <v>44</v>
      </c>
      <c r="E191" s="6" t="n">
        <f aca="false">ROUND(5050*1.05,2)</f>
        <v>5302.5</v>
      </c>
      <c r="F191" s="6" t="s">
        <v>45</v>
      </c>
      <c r="G191" s="6" t="s">
        <v>30</v>
      </c>
      <c r="H191" s="6" t="n">
        <f aca="true">ROUND(RAND()*4+6,1)</f>
        <v>8.1</v>
      </c>
      <c r="I191" s="6" t="s">
        <v>46</v>
      </c>
      <c r="J191" s="6" t="str">
        <f aca="false">ROUND(80*1,0)&amp;"%"</f>
        <v>80%</v>
      </c>
    </row>
    <row r="192" customFormat="false" ht="15" hidden="false" customHeight="false" outlineLevel="0" collapsed="false">
      <c r="A192" s="5" t="s">
        <v>996</v>
      </c>
      <c r="B192" s="5" t="s">
        <v>326</v>
      </c>
      <c r="C192" s="5" t="s">
        <v>57</v>
      </c>
      <c r="D192" s="5" t="s">
        <v>16</v>
      </c>
      <c r="E192" s="5" t="n">
        <f aca="false">ROUND(12911*1.05,2)</f>
        <v>13556.55</v>
      </c>
      <c r="F192" s="5" t="s">
        <v>49</v>
      </c>
      <c r="G192" s="5" t="s">
        <v>18</v>
      </c>
      <c r="H192" s="5" t="n">
        <f aca="true">ROUND(RAND()*4+6,1)</f>
        <v>9.6</v>
      </c>
      <c r="I192" s="5" t="s">
        <v>19</v>
      </c>
      <c r="J192" s="5" t="str">
        <f aca="false">ROUND(71*1,0)&amp;"%"</f>
        <v>71%</v>
      </c>
    </row>
    <row r="193" customFormat="false" ht="15" hidden="false" customHeight="false" outlineLevel="0" collapsed="false">
      <c r="A193" s="6" t="s">
        <v>997</v>
      </c>
      <c r="B193" s="6" t="s">
        <v>328</v>
      </c>
      <c r="C193" s="6" t="s">
        <v>57</v>
      </c>
      <c r="D193" s="6" t="s">
        <v>22</v>
      </c>
      <c r="E193" s="6" t="n">
        <f aca="false">ROUND(8105*1.05,2)</f>
        <v>8510.25</v>
      </c>
      <c r="F193" s="6" t="s">
        <v>52</v>
      </c>
      <c r="G193" s="6" t="s">
        <v>24</v>
      </c>
      <c r="H193" s="6" t="n">
        <f aca="true">ROUND(RAND()*4+6,1)</f>
        <v>7.6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998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999</v>
      </c>
      <c r="B198" s="5" t="s">
        <v>332</v>
      </c>
      <c r="C198" s="5" t="s">
        <v>76</v>
      </c>
      <c r="D198" s="5" t="s">
        <v>16</v>
      </c>
      <c r="E198" s="5" t="n">
        <f aca="false">ROUND(9502*1.05,2)</f>
        <v>9977.1</v>
      </c>
      <c r="F198" s="5" t="s">
        <v>17</v>
      </c>
      <c r="G198" s="5" t="s">
        <v>18</v>
      </c>
      <c r="H198" s="5" t="n">
        <f aca="true">ROUND(RAND()*4+6,1)</f>
        <v>6.4</v>
      </c>
      <c r="I198" s="5" t="s">
        <v>19</v>
      </c>
      <c r="J198" s="5" t="str">
        <f aca="false">ROUND(78*1,0)&amp;"%"</f>
        <v>78%</v>
      </c>
    </row>
    <row r="199" customFormat="false" ht="15" hidden="false" customHeight="false" outlineLevel="0" collapsed="false">
      <c r="A199" s="6" t="s">
        <v>1000</v>
      </c>
      <c r="B199" s="6" t="s">
        <v>334</v>
      </c>
      <c r="C199" s="6" t="s">
        <v>76</v>
      </c>
      <c r="D199" s="6" t="s">
        <v>22</v>
      </c>
      <c r="E199" s="6" t="n">
        <f aca="false">ROUND(17751*1.05,2)</f>
        <v>18638.55</v>
      </c>
      <c r="F199" s="6" t="s">
        <v>23</v>
      </c>
      <c r="G199" s="6" t="s">
        <v>24</v>
      </c>
      <c r="H199" s="6" t="n">
        <f aca="true">ROUND(RAND()*4+6,1)</f>
        <v>7.6</v>
      </c>
      <c r="I199" s="6" t="s">
        <v>25</v>
      </c>
      <c r="J199" s="6" t="str">
        <f aca="false">ROUND(77*1,0)&amp;"%"</f>
        <v>77%</v>
      </c>
    </row>
    <row r="200" customFormat="false" ht="15" hidden="false" customHeight="false" outlineLevel="0" collapsed="false">
      <c r="A200" s="5" t="s">
        <v>1001</v>
      </c>
      <c r="B200" s="5" t="s">
        <v>336</v>
      </c>
      <c r="C200" s="5" t="s">
        <v>76</v>
      </c>
      <c r="D200" s="5" t="s">
        <v>28</v>
      </c>
      <c r="E200" s="5" t="n">
        <f aca="false">ROUND(11978*1.05,2)</f>
        <v>12576.9</v>
      </c>
      <c r="F200" s="5" t="s">
        <v>29</v>
      </c>
      <c r="G200" s="5" t="s">
        <v>30</v>
      </c>
      <c r="H200" s="5" t="n">
        <f aca="true">ROUND(RAND()*4+6,1)</f>
        <v>6.6</v>
      </c>
      <c r="I200" s="5" t="s">
        <v>31</v>
      </c>
      <c r="J200" s="5" t="str">
        <f aca="false">ROUND(67*1,0)&amp;"%"</f>
        <v>67%</v>
      </c>
    </row>
    <row r="201" customFormat="false" ht="15" hidden="false" customHeight="false" outlineLevel="0" collapsed="false">
      <c r="A201" s="6" t="s">
        <v>1002</v>
      </c>
      <c r="B201" s="6" t="s">
        <v>338</v>
      </c>
      <c r="C201" s="6" t="s">
        <v>76</v>
      </c>
      <c r="D201" s="6" t="s">
        <v>34</v>
      </c>
      <c r="E201" s="6" t="n">
        <f aca="false">ROUND(11364*1.05,2)</f>
        <v>11932.2</v>
      </c>
      <c r="F201" s="6" t="s">
        <v>35</v>
      </c>
      <c r="G201" s="6" t="s">
        <v>18</v>
      </c>
      <c r="H201" s="6" t="n">
        <f aca="true">ROUND(RAND()*4+6,1)</f>
        <v>9.5</v>
      </c>
      <c r="I201" s="6" t="s">
        <v>36</v>
      </c>
      <c r="J201" s="6" t="str">
        <f aca="false">ROUND(90*1,0)&amp;"%"</f>
        <v>90%</v>
      </c>
    </row>
    <row r="202" customFormat="false" ht="15" hidden="false" customHeight="false" outlineLevel="0" collapsed="false">
      <c r="A202" s="5" t="s">
        <v>1003</v>
      </c>
      <c r="B202" s="5" t="s">
        <v>340</v>
      </c>
      <c r="C202" s="5" t="s">
        <v>76</v>
      </c>
      <c r="D202" s="5" t="s">
        <v>39</v>
      </c>
      <c r="E202" s="5" t="n">
        <f aca="false">ROUND(9614*1.05,2)</f>
        <v>10094.7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ROUND(96*1,0)&amp;"%"</f>
        <v>96%</v>
      </c>
    </row>
    <row r="203" customFormat="false" ht="15" hidden="false" customHeight="false" outlineLevel="0" collapsed="false">
      <c r="A203" s="6" t="s">
        <v>1004</v>
      </c>
      <c r="B203" s="6" t="s">
        <v>342</v>
      </c>
      <c r="C203" s="6" t="s">
        <v>76</v>
      </c>
      <c r="D203" s="6" t="s">
        <v>44</v>
      </c>
      <c r="E203" s="6" t="n">
        <f aca="false">ROUND(12569*1.05,2)</f>
        <v>13197.45</v>
      </c>
      <c r="F203" s="6" t="s">
        <v>45</v>
      </c>
      <c r="G203" s="6" t="s">
        <v>30</v>
      </c>
      <c r="H203" s="6" t="n">
        <f aca="true">ROUND(RAND()*4+6,1)</f>
        <v>7.8</v>
      </c>
      <c r="I203" s="6" t="s">
        <v>46</v>
      </c>
      <c r="J203" s="6" t="str">
        <f aca="false">ROUND(85*1,0)&amp;"%"</f>
        <v>85%</v>
      </c>
    </row>
    <row r="204" customFormat="false" ht="15" hidden="false" customHeight="false" outlineLevel="0" collapsed="false">
      <c r="A204" s="5" t="s">
        <v>1005</v>
      </c>
      <c r="B204" s="5" t="s">
        <v>344</v>
      </c>
      <c r="C204" s="5" t="s">
        <v>76</v>
      </c>
      <c r="D204" s="5" t="s">
        <v>16</v>
      </c>
      <c r="E204" s="5" t="n">
        <f aca="false">ROUND(4106*1.05,2)</f>
        <v>4311.3</v>
      </c>
      <c r="F204" s="5" t="s">
        <v>49</v>
      </c>
      <c r="G204" s="5" t="s">
        <v>18</v>
      </c>
      <c r="H204" s="5" t="n">
        <f aca="true">ROUND(RAND()*4+6,1)</f>
        <v>6.8</v>
      </c>
      <c r="I204" s="5" t="s">
        <v>19</v>
      </c>
      <c r="J204" s="5" t="str">
        <f aca="false">ROUND(76*1,0)&amp;"%"</f>
        <v>76%</v>
      </c>
    </row>
    <row r="205" customFormat="false" ht="15" hidden="false" customHeight="false" outlineLevel="0" collapsed="false">
      <c r="A205" s="6" t="s">
        <v>1006</v>
      </c>
      <c r="B205" s="6" t="s">
        <v>346</v>
      </c>
      <c r="C205" s="6" t="s">
        <v>76</v>
      </c>
      <c r="D205" s="6" t="s">
        <v>22</v>
      </c>
      <c r="E205" s="6" t="n">
        <f aca="false">ROUND(17600*1.05,2)</f>
        <v>18480</v>
      </c>
      <c r="F205" s="6" t="s">
        <v>52</v>
      </c>
      <c r="G205" s="6" t="s">
        <v>24</v>
      </c>
      <c r="H205" s="6" t="n">
        <f aca="true">ROUND(RAND()*4+6,1)</f>
        <v>9.5</v>
      </c>
      <c r="I205" s="6" t="s">
        <v>25</v>
      </c>
      <c r="J205" s="6" t="str">
        <f aca="false">ROUND(85*1,0)&amp;"%"</f>
        <v>85%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1007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1008</v>
      </c>
      <c r="B210" s="5" t="s">
        <v>350</v>
      </c>
      <c r="C210" s="5" t="s">
        <v>95</v>
      </c>
      <c r="D210" s="5" t="s">
        <v>16</v>
      </c>
      <c r="E210" s="5" t="n">
        <f aca="false">ROUND(10274*1.05,2)</f>
        <v>10787.7</v>
      </c>
      <c r="F210" s="5" t="s">
        <v>17</v>
      </c>
      <c r="G210" s="5" t="s">
        <v>18</v>
      </c>
      <c r="H210" s="5" t="n">
        <f aca="true">ROUND(RAND()*4+6,1)</f>
        <v>6</v>
      </c>
      <c r="I210" s="5" t="s">
        <v>19</v>
      </c>
      <c r="J210" s="5" t="str">
        <f aca="false">ROUND(72*1,0)&amp;"%"</f>
        <v>72%</v>
      </c>
    </row>
    <row r="211" customFormat="false" ht="15" hidden="false" customHeight="false" outlineLevel="0" collapsed="false">
      <c r="A211" s="6" t="s">
        <v>1009</v>
      </c>
      <c r="B211" s="6" t="s">
        <v>352</v>
      </c>
      <c r="C211" s="6" t="s">
        <v>95</v>
      </c>
      <c r="D211" s="6" t="s">
        <v>22</v>
      </c>
      <c r="E211" s="6" t="n">
        <f aca="false">ROUND(9583*1.05,2)</f>
        <v>10062.15</v>
      </c>
      <c r="F211" s="6" t="s">
        <v>23</v>
      </c>
      <c r="G211" s="6" t="s">
        <v>24</v>
      </c>
      <c r="H211" s="6" t="n">
        <f aca="true">ROUND(RAND()*4+6,1)</f>
        <v>6.2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1010</v>
      </c>
      <c r="B212" s="5" t="s">
        <v>354</v>
      </c>
      <c r="C212" s="5" t="s">
        <v>95</v>
      </c>
      <c r="D212" s="5" t="s">
        <v>28</v>
      </c>
      <c r="E212" s="5" t="n">
        <f aca="false">ROUND(6478*1.05,2)</f>
        <v>6801.9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ROUND(81*1,0)&amp;"%"</f>
        <v>81%</v>
      </c>
    </row>
    <row r="213" customFormat="false" ht="15" hidden="false" customHeight="false" outlineLevel="0" collapsed="false">
      <c r="A213" s="6" t="s">
        <v>1011</v>
      </c>
      <c r="B213" s="6" t="s">
        <v>356</v>
      </c>
      <c r="C213" s="6" t="s">
        <v>95</v>
      </c>
      <c r="D213" s="6" t="s">
        <v>34</v>
      </c>
      <c r="E213" s="6" t="n">
        <f aca="false">ROUND(13112*1.05,2)</f>
        <v>13767.6</v>
      </c>
      <c r="F213" s="6" t="s">
        <v>35</v>
      </c>
      <c r="G213" s="6" t="s">
        <v>18</v>
      </c>
      <c r="H213" s="6" t="n">
        <f aca="true">ROUND(RAND()*4+6,1)</f>
        <v>8.8</v>
      </c>
      <c r="I213" s="6" t="s">
        <v>36</v>
      </c>
      <c r="J213" s="6" t="str">
        <f aca="false">ROUND(76*1,0)&amp;"%"</f>
        <v>76%</v>
      </c>
    </row>
    <row r="214" customFormat="false" ht="15" hidden="false" customHeight="false" outlineLevel="0" collapsed="false">
      <c r="A214" s="5" t="s">
        <v>1012</v>
      </c>
      <c r="B214" s="5" t="s">
        <v>358</v>
      </c>
      <c r="C214" s="5" t="s">
        <v>95</v>
      </c>
      <c r="D214" s="5" t="s">
        <v>39</v>
      </c>
      <c r="E214" s="5" t="n">
        <f aca="false">ROUND(5534*1.05,2)</f>
        <v>5810.7</v>
      </c>
      <c r="F214" s="5" t="s">
        <v>40</v>
      </c>
      <c r="G214" s="5" t="s">
        <v>24</v>
      </c>
      <c r="H214" s="5" t="n">
        <f aca="true">ROUND(RAND()*4+6,1)</f>
        <v>6.4</v>
      </c>
      <c r="I214" s="5" t="s">
        <v>41</v>
      </c>
      <c r="J214" s="5" t="str">
        <f aca="false">ROUND(89*1,0)&amp;"%"</f>
        <v>89%</v>
      </c>
    </row>
    <row r="215" customFormat="false" ht="15" hidden="false" customHeight="false" outlineLevel="0" collapsed="false">
      <c r="A215" s="6" t="s">
        <v>1013</v>
      </c>
      <c r="B215" s="6" t="s">
        <v>360</v>
      </c>
      <c r="C215" s="6" t="s">
        <v>95</v>
      </c>
      <c r="D215" s="6" t="s">
        <v>44</v>
      </c>
      <c r="E215" s="6" t="n">
        <f aca="false">ROUND(8604*1.05,2)</f>
        <v>9034.2</v>
      </c>
      <c r="F215" s="6" t="s">
        <v>45</v>
      </c>
      <c r="G215" s="6" t="s">
        <v>30</v>
      </c>
      <c r="H215" s="6" t="n">
        <f aca="true">ROUND(RAND()*4+6,1)</f>
        <v>8.1</v>
      </c>
      <c r="I215" s="6" t="s">
        <v>46</v>
      </c>
      <c r="J215" s="6" t="str">
        <f aca="false">ROUND(81*1,0)&amp;"%"</f>
        <v>81%</v>
      </c>
    </row>
    <row r="216" customFormat="false" ht="15" hidden="false" customHeight="false" outlineLevel="0" collapsed="false">
      <c r="A216" s="5" t="s">
        <v>1014</v>
      </c>
      <c r="B216" s="5" t="s">
        <v>362</v>
      </c>
      <c r="C216" s="5" t="s">
        <v>95</v>
      </c>
      <c r="D216" s="5" t="s">
        <v>16</v>
      </c>
      <c r="E216" s="5" t="n">
        <f aca="false">ROUND(12875*1.05,2)</f>
        <v>13518.75</v>
      </c>
      <c r="F216" s="5" t="s">
        <v>49</v>
      </c>
      <c r="G216" s="5" t="s">
        <v>18</v>
      </c>
      <c r="H216" s="5" t="n">
        <f aca="true">ROUND(RAND()*4+6,1)</f>
        <v>6.1</v>
      </c>
      <c r="I216" s="5" t="s">
        <v>19</v>
      </c>
      <c r="J216" s="5" t="str">
        <f aca="false">ROUND(80*1,0)&amp;"%"</f>
        <v>80%</v>
      </c>
    </row>
    <row r="217" customFormat="false" ht="15" hidden="false" customHeight="false" outlineLevel="0" collapsed="false">
      <c r="A217" s="6" t="s">
        <v>1015</v>
      </c>
      <c r="B217" s="6" t="s">
        <v>364</v>
      </c>
      <c r="C217" s="6" t="s">
        <v>95</v>
      </c>
      <c r="D217" s="6" t="s">
        <v>22</v>
      </c>
      <c r="E217" s="6" t="n">
        <f aca="false">ROUND(13310*1.05,2)</f>
        <v>13975.5</v>
      </c>
      <c r="F217" s="6" t="s">
        <v>52</v>
      </c>
      <c r="G217" s="6" t="s">
        <v>24</v>
      </c>
      <c r="H217" s="6" t="n">
        <f aca="true">ROUND(RAND()*4+6,1)</f>
        <v>7.5</v>
      </c>
      <c r="I217" s="6" t="s">
        <v>25</v>
      </c>
      <c r="J217" s="6" t="str">
        <f aca="false">ROUND(60*1,0)&amp;"%"</f>
        <v>60%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1016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1017</v>
      </c>
      <c r="B222" s="5" t="s">
        <v>368</v>
      </c>
      <c r="C222" s="5" t="s">
        <v>114</v>
      </c>
      <c r="D222" s="5" t="s">
        <v>16</v>
      </c>
      <c r="E222" s="5" t="n">
        <f aca="false">ROUND(9005*1.05,2)</f>
        <v>9455.25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ROUND(65*1,0)&amp;"%"</f>
        <v>65%</v>
      </c>
    </row>
    <row r="223" customFormat="false" ht="15" hidden="false" customHeight="false" outlineLevel="0" collapsed="false">
      <c r="A223" s="6" t="s">
        <v>1018</v>
      </c>
      <c r="B223" s="6" t="s">
        <v>370</v>
      </c>
      <c r="C223" s="6" t="s">
        <v>114</v>
      </c>
      <c r="D223" s="6" t="s">
        <v>22</v>
      </c>
      <c r="E223" s="6" t="n">
        <f aca="false">ROUND(7239*1.05,2)</f>
        <v>7600.95</v>
      </c>
      <c r="F223" s="6" t="s">
        <v>23</v>
      </c>
      <c r="G223" s="6" t="s">
        <v>24</v>
      </c>
      <c r="H223" s="6" t="n">
        <f aca="true">ROUND(RAND()*4+6,1)</f>
        <v>6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1019</v>
      </c>
      <c r="B224" s="5" t="s">
        <v>372</v>
      </c>
      <c r="C224" s="5" t="s">
        <v>114</v>
      </c>
      <c r="D224" s="5" t="s">
        <v>28</v>
      </c>
      <c r="E224" s="5" t="n">
        <f aca="false">ROUND(7276*1.05,2)</f>
        <v>7639.8</v>
      </c>
      <c r="F224" s="5" t="s">
        <v>29</v>
      </c>
      <c r="G224" s="5" t="s">
        <v>30</v>
      </c>
      <c r="H224" s="5" t="n">
        <f aca="true">ROUND(RAND()*4+6,1)</f>
        <v>8.1</v>
      </c>
      <c r="I224" s="5" t="s">
        <v>31</v>
      </c>
      <c r="J224" s="5" t="str">
        <f aca="false">ROUND(73*1,0)&amp;"%"</f>
        <v>73%</v>
      </c>
    </row>
    <row r="225" customFormat="false" ht="15" hidden="false" customHeight="false" outlineLevel="0" collapsed="false">
      <c r="A225" s="6" t="s">
        <v>1020</v>
      </c>
      <c r="B225" s="6" t="s">
        <v>374</v>
      </c>
      <c r="C225" s="6" t="s">
        <v>114</v>
      </c>
      <c r="D225" s="6" t="s">
        <v>34</v>
      </c>
      <c r="E225" s="6" t="n">
        <f aca="false">ROUND(7633*1.05,2)</f>
        <v>8014.65</v>
      </c>
      <c r="F225" s="6" t="s">
        <v>35</v>
      </c>
      <c r="G225" s="6" t="s">
        <v>18</v>
      </c>
      <c r="H225" s="6" t="n">
        <f aca="true">ROUND(RAND()*4+6,1)</f>
        <v>9.2</v>
      </c>
      <c r="I225" s="6" t="s">
        <v>36</v>
      </c>
      <c r="J225" s="6" t="str">
        <f aca="false">ROUND(90*1,0)&amp;"%"</f>
        <v>90%</v>
      </c>
    </row>
    <row r="226" customFormat="false" ht="15" hidden="false" customHeight="false" outlineLevel="0" collapsed="false">
      <c r="A226" s="5" t="s">
        <v>1021</v>
      </c>
      <c r="B226" s="5" t="s">
        <v>376</v>
      </c>
      <c r="C226" s="5" t="s">
        <v>114</v>
      </c>
      <c r="D226" s="5" t="s">
        <v>39</v>
      </c>
      <c r="E226" s="5" t="n">
        <f aca="false">ROUND(9091*1.05,2)</f>
        <v>9545.55</v>
      </c>
      <c r="F226" s="5" t="s">
        <v>40</v>
      </c>
      <c r="G226" s="5" t="s">
        <v>24</v>
      </c>
      <c r="H226" s="5" t="n">
        <f aca="true">ROUND(RAND()*4+6,1)</f>
        <v>9.1</v>
      </c>
      <c r="I226" s="5" t="s">
        <v>41</v>
      </c>
      <c r="J226" s="5" t="str">
        <f aca="false">ROUND(86*1,0)&amp;"%"</f>
        <v>86%</v>
      </c>
    </row>
    <row r="227" customFormat="false" ht="15" hidden="false" customHeight="false" outlineLevel="0" collapsed="false">
      <c r="A227" s="6" t="s">
        <v>1022</v>
      </c>
      <c r="B227" s="6" t="s">
        <v>378</v>
      </c>
      <c r="C227" s="6" t="s">
        <v>114</v>
      </c>
      <c r="D227" s="6" t="s">
        <v>44</v>
      </c>
      <c r="E227" s="6" t="n">
        <f aca="false">ROUND(16282*1.05,2)</f>
        <v>17096.1</v>
      </c>
      <c r="F227" s="6" t="s">
        <v>45</v>
      </c>
      <c r="G227" s="6" t="s">
        <v>30</v>
      </c>
      <c r="H227" s="6" t="n">
        <f aca="true">ROUND(RAND()*4+6,1)</f>
        <v>7.5</v>
      </c>
      <c r="I227" s="6" t="s">
        <v>46</v>
      </c>
      <c r="J227" s="6" t="str">
        <f aca="false">ROUND(66*1,0)&amp;"%"</f>
        <v>66%</v>
      </c>
    </row>
    <row r="228" customFormat="false" ht="15" hidden="false" customHeight="false" outlineLevel="0" collapsed="false">
      <c r="A228" s="5" t="s">
        <v>1023</v>
      </c>
      <c r="B228" s="5" t="s">
        <v>380</v>
      </c>
      <c r="C228" s="5" t="s">
        <v>114</v>
      </c>
      <c r="D228" s="5" t="s">
        <v>16</v>
      </c>
      <c r="E228" s="5" t="n">
        <f aca="false">ROUND(12111*1.05,2)</f>
        <v>12716.55</v>
      </c>
      <c r="F228" s="5" t="s">
        <v>49</v>
      </c>
      <c r="G228" s="5" t="s">
        <v>18</v>
      </c>
      <c r="H228" s="5" t="n">
        <f aca="true">ROUND(RAND()*4+6,1)</f>
        <v>7.7</v>
      </c>
      <c r="I228" s="5" t="s">
        <v>19</v>
      </c>
      <c r="J228" s="5" t="str">
        <f aca="false">ROUND(60*1,0)&amp;"%"</f>
        <v>60%</v>
      </c>
    </row>
    <row r="229" customFormat="false" ht="15" hidden="false" customHeight="false" outlineLevel="0" collapsed="false">
      <c r="A229" s="6" t="s">
        <v>1024</v>
      </c>
      <c r="B229" s="6" t="s">
        <v>382</v>
      </c>
      <c r="C229" s="6" t="s">
        <v>114</v>
      </c>
      <c r="D229" s="6" t="s">
        <v>22</v>
      </c>
      <c r="E229" s="6" t="n">
        <f aca="false">ROUND(14851*1.05,2)</f>
        <v>15593.55</v>
      </c>
      <c r="F229" s="6" t="s">
        <v>52</v>
      </c>
      <c r="G229" s="6" t="s">
        <v>24</v>
      </c>
      <c r="H229" s="6" t="n">
        <f aca="true">ROUND(RAND()*4+6,1)</f>
        <v>9.1</v>
      </c>
      <c r="I229" s="6" t="s">
        <v>25</v>
      </c>
      <c r="J229" s="6" t="str">
        <f aca="false">ROUND(97*1,0)&amp;"%"</f>
        <v>97%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1025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1026</v>
      </c>
      <c r="B234" s="5" t="s">
        <v>386</v>
      </c>
      <c r="C234" s="5" t="s">
        <v>133</v>
      </c>
      <c r="D234" s="5" t="s">
        <v>16</v>
      </c>
      <c r="E234" s="5" t="n">
        <f aca="false">ROUND(8822*1.05,2)</f>
        <v>9263.1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ROUND(83*1,0)&amp;"%"</f>
        <v>83%</v>
      </c>
    </row>
    <row r="235" customFormat="false" ht="15" hidden="false" customHeight="false" outlineLevel="0" collapsed="false">
      <c r="A235" s="6" t="s">
        <v>1027</v>
      </c>
      <c r="B235" s="6" t="s">
        <v>388</v>
      </c>
      <c r="C235" s="6" t="s">
        <v>133</v>
      </c>
      <c r="D235" s="6" t="s">
        <v>22</v>
      </c>
      <c r="E235" s="6" t="n">
        <f aca="false">ROUND(13331*1.05,2)</f>
        <v>13997.55</v>
      </c>
      <c r="F235" s="6" t="s">
        <v>23</v>
      </c>
      <c r="G235" s="6" t="s">
        <v>24</v>
      </c>
      <c r="H235" s="6" t="n">
        <f aca="true">ROUND(RAND()*4+6,1)</f>
        <v>9.1</v>
      </c>
      <c r="I235" s="6" t="s">
        <v>25</v>
      </c>
      <c r="J235" s="6" t="str">
        <f aca="false">ROUND(66*1,0)&amp;"%"</f>
        <v>66%</v>
      </c>
    </row>
    <row r="236" customFormat="false" ht="15" hidden="false" customHeight="false" outlineLevel="0" collapsed="false">
      <c r="A236" s="5" t="s">
        <v>1028</v>
      </c>
      <c r="B236" s="5" t="s">
        <v>390</v>
      </c>
      <c r="C236" s="5" t="s">
        <v>133</v>
      </c>
      <c r="D236" s="5" t="s">
        <v>28</v>
      </c>
      <c r="E236" s="5" t="n">
        <f aca="false">ROUND(16139*1.05,2)</f>
        <v>16945.95</v>
      </c>
      <c r="F236" s="5" t="s">
        <v>29</v>
      </c>
      <c r="G236" s="5" t="s">
        <v>30</v>
      </c>
      <c r="H236" s="5" t="n">
        <f aca="true">ROUND(RAND()*4+6,1)</f>
        <v>10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1029</v>
      </c>
      <c r="B237" s="6" t="s">
        <v>392</v>
      </c>
      <c r="C237" s="6" t="s">
        <v>133</v>
      </c>
      <c r="D237" s="6" t="s">
        <v>34</v>
      </c>
      <c r="E237" s="6" t="n">
        <f aca="false">ROUND(10699*1.05,2)</f>
        <v>11233.95</v>
      </c>
      <c r="F237" s="6" t="s">
        <v>35</v>
      </c>
      <c r="G237" s="6" t="s">
        <v>18</v>
      </c>
      <c r="H237" s="6" t="n">
        <f aca="true">ROUND(RAND()*4+6,1)</f>
        <v>9</v>
      </c>
      <c r="I237" s="6" t="s">
        <v>36</v>
      </c>
      <c r="J237" s="6" t="str">
        <f aca="false">ROUND(78*1,0)&amp;"%"</f>
        <v>78%</v>
      </c>
    </row>
    <row r="238" customFormat="false" ht="15" hidden="false" customHeight="false" outlineLevel="0" collapsed="false">
      <c r="A238" s="5" t="s">
        <v>1030</v>
      </c>
      <c r="B238" s="5" t="s">
        <v>394</v>
      </c>
      <c r="C238" s="5" t="s">
        <v>133</v>
      </c>
      <c r="D238" s="5" t="s">
        <v>39</v>
      </c>
      <c r="E238" s="5" t="n">
        <f aca="false">ROUND(17969*1.05,2)</f>
        <v>18867.45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ROUND(60*1,0)&amp;"%"</f>
        <v>60%</v>
      </c>
    </row>
    <row r="239" customFormat="false" ht="15" hidden="false" customHeight="false" outlineLevel="0" collapsed="false">
      <c r="A239" s="6" t="s">
        <v>1031</v>
      </c>
      <c r="B239" s="6" t="s">
        <v>396</v>
      </c>
      <c r="C239" s="6" t="s">
        <v>133</v>
      </c>
      <c r="D239" s="6" t="s">
        <v>44</v>
      </c>
      <c r="E239" s="6" t="n">
        <f aca="false">ROUND(15601*1.05,2)</f>
        <v>16381.05</v>
      </c>
      <c r="F239" s="6" t="s">
        <v>45</v>
      </c>
      <c r="G239" s="6" t="s">
        <v>30</v>
      </c>
      <c r="H239" s="6" t="n">
        <f aca="true">ROUND(RAND()*4+6,1)</f>
        <v>8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1032</v>
      </c>
      <c r="B240" s="5" t="s">
        <v>398</v>
      </c>
      <c r="C240" s="5" t="s">
        <v>133</v>
      </c>
      <c r="D240" s="5" t="s">
        <v>16</v>
      </c>
      <c r="E240" s="5" t="n">
        <f aca="false">ROUND(4495*1.05,2)</f>
        <v>4719.75</v>
      </c>
      <c r="F240" s="5" t="s">
        <v>49</v>
      </c>
      <c r="G240" s="5" t="s">
        <v>18</v>
      </c>
      <c r="H240" s="5" t="n">
        <f aca="true">ROUND(RAND()*4+6,1)</f>
        <v>9.8</v>
      </c>
      <c r="I240" s="5" t="s">
        <v>19</v>
      </c>
      <c r="J240" s="5" t="str">
        <f aca="false">ROUND(72*1,0)&amp;"%"</f>
        <v>72%</v>
      </c>
    </row>
    <row r="241" customFormat="false" ht="15" hidden="false" customHeight="false" outlineLevel="0" collapsed="false">
      <c r="A241" s="6" t="s">
        <v>1033</v>
      </c>
      <c r="B241" s="6" t="s">
        <v>400</v>
      </c>
      <c r="C241" s="6" t="s">
        <v>133</v>
      </c>
      <c r="D241" s="6" t="s">
        <v>22</v>
      </c>
      <c r="E241" s="6" t="n">
        <f aca="false">ROUND(5042*1.05,2)</f>
        <v>5294.1</v>
      </c>
      <c r="F241" s="6" t="s">
        <v>52</v>
      </c>
      <c r="G241" s="6" t="s">
        <v>24</v>
      </c>
      <c r="H241" s="6" t="n">
        <f aca="true">ROUND(RAND()*4+6,1)</f>
        <v>7.4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1034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1035</v>
      </c>
      <c r="B246" s="5" t="s">
        <v>404</v>
      </c>
      <c r="C246" s="5" t="s">
        <v>152</v>
      </c>
      <c r="D246" s="5" t="s">
        <v>16</v>
      </c>
      <c r="E246" s="5" t="n">
        <f aca="false">ROUND(9418*1.05,2)</f>
        <v>9888.9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ROUND(85*1,0)&amp;"%"</f>
        <v>85%</v>
      </c>
    </row>
    <row r="247" customFormat="false" ht="15" hidden="false" customHeight="false" outlineLevel="0" collapsed="false">
      <c r="A247" s="6" t="s">
        <v>1036</v>
      </c>
      <c r="B247" s="6" t="s">
        <v>406</v>
      </c>
      <c r="C247" s="6" t="s">
        <v>152</v>
      </c>
      <c r="D247" s="6" t="s">
        <v>22</v>
      </c>
      <c r="E247" s="6" t="n">
        <f aca="false">ROUND(4652*1.05,2)</f>
        <v>4884.6</v>
      </c>
      <c r="F247" s="6" t="s">
        <v>23</v>
      </c>
      <c r="G247" s="6" t="s">
        <v>24</v>
      </c>
      <c r="H247" s="6" t="n">
        <f aca="true">ROUND(RAND()*4+6,1)</f>
        <v>7.8</v>
      </c>
      <c r="I247" s="6" t="s">
        <v>25</v>
      </c>
      <c r="J247" s="6" t="str">
        <f aca="false">ROUND(65*1,0)&amp;"%"</f>
        <v>65%</v>
      </c>
    </row>
    <row r="248" customFormat="false" ht="15" hidden="false" customHeight="false" outlineLevel="0" collapsed="false">
      <c r="A248" s="5" t="s">
        <v>1037</v>
      </c>
      <c r="B248" s="5" t="s">
        <v>408</v>
      </c>
      <c r="C248" s="5" t="s">
        <v>152</v>
      </c>
      <c r="D248" s="5" t="s">
        <v>28</v>
      </c>
      <c r="E248" s="5" t="n">
        <f aca="false">ROUND(4400*1.05,2)</f>
        <v>4620</v>
      </c>
      <c r="F248" s="5" t="s">
        <v>29</v>
      </c>
      <c r="G248" s="5" t="s">
        <v>30</v>
      </c>
      <c r="H248" s="5" t="n">
        <f aca="true">ROUND(RAND()*4+6,1)</f>
        <v>8.2</v>
      </c>
      <c r="I248" s="5" t="s">
        <v>31</v>
      </c>
      <c r="J248" s="5" t="str">
        <f aca="false">ROUND(92*1,0)&amp;"%"</f>
        <v>92%</v>
      </c>
    </row>
    <row r="249" customFormat="false" ht="15" hidden="false" customHeight="false" outlineLevel="0" collapsed="false">
      <c r="A249" s="6" t="s">
        <v>1038</v>
      </c>
      <c r="B249" s="6" t="s">
        <v>410</v>
      </c>
      <c r="C249" s="6" t="s">
        <v>152</v>
      </c>
      <c r="D249" s="6" t="s">
        <v>34</v>
      </c>
      <c r="E249" s="6" t="n">
        <f aca="false">ROUND(7178*1.05,2)</f>
        <v>7536.9</v>
      </c>
      <c r="F249" s="6" t="s">
        <v>35</v>
      </c>
      <c r="G249" s="6" t="s">
        <v>18</v>
      </c>
      <c r="H249" s="6" t="n">
        <f aca="true">ROUND(RAND()*4+6,1)</f>
        <v>9.7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1039</v>
      </c>
      <c r="B250" s="5" t="s">
        <v>412</v>
      </c>
      <c r="C250" s="5" t="s">
        <v>152</v>
      </c>
      <c r="D250" s="5" t="s">
        <v>39</v>
      </c>
      <c r="E250" s="5" t="n">
        <f aca="false">ROUND(7496*1.05,2)</f>
        <v>7870.8</v>
      </c>
      <c r="F250" s="5" t="s">
        <v>40</v>
      </c>
      <c r="G250" s="5" t="s">
        <v>24</v>
      </c>
      <c r="H250" s="5" t="n">
        <f aca="true">ROUND(RAND()*4+6,1)</f>
        <v>6.4</v>
      </c>
      <c r="I250" s="5" t="s">
        <v>41</v>
      </c>
      <c r="J250" s="5" t="str">
        <f aca="false">ROUND(84*1,0)&amp;"%"</f>
        <v>84%</v>
      </c>
    </row>
    <row r="251" customFormat="false" ht="15" hidden="false" customHeight="false" outlineLevel="0" collapsed="false">
      <c r="A251" s="6" t="s">
        <v>1040</v>
      </c>
      <c r="B251" s="6" t="s">
        <v>414</v>
      </c>
      <c r="C251" s="6" t="s">
        <v>152</v>
      </c>
      <c r="D251" s="6" t="s">
        <v>44</v>
      </c>
      <c r="E251" s="6" t="n">
        <f aca="false">ROUND(10559*1.05,2)</f>
        <v>11086.95</v>
      </c>
      <c r="F251" s="6" t="s">
        <v>45</v>
      </c>
      <c r="G251" s="6" t="s">
        <v>30</v>
      </c>
      <c r="H251" s="6" t="n">
        <f aca="true">ROUND(RAND()*4+6,1)</f>
        <v>6.3</v>
      </c>
      <c r="I251" s="6" t="s">
        <v>46</v>
      </c>
      <c r="J251" s="6" t="str">
        <f aca="false">ROUND(76*1,0)&amp;"%"</f>
        <v>76%</v>
      </c>
    </row>
    <row r="252" customFormat="false" ht="15" hidden="false" customHeight="false" outlineLevel="0" collapsed="false">
      <c r="A252" s="5" t="s">
        <v>1041</v>
      </c>
      <c r="B252" s="5" t="s">
        <v>416</v>
      </c>
      <c r="C252" s="5" t="s">
        <v>152</v>
      </c>
      <c r="D252" s="5" t="s">
        <v>16</v>
      </c>
      <c r="E252" s="5" t="n">
        <f aca="false">ROUND(4702*1.05,2)</f>
        <v>4937.1</v>
      </c>
      <c r="F252" s="5" t="s">
        <v>49</v>
      </c>
      <c r="G252" s="5" t="s">
        <v>18</v>
      </c>
      <c r="H252" s="5" t="n">
        <f aca="true">ROUND(RAND()*4+6,1)</f>
        <v>7.6</v>
      </c>
      <c r="I252" s="5" t="s">
        <v>19</v>
      </c>
      <c r="J252" s="5" t="str">
        <f aca="false">ROUND(81*1,0)&amp;"%"</f>
        <v>81%</v>
      </c>
    </row>
    <row r="253" customFormat="false" ht="15" hidden="false" customHeight="false" outlineLevel="0" collapsed="false">
      <c r="A253" s="6" t="s">
        <v>1042</v>
      </c>
      <c r="B253" s="6" t="s">
        <v>418</v>
      </c>
      <c r="C253" s="6" t="s">
        <v>152</v>
      </c>
      <c r="D253" s="6" t="s">
        <v>22</v>
      </c>
      <c r="E253" s="6" t="n">
        <f aca="false">ROUND(16679*1.05,2)</f>
        <v>17512.95</v>
      </c>
      <c r="F253" s="6" t="s">
        <v>52</v>
      </c>
      <c r="G253" s="6" t="s">
        <v>24</v>
      </c>
      <c r="H253" s="6" t="n">
        <f aca="true">ROUND(RAND()*4+6,1)</f>
        <v>7.2</v>
      </c>
      <c r="I253" s="6" t="s">
        <v>25</v>
      </c>
      <c r="J253" s="6" t="str">
        <f aca="false">ROUND(77*1,0)&amp;"%"</f>
        <v>77%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1043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1044</v>
      </c>
      <c r="B258" s="5" t="s">
        <v>422</v>
      </c>
      <c r="C258" s="5" t="s">
        <v>15</v>
      </c>
      <c r="D258" s="5" t="s">
        <v>16</v>
      </c>
      <c r="E258" s="5" t="n">
        <f aca="false">ROUND(13315*1.05,2)</f>
        <v>13980.75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ROUND(66*1,0)&amp;"%"</f>
        <v>66%</v>
      </c>
    </row>
    <row r="259" customFormat="false" ht="15" hidden="false" customHeight="false" outlineLevel="0" collapsed="false">
      <c r="A259" s="6" t="s">
        <v>1045</v>
      </c>
      <c r="B259" s="6" t="s">
        <v>424</v>
      </c>
      <c r="C259" s="6" t="s">
        <v>15</v>
      </c>
      <c r="D259" s="6" t="s">
        <v>22</v>
      </c>
      <c r="E259" s="6" t="n">
        <f aca="false">ROUND(17977*1.05,2)</f>
        <v>18875.85</v>
      </c>
      <c r="F259" s="6" t="s">
        <v>23</v>
      </c>
      <c r="G259" s="6" t="s">
        <v>24</v>
      </c>
      <c r="H259" s="6" t="n">
        <f aca="true">ROUND(RAND()*4+6,1)</f>
        <v>7.3</v>
      </c>
      <c r="I259" s="6" t="s">
        <v>25</v>
      </c>
      <c r="J259" s="6" t="str">
        <f aca="false">ROUND(62*1,0)&amp;"%"</f>
        <v>62%</v>
      </c>
    </row>
    <row r="260" customFormat="false" ht="15" hidden="false" customHeight="false" outlineLevel="0" collapsed="false">
      <c r="A260" s="5" t="s">
        <v>1046</v>
      </c>
      <c r="B260" s="5" t="s">
        <v>426</v>
      </c>
      <c r="C260" s="5" t="s">
        <v>15</v>
      </c>
      <c r="D260" s="5" t="s">
        <v>28</v>
      </c>
      <c r="E260" s="5" t="n">
        <f aca="false">ROUND(14490*1.05,2)</f>
        <v>15214.5</v>
      </c>
      <c r="F260" s="5" t="s">
        <v>29</v>
      </c>
      <c r="G260" s="5" t="s">
        <v>30</v>
      </c>
      <c r="H260" s="5" t="n">
        <f aca="true">ROUND(RAND()*4+6,1)</f>
        <v>8</v>
      </c>
      <c r="I260" s="5" t="s">
        <v>31</v>
      </c>
      <c r="J260" s="5" t="str">
        <f aca="false">ROUND(70*1,0)&amp;"%"</f>
        <v>70%</v>
      </c>
    </row>
    <row r="261" customFormat="false" ht="15" hidden="false" customHeight="false" outlineLevel="0" collapsed="false">
      <c r="A261" s="6" t="s">
        <v>1047</v>
      </c>
      <c r="B261" s="6" t="s">
        <v>428</v>
      </c>
      <c r="C261" s="6" t="s">
        <v>15</v>
      </c>
      <c r="D261" s="6" t="s">
        <v>34</v>
      </c>
      <c r="E261" s="6" t="n">
        <f aca="false">ROUND(5334*1.05,2)</f>
        <v>5600.7</v>
      </c>
      <c r="F261" s="6" t="s">
        <v>35</v>
      </c>
      <c r="G261" s="6" t="s">
        <v>18</v>
      </c>
      <c r="H261" s="6" t="n">
        <f aca="true">ROUND(RAND()*4+6,1)</f>
        <v>9.4</v>
      </c>
      <c r="I261" s="6" t="s">
        <v>36</v>
      </c>
      <c r="J261" s="6" t="str">
        <f aca="false">ROUND(91*1,0)&amp;"%"</f>
        <v>91%</v>
      </c>
    </row>
    <row r="262" customFormat="false" ht="15" hidden="false" customHeight="false" outlineLevel="0" collapsed="false">
      <c r="A262" s="5" t="s">
        <v>1048</v>
      </c>
      <c r="B262" s="5" t="s">
        <v>430</v>
      </c>
      <c r="C262" s="5" t="s">
        <v>15</v>
      </c>
      <c r="D262" s="5" t="s">
        <v>39</v>
      </c>
      <c r="E262" s="5" t="n">
        <f aca="false">ROUND(6360*1.05,2)</f>
        <v>6678</v>
      </c>
      <c r="F262" s="5" t="s">
        <v>40</v>
      </c>
      <c r="G262" s="5" t="s">
        <v>24</v>
      </c>
      <c r="H262" s="5" t="n">
        <f aca="true">ROUND(RAND()*4+6,1)</f>
        <v>7.6</v>
      </c>
      <c r="I262" s="5" t="s">
        <v>41</v>
      </c>
      <c r="J262" s="5" t="str">
        <f aca="false">ROUND(83*1,0)&amp;"%"</f>
        <v>83%</v>
      </c>
    </row>
    <row r="263" customFormat="false" ht="15" hidden="false" customHeight="false" outlineLevel="0" collapsed="false">
      <c r="A263" s="6" t="s">
        <v>1049</v>
      </c>
      <c r="B263" s="6" t="s">
        <v>432</v>
      </c>
      <c r="C263" s="6" t="s">
        <v>15</v>
      </c>
      <c r="D263" s="6" t="s">
        <v>44</v>
      </c>
      <c r="E263" s="6" t="n">
        <f aca="false">ROUND(4597*1.05,2)</f>
        <v>4826.85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1050</v>
      </c>
      <c r="B264" s="5" t="s">
        <v>434</v>
      </c>
      <c r="C264" s="5" t="s">
        <v>15</v>
      </c>
      <c r="D264" s="5" t="s">
        <v>16</v>
      </c>
      <c r="E264" s="5" t="n">
        <f aca="false">ROUND(6955*1.05,2)</f>
        <v>7302.75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ROUND(92*1,0)&amp;"%"</f>
        <v>92%</v>
      </c>
    </row>
    <row r="265" customFormat="false" ht="15" hidden="false" customHeight="false" outlineLevel="0" collapsed="false">
      <c r="A265" s="6" t="s">
        <v>1051</v>
      </c>
      <c r="B265" s="6" t="s">
        <v>436</v>
      </c>
      <c r="C265" s="6" t="s">
        <v>15</v>
      </c>
      <c r="D265" s="6" t="s">
        <v>22</v>
      </c>
      <c r="E265" s="6" t="n">
        <f aca="false">ROUND(12064*1.05,2)</f>
        <v>12667.2</v>
      </c>
      <c r="F265" s="6" t="s">
        <v>52</v>
      </c>
      <c r="G265" s="6" t="s">
        <v>24</v>
      </c>
      <c r="H265" s="6" t="n">
        <f aca="true">ROUND(RAND()*4+6,1)</f>
        <v>6.9</v>
      </c>
      <c r="I265" s="6" t="s">
        <v>25</v>
      </c>
      <c r="J265" s="6" t="str">
        <f aca="false">ROUND(91*1,0)&amp;"%"</f>
        <v>91%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1052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1053</v>
      </c>
      <c r="B270" s="5" t="s">
        <v>440</v>
      </c>
      <c r="C270" s="5" t="s">
        <v>57</v>
      </c>
      <c r="D270" s="5" t="s">
        <v>16</v>
      </c>
      <c r="E270" s="5" t="n">
        <f aca="false">ROUND(16756*1.05,2)</f>
        <v>17593.8</v>
      </c>
      <c r="F270" s="5" t="s">
        <v>17</v>
      </c>
      <c r="G270" s="5" t="s">
        <v>18</v>
      </c>
      <c r="H270" s="5" t="n">
        <f aca="true">ROUND(RAND()*4+6,1)</f>
        <v>7.3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1054</v>
      </c>
      <c r="B271" s="6" t="s">
        <v>442</v>
      </c>
      <c r="C271" s="6" t="s">
        <v>57</v>
      </c>
      <c r="D271" s="6" t="s">
        <v>22</v>
      </c>
      <c r="E271" s="6" t="n">
        <f aca="false">ROUND(16584*1.05,2)</f>
        <v>17413.2</v>
      </c>
      <c r="F271" s="6" t="s">
        <v>23</v>
      </c>
      <c r="G271" s="6" t="s">
        <v>24</v>
      </c>
      <c r="H271" s="6" t="n">
        <f aca="true">ROUND(RAND()*4+6,1)</f>
        <v>9.7</v>
      </c>
      <c r="I271" s="6" t="s">
        <v>25</v>
      </c>
      <c r="J271" s="6" t="str">
        <f aca="false">ROUND(79*1,0)&amp;"%"</f>
        <v>79%</v>
      </c>
    </row>
    <row r="272" customFormat="false" ht="15" hidden="false" customHeight="false" outlineLevel="0" collapsed="false">
      <c r="A272" s="5" t="s">
        <v>1055</v>
      </c>
      <c r="B272" s="5" t="s">
        <v>444</v>
      </c>
      <c r="C272" s="5" t="s">
        <v>57</v>
      </c>
      <c r="D272" s="5" t="s">
        <v>28</v>
      </c>
      <c r="E272" s="5" t="n">
        <f aca="false">ROUND(12422*1.05,2)</f>
        <v>13043.1</v>
      </c>
      <c r="F272" s="5" t="s">
        <v>29</v>
      </c>
      <c r="G272" s="5" t="s">
        <v>30</v>
      </c>
      <c r="H272" s="5" t="n">
        <f aca="true">ROUND(RAND()*4+6,1)</f>
        <v>6.2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1056</v>
      </c>
      <c r="B273" s="6" t="s">
        <v>446</v>
      </c>
      <c r="C273" s="6" t="s">
        <v>57</v>
      </c>
      <c r="D273" s="6" t="s">
        <v>34</v>
      </c>
      <c r="E273" s="6" t="n">
        <f aca="false">ROUND(16254*1.05,2)</f>
        <v>17066.7</v>
      </c>
      <c r="F273" s="6" t="s">
        <v>35</v>
      </c>
      <c r="G273" s="6" t="s">
        <v>18</v>
      </c>
      <c r="H273" s="6" t="n">
        <f aca="true">ROUND(RAND()*4+6,1)</f>
        <v>6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1057</v>
      </c>
      <c r="B274" s="5" t="s">
        <v>448</v>
      </c>
      <c r="C274" s="5" t="s">
        <v>57</v>
      </c>
      <c r="D274" s="5" t="s">
        <v>39</v>
      </c>
      <c r="E274" s="5" t="n">
        <f aca="false">ROUND(11962*1.05,2)</f>
        <v>12560.1</v>
      </c>
      <c r="F274" s="5" t="s">
        <v>40</v>
      </c>
      <c r="G274" s="5" t="s">
        <v>24</v>
      </c>
      <c r="H274" s="5" t="n">
        <f aca="true">ROUND(RAND()*4+6,1)</f>
        <v>6.4</v>
      </c>
      <c r="I274" s="5" t="s">
        <v>41</v>
      </c>
      <c r="J274" s="5" t="str">
        <f aca="false">ROUND(94*1,0)&amp;"%"</f>
        <v>94%</v>
      </c>
    </row>
    <row r="275" customFormat="false" ht="15" hidden="false" customHeight="false" outlineLevel="0" collapsed="false">
      <c r="A275" s="6" t="s">
        <v>1058</v>
      </c>
      <c r="B275" s="6" t="s">
        <v>450</v>
      </c>
      <c r="C275" s="6" t="s">
        <v>57</v>
      </c>
      <c r="D275" s="6" t="s">
        <v>44</v>
      </c>
      <c r="E275" s="6" t="n">
        <f aca="false">ROUND(5983*1.05,2)</f>
        <v>6282.15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1059</v>
      </c>
      <c r="B276" s="5" t="s">
        <v>452</v>
      </c>
      <c r="C276" s="5" t="s">
        <v>57</v>
      </c>
      <c r="D276" s="5" t="s">
        <v>16</v>
      </c>
      <c r="E276" s="5" t="n">
        <f aca="false">ROUND(13341*1.05,2)</f>
        <v>14008.05</v>
      </c>
      <c r="F276" s="5" t="s">
        <v>49</v>
      </c>
      <c r="G276" s="5" t="s">
        <v>18</v>
      </c>
      <c r="H276" s="5" t="n">
        <f aca="true">ROUND(RAND()*4+6,1)</f>
        <v>9.5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1060</v>
      </c>
      <c r="B277" s="6" t="s">
        <v>454</v>
      </c>
      <c r="C277" s="6" t="s">
        <v>57</v>
      </c>
      <c r="D277" s="6" t="s">
        <v>22</v>
      </c>
      <c r="E277" s="6" t="n">
        <f aca="false">ROUND(12304*1.05,2)</f>
        <v>12919.2</v>
      </c>
      <c r="F277" s="6" t="s">
        <v>52</v>
      </c>
      <c r="G277" s="6" t="s">
        <v>24</v>
      </c>
      <c r="H277" s="6" t="n">
        <f aca="true">ROUND(RAND()*4+6,1)</f>
        <v>6.1</v>
      </c>
      <c r="I277" s="6" t="s">
        <v>25</v>
      </c>
      <c r="J277" s="6" t="str">
        <f aca="false">ROUND(77*1,0)&amp;"%"</f>
        <v>77%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1061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1062</v>
      </c>
      <c r="B282" s="5" t="s">
        <v>458</v>
      </c>
      <c r="C282" s="5" t="s">
        <v>76</v>
      </c>
      <c r="D282" s="5" t="s">
        <v>16</v>
      </c>
      <c r="E282" s="5" t="n">
        <f aca="false">ROUND(4896*1.05,2)</f>
        <v>5140.8</v>
      </c>
      <c r="F282" s="5" t="s">
        <v>17</v>
      </c>
      <c r="G282" s="5" t="s">
        <v>18</v>
      </c>
      <c r="H282" s="5" t="n">
        <f aca="true">ROUND(RAND()*4+6,1)</f>
        <v>9.5</v>
      </c>
      <c r="I282" s="5" t="s">
        <v>19</v>
      </c>
      <c r="J282" s="5" t="str">
        <f aca="false">ROUND(71*1,0)&amp;"%"</f>
        <v>71%</v>
      </c>
    </row>
    <row r="283" customFormat="false" ht="15" hidden="false" customHeight="false" outlineLevel="0" collapsed="false">
      <c r="A283" s="6" t="s">
        <v>1063</v>
      </c>
      <c r="B283" s="6" t="s">
        <v>460</v>
      </c>
      <c r="C283" s="6" t="s">
        <v>76</v>
      </c>
      <c r="D283" s="6" t="s">
        <v>22</v>
      </c>
      <c r="E283" s="6" t="n">
        <f aca="false">ROUND(7626*1.05,2)</f>
        <v>8007.3</v>
      </c>
      <c r="F283" s="6" t="s">
        <v>23</v>
      </c>
      <c r="G283" s="6" t="s">
        <v>24</v>
      </c>
      <c r="H283" s="6" t="n">
        <f aca="true">ROUND(RAND()*4+6,1)</f>
        <v>7.4</v>
      </c>
      <c r="I283" s="6" t="s">
        <v>25</v>
      </c>
      <c r="J283" s="6" t="str">
        <f aca="false">ROUND(68*1,0)&amp;"%"</f>
        <v>68%</v>
      </c>
    </row>
    <row r="284" customFormat="false" ht="15" hidden="false" customHeight="false" outlineLevel="0" collapsed="false">
      <c r="A284" s="5" t="s">
        <v>1064</v>
      </c>
      <c r="B284" s="5" t="s">
        <v>462</v>
      </c>
      <c r="C284" s="5" t="s">
        <v>76</v>
      </c>
      <c r="D284" s="5" t="s">
        <v>28</v>
      </c>
      <c r="E284" s="5" t="n">
        <f aca="false">ROUND(8686*1.05,2)</f>
        <v>9120.3</v>
      </c>
      <c r="F284" s="5" t="s">
        <v>29</v>
      </c>
      <c r="G284" s="5" t="s">
        <v>30</v>
      </c>
      <c r="H284" s="5" t="n">
        <f aca="true">ROUND(RAND()*4+6,1)</f>
        <v>10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1065</v>
      </c>
      <c r="B285" s="6" t="s">
        <v>464</v>
      </c>
      <c r="C285" s="6" t="s">
        <v>76</v>
      </c>
      <c r="D285" s="6" t="s">
        <v>34</v>
      </c>
      <c r="E285" s="6" t="n">
        <f aca="false">ROUND(15077*1.05,2)</f>
        <v>15830.85</v>
      </c>
      <c r="F285" s="6" t="s">
        <v>35</v>
      </c>
      <c r="G285" s="6" t="s">
        <v>18</v>
      </c>
      <c r="H285" s="6" t="n">
        <f aca="true">ROUND(RAND()*4+6,1)</f>
        <v>9.1</v>
      </c>
      <c r="I285" s="6" t="s">
        <v>36</v>
      </c>
      <c r="J285" s="6" t="str">
        <f aca="false">ROUND(100*1,0)&amp;"%"</f>
        <v>100%</v>
      </c>
    </row>
    <row r="286" customFormat="false" ht="15" hidden="false" customHeight="false" outlineLevel="0" collapsed="false">
      <c r="A286" s="5" t="s">
        <v>1066</v>
      </c>
      <c r="B286" s="5" t="s">
        <v>466</v>
      </c>
      <c r="C286" s="5" t="s">
        <v>76</v>
      </c>
      <c r="D286" s="5" t="s">
        <v>39</v>
      </c>
      <c r="E286" s="5" t="n">
        <f aca="false">ROUND(6953*1.05,2)</f>
        <v>7300.65</v>
      </c>
      <c r="F286" s="5" t="s">
        <v>40</v>
      </c>
      <c r="G286" s="5" t="s">
        <v>24</v>
      </c>
      <c r="H286" s="5" t="n">
        <f aca="true">ROUND(RAND()*4+6,1)</f>
        <v>6.7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1067</v>
      </c>
      <c r="B287" s="6" t="s">
        <v>468</v>
      </c>
      <c r="C287" s="6" t="s">
        <v>76</v>
      </c>
      <c r="D287" s="6" t="s">
        <v>44</v>
      </c>
      <c r="E287" s="6" t="n">
        <f aca="false">ROUND(13613*1.05,2)</f>
        <v>14293.65</v>
      </c>
      <c r="F287" s="6" t="s">
        <v>45</v>
      </c>
      <c r="G287" s="6" t="s">
        <v>30</v>
      </c>
      <c r="H287" s="6" t="n">
        <f aca="true">ROUND(RAND()*4+6,1)</f>
        <v>7</v>
      </c>
      <c r="I287" s="6" t="s">
        <v>46</v>
      </c>
      <c r="J287" s="6" t="str">
        <f aca="false">ROUND(99*1,0)&amp;"%"</f>
        <v>99%</v>
      </c>
    </row>
    <row r="288" customFormat="false" ht="15" hidden="false" customHeight="false" outlineLevel="0" collapsed="false">
      <c r="A288" s="5" t="s">
        <v>1068</v>
      </c>
      <c r="B288" s="5" t="s">
        <v>470</v>
      </c>
      <c r="C288" s="5" t="s">
        <v>76</v>
      </c>
      <c r="D288" s="5" t="s">
        <v>16</v>
      </c>
      <c r="E288" s="5" t="n">
        <f aca="false">ROUND(12387*1.05,2)</f>
        <v>13006.35</v>
      </c>
      <c r="F288" s="5" t="s">
        <v>49</v>
      </c>
      <c r="G288" s="5" t="s">
        <v>18</v>
      </c>
      <c r="H288" s="5" t="n">
        <f aca="true">ROUND(RAND()*4+6,1)</f>
        <v>8.5</v>
      </c>
      <c r="I288" s="5" t="s">
        <v>19</v>
      </c>
      <c r="J288" s="5" t="str">
        <f aca="false">ROUND(65*1,0)&amp;"%"</f>
        <v>65%</v>
      </c>
    </row>
    <row r="289" customFormat="false" ht="15" hidden="false" customHeight="false" outlineLevel="0" collapsed="false">
      <c r="A289" s="6" t="s">
        <v>1069</v>
      </c>
      <c r="B289" s="6" t="s">
        <v>472</v>
      </c>
      <c r="C289" s="6" t="s">
        <v>76</v>
      </c>
      <c r="D289" s="6" t="s">
        <v>22</v>
      </c>
      <c r="E289" s="6" t="n">
        <f aca="false">ROUND(6405*1.05,2)</f>
        <v>6725.25</v>
      </c>
      <c r="F289" s="6" t="s">
        <v>52</v>
      </c>
      <c r="G289" s="6" t="s">
        <v>24</v>
      </c>
      <c r="H289" s="6" t="n">
        <f aca="true">ROUND(RAND()*4+6,1)</f>
        <v>6.2</v>
      </c>
      <c r="I289" s="6" t="s">
        <v>25</v>
      </c>
      <c r="J289" s="6" t="str">
        <f aca="false">ROUND(69*1,0)&amp;"%"</f>
        <v>69%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1070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1071</v>
      </c>
      <c r="B294" s="5" t="s">
        <v>476</v>
      </c>
      <c r="C294" s="5" t="s">
        <v>95</v>
      </c>
      <c r="D294" s="5" t="s">
        <v>16</v>
      </c>
      <c r="E294" s="5" t="n">
        <f aca="false">ROUND(9256*1.05,2)</f>
        <v>9718.8</v>
      </c>
      <c r="F294" s="5" t="s">
        <v>17</v>
      </c>
      <c r="G294" s="5" t="s">
        <v>18</v>
      </c>
      <c r="H294" s="5" t="n">
        <f aca="true">ROUND(RAND()*4+6,1)</f>
        <v>7.6</v>
      </c>
      <c r="I294" s="5" t="s">
        <v>19</v>
      </c>
      <c r="J294" s="5" t="str">
        <f aca="false">ROUND(65*1,0)&amp;"%"</f>
        <v>65%</v>
      </c>
    </row>
    <row r="295" customFormat="false" ht="15" hidden="false" customHeight="false" outlineLevel="0" collapsed="false">
      <c r="A295" s="6" t="s">
        <v>1072</v>
      </c>
      <c r="B295" s="6" t="s">
        <v>478</v>
      </c>
      <c r="C295" s="6" t="s">
        <v>95</v>
      </c>
      <c r="D295" s="6" t="s">
        <v>22</v>
      </c>
      <c r="E295" s="6" t="n">
        <f aca="false">ROUND(17025*1.05,2)</f>
        <v>17876.25</v>
      </c>
      <c r="F295" s="6" t="s">
        <v>23</v>
      </c>
      <c r="G295" s="6" t="s">
        <v>24</v>
      </c>
      <c r="H295" s="6" t="n">
        <f aca="true">ROUND(RAND()*4+6,1)</f>
        <v>8.6</v>
      </c>
      <c r="I295" s="6" t="s">
        <v>25</v>
      </c>
      <c r="J295" s="6" t="str">
        <f aca="false">ROUND(66*1,0)&amp;"%"</f>
        <v>66%</v>
      </c>
    </row>
    <row r="296" customFormat="false" ht="15" hidden="false" customHeight="false" outlineLevel="0" collapsed="false">
      <c r="A296" s="5" t="s">
        <v>1073</v>
      </c>
      <c r="B296" s="5" t="s">
        <v>480</v>
      </c>
      <c r="C296" s="5" t="s">
        <v>95</v>
      </c>
      <c r="D296" s="5" t="s">
        <v>28</v>
      </c>
      <c r="E296" s="5" t="n">
        <f aca="false">ROUND(13295*1.05,2)</f>
        <v>13959.75</v>
      </c>
      <c r="F296" s="5" t="s">
        <v>29</v>
      </c>
      <c r="G296" s="5" t="s">
        <v>30</v>
      </c>
      <c r="H296" s="5" t="n">
        <f aca="true">ROUND(RAND()*4+6,1)</f>
        <v>7.5</v>
      </c>
      <c r="I296" s="5" t="s">
        <v>31</v>
      </c>
      <c r="J296" s="5" t="str">
        <f aca="false">ROUND(67*1,0)&amp;"%"</f>
        <v>67%</v>
      </c>
    </row>
    <row r="297" customFormat="false" ht="15" hidden="false" customHeight="false" outlineLevel="0" collapsed="false">
      <c r="A297" s="6" t="s">
        <v>1074</v>
      </c>
      <c r="B297" s="6" t="s">
        <v>482</v>
      </c>
      <c r="C297" s="6" t="s">
        <v>95</v>
      </c>
      <c r="D297" s="6" t="s">
        <v>34</v>
      </c>
      <c r="E297" s="6" t="n">
        <f aca="false">ROUND(12585*1.05,2)</f>
        <v>13214.25</v>
      </c>
      <c r="F297" s="6" t="s">
        <v>35</v>
      </c>
      <c r="G297" s="6" t="s">
        <v>18</v>
      </c>
      <c r="H297" s="6" t="n">
        <f aca="true">ROUND(RAND()*4+6,1)</f>
        <v>7.8</v>
      </c>
      <c r="I297" s="6" t="s">
        <v>36</v>
      </c>
      <c r="J297" s="6" t="str">
        <f aca="false">ROUND(99*1,0)&amp;"%"</f>
        <v>99%</v>
      </c>
    </row>
    <row r="298" customFormat="false" ht="15" hidden="false" customHeight="false" outlineLevel="0" collapsed="false">
      <c r="A298" s="5" t="s">
        <v>1075</v>
      </c>
      <c r="B298" s="5" t="s">
        <v>484</v>
      </c>
      <c r="C298" s="5" t="s">
        <v>95</v>
      </c>
      <c r="D298" s="5" t="s">
        <v>39</v>
      </c>
      <c r="E298" s="5" t="n">
        <f aca="false">ROUND(15813*1.05,2)</f>
        <v>16603.65</v>
      </c>
      <c r="F298" s="5" t="s">
        <v>40</v>
      </c>
      <c r="G298" s="5" t="s">
        <v>24</v>
      </c>
      <c r="H298" s="5" t="n">
        <f aca="true">ROUND(RAND()*4+6,1)</f>
        <v>10</v>
      </c>
      <c r="I298" s="5" t="s">
        <v>41</v>
      </c>
      <c r="J298" s="5" t="str">
        <f aca="false">ROUND(100*1,0)&amp;"%"</f>
        <v>100%</v>
      </c>
    </row>
    <row r="299" customFormat="false" ht="15" hidden="false" customHeight="false" outlineLevel="0" collapsed="false">
      <c r="A299" s="6" t="s">
        <v>1076</v>
      </c>
      <c r="B299" s="6" t="s">
        <v>486</v>
      </c>
      <c r="C299" s="6" t="s">
        <v>95</v>
      </c>
      <c r="D299" s="6" t="s">
        <v>44</v>
      </c>
      <c r="E299" s="6" t="n">
        <f aca="false">ROUND(9595*1.05,2)</f>
        <v>10074.75</v>
      </c>
      <c r="F299" s="6" t="s">
        <v>45</v>
      </c>
      <c r="G299" s="6" t="s">
        <v>30</v>
      </c>
      <c r="H299" s="6" t="n">
        <f aca="true">ROUND(RAND()*4+6,1)</f>
        <v>6.4</v>
      </c>
      <c r="I299" s="6" t="s">
        <v>46</v>
      </c>
      <c r="J299" s="6" t="str">
        <f aca="false">ROUND(86*1,0)&amp;"%"</f>
        <v>86%</v>
      </c>
    </row>
    <row r="300" customFormat="false" ht="15" hidden="false" customHeight="false" outlineLevel="0" collapsed="false">
      <c r="A300" s="5" t="s">
        <v>1077</v>
      </c>
      <c r="B300" s="5" t="s">
        <v>488</v>
      </c>
      <c r="C300" s="5" t="s">
        <v>95</v>
      </c>
      <c r="D300" s="5" t="s">
        <v>16</v>
      </c>
      <c r="E300" s="5" t="n">
        <f aca="false">ROUND(13908*1.05,2)</f>
        <v>14603.4</v>
      </c>
      <c r="F300" s="5" t="s">
        <v>49</v>
      </c>
      <c r="G300" s="5" t="s">
        <v>18</v>
      </c>
      <c r="H300" s="5" t="n">
        <f aca="true">ROUND(RAND()*4+6,1)</f>
        <v>9.7</v>
      </c>
      <c r="I300" s="5" t="s">
        <v>19</v>
      </c>
      <c r="J300" s="5" t="str">
        <f aca="false">ROUND(65*1,0)&amp;"%"</f>
        <v>65%</v>
      </c>
    </row>
    <row r="301" customFormat="false" ht="15" hidden="false" customHeight="false" outlineLevel="0" collapsed="false">
      <c r="A301" s="6" t="s">
        <v>1078</v>
      </c>
      <c r="B301" s="6" t="s">
        <v>490</v>
      </c>
      <c r="C301" s="6" t="s">
        <v>95</v>
      </c>
      <c r="D301" s="6" t="s">
        <v>22</v>
      </c>
      <c r="E301" s="6" t="n">
        <f aca="false">ROUND(9134*1.05,2)</f>
        <v>9590.7</v>
      </c>
      <c r="F301" s="6" t="s">
        <v>52</v>
      </c>
      <c r="G301" s="6" t="s">
        <v>24</v>
      </c>
      <c r="H301" s="6" t="n">
        <f aca="true">ROUND(RAND()*4+6,1)</f>
        <v>6.8</v>
      </c>
      <c r="I301" s="6" t="s">
        <v>25</v>
      </c>
      <c r="J301" s="6" t="str">
        <f aca="false">ROUND(67*1,0)&amp;"%"</f>
        <v>67%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1079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1080</v>
      </c>
      <c r="B306" s="5" t="s">
        <v>494</v>
      </c>
      <c r="C306" s="5" t="s">
        <v>114</v>
      </c>
      <c r="D306" s="5" t="s">
        <v>16</v>
      </c>
      <c r="E306" s="5" t="n">
        <f aca="false">ROUND(16208*1.05,2)</f>
        <v>17018.4</v>
      </c>
      <c r="F306" s="5" t="s">
        <v>17</v>
      </c>
      <c r="G306" s="5" t="s">
        <v>18</v>
      </c>
      <c r="H306" s="5" t="n">
        <f aca="true">ROUND(RAND()*4+6,1)</f>
        <v>7.1</v>
      </c>
      <c r="I306" s="5" t="s">
        <v>19</v>
      </c>
      <c r="J306" s="5" t="str">
        <f aca="false">ROUND(81*1,0)&amp;"%"</f>
        <v>81%</v>
      </c>
    </row>
    <row r="307" customFormat="false" ht="15" hidden="false" customHeight="false" outlineLevel="0" collapsed="false">
      <c r="A307" s="6" t="s">
        <v>1081</v>
      </c>
      <c r="B307" s="6" t="s">
        <v>496</v>
      </c>
      <c r="C307" s="6" t="s">
        <v>114</v>
      </c>
      <c r="D307" s="6" t="s">
        <v>22</v>
      </c>
      <c r="E307" s="6" t="n">
        <f aca="false">ROUND(7162*1.05,2)</f>
        <v>7520.1</v>
      </c>
      <c r="F307" s="6" t="s">
        <v>23</v>
      </c>
      <c r="G307" s="6" t="s">
        <v>24</v>
      </c>
      <c r="H307" s="6" t="n">
        <f aca="true">ROUND(RAND()*4+6,1)</f>
        <v>8.8</v>
      </c>
      <c r="I307" s="6" t="s">
        <v>25</v>
      </c>
      <c r="J307" s="6" t="str">
        <f aca="false">ROUND(71*1,0)&amp;"%"</f>
        <v>71%</v>
      </c>
    </row>
    <row r="308" customFormat="false" ht="15" hidden="false" customHeight="false" outlineLevel="0" collapsed="false">
      <c r="A308" s="5" t="s">
        <v>1082</v>
      </c>
      <c r="B308" s="5" t="s">
        <v>498</v>
      </c>
      <c r="C308" s="5" t="s">
        <v>114</v>
      </c>
      <c r="D308" s="5" t="s">
        <v>28</v>
      </c>
      <c r="E308" s="5" t="n">
        <f aca="false">ROUND(15300*1.05,2)</f>
        <v>16065</v>
      </c>
      <c r="F308" s="5" t="s">
        <v>29</v>
      </c>
      <c r="G308" s="5" t="s">
        <v>30</v>
      </c>
      <c r="H308" s="5" t="n">
        <f aca="true">ROUND(RAND()*4+6,1)</f>
        <v>8.8</v>
      </c>
      <c r="I308" s="5" t="s">
        <v>31</v>
      </c>
      <c r="J308" s="5" t="str">
        <f aca="false">ROUND(66*1,0)&amp;"%"</f>
        <v>66%</v>
      </c>
    </row>
    <row r="309" customFormat="false" ht="15" hidden="false" customHeight="false" outlineLevel="0" collapsed="false">
      <c r="A309" s="6" t="s">
        <v>1083</v>
      </c>
      <c r="B309" s="6" t="s">
        <v>500</v>
      </c>
      <c r="C309" s="6" t="s">
        <v>114</v>
      </c>
      <c r="D309" s="6" t="s">
        <v>34</v>
      </c>
      <c r="E309" s="6" t="n">
        <f aca="false">ROUND(5769*1.05,2)</f>
        <v>6057.45</v>
      </c>
      <c r="F309" s="6" t="s">
        <v>35</v>
      </c>
      <c r="G309" s="6" t="s">
        <v>18</v>
      </c>
      <c r="H309" s="6" t="n">
        <f aca="true">ROUND(RAND()*4+6,1)</f>
        <v>8.7</v>
      </c>
      <c r="I309" s="6" t="s">
        <v>36</v>
      </c>
      <c r="J309" s="6" t="str">
        <f aca="false">ROUND(71*1,0)&amp;"%"</f>
        <v>71%</v>
      </c>
    </row>
    <row r="310" customFormat="false" ht="15" hidden="false" customHeight="false" outlineLevel="0" collapsed="false">
      <c r="A310" s="5" t="s">
        <v>1084</v>
      </c>
      <c r="B310" s="5" t="s">
        <v>502</v>
      </c>
      <c r="C310" s="5" t="s">
        <v>114</v>
      </c>
      <c r="D310" s="5" t="s">
        <v>39</v>
      </c>
      <c r="E310" s="5" t="n">
        <f aca="false">ROUND(15525*1.05,2)</f>
        <v>16301.25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ROUND(91*1,0)&amp;"%"</f>
        <v>91%</v>
      </c>
    </row>
    <row r="311" customFormat="false" ht="15" hidden="false" customHeight="false" outlineLevel="0" collapsed="false">
      <c r="A311" s="6" t="s">
        <v>1085</v>
      </c>
      <c r="B311" s="6" t="s">
        <v>504</v>
      </c>
      <c r="C311" s="6" t="s">
        <v>114</v>
      </c>
      <c r="D311" s="6" t="s">
        <v>44</v>
      </c>
      <c r="E311" s="6" t="n">
        <f aca="false">ROUND(8474*1.05,2)</f>
        <v>8897.7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1086</v>
      </c>
      <c r="B312" s="5" t="s">
        <v>506</v>
      </c>
      <c r="C312" s="5" t="s">
        <v>114</v>
      </c>
      <c r="D312" s="5" t="s">
        <v>16</v>
      </c>
      <c r="E312" s="5" t="n">
        <f aca="false">ROUND(6134*1.05,2)</f>
        <v>6440.7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ROUND(79*1,0)&amp;"%"</f>
        <v>79%</v>
      </c>
    </row>
    <row r="313" customFormat="false" ht="15" hidden="false" customHeight="false" outlineLevel="0" collapsed="false">
      <c r="A313" s="6" t="s">
        <v>1087</v>
      </c>
      <c r="B313" s="6" t="s">
        <v>508</v>
      </c>
      <c r="C313" s="6" t="s">
        <v>114</v>
      </c>
      <c r="D313" s="6" t="s">
        <v>22</v>
      </c>
      <c r="E313" s="6" t="n">
        <f aca="false">ROUND(15401*1.05,2)</f>
        <v>16171.05</v>
      </c>
      <c r="F313" s="6" t="s">
        <v>52</v>
      </c>
      <c r="G313" s="6" t="s">
        <v>24</v>
      </c>
      <c r="H313" s="6" t="n">
        <f aca="true">ROUND(RAND()*4+6,1)</f>
        <v>8.3</v>
      </c>
      <c r="I313" s="6" t="s">
        <v>25</v>
      </c>
      <c r="J313" s="6" t="str">
        <f aca="false">ROUND(73*1,0)&amp;"%"</f>
        <v>73%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1088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1089</v>
      </c>
      <c r="B318" s="5" t="s">
        <v>512</v>
      </c>
      <c r="C318" s="5" t="s">
        <v>133</v>
      </c>
      <c r="D318" s="5" t="s">
        <v>16</v>
      </c>
      <c r="E318" s="5" t="n">
        <f aca="false">ROUND(9773*1.05,2)</f>
        <v>10261.65</v>
      </c>
      <c r="F318" s="5" t="s">
        <v>17</v>
      </c>
      <c r="G318" s="5" t="s">
        <v>18</v>
      </c>
      <c r="H318" s="5" t="n">
        <f aca="true">ROUND(RAND()*4+6,1)</f>
        <v>8</v>
      </c>
      <c r="I318" s="5" t="s">
        <v>19</v>
      </c>
      <c r="J318" s="5" t="str">
        <f aca="false">ROUND(76*1,0)&amp;"%"</f>
        <v>76%</v>
      </c>
    </row>
    <row r="319" customFormat="false" ht="15" hidden="false" customHeight="false" outlineLevel="0" collapsed="false">
      <c r="A319" s="6" t="s">
        <v>1090</v>
      </c>
      <c r="B319" s="6" t="s">
        <v>514</v>
      </c>
      <c r="C319" s="6" t="s">
        <v>133</v>
      </c>
      <c r="D319" s="6" t="s">
        <v>22</v>
      </c>
      <c r="E319" s="6" t="n">
        <f aca="false">ROUND(6718*1.05,2)</f>
        <v>7053.9</v>
      </c>
      <c r="F319" s="6" t="s">
        <v>23</v>
      </c>
      <c r="G319" s="6" t="s">
        <v>24</v>
      </c>
      <c r="H319" s="6" t="n">
        <f aca="true">ROUND(RAND()*4+6,1)</f>
        <v>8.5</v>
      </c>
      <c r="I319" s="6" t="s">
        <v>25</v>
      </c>
      <c r="J319" s="6" t="str">
        <f aca="false">ROUND(81*1,0)&amp;"%"</f>
        <v>81%</v>
      </c>
    </row>
    <row r="320" customFormat="false" ht="15" hidden="false" customHeight="false" outlineLevel="0" collapsed="false">
      <c r="A320" s="5" t="s">
        <v>1091</v>
      </c>
      <c r="B320" s="5" t="s">
        <v>516</v>
      </c>
      <c r="C320" s="5" t="s">
        <v>133</v>
      </c>
      <c r="D320" s="5" t="s">
        <v>28</v>
      </c>
      <c r="E320" s="5" t="n">
        <f aca="false">ROUND(11750*1.05,2)</f>
        <v>12337.5</v>
      </c>
      <c r="F320" s="5" t="s">
        <v>29</v>
      </c>
      <c r="G320" s="5" t="s">
        <v>30</v>
      </c>
      <c r="H320" s="5" t="n">
        <f aca="true">ROUND(RAND()*4+6,1)</f>
        <v>8</v>
      </c>
      <c r="I320" s="5" t="s">
        <v>31</v>
      </c>
      <c r="J320" s="5" t="str">
        <f aca="false">ROUND(92*1,0)&amp;"%"</f>
        <v>92%</v>
      </c>
    </row>
    <row r="321" customFormat="false" ht="15" hidden="false" customHeight="false" outlineLevel="0" collapsed="false">
      <c r="A321" s="6" t="s">
        <v>1092</v>
      </c>
      <c r="B321" s="6" t="s">
        <v>518</v>
      </c>
      <c r="C321" s="6" t="s">
        <v>133</v>
      </c>
      <c r="D321" s="6" t="s">
        <v>34</v>
      </c>
      <c r="E321" s="6" t="n">
        <f aca="false">ROUND(5418*1.05,2)</f>
        <v>5688.9</v>
      </c>
      <c r="F321" s="6" t="s">
        <v>35</v>
      </c>
      <c r="G321" s="6" t="s">
        <v>18</v>
      </c>
      <c r="H321" s="6" t="n">
        <f aca="true">ROUND(RAND()*4+6,1)</f>
        <v>8</v>
      </c>
      <c r="I321" s="6" t="s">
        <v>36</v>
      </c>
      <c r="J321" s="6" t="str">
        <f aca="false">ROUND(66*1,0)&amp;"%"</f>
        <v>66%</v>
      </c>
    </row>
    <row r="322" customFormat="false" ht="15" hidden="false" customHeight="false" outlineLevel="0" collapsed="false">
      <c r="A322" s="5" t="s">
        <v>1093</v>
      </c>
      <c r="B322" s="5" t="s">
        <v>520</v>
      </c>
      <c r="C322" s="5" t="s">
        <v>133</v>
      </c>
      <c r="D322" s="5" t="s">
        <v>39</v>
      </c>
      <c r="E322" s="5" t="n">
        <f aca="false">ROUND(7117*1.05,2)</f>
        <v>7472.85</v>
      </c>
      <c r="F322" s="5" t="s">
        <v>40</v>
      </c>
      <c r="G322" s="5" t="s">
        <v>24</v>
      </c>
      <c r="H322" s="5" t="n">
        <f aca="true">ROUND(RAND()*4+6,1)</f>
        <v>7.7</v>
      </c>
      <c r="I322" s="5" t="s">
        <v>41</v>
      </c>
      <c r="J322" s="5" t="str">
        <f aca="false">ROUND(91*1,0)&amp;"%"</f>
        <v>91%</v>
      </c>
    </row>
    <row r="323" customFormat="false" ht="15" hidden="false" customHeight="false" outlineLevel="0" collapsed="false">
      <c r="A323" s="6" t="s">
        <v>1094</v>
      </c>
      <c r="B323" s="6" t="s">
        <v>522</v>
      </c>
      <c r="C323" s="6" t="s">
        <v>133</v>
      </c>
      <c r="D323" s="6" t="s">
        <v>44</v>
      </c>
      <c r="E323" s="6" t="n">
        <f aca="false">ROUND(16804*1.05,2)</f>
        <v>17644.2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ROUND(76*1,0)&amp;"%"</f>
        <v>76%</v>
      </c>
    </row>
    <row r="324" customFormat="false" ht="15" hidden="false" customHeight="false" outlineLevel="0" collapsed="false">
      <c r="A324" s="5" t="s">
        <v>1095</v>
      </c>
      <c r="B324" s="5" t="s">
        <v>524</v>
      </c>
      <c r="C324" s="5" t="s">
        <v>133</v>
      </c>
      <c r="D324" s="5" t="s">
        <v>16</v>
      </c>
      <c r="E324" s="5" t="n">
        <f aca="false">ROUND(6381*1.05,2)</f>
        <v>6700.05</v>
      </c>
      <c r="F324" s="5" t="s">
        <v>49</v>
      </c>
      <c r="G324" s="5" t="s">
        <v>18</v>
      </c>
      <c r="H324" s="5" t="n">
        <f aca="true">ROUND(RAND()*4+6,1)</f>
        <v>8</v>
      </c>
      <c r="I324" s="5" t="s">
        <v>19</v>
      </c>
      <c r="J324" s="5" t="str">
        <f aca="false">ROUND(95*1,0)&amp;"%"</f>
        <v>95%</v>
      </c>
    </row>
    <row r="325" customFormat="false" ht="15" hidden="false" customHeight="false" outlineLevel="0" collapsed="false">
      <c r="A325" s="6" t="s">
        <v>1096</v>
      </c>
      <c r="B325" s="6" t="s">
        <v>526</v>
      </c>
      <c r="C325" s="6" t="s">
        <v>133</v>
      </c>
      <c r="D325" s="6" t="s">
        <v>22</v>
      </c>
      <c r="E325" s="6" t="n">
        <f aca="false">ROUND(9954*1.05,2)</f>
        <v>10451.7</v>
      </c>
      <c r="F325" s="6" t="s">
        <v>52</v>
      </c>
      <c r="G325" s="6" t="s">
        <v>24</v>
      </c>
      <c r="H325" s="6" t="n">
        <f aca="true">ROUND(RAND()*4+6,1)</f>
        <v>9.1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1097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1098</v>
      </c>
      <c r="B330" s="5" t="s">
        <v>530</v>
      </c>
      <c r="C330" s="5" t="s">
        <v>152</v>
      </c>
      <c r="D330" s="5" t="s">
        <v>16</v>
      </c>
      <c r="E330" s="5" t="n">
        <f aca="false">ROUND(16625*1.05,2)</f>
        <v>17456.25</v>
      </c>
      <c r="F330" s="5" t="s">
        <v>17</v>
      </c>
      <c r="G330" s="5" t="s">
        <v>18</v>
      </c>
      <c r="H330" s="5" t="n">
        <f aca="true">ROUND(RAND()*4+6,1)</f>
        <v>6.7</v>
      </c>
      <c r="I330" s="5" t="s">
        <v>19</v>
      </c>
      <c r="J330" s="5" t="str">
        <f aca="false">ROUND(90*1,0)&amp;"%"</f>
        <v>90%</v>
      </c>
    </row>
    <row r="331" customFormat="false" ht="15" hidden="false" customHeight="false" outlineLevel="0" collapsed="false">
      <c r="A331" s="6" t="s">
        <v>1099</v>
      </c>
      <c r="B331" s="6" t="s">
        <v>532</v>
      </c>
      <c r="C331" s="6" t="s">
        <v>152</v>
      </c>
      <c r="D331" s="6" t="s">
        <v>22</v>
      </c>
      <c r="E331" s="6" t="n">
        <f aca="false">ROUND(4887*1.05,2)</f>
        <v>5131.35</v>
      </c>
      <c r="F331" s="6" t="s">
        <v>23</v>
      </c>
      <c r="G331" s="6" t="s">
        <v>24</v>
      </c>
      <c r="H331" s="6" t="n">
        <f aca="true">ROUND(RAND()*4+6,1)</f>
        <v>7</v>
      </c>
      <c r="I331" s="6" t="s">
        <v>25</v>
      </c>
      <c r="J331" s="6" t="str">
        <f aca="false">ROUND(99*1,0)&amp;"%"</f>
        <v>99%</v>
      </c>
    </row>
    <row r="332" customFormat="false" ht="15" hidden="false" customHeight="false" outlineLevel="0" collapsed="false">
      <c r="A332" s="5" t="s">
        <v>1100</v>
      </c>
      <c r="B332" s="5" t="s">
        <v>534</v>
      </c>
      <c r="C332" s="5" t="s">
        <v>152</v>
      </c>
      <c r="D332" s="5" t="s">
        <v>28</v>
      </c>
      <c r="E332" s="5" t="n">
        <f aca="false">ROUND(5607*1.05,2)</f>
        <v>5887.35</v>
      </c>
      <c r="F332" s="5" t="s">
        <v>29</v>
      </c>
      <c r="G332" s="5" t="s">
        <v>30</v>
      </c>
      <c r="H332" s="5" t="n">
        <f aca="true">ROUND(RAND()*4+6,1)</f>
        <v>9</v>
      </c>
      <c r="I332" s="5" t="s">
        <v>31</v>
      </c>
      <c r="J332" s="5" t="str">
        <f aca="false">ROUND(77*1,0)&amp;"%"</f>
        <v>77%</v>
      </c>
    </row>
    <row r="333" customFormat="false" ht="15" hidden="false" customHeight="false" outlineLevel="0" collapsed="false">
      <c r="A333" s="6" t="s">
        <v>1101</v>
      </c>
      <c r="B333" s="6" t="s">
        <v>536</v>
      </c>
      <c r="C333" s="6" t="s">
        <v>152</v>
      </c>
      <c r="D333" s="6" t="s">
        <v>34</v>
      </c>
      <c r="E333" s="6" t="n">
        <f aca="false">ROUND(15762*1.05,2)</f>
        <v>16550.1</v>
      </c>
      <c r="F333" s="6" t="s">
        <v>35</v>
      </c>
      <c r="G333" s="6" t="s">
        <v>18</v>
      </c>
      <c r="H333" s="6" t="n">
        <f aca="true">ROUND(RAND()*4+6,1)</f>
        <v>6.6</v>
      </c>
      <c r="I333" s="6" t="s">
        <v>36</v>
      </c>
      <c r="J333" s="6" t="str">
        <f aca="false">ROUND(83*1,0)&amp;"%"</f>
        <v>83%</v>
      </c>
    </row>
    <row r="334" customFormat="false" ht="15" hidden="false" customHeight="false" outlineLevel="0" collapsed="false">
      <c r="A334" s="5" t="s">
        <v>1102</v>
      </c>
      <c r="B334" s="5" t="s">
        <v>538</v>
      </c>
      <c r="C334" s="5" t="s">
        <v>152</v>
      </c>
      <c r="D334" s="5" t="s">
        <v>39</v>
      </c>
      <c r="E334" s="5" t="n">
        <f aca="false">ROUND(7260*1.05,2)</f>
        <v>7623</v>
      </c>
      <c r="F334" s="5" t="s">
        <v>40</v>
      </c>
      <c r="G334" s="5" t="s">
        <v>24</v>
      </c>
      <c r="H334" s="5" t="n">
        <f aca="true">ROUND(RAND()*4+6,1)</f>
        <v>7</v>
      </c>
      <c r="I334" s="5" t="s">
        <v>41</v>
      </c>
      <c r="J334" s="5" t="str">
        <f aca="false">ROUND(90*1,0)&amp;"%"</f>
        <v>90%</v>
      </c>
    </row>
    <row r="335" customFormat="false" ht="15" hidden="false" customHeight="false" outlineLevel="0" collapsed="false">
      <c r="A335" s="6" t="s">
        <v>1103</v>
      </c>
      <c r="B335" s="6" t="s">
        <v>540</v>
      </c>
      <c r="C335" s="6" t="s">
        <v>152</v>
      </c>
      <c r="D335" s="6" t="s">
        <v>44</v>
      </c>
      <c r="E335" s="6" t="n">
        <f aca="false">ROUND(6926*1.05,2)</f>
        <v>7272.3</v>
      </c>
      <c r="F335" s="6" t="s">
        <v>45</v>
      </c>
      <c r="G335" s="6" t="s">
        <v>30</v>
      </c>
      <c r="H335" s="6" t="n">
        <f aca="true">ROUND(RAND()*4+6,1)</f>
        <v>6.9</v>
      </c>
      <c r="I335" s="6" t="s">
        <v>46</v>
      </c>
      <c r="J335" s="6" t="str">
        <f aca="false">ROUND(79*1,0)&amp;"%"</f>
        <v>79%</v>
      </c>
    </row>
    <row r="336" customFormat="false" ht="15" hidden="false" customHeight="false" outlineLevel="0" collapsed="false">
      <c r="A336" s="5" t="s">
        <v>1104</v>
      </c>
      <c r="B336" s="5" t="s">
        <v>542</v>
      </c>
      <c r="C336" s="5" t="s">
        <v>152</v>
      </c>
      <c r="D336" s="5" t="s">
        <v>16</v>
      </c>
      <c r="E336" s="5" t="n">
        <f aca="false">ROUND(6490*1.05,2)</f>
        <v>6814.5</v>
      </c>
      <c r="F336" s="5" t="s">
        <v>49</v>
      </c>
      <c r="G336" s="5" t="s">
        <v>18</v>
      </c>
      <c r="H336" s="5" t="n">
        <f aca="true">ROUND(RAND()*4+6,1)</f>
        <v>7.8</v>
      </c>
      <c r="I336" s="5" t="s">
        <v>19</v>
      </c>
      <c r="J336" s="5" t="str">
        <f aca="false">ROUND(60*1,0)&amp;"%"</f>
        <v>60%</v>
      </c>
    </row>
    <row r="337" customFormat="false" ht="15" hidden="false" customHeight="false" outlineLevel="0" collapsed="false">
      <c r="A337" s="6" t="s">
        <v>1105</v>
      </c>
      <c r="B337" s="6" t="s">
        <v>544</v>
      </c>
      <c r="C337" s="6" t="s">
        <v>152</v>
      </c>
      <c r="D337" s="6" t="s">
        <v>22</v>
      </c>
      <c r="E337" s="6" t="n">
        <f aca="false">ROUND(6809*1.05,2)</f>
        <v>7149.45</v>
      </c>
      <c r="F337" s="6" t="s">
        <v>52</v>
      </c>
      <c r="G337" s="6" t="s">
        <v>24</v>
      </c>
      <c r="H337" s="6" t="n">
        <f aca="true">ROUND(RAND()*4+6,1)</f>
        <v>9.6</v>
      </c>
      <c r="I337" s="6" t="s">
        <v>25</v>
      </c>
      <c r="J337" s="6" t="str">
        <f aca="false">ROUND(77*1,0)&amp;"%"</f>
        <v>77%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1106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1107</v>
      </c>
      <c r="B342" s="5" t="s">
        <v>548</v>
      </c>
      <c r="C342" s="5" t="s">
        <v>15</v>
      </c>
      <c r="D342" s="5" t="s">
        <v>16</v>
      </c>
      <c r="E342" s="5" t="n">
        <f aca="false">ROUND(13556*1.05,2)</f>
        <v>14233.8</v>
      </c>
      <c r="F342" s="5" t="s">
        <v>17</v>
      </c>
      <c r="G342" s="5" t="s">
        <v>18</v>
      </c>
      <c r="H342" s="5" t="n">
        <f aca="true">ROUND(RAND()*4+6,1)</f>
        <v>8.1</v>
      </c>
      <c r="I342" s="5" t="s">
        <v>19</v>
      </c>
      <c r="J342" s="5" t="str">
        <f aca="false">ROUND(90*1,0)&amp;"%"</f>
        <v>90%</v>
      </c>
    </row>
    <row r="343" customFormat="false" ht="15" hidden="false" customHeight="false" outlineLevel="0" collapsed="false">
      <c r="A343" s="6" t="s">
        <v>1108</v>
      </c>
      <c r="B343" s="6" t="s">
        <v>550</v>
      </c>
      <c r="C343" s="6" t="s">
        <v>15</v>
      </c>
      <c r="D343" s="6" t="s">
        <v>22</v>
      </c>
      <c r="E343" s="6" t="n">
        <f aca="false">ROUND(12010*1.05,2)</f>
        <v>12610.5</v>
      </c>
      <c r="F343" s="6" t="s">
        <v>23</v>
      </c>
      <c r="G343" s="6" t="s">
        <v>24</v>
      </c>
      <c r="H343" s="6" t="n">
        <f aca="true">ROUND(RAND()*4+6,1)</f>
        <v>7.8</v>
      </c>
      <c r="I343" s="6" t="s">
        <v>25</v>
      </c>
      <c r="J343" s="6" t="str">
        <f aca="false">ROUND(76*1,0)&amp;"%"</f>
        <v>76%</v>
      </c>
    </row>
    <row r="344" customFormat="false" ht="15" hidden="false" customHeight="false" outlineLevel="0" collapsed="false">
      <c r="A344" s="5" t="s">
        <v>1109</v>
      </c>
      <c r="B344" s="5" t="s">
        <v>552</v>
      </c>
      <c r="C344" s="5" t="s">
        <v>15</v>
      </c>
      <c r="D344" s="5" t="s">
        <v>28</v>
      </c>
      <c r="E344" s="5" t="n">
        <f aca="false">ROUND(4789*1.05,2)</f>
        <v>5028.45</v>
      </c>
      <c r="F344" s="5" t="s">
        <v>29</v>
      </c>
      <c r="G344" s="5" t="s">
        <v>30</v>
      </c>
      <c r="H344" s="5" t="n">
        <f aca="true">ROUND(RAND()*4+6,1)</f>
        <v>9.4</v>
      </c>
      <c r="I344" s="5" t="s">
        <v>31</v>
      </c>
      <c r="J344" s="5" t="str">
        <f aca="false">ROUND(90*1,0)&amp;"%"</f>
        <v>90%</v>
      </c>
    </row>
    <row r="345" customFormat="false" ht="15" hidden="false" customHeight="false" outlineLevel="0" collapsed="false">
      <c r="A345" s="6" t="s">
        <v>1110</v>
      </c>
      <c r="B345" s="6" t="s">
        <v>554</v>
      </c>
      <c r="C345" s="6" t="s">
        <v>15</v>
      </c>
      <c r="D345" s="6" t="s">
        <v>34</v>
      </c>
      <c r="E345" s="6" t="n">
        <f aca="false">ROUND(10727*1.05,2)</f>
        <v>11263.35</v>
      </c>
      <c r="F345" s="6" t="s">
        <v>35</v>
      </c>
      <c r="G345" s="6" t="s">
        <v>18</v>
      </c>
      <c r="H345" s="6" t="n">
        <f aca="true">ROUND(RAND()*4+6,1)</f>
        <v>8.6</v>
      </c>
      <c r="I345" s="6" t="s">
        <v>36</v>
      </c>
      <c r="J345" s="6" t="str">
        <f aca="false">ROUND(63*1,0)&amp;"%"</f>
        <v>63%</v>
      </c>
    </row>
    <row r="346" customFormat="false" ht="15" hidden="false" customHeight="false" outlineLevel="0" collapsed="false">
      <c r="A346" s="5" t="s">
        <v>1111</v>
      </c>
      <c r="B346" s="5" t="s">
        <v>556</v>
      </c>
      <c r="C346" s="5" t="s">
        <v>15</v>
      </c>
      <c r="D346" s="5" t="s">
        <v>39</v>
      </c>
      <c r="E346" s="5" t="n">
        <f aca="false">ROUND(11054*1.05,2)</f>
        <v>11606.7</v>
      </c>
      <c r="F346" s="5" t="s">
        <v>40</v>
      </c>
      <c r="G346" s="5" t="s">
        <v>24</v>
      </c>
      <c r="H346" s="5" t="n">
        <f aca="true">ROUND(RAND()*4+6,1)</f>
        <v>6.8</v>
      </c>
      <c r="I346" s="5" t="s">
        <v>41</v>
      </c>
      <c r="J346" s="5" t="str">
        <f aca="false">ROUND(86*1,0)&amp;"%"</f>
        <v>86%</v>
      </c>
    </row>
    <row r="347" customFormat="false" ht="15" hidden="false" customHeight="false" outlineLevel="0" collapsed="false">
      <c r="A347" s="6" t="s">
        <v>1112</v>
      </c>
      <c r="B347" s="6" t="s">
        <v>558</v>
      </c>
      <c r="C347" s="6" t="s">
        <v>15</v>
      </c>
      <c r="D347" s="6" t="s">
        <v>44</v>
      </c>
      <c r="E347" s="6" t="n">
        <f aca="false">ROUND(14275*1.05,2)</f>
        <v>14988.75</v>
      </c>
      <c r="F347" s="6" t="s">
        <v>45</v>
      </c>
      <c r="G347" s="6" t="s">
        <v>30</v>
      </c>
      <c r="H347" s="6" t="n">
        <f aca="true">ROUND(RAND()*4+6,1)</f>
        <v>9.9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1113</v>
      </c>
      <c r="B348" s="5" t="s">
        <v>560</v>
      </c>
      <c r="C348" s="5" t="s">
        <v>15</v>
      </c>
      <c r="D348" s="5" t="s">
        <v>16</v>
      </c>
      <c r="E348" s="5" t="n">
        <f aca="false">ROUND(9493*1.05,2)</f>
        <v>9967.65</v>
      </c>
      <c r="F348" s="5" t="s">
        <v>49</v>
      </c>
      <c r="G348" s="5" t="s">
        <v>18</v>
      </c>
      <c r="H348" s="5" t="n">
        <f aca="true">ROUND(RAND()*4+6,1)</f>
        <v>9</v>
      </c>
      <c r="I348" s="5" t="s">
        <v>19</v>
      </c>
      <c r="J348" s="5" t="str">
        <f aca="false">ROUND(100*1,0)&amp;"%"</f>
        <v>100%</v>
      </c>
    </row>
    <row r="349" customFormat="false" ht="15" hidden="false" customHeight="false" outlineLevel="0" collapsed="false">
      <c r="A349" s="6" t="s">
        <v>1114</v>
      </c>
      <c r="B349" s="6" t="s">
        <v>562</v>
      </c>
      <c r="C349" s="6" t="s">
        <v>15</v>
      </c>
      <c r="D349" s="6" t="s">
        <v>22</v>
      </c>
      <c r="E349" s="6" t="n">
        <f aca="false">ROUND(10203*1.05,2)</f>
        <v>10713.15</v>
      </c>
      <c r="F349" s="6" t="s">
        <v>52</v>
      </c>
      <c r="G349" s="6" t="s">
        <v>24</v>
      </c>
      <c r="H349" s="6" t="n">
        <f aca="true">ROUND(RAND()*4+6,1)</f>
        <v>6.1</v>
      </c>
      <c r="I349" s="6" t="s">
        <v>25</v>
      </c>
      <c r="J349" s="6" t="str">
        <f aca="false">ROUND(98*1,0)&amp;"%"</f>
        <v>98%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1115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1116</v>
      </c>
      <c r="B354" s="5" t="s">
        <v>566</v>
      </c>
      <c r="C354" s="5" t="s">
        <v>57</v>
      </c>
      <c r="D354" s="5" t="s">
        <v>16</v>
      </c>
      <c r="E354" s="5" t="n">
        <f aca="false">ROUND(12404*1.05,2)</f>
        <v>13024.2</v>
      </c>
      <c r="F354" s="5" t="s">
        <v>17</v>
      </c>
      <c r="G354" s="5" t="s">
        <v>18</v>
      </c>
      <c r="H354" s="5" t="n">
        <f aca="true">ROUND(RAND()*4+6,1)</f>
        <v>7.3</v>
      </c>
      <c r="I354" s="5" t="s">
        <v>19</v>
      </c>
      <c r="J354" s="5" t="str">
        <f aca="false">ROUND(69*1,0)&amp;"%"</f>
        <v>69%</v>
      </c>
    </row>
    <row r="355" customFormat="false" ht="15" hidden="false" customHeight="false" outlineLevel="0" collapsed="false">
      <c r="A355" s="6" t="s">
        <v>1117</v>
      </c>
      <c r="B355" s="6" t="s">
        <v>568</v>
      </c>
      <c r="C355" s="6" t="s">
        <v>57</v>
      </c>
      <c r="D355" s="6" t="s">
        <v>22</v>
      </c>
      <c r="E355" s="6" t="n">
        <f aca="false">ROUND(7107*1.05,2)</f>
        <v>7462.35</v>
      </c>
      <c r="F355" s="6" t="s">
        <v>23</v>
      </c>
      <c r="G355" s="6" t="s">
        <v>24</v>
      </c>
      <c r="H355" s="6" t="n">
        <f aca="true">ROUND(RAND()*4+6,1)</f>
        <v>6.1</v>
      </c>
      <c r="I355" s="6" t="s">
        <v>25</v>
      </c>
      <c r="J355" s="6" t="str">
        <f aca="false">ROUND(98*1,0)&amp;"%"</f>
        <v>98%</v>
      </c>
    </row>
    <row r="356" customFormat="false" ht="15" hidden="false" customHeight="false" outlineLevel="0" collapsed="false">
      <c r="A356" s="5" t="s">
        <v>1118</v>
      </c>
      <c r="B356" s="5" t="s">
        <v>570</v>
      </c>
      <c r="C356" s="5" t="s">
        <v>57</v>
      </c>
      <c r="D356" s="5" t="s">
        <v>28</v>
      </c>
      <c r="E356" s="5" t="n">
        <f aca="false">ROUND(11017*1.05,2)</f>
        <v>11567.85</v>
      </c>
      <c r="F356" s="5" t="s">
        <v>29</v>
      </c>
      <c r="G356" s="5" t="s">
        <v>30</v>
      </c>
      <c r="H356" s="5" t="n">
        <f aca="true">ROUND(RAND()*4+6,1)</f>
        <v>6.9</v>
      </c>
      <c r="I356" s="5" t="s">
        <v>31</v>
      </c>
      <c r="J356" s="5" t="str">
        <f aca="false">ROUND(97*1,0)&amp;"%"</f>
        <v>97%</v>
      </c>
    </row>
    <row r="357" customFormat="false" ht="15" hidden="false" customHeight="false" outlineLevel="0" collapsed="false">
      <c r="A357" s="6" t="s">
        <v>1119</v>
      </c>
      <c r="B357" s="6" t="s">
        <v>572</v>
      </c>
      <c r="C357" s="6" t="s">
        <v>57</v>
      </c>
      <c r="D357" s="6" t="s">
        <v>34</v>
      </c>
      <c r="E357" s="6" t="n">
        <f aca="false">ROUND(14646*1.05,2)</f>
        <v>15378.3</v>
      </c>
      <c r="F357" s="6" t="s">
        <v>35</v>
      </c>
      <c r="G357" s="6" t="s">
        <v>18</v>
      </c>
      <c r="H357" s="6" t="n">
        <f aca="true">ROUND(RAND()*4+6,1)</f>
        <v>6.8</v>
      </c>
      <c r="I357" s="6" t="s">
        <v>36</v>
      </c>
      <c r="J357" s="6" t="str">
        <f aca="false">ROUND(80*1,0)&amp;"%"</f>
        <v>80%</v>
      </c>
    </row>
    <row r="358" customFormat="false" ht="15" hidden="false" customHeight="false" outlineLevel="0" collapsed="false">
      <c r="A358" s="5" t="s">
        <v>1120</v>
      </c>
      <c r="B358" s="5" t="s">
        <v>574</v>
      </c>
      <c r="C358" s="5" t="s">
        <v>57</v>
      </c>
      <c r="D358" s="5" t="s">
        <v>39</v>
      </c>
      <c r="E358" s="5" t="n">
        <f aca="false">ROUND(4067*1.05,2)</f>
        <v>4270.35</v>
      </c>
      <c r="F358" s="5" t="s">
        <v>40</v>
      </c>
      <c r="G358" s="5" t="s">
        <v>24</v>
      </c>
      <c r="H358" s="5" t="n">
        <f aca="true">ROUND(RAND()*4+6,1)</f>
        <v>8.7</v>
      </c>
      <c r="I358" s="5" t="s">
        <v>41</v>
      </c>
      <c r="J358" s="5" t="str">
        <f aca="false">ROUND(86*1,0)&amp;"%"</f>
        <v>86%</v>
      </c>
    </row>
    <row r="359" customFormat="false" ht="15" hidden="false" customHeight="false" outlineLevel="0" collapsed="false">
      <c r="A359" s="6" t="s">
        <v>1121</v>
      </c>
      <c r="B359" s="6" t="s">
        <v>576</v>
      </c>
      <c r="C359" s="6" t="s">
        <v>57</v>
      </c>
      <c r="D359" s="6" t="s">
        <v>44</v>
      </c>
      <c r="E359" s="6" t="n">
        <f aca="false">ROUND(13363*1.05,2)</f>
        <v>14031.15</v>
      </c>
      <c r="F359" s="6" t="s">
        <v>45</v>
      </c>
      <c r="G359" s="6" t="s">
        <v>30</v>
      </c>
      <c r="H359" s="6" t="n">
        <f aca="true">ROUND(RAND()*4+6,1)</f>
        <v>9.8</v>
      </c>
      <c r="I359" s="6" t="s">
        <v>46</v>
      </c>
      <c r="J359" s="6" t="str">
        <f aca="false">ROUND(93*1,0)&amp;"%"</f>
        <v>93%</v>
      </c>
    </row>
    <row r="360" customFormat="false" ht="15" hidden="false" customHeight="false" outlineLevel="0" collapsed="false">
      <c r="A360" s="5" t="s">
        <v>1122</v>
      </c>
      <c r="B360" s="5" t="s">
        <v>578</v>
      </c>
      <c r="C360" s="5" t="s">
        <v>57</v>
      </c>
      <c r="D360" s="5" t="s">
        <v>16</v>
      </c>
      <c r="E360" s="5" t="n">
        <f aca="false">ROUND(8223*1.05,2)</f>
        <v>8634.15</v>
      </c>
      <c r="F360" s="5" t="s">
        <v>49</v>
      </c>
      <c r="G360" s="5" t="s">
        <v>18</v>
      </c>
      <c r="H360" s="5" t="n">
        <f aca="true">ROUND(RAND()*4+6,1)</f>
        <v>6.8</v>
      </c>
      <c r="I360" s="5" t="s">
        <v>19</v>
      </c>
      <c r="J360" s="5" t="str">
        <f aca="false">ROUND(76*1,0)&amp;"%"</f>
        <v>76%</v>
      </c>
    </row>
    <row r="361" customFormat="false" ht="15" hidden="false" customHeight="false" outlineLevel="0" collapsed="false">
      <c r="A361" s="6" t="s">
        <v>1123</v>
      </c>
      <c r="B361" s="6" t="s">
        <v>580</v>
      </c>
      <c r="C361" s="6" t="s">
        <v>57</v>
      </c>
      <c r="D361" s="6" t="s">
        <v>22</v>
      </c>
      <c r="E361" s="6" t="n">
        <f aca="false">ROUND(13830*1.05,2)</f>
        <v>14521.5</v>
      </c>
      <c r="F361" s="6" t="s">
        <v>52</v>
      </c>
      <c r="G361" s="6" t="s">
        <v>24</v>
      </c>
      <c r="H361" s="6" t="n">
        <f aca="true">ROUND(RAND()*4+6,1)</f>
        <v>8.7</v>
      </c>
      <c r="I361" s="6" t="s">
        <v>25</v>
      </c>
      <c r="J361" s="6" t="str">
        <f aca="false">ROUND(60*1,0)&amp;"%"</f>
        <v>60%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1125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1126</v>
      </c>
      <c r="B6" s="5" t="s">
        <v>14</v>
      </c>
      <c r="C6" s="5" t="s">
        <v>15</v>
      </c>
      <c r="D6" s="5" t="s">
        <v>16</v>
      </c>
      <c r="E6" s="5" t="n">
        <f aca="false">ROUND(6456*1.05,2)</f>
        <v>6778.8</v>
      </c>
      <c r="F6" s="5" t="s">
        <v>17</v>
      </c>
      <c r="G6" s="5" t="s">
        <v>18</v>
      </c>
      <c r="H6" s="5" t="n">
        <f aca="true">ROUND(RAND()*4+6,1)</f>
        <v>8.5</v>
      </c>
      <c r="I6" s="5" t="s">
        <v>19</v>
      </c>
      <c r="J6" s="5" t="str">
        <f aca="false">ROUND(71*1,0)&amp;"%"</f>
        <v>71%</v>
      </c>
    </row>
    <row r="7" customFormat="false" ht="15" hidden="false" customHeight="false" outlineLevel="0" collapsed="false">
      <c r="A7" s="6" t="s">
        <v>1127</v>
      </c>
      <c r="B7" s="6" t="s">
        <v>21</v>
      </c>
      <c r="C7" s="6" t="s">
        <v>15</v>
      </c>
      <c r="D7" s="6" t="s">
        <v>22</v>
      </c>
      <c r="E7" s="6" t="n">
        <f aca="false">ROUND(13952*1.05,2)</f>
        <v>14649.6</v>
      </c>
      <c r="F7" s="6" t="s">
        <v>23</v>
      </c>
      <c r="G7" s="6" t="s">
        <v>24</v>
      </c>
      <c r="H7" s="6" t="n">
        <f aca="true">ROUND(RAND()*4+6,1)</f>
        <v>6.4</v>
      </c>
      <c r="I7" s="6" t="s">
        <v>25</v>
      </c>
      <c r="J7" s="6" t="str">
        <f aca="false">ROUND(63*1,0)&amp;"%"</f>
        <v>63%</v>
      </c>
    </row>
    <row r="8" customFormat="false" ht="15" hidden="false" customHeight="false" outlineLevel="0" collapsed="false">
      <c r="A8" s="5" t="s">
        <v>1128</v>
      </c>
      <c r="B8" s="5" t="s">
        <v>27</v>
      </c>
      <c r="C8" s="5" t="s">
        <v>15</v>
      </c>
      <c r="D8" s="5" t="s">
        <v>28</v>
      </c>
      <c r="E8" s="5" t="n">
        <f aca="false">ROUND(8760*1.05,2)</f>
        <v>9198</v>
      </c>
      <c r="F8" s="5" t="s">
        <v>29</v>
      </c>
      <c r="G8" s="5" t="s">
        <v>30</v>
      </c>
      <c r="H8" s="5" t="n">
        <f aca="true">ROUND(RAND()*4+6,1)</f>
        <v>9</v>
      </c>
      <c r="I8" s="5" t="s">
        <v>31</v>
      </c>
      <c r="J8" s="5" t="str">
        <f aca="false">ROUND(81*1,0)&amp;"%"</f>
        <v>81%</v>
      </c>
    </row>
    <row r="9" customFormat="false" ht="15" hidden="false" customHeight="false" outlineLevel="0" collapsed="false">
      <c r="A9" s="6" t="s">
        <v>1129</v>
      </c>
      <c r="B9" s="6" t="s">
        <v>33</v>
      </c>
      <c r="C9" s="6" t="s">
        <v>15</v>
      </c>
      <c r="D9" s="6" t="s">
        <v>34</v>
      </c>
      <c r="E9" s="6" t="n">
        <f aca="false">ROUND(10229*1.05,2)</f>
        <v>10740.45</v>
      </c>
      <c r="F9" s="6" t="s">
        <v>35</v>
      </c>
      <c r="G9" s="6" t="s">
        <v>18</v>
      </c>
      <c r="H9" s="6" t="n">
        <f aca="true">ROUND(RAND()*4+6,1)</f>
        <v>7.7</v>
      </c>
      <c r="I9" s="6" t="s">
        <v>36</v>
      </c>
      <c r="J9" s="6" t="str">
        <f aca="false">ROUND(61*1,0)&amp;"%"</f>
        <v>61%</v>
      </c>
    </row>
    <row r="10" customFormat="false" ht="15" hidden="false" customHeight="false" outlineLevel="0" collapsed="false">
      <c r="A10" s="5" t="s">
        <v>1130</v>
      </c>
      <c r="B10" s="5" t="s">
        <v>38</v>
      </c>
      <c r="C10" s="5" t="s">
        <v>15</v>
      </c>
      <c r="D10" s="5" t="s">
        <v>39</v>
      </c>
      <c r="E10" s="5" t="n">
        <f aca="false">ROUND(17222*1.05,2)</f>
        <v>18083.1</v>
      </c>
      <c r="F10" s="5" t="s">
        <v>40</v>
      </c>
      <c r="G10" s="5" t="s">
        <v>24</v>
      </c>
      <c r="H10" s="5" t="n">
        <f aca="true">ROUND(RAND()*4+6,1)</f>
        <v>6.4</v>
      </c>
      <c r="I10" s="5" t="s">
        <v>41</v>
      </c>
      <c r="J10" s="5" t="str">
        <f aca="false">ROUND(83*1,0)&amp;"%"</f>
        <v>83%</v>
      </c>
    </row>
    <row r="11" customFormat="false" ht="15" hidden="false" customHeight="false" outlineLevel="0" collapsed="false">
      <c r="A11" s="6" t="s">
        <v>1131</v>
      </c>
      <c r="B11" s="6" t="s">
        <v>43</v>
      </c>
      <c r="C11" s="6" t="s">
        <v>15</v>
      </c>
      <c r="D11" s="6" t="s">
        <v>44</v>
      </c>
      <c r="E11" s="6" t="n">
        <f aca="false">ROUND(8349*1.05,2)</f>
        <v>8766.45</v>
      </c>
      <c r="F11" s="6" t="s">
        <v>45</v>
      </c>
      <c r="G11" s="6" t="s">
        <v>30</v>
      </c>
      <c r="H11" s="6" t="n">
        <f aca="true">ROUND(RAND()*4+6,1)</f>
        <v>9.5</v>
      </c>
      <c r="I11" s="6" t="s">
        <v>46</v>
      </c>
      <c r="J11" s="6" t="str">
        <f aca="false">ROUND(66*1,0)&amp;"%"</f>
        <v>66%</v>
      </c>
    </row>
    <row r="12" customFormat="false" ht="15" hidden="false" customHeight="false" outlineLevel="0" collapsed="false">
      <c r="A12" s="5" t="s">
        <v>1132</v>
      </c>
      <c r="B12" s="5" t="s">
        <v>48</v>
      </c>
      <c r="C12" s="5" t="s">
        <v>15</v>
      </c>
      <c r="D12" s="5" t="s">
        <v>16</v>
      </c>
      <c r="E12" s="5" t="n">
        <f aca="false">ROUND(8507*1.05,2)</f>
        <v>8932.35</v>
      </c>
      <c r="F12" s="5" t="s">
        <v>49</v>
      </c>
      <c r="G12" s="5" t="s">
        <v>18</v>
      </c>
      <c r="H12" s="5" t="n">
        <f aca="true">ROUND(RAND()*4+6,1)</f>
        <v>7.6</v>
      </c>
      <c r="I12" s="5" t="s">
        <v>19</v>
      </c>
      <c r="J12" s="5" t="str">
        <f aca="false">ROUND(87*1,0)&amp;"%"</f>
        <v>87%</v>
      </c>
    </row>
    <row r="13" customFormat="false" ht="15" hidden="false" customHeight="false" outlineLevel="0" collapsed="false">
      <c r="A13" s="6" t="s">
        <v>1133</v>
      </c>
      <c r="B13" s="6" t="s">
        <v>51</v>
      </c>
      <c r="C13" s="6" t="s">
        <v>15</v>
      </c>
      <c r="D13" s="6" t="s">
        <v>22</v>
      </c>
      <c r="E13" s="6" t="n">
        <f aca="false">ROUND(6337*1.05,2)</f>
        <v>6653.85</v>
      </c>
      <c r="F13" s="6" t="s">
        <v>52</v>
      </c>
      <c r="G13" s="6" t="s">
        <v>24</v>
      </c>
      <c r="H13" s="6" t="n">
        <f aca="true">ROUND(RAND()*4+6,1)</f>
        <v>7.3</v>
      </c>
      <c r="I13" s="6" t="s">
        <v>25</v>
      </c>
      <c r="J13" s="6" t="str">
        <f aca="false">ROUND(69*1,0)&amp;"%"</f>
        <v>69%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1134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1135</v>
      </c>
      <c r="B18" s="5" t="s">
        <v>56</v>
      </c>
      <c r="C18" s="5" t="s">
        <v>57</v>
      </c>
      <c r="D18" s="5" t="s">
        <v>16</v>
      </c>
      <c r="E18" s="5" t="n">
        <f aca="false">ROUND(4703*1.05,2)</f>
        <v>4938.15</v>
      </c>
      <c r="F18" s="5" t="s">
        <v>17</v>
      </c>
      <c r="G18" s="5" t="s">
        <v>18</v>
      </c>
      <c r="H18" s="5" t="n">
        <f aca="true">ROUND(RAND()*4+6,1)</f>
        <v>6.2</v>
      </c>
      <c r="I18" s="5" t="s">
        <v>19</v>
      </c>
      <c r="J18" s="5" t="str">
        <f aca="false">ROUND(77*1,0)&amp;"%"</f>
        <v>77%</v>
      </c>
    </row>
    <row r="19" customFormat="false" ht="15" hidden="false" customHeight="false" outlineLevel="0" collapsed="false">
      <c r="A19" s="6" t="s">
        <v>1136</v>
      </c>
      <c r="B19" s="6" t="s">
        <v>59</v>
      </c>
      <c r="C19" s="6" t="s">
        <v>57</v>
      </c>
      <c r="D19" s="6" t="s">
        <v>22</v>
      </c>
      <c r="E19" s="6" t="n">
        <f aca="false">ROUND(4541*1.05,2)</f>
        <v>4768.05</v>
      </c>
      <c r="F19" s="6" t="s">
        <v>23</v>
      </c>
      <c r="G19" s="6" t="s">
        <v>24</v>
      </c>
      <c r="H19" s="6" t="n">
        <f aca="true">ROUND(RAND()*4+6,1)</f>
        <v>9.9</v>
      </c>
      <c r="I19" s="6" t="s">
        <v>25</v>
      </c>
      <c r="J19" s="6" t="str">
        <f aca="false">ROUND(75*1,0)&amp;"%"</f>
        <v>75%</v>
      </c>
    </row>
    <row r="20" customFormat="false" ht="15" hidden="false" customHeight="false" outlineLevel="0" collapsed="false">
      <c r="A20" s="5" t="s">
        <v>1137</v>
      </c>
      <c r="B20" s="5" t="s">
        <v>61</v>
      </c>
      <c r="C20" s="5" t="s">
        <v>57</v>
      </c>
      <c r="D20" s="5" t="s">
        <v>28</v>
      </c>
      <c r="E20" s="5" t="n">
        <f aca="false">ROUND(10010*1.05,2)</f>
        <v>10510.5</v>
      </c>
      <c r="F20" s="5" t="s">
        <v>29</v>
      </c>
      <c r="G20" s="5" t="s">
        <v>30</v>
      </c>
      <c r="H20" s="5" t="n">
        <f aca="true">ROUND(RAND()*4+6,1)</f>
        <v>9.5</v>
      </c>
      <c r="I20" s="5" t="s">
        <v>31</v>
      </c>
      <c r="J20" s="5" t="str">
        <f aca="false">ROUND(87*1,0)&amp;"%"</f>
        <v>87%</v>
      </c>
    </row>
    <row r="21" customFormat="false" ht="15" hidden="false" customHeight="false" outlineLevel="0" collapsed="false">
      <c r="A21" s="6" t="s">
        <v>1138</v>
      </c>
      <c r="B21" s="6" t="s">
        <v>63</v>
      </c>
      <c r="C21" s="6" t="s">
        <v>57</v>
      </c>
      <c r="D21" s="6" t="s">
        <v>34</v>
      </c>
      <c r="E21" s="6" t="n">
        <f aca="false">ROUND(11331*1.05,2)</f>
        <v>11897.55</v>
      </c>
      <c r="F21" s="6" t="s">
        <v>35</v>
      </c>
      <c r="G21" s="6" t="s">
        <v>18</v>
      </c>
      <c r="H21" s="6" t="n">
        <f aca="true">ROUND(RAND()*4+6,1)</f>
        <v>9</v>
      </c>
      <c r="I21" s="6" t="s">
        <v>36</v>
      </c>
      <c r="J21" s="6" t="str">
        <f aca="false">ROUND(75*1,0)&amp;"%"</f>
        <v>75%</v>
      </c>
    </row>
    <row r="22" customFormat="false" ht="15" hidden="false" customHeight="false" outlineLevel="0" collapsed="false">
      <c r="A22" s="5" t="s">
        <v>1139</v>
      </c>
      <c r="B22" s="5" t="s">
        <v>65</v>
      </c>
      <c r="C22" s="5" t="s">
        <v>57</v>
      </c>
      <c r="D22" s="5" t="s">
        <v>39</v>
      </c>
      <c r="E22" s="5" t="n">
        <f aca="false">ROUND(15307*1.05,2)</f>
        <v>16072.35</v>
      </c>
      <c r="F22" s="5" t="s">
        <v>40</v>
      </c>
      <c r="G22" s="5" t="s">
        <v>24</v>
      </c>
      <c r="H22" s="5" t="n">
        <f aca="true">ROUND(RAND()*4+6,1)</f>
        <v>8.1</v>
      </c>
      <c r="I22" s="5" t="s">
        <v>41</v>
      </c>
      <c r="J22" s="5" t="str">
        <f aca="false">ROUND(98*1,0)&amp;"%"</f>
        <v>98%</v>
      </c>
    </row>
    <row r="23" customFormat="false" ht="15" hidden="false" customHeight="false" outlineLevel="0" collapsed="false">
      <c r="A23" s="6" t="s">
        <v>1140</v>
      </c>
      <c r="B23" s="6" t="s">
        <v>67</v>
      </c>
      <c r="C23" s="6" t="s">
        <v>57</v>
      </c>
      <c r="D23" s="6" t="s">
        <v>44</v>
      </c>
      <c r="E23" s="6" t="n">
        <f aca="false">ROUND(6512*1.05,2)</f>
        <v>6837.6</v>
      </c>
      <c r="F23" s="6" t="s">
        <v>45</v>
      </c>
      <c r="G23" s="6" t="s">
        <v>30</v>
      </c>
      <c r="H23" s="6" t="n">
        <f aca="true">ROUND(RAND()*4+6,1)</f>
        <v>9.2</v>
      </c>
      <c r="I23" s="6" t="s">
        <v>46</v>
      </c>
      <c r="J23" s="6" t="str">
        <f aca="false">ROUND(91*1,0)&amp;"%"</f>
        <v>91%</v>
      </c>
    </row>
    <row r="24" customFormat="false" ht="15" hidden="false" customHeight="false" outlineLevel="0" collapsed="false">
      <c r="A24" s="5" t="s">
        <v>1141</v>
      </c>
      <c r="B24" s="5" t="s">
        <v>69</v>
      </c>
      <c r="C24" s="5" t="s">
        <v>57</v>
      </c>
      <c r="D24" s="5" t="s">
        <v>16</v>
      </c>
      <c r="E24" s="5" t="n">
        <f aca="false">ROUND(11487*1.05,2)</f>
        <v>12061.35</v>
      </c>
      <c r="F24" s="5" t="s">
        <v>49</v>
      </c>
      <c r="G24" s="5" t="s">
        <v>18</v>
      </c>
      <c r="H24" s="5" t="n">
        <f aca="true">ROUND(RAND()*4+6,1)</f>
        <v>6.8</v>
      </c>
      <c r="I24" s="5" t="s">
        <v>19</v>
      </c>
      <c r="J24" s="5" t="str">
        <f aca="false">ROUND(62*1,0)&amp;"%"</f>
        <v>62%</v>
      </c>
    </row>
    <row r="25" customFormat="false" ht="15" hidden="false" customHeight="false" outlineLevel="0" collapsed="false">
      <c r="A25" s="6" t="s">
        <v>1142</v>
      </c>
      <c r="B25" s="6" t="s">
        <v>71</v>
      </c>
      <c r="C25" s="6" t="s">
        <v>57</v>
      </c>
      <c r="D25" s="6" t="s">
        <v>22</v>
      </c>
      <c r="E25" s="6" t="n">
        <f aca="false">ROUND(17564*1.05,2)</f>
        <v>18442.2</v>
      </c>
      <c r="F25" s="6" t="s">
        <v>52</v>
      </c>
      <c r="G25" s="6" t="s">
        <v>24</v>
      </c>
      <c r="H25" s="6" t="n">
        <f aca="true">ROUND(RAND()*4+6,1)</f>
        <v>6.8</v>
      </c>
      <c r="I25" s="6" t="s">
        <v>25</v>
      </c>
      <c r="J25" s="6" t="str">
        <f aca="false">ROUND(92*1,0)&amp;"%"</f>
        <v>92%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1143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1144</v>
      </c>
      <c r="B30" s="5" t="s">
        <v>75</v>
      </c>
      <c r="C30" s="5" t="s">
        <v>76</v>
      </c>
      <c r="D30" s="5" t="s">
        <v>16</v>
      </c>
      <c r="E30" s="5" t="n">
        <f aca="false">ROUND(4603*1.05,2)</f>
        <v>4833.15</v>
      </c>
      <c r="F30" s="5" t="s">
        <v>17</v>
      </c>
      <c r="G30" s="5" t="s">
        <v>18</v>
      </c>
      <c r="H30" s="5" t="n">
        <f aca="true">ROUND(RAND()*4+6,1)</f>
        <v>7.2</v>
      </c>
      <c r="I30" s="5" t="s">
        <v>19</v>
      </c>
      <c r="J30" s="5" t="str">
        <f aca="false">ROUND(82*1,0)&amp;"%"</f>
        <v>82%</v>
      </c>
    </row>
    <row r="31" customFormat="false" ht="15" hidden="false" customHeight="false" outlineLevel="0" collapsed="false">
      <c r="A31" s="6" t="s">
        <v>1145</v>
      </c>
      <c r="B31" s="6" t="s">
        <v>78</v>
      </c>
      <c r="C31" s="6" t="s">
        <v>76</v>
      </c>
      <c r="D31" s="6" t="s">
        <v>22</v>
      </c>
      <c r="E31" s="6" t="n">
        <f aca="false">ROUND(12478*1.05,2)</f>
        <v>13101.9</v>
      </c>
      <c r="F31" s="6" t="s">
        <v>23</v>
      </c>
      <c r="G31" s="6" t="s">
        <v>24</v>
      </c>
      <c r="H31" s="6" t="n">
        <f aca="true">ROUND(RAND()*4+6,1)</f>
        <v>7.9</v>
      </c>
      <c r="I31" s="6" t="s">
        <v>25</v>
      </c>
      <c r="J31" s="6" t="str">
        <f aca="false">ROUND(61*1,0)&amp;"%"</f>
        <v>61%</v>
      </c>
    </row>
    <row r="32" customFormat="false" ht="15" hidden="false" customHeight="false" outlineLevel="0" collapsed="false">
      <c r="A32" s="5" t="s">
        <v>1146</v>
      </c>
      <c r="B32" s="5" t="s">
        <v>80</v>
      </c>
      <c r="C32" s="5" t="s">
        <v>76</v>
      </c>
      <c r="D32" s="5" t="s">
        <v>28</v>
      </c>
      <c r="E32" s="5" t="n">
        <f aca="false">ROUND(13138*1.05,2)</f>
        <v>13794.9</v>
      </c>
      <c r="F32" s="5" t="s">
        <v>29</v>
      </c>
      <c r="G32" s="5" t="s">
        <v>30</v>
      </c>
      <c r="H32" s="5" t="n">
        <f aca="true">ROUND(RAND()*4+6,1)</f>
        <v>9.9</v>
      </c>
      <c r="I32" s="5" t="s">
        <v>31</v>
      </c>
      <c r="J32" s="5" t="str">
        <f aca="false">ROUND(93*1,0)&amp;"%"</f>
        <v>93%</v>
      </c>
    </row>
    <row r="33" customFormat="false" ht="15" hidden="false" customHeight="false" outlineLevel="0" collapsed="false">
      <c r="A33" s="6" t="s">
        <v>1147</v>
      </c>
      <c r="B33" s="6" t="s">
        <v>82</v>
      </c>
      <c r="C33" s="6" t="s">
        <v>76</v>
      </c>
      <c r="D33" s="6" t="s">
        <v>34</v>
      </c>
      <c r="E33" s="6" t="n">
        <f aca="false">ROUND(6356*1.05,2)</f>
        <v>6673.8</v>
      </c>
      <c r="F33" s="6" t="s">
        <v>35</v>
      </c>
      <c r="G33" s="6" t="s">
        <v>18</v>
      </c>
      <c r="H33" s="6" t="n">
        <f aca="true">ROUND(RAND()*4+6,1)</f>
        <v>7.6</v>
      </c>
      <c r="I33" s="6" t="s">
        <v>36</v>
      </c>
      <c r="J33" s="6" t="str">
        <f aca="false">ROUND(74*1,0)&amp;"%"</f>
        <v>74%</v>
      </c>
    </row>
    <row r="34" customFormat="false" ht="15" hidden="false" customHeight="false" outlineLevel="0" collapsed="false">
      <c r="A34" s="5" t="s">
        <v>1148</v>
      </c>
      <c r="B34" s="5" t="s">
        <v>84</v>
      </c>
      <c r="C34" s="5" t="s">
        <v>76</v>
      </c>
      <c r="D34" s="5" t="s">
        <v>39</v>
      </c>
      <c r="E34" s="5" t="n">
        <f aca="false">ROUND(12759*1.05,2)</f>
        <v>13396.95</v>
      </c>
      <c r="F34" s="5" t="s">
        <v>40</v>
      </c>
      <c r="G34" s="5" t="s">
        <v>24</v>
      </c>
      <c r="H34" s="5" t="n">
        <f aca="true">ROUND(RAND()*4+6,1)</f>
        <v>8.5</v>
      </c>
      <c r="I34" s="5" t="s">
        <v>41</v>
      </c>
      <c r="J34" s="5" t="str">
        <f aca="false">ROUND(91*1,0)&amp;"%"</f>
        <v>91%</v>
      </c>
    </row>
    <row r="35" customFormat="false" ht="15" hidden="false" customHeight="false" outlineLevel="0" collapsed="false">
      <c r="A35" s="6" t="s">
        <v>1149</v>
      </c>
      <c r="B35" s="6" t="s">
        <v>86</v>
      </c>
      <c r="C35" s="6" t="s">
        <v>76</v>
      </c>
      <c r="D35" s="6" t="s">
        <v>44</v>
      </c>
      <c r="E35" s="6" t="n">
        <f aca="false">ROUND(17439*1.05,2)</f>
        <v>18310.95</v>
      </c>
      <c r="F35" s="6" t="s">
        <v>45</v>
      </c>
      <c r="G35" s="6" t="s">
        <v>30</v>
      </c>
      <c r="H35" s="6" t="n">
        <f aca="true">ROUND(RAND()*4+6,1)</f>
        <v>7</v>
      </c>
      <c r="I35" s="6" t="s">
        <v>46</v>
      </c>
      <c r="J35" s="6" t="str">
        <f aca="false">ROUND(86*1,0)&amp;"%"</f>
        <v>86%</v>
      </c>
    </row>
    <row r="36" customFormat="false" ht="15" hidden="false" customHeight="false" outlineLevel="0" collapsed="false">
      <c r="A36" s="5" t="s">
        <v>1150</v>
      </c>
      <c r="B36" s="5" t="s">
        <v>88</v>
      </c>
      <c r="C36" s="5" t="s">
        <v>76</v>
      </c>
      <c r="D36" s="5" t="s">
        <v>16</v>
      </c>
      <c r="E36" s="5" t="n">
        <f aca="false">ROUND(7095*1.05,2)</f>
        <v>7449.75</v>
      </c>
      <c r="F36" s="5" t="s">
        <v>49</v>
      </c>
      <c r="G36" s="5" t="s">
        <v>18</v>
      </c>
      <c r="H36" s="5" t="n">
        <f aca="true">ROUND(RAND()*4+6,1)</f>
        <v>6.2</v>
      </c>
      <c r="I36" s="5" t="s">
        <v>19</v>
      </c>
      <c r="J36" s="5" t="str">
        <f aca="false">ROUND(79*1,0)&amp;"%"</f>
        <v>79%</v>
      </c>
    </row>
    <row r="37" customFormat="false" ht="15" hidden="false" customHeight="false" outlineLevel="0" collapsed="false">
      <c r="A37" s="6" t="s">
        <v>1151</v>
      </c>
      <c r="B37" s="6" t="s">
        <v>90</v>
      </c>
      <c r="C37" s="6" t="s">
        <v>76</v>
      </c>
      <c r="D37" s="6" t="s">
        <v>22</v>
      </c>
      <c r="E37" s="6" t="n">
        <f aca="false">ROUND(9234*1.05,2)</f>
        <v>9695.7</v>
      </c>
      <c r="F37" s="6" t="s">
        <v>52</v>
      </c>
      <c r="G37" s="6" t="s">
        <v>24</v>
      </c>
      <c r="H37" s="6" t="n">
        <f aca="true">ROUND(RAND()*4+6,1)</f>
        <v>9.1</v>
      </c>
      <c r="I37" s="6" t="s">
        <v>25</v>
      </c>
      <c r="J37" s="6" t="str">
        <f aca="false">ROUND(100*1,0)&amp;"%"</f>
        <v>100%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1152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1153</v>
      </c>
      <c r="B42" s="5" t="s">
        <v>94</v>
      </c>
      <c r="C42" s="5" t="s">
        <v>95</v>
      </c>
      <c r="D42" s="5" t="s">
        <v>16</v>
      </c>
      <c r="E42" s="5" t="n">
        <f aca="false">ROUND(12086*1.05,2)</f>
        <v>12690.3</v>
      </c>
      <c r="F42" s="5" t="s">
        <v>17</v>
      </c>
      <c r="G42" s="5" t="s">
        <v>18</v>
      </c>
      <c r="H42" s="5" t="n">
        <f aca="true">ROUND(RAND()*4+6,1)</f>
        <v>8.1</v>
      </c>
      <c r="I42" s="5" t="s">
        <v>19</v>
      </c>
      <c r="J42" s="5" t="str">
        <f aca="false">ROUND(77*1,0)&amp;"%"</f>
        <v>77%</v>
      </c>
    </row>
    <row r="43" customFormat="false" ht="15" hidden="false" customHeight="false" outlineLevel="0" collapsed="false">
      <c r="A43" s="6" t="s">
        <v>1154</v>
      </c>
      <c r="B43" s="6" t="s">
        <v>97</v>
      </c>
      <c r="C43" s="6" t="s">
        <v>95</v>
      </c>
      <c r="D43" s="6" t="s">
        <v>22</v>
      </c>
      <c r="E43" s="6" t="n">
        <f aca="false">ROUND(17512*1.05,2)</f>
        <v>18387.6</v>
      </c>
      <c r="F43" s="6" t="s">
        <v>23</v>
      </c>
      <c r="G43" s="6" t="s">
        <v>24</v>
      </c>
      <c r="H43" s="6" t="n">
        <f aca="true">ROUND(RAND()*4+6,1)</f>
        <v>9.7</v>
      </c>
      <c r="I43" s="6" t="s">
        <v>25</v>
      </c>
      <c r="J43" s="6" t="str">
        <f aca="false">ROUND(74*1,0)&amp;"%"</f>
        <v>74%</v>
      </c>
    </row>
    <row r="44" customFormat="false" ht="15" hidden="false" customHeight="false" outlineLevel="0" collapsed="false">
      <c r="A44" s="5" t="s">
        <v>1155</v>
      </c>
      <c r="B44" s="5" t="s">
        <v>99</v>
      </c>
      <c r="C44" s="5" t="s">
        <v>95</v>
      </c>
      <c r="D44" s="5" t="s">
        <v>28</v>
      </c>
      <c r="E44" s="5" t="n">
        <f aca="false">ROUND(7861*1.05,2)</f>
        <v>8254.05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ROUND(79*1,0)&amp;"%"</f>
        <v>79%</v>
      </c>
    </row>
    <row r="45" customFormat="false" ht="15" hidden="false" customHeight="false" outlineLevel="0" collapsed="false">
      <c r="A45" s="6" t="s">
        <v>1156</v>
      </c>
      <c r="B45" s="6" t="s">
        <v>101</v>
      </c>
      <c r="C45" s="6" t="s">
        <v>95</v>
      </c>
      <c r="D45" s="6" t="s">
        <v>34</v>
      </c>
      <c r="E45" s="6" t="n">
        <f aca="false">ROUND(7269*1.05,2)</f>
        <v>7632.45</v>
      </c>
      <c r="F45" s="6" t="s">
        <v>35</v>
      </c>
      <c r="G45" s="6" t="s">
        <v>18</v>
      </c>
      <c r="H45" s="6" t="n">
        <f aca="true">ROUND(RAND()*4+6,1)</f>
        <v>6.9</v>
      </c>
      <c r="I45" s="6" t="s">
        <v>36</v>
      </c>
      <c r="J45" s="6" t="str">
        <f aca="false">ROUND(91*1,0)&amp;"%"</f>
        <v>91%</v>
      </c>
    </row>
    <row r="46" customFormat="false" ht="15" hidden="false" customHeight="false" outlineLevel="0" collapsed="false">
      <c r="A46" s="5" t="s">
        <v>1157</v>
      </c>
      <c r="B46" s="5" t="s">
        <v>103</v>
      </c>
      <c r="C46" s="5" t="s">
        <v>95</v>
      </c>
      <c r="D46" s="5" t="s">
        <v>39</v>
      </c>
      <c r="E46" s="5" t="n">
        <f aca="false">ROUND(11302*1.05,2)</f>
        <v>11867.1</v>
      </c>
      <c r="F46" s="5" t="s">
        <v>40</v>
      </c>
      <c r="G46" s="5" t="s">
        <v>24</v>
      </c>
      <c r="H46" s="5" t="n">
        <f aca="true">ROUND(RAND()*4+6,1)</f>
        <v>8.3</v>
      </c>
      <c r="I46" s="5" t="s">
        <v>41</v>
      </c>
      <c r="J46" s="5" t="str">
        <f aca="false">ROUND(61*1,0)&amp;"%"</f>
        <v>61%</v>
      </c>
    </row>
    <row r="47" customFormat="false" ht="15" hidden="false" customHeight="false" outlineLevel="0" collapsed="false">
      <c r="A47" s="6" t="s">
        <v>1158</v>
      </c>
      <c r="B47" s="6" t="s">
        <v>105</v>
      </c>
      <c r="C47" s="6" t="s">
        <v>95</v>
      </c>
      <c r="D47" s="6" t="s">
        <v>44</v>
      </c>
      <c r="E47" s="6" t="n">
        <f aca="false">ROUND(14743*1.05,2)</f>
        <v>15480.15</v>
      </c>
      <c r="F47" s="6" t="s">
        <v>45</v>
      </c>
      <c r="G47" s="6" t="s">
        <v>30</v>
      </c>
      <c r="H47" s="6" t="n">
        <f aca="true">ROUND(RAND()*4+6,1)</f>
        <v>9.1</v>
      </c>
      <c r="I47" s="6" t="s">
        <v>46</v>
      </c>
      <c r="J47" s="6" t="str">
        <f aca="false">ROUND(85*1,0)&amp;"%"</f>
        <v>85%</v>
      </c>
    </row>
    <row r="48" customFormat="false" ht="15" hidden="false" customHeight="false" outlineLevel="0" collapsed="false">
      <c r="A48" s="5" t="s">
        <v>1159</v>
      </c>
      <c r="B48" s="5" t="s">
        <v>107</v>
      </c>
      <c r="C48" s="5" t="s">
        <v>95</v>
      </c>
      <c r="D48" s="5" t="s">
        <v>16</v>
      </c>
      <c r="E48" s="5" t="n">
        <f aca="false">ROUND(10235*1.05,2)</f>
        <v>10746.75</v>
      </c>
      <c r="F48" s="5" t="s">
        <v>49</v>
      </c>
      <c r="G48" s="5" t="s">
        <v>18</v>
      </c>
      <c r="H48" s="5" t="n">
        <f aca="true">ROUND(RAND()*4+6,1)</f>
        <v>7.6</v>
      </c>
      <c r="I48" s="5" t="s">
        <v>19</v>
      </c>
      <c r="J48" s="5" t="str">
        <f aca="false">ROUND(91*1,0)&amp;"%"</f>
        <v>91%</v>
      </c>
    </row>
    <row r="49" customFormat="false" ht="15" hidden="false" customHeight="false" outlineLevel="0" collapsed="false">
      <c r="A49" s="6" t="s">
        <v>1160</v>
      </c>
      <c r="B49" s="6" t="s">
        <v>109</v>
      </c>
      <c r="C49" s="6" t="s">
        <v>95</v>
      </c>
      <c r="D49" s="6" t="s">
        <v>22</v>
      </c>
      <c r="E49" s="6" t="n">
        <f aca="false">ROUND(9912*1.05,2)</f>
        <v>10407.6</v>
      </c>
      <c r="F49" s="6" t="s">
        <v>52</v>
      </c>
      <c r="G49" s="6" t="s">
        <v>24</v>
      </c>
      <c r="H49" s="6" t="n">
        <f aca="true">ROUND(RAND()*4+6,1)</f>
        <v>8.1</v>
      </c>
      <c r="I49" s="6" t="s">
        <v>25</v>
      </c>
      <c r="J49" s="6" t="str">
        <f aca="false">ROUND(72*1,0)&amp;"%"</f>
        <v>72%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1161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1162</v>
      </c>
      <c r="B54" s="5" t="s">
        <v>113</v>
      </c>
      <c r="C54" s="5" t="s">
        <v>114</v>
      </c>
      <c r="D54" s="5" t="s">
        <v>16</v>
      </c>
      <c r="E54" s="5" t="n">
        <f aca="false">ROUND(6948*1.05,2)</f>
        <v>7295.4</v>
      </c>
      <c r="F54" s="5" t="s">
        <v>17</v>
      </c>
      <c r="G54" s="5" t="s">
        <v>18</v>
      </c>
      <c r="H54" s="5" t="n">
        <f aca="true">ROUND(RAND()*4+6,1)</f>
        <v>6.3</v>
      </c>
      <c r="I54" s="5" t="s">
        <v>19</v>
      </c>
      <c r="J54" s="5" t="str">
        <f aca="false">ROUND(92*1,0)&amp;"%"</f>
        <v>92%</v>
      </c>
    </row>
    <row r="55" customFormat="false" ht="15" hidden="false" customHeight="false" outlineLevel="0" collapsed="false">
      <c r="A55" s="6" t="s">
        <v>1163</v>
      </c>
      <c r="B55" s="6" t="s">
        <v>116</v>
      </c>
      <c r="C55" s="6" t="s">
        <v>114</v>
      </c>
      <c r="D55" s="6" t="s">
        <v>22</v>
      </c>
      <c r="E55" s="6" t="n">
        <f aca="false">ROUND(12619*1.05,2)</f>
        <v>13249.95</v>
      </c>
      <c r="F55" s="6" t="s">
        <v>23</v>
      </c>
      <c r="G55" s="6" t="s">
        <v>24</v>
      </c>
      <c r="H55" s="6" t="n">
        <f aca="true">ROUND(RAND()*4+6,1)</f>
        <v>6</v>
      </c>
      <c r="I55" s="6" t="s">
        <v>25</v>
      </c>
      <c r="J55" s="6" t="str">
        <f aca="false">ROUND(81*1,0)&amp;"%"</f>
        <v>81%</v>
      </c>
    </row>
    <row r="56" customFormat="false" ht="15" hidden="false" customHeight="false" outlineLevel="0" collapsed="false">
      <c r="A56" s="5" t="s">
        <v>1164</v>
      </c>
      <c r="B56" s="5" t="s">
        <v>118</v>
      </c>
      <c r="C56" s="5" t="s">
        <v>114</v>
      </c>
      <c r="D56" s="5" t="s">
        <v>28</v>
      </c>
      <c r="E56" s="5" t="n">
        <f aca="false">ROUND(14056*1.05,2)</f>
        <v>14758.8</v>
      </c>
      <c r="F56" s="5" t="s">
        <v>29</v>
      </c>
      <c r="G56" s="5" t="s">
        <v>30</v>
      </c>
      <c r="H56" s="5" t="n">
        <f aca="true">ROUND(RAND()*4+6,1)</f>
        <v>6.9</v>
      </c>
      <c r="I56" s="5" t="s">
        <v>31</v>
      </c>
      <c r="J56" s="5" t="str">
        <f aca="false">ROUND(99*1,0)&amp;"%"</f>
        <v>99%</v>
      </c>
    </row>
    <row r="57" customFormat="false" ht="15" hidden="false" customHeight="false" outlineLevel="0" collapsed="false">
      <c r="A57" s="6" t="s">
        <v>1165</v>
      </c>
      <c r="B57" s="6" t="s">
        <v>120</v>
      </c>
      <c r="C57" s="6" t="s">
        <v>114</v>
      </c>
      <c r="D57" s="6" t="s">
        <v>34</v>
      </c>
      <c r="E57" s="6" t="n">
        <f aca="false">ROUND(14324*1.05,2)</f>
        <v>15040.2</v>
      </c>
      <c r="F57" s="6" t="s">
        <v>35</v>
      </c>
      <c r="G57" s="6" t="s">
        <v>18</v>
      </c>
      <c r="H57" s="6" t="n">
        <f aca="true">ROUND(RAND()*4+6,1)</f>
        <v>6.1</v>
      </c>
      <c r="I57" s="6" t="s">
        <v>36</v>
      </c>
      <c r="J57" s="6" t="str">
        <f aca="false">ROUND(74*1,0)&amp;"%"</f>
        <v>74%</v>
      </c>
    </row>
    <row r="58" customFormat="false" ht="15" hidden="false" customHeight="false" outlineLevel="0" collapsed="false">
      <c r="A58" s="5" t="s">
        <v>1166</v>
      </c>
      <c r="B58" s="5" t="s">
        <v>122</v>
      </c>
      <c r="C58" s="5" t="s">
        <v>114</v>
      </c>
      <c r="D58" s="5" t="s">
        <v>39</v>
      </c>
      <c r="E58" s="5" t="n">
        <f aca="false">ROUND(4062*1.05,2)</f>
        <v>4265.1</v>
      </c>
      <c r="F58" s="5" t="s">
        <v>40</v>
      </c>
      <c r="G58" s="5" t="s">
        <v>24</v>
      </c>
      <c r="H58" s="5" t="n">
        <f aca="true">ROUND(RAND()*4+6,1)</f>
        <v>6.3</v>
      </c>
      <c r="I58" s="5" t="s">
        <v>41</v>
      </c>
      <c r="J58" s="5" t="str">
        <f aca="false">ROUND(94*1,0)&amp;"%"</f>
        <v>94%</v>
      </c>
    </row>
    <row r="59" customFormat="false" ht="15" hidden="false" customHeight="false" outlineLevel="0" collapsed="false">
      <c r="A59" s="6" t="s">
        <v>1167</v>
      </c>
      <c r="B59" s="6" t="s">
        <v>124</v>
      </c>
      <c r="C59" s="6" t="s">
        <v>114</v>
      </c>
      <c r="D59" s="6" t="s">
        <v>44</v>
      </c>
      <c r="E59" s="6" t="n">
        <f aca="false">ROUND(9501*1.05,2)</f>
        <v>9976.05</v>
      </c>
      <c r="F59" s="6" t="s">
        <v>45</v>
      </c>
      <c r="G59" s="6" t="s">
        <v>30</v>
      </c>
      <c r="H59" s="6" t="n">
        <f aca="true">ROUND(RAND()*4+6,1)</f>
        <v>8.5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1168</v>
      </c>
      <c r="B60" s="5" t="s">
        <v>126</v>
      </c>
      <c r="C60" s="5" t="s">
        <v>114</v>
      </c>
      <c r="D60" s="5" t="s">
        <v>16</v>
      </c>
      <c r="E60" s="5" t="n">
        <f aca="false">ROUND(12389*1.05,2)</f>
        <v>13008.45</v>
      </c>
      <c r="F60" s="5" t="s">
        <v>49</v>
      </c>
      <c r="G60" s="5" t="s">
        <v>18</v>
      </c>
      <c r="H60" s="5" t="n">
        <f aca="true">ROUND(RAND()*4+6,1)</f>
        <v>6.1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1169</v>
      </c>
      <c r="B61" s="6" t="s">
        <v>128</v>
      </c>
      <c r="C61" s="6" t="s">
        <v>114</v>
      </c>
      <c r="D61" s="6" t="s">
        <v>22</v>
      </c>
      <c r="E61" s="6" t="n">
        <f aca="false">ROUND(10921*1.05,2)</f>
        <v>11467.05</v>
      </c>
      <c r="F61" s="6" t="s">
        <v>52</v>
      </c>
      <c r="G61" s="6" t="s">
        <v>24</v>
      </c>
      <c r="H61" s="6" t="n">
        <f aca="true">ROUND(RAND()*4+6,1)</f>
        <v>7.3</v>
      </c>
      <c r="I61" s="6" t="s">
        <v>25</v>
      </c>
      <c r="J61" s="6" t="str">
        <f aca="false">ROUND(89*1,0)&amp;"%"</f>
        <v>89%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1170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1171</v>
      </c>
      <c r="B66" s="5" t="s">
        <v>132</v>
      </c>
      <c r="C66" s="5" t="s">
        <v>133</v>
      </c>
      <c r="D66" s="5" t="s">
        <v>16</v>
      </c>
      <c r="E66" s="5" t="n">
        <f aca="false">ROUND(12232*1.05,2)</f>
        <v>12843.6</v>
      </c>
      <c r="F66" s="5" t="s">
        <v>17</v>
      </c>
      <c r="G66" s="5" t="s">
        <v>18</v>
      </c>
      <c r="H66" s="5" t="n">
        <f aca="true">ROUND(RAND()*4+6,1)</f>
        <v>6.3</v>
      </c>
      <c r="I66" s="5" t="s">
        <v>19</v>
      </c>
      <c r="J66" s="5" t="str">
        <f aca="false">ROUND(87*1,0)&amp;"%"</f>
        <v>87%</v>
      </c>
    </row>
    <row r="67" customFormat="false" ht="15" hidden="false" customHeight="false" outlineLevel="0" collapsed="false">
      <c r="A67" s="6" t="s">
        <v>1172</v>
      </c>
      <c r="B67" s="6" t="s">
        <v>135</v>
      </c>
      <c r="C67" s="6" t="s">
        <v>133</v>
      </c>
      <c r="D67" s="6" t="s">
        <v>22</v>
      </c>
      <c r="E67" s="6" t="n">
        <f aca="false">ROUND(11200*1.05,2)</f>
        <v>11760</v>
      </c>
      <c r="F67" s="6" t="s">
        <v>23</v>
      </c>
      <c r="G67" s="6" t="s">
        <v>24</v>
      </c>
      <c r="H67" s="6" t="n">
        <f aca="true">ROUND(RAND()*4+6,1)</f>
        <v>10</v>
      </c>
      <c r="I67" s="6" t="s">
        <v>25</v>
      </c>
      <c r="J67" s="6" t="str">
        <f aca="false">ROUND(67*1,0)&amp;"%"</f>
        <v>67%</v>
      </c>
    </row>
    <row r="68" customFormat="false" ht="15" hidden="false" customHeight="false" outlineLevel="0" collapsed="false">
      <c r="A68" s="5" t="s">
        <v>1173</v>
      </c>
      <c r="B68" s="5" t="s">
        <v>137</v>
      </c>
      <c r="C68" s="5" t="s">
        <v>133</v>
      </c>
      <c r="D68" s="5" t="s">
        <v>28</v>
      </c>
      <c r="E68" s="5" t="n">
        <f aca="false">ROUND(6833*1.05,2)</f>
        <v>7174.65</v>
      </c>
      <c r="F68" s="5" t="s">
        <v>29</v>
      </c>
      <c r="G68" s="5" t="s">
        <v>30</v>
      </c>
      <c r="H68" s="5" t="n">
        <f aca="true">ROUND(RAND()*4+6,1)</f>
        <v>6.9</v>
      </c>
      <c r="I68" s="5" t="s">
        <v>31</v>
      </c>
      <c r="J68" s="5" t="str">
        <f aca="false">ROUND(90*1,0)&amp;"%"</f>
        <v>90%</v>
      </c>
    </row>
    <row r="69" customFormat="false" ht="15" hidden="false" customHeight="false" outlineLevel="0" collapsed="false">
      <c r="A69" s="6" t="s">
        <v>1174</v>
      </c>
      <c r="B69" s="6" t="s">
        <v>139</v>
      </c>
      <c r="C69" s="6" t="s">
        <v>133</v>
      </c>
      <c r="D69" s="6" t="s">
        <v>34</v>
      </c>
      <c r="E69" s="6" t="n">
        <f aca="false">ROUND(13144*1.05,2)</f>
        <v>13801.2</v>
      </c>
      <c r="F69" s="6" t="s">
        <v>35</v>
      </c>
      <c r="G69" s="6" t="s">
        <v>18</v>
      </c>
      <c r="H69" s="6" t="n">
        <f aca="true">ROUND(RAND()*4+6,1)</f>
        <v>7.8</v>
      </c>
      <c r="I69" s="6" t="s">
        <v>36</v>
      </c>
      <c r="J69" s="6" t="str">
        <f aca="false">ROUND(89*1,0)&amp;"%"</f>
        <v>89%</v>
      </c>
    </row>
    <row r="70" customFormat="false" ht="15" hidden="false" customHeight="false" outlineLevel="0" collapsed="false">
      <c r="A70" s="5" t="s">
        <v>1175</v>
      </c>
      <c r="B70" s="5" t="s">
        <v>141</v>
      </c>
      <c r="C70" s="5" t="s">
        <v>133</v>
      </c>
      <c r="D70" s="5" t="s">
        <v>39</v>
      </c>
      <c r="E70" s="5" t="n">
        <f aca="false">ROUND(9880*1.05,2)</f>
        <v>10374</v>
      </c>
      <c r="F70" s="5" t="s">
        <v>40</v>
      </c>
      <c r="G70" s="5" t="s">
        <v>24</v>
      </c>
      <c r="H70" s="5" t="n">
        <f aca="true">ROUND(RAND()*4+6,1)</f>
        <v>6.3</v>
      </c>
      <c r="I70" s="5" t="s">
        <v>41</v>
      </c>
      <c r="J70" s="5" t="str">
        <f aca="false">ROUND(94*1,0)&amp;"%"</f>
        <v>94%</v>
      </c>
    </row>
    <row r="71" customFormat="false" ht="15" hidden="false" customHeight="false" outlineLevel="0" collapsed="false">
      <c r="A71" s="6" t="s">
        <v>1176</v>
      </c>
      <c r="B71" s="6" t="s">
        <v>143</v>
      </c>
      <c r="C71" s="6" t="s">
        <v>133</v>
      </c>
      <c r="D71" s="6" t="s">
        <v>44</v>
      </c>
      <c r="E71" s="6" t="n">
        <f aca="false">ROUND(15808*1.05,2)</f>
        <v>16598.4</v>
      </c>
      <c r="F71" s="6" t="s">
        <v>45</v>
      </c>
      <c r="G71" s="6" t="s">
        <v>30</v>
      </c>
      <c r="H71" s="6" t="n">
        <f aca="true">ROUND(RAND()*4+6,1)</f>
        <v>7</v>
      </c>
      <c r="I71" s="6" t="s">
        <v>46</v>
      </c>
      <c r="J71" s="6" t="str">
        <f aca="false">ROUND(73*1,0)&amp;"%"</f>
        <v>73%</v>
      </c>
    </row>
    <row r="72" customFormat="false" ht="15" hidden="false" customHeight="false" outlineLevel="0" collapsed="false">
      <c r="A72" s="5" t="s">
        <v>1177</v>
      </c>
      <c r="B72" s="5" t="s">
        <v>145</v>
      </c>
      <c r="C72" s="5" t="s">
        <v>133</v>
      </c>
      <c r="D72" s="5" t="s">
        <v>16</v>
      </c>
      <c r="E72" s="5" t="n">
        <f aca="false">ROUND(5664*1.05,2)</f>
        <v>5947.2</v>
      </c>
      <c r="F72" s="5" t="s">
        <v>49</v>
      </c>
      <c r="G72" s="5" t="s">
        <v>18</v>
      </c>
      <c r="H72" s="5" t="n">
        <f aca="true">ROUND(RAND()*4+6,1)</f>
        <v>6.7</v>
      </c>
      <c r="I72" s="5" t="s">
        <v>19</v>
      </c>
      <c r="J72" s="5" t="str">
        <f aca="false">ROUND(81*1,0)&amp;"%"</f>
        <v>81%</v>
      </c>
    </row>
    <row r="73" customFormat="false" ht="15" hidden="false" customHeight="false" outlineLevel="0" collapsed="false">
      <c r="A73" s="6" t="s">
        <v>1178</v>
      </c>
      <c r="B73" s="6" t="s">
        <v>147</v>
      </c>
      <c r="C73" s="6" t="s">
        <v>133</v>
      </c>
      <c r="D73" s="6" t="s">
        <v>22</v>
      </c>
      <c r="E73" s="6" t="n">
        <f aca="false">ROUND(13080*1.05,2)</f>
        <v>13734</v>
      </c>
      <c r="F73" s="6" t="s">
        <v>52</v>
      </c>
      <c r="G73" s="6" t="s">
        <v>24</v>
      </c>
      <c r="H73" s="6" t="n">
        <f aca="true">ROUND(RAND()*4+6,1)</f>
        <v>6.1</v>
      </c>
      <c r="I73" s="6" t="s">
        <v>25</v>
      </c>
      <c r="J73" s="6" t="str">
        <f aca="false">ROUND(69*1,0)&amp;"%"</f>
        <v>69%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1179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1180</v>
      </c>
      <c r="B78" s="5" t="s">
        <v>151</v>
      </c>
      <c r="C78" s="5" t="s">
        <v>152</v>
      </c>
      <c r="D78" s="5" t="s">
        <v>16</v>
      </c>
      <c r="E78" s="5" t="n">
        <f aca="false">ROUND(12743*1.05,2)</f>
        <v>13380.15</v>
      </c>
      <c r="F78" s="5" t="s">
        <v>17</v>
      </c>
      <c r="G78" s="5" t="s">
        <v>18</v>
      </c>
      <c r="H78" s="5" t="n">
        <f aca="true">ROUND(RAND()*4+6,1)</f>
        <v>7.9</v>
      </c>
      <c r="I78" s="5" t="s">
        <v>19</v>
      </c>
      <c r="J78" s="5" t="str">
        <f aca="false">ROUND(99*1,0)&amp;"%"</f>
        <v>99%</v>
      </c>
    </row>
    <row r="79" customFormat="false" ht="15" hidden="false" customHeight="false" outlineLevel="0" collapsed="false">
      <c r="A79" s="6" t="s">
        <v>1181</v>
      </c>
      <c r="B79" s="6" t="s">
        <v>154</v>
      </c>
      <c r="C79" s="6" t="s">
        <v>152</v>
      </c>
      <c r="D79" s="6" t="s">
        <v>22</v>
      </c>
      <c r="E79" s="6" t="n">
        <f aca="false">ROUND(5839*1.05,2)</f>
        <v>6130.95</v>
      </c>
      <c r="F79" s="6" t="s">
        <v>23</v>
      </c>
      <c r="G79" s="6" t="s">
        <v>24</v>
      </c>
      <c r="H79" s="6" t="n">
        <f aca="true">ROUND(RAND()*4+6,1)</f>
        <v>8.3</v>
      </c>
      <c r="I79" s="6" t="s">
        <v>25</v>
      </c>
      <c r="J79" s="6" t="str">
        <f aca="false">ROUND(91*1,0)&amp;"%"</f>
        <v>91%</v>
      </c>
    </row>
    <row r="80" customFormat="false" ht="15" hidden="false" customHeight="false" outlineLevel="0" collapsed="false">
      <c r="A80" s="5" t="s">
        <v>1182</v>
      </c>
      <c r="B80" s="5" t="s">
        <v>156</v>
      </c>
      <c r="C80" s="5" t="s">
        <v>152</v>
      </c>
      <c r="D80" s="5" t="s">
        <v>28</v>
      </c>
      <c r="E80" s="5" t="n">
        <f aca="false">ROUND(13961*1.05,2)</f>
        <v>14659.05</v>
      </c>
      <c r="F80" s="5" t="s">
        <v>29</v>
      </c>
      <c r="G80" s="5" t="s">
        <v>30</v>
      </c>
      <c r="H80" s="5" t="n">
        <f aca="true">ROUND(RAND()*4+6,1)</f>
        <v>6.8</v>
      </c>
      <c r="I80" s="5" t="s">
        <v>31</v>
      </c>
      <c r="J80" s="5" t="str">
        <f aca="false">ROUND(66*1,0)&amp;"%"</f>
        <v>66%</v>
      </c>
    </row>
    <row r="81" customFormat="false" ht="15" hidden="false" customHeight="false" outlineLevel="0" collapsed="false">
      <c r="A81" s="6" t="s">
        <v>1183</v>
      </c>
      <c r="B81" s="6" t="s">
        <v>158</v>
      </c>
      <c r="C81" s="6" t="s">
        <v>152</v>
      </c>
      <c r="D81" s="6" t="s">
        <v>34</v>
      </c>
      <c r="E81" s="6" t="n">
        <f aca="false">ROUND(5932*1.05,2)</f>
        <v>6228.6</v>
      </c>
      <c r="F81" s="6" t="s">
        <v>35</v>
      </c>
      <c r="G81" s="6" t="s">
        <v>18</v>
      </c>
      <c r="H81" s="6" t="n">
        <f aca="true">ROUND(RAND()*4+6,1)</f>
        <v>7.4</v>
      </c>
      <c r="I81" s="6" t="s">
        <v>36</v>
      </c>
      <c r="J81" s="6" t="str">
        <f aca="false">ROUND(89*1,0)&amp;"%"</f>
        <v>89%</v>
      </c>
    </row>
    <row r="82" customFormat="false" ht="15" hidden="false" customHeight="false" outlineLevel="0" collapsed="false">
      <c r="A82" s="5" t="s">
        <v>1184</v>
      </c>
      <c r="B82" s="5" t="s">
        <v>160</v>
      </c>
      <c r="C82" s="5" t="s">
        <v>152</v>
      </c>
      <c r="D82" s="5" t="s">
        <v>39</v>
      </c>
      <c r="E82" s="5" t="n">
        <f aca="false">ROUND(5158*1.05,2)</f>
        <v>5415.9</v>
      </c>
      <c r="F82" s="5" t="s">
        <v>40</v>
      </c>
      <c r="G82" s="5" t="s">
        <v>24</v>
      </c>
      <c r="H82" s="5" t="n">
        <f aca="true">ROUND(RAND()*4+6,1)</f>
        <v>6.2</v>
      </c>
      <c r="I82" s="5" t="s">
        <v>41</v>
      </c>
      <c r="J82" s="5" t="str">
        <f aca="false">ROUND(84*1,0)&amp;"%"</f>
        <v>84%</v>
      </c>
    </row>
    <row r="83" customFormat="false" ht="15" hidden="false" customHeight="false" outlineLevel="0" collapsed="false">
      <c r="A83" s="6" t="s">
        <v>1185</v>
      </c>
      <c r="B83" s="6" t="s">
        <v>162</v>
      </c>
      <c r="C83" s="6" t="s">
        <v>152</v>
      </c>
      <c r="D83" s="6" t="s">
        <v>44</v>
      </c>
      <c r="E83" s="6" t="n">
        <f aca="false">ROUND(7169*1.05,2)</f>
        <v>7527.45</v>
      </c>
      <c r="F83" s="6" t="s">
        <v>45</v>
      </c>
      <c r="G83" s="6" t="s">
        <v>30</v>
      </c>
      <c r="H83" s="6" t="n">
        <f aca="true">ROUND(RAND()*4+6,1)</f>
        <v>9.3</v>
      </c>
      <c r="I83" s="6" t="s">
        <v>46</v>
      </c>
      <c r="J83" s="6" t="str">
        <f aca="false">ROUND(72*1,0)&amp;"%"</f>
        <v>72%</v>
      </c>
    </row>
    <row r="84" customFormat="false" ht="15" hidden="false" customHeight="false" outlineLevel="0" collapsed="false">
      <c r="A84" s="5" t="s">
        <v>1186</v>
      </c>
      <c r="B84" s="5" t="s">
        <v>164</v>
      </c>
      <c r="C84" s="5" t="s">
        <v>152</v>
      </c>
      <c r="D84" s="5" t="s">
        <v>16</v>
      </c>
      <c r="E84" s="5" t="n">
        <f aca="false">ROUND(8942*1.05,2)</f>
        <v>9389.1</v>
      </c>
      <c r="F84" s="5" t="s">
        <v>49</v>
      </c>
      <c r="G84" s="5" t="s">
        <v>18</v>
      </c>
      <c r="H84" s="5" t="n">
        <f aca="true">ROUND(RAND()*4+6,1)</f>
        <v>8.4</v>
      </c>
      <c r="I84" s="5" t="s">
        <v>19</v>
      </c>
      <c r="J84" s="5" t="str">
        <f aca="false">ROUND(93*1,0)&amp;"%"</f>
        <v>93%</v>
      </c>
    </row>
    <row r="85" customFormat="false" ht="15" hidden="false" customHeight="false" outlineLevel="0" collapsed="false">
      <c r="A85" s="6" t="s">
        <v>1187</v>
      </c>
      <c r="B85" s="6" t="s">
        <v>166</v>
      </c>
      <c r="C85" s="6" t="s">
        <v>152</v>
      </c>
      <c r="D85" s="6" t="s">
        <v>22</v>
      </c>
      <c r="E85" s="6" t="n">
        <f aca="false">ROUND(12962*1.05,2)</f>
        <v>13610.1</v>
      </c>
      <c r="F85" s="6" t="s">
        <v>52</v>
      </c>
      <c r="G85" s="6" t="s">
        <v>24</v>
      </c>
      <c r="H85" s="6" t="n">
        <f aca="true">ROUND(RAND()*4+6,1)</f>
        <v>9.7</v>
      </c>
      <c r="I85" s="6" t="s">
        <v>25</v>
      </c>
      <c r="J85" s="6" t="str">
        <f aca="false">ROUND(83*1,0)&amp;"%"</f>
        <v>83%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1188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1189</v>
      </c>
      <c r="B90" s="5" t="s">
        <v>170</v>
      </c>
      <c r="C90" s="5" t="s">
        <v>15</v>
      </c>
      <c r="D90" s="5" t="s">
        <v>16</v>
      </c>
      <c r="E90" s="5" t="n">
        <f aca="false">ROUND(4176*1.05,2)</f>
        <v>4384.8</v>
      </c>
      <c r="F90" s="5" t="s">
        <v>17</v>
      </c>
      <c r="G90" s="5" t="s">
        <v>18</v>
      </c>
      <c r="H90" s="5" t="n">
        <f aca="true">ROUND(RAND()*4+6,1)</f>
        <v>6.1</v>
      </c>
      <c r="I90" s="5" t="s">
        <v>19</v>
      </c>
      <c r="J90" s="5" t="str">
        <f aca="false">ROUND(65*1,0)&amp;"%"</f>
        <v>65%</v>
      </c>
    </row>
    <row r="91" customFormat="false" ht="15" hidden="false" customHeight="false" outlineLevel="0" collapsed="false">
      <c r="A91" s="6" t="s">
        <v>1190</v>
      </c>
      <c r="B91" s="6" t="s">
        <v>172</v>
      </c>
      <c r="C91" s="6" t="s">
        <v>15</v>
      </c>
      <c r="D91" s="6" t="s">
        <v>22</v>
      </c>
      <c r="E91" s="6" t="n">
        <f aca="false">ROUND(11669*1.05,2)</f>
        <v>12252.45</v>
      </c>
      <c r="F91" s="6" t="s">
        <v>23</v>
      </c>
      <c r="G91" s="6" t="s">
        <v>24</v>
      </c>
      <c r="H91" s="6" t="n">
        <f aca="true">ROUND(RAND()*4+6,1)</f>
        <v>8.3</v>
      </c>
      <c r="I91" s="6" t="s">
        <v>25</v>
      </c>
      <c r="J91" s="6" t="str">
        <f aca="false">ROUND(100*1,0)&amp;"%"</f>
        <v>100%</v>
      </c>
    </row>
    <row r="92" customFormat="false" ht="15" hidden="false" customHeight="false" outlineLevel="0" collapsed="false">
      <c r="A92" s="5" t="s">
        <v>1191</v>
      </c>
      <c r="B92" s="5" t="s">
        <v>174</v>
      </c>
      <c r="C92" s="5" t="s">
        <v>15</v>
      </c>
      <c r="D92" s="5" t="s">
        <v>28</v>
      </c>
      <c r="E92" s="5" t="n">
        <f aca="false">ROUND(15362*1.05,2)</f>
        <v>16130.1</v>
      </c>
      <c r="F92" s="5" t="s">
        <v>29</v>
      </c>
      <c r="G92" s="5" t="s">
        <v>30</v>
      </c>
      <c r="H92" s="5" t="n">
        <f aca="true">ROUND(RAND()*4+6,1)</f>
        <v>8.2</v>
      </c>
      <c r="I92" s="5" t="s">
        <v>31</v>
      </c>
      <c r="J92" s="5" t="str">
        <f aca="false">ROUND(97*1,0)&amp;"%"</f>
        <v>97%</v>
      </c>
    </row>
    <row r="93" customFormat="false" ht="15" hidden="false" customHeight="false" outlineLevel="0" collapsed="false">
      <c r="A93" s="6" t="s">
        <v>1192</v>
      </c>
      <c r="B93" s="6" t="s">
        <v>176</v>
      </c>
      <c r="C93" s="6" t="s">
        <v>15</v>
      </c>
      <c r="D93" s="6" t="s">
        <v>34</v>
      </c>
      <c r="E93" s="6" t="n">
        <f aca="false">ROUND(10366*1.05,2)</f>
        <v>10884.3</v>
      </c>
      <c r="F93" s="6" t="s">
        <v>35</v>
      </c>
      <c r="G93" s="6" t="s">
        <v>18</v>
      </c>
      <c r="H93" s="6" t="n">
        <f aca="true">ROUND(RAND()*4+6,1)</f>
        <v>8</v>
      </c>
      <c r="I93" s="6" t="s">
        <v>36</v>
      </c>
      <c r="J93" s="6" t="str">
        <f aca="false">ROUND(82*1,0)&amp;"%"</f>
        <v>82%</v>
      </c>
    </row>
    <row r="94" customFormat="false" ht="15" hidden="false" customHeight="false" outlineLevel="0" collapsed="false">
      <c r="A94" s="5" t="s">
        <v>1193</v>
      </c>
      <c r="B94" s="5" t="s">
        <v>178</v>
      </c>
      <c r="C94" s="5" t="s">
        <v>15</v>
      </c>
      <c r="D94" s="5" t="s">
        <v>39</v>
      </c>
      <c r="E94" s="5" t="n">
        <f aca="false">ROUND(13344*1.05,2)</f>
        <v>14011.2</v>
      </c>
      <c r="F94" s="5" t="s">
        <v>40</v>
      </c>
      <c r="G94" s="5" t="s">
        <v>24</v>
      </c>
      <c r="H94" s="5" t="n">
        <f aca="true">ROUND(RAND()*4+6,1)</f>
        <v>6.9</v>
      </c>
      <c r="I94" s="5" t="s">
        <v>41</v>
      </c>
      <c r="J94" s="5" t="str">
        <f aca="false">ROUND(92*1,0)&amp;"%"</f>
        <v>92%</v>
      </c>
    </row>
    <row r="95" customFormat="false" ht="15" hidden="false" customHeight="false" outlineLevel="0" collapsed="false">
      <c r="A95" s="6" t="s">
        <v>1194</v>
      </c>
      <c r="B95" s="6" t="s">
        <v>180</v>
      </c>
      <c r="C95" s="6" t="s">
        <v>15</v>
      </c>
      <c r="D95" s="6" t="s">
        <v>44</v>
      </c>
      <c r="E95" s="6" t="n">
        <f aca="false">ROUND(11723*1.05,2)</f>
        <v>12309.15</v>
      </c>
      <c r="F95" s="6" t="s">
        <v>45</v>
      </c>
      <c r="G95" s="6" t="s">
        <v>30</v>
      </c>
      <c r="H95" s="6" t="n">
        <f aca="true">ROUND(RAND()*4+6,1)</f>
        <v>9.5</v>
      </c>
      <c r="I95" s="6" t="s">
        <v>46</v>
      </c>
      <c r="J95" s="6" t="str">
        <f aca="false">ROUND(75*1,0)&amp;"%"</f>
        <v>75%</v>
      </c>
    </row>
    <row r="96" customFormat="false" ht="15" hidden="false" customHeight="false" outlineLevel="0" collapsed="false">
      <c r="A96" s="5" t="s">
        <v>1195</v>
      </c>
      <c r="B96" s="5" t="s">
        <v>182</v>
      </c>
      <c r="C96" s="5" t="s">
        <v>15</v>
      </c>
      <c r="D96" s="5" t="s">
        <v>16</v>
      </c>
      <c r="E96" s="5" t="n">
        <f aca="false">ROUND(9886*1.05,2)</f>
        <v>10380.3</v>
      </c>
      <c r="F96" s="5" t="s">
        <v>49</v>
      </c>
      <c r="G96" s="5" t="s">
        <v>18</v>
      </c>
      <c r="H96" s="5" t="n">
        <f aca="true">ROUND(RAND()*4+6,1)</f>
        <v>7.1</v>
      </c>
      <c r="I96" s="5" t="s">
        <v>19</v>
      </c>
      <c r="J96" s="5" t="str">
        <f aca="false">ROUND(92*1,0)&amp;"%"</f>
        <v>92%</v>
      </c>
    </row>
    <row r="97" customFormat="false" ht="15" hidden="false" customHeight="false" outlineLevel="0" collapsed="false">
      <c r="A97" s="6" t="s">
        <v>1196</v>
      </c>
      <c r="B97" s="6" t="s">
        <v>184</v>
      </c>
      <c r="C97" s="6" t="s">
        <v>15</v>
      </c>
      <c r="D97" s="6" t="s">
        <v>22</v>
      </c>
      <c r="E97" s="6" t="n">
        <f aca="false">ROUND(10850*1.05,2)</f>
        <v>11392.5</v>
      </c>
      <c r="F97" s="6" t="s">
        <v>52</v>
      </c>
      <c r="G97" s="6" t="s">
        <v>24</v>
      </c>
      <c r="H97" s="6" t="n">
        <f aca="true">ROUND(RAND()*4+6,1)</f>
        <v>9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1197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1198</v>
      </c>
      <c r="B102" s="5" t="s">
        <v>188</v>
      </c>
      <c r="C102" s="5" t="s">
        <v>57</v>
      </c>
      <c r="D102" s="5" t="s">
        <v>16</v>
      </c>
      <c r="E102" s="5" t="n">
        <f aca="false">ROUND(17485*1.05,2)</f>
        <v>18359.25</v>
      </c>
      <c r="F102" s="5" t="s">
        <v>17</v>
      </c>
      <c r="G102" s="5" t="s">
        <v>18</v>
      </c>
      <c r="H102" s="5" t="n">
        <f aca="true">ROUND(RAND()*4+6,1)</f>
        <v>7.2</v>
      </c>
      <c r="I102" s="5" t="s">
        <v>19</v>
      </c>
      <c r="J102" s="5" t="str">
        <f aca="false">ROUND(70*1,0)&amp;"%"</f>
        <v>70%</v>
      </c>
    </row>
    <row r="103" customFormat="false" ht="15" hidden="false" customHeight="false" outlineLevel="0" collapsed="false">
      <c r="A103" s="6" t="s">
        <v>1199</v>
      </c>
      <c r="B103" s="6" t="s">
        <v>190</v>
      </c>
      <c r="C103" s="6" t="s">
        <v>57</v>
      </c>
      <c r="D103" s="6" t="s">
        <v>22</v>
      </c>
      <c r="E103" s="6" t="n">
        <f aca="false">ROUND(12081*1.05,2)</f>
        <v>12685.05</v>
      </c>
      <c r="F103" s="6" t="s">
        <v>23</v>
      </c>
      <c r="G103" s="6" t="s">
        <v>24</v>
      </c>
      <c r="H103" s="6" t="n">
        <f aca="true">ROUND(RAND()*4+6,1)</f>
        <v>6</v>
      </c>
      <c r="I103" s="6" t="s">
        <v>25</v>
      </c>
      <c r="J103" s="6" t="str">
        <f aca="false">ROUND(67*1,0)&amp;"%"</f>
        <v>67%</v>
      </c>
    </row>
    <row r="104" customFormat="false" ht="15" hidden="false" customHeight="false" outlineLevel="0" collapsed="false">
      <c r="A104" s="5" t="s">
        <v>1200</v>
      </c>
      <c r="B104" s="5" t="s">
        <v>192</v>
      </c>
      <c r="C104" s="5" t="s">
        <v>57</v>
      </c>
      <c r="D104" s="5" t="s">
        <v>28</v>
      </c>
      <c r="E104" s="5" t="n">
        <f aca="false">ROUND(8776*1.05,2)</f>
        <v>9214.8</v>
      </c>
      <c r="F104" s="5" t="s">
        <v>29</v>
      </c>
      <c r="G104" s="5" t="s">
        <v>30</v>
      </c>
      <c r="H104" s="5" t="n">
        <f aca="true">ROUND(RAND()*4+6,1)</f>
        <v>7.5</v>
      </c>
      <c r="I104" s="5" t="s">
        <v>31</v>
      </c>
      <c r="J104" s="5" t="str">
        <f aca="false">ROUND(95*1,0)&amp;"%"</f>
        <v>95%</v>
      </c>
    </row>
    <row r="105" customFormat="false" ht="15" hidden="false" customHeight="false" outlineLevel="0" collapsed="false">
      <c r="A105" s="6" t="s">
        <v>1201</v>
      </c>
      <c r="B105" s="6" t="s">
        <v>194</v>
      </c>
      <c r="C105" s="6" t="s">
        <v>57</v>
      </c>
      <c r="D105" s="6" t="s">
        <v>34</v>
      </c>
      <c r="E105" s="6" t="n">
        <f aca="false">ROUND(12479*1.05,2)</f>
        <v>13102.95</v>
      </c>
      <c r="F105" s="6" t="s">
        <v>35</v>
      </c>
      <c r="G105" s="6" t="s">
        <v>18</v>
      </c>
      <c r="H105" s="6" t="n">
        <f aca="true">ROUND(RAND()*4+6,1)</f>
        <v>9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1202</v>
      </c>
      <c r="B106" s="5" t="s">
        <v>196</v>
      </c>
      <c r="C106" s="5" t="s">
        <v>57</v>
      </c>
      <c r="D106" s="5" t="s">
        <v>39</v>
      </c>
      <c r="E106" s="5" t="n">
        <f aca="false">ROUND(11869*1.05,2)</f>
        <v>12462.45</v>
      </c>
      <c r="F106" s="5" t="s">
        <v>40</v>
      </c>
      <c r="G106" s="5" t="s">
        <v>24</v>
      </c>
      <c r="H106" s="5" t="n">
        <f aca="true">ROUND(RAND()*4+6,1)</f>
        <v>6.2</v>
      </c>
      <c r="I106" s="5" t="s">
        <v>41</v>
      </c>
      <c r="J106" s="5" t="str">
        <f aca="false">ROUND(83*1,0)&amp;"%"</f>
        <v>83%</v>
      </c>
    </row>
    <row r="107" customFormat="false" ht="15" hidden="false" customHeight="false" outlineLevel="0" collapsed="false">
      <c r="A107" s="6" t="s">
        <v>1203</v>
      </c>
      <c r="B107" s="6" t="s">
        <v>198</v>
      </c>
      <c r="C107" s="6" t="s">
        <v>57</v>
      </c>
      <c r="D107" s="6" t="s">
        <v>44</v>
      </c>
      <c r="E107" s="6" t="n">
        <f aca="false">ROUND(8238*1.05,2)</f>
        <v>8649.9</v>
      </c>
      <c r="F107" s="6" t="s">
        <v>45</v>
      </c>
      <c r="G107" s="6" t="s">
        <v>30</v>
      </c>
      <c r="H107" s="6" t="n">
        <f aca="true">ROUND(RAND()*4+6,1)</f>
        <v>6.1</v>
      </c>
      <c r="I107" s="6" t="s">
        <v>46</v>
      </c>
      <c r="J107" s="6" t="str">
        <f aca="false">ROUND(81*1,0)&amp;"%"</f>
        <v>81%</v>
      </c>
    </row>
    <row r="108" customFormat="false" ht="15" hidden="false" customHeight="false" outlineLevel="0" collapsed="false">
      <c r="A108" s="5" t="s">
        <v>1204</v>
      </c>
      <c r="B108" s="5" t="s">
        <v>200</v>
      </c>
      <c r="C108" s="5" t="s">
        <v>57</v>
      </c>
      <c r="D108" s="5" t="s">
        <v>16</v>
      </c>
      <c r="E108" s="5" t="n">
        <f aca="false">ROUND(6179*1.05,2)</f>
        <v>6487.95</v>
      </c>
      <c r="F108" s="5" t="s">
        <v>49</v>
      </c>
      <c r="G108" s="5" t="s">
        <v>18</v>
      </c>
      <c r="H108" s="5" t="n">
        <f aca="true">ROUND(RAND()*4+6,1)</f>
        <v>8.6</v>
      </c>
      <c r="I108" s="5" t="s">
        <v>19</v>
      </c>
      <c r="J108" s="5" t="str">
        <f aca="false">ROUND(94*1,0)&amp;"%"</f>
        <v>94%</v>
      </c>
    </row>
    <row r="109" customFormat="false" ht="15" hidden="false" customHeight="false" outlineLevel="0" collapsed="false">
      <c r="A109" s="6" t="s">
        <v>1205</v>
      </c>
      <c r="B109" s="6" t="s">
        <v>202</v>
      </c>
      <c r="C109" s="6" t="s">
        <v>57</v>
      </c>
      <c r="D109" s="6" t="s">
        <v>22</v>
      </c>
      <c r="E109" s="6" t="n">
        <f aca="false">ROUND(14852*1.05,2)</f>
        <v>15594.6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1206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1207</v>
      </c>
      <c r="B114" s="5" t="s">
        <v>206</v>
      </c>
      <c r="C114" s="5" t="s">
        <v>76</v>
      </c>
      <c r="D114" s="5" t="s">
        <v>16</v>
      </c>
      <c r="E114" s="5" t="n">
        <f aca="false">ROUND(8890*1.05,2)</f>
        <v>9334.5</v>
      </c>
      <c r="F114" s="5" t="s">
        <v>17</v>
      </c>
      <c r="G114" s="5" t="s">
        <v>18</v>
      </c>
      <c r="H114" s="5" t="n">
        <f aca="true">ROUND(RAND()*4+6,1)</f>
        <v>9</v>
      </c>
      <c r="I114" s="5" t="s">
        <v>19</v>
      </c>
      <c r="J114" s="5" t="str">
        <f aca="false">ROUND(70*1,0)&amp;"%"</f>
        <v>70%</v>
      </c>
    </row>
    <row r="115" customFormat="false" ht="15" hidden="false" customHeight="false" outlineLevel="0" collapsed="false">
      <c r="A115" s="6" t="s">
        <v>1208</v>
      </c>
      <c r="B115" s="6" t="s">
        <v>208</v>
      </c>
      <c r="C115" s="6" t="s">
        <v>76</v>
      </c>
      <c r="D115" s="6" t="s">
        <v>22</v>
      </c>
      <c r="E115" s="6" t="n">
        <f aca="false">ROUND(16274*1.05,2)</f>
        <v>17087.7</v>
      </c>
      <c r="F115" s="6" t="s">
        <v>23</v>
      </c>
      <c r="G115" s="6" t="s">
        <v>24</v>
      </c>
      <c r="H115" s="6" t="n">
        <f aca="true">ROUND(RAND()*4+6,1)</f>
        <v>8.3</v>
      </c>
      <c r="I115" s="6" t="s">
        <v>25</v>
      </c>
      <c r="J115" s="6" t="str">
        <f aca="false">ROUND(65*1,0)&amp;"%"</f>
        <v>65%</v>
      </c>
    </row>
    <row r="116" customFormat="false" ht="15" hidden="false" customHeight="false" outlineLevel="0" collapsed="false">
      <c r="A116" s="5" t="s">
        <v>1209</v>
      </c>
      <c r="B116" s="5" t="s">
        <v>210</v>
      </c>
      <c r="C116" s="5" t="s">
        <v>76</v>
      </c>
      <c r="D116" s="5" t="s">
        <v>28</v>
      </c>
      <c r="E116" s="5" t="n">
        <f aca="false">ROUND(14977*1.05,2)</f>
        <v>15725.85</v>
      </c>
      <c r="F116" s="5" t="s">
        <v>29</v>
      </c>
      <c r="G116" s="5" t="s">
        <v>30</v>
      </c>
      <c r="H116" s="5" t="n">
        <f aca="true">ROUND(RAND()*4+6,1)</f>
        <v>9.8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1210</v>
      </c>
      <c r="B117" s="6" t="s">
        <v>212</v>
      </c>
      <c r="C117" s="6" t="s">
        <v>76</v>
      </c>
      <c r="D117" s="6" t="s">
        <v>34</v>
      </c>
      <c r="E117" s="6" t="n">
        <f aca="false">ROUND(12214*1.05,2)</f>
        <v>12824.7</v>
      </c>
      <c r="F117" s="6" t="s">
        <v>35</v>
      </c>
      <c r="G117" s="6" t="s">
        <v>18</v>
      </c>
      <c r="H117" s="6" t="n">
        <f aca="true">ROUND(RAND()*4+6,1)</f>
        <v>9.8</v>
      </c>
      <c r="I117" s="6" t="s">
        <v>36</v>
      </c>
      <c r="J117" s="6" t="str">
        <f aca="false">ROUND(65*1,0)&amp;"%"</f>
        <v>65%</v>
      </c>
    </row>
    <row r="118" customFormat="false" ht="15" hidden="false" customHeight="false" outlineLevel="0" collapsed="false">
      <c r="A118" s="5" t="s">
        <v>1211</v>
      </c>
      <c r="B118" s="5" t="s">
        <v>214</v>
      </c>
      <c r="C118" s="5" t="s">
        <v>76</v>
      </c>
      <c r="D118" s="5" t="s">
        <v>39</v>
      </c>
      <c r="E118" s="5" t="n">
        <f aca="false">ROUND(13127*1.05,2)</f>
        <v>13783.35</v>
      </c>
      <c r="F118" s="5" t="s">
        <v>40</v>
      </c>
      <c r="G118" s="5" t="s">
        <v>24</v>
      </c>
      <c r="H118" s="5" t="n">
        <f aca="true">ROUND(RAND()*4+6,1)</f>
        <v>9.3</v>
      </c>
      <c r="I118" s="5" t="s">
        <v>41</v>
      </c>
      <c r="J118" s="5" t="str">
        <f aca="false">ROUND(92*1,0)&amp;"%"</f>
        <v>92%</v>
      </c>
    </row>
    <row r="119" customFormat="false" ht="15" hidden="false" customHeight="false" outlineLevel="0" collapsed="false">
      <c r="A119" s="6" t="s">
        <v>1212</v>
      </c>
      <c r="B119" s="6" t="s">
        <v>216</v>
      </c>
      <c r="C119" s="6" t="s">
        <v>76</v>
      </c>
      <c r="D119" s="6" t="s">
        <v>44</v>
      </c>
      <c r="E119" s="6" t="n">
        <f aca="false">ROUND(17650*1.05,2)</f>
        <v>18532.5</v>
      </c>
      <c r="F119" s="6" t="s">
        <v>45</v>
      </c>
      <c r="G119" s="6" t="s">
        <v>30</v>
      </c>
      <c r="H119" s="6" t="n">
        <f aca="true">ROUND(RAND()*4+6,1)</f>
        <v>7.2</v>
      </c>
      <c r="I119" s="6" t="s">
        <v>46</v>
      </c>
      <c r="J119" s="6" t="str">
        <f aca="false">ROUND(72*1,0)&amp;"%"</f>
        <v>72%</v>
      </c>
    </row>
    <row r="120" customFormat="false" ht="15" hidden="false" customHeight="false" outlineLevel="0" collapsed="false">
      <c r="A120" s="5" t="s">
        <v>1213</v>
      </c>
      <c r="B120" s="5" t="s">
        <v>218</v>
      </c>
      <c r="C120" s="5" t="s">
        <v>76</v>
      </c>
      <c r="D120" s="5" t="s">
        <v>16</v>
      </c>
      <c r="E120" s="5" t="n">
        <f aca="false">ROUND(15889*1.05,2)</f>
        <v>16683.45</v>
      </c>
      <c r="F120" s="5" t="s">
        <v>49</v>
      </c>
      <c r="G120" s="5" t="s">
        <v>18</v>
      </c>
      <c r="H120" s="5" t="n">
        <f aca="true">ROUND(RAND()*4+6,1)</f>
        <v>6.5</v>
      </c>
      <c r="I120" s="5" t="s">
        <v>19</v>
      </c>
      <c r="J120" s="5" t="str">
        <f aca="false">ROUND(89*1,0)&amp;"%"</f>
        <v>89%</v>
      </c>
    </row>
    <row r="121" customFormat="false" ht="15" hidden="false" customHeight="false" outlineLevel="0" collapsed="false">
      <c r="A121" s="6" t="s">
        <v>1214</v>
      </c>
      <c r="B121" s="6" t="s">
        <v>220</v>
      </c>
      <c r="C121" s="6" t="s">
        <v>76</v>
      </c>
      <c r="D121" s="6" t="s">
        <v>22</v>
      </c>
      <c r="E121" s="6" t="n">
        <f aca="false">ROUND(6247*1.05,2)</f>
        <v>6559.35</v>
      </c>
      <c r="F121" s="6" t="s">
        <v>52</v>
      </c>
      <c r="G121" s="6" t="s">
        <v>24</v>
      </c>
      <c r="H121" s="6" t="n">
        <f aca="true">ROUND(RAND()*4+6,1)</f>
        <v>9.2</v>
      </c>
      <c r="I121" s="6" t="s">
        <v>25</v>
      </c>
      <c r="J121" s="6" t="str">
        <f aca="false">ROUND(67*1,0)&amp;"%"</f>
        <v>67%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1215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1216</v>
      </c>
      <c r="B126" s="5" t="s">
        <v>224</v>
      </c>
      <c r="C126" s="5" t="s">
        <v>95</v>
      </c>
      <c r="D126" s="5" t="s">
        <v>16</v>
      </c>
      <c r="E126" s="5" t="n">
        <f aca="false">ROUND(16231*1.05,2)</f>
        <v>17042.55</v>
      </c>
      <c r="F126" s="5" t="s">
        <v>17</v>
      </c>
      <c r="G126" s="5" t="s">
        <v>18</v>
      </c>
      <c r="H126" s="5" t="n">
        <f aca="true">ROUND(RAND()*4+6,1)</f>
        <v>7.4</v>
      </c>
      <c r="I126" s="5" t="s">
        <v>19</v>
      </c>
      <c r="J126" s="5" t="str">
        <f aca="false">ROUND(91*1,0)&amp;"%"</f>
        <v>91%</v>
      </c>
    </row>
    <row r="127" customFormat="false" ht="15" hidden="false" customHeight="false" outlineLevel="0" collapsed="false">
      <c r="A127" s="6" t="s">
        <v>1217</v>
      </c>
      <c r="B127" s="6" t="s">
        <v>226</v>
      </c>
      <c r="C127" s="6" t="s">
        <v>95</v>
      </c>
      <c r="D127" s="6" t="s">
        <v>22</v>
      </c>
      <c r="E127" s="6" t="n">
        <f aca="false">ROUND(14456*1.05,2)</f>
        <v>15178.8</v>
      </c>
      <c r="F127" s="6" t="s">
        <v>23</v>
      </c>
      <c r="G127" s="6" t="s">
        <v>24</v>
      </c>
      <c r="H127" s="6" t="n">
        <f aca="true">ROUND(RAND()*4+6,1)</f>
        <v>8.1</v>
      </c>
      <c r="I127" s="6" t="s">
        <v>25</v>
      </c>
      <c r="J127" s="6" t="str">
        <f aca="false">ROUND(68*1,0)&amp;"%"</f>
        <v>68%</v>
      </c>
    </row>
    <row r="128" customFormat="false" ht="15" hidden="false" customHeight="false" outlineLevel="0" collapsed="false">
      <c r="A128" s="5" t="s">
        <v>1218</v>
      </c>
      <c r="B128" s="5" t="s">
        <v>228</v>
      </c>
      <c r="C128" s="5" t="s">
        <v>95</v>
      </c>
      <c r="D128" s="5" t="s">
        <v>28</v>
      </c>
      <c r="E128" s="5" t="n">
        <f aca="false">ROUND(8257*1.05,2)</f>
        <v>8669.85</v>
      </c>
      <c r="F128" s="5" t="s">
        <v>29</v>
      </c>
      <c r="G128" s="5" t="s">
        <v>30</v>
      </c>
      <c r="H128" s="5" t="n">
        <f aca="true">ROUND(RAND()*4+6,1)</f>
        <v>9.1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1219</v>
      </c>
      <c r="B129" s="6" t="s">
        <v>230</v>
      </c>
      <c r="C129" s="6" t="s">
        <v>95</v>
      </c>
      <c r="D129" s="6" t="s">
        <v>34</v>
      </c>
      <c r="E129" s="6" t="n">
        <f aca="false">ROUND(17739*1.05,2)</f>
        <v>18625.95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1220</v>
      </c>
      <c r="B130" s="5" t="s">
        <v>232</v>
      </c>
      <c r="C130" s="5" t="s">
        <v>95</v>
      </c>
      <c r="D130" s="5" t="s">
        <v>39</v>
      </c>
      <c r="E130" s="5" t="n">
        <f aca="false">ROUND(8339*1.05,2)</f>
        <v>8755.95</v>
      </c>
      <c r="F130" s="5" t="s">
        <v>40</v>
      </c>
      <c r="G130" s="5" t="s">
        <v>24</v>
      </c>
      <c r="H130" s="5" t="n">
        <f aca="true">ROUND(RAND()*4+6,1)</f>
        <v>8.2</v>
      </c>
      <c r="I130" s="5" t="s">
        <v>41</v>
      </c>
      <c r="J130" s="5" t="str">
        <f aca="false">ROUND(77*1,0)&amp;"%"</f>
        <v>77%</v>
      </c>
    </row>
    <row r="131" customFormat="false" ht="15" hidden="false" customHeight="false" outlineLevel="0" collapsed="false">
      <c r="A131" s="6" t="s">
        <v>1221</v>
      </c>
      <c r="B131" s="6" t="s">
        <v>234</v>
      </c>
      <c r="C131" s="6" t="s">
        <v>95</v>
      </c>
      <c r="D131" s="6" t="s">
        <v>44</v>
      </c>
      <c r="E131" s="6" t="n">
        <f aca="false">ROUND(5432*1.05,2)</f>
        <v>5703.6</v>
      </c>
      <c r="F131" s="6" t="s">
        <v>45</v>
      </c>
      <c r="G131" s="6" t="s">
        <v>30</v>
      </c>
      <c r="H131" s="6" t="n">
        <f aca="true">ROUND(RAND()*4+6,1)</f>
        <v>6.7</v>
      </c>
      <c r="I131" s="6" t="s">
        <v>46</v>
      </c>
      <c r="J131" s="6" t="str">
        <f aca="false">ROUND(84*1,0)&amp;"%"</f>
        <v>84%</v>
      </c>
    </row>
    <row r="132" customFormat="false" ht="15" hidden="false" customHeight="false" outlineLevel="0" collapsed="false">
      <c r="A132" s="5" t="s">
        <v>1222</v>
      </c>
      <c r="B132" s="5" t="s">
        <v>236</v>
      </c>
      <c r="C132" s="5" t="s">
        <v>95</v>
      </c>
      <c r="D132" s="5" t="s">
        <v>16</v>
      </c>
      <c r="E132" s="5" t="n">
        <f aca="false">ROUND(17349*1.05,2)</f>
        <v>18216.45</v>
      </c>
      <c r="F132" s="5" t="s">
        <v>49</v>
      </c>
      <c r="G132" s="5" t="s">
        <v>18</v>
      </c>
      <c r="H132" s="5" t="n">
        <f aca="true">ROUND(RAND()*4+6,1)</f>
        <v>7.9</v>
      </c>
      <c r="I132" s="5" t="s">
        <v>19</v>
      </c>
      <c r="J132" s="5" t="str">
        <f aca="false">ROUND(70*1,0)&amp;"%"</f>
        <v>70%</v>
      </c>
    </row>
    <row r="133" customFormat="false" ht="15" hidden="false" customHeight="false" outlineLevel="0" collapsed="false">
      <c r="A133" s="6" t="s">
        <v>1223</v>
      </c>
      <c r="B133" s="6" t="s">
        <v>238</v>
      </c>
      <c r="C133" s="6" t="s">
        <v>95</v>
      </c>
      <c r="D133" s="6" t="s">
        <v>22</v>
      </c>
      <c r="E133" s="6" t="n">
        <f aca="false">ROUND(6074*1.05,2)</f>
        <v>6377.7</v>
      </c>
      <c r="F133" s="6" t="s">
        <v>52</v>
      </c>
      <c r="G133" s="6" t="s">
        <v>24</v>
      </c>
      <c r="H133" s="6" t="n">
        <f aca="true">ROUND(RAND()*4+6,1)</f>
        <v>8.2</v>
      </c>
      <c r="I133" s="6" t="s">
        <v>25</v>
      </c>
      <c r="J133" s="6" t="str">
        <f aca="false">ROUND(97*1,0)&amp;"%"</f>
        <v>97%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1224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1225</v>
      </c>
      <c r="B138" s="5" t="s">
        <v>242</v>
      </c>
      <c r="C138" s="5" t="s">
        <v>114</v>
      </c>
      <c r="D138" s="5" t="s">
        <v>16</v>
      </c>
      <c r="E138" s="5" t="n">
        <f aca="false">ROUND(15881*1.05,2)</f>
        <v>16675.05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ROUND(66*1,0)&amp;"%"</f>
        <v>66%</v>
      </c>
    </row>
    <row r="139" customFormat="false" ht="15" hidden="false" customHeight="false" outlineLevel="0" collapsed="false">
      <c r="A139" s="6" t="s">
        <v>1226</v>
      </c>
      <c r="B139" s="6" t="s">
        <v>244</v>
      </c>
      <c r="C139" s="6" t="s">
        <v>114</v>
      </c>
      <c r="D139" s="6" t="s">
        <v>22</v>
      </c>
      <c r="E139" s="6" t="n">
        <f aca="false">ROUND(17345*1.05,2)</f>
        <v>18212.25</v>
      </c>
      <c r="F139" s="6" t="s">
        <v>23</v>
      </c>
      <c r="G139" s="6" t="s">
        <v>24</v>
      </c>
      <c r="H139" s="6" t="n">
        <f aca="true">ROUND(RAND()*4+6,1)</f>
        <v>8.2</v>
      </c>
      <c r="I139" s="6" t="s">
        <v>25</v>
      </c>
      <c r="J139" s="6" t="str">
        <f aca="false">ROUND(88*1,0)&amp;"%"</f>
        <v>88%</v>
      </c>
    </row>
    <row r="140" customFormat="false" ht="15" hidden="false" customHeight="false" outlineLevel="0" collapsed="false">
      <c r="A140" s="5" t="s">
        <v>1227</v>
      </c>
      <c r="B140" s="5" t="s">
        <v>246</v>
      </c>
      <c r="C140" s="5" t="s">
        <v>114</v>
      </c>
      <c r="D140" s="5" t="s">
        <v>28</v>
      </c>
      <c r="E140" s="5" t="n">
        <f aca="false">ROUND(10818*1.05,2)</f>
        <v>11358.9</v>
      </c>
      <c r="F140" s="5" t="s">
        <v>29</v>
      </c>
      <c r="G140" s="5" t="s">
        <v>30</v>
      </c>
      <c r="H140" s="5" t="n">
        <f aca="true">ROUND(RAND()*4+6,1)</f>
        <v>7.9</v>
      </c>
      <c r="I140" s="5" t="s">
        <v>31</v>
      </c>
      <c r="J140" s="5" t="str">
        <f aca="false">ROUND(94*1,0)&amp;"%"</f>
        <v>94%</v>
      </c>
    </row>
    <row r="141" customFormat="false" ht="15" hidden="false" customHeight="false" outlineLevel="0" collapsed="false">
      <c r="A141" s="6" t="s">
        <v>1228</v>
      </c>
      <c r="B141" s="6" t="s">
        <v>248</v>
      </c>
      <c r="C141" s="6" t="s">
        <v>114</v>
      </c>
      <c r="D141" s="6" t="s">
        <v>34</v>
      </c>
      <c r="E141" s="6" t="n">
        <f aca="false">ROUND(10508*1.05,2)</f>
        <v>11033.4</v>
      </c>
      <c r="F141" s="6" t="s">
        <v>35</v>
      </c>
      <c r="G141" s="6" t="s">
        <v>18</v>
      </c>
      <c r="H141" s="6" t="n">
        <f aca="true">ROUND(RAND()*4+6,1)</f>
        <v>6.6</v>
      </c>
      <c r="I141" s="6" t="s">
        <v>36</v>
      </c>
      <c r="J141" s="6" t="str">
        <f aca="false">ROUND(77*1,0)&amp;"%"</f>
        <v>77%</v>
      </c>
    </row>
    <row r="142" customFormat="false" ht="15" hidden="false" customHeight="false" outlineLevel="0" collapsed="false">
      <c r="A142" s="5" t="s">
        <v>1229</v>
      </c>
      <c r="B142" s="5" t="s">
        <v>250</v>
      </c>
      <c r="C142" s="5" t="s">
        <v>114</v>
      </c>
      <c r="D142" s="5" t="s">
        <v>39</v>
      </c>
      <c r="E142" s="5" t="n">
        <f aca="false">ROUND(6503*1.05,2)</f>
        <v>6828.15</v>
      </c>
      <c r="F142" s="5" t="s">
        <v>40</v>
      </c>
      <c r="G142" s="5" t="s">
        <v>24</v>
      </c>
      <c r="H142" s="5" t="n">
        <f aca="true">ROUND(RAND()*4+6,1)</f>
        <v>9.8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1230</v>
      </c>
      <c r="B143" s="6" t="s">
        <v>252</v>
      </c>
      <c r="C143" s="6" t="s">
        <v>114</v>
      </c>
      <c r="D143" s="6" t="s">
        <v>44</v>
      </c>
      <c r="E143" s="6" t="n">
        <f aca="false">ROUND(5821*1.05,2)</f>
        <v>6112.05</v>
      </c>
      <c r="F143" s="6" t="s">
        <v>45</v>
      </c>
      <c r="G143" s="6" t="s">
        <v>30</v>
      </c>
      <c r="H143" s="6" t="n">
        <f aca="true">ROUND(RAND()*4+6,1)</f>
        <v>8.4</v>
      </c>
      <c r="I143" s="6" t="s">
        <v>46</v>
      </c>
      <c r="J143" s="6" t="str">
        <f aca="false">ROUND(65*1,0)&amp;"%"</f>
        <v>65%</v>
      </c>
    </row>
    <row r="144" customFormat="false" ht="15" hidden="false" customHeight="false" outlineLevel="0" collapsed="false">
      <c r="A144" s="5" t="s">
        <v>1231</v>
      </c>
      <c r="B144" s="5" t="s">
        <v>254</v>
      </c>
      <c r="C144" s="5" t="s">
        <v>114</v>
      </c>
      <c r="D144" s="5" t="s">
        <v>16</v>
      </c>
      <c r="E144" s="5" t="n">
        <f aca="false">ROUND(7554*1.05,2)</f>
        <v>7931.7</v>
      </c>
      <c r="F144" s="5" t="s">
        <v>49</v>
      </c>
      <c r="G144" s="5" t="s">
        <v>18</v>
      </c>
      <c r="H144" s="5" t="n">
        <f aca="true">ROUND(RAND()*4+6,1)</f>
        <v>9.8</v>
      </c>
      <c r="I144" s="5" t="s">
        <v>19</v>
      </c>
      <c r="J144" s="5" t="str">
        <f aca="false">ROUND(74*1,0)&amp;"%"</f>
        <v>74%</v>
      </c>
    </row>
    <row r="145" customFormat="false" ht="15" hidden="false" customHeight="false" outlineLevel="0" collapsed="false">
      <c r="A145" s="6" t="s">
        <v>1232</v>
      </c>
      <c r="B145" s="6" t="s">
        <v>256</v>
      </c>
      <c r="C145" s="6" t="s">
        <v>114</v>
      </c>
      <c r="D145" s="6" t="s">
        <v>22</v>
      </c>
      <c r="E145" s="6" t="n">
        <f aca="false">ROUND(8599*1.05,2)</f>
        <v>9028.95</v>
      </c>
      <c r="F145" s="6" t="s">
        <v>52</v>
      </c>
      <c r="G145" s="6" t="s">
        <v>24</v>
      </c>
      <c r="H145" s="6" t="n">
        <f aca="true">ROUND(RAND()*4+6,1)</f>
        <v>6.1</v>
      </c>
      <c r="I145" s="6" t="s">
        <v>25</v>
      </c>
      <c r="J145" s="6" t="str">
        <f aca="false">ROUND(88*1,0)&amp;"%"</f>
        <v>88%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1233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1234</v>
      </c>
      <c r="B150" s="5" t="s">
        <v>260</v>
      </c>
      <c r="C150" s="5" t="s">
        <v>133</v>
      </c>
      <c r="D150" s="5" t="s">
        <v>16</v>
      </c>
      <c r="E150" s="5" t="n">
        <f aca="false">ROUND(7524*1.05,2)</f>
        <v>7900.2</v>
      </c>
      <c r="F150" s="5" t="s">
        <v>17</v>
      </c>
      <c r="G150" s="5" t="s">
        <v>18</v>
      </c>
      <c r="H150" s="5" t="n">
        <f aca="true">ROUND(RAND()*4+6,1)</f>
        <v>7.7</v>
      </c>
      <c r="I150" s="5" t="s">
        <v>19</v>
      </c>
      <c r="J150" s="5" t="str">
        <f aca="false">ROUND(63*1,0)&amp;"%"</f>
        <v>63%</v>
      </c>
    </row>
    <row r="151" customFormat="false" ht="15" hidden="false" customHeight="false" outlineLevel="0" collapsed="false">
      <c r="A151" s="6" t="s">
        <v>1235</v>
      </c>
      <c r="B151" s="6" t="s">
        <v>262</v>
      </c>
      <c r="C151" s="6" t="s">
        <v>133</v>
      </c>
      <c r="D151" s="6" t="s">
        <v>22</v>
      </c>
      <c r="E151" s="6" t="n">
        <f aca="false">ROUND(16344*1.05,2)</f>
        <v>17161.2</v>
      </c>
      <c r="F151" s="6" t="s">
        <v>23</v>
      </c>
      <c r="G151" s="6" t="s">
        <v>24</v>
      </c>
      <c r="H151" s="6" t="n">
        <f aca="true">ROUND(RAND()*4+6,1)</f>
        <v>9.6</v>
      </c>
      <c r="I151" s="6" t="s">
        <v>25</v>
      </c>
      <c r="J151" s="6" t="str">
        <f aca="false">ROUND(62*1,0)&amp;"%"</f>
        <v>62%</v>
      </c>
    </row>
    <row r="152" customFormat="false" ht="15" hidden="false" customHeight="false" outlineLevel="0" collapsed="false">
      <c r="A152" s="5" t="s">
        <v>1236</v>
      </c>
      <c r="B152" s="5" t="s">
        <v>264</v>
      </c>
      <c r="C152" s="5" t="s">
        <v>133</v>
      </c>
      <c r="D152" s="5" t="s">
        <v>28</v>
      </c>
      <c r="E152" s="5" t="n">
        <f aca="false">ROUND(8916*1.05,2)</f>
        <v>9361.8</v>
      </c>
      <c r="F152" s="5" t="s">
        <v>29</v>
      </c>
      <c r="G152" s="5" t="s">
        <v>30</v>
      </c>
      <c r="H152" s="5" t="n">
        <f aca="true">ROUND(RAND()*4+6,1)</f>
        <v>8.8</v>
      </c>
      <c r="I152" s="5" t="s">
        <v>31</v>
      </c>
      <c r="J152" s="5" t="str">
        <f aca="false">ROUND(82*1,0)&amp;"%"</f>
        <v>82%</v>
      </c>
    </row>
    <row r="153" customFormat="false" ht="15" hidden="false" customHeight="false" outlineLevel="0" collapsed="false">
      <c r="A153" s="6" t="s">
        <v>1237</v>
      </c>
      <c r="B153" s="6" t="s">
        <v>266</v>
      </c>
      <c r="C153" s="6" t="s">
        <v>133</v>
      </c>
      <c r="D153" s="6" t="s">
        <v>34</v>
      </c>
      <c r="E153" s="6" t="n">
        <f aca="false">ROUND(11224*1.05,2)</f>
        <v>11785.2</v>
      </c>
      <c r="F153" s="6" t="s">
        <v>35</v>
      </c>
      <c r="G153" s="6" t="s">
        <v>18</v>
      </c>
      <c r="H153" s="6" t="n">
        <f aca="true">ROUND(RAND()*4+6,1)</f>
        <v>7.3</v>
      </c>
      <c r="I153" s="6" t="s">
        <v>36</v>
      </c>
      <c r="J153" s="6" t="str">
        <f aca="false">ROUND(86*1,0)&amp;"%"</f>
        <v>86%</v>
      </c>
    </row>
    <row r="154" customFormat="false" ht="15" hidden="false" customHeight="false" outlineLevel="0" collapsed="false">
      <c r="A154" s="5" t="s">
        <v>1238</v>
      </c>
      <c r="B154" s="5" t="s">
        <v>268</v>
      </c>
      <c r="C154" s="5" t="s">
        <v>133</v>
      </c>
      <c r="D154" s="5" t="s">
        <v>39</v>
      </c>
      <c r="E154" s="5" t="n">
        <f aca="false">ROUND(16728*1.05,2)</f>
        <v>17564.4</v>
      </c>
      <c r="F154" s="5" t="s">
        <v>40</v>
      </c>
      <c r="G154" s="5" t="s">
        <v>24</v>
      </c>
      <c r="H154" s="5" t="n">
        <f aca="true">ROUND(RAND()*4+6,1)</f>
        <v>9.6</v>
      </c>
      <c r="I154" s="5" t="s">
        <v>41</v>
      </c>
      <c r="J154" s="5" t="str">
        <f aca="false">ROUND(87*1,0)&amp;"%"</f>
        <v>87%</v>
      </c>
    </row>
    <row r="155" customFormat="false" ht="15" hidden="false" customHeight="false" outlineLevel="0" collapsed="false">
      <c r="A155" s="6" t="s">
        <v>1239</v>
      </c>
      <c r="B155" s="6" t="s">
        <v>270</v>
      </c>
      <c r="C155" s="6" t="s">
        <v>133</v>
      </c>
      <c r="D155" s="6" t="s">
        <v>44</v>
      </c>
      <c r="E155" s="6" t="n">
        <f aca="false">ROUND(12936*1.05,2)</f>
        <v>13582.8</v>
      </c>
      <c r="F155" s="6" t="s">
        <v>45</v>
      </c>
      <c r="G155" s="6" t="s">
        <v>30</v>
      </c>
      <c r="H155" s="6" t="n">
        <f aca="true">ROUND(RAND()*4+6,1)</f>
        <v>9.1</v>
      </c>
      <c r="I155" s="6" t="s">
        <v>46</v>
      </c>
      <c r="J155" s="6" t="str">
        <f aca="false">ROUND(75*1,0)&amp;"%"</f>
        <v>75%</v>
      </c>
    </row>
    <row r="156" customFormat="false" ht="15" hidden="false" customHeight="false" outlineLevel="0" collapsed="false">
      <c r="A156" s="5" t="s">
        <v>1240</v>
      </c>
      <c r="B156" s="5" t="s">
        <v>272</v>
      </c>
      <c r="C156" s="5" t="s">
        <v>133</v>
      </c>
      <c r="D156" s="5" t="s">
        <v>16</v>
      </c>
      <c r="E156" s="5" t="n">
        <f aca="false">ROUND(8235*1.05,2)</f>
        <v>8646.75</v>
      </c>
      <c r="F156" s="5" t="s">
        <v>49</v>
      </c>
      <c r="G156" s="5" t="s">
        <v>18</v>
      </c>
      <c r="H156" s="5" t="n">
        <f aca="true">ROUND(RAND()*4+6,1)</f>
        <v>6.9</v>
      </c>
      <c r="I156" s="5" t="s">
        <v>19</v>
      </c>
      <c r="J156" s="5" t="str">
        <f aca="false">ROUND(70*1,0)&amp;"%"</f>
        <v>70%</v>
      </c>
    </row>
    <row r="157" customFormat="false" ht="15" hidden="false" customHeight="false" outlineLevel="0" collapsed="false">
      <c r="A157" s="6" t="s">
        <v>1241</v>
      </c>
      <c r="B157" s="6" t="s">
        <v>274</v>
      </c>
      <c r="C157" s="6" t="s">
        <v>133</v>
      </c>
      <c r="D157" s="6" t="s">
        <v>22</v>
      </c>
      <c r="E157" s="6" t="n">
        <f aca="false">ROUND(12025*1.05,2)</f>
        <v>12626.25</v>
      </c>
      <c r="F157" s="6" t="s">
        <v>52</v>
      </c>
      <c r="G157" s="6" t="s">
        <v>24</v>
      </c>
      <c r="H157" s="6" t="n">
        <f aca="true">ROUND(RAND()*4+6,1)</f>
        <v>9.6</v>
      </c>
      <c r="I157" s="6" t="s">
        <v>25</v>
      </c>
      <c r="J157" s="6" t="str">
        <f aca="false">ROUND(62*1,0)&amp;"%"</f>
        <v>62%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1242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1243</v>
      </c>
      <c r="B162" s="5" t="s">
        <v>278</v>
      </c>
      <c r="C162" s="5" t="s">
        <v>152</v>
      </c>
      <c r="D162" s="5" t="s">
        <v>16</v>
      </c>
      <c r="E162" s="5" t="n">
        <f aca="false">ROUND(17248*1.05,2)</f>
        <v>18110.4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ROUND(99*1,0)&amp;"%"</f>
        <v>99%</v>
      </c>
    </row>
    <row r="163" customFormat="false" ht="15" hidden="false" customHeight="false" outlineLevel="0" collapsed="false">
      <c r="A163" s="6" t="s">
        <v>1244</v>
      </c>
      <c r="B163" s="6" t="s">
        <v>280</v>
      </c>
      <c r="C163" s="6" t="s">
        <v>152</v>
      </c>
      <c r="D163" s="6" t="s">
        <v>22</v>
      </c>
      <c r="E163" s="6" t="n">
        <f aca="false">ROUND(17923*1.05,2)</f>
        <v>18819.15</v>
      </c>
      <c r="F163" s="6" t="s">
        <v>23</v>
      </c>
      <c r="G163" s="6" t="s">
        <v>24</v>
      </c>
      <c r="H163" s="6" t="n">
        <f aca="true">ROUND(RAND()*4+6,1)</f>
        <v>8.4</v>
      </c>
      <c r="I163" s="6" t="s">
        <v>25</v>
      </c>
      <c r="J163" s="6" t="str">
        <f aca="false">ROUND(99*1,0)&amp;"%"</f>
        <v>99%</v>
      </c>
    </row>
    <row r="164" customFormat="false" ht="15" hidden="false" customHeight="false" outlineLevel="0" collapsed="false">
      <c r="A164" s="5" t="s">
        <v>1245</v>
      </c>
      <c r="B164" s="5" t="s">
        <v>282</v>
      </c>
      <c r="C164" s="5" t="s">
        <v>152</v>
      </c>
      <c r="D164" s="5" t="s">
        <v>28</v>
      </c>
      <c r="E164" s="5" t="n">
        <f aca="false">ROUND(15897*1.05,2)</f>
        <v>16691.85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ROUND(88*1,0)&amp;"%"</f>
        <v>88%</v>
      </c>
    </row>
    <row r="165" customFormat="false" ht="15" hidden="false" customHeight="false" outlineLevel="0" collapsed="false">
      <c r="A165" s="6" t="s">
        <v>1246</v>
      </c>
      <c r="B165" s="6" t="s">
        <v>284</v>
      </c>
      <c r="C165" s="6" t="s">
        <v>152</v>
      </c>
      <c r="D165" s="6" t="s">
        <v>34</v>
      </c>
      <c r="E165" s="6" t="n">
        <f aca="false">ROUND(10498*1.05,2)</f>
        <v>11022.9</v>
      </c>
      <c r="F165" s="6" t="s">
        <v>35</v>
      </c>
      <c r="G165" s="6" t="s">
        <v>18</v>
      </c>
      <c r="H165" s="6" t="n">
        <f aca="true">ROUND(RAND()*4+6,1)</f>
        <v>9.6</v>
      </c>
      <c r="I165" s="6" t="s">
        <v>36</v>
      </c>
      <c r="J165" s="6" t="str">
        <f aca="false">ROUND(84*1,0)&amp;"%"</f>
        <v>84%</v>
      </c>
    </row>
    <row r="166" customFormat="false" ht="15" hidden="false" customHeight="false" outlineLevel="0" collapsed="false">
      <c r="A166" s="5" t="s">
        <v>1247</v>
      </c>
      <c r="B166" s="5" t="s">
        <v>286</v>
      </c>
      <c r="C166" s="5" t="s">
        <v>152</v>
      </c>
      <c r="D166" s="5" t="s">
        <v>39</v>
      </c>
      <c r="E166" s="5" t="n">
        <f aca="false">ROUND(13634*1.05,2)</f>
        <v>14315.7</v>
      </c>
      <c r="F166" s="5" t="s">
        <v>40</v>
      </c>
      <c r="G166" s="5" t="s">
        <v>24</v>
      </c>
      <c r="H166" s="5" t="n">
        <f aca="true">ROUND(RAND()*4+6,1)</f>
        <v>9.2</v>
      </c>
      <c r="I166" s="5" t="s">
        <v>41</v>
      </c>
      <c r="J166" s="5" t="str">
        <f aca="false">ROUND(84*1,0)&amp;"%"</f>
        <v>84%</v>
      </c>
    </row>
    <row r="167" customFormat="false" ht="15" hidden="false" customHeight="false" outlineLevel="0" collapsed="false">
      <c r="A167" s="6" t="s">
        <v>1248</v>
      </c>
      <c r="B167" s="6" t="s">
        <v>288</v>
      </c>
      <c r="C167" s="6" t="s">
        <v>152</v>
      </c>
      <c r="D167" s="6" t="s">
        <v>44</v>
      </c>
      <c r="E167" s="6" t="n">
        <f aca="false">ROUND(13959*1.05,2)</f>
        <v>14656.95</v>
      </c>
      <c r="F167" s="6" t="s">
        <v>45</v>
      </c>
      <c r="G167" s="6" t="s">
        <v>30</v>
      </c>
      <c r="H167" s="6" t="n">
        <f aca="true">ROUND(RAND()*4+6,1)</f>
        <v>9.8</v>
      </c>
      <c r="I167" s="6" t="s">
        <v>46</v>
      </c>
      <c r="J167" s="6" t="str">
        <f aca="false">ROUND(92*1,0)&amp;"%"</f>
        <v>92%</v>
      </c>
    </row>
    <row r="168" customFormat="false" ht="15" hidden="false" customHeight="false" outlineLevel="0" collapsed="false">
      <c r="A168" s="5" t="s">
        <v>1249</v>
      </c>
      <c r="B168" s="5" t="s">
        <v>290</v>
      </c>
      <c r="C168" s="5" t="s">
        <v>152</v>
      </c>
      <c r="D168" s="5" t="s">
        <v>16</v>
      </c>
      <c r="E168" s="5" t="n">
        <f aca="false">ROUND(13889*1.05,2)</f>
        <v>14583.45</v>
      </c>
      <c r="F168" s="5" t="s">
        <v>49</v>
      </c>
      <c r="G168" s="5" t="s">
        <v>18</v>
      </c>
      <c r="H168" s="5" t="n">
        <f aca="true">ROUND(RAND()*4+6,1)</f>
        <v>9.7</v>
      </c>
      <c r="I168" s="5" t="s">
        <v>19</v>
      </c>
      <c r="J168" s="5" t="str">
        <f aca="false">ROUND(85*1,0)&amp;"%"</f>
        <v>85%</v>
      </c>
    </row>
    <row r="169" customFormat="false" ht="15" hidden="false" customHeight="false" outlineLevel="0" collapsed="false">
      <c r="A169" s="6" t="s">
        <v>1250</v>
      </c>
      <c r="B169" s="6" t="s">
        <v>292</v>
      </c>
      <c r="C169" s="6" t="s">
        <v>152</v>
      </c>
      <c r="D169" s="6" t="s">
        <v>22</v>
      </c>
      <c r="E169" s="6" t="n">
        <f aca="false">ROUND(7012*1.05,2)</f>
        <v>7362.6</v>
      </c>
      <c r="F169" s="6" t="s">
        <v>52</v>
      </c>
      <c r="G169" s="6" t="s">
        <v>24</v>
      </c>
      <c r="H169" s="6" t="n">
        <f aca="true">ROUND(RAND()*4+6,1)</f>
        <v>8.8</v>
      </c>
      <c r="I169" s="6" t="s">
        <v>25</v>
      </c>
      <c r="J169" s="6" t="str">
        <f aca="false">ROUND(64*1,0)&amp;"%"</f>
        <v>64%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1251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1252</v>
      </c>
      <c r="B174" s="5" t="s">
        <v>296</v>
      </c>
      <c r="C174" s="5" t="s">
        <v>15</v>
      </c>
      <c r="D174" s="5" t="s">
        <v>16</v>
      </c>
      <c r="E174" s="5" t="n">
        <f aca="false">ROUND(4763*1.05,2)</f>
        <v>5001.15</v>
      </c>
      <c r="F174" s="5" t="s">
        <v>17</v>
      </c>
      <c r="G174" s="5" t="s">
        <v>18</v>
      </c>
      <c r="H174" s="5" t="n">
        <f aca="true">ROUND(RAND()*4+6,1)</f>
        <v>7.5</v>
      </c>
      <c r="I174" s="5" t="s">
        <v>19</v>
      </c>
      <c r="J174" s="5" t="str">
        <f aca="false">ROUND(71*1,0)&amp;"%"</f>
        <v>71%</v>
      </c>
    </row>
    <row r="175" customFormat="false" ht="15" hidden="false" customHeight="false" outlineLevel="0" collapsed="false">
      <c r="A175" s="6" t="s">
        <v>1253</v>
      </c>
      <c r="B175" s="6" t="s">
        <v>298</v>
      </c>
      <c r="C175" s="6" t="s">
        <v>15</v>
      </c>
      <c r="D175" s="6" t="s">
        <v>22</v>
      </c>
      <c r="E175" s="6" t="n">
        <f aca="false">ROUND(10729*1.05,2)</f>
        <v>11265.45</v>
      </c>
      <c r="F175" s="6" t="s">
        <v>23</v>
      </c>
      <c r="G175" s="6" t="s">
        <v>24</v>
      </c>
      <c r="H175" s="6" t="n">
        <f aca="true">ROUND(RAND()*4+6,1)</f>
        <v>8.3</v>
      </c>
      <c r="I175" s="6" t="s">
        <v>25</v>
      </c>
      <c r="J175" s="6" t="str">
        <f aca="false">ROUND(94*1,0)&amp;"%"</f>
        <v>94%</v>
      </c>
    </row>
    <row r="176" customFormat="false" ht="15" hidden="false" customHeight="false" outlineLevel="0" collapsed="false">
      <c r="A176" s="5" t="s">
        <v>1254</v>
      </c>
      <c r="B176" s="5" t="s">
        <v>300</v>
      </c>
      <c r="C176" s="5" t="s">
        <v>15</v>
      </c>
      <c r="D176" s="5" t="s">
        <v>28</v>
      </c>
      <c r="E176" s="5" t="n">
        <f aca="false">ROUND(15689*1.05,2)</f>
        <v>16473.45</v>
      </c>
      <c r="F176" s="5" t="s">
        <v>29</v>
      </c>
      <c r="G176" s="5" t="s">
        <v>30</v>
      </c>
      <c r="H176" s="5" t="n">
        <f aca="true">ROUND(RAND()*4+6,1)</f>
        <v>9.4</v>
      </c>
      <c r="I176" s="5" t="s">
        <v>31</v>
      </c>
      <c r="J176" s="5" t="str">
        <f aca="false">ROUND(63*1,0)&amp;"%"</f>
        <v>63%</v>
      </c>
    </row>
    <row r="177" customFormat="false" ht="15" hidden="false" customHeight="false" outlineLevel="0" collapsed="false">
      <c r="A177" s="6" t="s">
        <v>1255</v>
      </c>
      <c r="B177" s="6" t="s">
        <v>302</v>
      </c>
      <c r="C177" s="6" t="s">
        <v>15</v>
      </c>
      <c r="D177" s="6" t="s">
        <v>34</v>
      </c>
      <c r="E177" s="6" t="n">
        <f aca="false">ROUND(11285*1.05,2)</f>
        <v>11849.25</v>
      </c>
      <c r="F177" s="6" t="s">
        <v>35</v>
      </c>
      <c r="G177" s="6" t="s">
        <v>18</v>
      </c>
      <c r="H177" s="6" t="n">
        <f aca="true">ROUND(RAND()*4+6,1)</f>
        <v>7.1</v>
      </c>
      <c r="I177" s="6" t="s">
        <v>36</v>
      </c>
      <c r="J177" s="6" t="str">
        <f aca="false">ROUND(68*1,0)&amp;"%"</f>
        <v>68%</v>
      </c>
    </row>
    <row r="178" customFormat="false" ht="15" hidden="false" customHeight="false" outlineLevel="0" collapsed="false">
      <c r="A178" s="5" t="s">
        <v>1256</v>
      </c>
      <c r="B178" s="5" t="s">
        <v>304</v>
      </c>
      <c r="C178" s="5" t="s">
        <v>15</v>
      </c>
      <c r="D178" s="5" t="s">
        <v>39</v>
      </c>
      <c r="E178" s="5" t="n">
        <f aca="false">ROUND(6167*1.05,2)</f>
        <v>6475.35</v>
      </c>
      <c r="F178" s="5" t="s">
        <v>40</v>
      </c>
      <c r="G178" s="5" t="s">
        <v>24</v>
      </c>
      <c r="H178" s="5" t="n">
        <f aca="true">ROUND(RAND()*4+6,1)</f>
        <v>7</v>
      </c>
      <c r="I178" s="5" t="s">
        <v>41</v>
      </c>
      <c r="J178" s="5" t="str">
        <f aca="false">ROUND(99*1,0)&amp;"%"</f>
        <v>99%</v>
      </c>
    </row>
    <row r="179" customFormat="false" ht="15" hidden="false" customHeight="false" outlineLevel="0" collapsed="false">
      <c r="A179" s="6" t="s">
        <v>1257</v>
      </c>
      <c r="B179" s="6" t="s">
        <v>306</v>
      </c>
      <c r="C179" s="6" t="s">
        <v>15</v>
      </c>
      <c r="D179" s="6" t="s">
        <v>44</v>
      </c>
      <c r="E179" s="6" t="n">
        <f aca="false">ROUND(15918*1.05,2)</f>
        <v>16713.9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ROUND(65*1,0)&amp;"%"</f>
        <v>65%</v>
      </c>
    </row>
    <row r="180" customFormat="false" ht="15" hidden="false" customHeight="false" outlineLevel="0" collapsed="false">
      <c r="A180" s="5" t="s">
        <v>1258</v>
      </c>
      <c r="B180" s="5" t="s">
        <v>308</v>
      </c>
      <c r="C180" s="5" t="s">
        <v>15</v>
      </c>
      <c r="D180" s="5" t="s">
        <v>16</v>
      </c>
      <c r="E180" s="5" t="n">
        <f aca="false">ROUND(10663*1.05,2)</f>
        <v>11196.15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ROUND(71*1,0)&amp;"%"</f>
        <v>71%</v>
      </c>
    </row>
    <row r="181" customFormat="false" ht="15" hidden="false" customHeight="false" outlineLevel="0" collapsed="false">
      <c r="A181" s="6" t="s">
        <v>1259</v>
      </c>
      <c r="B181" s="6" t="s">
        <v>310</v>
      </c>
      <c r="C181" s="6" t="s">
        <v>15</v>
      </c>
      <c r="D181" s="6" t="s">
        <v>22</v>
      </c>
      <c r="E181" s="6" t="n">
        <f aca="false">ROUND(12316*1.05,2)</f>
        <v>12931.8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ROUND(91*1,0)&amp;"%"</f>
        <v>91%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1260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1261</v>
      </c>
      <c r="B186" s="5" t="s">
        <v>314</v>
      </c>
      <c r="C186" s="5" t="s">
        <v>57</v>
      </c>
      <c r="D186" s="5" t="s">
        <v>16</v>
      </c>
      <c r="E186" s="5" t="n">
        <f aca="false">ROUND(11729*1.05,2)</f>
        <v>12315.45</v>
      </c>
      <c r="F186" s="5" t="s">
        <v>17</v>
      </c>
      <c r="G186" s="5" t="s">
        <v>18</v>
      </c>
      <c r="H186" s="5" t="n">
        <f aca="true">ROUND(RAND()*4+6,1)</f>
        <v>9.7</v>
      </c>
      <c r="I186" s="5" t="s">
        <v>19</v>
      </c>
      <c r="J186" s="5" t="str">
        <f aca="false">ROUND(88*1,0)&amp;"%"</f>
        <v>88%</v>
      </c>
    </row>
    <row r="187" customFormat="false" ht="15" hidden="false" customHeight="false" outlineLevel="0" collapsed="false">
      <c r="A187" s="6" t="s">
        <v>1262</v>
      </c>
      <c r="B187" s="6" t="s">
        <v>316</v>
      </c>
      <c r="C187" s="6" t="s">
        <v>57</v>
      </c>
      <c r="D187" s="6" t="s">
        <v>22</v>
      </c>
      <c r="E187" s="6" t="n">
        <f aca="false">ROUND(15540*1.05,2)</f>
        <v>16317</v>
      </c>
      <c r="F187" s="6" t="s">
        <v>23</v>
      </c>
      <c r="G187" s="6" t="s">
        <v>24</v>
      </c>
      <c r="H187" s="6" t="n">
        <f aca="true">ROUND(RAND()*4+6,1)</f>
        <v>8.2</v>
      </c>
      <c r="I187" s="6" t="s">
        <v>25</v>
      </c>
      <c r="J187" s="6" t="str">
        <f aca="false">ROUND(73*1,0)&amp;"%"</f>
        <v>73%</v>
      </c>
    </row>
    <row r="188" customFormat="false" ht="15" hidden="false" customHeight="false" outlineLevel="0" collapsed="false">
      <c r="A188" s="5" t="s">
        <v>1263</v>
      </c>
      <c r="B188" s="5" t="s">
        <v>318</v>
      </c>
      <c r="C188" s="5" t="s">
        <v>57</v>
      </c>
      <c r="D188" s="5" t="s">
        <v>28</v>
      </c>
      <c r="E188" s="5" t="n">
        <f aca="false">ROUND(5946*1.05,2)</f>
        <v>6243.3</v>
      </c>
      <c r="F188" s="5" t="s">
        <v>29</v>
      </c>
      <c r="G188" s="5" t="s">
        <v>30</v>
      </c>
      <c r="H188" s="5" t="n">
        <f aca="true">ROUND(RAND()*4+6,1)</f>
        <v>6.1</v>
      </c>
      <c r="I188" s="5" t="s">
        <v>31</v>
      </c>
      <c r="J188" s="5" t="str">
        <f aca="false">ROUND(60*1,0)&amp;"%"</f>
        <v>60%</v>
      </c>
    </row>
    <row r="189" customFormat="false" ht="15" hidden="false" customHeight="false" outlineLevel="0" collapsed="false">
      <c r="A189" s="6" t="s">
        <v>1264</v>
      </c>
      <c r="B189" s="6" t="s">
        <v>320</v>
      </c>
      <c r="C189" s="6" t="s">
        <v>57</v>
      </c>
      <c r="D189" s="6" t="s">
        <v>34</v>
      </c>
      <c r="E189" s="6" t="n">
        <f aca="false">ROUND(10893*1.05,2)</f>
        <v>11437.65</v>
      </c>
      <c r="F189" s="6" t="s">
        <v>35</v>
      </c>
      <c r="G189" s="6" t="s">
        <v>18</v>
      </c>
      <c r="H189" s="6" t="n">
        <f aca="true">ROUND(RAND()*4+6,1)</f>
        <v>8.2</v>
      </c>
      <c r="I189" s="6" t="s">
        <v>36</v>
      </c>
      <c r="J189" s="6" t="str">
        <f aca="false">ROUND(100*1,0)&amp;"%"</f>
        <v>100%</v>
      </c>
    </row>
    <row r="190" customFormat="false" ht="15" hidden="false" customHeight="false" outlineLevel="0" collapsed="false">
      <c r="A190" s="5" t="s">
        <v>1265</v>
      </c>
      <c r="B190" s="5" t="s">
        <v>322</v>
      </c>
      <c r="C190" s="5" t="s">
        <v>57</v>
      </c>
      <c r="D190" s="5" t="s">
        <v>39</v>
      </c>
      <c r="E190" s="5" t="n">
        <f aca="false">ROUND(15914*1.05,2)</f>
        <v>16709.7</v>
      </c>
      <c r="F190" s="5" t="s">
        <v>40</v>
      </c>
      <c r="G190" s="5" t="s">
        <v>24</v>
      </c>
      <c r="H190" s="5" t="n">
        <f aca="true">ROUND(RAND()*4+6,1)</f>
        <v>9.5</v>
      </c>
      <c r="I190" s="5" t="s">
        <v>41</v>
      </c>
      <c r="J190" s="5" t="str">
        <f aca="false">ROUND(61*1,0)&amp;"%"</f>
        <v>61%</v>
      </c>
    </row>
    <row r="191" customFormat="false" ht="15" hidden="false" customHeight="false" outlineLevel="0" collapsed="false">
      <c r="A191" s="6" t="s">
        <v>1266</v>
      </c>
      <c r="B191" s="6" t="s">
        <v>324</v>
      </c>
      <c r="C191" s="6" t="s">
        <v>57</v>
      </c>
      <c r="D191" s="6" t="s">
        <v>44</v>
      </c>
      <c r="E191" s="6" t="n">
        <f aca="false">ROUND(7946*1.05,2)</f>
        <v>8343.3</v>
      </c>
      <c r="F191" s="6" t="s">
        <v>45</v>
      </c>
      <c r="G191" s="6" t="s">
        <v>30</v>
      </c>
      <c r="H191" s="6" t="n">
        <f aca="true">ROUND(RAND()*4+6,1)</f>
        <v>8.3</v>
      </c>
      <c r="I191" s="6" t="s">
        <v>46</v>
      </c>
      <c r="J191" s="6" t="str">
        <f aca="false">ROUND(79*1,0)&amp;"%"</f>
        <v>79%</v>
      </c>
    </row>
    <row r="192" customFormat="false" ht="15" hidden="false" customHeight="false" outlineLevel="0" collapsed="false">
      <c r="A192" s="5" t="s">
        <v>1267</v>
      </c>
      <c r="B192" s="5" t="s">
        <v>326</v>
      </c>
      <c r="C192" s="5" t="s">
        <v>57</v>
      </c>
      <c r="D192" s="5" t="s">
        <v>16</v>
      </c>
      <c r="E192" s="5" t="n">
        <f aca="false">ROUND(4476*1.05,2)</f>
        <v>4699.8</v>
      </c>
      <c r="F192" s="5" t="s">
        <v>49</v>
      </c>
      <c r="G192" s="5" t="s">
        <v>18</v>
      </c>
      <c r="H192" s="5" t="n">
        <f aca="true">ROUND(RAND()*4+6,1)</f>
        <v>8.3</v>
      </c>
      <c r="I192" s="5" t="s">
        <v>19</v>
      </c>
      <c r="J192" s="5" t="str">
        <f aca="false">ROUND(87*1,0)&amp;"%"</f>
        <v>87%</v>
      </c>
    </row>
    <row r="193" customFormat="false" ht="15" hidden="false" customHeight="false" outlineLevel="0" collapsed="false">
      <c r="A193" s="6" t="s">
        <v>1268</v>
      </c>
      <c r="B193" s="6" t="s">
        <v>328</v>
      </c>
      <c r="C193" s="6" t="s">
        <v>57</v>
      </c>
      <c r="D193" s="6" t="s">
        <v>22</v>
      </c>
      <c r="E193" s="6" t="n">
        <f aca="false">ROUND(8843*1.05,2)</f>
        <v>9285.15</v>
      </c>
      <c r="F193" s="6" t="s">
        <v>52</v>
      </c>
      <c r="G193" s="6" t="s">
        <v>24</v>
      </c>
      <c r="H193" s="6" t="n">
        <f aca="true">ROUND(RAND()*4+6,1)</f>
        <v>9.9</v>
      </c>
      <c r="I193" s="6" t="s">
        <v>25</v>
      </c>
      <c r="J193" s="6" t="str">
        <f aca="false">ROUND(64*1,0)&amp;"%"</f>
        <v>64%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1269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1270</v>
      </c>
      <c r="B198" s="5" t="s">
        <v>332</v>
      </c>
      <c r="C198" s="5" t="s">
        <v>76</v>
      </c>
      <c r="D198" s="5" t="s">
        <v>16</v>
      </c>
      <c r="E198" s="5" t="n">
        <f aca="false">ROUND(9714*1.05,2)</f>
        <v>10199.7</v>
      </c>
      <c r="F198" s="5" t="s">
        <v>17</v>
      </c>
      <c r="G198" s="5" t="s">
        <v>18</v>
      </c>
      <c r="H198" s="5" t="n">
        <f aca="true">ROUND(RAND()*4+6,1)</f>
        <v>6.9</v>
      </c>
      <c r="I198" s="5" t="s">
        <v>19</v>
      </c>
      <c r="J198" s="5" t="str">
        <f aca="false">ROUND(86*1,0)&amp;"%"</f>
        <v>86%</v>
      </c>
    </row>
    <row r="199" customFormat="false" ht="15" hidden="false" customHeight="false" outlineLevel="0" collapsed="false">
      <c r="A199" s="6" t="s">
        <v>1271</v>
      </c>
      <c r="B199" s="6" t="s">
        <v>334</v>
      </c>
      <c r="C199" s="6" t="s">
        <v>76</v>
      </c>
      <c r="D199" s="6" t="s">
        <v>22</v>
      </c>
      <c r="E199" s="6" t="n">
        <f aca="false">ROUND(8569*1.05,2)</f>
        <v>8997.45</v>
      </c>
      <c r="F199" s="6" t="s">
        <v>23</v>
      </c>
      <c r="G199" s="6" t="s">
        <v>24</v>
      </c>
      <c r="H199" s="6" t="n">
        <f aca="true">ROUND(RAND()*4+6,1)</f>
        <v>9.1</v>
      </c>
      <c r="I199" s="6" t="s">
        <v>25</v>
      </c>
      <c r="J199" s="6" t="str">
        <f aca="false">ROUND(94*1,0)&amp;"%"</f>
        <v>94%</v>
      </c>
    </row>
    <row r="200" customFormat="false" ht="15" hidden="false" customHeight="false" outlineLevel="0" collapsed="false">
      <c r="A200" s="5" t="s">
        <v>1272</v>
      </c>
      <c r="B200" s="5" t="s">
        <v>336</v>
      </c>
      <c r="C200" s="5" t="s">
        <v>76</v>
      </c>
      <c r="D200" s="5" t="s">
        <v>28</v>
      </c>
      <c r="E200" s="5" t="n">
        <f aca="false">ROUND(7423*1.05,2)</f>
        <v>7794.15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ROUND(61*1,0)&amp;"%"</f>
        <v>61%</v>
      </c>
    </row>
    <row r="201" customFormat="false" ht="15" hidden="false" customHeight="false" outlineLevel="0" collapsed="false">
      <c r="A201" s="6" t="s">
        <v>1273</v>
      </c>
      <c r="B201" s="6" t="s">
        <v>338</v>
      </c>
      <c r="C201" s="6" t="s">
        <v>76</v>
      </c>
      <c r="D201" s="6" t="s">
        <v>34</v>
      </c>
      <c r="E201" s="6" t="n">
        <f aca="false">ROUND(14077*1.05,2)</f>
        <v>14780.85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ROUND(66*1,0)&amp;"%"</f>
        <v>66%</v>
      </c>
    </row>
    <row r="202" customFormat="false" ht="15" hidden="false" customHeight="false" outlineLevel="0" collapsed="false">
      <c r="A202" s="5" t="s">
        <v>1274</v>
      </c>
      <c r="B202" s="5" t="s">
        <v>340</v>
      </c>
      <c r="C202" s="5" t="s">
        <v>76</v>
      </c>
      <c r="D202" s="5" t="s">
        <v>39</v>
      </c>
      <c r="E202" s="5" t="n">
        <f aca="false">ROUND(16150*1.05,2)</f>
        <v>16957.5</v>
      </c>
      <c r="F202" s="5" t="s">
        <v>40</v>
      </c>
      <c r="G202" s="5" t="s">
        <v>24</v>
      </c>
      <c r="H202" s="5" t="n">
        <f aca="true">ROUND(RAND()*4+6,1)</f>
        <v>7.2</v>
      </c>
      <c r="I202" s="5" t="s">
        <v>41</v>
      </c>
      <c r="J202" s="5" t="str">
        <f aca="false">ROUND(63*1,0)&amp;"%"</f>
        <v>63%</v>
      </c>
    </row>
    <row r="203" customFormat="false" ht="15" hidden="false" customHeight="false" outlineLevel="0" collapsed="false">
      <c r="A203" s="6" t="s">
        <v>1275</v>
      </c>
      <c r="B203" s="6" t="s">
        <v>342</v>
      </c>
      <c r="C203" s="6" t="s">
        <v>76</v>
      </c>
      <c r="D203" s="6" t="s">
        <v>44</v>
      </c>
      <c r="E203" s="6" t="n">
        <f aca="false">ROUND(7946*1.05,2)</f>
        <v>8343.3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ROUND(61*1,0)&amp;"%"</f>
        <v>61%</v>
      </c>
    </row>
    <row r="204" customFormat="false" ht="15" hidden="false" customHeight="false" outlineLevel="0" collapsed="false">
      <c r="A204" s="5" t="s">
        <v>1276</v>
      </c>
      <c r="B204" s="5" t="s">
        <v>344</v>
      </c>
      <c r="C204" s="5" t="s">
        <v>76</v>
      </c>
      <c r="D204" s="5" t="s">
        <v>16</v>
      </c>
      <c r="E204" s="5" t="n">
        <f aca="false">ROUND(7003*1.05,2)</f>
        <v>7353.15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1277</v>
      </c>
      <c r="B205" s="6" t="s">
        <v>346</v>
      </c>
      <c r="C205" s="6" t="s">
        <v>76</v>
      </c>
      <c r="D205" s="6" t="s">
        <v>22</v>
      </c>
      <c r="E205" s="6" t="n">
        <f aca="false">ROUND(4899*1.05,2)</f>
        <v>5143.95</v>
      </c>
      <c r="F205" s="6" t="s">
        <v>52</v>
      </c>
      <c r="G205" s="6" t="s">
        <v>24</v>
      </c>
      <c r="H205" s="6" t="n">
        <f aca="true">ROUND(RAND()*4+6,1)</f>
        <v>6.2</v>
      </c>
      <c r="I205" s="6" t="s">
        <v>25</v>
      </c>
      <c r="J205" s="6" t="str">
        <f aca="false">ROUND(64*1,0)&amp;"%"</f>
        <v>64%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1278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1279</v>
      </c>
      <c r="B210" s="5" t="s">
        <v>350</v>
      </c>
      <c r="C210" s="5" t="s">
        <v>95</v>
      </c>
      <c r="D210" s="5" t="s">
        <v>16</v>
      </c>
      <c r="E210" s="5" t="n">
        <f aca="false">ROUND(5977*1.05,2)</f>
        <v>6275.85</v>
      </c>
      <c r="F210" s="5" t="s">
        <v>17</v>
      </c>
      <c r="G210" s="5" t="s">
        <v>18</v>
      </c>
      <c r="H210" s="5" t="n">
        <f aca="true">ROUND(RAND()*4+6,1)</f>
        <v>7.8</v>
      </c>
      <c r="I210" s="5" t="s">
        <v>19</v>
      </c>
      <c r="J210" s="5" t="str">
        <f aca="false">ROUND(93*1,0)&amp;"%"</f>
        <v>93%</v>
      </c>
    </row>
    <row r="211" customFormat="false" ht="15" hidden="false" customHeight="false" outlineLevel="0" collapsed="false">
      <c r="A211" s="6" t="s">
        <v>1280</v>
      </c>
      <c r="B211" s="6" t="s">
        <v>352</v>
      </c>
      <c r="C211" s="6" t="s">
        <v>95</v>
      </c>
      <c r="D211" s="6" t="s">
        <v>22</v>
      </c>
      <c r="E211" s="6" t="n">
        <f aca="false">ROUND(8800*1.05,2)</f>
        <v>9240</v>
      </c>
      <c r="F211" s="6" t="s">
        <v>23</v>
      </c>
      <c r="G211" s="6" t="s">
        <v>24</v>
      </c>
      <c r="H211" s="6" t="n">
        <f aca="true">ROUND(RAND()*4+6,1)</f>
        <v>7.8</v>
      </c>
      <c r="I211" s="6" t="s">
        <v>25</v>
      </c>
      <c r="J211" s="6" t="str">
        <f aca="false">ROUND(100*1,0)&amp;"%"</f>
        <v>100%</v>
      </c>
    </row>
    <row r="212" customFormat="false" ht="15" hidden="false" customHeight="false" outlineLevel="0" collapsed="false">
      <c r="A212" s="5" t="s">
        <v>1281</v>
      </c>
      <c r="B212" s="5" t="s">
        <v>354</v>
      </c>
      <c r="C212" s="5" t="s">
        <v>95</v>
      </c>
      <c r="D212" s="5" t="s">
        <v>28</v>
      </c>
      <c r="E212" s="5" t="n">
        <f aca="false">ROUND(15425*1.05,2)</f>
        <v>16196.25</v>
      </c>
      <c r="F212" s="5" t="s">
        <v>29</v>
      </c>
      <c r="G212" s="5" t="s">
        <v>30</v>
      </c>
      <c r="H212" s="5" t="n">
        <f aca="true">ROUND(RAND()*4+6,1)</f>
        <v>6.5</v>
      </c>
      <c r="I212" s="5" t="s">
        <v>31</v>
      </c>
      <c r="J212" s="5" t="str">
        <f aca="false">ROUND(78*1,0)&amp;"%"</f>
        <v>78%</v>
      </c>
    </row>
    <row r="213" customFormat="false" ht="15" hidden="false" customHeight="false" outlineLevel="0" collapsed="false">
      <c r="A213" s="6" t="s">
        <v>1282</v>
      </c>
      <c r="B213" s="6" t="s">
        <v>356</v>
      </c>
      <c r="C213" s="6" t="s">
        <v>95</v>
      </c>
      <c r="D213" s="6" t="s">
        <v>34</v>
      </c>
      <c r="E213" s="6" t="n">
        <f aca="false">ROUND(6930*1.05,2)</f>
        <v>7276.5</v>
      </c>
      <c r="F213" s="6" t="s">
        <v>35</v>
      </c>
      <c r="G213" s="6" t="s">
        <v>18</v>
      </c>
      <c r="H213" s="6" t="n">
        <f aca="true">ROUND(RAND()*4+6,1)</f>
        <v>6.8</v>
      </c>
      <c r="I213" s="6" t="s">
        <v>36</v>
      </c>
      <c r="J213" s="6" t="str">
        <f aca="false">ROUND(95*1,0)&amp;"%"</f>
        <v>95%</v>
      </c>
    </row>
    <row r="214" customFormat="false" ht="15" hidden="false" customHeight="false" outlineLevel="0" collapsed="false">
      <c r="A214" s="5" t="s">
        <v>1283</v>
      </c>
      <c r="B214" s="5" t="s">
        <v>358</v>
      </c>
      <c r="C214" s="5" t="s">
        <v>95</v>
      </c>
      <c r="D214" s="5" t="s">
        <v>39</v>
      </c>
      <c r="E214" s="5" t="n">
        <f aca="false">ROUND(9853*1.05,2)</f>
        <v>10345.65</v>
      </c>
      <c r="F214" s="5" t="s">
        <v>40</v>
      </c>
      <c r="G214" s="5" t="s">
        <v>24</v>
      </c>
      <c r="H214" s="5" t="n">
        <f aca="true">ROUND(RAND()*4+6,1)</f>
        <v>6.2</v>
      </c>
      <c r="I214" s="5" t="s">
        <v>41</v>
      </c>
      <c r="J214" s="5" t="str">
        <f aca="false">ROUND(96*1,0)&amp;"%"</f>
        <v>96%</v>
      </c>
    </row>
    <row r="215" customFormat="false" ht="15" hidden="false" customHeight="false" outlineLevel="0" collapsed="false">
      <c r="A215" s="6" t="s">
        <v>1284</v>
      </c>
      <c r="B215" s="6" t="s">
        <v>360</v>
      </c>
      <c r="C215" s="6" t="s">
        <v>95</v>
      </c>
      <c r="D215" s="6" t="s">
        <v>44</v>
      </c>
      <c r="E215" s="6" t="n">
        <f aca="false">ROUND(9992*1.05,2)</f>
        <v>10491.6</v>
      </c>
      <c r="F215" s="6" t="s">
        <v>45</v>
      </c>
      <c r="G215" s="6" t="s">
        <v>30</v>
      </c>
      <c r="H215" s="6" t="n">
        <f aca="true">ROUND(RAND()*4+6,1)</f>
        <v>6.9</v>
      </c>
      <c r="I215" s="6" t="s">
        <v>46</v>
      </c>
      <c r="J215" s="6" t="str">
        <f aca="false">ROUND(98*1,0)&amp;"%"</f>
        <v>98%</v>
      </c>
    </row>
    <row r="216" customFormat="false" ht="15" hidden="false" customHeight="false" outlineLevel="0" collapsed="false">
      <c r="A216" s="5" t="s">
        <v>1285</v>
      </c>
      <c r="B216" s="5" t="s">
        <v>362</v>
      </c>
      <c r="C216" s="5" t="s">
        <v>95</v>
      </c>
      <c r="D216" s="5" t="s">
        <v>16</v>
      </c>
      <c r="E216" s="5" t="n">
        <f aca="false">ROUND(8832*1.05,2)</f>
        <v>9273.6</v>
      </c>
      <c r="F216" s="5" t="s">
        <v>49</v>
      </c>
      <c r="G216" s="5" t="s">
        <v>18</v>
      </c>
      <c r="H216" s="5" t="n">
        <f aca="true">ROUND(RAND()*4+6,1)</f>
        <v>9.8</v>
      </c>
      <c r="I216" s="5" t="s">
        <v>19</v>
      </c>
      <c r="J216" s="5" t="str">
        <f aca="false">ROUND(67*1,0)&amp;"%"</f>
        <v>67%</v>
      </c>
    </row>
    <row r="217" customFormat="false" ht="15" hidden="false" customHeight="false" outlineLevel="0" collapsed="false">
      <c r="A217" s="6" t="s">
        <v>1286</v>
      </c>
      <c r="B217" s="6" t="s">
        <v>364</v>
      </c>
      <c r="C217" s="6" t="s">
        <v>95</v>
      </c>
      <c r="D217" s="6" t="s">
        <v>22</v>
      </c>
      <c r="E217" s="6" t="n">
        <f aca="false">ROUND(4150*1.05,2)</f>
        <v>4357.5</v>
      </c>
      <c r="F217" s="6" t="s">
        <v>52</v>
      </c>
      <c r="G217" s="6" t="s">
        <v>24</v>
      </c>
      <c r="H217" s="6" t="n">
        <f aca="true">ROUND(RAND()*4+6,1)</f>
        <v>7.6</v>
      </c>
      <c r="I217" s="6" t="s">
        <v>25</v>
      </c>
      <c r="J217" s="6" t="str">
        <f aca="false">ROUND(71*1,0)&amp;"%"</f>
        <v>71%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1287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1288</v>
      </c>
      <c r="B222" s="5" t="s">
        <v>368</v>
      </c>
      <c r="C222" s="5" t="s">
        <v>114</v>
      </c>
      <c r="D222" s="5" t="s">
        <v>16</v>
      </c>
      <c r="E222" s="5" t="n">
        <f aca="false">ROUND(5656*1.05,2)</f>
        <v>5938.8</v>
      </c>
      <c r="F222" s="5" t="s">
        <v>17</v>
      </c>
      <c r="G222" s="5" t="s">
        <v>18</v>
      </c>
      <c r="H222" s="5" t="n">
        <f aca="true">ROUND(RAND()*4+6,1)</f>
        <v>8.3</v>
      </c>
      <c r="I222" s="5" t="s">
        <v>19</v>
      </c>
      <c r="J222" s="5" t="str">
        <f aca="false">ROUND(78*1,0)&amp;"%"</f>
        <v>78%</v>
      </c>
    </row>
    <row r="223" customFormat="false" ht="15" hidden="false" customHeight="false" outlineLevel="0" collapsed="false">
      <c r="A223" s="6" t="s">
        <v>1289</v>
      </c>
      <c r="B223" s="6" t="s">
        <v>370</v>
      </c>
      <c r="C223" s="6" t="s">
        <v>114</v>
      </c>
      <c r="D223" s="6" t="s">
        <v>22</v>
      </c>
      <c r="E223" s="6" t="n">
        <f aca="false">ROUND(15884*1.05,2)</f>
        <v>16678.2</v>
      </c>
      <c r="F223" s="6" t="s">
        <v>23</v>
      </c>
      <c r="G223" s="6" t="s">
        <v>24</v>
      </c>
      <c r="H223" s="6" t="n">
        <f aca="true">ROUND(RAND()*4+6,1)</f>
        <v>6.4</v>
      </c>
      <c r="I223" s="6" t="s">
        <v>25</v>
      </c>
      <c r="J223" s="6" t="str">
        <f aca="false">ROUND(96*1,0)&amp;"%"</f>
        <v>96%</v>
      </c>
    </row>
    <row r="224" customFormat="false" ht="15" hidden="false" customHeight="false" outlineLevel="0" collapsed="false">
      <c r="A224" s="5" t="s">
        <v>1290</v>
      </c>
      <c r="B224" s="5" t="s">
        <v>372</v>
      </c>
      <c r="C224" s="5" t="s">
        <v>114</v>
      </c>
      <c r="D224" s="5" t="s">
        <v>28</v>
      </c>
      <c r="E224" s="5" t="n">
        <f aca="false">ROUND(11483*1.05,2)</f>
        <v>12057.15</v>
      </c>
      <c r="F224" s="5" t="s">
        <v>29</v>
      </c>
      <c r="G224" s="5" t="s">
        <v>30</v>
      </c>
      <c r="H224" s="5" t="n">
        <f aca="true">ROUND(RAND()*4+6,1)</f>
        <v>9.9</v>
      </c>
      <c r="I224" s="5" t="s">
        <v>31</v>
      </c>
      <c r="J224" s="5" t="str">
        <f aca="false">ROUND(85*1,0)&amp;"%"</f>
        <v>85%</v>
      </c>
    </row>
    <row r="225" customFormat="false" ht="15" hidden="false" customHeight="false" outlineLevel="0" collapsed="false">
      <c r="A225" s="6" t="s">
        <v>1291</v>
      </c>
      <c r="B225" s="6" t="s">
        <v>374</v>
      </c>
      <c r="C225" s="6" t="s">
        <v>114</v>
      </c>
      <c r="D225" s="6" t="s">
        <v>34</v>
      </c>
      <c r="E225" s="6" t="n">
        <f aca="false">ROUND(5306*1.05,2)</f>
        <v>5571.3</v>
      </c>
      <c r="F225" s="6" t="s">
        <v>35</v>
      </c>
      <c r="G225" s="6" t="s">
        <v>18</v>
      </c>
      <c r="H225" s="6" t="n">
        <f aca="true">ROUND(RAND()*4+6,1)</f>
        <v>6.2</v>
      </c>
      <c r="I225" s="6" t="s">
        <v>36</v>
      </c>
      <c r="J225" s="6" t="str">
        <f aca="false">ROUND(73*1,0)&amp;"%"</f>
        <v>73%</v>
      </c>
    </row>
    <row r="226" customFormat="false" ht="15" hidden="false" customHeight="false" outlineLevel="0" collapsed="false">
      <c r="A226" s="5" t="s">
        <v>1292</v>
      </c>
      <c r="B226" s="5" t="s">
        <v>376</v>
      </c>
      <c r="C226" s="5" t="s">
        <v>114</v>
      </c>
      <c r="D226" s="5" t="s">
        <v>39</v>
      </c>
      <c r="E226" s="5" t="n">
        <f aca="false">ROUND(14081*1.05,2)</f>
        <v>14785.05</v>
      </c>
      <c r="F226" s="5" t="s">
        <v>40</v>
      </c>
      <c r="G226" s="5" t="s">
        <v>24</v>
      </c>
      <c r="H226" s="5" t="n">
        <f aca="true">ROUND(RAND()*4+6,1)</f>
        <v>8.1</v>
      </c>
      <c r="I226" s="5" t="s">
        <v>41</v>
      </c>
      <c r="J226" s="5" t="str">
        <f aca="false">ROUND(72*1,0)&amp;"%"</f>
        <v>72%</v>
      </c>
    </row>
    <row r="227" customFormat="false" ht="15" hidden="false" customHeight="false" outlineLevel="0" collapsed="false">
      <c r="A227" s="6" t="s">
        <v>1293</v>
      </c>
      <c r="B227" s="6" t="s">
        <v>378</v>
      </c>
      <c r="C227" s="6" t="s">
        <v>114</v>
      </c>
      <c r="D227" s="6" t="s">
        <v>44</v>
      </c>
      <c r="E227" s="6" t="n">
        <f aca="false">ROUND(7431*1.05,2)</f>
        <v>7802.55</v>
      </c>
      <c r="F227" s="6" t="s">
        <v>45</v>
      </c>
      <c r="G227" s="6" t="s">
        <v>30</v>
      </c>
      <c r="H227" s="6" t="n">
        <f aca="true">ROUND(RAND()*4+6,1)</f>
        <v>8.9</v>
      </c>
      <c r="I227" s="6" t="s">
        <v>46</v>
      </c>
      <c r="J227" s="6" t="str">
        <f aca="false">ROUND(77*1,0)&amp;"%"</f>
        <v>77%</v>
      </c>
    </row>
    <row r="228" customFormat="false" ht="15" hidden="false" customHeight="false" outlineLevel="0" collapsed="false">
      <c r="A228" s="5" t="s">
        <v>1294</v>
      </c>
      <c r="B228" s="5" t="s">
        <v>380</v>
      </c>
      <c r="C228" s="5" t="s">
        <v>114</v>
      </c>
      <c r="D228" s="5" t="s">
        <v>16</v>
      </c>
      <c r="E228" s="5" t="n">
        <f aca="false">ROUND(5850*1.05,2)</f>
        <v>6142.5</v>
      </c>
      <c r="F228" s="5" t="s">
        <v>49</v>
      </c>
      <c r="G228" s="5" t="s">
        <v>18</v>
      </c>
      <c r="H228" s="5" t="n">
        <f aca="true">ROUND(RAND()*4+6,1)</f>
        <v>8</v>
      </c>
      <c r="I228" s="5" t="s">
        <v>19</v>
      </c>
      <c r="J228" s="5" t="str">
        <f aca="false">ROUND(82*1,0)&amp;"%"</f>
        <v>82%</v>
      </c>
    </row>
    <row r="229" customFormat="false" ht="15" hidden="false" customHeight="false" outlineLevel="0" collapsed="false">
      <c r="A229" s="6" t="s">
        <v>1295</v>
      </c>
      <c r="B229" s="6" t="s">
        <v>382</v>
      </c>
      <c r="C229" s="6" t="s">
        <v>114</v>
      </c>
      <c r="D229" s="6" t="s">
        <v>22</v>
      </c>
      <c r="E229" s="6" t="n">
        <f aca="false">ROUND(8620*1.05,2)</f>
        <v>9051</v>
      </c>
      <c r="F229" s="6" t="s">
        <v>52</v>
      </c>
      <c r="G229" s="6" t="s">
        <v>24</v>
      </c>
      <c r="H229" s="6" t="n">
        <f aca="true">ROUND(RAND()*4+6,1)</f>
        <v>6.7</v>
      </c>
      <c r="I229" s="6" t="s">
        <v>25</v>
      </c>
      <c r="J229" s="6" t="str">
        <f aca="false">ROUND(94*1,0)&amp;"%"</f>
        <v>94%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1296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1297</v>
      </c>
      <c r="B234" s="5" t="s">
        <v>386</v>
      </c>
      <c r="C234" s="5" t="s">
        <v>133</v>
      </c>
      <c r="D234" s="5" t="s">
        <v>16</v>
      </c>
      <c r="E234" s="5" t="n">
        <f aca="false">ROUND(14744*1.05,2)</f>
        <v>15481.2</v>
      </c>
      <c r="F234" s="5" t="s">
        <v>17</v>
      </c>
      <c r="G234" s="5" t="s">
        <v>18</v>
      </c>
      <c r="H234" s="5" t="n">
        <f aca="true">ROUND(RAND()*4+6,1)</f>
        <v>8</v>
      </c>
      <c r="I234" s="5" t="s">
        <v>19</v>
      </c>
      <c r="J234" s="5" t="str">
        <f aca="false">ROUND(79*1,0)&amp;"%"</f>
        <v>79%</v>
      </c>
    </row>
    <row r="235" customFormat="false" ht="15" hidden="false" customHeight="false" outlineLevel="0" collapsed="false">
      <c r="A235" s="6" t="s">
        <v>1298</v>
      </c>
      <c r="B235" s="6" t="s">
        <v>388</v>
      </c>
      <c r="C235" s="6" t="s">
        <v>133</v>
      </c>
      <c r="D235" s="6" t="s">
        <v>22</v>
      </c>
      <c r="E235" s="6" t="n">
        <f aca="false">ROUND(7814*1.05,2)</f>
        <v>8204.7</v>
      </c>
      <c r="F235" s="6" t="s">
        <v>23</v>
      </c>
      <c r="G235" s="6" t="s">
        <v>24</v>
      </c>
      <c r="H235" s="6" t="n">
        <f aca="true">ROUND(RAND()*4+6,1)</f>
        <v>8.2</v>
      </c>
      <c r="I235" s="6" t="s">
        <v>25</v>
      </c>
      <c r="J235" s="6" t="str">
        <f aca="false">ROUND(78*1,0)&amp;"%"</f>
        <v>78%</v>
      </c>
    </row>
    <row r="236" customFormat="false" ht="15" hidden="false" customHeight="false" outlineLevel="0" collapsed="false">
      <c r="A236" s="5" t="s">
        <v>1299</v>
      </c>
      <c r="B236" s="5" t="s">
        <v>390</v>
      </c>
      <c r="C236" s="5" t="s">
        <v>133</v>
      </c>
      <c r="D236" s="5" t="s">
        <v>28</v>
      </c>
      <c r="E236" s="5" t="n">
        <f aca="false">ROUND(15398*1.05,2)</f>
        <v>16167.9</v>
      </c>
      <c r="F236" s="5" t="s">
        <v>29</v>
      </c>
      <c r="G236" s="5" t="s">
        <v>30</v>
      </c>
      <c r="H236" s="5" t="n">
        <f aca="true">ROUND(RAND()*4+6,1)</f>
        <v>6.2</v>
      </c>
      <c r="I236" s="5" t="s">
        <v>31</v>
      </c>
      <c r="J236" s="5" t="str">
        <f aca="false">ROUND(67*1,0)&amp;"%"</f>
        <v>67%</v>
      </c>
    </row>
    <row r="237" customFormat="false" ht="15" hidden="false" customHeight="false" outlineLevel="0" collapsed="false">
      <c r="A237" s="6" t="s">
        <v>1300</v>
      </c>
      <c r="B237" s="6" t="s">
        <v>392</v>
      </c>
      <c r="C237" s="6" t="s">
        <v>133</v>
      </c>
      <c r="D237" s="6" t="s">
        <v>34</v>
      </c>
      <c r="E237" s="6" t="n">
        <f aca="false">ROUND(11295*1.05,2)</f>
        <v>11859.75</v>
      </c>
      <c r="F237" s="6" t="s">
        <v>35</v>
      </c>
      <c r="G237" s="6" t="s">
        <v>18</v>
      </c>
      <c r="H237" s="6" t="n">
        <f aca="true">ROUND(RAND()*4+6,1)</f>
        <v>6.5</v>
      </c>
      <c r="I237" s="6" t="s">
        <v>36</v>
      </c>
      <c r="J237" s="6" t="str">
        <f aca="false">ROUND(66*1,0)&amp;"%"</f>
        <v>66%</v>
      </c>
    </row>
    <row r="238" customFormat="false" ht="15" hidden="false" customHeight="false" outlineLevel="0" collapsed="false">
      <c r="A238" s="5" t="s">
        <v>1301</v>
      </c>
      <c r="B238" s="5" t="s">
        <v>394</v>
      </c>
      <c r="C238" s="5" t="s">
        <v>133</v>
      </c>
      <c r="D238" s="5" t="s">
        <v>39</v>
      </c>
      <c r="E238" s="5" t="n">
        <f aca="false">ROUND(4392*1.05,2)</f>
        <v>4611.6</v>
      </c>
      <c r="F238" s="5" t="s">
        <v>40</v>
      </c>
      <c r="G238" s="5" t="s">
        <v>24</v>
      </c>
      <c r="H238" s="5" t="n">
        <f aca="true">ROUND(RAND()*4+6,1)</f>
        <v>6.9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1302</v>
      </c>
      <c r="B239" s="6" t="s">
        <v>396</v>
      </c>
      <c r="C239" s="6" t="s">
        <v>133</v>
      </c>
      <c r="D239" s="6" t="s">
        <v>44</v>
      </c>
      <c r="E239" s="6" t="n">
        <f aca="false">ROUND(17417*1.05,2)</f>
        <v>18287.85</v>
      </c>
      <c r="F239" s="6" t="s">
        <v>45</v>
      </c>
      <c r="G239" s="6" t="s">
        <v>30</v>
      </c>
      <c r="H239" s="6" t="n">
        <f aca="true">ROUND(RAND()*4+6,1)</f>
        <v>6</v>
      </c>
      <c r="I239" s="6" t="s">
        <v>46</v>
      </c>
      <c r="J239" s="6" t="str">
        <f aca="false">ROUND(79*1,0)&amp;"%"</f>
        <v>79%</v>
      </c>
    </row>
    <row r="240" customFormat="false" ht="15" hidden="false" customHeight="false" outlineLevel="0" collapsed="false">
      <c r="A240" s="5" t="s">
        <v>1303</v>
      </c>
      <c r="B240" s="5" t="s">
        <v>398</v>
      </c>
      <c r="C240" s="5" t="s">
        <v>133</v>
      </c>
      <c r="D240" s="5" t="s">
        <v>16</v>
      </c>
      <c r="E240" s="5" t="n">
        <f aca="false">ROUND(13635*1.05,2)</f>
        <v>14316.75</v>
      </c>
      <c r="F240" s="5" t="s">
        <v>49</v>
      </c>
      <c r="G240" s="5" t="s">
        <v>18</v>
      </c>
      <c r="H240" s="5" t="n">
        <f aca="true">ROUND(RAND()*4+6,1)</f>
        <v>7.6</v>
      </c>
      <c r="I240" s="5" t="s">
        <v>19</v>
      </c>
      <c r="J240" s="5" t="str">
        <f aca="false">ROUND(66*1,0)&amp;"%"</f>
        <v>66%</v>
      </c>
    </row>
    <row r="241" customFormat="false" ht="15" hidden="false" customHeight="false" outlineLevel="0" collapsed="false">
      <c r="A241" s="6" t="s">
        <v>1304</v>
      </c>
      <c r="B241" s="6" t="s">
        <v>400</v>
      </c>
      <c r="C241" s="6" t="s">
        <v>133</v>
      </c>
      <c r="D241" s="6" t="s">
        <v>22</v>
      </c>
      <c r="E241" s="6" t="n">
        <f aca="false">ROUND(9219*1.05,2)</f>
        <v>9679.95</v>
      </c>
      <c r="F241" s="6" t="s">
        <v>52</v>
      </c>
      <c r="G241" s="6" t="s">
        <v>24</v>
      </c>
      <c r="H241" s="6" t="n">
        <f aca="true">ROUND(RAND()*4+6,1)</f>
        <v>9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1305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1306</v>
      </c>
      <c r="B246" s="5" t="s">
        <v>404</v>
      </c>
      <c r="C246" s="5" t="s">
        <v>152</v>
      </c>
      <c r="D246" s="5" t="s">
        <v>16</v>
      </c>
      <c r="E246" s="5" t="n">
        <f aca="false">ROUND(8078*1.05,2)</f>
        <v>8481.9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ROUND(88*1,0)&amp;"%"</f>
        <v>88%</v>
      </c>
    </row>
    <row r="247" customFormat="false" ht="15" hidden="false" customHeight="false" outlineLevel="0" collapsed="false">
      <c r="A247" s="6" t="s">
        <v>1307</v>
      </c>
      <c r="B247" s="6" t="s">
        <v>406</v>
      </c>
      <c r="C247" s="6" t="s">
        <v>152</v>
      </c>
      <c r="D247" s="6" t="s">
        <v>22</v>
      </c>
      <c r="E247" s="6" t="n">
        <f aca="false">ROUND(11106*1.05,2)</f>
        <v>11661.3</v>
      </c>
      <c r="F247" s="6" t="s">
        <v>23</v>
      </c>
      <c r="G247" s="6" t="s">
        <v>24</v>
      </c>
      <c r="H247" s="6" t="n">
        <f aca="true">ROUND(RAND()*4+6,1)</f>
        <v>8</v>
      </c>
      <c r="I247" s="6" t="s">
        <v>25</v>
      </c>
      <c r="J247" s="6" t="str">
        <f aca="false">ROUND(88*1,0)&amp;"%"</f>
        <v>88%</v>
      </c>
    </row>
    <row r="248" customFormat="false" ht="15" hidden="false" customHeight="false" outlineLevel="0" collapsed="false">
      <c r="A248" s="5" t="s">
        <v>1308</v>
      </c>
      <c r="B248" s="5" t="s">
        <v>408</v>
      </c>
      <c r="C248" s="5" t="s">
        <v>152</v>
      </c>
      <c r="D248" s="5" t="s">
        <v>28</v>
      </c>
      <c r="E248" s="5" t="n">
        <f aca="false">ROUND(8749*1.05,2)</f>
        <v>9186.45</v>
      </c>
      <c r="F248" s="5" t="s">
        <v>29</v>
      </c>
      <c r="G248" s="5" t="s">
        <v>30</v>
      </c>
      <c r="H248" s="5" t="n">
        <f aca="true">ROUND(RAND()*4+6,1)</f>
        <v>6.9</v>
      </c>
      <c r="I248" s="5" t="s">
        <v>31</v>
      </c>
      <c r="J248" s="5" t="str">
        <f aca="false">ROUND(64*1,0)&amp;"%"</f>
        <v>64%</v>
      </c>
    </row>
    <row r="249" customFormat="false" ht="15" hidden="false" customHeight="false" outlineLevel="0" collapsed="false">
      <c r="A249" s="6" t="s">
        <v>1309</v>
      </c>
      <c r="B249" s="6" t="s">
        <v>410</v>
      </c>
      <c r="C249" s="6" t="s">
        <v>152</v>
      </c>
      <c r="D249" s="6" t="s">
        <v>34</v>
      </c>
      <c r="E249" s="6" t="n">
        <f aca="false">ROUND(17803*1.05,2)</f>
        <v>18693.15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ROUND(92*1,0)&amp;"%"</f>
        <v>92%</v>
      </c>
    </row>
    <row r="250" customFormat="false" ht="15" hidden="false" customHeight="false" outlineLevel="0" collapsed="false">
      <c r="A250" s="5" t="s">
        <v>1310</v>
      </c>
      <c r="B250" s="5" t="s">
        <v>412</v>
      </c>
      <c r="C250" s="5" t="s">
        <v>152</v>
      </c>
      <c r="D250" s="5" t="s">
        <v>39</v>
      </c>
      <c r="E250" s="5" t="n">
        <f aca="false">ROUND(11361*1.05,2)</f>
        <v>11929.05</v>
      </c>
      <c r="F250" s="5" t="s">
        <v>40</v>
      </c>
      <c r="G250" s="5" t="s">
        <v>24</v>
      </c>
      <c r="H250" s="5" t="n">
        <f aca="true">ROUND(RAND()*4+6,1)</f>
        <v>6.4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1311</v>
      </c>
      <c r="B251" s="6" t="s">
        <v>414</v>
      </c>
      <c r="C251" s="6" t="s">
        <v>152</v>
      </c>
      <c r="D251" s="6" t="s">
        <v>44</v>
      </c>
      <c r="E251" s="6" t="n">
        <f aca="false">ROUND(13014*1.05,2)</f>
        <v>13664.7</v>
      </c>
      <c r="F251" s="6" t="s">
        <v>45</v>
      </c>
      <c r="G251" s="6" t="s">
        <v>30</v>
      </c>
      <c r="H251" s="6" t="n">
        <f aca="true">ROUND(RAND()*4+6,1)</f>
        <v>7.4</v>
      </c>
      <c r="I251" s="6" t="s">
        <v>46</v>
      </c>
      <c r="J251" s="6" t="str">
        <f aca="false">ROUND(67*1,0)&amp;"%"</f>
        <v>67%</v>
      </c>
    </row>
    <row r="252" customFormat="false" ht="15" hidden="false" customHeight="false" outlineLevel="0" collapsed="false">
      <c r="A252" s="5" t="s">
        <v>1312</v>
      </c>
      <c r="B252" s="5" t="s">
        <v>416</v>
      </c>
      <c r="C252" s="5" t="s">
        <v>152</v>
      </c>
      <c r="D252" s="5" t="s">
        <v>16</v>
      </c>
      <c r="E252" s="5" t="n">
        <f aca="false">ROUND(16524*1.05,2)</f>
        <v>17350.2</v>
      </c>
      <c r="F252" s="5" t="s">
        <v>49</v>
      </c>
      <c r="G252" s="5" t="s">
        <v>18</v>
      </c>
      <c r="H252" s="5" t="n">
        <f aca="true">ROUND(RAND()*4+6,1)</f>
        <v>7.4</v>
      </c>
      <c r="I252" s="5" t="s">
        <v>19</v>
      </c>
      <c r="J252" s="5" t="str">
        <f aca="false">ROUND(85*1,0)&amp;"%"</f>
        <v>85%</v>
      </c>
    </row>
    <row r="253" customFormat="false" ht="15" hidden="false" customHeight="false" outlineLevel="0" collapsed="false">
      <c r="A253" s="6" t="s">
        <v>1313</v>
      </c>
      <c r="B253" s="6" t="s">
        <v>418</v>
      </c>
      <c r="C253" s="6" t="s">
        <v>152</v>
      </c>
      <c r="D253" s="6" t="s">
        <v>22</v>
      </c>
      <c r="E253" s="6" t="n">
        <f aca="false">ROUND(9350*1.05,2)</f>
        <v>9817.5</v>
      </c>
      <c r="F253" s="6" t="s">
        <v>52</v>
      </c>
      <c r="G253" s="6" t="s">
        <v>24</v>
      </c>
      <c r="H253" s="6" t="n">
        <f aca="true">ROUND(RAND()*4+6,1)</f>
        <v>7.6</v>
      </c>
      <c r="I253" s="6" t="s">
        <v>25</v>
      </c>
      <c r="J253" s="6" t="str">
        <f aca="false">ROUND(74*1,0)&amp;"%"</f>
        <v>74%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1314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1315</v>
      </c>
      <c r="B258" s="5" t="s">
        <v>422</v>
      </c>
      <c r="C258" s="5" t="s">
        <v>15</v>
      </c>
      <c r="D258" s="5" t="s">
        <v>16</v>
      </c>
      <c r="E258" s="5" t="n">
        <f aca="false">ROUND(4527*1.05,2)</f>
        <v>4753.35</v>
      </c>
      <c r="F258" s="5" t="s">
        <v>17</v>
      </c>
      <c r="G258" s="5" t="s">
        <v>18</v>
      </c>
      <c r="H258" s="5" t="n">
        <f aca="true">ROUND(RAND()*4+6,1)</f>
        <v>6.8</v>
      </c>
      <c r="I258" s="5" t="s">
        <v>19</v>
      </c>
      <c r="J258" s="5" t="str">
        <f aca="false">ROUND(96*1,0)&amp;"%"</f>
        <v>96%</v>
      </c>
    </row>
    <row r="259" customFormat="false" ht="15" hidden="false" customHeight="false" outlineLevel="0" collapsed="false">
      <c r="A259" s="6" t="s">
        <v>1316</v>
      </c>
      <c r="B259" s="6" t="s">
        <v>424</v>
      </c>
      <c r="C259" s="6" t="s">
        <v>15</v>
      </c>
      <c r="D259" s="6" t="s">
        <v>22</v>
      </c>
      <c r="E259" s="6" t="n">
        <f aca="false">ROUND(6741*1.05,2)</f>
        <v>7078.05</v>
      </c>
      <c r="F259" s="6" t="s">
        <v>23</v>
      </c>
      <c r="G259" s="6" t="s">
        <v>24</v>
      </c>
      <c r="H259" s="6" t="n">
        <f aca="true">ROUND(RAND()*4+6,1)</f>
        <v>9.3</v>
      </c>
      <c r="I259" s="6" t="s">
        <v>25</v>
      </c>
      <c r="J259" s="6" t="str">
        <f aca="false">ROUND(84*1,0)&amp;"%"</f>
        <v>84%</v>
      </c>
    </row>
    <row r="260" customFormat="false" ht="15" hidden="false" customHeight="false" outlineLevel="0" collapsed="false">
      <c r="A260" s="5" t="s">
        <v>1317</v>
      </c>
      <c r="B260" s="5" t="s">
        <v>426</v>
      </c>
      <c r="C260" s="5" t="s">
        <v>15</v>
      </c>
      <c r="D260" s="5" t="s">
        <v>28</v>
      </c>
      <c r="E260" s="5" t="n">
        <f aca="false">ROUND(14441*1.05,2)</f>
        <v>15163.05</v>
      </c>
      <c r="F260" s="5" t="s">
        <v>29</v>
      </c>
      <c r="G260" s="5" t="s">
        <v>30</v>
      </c>
      <c r="H260" s="5" t="n">
        <f aca="true">ROUND(RAND()*4+6,1)</f>
        <v>9.7</v>
      </c>
      <c r="I260" s="5" t="s">
        <v>31</v>
      </c>
      <c r="J260" s="5" t="str">
        <f aca="false">ROUND(89*1,0)&amp;"%"</f>
        <v>89%</v>
      </c>
    </row>
    <row r="261" customFormat="false" ht="15" hidden="false" customHeight="false" outlineLevel="0" collapsed="false">
      <c r="A261" s="6" t="s">
        <v>1318</v>
      </c>
      <c r="B261" s="6" t="s">
        <v>428</v>
      </c>
      <c r="C261" s="6" t="s">
        <v>15</v>
      </c>
      <c r="D261" s="6" t="s">
        <v>34</v>
      </c>
      <c r="E261" s="6" t="n">
        <f aca="false">ROUND(13602*1.05,2)</f>
        <v>14282.1</v>
      </c>
      <c r="F261" s="6" t="s">
        <v>35</v>
      </c>
      <c r="G261" s="6" t="s">
        <v>18</v>
      </c>
      <c r="H261" s="6" t="n">
        <f aca="true">ROUND(RAND()*4+6,1)</f>
        <v>7.2</v>
      </c>
      <c r="I261" s="6" t="s">
        <v>36</v>
      </c>
      <c r="J261" s="6" t="str">
        <f aca="false">ROUND(90*1,0)&amp;"%"</f>
        <v>90%</v>
      </c>
    </row>
    <row r="262" customFormat="false" ht="15" hidden="false" customHeight="false" outlineLevel="0" collapsed="false">
      <c r="A262" s="5" t="s">
        <v>1319</v>
      </c>
      <c r="B262" s="5" t="s">
        <v>430</v>
      </c>
      <c r="C262" s="5" t="s">
        <v>15</v>
      </c>
      <c r="D262" s="5" t="s">
        <v>39</v>
      </c>
      <c r="E262" s="5" t="n">
        <f aca="false">ROUND(6424*1.05,2)</f>
        <v>6745.2</v>
      </c>
      <c r="F262" s="5" t="s">
        <v>40</v>
      </c>
      <c r="G262" s="5" t="s">
        <v>24</v>
      </c>
      <c r="H262" s="5" t="n">
        <f aca="true">ROUND(RAND()*4+6,1)</f>
        <v>7</v>
      </c>
      <c r="I262" s="5" t="s">
        <v>41</v>
      </c>
      <c r="J262" s="5" t="str">
        <f aca="false">ROUND(68*1,0)&amp;"%"</f>
        <v>68%</v>
      </c>
    </row>
    <row r="263" customFormat="false" ht="15" hidden="false" customHeight="false" outlineLevel="0" collapsed="false">
      <c r="A263" s="6" t="s">
        <v>1320</v>
      </c>
      <c r="B263" s="6" t="s">
        <v>432</v>
      </c>
      <c r="C263" s="6" t="s">
        <v>15</v>
      </c>
      <c r="D263" s="6" t="s">
        <v>44</v>
      </c>
      <c r="E263" s="6" t="n">
        <f aca="false">ROUND(14713*1.05,2)</f>
        <v>15448.65</v>
      </c>
      <c r="F263" s="6" t="s">
        <v>45</v>
      </c>
      <c r="G263" s="6" t="s">
        <v>30</v>
      </c>
      <c r="H263" s="6" t="n">
        <f aca="true">ROUND(RAND()*4+6,1)</f>
        <v>8.5</v>
      </c>
      <c r="I263" s="6" t="s">
        <v>46</v>
      </c>
      <c r="J263" s="6" t="str">
        <f aca="false">ROUND(61*1,0)&amp;"%"</f>
        <v>61%</v>
      </c>
    </row>
    <row r="264" customFormat="false" ht="15" hidden="false" customHeight="false" outlineLevel="0" collapsed="false">
      <c r="A264" s="5" t="s">
        <v>1321</v>
      </c>
      <c r="B264" s="5" t="s">
        <v>434</v>
      </c>
      <c r="C264" s="5" t="s">
        <v>15</v>
      </c>
      <c r="D264" s="5" t="s">
        <v>16</v>
      </c>
      <c r="E264" s="5" t="n">
        <f aca="false">ROUND(5977*1.05,2)</f>
        <v>6275.85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ROUND(96*1,0)&amp;"%"</f>
        <v>96%</v>
      </c>
    </row>
    <row r="265" customFormat="false" ht="15" hidden="false" customHeight="false" outlineLevel="0" collapsed="false">
      <c r="A265" s="6" t="s">
        <v>1322</v>
      </c>
      <c r="B265" s="6" t="s">
        <v>436</v>
      </c>
      <c r="C265" s="6" t="s">
        <v>15</v>
      </c>
      <c r="D265" s="6" t="s">
        <v>22</v>
      </c>
      <c r="E265" s="6" t="n">
        <f aca="false">ROUND(5869*1.05,2)</f>
        <v>6162.45</v>
      </c>
      <c r="F265" s="6" t="s">
        <v>52</v>
      </c>
      <c r="G265" s="6" t="s">
        <v>24</v>
      </c>
      <c r="H265" s="6" t="n">
        <f aca="true">ROUND(RAND()*4+6,1)</f>
        <v>7.8</v>
      </c>
      <c r="I265" s="6" t="s">
        <v>25</v>
      </c>
      <c r="J265" s="6" t="str">
        <f aca="false">ROUND(85*1,0)&amp;"%"</f>
        <v>85%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1323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1324</v>
      </c>
      <c r="B270" s="5" t="s">
        <v>440</v>
      </c>
      <c r="C270" s="5" t="s">
        <v>57</v>
      </c>
      <c r="D270" s="5" t="s">
        <v>16</v>
      </c>
      <c r="E270" s="5" t="n">
        <f aca="false">ROUND(9137*1.05,2)</f>
        <v>9593.85</v>
      </c>
      <c r="F270" s="5" t="s">
        <v>17</v>
      </c>
      <c r="G270" s="5" t="s">
        <v>18</v>
      </c>
      <c r="H270" s="5" t="n">
        <f aca="true">ROUND(RAND()*4+6,1)</f>
        <v>9.3</v>
      </c>
      <c r="I270" s="5" t="s">
        <v>19</v>
      </c>
      <c r="J270" s="5" t="str">
        <f aca="false">ROUND(90*1,0)&amp;"%"</f>
        <v>90%</v>
      </c>
    </row>
    <row r="271" customFormat="false" ht="15" hidden="false" customHeight="false" outlineLevel="0" collapsed="false">
      <c r="A271" s="6" t="s">
        <v>1325</v>
      </c>
      <c r="B271" s="6" t="s">
        <v>442</v>
      </c>
      <c r="C271" s="6" t="s">
        <v>57</v>
      </c>
      <c r="D271" s="6" t="s">
        <v>22</v>
      </c>
      <c r="E271" s="6" t="n">
        <f aca="false">ROUND(15174*1.05,2)</f>
        <v>15932.7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ROUND(73*1,0)&amp;"%"</f>
        <v>73%</v>
      </c>
    </row>
    <row r="272" customFormat="false" ht="15" hidden="false" customHeight="false" outlineLevel="0" collapsed="false">
      <c r="A272" s="5" t="s">
        <v>1326</v>
      </c>
      <c r="B272" s="5" t="s">
        <v>444</v>
      </c>
      <c r="C272" s="5" t="s">
        <v>57</v>
      </c>
      <c r="D272" s="5" t="s">
        <v>28</v>
      </c>
      <c r="E272" s="5" t="n">
        <f aca="false">ROUND(10112*1.05,2)</f>
        <v>10617.6</v>
      </c>
      <c r="F272" s="5" t="s">
        <v>29</v>
      </c>
      <c r="G272" s="5" t="s">
        <v>30</v>
      </c>
      <c r="H272" s="5" t="n">
        <f aca="true">ROUND(RAND()*4+6,1)</f>
        <v>8</v>
      </c>
      <c r="I272" s="5" t="s">
        <v>31</v>
      </c>
      <c r="J272" s="5" t="str">
        <f aca="false">ROUND(65*1,0)&amp;"%"</f>
        <v>65%</v>
      </c>
    </row>
    <row r="273" customFormat="false" ht="15" hidden="false" customHeight="false" outlineLevel="0" collapsed="false">
      <c r="A273" s="6" t="s">
        <v>1327</v>
      </c>
      <c r="B273" s="6" t="s">
        <v>446</v>
      </c>
      <c r="C273" s="6" t="s">
        <v>57</v>
      </c>
      <c r="D273" s="6" t="s">
        <v>34</v>
      </c>
      <c r="E273" s="6" t="n">
        <f aca="false">ROUND(5355*1.05,2)</f>
        <v>5622.75</v>
      </c>
      <c r="F273" s="6" t="s">
        <v>35</v>
      </c>
      <c r="G273" s="6" t="s">
        <v>18</v>
      </c>
      <c r="H273" s="6" t="n">
        <f aca="true">ROUND(RAND()*4+6,1)</f>
        <v>9.9</v>
      </c>
      <c r="I273" s="6" t="s">
        <v>36</v>
      </c>
      <c r="J273" s="6" t="str">
        <f aca="false">ROUND(88*1,0)&amp;"%"</f>
        <v>88%</v>
      </c>
    </row>
    <row r="274" customFormat="false" ht="15" hidden="false" customHeight="false" outlineLevel="0" collapsed="false">
      <c r="A274" s="5" t="s">
        <v>1328</v>
      </c>
      <c r="B274" s="5" t="s">
        <v>448</v>
      </c>
      <c r="C274" s="5" t="s">
        <v>57</v>
      </c>
      <c r="D274" s="5" t="s">
        <v>39</v>
      </c>
      <c r="E274" s="5" t="n">
        <f aca="false">ROUND(6318*1.05,2)</f>
        <v>6633.9</v>
      </c>
      <c r="F274" s="5" t="s">
        <v>40</v>
      </c>
      <c r="G274" s="5" t="s">
        <v>24</v>
      </c>
      <c r="H274" s="5" t="n">
        <f aca="true">ROUND(RAND()*4+6,1)</f>
        <v>9.5</v>
      </c>
      <c r="I274" s="5" t="s">
        <v>41</v>
      </c>
      <c r="J274" s="5" t="str">
        <f aca="false">ROUND(67*1,0)&amp;"%"</f>
        <v>67%</v>
      </c>
    </row>
    <row r="275" customFormat="false" ht="15" hidden="false" customHeight="false" outlineLevel="0" collapsed="false">
      <c r="A275" s="6" t="s">
        <v>1329</v>
      </c>
      <c r="B275" s="6" t="s">
        <v>450</v>
      </c>
      <c r="C275" s="6" t="s">
        <v>57</v>
      </c>
      <c r="D275" s="6" t="s">
        <v>44</v>
      </c>
      <c r="E275" s="6" t="n">
        <f aca="false">ROUND(4163*1.05,2)</f>
        <v>4371.15</v>
      </c>
      <c r="F275" s="6" t="s">
        <v>45</v>
      </c>
      <c r="G275" s="6" t="s">
        <v>30</v>
      </c>
      <c r="H275" s="6" t="n">
        <f aca="true">ROUND(RAND()*4+6,1)</f>
        <v>9.4</v>
      </c>
      <c r="I275" s="6" t="s">
        <v>46</v>
      </c>
      <c r="J275" s="6" t="str">
        <f aca="false">ROUND(97*1,0)&amp;"%"</f>
        <v>97%</v>
      </c>
    </row>
    <row r="276" customFormat="false" ht="15" hidden="false" customHeight="false" outlineLevel="0" collapsed="false">
      <c r="A276" s="5" t="s">
        <v>1330</v>
      </c>
      <c r="B276" s="5" t="s">
        <v>452</v>
      </c>
      <c r="C276" s="5" t="s">
        <v>57</v>
      </c>
      <c r="D276" s="5" t="s">
        <v>16</v>
      </c>
      <c r="E276" s="5" t="n">
        <f aca="false">ROUND(6306*1.05,2)</f>
        <v>6621.3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ROUND(89*1,0)&amp;"%"</f>
        <v>89%</v>
      </c>
    </row>
    <row r="277" customFormat="false" ht="15" hidden="false" customHeight="false" outlineLevel="0" collapsed="false">
      <c r="A277" s="6" t="s">
        <v>1331</v>
      </c>
      <c r="B277" s="6" t="s">
        <v>454</v>
      </c>
      <c r="C277" s="6" t="s">
        <v>57</v>
      </c>
      <c r="D277" s="6" t="s">
        <v>22</v>
      </c>
      <c r="E277" s="6" t="n">
        <f aca="false">ROUND(16734*1.05,2)</f>
        <v>17570.7</v>
      </c>
      <c r="F277" s="6" t="s">
        <v>52</v>
      </c>
      <c r="G277" s="6" t="s">
        <v>24</v>
      </c>
      <c r="H277" s="6" t="n">
        <f aca="true">ROUND(RAND()*4+6,1)</f>
        <v>8.5</v>
      </c>
      <c r="I277" s="6" t="s">
        <v>25</v>
      </c>
      <c r="J277" s="6" t="str">
        <f aca="false">ROUND(77*1,0)&amp;"%"</f>
        <v>77%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1332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1333</v>
      </c>
      <c r="B282" s="5" t="s">
        <v>458</v>
      </c>
      <c r="C282" s="5" t="s">
        <v>76</v>
      </c>
      <c r="D282" s="5" t="s">
        <v>16</v>
      </c>
      <c r="E282" s="5" t="n">
        <f aca="false">ROUND(14589*1.05,2)</f>
        <v>15318.45</v>
      </c>
      <c r="F282" s="5" t="s">
        <v>17</v>
      </c>
      <c r="G282" s="5" t="s">
        <v>18</v>
      </c>
      <c r="H282" s="5" t="n">
        <f aca="true">ROUND(RAND()*4+6,1)</f>
        <v>9.1</v>
      </c>
      <c r="I282" s="5" t="s">
        <v>19</v>
      </c>
      <c r="J282" s="5" t="str">
        <f aca="false">ROUND(66*1,0)&amp;"%"</f>
        <v>66%</v>
      </c>
    </row>
    <row r="283" customFormat="false" ht="15" hidden="false" customHeight="false" outlineLevel="0" collapsed="false">
      <c r="A283" s="6" t="s">
        <v>1334</v>
      </c>
      <c r="B283" s="6" t="s">
        <v>460</v>
      </c>
      <c r="C283" s="6" t="s">
        <v>76</v>
      </c>
      <c r="D283" s="6" t="s">
        <v>22</v>
      </c>
      <c r="E283" s="6" t="n">
        <f aca="false">ROUND(17361*1.05,2)</f>
        <v>18229.05</v>
      </c>
      <c r="F283" s="6" t="s">
        <v>23</v>
      </c>
      <c r="G283" s="6" t="s">
        <v>24</v>
      </c>
      <c r="H283" s="6" t="n">
        <f aca="true">ROUND(RAND()*4+6,1)</f>
        <v>9.7</v>
      </c>
      <c r="I283" s="6" t="s">
        <v>25</v>
      </c>
      <c r="J283" s="6" t="str">
        <f aca="false">ROUND(79*1,0)&amp;"%"</f>
        <v>79%</v>
      </c>
    </row>
    <row r="284" customFormat="false" ht="15" hidden="false" customHeight="false" outlineLevel="0" collapsed="false">
      <c r="A284" s="5" t="s">
        <v>1335</v>
      </c>
      <c r="B284" s="5" t="s">
        <v>462</v>
      </c>
      <c r="C284" s="5" t="s">
        <v>76</v>
      </c>
      <c r="D284" s="5" t="s">
        <v>28</v>
      </c>
      <c r="E284" s="5" t="n">
        <f aca="false">ROUND(17804*1.05,2)</f>
        <v>18694.2</v>
      </c>
      <c r="F284" s="5" t="s">
        <v>29</v>
      </c>
      <c r="G284" s="5" t="s">
        <v>30</v>
      </c>
      <c r="H284" s="5" t="n">
        <f aca="true">ROUND(RAND()*4+6,1)</f>
        <v>9.8</v>
      </c>
      <c r="I284" s="5" t="s">
        <v>31</v>
      </c>
      <c r="J284" s="5" t="str">
        <f aca="false">ROUND(98*1,0)&amp;"%"</f>
        <v>98%</v>
      </c>
    </row>
    <row r="285" customFormat="false" ht="15" hidden="false" customHeight="false" outlineLevel="0" collapsed="false">
      <c r="A285" s="6" t="s">
        <v>1336</v>
      </c>
      <c r="B285" s="6" t="s">
        <v>464</v>
      </c>
      <c r="C285" s="6" t="s">
        <v>76</v>
      </c>
      <c r="D285" s="6" t="s">
        <v>34</v>
      </c>
      <c r="E285" s="6" t="n">
        <f aca="false">ROUND(10705*1.05,2)</f>
        <v>11240.25</v>
      </c>
      <c r="F285" s="6" t="s">
        <v>35</v>
      </c>
      <c r="G285" s="6" t="s">
        <v>18</v>
      </c>
      <c r="H285" s="6" t="n">
        <f aca="true">ROUND(RAND()*4+6,1)</f>
        <v>8.8</v>
      </c>
      <c r="I285" s="6" t="s">
        <v>36</v>
      </c>
      <c r="J285" s="6" t="str">
        <f aca="false">ROUND(68*1,0)&amp;"%"</f>
        <v>68%</v>
      </c>
    </row>
    <row r="286" customFormat="false" ht="15" hidden="false" customHeight="false" outlineLevel="0" collapsed="false">
      <c r="A286" s="5" t="s">
        <v>1337</v>
      </c>
      <c r="B286" s="5" t="s">
        <v>466</v>
      </c>
      <c r="C286" s="5" t="s">
        <v>76</v>
      </c>
      <c r="D286" s="5" t="s">
        <v>39</v>
      </c>
      <c r="E286" s="5" t="n">
        <f aca="false">ROUND(11966*1.05,2)</f>
        <v>12564.3</v>
      </c>
      <c r="F286" s="5" t="s">
        <v>40</v>
      </c>
      <c r="G286" s="5" t="s">
        <v>24</v>
      </c>
      <c r="H286" s="5" t="n">
        <f aca="true">ROUND(RAND()*4+6,1)</f>
        <v>8.9</v>
      </c>
      <c r="I286" s="5" t="s">
        <v>41</v>
      </c>
      <c r="J286" s="5" t="str">
        <f aca="false">ROUND(82*1,0)&amp;"%"</f>
        <v>82%</v>
      </c>
    </row>
    <row r="287" customFormat="false" ht="15" hidden="false" customHeight="false" outlineLevel="0" collapsed="false">
      <c r="A287" s="6" t="s">
        <v>1338</v>
      </c>
      <c r="B287" s="6" t="s">
        <v>468</v>
      </c>
      <c r="C287" s="6" t="s">
        <v>76</v>
      </c>
      <c r="D287" s="6" t="s">
        <v>44</v>
      </c>
      <c r="E287" s="6" t="n">
        <f aca="false">ROUND(7495*1.05,2)</f>
        <v>7869.75</v>
      </c>
      <c r="F287" s="6" t="s">
        <v>45</v>
      </c>
      <c r="G287" s="6" t="s">
        <v>30</v>
      </c>
      <c r="H287" s="6" t="n">
        <f aca="true">ROUND(RAND()*4+6,1)</f>
        <v>9.5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1339</v>
      </c>
      <c r="B288" s="5" t="s">
        <v>470</v>
      </c>
      <c r="C288" s="5" t="s">
        <v>76</v>
      </c>
      <c r="D288" s="5" t="s">
        <v>16</v>
      </c>
      <c r="E288" s="5" t="n">
        <f aca="false">ROUND(15941*1.05,2)</f>
        <v>16738.05</v>
      </c>
      <c r="F288" s="5" t="s">
        <v>49</v>
      </c>
      <c r="G288" s="5" t="s">
        <v>18</v>
      </c>
      <c r="H288" s="5" t="n">
        <f aca="true">ROUND(RAND()*4+6,1)</f>
        <v>7.2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1340</v>
      </c>
      <c r="B289" s="6" t="s">
        <v>472</v>
      </c>
      <c r="C289" s="6" t="s">
        <v>76</v>
      </c>
      <c r="D289" s="6" t="s">
        <v>22</v>
      </c>
      <c r="E289" s="6" t="n">
        <f aca="false">ROUND(13055*1.05,2)</f>
        <v>13707.75</v>
      </c>
      <c r="F289" s="6" t="s">
        <v>52</v>
      </c>
      <c r="G289" s="6" t="s">
        <v>24</v>
      </c>
      <c r="H289" s="6" t="n">
        <f aca="true">ROUND(RAND()*4+6,1)</f>
        <v>6.2</v>
      </c>
      <c r="I289" s="6" t="s">
        <v>25</v>
      </c>
      <c r="J289" s="6" t="str">
        <f aca="false">ROUND(82*1,0)&amp;"%"</f>
        <v>82%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1341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1342</v>
      </c>
      <c r="B294" s="5" t="s">
        <v>476</v>
      </c>
      <c r="C294" s="5" t="s">
        <v>95</v>
      </c>
      <c r="D294" s="5" t="s">
        <v>16</v>
      </c>
      <c r="E294" s="5" t="n">
        <f aca="false">ROUND(15818*1.05,2)</f>
        <v>16608.9</v>
      </c>
      <c r="F294" s="5" t="s">
        <v>17</v>
      </c>
      <c r="G294" s="5" t="s">
        <v>18</v>
      </c>
      <c r="H294" s="5" t="n">
        <f aca="true">ROUND(RAND()*4+6,1)</f>
        <v>9.4</v>
      </c>
      <c r="I294" s="5" t="s">
        <v>19</v>
      </c>
      <c r="J294" s="5" t="str">
        <f aca="false">ROUND(66*1,0)&amp;"%"</f>
        <v>66%</v>
      </c>
    </row>
    <row r="295" customFormat="false" ht="15" hidden="false" customHeight="false" outlineLevel="0" collapsed="false">
      <c r="A295" s="6" t="s">
        <v>1343</v>
      </c>
      <c r="B295" s="6" t="s">
        <v>478</v>
      </c>
      <c r="C295" s="6" t="s">
        <v>95</v>
      </c>
      <c r="D295" s="6" t="s">
        <v>22</v>
      </c>
      <c r="E295" s="6" t="n">
        <f aca="false">ROUND(9808*1.05,2)</f>
        <v>10298.4</v>
      </c>
      <c r="F295" s="6" t="s">
        <v>23</v>
      </c>
      <c r="G295" s="6" t="s">
        <v>24</v>
      </c>
      <c r="H295" s="6" t="n">
        <f aca="true">ROUND(RAND()*4+6,1)</f>
        <v>6.6</v>
      </c>
      <c r="I295" s="6" t="s">
        <v>25</v>
      </c>
      <c r="J295" s="6" t="str">
        <f aca="false">ROUND(84*1,0)&amp;"%"</f>
        <v>84%</v>
      </c>
    </row>
    <row r="296" customFormat="false" ht="15" hidden="false" customHeight="false" outlineLevel="0" collapsed="false">
      <c r="A296" s="5" t="s">
        <v>1344</v>
      </c>
      <c r="B296" s="5" t="s">
        <v>480</v>
      </c>
      <c r="C296" s="5" t="s">
        <v>95</v>
      </c>
      <c r="D296" s="5" t="s">
        <v>28</v>
      </c>
      <c r="E296" s="5" t="n">
        <f aca="false">ROUND(17766*1.05,2)</f>
        <v>18654.3</v>
      </c>
      <c r="F296" s="5" t="s">
        <v>29</v>
      </c>
      <c r="G296" s="5" t="s">
        <v>30</v>
      </c>
      <c r="H296" s="5" t="n">
        <f aca="true">ROUND(RAND()*4+6,1)</f>
        <v>10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1345</v>
      </c>
      <c r="B297" s="6" t="s">
        <v>482</v>
      </c>
      <c r="C297" s="6" t="s">
        <v>95</v>
      </c>
      <c r="D297" s="6" t="s">
        <v>34</v>
      </c>
      <c r="E297" s="6" t="n">
        <f aca="false">ROUND(15094*1.05,2)</f>
        <v>15848.7</v>
      </c>
      <c r="F297" s="6" t="s">
        <v>35</v>
      </c>
      <c r="G297" s="6" t="s">
        <v>18</v>
      </c>
      <c r="H297" s="6" t="n">
        <f aca="true">ROUND(RAND()*4+6,1)</f>
        <v>6.6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1346</v>
      </c>
      <c r="B298" s="5" t="s">
        <v>484</v>
      </c>
      <c r="C298" s="5" t="s">
        <v>95</v>
      </c>
      <c r="D298" s="5" t="s">
        <v>39</v>
      </c>
      <c r="E298" s="5" t="n">
        <f aca="false">ROUND(4459*1.05,2)</f>
        <v>4681.95</v>
      </c>
      <c r="F298" s="5" t="s">
        <v>40</v>
      </c>
      <c r="G298" s="5" t="s">
        <v>24</v>
      </c>
      <c r="H298" s="5" t="n">
        <f aca="true">ROUND(RAND()*4+6,1)</f>
        <v>6.7</v>
      </c>
      <c r="I298" s="5" t="s">
        <v>41</v>
      </c>
      <c r="J298" s="5" t="str">
        <f aca="false">ROUND(77*1,0)&amp;"%"</f>
        <v>77%</v>
      </c>
    </row>
    <row r="299" customFormat="false" ht="15" hidden="false" customHeight="false" outlineLevel="0" collapsed="false">
      <c r="A299" s="6" t="s">
        <v>1347</v>
      </c>
      <c r="B299" s="6" t="s">
        <v>486</v>
      </c>
      <c r="C299" s="6" t="s">
        <v>95</v>
      </c>
      <c r="D299" s="6" t="s">
        <v>44</v>
      </c>
      <c r="E299" s="6" t="n">
        <f aca="false">ROUND(14322*1.05,2)</f>
        <v>15038.1</v>
      </c>
      <c r="F299" s="6" t="s">
        <v>45</v>
      </c>
      <c r="G299" s="6" t="s">
        <v>30</v>
      </c>
      <c r="H299" s="6" t="n">
        <f aca="true">ROUND(RAND()*4+6,1)</f>
        <v>8.3</v>
      </c>
      <c r="I299" s="6" t="s">
        <v>46</v>
      </c>
      <c r="J299" s="6" t="str">
        <f aca="false">ROUND(69*1,0)&amp;"%"</f>
        <v>69%</v>
      </c>
    </row>
    <row r="300" customFormat="false" ht="15" hidden="false" customHeight="false" outlineLevel="0" collapsed="false">
      <c r="A300" s="5" t="s">
        <v>1348</v>
      </c>
      <c r="B300" s="5" t="s">
        <v>488</v>
      </c>
      <c r="C300" s="5" t="s">
        <v>95</v>
      </c>
      <c r="D300" s="5" t="s">
        <v>16</v>
      </c>
      <c r="E300" s="5" t="n">
        <f aca="false">ROUND(11376*1.05,2)</f>
        <v>11944.8</v>
      </c>
      <c r="F300" s="5" t="s">
        <v>49</v>
      </c>
      <c r="G300" s="5" t="s">
        <v>18</v>
      </c>
      <c r="H300" s="5" t="n">
        <f aca="true">ROUND(RAND()*4+6,1)</f>
        <v>9.1</v>
      </c>
      <c r="I300" s="5" t="s">
        <v>19</v>
      </c>
      <c r="J300" s="5" t="str">
        <f aca="false">ROUND(93*1,0)&amp;"%"</f>
        <v>93%</v>
      </c>
    </row>
    <row r="301" customFormat="false" ht="15" hidden="false" customHeight="false" outlineLevel="0" collapsed="false">
      <c r="A301" s="6" t="s">
        <v>1349</v>
      </c>
      <c r="B301" s="6" t="s">
        <v>490</v>
      </c>
      <c r="C301" s="6" t="s">
        <v>95</v>
      </c>
      <c r="D301" s="6" t="s">
        <v>22</v>
      </c>
      <c r="E301" s="6" t="n">
        <f aca="false">ROUND(10458*1.05,2)</f>
        <v>10980.9</v>
      </c>
      <c r="F301" s="6" t="s">
        <v>52</v>
      </c>
      <c r="G301" s="6" t="s">
        <v>24</v>
      </c>
      <c r="H301" s="6" t="n">
        <f aca="true">ROUND(RAND()*4+6,1)</f>
        <v>6.1</v>
      </c>
      <c r="I301" s="6" t="s">
        <v>25</v>
      </c>
      <c r="J301" s="6" t="str">
        <f aca="false">ROUND(92*1,0)&amp;"%"</f>
        <v>92%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1350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1351</v>
      </c>
      <c r="B306" s="5" t="s">
        <v>494</v>
      </c>
      <c r="C306" s="5" t="s">
        <v>114</v>
      </c>
      <c r="D306" s="5" t="s">
        <v>16</v>
      </c>
      <c r="E306" s="5" t="n">
        <f aca="false">ROUND(15859*1.05,2)</f>
        <v>16651.95</v>
      </c>
      <c r="F306" s="5" t="s">
        <v>17</v>
      </c>
      <c r="G306" s="5" t="s">
        <v>18</v>
      </c>
      <c r="H306" s="5" t="n">
        <f aca="true">ROUND(RAND()*4+6,1)</f>
        <v>9.7</v>
      </c>
      <c r="I306" s="5" t="s">
        <v>19</v>
      </c>
      <c r="J306" s="5" t="str">
        <f aca="false">ROUND(94*1,0)&amp;"%"</f>
        <v>94%</v>
      </c>
    </row>
    <row r="307" customFormat="false" ht="15" hidden="false" customHeight="false" outlineLevel="0" collapsed="false">
      <c r="A307" s="6" t="s">
        <v>1352</v>
      </c>
      <c r="B307" s="6" t="s">
        <v>496</v>
      </c>
      <c r="C307" s="6" t="s">
        <v>114</v>
      </c>
      <c r="D307" s="6" t="s">
        <v>22</v>
      </c>
      <c r="E307" s="6" t="n">
        <f aca="false">ROUND(4605*1.05,2)</f>
        <v>4835.25</v>
      </c>
      <c r="F307" s="6" t="s">
        <v>23</v>
      </c>
      <c r="G307" s="6" t="s">
        <v>24</v>
      </c>
      <c r="H307" s="6" t="n">
        <f aca="true">ROUND(RAND()*4+6,1)</f>
        <v>7.6</v>
      </c>
      <c r="I307" s="6" t="s">
        <v>25</v>
      </c>
      <c r="J307" s="6" t="str">
        <f aca="false">ROUND(92*1,0)&amp;"%"</f>
        <v>92%</v>
      </c>
    </row>
    <row r="308" customFormat="false" ht="15" hidden="false" customHeight="false" outlineLevel="0" collapsed="false">
      <c r="A308" s="5" t="s">
        <v>1353</v>
      </c>
      <c r="B308" s="5" t="s">
        <v>498</v>
      </c>
      <c r="C308" s="5" t="s">
        <v>114</v>
      </c>
      <c r="D308" s="5" t="s">
        <v>28</v>
      </c>
      <c r="E308" s="5" t="n">
        <f aca="false">ROUND(12415*1.05,2)</f>
        <v>13035.75</v>
      </c>
      <c r="F308" s="5" t="s">
        <v>29</v>
      </c>
      <c r="G308" s="5" t="s">
        <v>30</v>
      </c>
      <c r="H308" s="5" t="n">
        <f aca="true">ROUND(RAND()*4+6,1)</f>
        <v>7.3</v>
      </c>
      <c r="I308" s="5" t="s">
        <v>31</v>
      </c>
      <c r="J308" s="5" t="str">
        <f aca="false">ROUND(98*1,0)&amp;"%"</f>
        <v>98%</v>
      </c>
    </row>
    <row r="309" customFormat="false" ht="15" hidden="false" customHeight="false" outlineLevel="0" collapsed="false">
      <c r="A309" s="6" t="s">
        <v>1354</v>
      </c>
      <c r="B309" s="6" t="s">
        <v>500</v>
      </c>
      <c r="C309" s="6" t="s">
        <v>114</v>
      </c>
      <c r="D309" s="6" t="s">
        <v>34</v>
      </c>
      <c r="E309" s="6" t="n">
        <f aca="false">ROUND(14739*1.05,2)</f>
        <v>15475.95</v>
      </c>
      <c r="F309" s="6" t="s">
        <v>35</v>
      </c>
      <c r="G309" s="6" t="s">
        <v>18</v>
      </c>
      <c r="H309" s="6" t="n">
        <f aca="true">ROUND(RAND()*4+6,1)</f>
        <v>7.5</v>
      </c>
      <c r="I309" s="6" t="s">
        <v>36</v>
      </c>
      <c r="J309" s="6" t="str">
        <f aca="false">ROUND(78*1,0)&amp;"%"</f>
        <v>78%</v>
      </c>
    </row>
    <row r="310" customFormat="false" ht="15" hidden="false" customHeight="false" outlineLevel="0" collapsed="false">
      <c r="A310" s="5" t="s">
        <v>1355</v>
      </c>
      <c r="B310" s="5" t="s">
        <v>502</v>
      </c>
      <c r="C310" s="5" t="s">
        <v>114</v>
      </c>
      <c r="D310" s="5" t="s">
        <v>39</v>
      </c>
      <c r="E310" s="5" t="n">
        <f aca="false">ROUND(12913*1.05,2)</f>
        <v>13558.65</v>
      </c>
      <c r="F310" s="5" t="s">
        <v>40</v>
      </c>
      <c r="G310" s="5" t="s">
        <v>24</v>
      </c>
      <c r="H310" s="5" t="n">
        <f aca="true">ROUND(RAND()*4+6,1)</f>
        <v>9.4</v>
      </c>
      <c r="I310" s="5" t="s">
        <v>41</v>
      </c>
      <c r="J310" s="5" t="str">
        <f aca="false">ROUND(84*1,0)&amp;"%"</f>
        <v>84%</v>
      </c>
    </row>
    <row r="311" customFormat="false" ht="15" hidden="false" customHeight="false" outlineLevel="0" collapsed="false">
      <c r="A311" s="6" t="s">
        <v>1356</v>
      </c>
      <c r="B311" s="6" t="s">
        <v>504</v>
      </c>
      <c r="C311" s="6" t="s">
        <v>114</v>
      </c>
      <c r="D311" s="6" t="s">
        <v>44</v>
      </c>
      <c r="E311" s="6" t="n">
        <f aca="false">ROUND(16593*1.05,2)</f>
        <v>17422.65</v>
      </c>
      <c r="F311" s="6" t="s">
        <v>45</v>
      </c>
      <c r="G311" s="6" t="s">
        <v>30</v>
      </c>
      <c r="H311" s="6" t="n">
        <f aca="true">ROUND(RAND()*4+6,1)</f>
        <v>7.5</v>
      </c>
      <c r="I311" s="6" t="s">
        <v>46</v>
      </c>
      <c r="J311" s="6" t="str">
        <f aca="false">ROUND(71*1,0)&amp;"%"</f>
        <v>71%</v>
      </c>
    </row>
    <row r="312" customFormat="false" ht="15" hidden="false" customHeight="false" outlineLevel="0" collapsed="false">
      <c r="A312" s="5" t="s">
        <v>1357</v>
      </c>
      <c r="B312" s="5" t="s">
        <v>506</v>
      </c>
      <c r="C312" s="5" t="s">
        <v>114</v>
      </c>
      <c r="D312" s="5" t="s">
        <v>16</v>
      </c>
      <c r="E312" s="5" t="n">
        <f aca="false">ROUND(15833*1.05,2)</f>
        <v>16624.65</v>
      </c>
      <c r="F312" s="5" t="s">
        <v>49</v>
      </c>
      <c r="G312" s="5" t="s">
        <v>18</v>
      </c>
      <c r="H312" s="5" t="n">
        <f aca="true">ROUND(RAND()*4+6,1)</f>
        <v>7.3</v>
      </c>
      <c r="I312" s="5" t="s">
        <v>19</v>
      </c>
      <c r="J312" s="5" t="str">
        <f aca="false">ROUND(94*1,0)&amp;"%"</f>
        <v>94%</v>
      </c>
    </row>
    <row r="313" customFormat="false" ht="15" hidden="false" customHeight="false" outlineLevel="0" collapsed="false">
      <c r="A313" s="6" t="s">
        <v>1358</v>
      </c>
      <c r="B313" s="6" t="s">
        <v>508</v>
      </c>
      <c r="C313" s="6" t="s">
        <v>114</v>
      </c>
      <c r="D313" s="6" t="s">
        <v>22</v>
      </c>
      <c r="E313" s="6" t="n">
        <f aca="false">ROUND(6493*1.05,2)</f>
        <v>6817.65</v>
      </c>
      <c r="F313" s="6" t="s">
        <v>52</v>
      </c>
      <c r="G313" s="6" t="s">
        <v>24</v>
      </c>
      <c r="H313" s="6" t="n">
        <f aca="true">ROUND(RAND()*4+6,1)</f>
        <v>9.5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1359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1360</v>
      </c>
      <c r="B318" s="5" t="s">
        <v>512</v>
      </c>
      <c r="C318" s="5" t="s">
        <v>133</v>
      </c>
      <c r="D318" s="5" t="s">
        <v>16</v>
      </c>
      <c r="E318" s="5" t="n">
        <f aca="false">ROUND(14019*1.05,2)</f>
        <v>14719.95</v>
      </c>
      <c r="F318" s="5" t="s">
        <v>17</v>
      </c>
      <c r="G318" s="5" t="s">
        <v>18</v>
      </c>
      <c r="H318" s="5" t="n">
        <f aca="true">ROUND(RAND()*4+6,1)</f>
        <v>9.3</v>
      </c>
      <c r="I318" s="5" t="s">
        <v>19</v>
      </c>
      <c r="J318" s="5" t="str">
        <f aca="false">ROUND(92*1,0)&amp;"%"</f>
        <v>92%</v>
      </c>
    </row>
    <row r="319" customFormat="false" ht="15" hidden="false" customHeight="false" outlineLevel="0" collapsed="false">
      <c r="A319" s="6" t="s">
        <v>1361</v>
      </c>
      <c r="B319" s="6" t="s">
        <v>514</v>
      </c>
      <c r="C319" s="6" t="s">
        <v>133</v>
      </c>
      <c r="D319" s="6" t="s">
        <v>22</v>
      </c>
      <c r="E319" s="6" t="n">
        <f aca="false">ROUND(15521*1.05,2)</f>
        <v>16297.05</v>
      </c>
      <c r="F319" s="6" t="s">
        <v>23</v>
      </c>
      <c r="G319" s="6" t="s">
        <v>24</v>
      </c>
      <c r="H319" s="6" t="n">
        <f aca="true">ROUND(RAND()*4+6,1)</f>
        <v>8</v>
      </c>
      <c r="I319" s="6" t="s">
        <v>25</v>
      </c>
      <c r="J319" s="6" t="str">
        <f aca="false">ROUND(98*1,0)&amp;"%"</f>
        <v>98%</v>
      </c>
    </row>
    <row r="320" customFormat="false" ht="15" hidden="false" customHeight="false" outlineLevel="0" collapsed="false">
      <c r="A320" s="5" t="s">
        <v>1362</v>
      </c>
      <c r="B320" s="5" t="s">
        <v>516</v>
      </c>
      <c r="C320" s="5" t="s">
        <v>133</v>
      </c>
      <c r="D320" s="5" t="s">
        <v>28</v>
      </c>
      <c r="E320" s="5" t="n">
        <f aca="false">ROUND(10196*1.05,2)</f>
        <v>10705.8</v>
      </c>
      <c r="F320" s="5" t="s">
        <v>29</v>
      </c>
      <c r="G320" s="5" t="s">
        <v>30</v>
      </c>
      <c r="H320" s="5" t="n">
        <f aca="true">ROUND(RAND()*4+6,1)</f>
        <v>8.6</v>
      </c>
      <c r="I320" s="5" t="s">
        <v>31</v>
      </c>
      <c r="J320" s="5" t="str">
        <f aca="false">ROUND(71*1,0)&amp;"%"</f>
        <v>71%</v>
      </c>
    </row>
    <row r="321" customFormat="false" ht="15" hidden="false" customHeight="false" outlineLevel="0" collapsed="false">
      <c r="A321" s="6" t="s">
        <v>1363</v>
      </c>
      <c r="B321" s="6" t="s">
        <v>518</v>
      </c>
      <c r="C321" s="6" t="s">
        <v>133</v>
      </c>
      <c r="D321" s="6" t="s">
        <v>34</v>
      </c>
      <c r="E321" s="6" t="n">
        <f aca="false">ROUND(12786*1.05,2)</f>
        <v>13425.3</v>
      </c>
      <c r="F321" s="6" t="s">
        <v>35</v>
      </c>
      <c r="G321" s="6" t="s">
        <v>18</v>
      </c>
      <c r="H321" s="6" t="n">
        <f aca="true">ROUND(RAND()*4+6,1)</f>
        <v>8.3</v>
      </c>
      <c r="I321" s="6" t="s">
        <v>36</v>
      </c>
      <c r="J321" s="6" t="str">
        <f aca="false">ROUND(73*1,0)&amp;"%"</f>
        <v>73%</v>
      </c>
    </row>
    <row r="322" customFormat="false" ht="15" hidden="false" customHeight="false" outlineLevel="0" collapsed="false">
      <c r="A322" s="5" t="s">
        <v>1364</v>
      </c>
      <c r="B322" s="5" t="s">
        <v>520</v>
      </c>
      <c r="C322" s="5" t="s">
        <v>133</v>
      </c>
      <c r="D322" s="5" t="s">
        <v>39</v>
      </c>
      <c r="E322" s="5" t="n">
        <f aca="false">ROUND(8746*1.05,2)</f>
        <v>9183.3</v>
      </c>
      <c r="F322" s="5" t="s">
        <v>40</v>
      </c>
      <c r="G322" s="5" t="s">
        <v>24</v>
      </c>
      <c r="H322" s="5" t="n">
        <f aca="true">ROUND(RAND()*4+6,1)</f>
        <v>6.6</v>
      </c>
      <c r="I322" s="5" t="s">
        <v>41</v>
      </c>
      <c r="J322" s="5" t="str">
        <f aca="false">ROUND(61*1,0)&amp;"%"</f>
        <v>61%</v>
      </c>
    </row>
    <row r="323" customFormat="false" ht="15" hidden="false" customHeight="false" outlineLevel="0" collapsed="false">
      <c r="A323" s="6" t="s">
        <v>1365</v>
      </c>
      <c r="B323" s="6" t="s">
        <v>522</v>
      </c>
      <c r="C323" s="6" t="s">
        <v>133</v>
      </c>
      <c r="D323" s="6" t="s">
        <v>44</v>
      </c>
      <c r="E323" s="6" t="n">
        <f aca="false">ROUND(10004*1.05,2)</f>
        <v>10504.2</v>
      </c>
      <c r="F323" s="6" t="s">
        <v>45</v>
      </c>
      <c r="G323" s="6" t="s">
        <v>30</v>
      </c>
      <c r="H323" s="6" t="n">
        <f aca="true">ROUND(RAND()*4+6,1)</f>
        <v>8.1</v>
      </c>
      <c r="I323" s="6" t="s">
        <v>46</v>
      </c>
      <c r="J323" s="6" t="str">
        <f aca="false">ROUND(84*1,0)&amp;"%"</f>
        <v>84%</v>
      </c>
    </row>
    <row r="324" customFormat="false" ht="15" hidden="false" customHeight="false" outlineLevel="0" collapsed="false">
      <c r="A324" s="5" t="s">
        <v>1366</v>
      </c>
      <c r="B324" s="5" t="s">
        <v>524</v>
      </c>
      <c r="C324" s="5" t="s">
        <v>133</v>
      </c>
      <c r="D324" s="5" t="s">
        <v>16</v>
      </c>
      <c r="E324" s="5" t="n">
        <f aca="false">ROUND(7792*1.05,2)</f>
        <v>8181.6</v>
      </c>
      <c r="F324" s="5" t="s">
        <v>49</v>
      </c>
      <c r="G324" s="5" t="s">
        <v>18</v>
      </c>
      <c r="H324" s="5" t="n">
        <f aca="true">ROUND(RAND()*4+6,1)</f>
        <v>7.5</v>
      </c>
      <c r="I324" s="5" t="s">
        <v>19</v>
      </c>
      <c r="J324" s="5" t="str">
        <f aca="false">ROUND(68*1,0)&amp;"%"</f>
        <v>68%</v>
      </c>
    </row>
    <row r="325" customFormat="false" ht="15" hidden="false" customHeight="false" outlineLevel="0" collapsed="false">
      <c r="A325" s="6" t="s">
        <v>1367</v>
      </c>
      <c r="B325" s="6" t="s">
        <v>526</v>
      </c>
      <c r="C325" s="6" t="s">
        <v>133</v>
      </c>
      <c r="D325" s="6" t="s">
        <v>22</v>
      </c>
      <c r="E325" s="6" t="n">
        <f aca="false">ROUND(7895*1.05,2)</f>
        <v>8289.75</v>
      </c>
      <c r="F325" s="6" t="s">
        <v>52</v>
      </c>
      <c r="G325" s="6" t="s">
        <v>24</v>
      </c>
      <c r="H325" s="6" t="n">
        <f aca="true">ROUND(RAND()*4+6,1)</f>
        <v>8</v>
      </c>
      <c r="I325" s="6" t="s">
        <v>25</v>
      </c>
      <c r="J325" s="6" t="str">
        <f aca="false">ROUND(95*1,0)&amp;"%"</f>
        <v>95%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1368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1369</v>
      </c>
      <c r="B330" s="5" t="s">
        <v>530</v>
      </c>
      <c r="C330" s="5" t="s">
        <v>152</v>
      </c>
      <c r="D330" s="5" t="s">
        <v>16</v>
      </c>
      <c r="E330" s="5" t="n">
        <f aca="false">ROUND(9072*1.05,2)</f>
        <v>9525.6</v>
      </c>
      <c r="F330" s="5" t="s">
        <v>17</v>
      </c>
      <c r="G330" s="5" t="s">
        <v>18</v>
      </c>
      <c r="H330" s="5" t="n">
        <f aca="true">ROUND(RAND()*4+6,1)</f>
        <v>7.7</v>
      </c>
      <c r="I330" s="5" t="s">
        <v>19</v>
      </c>
      <c r="J330" s="5" t="str">
        <f aca="false">ROUND(72*1,0)&amp;"%"</f>
        <v>72%</v>
      </c>
    </row>
    <row r="331" customFormat="false" ht="15" hidden="false" customHeight="false" outlineLevel="0" collapsed="false">
      <c r="A331" s="6" t="s">
        <v>1370</v>
      </c>
      <c r="B331" s="6" t="s">
        <v>532</v>
      </c>
      <c r="C331" s="6" t="s">
        <v>152</v>
      </c>
      <c r="D331" s="6" t="s">
        <v>22</v>
      </c>
      <c r="E331" s="6" t="n">
        <f aca="false">ROUND(11981*1.05,2)</f>
        <v>12580.05</v>
      </c>
      <c r="F331" s="6" t="s">
        <v>23</v>
      </c>
      <c r="G331" s="6" t="s">
        <v>24</v>
      </c>
      <c r="H331" s="6" t="n">
        <f aca="true">ROUND(RAND()*4+6,1)</f>
        <v>9.6</v>
      </c>
      <c r="I331" s="6" t="s">
        <v>25</v>
      </c>
      <c r="J331" s="6" t="str">
        <f aca="false">ROUND(97*1,0)&amp;"%"</f>
        <v>97%</v>
      </c>
    </row>
    <row r="332" customFormat="false" ht="15" hidden="false" customHeight="false" outlineLevel="0" collapsed="false">
      <c r="A332" s="5" t="s">
        <v>1371</v>
      </c>
      <c r="B332" s="5" t="s">
        <v>534</v>
      </c>
      <c r="C332" s="5" t="s">
        <v>152</v>
      </c>
      <c r="D332" s="5" t="s">
        <v>28</v>
      </c>
      <c r="E332" s="5" t="n">
        <f aca="false">ROUND(9486*1.05,2)</f>
        <v>9960.3</v>
      </c>
      <c r="F332" s="5" t="s">
        <v>29</v>
      </c>
      <c r="G332" s="5" t="s">
        <v>30</v>
      </c>
      <c r="H332" s="5" t="n">
        <f aca="true">ROUND(RAND()*4+6,1)</f>
        <v>9.1</v>
      </c>
      <c r="I332" s="5" t="s">
        <v>31</v>
      </c>
      <c r="J332" s="5" t="str">
        <f aca="false">ROUND(91*1,0)&amp;"%"</f>
        <v>91%</v>
      </c>
    </row>
    <row r="333" customFormat="false" ht="15" hidden="false" customHeight="false" outlineLevel="0" collapsed="false">
      <c r="A333" s="6" t="s">
        <v>1372</v>
      </c>
      <c r="B333" s="6" t="s">
        <v>536</v>
      </c>
      <c r="C333" s="6" t="s">
        <v>152</v>
      </c>
      <c r="D333" s="6" t="s">
        <v>34</v>
      </c>
      <c r="E333" s="6" t="n">
        <f aca="false">ROUND(11993*1.05,2)</f>
        <v>12592.65</v>
      </c>
      <c r="F333" s="6" t="s">
        <v>35</v>
      </c>
      <c r="G333" s="6" t="s">
        <v>18</v>
      </c>
      <c r="H333" s="6" t="n">
        <f aca="true">ROUND(RAND()*4+6,1)</f>
        <v>6.8</v>
      </c>
      <c r="I333" s="6" t="s">
        <v>36</v>
      </c>
      <c r="J333" s="6" t="str">
        <f aca="false">ROUND(60*1,0)&amp;"%"</f>
        <v>60%</v>
      </c>
    </row>
    <row r="334" customFormat="false" ht="15" hidden="false" customHeight="false" outlineLevel="0" collapsed="false">
      <c r="A334" s="5" t="s">
        <v>1373</v>
      </c>
      <c r="B334" s="5" t="s">
        <v>538</v>
      </c>
      <c r="C334" s="5" t="s">
        <v>152</v>
      </c>
      <c r="D334" s="5" t="s">
        <v>39</v>
      </c>
      <c r="E334" s="5" t="n">
        <f aca="false">ROUND(11044*1.05,2)</f>
        <v>11596.2</v>
      </c>
      <c r="F334" s="5" t="s">
        <v>40</v>
      </c>
      <c r="G334" s="5" t="s">
        <v>24</v>
      </c>
      <c r="H334" s="5" t="n">
        <f aca="true">ROUND(RAND()*4+6,1)</f>
        <v>8.3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1374</v>
      </c>
      <c r="B335" s="6" t="s">
        <v>540</v>
      </c>
      <c r="C335" s="6" t="s">
        <v>152</v>
      </c>
      <c r="D335" s="6" t="s">
        <v>44</v>
      </c>
      <c r="E335" s="6" t="n">
        <f aca="false">ROUND(12490*1.05,2)</f>
        <v>13114.5</v>
      </c>
      <c r="F335" s="6" t="s">
        <v>45</v>
      </c>
      <c r="G335" s="6" t="s">
        <v>30</v>
      </c>
      <c r="H335" s="6" t="n">
        <f aca="true">ROUND(RAND()*4+6,1)</f>
        <v>9.7</v>
      </c>
      <c r="I335" s="6" t="s">
        <v>46</v>
      </c>
      <c r="J335" s="6" t="str">
        <f aca="false">ROUND(76*1,0)&amp;"%"</f>
        <v>76%</v>
      </c>
    </row>
    <row r="336" customFormat="false" ht="15" hidden="false" customHeight="false" outlineLevel="0" collapsed="false">
      <c r="A336" s="5" t="s">
        <v>1375</v>
      </c>
      <c r="B336" s="5" t="s">
        <v>542</v>
      </c>
      <c r="C336" s="5" t="s">
        <v>152</v>
      </c>
      <c r="D336" s="5" t="s">
        <v>16</v>
      </c>
      <c r="E336" s="5" t="n">
        <f aca="false">ROUND(10639*1.05,2)</f>
        <v>11170.95</v>
      </c>
      <c r="F336" s="5" t="s">
        <v>49</v>
      </c>
      <c r="G336" s="5" t="s">
        <v>18</v>
      </c>
      <c r="H336" s="5" t="n">
        <f aca="true">ROUND(RAND()*4+6,1)</f>
        <v>6.3</v>
      </c>
      <c r="I336" s="5" t="s">
        <v>19</v>
      </c>
      <c r="J336" s="5" t="str">
        <f aca="false">ROUND(60*1,0)&amp;"%"</f>
        <v>60%</v>
      </c>
    </row>
    <row r="337" customFormat="false" ht="15" hidden="false" customHeight="false" outlineLevel="0" collapsed="false">
      <c r="A337" s="6" t="s">
        <v>1376</v>
      </c>
      <c r="B337" s="6" t="s">
        <v>544</v>
      </c>
      <c r="C337" s="6" t="s">
        <v>152</v>
      </c>
      <c r="D337" s="6" t="s">
        <v>22</v>
      </c>
      <c r="E337" s="6" t="n">
        <f aca="false">ROUND(6220*1.05,2)</f>
        <v>6531</v>
      </c>
      <c r="F337" s="6" t="s">
        <v>52</v>
      </c>
      <c r="G337" s="6" t="s">
        <v>24</v>
      </c>
      <c r="H337" s="6" t="n">
        <f aca="true">ROUND(RAND()*4+6,1)</f>
        <v>6.2</v>
      </c>
      <c r="I337" s="6" t="s">
        <v>25</v>
      </c>
      <c r="J337" s="6" t="str">
        <f aca="false">ROUND(93*1,0)&amp;"%"</f>
        <v>93%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1377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1378</v>
      </c>
      <c r="B342" s="5" t="s">
        <v>548</v>
      </c>
      <c r="C342" s="5" t="s">
        <v>15</v>
      </c>
      <c r="D342" s="5" t="s">
        <v>16</v>
      </c>
      <c r="E342" s="5" t="n">
        <f aca="false">ROUND(4426*1.05,2)</f>
        <v>4647.3</v>
      </c>
      <c r="F342" s="5" t="s">
        <v>17</v>
      </c>
      <c r="G342" s="5" t="s">
        <v>18</v>
      </c>
      <c r="H342" s="5" t="n">
        <f aca="true">ROUND(RAND()*4+6,1)</f>
        <v>8.7</v>
      </c>
      <c r="I342" s="5" t="s">
        <v>19</v>
      </c>
      <c r="J342" s="5" t="str">
        <f aca="false">ROUND(78*1,0)&amp;"%"</f>
        <v>78%</v>
      </c>
    </row>
    <row r="343" customFormat="false" ht="15" hidden="false" customHeight="false" outlineLevel="0" collapsed="false">
      <c r="A343" s="6" t="s">
        <v>1379</v>
      </c>
      <c r="B343" s="6" t="s">
        <v>550</v>
      </c>
      <c r="C343" s="6" t="s">
        <v>15</v>
      </c>
      <c r="D343" s="6" t="s">
        <v>22</v>
      </c>
      <c r="E343" s="6" t="n">
        <f aca="false">ROUND(11657*1.05,2)</f>
        <v>12239.85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ROUND(96*1,0)&amp;"%"</f>
        <v>96%</v>
      </c>
    </row>
    <row r="344" customFormat="false" ht="15" hidden="false" customHeight="false" outlineLevel="0" collapsed="false">
      <c r="A344" s="5" t="s">
        <v>1380</v>
      </c>
      <c r="B344" s="5" t="s">
        <v>552</v>
      </c>
      <c r="C344" s="5" t="s">
        <v>15</v>
      </c>
      <c r="D344" s="5" t="s">
        <v>28</v>
      </c>
      <c r="E344" s="5" t="n">
        <f aca="false">ROUND(7365*1.05,2)</f>
        <v>7733.25</v>
      </c>
      <c r="F344" s="5" t="s">
        <v>29</v>
      </c>
      <c r="G344" s="5" t="s">
        <v>30</v>
      </c>
      <c r="H344" s="5" t="n">
        <f aca="true">ROUND(RAND()*4+6,1)</f>
        <v>9.2</v>
      </c>
      <c r="I344" s="5" t="s">
        <v>31</v>
      </c>
      <c r="J344" s="5" t="str">
        <f aca="false">ROUND(99*1,0)&amp;"%"</f>
        <v>99%</v>
      </c>
    </row>
    <row r="345" customFormat="false" ht="15" hidden="false" customHeight="false" outlineLevel="0" collapsed="false">
      <c r="A345" s="6" t="s">
        <v>1381</v>
      </c>
      <c r="B345" s="6" t="s">
        <v>554</v>
      </c>
      <c r="C345" s="6" t="s">
        <v>15</v>
      </c>
      <c r="D345" s="6" t="s">
        <v>34</v>
      </c>
      <c r="E345" s="6" t="n">
        <f aca="false">ROUND(14937*1.05,2)</f>
        <v>15683.85</v>
      </c>
      <c r="F345" s="6" t="s">
        <v>35</v>
      </c>
      <c r="G345" s="6" t="s">
        <v>18</v>
      </c>
      <c r="H345" s="6" t="n">
        <f aca="true">ROUND(RAND()*4+6,1)</f>
        <v>7.4</v>
      </c>
      <c r="I345" s="6" t="s">
        <v>36</v>
      </c>
      <c r="J345" s="6" t="str">
        <f aca="false">ROUND(77*1,0)&amp;"%"</f>
        <v>77%</v>
      </c>
    </row>
    <row r="346" customFormat="false" ht="15" hidden="false" customHeight="false" outlineLevel="0" collapsed="false">
      <c r="A346" s="5" t="s">
        <v>1382</v>
      </c>
      <c r="B346" s="5" t="s">
        <v>556</v>
      </c>
      <c r="C346" s="5" t="s">
        <v>15</v>
      </c>
      <c r="D346" s="5" t="s">
        <v>39</v>
      </c>
      <c r="E346" s="5" t="n">
        <f aca="false">ROUND(8935*1.05,2)</f>
        <v>9381.75</v>
      </c>
      <c r="F346" s="5" t="s">
        <v>40</v>
      </c>
      <c r="G346" s="5" t="s">
        <v>24</v>
      </c>
      <c r="H346" s="5" t="n">
        <f aca="true">ROUND(RAND()*4+6,1)</f>
        <v>9.9</v>
      </c>
      <c r="I346" s="5" t="s">
        <v>41</v>
      </c>
      <c r="J346" s="5" t="str">
        <f aca="false">ROUND(80*1,0)&amp;"%"</f>
        <v>80%</v>
      </c>
    </row>
    <row r="347" customFormat="false" ht="15" hidden="false" customHeight="false" outlineLevel="0" collapsed="false">
      <c r="A347" s="6" t="s">
        <v>1383</v>
      </c>
      <c r="B347" s="6" t="s">
        <v>558</v>
      </c>
      <c r="C347" s="6" t="s">
        <v>15</v>
      </c>
      <c r="D347" s="6" t="s">
        <v>44</v>
      </c>
      <c r="E347" s="6" t="n">
        <f aca="false">ROUND(6370*1.05,2)</f>
        <v>6688.5</v>
      </c>
      <c r="F347" s="6" t="s">
        <v>45</v>
      </c>
      <c r="G347" s="6" t="s">
        <v>30</v>
      </c>
      <c r="H347" s="6" t="n">
        <f aca="true">ROUND(RAND()*4+6,1)</f>
        <v>7.1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1384</v>
      </c>
      <c r="B348" s="5" t="s">
        <v>560</v>
      </c>
      <c r="C348" s="5" t="s">
        <v>15</v>
      </c>
      <c r="D348" s="5" t="s">
        <v>16</v>
      </c>
      <c r="E348" s="5" t="n">
        <f aca="false">ROUND(5057*1.05,2)</f>
        <v>5309.85</v>
      </c>
      <c r="F348" s="5" t="s">
        <v>49</v>
      </c>
      <c r="G348" s="5" t="s">
        <v>18</v>
      </c>
      <c r="H348" s="5" t="n">
        <f aca="true">ROUND(RAND()*4+6,1)</f>
        <v>9.4</v>
      </c>
      <c r="I348" s="5" t="s">
        <v>19</v>
      </c>
      <c r="J348" s="5" t="str">
        <f aca="false">ROUND(77*1,0)&amp;"%"</f>
        <v>77%</v>
      </c>
    </row>
    <row r="349" customFormat="false" ht="15" hidden="false" customHeight="false" outlineLevel="0" collapsed="false">
      <c r="A349" s="6" t="s">
        <v>1385</v>
      </c>
      <c r="B349" s="6" t="s">
        <v>562</v>
      </c>
      <c r="C349" s="6" t="s">
        <v>15</v>
      </c>
      <c r="D349" s="6" t="s">
        <v>22</v>
      </c>
      <c r="E349" s="6" t="n">
        <f aca="false">ROUND(17367*1.05,2)</f>
        <v>18235.35</v>
      </c>
      <c r="F349" s="6" t="s">
        <v>52</v>
      </c>
      <c r="G349" s="6" t="s">
        <v>24</v>
      </c>
      <c r="H349" s="6" t="n">
        <f aca="true">ROUND(RAND()*4+6,1)</f>
        <v>9.6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1386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1387</v>
      </c>
      <c r="B354" s="5" t="s">
        <v>566</v>
      </c>
      <c r="C354" s="5" t="s">
        <v>57</v>
      </c>
      <c r="D354" s="5" t="s">
        <v>16</v>
      </c>
      <c r="E354" s="5" t="n">
        <f aca="false">ROUND(8057*1.05,2)</f>
        <v>8459.85</v>
      </c>
      <c r="F354" s="5" t="s">
        <v>17</v>
      </c>
      <c r="G354" s="5" t="s">
        <v>18</v>
      </c>
      <c r="H354" s="5" t="n">
        <f aca="true">ROUND(RAND()*4+6,1)</f>
        <v>9</v>
      </c>
      <c r="I354" s="5" t="s">
        <v>19</v>
      </c>
      <c r="J354" s="5" t="str">
        <f aca="false">ROUND(75*1,0)&amp;"%"</f>
        <v>75%</v>
      </c>
    </row>
    <row r="355" customFormat="false" ht="15" hidden="false" customHeight="false" outlineLevel="0" collapsed="false">
      <c r="A355" s="6" t="s">
        <v>1388</v>
      </c>
      <c r="B355" s="6" t="s">
        <v>568</v>
      </c>
      <c r="C355" s="6" t="s">
        <v>57</v>
      </c>
      <c r="D355" s="6" t="s">
        <v>22</v>
      </c>
      <c r="E355" s="6" t="n">
        <f aca="false">ROUND(14841*1.05,2)</f>
        <v>15583.05</v>
      </c>
      <c r="F355" s="6" t="s">
        <v>23</v>
      </c>
      <c r="G355" s="6" t="s">
        <v>24</v>
      </c>
      <c r="H355" s="6" t="n">
        <f aca="true">ROUND(RAND()*4+6,1)</f>
        <v>6.8</v>
      </c>
      <c r="I355" s="6" t="s">
        <v>25</v>
      </c>
      <c r="J355" s="6" t="str">
        <f aca="false">ROUND(86*1,0)&amp;"%"</f>
        <v>86%</v>
      </c>
    </row>
    <row r="356" customFormat="false" ht="15" hidden="false" customHeight="false" outlineLevel="0" collapsed="false">
      <c r="A356" s="5" t="s">
        <v>1389</v>
      </c>
      <c r="B356" s="5" t="s">
        <v>570</v>
      </c>
      <c r="C356" s="5" t="s">
        <v>57</v>
      </c>
      <c r="D356" s="5" t="s">
        <v>28</v>
      </c>
      <c r="E356" s="5" t="n">
        <f aca="false">ROUND(9807*1.05,2)</f>
        <v>10297.35</v>
      </c>
      <c r="F356" s="5" t="s">
        <v>29</v>
      </c>
      <c r="G356" s="5" t="s">
        <v>30</v>
      </c>
      <c r="H356" s="5" t="n">
        <f aca="true">ROUND(RAND()*4+6,1)</f>
        <v>9.9</v>
      </c>
      <c r="I356" s="5" t="s">
        <v>31</v>
      </c>
      <c r="J356" s="5" t="str">
        <f aca="false">ROUND(90*1,0)&amp;"%"</f>
        <v>90%</v>
      </c>
    </row>
    <row r="357" customFormat="false" ht="15" hidden="false" customHeight="false" outlineLevel="0" collapsed="false">
      <c r="A357" s="6" t="s">
        <v>1390</v>
      </c>
      <c r="B357" s="6" t="s">
        <v>572</v>
      </c>
      <c r="C357" s="6" t="s">
        <v>57</v>
      </c>
      <c r="D357" s="6" t="s">
        <v>34</v>
      </c>
      <c r="E357" s="6" t="n">
        <f aca="false">ROUND(17900*1.05,2)</f>
        <v>18795</v>
      </c>
      <c r="F357" s="6" t="s">
        <v>35</v>
      </c>
      <c r="G357" s="6" t="s">
        <v>18</v>
      </c>
      <c r="H357" s="6" t="n">
        <f aca="true">ROUND(RAND()*4+6,1)</f>
        <v>6.1</v>
      </c>
      <c r="I357" s="6" t="s">
        <v>36</v>
      </c>
      <c r="J357" s="6" t="str">
        <f aca="false">ROUND(96*1,0)&amp;"%"</f>
        <v>96%</v>
      </c>
    </row>
    <row r="358" customFormat="false" ht="15" hidden="false" customHeight="false" outlineLevel="0" collapsed="false">
      <c r="A358" s="5" t="s">
        <v>1391</v>
      </c>
      <c r="B358" s="5" t="s">
        <v>574</v>
      </c>
      <c r="C358" s="5" t="s">
        <v>57</v>
      </c>
      <c r="D358" s="5" t="s">
        <v>39</v>
      </c>
      <c r="E358" s="5" t="n">
        <f aca="false">ROUND(10099*1.05,2)</f>
        <v>10603.95</v>
      </c>
      <c r="F358" s="5" t="s">
        <v>40</v>
      </c>
      <c r="G358" s="5" t="s">
        <v>24</v>
      </c>
      <c r="H358" s="5" t="n">
        <f aca="true">ROUND(RAND()*4+6,1)</f>
        <v>9.8</v>
      </c>
      <c r="I358" s="5" t="s">
        <v>41</v>
      </c>
      <c r="J358" s="5" t="str">
        <f aca="false">ROUND(96*1,0)&amp;"%"</f>
        <v>96%</v>
      </c>
    </row>
    <row r="359" customFormat="false" ht="15" hidden="false" customHeight="false" outlineLevel="0" collapsed="false">
      <c r="A359" s="6" t="s">
        <v>1392</v>
      </c>
      <c r="B359" s="6" t="s">
        <v>576</v>
      </c>
      <c r="C359" s="6" t="s">
        <v>57</v>
      </c>
      <c r="D359" s="6" t="s">
        <v>44</v>
      </c>
      <c r="E359" s="6" t="n">
        <f aca="false">ROUND(14268*1.05,2)</f>
        <v>14981.4</v>
      </c>
      <c r="F359" s="6" t="s">
        <v>45</v>
      </c>
      <c r="G359" s="6" t="s">
        <v>30</v>
      </c>
      <c r="H359" s="6" t="n">
        <f aca="true">ROUND(RAND()*4+6,1)</f>
        <v>7.6</v>
      </c>
      <c r="I359" s="6" t="s">
        <v>46</v>
      </c>
      <c r="J359" s="6" t="str">
        <f aca="false">ROUND(60*1,0)&amp;"%"</f>
        <v>60%</v>
      </c>
    </row>
    <row r="360" customFormat="false" ht="15" hidden="false" customHeight="false" outlineLevel="0" collapsed="false">
      <c r="A360" s="5" t="s">
        <v>1393</v>
      </c>
      <c r="B360" s="5" t="s">
        <v>578</v>
      </c>
      <c r="C360" s="5" t="s">
        <v>57</v>
      </c>
      <c r="D360" s="5" t="s">
        <v>16</v>
      </c>
      <c r="E360" s="5" t="n">
        <f aca="false">ROUND(9029*1.05,2)</f>
        <v>9480.45</v>
      </c>
      <c r="F360" s="5" t="s">
        <v>49</v>
      </c>
      <c r="G360" s="5" t="s">
        <v>18</v>
      </c>
      <c r="H360" s="5" t="n">
        <f aca="true">ROUND(RAND()*4+6,1)</f>
        <v>6.9</v>
      </c>
      <c r="I360" s="5" t="s">
        <v>19</v>
      </c>
      <c r="J360" s="5" t="str">
        <f aca="false">ROUND(99*1,0)&amp;"%"</f>
        <v>99%</v>
      </c>
    </row>
    <row r="361" customFormat="false" ht="15" hidden="false" customHeight="false" outlineLevel="0" collapsed="false">
      <c r="A361" s="6" t="s">
        <v>1394</v>
      </c>
      <c r="B361" s="6" t="s">
        <v>580</v>
      </c>
      <c r="C361" s="6" t="s">
        <v>57</v>
      </c>
      <c r="D361" s="6" t="s">
        <v>22</v>
      </c>
      <c r="E361" s="6" t="n">
        <f aca="false">ROUND(11014*1.05,2)</f>
        <v>11564.7</v>
      </c>
      <c r="F361" s="6" t="s">
        <v>52</v>
      </c>
      <c r="G361" s="6" t="s">
        <v>24</v>
      </c>
      <c r="H361" s="6" t="n">
        <f aca="true">ROUND(RAND()*4+6,1)</f>
        <v>8</v>
      </c>
      <c r="I361" s="6" t="s">
        <v>25</v>
      </c>
      <c r="J361" s="6" t="str">
        <f aca="false">ROUND(83*1,0)&amp;"%"</f>
        <v>83%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1395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1396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1397</v>
      </c>
      <c r="B6" s="5" t="s">
        <v>14</v>
      </c>
      <c r="C6" s="5" t="s">
        <v>15</v>
      </c>
      <c r="D6" s="5" t="s">
        <v>16</v>
      </c>
      <c r="E6" s="5" t="n">
        <f aca="false">ROUND(11103*1.05,2)</f>
        <v>11658.15</v>
      </c>
      <c r="F6" s="5" t="s">
        <v>17</v>
      </c>
      <c r="G6" s="5" t="s">
        <v>18</v>
      </c>
      <c r="H6" s="5" t="n">
        <f aca="true">ROUND(RAND()*4+6,1)</f>
        <v>7.7</v>
      </c>
      <c r="I6" s="5" t="s">
        <v>19</v>
      </c>
      <c r="J6" s="5" t="str">
        <f aca="false">ROUND(81*1,0)&amp;"%"</f>
        <v>81%</v>
      </c>
    </row>
    <row r="7" customFormat="false" ht="15" hidden="false" customHeight="false" outlineLevel="0" collapsed="false">
      <c r="A7" s="6" t="s">
        <v>1398</v>
      </c>
      <c r="B7" s="6" t="s">
        <v>21</v>
      </c>
      <c r="C7" s="6" t="s">
        <v>15</v>
      </c>
      <c r="D7" s="6" t="s">
        <v>22</v>
      </c>
      <c r="E7" s="6" t="n">
        <f aca="false">ROUND(14939*1.05,2)</f>
        <v>15685.95</v>
      </c>
      <c r="F7" s="6" t="s">
        <v>23</v>
      </c>
      <c r="G7" s="6" t="s">
        <v>24</v>
      </c>
      <c r="H7" s="6" t="n">
        <f aca="true">ROUND(RAND()*4+6,1)</f>
        <v>9.4</v>
      </c>
      <c r="I7" s="6" t="s">
        <v>25</v>
      </c>
      <c r="J7" s="6" t="str">
        <f aca="false">ROUND(92*1,0)&amp;"%"</f>
        <v>92%</v>
      </c>
    </row>
    <row r="8" customFormat="false" ht="15" hidden="false" customHeight="false" outlineLevel="0" collapsed="false">
      <c r="A8" s="5" t="s">
        <v>1399</v>
      </c>
      <c r="B8" s="5" t="s">
        <v>27</v>
      </c>
      <c r="C8" s="5" t="s">
        <v>15</v>
      </c>
      <c r="D8" s="5" t="s">
        <v>28</v>
      </c>
      <c r="E8" s="5" t="n">
        <f aca="false">ROUND(9630*1.05,2)</f>
        <v>10111.5</v>
      </c>
      <c r="F8" s="5" t="s">
        <v>29</v>
      </c>
      <c r="G8" s="5" t="s">
        <v>30</v>
      </c>
      <c r="H8" s="5" t="n">
        <f aca="true">ROUND(RAND()*4+6,1)</f>
        <v>8.6</v>
      </c>
      <c r="I8" s="5" t="s">
        <v>31</v>
      </c>
      <c r="J8" s="5" t="str">
        <f aca="false">ROUND(81*1,0)&amp;"%"</f>
        <v>81%</v>
      </c>
    </row>
    <row r="9" customFormat="false" ht="15" hidden="false" customHeight="false" outlineLevel="0" collapsed="false">
      <c r="A9" s="6" t="s">
        <v>1400</v>
      </c>
      <c r="B9" s="6" t="s">
        <v>33</v>
      </c>
      <c r="C9" s="6" t="s">
        <v>15</v>
      </c>
      <c r="D9" s="6" t="s">
        <v>34</v>
      </c>
      <c r="E9" s="6" t="n">
        <f aca="false">ROUND(13034*1.05,2)</f>
        <v>13685.7</v>
      </c>
      <c r="F9" s="6" t="s">
        <v>35</v>
      </c>
      <c r="G9" s="6" t="s">
        <v>18</v>
      </c>
      <c r="H9" s="6" t="n">
        <f aca="true">ROUND(RAND()*4+6,1)</f>
        <v>8.1</v>
      </c>
      <c r="I9" s="6" t="s">
        <v>36</v>
      </c>
      <c r="J9" s="6" t="str">
        <f aca="false">ROUND(61*1,0)&amp;"%"</f>
        <v>61%</v>
      </c>
    </row>
    <row r="10" customFormat="false" ht="15" hidden="false" customHeight="false" outlineLevel="0" collapsed="false">
      <c r="A10" s="5" t="s">
        <v>1401</v>
      </c>
      <c r="B10" s="5" t="s">
        <v>38</v>
      </c>
      <c r="C10" s="5" t="s">
        <v>15</v>
      </c>
      <c r="D10" s="5" t="s">
        <v>39</v>
      </c>
      <c r="E10" s="5" t="n">
        <f aca="false">ROUND(14343*1.05,2)</f>
        <v>15060.15</v>
      </c>
      <c r="F10" s="5" t="s">
        <v>40</v>
      </c>
      <c r="G10" s="5" t="s">
        <v>24</v>
      </c>
      <c r="H10" s="5" t="n">
        <f aca="true">ROUND(RAND()*4+6,1)</f>
        <v>8.1</v>
      </c>
      <c r="I10" s="5" t="s">
        <v>41</v>
      </c>
      <c r="J10" s="5" t="str">
        <f aca="false">ROUND(77*1,0)&amp;"%"</f>
        <v>77%</v>
      </c>
    </row>
    <row r="11" customFormat="false" ht="15" hidden="false" customHeight="false" outlineLevel="0" collapsed="false">
      <c r="A11" s="6" t="s">
        <v>1402</v>
      </c>
      <c r="B11" s="6" t="s">
        <v>43</v>
      </c>
      <c r="C11" s="6" t="s">
        <v>15</v>
      </c>
      <c r="D11" s="6" t="s">
        <v>44</v>
      </c>
      <c r="E11" s="6" t="n">
        <f aca="false">ROUND(8546*1.05,2)</f>
        <v>8973.3</v>
      </c>
      <c r="F11" s="6" t="s">
        <v>45</v>
      </c>
      <c r="G11" s="6" t="s">
        <v>30</v>
      </c>
      <c r="H11" s="6" t="n">
        <f aca="true">ROUND(RAND()*4+6,1)</f>
        <v>6.8</v>
      </c>
      <c r="I11" s="6" t="s">
        <v>46</v>
      </c>
      <c r="J11" s="6" t="str">
        <f aca="false">ROUND(80*1,0)&amp;"%"</f>
        <v>80%</v>
      </c>
    </row>
    <row r="12" customFormat="false" ht="15" hidden="false" customHeight="false" outlineLevel="0" collapsed="false">
      <c r="A12" s="5" t="s">
        <v>1403</v>
      </c>
      <c r="B12" s="5" t="s">
        <v>48</v>
      </c>
      <c r="C12" s="5" t="s">
        <v>15</v>
      </c>
      <c r="D12" s="5" t="s">
        <v>16</v>
      </c>
      <c r="E12" s="5" t="n">
        <f aca="false">ROUND(11617*1.05,2)</f>
        <v>12197.85</v>
      </c>
      <c r="F12" s="5" t="s">
        <v>49</v>
      </c>
      <c r="G12" s="5" t="s">
        <v>18</v>
      </c>
      <c r="H12" s="5" t="n">
        <f aca="true">ROUND(RAND()*4+6,1)</f>
        <v>8.3</v>
      </c>
      <c r="I12" s="5" t="s">
        <v>19</v>
      </c>
      <c r="J12" s="5" t="str">
        <f aca="false">ROUND(61*1,0)&amp;"%"</f>
        <v>61%</v>
      </c>
    </row>
    <row r="13" customFormat="false" ht="15" hidden="false" customHeight="false" outlineLevel="0" collapsed="false">
      <c r="A13" s="6" t="s">
        <v>1404</v>
      </c>
      <c r="B13" s="6" t="s">
        <v>51</v>
      </c>
      <c r="C13" s="6" t="s">
        <v>15</v>
      </c>
      <c r="D13" s="6" t="s">
        <v>22</v>
      </c>
      <c r="E13" s="6" t="n">
        <f aca="false">ROUND(11279*1.05,2)</f>
        <v>11842.95</v>
      </c>
      <c r="F13" s="6" t="s">
        <v>52</v>
      </c>
      <c r="G13" s="6" t="s">
        <v>24</v>
      </c>
      <c r="H13" s="6" t="n">
        <f aca="true">ROUND(RAND()*4+6,1)</f>
        <v>6.7</v>
      </c>
      <c r="I13" s="6" t="s">
        <v>25</v>
      </c>
      <c r="J13" s="6" t="str">
        <f aca="false">ROUND(92*1,0)&amp;"%"</f>
        <v>92%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1405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1406</v>
      </c>
      <c r="B18" s="5" t="s">
        <v>56</v>
      </c>
      <c r="C18" s="5" t="s">
        <v>57</v>
      </c>
      <c r="D18" s="5" t="s">
        <v>16</v>
      </c>
      <c r="E18" s="5" t="n">
        <f aca="false">ROUND(14644*1.05,2)</f>
        <v>15376.2</v>
      </c>
      <c r="F18" s="5" t="s">
        <v>17</v>
      </c>
      <c r="G18" s="5" t="s">
        <v>18</v>
      </c>
      <c r="H18" s="5" t="n">
        <f aca="true">ROUND(RAND()*4+6,1)</f>
        <v>9.5</v>
      </c>
      <c r="I18" s="5" t="s">
        <v>19</v>
      </c>
      <c r="J18" s="5" t="str">
        <f aca="false">ROUND(60*1,0)&amp;"%"</f>
        <v>60%</v>
      </c>
    </row>
    <row r="19" customFormat="false" ht="15" hidden="false" customHeight="false" outlineLevel="0" collapsed="false">
      <c r="A19" s="6" t="s">
        <v>1407</v>
      </c>
      <c r="B19" s="6" t="s">
        <v>59</v>
      </c>
      <c r="C19" s="6" t="s">
        <v>57</v>
      </c>
      <c r="D19" s="6" t="s">
        <v>22</v>
      </c>
      <c r="E19" s="6" t="n">
        <f aca="false">ROUND(11077*1.05,2)</f>
        <v>11630.85</v>
      </c>
      <c r="F19" s="6" t="s">
        <v>23</v>
      </c>
      <c r="G19" s="6" t="s">
        <v>24</v>
      </c>
      <c r="H19" s="6" t="n">
        <f aca="true">ROUND(RAND()*4+6,1)</f>
        <v>7.8</v>
      </c>
      <c r="I19" s="6" t="s">
        <v>25</v>
      </c>
      <c r="J19" s="6" t="str">
        <f aca="false">ROUND(76*1,0)&amp;"%"</f>
        <v>76%</v>
      </c>
    </row>
    <row r="20" customFormat="false" ht="15" hidden="false" customHeight="false" outlineLevel="0" collapsed="false">
      <c r="A20" s="5" t="s">
        <v>1408</v>
      </c>
      <c r="B20" s="5" t="s">
        <v>61</v>
      </c>
      <c r="C20" s="5" t="s">
        <v>57</v>
      </c>
      <c r="D20" s="5" t="s">
        <v>28</v>
      </c>
      <c r="E20" s="5" t="n">
        <f aca="false">ROUND(17523*1.05,2)</f>
        <v>18399.15</v>
      </c>
      <c r="F20" s="5" t="s">
        <v>29</v>
      </c>
      <c r="G20" s="5" t="s">
        <v>30</v>
      </c>
      <c r="H20" s="5" t="n">
        <f aca="true">ROUND(RAND()*4+6,1)</f>
        <v>6.2</v>
      </c>
      <c r="I20" s="5" t="s">
        <v>31</v>
      </c>
      <c r="J20" s="5" t="str">
        <f aca="false">ROUND(77*1,0)&amp;"%"</f>
        <v>77%</v>
      </c>
    </row>
    <row r="21" customFormat="false" ht="15" hidden="false" customHeight="false" outlineLevel="0" collapsed="false">
      <c r="A21" s="6" t="s">
        <v>1409</v>
      </c>
      <c r="B21" s="6" t="s">
        <v>63</v>
      </c>
      <c r="C21" s="6" t="s">
        <v>57</v>
      </c>
      <c r="D21" s="6" t="s">
        <v>34</v>
      </c>
      <c r="E21" s="6" t="n">
        <f aca="false">ROUND(10894*1.05,2)</f>
        <v>11438.7</v>
      </c>
      <c r="F21" s="6" t="s">
        <v>35</v>
      </c>
      <c r="G21" s="6" t="s">
        <v>18</v>
      </c>
      <c r="H21" s="6" t="n">
        <f aca="true">ROUND(RAND()*4+6,1)</f>
        <v>9.1</v>
      </c>
      <c r="I21" s="6" t="s">
        <v>36</v>
      </c>
      <c r="J21" s="6" t="str">
        <f aca="false">ROUND(78*1,0)&amp;"%"</f>
        <v>78%</v>
      </c>
    </row>
    <row r="22" customFormat="false" ht="15" hidden="false" customHeight="false" outlineLevel="0" collapsed="false">
      <c r="A22" s="5" t="s">
        <v>1410</v>
      </c>
      <c r="B22" s="5" t="s">
        <v>65</v>
      </c>
      <c r="C22" s="5" t="s">
        <v>57</v>
      </c>
      <c r="D22" s="5" t="s">
        <v>39</v>
      </c>
      <c r="E22" s="5" t="n">
        <f aca="false">ROUND(8904*1.05,2)</f>
        <v>9349.2</v>
      </c>
      <c r="F22" s="5" t="s">
        <v>40</v>
      </c>
      <c r="G22" s="5" t="s">
        <v>24</v>
      </c>
      <c r="H22" s="5" t="n">
        <f aca="true">ROUND(RAND()*4+6,1)</f>
        <v>8</v>
      </c>
      <c r="I22" s="5" t="s">
        <v>41</v>
      </c>
      <c r="J22" s="5" t="str">
        <f aca="false">ROUND(96*1,0)&amp;"%"</f>
        <v>96%</v>
      </c>
    </row>
    <row r="23" customFormat="false" ht="15" hidden="false" customHeight="false" outlineLevel="0" collapsed="false">
      <c r="A23" s="6" t="s">
        <v>1411</v>
      </c>
      <c r="B23" s="6" t="s">
        <v>67</v>
      </c>
      <c r="C23" s="6" t="s">
        <v>57</v>
      </c>
      <c r="D23" s="6" t="s">
        <v>44</v>
      </c>
      <c r="E23" s="6" t="n">
        <f aca="false">ROUND(13972*1.05,2)</f>
        <v>14670.6</v>
      </c>
      <c r="F23" s="6" t="s">
        <v>45</v>
      </c>
      <c r="G23" s="6" t="s">
        <v>30</v>
      </c>
      <c r="H23" s="6" t="n">
        <f aca="true">ROUND(RAND()*4+6,1)</f>
        <v>9.7</v>
      </c>
      <c r="I23" s="6" t="s">
        <v>46</v>
      </c>
      <c r="J23" s="6" t="str">
        <f aca="false">ROUND(99*1,0)&amp;"%"</f>
        <v>99%</v>
      </c>
    </row>
    <row r="24" customFormat="false" ht="15" hidden="false" customHeight="false" outlineLevel="0" collapsed="false">
      <c r="A24" s="5" t="s">
        <v>1412</v>
      </c>
      <c r="B24" s="5" t="s">
        <v>69</v>
      </c>
      <c r="C24" s="5" t="s">
        <v>57</v>
      </c>
      <c r="D24" s="5" t="s">
        <v>16</v>
      </c>
      <c r="E24" s="5" t="n">
        <f aca="false">ROUND(17970*1.05,2)</f>
        <v>18868.5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1413</v>
      </c>
      <c r="B25" s="6" t="s">
        <v>71</v>
      </c>
      <c r="C25" s="6" t="s">
        <v>57</v>
      </c>
      <c r="D25" s="6" t="s">
        <v>22</v>
      </c>
      <c r="E25" s="6" t="n">
        <f aca="false">ROUND(16056*1.05,2)</f>
        <v>16858.8</v>
      </c>
      <c r="F25" s="6" t="s">
        <v>52</v>
      </c>
      <c r="G25" s="6" t="s">
        <v>24</v>
      </c>
      <c r="H25" s="6" t="n">
        <f aca="true">ROUND(RAND()*4+6,1)</f>
        <v>7.8</v>
      </c>
      <c r="I25" s="6" t="s">
        <v>25</v>
      </c>
      <c r="J25" s="6" t="str">
        <f aca="false">ROUND(61*1,0)&amp;"%"</f>
        <v>61%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1414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1415</v>
      </c>
      <c r="B30" s="5" t="s">
        <v>75</v>
      </c>
      <c r="C30" s="5" t="s">
        <v>76</v>
      </c>
      <c r="D30" s="5" t="s">
        <v>16</v>
      </c>
      <c r="E30" s="5" t="n">
        <f aca="false">ROUND(8006*1.05,2)</f>
        <v>8406.3</v>
      </c>
      <c r="F30" s="5" t="s">
        <v>17</v>
      </c>
      <c r="G30" s="5" t="s">
        <v>18</v>
      </c>
      <c r="H30" s="5" t="n">
        <f aca="true">ROUND(RAND()*4+6,1)</f>
        <v>6.5</v>
      </c>
      <c r="I30" s="5" t="s">
        <v>19</v>
      </c>
      <c r="J30" s="5" t="str">
        <f aca="false">ROUND(77*1,0)&amp;"%"</f>
        <v>77%</v>
      </c>
    </row>
    <row r="31" customFormat="false" ht="15" hidden="false" customHeight="false" outlineLevel="0" collapsed="false">
      <c r="A31" s="6" t="s">
        <v>1416</v>
      </c>
      <c r="B31" s="6" t="s">
        <v>78</v>
      </c>
      <c r="C31" s="6" t="s">
        <v>76</v>
      </c>
      <c r="D31" s="6" t="s">
        <v>22</v>
      </c>
      <c r="E31" s="6" t="n">
        <f aca="false">ROUND(6521*1.05,2)</f>
        <v>6847.05</v>
      </c>
      <c r="F31" s="6" t="s">
        <v>23</v>
      </c>
      <c r="G31" s="6" t="s">
        <v>24</v>
      </c>
      <c r="H31" s="6" t="n">
        <f aca="true">ROUND(RAND()*4+6,1)</f>
        <v>7.9</v>
      </c>
      <c r="I31" s="6" t="s">
        <v>25</v>
      </c>
      <c r="J31" s="6" t="str">
        <f aca="false">ROUND(87*1,0)&amp;"%"</f>
        <v>87%</v>
      </c>
    </row>
    <row r="32" customFormat="false" ht="15" hidden="false" customHeight="false" outlineLevel="0" collapsed="false">
      <c r="A32" s="5" t="s">
        <v>1417</v>
      </c>
      <c r="B32" s="5" t="s">
        <v>80</v>
      </c>
      <c r="C32" s="5" t="s">
        <v>76</v>
      </c>
      <c r="D32" s="5" t="s">
        <v>28</v>
      </c>
      <c r="E32" s="5" t="n">
        <f aca="false">ROUND(14248*1.05,2)</f>
        <v>14960.4</v>
      </c>
      <c r="F32" s="5" t="s">
        <v>29</v>
      </c>
      <c r="G32" s="5" t="s">
        <v>30</v>
      </c>
      <c r="H32" s="5" t="n">
        <f aca="true">ROUND(RAND()*4+6,1)</f>
        <v>8</v>
      </c>
      <c r="I32" s="5" t="s">
        <v>31</v>
      </c>
      <c r="J32" s="5" t="str">
        <f aca="false">ROUND(75*1,0)&amp;"%"</f>
        <v>75%</v>
      </c>
    </row>
    <row r="33" customFormat="false" ht="15" hidden="false" customHeight="false" outlineLevel="0" collapsed="false">
      <c r="A33" s="6" t="s">
        <v>1418</v>
      </c>
      <c r="B33" s="6" t="s">
        <v>82</v>
      </c>
      <c r="C33" s="6" t="s">
        <v>76</v>
      </c>
      <c r="D33" s="6" t="s">
        <v>34</v>
      </c>
      <c r="E33" s="6" t="n">
        <f aca="false">ROUND(5689*1.05,2)</f>
        <v>5973.45</v>
      </c>
      <c r="F33" s="6" t="s">
        <v>35</v>
      </c>
      <c r="G33" s="6" t="s">
        <v>18</v>
      </c>
      <c r="H33" s="6" t="n">
        <f aca="true">ROUND(RAND()*4+6,1)</f>
        <v>6.7</v>
      </c>
      <c r="I33" s="6" t="s">
        <v>36</v>
      </c>
      <c r="J33" s="6" t="str">
        <f aca="false">ROUND(85*1,0)&amp;"%"</f>
        <v>85%</v>
      </c>
    </row>
    <row r="34" customFormat="false" ht="15" hidden="false" customHeight="false" outlineLevel="0" collapsed="false">
      <c r="A34" s="5" t="s">
        <v>1419</v>
      </c>
      <c r="B34" s="5" t="s">
        <v>84</v>
      </c>
      <c r="C34" s="5" t="s">
        <v>76</v>
      </c>
      <c r="D34" s="5" t="s">
        <v>39</v>
      </c>
      <c r="E34" s="5" t="n">
        <f aca="false">ROUND(7760*1.05,2)</f>
        <v>8148</v>
      </c>
      <c r="F34" s="5" t="s">
        <v>40</v>
      </c>
      <c r="G34" s="5" t="s">
        <v>24</v>
      </c>
      <c r="H34" s="5" t="n">
        <f aca="true">ROUND(RAND()*4+6,1)</f>
        <v>9.2</v>
      </c>
      <c r="I34" s="5" t="s">
        <v>41</v>
      </c>
      <c r="J34" s="5" t="str">
        <f aca="false">ROUND(76*1,0)&amp;"%"</f>
        <v>76%</v>
      </c>
    </row>
    <row r="35" customFormat="false" ht="15" hidden="false" customHeight="false" outlineLevel="0" collapsed="false">
      <c r="A35" s="6" t="s">
        <v>1420</v>
      </c>
      <c r="B35" s="6" t="s">
        <v>86</v>
      </c>
      <c r="C35" s="6" t="s">
        <v>76</v>
      </c>
      <c r="D35" s="6" t="s">
        <v>44</v>
      </c>
      <c r="E35" s="6" t="n">
        <f aca="false">ROUND(15083*1.05,2)</f>
        <v>15837.15</v>
      </c>
      <c r="F35" s="6" t="s">
        <v>45</v>
      </c>
      <c r="G35" s="6" t="s">
        <v>30</v>
      </c>
      <c r="H35" s="6" t="n">
        <f aca="true">ROUND(RAND()*4+6,1)</f>
        <v>9.2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1421</v>
      </c>
      <c r="B36" s="5" t="s">
        <v>88</v>
      </c>
      <c r="C36" s="5" t="s">
        <v>76</v>
      </c>
      <c r="D36" s="5" t="s">
        <v>16</v>
      </c>
      <c r="E36" s="5" t="n">
        <f aca="false">ROUND(12419*1.05,2)</f>
        <v>13039.95</v>
      </c>
      <c r="F36" s="5" t="s">
        <v>49</v>
      </c>
      <c r="G36" s="5" t="s">
        <v>18</v>
      </c>
      <c r="H36" s="5" t="n">
        <f aca="true">ROUND(RAND()*4+6,1)</f>
        <v>6.9</v>
      </c>
      <c r="I36" s="5" t="s">
        <v>19</v>
      </c>
      <c r="J36" s="5" t="str">
        <f aca="false">ROUND(89*1,0)&amp;"%"</f>
        <v>89%</v>
      </c>
    </row>
    <row r="37" customFormat="false" ht="15" hidden="false" customHeight="false" outlineLevel="0" collapsed="false">
      <c r="A37" s="6" t="s">
        <v>1422</v>
      </c>
      <c r="B37" s="6" t="s">
        <v>90</v>
      </c>
      <c r="C37" s="6" t="s">
        <v>76</v>
      </c>
      <c r="D37" s="6" t="s">
        <v>22</v>
      </c>
      <c r="E37" s="6" t="n">
        <f aca="false">ROUND(17626*1.05,2)</f>
        <v>18507.3</v>
      </c>
      <c r="F37" s="6" t="s">
        <v>52</v>
      </c>
      <c r="G37" s="6" t="s">
        <v>24</v>
      </c>
      <c r="H37" s="6" t="n">
        <f aca="true">ROUND(RAND()*4+6,1)</f>
        <v>9.2</v>
      </c>
      <c r="I37" s="6" t="s">
        <v>25</v>
      </c>
      <c r="J37" s="6" t="str">
        <f aca="false">ROUND(71*1,0)&amp;"%"</f>
        <v>71%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1423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1424</v>
      </c>
      <c r="B42" s="5" t="s">
        <v>94</v>
      </c>
      <c r="C42" s="5" t="s">
        <v>95</v>
      </c>
      <c r="D42" s="5" t="s">
        <v>16</v>
      </c>
      <c r="E42" s="5" t="n">
        <f aca="false">ROUND(12645*1.05,2)</f>
        <v>13277.25</v>
      </c>
      <c r="F42" s="5" t="s">
        <v>17</v>
      </c>
      <c r="G42" s="5" t="s">
        <v>18</v>
      </c>
      <c r="H42" s="5" t="n">
        <f aca="true">ROUND(RAND()*4+6,1)</f>
        <v>6.7</v>
      </c>
      <c r="I42" s="5" t="s">
        <v>19</v>
      </c>
      <c r="J42" s="5" t="str">
        <f aca="false">ROUND(75*1,0)&amp;"%"</f>
        <v>75%</v>
      </c>
    </row>
    <row r="43" customFormat="false" ht="15" hidden="false" customHeight="false" outlineLevel="0" collapsed="false">
      <c r="A43" s="6" t="s">
        <v>1425</v>
      </c>
      <c r="B43" s="6" t="s">
        <v>97</v>
      </c>
      <c r="C43" s="6" t="s">
        <v>95</v>
      </c>
      <c r="D43" s="6" t="s">
        <v>22</v>
      </c>
      <c r="E43" s="6" t="n">
        <f aca="false">ROUND(13043*1.05,2)</f>
        <v>13695.15</v>
      </c>
      <c r="F43" s="6" t="s">
        <v>23</v>
      </c>
      <c r="G43" s="6" t="s">
        <v>24</v>
      </c>
      <c r="H43" s="6" t="n">
        <f aca="true">ROUND(RAND()*4+6,1)</f>
        <v>6.6</v>
      </c>
      <c r="I43" s="6" t="s">
        <v>25</v>
      </c>
      <c r="J43" s="6" t="str">
        <f aca="false">ROUND(96*1,0)&amp;"%"</f>
        <v>96%</v>
      </c>
    </row>
    <row r="44" customFormat="false" ht="15" hidden="false" customHeight="false" outlineLevel="0" collapsed="false">
      <c r="A44" s="5" t="s">
        <v>1426</v>
      </c>
      <c r="B44" s="5" t="s">
        <v>99</v>
      </c>
      <c r="C44" s="5" t="s">
        <v>95</v>
      </c>
      <c r="D44" s="5" t="s">
        <v>28</v>
      </c>
      <c r="E44" s="5" t="n">
        <f aca="false">ROUND(8579*1.05,2)</f>
        <v>9007.95</v>
      </c>
      <c r="F44" s="5" t="s">
        <v>29</v>
      </c>
      <c r="G44" s="5" t="s">
        <v>30</v>
      </c>
      <c r="H44" s="5" t="n">
        <f aca="true">ROUND(RAND()*4+6,1)</f>
        <v>6.8</v>
      </c>
      <c r="I44" s="5" t="s">
        <v>31</v>
      </c>
      <c r="J44" s="5" t="str">
        <f aca="false">ROUND(67*1,0)&amp;"%"</f>
        <v>67%</v>
      </c>
    </row>
    <row r="45" customFormat="false" ht="15" hidden="false" customHeight="false" outlineLevel="0" collapsed="false">
      <c r="A45" s="6" t="s">
        <v>1427</v>
      </c>
      <c r="B45" s="6" t="s">
        <v>101</v>
      </c>
      <c r="C45" s="6" t="s">
        <v>95</v>
      </c>
      <c r="D45" s="6" t="s">
        <v>34</v>
      </c>
      <c r="E45" s="6" t="n">
        <f aca="false">ROUND(4256*1.05,2)</f>
        <v>4468.8</v>
      </c>
      <c r="F45" s="6" t="s">
        <v>35</v>
      </c>
      <c r="G45" s="6" t="s">
        <v>18</v>
      </c>
      <c r="H45" s="6" t="n">
        <f aca="true">ROUND(RAND()*4+6,1)</f>
        <v>6.3</v>
      </c>
      <c r="I45" s="6" t="s">
        <v>36</v>
      </c>
      <c r="J45" s="6" t="str">
        <f aca="false">ROUND(74*1,0)&amp;"%"</f>
        <v>74%</v>
      </c>
    </row>
    <row r="46" customFormat="false" ht="15" hidden="false" customHeight="false" outlineLevel="0" collapsed="false">
      <c r="A46" s="5" t="s">
        <v>1428</v>
      </c>
      <c r="B46" s="5" t="s">
        <v>103</v>
      </c>
      <c r="C46" s="5" t="s">
        <v>95</v>
      </c>
      <c r="D46" s="5" t="s">
        <v>39</v>
      </c>
      <c r="E46" s="5" t="n">
        <f aca="false">ROUND(11317*1.05,2)</f>
        <v>11882.85</v>
      </c>
      <c r="F46" s="5" t="s">
        <v>40</v>
      </c>
      <c r="G46" s="5" t="s">
        <v>24</v>
      </c>
      <c r="H46" s="5" t="n">
        <f aca="true">ROUND(RAND()*4+6,1)</f>
        <v>9.2</v>
      </c>
      <c r="I46" s="5" t="s">
        <v>41</v>
      </c>
      <c r="J46" s="5" t="str">
        <f aca="false">ROUND(90*1,0)&amp;"%"</f>
        <v>90%</v>
      </c>
    </row>
    <row r="47" customFormat="false" ht="15" hidden="false" customHeight="false" outlineLevel="0" collapsed="false">
      <c r="A47" s="6" t="s">
        <v>1429</v>
      </c>
      <c r="B47" s="6" t="s">
        <v>105</v>
      </c>
      <c r="C47" s="6" t="s">
        <v>95</v>
      </c>
      <c r="D47" s="6" t="s">
        <v>44</v>
      </c>
      <c r="E47" s="6" t="n">
        <f aca="false">ROUND(16807*1.05,2)</f>
        <v>17647.35</v>
      </c>
      <c r="F47" s="6" t="s">
        <v>45</v>
      </c>
      <c r="G47" s="6" t="s">
        <v>30</v>
      </c>
      <c r="H47" s="6" t="n">
        <f aca="true">ROUND(RAND()*4+6,1)</f>
        <v>8.4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1430</v>
      </c>
      <c r="B48" s="5" t="s">
        <v>107</v>
      </c>
      <c r="C48" s="5" t="s">
        <v>95</v>
      </c>
      <c r="D48" s="5" t="s">
        <v>16</v>
      </c>
      <c r="E48" s="5" t="n">
        <f aca="false">ROUND(15324*1.05,2)</f>
        <v>16090.2</v>
      </c>
      <c r="F48" s="5" t="s">
        <v>49</v>
      </c>
      <c r="G48" s="5" t="s">
        <v>18</v>
      </c>
      <c r="H48" s="5" t="n">
        <f aca="true">ROUND(RAND()*4+6,1)</f>
        <v>6.1</v>
      </c>
      <c r="I48" s="5" t="s">
        <v>19</v>
      </c>
      <c r="J48" s="5" t="str">
        <f aca="false">ROUND(98*1,0)&amp;"%"</f>
        <v>98%</v>
      </c>
    </row>
    <row r="49" customFormat="false" ht="15" hidden="false" customHeight="false" outlineLevel="0" collapsed="false">
      <c r="A49" s="6" t="s">
        <v>1431</v>
      </c>
      <c r="B49" s="6" t="s">
        <v>109</v>
      </c>
      <c r="C49" s="6" t="s">
        <v>95</v>
      </c>
      <c r="D49" s="6" t="s">
        <v>22</v>
      </c>
      <c r="E49" s="6" t="n">
        <f aca="false">ROUND(6681*1.05,2)</f>
        <v>7015.05</v>
      </c>
      <c r="F49" s="6" t="s">
        <v>52</v>
      </c>
      <c r="G49" s="6" t="s">
        <v>24</v>
      </c>
      <c r="H49" s="6" t="n">
        <f aca="true">ROUND(RAND()*4+6,1)</f>
        <v>8.7</v>
      </c>
      <c r="I49" s="6" t="s">
        <v>25</v>
      </c>
      <c r="J49" s="6" t="str">
        <f aca="false">ROUND(97*1,0)&amp;"%"</f>
        <v>97%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1432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1433</v>
      </c>
      <c r="B54" s="5" t="s">
        <v>113</v>
      </c>
      <c r="C54" s="5" t="s">
        <v>114</v>
      </c>
      <c r="D54" s="5" t="s">
        <v>16</v>
      </c>
      <c r="E54" s="5" t="n">
        <f aca="false">ROUND(14358*1.05,2)</f>
        <v>15075.9</v>
      </c>
      <c r="F54" s="5" t="s">
        <v>17</v>
      </c>
      <c r="G54" s="5" t="s">
        <v>18</v>
      </c>
      <c r="H54" s="5" t="n">
        <f aca="true">ROUND(RAND()*4+6,1)</f>
        <v>9.7</v>
      </c>
      <c r="I54" s="5" t="s">
        <v>19</v>
      </c>
      <c r="J54" s="5" t="str">
        <f aca="false">ROUND(93*1,0)&amp;"%"</f>
        <v>93%</v>
      </c>
    </row>
    <row r="55" customFormat="false" ht="15" hidden="false" customHeight="false" outlineLevel="0" collapsed="false">
      <c r="A55" s="6" t="s">
        <v>1434</v>
      </c>
      <c r="B55" s="6" t="s">
        <v>116</v>
      </c>
      <c r="C55" s="6" t="s">
        <v>114</v>
      </c>
      <c r="D55" s="6" t="s">
        <v>22</v>
      </c>
      <c r="E55" s="6" t="n">
        <f aca="false">ROUND(8743*1.05,2)</f>
        <v>9180.15</v>
      </c>
      <c r="F55" s="6" t="s">
        <v>23</v>
      </c>
      <c r="G55" s="6" t="s">
        <v>24</v>
      </c>
      <c r="H55" s="6" t="n">
        <f aca="true">ROUND(RAND()*4+6,1)</f>
        <v>9.1</v>
      </c>
      <c r="I55" s="6" t="s">
        <v>25</v>
      </c>
      <c r="J55" s="6" t="str">
        <f aca="false">ROUND(76*1,0)&amp;"%"</f>
        <v>76%</v>
      </c>
    </row>
    <row r="56" customFormat="false" ht="15" hidden="false" customHeight="false" outlineLevel="0" collapsed="false">
      <c r="A56" s="5" t="s">
        <v>1435</v>
      </c>
      <c r="B56" s="5" t="s">
        <v>118</v>
      </c>
      <c r="C56" s="5" t="s">
        <v>114</v>
      </c>
      <c r="D56" s="5" t="s">
        <v>28</v>
      </c>
      <c r="E56" s="5" t="n">
        <f aca="false">ROUND(14934*1.05,2)</f>
        <v>15680.7</v>
      </c>
      <c r="F56" s="5" t="s">
        <v>29</v>
      </c>
      <c r="G56" s="5" t="s">
        <v>30</v>
      </c>
      <c r="H56" s="5" t="n">
        <f aca="true">ROUND(RAND()*4+6,1)</f>
        <v>7.6</v>
      </c>
      <c r="I56" s="5" t="s">
        <v>31</v>
      </c>
      <c r="J56" s="5" t="str">
        <f aca="false">ROUND(72*1,0)&amp;"%"</f>
        <v>72%</v>
      </c>
    </row>
    <row r="57" customFormat="false" ht="15" hidden="false" customHeight="false" outlineLevel="0" collapsed="false">
      <c r="A57" s="6" t="s">
        <v>1436</v>
      </c>
      <c r="B57" s="6" t="s">
        <v>120</v>
      </c>
      <c r="C57" s="6" t="s">
        <v>114</v>
      </c>
      <c r="D57" s="6" t="s">
        <v>34</v>
      </c>
      <c r="E57" s="6" t="n">
        <f aca="false">ROUND(16412*1.05,2)</f>
        <v>17232.6</v>
      </c>
      <c r="F57" s="6" t="s">
        <v>35</v>
      </c>
      <c r="G57" s="6" t="s">
        <v>18</v>
      </c>
      <c r="H57" s="6" t="n">
        <f aca="true">ROUND(RAND()*4+6,1)</f>
        <v>6.9</v>
      </c>
      <c r="I57" s="6" t="s">
        <v>36</v>
      </c>
      <c r="J57" s="6" t="str">
        <f aca="false">ROUND(67*1,0)&amp;"%"</f>
        <v>67%</v>
      </c>
    </row>
    <row r="58" customFormat="false" ht="15" hidden="false" customHeight="false" outlineLevel="0" collapsed="false">
      <c r="A58" s="5" t="s">
        <v>1437</v>
      </c>
      <c r="B58" s="5" t="s">
        <v>122</v>
      </c>
      <c r="C58" s="5" t="s">
        <v>114</v>
      </c>
      <c r="D58" s="5" t="s">
        <v>39</v>
      </c>
      <c r="E58" s="5" t="n">
        <f aca="false">ROUND(9382*1.05,2)</f>
        <v>9851.1</v>
      </c>
      <c r="F58" s="5" t="s">
        <v>40</v>
      </c>
      <c r="G58" s="5" t="s">
        <v>24</v>
      </c>
      <c r="H58" s="5" t="n">
        <f aca="true">ROUND(RAND()*4+6,1)</f>
        <v>7.7</v>
      </c>
      <c r="I58" s="5" t="s">
        <v>41</v>
      </c>
      <c r="J58" s="5" t="str">
        <f aca="false">ROUND(82*1,0)&amp;"%"</f>
        <v>82%</v>
      </c>
    </row>
    <row r="59" customFormat="false" ht="15" hidden="false" customHeight="false" outlineLevel="0" collapsed="false">
      <c r="A59" s="6" t="s">
        <v>1438</v>
      </c>
      <c r="B59" s="6" t="s">
        <v>124</v>
      </c>
      <c r="C59" s="6" t="s">
        <v>114</v>
      </c>
      <c r="D59" s="6" t="s">
        <v>44</v>
      </c>
      <c r="E59" s="6" t="n">
        <f aca="false">ROUND(5407*1.05,2)</f>
        <v>5677.35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1439</v>
      </c>
      <c r="B60" s="5" t="s">
        <v>126</v>
      </c>
      <c r="C60" s="5" t="s">
        <v>114</v>
      </c>
      <c r="D60" s="5" t="s">
        <v>16</v>
      </c>
      <c r="E60" s="5" t="n">
        <f aca="false">ROUND(8642*1.05,2)</f>
        <v>9074.1</v>
      </c>
      <c r="F60" s="5" t="s">
        <v>49</v>
      </c>
      <c r="G60" s="5" t="s">
        <v>18</v>
      </c>
      <c r="H60" s="5" t="n">
        <f aca="true">ROUND(RAND()*4+6,1)</f>
        <v>10</v>
      </c>
      <c r="I60" s="5" t="s">
        <v>19</v>
      </c>
      <c r="J60" s="5" t="str">
        <f aca="false">ROUND(96*1,0)&amp;"%"</f>
        <v>96%</v>
      </c>
    </row>
    <row r="61" customFormat="false" ht="15" hidden="false" customHeight="false" outlineLevel="0" collapsed="false">
      <c r="A61" s="6" t="s">
        <v>1440</v>
      </c>
      <c r="B61" s="6" t="s">
        <v>128</v>
      </c>
      <c r="C61" s="6" t="s">
        <v>114</v>
      </c>
      <c r="D61" s="6" t="s">
        <v>22</v>
      </c>
      <c r="E61" s="6" t="n">
        <f aca="false">ROUND(8859*1.05,2)</f>
        <v>9301.95</v>
      </c>
      <c r="F61" s="6" t="s">
        <v>52</v>
      </c>
      <c r="G61" s="6" t="s">
        <v>24</v>
      </c>
      <c r="H61" s="6" t="n">
        <f aca="true">ROUND(RAND()*4+6,1)</f>
        <v>7.5</v>
      </c>
      <c r="I61" s="6" t="s">
        <v>25</v>
      </c>
      <c r="J61" s="6" t="str">
        <f aca="false">ROUND(96*1,0)&amp;"%"</f>
        <v>96%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1441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1442</v>
      </c>
      <c r="B66" s="5" t="s">
        <v>132</v>
      </c>
      <c r="C66" s="5" t="s">
        <v>133</v>
      </c>
      <c r="D66" s="5" t="s">
        <v>16</v>
      </c>
      <c r="E66" s="5" t="n">
        <f aca="false">ROUND(16880*1.05,2)</f>
        <v>17724</v>
      </c>
      <c r="F66" s="5" t="s">
        <v>17</v>
      </c>
      <c r="G66" s="5" t="s">
        <v>18</v>
      </c>
      <c r="H66" s="5" t="n">
        <f aca="true">ROUND(RAND()*4+6,1)</f>
        <v>7.5</v>
      </c>
      <c r="I66" s="5" t="s">
        <v>19</v>
      </c>
      <c r="J66" s="5" t="str">
        <f aca="false">ROUND(82*1,0)&amp;"%"</f>
        <v>82%</v>
      </c>
    </row>
    <row r="67" customFormat="false" ht="15" hidden="false" customHeight="false" outlineLevel="0" collapsed="false">
      <c r="A67" s="6" t="s">
        <v>1443</v>
      </c>
      <c r="B67" s="6" t="s">
        <v>135</v>
      </c>
      <c r="C67" s="6" t="s">
        <v>133</v>
      </c>
      <c r="D67" s="6" t="s">
        <v>22</v>
      </c>
      <c r="E67" s="6" t="n">
        <f aca="false">ROUND(13603*1.05,2)</f>
        <v>14283.15</v>
      </c>
      <c r="F67" s="6" t="s">
        <v>23</v>
      </c>
      <c r="G67" s="6" t="s">
        <v>24</v>
      </c>
      <c r="H67" s="6" t="n">
        <f aca="true">ROUND(RAND()*4+6,1)</f>
        <v>6.4</v>
      </c>
      <c r="I67" s="6" t="s">
        <v>25</v>
      </c>
      <c r="J67" s="6" t="str">
        <f aca="false">ROUND(63*1,0)&amp;"%"</f>
        <v>63%</v>
      </c>
    </row>
    <row r="68" customFormat="false" ht="15" hidden="false" customHeight="false" outlineLevel="0" collapsed="false">
      <c r="A68" s="5" t="s">
        <v>1444</v>
      </c>
      <c r="B68" s="5" t="s">
        <v>137</v>
      </c>
      <c r="C68" s="5" t="s">
        <v>133</v>
      </c>
      <c r="D68" s="5" t="s">
        <v>28</v>
      </c>
      <c r="E68" s="5" t="n">
        <f aca="false">ROUND(16118*1.05,2)</f>
        <v>16923.9</v>
      </c>
      <c r="F68" s="5" t="s">
        <v>29</v>
      </c>
      <c r="G68" s="5" t="s">
        <v>30</v>
      </c>
      <c r="H68" s="5" t="n">
        <f aca="true">ROUND(RAND()*4+6,1)</f>
        <v>6.7</v>
      </c>
      <c r="I68" s="5" t="s">
        <v>31</v>
      </c>
      <c r="J68" s="5" t="str">
        <f aca="false">ROUND(85*1,0)&amp;"%"</f>
        <v>85%</v>
      </c>
    </row>
    <row r="69" customFormat="false" ht="15" hidden="false" customHeight="false" outlineLevel="0" collapsed="false">
      <c r="A69" s="6" t="s">
        <v>1445</v>
      </c>
      <c r="B69" s="6" t="s">
        <v>139</v>
      </c>
      <c r="C69" s="6" t="s">
        <v>133</v>
      </c>
      <c r="D69" s="6" t="s">
        <v>34</v>
      </c>
      <c r="E69" s="6" t="n">
        <f aca="false">ROUND(16417*1.05,2)</f>
        <v>17237.85</v>
      </c>
      <c r="F69" s="6" t="s">
        <v>35</v>
      </c>
      <c r="G69" s="6" t="s">
        <v>18</v>
      </c>
      <c r="H69" s="6" t="n">
        <f aca="true">ROUND(RAND()*4+6,1)</f>
        <v>6.6</v>
      </c>
      <c r="I69" s="6" t="s">
        <v>36</v>
      </c>
      <c r="J69" s="6" t="str">
        <f aca="false">ROUND(60*1,0)&amp;"%"</f>
        <v>60%</v>
      </c>
    </row>
    <row r="70" customFormat="false" ht="15" hidden="false" customHeight="false" outlineLevel="0" collapsed="false">
      <c r="A70" s="5" t="s">
        <v>1446</v>
      </c>
      <c r="B70" s="5" t="s">
        <v>141</v>
      </c>
      <c r="C70" s="5" t="s">
        <v>133</v>
      </c>
      <c r="D70" s="5" t="s">
        <v>39</v>
      </c>
      <c r="E70" s="5" t="n">
        <f aca="false">ROUND(12103*1.05,2)</f>
        <v>12708.15</v>
      </c>
      <c r="F70" s="5" t="s">
        <v>40</v>
      </c>
      <c r="G70" s="5" t="s">
        <v>24</v>
      </c>
      <c r="H70" s="5" t="n">
        <f aca="true">ROUND(RAND()*4+6,1)</f>
        <v>7.2</v>
      </c>
      <c r="I70" s="5" t="s">
        <v>41</v>
      </c>
      <c r="J70" s="5" t="str">
        <f aca="false">ROUND(67*1,0)&amp;"%"</f>
        <v>67%</v>
      </c>
    </row>
    <row r="71" customFormat="false" ht="15" hidden="false" customHeight="false" outlineLevel="0" collapsed="false">
      <c r="A71" s="6" t="s">
        <v>1447</v>
      </c>
      <c r="B71" s="6" t="s">
        <v>143</v>
      </c>
      <c r="C71" s="6" t="s">
        <v>133</v>
      </c>
      <c r="D71" s="6" t="s">
        <v>44</v>
      </c>
      <c r="E71" s="6" t="n">
        <f aca="false">ROUND(10768*1.05,2)</f>
        <v>11306.4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ROUND(70*1,0)&amp;"%"</f>
        <v>70%</v>
      </c>
    </row>
    <row r="72" customFormat="false" ht="15" hidden="false" customHeight="false" outlineLevel="0" collapsed="false">
      <c r="A72" s="5" t="s">
        <v>1448</v>
      </c>
      <c r="B72" s="5" t="s">
        <v>145</v>
      </c>
      <c r="C72" s="5" t="s">
        <v>133</v>
      </c>
      <c r="D72" s="5" t="s">
        <v>16</v>
      </c>
      <c r="E72" s="5" t="n">
        <f aca="false">ROUND(13026*1.05,2)</f>
        <v>13677.3</v>
      </c>
      <c r="F72" s="5" t="s">
        <v>49</v>
      </c>
      <c r="G72" s="5" t="s">
        <v>18</v>
      </c>
      <c r="H72" s="5" t="n">
        <f aca="true">ROUND(RAND()*4+6,1)</f>
        <v>8.4</v>
      </c>
      <c r="I72" s="5" t="s">
        <v>19</v>
      </c>
      <c r="J72" s="5" t="str">
        <f aca="false">ROUND(75*1,0)&amp;"%"</f>
        <v>75%</v>
      </c>
    </row>
    <row r="73" customFormat="false" ht="15" hidden="false" customHeight="false" outlineLevel="0" collapsed="false">
      <c r="A73" s="6" t="s">
        <v>1449</v>
      </c>
      <c r="B73" s="6" t="s">
        <v>147</v>
      </c>
      <c r="C73" s="6" t="s">
        <v>133</v>
      </c>
      <c r="D73" s="6" t="s">
        <v>22</v>
      </c>
      <c r="E73" s="6" t="n">
        <f aca="false">ROUND(10514*1.05,2)</f>
        <v>11039.7</v>
      </c>
      <c r="F73" s="6" t="s">
        <v>52</v>
      </c>
      <c r="G73" s="6" t="s">
        <v>24</v>
      </c>
      <c r="H73" s="6" t="n">
        <f aca="true">ROUND(RAND()*4+6,1)</f>
        <v>8.3</v>
      </c>
      <c r="I73" s="6" t="s">
        <v>25</v>
      </c>
      <c r="J73" s="6" t="str">
        <f aca="false">ROUND(69*1,0)&amp;"%"</f>
        <v>69%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1450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1451</v>
      </c>
      <c r="B78" s="5" t="s">
        <v>151</v>
      </c>
      <c r="C78" s="5" t="s">
        <v>152</v>
      </c>
      <c r="D78" s="5" t="s">
        <v>16</v>
      </c>
      <c r="E78" s="5" t="n">
        <f aca="false">ROUND(9159*1.05,2)</f>
        <v>9616.95</v>
      </c>
      <c r="F78" s="5" t="s">
        <v>17</v>
      </c>
      <c r="G78" s="5" t="s">
        <v>18</v>
      </c>
      <c r="H78" s="5" t="n">
        <f aca="true">ROUND(RAND()*4+6,1)</f>
        <v>8.5</v>
      </c>
      <c r="I78" s="5" t="s">
        <v>19</v>
      </c>
      <c r="J78" s="5" t="str">
        <f aca="false">ROUND(61*1,0)&amp;"%"</f>
        <v>61%</v>
      </c>
    </row>
    <row r="79" customFormat="false" ht="15" hidden="false" customHeight="false" outlineLevel="0" collapsed="false">
      <c r="A79" s="6" t="s">
        <v>1452</v>
      </c>
      <c r="B79" s="6" t="s">
        <v>154</v>
      </c>
      <c r="C79" s="6" t="s">
        <v>152</v>
      </c>
      <c r="D79" s="6" t="s">
        <v>22</v>
      </c>
      <c r="E79" s="6" t="n">
        <f aca="false">ROUND(12026*1.05,2)</f>
        <v>12627.3</v>
      </c>
      <c r="F79" s="6" t="s">
        <v>23</v>
      </c>
      <c r="G79" s="6" t="s">
        <v>24</v>
      </c>
      <c r="H79" s="6" t="n">
        <f aca="true">ROUND(RAND()*4+6,1)</f>
        <v>8.1</v>
      </c>
      <c r="I79" s="6" t="s">
        <v>25</v>
      </c>
      <c r="J79" s="6" t="str">
        <f aca="false">ROUND(89*1,0)&amp;"%"</f>
        <v>89%</v>
      </c>
    </row>
    <row r="80" customFormat="false" ht="15" hidden="false" customHeight="false" outlineLevel="0" collapsed="false">
      <c r="A80" s="5" t="s">
        <v>1453</v>
      </c>
      <c r="B80" s="5" t="s">
        <v>156</v>
      </c>
      <c r="C80" s="5" t="s">
        <v>152</v>
      </c>
      <c r="D80" s="5" t="s">
        <v>28</v>
      </c>
      <c r="E80" s="5" t="n">
        <f aca="false">ROUND(17355*1.05,2)</f>
        <v>18222.75</v>
      </c>
      <c r="F80" s="5" t="s">
        <v>29</v>
      </c>
      <c r="G80" s="5" t="s">
        <v>30</v>
      </c>
      <c r="H80" s="5" t="n">
        <f aca="true">ROUND(RAND()*4+6,1)</f>
        <v>8.1</v>
      </c>
      <c r="I80" s="5" t="s">
        <v>31</v>
      </c>
      <c r="J80" s="5" t="str">
        <f aca="false">ROUND(79*1,0)&amp;"%"</f>
        <v>79%</v>
      </c>
    </row>
    <row r="81" customFormat="false" ht="15" hidden="false" customHeight="false" outlineLevel="0" collapsed="false">
      <c r="A81" s="6" t="s">
        <v>1454</v>
      </c>
      <c r="B81" s="6" t="s">
        <v>158</v>
      </c>
      <c r="C81" s="6" t="s">
        <v>152</v>
      </c>
      <c r="D81" s="6" t="s">
        <v>34</v>
      </c>
      <c r="E81" s="6" t="n">
        <f aca="false">ROUND(17513*1.05,2)</f>
        <v>18388.65</v>
      </c>
      <c r="F81" s="6" t="s">
        <v>35</v>
      </c>
      <c r="G81" s="6" t="s">
        <v>18</v>
      </c>
      <c r="H81" s="6" t="n">
        <f aca="true">ROUND(RAND()*4+6,1)</f>
        <v>8.2</v>
      </c>
      <c r="I81" s="6" t="s">
        <v>36</v>
      </c>
      <c r="J81" s="6" t="str">
        <f aca="false">ROUND(64*1,0)&amp;"%"</f>
        <v>64%</v>
      </c>
    </row>
    <row r="82" customFormat="false" ht="15" hidden="false" customHeight="false" outlineLevel="0" collapsed="false">
      <c r="A82" s="5" t="s">
        <v>1455</v>
      </c>
      <c r="B82" s="5" t="s">
        <v>160</v>
      </c>
      <c r="C82" s="5" t="s">
        <v>152</v>
      </c>
      <c r="D82" s="5" t="s">
        <v>39</v>
      </c>
      <c r="E82" s="5" t="n">
        <f aca="false">ROUND(12565*1.05,2)</f>
        <v>13193.25</v>
      </c>
      <c r="F82" s="5" t="s">
        <v>40</v>
      </c>
      <c r="G82" s="5" t="s">
        <v>24</v>
      </c>
      <c r="H82" s="5" t="n">
        <f aca="true">ROUND(RAND()*4+6,1)</f>
        <v>6.6</v>
      </c>
      <c r="I82" s="5" t="s">
        <v>41</v>
      </c>
      <c r="J82" s="5" t="str">
        <f aca="false">ROUND(69*1,0)&amp;"%"</f>
        <v>69%</v>
      </c>
    </row>
    <row r="83" customFormat="false" ht="15" hidden="false" customHeight="false" outlineLevel="0" collapsed="false">
      <c r="A83" s="6" t="s">
        <v>1456</v>
      </c>
      <c r="B83" s="6" t="s">
        <v>162</v>
      </c>
      <c r="C83" s="6" t="s">
        <v>152</v>
      </c>
      <c r="D83" s="6" t="s">
        <v>44</v>
      </c>
      <c r="E83" s="6" t="n">
        <f aca="false">ROUND(5991*1.05,2)</f>
        <v>6290.55</v>
      </c>
      <c r="F83" s="6" t="s">
        <v>45</v>
      </c>
      <c r="G83" s="6" t="s">
        <v>30</v>
      </c>
      <c r="H83" s="6" t="n">
        <f aca="true">ROUND(RAND()*4+6,1)</f>
        <v>9.9</v>
      </c>
      <c r="I83" s="6" t="s">
        <v>46</v>
      </c>
      <c r="J83" s="6" t="str">
        <f aca="false">ROUND(69*1,0)&amp;"%"</f>
        <v>69%</v>
      </c>
    </row>
    <row r="84" customFormat="false" ht="15" hidden="false" customHeight="false" outlineLevel="0" collapsed="false">
      <c r="A84" s="5" t="s">
        <v>1457</v>
      </c>
      <c r="B84" s="5" t="s">
        <v>164</v>
      </c>
      <c r="C84" s="5" t="s">
        <v>152</v>
      </c>
      <c r="D84" s="5" t="s">
        <v>16</v>
      </c>
      <c r="E84" s="5" t="n">
        <f aca="false">ROUND(6487*1.05,2)</f>
        <v>6811.35</v>
      </c>
      <c r="F84" s="5" t="s">
        <v>49</v>
      </c>
      <c r="G84" s="5" t="s">
        <v>18</v>
      </c>
      <c r="H84" s="5" t="n">
        <f aca="true">ROUND(RAND()*4+6,1)</f>
        <v>7.9</v>
      </c>
      <c r="I84" s="5" t="s">
        <v>19</v>
      </c>
      <c r="J84" s="5" t="str">
        <f aca="false">ROUND(69*1,0)&amp;"%"</f>
        <v>69%</v>
      </c>
    </row>
    <row r="85" customFormat="false" ht="15" hidden="false" customHeight="false" outlineLevel="0" collapsed="false">
      <c r="A85" s="6" t="s">
        <v>1458</v>
      </c>
      <c r="B85" s="6" t="s">
        <v>166</v>
      </c>
      <c r="C85" s="6" t="s">
        <v>152</v>
      </c>
      <c r="D85" s="6" t="s">
        <v>22</v>
      </c>
      <c r="E85" s="6" t="n">
        <f aca="false">ROUND(8490*1.05,2)</f>
        <v>8914.5</v>
      </c>
      <c r="F85" s="6" t="s">
        <v>52</v>
      </c>
      <c r="G85" s="6" t="s">
        <v>24</v>
      </c>
      <c r="H85" s="6" t="n">
        <f aca="true">ROUND(RAND()*4+6,1)</f>
        <v>9.5</v>
      </c>
      <c r="I85" s="6" t="s">
        <v>25</v>
      </c>
      <c r="J85" s="6" t="str">
        <f aca="false">ROUND(79*1,0)&amp;"%"</f>
        <v>79%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1459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1460</v>
      </c>
      <c r="B90" s="5" t="s">
        <v>170</v>
      </c>
      <c r="C90" s="5" t="s">
        <v>15</v>
      </c>
      <c r="D90" s="5" t="s">
        <v>16</v>
      </c>
      <c r="E90" s="5" t="n">
        <f aca="false">ROUND(11569*1.05,2)</f>
        <v>12147.45</v>
      </c>
      <c r="F90" s="5" t="s">
        <v>17</v>
      </c>
      <c r="G90" s="5" t="s">
        <v>18</v>
      </c>
      <c r="H90" s="5" t="n">
        <f aca="true">ROUND(RAND()*4+6,1)</f>
        <v>6</v>
      </c>
      <c r="I90" s="5" t="s">
        <v>19</v>
      </c>
      <c r="J90" s="5" t="str">
        <f aca="false">ROUND(68*1,0)&amp;"%"</f>
        <v>68%</v>
      </c>
    </row>
    <row r="91" customFormat="false" ht="15" hidden="false" customHeight="false" outlineLevel="0" collapsed="false">
      <c r="A91" s="6" t="s">
        <v>1461</v>
      </c>
      <c r="B91" s="6" t="s">
        <v>172</v>
      </c>
      <c r="C91" s="6" t="s">
        <v>15</v>
      </c>
      <c r="D91" s="6" t="s">
        <v>22</v>
      </c>
      <c r="E91" s="6" t="n">
        <f aca="false">ROUND(5854*1.05,2)</f>
        <v>6146.7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ROUND(75*1,0)&amp;"%"</f>
        <v>75%</v>
      </c>
    </row>
    <row r="92" customFormat="false" ht="15" hidden="false" customHeight="false" outlineLevel="0" collapsed="false">
      <c r="A92" s="5" t="s">
        <v>1462</v>
      </c>
      <c r="B92" s="5" t="s">
        <v>174</v>
      </c>
      <c r="C92" s="5" t="s">
        <v>15</v>
      </c>
      <c r="D92" s="5" t="s">
        <v>28</v>
      </c>
      <c r="E92" s="5" t="n">
        <f aca="false">ROUND(13716*1.05,2)</f>
        <v>14401.8</v>
      </c>
      <c r="F92" s="5" t="s">
        <v>29</v>
      </c>
      <c r="G92" s="5" t="s">
        <v>30</v>
      </c>
      <c r="H92" s="5" t="n">
        <f aca="true">ROUND(RAND()*4+6,1)</f>
        <v>7.2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1463</v>
      </c>
      <c r="B93" s="6" t="s">
        <v>176</v>
      </c>
      <c r="C93" s="6" t="s">
        <v>15</v>
      </c>
      <c r="D93" s="6" t="s">
        <v>34</v>
      </c>
      <c r="E93" s="6" t="n">
        <f aca="false">ROUND(7188*1.05,2)</f>
        <v>7547.4</v>
      </c>
      <c r="F93" s="6" t="s">
        <v>35</v>
      </c>
      <c r="G93" s="6" t="s">
        <v>18</v>
      </c>
      <c r="H93" s="6" t="n">
        <f aca="true">ROUND(RAND()*4+6,1)</f>
        <v>8.6</v>
      </c>
      <c r="I93" s="6" t="s">
        <v>36</v>
      </c>
      <c r="J93" s="6" t="str">
        <f aca="false">ROUND(63*1,0)&amp;"%"</f>
        <v>63%</v>
      </c>
    </row>
    <row r="94" customFormat="false" ht="15" hidden="false" customHeight="false" outlineLevel="0" collapsed="false">
      <c r="A94" s="5" t="s">
        <v>1464</v>
      </c>
      <c r="B94" s="5" t="s">
        <v>178</v>
      </c>
      <c r="C94" s="5" t="s">
        <v>15</v>
      </c>
      <c r="D94" s="5" t="s">
        <v>39</v>
      </c>
      <c r="E94" s="5" t="n">
        <f aca="false">ROUND(10270*1.05,2)</f>
        <v>10783.5</v>
      </c>
      <c r="F94" s="5" t="s">
        <v>40</v>
      </c>
      <c r="G94" s="5" t="s">
        <v>24</v>
      </c>
      <c r="H94" s="5" t="n">
        <f aca="true">ROUND(RAND()*4+6,1)</f>
        <v>7.8</v>
      </c>
      <c r="I94" s="5" t="s">
        <v>41</v>
      </c>
      <c r="J94" s="5" t="str">
        <f aca="false">ROUND(100*1,0)&amp;"%"</f>
        <v>100%</v>
      </c>
    </row>
    <row r="95" customFormat="false" ht="15" hidden="false" customHeight="false" outlineLevel="0" collapsed="false">
      <c r="A95" s="6" t="s">
        <v>1465</v>
      </c>
      <c r="B95" s="6" t="s">
        <v>180</v>
      </c>
      <c r="C95" s="6" t="s">
        <v>15</v>
      </c>
      <c r="D95" s="6" t="s">
        <v>44</v>
      </c>
      <c r="E95" s="6" t="n">
        <f aca="false">ROUND(4258*1.05,2)</f>
        <v>4470.9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ROUND(94*1,0)&amp;"%"</f>
        <v>94%</v>
      </c>
    </row>
    <row r="96" customFormat="false" ht="15" hidden="false" customHeight="false" outlineLevel="0" collapsed="false">
      <c r="A96" s="5" t="s">
        <v>1466</v>
      </c>
      <c r="B96" s="5" t="s">
        <v>182</v>
      </c>
      <c r="C96" s="5" t="s">
        <v>15</v>
      </c>
      <c r="D96" s="5" t="s">
        <v>16</v>
      </c>
      <c r="E96" s="5" t="n">
        <f aca="false">ROUND(7683*1.05,2)</f>
        <v>8067.15</v>
      </c>
      <c r="F96" s="5" t="s">
        <v>49</v>
      </c>
      <c r="G96" s="5" t="s">
        <v>18</v>
      </c>
      <c r="H96" s="5" t="n">
        <f aca="true">ROUND(RAND()*4+6,1)</f>
        <v>9.8</v>
      </c>
      <c r="I96" s="5" t="s">
        <v>19</v>
      </c>
      <c r="J96" s="5" t="str">
        <f aca="false">ROUND(62*1,0)&amp;"%"</f>
        <v>62%</v>
      </c>
    </row>
    <row r="97" customFormat="false" ht="15" hidden="false" customHeight="false" outlineLevel="0" collapsed="false">
      <c r="A97" s="6" t="s">
        <v>1467</v>
      </c>
      <c r="B97" s="6" t="s">
        <v>184</v>
      </c>
      <c r="C97" s="6" t="s">
        <v>15</v>
      </c>
      <c r="D97" s="6" t="s">
        <v>22</v>
      </c>
      <c r="E97" s="6" t="n">
        <f aca="false">ROUND(16998*1.05,2)</f>
        <v>17847.9</v>
      </c>
      <c r="F97" s="6" t="s">
        <v>52</v>
      </c>
      <c r="G97" s="6" t="s">
        <v>24</v>
      </c>
      <c r="H97" s="6" t="n">
        <f aca="true">ROUND(RAND()*4+6,1)</f>
        <v>7.5</v>
      </c>
      <c r="I97" s="6" t="s">
        <v>25</v>
      </c>
      <c r="J97" s="6" t="str">
        <f aca="false">ROUND(66*1,0)&amp;"%"</f>
        <v>66%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1468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1469</v>
      </c>
      <c r="B102" s="5" t="s">
        <v>188</v>
      </c>
      <c r="C102" s="5" t="s">
        <v>57</v>
      </c>
      <c r="D102" s="5" t="s">
        <v>16</v>
      </c>
      <c r="E102" s="5" t="n">
        <f aca="false">ROUND(4240*1.05,2)</f>
        <v>4452</v>
      </c>
      <c r="F102" s="5" t="s">
        <v>17</v>
      </c>
      <c r="G102" s="5" t="s">
        <v>18</v>
      </c>
      <c r="H102" s="5" t="n">
        <f aca="true">ROUND(RAND()*4+6,1)</f>
        <v>7.6</v>
      </c>
      <c r="I102" s="5" t="s">
        <v>19</v>
      </c>
      <c r="J102" s="5" t="str">
        <f aca="false">ROUND(70*1,0)&amp;"%"</f>
        <v>70%</v>
      </c>
    </row>
    <row r="103" customFormat="false" ht="15" hidden="false" customHeight="false" outlineLevel="0" collapsed="false">
      <c r="A103" s="6" t="s">
        <v>1470</v>
      </c>
      <c r="B103" s="6" t="s">
        <v>190</v>
      </c>
      <c r="C103" s="6" t="s">
        <v>57</v>
      </c>
      <c r="D103" s="6" t="s">
        <v>22</v>
      </c>
      <c r="E103" s="6" t="n">
        <f aca="false">ROUND(10231*1.05,2)</f>
        <v>10742.55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ROUND(70*1,0)&amp;"%"</f>
        <v>70%</v>
      </c>
    </row>
    <row r="104" customFormat="false" ht="15" hidden="false" customHeight="false" outlineLevel="0" collapsed="false">
      <c r="A104" s="5" t="s">
        <v>1471</v>
      </c>
      <c r="B104" s="5" t="s">
        <v>192</v>
      </c>
      <c r="C104" s="5" t="s">
        <v>57</v>
      </c>
      <c r="D104" s="5" t="s">
        <v>28</v>
      </c>
      <c r="E104" s="5" t="n">
        <f aca="false">ROUND(9423*1.05,2)</f>
        <v>9894.15</v>
      </c>
      <c r="F104" s="5" t="s">
        <v>29</v>
      </c>
      <c r="G104" s="5" t="s">
        <v>30</v>
      </c>
      <c r="H104" s="5" t="n">
        <f aca="true">ROUND(RAND()*4+6,1)</f>
        <v>9.1</v>
      </c>
      <c r="I104" s="5" t="s">
        <v>31</v>
      </c>
      <c r="J104" s="5" t="str">
        <f aca="false">ROUND(63*1,0)&amp;"%"</f>
        <v>63%</v>
      </c>
    </row>
    <row r="105" customFormat="false" ht="15" hidden="false" customHeight="false" outlineLevel="0" collapsed="false">
      <c r="A105" s="6" t="s">
        <v>1472</v>
      </c>
      <c r="B105" s="6" t="s">
        <v>194</v>
      </c>
      <c r="C105" s="6" t="s">
        <v>57</v>
      </c>
      <c r="D105" s="6" t="s">
        <v>34</v>
      </c>
      <c r="E105" s="6" t="n">
        <f aca="false">ROUND(7127*1.05,2)</f>
        <v>7483.35</v>
      </c>
      <c r="F105" s="6" t="s">
        <v>35</v>
      </c>
      <c r="G105" s="6" t="s">
        <v>18</v>
      </c>
      <c r="H105" s="6" t="n">
        <f aca="true">ROUND(RAND()*4+6,1)</f>
        <v>6.9</v>
      </c>
      <c r="I105" s="6" t="s">
        <v>36</v>
      </c>
      <c r="J105" s="6" t="str">
        <f aca="false">ROUND(85*1,0)&amp;"%"</f>
        <v>85%</v>
      </c>
    </row>
    <row r="106" customFormat="false" ht="15" hidden="false" customHeight="false" outlineLevel="0" collapsed="false">
      <c r="A106" s="5" t="s">
        <v>1473</v>
      </c>
      <c r="B106" s="5" t="s">
        <v>196</v>
      </c>
      <c r="C106" s="5" t="s">
        <v>57</v>
      </c>
      <c r="D106" s="5" t="s">
        <v>39</v>
      </c>
      <c r="E106" s="5" t="n">
        <f aca="false">ROUND(13821*1.05,2)</f>
        <v>14512.05</v>
      </c>
      <c r="F106" s="5" t="s">
        <v>40</v>
      </c>
      <c r="G106" s="5" t="s">
        <v>24</v>
      </c>
      <c r="H106" s="5" t="n">
        <f aca="true">ROUND(RAND()*4+6,1)</f>
        <v>9.1</v>
      </c>
      <c r="I106" s="5" t="s">
        <v>41</v>
      </c>
      <c r="J106" s="5" t="str">
        <f aca="false">ROUND(94*1,0)&amp;"%"</f>
        <v>94%</v>
      </c>
    </row>
    <row r="107" customFormat="false" ht="15" hidden="false" customHeight="false" outlineLevel="0" collapsed="false">
      <c r="A107" s="6" t="s">
        <v>1474</v>
      </c>
      <c r="B107" s="6" t="s">
        <v>198</v>
      </c>
      <c r="C107" s="6" t="s">
        <v>57</v>
      </c>
      <c r="D107" s="6" t="s">
        <v>44</v>
      </c>
      <c r="E107" s="6" t="n">
        <f aca="false">ROUND(17024*1.05,2)</f>
        <v>17875.2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ROUND(78*1,0)&amp;"%"</f>
        <v>78%</v>
      </c>
    </row>
    <row r="108" customFormat="false" ht="15" hidden="false" customHeight="false" outlineLevel="0" collapsed="false">
      <c r="A108" s="5" t="s">
        <v>1475</v>
      </c>
      <c r="B108" s="5" t="s">
        <v>200</v>
      </c>
      <c r="C108" s="5" t="s">
        <v>57</v>
      </c>
      <c r="D108" s="5" t="s">
        <v>16</v>
      </c>
      <c r="E108" s="5" t="n">
        <f aca="false">ROUND(7317*1.05,2)</f>
        <v>7682.85</v>
      </c>
      <c r="F108" s="5" t="s">
        <v>49</v>
      </c>
      <c r="G108" s="5" t="s">
        <v>18</v>
      </c>
      <c r="H108" s="5" t="n">
        <f aca="true">ROUND(RAND()*4+6,1)</f>
        <v>6</v>
      </c>
      <c r="I108" s="5" t="s">
        <v>19</v>
      </c>
      <c r="J108" s="5" t="str">
        <f aca="false">ROUND(81*1,0)&amp;"%"</f>
        <v>81%</v>
      </c>
    </row>
    <row r="109" customFormat="false" ht="15" hidden="false" customHeight="false" outlineLevel="0" collapsed="false">
      <c r="A109" s="6" t="s">
        <v>1476</v>
      </c>
      <c r="B109" s="6" t="s">
        <v>202</v>
      </c>
      <c r="C109" s="6" t="s">
        <v>57</v>
      </c>
      <c r="D109" s="6" t="s">
        <v>22</v>
      </c>
      <c r="E109" s="6" t="n">
        <f aca="false">ROUND(7864*1.05,2)</f>
        <v>8257.2</v>
      </c>
      <c r="F109" s="6" t="s">
        <v>52</v>
      </c>
      <c r="G109" s="6" t="s">
        <v>24</v>
      </c>
      <c r="H109" s="6" t="n">
        <f aca="true">ROUND(RAND()*4+6,1)</f>
        <v>8.2</v>
      </c>
      <c r="I109" s="6" t="s">
        <v>25</v>
      </c>
      <c r="J109" s="6" t="str">
        <f aca="false">ROUND(88*1,0)&amp;"%"</f>
        <v>88%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1477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1478</v>
      </c>
      <c r="B114" s="5" t="s">
        <v>206</v>
      </c>
      <c r="C114" s="5" t="s">
        <v>76</v>
      </c>
      <c r="D114" s="5" t="s">
        <v>16</v>
      </c>
      <c r="E114" s="5" t="n">
        <f aca="false">ROUND(5588*1.05,2)</f>
        <v>5867.4</v>
      </c>
      <c r="F114" s="5" t="s">
        <v>17</v>
      </c>
      <c r="G114" s="5" t="s">
        <v>18</v>
      </c>
      <c r="H114" s="5" t="n">
        <f aca="true">ROUND(RAND()*4+6,1)</f>
        <v>9.1</v>
      </c>
      <c r="I114" s="5" t="s">
        <v>19</v>
      </c>
      <c r="J114" s="5" t="str">
        <f aca="false">ROUND(79*1,0)&amp;"%"</f>
        <v>79%</v>
      </c>
    </row>
    <row r="115" customFormat="false" ht="15" hidden="false" customHeight="false" outlineLevel="0" collapsed="false">
      <c r="A115" s="6" t="s">
        <v>1479</v>
      </c>
      <c r="B115" s="6" t="s">
        <v>208</v>
      </c>
      <c r="C115" s="6" t="s">
        <v>76</v>
      </c>
      <c r="D115" s="6" t="s">
        <v>22</v>
      </c>
      <c r="E115" s="6" t="n">
        <f aca="false">ROUND(10346*1.05,2)</f>
        <v>10863.3</v>
      </c>
      <c r="F115" s="6" t="s">
        <v>23</v>
      </c>
      <c r="G115" s="6" t="s">
        <v>24</v>
      </c>
      <c r="H115" s="6" t="n">
        <f aca="true">ROUND(RAND()*4+6,1)</f>
        <v>9.9</v>
      </c>
      <c r="I115" s="6" t="s">
        <v>25</v>
      </c>
      <c r="J115" s="6" t="str">
        <f aca="false">ROUND(86*1,0)&amp;"%"</f>
        <v>86%</v>
      </c>
    </row>
    <row r="116" customFormat="false" ht="15" hidden="false" customHeight="false" outlineLevel="0" collapsed="false">
      <c r="A116" s="5" t="s">
        <v>1480</v>
      </c>
      <c r="B116" s="5" t="s">
        <v>210</v>
      </c>
      <c r="C116" s="5" t="s">
        <v>76</v>
      </c>
      <c r="D116" s="5" t="s">
        <v>28</v>
      </c>
      <c r="E116" s="5" t="n">
        <f aca="false">ROUND(8567*1.05,2)</f>
        <v>8995.35</v>
      </c>
      <c r="F116" s="5" t="s">
        <v>29</v>
      </c>
      <c r="G116" s="5" t="s">
        <v>30</v>
      </c>
      <c r="H116" s="5" t="n">
        <f aca="true">ROUND(RAND()*4+6,1)</f>
        <v>9.1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1481</v>
      </c>
      <c r="B117" s="6" t="s">
        <v>212</v>
      </c>
      <c r="C117" s="6" t="s">
        <v>76</v>
      </c>
      <c r="D117" s="6" t="s">
        <v>34</v>
      </c>
      <c r="E117" s="6" t="n">
        <f aca="false">ROUND(8499*1.05,2)</f>
        <v>8923.95</v>
      </c>
      <c r="F117" s="6" t="s">
        <v>35</v>
      </c>
      <c r="G117" s="6" t="s">
        <v>18</v>
      </c>
      <c r="H117" s="6" t="n">
        <f aca="true">ROUND(RAND()*4+6,1)</f>
        <v>7.2</v>
      </c>
      <c r="I117" s="6" t="s">
        <v>36</v>
      </c>
      <c r="J117" s="6" t="str">
        <f aca="false">ROUND(60*1,0)&amp;"%"</f>
        <v>60%</v>
      </c>
    </row>
    <row r="118" customFormat="false" ht="15" hidden="false" customHeight="false" outlineLevel="0" collapsed="false">
      <c r="A118" s="5" t="s">
        <v>1482</v>
      </c>
      <c r="B118" s="5" t="s">
        <v>214</v>
      </c>
      <c r="C118" s="5" t="s">
        <v>76</v>
      </c>
      <c r="D118" s="5" t="s">
        <v>39</v>
      </c>
      <c r="E118" s="5" t="n">
        <f aca="false">ROUND(14129*1.05,2)</f>
        <v>14835.45</v>
      </c>
      <c r="F118" s="5" t="s">
        <v>40</v>
      </c>
      <c r="G118" s="5" t="s">
        <v>24</v>
      </c>
      <c r="H118" s="5" t="n">
        <f aca="true">ROUND(RAND()*4+6,1)</f>
        <v>6.4</v>
      </c>
      <c r="I118" s="5" t="s">
        <v>41</v>
      </c>
      <c r="J118" s="5" t="str">
        <f aca="false">ROUND(82*1,0)&amp;"%"</f>
        <v>82%</v>
      </c>
    </row>
    <row r="119" customFormat="false" ht="15" hidden="false" customHeight="false" outlineLevel="0" collapsed="false">
      <c r="A119" s="6" t="s">
        <v>1483</v>
      </c>
      <c r="B119" s="6" t="s">
        <v>216</v>
      </c>
      <c r="C119" s="6" t="s">
        <v>76</v>
      </c>
      <c r="D119" s="6" t="s">
        <v>44</v>
      </c>
      <c r="E119" s="6" t="n">
        <f aca="false">ROUND(9767*1.05,2)</f>
        <v>10255.35</v>
      </c>
      <c r="F119" s="6" t="s">
        <v>45</v>
      </c>
      <c r="G119" s="6" t="s">
        <v>30</v>
      </c>
      <c r="H119" s="6" t="n">
        <f aca="true">ROUND(RAND()*4+6,1)</f>
        <v>9.8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1484</v>
      </c>
      <c r="B120" s="5" t="s">
        <v>218</v>
      </c>
      <c r="C120" s="5" t="s">
        <v>76</v>
      </c>
      <c r="D120" s="5" t="s">
        <v>16</v>
      </c>
      <c r="E120" s="5" t="n">
        <f aca="false">ROUND(10709*1.05,2)</f>
        <v>11244.45</v>
      </c>
      <c r="F120" s="5" t="s">
        <v>49</v>
      </c>
      <c r="G120" s="5" t="s">
        <v>18</v>
      </c>
      <c r="H120" s="5" t="n">
        <f aca="true">ROUND(RAND()*4+6,1)</f>
        <v>9</v>
      </c>
      <c r="I120" s="5" t="s">
        <v>19</v>
      </c>
      <c r="J120" s="5" t="str">
        <f aca="false">ROUND(87*1,0)&amp;"%"</f>
        <v>87%</v>
      </c>
    </row>
    <row r="121" customFormat="false" ht="15" hidden="false" customHeight="false" outlineLevel="0" collapsed="false">
      <c r="A121" s="6" t="s">
        <v>1485</v>
      </c>
      <c r="B121" s="6" t="s">
        <v>220</v>
      </c>
      <c r="C121" s="6" t="s">
        <v>76</v>
      </c>
      <c r="D121" s="6" t="s">
        <v>22</v>
      </c>
      <c r="E121" s="6" t="n">
        <f aca="false">ROUND(5285*1.05,2)</f>
        <v>5549.25</v>
      </c>
      <c r="F121" s="6" t="s">
        <v>52</v>
      </c>
      <c r="G121" s="6" t="s">
        <v>24</v>
      </c>
      <c r="H121" s="6" t="n">
        <f aca="true">ROUND(RAND()*4+6,1)</f>
        <v>6.5</v>
      </c>
      <c r="I121" s="6" t="s">
        <v>25</v>
      </c>
      <c r="J121" s="6" t="str">
        <f aca="false">ROUND(68*1,0)&amp;"%"</f>
        <v>68%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1486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1487</v>
      </c>
      <c r="B126" s="5" t="s">
        <v>224</v>
      </c>
      <c r="C126" s="5" t="s">
        <v>95</v>
      </c>
      <c r="D126" s="5" t="s">
        <v>16</v>
      </c>
      <c r="E126" s="5" t="n">
        <f aca="false">ROUND(11154*1.05,2)</f>
        <v>11711.7</v>
      </c>
      <c r="F126" s="5" t="s">
        <v>17</v>
      </c>
      <c r="G126" s="5" t="s">
        <v>18</v>
      </c>
      <c r="H126" s="5" t="n">
        <f aca="true">ROUND(RAND()*4+6,1)</f>
        <v>9.9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1488</v>
      </c>
      <c r="B127" s="6" t="s">
        <v>226</v>
      </c>
      <c r="C127" s="6" t="s">
        <v>95</v>
      </c>
      <c r="D127" s="6" t="s">
        <v>22</v>
      </c>
      <c r="E127" s="6" t="n">
        <f aca="false">ROUND(4600*1.05,2)</f>
        <v>4830</v>
      </c>
      <c r="F127" s="6" t="s">
        <v>23</v>
      </c>
      <c r="G127" s="6" t="s">
        <v>24</v>
      </c>
      <c r="H127" s="6" t="n">
        <f aca="true">ROUND(RAND()*4+6,1)</f>
        <v>9.5</v>
      </c>
      <c r="I127" s="6" t="s">
        <v>25</v>
      </c>
      <c r="J127" s="6" t="str">
        <f aca="false">ROUND(100*1,0)&amp;"%"</f>
        <v>100%</v>
      </c>
    </row>
    <row r="128" customFormat="false" ht="15" hidden="false" customHeight="false" outlineLevel="0" collapsed="false">
      <c r="A128" s="5" t="s">
        <v>1489</v>
      </c>
      <c r="B128" s="5" t="s">
        <v>228</v>
      </c>
      <c r="C128" s="5" t="s">
        <v>95</v>
      </c>
      <c r="D128" s="5" t="s">
        <v>28</v>
      </c>
      <c r="E128" s="5" t="n">
        <f aca="false">ROUND(14093*1.05,2)</f>
        <v>14797.65</v>
      </c>
      <c r="F128" s="5" t="s">
        <v>29</v>
      </c>
      <c r="G128" s="5" t="s">
        <v>30</v>
      </c>
      <c r="H128" s="5" t="n">
        <f aca="true">ROUND(RAND()*4+6,1)</f>
        <v>9</v>
      </c>
      <c r="I128" s="5" t="s">
        <v>31</v>
      </c>
      <c r="J128" s="5" t="str">
        <f aca="false">ROUND(95*1,0)&amp;"%"</f>
        <v>95%</v>
      </c>
    </row>
    <row r="129" customFormat="false" ht="15" hidden="false" customHeight="false" outlineLevel="0" collapsed="false">
      <c r="A129" s="6" t="s">
        <v>1490</v>
      </c>
      <c r="B129" s="6" t="s">
        <v>230</v>
      </c>
      <c r="C129" s="6" t="s">
        <v>95</v>
      </c>
      <c r="D129" s="6" t="s">
        <v>34</v>
      </c>
      <c r="E129" s="6" t="n">
        <f aca="false">ROUND(9581*1.05,2)</f>
        <v>10060.05</v>
      </c>
      <c r="F129" s="6" t="s">
        <v>35</v>
      </c>
      <c r="G129" s="6" t="s">
        <v>18</v>
      </c>
      <c r="H129" s="6" t="n">
        <f aca="true">ROUND(RAND()*4+6,1)</f>
        <v>7.9</v>
      </c>
      <c r="I129" s="6" t="s">
        <v>36</v>
      </c>
      <c r="J129" s="6" t="str">
        <f aca="false">ROUND(96*1,0)&amp;"%"</f>
        <v>96%</v>
      </c>
    </row>
    <row r="130" customFormat="false" ht="15" hidden="false" customHeight="false" outlineLevel="0" collapsed="false">
      <c r="A130" s="5" t="s">
        <v>1491</v>
      </c>
      <c r="B130" s="5" t="s">
        <v>232</v>
      </c>
      <c r="C130" s="5" t="s">
        <v>95</v>
      </c>
      <c r="D130" s="5" t="s">
        <v>39</v>
      </c>
      <c r="E130" s="5" t="n">
        <f aca="false">ROUND(16217*1.05,2)</f>
        <v>17027.85</v>
      </c>
      <c r="F130" s="5" t="s">
        <v>40</v>
      </c>
      <c r="G130" s="5" t="s">
        <v>24</v>
      </c>
      <c r="H130" s="5" t="n">
        <f aca="true">ROUND(RAND()*4+6,1)</f>
        <v>7.7</v>
      </c>
      <c r="I130" s="5" t="s">
        <v>41</v>
      </c>
      <c r="J130" s="5" t="str">
        <f aca="false">ROUND(72*1,0)&amp;"%"</f>
        <v>72%</v>
      </c>
    </row>
    <row r="131" customFormat="false" ht="15" hidden="false" customHeight="false" outlineLevel="0" collapsed="false">
      <c r="A131" s="6" t="s">
        <v>1492</v>
      </c>
      <c r="B131" s="6" t="s">
        <v>234</v>
      </c>
      <c r="C131" s="6" t="s">
        <v>95</v>
      </c>
      <c r="D131" s="6" t="s">
        <v>44</v>
      </c>
      <c r="E131" s="6" t="n">
        <f aca="false">ROUND(17169*1.05,2)</f>
        <v>18027.45</v>
      </c>
      <c r="F131" s="6" t="s">
        <v>45</v>
      </c>
      <c r="G131" s="6" t="s">
        <v>30</v>
      </c>
      <c r="H131" s="6" t="n">
        <f aca="true">ROUND(RAND()*4+6,1)</f>
        <v>7.4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1493</v>
      </c>
      <c r="B132" s="5" t="s">
        <v>236</v>
      </c>
      <c r="C132" s="5" t="s">
        <v>95</v>
      </c>
      <c r="D132" s="5" t="s">
        <v>16</v>
      </c>
      <c r="E132" s="5" t="n">
        <f aca="false">ROUND(11803*1.05,2)</f>
        <v>12393.15</v>
      </c>
      <c r="F132" s="5" t="s">
        <v>49</v>
      </c>
      <c r="G132" s="5" t="s">
        <v>18</v>
      </c>
      <c r="H132" s="5" t="n">
        <f aca="true">ROUND(RAND()*4+6,1)</f>
        <v>6.6</v>
      </c>
      <c r="I132" s="5" t="s">
        <v>19</v>
      </c>
      <c r="J132" s="5" t="str">
        <f aca="false">ROUND(83*1,0)&amp;"%"</f>
        <v>83%</v>
      </c>
    </row>
    <row r="133" customFormat="false" ht="15" hidden="false" customHeight="false" outlineLevel="0" collapsed="false">
      <c r="A133" s="6" t="s">
        <v>1494</v>
      </c>
      <c r="B133" s="6" t="s">
        <v>238</v>
      </c>
      <c r="C133" s="6" t="s">
        <v>95</v>
      </c>
      <c r="D133" s="6" t="s">
        <v>22</v>
      </c>
      <c r="E133" s="6" t="n">
        <f aca="false">ROUND(8963*1.05,2)</f>
        <v>9411.15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1495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1496</v>
      </c>
      <c r="B138" s="5" t="s">
        <v>242</v>
      </c>
      <c r="C138" s="5" t="s">
        <v>114</v>
      </c>
      <c r="D138" s="5" t="s">
        <v>16</v>
      </c>
      <c r="E138" s="5" t="n">
        <f aca="false">ROUND(16642*1.05,2)</f>
        <v>17474.1</v>
      </c>
      <c r="F138" s="5" t="s">
        <v>17</v>
      </c>
      <c r="G138" s="5" t="s">
        <v>18</v>
      </c>
      <c r="H138" s="5" t="n">
        <f aca="true">ROUND(RAND()*4+6,1)</f>
        <v>9.2</v>
      </c>
      <c r="I138" s="5" t="s">
        <v>19</v>
      </c>
      <c r="J138" s="5" t="str">
        <f aca="false">ROUND(72*1,0)&amp;"%"</f>
        <v>72%</v>
      </c>
    </row>
    <row r="139" customFormat="false" ht="15" hidden="false" customHeight="false" outlineLevel="0" collapsed="false">
      <c r="A139" s="6" t="s">
        <v>1497</v>
      </c>
      <c r="B139" s="6" t="s">
        <v>244</v>
      </c>
      <c r="C139" s="6" t="s">
        <v>114</v>
      </c>
      <c r="D139" s="6" t="s">
        <v>22</v>
      </c>
      <c r="E139" s="6" t="n">
        <f aca="false">ROUND(17465*1.05,2)</f>
        <v>18338.25</v>
      </c>
      <c r="F139" s="6" t="s">
        <v>23</v>
      </c>
      <c r="G139" s="6" t="s">
        <v>24</v>
      </c>
      <c r="H139" s="6" t="n">
        <f aca="true">ROUND(RAND()*4+6,1)</f>
        <v>7.5</v>
      </c>
      <c r="I139" s="6" t="s">
        <v>25</v>
      </c>
      <c r="J139" s="6" t="str">
        <f aca="false">ROUND(97*1,0)&amp;"%"</f>
        <v>97%</v>
      </c>
    </row>
    <row r="140" customFormat="false" ht="15" hidden="false" customHeight="false" outlineLevel="0" collapsed="false">
      <c r="A140" s="5" t="s">
        <v>1498</v>
      </c>
      <c r="B140" s="5" t="s">
        <v>246</v>
      </c>
      <c r="C140" s="5" t="s">
        <v>114</v>
      </c>
      <c r="D140" s="5" t="s">
        <v>28</v>
      </c>
      <c r="E140" s="5" t="n">
        <f aca="false">ROUND(5687*1.05,2)</f>
        <v>5971.35</v>
      </c>
      <c r="F140" s="5" t="s">
        <v>29</v>
      </c>
      <c r="G140" s="5" t="s">
        <v>30</v>
      </c>
      <c r="H140" s="5" t="n">
        <f aca="true">ROUND(RAND()*4+6,1)</f>
        <v>6.4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1499</v>
      </c>
      <c r="B141" s="6" t="s">
        <v>248</v>
      </c>
      <c r="C141" s="6" t="s">
        <v>114</v>
      </c>
      <c r="D141" s="6" t="s">
        <v>34</v>
      </c>
      <c r="E141" s="6" t="n">
        <f aca="false">ROUND(5917*1.05,2)</f>
        <v>6212.85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ROUND(62*1,0)&amp;"%"</f>
        <v>62%</v>
      </c>
    </row>
    <row r="142" customFormat="false" ht="15" hidden="false" customHeight="false" outlineLevel="0" collapsed="false">
      <c r="A142" s="5" t="s">
        <v>1500</v>
      </c>
      <c r="B142" s="5" t="s">
        <v>250</v>
      </c>
      <c r="C142" s="5" t="s">
        <v>114</v>
      </c>
      <c r="D142" s="5" t="s">
        <v>39</v>
      </c>
      <c r="E142" s="5" t="n">
        <f aca="false">ROUND(8901*1.05,2)</f>
        <v>9346.05</v>
      </c>
      <c r="F142" s="5" t="s">
        <v>40</v>
      </c>
      <c r="G142" s="5" t="s">
        <v>24</v>
      </c>
      <c r="H142" s="5" t="n">
        <f aca="true">ROUND(RAND()*4+6,1)</f>
        <v>8.7</v>
      </c>
      <c r="I142" s="5" t="s">
        <v>41</v>
      </c>
      <c r="J142" s="5" t="str">
        <f aca="false">ROUND(62*1,0)&amp;"%"</f>
        <v>62%</v>
      </c>
    </row>
    <row r="143" customFormat="false" ht="15" hidden="false" customHeight="false" outlineLevel="0" collapsed="false">
      <c r="A143" s="6" t="s">
        <v>1501</v>
      </c>
      <c r="B143" s="6" t="s">
        <v>252</v>
      </c>
      <c r="C143" s="6" t="s">
        <v>114</v>
      </c>
      <c r="D143" s="6" t="s">
        <v>44</v>
      </c>
      <c r="E143" s="6" t="n">
        <f aca="false">ROUND(5019*1.05,2)</f>
        <v>5269.95</v>
      </c>
      <c r="F143" s="6" t="s">
        <v>45</v>
      </c>
      <c r="G143" s="6" t="s">
        <v>30</v>
      </c>
      <c r="H143" s="6" t="n">
        <f aca="true">ROUND(RAND()*4+6,1)</f>
        <v>7.2</v>
      </c>
      <c r="I143" s="6" t="s">
        <v>46</v>
      </c>
      <c r="J143" s="6" t="str">
        <f aca="false">ROUND(83*1,0)&amp;"%"</f>
        <v>83%</v>
      </c>
    </row>
    <row r="144" customFormat="false" ht="15" hidden="false" customHeight="false" outlineLevel="0" collapsed="false">
      <c r="A144" s="5" t="s">
        <v>1502</v>
      </c>
      <c r="B144" s="5" t="s">
        <v>254</v>
      </c>
      <c r="C144" s="5" t="s">
        <v>114</v>
      </c>
      <c r="D144" s="5" t="s">
        <v>16</v>
      </c>
      <c r="E144" s="5" t="n">
        <f aca="false">ROUND(9197*1.05,2)</f>
        <v>9656.85</v>
      </c>
      <c r="F144" s="5" t="s">
        <v>49</v>
      </c>
      <c r="G144" s="5" t="s">
        <v>18</v>
      </c>
      <c r="H144" s="5" t="n">
        <f aca="true">ROUND(RAND()*4+6,1)</f>
        <v>6.8</v>
      </c>
      <c r="I144" s="5" t="s">
        <v>19</v>
      </c>
      <c r="J144" s="5" t="str">
        <f aca="false">ROUND(60*1,0)&amp;"%"</f>
        <v>60%</v>
      </c>
    </row>
    <row r="145" customFormat="false" ht="15" hidden="false" customHeight="false" outlineLevel="0" collapsed="false">
      <c r="A145" s="6" t="s">
        <v>1503</v>
      </c>
      <c r="B145" s="6" t="s">
        <v>256</v>
      </c>
      <c r="C145" s="6" t="s">
        <v>114</v>
      </c>
      <c r="D145" s="6" t="s">
        <v>22</v>
      </c>
      <c r="E145" s="6" t="n">
        <f aca="false">ROUND(8703*1.05,2)</f>
        <v>9138.15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ROUND(73*1,0)&amp;"%"</f>
        <v>73%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1504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1505</v>
      </c>
      <c r="B150" s="5" t="s">
        <v>260</v>
      </c>
      <c r="C150" s="5" t="s">
        <v>133</v>
      </c>
      <c r="D150" s="5" t="s">
        <v>16</v>
      </c>
      <c r="E150" s="5" t="n">
        <f aca="false">ROUND(7231*1.05,2)</f>
        <v>7592.55</v>
      </c>
      <c r="F150" s="5" t="s">
        <v>17</v>
      </c>
      <c r="G150" s="5" t="s">
        <v>18</v>
      </c>
      <c r="H150" s="5" t="n">
        <f aca="true">ROUND(RAND()*4+6,1)</f>
        <v>9.5</v>
      </c>
      <c r="I150" s="5" t="s">
        <v>19</v>
      </c>
      <c r="J150" s="5" t="str">
        <f aca="false">ROUND(87*1,0)&amp;"%"</f>
        <v>87%</v>
      </c>
    </row>
    <row r="151" customFormat="false" ht="15" hidden="false" customHeight="false" outlineLevel="0" collapsed="false">
      <c r="A151" s="6" t="s">
        <v>1506</v>
      </c>
      <c r="B151" s="6" t="s">
        <v>262</v>
      </c>
      <c r="C151" s="6" t="s">
        <v>133</v>
      </c>
      <c r="D151" s="6" t="s">
        <v>22</v>
      </c>
      <c r="E151" s="6" t="n">
        <f aca="false">ROUND(16885*1.05,2)</f>
        <v>17729.25</v>
      </c>
      <c r="F151" s="6" t="s">
        <v>23</v>
      </c>
      <c r="G151" s="6" t="s">
        <v>24</v>
      </c>
      <c r="H151" s="6" t="n">
        <f aca="true">ROUND(RAND()*4+6,1)</f>
        <v>6.3</v>
      </c>
      <c r="I151" s="6" t="s">
        <v>25</v>
      </c>
      <c r="J151" s="6" t="str">
        <f aca="false">ROUND(66*1,0)&amp;"%"</f>
        <v>66%</v>
      </c>
    </row>
    <row r="152" customFormat="false" ht="15" hidden="false" customHeight="false" outlineLevel="0" collapsed="false">
      <c r="A152" s="5" t="s">
        <v>1507</v>
      </c>
      <c r="B152" s="5" t="s">
        <v>264</v>
      </c>
      <c r="C152" s="5" t="s">
        <v>133</v>
      </c>
      <c r="D152" s="5" t="s">
        <v>28</v>
      </c>
      <c r="E152" s="5" t="n">
        <f aca="false">ROUND(6895*1.05,2)</f>
        <v>7239.75</v>
      </c>
      <c r="F152" s="5" t="s">
        <v>29</v>
      </c>
      <c r="G152" s="5" t="s">
        <v>30</v>
      </c>
      <c r="H152" s="5" t="n">
        <f aca="true">ROUND(RAND()*4+6,1)</f>
        <v>6.8</v>
      </c>
      <c r="I152" s="5" t="s">
        <v>31</v>
      </c>
      <c r="J152" s="5" t="str">
        <f aca="false">ROUND(92*1,0)&amp;"%"</f>
        <v>92%</v>
      </c>
    </row>
    <row r="153" customFormat="false" ht="15" hidden="false" customHeight="false" outlineLevel="0" collapsed="false">
      <c r="A153" s="6" t="s">
        <v>1508</v>
      </c>
      <c r="B153" s="6" t="s">
        <v>266</v>
      </c>
      <c r="C153" s="6" t="s">
        <v>133</v>
      </c>
      <c r="D153" s="6" t="s">
        <v>34</v>
      </c>
      <c r="E153" s="6" t="n">
        <f aca="false">ROUND(15875*1.05,2)</f>
        <v>16668.75</v>
      </c>
      <c r="F153" s="6" t="s">
        <v>35</v>
      </c>
      <c r="G153" s="6" t="s">
        <v>18</v>
      </c>
      <c r="H153" s="6" t="n">
        <f aca="true">ROUND(RAND()*4+6,1)</f>
        <v>9.8</v>
      </c>
      <c r="I153" s="6" t="s">
        <v>36</v>
      </c>
      <c r="J153" s="6" t="str">
        <f aca="false">ROUND(93*1,0)&amp;"%"</f>
        <v>93%</v>
      </c>
    </row>
    <row r="154" customFormat="false" ht="15" hidden="false" customHeight="false" outlineLevel="0" collapsed="false">
      <c r="A154" s="5" t="s">
        <v>1509</v>
      </c>
      <c r="B154" s="5" t="s">
        <v>268</v>
      </c>
      <c r="C154" s="5" t="s">
        <v>133</v>
      </c>
      <c r="D154" s="5" t="s">
        <v>39</v>
      </c>
      <c r="E154" s="5" t="n">
        <f aca="false">ROUND(5365*1.05,2)</f>
        <v>5633.25</v>
      </c>
      <c r="F154" s="5" t="s">
        <v>40</v>
      </c>
      <c r="G154" s="5" t="s">
        <v>24</v>
      </c>
      <c r="H154" s="5" t="n">
        <f aca="true">ROUND(RAND()*4+6,1)</f>
        <v>6.8</v>
      </c>
      <c r="I154" s="5" t="s">
        <v>41</v>
      </c>
      <c r="J154" s="5" t="str">
        <f aca="false">ROUND(91*1,0)&amp;"%"</f>
        <v>91%</v>
      </c>
    </row>
    <row r="155" customFormat="false" ht="15" hidden="false" customHeight="false" outlineLevel="0" collapsed="false">
      <c r="A155" s="6" t="s">
        <v>1510</v>
      </c>
      <c r="B155" s="6" t="s">
        <v>270</v>
      </c>
      <c r="C155" s="6" t="s">
        <v>133</v>
      </c>
      <c r="D155" s="6" t="s">
        <v>44</v>
      </c>
      <c r="E155" s="6" t="n">
        <f aca="false">ROUND(8202*1.05,2)</f>
        <v>8612.1</v>
      </c>
      <c r="F155" s="6" t="s">
        <v>45</v>
      </c>
      <c r="G155" s="6" t="s">
        <v>30</v>
      </c>
      <c r="H155" s="6" t="n">
        <f aca="true">ROUND(RAND()*4+6,1)</f>
        <v>6.7</v>
      </c>
      <c r="I155" s="6" t="s">
        <v>46</v>
      </c>
      <c r="J155" s="6" t="str">
        <f aca="false">ROUND(99*1,0)&amp;"%"</f>
        <v>99%</v>
      </c>
    </row>
    <row r="156" customFormat="false" ht="15" hidden="false" customHeight="false" outlineLevel="0" collapsed="false">
      <c r="A156" s="5" t="s">
        <v>1511</v>
      </c>
      <c r="B156" s="5" t="s">
        <v>272</v>
      </c>
      <c r="C156" s="5" t="s">
        <v>133</v>
      </c>
      <c r="D156" s="5" t="s">
        <v>16</v>
      </c>
      <c r="E156" s="5" t="n">
        <f aca="false">ROUND(12754*1.05,2)</f>
        <v>13391.7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ROUND(94*1,0)&amp;"%"</f>
        <v>94%</v>
      </c>
    </row>
    <row r="157" customFormat="false" ht="15" hidden="false" customHeight="false" outlineLevel="0" collapsed="false">
      <c r="A157" s="6" t="s">
        <v>1512</v>
      </c>
      <c r="B157" s="6" t="s">
        <v>274</v>
      </c>
      <c r="C157" s="6" t="s">
        <v>133</v>
      </c>
      <c r="D157" s="6" t="s">
        <v>22</v>
      </c>
      <c r="E157" s="6" t="n">
        <f aca="false">ROUND(17500*1.05,2)</f>
        <v>18375</v>
      </c>
      <c r="F157" s="6" t="s">
        <v>52</v>
      </c>
      <c r="G157" s="6" t="s">
        <v>24</v>
      </c>
      <c r="H157" s="6" t="n">
        <f aca="true">ROUND(RAND()*4+6,1)</f>
        <v>6.8</v>
      </c>
      <c r="I157" s="6" t="s">
        <v>25</v>
      </c>
      <c r="J157" s="6" t="str">
        <f aca="false">ROUND(88*1,0)&amp;"%"</f>
        <v>88%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1513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1514</v>
      </c>
      <c r="B162" s="5" t="s">
        <v>278</v>
      </c>
      <c r="C162" s="5" t="s">
        <v>152</v>
      </c>
      <c r="D162" s="5" t="s">
        <v>16</v>
      </c>
      <c r="E162" s="5" t="n">
        <f aca="false">ROUND(14014*1.05,2)</f>
        <v>14714.7</v>
      </c>
      <c r="F162" s="5" t="s">
        <v>17</v>
      </c>
      <c r="G162" s="5" t="s">
        <v>18</v>
      </c>
      <c r="H162" s="5" t="n">
        <f aca="true">ROUND(RAND()*4+6,1)</f>
        <v>6.3</v>
      </c>
      <c r="I162" s="5" t="s">
        <v>19</v>
      </c>
      <c r="J162" s="5" t="str">
        <f aca="false">ROUND(91*1,0)&amp;"%"</f>
        <v>91%</v>
      </c>
    </row>
    <row r="163" customFormat="false" ht="15" hidden="false" customHeight="false" outlineLevel="0" collapsed="false">
      <c r="A163" s="6" t="s">
        <v>1515</v>
      </c>
      <c r="B163" s="6" t="s">
        <v>280</v>
      </c>
      <c r="C163" s="6" t="s">
        <v>152</v>
      </c>
      <c r="D163" s="6" t="s">
        <v>22</v>
      </c>
      <c r="E163" s="6" t="n">
        <f aca="false">ROUND(13154*1.05,2)</f>
        <v>13811.7</v>
      </c>
      <c r="F163" s="6" t="s">
        <v>23</v>
      </c>
      <c r="G163" s="6" t="s">
        <v>24</v>
      </c>
      <c r="H163" s="6" t="n">
        <f aca="true">ROUND(RAND()*4+6,1)</f>
        <v>6.8</v>
      </c>
      <c r="I163" s="6" t="s">
        <v>25</v>
      </c>
      <c r="J163" s="6" t="str">
        <f aca="false">ROUND(76*1,0)&amp;"%"</f>
        <v>76%</v>
      </c>
    </row>
    <row r="164" customFormat="false" ht="15" hidden="false" customHeight="false" outlineLevel="0" collapsed="false">
      <c r="A164" s="5" t="s">
        <v>1516</v>
      </c>
      <c r="B164" s="5" t="s">
        <v>282</v>
      </c>
      <c r="C164" s="5" t="s">
        <v>152</v>
      </c>
      <c r="D164" s="5" t="s">
        <v>28</v>
      </c>
      <c r="E164" s="5" t="n">
        <f aca="false">ROUND(5907*1.05,2)</f>
        <v>6202.35</v>
      </c>
      <c r="F164" s="5" t="s">
        <v>29</v>
      </c>
      <c r="G164" s="5" t="s">
        <v>30</v>
      </c>
      <c r="H164" s="5" t="n">
        <f aca="true">ROUND(RAND()*4+6,1)</f>
        <v>9.9</v>
      </c>
      <c r="I164" s="5" t="s">
        <v>31</v>
      </c>
      <c r="J164" s="5" t="str">
        <f aca="false">ROUND(94*1,0)&amp;"%"</f>
        <v>94%</v>
      </c>
    </row>
    <row r="165" customFormat="false" ht="15" hidden="false" customHeight="false" outlineLevel="0" collapsed="false">
      <c r="A165" s="6" t="s">
        <v>1517</v>
      </c>
      <c r="B165" s="6" t="s">
        <v>284</v>
      </c>
      <c r="C165" s="6" t="s">
        <v>152</v>
      </c>
      <c r="D165" s="6" t="s">
        <v>34</v>
      </c>
      <c r="E165" s="6" t="n">
        <f aca="false">ROUND(7634*1.05,2)</f>
        <v>8015.7</v>
      </c>
      <c r="F165" s="6" t="s">
        <v>35</v>
      </c>
      <c r="G165" s="6" t="s">
        <v>18</v>
      </c>
      <c r="H165" s="6" t="n">
        <f aca="true">ROUND(RAND()*4+6,1)</f>
        <v>7.5</v>
      </c>
      <c r="I165" s="6" t="s">
        <v>36</v>
      </c>
      <c r="J165" s="6" t="str">
        <f aca="false">ROUND(65*1,0)&amp;"%"</f>
        <v>65%</v>
      </c>
    </row>
    <row r="166" customFormat="false" ht="15" hidden="false" customHeight="false" outlineLevel="0" collapsed="false">
      <c r="A166" s="5" t="s">
        <v>1518</v>
      </c>
      <c r="B166" s="5" t="s">
        <v>286</v>
      </c>
      <c r="C166" s="5" t="s">
        <v>152</v>
      </c>
      <c r="D166" s="5" t="s">
        <v>39</v>
      </c>
      <c r="E166" s="5" t="n">
        <f aca="false">ROUND(13359*1.05,2)</f>
        <v>14026.95</v>
      </c>
      <c r="F166" s="5" t="s">
        <v>40</v>
      </c>
      <c r="G166" s="5" t="s">
        <v>24</v>
      </c>
      <c r="H166" s="5" t="n">
        <f aca="true">ROUND(RAND()*4+6,1)</f>
        <v>6</v>
      </c>
      <c r="I166" s="5" t="s">
        <v>41</v>
      </c>
      <c r="J166" s="5" t="str">
        <f aca="false">ROUND(86*1,0)&amp;"%"</f>
        <v>86%</v>
      </c>
    </row>
    <row r="167" customFormat="false" ht="15" hidden="false" customHeight="false" outlineLevel="0" collapsed="false">
      <c r="A167" s="6" t="s">
        <v>1519</v>
      </c>
      <c r="B167" s="6" t="s">
        <v>288</v>
      </c>
      <c r="C167" s="6" t="s">
        <v>152</v>
      </c>
      <c r="D167" s="6" t="s">
        <v>44</v>
      </c>
      <c r="E167" s="6" t="n">
        <f aca="false">ROUND(15669*1.05,2)</f>
        <v>16452.45</v>
      </c>
      <c r="F167" s="6" t="s">
        <v>45</v>
      </c>
      <c r="G167" s="6" t="s">
        <v>30</v>
      </c>
      <c r="H167" s="6" t="n">
        <f aca="true">ROUND(RAND()*4+6,1)</f>
        <v>6.7</v>
      </c>
      <c r="I167" s="6" t="s">
        <v>46</v>
      </c>
      <c r="J167" s="6" t="str">
        <f aca="false">ROUND(90*1,0)&amp;"%"</f>
        <v>90%</v>
      </c>
    </row>
    <row r="168" customFormat="false" ht="15" hidden="false" customHeight="false" outlineLevel="0" collapsed="false">
      <c r="A168" s="5" t="s">
        <v>1520</v>
      </c>
      <c r="B168" s="5" t="s">
        <v>290</v>
      </c>
      <c r="C168" s="5" t="s">
        <v>152</v>
      </c>
      <c r="D168" s="5" t="s">
        <v>16</v>
      </c>
      <c r="E168" s="5" t="n">
        <f aca="false">ROUND(11474*1.05,2)</f>
        <v>12047.7</v>
      </c>
      <c r="F168" s="5" t="s">
        <v>49</v>
      </c>
      <c r="G168" s="5" t="s">
        <v>18</v>
      </c>
      <c r="H168" s="5" t="n">
        <f aca="true">ROUND(RAND()*4+6,1)</f>
        <v>9.8</v>
      </c>
      <c r="I168" s="5" t="s">
        <v>19</v>
      </c>
      <c r="J168" s="5" t="str">
        <f aca="false">ROUND(99*1,0)&amp;"%"</f>
        <v>99%</v>
      </c>
    </row>
    <row r="169" customFormat="false" ht="15" hidden="false" customHeight="false" outlineLevel="0" collapsed="false">
      <c r="A169" s="6" t="s">
        <v>1521</v>
      </c>
      <c r="B169" s="6" t="s">
        <v>292</v>
      </c>
      <c r="C169" s="6" t="s">
        <v>152</v>
      </c>
      <c r="D169" s="6" t="s">
        <v>22</v>
      </c>
      <c r="E169" s="6" t="n">
        <f aca="false">ROUND(14727*1.05,2)</f>
        <v>15463.35</v>
      </c>
      <c r="F169" s="6" t="s">
        <v>52</v>
      </c>
      <c r="G169" s="6" t="s">
        <v>24</v>
      </c>
      <c r="H169" s="6" t="n">
        <f aca="true">ROUND(RAND()*4+6,1)</f>
        <v>9.3</v>
      </c>
      <c r="I169" s="6" t="s">
        <v>25</v>
      </c>
      <c r="J169" s="6" t="str">
        <f aca="false">ROUND(69*1,0)&amp;"%"</f>
        <v>69%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1522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1523</v>
      </c>
      <c r="B174" s="5" t="s">
        <v>296</v>
      </c>
      <c r="C174" s="5" t="s">
        <v>15</v>
      </c>
      <c r="D174" s="5" t="s">
        <v>16</v>
      </c>
      <c r="E174" s="5" t="n">
        <f aca="false">ROUND(15957*1.05,2)</f>
        <v>16754.85</v>
      </c>
      <c r="F174" s="5" t="s">
        <v>17</v>
      </c>
      <c r="G174" s="5" t="s">
        <v>18</v>
      </c>
      <c r="H174" s="5" t="n">
        <f aca="true">ROUND(RAND()*4+6,1)</f>
        <v>6.4</v>
      </c>
      <c r="I174" s="5" t="s">
        <v>19</v>
      </c>
      <c r="J174" s="5" t="str">
        <f aca="false">ROUND(91*1,0)&amp;"%"</f>
        <v>91%</v>
      </c>
    </row>
    <row r="175" customFormat="false" ht="15" hidden="false" customHeight="false" outlineLevel="0" collapsed="false">
      <c r="A175" s="6" t="s">
        <v>1524</v>
      </c>
      <c r="B175" s="6" t="s">
        <v>298</v>
      </c>
      <c r="C175" s="6" t="s">
        <v>15</v>
      </c>
      <c r="D175" s="6" t="s">
        <v>22</v>
      </c>
      <c r="E175" s="6" t="n">
        <f aca="false">ROUND(10213*1.05,2)</f>
        <v>10723.65</v>
      </c>
      <c r="F175" s="6" t="s">
        <v>23</v>
      </c>
      <c r="G175" s="6" t="s">
        <v>24</v>
      </c>
      <c r="H175" s="6" t="n">
        <f aca="true">ROUND(RAND()*4+6,1)</f>
        <v>9.2</v>
      </c>
      <c r="I175" s="6" t="s">
        <v>25</v>
      </c>
      <c r="J175" s="6" t="str">
        <f aca="false">ROUND(65*1,0)&amp;"%"</f>
        <v>65%</v>
      </c>
    </row>
    <row r="176" customFormat="false" ht="15" hidden="false" customHeight="false" outlineLevel="0" collapsed="false">
      <c r="A176" s="5" t="s">
        <v>1525</v>
      </c>
      <c r="B176" s="5" t="s">
        <v>300</v>
      </c>
      <c r="C176" s="5" t="s">
        <v>15</v>
      </c>
      <c r="D176" s="5" t="s">
        <v>28</v>
      </c>
      <c r="E176" s="5" t="n">
        <f aca="false">ROUND(17314*1.05,2)</f>
        <v>18179.7</v>
      </c>
      <c r="F176" s="5" t="s">
        <v>29</v>
      </c>
      <c r="G176" s="5" t="s">
        <v>30</v>
      </c>
      <c r="H176" s="5" t="n">
        <f aca="true">ROUND(RAND()*4+6,1)</f>
        <v>8.8</v>
      </c>
      <c r="I176" s="5" t="s">
        <v>31</v>
      </c>
      <c r="J176" s="5" t="str">
        <f aca="false">ROUND(80*1,0)&amp;"%"</f>
        <v>80%</v>
      </c>
    </row>
    <row r="177" customFormat="false" ht="15" hidden="false" customHeight="false" outlineLevel="0" collapsed="false">
      <c r="A177" s="6" t="s">
        <v>1526</v>
      </c>
      <c r="B177" s="6" t="s">
        <v>302</v>
      </c>
      <c r="C177" s="6" t="s">
        <v>15</v>
      </c>
      <c r="D177" s="6" t="s">
        <v>34</v>
      </c>
      <c r="E177" s="6" t="n">
        <f aca="false">ROUND(13240*1.05,2)</f>
        <v>13902</v>
      </c>
      <c r="F177" s="6" t="s">
        <v>35</v>
      </c>
      <c r="G177" s="6" t="s">
        <v>18</v>
      </c>
      <c r="H177" s="6" t="n">
        <f aca="true">ROUND(RAND()*4+6,1)</f>
        <v>10</v>
      </c>
      <c r="I177" s="6" t="s">
        <v>36</v>
      </c>
      <c r="J177" s="6" t="str">
        <f aca="false">ROUND(75*1,0)&amp;"%"</f>
        <v>75%</v>
      </c>
    </row>
    <row r="178" customFormat="false" ht="15" hidden="false" customHeight="false" outlineLevel="0" collapsed="false">
      <c r="A178" s="5" t="s">
        <v>1527</v>
      </c>
      <c r="B178" s="5" t="s">
        <v>304</v>
      </c>
      <c r="C178" s="5" t="s">
        <v>15</v>
      </c>
      <c r="D178" s="5" t="s">
        <v>39</v>
      </c>
      <c r="E178" s="5" t="n">
        <f aca="false">ROUND(9848*1.05,2)</f>
        <v>10340.4</v>
      </c>
      <c r="F178" s="5" t="s">
        <v>40</v>
      </c>
      <c r="G178" s="5" t="s">
        <v>24</v>
      </c>
      <c r="H178" s="5" t="n">
        <f aca="true">ROUND(RAND()*4+6,1)</f>
        <v>7.4</v>
      </c>
      <c r="I178" s="5" t="s">
        <v>41</v>
      </c>
      <c r="J178" s="5" t="str">
        <f aca="false">ROUND(100*1,0)&amp;"%"</f>
        <v>100%</v>
      </c>
    </row>
    <row r="179" customFormat="false" ht="15" hidden="false" customHeight="false" outlineLevel="0" collapsed="false">
      <c r="A179" s="6" t="s">
        <v>1528</v>
      </c>
      <c r="B179" s="6" t="s">
        <v>306</v>
      </c>
      <c r="C179" s="6" t="s">
        <v>15</v>
      </c>
      <c r="D179" s="6" t="s">
        <v>44</v>
      </c>
      <c r="E179" s="6" t="n">
        <f aca="false">ROUND(7475*1.05,2)</f>
        <v>7848.75</v>
      </c>
      <c r="F179" s="6" t="s">
        <v>45</v>
      </c>
      <c r="G179" s="6" t="s">
        <v>30</v>
      </c>
      <c r="H179" s="6" t="n">
        <f aca="true">ROUND(RAND()*4+6,1)</f>
        <v>8.8</v>
      </c>
      <c r="I179" s="6" t="s">
        <v>46</v>
      </c>
      <c r="J179" s="6" t="str">
        <f aca="false">ROUND(70*1,0)&amp;"%"</f>
        <v>70%</v>
      </c>
    </row>
    <row r="180" customFormat="false" ht="15" hidden="false" customHeight="false" outlineLevel="0" collapsed="false">
      <c r="A180" s="5" t="s">
        <v>1529</v>
      </c>
      <c r="B180" s="5" t="s">
        <v>308</v>
      </c>
      <c r="C180" s="5" t="s">
        <v>15</v>
      </c>
      <c r="D180" s="5" t="s">
        <v>16</v>
      </c>
      <c r="E180" s="5" t="n">
        <f aca="false">ROUND(5275*1.05,2)</f>
        <v>5538.75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ROUND(65*1,0)&amp;"%"</f>
        <v>65%</v>
      </c>
    </row>
    <row r="181" customFormat="false" ht="15" hidden="false" customHeight="false" outlineLevel="0" collapsed="false">
      <c r="A181" s="6" t="s">
        <v>1530</v>
      </c>
      <c r="B181" s="6" t="s">
        <v>310</v>
      </c>
      <c r="C181" s="6" t="s">
        <v>15</v>
      </c>
      <c r="D181" s="6" t="s">
        <v>22</v>
      </c>
      <c r="E181" s="6" t="n">
        <f aca="false">ROUND(14810*1.05,2)</f>
        <v>15550.5</v>
      </c>
      <c r="F181" s="6" t="s">
        <v>52</v>
      </c>
      <c r="G181" s="6" t="s">
        <v>24</v>
      </c>
      <c r="H181" s="6" t="n">
        <f aca="true">ROUND(RAND()*4+6,1)</f>
        <v>7.6</v>
      </c>
      <c r="I181" s="6" t="s">
        <v>25</v>
      </c>
      <c r="J181" s="6" t="str">
        <f aca="false">ROUND(98*1,0)&amp;"%"</f>
        <v>98%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1531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1532</v>
      </c>
      <c r="B186" s="5" t="s">
        <v>314</v>
      </c>
      <c r="C186" s="5" t="s">
        <v>57</v>
      </c>
      <c r="D186" s="5" t="s">
        <v>16</v>
      </c>
      <c r="E186" s="5" t="n">
        <f aca="false">ROUND(5127*1.05,2)</f>
        <v>5383.35</v>
      </c>
      <c r="F186" s="5" t="s">
        <v>17</v>
      </c>
      <c r="G186" s="5" t="s">
        <v>18</v>
      </c>
      <c r="H186" s="5" t="n">
        <f aca="true">ROUND(RAND()*4+6,1)</f>
        <v>7.2</v>
      </c>
      <c r="I186" s="5" t="s">
        <v>19</v>
      </c>
      <c r="J186" s="5" t="str">
        <f aca="false">ROUND(70*1,0)&amp;"%"</f>
        <v>70%</v>
      </c>
    </row>
    <row r="187" customFormat="false" ht="15" hidden="false" customHeight="false" outlineLevel="0" collapsed="false">
      <c r="A187" s="6" t="s">
        <v>1533</v>
      </c>
      <c r="B187" s="6" t="s">
        <v>316</v>
      </c>
      <c r="C187" s="6" t="s">
        <v>57</v>
      </c>
      <c r="D187" s="6" t="s">
        <v>22</v>
      </c>
      <c r="E187" s="6" t="n">
        <f aca="false">ROUND(13217*1.05,2)</f>
        <v>13877.85</v>
      </c>
      <c r="F187" s="6" t="s">
        <v>23</v>
      </c>
      <c r="G187" s="6" t="s">
        <v>24</v>
      </c>
      <c r="H187" s="6" t="n">
        <f aca="true">ROUND(RAND()*4+6,1)</f>
        <v>6.4</v>
      </c>
      <c r="I187" s="6" t="s">
        <v>25</v>
      </c>
      <c r="J187" s="6" t="str">
        <f aca="false">ROUND(80*1,0)&amp;"%"</f>
        <v>80%</v>
      </c>
    </row>
    <row r="188" customFormat="false" ht="15" hidden="false" customHeight="false" outlineLevel="0" collapsed="false">
      <c r="A188" s="5" t="s">
        <v>1534</v>
      </c>
      <c r="B188" s="5" t="s">
        <v>318</v>
      </c>
      <c r="C188" s="5" t="s">
        <v>57</v>
      </c>
      <c r="D188" s="5" t="s">
        <v>28</v>
      </c>
      <c r="E188" s="5" t="n">
        <f aca="false">ROUND(6157*1.05,2)</f>
        <v>6464.85</v>
      </c>
      <c r="F188" s="5" t="s">
        <v>29</v>
      </c>
      <c r="G188" s="5" t="s">
        <v>30</v>
      </c>
      <c r="H188" s="5" t="n">
        <f aca="true">ROUND(RAND()*4+6,1)</f>
        <v>9</v>
      </c>
      <c r="I188" s="5" t="s">
        <v>31</v>
      </c>
      <c r="J188" s="5" t="str">
        <f aca="false">ROUND(90*1,0)&amp;"%"</f>
        <v>90%</v>
      </c>
    </row>
    <row r="189" customFormat="false" ht="15" hidden="false" customHeight="false" outlineLevel="0" collapsed="false">
      <c r="A189" s="6" t="s">
        <v>1535</v>
      </c>
      <c r="B189" s="6" t="s">
        <v>320</v>
      </c>
      <c r="C189" s="6" t="s">
        <v>57</v>
      </c>
      <c r="D189" s="6" t="s">
        <v>34</v>
      </c>
      <c r="E189" s="6" t="n">
        <f aca="false">ROUND(10772*1.05,2)</f>
        <v>11310.6</v>
      </c>
      <c r="F189" s="6" t="s">
        <v>35</v>
      </c>
      <c r="G189" s="6" t="s">
        <v>18</v>
      </c>
      <c r="H189" s="6" t="n">
        <f aca="true">ROUND(RAND()*4+6,1)</f>
        <v>9.1</v>
      </c>
      <c r="I189" s="6" t="s">
        <v>36</v>
      </c>
      <c r="J189" s="6" t="str">
        <f aca="false">ROUND(86*1,0)&amp;"%"</f>
        <v>86%</v>
      </c>
    </row>
    <row r="190" customFormat="false" ht="15" hidden="false" customHeight="false" outlineLevel="0" collapsed="false">
      <c r="A190" s="5" t="s">
        <v>1536</v>
      </c>
      <c r="B190" s="5" t="s">
        <v>322</v>
      </c>
      <c r="C190" s="5" t="s">
        <v>57</v>
      </c>
      <c r="D190" s="5" t="s">
        <v>39</v>
      </c>
      <c r="E190" s="5" t="n">
        <f aca="false">ROUND(11212*1.05,2)</f>
        <v>11772.6</v>
      </c>
      <c r="F190" s="5" t="s">
        <v>40</v>
      </c>
      <c r="G190" s="5" t="s">
        <v>24</v>
      </c>
      <c r="H190" s="5" t="n">
        <f aca="true">ROUND(RAND()*4+6,1)</f>
        <v>7.1</v>
      </c>
      <c r="I190" s="5" t="s">
        <v>41</v>
      </c>
      <c r="J190" s="5" t="str">
        <f aca="false">ROUND(74*1,0)&amp;"%"</f>
        <v>74%</v>
      </c>
    </row>
    <row r="191" customFormat="false" ht="15" hidden="false" customHeight="false" outlineLevel="0" collapsed="false">
      <c r="A191" s="6" t="s">
        <v>1537</v>
      </c>
      <c r="B191" s="6" t="s">
        <v>324</v>
      </c>
      <c r="C191" s="6" t="s">
        <v>57</v>
      </c>
      <c r="D191" s="6" t="s">
        <v>44</v>
      </c>
      <c r="E191" s="6" t="n">
        <f aca="false">ROUND(17972*1.05,2)</f>
        <v>18870.6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ROUND(87*1,0)&amp;"%"</f>
        <v>87%</v>
      </c>
    </row>
    <row r="192" customFormat="false" ht="15" hidden="false" customHeight="false" outlineLevel="0" collapsed="false">
      <c r="A192" s="5" t="s">
        <v>1538</v>
      </c>
      <c r="B192" s="5" t="s">
        <v>326</v>
      </c>
      <c r="C192" s="5" t="s">
        <v>57</v>
      </c>
      <c r="D192" s="5" t="s">
        <v>16</v>
      </c>
      <c r="E192" s="5" t="n">
        <f aca="false">ROUND(14871*1.05,2)</f>
        <v>15614.55</v>
      </c>
      <c r="F192" s="5" t="s">
        <v>49</v>
      </c>
      <c r="G192" s="5" t="s">
        <v>18</v>
      </c>
      <c r="H192" s="5" t="n">
        <f aca="true">ROUND(RAND()*4+6,1)</f>
        <v>8.8</v>
      </c>
      <c r="I192" s="5" t="s">
        <v>19</v>
      </c>
      <c r="J192" s="5" t="str">
        <f aca="false">ROUND(87*1,0)&amp;"%"</f>
        <v>87%</v>
      </c>
    </row>
    <row r="193" customFormat="false" ht="15" hidden="false" customHeight="false" outlineLevel="0" collapsed="false">
      <c r="A193" s="6" t="s">
        <v>1539</v>
      </c>
      <c r="B193" s="6" t="s">
        <v>328</v>
      </c>
      <c r="C193" s="6" t="s">
        <v>57</v>
      </c>
      <c r="D193" s="6" t="s">
        <v>22</v>
      </c>
      <c r="E193" s="6" t="n">
        <f aca="false">ROUND(5992*1.05,2)</f>
        <v>6291.6</v>
      </c>
      <c r="F193" s="6" t="s">
        <v>52</v>
      </c>
      <c r="G193" s="6" t="s">
        <v>24</v>
      </c>
      <c r="H193" s="6" t="n">
        <f aca="true">ROUND(RAND()*4+6,1)</f>
        <v>6.7</v>
      </c>
      <c r="I193" s="6" t="s">
        <v>25</v>
      </c>
      <c r="J193" s="6" t="str">
        <f aca="false">ROUND(79*1,0)&amp;"%"</f>
        <v>79%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1540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1541</v>
      </c>
      <c r="B198" s="5" t="s">
        <v>332</v>
      </c>
      <c r="C198" s="5" t="s">
        <v>76</v>
      </c>
      <c r="D198" s="5" t="s">
        <v>16</v>
      </c>
      <c r="E198" s="5" t="n">
        <f aca="false">ROUND(11166*1.05,2)</f>
        <v>11724.3</v>
      </c>
      <c r="F198" s="5" t="s">
        <v>17</v>
      </c>
      <c r="G198" s="5" t="s">
        <v>18</v>
      </c>
      <c r="H198" s="5" t="n">
        <f aca="true">ROUND(RAND()*4+6,1)</f>
        <v>9.2</v>
      </c>
      <c r="I198" s="5" t="s">
        <v>19</v>
      </c>
      <c r="J198" s="5" t="str">
        <f aca="false">ROUND(87*1,0)&amp;"%"</f>
        <v>87%</v>
      </c>
    </row>
    <row r="199" customFormat="false" ht="15" hidden="false" customHeight="false" outlineLevel="0" collapsed="false">
      <c r="A199" s="6" t="s">
        <v>1542</v>
      </c>
      <c r="B199" s="6" t="s">
        <v>334</v>
      </c>
      <c r="C199" s="6" t="s">
        <v>76</v>
      </c>
      <c r="D199" s="6" t="s">
        <v>22</v>
      </c>
      <c r="E199" s="6" t="n">
        <f aca="false">ROUND(6462*1.05,2)</f>
        <v>6785.1</v>
      </c>
      <c r="F199" s="6" t="s">
        <v>23</v>
      </c>
      <c r="G199" s="6" t="s">
        <v>24</v>
      </c>
      <c r="H199" s="6" t="n">
        <f aca="true">ROUND(RAND()*4+6,1)</f>
        <v>6.6</v>
      </c>
      <c r="I199" s="6" t="s">
        <v>25</v>
      </c>
      <c r="J199" s="6" t="str">
        <f aca="false">ROUND(81*1,0)&amp;"%"</f>
        <v>81%</v>
      </c>
    </row>
    <row r="200" customFormat="false" ht="15" hidden="false" customHeight="false" outlineLevel="0" collapsed="false">
      <c r="A200" s="5" t="s">
        <v>1543</v>
      </c>
      <c r="B200" s="5" t="s">
        <v>336</v>
      </c>
      <c r="C200" s="5" t="s">
        <v>76</v>
      </c>
      <c r="D200" s="5" t="s">
        <v>28</v>
      </c>
      <c r="E200" s="5" t="n">
        <f aca="false">ROUND(15539*1.05,2)</f>
        <v>16315.95</v>
      </c>
      <c r="F200" s="5" t="s">
        <v>29</v>
      </c>
      <c r="G200" s="5" t="s">
        <v>30</v>
      </c>
      <c r="H200" s="5" t="n">
        <f aca="true">ROUND(RAND()*4+6,1)</f>
        <v>8.9</v>
      </c>
      <c r="I200" s="5" t="s">
        <v>31</v>
      </c>
      <c r="J200" s="5" t="str">
        <f aca="false">ROUND(87*1,0)&amp;"%"</f>
        <v>87%</v>
      </c>
    </row>
    <row r="201" customFormat="false" ht="15" hidden="false" customHeight="false" outlineLevel="0" collapsed="false">
      <c r="A201" s="6" t="s">
        <v>1544</v>
      </c>
      <c r="B201" s="6" t="s">
        <v>338</v>
      </c>
      <c r="C201" s="6" t="s">
        <v>76</v>
      </c>
      <c r="D201" s="6" t="s">
        <v>34</v>
      </c>
      <c r="E201" s="6" t="n">
        <f aca="false">ROUND(13875*1.05,2)</f>
        <v>14568.75</v>
      </c>
      <c r="F201" s="6" t="s">
        <v>35</v>
      </c>
      <c r="G201" s="6" t="s">
        <v>18</v>
      </c>
      <c r="H201" s="6" t="n">
        <f aca="true">ROUND(RAND()*4+6,1)</f>
        <v>7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1545</v>
      </c>
      <c r="B202" s="5" t="s">
        <v>340</v>
      </c>
      <c r="C202" s="5" t="s">
        <v>76</v>
      </c>
      <c r="D202" s="5" t="s">
        <v>39</v>
      </c>
      <c r="E202" s="5" t="n">
        <f aca="false">ROUND(4391*1.05,2)</f>
        <v>4610.55</v>
      </c>
      <c r="F202" s="5" t="s">
        <v>40</v>
      </c>
      <c r="G202" s="5" t="s">
        <v>24</v>
      </c>
      <c r="H202" s="5" t="n">
        <f aca="true">ROUND(RAND()*4+6,1)</f>
        <v>8.8</v>
      </c>
      <c r="I202" s="5" t="s">
        <v>41</v>
      </c>
      <c r="J202" s="5" t="str">
        <f aca="false">ROUND(79*1,0)&amp;"%"</f>
        <v>79%</v>
      </c>
    </row>
    <row r="203" customFormat="false" ht="15" hidden="false" customHeight="false" outlineLevel="0" collapsed="false">
      <c r="A203" s="6" t="s">
        <v>1546</v>
      </c>
      <c r="B203" s="6" t="s">
        <v>342</v>
      </c>
      <c r="C203" s="6" t="s">
        <v>76</v>
      </c>
      <c r="D203" s="6" t="s">
        <v>44</v>
      </c>
      <c r="E203" s="6" t="n">
        <f aca="false">ROUND(14955*1.05,2)</f>
        <v>15702.75</v>
      </c>
      <c r="F203" s="6" t="s">
        <v>45</v>
      </c>
      <c r="G203" s="6" t="s">
        <v>30</v>
      </c>
      <c r="H203" s="6" t="n">
        <f aca="true">ROUND(RAND()*4+6,1)</f>
        <v>9.1</v>
      </c>
      <c r="I203" s="6" t="s">
        <v>46</v>
      </c>
      <c r="J203" s="6" t="str">
        <f aca="false">ROUND(95*1,0)&amp;"%"</f>
        <v>95%</v>
      </c>
    </row>
    <row r="204" customFormat="false" ht="15" hidden="false" customHeight="false" outlineLevel="0" collapsed="false">
      <c r="A204" s="5" t="s">
        <v>1547</v>
      </c>
      <c r="B204" s="5" t="s">
        <v>344</v>
      </c>
      <c r="C204" s="5" t="s">
        <v>76</v>
      </c>
      <c r="D204" s="5" t="s">
        <v>16</v>
      </c>
      <c r="E204" s="5" t="n">
        <f aca="false">ROUND(17106*1.05,2)</f>
        <v>17961.3</v>
      </c>
      <c r="F204" s="5" t="s">
        <v>49</v>
      </c>
      <c r="G204" s="5" t="s">
        <v>18</v>
      </c>
      <c r="H204" s="5" t="n">
        <f aca="true">ROUND(RAND()*4+6,1)</f>
        <v>6.3</v>
      </c>
      <c r="I204" s="5" t="s">
        <v>19</v>
      </c>
      <c r="J204" s="5" t="str">
        <f aca="false">ROUND(90*1,0)&amp;"%"</f>
        <v>90%</v>
      </c>
    </row>
    <row r="205" customFormat="false" ht="15" hidden="false" customHeight="false" outlineLevel="0" collapsed="false">
      <c r="A205" s="6" t="s">
        <v>1548</v>
      </c>
      <c r="B205" s="6" t="s">
        <v>346</v>
      </c>
      <c r="C205" s="6" t="s">
        <v>76</v>
      </c>
      <c r="D205" s="6" t="s">
        <v>22</v>
      </c>
      <c r="E205" s="6" t="n">
        <f aca="false">ROUND(10103*1.05,2)</f>
        <v>10608.15</v>
      </c>
      <c r="F205" s="6" t="s">
        <v>52</v>
      </c>
      <c r="G205" s="6" t="s">
        <v>24</v>
      </c>
      <c r="H205" s="6" t="n">
        <f aca="true">ROUND(RAND()*4+6,1)</f>
        <v>6.2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1549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1550</v>
      </c>
      <c r="B210" s="5" t="s">
        <v>350</v>
      </c>
      <c r="C210" s="5" t="s">
        <v>95</v>
      </c>
      <c r="D210" s="5" t="s">
        <v>16</v>
      </c>
      <c r="E210" s="5" t="n">
        <f aca="false">ROUND(14433*1.05,2)</f>
        <v>15154.65</v>
      </c>
      <c r="F210" s="5" t="s">
        <v>17</v>
      </c>
      <c r="G210" s="5" t="s">
        <v>18</v>
      </c>
      <c r="H210" s="5" t="n">
        <f aca="true">ROUND(RAND()*4+6,1)</f>
        <v>9.1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1551</v>
      </c>
      <c r="B211" s="6" t="s">
        <v>352</v>
      </c>
      <c r="C211" s="6" t="s">
        <v>95</v>
      </c>
      <c r="D211" s="6" t="s">
        <v>22</v>
      </c>
      <c r="E211" s="6" t="n">
        <f aca="false">ROUND(16862*1.05,2)</f>
        <v>17705.1</v>
      </c>
      <c r="F211" s="6" t="s">
        <v>23</v>
      </c>
      <c r="G211" s="6" t="s">
        <v>24</v>
      </c>
      <c r="H211" s="6" t="n">
        <f aca="true">ROUND(RAND()*4+6,1)</f>
        <v>8.3</v>
      </c>
      <c r="I211" s="6" t="s">
        <v>25</v>
      </c>
      <c r="J211" s="6" t="str">
        <f aca="false">ROUND(66*1,0)&amp;"%"</f>
        <v>66%</v>
      </c>
    </row>
    <row r="212" customFormat="false" ht="15" hidden="false" customHeight="false" outlineLevel="0" collapsed="false">
      <c r="A212" s="5" t="s">
        <v>1552</v>
      </c>
      <c r="B212" s="5" t="s">
        <v>354</v>
      </c>
      <c r="C212" s="5" t="s">
        <v>95</v>
      </c>
      <c r="D212" s="5" t="s">
        <v>28</v>
      </c>
      <c r="E212" s="5" t="n">
        <f aca="false">ROUND(9766*1.05,2)</f>
        <v>10254.3</v>
      </c>
      <c r="F212" s="5" t="s">
        <v>29</v>
      </c>
      <c r="G212" s="5" t="s">
        <v>30</v>
      </c>
      <c r="H212" s="5" t="n">
        <f aca="true">ROUND(RAND()*4+6,1)</f>
        <v>8.3</v>
      </c>
      <c r="I212" s="5" t="s">
        <v>31</v>
      </c>
      <c r="J212" s="5" t="str">
        <f aca="false">ROUND(78*1,0)&amp;"%"</f>
        <v>78%</v>
      </c>
    </row>
    <row r="213" customFormat="false" ht="15" hidden="false" customHeight="false" outlineLevel="0" collapsed="false">
      <c r="A213" s="6" t="s">
        <v>1553</v>
      </c>
      <c r="B213" s="6" t="s">
        <v>356</v>
      </c>
      <c r="C213" s="6" t="s">
        <v>95</v>
      </c>
      <c r="D213" s="6" t="s">
        <v>34</v>
      </c>
      <c r="E213" s="6" t="n">
        <f aca="false">ROUND(4337*1.05,2)</f>
        <v>4553.85</v>
      </c>
      <c r="F213" s="6" t="s">
        <v>35</v>
      </c>
      <c r="G213" s="6" t="s">
        <v>18</v>
      </c>
      <c r="H213" s="6" t="n">
        <f aca="true">ROUND(RAND()*4+6,1)</f>
        <v>8.1</v>
      </c>
      <c r="I213" s="6" t="s">
        <v>36</v>
      </c>
      <c r="J213" s="6" t="str">
        <f aca="false">ROUND(100*1,0)&amp;"%"</f>
        <v>100%</v>
      </c>
    </row>
    <row r="214" customFormat="false" ht="15" hidden="false" customHeight="false" outlineLevel="0" collapsed="false">
      <c r="A214" s="5" t="s">
        <v>1554</v>
      </c>
      <c r="B214" s="5" t="s">
        <v>358</v>
      </c>
      <c r="C214" s="5" t="s">
        <v>95</v>
      </c>
      <c r="D214" s="5" t="s">
        <v>39</v>
      </c>
      <c r="E214" s="5" t="n">
        <f aca="false">ROUND(6174*1.05,2)</f>
        <v>6482.7</v>
      </c>
      <c r="F214" s="5" t="s">
        <v>40</v>
      </c>
      <c r="G214" s="5" t="s">
        <v>24</v>
      </c>
      <c r="H214" s="5" t="n">
        <f aca="true">ROUND(RAND()*4+6,1)</f>
        <v>6.1</v>
      </c>
      <c r="I214" s="5" t="s">
        <v>41</v>
      </c>
      <c r="J214" s="5" t="str">
        <f aca="false">ROUND(61*1,0)&amp;"%"</f>
        <v>61%</v>
      </c>
    </row>
    <row r="215" customFormat="false" ht="15" hidden="false" customHeight="false" outlineLevel="0" collapsed="false">
      <c r="A215" s="6" t="s">
        <v>1555</v>
      </c>
      <c r="B215" s="6" t="s">
        <v>360</v>
      </c>
      <c r="C215" s="6" t="s">
        <v>95</v>
      </c>
      <c r="D215" s="6" t="s">
        <v>44</v>
      </c>
      <c r="E215" s="6" t="n">
        <f aca="false">ROUND(15700*1.05,2)</f>
        <v>16485</v>
      </c>
      <c r="F215" s="6" t="s">
        <v>45</v>
      </c>
      <c r="G215" s="6" t="s">
        <v>30</v>
      </c>
      <c r="H215" s="6" t="n">
        <f aca="true">ROUND(RAND()*4+6,1)</f>
        <v>6.8</v>
      </c>
      <c r="I215" s="6" t="s">
        <v>46</v>
      </c>
      <c r="J215" s="6" t="str">
        <f aca="false">ROUND(66*1,0)&amp;"%"</f>
        <v>66%</v>
      </c>
    </row>
    <row r="216" customFormat="false" ht="15" hidden="false" customHeight="false" outlineLevel="0" collapsed="false">
      <c r="A216" s="5" t="s">
        <v>1556</v>
      </c>
      <c r="B216" s="5" t="s">
        <v>362</v>
      </c>
      <c r="C216" s="5" t="s">
        <v>95</v>
      </c>
      <c r="D216" s="5" t="s">
        <v>16</v>
      </c>
      <c r="E216" s="5" t="n">
        <f aca="false">ROUND(14841*1.05,2)</f>
        <v>15583.05</v>
      </c>
      <c r="F216" s="5" t="s">
        <v>49</v>
      </c>
      <c r="G216" s="5" t="s">
        <v>18</v>
      </c>
      <c r="H216" s="5" t="n">
        <f aca="true">ROUND(RAND()*4+6,1)</f>
        <v>6.4</v>
      </c>
      <c r="I216" s="5" t="s">
        <v>19</v>
      </c>
      <c r="J216" s="5" t="str">
        <f aca="false">ROUND(96*1,0)&amp;"%"</f>
        <v>96%</v>
      </c>
    </row>
    <row r="217" customFormat="false" ht="15" hidden="false" customHeight="false" outlineLevel="0" collapsed="false">
      <c r="A217" s="6" t="s">
        <v>1557</v>
      </c>
      <c r="B217" s="6" t="s">
        <v>364</v>
      </c>
      <c r="C217" s="6" t="s">
        <v>95</v>
      </c>
      <c r="D217" s="6" t="s">
        <v>22</v>
      </c>
      <c r="E217" s="6" t="n">
        <f aca="false">ROUND(11812*1.05,2)</f>
        <v>12402.6</v>
      </c>
      <c r="F217" s="6" t="s">
        <v>52</v>
      </c>
      <c r="G217" s="6" t="s">
        <v>24</v>
      </c>
      <c r="H217" s="6" t="n">
        <f aca="true">ROUND(RAND()*4+6,1)</f>
        <v>7.6</v>
      </c>
      <c r="I217" s="6" t="s">
        <v>25</v>
      </c>
      <c r="J217" s="6" t="str">
        <f aca="false">ROUND(66*1,0)&amp;"%"</f>
        <v>66%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1558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1559</v>
      </c>
      <c r="B222" s="5" t="s">
        <v>368</v>
      </c>
      <c r="C222" s="5" t="s">
        <v>114</v>
      </c>
      <c r="D222" s="5" t="s">
        <v>16</v>
      </c>
      <c r="E222" s="5" t="n">
        <f aca="false">ROUND(4992*1.05,2)</f>
        <v>5241.6</v>
      </c>
      <c r="F222" s="5" t="s">
        <v>17</v>
      </c>
      <c r="G222" s="5" t="s">
        <v>18</v>
      </c>
      <c r="H222" s="5" t="n">
        <f aca="true">ROUND(RAND()*4+6,1)</f>
        <v>7.6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1560</v>
      </c>
      <c r="B223" s="6" t="s">
        <v>370</v>
      </c>
      <c r="C223" s="6" t="s">
        <v>114</v>
      </c>
      <c r="D223" s="6" t="s">
        <v>22</v>
      </c>
      <c r="E223" s="6" t="n">
        <f aca="false">ROUND(15986*1.05,2)</f>
        <v>16785.3</v>
      </c>
      <c r="F223" s="6" t="s">
        <v>23</v>
      </c>
      <c r="G223" s="6" t="s">
        <v>24</v>
      </c>
      <c r="H223" s="6" t="n">
        <f aca="true">ROUND(RAND()*4+6,1)</f>
        <v>7.4</v>
      </c>
      <c r="I223" s="6" t="s">
        <v>25</v>
      </c>
      <c r="J223" s="6" t="str">
        <f aca="false">ROUND(82*1,0)&amp;"%"</f>
        <v>82%</v>
      </c>
    </row>
    <row r="224" customFormat="false" ht="15" hidden="false" customHeight="false" outlineLevel="0" collapsed="false">
      <c r="A224" s="5" t="s">
        <v>1561</v>
      </c>
      <c r="B224" s="5" t="s">
        <v>372</v>
      </c>
      <c r="C224" s="5" t="s">
        <v>114</v>
      </c>
      <c r="D224" s="5" t="s">
        <v>28</v>
      </c>
      <c r="E224" s="5" t="n">
        <f aca="false">ROUND(6511*1.05,2)</f>
        <v>6836.55</v>
      </c>
      <c r="F224" s="5" t="s">
        <v>29</v>
      </c>
      <c r="G224" s="5" t="s">
        <v>30</v>
      </c>
      <c r="H224" s="5" t="n">
        <f aca="true">ROUND(RAND()*4+6,1)</f>
        <v>7.1</v>
      </c>
      <c r="I224" s="5" t="s">
        <v>31</v>
      </c>
      <c r="J224" s="5" t="str">
        <f aca="false">ROUND(77*1,0)&amp;"%"</f>
        <v>77%</v>
      </c>
    </row>
    <row r="225" customFormat="false" ht="15" hidden="false" customHeight="false" outlineLevel="0" collapsed="false">
      <c r="A225" s="6" t="s">
        <v>1562</v>
      </c>
      <c r="B225" s="6" t="s">
        <v>374</v>
      </c>
      <c r="C225" s="6" t="s">
        <v>114</v>
      </c>
      <c r="D225" s="6" t="s">
        <v>34</v>
      </c>
      <c r="E225" s="6" t="n">
        <f aca="false">ROUND(12884*1.05,2)</f>
        <v>13528.2</v>
      </c>
      <c r="F225" s="6" t="s">
        <v>35</v>
      </c>
      <c r="G225" s="6" t="s">
        <v>18</v>
      </c>
      <c r="H225" s="6" t="n">
        <f aca="true">ROUND(RAND()*4+6,1)</f>
        <v>8.1</v>
      </c>
      <c r="I225" s="6" t="s">
        <v>36</v>
      </c>
      <c r="J225" s="6" t="str">
        <f aca="false">ROUND(71*1,0)&amp;"%"</f>
        <v>71%</v>
      </c>
    </row>
    <row r="226" customFormat="false" ht="15" hidden="false" customHeight="false" outlineLevel="0" collapsed="false">
      <c r="A226" s="5" t="s">
        <v>1563</v>
      </c>
      <c r="B226" s="5" t="s">
        <v>376</v>
      </c>
      <c r="C226" s="5" t="s">
        <v>114</v>
      </c>
      <c r="D226" s="5" t="s">
        <v>39</v>
      </c>
      <c r="E226" s="5" t="n">
        <f aca="false">ROUND(4050*1.05,2)</f>
        <v>4252.5</v>
      </c>
      <c r="F226" s="5" t="s">
        <v>40</v>
      </c>
      <c r="G226" s="5" t="s">
        <v>24</v>
      </c>
      <c r="H226" s="5" t="n">
        <f aca="true">ROUND(RAND()*4+6,1)</f>
        <v>9.3</v>
      </c>
      <c r="I226" s="5" t="s">
        <v>41</v>
      </c>
      <c r="J226" s="5" t="str">
        <f aca="false">ROUND(81*1,0)&amp;"%"</f>
        <v>81%</v>
      </c>
    </row>
    <row r="227" customFormat="false" ht="15" hidden="false" customHeight="false" outlineLevel="0" collapsed="false">
      <c r="A227" s="6" t="s">
        <v>1564</v>
      </c>
      <c r="B227" s="6" t="s">
        <v>378</v>
      </c>
      <c r="C227" s="6" t="s">
        <v>114</v>
      </c>
      <c r="D227" s="6" t="s">
        <v>44</v>
      </c>
      <c r="E227" s="6" t="n">
        <f aca="false">ROUND(6393*1.05,2)</f>
        <v>6712.65</v>
      </c>
      <c r="F227" s="6" t="s">
        <v>45</v>
      </c>
      <c r="G227" s="6" t="s">
        <v>30</v>
      </c>
      <c r="H227" s="6" t="n">
        <f aca="true">ROUND(RAND()*4+6,1)</f>
        <v>9.7</v>
      </c>
      <c r="I227" s="6" t="s">
        <v>46</v>
      </c>
      <c r="J227" s="6" t="str">
        <f aca="false">ROUND(75*1,0)&amp;"%"</f>
        <v>75%</v>
      </c>
    </row>
    <row r="228" customFormat="false" ht="15" hidden="false" customHeight="false" outlineLevel="0" collapsed="false">
      <c r="A228" s="5" t="s">
        <v>1565</v>
      </c>
      <c r="B228" s="5" t="s">
        <v>380</v>
      </c>
      <c r="C228" s="5" t="s">
        <v>114</v>
      </c>
      <c r="D228" s="5" t="s">
        <v>16</v>
      </c>
      <c r="E228" s="5" t="n">
        <f aca="false">ROUND(10503*1.05,2)</f>
        <v>11028.15</v>
      </c>
      <c r="F228" s="5" t="s">
        <v>49</v>
      </c>
      <c r="G228" s="5" t="s">
        <v>18</v>
      </c>
      <c r="H228" s="5" t="n">
        <f aca="true">ROUND(RAND()*4+6,1)</f>
        <v>9.7</v>
      </c>
      <c r="I228" s="5" t="s">
        <v>19</v>
      </c>
      <c r="J228" s="5" t="str">
        <f aca="false">ROUND(93*1,0)&amp;"%"</f>
        <v>93%</v>
      </c>
    </row>
    <row r="229" customFormat="false" ht="15" hidden="false" customHeight="false" outlineLevel="0" collapsed="false">
      <c r="A229" s="6" t="s">
        <v>1566</v>
      </c>
      <c r="B229" s="6" t="s">
        <v>382</v>
      </c>
      <c r="C229" s="6" t="s">
        <v>114</v>
      </c>
      <c r="D229" s="6" t="s">
        <v>22</v>
      </c>
      <c r="E229" s="6" t="n">
        <f aca="false">ROUND(17368*1.05,2)</f>
        <v>18236.4</v>
      </c>
      <c r="F229" s="6" t="s">
        <v>52</v>
      </c>
      <c r="G229" s="6" t="s">
        <v>24</v>
      </c>
      <c r="H229" s="6" t="n">
        <f aca="true">ROUND(RAND()*4+6,1)</f>
        <v>6</v>
      </c>
      <c r="I229" s="6" t="s">
        <v>25</v>
      </c>
      <c r="J229" s="6" t="str">
        <f aca="false">ROUND(94*1,0)&amp;"%"</f>
        <v>94%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1567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1568</v>
      </c>
      <c r="B234" s="5" t="s">
        <v>386</v>
      </c>
      <c r="C234" s="5" t="s">
        <v>133</v>
      </c>
      <c r="D234" s="5" t="s">
        <v>16</v>
      </c>
      <c r="E234" s="5" t="n">
        <f aca="false">ROUND(17355*1.05,2)</f>
        <v>18222.75</v>
      </c>
      <c r="F234" s="5" t="s">
        <v>17</v>
      </c>
      <c r="G234" s="5" t="s">
        <v>18</v>
      </c>
      <c r="H234" s="5" t="n">
        <f aca="true">ROUND(RAND()*4+6,1)</f>
        <v>8.9</v>
      </c>
      <c r="I234" s="5" t="s">
        <v>19</v>
      </c>
      <c r="J234" s="5" t="str">
        <f aca="false">ROUND(81*1,0)&amp;"%"</f>
        <v>81%</v>
      </c>
    </row>
    <row r="235" customFormat="false" ht="15" hidden="false" customHeight="false" outlineLevel="0" collapsed="false">
      <c r="A235" s="6" t="s">
        <v>1569</v>
      </c>
      <c r="B235" s="6" t="s">
        <v>388</v>
      </c>
      <c r="C235" s="6" t="s">
        <v>133</v>
      </c>
      <c r="D235" s="6" t="s">
        <v>22</v>
      </c>
      <c r="E235" s="6" t="n">
        <f aca="false">ROUND(13489*1.05,2)</f>
        <v>14163.45</v>
      </c>
      <c r="F235" s="6" t="s">
        <v>23</v>
      </c>
      <c r="G235" s="6" t="s">
        <v>24</v>
      </c>
      <c r="H235" s="6" t="n">
        <f aca="true">ROUND(RAND()*4+6,1)</f>
        <v>7.4</v>
      </c>
      <c r="I235" s="6" t="s">
        <v>25</v>
      </c>
      <c r="J235" s="6" t="str">
        <f aca="false">ROUND(87*1,0)&amp;"%"</f>
        <v>87%</v>
      </c>
    </row>
    <row r="236" customFormat="false" ht="15" hidden="false" customHeight="false" outlineLevel="0" collapsed="false">
      <c r="A236" s="5" t="s">
        <v>1570</v>
      </c>
      <c r="B236" s="5" t="s">
        <v>390</v>
      </c>
      <c r="C236" s="5" t="s">
        <v>133</v>
      </c>
      <c r="D236" s="5" t="s">
        <v>28</v>
      </c>
      <c r="E236" s="5" t="n">
        <f aca="false">ROUND(11732*1.05,2)</f>
        <v>12318.6</v>
      </c>
      <c r="F236" s="5" t="s">
        <v>29</v>
      </c>
      <c r="G236" s="5" t="s">
        <v>30</v>
      </c>
      <c r="H236" s="5" t="n">
        <f aca="true">ROUND(RAND()*4+6,1)</f>
        <v>7.7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1571</v>
      </c>
      <c r="B237" s="6" t="s">
        <v>392</v>
      </c>
      <c r="C237" s="6" t="s">
        <v>133</v>
      </c>
      <c r="D237" s="6" t="s">
        <v>34</v>
      </c>
      <c r="E237" s="6" t="n">
        <f aca="false">ROUND(5720*1.05,2)</f>
        <v>6006</v>
      </c>
      <c r="F237" s="6" t="s">
        <v>35</v>
      </c>
      <c r="G237" s="6" t="s">
        <v>18</v>
      </c>
      <c r="H237" s="6" t="n">
        <f aca="true">ROUND(RAND()*4+6,1)</f>
        <v>7.5</v>
      </c>
      <c r="I237" s="6" t="s">
        <v>36</v>
      </c>
      <c r="J237" s="6" t="str">
        <f aca="false">ROUND(60*1,0)&amp;"%"</f>
        <v>60%</v>
      </c>
    </row>
    <row r="238" customFormat="false" ht="15" hidden="false" customHeight="false" outlineLevel="0" collapsed="false">
      <c r="A238" s="5" t="s">
        <v>1572</v>
      </c>
      <c r="B238" s="5" t="s">
        <v>394</v>
      </c>
      <c r="C238" s="5" t="s">
        <v>133</v>
      </c>
      <c r="D238" s="5" t="s">
        <v>39</v>
      </c>
      <c r="E238" s="5" t="n">
        <f aca="false">ROUND(14410*1.05,2)</f>
        <v>15130.5</v>
      </c>
      <c r="F238" s="5" t="s">
        <v>40</v>
      </c>
      <c r="G238" s="5" t="s">
        <v>24</v>
      </c>
      <c r="H238" s="5" t="n">
        <f aca="true">ROUND(RAND()*4+6,1)</f>
        <v>9.9</v>
      </c>
      <c r="I238" s="5" t="s">
        <v>41</v>
      </c>
      <c r="J238" s="5" t="str">
        <f aca="false">ROUND(86*1,0)&amp;"%"</f>
        <v>86%</v>
      </c>
    </row>
    <row r="239" customFormat="false" ht="15" hidden="false" customHeight="false" outlineLevel="0" collapsed="false">
      <c r="A239" s="6" t="s">
        <v>1573</v>
      </c>
      <c r="B239" s="6" t="s">
        <v>396</v>
      </c>
      <c r="C239" s="6" t="s">
        <v>133</v>
      </c>
      <c r="D239" s="6" t="s">
        <v>44</v>
      </c>
      <c r="E239" s="6" t="n">
        <f aca="false">ROUND(17903*1.05,2)</f>
        <v>18798.15</v>
      </c>
      <c r="F239" s="6" t="s">
        <v>45</v>
      </c>
      <c r="G239" s="6" t="s">
        <v>30</v>
      </c>
      <c r="H239" s="6" t="n">
        <f aca="true">ROUND(RAND()*4+6,1)</f>
        <v>6.9</v>
      </c>
      <c r="I239" s="6" t="s">
        <v>46</v>
      </c>
      <c r="J239" s="6" t="str">
        <f aca="false">ROUND(65*1,0)&amp;"%"</f>
        <v>65%</v>
      </c>
    </row>
    <row r="240" customFormat="false" ht="15" hidden="false" customHeight="false" outlineLevel="0" collapsed="false">
      <c r="A240" s="5" t="s">
        <v>1574</v>
      </c>
      <c r="B240" s="5" t="s">
        <v>398</v>
      </c>
      <c r="C240" s="5" t="s">
        <v>133</v>
      </c>
      <c r="D240" s="5" t="s">
        <v>16</v>
      </c>
      <c r="E240" s="5" t="n">
        <f aca="false">ROUND(13673*1.05,2)</f>
        <v>14356.65</v>
      </c>
      <c r="F240" s="5" t="s">
        <v>49</v>
      </c>
      <c r="G240" s="5" t="s">
        <v>18</v>
      </c>
      <c r="H240" s="5" t="n">
        <f aca="true">ROUND(RAND()*4+6,1)</f>
        <v>9.6</v>
      </c>
      <c r="I240" s="5" t="s">
        <v>19</v>
      </c>
      <c r="J240" s="5" t="str">
        <f aca="false">ROUND(84*1,0)&amp;"%"</f>
        <v>84%</v>
      </c>
    </row>
    <row r="241" customFormat="false" ht="15" hidden="false" customHeight="false" outlineLevel="0" collapsed="false">
      <c r="A241" s="6" t="s">
        <v>1575</v>
      </c>
      <c r="B241" s="6" t="s">
        <v>400</v>
      </c>
      <c r="C241" s="6" t="s">
        <v>133</v>
      </c>
      <c r="D241" s="6" t="s">
        <v>22</v>
      </c>
      <c r="E241" s="6" t="n">
        <f aca="false">ROUND(9645*1.05,2)</f>
        <v>10127.25</v>
      </c>
      <c r="F241" s="6" t="s">
        <v>52</v>
      </c>
      <c r="G241" s="6" t="s">
        <v>24</v>
      </c>
      <c r="H241" s="6" t="n">
        <f aca="true">ROUND(RAND()*4+6,1)</f>
        <v>8.9</v>
      </c>
      <c r="I241" s="6" t="s">
        <v>25</v>
      </c>
      <c r="J241" s="6" t="str">
        <f aca="false">ROUND(61*1,0)&amp;"%"</f>
        <v>61%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1576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1577</v>
      </c>
      <c r="B246" s="5" t="s">
        <v>404</v>
      </c>
      <c r="C246" s="5" t="s">
        <v>152</v>
      </c>
      <c r="D246" s="5" t="s">
        <v>16</v>
      </c>
      <c r="E246" s="5" t="n">
        <f aca="false">ROUND(14864*1.05,2)</f>
        <v>15607.2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ROUND(92*1,0)&amp;"%"</f>
        <v>92%</v>
      </c>
    </row>
    <row r="247" customFormat="false" ht="15" hidden="false" customHeight="false" outlineLevel="0" collapsed="false">
      <c r="A247" s="6" t="s">
        <v>1578</v>
      </c>
      <c r="B247" s="6" t="s">
        <v>406</v>
      </c>
      <c r="C247" s="6" t="s">
        <v>152</v>
      </c>
      <c r="D247" s="6" t="s">
        <v>22</v>
      </c>
      <c r="E247" s="6" t="n">
        <f aca="false">ROUND(9878*1.05,2)</f>
        <v>10371.9</v>
      </c>
      <c r="F247" s="6" t="s">
        <v>23</v>
      </c>
      <c r="G247" s="6" t="s">
        <v>24</v>
      </c>
      <c r="H247" s="6" t="n">
        <f aca="true">ROUND(RAND()*4+6,1)</f>
        <v>6</v>
      </c>
      <c r="I247" s="6" t="s">
        <v>25</v>
      </c>
      <c r="J247" s="6" t="str">
        <f aca="false">ROUND(86*1,0)&amp;"%"</f>
        <v>86%</v>
      </c>
    </row>
    <row r="248" customFormat="false" ht="15" hidden="false" customHeight="false" outlineLevel="0" collapsed="false">
      <c r="A248" s="5" t="s">
        <v>1579</v>
      </c>
      <c r="B248" s="5" t="s">
        <v>408</v>
      </c>
      <c r="C248" s="5" t="s">
        <v>152</v>
      </c>
      <c r="D248" s="5" t="s">
        <v>28</v>
      </c>
      <c r="E248" s="5" t="n">
        <f aca="false">ROUND(14469*1.05,2)</f>
        <v>15192.45</v>
      </c>
      <c r="F248" s="5" t="s">
        <v>29</v>
      </c>
      <c r="G248" s="5" t="s">
        <v>30</v>
      </c>
      <c r="H248" s="5" t="n">
        <f aca="true">ROUND(RAND()*4+6,1)</f>
        <v>9.6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1580</v>
      </c>
      <c r="B249" s="6" t="s">
        <v>410</v>
      </c>
      <c r="C249" s="6" t="s">
        <v>152</v>
      </c>
      <c r="D249" s="6" t="s">
        <v>34</v>
      </c>
      <c r="E249" s="6" t="n">
        <f aca="false">ROUND(17618*1.05,2)</f>
        <v>18498.9</v>
      </c>
      <c r="F249" s="6" t="s">
        <v>35</v>
      </c>
      <c r="G249" s="6" t="s">
        <v>18</v>
      </c>
      <c r="H249" s="6" t="n">
        <f aca="true">ROUND(RAND()*4+6,1)</f>
        <v>7.6</v>
      </c>
      <c r="I249" s="6" t="s">
        <v>36</v>
      </c>
      <c r="J249" s="6" t="str">
        <f aca="false">ROUND(89*1,0)&amp;"%"</f>
        <v>89%</v>
      </c>
    </row>
    <row r="250" customFormat="false" ht="15" hidden="false" customHeight="false" outlineLevel="0" collapsed="false">
      <c r="A250" s="5" t="s">
        <v>1581</v>
      </c>
      <c r="B250" s="5" t="s">
        <v>412</v>
      </c>
      <c r="C250" s="5" t="s">
        <v>152</v>
      </c>
      <c r="D250" s="5" t="s">
        <v>39</v>
      </c>
      <c r="E250" s="5" t="n">
        <f aca="false">ROUND(15956*1.05,2)</f>
        <v>16753.8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ROUND(60*1,0)&amp;"%"</f>
        <v>60%</v>
      </c>
    </row>
    <row r="251" customFormat="false" ht="15" hidden="false" customHeight="false" outlineLevel="0" collapsed="false">
      <c r="A251" s="6" t="s">
        <v>1582</v>
      </c>
      <c r="B251" s="6" t="s">
        <v>414</v>
      </c>
      <c r="C251" s="6" t="s">
        <v>152</v>
      </c>
      <c r="D251" s="6" t="s">
        <v>44</v>
      </c>
      <c r="E251" s="6" t="n">
        <f aca="false">ROUND(11266*1.05,2)</f>
        <v>11829.3</v>
      </c>
      <c r="F251" s="6" t="s">
        <v>45</v>
      </c>
      <c r="G251" s="6" t="s">
        <v>30</v>
      </c>
      <c r="H251" s="6" t="n">
        <f aca="true">ROUND(RAND()*4+6,1)</f>
        <v>8.5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1583</v>
      </c>
      <c r="B252" s="5" t="s">
        <v>416</v>
      </c>
      <c r="C252" s="5" t="s">
        <v>152</v>
      </c>
      <c r="D252" s="5" t="s">
        <v>16</v>
      </c>
      <c r="E252" s="5" t="n">
        <f aca="false">ROUND(10481*1.05,2)</f>
        <v>11005.05</v>
      </c>
      <c r="F252" s="5" t="s">
        <v>49</v>
      </c>
      <c r="G252" s="5" t="s">
        <v>18</v>
      </c>
      <c r="H252" s="5" t="n">
        <f aca="true">ROUND(RAND()*4+6,1)</f>
        <v>9.8</v>
      </c>
      <c r="I252" s="5" t="s">
        <v>19</v>
      </c>
      <c r="J252" s="5" t="str">
        <f aca="false">ROUND(75*1,0)&amp;"%"</f>
        <v>75%</v>
      </c>
    </row>
    <row r="253" customFormat="false" ht="15" hidden="false" customHeight="false" outlineLevel="0" collapsed="false">
      <c r="A253" s="6" t="s">
        <v>1584</v>
      </c>
      <c r="B253" s="6" t="s">
        <v>418</v>
      </c>
      <c r="C253" s="6" t="s">
        <v>152</v>
      </c>
      <c r="D253" s="6" t="s">
        <v>22</v>
      </c>
      <c r="E253" s="6" t="n">
        <f aca="false">ROUND(5635*1.05,2)</f>
        <v>5916.75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ROUND(78*1,0)&amp;"%"</f>
        <v>78%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1585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1586</v>
      </c>
      <c r="B258" s="5" t="s">
        <v>422</v>
      </c>
      <c r="C258" s="5" t="s">
        <v>15</v>
      </c>
      <c r="D258" s="5" t="s">
        <v>16</v>
      </c>
      <c r="E258" s="5" t="n">
        <f aca="false">ROUND(14639*1.05,2)</f>
        <v>15370.95</v>
      </c>
      <c r="F258" s="5" t="s">
        <v>17</v>
      </c>
      <c r="G258" s="5" t="s">
        <v>18</v>
      </c>
      <c r="H258" s="5" t="n">
        <f aca="true">ROUND(RAND()*4+6,1)</f>
        <v>6.4</v>
      </c>
      <c r="I258" s="5" t="s">
        <v>19</v>
      </c>
      <c r="J258" s="5" t="str">
        <f aca="false">ROUND(67*1,0)&amp;"%"</f>
        <v>67%</v>
      </c>
    </row>
    <row r="259" customFormat="false" ht="15" hidden="false" customHeight="false" outlineLevel="0" collapsed="false">
      <c r="A259" s="6" t="s">
        <v>1587</v>
      </c>
      <c r="B259" s="6" t="s">
        <v>424</v>
      </c>
      <c r="C259" s="6" t="s">
        <v>15</v>
      </c>
      <c r="D259" s="6" t="s">
        <v>22</v>
      </c>
      <c r="E259" s="6" t="n">
        <f aca="false">ROUND(9412*1.05,2)</f>
        <v>9882.6</v>
      </c>
      <c r="F259" s="6" t="s">
        <v>23</v>
      </c>
      <c r="G259" s="6" t="s">
        <v>24</v>
      </c>
      <c r="H259" s="6" t="n">
        <f aca="true">ROUND(RAND()*4+6,1)</f>
        <v>7.8</v>
      </c>
      <c r="I259" s="6" t="s">
        <v>25</v>
      </c>
      <c r="J259" s="6" t="str">
        <f aca="false">ROUND(76*1,0)&amp;"%"</f>
        <v>76%</v>
      </c>
    </row>
    <row r="260" customFormat="false" ht="15" hidden="false" customHeight="false" outlineLevel="0" collapsed="false">
      <c r="A260" s="5" t="s">
        <v>1588</v>
      </c>
      <c r="B260" s="5" t="s">
        <v>426</v>
      </c>
      <c r="C260" s="5" t="s">
        <v>15</v>
      </c>
      <c r="D260" s="5" t="s">
        <v>28</v>
      </c>
      <c r="E260" s="5" t="n">
        <f aca="false">ROUND(7921*1.05,2)</f>
        <v>8317.05</v>
      </c>
      <c r="F260" s="5" t="s">
        <v>29</v>
      </c>
      <c r="G260" s="5" t="s">
        <v>30</v>
      </c>
      <c r="H260" s="5" t="n">
        <f aca="true">ROUND(RAND()*4+6,1)</f>
        <v>8.9</v>
      </c>
      <c r="I260" s="5" t="s">
        <v>31</v>
      </c>
      <c r="J260" s="5" t="str">
        <f aca="false">ROUND(77*1,0)&amp;"%"</f>
        <v>77%</v>
      </c>
    </row>
    <row r="261" customFormat="false" ht="15" hidden="false" customHeight="false" outlineLevel="0" collapsed="false">
      <c r="A261" s="6" t="s">
        <v>1589</v>
      </c>
      <c r="B261" s="6" t="s">
        <v>428</v>
      </c>
      <c r="C261" s="6" t="s">
        <v>15</v>
      </c>
      <c r="D261" s="6" t="s">
        <v>34</v>
      </c>
      <c r="E261" s="6" t="n">
        <f aca="false">ROUND(17544*1.05,2)</f>
        <v>18421.2</v>
      </c>
      <c r="F261" s="6" t="s">
        <v>35</v>
      </c>
      <c r="G261" s="6" t="s">
        <v>18</v>
      </c>
      <c r="H261" s="6" t="n">
        <f aca="true">ROUND(RAND()*4+6,1)</f>
        <v>7.3</v>
      </c>
      <c r="I261" s="6" t="s">
        <v>36</v>
      </c>
      <c r="J261" s="6" t="str">
        <f aca="false">ROUND(78*1,0)&amp;"%"</f>
        <v>78%</v>
      </c>
    </row>
    <row r="262" customFormat="false" ht="15" hidden="false" customHeight="false" outlineLevel="0" collapsed="false">
      <c r="A262" s="5" t="s">
        <v>1590</v>
      </c>
      <c r="B262" s="5" t="s">
        <v>430</v>
      </c>
      <c r="C262" s="5" t="s">
        <v>15</v>
      </c>
      <c r="D262" s="5" t="s">
        <v>39</v>
      </c>
      <c r="E262" s="5" t="n">
        <f aca="false">ROUND(5009*1.05,2)</f>
        <v>5259.45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1591</v>
      </c>
      <c r="B263" s="6" t="s">
        <v>432</v>
      </c>
      <c r="C263" s="6" t="s">
        <v>15</v>
      </c>
      <c r="D263" s="6" t="s">
        <v>44</v>
      </c>
      <c r="E263" s="6" t="n">
        <f aca="false">ROUND(12865*1.05,2)</f>
        <v>13508.25</v>
      </c>
      <c r="F263" s="6" t="s">
        <v>45</v>
      </c>
      <c r="G263" s="6" t="s">
        <v>30</v>
      </c>
      <c r="H263" s="6" t="n">
        <f aca="true">ROUND(RAND()*4+6,1)</f>
        <v>6.6</v>
      </c>
      <c r="I263" s="6" t="s">
        <v>46</v>
      </c>
      <c r="J263" s="6" t="str">
        <f aca="false">ROUND(62*1,0)&amp;"%"</f>
        <v>62%</v>
      </c>
    </row>
    <row r="264" customFormat="false" ht="15" hidden="false" customHeight="false" outlineLevel="0" collapsed="false">
      <c r="A264" s="5" t="s">
        <v>1592</v>
      </c>
      <c r="B264" s="5" t="s">
        <v>434</v>
      </c>
      <c r="C264" s="5" t="s">
        <v>15</v>
      </c>
      <c r="D264" s="5" t="s">
        <v>16</v>
      </c>
      <c r="E264" s="5" t="n">
        <f aca="false">ROUND(7804*1.05,2)</f>
        <v>8194.2</v>
      </c>
      <c r="F264" s="5" t="s">
        <v>49</v>
      </c>
      <c r="G264" s="5" t="s">
        <v>18</v>
      </c>
      <c r="H264" s="5" t="n">
        <f aca="true">ROUND(RAND()*4+6,1)</f>
        <v>6.6</v>
      </c>
      <c r="I264" s="5" t="s">
        <v>19</v>
      </c>
      <c r="J264" s="5" t="str">
        <f aca="false">ROUND(70*1,0)&amp;"%"</f>
        <v>70%</v>
      </c>
    </row>
    <row r="265" customFormat="false" ht="15" hidden="false" customHeight="false" outlineLevel="0" collapsed="false">
      <c r="A265" s="6" t="s">
        <v>1593</v>
      </c>
      <c r="B265" s="6" t="s">
        <v>436</v>
      </c>
      <c r="C265" s="6" t="s">
        <v>15</v>
      </c>
      <c r="D265" s="6" t="s">
        <v>22</v>
      </c>
      <c r="E265" s="6" t="n">
        <f aca="false">ROUND(8511*1.05,2)</f>
        <v>8936.55</v>
      </c>
      <c r="F265" s="6" t="s">
        <v>52</v>
      </c>
      <c r="G265" s="6" t="s">
        <v>24</v>
      </c>
      <c r="H265" s="6" t="n">
        <f aca="true">ROUND(RAND()*4+6,1)</f>
        <v>8.3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1594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1595</v>
      </c>
      <c r="B270" s="5" t="s">
        <v>440</v>
      </c>
      <c r="C270" s="5" t="s">
        <v>57</v>
      </c>
      <c r="D270" s="5" t="s">
        <v>16</v>
      </c>
      <c r="E270" s="5" t="n">
        <f aca="false">ROUND(17364*1.05,2)</f>
        <v>18232.2</v>
      </c>
      <c r="F270" s="5" t="s">
        <v>17</v>
      </c>
      <c r="G270" s="5" t="s">
        <v>18</v>
      </c>
      <c r="H270" s="5" t="n">
        <f aca="true">ROUND(RAND()*4+6,1)</f>
        <v>6.2</v>
      </c>
      <c r="I270" s="5" t="s">
        <v>19</v>
      </c>
      <c r="J270" s="5" t="str">
        <f aca="false">ROUND(72*1,0)&amp;"%"</f>
        <v>72%</v>
      </c>
    </row>
    <row r="271" customFormat="false" ht="15" hidden="false" customHeight="false" outlineLevel="0" collapsed="false">
      <c r="A271" s="6" t="s">
        <v>1596</v>
      </c>
      <c r="B271" s="6" t="s">
        <v>442</v>
      </c>
      <c r="C271" s="6" t="s">
        <v>57</v>
      </c>
      <c r="D271" s="6" t="s">
        <v>22</v>
      </c>
      <c r="E271" s="6" t="n">
        <f aca="false">ROUND(6001*1.05,2)</f>
        <v>6301.05</v>
      </c>
      <c r="F271" s="6" t="s">
        <v>23</v>
      </c>
      <c r="G271" s="6" t="s">
        <v>24</v>
      </c>
      <c r="H271" s="6" t="n">
        <f aca="true">ROUND(RAND()*4+6,1)</f>
        <v>9.1</v>
      </c>
      <c r="I271" s="6" t="s">
        <v>25</v>
      </c>
      <c r="J271" s="6" t="str">
        <f aca="false">ROUND(81*1,0)&amp;"%"</f>
        <v>81%</v>
      </c>
    </row>
    <row r="272" customFormat="false" ht="15" hidden="false" customHeight="false" outlineLevel="0" collapsed="false">
      <c r="A272" s="5" t="s">
        <v>1597</v>
      </c>
      <c r="B272" s="5" t="s">
        <v>444</v>
      </c>
      <c r="C272" s="5" t="s">
        <v>57</v>
      </c>
      <c r="D272" s="5" t="s">
        <v>28</v>
      </c>
      <c r="E272" s="5" t="n">
        <f aca="false">ROUND(5903*1.05,2)</f>
        <v>6198.15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ROUND(77*1,0)&amp;"%"</f>
        <v>77%</v>
      </c>
    </row>
    <row r="273" customFormat="false" ht="15" hidden="false" customHeight="false" outlineLevel="0" collapsed="false">
      <c r="A273" s="6" t="s">
        <v>1598</v>
      </c>
      <c r="B273" s="6" t="s">
        <v>446</v>
      </c>
      <c r="C273" s="6" t="s">
        <v>57</v>
      </c>
      <c r="D273" s="6" t="s">
        <v>34</v>
      </c>
      <c r="E273" s="6" t="n">
        <f aca="false">ROUND(12069*1.05,2)</f>
        <v>12672.45</v>
      </c>
      <c r="F273" s="6" t="s">
        <v>35</v>
      </c>
      <c r="G273" s="6" t="s">
        <v>18</v>
      </c>
      <c r="H273" s="6" t="n">
        <f aca="true">ROUND(RAND()*4+6,1)</f>
        <v>8.8</v>
      </c>
      <c r="I273" s="6" t="s">
        <v>36</v>
      </c>
      <c r="J273" s="6" t="str">
        <f aca="false">ROUND(90*1,0)&amp;"%"</f>
        <v>90%</v>
      </c>
    </row>
    <row r="274" customFormat="false" ht="15" hidden="false" customHeight="false" outlineLevel="0" collapsed="false">
      <c r="A274" s="5" t="s">
        <v>1599</v>
      </c>
      <c r="B274" s="5" t="s">
        <v>448</v>
      </c>
      <c r="C274" s="5" t="s">
        <v>57</v>
      </c>
      <c r="D274" s="5" t="s">
        <v>39</v>
      </c>
      <c r="E274" s="5" t="n">
        <f aca="false">ROUND(11036*1.05,2)</f>
        <v>11587.8</v>
      </c>
      <c r="F274" s="5" t="s">
        <v>40</v>
      </c>
      <c r="G274" s="5" t="s">
        <v>24</v>
      </c>
      <c r="H274" s="5" t="n">
        <f aca="true">ROUND(RAND()*4+6,1)</f>
        <v>8.8</v>
      </c>
      <c r="I274" s="5" t="s">
        <v>41</v>
      </c>
      <c r="J274" s="5" t="str">
        <f aca="false">ROUND(99*1,0)&amp;"%"</f>
        <v>99%</v>
      </c>
    </row>
    <row r="275" customFormat="false" ht="15" hidden="false" customHeight="false" outlineLevel="0" collapsed="false">
      <c r="A275" s="6" t="s">
        <v>1600</v>
      </c>
      <c r="B275" s="6" t="s">
        <v>450</v>
      </c>
      <c r="C275" s="6" t="s">
        <v>57</v>
      </c>
      <c r="D275" s="6" t="s">
        <v>44</v>
      </c>
      <c r="E275" s="6" t="n">
        <f aca="false">ROUND(15959*1.05,2)</f>
        <v>16756.95</v>
      </c>
      <c r="F275" s="6" t="s">
        <v>45</v>
      </c>
      <c r="G275" s="6" t="s">
        <v>30</v>
      </c>
      <c r="H275" s="6" t="n">
        <f aca="true">ROUND(RAND()*4+6,1)</f>
        <v>7.4</v>
      </c>
      <c r="I275" s="6" t="s">
        <v>46</v>
      </c>
      <c r="J275" s="6" t="str">
        <f aca="false">ROUND(88*1,0)&amp;"%"</f>
        <v>88%</v>
      </c>
    </row>
    <row r="276" customFormat="false" ht="15" hidden="false" customHeight="false" outlineLevel="0" collapsed="false">
      <c r="A276" s="5" t="s">
        <v>1601</v>
      </c>
      <c r="B276" s="5" t="s">
        <v>452</v>
      </c>
      <c r="C276" s="5" t="s">
        <v>57</v>
      </c>
      <c r="D276" s="5" t="s">
        <v>16</v>
      </c>
      <c r="E276" s="5" t="n">
        <f aca="false">ROUND(5322*1.05,2)</f>
        <v>5588.1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ROUND(100*1,0)&amp;"%"</f>
        <v>100%</v>
      </c>
    </row>
    <row r="277" customFormat="false" ht="15" hidden="false" customHeight="false" outlineLevel="0" collapsed="false">
      <c r="A277" s="6" t="s">
        <v>1602</v>
      </c>
      <c r="B277" s="6" t="s">
        <v>454</v>
      </c>
      <c r="C277" s="6" t="s">
        <v>57</v>
      </c>
      <c r="D277" s="6" t="s">
        <v>22</v>
      </c>
      <c r="E277" s="6" t="n">
        <f aca="false">ROUND(17694*1.05,2)</f>
        <v>18578.7</v>
      </c>
      <c r="F277" s="6" t="s">
        <v>52</v>
      </c>
      <c r="G277" s="6" t="s">
        <v>24</v>
      </c>
      <c r="H277" s="6" t="n">
        <f aca="true">ROUND(RAND()*4+6,1)</f>
        <v>8.9</v>
      </c>
      <c r="I277" s="6" t="s">
        <v>25</v>
      </c>
      <c r="J277" s="6" t="str">
        <f aca="false">ROUND(73*1,0)&amp;"%"</f>
        <v>73%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1603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1604</v>
      </c>
      <c r="B282" s="5" t="s">
        <v>458</v>
      </c>
      <c r="C282" s="5" t="s">
        <v>76</v>
      </c>
      <c r="D282" s="5" t="s">
        <v>16</v>
      </c>
      <c r="E282" s="5" t="n">
        <f aca="false">ROUND(7415*1.05,2)</f>
        <v>7785.75</v>
      </c>
      <c r="F282" s="5" t="s">
        <v>17</v>
      </c>
      <c r="G282" s="5" t="s">
        <v>18</v>
      </c>
      <c r="H282" s="5" t="n">
        <f aca="true">ROUND(RAND()*4+6,1)</f>
        <v>8.2</v>
      </c>
      <c r="I282" s="5" t="s">
        <v>19</v>
      </c>
      <c r="J282" s="5" t="str">
        <f aca="false">ROUND(85*1,0)&amp;"%"</f>
        <v>85%</v>
      </c>
    </row>
    <row r="283" customFormat="false" ht="15" hidden="false" customHeight="false" outlineLevel="0" collapsed="false">
      <c r="A283" s="6" t="s">
        <v>1605</v>
      </c>
      <c r="B283" s="6" t="s">
        <v>460</v>
      </c>
      <c r="C283" s="6" t="s">
        <v>76</v>
      </c>
      <c r="D283" s="6" t="s">
        <v>22</v>
      </c>
      <c r="E283" s="6" t="n">
        <f aca="false">ROUND(10395*1.05,2)</f>
        <v>10914.75</v>
      </c>
      <c r="F283" s="6" t="s">
        <v>23</v>
      </c>
      <c r="G283" s="6" t="s">
        <v>24</v>
      </c>
      <c r="H283" s="6" t="n">
        <f aca="true">ROUND(RAND()*4+6,1)</f>
        <v>6.3</v>
      </c>
      <c r="I283" s="6" t="s">
        <v>25</v>
      </c>
      <c r="J283" s="6" t="str">
        <f aca="false">ROUND(89*1,0)&amp;"%"</f>
        <v>89%</v>
      </c>
    </row>
    <row r="284" customFormat="false" ht="15" hidden="false" customHeight="false" outlineLevel="0" collapsed="false">
      <c r="A284" s="5" t="s">
        <v>1606</v>
      </c>
      <c r="B284" s="5" t="s">
        <v>462</v>
      </c>
      <c r="C284" s="5" t="s">
        <v>76</v>
      </c>
      <c r="D284" s="5" t="s">
        <v>28</v>
      </c>
      <c r="E284" s="5" t="n">
        <f aca="false">ROUND(13303*1.05,2)</f>
        <v>13968.15</v>
      </c>
      <c r="F284" s="5" t="s">
        <v>29</v>
      </c>
      <c r="G284" s="5" t="s">
        <v>30</v>
      </c>
      <c r="H284" s="5" t="n">
        <f aca="true">ROUND(RAND()*4+6,1)</f>
        <v>6.4</v>
      </c>
      <c r="I284" s="5" t="s">
        <v>31</v>
      </c>
      <c r="J284" s="5" t="str">
        <f aca="false">ROUND(70*1,0)&amp;"%"</f>
        <v>70%</v>
      </c>
    </row>
    <row r="285" customFormat="false" ht="15" hidden="false" customHeight="false" outlineLevel="0" collapsed="false">
      <c r="A285" s="6" t="s">
        <v>1607</v>
      </c>
      <c r="B285" s="6" t="s">
        <v>464</v>
      </c>
      <c r="C285" s="6" t="s">
        <v>76</v>
      </c>
      <c r="D285" s="6" t="s">
        <v>34</v>
      </c>
      <c r="E285" s="6" t="n">
        <f aca="false">ROUND(9151*1.05,2)</f>
        <v>9608.55</v>
      </c>
      <c r="F285" s="6" t="s">
        <v>35</v>
      </c>
      <c r="G285" s="6" t="s">
        <v>18</v>
      </c>
      <c r="H285" s="6" t="n">
        <f aca="true">ROUND(RAND()*4+6,1)</f>
        <v>6.1</v>
      </c>
      <c r="I285" s="6" t="s">
        <v>36</v>
      </c>
      <c r="J285" s="6" t="str">
        <f aca="false">ROUND(84*1,0)&amp;"%"</f>
        <v>84%</v>
      </c>
    </row>
    <row r="286" customFormat="false" ht="15" hidden="false" customHeight="false" outlineLevel="0" collapsed="false">
      <c r="A286" s="5" t="s">
        <v>1608</v>
      </c>
      <c r="B286" s="5" t="s">
        <v>466</v>
      </c>
      <c r="C286" s="5" t="s">
        <v>76</v>
      </c>
      <c r="D286" s="5" t="s">
        <v>39</v>
      </c>
      <c r="E286" s="5" t="n">
        <f aca="false">ROUND(12674*1.05,2)</f>
        <v>13307.7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ROUND(92*1,0)&amp;"%"</f>
        <v>92%</v>
      </c>
    </row>
    <row r="287" customFormat="false" ht="15" hidden="false" customHeight="false" outlineLevel="0" collapsed="false">
      <c r="A287" s="6" t="s">
        <v>1609</v>
      </c>
      <c r="B287" s="6" t="s">
        <v>468</v>
      </c>
      <c r="C287" s="6" t="s">
        <v>76</v>
      </c>
      <c r="D287" s="6" t="s">
        <v>44</v>
      </c>
      <c r="E287" s="6" t="n">
        <f aca="false">ROUND(5575*1.05,2)</f>
        <v>5853.75</v>
      </c>
      <c r="F287" s="6" t="s">
        <v>45</v>
      </c>
      <c r="G287" s="6" t="s">
        <v>30</v>
      </c>
      <c r="H287" s="6" t="n">
        <f aca="true">ROUND(RAND()*4+6,1)</f>
        <v>9.7</v>
      </c>
      <c r="I287" s="6" t="s">
        <v>46</v>
      </c>
      <c r="J287" s="6" t="str">
        <f aca="false">ROUND(71*1,0)&amp;"%"</f>
        <v>71%</v>
      </c>
    </row>
    <row r="288" customFormat="false" ht="15" hidden="false" customHeight="false" outlineLevel="0" collapsed="false">
      <c r="A288" s="5" t="s">
        <v>1610</v>
      </c>
      <c r="B288" s="5" t="s">
        <v>470</v>
      </c>
      <c r="C288" s="5" t="s">
        <v>76</v>
      </c>
      <c r="D288" s="5" t="s">
        <v>16</v>
      </c>
      <c r="E288" s="5" t="n">
        <f aca="false">ROUND(7794*1.05,2)</f>
        <v>8183.7</v>
      </c>
      <c r="F288" s="5" t="s">
        <v>49</v>
      </c>
      <c r="G288" s="5" t="s">
        <v>18</v>
      </c>
      <c r="H288" s="5" t="n">
        <f aca="true">ROUND(RAND()*4+6,1)</f>
        <v>8.5</v>
      </c>
      <c r="I288" s="5" t="s">
        <v>19</v>
      </c>
      <c r="J288" s="5" t="str">
        <f aca="false">ROUND(78*1,0)&amp;"%"</f>
        <v>78%</v>
      </c>
    </row>
    <row r="289" customFormat="false" ht="15" hidden="false" customHeight="false" outlineLevel="0" collapsed="false">
      <c r="A289" s="6" t="s">
        <v>1611</v>
      </c>
      <c r="B289" s="6" t="s">
        <v>472</v>
      </c>
      <c r="C289" s="6" t="s">
        <v>76</v>
      </c>
      <c r="D289" s="6" t="s">
        <v>22</v>
      </c>
      <c r="E289" s="6" t="n">
        <f aca="false">ROUND(12964*1.05,2)</f>
        <v>13612.2</v>
      </c>
      <c r="F289" s="6" t="s">
        <v>52</v>
      </c>
      <c r="G289" s="6" t="s">
        <v>24</v>
      </c>
      <c r="H289" s="6" t="n">
        <f aca="true">ROUND(RAND()*4+6,1)</f>
        <v>8.5</v>
      </c>
      <c r="I289" s="6" t="s">
        <v>25</v>
      </c>
      <c r="J289" s="6" t="str">
        <f aca="false">ROUND(93*1,0)&amp;"%"</f>
        <v>93%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1612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1613</v>
      </c>
      <c r="B294" s="5" t="s">
        <v>476</v>
      </c>
      <c r="C294" s="5" t="s">
        <v>95</v>
      </c>
      <c r="D294" s="5" t="s">
        <v>16</v>
      </c>
      <c r="E294" s="5" t="n">
        <f aca="false">ROUND(5755*1.05,2)</f>
        <v>6042.75</v>
      </c>
      <c r="F294" s="5" t="s">
        <v>17</v>
      </c>
      <c r="G294" s="5" t="s">
        <v>18</v>
      </c>
      <c r="H294" s="5" t="n">
        <f aca="true">ROUND(RAND()*4+6,1)</f>
        <v>6.7</v>
      </c>
      <c r="I294" s="5" t="s">
        <v>19</v>
      </c>
      <c r="J294" s="5" t="str">
        <f aca="false">ROUND(97*1,0)&amp;"%"</f>
        <v>97%</v>
      </c>
    </row>
    <row r="295" customFormat="false" ht="15" hidden="false" customHeight="false" outlineLevel="0" collapsed="false">
      <c r="A295" s="6" t="s">
        <v>1614</v>
      </c>
      <c r="B295" s="6" t="s">
        <v>478</v>
      </c>
      <c r="C295" s="6" t="s">
        <v>95</v>
      </c>
      <c r="D295" s="6" t="s">
        <v>22</v>
      </c>
      <c r="E295" s="6" t="n">
        <f aca="false">ROUND(6188*1.05,2)</f>
        <v>6497.4</v>
      </c>
      <c r="F295" s="6" t="s">
        <v>23</v>
      </c>
      <c r="G295" s="6" t="s">
        <v>24</v>
      </c>
      <c r="H295" s="6" t="n">
        <f aca="true">ROUND(RAND()*4+6,1)</f>
        <v>6.6</v>
      </c>
      <c r="I295" s="6" t="s">
        <v>25</v>
      </c>
      <c r="J295" s="6" t="str">
        <f aca="false">ROUND(64*1,0)&amp;"%"</f>
        <v>64%</v>
      </c>
    </row>
    <row r="296" customFormat="false" ht="15" hidden="false" customHeight="false" outlineLevel="0" collapsed="false">
      <c r="A296" s="5" t="s">
        <v>1615</v>
      </c>
      <c r="B296" s="5" t="s">
        <v>480</v>
      </c>
      <c r="C296" s="5" t="s">
        <v>95</v>
      </c>
      <c r="D296" s="5" t="s">
        <v>28</v>
      </c>
      <c r="E296" s="5" t="n">
        <f aca="false">ROUND(5491*1.05,2)</f>
        <v>5765.55</v>
      </c>
      <c r="F296" s="5" t="s">
        <v>29</v>
      </c>
      <c r="G296" s="5" t="s">
        <v>30</v>
      </c>
      <c r="H296" s="5" t="n">
        <f aca="true">ROUND(RAND()*4+6,1)</f>
        <v>6.2</v>
      </c>
      <c r="I296" s="5" t="s">
        <v>31</v>
      </c>
      <c r="J296" s="5" t="str">
        <f aca="false">ROUND(70*1,0)&amp;"%"</f>
        <v>70%</v>
      </c>
    </row>
    <row r="297" customFormat="false" ht="15" hidden="false" customHeight="false" outlineLevel="0" collapsed="false">
      <c r="A297" s="6" t="s">
        <v>1616</v>
      </c>
      <c r="B297" s="6" t="s">
        <v>482</v>
      </c>
      <c r="C297" s="6" t="s">
        <v>95</v>
      </c>
      <c r="D297" s="6" t="s">
        <v>34</v>
      </c>
      <c r="E297" s="6" t="n">
        <f aca="false">ROUND(9639*1.05,2)</f>
        <v>10120.95</v>
      </c>
      <c r="F297" s="6" t="s">
        <v>35</v>
      </c>
      <c r="G297" s="6" t="s">
        <v>18</v>
      </c>
      <c r="H297" s="6" t="n">
        <f aca="true">ROUND(RAND()*4+6,1)</f>
        <v>8.4</v>
      </c>
      <c r="I297" s="6" t="s">
        <v>36</v>
      </c>
      <c r="J297" s="6" t="str">
        <f aca="false">ROUND(62*1,0)&amp;"%"</f>
        <v>62%</v>
      </c>
    </row>
    <row r="298" customFormat="false" ht="15" hidden="false" customHeight="false" outlineLevel="0" collapsed="false">
      <c r="A298" s="5" t="s">
        <v>1617</v>
      </c>
      <c r="B298" s="5" t="s">
        <v>484</v>
      </c>
      <c r="C298" s="5" t="s">
        <v>95</v>
      </c>
      <c r="D298" s="5" t="s">
        <v>39</v>
      </c>
      <c r="E298" s="5" t="n">
        <f aca="false">ROUND(6717*1.05,2)</f>
        <v>7052.85</v>
      </c>
      <c r="F298" s="5" t="s">
        <v>40</v>
      </c>
      <c r="G298" s="5" t="s">
        <v>24</v>
      </c>
      <c r="H298" s="5" t="n">
        <f aca="true">ROUND(RAND()*4+6,1)</f>
        <v>9.3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1618</v>
      </c>
      <c r="B299" s="6" t="s">
        <v>486</v>
      </c>
      <c r="C299" s="6" t="s">
        <v>95</v>
      </c>
      <c r="D299" s="6" t="s">
        <v>44</v>
      </c>
      <c r="E299" s="6" t="n">
        <f aca="false">ROUND(14260*1.05,2)</f>
        <v>14973</v>
      </c>
      <c r="F299" s="6" t="s">
        <v>45</v>
      </c>
      <c r="G299" s="6" t="s">
        <v>30</v>
      </c>
      <c r="H299" s="6" t="n">
        <f aca="true">ROUND(RAND()*4+6,1)</f>
        <v>9.5</v>
      </c>
      <c r="I299" s="6" t="s">
        <v>46</v>
      </c>
      <c r="J299" s="6" t="str">
        <f aca="false">ROUND(90*1,0)&amp;"%"</f>
        <v>90%</v>
      </c>
    </row>
    <row r="300" customFormat="false" ht="15" hidden="false" customHeight="false" outlineLevel="0" collapsed="false">
      <c r="A300" s="5" t="s">
        <v>1619</v>
      </c>
      <c r="B300" s="5" t="s">
        <v>488</v>
      </c>
      <c r="C300" s="5" t="s">
        <v>95</v>
      </c>
      <c r="D300" s="5" t="s">
        <v>16</v>
      </c>
      <c r="E300" s="5" t="n">
        <f aca="false">ROUND(12657*1.05,2)</f>
        <v>13289.85</v>
      </c>
      <c r="F300" s="5" t="s">
        <v>49</v>
      </c>
      <c r="G300" s="5" t="s">
        <v>18</v>
      </c>
      <c r="H300" s="5" t="n">
        <f aca="true">ROUND(RAND()*4+6,1)</f>
        <v>8.2</v>
      </c>
      <c r="I300" s="5" t="s">
        <v>19</v>
      </c>
      <c r="J300" s="5" t="str">
        <f aca="false">ROUND(63*1,0)&amp;"%"</f>
        <v>63%</v>
      </c>
    </row>
    <row r="301" customFormat="false" ht="15" hidden="false" customHeight="false" outlineLevel="0" collapsed="false">
      <c r="A301" s="6" t="s">
        <v>1620</v>
      </c>
      <c r="B301" s="6" t="s">
        <v>490</v>
      </c>
      <c r="C301" s="6" t="s">
        <v>95</v>
      </c>
      <c r="D301" s="6" t="s">
        <v>22</v>
      </c>
      <c r="E301" s="6" t="n">
        <f aca="false">ROUND(14047*1.05,2)</f>
        <v>14749.35</v>
      </c>
      <c r="F301" s="6" t="s">
        <v>52</v>
      </c>
      <c r="G301" s="6" t="s">
        <v>24</v>
      </c>
      <c r="H301" s="6" t="n">
        <f aca="true">ROUND(RAND()*4+6,1)</f>
        <v>6.4</v>
      </c>
      <c r="I301" s="6" t="s">
        <v>25</v>
      </c>
      <c r="J301" s="6" t="str">
        <f aca="false">ROUND(65*1,0)&amp;"%"</f>
        <v>65%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1621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1622</v>
      </c>
      <c r="B306" s="5" t="s">
        <v>494</v>
      </c>
      <c r="C306" s="5" t="s">
        <v>114</v>
      </c>
      <c r="D306" s="5" t="s">
        <v>16</v>
      </c>
      <c r="E306" s="5" t="n">
        <f aca="false">ROUND(16048*1.05,2)</f>
        <v>16850.4</v>
      </c>
      <c r="F306" s="5" t="s">
        <v>17</v>
      </c>
      <c r="G306" s="5" t="s">
        <v>18</v>
      </c>
      <c r="H306" s="5" t="n">
        <f aca="true">ROUND(RAND()*4+6,1)</f>
        <v>8</v>
      </c>
      <c r="I306" s="5" t="s">
        <v>19</v>
      </c>
      <c r="J306" s="5" t="str">
        <f aca="false">ROUND(87*1,0)&amp;"%"</f>
        <v>87%</v>
      </c>
    </row>
    <row r="307" customFormat="false" ht="15" hidden="false" customHeight="false" outlineLevel="0" collapsed="false">
      <c r="A307" s="6" t="s">
        <v>1623</v>
      </c>
      <c r="B307" s="6" t="s">
        <v>496</v>
      </c>
      <c r="C307" s="6" t="s">
        <v>114</v>
      </c>
      <c r="D307" s="6" t="s">
        <v>22</v>
      </c>
      <c r="E307" s="6" t="n">
        <f aca="false">ROUND(12886*1.05,2)</f>
        <v>13530.3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ROUND(84*1,0)&amp;"%"</f>
        <v>84%</v>
      </c>
    </row>
    <row r="308" customFormat="false" ht="15" hidden="false" customHeight="false" outlineLevel="0" collapsed="false">
      <c r="A308" s="5" t="s">
        <v>1624</v>
      </c>
      <c r="B308" s="5" t="s">
        <v>498</v>
      </c>
      <c r="C308" s="5" t="s">
        <v>114</v>
      </c>
      <c r="D308" s="5" t="s">
        <v>28</v>
      </c>
      <c r="E308" s="5" t="n">
        <f aca="false">ROUND(7064*1.05,2)</f>
        <v>7417.2</v>
      </c>
      <c r="F308" s="5" t="s">
        <v>29</v>
      </c>
      <c r="G308" s="5" t="s">
        <v>30</v>
      </c>
      <c r="H308" s="5" t="n">
        <f aca="true">ROUND(RAND()*4+6,1)</f>
        <v>6.8</v>
      </c>
      <c r="I308" s="5" t="s">
        <v>31</v>
      </c>
      <c r="J308" s="5" t="str">
        <f aca="false">ROUND(63*1,0)&amp;"%"</f>
        <v>63%</v>
      </c>
    </row>
    <row r="309" customFormat="false" ht="15" hidden="false" customHeight="false" outlineLevel="0" collapsed="false">
      <c r="A309" s="6" t="s">
        <v>1625</v>
      </c>
      <c r="B309" s="6" t="s">
        <v>500</v>
      </c>
      <c r="C309" s="6" t="s">
        <v>114</v>
      </c>
      <c r="D309" s="6" t="s">
        <v>34</v>
      </c>
      <c r="E309" s="6" t="n">
        <f aca="false">ROUND(13465*1.05,2)</f>
        <v>14138.25</v>
      </c>
      <c r="F309" s="6" t="s">
        <v>35</v>
      </c>
      <c r="G309" s="6" t="s">
        <v>18</v>
      </c>
      <c r="H309" s="6" t="n">
        <f aca="true">ROUND(RAND()*4+6,1)</f>
        <v>8.7</v>
      </c>
      <c r="I309" s="6" t="s">
        <v>36</v>
      </c>
      <c r="J309" s="6" t="str">
        <f aca="false">ROUND(73*1,0)&amp;"%"</f>
        <v>73%</v>
      </c>
    </row>
    <row r="310" customFormat="false" ht="15" hidden="false" customHeight="false" outlineLevel="0" collapsed="false">
      <c r="A310" s="5" t="s">
        <v>1626</v>
      </c>
      <c r="B310" s="5" t="s">
        <v>502</v>
      </c>
      <c r="C310" s="5" t="s">
        <v>114</v>
      </c>
      <c r="D310" s="5" t="s">
        <v>39</v>
      </c>
      <c r="E310" s="5" t="n">
        <f aca="false">ROUND(12421*1.05,2)</f>
        <v>13042.05</v>
      </c>
      <c r="F310" s="5" t="s">
        <v>40</v>
      </c>
      <c r="G310" s="5" t="s">
        <v>24</v>
      </c>
      <c r="H310" s="5" t="n">
        <f aca="true">ROUND(RAND()*4+6,1)</f>
        <v>6.1</v>
      </c>
      <c r="I310" s="5" t="s">
        <v>41</v>
      </c>
      <c r="J310" s="5" t="str">
        <f aca="false">ROUND(81*1,0)&amp;"%"</f>
        <v>81%</v>
      </c>
    </row>
    <row r="311" customFormat="false" ht="15" hidden="false" customHeight="false" outlineLevel="0" collapsed="false">
      <c r="A311" s="6" t="s">
        <v>1627</v>
      </c>
      <c r="B311" s="6" t="s">
        <v>504</v>
      </c>
      <c r="C311" s="6" t="s">
        <v>114</v>
      </c>
      <c r="D311" s="6" t="s">
        <v>44</v>
      </c>
      <c r="E311" s="6" t="n">
        <f aca="false">ROUND(12816*1.05,2)</f>
        <v>13456.8</v>
      </c>
      <c r="F311" s="6" t="s">
        <v>45</v>
      </c>
      <c r="G311" s="6" t="s">
        <v>30</v>
      </c>
      <c r="H311" s="6" t="n">
        <f aca="true">ROUND(RAND()*4+6,1)</f>
        <v>9.6</v>
      </c>
      <c r="I311" s="6" t="s">
        <v>46</v>
      </c>
      <c r="J311" s="6" t="str">
        <f aca="false">ROUND(72*1,0)&amp;"%"</f>
        <v>72%</v>
      </c>
    </row>
    <row r="312" customFormat="false" ht="15" hidden="false" customHeight="false" outlineLevel="0" collapsed="false">
      <c r="A312" s="5" t="s">
        <v>1628</v>
      </c>
      <c r="B312" s="5" t="s">
        <v>506</v>
      </c>
      <c r="C312" s="5" t="s">
        <v>114</v>
      </c>
      <c r="D312" s="5" t="s">
        <v>16</v>
      </c>
      <c r="E312" s="5" t="n">
        <f aca="false">ROUND(11209*1.05,2)</f>
        <v>11769.45</v>
      </c>
      <c r="F312" s="5" t="s">
        <v>49</v>
      </c>
      <c r="G312" s="5" t="s">
        <v>18</v>
      </c>
      <c r="H312" s="5" t="n">
        <f aca="true">ROUND(RAND()*4+6,1)</f>
        <v>6.6</v>
      </c>
      <c r="I312" s="5" t="s">
        <v>19</v>
      </c>
      <c r="J312" s="5" t="str">
        <f aca="false">ROUND(86*1,0)&amp;"%"</f>
        <v>86%</v>
      </c>
    </row>
    <row r="313" customFormat="false" ht="15" hidden="false" customHeight="false" outlineLevel="0" collapsed="false">
      <c r="A313" s="6" t="s">
        <v>1629</v>
      </c>
      <c r="B313" s="6" t="s">
        <v>508</v>
      </c>
      <c r="C313" s="6" t="s">
        <v>114</v>
      </c>
      <c r="D313" s="6" t="s">
        <v>22</v>
      </c>
      <c r="E313" s="6" t="n">
        <f aca="false">ROUND(10814*1.05,2)</f>
        <v>11354.7</v>
      </c>
      <c r="F313" s="6" t="s">
        <v>52</v>
      </c>
      <c r="G313" s="6" t="s">
        <v>24</v>
      </c>
      <c r="H313" s="6" t="n">
        <f aca="true">ROUND(RAND()*4+6,1)</f>
        <v>6.2</v>
      </c>
      <c r="I313" s="6" t="s">
        <v>25</v>
      </c>
      <c r="J313" s="6" t="str">
        <f aca="false">ROUND(86*1,0)&amp;"%"</f>
        <v>86%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1630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1631</v>
      </c>
      <c r="B318" s="5" t="s">
        <v>512</v>
      </c>
      <c r="C318" s="5" t="s">
        <v>133</v>
      </c>
      <c r="D318" s="5" t="s">
        <v>16</v>
      </c>
      <c r="E318" s="5" t="n">
        <f aca="false">ROUND(17945*1.05,2)</f>
        <v>18842.25</v>
      </c>
      <c r="F318" s="5" t="s">
        <v>17</v>
      </c>
      <c r="G318" s="5" t="s">
        <v>18</v>
      </c>
      <c r="H318" s="5" t="n">
        <f aca="true">ROUND(RAND()*4+6,1)</f>
        <v>8.4</v>
      </c>
      <c r="I318" s="5" t="s">
        <v>19</v>
      </c>
      <c r="J318" s="5" t="str">
        <f aca="false">ROUND(91*1,0)&amp;"%"</f>
        <v>91%</v>
      </c>
    </row>
    <row r="319" customFormat="false" ht="15" hidden="false" customHeight="false" outlineLevel="0" collapsed="false">
      <c r="A319" s="6" t="s">
        <v>1632</v>
      </c>
      <c r="B319" s="6" t="s">
        <v>514</v>
      </c>
      <c r="C319" s="6" t="s">
        <v>133</v>
      </c>
      <c r="D319" s="6" t="s">
        <v>22</v>
      </c>
      <c r="E319" s="6" t="n">
        <f aca="false">ROUND(6849*1.05,2)</f>
        <v>7191.45</v>
      </c>
      <c r="F319" s="6" t="s">
        <v>23</v>
      </c>
      <c r="G319" s="6" t="s">
        <v>24</v>
      </c>
      <c r="H319" s="6" t="n">
        <f aca="true">ROUND(RAND()*4+6,1)</f>
        <v>7.6</v>
      </c>
      <c r="I319" s="6" t="s">
        <v>25</v>
      </c>
      <c r="J319" s="6" t="str">
        <f aca="false">ROUND(79*1,0)&amp;"%"</f>
        <v>79%</v>
      </c>
    </row>
    <row r="320" customFormat="false" ht="15" hidden="false" customHeight="false" outlineLevel="0" collapsed="false">
      <c r="A320" s="5" t="s">
        <v>1633</v>
      </c>
      <c r="B320" s="5" t="s">
        <v>516</v>
      </c>
      <c r="C320" s="5" t="s">
        <v>133</v>
      </c>
      <c r="D320" s="5" t="s">
        <v>28</v>
      </c>
      <c r="E320" s="5" t="n">
        <f aca="false">ROUND(9588*1.05,2)</f>
        <v>10067.4</v>
      </c>
      <c r="F320" s="5" t="s">
        <v>29</v>
      </c>
      <c r="G320" s="5" t="s">
        <v>30</v>
      </c>
      <c r="H320" s="5" t="n">
        <f aca="true">ROUND(RAND()*4+6,1)</f>
        <v>9.6</v>
      </c>
      <c r="I320" s="5" t="s">
        <v>31</v>
      </c>
      <c r="J320" s="5" t="str">
        <f aca="false">ROUND(76*1,0)&amp;"%"</f>
        <v>76%</v>
      </c>
    </row>
    <row r="321" customFormat="false" ht="15" hidden="false" customHeight="false" outlineLevel="0" collapsed="false">
      <c r="A321" s="6" t="s">
        <v>1634</v>
      </c>
      <c r="B321" s="6" t="s">
        <v>518</v>
      </c>
      <c r="C321" s="6" t="s">
        <v>133</v>
      </c>
      <c r="D321" s="6" t="s">
        <v>34</v>
      </c>
      <c r="E321" s="6" t="n">
        <f aca="false">ROUND(9767*1.05,2)</f>
        <v>10255.35</v>
      </c>
      <c r="F321" s="6" t="s">
        <v>35</v>
      </c>
      <c r="G321" s="6" t="s">
        <v>18</v>
      </c>
      <c r="H321" s="6" t="n">
        <f aca="true">ROUND(RAND()*4+6,1)</f>
        <v>8.3</v>
      </c>
      <c r="I321" s="6" t="s">
        <v>36</v>
      </c>
      <c r="J321" s="6" t="str">
        <f aca="false">ROUND(75*1,0)&amp;"%"</f>
        <v>75%</v>
      </c>
    </row>
    <row r="322" customFormat="false" ht="15" hidden="false" customHeight="false" outlineLevel="0" collapsed="false">
      <c r="A322" s="5" t="s">
        <v>1635</v>
      </c>
      <c r="B322" s="5" t="s">
        <v>520</v>
      </c>
      <c r="C322" s="5" t="s">
        <v>133</v>
      </c>
      <c r="D322" s="5" t="s">
        <v>39</v>
      </c>
      <c r="E322" s="5" t="n">
        <f aca="false">ROUND(8449*1.05,2)</f>
        <v>8871.45</v>
      </c>
      <c r="F322" s="5" t="s">
        <v>40</v>
      </c>
      <c r="G322" s="5" t="s">
        <v>24</v>
      </c>
      <c r="H322" s="5" t="n">
        <f aca="true">ROUND(RAND()*4+6,1)</f>
        <v>7.5</v>
      </c>
      <c r="I322" s="5" t="s">
        <v>41</v>
      </c>
      <c r="J322" s="5" t="str">
        <f aca="false">ROUND(63*1,0)&amp;"%"</f>
        <v>63%</v>
      </c>
    </row>
    <row r="323" customFormat="false" ht="15" hidden="false" customHeight="false" outlineLevel="0" collapsed="false">
      <c r="A323" s="6" t="s">
        <v>1636</v>
      </c>
      <c r="B323" s="6" t="s">
        <v>522</v>
      </c>
      <c r="C323" s="6" t="s">
        <v>133</v>
      </c>
      <c r="D323" s="6" t="s">
        <v>44</v>
      </c>
      <c r="E323" s="6" t="n">
        <f aca="false">ROUND(9440*1.05,2)</f>
        <v>9912</v>
      </c>
      <c r="F323" s="6" t="s">
        <v>45</v>
      </c>
      <c r="G323" s="6" t="s">
        <v>30</v>
      </c>
      <c r="H323" s="6" t="n">
        <f aca="true">ROUND(RAND()*4+6,1)</f>
        <v>9.6</v>
      </c>
      <c r="I323" s="6" t="s">
        <v>46</v>
      </c>
      <c r="J323" s="6" t="str">
        <f aca="false">ROUND(74*1,0)&amp;"%"</f>
        <v>74%</v>
      </c>
    </row>
    <row r="324" customFormat="false" ht="15" hidden="false" customHeight="false" outlineLevel="0" collapsed="false">
      <c r="A324" s="5" t="s">
        <v>1637</v>
      </c>
      <c r="B324" s="5" t="s">
        <v>524</v>
      </c>
      <c r="C324" s="5" t="s">
        <v>133</v>
      </c>
      <c r="D324" s="5" t="s">
        <v>16</v>
      </c>
      <c r="E324" s="5" t="n">
        <f aca="false">ROUND(6256*1.05,2)</f>
        <v>6568.8</v>
      </c>
      <c r="F324" s="5" t="s">
        <v>49</v>
      </c>
      <c r="G324" s="5" t="s">
        <v>18</v>
      </c>
      <c r="H324" s="5" t="n">
        <f aca="true">ROUND(RAND()*4+6,1)</f>
        <v>6.9</v>
      </c>
      <c r="I324" s="5" t="s">
        <v>19</v>
      </c>
      <c r="J324" s="5" t="str">
        <f aca="false">ROUND(65*1,0)&amp;"%"</f>
        <v>65%</v>
      </c>
    </row>
    <row r="325" customFormat="false" ht="15" hidden="false" customHeight="false" outlineLevel="0" collapsed="false">
      <c r="A325" s="6" t="s">
        <v>1638</v>
      </c>
      <c r="B325" s="6" t="s">
        <v>526</v>
      </c>
      <c r="C325" s="6" t="s">
        <v>133</v>
      </c>
      <c r="D325" s="6" t="s">
        <v>22</v>
      </c>
      <c r="E325" s="6" t="n">
        <f aca="false">ROUND(13232*1.05,2)</f>
        <v>13893.6</v>
      </c>
      <c r="F325" s="6" t="s">
        <v>52</v>
      </c>
      <c r="G325" s="6" t="s">
        <v>24</v>
      </c>
      <c r="H325" s="6" t="n">
        <f aca="true">ROUND(RAND()*4+6,1)</f>
        <v>7.1</v>
      </c>
      <c r="I325" s="6" t="s">
        <v>25</v>
      </c>
      <c r="J325" s="6" t="str">
        <f aca="false">ROUND(76*1,0)&amp;"%"</f>
        <v>76%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1639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1640</v>
      </c>
      <c r="B330" s="5" t="s">
        <v>530</v>
      </c>
      <c r="C330" s="5" t="s">
        <v>152</v>
      </c>
      <c r="D330" s="5" t="s">
        <v>16</v>
      </c>
      <c r="E330" s="5" t="n">
        <f aca="false">ROUND(8609*1.05,2)</f>
        <v>9039.45</v>
      </c>
      <c r="F330" s="5" t="s">
        <v>17</v>
      </c>
      <c r="G330" s="5" t="s">
        <v>18</v>
      </c>
      <c r="H330" s="5" t="n">
        <f aca="true">ROUND(RAND()*4+6,1)</f>
        <v>6.2</v>
      </c>
      <c r="I330" s="5" t="s">
        <v>19</v>
      </c>
      <c r="J330" s="5" t="str">
        <f aca="false">ROUND(89*1,0)&amp;"%"</f>
        <v>89%</v>
      </c>
    </row>
    <row r="331" customFormat="false" ht="15" hidden="false" customHeight="false" outlineLevel="0" collapsed="false">
      <c r="A331" s="6" t="s">
        <v>1641</v>
      </c>
      <c r="B331" s="6" t="s">
        <v>532</v>
      </c>
      <c r="C331" s="6" t="s">
        <v>152</v>
      </c>
      <c r="D331" s="6" t="s">
        <v>22</v>
      </c>
      <c r="E331" s="6" t="n">
        <f aca="false">ROUND(14783*1.05,2)</f>
        <v>15522.15</v>
      </c>
      <c r="F331" s="6" t="s">
        <v>23</v>
      </c>
      <c r="G331" s="6" t="s">
        <v>24</v>
      </c>
      <c r="H331" s="6" t="n">
        <f aca="true">ROUND(RAND()*4+6,1)</f>
        <v>9</v>
      </c>
      <c r="I331" s="6" t="s">
        <v>25</v>
      </c>
      <c r="J331" s="6" t="str">
        <f aca="false">ROUND(77*1,0)&amp;"%"</f>
        <v>77%</v>
      </c>
    </row>
    <row r="332" customFormat="false" ht="15" hidden="false" customHeight="false" outlineLevel="0" collapsed="false">
      <c r="A332" s="5" t="s">
        <v>1642</v>
      </c>
      <c r="B332" s="5" t="s">
        <v>534</v>
      </c>
      <c r="C332" s="5" t="s">
        <v>152</v>
      </c>
      <c r="D332" s="5" t="s">
        <v>28</v>
      </c>
      <c r="E332" s="5" t="n">
        <f aca="false">ROUND(8868*1.05,2)</f>
        <v>9311.4</v>
      </c>
      <c r="F332" s="5" t="s">
        <v>29</v>
      </c>
      <c r="G332" s="5" t="s">
        <v>30</v>
      </c>
      <c r="H332" s="5" t="n">
        <f aca="true">ROUND(RAND()*4+6,1)</f>
        <v>6.5</v>
      </c>
      <c r="I332" s="5" t="s">
        <v>31</v>
      </c>
      <c r="J332" s="5" t="str">
        <f aca="false">ROUND(98*1,0)&amp;"%"</f>
        <v>98%</v>
      </c>
    </row>
    <row r="333" customFormat="false" ht="15" hidden="false" customHeight="false" outlineLevel="0" collapsed="false">
      <c r="A333" s="6" t="s">
        <v>1643</v>
      </c>
      <c r="B333" s="6" t="s">
        <v>536</v>
      </c>
      <c r="C333" s="6" t="s">
        <v>152</v>
      </c>
      <c r="D333" s="6" t="s">
        <v>34</v>
      </c>
      <c r="E333" s="6" t="n">
        <f aca="false">ROUND(12740*1.05,2)</f>
        <v>13377</v>
      </c>
      <c r="F333" s="6" t="s">
        <v>35</v>
      </c>
      <c r="G333" s="6" t="s">
        <v>18</v>
      </c>
      <c r="H333" s="6" t="n">
        <f aca="true">ROUND(RAND()*4+6,1)</f>
        <v>10</v>
      </c>
      <c r="I333" s="6" t="s">
        <v>36</v>
      </c>
      <c r="J333" s="6" t="str">
        <f aca="false">ROUND(79*1,0)&amp;"%"</f>
        <v>79%</v>
      </c>
    </row>
    <row r="334" customFormat="false" ht="15" hidden="false" customHeight="false" outlineLevel="0" collapsed="false">
      <c r="A334" s="5" t="s">
        <v>1644</v>
      </c>
      <c r="B334" s="5" t="s">
        <v>538</v>
      </c>
      <c r="C334" s="5" t="s">
        <v>152</v>
      </c>
      <c r="D334" s="5" t="s">
        <v>39</v>
      </c>
      <c r="E334" s="5" t="n">
        <f aca="false">ROUND(16014*1.05,2)</f>
        <v>16814.7</v>
      </c>
      <c r="F334" s="5" t="s">
        <v>40</v>
      </c>
      <c r="G334" s="5" t="s">
        <v>24</v>
      </c>
      <c r="H334" s="5" t="n">
        <f aca="true">ROUND(RAND()*4+6,1)</f>
        <v>8.6</v>
      </c>
      <c r="I334" s="5" t="s">
        <v>41</v>
      </c>
      <c r="J334" s="5" t="str">
        <f aca="false">ROUND(100*1,0)&amp;"%"</f>
        <v>100%</v>
      </c>
    </row>
    <row r="335" customFormat="false" ht="15" hidden="false" customHeight="false" outlineLevel="0" collapsed="false">
      <c r="A335" s="6" t="s">
        <v>1645</v>
      </c>
      <c r="B335" s="6" t="s">
        <v>540</v>
      </c>
      <c r="C335" s="6" t="s">
        <v>152</v>
      </c>
      <c r="D335" s="6" t="s">
        <v>44</v>
      </c>
      <c r="E335" s="6" t="n">
        <f aca="false">ROUND(9497*1.05,2)</f>
        <v>9971.85</v>
      </c>
      <c r="F335" s="6" t="s">
        <v>45</v>
      </c>
      <c r="G335" s="6" t="s">
        <v>30</v>
      </c>
      <c r="H335" s="6" t="n">
        <f aca="true">ROUND(RAND()*4+6,1)</f>
        <v>8.4</v>
      </c>
      <c r="I335" s="6" t="s">
        <v>46</v>
      </c>
      <c r="J335" s="6" t="str">
        <f aca="false">ROUND(70*1,0)&amp;"%"</f>
        <v>70%</v>
      </c>
    </row>
    <row r="336" customFormat="false" ht="15" hidden="false" customHeight="false" outlineLevel="0" collapsed="false">
      <c r="A336" s="5" t="s">
        <v>1646</v>
      </c>
      <c r="B336" s="5" t="s">
        <v>542</v>
      </c>
      <c r="C336" s="5" t="s">
        <v>152</v>
      </c>
      <c r="D336" s="5" t="s">
        <v>16</v>
      </c>
      <c r="E336" s="5" t="n">
        <f aca="false">ROUND(5391*1.05,2)</f>
        <v>5660.55</v>
      </c>
      <c r="F336" s="5" t="s">
        <v>49</v>
      </c>
      <c r="G336" s="5" t="s">
        <v>18</v>
      </c>
      <c r="H336" s="5" t="n">
        <f aca="true">ROUND(RAND()*4+6,1)</f>
        <v>7.1</v>
      </c>
      <c r="I336" s="5" t="s">
        <v>19</v>
      </c>
      <c r="J336" s="5" t="str">
        <f aca="false">ROUND(64*1,0)&amp;"%"</f>
        <v>64%</v>
      </c>
    </row>
    <row r="337" customFormat="false" ht="15" hidden="false" customHeight="false" outlineLevel="0" collapsed="false">
      <c r="A337" s="6" t="s">
        <v>1647</v>
      </c>
      <c r="B337" s="6" t="s">
        <v>544</v>
      </c>
      <c r="C337" s="6" t="s">
        <v>152</v>
      </c>
      <c r="D337" s="6" t="s">
        <v>22</v>
      </c>
      <c r="E337" s="6" t="n">
        <f aca="false">ROUND(14632*1.05,2)</f>
        <v>15363.6</v>
      </c>
      <c r="F337" s="6" t="s">
        <v>52</v>
      </c>
      <c r="G337" s="6" t="s">
        <v>24</v>
      </c>
      <c r="H337" s="6" t="n">
        <f aca="true">ROUND(RAND()*4+6,1)</f>
        <v>6.4</v>
      </c>
      <c r="I337" s="6" t="s">
        <v>25</v>
      </c>
      <c r="J337" s="6" t="str">
        <f aca="false">ROUND(71*1,0)&amp;"%"</f>
        <v>71%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1648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1649</v>
      </c>
      <c r="B342" s="5" t="s">
        <v>548</v>
      </c>
      <c r="C342" s="5" t="s">
        <v>15</v>
      </c>
      <c r="D342" s="5" t="s">
        <v>16</v>
      </c>
      <c r="E342" s="5" t="n">
        <f aca="false">ROUND(13506*1.05,2)</f>
        <v>14181.3</v>
      </c>
      <c r="F342" s="5" t="s">
        <v>17</v>
      </c>
      <c r="G342" s="5" t="s">
        <v>18</v>
      </c>
      <c r="H342" s="5" t="n">
        <f aca="true">ROUND(RAND()*4+6,1)</f>
        <v>9.6</v>
      </c>
      <c r="I342" s="5" t="s">
        <v>19</v>
      </c>
      <c r="J342" s="5" t="str">
        <f aca="false">ROUND(61*1,0)&amp;"%"</f>
        <v>61%</v>
      </c>
    </row>
    <row r="343" customFormat="false" ht="15" hidden="false" customHeight="false" outlineLevel="0" collapsed="false">
      <c r="A343" s="6" t="s">
        <v>1650</v>
      </c>
      <c r="B343" s="6" t="s">
        <v>550</v>
      </c>
      <c r="C343" s="6" t="s">
        <v>15</v>
      </c>
      <c r="D343" s="6" t="s">
        <v>22</v>
      </c>
      <c r="E343" s="6" t="n">
        <f aca="false">ROUND(11914*1.05,2)</f>
        <v>12509.7</v>
      </c>
      <c r="F343" s="6" t="s">
        <v>23</v>
      </c>
      <c r="G343" s="6" t="s">
        <v>24</v>
      </c>
      <c r="H343" s="6" t="n">
        <f aca="true">ROUND(RAND()*4+6,1)</f>
        <v>9.2</v>
      </c>
      <c r="I343" s="6" t="s">
        <v>25</v>
      </c>
      <c r="J343" s="6" t="str">
        <f aca="false">ROUND(65*1,0)&amp;"%"</f>
        <v>65%</v>
      </c>
    </row>
    <row r="344" customFormat="false" ht="15" hidden="false" customHeight="false" outlineLevel="0" collapsed="false">
      <c r="A344" s="5" t="s">
        <v>1651</v>
      </c>
      <c r="B344" s="5" t="s">
        <v>552</v>
      </c>
      <c r="C344" s="5" t="s">
        <v>15</v>
      </c>
      <c r="D344" s="5" t="s">
        <v>28</v>
      </c>
      <c r="E344" s="5" t="n">
        <f aca="false">ROUND(7618*1.05,2)</f>
        <v>7998.9</v>
      </c>
      <c r="F344" s="5" t="s">
        <v>29</v>
      </c>
      <c r="G344" s="5" t="s">
        <v>30</v>
      </c>
      <c r="H344" s="5" t="n">
        <f aca="true">ROUND(RAND()*4+6,1)</f>
        <v>6.5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1652</v>
      </c>
      <c r="B345" s="6" t="s">
        <v>554</v>
      </c>
      <c r="C345" s="6" t="s">
        <v>15</v>
      </c>
      <c r="D345" s="6" t="s">
        <v>34</v>
      </c>
      <c r="E345" s="6" t="n">
        <f aca="false">ROUND(6774*1.05,2)</f>
        <v>7112.7</v>
      </c>
      <c r="F345" s="6" t="s">
        <v>35</v>
      </c>
      <c r="G345" s="6" t="s">
        <v>18</v>
      </c>
      <c r="H345" s="6" t="n">
        <f aca="true">ROUND(RAND()*4+6,1)</f>
        <v>9.6</v>
      </c>
      <c r="I345" s="6" t="s">
        <v>36</v>
      </c>
      <c r="J345" s="6" t="str">
        <f aca="false">ROUND(75*1,0)&amp;"%"</f>
        <v>75%</v>
      </c>
    </row>
    <row r="346" customFormat="false" ht="15" hidden="false" customHeight="false" outlineLevel="0" collapsed="false">
      <c r="A346" s="5" t="s">
        <v>1653</v>
      </c>
      <c r="B346" s="5" t="s">
        <v>556</v>
      </c>
      <c r="C346" s="5" t="s">
        <v>15</v>
      </c>
      <c r="D346" s="5" t="s">
        <v>39</v>
      </c>
      <c r="E346" s="5" t="n">
        <f aca="false">ROUND(6705*1.05,2)</f>
        <v>7040.25</v>
      </c>
      <c r="F346" s="5" t="s">
        <v>40</v>
      </c>
      <c r="G346" s="5" t="s">
        <v>24</v>
      </c>
      <c r="H346" s="5" t="n">
        <f aca="true">ROUND(RAND()*4+6,1)</f>
        <v>8.2</v>
      </c>
      <c r="I346" s="5" t="s">
        <v>41</v>
      </c>
      <c r="J346" s="5" t="str">
        <f aca="false">ROUND(82*1,0)&amp;"%"</f>
        <v>82%</v>
      </c>
    </row>
    <row r="347" customFormat="false" ht="15" hidden="false" customHeight="false" outlineLevel="0" collapsed="false">
      <c r="A347" s="6" t="s">
        <v>1654</v>
      </c>
      <c r="B347" s="6" t="s">
        <v>558</v>
      </c>
      <c r="C347" s="6" t="s">
        <v>15</v>
      </c>
      <c r="D347" s="6" t="s">
        <v>44</v>
      </c>
      <c r="E347" s="6" t="n">
        <f aca="false">ROUND(5304*1.05,2)</f>
        <v>5569.2</v>
      </c>
      <c r="F347" s="6" t="s">
        <v>45</v>
      </c>
      <c r="G347" s="6" t="s">
        <v>30</v>
      </c>
      <c r="H347" s="6" t="n">
        <f aca="true">ROUND(RAND()*4+6,1)</f>
        <v>9.7</v>
      </c>
      <c r="I347" s="6" t="s">
        <v>46</v>
      </c>
      <c r="J347" s="6" t="str">
        <f aca="false">ROUND(64*1,0)&amp;"%"</f>
        <v>64%</v>
      </c>
    </row>
    <row r="348" customFormat="false" ht="15" hidden="false" customHeight="false" outlineLevel="0" collapsed="false">
      <c r="A348" s="5" t="s">
        <v>1655</v>
      </c>
      <c r="B348" s="5" t="s">
        <v>560</v>
      </c>
      <c r="C348" s="5" t="s">
        <v>15</v>
      </c>
      <c r="D348" s="5" t="s">
        <v>16</v>
      </c>
      <c r="E348" s="5" t="n">
        <f aca="false">ROUND(15617*1.05,2)</f>
        <v>16397.85</v>
      </c>
      <c r="F348" s="5" t="s">
        <v>49</v>
      </c>
      <c r="G348" s="5" t="s">
        <v>18</v>
      </c>
      <c r="H348" s="5" t="n">
        <f aca="true">ROUND(RAND()*4+6,1)</f>
        <v>9.3</v>
      </c>
      <c r="I348" s="5" t="s">
        <v>19</v>
      </c>
      <c r="J348" s="5" t="str">
        <f aca="false">ROUND(71*1,0)&amp;"%"</f>
        <v>71%</v>
      </c>
    </row>
    <row r="349" customFormat="false" ht="15" hidden="false" customHeight="false" outlineLevel="0" collapsed="false">
      <c r="A349" s="6" t="s">
        <v>1656</v>
      </c>
      <c r="B349" s="6" t="s">
        <v>562</v>
      </c>
      <c r="C349" s="6" t="s">
        <v>15</v>
      </c>
      <c r="D349" s="6" t="s">
        <v>22</v>
      </c>
      <c r="E349" s="6" t="n">
        <f aca="false">ROUND(13004*1.05,2)</f>
        <v>13654.2</v>
      </c>
      <c r="F349" s="6" t="s">
        <v>52</v>
      </c>
      <c r="G349" s="6" t="s">
        <v>24</v>
      </c>
      <c r="H349" s="6" t="n">
        <f aca="true">ROUND(RAND()*4+6,1)</f>
        <v>6.6</v>
      </c>
      <c r="I349" s="6" t="s">
        <v>25</v>
      </c>
      <c r="J349" s="6" t="str">
        <f aca="false">ROUND(70*1,0)&amp;"%"</f>
        <v>70%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1657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1658</v>
      </c>
      <c r="B354" s="5" t="s">
        <v>566</v>
      </c>
      <c r="C354" s="5" t="s">
        <v>57</v>
      </c>
      <c r="D354" s="5" t="s">
        <v>16</v>
      </c>
      <c r="E354" s="5" t="n">
        <f aca="false">ROUND(11089*1.05,2)</f>
        <v>11643.45</v>
      </c>
      <c r="F354" s="5" t="s">
        <v>17</v>
      </c>
      <c r="G354" s="5" t="s">
        <v>18</v>
      </c>
      <c r="H354" s="5" t="n">
        <f aca="true">ROUND(RAND()*4+6,1)</f>
        <v>8.2</v>
      </c>
      <c r="I354" s="5" t="s">
        <v>19</v>
      </c>
      <c r="J354" s="5" t="str">
        <f aca="false">ROUND(66*1,0)&amp;"%"</f>
        <v>66%</v>
      </c>
    </row>
    <row r="355" customFormat="false" ht="15" hidden="false" customHeight="false" outlineLevel="0" collapsed="false">
      <c r="A355" s="6" t="s">
        <v>1659</v>
      </c>
      <c r="B355" s="6" t="s">
        <v>568</v>
      </c>
      <c r="C355" s="6" t="s">
        <v>57</v>
      </c>
      <c r="D355" s="6" t="s">
        <v>22</v>
      </c>
      <c r="E355" s="6" t="n">
        <f aca="false">ROUND(12208*1.05,2)</f>
        <v>12818.4</v>
      </c>
      <c r="F355" s="6" t="s">
        <v>23</v>
      </c>
      <c r="G355" s="6" t="s">
        <v>24</v>
      </c>
      <c r="H355" s="6" t="n">
        <f aca="true">ROUND(RAND()*4+6,1)</f>
        <v>8.4</v>
      </c>
      <c r="I355" s="6" t="s">
        <v>25</v>
      </c>
      <c r="J355" s="6" t="str">
        <f aca="false">ROUND(60*1,0)&amp;"%"</f>
        <v>60%</v>
      </c>
    </row>
    <row r="356" customFormat="false" ht="15" hidden="false" customHeight="false" outlineLevel="0" collapsed="false">
      <c r="A356" s="5" t="s">
        <v>1660</v>
      </c>
      <c r="B356" s="5" t="s">
        <v>570</v>
      </c>
      <c r="C356" s="5" t="s">
        <v>57</v>
      </c>
      <c r="D356" s="5" t="s">
        <v>28</v>
      </c>
      <c r="E356" s="5" t="n">
        <f aca="false">ROUND(9529*1.05,2)</f>
        <v>10005.45</v>
      </c>
      <c r="F356" s="5" t="s">
        <v>29</v>
      </c>
      <c r="G356" s="5" t="s">
        <v>30</v>
      </c>
      <c r="H356" s="5" t="n">
        <f aca="true">ROUND(RAND()*4+6,1)</f>
        <v>9.6</v>
      </c>
      <c r="I356" s="5" t="s">
        <v>31</v>
      </c>
      <c r="J356" s="5" t="str">
        <f aca="false">ROUND(61*1,0)&amp;"%"</f>
        <v>61%</v>
      </c>
    </row>
    <row r="357" customFormat="false" ht="15" hidden="false" customHeight="false" outlineLevel="0" collapsed="false">
      <c r="A357" s="6" t="s">
        <v>1661</v>
      </c>
      <c r="B357" s="6" t="s">
        <v>572</v>
      </c>
      <c r="C357" s="6" t="s">
        <v>57</v>
      </c>
      <c r="D357" s="6" t="s">
        <v>34</v>
      </c>
      <c r="E357" s="6" t="n">
        <f aca="false">ROUND(9383*1.05,2)</f>
        <v>9852.15</v>
      </c>
      <c r="F357" s="6" t="s">
        <v>35</v>
      </c>
      <c r="G357" s="6" t="s">
        <v>18</v>
      </c>
      <c r="H357" s="6" t="n">
        <f aca="true">ROUND(RAND()*4+6,1)</f>
        <v>8.7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1662</v>
      </c>
      <c r="B358" s="5" t="s">
        <v>574</v>
      </c>
      <c r="C358" s="5" t="s">
        <v>57</v>
      </c>
      <c r="D358" s="5" t="s">
        <v>39</v>
      </c>
      <c r="E358" s="5" t="n">
        <f aca="false">ROUND(13925*1.05,2)</f>
        <v>14621.25</v>
      </c>
      <c r="F358" s="5" t="s">
        <v>40</v>
      </c>
      <c r="G358" s="5" t="s">
        <v>24</v>
      </c>
      <c r="H358" s="5" t="n">
        <f aca="true">ROUND(RAND()*4+6,1)</f>
        <v>6</v>
      </c>
      <c r="I358" s="5" t="s">
        <v>41</v>
      </c>
      <c r="J358" s="5" t="str">
        <f aca="false">ROUND(73*1,0)&amp;"%"</f>
        <v>73%</v>
      </c>
    </row>
    <row r="359" customFormat="false" ht="15" hidden="false" customHeight="false" outlineLevel="0" collapsed="false">
      <c r="A359" s="6" t="s">
        <v>1663</v>
      </c>
      <c r="B359" s="6" t="s">
        <v>576</v>
      </c>
      <c r="C359" s="6" t="s">
        <v>57</v>
      </c>
      <c r="D359" s="6" t="s">
        <v>44</v>
      </c>
      <c r="E359" s="6" t="n">
        <f aca="false">ROUND(7943*1.05,2)</f>
        <v>8340.15</v>
      </c>
      <c r="F359" s="6" t="s">
        <v>45</v>
      </c>
      <c r="G359" s="6" t="s">
        <v>30</v>
      </c>
      <c r="H359" s="6" t="n">
        <f aca="true">ROUND(RAND()*4+6,1)</f>
        <v>7.3</v>
      </c>
      <c r="I359" s="6" t="s">
        <v>46</v>
      </c>
      <c r="J359" s="6" t="str">
        <f aca="false">ROUND(85*1,0)&amp;"%"</f>
        <v>85%</v>
      </c>
    </row>
    <row r="360" customFormat="false" ht="15" hidden="false" customHeight="false" outlineLevel="0" collapsed="false">
      <c r="A360" s="5" t="s">
        <v>1664</v>
      </c>
      <c r="B360" s="5" t="s">
        <v>578</v>
      </c>
      <c r="C360" s="5" t="s">
        <v>57</v>
      </c>
      <c r="D360" s="5" t="s">
        <v>16</v>
      </c>
      <c r="E360" s="5" t="n">
        <f aca="false">ROUND(11678*1.05,2)</f>
        <v>12261.9</v>
      </c>
      <c r="F360" s="5" t="s">
        <v>49</v>
      </c>
      <c r="G360" s="5" t="s">
        <v>18</v>
      </c>
      <c r="H360" s="5" t="n">
        <f aca="true">ROUND(RAND()*4+6,1)</f>
        <v>8.3</v>
      </c>
      <c r="I360" s="5" t="s">
        <v>19</v>
      </c>
      <c r="J360" s="5" t="str">
        <f aca="false">ROUND(71*1,0)&amp;"%"</f>
        <v>71%</v>
      </c>
    </row>
    <row r="361" customFormat="false" ht="15" hidden="false" customHeight="false" outlineLevel="0" collapsed="false">
      <c r="A361" s="6" t="s">
        <v>1665</v>
      </c>
      <c r="B361" s="6" t="s">
        <v>580</v>
      </c>
      <c r="C361" s="6" t="s">
        <v>57</v>
      </c>
      <c r="D361" s="6" t="s">
        <v>22</v>
      </c>
      <c r="E361" s="6" t="n">
        <f aca="false">ROUND(7008*1.05,2)</f>
        <v>7358.4</v>
      </c>
      <c r="F361" s="6" t="s">
        <v>52</v>
      </c>
      <c r="G361" s="6" t="s">
        <v>24</v>
      </c>
      <c r="H361" s="6" t="n">
        <f aca="true">ROUND(RAND()*4+6,1)</f>
        <v>8.6</v>
      </c>
      <c r="I361" s="6" t="s">
        <v>25</v>
      </c>
      <c r="J361" s="6" t="str">
        <f aca="false">ROUND(79*1,0)&amp;"%"</f>
        <v>79%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1666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1667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1668</v>
      </c>
      <c r="B6" s="5" t="s">
        <v>14</v>
      </c>
      <c r="C6" s="5" t="s">
        <v>15</v>
      </c>
      <c r="D6" s="5" t="s">
        <v>16</v>
      </c>
      <c r="E6" s="5" t="n">
        <f aca="false">ROUND(12949*1.05,2)</f>
        <v>13596.45</v>
      </c>
      <c r="F6" s="5" t="s">
        <v>17</v>
      </c>
      <c r="G6" s="5" t="s">
        <v>18</v>
      </c>
      <c r="H6" s="5" t="n">
        <f aca="true">ROUND(RAND()*4+6,1)</f>
        <v>7.5</v>
      </c>
      <c r="I6" s="5" t="s">
        <v>19</v>
      </c>
      <c r="J6" s="5" t="str">
        <f aca="false">ROUND(71*1,0)&amp;"%"</f>
        <v>71%</v>
      </c>
    </row>
    <row r="7" customFormat="false" ht="15" hidden="false" customHeight="false" outlineLevel="0" collapsed="false">
      <c r="A7" s="6" t="s">
        <v>1669</v>
      </c>
      <c r="B7" s="6" t="s">
        <v>21</v>
      </c>
      <c r="C7" s="6" t="s">
        <v>15</v>
      </c>
      <c r="D7" s="6" t="s">
        <v>22</v>
      </c>
      <c r="E7" s="6" t="n">
        <f aca="false">ROUND(10195*1.05,2)</f>
        <v>10704.75</v>
      </c>
      <c r="F7" s="6" t="s">
        <v>23</v>
      </c>
      <c r="G7" s="6" t="s">
        <v>24</v>
      </c>
      <c r="H7" s="6" t="n">
        <f aca="true">ROUND(RAND()*4+6,1)</f>
        <v>8.3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1670</v>
      </c>
      <c r="B8" s="5" t="s">
        <v>27</v>
      </c>
      <c r="C8" s="5" t="s">
        <v>15</v>
      </c>
      <c r="D8" s="5" t="s">
        <v>28</v>
      </c>
      <c r="E8" s="5" t="n">
        <f aca="false">ROUND(16289*1.05,2)</f>
        <v>17103.45</v>
      </c>
      <c r="F8" s="5" t="s">
        <v>29</v>
      </c>
      <c r="G8" s="5" t="s">
        <v>30</v>
      </c>
      <c r="H8" s="5" t="n">
        <f aca="true">ROUND(RAND()*4+6,1)</f>
        <v>10</v>
      </c>
      <c r="I8" s="5" t="s">
        <v>31</v>
      </c>
      <c r="J8" s="5" t="str">
        <f aca="false">ROUND(86*1,0)&amp;"%"</f>
        <v>86%</v>
      </c>
    </row>
    <row r="9" customFormat="false" ht="15" hidden="false" customHeight="false" outlineLevel="0" collapsed="false">
      <c r="A9" s="6" t="s">
        <v>1671</v>
      </c>
      <c r="B9" s="6" t="s">
        <v>33</v>
      </c>
      <c r="C9" s="6" t="s">
        <v>15</v>
      </c>
      <c r="D9" s="6" t="s">
        <v>34</v>
      </c>
      <c r="E9" s="6" t="n">
        <f aca="false">ROUND(10001*1.05,2)</f>
        <v>10501.05</v>
      </c>
      <c r="F9" s="6" t="s">
        <v>35</v>
      </c>
      <c r="G9" s="6" t="s">
        <v>18</v>
      </c>
      <c r="H9" s="6" t="n">
        <f aca="true">ROUND(RAND()*4+6,1)</f>
        <v>8.2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1672</v>
      </c>
      <c r="B10" s="5" t="s">
        <v>38</v>
      </c>
      <c r="C10" s="5" t="s">
        <v>15</v>
      </c>
      <c r="D10" s="5" t="s">
        <v>39</v>
      </c>
      <c r="E10" s="5" t="n">
        <f aca="false">ROUND(8491*1.05,2)</f>
        <v>8915.55</v>
      </c>
      <c r="F10" s="5" t="s">
        <v>40</v>
      </c>
      <c r="G10" s="5" t="s">
        <v>24</v>
      </c>
      <c r="H10" s="5" t="n">
        <f aca="true">ROUND(RAND()*4+6,1)</f>
        <v>7.7</v>
      </c>
      <c r="I10" s="5" t="s">
        <v>41</v>
      </c>
      <c r="J10" s="5" t="str">
        <f aca="false">ROUND(65*1,0)&amp;"%"</f>
        <v>65%</v>
      </c>
    </row>
    <row r="11" customFormat="false" ht="15" hidden="false" customHeight="false" outlineLevel="0" collapsed="false">
      <c r="A11" s="6" t="s">
        <v>1673</v>
      </c>
      <c r="B11" s="6" t="s">
        <v>43</v>
      </c>
      <c r="C11" s="6" t="s">
        <v>15</v>
      </c>
      <c r="D11" s="6" t="s">
        <v>44</v>
      </c>
      <c r="E11" s="6" t="n">
        <f aca="false">ROUND(15255*1.05,2)</f>
        <v>16017.75</v>
      </c>
      <c r="F11" s="6" t="s">
        <v>45</v>
      </c>
      <c r="G11" s="6" t="s">
        <v>30</v>
      </c>
      <c r="H11" s="6" t="n">
        <f aca="true">ROUND(RAND()*4+6,1)</f>
        <v>9.6</v>
      </c>
      <c r="I11" s="6" t="s">
        <v>46</v>
      </c>
      <c r="J11" s="6" t="str">
        <f aca="false">ROUND(92*1,0)&amp;"%"</f>
        <v>92%</v>
      </c>
    </row>
    <row r="12" customFormat="false" ht="15" hidden="false" customHeight="false" outlineLevel="0" collapsed="false">
      <c r="A12" s="5" t="s">
        <v>1674</v>
      </c>
      <c r="B12" s="5" t="s">
        <v>48</v>
      </c>
      <c r="C12" s="5" t="s">
        <v>15</v>
      </c>
      <c r="D12" s="5" t="s">
        <v>16</v>
      </c>
      <c r="E12" s="5" t="n">
        <f aca="false">ROUND(5958*1.05,2)</f>
        <v>6255.9</v>
      </c>
      <c r="F12" s="5" t="s">
        <v>49</v>
      </c>
      <c r="G12" s="5" t="s">
        <v>18</v>
      </c>
      <c r="H12" s="5" t="n">
        <f aca="true">ROUND(RAND()*4+6,1)</f>
        <v>8.6</v>
      </c>
      <c r="I12" s="5" t="s">
        <v>19</v>
      </c>
      <c r="J12" s="5" t="str">
        <f aca="false">ROUND(78*1,0)&amp;"%"</f>
        <v>78%</v>
      </c>
    </row>
    <row r="13" customFormat="false" ht="15" hidden="false" customHeight="false" outlineLevel="0" collapsed="false">
      <c r="A13" s="6" t="s">
        <v>1675</v>
      </c>
      <c r="B13" s="6" t="s">
        <v>51</v>
      </c>
      <c r="C13" s="6" t="s">
        <v>15</v>
      </c>
      <c r="D13" s="6" t="s">
        <v>22</v>
      </c>
      <c r="E13" s="6" t="n">
        <f aca="false">ROUND(6659*1.05,2)</f>
        <v>6991.95</v>
      </c>
      <c r="F13" s="6" t="s">
        <v>52</v>
      </c>
      <c r="G13" s="6" t="s">
        <v>24</v>
      </c>
      <c r="H13" s="6" t="n">
        <f aca="true">ROUND(RAND()*4+6,1)</f>
        <v>8.2</v>
      </c>
      <c r="I13" s="6" t="s">
        <v>25</v>
      </c>
      <c r="J13" s="6" t="str">
        <f aca="false">ROUND(70*1,0)&amp;"%"</f>
        <v>70%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1676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1677</v>
      </c>
      <c r="B18" s="5" t="s">
        <v>56</v>
      </c>
      <c r="C18" s="5" t="s">
        <v>57</v>
      </c>
      <c r="D18" s="5" t="s">
        <v>16</v>
      </c>
      <c r="E18" s="5" t="n">
        <f aca="false">ROUND(4475*1.05,2)</f>
        <v>4698.75</v>
      </c>
      <c r="F18" s="5" t="s">
        <v>17</v>
      </c>
      <c r="G18" s="5" t="s">
        <v>18</v>
      </c>
      <c r="H18" s="5" t="n">
        <f aca="true">ROUND(RAND()*4+6,1)</f>
        <v>6.8</v>
      </c>
      <c r="I18" s="5" t="s">
        <v>19</v>
      </c>
      <c r="J18" s="5" t="str">
        <f aca="false">ROUND(80*1,0)&amp;"%"</f>
        <v>80%</v>
      </c>
    </row>
    <row r="19" customFormat="false" ht="15" hidden="false" customHeight="false" outlineLevel="0" collapsed="false">
      <c r="A19" s="6" t="s">
        <v>1678</v>
      </c>
      <c r="B19" s="6" t="s">
        <v>59</v>
      </c>
      <c r="C19" s="6" t="s">
        <v>57</v>
      </c>
      <c r="D19" s="6" t="s">
        <v>22</v>
      </c>
      <c r="E19" s="6" t="n">
        <f aca="false">ROUND(16702*1.05,2)</f>
        <v>17537.1</v>
      </c>
      <c r="F19" s="6" t="s">
        <v>23</v>
      </c>
      <c r="G19" s="6" t="s">
        <v>24</v>
      </c>
      <c r="H19" s="6" t="n">
        <f aca="true">ROUND(RAND()*4+6,1)</f>
        <v>6.7</v>
      </c>
      <c r="I19" s="6" t="s">
        <v>25</v>
      </c>
      <c r="J19" s="6" t="str">
        <f aca="false">ROUND(100*1,0)&amp;"%"</f>
        <v>100%</v>
      </c>
    </row>
    <row r="20" customFormat="false" ht="15" hidden="false" customHeight="false" outlineLevel="0" collapsed="false">
      <c r="A20" s="5" t="s">
        <v>1679</v>
      </c>
      <c r="B20" s="5" t="s">
        <v>61</v>
      </c>
      <c r="C20" s="5" t="s">
        <v>57</v>
      </c>
      <c r="D20" s="5" t="s">
        <v>28</v>
      </c>
      <c r="E20" s="5" t="n">
        <f aca="false">ROUND(14199*1.05,2)</f>
        <v>14908.95</v>
      </c>
      <c r="F20" s="5" t="s">
        <v>29</v>
      </c>
      <c r="G20" s="5" t="s">
        <v>30</v>
      </c>
      <c r="H20" s="5" t="n">
        <f aca="true">ROUND(RAND()*4+6,1)</f>
        <v>9.6</v>
      </c>
      <c r="I20" s="5" t="s">
        <v>31</v>
      </c>
      <c r="J20" s="5" t="str">
        <f aca="false">ROUND(64*1,0)&amp;"%"</f>
        <v>64%</v>
      </c>
    </row>
    <row r="21" customFormat="false" ht="15" hidden="false" customHeight="false" outlineLevel="0" collapsed="false">
      <c r="A21" s="6" t="s">
        <v>1680</v>
      </c>
      <c r="B21" s="6" t="s">
        <v>63</v>
      </c>
      <c r="C21" s="6" t="s">
        <v>57</v>
      </c>
      <c r="D21" s="6" t="s">
        <v>34</v>
      </c>
      <c r="E21" s="6" t="n">
        <f aca="false">ROUND(15489*1.05,2)</f>
        <v>16263.45</v>
      </c>
      <c r="F21" s="6" t="s">
        <v>35</v>
      </c>
      <c r="G21" s="6" t="s">
        <v>18</v>
      </c>
      <c r="H21" s="6" t="n">
        <f aca="true">ROUND(RAND()*4+6,1)</f>
        <v>9.5</v>
      </c>
      <c r="I21" s="6" t="s">
        <v>36</v>
      </c>
      <c r="J21" s="6" t="str">
        <f aca="false">ROUND(88*1,0)&amp;"%"</f>
        <v>88%</v>
      </c>
    </row>
    <row r="22" customFormat="false" ht="15" hidden="false" customHeight="false" outlineLevel="0" collapsed="false">
      <c r="A22" s="5" t="s">
        <v>1681</v>
      </c>
      <c r="B22" s="5" t="s">
        <v>65</v>
      </c>
      <c r="C22" s="5" t="s">
        <v>57</v>
      </c>
      <c r="D22" s="5" t="s">
        <v>39</v>
      </c>
      <c r="E22" s="5" t="n">
        <f aca="false">ROUND(15031*1.05,2)</f>
        <v>15782.55</v>
      </c>
      <c r="F22" s="5" t="s">
        <v>40</v>
      </c>
      <c r="G22" s="5" t="s">
        <v>24</v>
      </c>
      <c r="H22" s="5" t="n">
        <f aca="true">ROUND(RAND()*4+6,1)</f>
        <v>8.1</v>
      </c>
      <c r="I22" s="5" t="s">
        <v>41</v>
      </c>
      <c r="J22" s="5" t="str">
        <f aca="false">ROUND(62*1,0)&amp;"%"</f>
        <v>62%</v>
      </c>
    </row>
    <row r="23" customFormat="false" ht="15" hidden="false" customHeight="false" outlineLevel="0" collapsed="false">
      <c r="A23" s="6" t="s">
        <v>1682</v>
      </c>
      <c r="B23" s="6" t="s">
        <v>67</v>
      </c>
      <c r="C23" s="6" t="s">
        <v>57</v>
      </c>
      <c r="D23" s="6" t="s">
        <v>44</v>
      </c>
      <c r="E23" s="6" t="n">
        <f aca="false">ROUND(14709*1.05,2)</f>
        <v>15444.45</v>
      </c>
      <c r="F23" s="6" t="s">
        <v>45</v>
      </c>
      <c r="G23" s="6" t="s">
        <v>30</v>
      </c>
      <c r="H23" s="6" t="n">
        <f aca="true">ROUND(RAND()*4+6,1)</f>
        <v>7.4</v>
      </c>
      <c r="I23" s="6" t="s">
        <v>46</v>
      </c>
      <c r="J23" s="6" t="str">
        <f aca="false">ROUND(60*1,0)&amp;"%"</f>
        <v>60%</v>
      </c>
    </row>
    <row r="24" customFormat="false" ht="15" hidden="false" customHeight="false" outlineLevel="0" collapsed="false">
      <c r="A24" s="5" t="s">
        <v>1683</v>
      </c>
      <c r="B24" s="5" t="s">
        <v>69</v>
      </c>
      <c r="C24" s="5" t="s">
        <v>57</v>
      </c>
      <c r="D24" s="5" t="s">
        <v>16</v>
      </c>
      <c r="E24" s="5" t="n">
        <f aca="false">ROUND(10520*1.05,2)</f>
        <v>11046</v>
      </c>
      <c r="F24" s="5" t="s">
        <v>49</v>
      </c>
      <c r="G24" s="5" t="s">
        <v>18</v>
      </c>
      <c r="H24" s="5" t="n">
        <f aca="true">ROUND(RAND()*4+6,1)</f>
        <v>7.3</v>
      </c>
      <c r="I24" s="5" t="s">
        <v>19</v>
      </c>
      <c r="J24" s="5" t="str">
        <f aca="false">ROUND(88*1,0)&amp;"%"</f>
        <v>88%</v>
      </c>
    </row>
    <row r="25" customFormat="false" ht="15" hidden="false" customHeight="false" outlineLevel="0" collapsed="false">
      <c r="A25" s="6" t="s">
        <v>1684</v>
      </c>
      <c r="B25" s="6" t="s">
        <v>71</v>
      </c>
      <c r="C25" s="6" t="s">
        <v>57</v>
      </c>
      <c r="D25" s="6" t="s">
        <v>22</v>
      </c>
      <c r="E25" s="6" t="n">
        <f aca="false">ROUND(7368*1.05,2)</f>
        <v>7736.4</v>
      </c>
      <c r="F25" s="6" t="s">
        <v>52</v>
      </c>
      <c r="G25" s="6" t="s">
        <v>24</v>
      </c>
      <c r="H25" s="6" t="n">
        <f aca="true">ROUND(RAND()*4+6,1)</f>
        <v>7.9</v>
      </c>
      <c r="I25" s="6" t="s">
        <v>25</v>
      </c>
      <c r="J25" s="6" t="str">
        <f aca="false">ROUND(75*1,0)&amp;"%"</f>
        <v>75%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1685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1686</v>
      </c>
      <c r="B30" s="5" t="s">
        <v>75</v>
      </c>
      <c r="C30" s="5" t="s">
        <v>76</v>
      </c>
      <c r="D30" s="5" t="s">
        <v>16</v>
      </c>
      <c r="E30" s="5" t="n">
        <f aca="false">ROUND(11060*1.05,2)</f>
        <v>11613</v>
      </c>
      <c r="F30" s="5" t="s">
        <v>17</v>
      </c>
      <c r="G30" s="5" t="s">
        <v>18</v>
      </c>
      <c r="H30" s="5" t="n">
        <f aca="true">ROUND(RAND()*4+6,1)</f>
        <v>8.5</v>
      </c>
      <c r="I30" s="5" t="s">
        <v>19</v>
      </c>
      <c r="J30" s="5" t="str">
        <f aca="false">ROUND(92*1,0)&amp;"%"</f>
        <v>92%</v>
      </c>
    </row>
    <row r="31" customFormat="false" ht="15" hidden="false" customHeight="false" outlineLevel="0" collapsed="false">
      <c r="A31" s="6" t="s">
        <v>1687</v>
      </c>
      <c r="B31" s="6" t="s">
        <v>78</v>
      </c>
      <c r="C31" s="6" t="s">
        <v>76</v>
      </c>
      <c r="D31" s="6" t="s">
        <v>22</v>
      </c>
      <c r="E31" s="6" t="n">
        <f aca="false">ROUND(10221*1.05,2)</f>
        <v>10732.05</v>
      </c>
      <c r="F31" s="6" t="s">
        <v>23</v>
      </c>
      <c r="G31" s="6" t="s">
        <v>24</v>
      </c>
      <c r="H31" s="6" t="n">
        <f aca="true">ROUND(RAND()*4+6,1)</f>
        <v>7.7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1688</v>
      </c>
      <c r="B32" s="5" t="s">
        <v>80</v>
      </c>
      <c r="C32" s="5" t="s">
        <v>76</v>
      </c>
      <c r="D32" s="5" t="s">
        <v>28</v>
      </c>
      <c r="E32" s="5" t="n">
        <f aca="false">ROUND(10667*1.05,2)</f>
        <v>11200.35</v>
      </c>
      <c r="F32" s="5" t="s">
        <v>29</v>
      </c>
      <c r="G32" s="5" t="s">
        <v>30</v>
      </c>
      <c r="H32" s="5" t="n">
        <f aca="true">ROUND(RAND()*4+6,1)</f>
        <v>8.2</v>
      </c>
      <c r="I32" s="5" t="s">
        <v>31</v>
      </c>
      <c r="J32" s="5" t="str">
        <f aca="false">ROUND(83*1,0)&amp;"%"</f>
        <v>83%</v>
      </c>
    </row>
    <row r="33" customFormat="false" ht="15" hidden="false" customHeight="false" outlineLevel="0" collapsed="false">
      <c r="A33" s="6" t="s">
        <v>1689</v>
      </c>
      <c r="B33" s="6" t="s">
        <v>82</v>
      </c>
      <c r="C33" s="6" t="s">
        <v>76</v>
      </c>
      <c r="D33" s="6" t="s">
        <v>34</v>
      </c>
      <c r="E33" s="6" t="n">
        <f aca="false">ROUND(10042*1.05,2)</f>
        <v>10544.1</v>
      </c>
      <c r="F33" s="6" t="s">
        <v>35</v>
      </c>
      <c r="G33" s="6" t="s">
        <v>18</v>
      </c>
      <c r="H33" s="6" t="n">
        <f aca="true">ROUND(RAND()*4+6,1)</f>
        <v>6.1</v>
      </c>
      <c r="I33" s="6" t="s">
        <v>36</v>
      </c>
      <c r="J33" s="6" t="str">
        <f aca="false">ROUND(84*1,0)&amp;"%"</f>
        <v>84%</v>
      </c>
    </row>
    <row r="34" customFormat="false" ht="15" hidden="false" customHeight="false" outlineLevel="0" collapsed="false">
      <c r="A34" s="5" t="s">
        <v>1690</v>
      </c>
      <c r="B34" s="5" t="s">
        <v>84</v>
      </c>
      <c r="C34" s="5" t="s">
        <v>76</v>
      </c>
      <c r="D34" s="5" t="s">
        <v>39</v>
      </c>
      <c r="E34" s="5" t="n">
        <f aca="false">ROUND(12203*1.05,2)</f>
        <v>12813.15</v>
      </c>
      <c r="F34" s="5" t="s">
        <v>40</v>
      </c>
      <c r="G34" s="5" t="s">
        <v>24</v>
      </c>
      <c r="H34" s="5" t="n">
        <f aca="true">ROUND(RAND()*4+6,1)</f>
        <v>7.7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1691</v>
      </c>
      <c r="B35" s="6" t="s">
        <v>86</v>
      </c>
      <c r="C35" s="6" t="s">
        <v>76</v>
      </c>
      <c r="D35" s="6" t="s">
        <v>44</v>
      </c>
      <c r="E35" s="6" t="n">
        <f aca="false">ROUND(16687*1.05,2)</f>
        <v>17521.35</v>
      </c>
      <c r="F35" s="6" t="s">
        <v>45</v>
      </c>
      <c r="G35" s="6" t="s">
        <v>30</v>
      </c>
      <c r="H35" s="6" t="n">
        <f aca="true">ROUND(RAND()*4+6,1)</f>
        <v>7.8</v>
      </c>
      <c r="I35" s="6" t="s">
        <v>46</v>
      </c>
      <c r="J35" s="6" t="str">
        <f aca="false">ROUND(65*1,0)&amp;"%"</f>
        <v>65%</v>
      </c>
    </row>
    <row r="36" customFormat="false" ht="15" hidden="false" customHeight="false" outlineLevel="0" collapsed="false">
      <c r="A36" s="5" t="s">
        <v>1692</v>
      </c>
      <c r="B36" s="5" t="s">
        <v>88</v>
      </c>
      <c r="C36" s="5" t="s">
        <v>76</v>
      </c>
      <c r="D36" s="5" t="s">
        <v>16</v>
      </c>
      <c r="E36" s="5" t="n">
        <f aca="false">ROUND(6772*1.05,2)</f>
        <v>7110.6</v>
      </c>
      <c r="F36" s="5" t="s">
        <v>49</v>
      </c>
      <c r="G36" s="5" t="s">
        <v>18</v>
      </c>
      <c r="H36" s="5" t="n">
        <f aca="true">ROUND(RAND()*4+6,1)</f>
        <v>7.4</v>
      </c>
      <c r="I36" s="5" t="s">
        <v>19</v>
      </c>
      <c r="J36" s="5" t="str">
        <f aca="false">ROUND(90*1,0)&amp;"%"</f>
        <v>90%</v>
      </c>
    </row>
    <row r="37" customFormat="false" ht="15" hidden="false" customHeight="false" outlineLevel="0" collapsed="false">
      <c r="A37" s="6" t="s">
        <v>1693</v>
      </c>
      <c r="B37" s="6" t="s">
        <v>90</v>
      </c>
      <c r="C37" s="6" t="s">
        <v>76</v>
      </c>
      <c r="D37" s="6" t="s">
        <v>22</v>
      </c>
      <c r="E37" s="6" t="n">
        <f aca="false">ROUND(15586*1.05,2)</f>
        <v>16365.3</v>
      </c>
      <c r="F37" s="6" t="s">
        <v>52</v>
      </c>
      <c r="G37" s="6" t="s">
        <v>24</v>
      </c>
      <c r="H37" s="6" t="n">
        <f aca="true">ROUND(RAND()*4+6,1)</f>
        <v>9.7</v>
      </c>
      <c r="I37" s="6" t="s">
        <v>25</v>
      </c>
      <c r="J37" s="6" t="str">
        <f aca="false">ROUND(73*1,0)&amp;"%"</f>
        <v>73%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1694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1695</v>
      </c>
      <c r="B42" s="5" t="s">
        <v>94</v>
      </c>
      <c r="C42" s="5" t="s">
        <v>95</v>
      </c>
      <c r="D42" s="5" t="s">
        <v>16</v>
      </c>
      <c r="E42" s="5" t="n">
        <f aca="false">ROUND(10438*1.05,2)</f>
        <v>10959.9</v>
      </c>
      <c r="F42" s="5" t="s">
        <v>17</v>
      </c>
      <c r="G42" s="5" t="s">
        <v>18</v>
      </c>
      <c r="H42" s="5" t="n">
        <f aca="true">ROUND(RAND()*4+6,1)</f>
        <v>10</v>
      </c>
      <c r="I42" s="5" t="s">
        <v>19</v>
      </c>
      <c r="J42" s="5" t="str">
        <f aca="false">ROUND(66*1,0)&amp;"%"</f>
        <v>66%</v>
      </c>
    </row>
    <row r="43" customFormat="false" ht="15" hidden="false" customHeight="false" outlineLevel="0" collapsed="false">
      <c r="A43" s="6" t="s">
        <v>1696</v>
      </c>
      <c r="B43" s="6" t="s">
        <v>97</v>
      </c>
      <c r="C43" s="6" t="s">
        <v>95</v>
      </c>
      <c r="D43" s="6" t="s">
        <v>22</v>
      </c>
      <c r="E43" s="6" t="n">
        <f aca="false">ROUND(17447*1.05,2)</f>
        <v>18319.35</v>
      </c>
      <c r="F43" s="6" t="s">
        <v>23</v>
      </c>
      <c r="G43" s="6" t="s">
        <v>24</v>
      </c>
      <c r="H43" s="6" t="n">
        <f aca="true">ROUND(RAND()*4+6,1)</f>
        <v>8.4</v>
      </c>
      <c r="I43" s="6" t="s">
        <v>25</v>
      </c>
      <c r="J43" s="6" t="str">
        <f aca="false">ROUND(98*1,0)&amp;"%"</f>
        <v>98%</v>
      </c>
    </row>
    <row r="44" customFormat="false" ht="15" hidden="false" customHeight="false" outlineLevel="0" collapsed="false">
      <c r="A44" s="5" t="s">
        <v>1697</v>
      </c>
      <c r="B44" s="5" t="s">
        <v>99</v>
      </c>
      <c r="C44" s="5" t="s">
        <v>95</v>
      </c>
      <c r="D44" s="5" t="s">
        <v>28</v>
      </c>
      <c r="E44" s="5" t="n">
        <f aca="false">ROUND(14874*1.05,2)</f>
        <v>15617.7</v>
      </c>
      <c r="F44" s="5" t="s">
        <v>29</v>
      </c>
      <c r="G44" s="5" t="s">
        <v>30</v>
      </c>
      <c r="H44" s="5" t="n">
        <f aca="true">ROUND(RAND()*4+6,1)</f>
        <v>6.4</v>
      </c>
      <c r="I44" s="5" t="s">
        <v>31</v>
      </c>
      <c r="J44" s="5" t="str">
        <f aca="false">ROUND(90*1,0)&amp;"%"</f>
        <v>90%</v>
      </c>
    </row>
    <row r="45" customFormat="false" ht="15" hidden="false" customHeight="false" outlineLevel="0" collapsed="false">
      <c r="A45" s="6" t="s">
        <v>1698</v>
      </c>
      <c r="B45" s="6" t="s">
        <v>101</v>
      </c>
      <c r="C45" s="6" t="s">
        <v>95</v>
      </c>
      <c r="D45" s="6" t="s">
        <v>34</v>
      </c>
      <c r="E45" s="6" t="n">
        <f aca="false">ROUND(14464*1.05,2)</f>
        <v>15187.2</v>
      </c>
      <c r="F45" s="6" t="s">
        <v>35</v>
      </c>
      <c r="G45" s="6" t="s">
        <v>18</v>
      </c>
      <c r="H45" s="6" t="n">
        <f aca="true">ROUND(RAND()*4+6,1)</f>
        <v>9.8</v>
      </c>
      <c r="I45" s="6" t="s">
        <v>36</v>
      </c>
      <c r="J45" s="6" t="str">
        <f aca="false">ROUND(76*1,0)&amp;"%"</f>
        <v>76%</v>
      </c>
    </row>
    <row r="46" customFormat="false" ht="15" hidden="false" customHeight="false" outlineLevel="0" collapsed="false">
      <c r="A46" s="5" t="s">
        <v>1699</v>
      </c>
      <c r="B46" s="5" t="s">
        <v>103</v>
      </c>
      <c r="C46" s="5" t="s">
        <v>95</v>
      </c>
      <c r="D46" s="5" t="s">
        <v>39</v>
      </c>
      <c r="E46" s="5" t="n">
        <f aca="false">ROUND(13627*1.05,2)</f>
        <v>14308.35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ROUND(74*1,0)&amp;"%"</f>
        <v>74%</v>
      </c>
    </row>
    <row r="47" customFormat="false" ht="15" hidden="false" customHeight="false" outlineLevel="0" collapsed="false">
      <c r="A47" s="6" t="s">
        <v>1700</v>
      </c>
      <c r="B47" s="6" t="s">
        <v>105</v>
      </c>
      <c r="C47" s="6" t="s">
        <v>95</v>
      </c>
      <c r="D47" s="6" t="s">
        <v>44</v>
      </c>
      <c r="E47" s="6" t="n">
        <f aca="false">ROUND(16801*1.05,2)</f>
        <v>17641.05</v>
      </c>
      <c r="F47" s="6" t="s">
        <v>45</v>
      </c>
      <c r="G47" s="6" t="s">
        <v>30</v>
      </c>
      <c r="H47" s="6" t="n">
        <f aca="true">ROUND(RAND()*4+6,1)</f>
        <v>6.8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1701</v>
      </c>
      <c r="B48" s="5" t="s">
        <v>107</v>
      </c>
      <c r="C48" s="5" t="s">
        <v>95</v>
      </c>
      <c r="D48" s="5" t="s">
        <v>16</v>
      </c>
      <c r="E48" s="5" t="n">
        <f aca="false">ROUND(7019*1.05,2)</f>
        <v>7369.95</v>
      </c>
      <c r="F48" s="5" t="s">
        <v>49</v>
      </c>
      <c r="G48" s="5" t="s">
        <v>18</v>
      </c>
      <c r="H48" s="5" t="n">
        <f aca="true">ROUND(RAND()*4+6,1)</f>
        <v>7.3</v>
      </c>
      <c r="I48" s="5" t="s">
        <v>19</v>
      </c>
      <c r="J48" s="5" t="str">
        <f aca="false">ROUND(66*1,0)&amp;"%"</f>
        <v>66%</v>
      </c>
    </row>
    <row r="49" customFormat="false" ht="15" hidden="false" customHeight="false" outlineLevel="0" collapsed="false">
      <c r="A49" s="6" t="s">
        <v>1702</v>
      </c>
      <c r="B49" s="6" t="s">
        <v>109</v>
      </c>
      <c r="C49" s="6" t="s">
        <v>95</v>
      </c>
      <c r="D49" s="6" t="s">
        <v>22</v>
      </c>
      <c r="E49" s="6" t="n">
        <f aca="false">ROUND(7625*1.05,2)</f>
        <v>8006.25</v>
      </c>
      <c r="F49" s="6" t="s">
        <v>52</v>
      </c>
      <c r="G49" s="6" t="s">
        <v>24</v>
      </c>
      <c r="H49" s="6" t="n">
        <f aca="true">ROUND(RAND()*4+6,1)</f>
        <v>9.1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1703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1704</v>
      </c>
      <c r="B54" s="5" t="s">
        <v>113</v>
      </c>
      <c r="C54" s="5" t="s">
        <v>114</v>
      </c>
      <c r="D54" s="5" t="s">
        <v>16</v>
      </c>
      <c r="E54" s="5" t="n">
        <f aca="false">ROUND(16615*1.05,2)</f>
        <v>17445.75</v>
      </c>
      <c r="F54" s="5" t="s">
        <v>17</v>
      </c>
      <c r="G54" s="5" t="s">
        <v>18</v>
      </c>
      <c r="H54" s="5" t="n">
        <f aca="true">ROUND(RAND()*4+6,1)</f>
        <v>6.9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1705</v>
      </c>
      <c r="B55" s="6" t="s">
        <v>116</v>
      </c>
      <c r="C55" s="6" t="s">
        <v>114</v>
      </c>
      <c r="D55" s="6" t="s">
        <v>22</v>
      </c>
      <c r="E55" s="6" t="n">
        <f aca="false">ROUND(13455*1.05,2)</f>
        <v>14127.75</v>
      </c>
      <c r="F55" s="6" t="s">
        <v>23</v>
      </c>
      <c r="G55" s="6" t="s">
        <v>24</v>
      </c>
      <c r="H55" s="6" t="n">
        <f aca="true">ROUND(RAND()*4+6,1)</f>
        <v>6.7</v>
      </c>
      <c r="I55" s="6" t="s">
        <v>25</v>
      </c>
      <c r="J55" s="6" t="str">
        <f aca="false">ROUND(80*1,0)&amp;"%"</f>
        <v>80%</v>
      </c>
    </row>
    <row r="56" customFormat="false" ht="15" hidden="false" customHeight="false" outlineLevel="0" collapsed="false">
      <c r="A56" s="5" t="s">
        <v>1706</v>
      </c>
      <c r="B56" s="5" t="s">
        <v>118</v>
      </c>
      <c r="C56" s="5" t="s">
        <v>114</v>
      </c>
      <c r="D56" s="5" t="s">
        <v>28</v>
      </c>
      <c r="E56" s="5" t="n">
        <f aca="false">ROUND(10348*1.05,2)</f>
        <v>10865.4</v>
      </c>
      <c r="F56" s="5" t="s">
        <v>29</v>
      </c>
      <c r="G56" s="5" t="s">
        <v>30</v>
      </c>
      <c r="H56" s="5" t="n">
        <f aca="true">ROUND(RAND()*4+6,1)</f>
        <v>9.8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1707</v>
      </c>
      <c r="B57" s="6" t="s">
        <v>120</v>
      </c>
      <c r="C57" s="6" t="s">
        <v>114</v>
      </c>
      <c r="D57" s="6" t="s">
        <v>34</v>
      </c>
      <c r="E57" s="6" t="n">
        <f aca="false">ROUND(7386*1.05,2)</f>
        <v>7755.3</v>
      </c>
      <c r="F57" s="6" t="s">
        <v>35</v>
      </c>
      <c r="G57" s="6" t="s">
        <v>18</v>
      </c>
      <c r="H57" s="6" t="n">
        <f aca="true">ROUND(RAND()*4+6,1)</f>
        <v>6.2</v>
      </c>
      <c r="I57" s="6" t="s">
        <v>36</v>
      </c>
      <c r="J57" s="6" t="str">
        <f aca="false">ROUND(71*1,0)&amp;"%"</f>
        <v>71%</v>
      </c>
    </row>
    <row r="58" customFormat="false" ht="15" hidden="false" customHeight="false" outlineLevel="0" collapsed="false">
      <c r="A58" s="5" t="s">
        <v>1708</v>
      </c>
      <c r="B58" s="5" t="s">
        <v>122</v>
      </c>
      <c r="C58" s="5" t="s">
        <v>114</v>
      </c>
      <c r="D58" s="5" t="s">
        <v>39</v>
      </c>
      <c r="E58" s="5" t="n">
        <f aca="false">ROUND(8361*1.05,2)</f>
        <v>8779.05</v>
      </c>
      <c r="F58" s="5" t="s">
        <v>40</v>
      </c>
      <c r="G58" s="5" t="s">
        <v>24</v>
      </c>
      <c r="H58" s="5" t="n">
        <f aca="true">ROUND(RAND()*4+6,1)</f>
        <v>8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1709</v>
      </c>
      <c r="B59" s="6" t="s">
        <v>124</v>
      </c>
      <c r="C59" s="6" t="s">
        <v>114</v>
      </c>
      <c r="D59" s="6" t="s">
        <v>44</v>
      </c>
      <c r="E59" s="6" t="n">
        <f aca="false">ROUND(12327*1.05,2)</f>
        <v>12943.35</v>
      </c>
      <c r="F59" s="6" t="s">
        <v>45</v>
      </c>
      <c r="G59" s="6" t="s">
        <v>30</v>
      </c>
      <c r="H59" s="6" t="n">
        <f aca="true">ROUND(RAND()*4+6,1)</f>
        <v>6.2</v>
      </c>
      <c r="I59" s="6" t="s">
        <v>46</v>
      </c>
      <c r="J59" s="6" t="str">
        <f aca="false">ROUND(92*1,0)&amp;"%"</f>
        <v>92%</v>
      </c>
    </row>
    <row r="60" customFormat="false" ht="15" hidden="false" customHeight="false" outlineLevel="0" collapsed="false">
      <c r="A60" s="5" t="s">
        <v>1710</v>
      </c>
      <c r="B60" s="5" t="s">
        <v>126</v>
      </c>
      <c r="C60" s="5" t="s">
        <v>114</v>
      </c>
      <c r="D60" s="5" t="s">
        <v>16</v>
      </c>
      <c r="E60" s="5" t="n">
        <f aca="false">ROUND(15768*1.05,2)</f>
        <v>16556.4</v>
      </c>
      <c r="F60" s="5" t="s">
        <v>49</v>
      </c>
      <c r="G60" s="5" t="s">
        <v>18</v>
      </c>
      <c r="H60" s="5" t="n">
        <f aca="true">ROUND(RAND()*4+6,1)</f>
        <v>6.5</v>
      </c>
      <c r="I60" s="5" t="s">
        <v>19</v>
      </c>
      <c r="J60" s="5" t="str">
        <f aca="false">ROUND(70*1,0)&amp;"%"</f>
        <v>70%</v>
      </c>
    </row>
    <row r="61" customFormat="false" ht="15" hidden="false" customHeight="false" outlineLevel="0" collapsed="false">
      <c r="A61" s="6" t="s">
        <v>1711</v>
      </c>
      <c r="B61" s="6" t="s">
        <v>128</v>
      </c>
      <c r="C61" s="6" t="s">
        <v>114</v>
      </c>
      <c r="D61" s="6" t="s">
        <v>22</v>
      </c>
      <c r="E61" s="6" t="n">
        <f aca="false">ROUND(9241*1.05,2)</f>
        <v>9703.05</v>
      </c>
      <c r="F61" s="6" t="s">
        <v>52</v>
      </c>
      <c r="G61" s="6" t="s">
        <v>24</v>
      </c>
      <c r="H61" s="6" t="n">
        <f aca="true">ROUND(RAND()*4+6,1)</f>
        <v>6.3</v>
      </c>
      <c r="I61" s="6" t="s">
        <v>25</v>
      </c>
      <c r="J61" s="6" t="str">
        <f aca="false">ROUND(89*1,0)&amp;"%"</f>
        <v>89%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1712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1713</v>
      </c>
      <c r="B66" s="5" t="s">
        <v>132</v>
      </c>
      <c r="C66" s="5" t="s">
        <v>133</v>
      </c>
      <c r="D66" s="5" t="s">
        <v>16</v>
      </c>
      <c r="E66" s="5" t="n">
        <f aca="false">ROUND(5559*1.05,2)</f>
        <v>5836.95</v>
      </c>
      <c r="F66" s="5" t="s">
        <v>17</v>
      </c>
      <c r="G66" s="5" t="s">
        <v>18</v>
      </c>
      <c r="H66" s="5" t="n">
        <f aca="true">ROUND(RAND()*4+6,1)</f>
        <v>6.7</v>
      </c>
      <c r="I66" s="5" t="s">
        <v>19</v>
      </c>
      <c r="J66" s="5" t="str">
        <f aca="false">ROUND(80*1,0)&amp;"%"</f>
        <v>80%</v>
      </c>
    </row>
    <row r="67" customFormat="false" ht="15" hidden="false" customHeight="false" outlineLevel="0" collapsed="false">
      <c r="A67" s="6" t="s">
        <v>1714</v>
      </c>
      <c r="B67" s="6" t="s">
        <v>135</v>
      </c>
      <c r="C67" s="6" t="s">
        <v>133</v>
      </c>
      <c r="D67" s="6" t="s">
        <v>22</v>
      </c>
      <c r="E67" s="6" t="n">
        <f aca="false">ROUND(17832*1.05,2)</f>
        <v>18723.6</v>
      </c>
      <c r="F67" s="6" t="s">
        <v>23</v>
      </c>
      <c r="G67" s="6" t="s">
        <v>24</v>
      </c>
      <c r="H67" s="6" t="n">
        <f aca="true">ROUND(RAND()*4+6,1)</f>
        <v>9.9</v>
      </c>
      <c r="I67" s="6" t="s">
        <v>25</v>
      </c>
      <c r="J67" s="6" t="str">
        <f aca="false">ROUND(62*1,0)&amp;"%"</f>
        <v>62%</v>
      </c>
    </row>
    <row r="68" customFormat="false" ht="15" hidden="false" customHeight="false" outlineLevel="0" collapsed="false">
      <c r="A68" s="5" t="s">
        <v>1715</v>
      </c>
      <c r="B68" s="5" t="s">
        <v>137</v>
      </c>
      <c r="C68" s="5" t="s">
        <v>133</v>
      </c>
      <c r="D68" s="5" t="s">
        <v>28</v>
      </c>
      <c r="E68" s="5" t="n">
        <f aca="false">ROUND(7369*1.05,2)</f>
        <v>7737.45</v>
      </c>
      <c r="F68" s="5" t="s">
        <v>29</v>
      </c>
      <c r="G68" s="5" t="s">
        <v>30</v>
      </c>
      <c r="H68" s="5" t="n">
        <f aca="true">ROUND(RAND()*4+6,1)</f>
        <v>6.3</v>
      </c>
      <c r="I68" s="5" t="s">
        <v>31</v>
      </c>
      <c r="J68" s="5" t="str">
        <f aca="false">ROUND(65*1,0)&amp;"%"</f>
        <v>65%</v>
      </c>
    </row>
    <row r="69" customFormat="false" ht="15" hidden="false" customHeight="false" outlineLevel="0" collapsed="false">
      <c r="A69" s="6" t="s">
        <v>1716</v>
      </c>
      <c r="B69" s="6" t="s">
        <v>139</v>
      </c>
      <c r="C69" s="6" t="s">
        <v>133</v>
      </c>
      <c r="D69" s="6" t="s">
        <v>34</v>
      </c>
      <c r="E69" s="6" t="n">
        <f aca="false">ROUND(9416*1.05,2)</f>
        <v>9886.8</v>
      </c>
      <c r="F69" s="6" t="s">
        <v>35</v>
      </c>
      <c r="G69" s="6" t="s">
        <v>18</v>
      </c>
      <c r="H69" s="6" t="n">
        <f aca="true">ROUND(RAND()*4+6,1)</f>
        <v>6.8</v>
      </c>
      <c r="I69" s="6" t="s">
        <v>36</v>
      </c>
      <c r="J69" s="6" t="str">
        <f aca="false">ROUND(84*1,0)&amp;"%"</f>
        <v>84%</v>
      </c>
    </row>
    <row r="70" customFormat="false" ht="15" hidden="false" customHeight="false" outlineLevel="0" collapsed="false">
      <c r="A70" s="5" t="s">
        <v>1717</v>
      </c>
      <c r="B70" s="5" t="s">
        <v>141</v>
      </c>
      <c r="C70" s="5" t="s">
        <v>133</v>
      </c>
      <c r="D70" s="5" t="s">
        <v>39</v>
      </c>
      <c r="E70" s="5" t="n">
        <f aca="false">ROUND(11256*1.05,2)</f>
        <v>11818.8</v>
      </c>
      <c r="F70" s="5" t="s">
        <v>40</v>
      </c>
      <c r="G70" s="5" t="s">
        <v>24</v>
      </c>
      <c r="H70" s="5" t="n">
        <f aca="true">ROUND(RAND()*4+6,1)</f>
        <v>6.5</v>
      </c>
      <c r="I70" s="5" t="s">
        <v>41</v>
      </c>
      <c r="J70" s="5" t="str">
        <f aca="false">ROUND(80*1,0)&amp;"%"</f>
        <v>80%</v>
      </c>
    </row>
    <row r="71" customFormat="false" ht="15" hidden="false" customHeight="false" outlineLevel="0" collapsed="false">
      <c r="A71" s="6" t="s">
        <v>1718</v>
      </c>
      <c r="B71" s="6" t="s">
        <v>143</v>
      </c>
      <c r="C71" s="6" t="s">
        <v>133</v>
      </c>
      <c r="D71" s="6" t="s">
        <v>44</v>
      </c>
      <c r="E71" s="6" t="n">
        <f aca="false">ROUND(13157*1.05,2)</f>
        <v>13814.85</v>
      </c>
      <c r="F71" s="6" t="s">
        <v>45</v>
      </c>
      <c r="G71" s="6" t="s">
        <v>30</v>
      </c>
      <c r="H71" s="6" t="n">
        <f aca="true">ROUND(RAND()*4+6,1)</f>
        <v>8.4</v>
      </c>
      <c r="I71" s="6" t="s">
        <v>46</v>
      </c>
      <c r="J71" s="6" t="str">
        <f aca="false">ROUND(66*1,0)&amp;"%"</f>
        <v>66%</v>
      </c>
    </row>
    <row r="72" customFormat="false" ht="15" hidden="false" customHeight="false" outlineLevel="0" collapsed="false">
      <c r="A72" s="5" t="s">
        <v>1719</v>
      </c>
      <c r="B72" s="5" t="s">
        <v>145</v>
      </c>
      <c r="C72" s="5" t="s">
        <v>133</v>
      </c>
      <c r="D72" s="5" t="s">
        <v>16</v>
      </c>
      <c r="E72" s="5" t="n">
        <f aca="false">ROUND(8241*1.05,2)</f>
        <v>8653.05</v>
      </c>
      <c r="F72" s="5" t="s">
        <v>49</v>
      </c>
      <c r="G72" s="5" t="s">
        <v>18</v>
      </c>
      <c r="H72" s="5" t="n">
        <f aca="true">ROUND(RAND()*4+6,1)</f>
        <v>9</v>
      </c>
      <c r="I72" s="5" t="s">
        <v>19</v>
      </c>
      <c r="J72" s="5" t="str">
        <f aca="false">ROUND(70*1,0)&amp;"%"</f>
        <v>70%</v>
      </c>
    </row>
    <row r="73" customFormat="false" ht="15" hidden="false" customHeight="false" outlineLevel="0" collapsed="false">
      <c r="A73" s="6" t="s">
        <v>1720</v>
      </c>
      <c r="B73" s="6" t="s">
        <v>147</v>
      </c>
      <c r="C73" s="6" t="s">
        <v>133</v>
      </c>
      <c r="D73" s="6" t="s">
        <v>22</v>
      </c>
      <c r="E73" s="6" t="n">
        <f aca="false">ROUND(16769*1.05,2)</f>
        <v>17607.45</v>
      </c>
      <c r="F73" s="6" t="s">
        <v>52</v>
      </c>
      <c r="G73" s="6" t="s">
        <v>24</v>
      </c>
      <c r="H73" s="6" t="n">
        <f aca="true">ROUND(RAND()*4+6,1)</f>
        <v>6.2</v>
      </c>
      <c r="I73" s="6" t="s">
        <v>25</v>
      </c>
      <c r="J73" s="6" t="str">
        <f aca="false">ROUND(96*1,0)&amp;"%"</f>
        <v>96%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1721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1722</v>
      </c>
      <c r="B78" s="5" t="s">
        <v>151</v>
      </c>
      <c r="C78" s="5" t="s">
        <v>152</v>
      </c>
      <c r="D78" s="5" t="s">
        <v>16</v>
      </c>
      <c r="E78" s="5" t="n">
        <f aca="false">ROUND(6195*1.05,2)</f>
        <v>6504.75</v>
      </c>
      <c r="F78" s="5" t="s">
        <v>17</v>
      </c>
      <c r="G78" s="5" t="s">
        <v>18</v>
      </c>
      <c r="H78" s="5" t="n">
        <f aca="true">ROUND(RAND()*4+6,1)</f>
        <v>7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1723</v>
      </c>
      <c r="B79" s="6" t="s">
        <v>154</v>
      </c>
      <c r="C79" s="6" t="s">
        <v>152</v>
      </c>
      <c r="D79" s="6" t="s">
        <v>22</v>
      </c>
      <c r="E79" s="6" t="n">
        <f aca="false">ROUND(12522*1.05,2)</f>
        <v>13148.1</v>
      </c>
      <c r="F79" s="6" t="s">
        <v>23</v>
      </c>
      <c r="G79" s="6" t="s">
        <v>24</v>
      </c>
      <c r="H79" s="6" t="n">
        <f aca="true">ROUND(RAND()*4+6,1)</f>
        <v>8.6</v>
      </c>
      <c r="I79" s="6" t="s">
        <v>25</v>
      </c>
      <c r="J79" s="6" t="str">
        <f aca="false">ROUND(76*1,0)&amp;"%"</f>
        <v>76%</v>
      </c>
    </row>
    <row r="80" customFormat="false" ht="15" hidden="false" customHeight="false" outlineLevel="0" collapsed="false">
      <c r="A80" s="5" t="s">
        <v>1724</v>
      </c>
      <c r="B80" s="5" t="s">
        <v>156</v>
      </c>
      <c r="C80" s="5" t="s">
        <v>152</v>
      </c>
      <c r="D80" s="5" t="s">
        <v>28</v>
      </c>
      <c r="E80" s="5" t="n">
        <f aca="false">ROUND(15170*1.05,2)</f>
        <v>15928.5</v>
      </c>
      <c r="F80" s="5" t="s">
        <v>29</v>
      </c>
      <c r="G80" s="5" t="s">
        <v>30</v>
      </c>
      <c r="H80" s="5" t="n">
        <f aca="true">ROUND(RAND()*4+6,1)</f>
        <v>6.1</v>
      </c>
      <c r="I80" s="5" t="s">
        <v>31</v>
      </c>
      <c r="J80" s="5" t="str">
        <f aca="false">ROUND(89*1,0)&amp;"%"</f>
        <v>89%</v>
      </c>
    </row>
    <row r="81" customFormat="false" ht="15" hidden="false" customHeight="false" outlineLevel="0" collapsed="false">
      <c r="A81" s="6" t="s">
        <v>1725</v>
      </c>
      <c r="B81" s="6" t="s">
        <v>158</v>
      </c>
      <c r="C81" s="6" t="s">
        <v>152</v>
      </c>
      <c r="D81" s="6" t="s">
        <v>34</v>
      </c>
      <c r="E81" s="6" t="n">
        <f aca="false">ROUND(6127*1.05,2)</f>
        <v>6433.35</v>
      </c>
      <c r="F81" s="6" t="s">
        <v>35</v>
      </c>
      <c r="G81" s="6" t="s">
        <v>18</v>
      </c>
      <c r="H81" s="6" t="n">
        <f aca="true">ROUND(RAND()*4+6,1)</f>
        <v>7.4</v>
      </c>
      <c r="I81" s="6" t="s">
        <v>36</v>
      </c>
      <c r="J81" s="6" t="str">
        <f aca="false">ROUND(82*1,0)&amp;"%"</f>
        <v>82%</v>
      </c>
    </row>
    <row r="82" customFormat="false" ht="15" hidden="false" customHeight="false" outlineLevel="0" collapsed="false">
      <c r="A82" s="5" t="s">
        <v>1726</v>
      </c>
      <c r="B82" s="5" t="s">
        <v>160</v>
      </c>
      <c r="C82" s="5" t="s">
        <v>152</v>
      </c>
      <c r="D82" s="5" t="s">
        <v>39</v>
      </c>
      <c r="E82" s="5" t="n">
        <f aca="false">ROUND(7807*1.05,2)</f>
        <v>8197.35</v>
      </c>
      <c r="F82" s="5" t="s">
        <v>40</v>
      </c>
      <c r="G82" s="5" t="s">
        <v>24</v>
      </c>
      <c r="H82" s="5" t="n">
        <f aca="true">ROUND(RAND()*4+6,1)</f>
        <v>7.2</v>
      </c>
      <c r="I82" s="5" t="s">
        <v>41</v>
      </c>
      <c r="J82" s="5" t="str">
        <f aca="false">ROUND(62*1,0)&amp;"%"</f>
        <v>62%</v>
      </c>
    </row>
    <row r="83" customFormat="false" ht="15" hidden="false" customHeight="false" outlineLevel="0" collapsed="false">
      <c r="A83" s="6" t="s">
        <v>1727</v>
      </c>
      <c r="B83" s="6" t="s">
        <v>162</v>
      </c>
      <c r="C83" s="6" t="s">
        <v>152</v>
      </c>
      <c r="D83" s="6" t="s">
        <v>44</v>
      </c>
      <c r="E83" s="6" t="n">
        <f aca="false">ROUND(6836*1.05,2)</f>
        <v>7177.8</v>
      </c>
      <c r="F83" s="6" t="s">
        <v>45</v>
      </c>
      <c r="G83" s="6" t="s">
        <v>30</v>
      </c>
      <c r="H83" s="6" t="n">
        <f aca="true">ROUND(RAND()*4+6,1)</f>
        <v>6.4</v>
      </c>
      <c r="I83" s="6" t="s">
        <v>46</v>
      </c>
      <c r="J83" s="6" t="str">
        <f aca="false">ROUND(95*1,0)&amp;"%"</f>
        <v>95%</v>
      </c>
    </row>
    <row r="84" customFormat="false" ht="15" hidden="false" customHeight="false" outlineLevel="0" collapsed="false">
      <c r="A84" s="5" t="s">
        <v>1728</v>
      </c>
      <c r="B84" s="5" t="s">
        <v>164</v>
      </c>
      <c r="C84" s="5" t="s">
        <v>152</v>
      </c>
      <c r="D84" s="5" t="s">
        <v>16</v>
      </c>
      <c r="E84" s="5" t="n">
        <f aca="false">ROUND(9078*1.05,2)</f>
        <v>9531.9</v>
      </c>
      <c r="F84" s="5" t="s">
        <v>49</v>
      </c>
      <c r="G84" s="5" t="s">
        <v>18</v>
      </c>
      <c r="H84" s="5" t="n">
        <f aca="true">ROUND(RAND()*4+6,1)</f>
        <v>8</v>
      </c>
      <c r="I84" s="5" t="s">
        <v>19</v>
      </c>
      <c r="J84" s="5" t="str">
        <f aca="false">ROUND(70*1,0)&amp;"%"</f>
        <v>70%</v>
      </c>
    </row>
    <row r="85" customFormat="false" ht="15" hidden="false" customHeight="false" outlineLevel="0" collapsed="false">
      <c r="A85" s="6" t="s">
        <v>1729</v>
      </c>
      <c r="B85" s="6" t="s">
        <v>166</v>
      </c>
      <c r="C85" s="6" t="s">
        <v>152</v>
      </c>
      <c r="D85" s="6" t="s">
        <v>22</v>
      </c>
      <c r="E85" s="6" t="n">
        <f aca="false">ROUND(17074*1.05,2)</f>
        <v>17927.7</v>
      </c>
      <c r="F85" s="6" t="s">
        <v>52</v>
      </c>
      <c r="G85" s="6" t="s">
        <v>24</v>
      </c>
      <c r="H85" s="6" t="n">
        <f aca="true">ROUND(RAND()*4+6,1)</f>
        <v>9.4</v>
      </c>
      <c r="I85" s="6" t="s">
        <v>25</v>
      </c>
      <c r="J85" s="6" t="str">
        <f aca="false">ROUND(94*1,0)&amp;"%"</f>
        <v>94%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1730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1731</v>
      </c>
      <c r="B90" s="5" t="s">
        <v>170</v>
      </c>
      <c r="C90" s="5" t="s">
        <v>15</v>
      </c>
      <c r="D90" s="5" t="s">
        <v>16</v>
      </c>
      <c r="E90" s="5" t="n">
        <f aca="false">ROUND(9813*1.05,2)</f>
        <v>10303.65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ROUND(66*1,0)&amp;"%"</f>
        <v>66%</v>
      </c>
    </row>
    <row r="91" customFormat="false" ht="15" hidden="false" customHeight="false" outlineLevel="0" collapsed="false">
      <c r="A91" s="6" t="s">
        <v>1732</v>
      </c>
      <c r="B91" s="6" t="s">
        <v>172</v>
      </c>
      <c r="C91" s="6" t="s">
        <v>15</v>
      </c>
      <c r="D91" s="6" t="s">
        <v>22</v>
      </c>
      <c r="E91" s="6" t="n">
        <f aca="false">ROUND(11667*1.05,2)</f>
        <v>12250.35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ROUND(69*1,0)&amp;"%"</f>
        <v>69%</v>
      </c>
    </row>
    <row r="92" customFormat="false" ht="15" hidden="false" customHeight="false" outlineLevel="0" collapsed="false">
      <c r="A92" s="5" t="s">
        <v>1733</v>
      </c>
      <c r="B92" s="5" t="s">
        <v>174</v>
      </c>
      <c r="C92" s="5" t="s">
        <v>15</v>
      </c>
      <c r="D92" s="5" t="s">
        <v>28</v>
      </c>
      <c r="E92" s="5" t="n">
        <f aca="false">ROUND(15828*1.05,2)</f>
        <v>16619.4</v>
      </c>
      <c r="F92" s="5" t="s">
        <v>29</v>
      </c>
      <c r="G92" s="5" t="s">
        <v>30</v>
      </c>
      <c r="H92" s="5" t="n">
        <f aca="true">ROUND(RAND()*4+6,1)</f>
        <v>6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1734</v>
      </c>
      <c r="B93" s="6" t="s">
        <v>176</v>
      </c>
      <c r="C93" s="6" t="s">
        <v>15</v>
      </c>
      <c r="D93" s="6" t="s">
        <v>34</v>
      </c>
      <c r="E93" s="6" t="n">
        <f aca="false">ROUND(15143*1.05,2)</f>
        <v>15900.15</v>
      </c>
      <c r="F93" s="6" t="s">
        <v>35</v>
      </c>
      <c r="G93" s="6" t="s">
        <v>18</v>
      </c>
      <c r="H93" s="6" t="n">
        <f aca="true">ROUND(RAND()*4+6,1)</f>
        <v>8</v>
      </c>
      <c r="I93" s="6" t="s">
        <v>36</v>
      </c>
      <c r="J93" s="6" t="str">
        <f aca="false">ROUND(63*1,0)&amp;"%"</f>
        <v>63%</v>
      </c>
    </row>
    <row r="94" customFormat="false" ht="15" hidden="false" customHeight="false" outlineLevel="0" collapsed="false">
      <c r="A94" s="5" t="s">
        <v>1735</v>
      </c>
      <c r="B94" s="5" t="s">
        <v>178</v>
      </c>
      <c r="C94" s="5" t="s">
        <v>15</v>
      </c>
      <c r="D94" s="5" t="s">
        <v>39</v>
      </c>
      <c r="E94" s="5" t="n">
        <f aca="false">ROUND(7375*1.05,2)</f>
        <v>7743.75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ROUND(85*1,0)&amp;"%"</f>
        <v>85%</v>
      </c>
    </row>
    <row r="95" customFormat="false" ht="15" hidden="false" customHeight="false" outlineLevel="0" collapsed="false">
      <c r="A95" s="6" t="s">
        <v>1736</v>
      </c>
      <c r="B95" s="6" t="s">
        <v>180</v>
      </c>
      <c r="C95" s="6" t="s">
        <v>15</v>
      </c>
      <c r="D95" s="6" t="s">
        <v>44</v>
      </c>
      <c r="E95" s="6" t="n">
        <f aca="false">ROUND(6146*1.05,2)</f>
        <v>6453.3</v>
      </c>
      <c r="F95" s="6" t="s">
        <v>45</v>
      </c>
      <c r="G95" s="6" t="s">
        <v>30</v>
      </c>
      <c r="H95" s="6" t="n">
        <f aca="true">ROUND(RAND()*4+6,1)</f>
        <v>8.7</v>
      </c>
      <c r="I95" s="6" t="s">
        <v>46</v>
      </c>
      <c r="J95" s="6" t="str">
        <f aca="false">ROUND(65*1,0)&amp;"%"</f>
        <v>65%</v>
      </c>
    </row>
    <row r="96" customFormat="false" ht="15" hidden="false" customHeight="false" outlineLevel="0" collapsed="false">
      <c r="A96" s="5" t="s">
        <v>1737</v>
      </c>
      <c r="B96" s="5" t="s">
        <v>182</v>
      </c>
      <c r="C96" s="5" t="s">
        <v>15</v>
      </c>
      <c r="D96" s="5" t="s">
        <v>16</v>
      </c>
      <c r="E96" s="5" t="n">
        <f aca="false">ROUND(11730*1.05,2)</f>
        <v>12316.5</v>
      </c>
      <c r="F96" s="5" t="s">
        <v>49</v>
      </c>
      <c r="G96" s="5" t="s">
        <v>18</v>
      </c>
      <c r="H96" s="5" t="n">
        <f aca="true">ROUND(RAND()*4+6,1)</f>
        <v>7.4</v>
      </c>
      <c r="I96" s="5" t="s">
        <v>19</v>
      </c>
      <c r="J96" s="5" t="str">
        <f aca="false">ROUND(88*1,0)&amp;"%"</f>
        <v>88%</v>
      </c>
    </row>
    <row r="97" customFormat="false" ht="15" hidden="false" customHeight="false" outlineLevel="0" collapsed="false">
      <c r="A97" s="6" t="s">
        <v>1738</v>
      </c>
      <c r="B97" s="6" t="s">
        <v>184</v>
      </c>
      <c r="C97" s="6" t="s">
        <v>15</v>
      </c>
      <c r="D97" s="6" t="s">
        <v>22</v>
      </c>
      <c r="E97" s="6" t="n">
        <f aca="false">ROUND(9133*1.05,2)</f>
        <v>9589.65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ROUND(61*1,0)&amp;"%"</f>
        <v>61%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1739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1740</v>
      </c>
      <c r="B102" s="5" t="s">
        <v>188</v>
      </c>
      <c r="C102" s="5" t="s">
        <v>57</v>
      </c>
      <c r="D102" s="5" t="s">
        <v>16</v>
      </c>
      <c r="E102" s="5" t="n">
        <f aca="false">ROUND(15089*1.05,2)</f>
        <v>15843.45</v>
      </c>
      <c r="F102" s="5" t="s">
        <v>17</v>
      </c>
      <c r="G102" s="5" t="s">
        <v>18</v>
      </c>
      <c r="H102" s="5" t="n">
        <f aca="true">ROUND(RAND()*4+6,1)</f>
        <v>7.1</v>
      </c>
      <c r="I102" s="5" t="s">
        <v>19</v>
      </c>
      <c r="J102" s="5" t="str">
        <f aca="false">ROUND(74*1,0)&amp;"%"</f>
        <v>74%</v>
      </c>
    </row>
    <row r="103" customFormat="false" ht="15" hidden="false" customHeight="false" outlineLevel="0" collapsed="false">
      <c r="A103" s="6" t="s">
        <v>1741</v>
      </c>
      <c r="B103" s="6" t="s">
        <v>190</v>
      </c>
      <c r="C103" s="6" t="s">
        <v>57</v>
      </c>
      <c r="D103" s="6" t="s">
        <v>22</v>
      </c>
      <c r="E103" s="6" t="n">
        <f aca="false">ROUND(8139*1.05,2)</f>
        <v>8545.95</v>
      </c>
      <c r="F103" s="6" t="s">
        <v>23</v>
      </c>
      <c r="G103" s="6" t="s">
        <v>24</v>
      </c>
      <c r="H103" s="6" t="n">
        <f aca="true">ROUND(RAND()*4+6,1)</f>
        <v>9</v>
      </c>
      <c r="I103" s="6" t="s">
        <v>25</v>
      </c>
      <c r="J103" s="6" t="str">
        <f aca="false">ROUND(62*1,0)&amp;"%"</f>
        <v>62%</v>
      </c>
    </row>
    <row r="104" customFormat="false" ht="15" hidden="false" customHeight="false" outlineLevel="0" collapsed="false">
      <c r="A104" s="5" t="s">
        <v>1742</v>
      </c>
      <c r="B104" s="5" t="s">
        <v>192</v>
      </c>
      <c r="C104" s="5" t="s">
        <v>57</v>
      </c>
      <c r="D104" s="5" t="s">
        <v>28</v>
      </c>
      <c r="E104" s="5" t="n">
        <f aca="false">ROUND(14395*1.05,2)</f>
        <v>15114.75</v>
      </c>
      <c r="F104" s="5" t="s">
        <v>29</v>
      </c>
      <c r="G104" s="5" t="s">
        <v>30</v>
      </c>
      <c r="H104" s="5" t="n">
        <f aca="true">ROUND(RAND()*4+6,1)</f>
        <v>6.5</v>
      </c>
      <c r="I104" s="5" t="s">
        <v>31</v>
      </c>
      <c r="J104" s="5" t="str">
        <f aca="false">ROUND(63*1,0)&amp;"%"</f>
        <v>63%</v>
      </c>
    </row>
    <row r="105" customFormat="false" ht="15" hidden="false" customHeight="false" outlineLevel="0" collapsed="false">
      <c r="A105" s="6" t="s">
        <v>1743</v>
      </c>
      <c r="B105" s="6" t="s">
        <v>194</v>
      </c>
      <c r="C105" s="6" t="s">
        <v>57</v>
      </c>
      <c r="D105" s="6" t="s">
        <v>34</v>
      </c>
      <c r="E105" s="6" t="n">
        <f aca="false">ROUND(13952*1.05,2)</f>
        <v>14649.6</v>
      </c>
      <c r="F105" s="6" t="s">
        <v>35</v>
      </c>
      <c r="G105" s="6" t="s">
        <v>18</v>
      </c>
      <c r="H105" s="6" t="n">
        <f aca="true">ROUND(RAND()*4+6,1)</f>
        <v>8</v>
      </c>
      <c r="I105" s="6" t="s">
        <v>36</v>
      </c>
      <c r="J105" s="6" t="str">
        <f aca="false">ROUND(89*1,0)&amp;"%"</f>
        <v>89%</v>
      </c>
    </row>
    <row r="106" customFormat="false" ht="15" hidden="false" customHeight="false" outlineLevel="0" collapsed="false">
      <c r="A106" s="5" t="s">
        <v>1744</v>
      </c>
      <c r="B106" s="5" t="s">
        <v>196</v>
      </c>
      <c r="C106" s="5" t="s">
        <v>57</v>
      </c>
      <c r="D106" s="5" t="s">
        <v>39</v>
      </c>
      <c r="E106" s="5" t="n">
        <f aca="false">ROUND(11131*1.05,2)</f>
        <v>11687.55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ROUND(86*1,0)&amp;"%"</f>
        <v>86%</v>
      </c>
    </row>
    <row r="107" customFormat="false" ht="15" hidden="false" customHeight="false" outlineLevel="0" collapsed="false">
      <c r="A107" s="6" t="s">
        <v>1745</v>
      </c>
      <c r="B107" s="6" t="s">
        <v>198</v>
      </c>
      <c r="C107" s="6" t="s">
        <v>57</v>
      </c>
      <c r="D107" s="6" t="s">
        <v>44</v>
      </c>
      <c r="E107" s="6" t="n">
        <f aca="false">ROUND(8706*1.05,2)</f>
        <v>9141.3</v>
      </c>
      <c r="F107" s="6" t="s">
        <v>45</v>
      </c>
      <c r="G107" s="6" t="s">
        <v>30</v>
      </c>
      <c r="H107" s="6" t="n">
        <f aca="true">ROUND(RAND()*4+6,1)</f>
        <v>9.8</v>
      </c>
      <c r="I107" s="6" t="s">
        <v>46</v>
      </c>
      <c r="J107" s="6" t="str">
        <f aca="false">ROUND(94*1,0)&amp;"%"</f>
        <v>94%</v>
      </c>
    </row>
    <row r="108" customFormat="false" ht="15" hidden="false" customHeight="false" outlineLevel="0" collapsed="false">
      <c r="A108" s="5" t="s">
        <v>1746</v>
      </c>
      <c r="B108" s="5" t="s">
        <v>200</v>
      </c>
      <c r="C108" s="5" t="s">
        <v>57</v>
      </c>
      <c r="D108" s="5" t="s">
        <v>16</v>
      </c>
      <c r="E108" s="5" t="n">
        <f aca="false">ROUND(4797*1.05,2)</f>
        <v>5036.85</v>
      </c>
      <c r="F108" s="5" t="s">
        <v>49</v>
      </c>
      <c r="G108" s="5" t="s">
        <v>18</v>
      </c>
      <c r="H108" s="5" t="n">
        <f aca="true">ROUND(RAND()*4+6,1)</f>
        <v>9.6</v>
      </c>
      <c r="I108" s="5" t="s">
        <v>19</v>
      </c>
      <c r="J108" s="5" t="str">
        <f aca="false">ROUND(69*1,0)&amp;"%"</f>
        <v>69%</v>
      </c>
    </row>
    <row r="109" customFormat="false" ht="15" hidden="false" customHeight="false" outlineLevel="0" collapsed="false">
      <c r="A109" s="6" t="s">
        <v>1747</v>
      </c>
      <c r="B109" s="6" t="s">
        <v>202</v>
      </c>
      <c r="C109" s="6" t="s">
        <v>57</v>
      </c>
      <c r="D109" s="6" t="s">
        <v>22</v>
      </c>
      <c r="E109" s="6" t="n">
        <f aca="false">ROUND(11281*1.05,2)</f>
        <v>11845.05</v>
      </c>
      <c r="F109" s="6" t="s">
        <v>52</v>
      </c>
      <c r="G109" s="6" t="s">
        <v>24</v>
      </c>
      <c r="H109" s="6" t="n">
        <f aca="true">ROUND(RAND()*4+6,1)</f>
        <v>9.6</v>
      </c>
      <c r="I109" s="6" t="s">
        <v>25</v>
      </c>
      <c r="J109" s="6" t="str">
        <f aca="false">ROUND(64*1,0)&amp;"%"</f>
        <v>64%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1748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1749</v>
      </c>
      <c r="B114" s="5" t="s">
        <v>206</v>
      </c>
      <c r="C114" s="5" t="s">
        <v>76</v>
      </c>
      <c r="D114" s="5" t="s">
        <v>16</v>
      </c>
      <c r="E114" s="5" t="n">
        <f aca="false">ROUND(9703*1.05,2)</f>
        <v>10188.15</v>
      </c>
      <c r="F114" s="5" t="s">
        <v>17</v>
      </c>
      <c r="G114" s="5" t="s">
        <v>18</v>
      </c>
      <c r="H114" s="5" t="n">
        <f aca="true">ROUND(RAND()*4+6,1)</f>
        <v>7</v>
      </c>
      <c r="I114" s="5" t="s">
        <v>19</v>
      </c>
      <c r="J114" s="5" t="str">
        <f aca="false">ROUND(77*1,0)&amp;"%"</f>
        <v>77%</v>
      </c>
    </row>
    <row r="115" customFormat="false" ht="15" hidden="false" customHeight="false" outlineLevel="0" collapsed="false">
      <c r="A115" s="6" t="s">
        <v>1750</v>
      </c>
      <c r="B115" s="6" t="s">
        <v>208</v>
      </c>
      <c r="C115" s="6" t="s">
        <v>76</v>
      </c>
      <c r="D115" s="6" t="s">
        <v>22</v>
      </c>
      <c r="E115" s="6" t="n">
        <f aca="false">ROUND(17715*1.05,2)</f>
        <v>18600.75</v>
      </c>
      <c r="F115" s="6" t="s">
        <v>23</v>
      </c>
      <c r="G115" s="6" t="s">
        <v>24</v>
      </c>
      <c r="H115" s="6" t="n">
        <f aca="true">ROUND(RAND()*4+6,1)</f>
        <v>6.9</v>
      </c>
      <c r="I115" s="6" t="s">
        <v>25</v>
      </c>
      <c r="J115" s="6" t="str">
        <f aca="false">ROUND(69*1,0)&amp;"%"</f>
        <v>69%</v>
      </c>
    </row>
    <row r="116" customFormat="false" ht="15" hidden="false" customHeight="false" outlineLevel="0" collapsed="false">
      <c r="A116" s="5" t="s">
        <v>1751</v>
      </c>
      <c r="B116" s="5" t="s">
        <v>210</v>
      </c>
      <c r="C116" s="5" t="s">
        <v>76</v>
      </c>
      <c r="D116" s="5" t="s">
        <v>28</v>
      </c>
      <c r="E116" s="5" t="n">
        <f aca="false">ROUND(9402*1.05,2)</f>
        <v>9872.1</v>
      </c>
      <c r="F116" s="5" t="s">
        <v>29</v>
      </c>
      <c r="G116" s="5" t="s">
        <v>30</v>
      </c>
      <c r="H116" s="5" t="n">
        <f aca="true">ROUND(RAND()*4+6,1)</f>
        <v>8.1</v>
      </c>
      <c r="I116" s="5" t="s">
        <v>31</v>
      </c>
      <c r="J116" s="5" t="str">
        <f aca="false">ROUND(83*1,0)&amp;"%"</f>
        <v>83%</v>
      </c>
    </row>
    <row r="117" customFormat="false" ht="15" hidden="false" customHeight="false" outlineLevel="0" collapsed="false">
      <c r="A117" s="6" t="s">
        <v>1752</v>
      </c>
      <c r="B117" s="6" t="s">
        <v>212</v>
      </c>
      <c r="C117" s="6" t="s">
        <v>76</v>
      </c>
      <c r="D117" s="6" t="s">
        <v>34</v>
      </c>
      <c r="E117" s="6" t="n">
        <f aca="false">ROUND(6083*1.05,2)</f>
        <v>6387.15</v>
      </c>
      <c r="F117" s="6" t="s">
        <v>35</v>
      </c>
      <c r="G117" s="6" t="s">
        <v>18</v>
      </c>
      <c r="H117" s="6" t="n">
        <f aca="true">ROUND(RAND()*4+6,1)</f>
        <v>9.7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1753</v>
      </c>
      <c r="B118" s="5" t="s">
        <v>214</v>
      </c>
      <c r="C118" s="5" t="s">
        <v>76</v>
      </c>
      <c r="D118" s="5" t="s">
        <v>39</v>
      </c>
      <c r="E118" s="5" t="n">
        <f aca="false">ROUND(13653*1.05,2)</f>
        <v>14335.65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ROUND(72*1,0)&amp;"%"</f>
        <v>72%</v>
      </c>
    </row>
    <row r="119" customFormat="false" ht="15" hidden="false" customHeight="false" outlineLevel="0" collapsed="false">
      <c r="A119" s="6" t="s">
        <v>1754</v>
      </c>
      <c r="B119" s="6" t="s">
        <v>216</v>
      </c>
      <c r="C119" s="6" t="s">
        <v>76</v>
      </c>
      <c r="D119" s="6" t="s">
        <v>44</v>
      </c>
      <c r="E119" s="6" t="n">
        <f aca="false">ROUND(13497*1.05,2)</f>
        <v>14171.85</v>
      </c>
      <c r="F119" s="6" t="s">
        <v>45</v>
      </c>
      <c r="G119" s="6" t="s">
        <v>30</v>
      </c>
      <c r="H119" s="6" t="n">
        <f aca="true">ROUND(RAND()*4+6,1)</f>
        <v>7.5</v>
      </c>
      <c r="I119" s="6" t="s">
        <v>46</v>
      </c>
      <c r="J119" s="6" t="str">
        <f aca="false">ROUND(74*1,0)&amp;"%"</f>
        <v>74%</v>
      </c>
    </row>
    <row r="120" customFormat="false" ht="15" hidden="false" customHeight="false" outlineLevel="0" collapsed="false">
      <c r="A120" s="5" t="s">
        <v>1755</v>
      </c>
      <c r="B120" s="5" t="s">
        <v>218</v>
      </c>
      <c r="C120" s="5" t="s">
        <v>76</v>
      </c>
      <c r="D120" s="5" t="s">
        <v>16</v>
      </c>
      <c r="E120" s="5" t="n">
        <f aca="false">ROUND(13695*1.05,2)</f>
        <v>14379.75</v>
      </c>
      <c r="F120" s="5" t="s">
        <v>49</v>
      </c>
      <c r="G120" s="5" t="s">
        <v>18</v>
      </c>
      <c r="H120" s="5" t="n">
        <f aca="true">ROUND(RAND()*4+6,1)</f>
        <v>6.9</v>
      </c>
      <c r="I120" s="5" t="s">
        <v>19</v>
      </c>
      <c r="J120" s="5" t="str">
        <f aca="false">ROUND(79*1,0)&amp;"%"</f>
        <v>79%</v>
      </c>
    </row>
    <row r="121" customFormat="false" ht="15" hidden="false" customHeight="false" outlineLevel="0" collapsed="false">
      <c r="A121" s="6" t="s">
        <v>1756</v>
      </c>
      <c r="B121" s="6" t="s">
        <v>220</v>
      </c>
      <c r="C121" s="6" t="s">
        <v>76</v>
      </c>
      <c r="D121" s="6" t="s">
        <v>22</v>
      </c>
      <c r="E121" s="6" t="n">
        <f aca="false">ROUND(15754*1.05,2)</f>
        <v>16541.7</v>
      </c>
      <c r="F121" s="6" t="s">
        <v>52</v>
      </c>
      <c r="G121" s="6" t="s">
        <v>24</v>
      </c>
      <c r="H121" s="6" t="n">
        <f aca="true">ROUND(RAND()*4+6,1)</f>
        <v>6.5</v>
      </c>
      <c r="I121" s="6" t="s">
        <v>25</v>
      </c>
      <c r="J121" s="6" t="str">
        <f aca="false">ROUND(75*1,0)&amp;"%"</f>
        <v>75%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1757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1758</v>
      </c>
      <c r="B126" s="5" t="s">
        <v>224</v>
      </c>
      <c r="C126" s="5" t="s">
        <v>95</v>
      </c>
      <c r="D126" s="5" t="s">
        <v>16</v>
      </c>
      <c r="E126" s="5" t="n">
        <f aca="false">ROUND(15481*1.05,2)</f>
        <v>16255.05</v>
      </c>
      <c r="F126" s="5" t="s">
        <v>17</v>
      </c>
      <c r="G126" s="5" t="s">
        <v>18</v>
      </c>
      <c r="H126" s="5" t="n">
        <f aca="true">ROUND(RAND()*4+6,1)</f>
        <v>6.3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1759</v>
      </c>
      <c r="B127" s="6" t="s">
        <v>226</v>
      </c>
      <c r="C127" s="6" t="s">
        <v>95</v>
      </c>
      <c r="D127" s="6" t="s">
        <v>22</v>
      </c>
      <c r="E127" s="6" t="n">
        <f aca="false">ROUND(10682*1.05,2)</f>
        <v>11216.1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ROUND(65*1,0)&amp;"%"</f>
        <v>65%</v>
      </c>
    </row>
    <row r="128" customFormat="false" ht="15" hidden="false" customHeight="false" outlineLevel="0" collapsed="false">
      <c r="A128" s="5" t="s">
        <v>1760</v>
      </c>
      <c r="B128" s="5" t="s">
        <v>228</v>
      </c>
      <c r="C128" s="5" t="s">
        <v>95</v>
      </c>
      <c r="D128" s="5" t="s">
        <v>28</v>
      </c>
      <c r="E128" s="5" t="n">
        <f aca="false">ROUND(12538*1.05,2)</f>
        <v>13164.9</v>
      </c>
      <c r="F128" s="5" t="s">
        <v>29</v>
      </c>
      <c r="G128" s="5" t="s">
        <v>30</v>
      </c>
      <c r="H128" s="5" t="n">
        <f aca="true">ROUND(RAND()*4+6,1)</f>
        <v>8.1</v>
      </c>
      <c r="I128" s="5" t="s">
        <v>31</v>
      </c>
      <c r="J128" s="5" t="str">
        <f aca="false">ROUND(75*1,0)&amp;"%"</f>
        <v>75%</v>
      </c>
    </row>
    <row r="129" customFormat="false" ht="15" hidden="false" customHeight="false" outlineLevel="0" collapsed="false">
      <c r="A129" s="6" t="s">
        <v>1761</v>
      </c>
      <c r="B129" s="6" t="s">
        <v>230</v>
      </c>
      <c r="C129" s="6" t="s">
        <v>95</v>
      </c>
      <c r="D129" s="6" t="s">
        <v>34</v>
      </c>
      <c r="E129" s="6" t="n">
        <f aca="false">ROUND(13442*1.05,2)</f>
        <v>14114.1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ROUND(95*1,0)&amp;"%"</f>
        <v>95%</v>
      </c>
    </row>
    <row r="130" customFormat="false" ht="15" hidden="false" customHeight="false" outlineLevel="0" collapsed="false">
      <c r="A130" s="5" t="s">
        <v>1762</v>
      </c>
      <c r="B130" s="5" t="s">
        <v>232</v>
      </c>
      <c r="C130" s="5" t="s">
        <v>95</v>
      </c>
      <c r="D130" s="5" t="s">
        <v>39</v>
      </c>
      <c r="E130" s="5" t="n">
        <f aca="false">ROUND(8637*1.05,2)</f>
        <v>9068.85</v>
      </c>
      <c r="F130" s="5" t="s">
        <v>40</v>
      </c>
      <c r="G130" s="5" t="s">
        <v>24</v>
      </c>
      <c r="H130" s="5" t="n">
        <f aca="true">ROUND(RAND()*4+6,1)</f>
        <v>7</v>
      </c>
      <c r="I130" s="5" t="s">
        <v>41</v>
      </c>
      <c r="J130" s="5" t="str">
        <f aca="false">ROUND(69*1,0)&amp;"%"</f>
        <v>69%</v>
      </c>
    </row>
    <row r="131" customFormat="false" ht="15" hidden="false" customHeight="false" outlineLevel="0" collapsed="false">
      <c r="A131" s="6" t="s">
        <v>1763</v>
      </c>
      <c r="B131" s="6" t="s">
        <v>234</v>
      </c>
      <c r="C131" s="6" t="s">
        <v>95</v>
      </c>
      <c r="D131" s="6" t="s">
        <v>44</v>
      </c>
      <c r="E131" s="6" t="n">
        <f aca="false">ROUND(10834*1.05,2)</f>
        <v>11375.7</v>
      </c>
      <c r="F131" s="6" t="s">
        <v>45</v>
      </c>
      <c r="G131" s="6" t="s">
        <v>30</v>
      </c>
      <c r="H131" s="6" t="n">
        <f aca="true">ROUND(RAND()*4+6,1)</f>
        <v>9.6</v>
      </c>
      <c r="I131" s="6" t="s">
        <v>46</v>
      </c>
      <c r="J131" s="6" t="str">
        <f aca="false">ROUND(70*1,0)&amp;"%"</f>
        <v>70%</v>
      </c>
    </row>
    <row r="132" customFormat="false" ht="15" hidden="false" customHeight="false" outlineLevel="0" collapsed="false">
      <c r="A132" s="5" t="s">
        <v>1764</v>
      </c>
      <c r="B132" s="5" t="s">
        <v>236</v>
      </c>
      <c r="C132" s="5" t="s">
        <v>95</v>
      </c>
      <c r="D132" s="5" t="s">
        <v>16</v>
      </c>
      <c r="E132" s="5" t="n">
        <f aca="false">ROUND(6649*1.05,2)</f>
        <v>6981.45</v>
      </c>
      <c r="F132" s="5" t="s">
        <v>49</v>
      </c>
      <c r="G132" s="5" t="s">
        <v>18</v>
      </c>
      <c r="H132" s="5" t="n">
        <f aca="true">ROUND(RAND()*4+6,1)</f>
        <v>7.9</v>
      </c>
      <c r="I132" s="5" t="s">
        <v>19</v>
      </c>
      <c r="J132" s="5" t="str">
        <f aca="false">ROUND(79*1,0)&amp;"%"</f>
        <v>79%</v>
      </c>
    </row>
    <row r="133" customFormat="false" ht="15" hidden="false" customHeight="false" outlineLevel="0" collapsed="false">
      <c r="A133" s="6" t="s">
        <v>1765</v>
      </c>
      <c r="B133" s="6" t="s">
        <v>238</v>
      </c>
      <c r="C133" s="6" t="s">
        <v>95</v>
      </c>
      <c r="D133" s="6" t="s">
        <v>22</v>
      </c>
      <c r="E133" s="6" t="n">
        <f aca="false">ROUND(9435*1.05,2)</f>
        <v>9906.75</v>
      </c>
      <c r="F133" s="6" t="s">
        <v>52</v>
      </c>
      <c r="G133" s="6" t="s">
        <v>24</v>
      </c>
      <c r="H133" s="6" t="n">
        <f aca="true">ROUND(RAND()*4+6,1)</f>
        <v>7.4</v>
      </c>
      <c r="I133" s="6" t="s">
        <v>25</v>
      </c>
      <c r="J133" s="6" t="str">
        <f aca="false">ROUND(93*1,0)&amp;"%"</f>
        <v>93%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1766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1767</v>
      </c>
      <c r="B138" s="5" t="s">
        <v>242</v>
      </c>
      <c r="C138" s="5" t="s">
        <v>114</v>
      </c>
      <c r="D138" s="5" t="s">
        <v>16</v>
      </c>
      <c r="E138" s="5" t="n">
        <f aca="false">ROUND(11293*1.05,2)</f>
        <v>11857.65</v>
      </c>
      <c r="F138" s="5" t="s">
        <v>17</v>
      </c>
      <c r="G138" s="5" t="s">
        <v>18</v>
      </c>
      <c r="H138" s="5" t="n">
        <f aca="true">ROUND(RAND()*4+6,1)</f>
        <v>9.6</v>
      </c>
      <c r="I138" s="5" t="s">
        <v>19</v>
      </c>
      <c r="J138" s="5" t="str">
        <f aca="false">ROUND(93*1,0)&amp;"%"</f>
        <v>93%</v>
      </c>
    </row>
    <row r="139" customFormat="false" ht="15" hidden="false" customHeight="false" outlineLevel="0" collapsed="false">
      <c r="A139" s="6" t="s">
        <v>1768</v>
      </c>
      <c r="B139" s="6" t="s">
        <v>244</v>
      </c>
      <c r="C139" s="6" t="s">
        <v>114</v>
      </c>
      <c r="D139" s="6" t="s">
        <v>22</v>
      </c>
      <c r="E139" s="6" t="n">
        <f aca="false">ROUND(8797*1.05,2)</f>
        <v>9236.85</v>
      </c>
      <c r="F139" s="6" t="s">
        <v>23</v>
      </c>
      <c r="G139" s="6" t="s">
        <v>24</v>
      </c>
      <c r="H139" s="6" t="n">
        <f aca="true">ROUND(RAND()*4+6,1)</f>
        <v>9.3</v>
      </c>
      <c r="I139" s="6" t="s">
        <v>25</v>
      </c>
      <c r="J139" s="6" t="str">
        <f aca="false">ROUND(65*1,0)&amp;"%"</f>
        <v>65%</v>
      </c>
    </row>
    <row r="140" customFormat="false" ht="15" hidden="false" customHeight="false" outlineLevel="0" collapsed="false">
      <c r="A140" s="5" t="s">
        <v>1769</v>
      </c>
      <c r="B140" s="5" t="s">
        <v>246</v>
      </c>
      <c r="C140" s="5" t="s">
        <v>114</v>
      </c>
      <c r="D140" s="5" t="s">
        <v>28</v>
      </c>
      <c r="E140" s="5" t="n">
        <f aca="false">ROUND(10839*1.05,2)</f>
        <v>11380.95</v>
      </c>
      <c r="F140" s="5" t="s">
        <v>29</v>
      </c>
      <c r="G140" s="5" t="s">
        <v>30</v>
      </c>
      <c r="H140" s="5" t="n">
        <f aca="true">ROUND(RAND()*4+6,1)</f>
        <v>7.4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1770</v>
      </c>
      <c r="B141" s="6" t="s">
        <v>248</v>
      </c>
      <c r="C141" s="6" t="s">
        <v>114</v>
      </c>
      <c r="D141" s="6" t="s">
        <v>34</v>
      </c>
      <c r="E141" s="6" t="n">
        <f aca="false">ROUND(15965*1.05,2)</f>
        <v>16763.25</v>
      </c>
      <c r="F141" s="6" t="s">
        <v>35</v>
      </c>
      <c r="G141" s="6" t="s">
        <v>18</v>
      </c>
      <c r="H141" s="6" t="n">
        <f aca="true">ROUND(RAND()*4+6,1)</f>
        <v>8</v>
      </c>
      <c r="I141" s="6" t="s">
        <v>36</v>
      </c>
      <c r="J141" s="6" t="str">
        <f aca="false">ROUND(82*1,0)&amp;"%"</f>
        <v>82%</v>
      </c>
    </row>
    <row r="142" customFormat="false" ht="15" hidden="false" customHeight="false" outlineLevel="0" collapsed="false">
      <c r="A142" s="5" t="s">
        <v>1771</v>
      </c>
      <c r="B142" s="5" t="s">
        <v>250</v>
      </c>
      <c r="C142" s="5" t="s">
        <v>114</v>
      </c>
      <c r="D142" s="5" t="s">
        <v>39</v>
      </c>
      <c r="E142" s="5" t="n">
        <f aca="false">ROUND(6339*1.05,2)</f>
        <v>6655.95</v>
      </c>
      <c r="F142" s="5" t="s">
        <v>40</v>
      </c>
      <c r="G142" s="5" t="s">
        <v>24</v>
      </c>
      <c r="H142" s="5" t="n">
        <f aca="true">ROUND(RAND()*4+6,1)</f>
        <v>9.1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1772</v>
      </c>
      <c r="B143" s="6" t="s">
        <v>252</v>
      </c>
      <c r="C143" s="6" t="s">
        <v>114</v>
      </c>
      <c r="D143" s="6" t="s">
        <v>44</v>
      </c>
      <c r="E143" s="6" t="n">
        <f aca="false">ROUND(12059*1.05,2)</f>
        <v>12661.95</v>
      </c>
      <c r="F143" s="6" t="s">
        <v>45</v>
      </c>
      <c r="G143" s="6" t="s">
        <v>30</v>
      </c>
      <c r="H143" s="6" t="n">
        <f aca="true">ROUND(RAND()*4+6,1)</f>
        <v>6.8</v>
      </c>
      <c r="I143" s="6" t="s">
        <v>46</v>
      </c>
      <c r="J143" s="6" t="str">
        <f aca="false">ROUND(78*1,0)&amp;"%"</f>
        <v>78%</v>
      </c>
    </row>
    <row r="144" customFormat="false" ht="15" hidden="false" customHeight="false" outlineLevel="0" collapsed="false">
      <c r="A144" s="5" t="s">
        <v>1773</v>
      </c>
      <c r="B144" s="5" t="s">
        <v>254</v>
      </c>
      <c r="C144" s="5" t="s">
        <v>114</v>
      </c>
      <c r="D144" s="5" t="s">
        <v>16</v>
      </c>
      <c r="E144" s="5" t="n">
        <f aca="false">ROUND(17321*1.05,2)</f>
        <v>18187.05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1774</v>
      </c>
      <c r="B145" s="6" t="s">
        <v>256</v>
      </c>
      <c r="C145" s="6" t="s">
        <v>114</v>
      </c>
      <c r="D145" s="6" t="s">
        <v>22</v>
      </c>
      <c r="E145" s="6" t="n">
        <f aca="false">ROUND(15759*1.05,2)</f>
        <v>16546.95</v>
      </c>
      <c r="F145" s="6" t="s">
        <v>52</v>
      </c>
      <c r="G145" s="6" t="s">
        <v>24</v>
      </c>
      <c r="H145" s="6" t="n">
        <f aca="true">ROUND(RAND()*4+6,1)</f>
        <v>6.9</v>
      </c>
      <c r="I145" s="6" t="s">
        <v>25</v>
      </c>
      <c r="J145" s="6" t="str">
        <f aca="false">ROUND(83*1,0)&amp;"%"</f>
        <v>83%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1775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1776</v>
      </c>
      <c r="B150" s="5" t="s">
        <v>260</v>
      </c>
      <c r="C150" s="5" t="s">
        <v>133</v>
      </c>
      <c r="D150" s="5" t="s">
        <v>16</v>
      </c>
      <c r="E150" s="5" t="n">
        <f aca="false">ROUND(17524*1.05,2)</f>
        <v>18400.2</v>
      </c>
      <c r="F150" s="5" t="s">
        <v>17</v>
      </c>
      <c r="G150" s="5" t="s">
        <v>18</v>
      </c>
      <c r="H150" s="5" t="n">
        <f aca="true">ROUND(RAND()*4+6,1)</f>
        <v>7.3</v>
      </c>
      <c r="I150" s="5" t="s">
        <v>19</v>
      </c>
      <c r="J150" s="5" t="str">
        <f aca="false">ROUND(96*1,0)&amp;"%"</f>
        <v>96%</v>
      </c>
    </row>
    <row r="151" customFormat="false" ht="15" hidden="false" customHeight="false" outlineLevel="0" collapsed="false">
      <c r="A151" s="6" t="s">
        <v>1777</v>
      </c>
      <c r="B151" s="6" t="s">
        <v>262</v>
      </c>
      <c r="C151" s="6" t="s">
        <v>133</v>
      </c>
      <c r="D151" s="6" t="s">
        <v>22</v>
      </c>
      <c r="E151" s="6" t="n">
        <f aca="false">ROUND(12393*1.05,2)</f>
        <v>13012.65</v>
      </c>
      <c r="F151" s="6" t="s">
        <v>23</v>
      </c>
      <c r="G151" s="6" t="s">
        <v>24</v>
      </c>
      <c r="H151" s="6" t="n">
        <f aca="true">ROUND(RAND()*4+6,1)</f>
        <v>6.1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1778</v>
      </c>
      <c r="B152" s="5" t="s">
        <v>264</v>
      </c>
      <c r="C152" s="5" t="s">
        <v>133</v>
      </c>
      <c r="D152" s="5" t="s">
        <v>28</v>
      </c>
      <c r="E152" s="5" t="n">
        <f aca="false">ROUND(7421*1.05,2)</f>
        <v>7792.05</v>
      </c>
      <c r="F152" s="5" t="s">
        <v>29</v>
      </c>
      <c r="G152" s="5" t="s">
        <v>30</v>
      </c>
      <c r="H152" s="5" t="n">
        <f aca="true">ROUND(RAND()*4+6,1)</f>
        <v>9.9</v>
      </c>
      <c r="I152" s="5" t="s">
        <v>31</v>
      </c>
      <c r="J152" s="5" t="str">
        <f aca="false">ROUND(92*1,0)&amp;"%"</f>
        <v>92%</v>
      </c>
    </row>
    <row r="153" customFormat="false" ht="15" hidden="false" customHeight="false" outlineLevel="0" collapsed="false">
      <c r="A153" s="6" t="s">
        <v>1779</v>
      </c>
      <c r="B153" s="6" t="s">
        <v>266</v>
      </c>
      <c r="C153" s="6" t="s">
        <v>133</v>
      </c>
      <c r="D153" s="6" t="s">
        <v>34</v>
      </c>
      <c r="E153" s="6" t="n">
        <f aca="false">ROUND(8711*1.05,2)</f>
        <v>9146.55</v>
      </c>
      <c r="F153" s="6" t="s">
        <v>35</v>
      </c>
      <c r="G153" s="6" t="s">
        <v>18</v>
      </c>
      <c r="H153" s="6" t="n">
        <f aca="true">ROUND(RAND()*4+6,1)</f>
        <v>6.2</v>
      </c>
      <c r="I153" s="6" t="s">
        <v>36</v>
      </c>
      <c r="J153" s="6" t="str">
        <f aca="false">ROUND(90*1,0)&amp;"%"</f>
        <v>90%</v>
      </c>
    </row>
    <row r="154" customFormat="false" ht="15" hidden="false" customHeight="false" outlineLevel="0" collapsed="false">
      <c r="A154" s="5" t="s">
        <v>1780</v>
      </c>
      <c r="B154" s="5" t="s">
        <v>268</v>
      </c>
      <c r="C154" s="5" t="s">
        <v>133</v>
      </c>
      <c r="D154" s="5" t="s">
        <v>39</v>
      </c>
      <c r="E154" s="5" t="n">
        <f aca="false">ROUND(12626*1.05,2)</f>
        <v>13257.3</v>
      </c>
      <c r="F154" s="5" t="s">
        <v>40</v>
      </c>
      <c r="G154" s="5" t="s">
        <v>24</v>
      </c>
      <c r="H154" s="5" t="n">
        <f aca="true">ROUND(RAND()*4+6,1)</f>
        <v>9.8</v>
      </c>
      <c r="I154" s="5" t="s">
        <v>41</v>
      </c>
      <c r="J154" s="5" t="str">
        <f aca="false">ROUND(73*1,0)&amp;"%"</f>
        <v>73%</v>
      </c>
    </row>
    <row r="155" customFormat="false" ht="15" hidden="false" customHeight="false" outlineLevel="0" collapsed="false">
      <c r="A155" s="6" t="s">
        <v>1781</v>
      </c>
      <c r="B155" s="6" t="s">
        <v>270</v>
      </c>
      <c r="C155" s="6" t="s">
        <v>133</v>
      </c>
      <c r="D155" s="6" t="s">
        <v>44</v>
      </c>
      <c r="E155" s="6" t="n">
        <f aca="false">ROUND(4894*1.05,2)</f>
        <v>5138.7</v>
      </c>
      <c r="F155" s="6" t="s">
        <v>45</v>
      </c>
      <c r="G155" s="6" t="s">
        <v>30</v>
      </c>
      <c r="H155" s="6" t="n">
        <f aca="true">ROUND(RAND()*4+6,1)</f>
        <v>6.4</v>
      </c>
      <c r="I155" s="6" t="s">
        <v>46</v>
      </c>
      <c r="J155" s="6" t="str">
        <f aca="false">ROUND(82*1,0)&amp;"%"</f>
        <v>82%</v>
      </c>
    </row>
    <row r="156" customFormat="false" ht="15" hidden="false" customHeight="false" outlineLevel="0" collapsed="false">
      <c r="A156" s="5" t="s">
        <v>1782</v>
      </c>
      <c r="B156" s="5" t="s">
        <v>272</v>
      </c>
      <c r="C156" s="5" t="s">
        <v>133</v>
      </c>
      <c r="D156" s="5" t="s">
        <v>16</v>
      </c>
      <c r="E156" s="5" t="n">
        <f aca="false">ROUND(15689*1.05,2)</f>
        <v>16473.45</v>
      </c>
      <c r="F156" s="5" t="s">
        <v>49</v>
      </c>
      <c r="G156" s="5" t="s">
        <v>18</v>
      </c>
      <c r="H156" s="5" t="n">
        <f aca="true">ROUND(RAND()*4+6,1)</f>
        <v>6.4</v>
      </c>
      <c r="I156" s="5" t="s">
        <v>19</v>
      </c>
      <c r="J156" s="5" t="str">
        <f aca="false">ROUND(70*1,0)&amp;"%"</f>
        <v>70%</v>
      </c>
    </row>
    <row r="157" customFormat="false" ht="15" hidden="false" customHeight="false" outlineLevel="0" collapsed="false">
      <c r="A157" s="6" t="s">
        <v>1783</v>
      </c>
      <c r="B157" s="6" t="s">
        <v>274</v>
      </c>
      <c r="C157" s="6" t="s">
        <v>133</v>
      </c>
      <c r="D157" s="6" t="s">
        <v>22</v>
      </c>
      <c r="E157" s="6" t="n">
        <f aca="false">ROUND(12046*1.05,2)</f>
        <v>12648.3</v>
      </c>
      <c r="F157" s="6" t="s">
        <v>52</v>
      </c>
      <c r="G157" s="6" t="s">
        <v>24</v>
      </c>
      <c r="H157" s="6" t="n">
        <f aca="true">ROUND(RAND()*4+6,1)</f>
        <v>9.8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1784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1785</v>
      </c>
      <c r="B162" s="5" t="s">
        <v>278</v>
      </c>
      <c r="C162" s="5" t="s">
        <v>152</v>
      </c>
      <c r="D162" s="5" t="s">
        <v>16</v>
      </c>
      <c r="E162" s="5" t="n">
        <f aca="false">ROUND(7858*1.05,2)</f>
        <v>8250.9</v>
      </c>
      <c r="F162" s="5" t="s">
        <v>17</v>
      </c>
      <c r="G162" s="5" t="s">
        <v>18</v>
      </c>
      <c r="H162" s="5" t="n">
        <f aca="true">ROUND(RAND()*4+6,1)</f>
        <v>8.9</v>
      </c>
      <c r="I162" s="5" t="s">
        <v>19</v>
      </c>
      <c r="J162" s="5" t="str">
        <f aca="false">ROUND(97*1,0)&amp;"%"</f>
        <v>97%</v>
      </c>
    </row>
    <row r="163" customFormat="false" ht="15" hidden="false" customHeight="false" outlineLevel="0" collapsed="false">
      <c r="A163" s="6" t="s">
        <v>1786</v>
      </c>
      <c r="B163" s="6" t="s">
        <v>280</v>
      </c>
      <c r="C163" s="6" t="s">
        <v>152</v>
      </c>
      <c r="D163" s="6" t="s">
        <v>22</v>
      </c>
      <c r="E163" s="6" t="n">
        <f aca="false">ROUND(14749*1.05,2)</f>
        <v>15486.45</v>
      </c>
      <c r="F163" s="6" t="s">
        <v>23</v>
      </c>
      <c r="G163" s="6" t="s">
        <v>24</v>
      </c>
      <c r="H163" s="6" t="n">
        <f aca="true">ROUND(RAND()*4+6,1)</f>
        <v>7.2</v>
      </c>
      <c r="I163" s="6" t="s">
        <v>25</v>
      </c>
      <c r="J163" s="6" t="str">
        <f aca="false">ROUND(77*1,0)&amp;"%"</f>
        <v>77%</v>
      </c>
    </row>
    <row r="164" customFormat="false" ht="15" hidden="false" customHeight="false" outlineLevel="0" collapsed="false">
      <c r="A164" s="5" t="s">
        <v>1787</v>
      </c>
      <c r="B164" s="5" t="s">
        <v>282</v>
      </c>
      <c r="C164" s="5" t="s">
        <v>152</v>
      </c>
      <c r="D164" s="5" t="s">
        <v>28</v>
      </c>
      <c r="E164" s="5" t="n">
        <f aca="false">ROUND(6188*1.05,2)</f>
        <v>6497.4</v>
      </c>
      <c r="F164" s="5" t="s">
        <v>29</v>
      </c>
      <c r="G164" s="5" t="s">
        <v>30</v>
      </c>
      <c r="H164" s="5" t="n">
        <f aca="true">ROUND(RAND()*4+6,1)</f>
        <v>7.5</v>
      </c>
      <c r="I164" s="5" t="s">
        <v>31</v>
      </c>
      <c r="J164" s="5" t="str">
        <f aca="false">ROUND(75*1,0)&amp;"%"</f>
        <v>75%</v>
      </c>
    </row>
    <row r="165" customFormat="false" ht="15" hidden="false" customHeight="false" outlineLevel="0" collapsed="false">
      <c r="A165" s="6" t="s">
        <v>1788</v>
      </c>
      <c r="B165" s="6" t="s">
        <v>284</v>
      </c>
      <c r="C165" s="6" t="s">
        <v>152</v>
      </c>
      <c r="D165" s="6" t="s">
        <v>34</v>
      </c>
      <c r="E165" s="6" t="n">
        <f aca="false">ROUND(7819*1.05,2)</f>
        <v>8209.95</v>
      </c>
      <c r="F165" s="6" t="s">
        <v>35</v>
      </c>
      <c r="G165" s="6" t="s">
        <v>18</v>
      </c>
      <c r="H165" s="6" t="n">
        <f aca="true">ROUND(RAND()*4+6,1)</f>
        <v>8.8</v>
      </c>
      <c r="I165" s="6" t="s">
        <v>36</v>
      </c>
      <c r="J165" s="6" t="str">
        <f aca="false">ROUND(69*1,0)&amp;"%"</f>
        <v>69%</v>
      </c>
    </row>
    <row r="166" customFormat="false" ht="15" hidden="false" customHeight="false" outlineLevel="0" collapsed="false">
      <c r="A166" s="5" t="s">
        <v>1789</v>
      </c>
      <c r="B166" s="5" t="s">
        <v>286</v>
      </c>
      <c r="C166" s="5" t="s">
        <v>152</v>
      </c>
      <c r="D166" s="5" t="s">
        <v>39</v>
      </c>
      <c r="E166" s="5" t="n">
        <f aca="false">ROUND(8074*1.05,2)</f>
        <v>8477.7</v>
      </c>
      <c r="F166" s="5" t="s">
        <v>40</v>
      </c>
      <c r="G166" s="5" t="s">
        <v>24</v>
      </c>
      <c r="H166" s="5" t="n">
        <f aca="true">ROUND(RAND()*4+6,1)</f>
        <v>7.5</v>
      </c>
      <c r="I166" s="5" t="s">
        <v>41</v>
      </c>
      <c r="J166" s="5" t="str">
        <f aca="false">ROUND(96*1,0)&amp;"%"</f>
        <v>96%</v>
      </c>
    </row>
    <row r="167" customFormat="false" ht="15" hidden="false" customHeight="false" outlineLevel="0" collapsed="false">
      <c r="A167" s="6" t="s">
        <v>1790</v>
      </c>
      <c r="B167" s="6" t="s">
        <v>288</v>
      </c>
      <c r="C167" s="6" t="s">
        <v>152</v>
      </c>
      <c r="D167" s="6" t="s">
        <v>44</v>
      </c>
      <c r="E167" s="6" t="n">
        <f aca="false">ROUND(10052*1.05,2)</f>
        <v>10554.6</v>
      </c>
      <c r="F167" s="6" t="s">
        <v>45</v>
      </c>
      <c r="G167" s="6" t="s">
        <v>30</v>
      </c>
      <c r="H167" s="6" t="n">
        <f aca="true">ROUND(RAND()*4+6,1)</f>
        <v>7.8</v>
      </c>
      <c r="I167" s="6" t="s">
        <v>46</v>
      </c>
      <c r="J167" s="6" t="str">
        <f aca="false">ROUND(91*1,0)&amp;"%"</f>
        <v>91%</v>
      </c>
    </row>
    <row r="168" customFormat="false" ht="15" hidden="false" customHeight="false" outlineLevel="0" collapsed="false">
      <c r="A168" s="5" t="s">
        <v>1791</v>
      </c>
      <c r="B168" s="5" t="s">
        <v>290</v>
      </c>
      <c r="C168" s="5" t="s">
        <v>152</v>
      </c>
      <c r="D168" s="5" t="s">
        <v>16</v>
      </c>
      <c r="E168" s="5" t="n">
        <f aca="false">ROUND(12222*1.05,2)</f>
        <v>12833.1</v>
      </c>
      <c r="F168" s="5" t="s">
        <v>49</v>
      </c>
      <c r="G168" s="5" t="s">
        <v>18</v>
      </c>
      <c r="H168" s="5" t="n">
        <f aca="true">ROUND(RAND()*4+6,1)</f>
        <v>9.7</v>
      </c>
      <c r="I168" s="5" t="s">
        <v>19</v>
      </c>
      <c r="J168" s="5" t="str">
        <f aca="false">ROUND(67*1,0)&amp;"%"</f>
        <v>67%</v>
      </c>
    </row>
    <row r="169" customFormat="false" ht="15" hidden="false" customHeight="false" outlineLevel="0" collapsed="false">
      <c r="A169" s="6" t="s">
        <v>1792</v>
      </c>
      <c r="B169" s="6" t="s">
        <v>292</v>
      </c>
      <c r="C169" s="6" t="s">
        <v>152</v>
      </c>
      <c r="D169" s="6" t="s">
        <v>22</v>
      </c>
      <c r="E169" s="6" t="n">
        <f aca="false">ROUND(10181*1.05,2)</f>
        <v>10690.05</v>
      </c>
      <c r="F169" s="6" t="s">
        <v>52</v>
      </c>
      <c r="G169" s="6" t="s">
        <v>24</v>
      </c>
      <c r="H169" s="6" t="n">
        <f aca="true">ROUND(RAND()*4+6,1)</f>
        <v>9.7</v>
      </c>
      <c r="I169" s="6" t="s">
        <v>25</v>
      </c>
      <c r="J169" s="6" t="str">
        <f aca="false">ROUND(91*1,0)&amp;"%"</f>
        <v>91%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1793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1794</v>
      </c>
      <c r="B174" s="5" t="s">
        <v>296</v>
      </c>
      <c r="C174" s="5" t="s">
        <v>15</v>
      </c>
      <c r="D174" s="5" t="s">
        <v>16</v>
      </c>
      <c r="E174" s="5" t="n">
        <f aca="false">ROUND(13824*1.05,2)</f>
        <v>14515.2</v>
      </c>
      <c r="F174" s="5" t="s">
        <v>17</v>
      </c>
      <c r="G174" s="5" t="s">
        <v>18</v>
      </c>
      <c r="H174" s="5" t="n">
        <f aca="true">ROUND(RAND()*4+6,1)</f>
        <v>7.2</v>
      </c>
      <c r="I174" s="5" t="s">
        <v>19</v>
      </c>
      <c r="J174" s="5" t="str">
        <f aca="false">ROUND(89*1,0)&amp;"%"</f>
        <v>89%</v>
      </c>
    </row>
    <row r="175" customFormat="false" ht="15" hidden="false" customHeight="false" outlineLevel="0" collapsed="false">
      <c r="A175" s="6" t="s">
        <v>1795</v>
      </c>
      <c r="B175" s="6" t="s">
        <v>298</v>
      </c>
      <c r="C175" s="6" t="s">
        <v>15</v>
      </c>
      <c r="D175" s="6" t="s">
        <v>22</v>
      </c>
      <c r="E175" s="6" t="n">
        <f aca="false">ROUND(11146*1.05,2)</f>
        <v>11703.3</v>
      </c>
      <c r="F175" s="6" t="s">
        <v>23</v>
      </c>
      <c r="G175" s="6" t="s">
        <v>24</v>
      </c>
      <c r="H175" s="6" t="n">
        <f aca="true">ROUND(RAND()*4+6,1)</f>
        <v>9.6</v>
      </c>
      <c r="I175" s="6" t="s">
        <v>25</v>
      </c>
      <c r="J175" s="6" t="str">
        <f aca="false">ROUND(85*1,0)&amp;"%"</f>
        <v>85%</v>
      </c>
    </row>
    <row r="176" customFormat="false" ht="15" hidden="false" customHeight="false" outlineLevel="0" collapsed="false">
      <c r="A176" s="5" t="s">
        <v>1796</v>
      </c>
      <c r="B176" s="5" t="s">
        <v>300</v>
      </c>
      <c r="C176" s="5" t="s">
        <v>15</v>
      </c>
      <c r="D176" s="5" t="s">
        <v>28</v>
      </c>
      <c r="E176" s="5" t="n">
        <f aca="false">ROUND(5193*1.05,2)</f>
        <v>5452.65</v>
      </c>
      <c r="F176" s="5" t="s">
        <v>29</v>
      </c>
      <c r="G176" s="5" t="s">
        <v>30</v>
      </c>
      <c r="H176" s="5" t="n">
        <f aca="true">ROUND(RAND()*4+6,1)</f>
        <v>9.9</v>
      </c>
      <c r="I176" s="5" t="s">
        <v>31</v>
      </c>
      <c r="J176" s="5" t="str">
        <f aca="false">ROUND(97*1,0)&amp;"%"</f>
        <v>97%</v>
      </c>
    </row>
    <row r="177" customFormat="false" ht="15" hidden="false" customHeight="false" outlineLevel="0" collapsed="false">
      <c r="A177" s="6" t="s">
        <v>1797</v>
      </c>
      <c r="B177" s="6" t="s">
        <v>302</v>
      </c>
      <c r="C177" s="6" t="s">
        <v>15</v>
      </c>
      <c r="D177" s="6" t="s">
        <v>34</v>
      </c>
      <c r="E177" s="6" t="n">
        <f aca="false">ROUND(17168*1.05,2)</f>
        <v>18026.4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ROUND(97*1,0)&amp;"%"</f>
        <v>97%</v>
      </c>
    </row>
    <row r="178" customFormat="false" ht="15" hidden="false" customHeight="false" outlineLevel="0" collapsed="false">
      <c r="A178" s="5" t="s">
        <v>1798</v>
      </c>
      <c r="B178" s="5" t="s">
        <v>304</v>
      </c>
      <c r="C178" s="5" t="s">
        <v>15</v>
      </c>
      <c r="D178" s="5" t="s">
        <v>39</v>
      </c>
      <c r="E178" s="5" t="n">
        <f aca="false">ROUND(16248*1.05,2)</f>
        <v>17060.4</v>
      </c>
      <c r="F178" s="5" t="s">
        <v>40</v>
      </c>
      <c r="G178" s="5" t="s">
        <v>24</v>
      </c>
      <c r="H178" s="5" t="n">
        <f aca="true">ROUND(RAND()*4+6,1)</f>
        <v>8.1</v>
      </c>
      <c r="I178" s="5" t="s">
        <v>41</v>
      </c>
      <c r="J178" s="5" t="str">
        <f aca="false">ROUND(72*1,0)&amp;"%"</f>
        <v>72%</v>
      </c>
    </row>
    <row r="179" customFormat="false" ht="15" hidden="false" customHeight="false" outlineLevel="0" collapsed="false">
      <c r="A179" s="6" t="s">
        <v>1799</v>
      </c>
      <c r="B179" s="6" t="s">
        <v>306</v>
      </c>
      <c r="C179" s="6" t="s">
        <v>15</v>
      </c>
      <c r="D179" s="6" t="s">
        <v>44</v>
      </c>
      <c r="E179" s="6" t="n">
        <f aca="false">ROUND(13008*1.05,2)</f>
        <v>13658.4</v>
      </c>
      <c r="F179" s="6" t="s">
        <v>45</v>
      </c>
      <c r="G179" s="6" t="s">
        <v>30</v>
      </c>
      <c r="H179" s="6" t="n">
        <f aca="true">ROUND(RAND()*4+6,1)</f>
        <v>9</v>
      </c>
      <c r="I179" s="6" t="s">
        <v>46</v>
      </c>
      <c r="J179" s="6" t="str">
        <f aca="false">ROUND(68*1,0)&amp;"%"</f>
        <v>68%</v>
      </c>
    </row>
    <row r="180" customFormat="false" ht="15" hidden="false" customHeight="false" outlineLevel="0" collapsed="false">
      <c r="A180" s="5" t="s">
        <v>1800</v>
      </c>
      <c r="B180" s="5" t="s">
        <v>308</v>
      </c>
      <c r="C180" s="5" t="s">
        <v>15</v>
      </c>
      <c r="D180" s="5" t="s">
        <v>16</v>
      </c>
      <c r="E180" s="5" t="n">
        <f aca="false">ROUND(9362*1.05,2)</f>
        <v>9830.1</v>
      </c>
      <c r="F180" s="5" t="s">
        <v>49</v>
      </c>
      <c r="G180" s="5" t="s">
        <v>18</v>
      </c>
      <c r="H180" s="5" t="n">
        <f aca="true">ROUND(RAND()*4+6,1)</f>
        <v>8.6</v>
      </c>
      <c r="I180" s="5" t="s">
        <v>19</v>
      </c>
      <c r="J180" s="5" t="str">
        <f aca="false">ROUND(91*1,0)&amp;"%"</f>
        <v>91%</v>
      </c>
    </row>
    <row r="181" customFormat="false" ht="15" hidden="false" customHeight="false" outlineLevel="0" collapsed="false">
      <c r="A181" s="6" t="s">
        <v>1801</v>
      </c>
      <c r="B181" s="6" t="s">
        <v>310</v>
      </c>
      <c r="C181" s="6" t="s">
        <v>15</v>
      </c>
      <c r="D181" s="6" t="s">
        <v>22</v>
      </c>
      <c r="E181" s="6" t="n">
        <f aca="false">ROUND(11082*1.05,2)</f>
        <v>11636.1</v>
      </c>
      <c r="F181" s="6" t="s">
        <v>52</v>
      </c>
      <c r="G181" s="6" t="s">
        <v>24</v>
      </c>
      <c r="H181" s="6" t="n">
        <f aca="true">ROUND(RAND()*4+6,1)</f>
        <v>7.9</v>
      </c>
      <c r="I181" s="6" t="s">
        <v>25</v>
      </c>
      <c r="J181" s="6" t="str">
        <f aca="false">ROUND(62*1,0)&amp;"%"</f>
        <v>62%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1802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1803</v>
      </c>
      <c r="B186" s="5" t="s">
        <v>314</v>
      </c>
      <c r="C186" s="5" t="s">
        <v>57</v>
      </c>
      <c r="D186" s="5" t="s">
        <v>16</v>
      </c>
      <c r="E186" s="5" t="n">
        <f aca="false">ROUND(7203*1.05,2)</f>
        <v>7563.15</v>
      </c>
      <c r="F186" s="5" t="s">
        <v>17</v>
      </c>
      <c r="G186" s="5" t="s">
        <v>18</v>
      </c>
      <c r="H186" s="5" t="n">
        <f aca="true">ROUND(RAND()*4+6,1)</f>
        <v>9.2</v>
      </c>
      <c r="I186" s="5" t="s">
        <v>19</v>
      </c>
      <c r="J186" s="5" t="str">
        <f aca="false">ROUND(96*1,0)&amp;"%"</f>
        <v>96%</v>
      </c>
    </row>
    <row r="187" customFormat="false" ht="15" hidden="false" customHeight="false" outlineLevel="0" collapsed="false">
      <c r="A187" s="6" t="s">
        <v>1804</v>
      </c>
      <c r="B187" s="6" t="s">
        <v>316</v>
      </c>
      <c r="C187" s="6" t="s">
        <v>57</v>
      </c>
      <c r="D187" s="6" t="s">
        <v>22</v>
      </c>
      <c r="E187" s="6" t="n">
        <f aca="false">ROUND(7848*1.05,2)</f>
        <v>8240.4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ROUND(77*1,0)&amp;"%"</f>
        <v>77%</v>
      </c>
    </row>
    <row r="188" customFormat="false" ht="15" hidden="false" customHeight="false" outlineLevel="0" collapsed="false">
      <c r="A188" s="5" t="s">
        <v>1805</v>
      </c>
      <c r="B188" s="5" t="s">
        <v>318</v>
      </c>
      <c r="C188" s="5" t="s">
        <v>57</v>
      </c>
      <c r="D188" s="5" t="s">
        <v>28</v>
      </c>
      <c r="E188" s="5" t="n">
        <f aca="false">ROUND(5344*1.05,2)</f>
        <v>5611.2</v>
      </c>
      <c r="F188" s="5" t="s">
        <v>29</v>
      </c>
      <c r="G188" s="5" t="s">
        <v>30</v>
      </c>
      <c r="H188" s="5" t="n">
        <f aca="true">ROUND(RAND()*4+6,1)</f>
        <v>8.9</v>
      </c>
      <c r="I188" s="5" t="s">
        <v>31</v>
      </c>
      <c r="J188" s="5" t="str">
        <f aca="false">ROUND(61*1,0)&amp;"%"</f>
        <v>61%</v>
      </c>
    </row>
    <row r="189" customFormat="false" ht="15" hidden="false" customHeight="false" outlineLevel="0" collapsed="false">
      <c r="A189" s="6" t="s">
        <v>1806</v>
      </c>
      <c r="B189" s="6" t="s">
        <v>320</v>
      </c>
      <c r="C189" s="6" t="s">
        <v>57</v>
      </c>
      <c r="D189" s="6" t="s">
        <v>34</v>
      </c>
      <c r="E189" s="6" t="n">
        <f aca="false">ROUND(7880*1.05,2)</f>
        <v>8274</v>
      </c>
      <c r="F189" s="6" t="s">
        <v>35</v>
      </c>
      <c r="G189" s="6" t="s">
        <v>18</v>
      </c>
      <c r="H189" s="6" t="n">
        <f aca="true">ROUND(RAND()*4+6,1)</f>
        <v>7.3</v>
      </c>
      <c r="I189" s="6" t="s">
        <v>36</v>
      </c>
      <c r="J189" s="6" t="str">
        <f aca="false">ROUND(89*1,0)&amp;"%"</f>
        <v>89%</v>
      </c>
    </row>
    <row r="190" customFormat="false" ht="15" hidden="false" customHeight="false" outlineLevel="0" collapsed="false">
      <c r="A190" s="5" t="s">
        <v>1807</v>
      </c>
      <c r="B190" s="5" t="s">
        <v>322</v>
      </c>
      <c r="C190" s="5" t="s">
        <v>57</v>
      </c>
      <c r="D190" s="5" t="s">
        <v>39</v>
      </c>
      <c r="E190" s="5" t="n">
        <f aca="false">ROUND(12429*1.05,2)</f>
        <v>13050.45</v>
      </c>
      <c r="F190" s="5" t="s">
        <v>40</v>
      </c>
      <c r="G190" s="5" t="s">
        <v>24</v>
      </c>
      <c r="H190" s="5" t="n">
        <f aca="true">ROUND(RAND()*4+6,1)</f>
        <v>9.8</v>
      </c>
      <c r="I190" s="5" t="s">
        <v>41</v>
      </c>
      <c r="J190" s="5" t="str">
        <f aca="false">ROUND(77*1,0)&amp;"%"</f>
        <v>77%</v>
      </c>
    </row>
    <row r="191" customFormat="false" ht="15" hidden="false" customHeight="false" outlineLevel="0" collapsed="false">
      <c r="A191" s="6" t="s">
        <v>1808</v>
      </c>
      <c r="B191" s="6" t="s">
        <v>324</v>
      </c>
      <c r="C191" s="6" t="s">
        <v>57</v>
      </c>
      <c r="D191" s="6" t="s">
        <v>44</v>
      </c>
      <c r="E191" s="6" t="n">
        <f aca="false">ROUND(17594*1.05,2)</f>
        <v>18473.7</v>
      </c>
      <c r="F191" s="6" t="s">
        <v>45</v>
      </c>
      <c r="G191" s="6" t="s">
        <v>30</v>
      </c>
      <c r="H191" s="6" t="n">
        <f aca="true">ROUND(RAND()*4+6,1)</f>
        <v>7.4</v>
      </c>
      <c r="I191" s="6" t="s">
        <v>46</v>
      </c>
      <c r="J191" s="6" t="str">
        <f aca="false">ROUND(60*1,0)&amp;"%"</f>
        <v>60%</v>
      </c>
    </row>
    <row r="192" customFormat="false" ht="15" hidden="false" customHeight="false" outlineLevel="0" collapsed="false">
      <c r="A192" s="5" t="s">
        <v>1809</v>
      </c>
      <c r="B192" s="5" t="s">
        <v>326</v>
      </c>
      <c r="C192" s="5" t="s">
        <v>57</v>
      </c>
      <c r="D192" s="5" t="s">
        <v>16</v>
      </c>
      <c r="E192" s="5" t="n">
        <f aca="false">ROUND(11809*1.05,2)</f>
        <v>12399.45</v>
      </c>
      <c r="F192" s="5" t="s">
        <v>49</v>
      </c>
      <c r="G192" s="5" t="s">
        <v>18</v>
      </c>
      <c r="H192" s="5" t="n">
        <f aca="true">ROUND(RAND()*4+6,1)</f>
        <v>6.2</v>
      </c>
      <c r="I192" s="5" t="s">
        <v>19</v>
      </c>
      <c r="J192" s="5" t="str">
        <f aca="false">ROUND(67*1,0)&amp;"%"</f>
        <v>67%</v>
      </c>
    </row>
    <row r="193" customFormat="false" ht="15" hidden="false" customHeight="false" outlineLevel="0" collapsed="false">
      <c r="A193" s="6" t="s">
        <v>1810</v>
      </c>
      <c r="B193" s="6" t="s">
        <v>328</v>
      </c>
      <c r="C193" s="6" t="s">
        <v>57</v>
      </c>
      <c r="D193" s="6" t="s">
        <v>22</v>
      </c>
      <c r="E193" s="6" t="n">
        <f aca="false">ROUND(9453*1.05,2)</f>
        <v>9925.65</v>
      </c>
      <c r="F193" s="6" t="s">
        <v>52</v>
      </c>
      <c r="G193" s="6" t="s">
        <v>24</v>
      </c>
      <c r="H193" s="6" t="n">
        <f aca="true">ROUND(RAND()*4+6,1)</f>
        <v>6.5</v>
      </c>
      <c r="I193" s="6" t="s">
        <v>25</v>
      </c>
      <c r="J193" s="6" t="str">
        <f aca="false">ROUND(87*1,0)&amp;"%"</f>
        <v>87%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1811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1812</v>
      </c>
      <c r="B198" s="5" t="s">
        <v>332</v>
      </c>
      <c r="C198" s="5" t="s">
        <v>76</v>
      </c>
      <c r="D198" s="5" t="s">
        <v>16</v>
      </c>
      <c r="E198" s="5" t="n">
        <f aca="false">ROUND(8451*1.05,2)</f>
        <v>8873.55</v>
      </c>
      <c r="F198" s="5" t="s">
        <v>17</v>
      </c>
      <c r="G198" s="5" t="s">
        <v>18</v>
      </c>
      <c r="H198" s="5" t="n">
        <f aca="true">ROUND(RAND()*4+6,1)</f>
        <v>6.6</v>
      </c>
      <c r="I198" s="5" t="s">
        <v>19</v>
      </c>
      <c r="J198" s="5" t="str">
        <f aca="false">ROUND(66*1,0)&amp;"%"</f>
        <v>66%</v>
      </c>
    </row>
    <row r="199" customFormat="false" ht="15" hidden="false" customHeight="false" outlineLevel="0" collapsed="false">
      <c r="A199" s="6" t="s">
        <v>1813</v>
      </c>
      <c r="B199" s="6" t="s">
        <v>334</v>
      </c>
      <c r="C199" s="6" t="s">
        <v>76</v>
      </c>
      <c r="D199" s="6" t="s">
        <v>22</v>
      </c>
      <c r="E199" s="6" t="n">
        <f aca="false">ROUND(9833*1.05,2)</f>
        <v>10324.65</v>
      </c>
      <c r="F199" s="6" t="s">
        <v>23</v>
      </c>
      <c r="G199" s="6" t="s">
        <v>24</v>
      </c>
      <c r="H199" s="6" t="n">
        <f aca="true">ROUND(RAND()*4+6,1)</f>
        <v>9.5</v>
      </c>
      <c r="I199" s="6" t="s">
        <v>25</v>
      </c>
      <c r="J199" s="6" t="str">
        <f aca="false">ROUND(65*1,0)&amp;"%"</f>
        <v>65%</v>
      </c>
    </row>
    <row r="200" customFormat="false" ht="15" hidden="false" customHeight="false" outlineLevel="0" collapsed="false">
      <c r="A200" s="5" t="s">
        <v>1814</v>
      </c>
      <c r="B200" s="5" t="s">
        <v>336</v>
      </c>
      <c r="C200" s="5" t="s">
        <v>76</v>
      </c>
      <c r="D200" s="5" t="s">
        <v>28</v>
      </c>
      <c r="E200" s="5" t="n">
        <f aca="false">ROUND(15779*1.05,2)</f>
        <v>16567.95</v>
      </c>
      <c r="F200" s="5" t="s">
        <v>29</v>
      </c>
      <c r="G200" s="5" t="s">
        <v>30</v>
      </c>
      <c r="H200" s="5" t="n">
        <f aca="true">ROUND(RAND()*4+6,1)</f>
        <v>7.2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1815</v>
      </c>
      <c r="B201" s="6" t="s">
        <v>338</v>
      </c>
      <c r="C201" s="6" t="s">
        <v>76</v>
      </c>
      <c r="D201" s="6" t="s">
        <v>34</v>
      </c>
      <c r="E201" s="6" t="n">
        <f aca="false">ROUND(13051*1.05,2)</f>
        <v>13703.55</v>
      </c>
      <c r="F201" s="6" t="s">
        <v>35</v>
      </c>
      <c r="G201" s="6" t="s">
        <v>18</v>
      </c>
      <c r="H201" s="6" t="n">
        <f aca="true">ROUND(RAND()*4+6,1)</f>
        <v>8.1</v>
      </c>
      <c r="I201" s="6" t="s">
        <v>36</v>
      </c>
      <c r="J201" s="6" t="str">
        <f aca="false">ROUND(95*1,0)&amp;"%"</f>
        <v>95%</v>
      </c>
    </row>
    <row r="202" customFormat="false" ht="15" hidden="false" customHeight="false" outlineLevel="0" collapsed="false">
      <c r="A202" s="5" t="s">
        <v>1816</v>
      </c>
      <c r="B202" s="5" t="s">
        <v>340</v>
      </c>
      <c r="C202" s="5" t="s">
        <v>76</v>
      </c>
      <c r="D202" s="5" t="s">
        <v>39</v>
      </c>
      <c r="E202" s="5" t="n">
        <f aca="false">ROUND(15767*1.05,2)</f>
        <v>16555.35</v>
      </c>
      <c r="F202" s="5" t="s">
        <v>40</v>
      </c>
      <c r="G202" s="5" t="s">
        <v>24</v>
      </c>
      <c r="H202" s="5" t="n">
        <f aca="true">ROUND(RAND()*4+6,1)</f>
        <v>6.5</v>
      </c>
      <c r="I202" s="5" t="s">
        <v>41</v>
      </c>
      <c r="J202" s="5" t="str">
        <f aca="false">ROUND(82*1,0)&amp;"%"</f>
        <v>82%</v>
      </c>
    </row>
    <row r="203" customFormat="false" ht="15" hidden="false" customHeight="false" outlineLevel="0" collapsed="false">
      <c r="A203" s="6" t="s">
        <v>1817</v>
      </c>
      <c r="B203" s="6" t="s">
        <v>342</v>
      </c>
      <c r="C203" s="6" t="s">
        <v>76</v>
      </c>
      <c r="D203" s="6" t="s">
        <v>44</v>
      </c>
      <c r="E203" s="6" t="n">
        <f aca="false">ROUND(11513*1.05,2)</f>
        <v>12088.65</v>
      </c>
      <c r="F203" s="6" t="s">
        <v>45</v>
      </c>
      <c r="G203" s="6" t="s">
        <v>30</v>
      </c>
      <c r="H203" s="6" t="n">
        <f aca="true">ROUND(RAND()*4+6,1)</f>
        <v>7.5</v>
      </c>
      <c r="I203" s="6" t="s">
        <v>46</v>
      </c>
      <c r="J203" s="6" t="str">
        <f aca="false">ROUND(67*1,0)&amp;"%"</f>
        <v>67%</v>
      </c>
    </row>
    <row r="204" customFormat="false" ht="15" hidden="false" customHeight="false" outlineLevel="0" collapsed="false">
      <c r="A204" s="5" t="s">
        <v>1818</v>
      </c>
      <c r="B204" s="5" t="s">
        <v>344</v>
      </c>
      <c r="C204" s="5" t="s">
        <v>76</v>
      </c>
      <c r="D204" s="5" t="s">
        <v>16</v>
      </c>
      <c r="E204" s="5" t="n">
        <f aca="false">ROUND(4140*1.05,2)</f>
        <v>4347</v>
      </c>
      <c r="F204" s="5" t="s">
        <v>49</v>
      </c>
      <c r="G204" s="5" t="s">
        <v>18</v>
      </c>
      <c r="H204" s="5" t="n">
        <f aca="true">ROUND(RAND()*4+6,1)</f>
        <v>7.1</v>
      </c>
      <c r="I204" s="5" t="s">
        <v>19</v>
      </c>
      <c r="J204" s="5" t="str">
        <f aca="false">ROUND(85*1,0)&amp;"%"</f>
        <v>85%</v>
      </c>
    </row>
    <row r="205" customFormat="false" ht="15" hidden="false" customHeight="false" outlineLevel="0" collapsed="false">
      <c r="A205" s="6" t="s">
        <v>1819</v>
      </c>
      <c r="B205" s="6" t="s">
        <v>346</v>
      </c>
      <c r="C205" s="6" t="s">
        <v>76</v>
      </c>
      <c r="D205" s="6" t="s">
        <v>22</v>
      </c>
      <c r="E205" s="6" t="n">
        <f aca="false">ROUND(12656*1.05,2)</f>
        <v>13288.8</v>
      </c>
      <c r="F205" s="6" t="s">
        <v>52</v>
      </c>
      <c r="G205" s="6" t="s">
        <v>24</v>
      </c>
      <c r="H205" s="6" t="n">
        <f aca="true">ROUND(RAND()*4+6,1)</f>
        <v>6.4</v>
      </c>
      <c r="I205" s="6" t="s">
        <v>25</v>
      </c>
      <c r="J205" s="6" t="str">
        <f aca="false">ROUND(100*1,0)&amp;"%"</f>
        <v>100%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1820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1821</v>
      </c>
      <c r="B210" s="5" t="s">
        <v>350</v>
      </c>
      <c r="C210" s="5" t="s">
        <v>95</v>
      </c>
      <c r="D210" s="5" t="s">
        <v>16</v>
      </c>
      <c r="E210" s="5" t="n">
        <f aca="false">ROUND(14500*1.05,2)</f>
        <v>15225</v>
      </c>
      <c r="F210" s="5" t="s">
        <v>17</v>
      </c>
      <c r="G210" s="5" t="s">
        <v>18</v>
      </c>
      <c r="H210" s="5" t="n">
        <f aca="true">ROUND(RAND()*4+6,1)</f>
        <v>7</v>
      </c>
      <c r="I210" s="5" t="s">
        <v>19</v>
      </c>
      <c r="J210" s="5" t="str">
        <f aca="false">ROUND(78*1,0)&amp;"%"</f>
        <v>78%</v>
      </c>
    </row>
    <row r="211" customFormat="false" ht="15" hidden="false" customHeight="false" outlineLevel="0" collapsed="false">
      <c r="A211" s="6" t="s">
        <v>1822</v>
      </c>
      <c r="B211" s="6" t="s">
        <v>352</v>
      </c>
      <c r="C211" s="6" t="s">
        <v>95</v>
      </c>
      <c r="D211" s="6" t="s">
        <v>22</v>
      </c>
      <c r="E211" s="6" t="n">
        <f aca="false">ROUND(8534*1.05,2)</f>
        <v>8960.7</v>
      </c>
      <c r="F211" s="6" t="s">
        <v>23</v>
      </c>
      <c r="G211" s="6" t="s">
        <v>24</v>
      </c>
      <c r="H211" s="6" t="n">
        <f aca="true">ROUND(RAND()*4+6,1)</f>
        <v>9.6</v>
      </c>
      <c r="I211" s="6" t="s">
        <v>25</v>
      </c>
      <c r="J211" s="6" t="str">
        <f aca="false">ROUND(84*1,0)&amp;"%"</f>
        <v>84%</v>
      </c>
    </row>
    <row r="212" customFormat="false" ht="15" hidden="false" customHeight="false" outlineLevel="0" collapsed="false">
      <c r="A212" s="5" t="s">
        <v>1823</v>
      </c>
      <c r="B212" s="5" t="s">
        <v>354</v>
      </c>
      <c r="C212" s="5" t="s">
        <v>95</v>
      </c>
      <c r="D212" s="5" t="s">
        <v>28</v>
      </c>
      <c r="E212" s="5" t="n">
        <f aca="false">ROUND(10207*1.05,2)</f>
        <v>10717.35</v>
      </c>
      <c r="F212" s="5" t="s">
        <v>29</v>
      </c>
      <c r="G212" s="5" t="s">
        <v>30</v>
      </c>
      <c r="H212" s="5" t="n">
        <f aca="true">ROUND(RAND()*4+6,1)</f>
        <v>9.1</v>
      </c>
      <c r="I212" s="5" t="s">
        <v>31</v>
      </c>
      <c r="J212" s="5" t="str">
        <f aca="false">ROUND(64*1,0)&amp;"%"</f>
        <v>64%</v>
      </c>
    </row>
    <row r="213" customFormat="false" ht="15" hidden="false" customHeight="false" outlineLevel="0" collapsed="false">
      <c r="A213" s="6" t="s">
        <v>1824</v>
      </c>
      <c r="B213" s="6" t="s">
        <v>356</v>
      </c>
      <c r="C213" s="6" t="s">
        <v>95</v>
      </c>
      <c r="D213" s="6" t="s">
        <v>34</v>
      </c>
      <c r="E213" s="6" t="n">
        <f aca="false">ROUND(11063*1.05,2)</f>
        <v>11616.15</v>
      </c>
      <c r="F213" s="6" t="s">
        <v>35</v>
      </c>
      <c r="G213" s="6" t="s">
        <v>18</v>
      </c>
      <c r="H213" s="6" t="n">
        <f aca="true">ROUND(RAND()*4+6,1)</f>
        <v>6.3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1825</v>
      </c>
      <c r="B214" s="5" t="s">
        <v>358</v>
      </c>
      <c r="C214" s="5" t="s">
        <v>95</v>
      </c>
      <c r="D214" s="5" t="s">
        <v>39</v>
      </c>
      <c r="E214" s="5" t="n">
        <f aca="false">ROUND(13808*1.05,2)</f>
        <v>14498.4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ROUND(67*1,0)&amp;"%"</f>
        <v>67%</v>
      </c>
    </row>
    <row r="215" customFormat="false" ht="15" hidden="false" customHeight="false" outlineLevel="0" collapsed="false">
      <c r="A215" s="6" t="s">
        <v>1826</v>
      </c>
      <c r="B215" s="6" t="s">
        <v>360</v>
      </c>
      <c r="C215" s="6" t="s">
        <v>95</v>
      </c>
      <c r="D215" s="6" t="s">
        <v>44</v>
      </c>
      <c r="E215" s="6" t="n">
        <f aca="false">ROUND(6197*1.05,2)</f>
        <v>6506.85</v>
      </c>
      <c r="F215" s="6" t="s">
        <v>45</v>
      </c>
      <c r="G215" s="6" t="s">
        <v>30</v>
      </c>
      <c r="H215" s="6" t="n">
        <f aca="true">ROUND(RAND()*4+6,1)</f>
        <v>6.7</v>
      </c>
      <c r="I215" s="6" t="s">
        <v>46</v>
      </c>
      <c r="J215" s="6" t="str">
        <f aca="false">ROUND(97*1,0)&amp;"%"</f>
        <v>97%</v>
      </c>
    </row>
    <row r="216" customFormat="false" ht="15" hidden="false" customHeight="false" outlineLevel="0" collapsed="false">
      <c r="A216" s="5" t="s">
        <v>1827</v>
      </c>
      <c r="B216" s="5" t="s">
        <v>362</v>
      </c>
      <c r="C216" s="5" t="s">
        <v>95</v>
      </c>
      <c r="D216" s="5" t="s">
        <v>16</v>
      </c>
      <c r="E216" s="5" t="n">
        <f aca="false">ROUND(4610*1.05,2)</f>
        <v>4840.5</v>
      </c>
      <c r="F216" s="5" t="s">
        <v>49</v>
      </c>
      <c r="G216" s="5" t="s">
        <v>18</v>
      </c>
      <c r="H216" s="5" t="n">
        <f aca="true">ROUND(RAND()*4+6,1)</f>
        <v>8.1</v>
      </c>
      <c r="I216" s="5" t="s">
        <v>19</v>
      </c>
      <c r="J216" s="5" t="str">
        <f aca="false">ROUND(99*1,0)&amp;"%"</f>
        <v>99%</v>
      </c>
    </row>
    <row r="217" customFormat="false" ht="15" hidden="false" customHeight="false" outlineLevel="0" collapsed="false">
      <c r="A217" s="6" t="s">
        <v>1828</v>
      </c>
      <c r="B217" s="6" t="s">
        <v>364</v>
      </c>
      <c r="C217" s="6" t="s">
        <v>95</v>
      </c>
      <c r="D217" s="6" t="s">
        <v>22</v>
      </c>
      <c r="E217" s="6" t="n">
        <f aca="false">ROUND(5526*1.05,2)</f>
        <v>5802.3</v>
      </c>
      <c r="F217" s="6" t="s">
        <v>52</v>
      </c>
      <c r="G217" s="6" t="s">
        <v>24</v>
      </c>
      <c r="H217" s="6" t="n">
        <f aca="true">ROUND(RAND()*4+6,1)</f>
        <v>8.6</v>
      </c>
      <c r="I217" s="6" t="s">
        <v>25</v>
      </c>
      <c r="J217" s="6" t="str">
        <f aca="false">ROUND(68*1,0)&amp;"%"</f>
        <v>68%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1829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1830</v>
      </c>
      <c r="B222" s="5" t="s">
        <v>368</v>
      </c>
      <c r="C222" s="5" t="s">
        <v>114</v>
      </c>
      <c r="D222" s="5" t="s">
        <v>16</v>
      </c>
      <c r="E222" s="5" t="n">
        <f aca="false">ROUND(6552*1.05,2)</f>
        <v>6879.6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ROUND(61*1,0)&amp;"%"</f>
        <v>61%</v>
      </c>
    </row>
    <row r="223" customFormat="false" ht="15" hidden="false" customHeight="false" outlineLevel="0" collapsed="false">
      <c r="A223" s="6" t="s">
        <v>1831</v>
      </c>
      <c r="B223" s="6" t="s">
        <v>370</v>
      </c>
      <c r="C223" s="6" t="s">
        <v>114</v>
      </c>
      <c r="D223" s="6" t="s">
        <v>22</v>
      </c>
      <c r="E223" s="6" t="n">
        <f aca="false">ROUND(17435*1.05,2)</f>
        <v>18306.75</v>
      </c>
      <c r="F223" s="6" t="s">
        <v>23</v>
      </c>
      <c r="G223" s="6" t="s">
        <v>24</v>
      </c>
      <c r="H223" s="6" t="n">
        <f aca="true">ROUND(RAND()*4+6,1)</f>
        <v>8.7</v>
      </c>
      <c r="I223" s="6" t="s">
        <v>25</v>
      </c>
      <c r="J223" s="6" t="str">
        <f aca="false">ROUND(86*1,0)&amp;"%"</f>
        <v>86%</v>
      </c>
    </row>
    <row r="224" customFormat="false" ht="15" hidden="false" customHeight="false" outlineLevel="0" collapsed="false">
      <c r="A224" s="5" t="s">
        <v>1832</v>
      </c>
      <c r="B224" s="5" t="s">
        <v>372</v>
      </c>
      <c r="C224" s="5" t="s">
        <v>114</v>
      </c>
      <c r="D224" s="5" t="s">
        <v>28</v>
      </c>
      <c r="E224" s="5" t="n">
        <f aca="false">ROUND(7916*1.05,2)</f>
        <v>8311.8</v>
      </c>
      <c r="F224" s="5" t="s">
        <v>29</v>
      </c>
      <c r="G224" s="5" t="s">
        <v>30</v>
      </c>
      <c r="H224" s="5" t="n">
        <f aca="true">ROUND(RAND()*4+6,1)</f>
        <v>6.4</v>
      </c>
      <c r="I224" s="5" t="s">
        <v>31</v>
      </c>
      <c r="J224" s="5" t="str">
        <f aca="false">ROUND(82*1,0)&amp;"%"</f>
        <v>82%</v>
      </c>
    </row>
    <row r="225" customFormat="false" ht="15" hidden="false" customHeight="false" outlineLevel="0" collapsed="false">
      <c r="A225" s="6" t="s">
        <v>1833</v>
      </c>
      <c r="B225" s="6" t="s">
        <v>374</v>
      </c>
      <c r="C225" s="6" t="s">
        <v>114</v>
      </c>
      <c r="D225" s="6" t="s">
        <v>34</v>
      </c>
      <c r="E225" s="6" t="n">
        <f aca="false">ROUND(11502*1.05,2)</f>
        <v>12077.1</v>
      </c>
      <c r="F225" s="6" t="s">
        <v>35</v>
      </c>
      <c r="G225" s="6" t="s">
        <v>18</v>
      </c>
      <c r="H225" s="6" t="n">
        <f aca="true">ROUND(RAND()*4+6,1)</f>
        <v>9.7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1834</v>
      </c>
      <c r="B226" s="5" t="s">
        <v>376</v>
      </c>
      <c r="C226" s="5" t="s">
        <v>114</v>
      </c>
      <c r="D226" s="5" t="s">
        <v>39</v>
      </c>
      <c r="E226" s="5" t="n">
        <f aca="false">ROUND(15002*1.05,2)</f>
        <v>15752.1</v>
      </c>
      <c r="F226" s="5" t="s">
        <v>40</v>
      </c>
      <c r="G226" s="5" t="s">
        <v>24</v>
      </c>
      <c r="H226" s="5" t="n">
        <f aca="true">ROUND(RAND()*4+6,1)</f>
        <v>6.2</v>
      </c>
      <c r="I226" s="5" t="s">
        <v>41</v>
      </c>
      <c r="J226" s="5" t="str">
        <f aca="false">ROUND(79*1,0)&amp;"%"</f>
        <v>79%</v>
      </c>
    </row>
    <row r="227" customFormat="false" ht="15" hidden="false" customHeight="false" outlineLevel="0" collapsed="false">
      <c r="A227" s="6" t="s">
        <v>1835</v>
      </c>
      <c r="B227" s="6" t="s">
        <v>378</v>
      </c>
      <c r="C227" s="6" t="s">
        <v>114</v>
      </c>
      <c r="D227" s="6" t="s">
        <v>44</v>
      </c>
      <c r="E227" s="6" t="n">
        <f aca="false">ROUND(6975*1.05,2)</f>
        <v>7323.75</v>
      </c>
      <c r="F227" s="6" t="s">
        <v>45</v>
      </c>
      <c r="G227" s="6" t="s">
        <v>30</v>
      </c>
      <c r="H227" s="6" t="n">
        <f aca="true">ROUND(RAND()*4+6,1)</f>
        <v>7.8</v>
      </c>
      <c r="I227" s="6" t="s">
        <v>46</v>
      </c>
      <c r="J227" s="6" t="str">
        <f aca="false">ROUND(69*1,0)&amp;"%"</f>
        <v>69%</v>
      </c>
    </row>
    <row r="228" customFormat="false" ht="15" hidden="false" customHeight="false" outlineLevel="0" collapsed="false">
      <c r="A228" s="5" t="s">
        <v>1836</v>
      </c>
      <c r="B228" s="5" t="s">
        <v>380</v>
      </c>
      <c r="C228" s="5" t="s">
        <v>114</v>
      </c>
      <c r="D228" s="5" t="s">
        <v>16</v>
      </c>
      <c r="E228" s="5" t="n">
        <f aca="false">ROUND(12352*1.05,2)</f>
        <v>12969.6</v>
      </c>
      <c r="F228" s="5" t="s">
        <v>49</v>
      </c>
      <c r="G228" s="5" t="s">
        <v>18</v>
      </c>
      <c r="H228" s="5" t="n">
        <f aca="true">ROUND(RAND()*4+6,1)</f>
        <v>7.3</v>
      </c>
      <c r="I228" s="5" t="s">
        <v>19</v>
      </c>
      <c r="J228" s="5" t="str">
        <f aca="false">ROUND(99*1,0)&amp;"%"</f>
        <v>99%</v>
      </c>
    </row>
    <row r="229" customFormat="false" ht="15" hidden="false" customHeight="false" outlineLevel="0" collapsed="false">
      <c r="A229" s="6" t="s">
        <v>1837</v>
      </c>
      <c r="B229" s="6" t="s">
        <v>382</v>
      </c>
      <c r="C229" s="6" t="s">
        <v>114</v>
      </c>
      <c r="D229" s="6" t="s">
        <v>22</v>
      </c>
      <c r="E229" s="6" t="n">
        <f aca="false">ROUND(11025*1.05,2)</f>
        <v>11576.25</v>
      </c>
      <c r="F229" s="6" t="s">
        <v>52</v>
      </c>
      <c r="G229" s="6" t="s">
        <v>24</v>
      </c>
      <c r="H229" s="6" t="n">
        <f aca="true">ROUND(RAND()*4+6,1)</f>
        <v>9.8</v>
      </c>
      <c r="I229" s="6" t="s">
        <v>25</v>
      </c>
      <c r="J229" s="6" t="str">
        <f aca="false">ROUND(61*1,0)&amp;"%"</f>
        <v>61%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1838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1839</v>
      </c>
      <c r="B234" s="5" t="s">
        <v>386</v>
      </c>
      <c r="C234" s="5" t="s">
        <v>133</v>
      </c>
      <c r="D234" s="5" t="s">
        <v>16</v>
      </c>
      <c r="E234" s="5" t="n">
        <f aca="false">ROUND(4501*1.05,2)</f>
        <v>4726.05</v>
      </c>
      <c r="F234" s="5" t="s">
        <v>17</v>
      </c>
      <c r="G234" s="5" t="s">
        <v>18</v>
      </c>
      <c r="H234" s="5" t="n">
        <f aca="true">ROUND(RAND()*4+6,1)</f>
        <v>8.8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1840</v>
      </c>
      <c r="B235" s="6" t="s">
        <v>388</v>
      </c>
      <c r="C235" s="6" t="s">
        <v>133</v>
      </c>
      <c r="D235" s="6" t="s">
        <v>22</v>
      </c>
      <c r="E235" s="6" t="n">
        <f aca="false">ROUND(14482*1.05,2)</f>
        <v>15206.1</v>
      </c>
      <c r="F235" s="6" t="s">
        <v>23</v>
      </c>
      <c r="G235" s="6" t="s">
        <v>24</v>
      </c>
      <c r="H235" s="6" t="n">
        <f aca="true">ROUND(RAND()*4+6,1)</f>
        <v>9</v>
      </c>
      <c r="I235" s="6" t="s">
        <v>25</v>
      </c>
      <c r="J235" s="6" t="str">
        <f aca="false">ROUND(100*1,0)&amp;"%"</f>
        <v>100%</v>
      </c>
    </row>
    <row r="236" customFormat="false" ht="15" hidden="false" customHeight="false" outlineLevel="0" collapsed="false">
      <c r="A236" s="5" t="s">
        <v>1841</v>
      </c>
      <c r="B236" s="5" t="s">
        <v>390</v>
      </c>
      <c r="C236" s="5" t="s">
        <v>133</v>
      </c>
      <c r="D236" s="5" t="s">
        <v>28</v>
      </c>
      <c r="E236" s="5" t="n">
        <f aca="false">ROUND(17987*1.05,2)</f>
        <v>18886.35</v>
      </c>
      <c r="F236" s="5" t="s">
        <v>29</v>
      </c>
      <c r="G236" s="5" t="s">
        <v>30</v>
      </c>
      <c r="H236" s="5" t="n">
        <f aca="true">ROUND(RAND()*4+6,1)</f>
        <v>8.1</v>
      </c>
      <c r="I236" s="5" t="s">
        <v>31</v>
      </c>
      <c r="J236" s="5" t="str">
        <f aca="false">ROUND(78*1,0)&amp;"%"</f>
        <v>78%</v>
      </c>
    </row>
    <row r="237" customFormat="false" ht="15" hidden="false" customHeight="false" outlineLevel="0" collapsed="false">
      <c r="A237" s="6" t="s">
        <v>1842</v>
      </c>
      <c r="B237" s="6" t="s">
        <v>392</v>
      </c>
      <c r="C237" s="6" t="s">
        <v>133</v>
      </c>
      <c r="D237" s="6" t="s">
        <v>34</v>
      </c>
      <c r="E237" s="6" t="n">
        <f aca="false">ROUND(12869*1.05,2)</f>
        <v>13512.45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ROUND(84*1,0)&amp;"%"</f>
        <v>84%</v>
      </c>
    </row>
    <row r="238" customFormat="false" ht="15" hidden="false" customHeight="false" outlineLevel="0" collapsed="false">
      <c r="A238" s="5" t="s">
        <v>1843</v>
      </c>
      <c r="B238" s="5" t="s">
        <v>394</v>
      </c>
      <c r="C238" s="5" t="s">
        <v>133</v>
      </c>
      <c r="D238" s="5" t="s">
        <v>39</v>
      </c>
      <c r="E238" s="5" t="n">
        <f aca="false">ROUND(7021*1.05,2)</f>
        <v>7372.05</v>
      </c>
      <c r="F238" s="5" t="s">
        <v>40</v>
      </c>
      <c r="G238" s="5" t="s">
        <v>24</v>
      </c>
      <c r="H238" s="5" t="n">
        <f aca="true">ROUND(RAND()*4+6,1)</f>
        <v>9.5</v>
      </c>
      <c r="I238" s="5" t="s">
        <v>41</v>
      </c>
      <c r="J238" s="5" t="str">
        <f aca="false">ROUND(80*1,0)&amp;"%"</f>
        <v>80%</v>
      </c>
    </row>
    <row r="239" customFormat="false" ht="15" hidden="false" customHeight="false" outlineLevel="0" collapsed="false">
      <c r="A239" s="6" t="s">
        <v>1844</v>
      </c>
      <c r="B239" s="6" t="s">
        <v>396</v>
      </c>
      <c r="C239" s="6" t="s">
        <v>133</v>
      </c>
      <c r="D239" s="6" t="s">
        <v>44</v>
      </c>
      <c r="E239" s="6" t="n">
        <f aca="false">ROUND(4819*1.05,2)</f>
        <v>5059.95</v>
      </c>
      <c r="F239" s="6" t="s">
        <v>45</v>
      </c>
      <c r="G239" s="6" t="s">
        <v>30</v>
      </c>
      <c r="H239" s="6" t="n">
        <f aca="true">ROUND(RAND()*4+6,1)</f>
        <v>6.5</v>
      </c>
      <c r="I239" s="6" t="s">
        <v>46</v>
      </c>
      <c r="J239" s="6" t="str">
        <f aca="false">ROUND(75*1,0)&amp;"%"</f>
        <v>75%</v>
      </c>
    </row>
    <row r="240" customFormat="false" ht="15" hidden="false" customHeight="false" outlineLevel="0" collapsed="false">
      <c r="A240" s="5" t="s">
        <v>1845</v>
      </c>
      <c r="B240" s="5" t="s">
        <v>398</v>
      </c>
      <c r="C240" s="5" t="s">
        <v>133</v>
      </c>
      <c r="D240" s="5" t="s">
        <v>16</v>
      </c>
      <c r="E240" s="5" t="n">
        <f aca="false">ROUND(16821*1.05,2)</f>
        <v>17662.05</v>
      </c>
      <c r="F240" s="5" t="s">
        <v>49</v>
      </c>
      <c r="G240" s="5" t="s">
        <v>18</v>
      </c>
      <c r="H240" s="5" t="n">
        <f aca="true">ROUND(RAND()*4+6,1)</f>
        <v>9.7</v>
      </c>
      <c r="I240" s="5" t="s">
        <v>19</v>
      </c>
      <c r="J240" s="5" t="str">
        <f aca="false">ROUND(95*1,0)&amp;"%"</f>
        <v>95%</v>
      </c>
    </row>
    <row r="241" customFormat="false" ht="15" hidden="false" customHeight="false" outlineLevel="0" collapsed="false">
      <c r="A241" s="6" t="s">
        <v>1846</v>
      </c>
      <c r="B241" s="6" t="s">
        <v>400</v>
      </c>
      <c r="C241" s="6" t="s">
        <v>133</v>
      </c>
      <c r="D241" s="6" t="s">
        <v>22</v>
      </c>
      <c r="E241" s="6" t="n">
        <f aca="false">ROUND(7858*1.05,2)</f>
        <v>8250.9</v>
      </c>
      <c r="F241" s="6" t="s">
        <v>52</v>
      </c>
      <c r="G241" s="6" t="s">
        <v>24</v>
      </c>
      <c r="H241" s="6" t="n">
        <f aca="true">ROUND(RAND()*4+6,1)</f>
        <v>8.3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1847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1848</v>
      </c>
      <c r="B246" s="5" t="s">
        <v>404</v>
      </c>
      <c r="C246" s="5" t="s">
        <v>152</v>
      </c>
      <c r="D246" s="5" t="s">
        <v>16</v>
      </c>
      <c r="E246" s="5" t="n">
        <f aca="false">ROUND(15399*1.05,2)</f>
        <v>16168.95</v>
      </c>
      <c r="F246" s="5" t="s">
        <v>17</v>
      </c>
      <c r="G246" s="5" t="s">
        <v>18</v>
      </c>
      <c r="H246" s="5" t="n">
        <f aca="true">ROUND(RAND()*4+6,1)</f>
        <v>9</v>
      </c>
      <c r="I246" s="5" t="s">
        <v>19</v>
      </c>
      <c r="J246" s="5" t="str">
        <f aca="false">ROUND(74*1,0)&amp;"%"</f>
        <v>74%</v>
      </c>
    </row>
    <row r="247" customFormat="false" ht="15" hidden="false" customHeight="false" outlineLevel="0" collapsed="false">
      <c r="A247" s="6" t="s">
        <v>1849</v>
      </c>
      <c r="B247" s="6" t="s">
        <v>406</v>
      </c>
      <c r="C247" s="6" t="s">
        <v>152</v>
      </c>
      <c r="D247" s="6" t="s">
        <v>22</v>
      </c>
      <c r="E247" s="6" t="n">
        <f aca="false">ROUND(8745*1.05,2)</f>
        <v>9182.25</v>
      </c>
      <c r="F247" s="6" t="s">
        <v>23</v>
      </c>
      <c r="G247" s="6" t="s">
        <v>24</v>
      </c>
      <c r="H247" s="6" t="n">
        <f aca="true">ROUND(RAND()*4+6,1)</f>
        <v>6.3</v>
      </c>
      <c r="I247" s="6" t="s">
        <v>25</v>
      </c>
      <c r="J247" s="6" t="str">
        <f aca="false">ROUND(68*1,0)&amp;"%"</f>
        <v>68%</v>
      </c>
    </row>
    <row r="248" customFormat="false" ht="15" hidden="false" customHeight="false" outlineLevel="0" collapsed="false">
      <c r="A248" s="5" t="s">
        <v>1850</v>
      </c>
      <c r="B248" s="5" t="s">
        <v>408</v>
      </c>
      <c r="C248" s="5" t="s">
        <v>152</v>
      </c>
      <c r="D248" s="5" t="s">
        <v>28</v>
      </c>
      <c r="E248" s="5" t="n">
        <f aca="false">ROUND(17956*1.05,2)</f>
        <v>18853.8</v>
      </c>
      <c r="F248" s="5" t="s">
        <v>29</v>
      </c>
      <c r="G248" s="5" t="s">
        <v>30</v>
      </c>
      <c r="H248" s="5" t="n">
        <f aca="true">ROUND(RAND()*4+6,1)</f>
        <v>8.6</v>
      </c>
      <c r="I248" s="5" t="s">
        <v>31</v>
      </c>
      <c r="J248" s="5" t="str">
        <f aca="false">ROUND(79*1,0)&amp;"%"</f>
        <v>79%</v>
      </c>
    </row>
    <row r="249" customFormat="false" ht="15" hidden="false" customHeight="false" outlineLevel="0" collapsed="false">
      <c r="A249" s="6" t="s">
        <v>1851</v>
      </c>
      <c r="B249" s="6" t="s">
        <v>410</v>
      </c>
      <c r="C249" s="6" t="s">
        <v>152</v>
      </c>
      <c r="D249" s="6" t="s">
        <v>34</v>
      </c>
      <c r="E249" s="6" t="n">
        <f aca="false">ROUND(4365*1.05,2)</f>
        <v>4583.25</v>
      </c>
      <c r="F249" s="6" t="s">
        <v>35</v>
      </c>
      <c r="G249" s="6" t="s">
        <v>18</v>
      </c>
      <c r="H249" s="6" t="n">
        <f aca="true">ROUND(RAND()*4+6,1)</f>
        <v>8</v>
      </c>
      <c r="I249" s="6" t="s">
        <v>36</v>
      </c>
      <c r="J249" s="6" t="str">
        <f aca="false">ROUND(93*1,0)&amp;"%"</f>
        <v>93%</v>
      </c>
    </row>
    <row r="250" customFormat="false" ht="15" hidden="false" customHeight="false" outlineLevel="0" collapsed="false">
      <c r="A250" s="5" t="s">
        <v>1852</v>
      </c>
      <c r="B250" s="5" t="s">
        <v>412</v>
      </c>
      <c r="C250" s="5" t="s">
        <v>152</v>
      </c>
      <c r="D250" s="5" t="s">
        <v>39</v>
      </c>
      <c r="E250" s="5" t="n">
        <f aca="false">ROUND(15562*1.05,2)</f>
        <v>16340.1</v>
      </c>
      <c r="F250" s="5" t="s">
        <v>40</v>
      </c>
      <c r="G250" s="5" t="s">
        <v>24</v>
      </c>
      <c r="H250" s="5" t="n">
        <f aca="true">ROUND(RAND()*4+6,1)</f>
        <v>6.6</v>
      </c>
      <c r="I250" s="5" t="s">
        <v>41</v>
      </c>
      <c r="J250" s="5" t="str">
        <f aca="false">ROUND(97*1,0)&amp;"%"</f>
        <v>97%</v>
      </c>
    </row>
    <row r="251" customFormat="false" ht="15" hidden="false" customHeight="false" outlineLevel="0" collapsed="false">
      <c r="A251" s="6" t="s">
        <v>1853</v>
      </c>
      <c r="B251" s="6" t="s">
        <v>414</v>
      </c>
      <c r="C251" s="6" t="s">
        <v>152</v>
      </c>
      <c r="D251" s="6" t="s">
        <v>44</v>
      </c>
      <c r="E251" s="6" t="n">
        <f aca="false">ROUND(9599*1.05,2)</f>
        <v>10078.95</v>
      </c>
      <c r="F251" s="6" t="s">
        <v>45</v>
      </c>
      <c r="G251" s="6" t="s">
        <v>30</v>
      </c>
      <c r="H251" s="6" t="n">
        <f aca="true">ROUND(RAND()*4+6,1)</f>
        <v>6</v>
      </c>
      <c r="I251" s="6" t="s">
        <v>46</v>
      </c>
      <c r="J251" s="6" t="str">
        <f aca="false">ROUND(97*1,0)&amp;"%"</f>
        <v>97%</v>
      </c>
    </row>
    <row r="252" customFormat="false" ht="15" hidden="false" customHeight="false" outlineLevel="0" collapsed="false">
      <c r="A252" s="5" t="s">
        <v>1854</v>
      </c>
      <c r="B252" s="5" t="s">
        <v>416</v>
      </c>
      <c r="C252" s="5" t="s">
        <v>152</v>
      </c>
      <c r="D252" s="5" t="s">
        <v>16</v>
      </c>
      <c r="E252" s="5" t="n">
        <f aca="false">ROUND(8330*1.05,2)</f>
        <v>8746.5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ROUND(72*1,0)&amp;"%"</f>
        <v>72%</v>
      </c>
    </row>
    <row r="253" customFormat="false" ht="15" hidden="false" customHeight="false" outlineLevel="0" collapsed="false">
      <c r="A253" s="6" t="s">
        <v>1855</v>
      </c>
      <c r="B253" s="6" t="s">
        <v>418</v>
      </c>
      <c r="C253" s="6" t="s">
        <v>152</v>
      </c>
      <c r="D253" s="6" t="s">
        <v>22</v>
      </c>
      <c r="E253" s="6" t="n">
        <f aca="false">ROUND(7976*1.05,2)</f>
        <v>8374.8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ROUND(75*1,0)&amp;"%"</f>
        <v>75%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1856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1857</v>
      </c>
      <c r="B258" s="5" t="s">
        <v>422</v>
      </c>
      <c r="C258" s="5" t="s">
        <v>15</v>
      </c>
      <c r="D258" s="5" t="s">
        <v>16</v>
      </c>
      <c r="E258" s="5" t="n">
        <f aca="false">ROUND(6926*1.05,2)</f>
        <v>7272.3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ROUND(74*1,0)&amp;"%"</f>
        <v>74%</v>
      </c>
    </row>
    <row r="259" customFormat="false" ht="15" hidden="false" customHeight="false" outlineLevel="0" collapsed="false">
      <c r="A259" s="6" t="s">
        <v>1858</v>
      </c>
      <c r="B259" s="6" t="s">
        <v>424</v>
      </c>
      <c r="C259" s="6" t="s">
        <v>15</v>
      </c>
      <c r="D259" s="6" t="s">
        <v>22</v>
      </c>
      <c r="E259" s="6" t="n">
        <f aca="false">ROUND(14867*1.05,2)</f>
        <v>15610.35</v>
      </c>
      <c r="F259" s="6" t="s">
        <v>23</v>
      </c>
      <c r="G259" s="6" t="s">
        <v>24</v>
      </c>
      <c r="H259" s="6" t="n">
        <f aca="true">ROUND(RAND()*4+6,1)</f>
        <v>9.3</v>
      </c>
      <c r="I259" s="6" t="s">
        <v>25</v>
      </c>
      <c r="J259" s="6" t="str">
        <f aca="false">ROUND(86*1,0)&amp;"%"</f>
        <v>86%</v>
      </c>
    </row>
    <row r="260" customFormat="false" ht="15" hidden="false" customHeight="false" outlineLevel="0" collapsed="false">
      <c r="A260" s="5" t="s">
        <v>1859</v>
      </c>
      <c r="B260" s="5" t="s">
        <v>426</v>
      </c>
      <c r="C260" s="5" t="s">
        <v>15</v>
      </c>
      <c r="D260" s="5" t="s">
        <v>28</v>
      </c>
      <c r="E260" s="5" t="n">
        <f aca="false">ROUND(13744*1.05,2)</f>
        <v>14431.2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ROUND(66*1,0)&amp;"%"</f>
        <v>66%</v>
      </c>
    </row>
    <row r="261" customFormat="false" ht="15" hidden="false" customHeight="false" outlineLevel="0" collapsed="false">
      <c r="A261" s="6" t="s">
        <v>1860</v>
      </c>
      <c r="B261" s="6" t="s">
        <v>428</v>
      </c>
      <c r="C261" s="6" t="s">
        <v>15</v>
      </c>
      <c r="D261" s="6" t="s">
        <v>34</v>
      </c>
      <c r="E261" s="6" t="n">
        <f aca="false">ROUND(14875*1.05,2)</f>
        <v>15618.75</v>
      </c>
      <c r="F261" s="6" t="s">
        <v>35</v>
      </c>
      <c r="G261" s="6" t="s">
        <v>18</v>
      </c>
      <c r="H261" s="6" t="n">
        <f aca="true">ROUND(RAND()*4+6,1)</f>
        <v>9.5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1861</v>
      </c>
      <c r="B262" s="5" t="s">
        <v>430</v>
      </c>
      <c r="C262" s="5" t="s">
        <v>15</v>
      </c>
      <c r="D262" s="5" t="s">
        <v>39</v>
      </c>
      <c r="E262" s="5" t="n">
        <f aca="false">ROUND(13884*1.05,2)</f>
        <v>14578.2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1862</v>
      </c>
      <c r="B263" s="6" t="s">
        <v>432</v>
      </c>
      <c r="C263" s="6" t="s">
        <v>15</v>
      </c>
      <c r="D263" s="6" t="s">
        <v>44</v>
      </c>
      <c r="E263" s="6" t="n">
        <f aca="false">ROUND(16798*1.05,2)</f>
        <v>17637.9</v>
      </c>
      <c r="F263" s="6" t="s">
        <v>45</v>
      </c>
      <c r="G263" s="6" t="s">
        <v>30</v>
      </c>
      <c r="H263" s="6" t="n">
        <f aca="true">ROUND(RAND()*4+6,1)</f>
        <v>9.4</v>
      </c>
      <c r="I263" s="6" t="s">
        <v>46</v>
      </c>
      <c r="J263" s="6" t="str">
        <f aca="false">ROUND(92*1,0)&amp;"%"</f>
        <v>92%</v>
      </c>
    </row>
    <row r="264" customFormat="false" ht="15" hidden="false" customHeight="false" outlineLevel="0" collapsed="false">
      <c r="A264" s="5" t="s">
        <v>1863</v>
      </c>
      <c r="B264" s="5" t="s">
        <v>434</v>
      </c>
      <c r="C264" s="5" t="s">
        <v>15</v>
      </c>
      <c r="D264" s="5" t="s">
        <v>16</v>
      </c>
      <c r="E264" s="5" t="n">
        <f aca="false">ROUND(5726*1.05,2)</f>
        <v>6012.3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ROUND(100*1,0)&amp;"%"</f>
        <v>100%</v>
      </c>
    </row>
    <row r="265" customFormat="false" ht="15" hidden="false" customHeight="false" outlineLevel="0" collapsed="false">
      <c r="A265" s="6" t="s">
        <v>1864</v>
      </c>
      <c r="B265" s="6" t="s">
        <v>436</v>
      </c>
      <c r="C265" s="6" t="s">
        <v>15</v>
      </c>
      <c r="D265" s="6" t="s">
        <v>22</v>
      </c>
      <c r="E265" s="6" t="n">
        <f aca="false">ROUND(10837*1.05,2)</f>
        <v>11378.85</v>
      </c>
      <c r="F265" s="6" t="s">
        <v>52</v>
      </c>
      <c r="G265" s="6" t="s">
        <v>24</v>
      </c>
      <c r="H265" s="6" t="n">
        <f aca="true">ROUND(RAND()*4+6,1)</f>
        <v>9.9</v>
      </c>
      <c r="I265" s="6" t="s">
        <v>25</v>
      </c>
      <c r="J265" s="6" t="str">
        <f aca="false">ROUND(68*1,0)&amp;"%"</f>
        <v>68%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1865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1866</v>
      </c>
      <c r="B270" s="5" t="s">
        <v>440</v>
      </c>
      <c r="C270" s="5" t="s">
        <v>57</v>
      </c>
      <c r="D270" s="5" t="s">
        <v>16</v>
      </c>
      <c r="E270" s="5" t="n">
        <f aca="false">ROUND(16530*1.05,2)</f>
        <v>17356.5</v>
      </c>
      <c r="F270" s="5" t="s">
        <v>17</v>
      </c>
      <c r="G270" s="5" t="s">
        <v>18</v>
      </c>
      <c r="H270" s="5" t="n">
        <f aca="true">ROUND(RAND()*4+6,1)</f>
        <v>7.3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1867</v>
      </c>
      <c r="B271" s="6" t="s">
        <v>442</v>
      </c>
      <c r="C271" s="6" t="s">
        <v>57</v>
      </c>
      <c r="D271" s="6" t="s">
        <v>22</v>
      </c>
      <c r="E271" s="6" t="n">
        <f aca="false">ROUND(14010*1.05,2)</f>
        <v>14710.5</v>
      </c>
      <c r="F271" s="6" t="s">
        <v>23</v>
      </c>
      <c r="G271" s="6" t="s">
        <v>24</v>
      </c>
      <c r="H271" s="6" t="n">
        <f aca="true">ROUND(RAND()*4+6,1)</f>
        <v>8.6</v>
      </c>
      <c r="I271" s="6" t="s">
        <v>25</v>
      </c>
      <c r="J271" s="6" t="str">
        <f aca="false">ROUND(84*1,0)&amp;"%"</f>
        <v>84%</v>
      </c>
    </row>
    <row r="272" customFormat="false" ht="15" hidden="false" customHeight="false" outlineLevel="0" collapsed="false">
      <c r="A272" s="5" t="s">
        <v>1868</v>
      </c>
      <c r="B272" s="5" t="s">
        <v>444</v>
      </c>
      <c r="C272" s="5" t="s">
        <v>57</v>
      </c>
      <c r="D272" s="5" t="s">
        <v>28</v>
      </c>
      <c r="E272" s="5" t="n">
        <f aca="false">ROUND(4751*1.05,2)</f>
        <v>4988.55</v>
      </c>
      <c r="F272" s="5" t="s">
        <v>29</v>
      </c>
      <c r="G272" s="5" t="s">
        <v>30</v>
      </c>
      <c r="H272" s="5" t="n">
        <f aca="true">ROUND(RAND()*4+6,1)</f>
        <v>7.1</v>
      </c>
      <c r="I272" s="5" t="s">
        <v>31</v>
      </c>
      <c r="J272" s="5" t="str">
        <f aca="false">ROUND(60*1,0)&amp;"%"</f>
        <v>60%</v>
      </c>
    </row>
    <row r="273" customFormat="false" ht="15" hidden="false" customHeight="false" outlineLevel="0" collapsed="false">
      <c r="A273" s="6" t="s">
        <v>1869</v>
      </c>
      <c r="B273" s="6" t="s">
        <v>446</v>
      </c>
      <c r="C273" s="6" t="s">
        <v>57</v>
      </c>
      <c r="D273" s="6" t="s">
        <v>34</v>
      </c>
      <c r="E273" s="6" t="n">
        <f aca="false">ROUND(14211*1.05,2)</f>
        <v>14921.55</v>
      </c>
      <c r="F273" s="6" t="s">
        <v>35</v>
      </c>
      <c r="G273" s="6" t="s">
        <v>18</v>
      </c>
      <c r="H273" s="6" t="n">
        <f aca="true">ROUND(RAND()*4+6,1)</f>
        <v>8.1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1870</v>
      </c>
      <c r="B274" s="5" t="s">
        <v>448</v>
      </c>
      <c r="C274" s="5" t="s">
        <v>57</v>
      </c>
      <c r="D274" s="5" t="s">
        <v>39</v>
      </c>
      <c r="E274" s="5" t="n">
        <f aca="false">ROUND(14481*1.05,2)</f>
        <v>15205.05</v>
      </c>
      <c r="F274" s="5" t="s">
        <v>40</v>
      </c>
      <c r="G274" s="5" t="s">
        <v>24</v>
      </c>
      <c r="H274" s="5" t="n">
        <f aca="true">ROUND(RAND()*4+6,1)</f>
        <v>9.3</v>
      </c>
      <c r="I274" s="5" t="s">
        <v>41</v>
      </c>
      <c r="J274" s="5" t="str">
        <f aca="false">ROUND(64*1,0)&amp;"%"</f>
        <v>64%</v>
      </c>
    </row>
    <row r="275" customFormat="false" ht="15" hidden="false" customHeight="false" outlineLevel="0" collapsed="false">
      <c r="A275" s="6" t="s">
        <v>1871</v>
      </c>
      <c r="B275" s="6" t="s">
        <v>450</v>
      </c>
      <c r="C275" s="6" t="s">
        <v>57</v>
      </c>
      <c r="D275" s="6" t="s">
        <v>44</v>
      </c>
      <c r="E275" s="6" t="n">
        <f aca="false">ROUND(4920*1.05,2)</f>
        <v>5166</v>
      </c>
      <c r="F275" s="6" t="s">
        <v>45</v>
      </c>
      <c r="G275" s="6" t="s">
        <v>30</v>
      </c>
      <c r="H275" s="6" t="n">
        <f aca="true">ROUND(RAND()*4+6,1)</f>
        <v>7.8</v>
      </c>
      <c r="I275" s="6" t="s">
        <v>46</v>
      </c>
      <c r="J275" s="6" t="str">
        <f aca="false">ROUND(92*1,0)&amp;"%"</f>
        <v>92%</v>
      </c>
    </row>
    <row r="276" customFormat="false" ht="15" hidden="false" customHeight="false" outlineLevel="0" collapsed="false">
      <c r="A276" s="5" t="s">
        <v>1872</v>
      </c>
      <c r="B276" s="5" t="s">
        <v>452</v>
      </c>
      <c r="C276" s="5" t="s">
        <v>57</v>
      </c>
      <c r="D276" s="5" t="s">
        <v>16</v>
      </c>
      <c r="E276" s="5" t="n">
        <f aca="false">ROUND(4934*1.05,2)</f>
        <v>5180.7</v>
      </c>
      <c r="F276" s="5" t="s">
        <v>49</v>
      </c>
      <c r="G276" s="5" t="s">
        <v>18</v>
      </c>
      <c r="H276" s="5" t="n">
        <f aca="true">ROUND(RAND()*4+6,1)</f>
        <v>6.3</v>
      </c>
      <c r="I276" s="5" t="s">
        <v>19</v>
      </c>
      <c r="J276" s="5" t="str">
        <f aca="false">ROUND(91*1,0)&amp;"%"</f>
        <v>91%</v>
      </c>
    </row>
    <row r="277" customFormat="false" ht="15" hidden="false" customHeight="false" outlineLevel="0" collapsed="false">
      <c r="A277" s="6" t="s">
        <v>1873</v>
      </c>
      <c r="B277" s="6" t="s">
        <v>454</v>
      </c>
      <c r="C277" s="6" t="s">
        <v>57</v>
      </c>
      <c r="D277" s="6" t="s">
        <v>22</v>
      </c>
      <c r="E277" s="6" t="n">
        <f aca="false">ROUND(13642*1.05,2)</f>
        <v>14324.1</v>
      </c>
      <c r="F277" s="6" t="s">
        <v>52</v>
      </c>
      <c r="G277" s="6" t="s">
        <v>24</v>
      </c>
      <c r="H277" s="6" t="n">
        <f aca="true">ROUND(RAND()*4+6,1)</f>
        <v>8.4</v>
      </c>
      <c r="I277" s="6" t="s">
        <v>25</v>
      </c>
      <c r="J277" s="6" t="str">
        <f aca="false">ROUND(87*1,0)&amp;"%"</f>
        <v>87%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1874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1875</v>
      </c>
      <c r="B282" s="5" t="s">
        <v>458</v>
      </c>
      <c r="C282" s="5" t="s">
        <v>76</v>
      </c>
      <c r="D282" s="5" t="s">
        <v>16</v>
      </c>
      <c r="E282" s="5" t="n">
        <f aca="false">ROUND(17430*1.05,2)</f>
        <v>18301.5</v>
      </c>
      <c r="F282" s="5" t="s">
        <v>17</v>
      </c>
      <c r="G282" s="5" t="s">
        <v>18</v>
      </c>
      <c r="H282" s="5" t="n">
        <f aca="true">ROUND(RAND()*4+6,1)</f>
        <v>9.4</v>
      </c>
      <c r="I282" s="5" t="s">
        <v>19</v>
      </c>
      <c r="J282" s="5" t="str">
        <f aca="false">ROUND(96*1,0)&amp;"%"</f>
        <v>96%</v>
      </c>
    </row>
    <row r="283" customFormat="false" ht="15" hidden="false" customHeight="false" outlineLevel="0" collapsed="false">
      <c r="A283" s="6" t="s">
        <v>1876</v>
      </c>
      <c r="B283" s="6" t="s">
        <v>460</v>
      </c>
      <c r="C283" s="6" t="s">
        <v>76</v>
      </c>
      <c r="D283" s="6" t="s">
        <v>22</v>
      </c>
      <c r="E283" s="6" t="n">
        <f aca="false">ROUND(5293*1.05,2)</f>
        <v>5557.65</v>
      </c>
      <c r="F283" s="6" t="s">
        <v>23</v>
      </c>
      <c r="G283" s="6" t="s">
        <v>24</v>
      </c>
      <c r="H283" s="6" t="n">
        <f aca="true">ROUND(RAND()*4+6,1)</f>
        <v>7.4</v>
      </c>
      <c r="I283" s="6" t="s">
        <v>25</v>
      </c>
      <c r="J283" s="6" t="str">
        <f aca="false">ROUND(64*1,0)&amp;"%"</f>
        <v>64%</v>
      </c>
    </row>
    <row r="284" customFormat="false" ht="15" hidden="false" customHeight="false" outlineLevel="0" collapsed="false">
      <c r="A284" s="5" t="s">
        <v>1877</v>
      </c>
      <c r="B284" s="5" t="s">
        <v>462</v>
      </c>
      <c r="C284" s="5" t="s">
        <v>76</v>
      </c>
      <c r="D284" s="5" t="s">
        <v>28</v>
      </c>
      <c r="E284" s="5" t="n">
        <f aca="false">ROUND(16373*1.05,2)</f>
        <v>17191.65</v>
      </c>
      <c r="F284" s="5" t="s">
        <v>29</v>
      </c>
      <c r="G284" s="5" t="s">
        <v>30</v>
      </c>
      <c r="H284" s="5" t="n">
        <f aca="true">ROUND(RAND()*4+6,1)</f>
        <v>7.7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1878</v>
      </c>
      <c r="B285" s="6" t="s">
        <v>464</v>
      </c>
      <c r="C285" s="6" t="s">
        <v>76</v>
      </c>
      <c r="D285" s="6" t="s">
        <v>34</v>
      </c>
      <c r="E285" s="6" t="n">
        <f aca="false">ROUND(14047*1.05,2)</f>
        <v>14749.35</v>
      </c>
      <c r="F285" s="6" t="s">
        <v>35</v>
      </c>
      <c r="G285" s="6" t="s">
        <v>18</v>
      </c>
      <c r="H285" s="6" t="n">
        <f aca="true">ROUND(RAND()*4+6,1)</f>
        <v>7.8</v>
      </c>
      <c r="I285" s="6" t="s">
        <v>36</v>
      </c>
      <c r="J285" s="6" t="str">
        <f aca="false">ROUND(97*1,0)&amp;"%"</f>
        <v>97%</v>
      </c>
    </row>
    <row r="286" customFormat="false" ht="15" hidden="false" customHeight="false" outlineLevel="0" collapsed="false">
      <c r="A286" s="5" t="s">
        <v>1879</v>
      </c>
      <c r="B286" s="5" t="s">
        <v>466</v>
      </c>
      <c r="C286" s="5" t="s">
        <v>76</v>
      </c>
      <c r="D286" s="5" t="s">
        <v>39</v>
      </c>
      <c r="E286" s="5" t="n">
        <f aca="false">ROUND(10165*1.05,2)</f>
        <v>10673.25</v>
      </c>
      <c r="F286" s="5" t="s">
        <v>40</v>
      </c>
      <c r="G286" s="5" t="s">
        <v>24</v>
      </c>
      <c r="H286" s="5" t="n">
        <f aca="true">ROUND(RAND()*4+6,1)</f>
        <v>8.3</v>
      </c>
      <c r="I286" s="5" t="s">
        <v>41</v>
      </c>
      <c r="J286" s="5" t="str">
        <f aca="false">ROUND(89*1,0)&amp;"%"</f>
        <v>89%</v>
      </c>
    </row>
    <row r="287" customFormat="false" ht="15" hidden="false" customHeight="false" outlineLevel="0" collapsed="false">
      <c r="A287" s="6" t="s">
        <v>1880</v>
      </c>
      <c r="B287" s="6" t="s">
        <v>468</v>
      </c>
      <c r="C287" s="6" t="s">
        <v>76</v>
      </c>
      <c r="D287" s="6" t="s">
        <v>44</v>
      </c>
      <c r="E287" s="6" t="n">
        <f aca="false">ROUND(7611*1.05,2)</f>
        <v>7991.55</v>
      </c>
      <c r="F287" s="6" t="s">
        <v>45</v>
      </c>
      <c r="G287" s="6" t="s">
        <v>30</v>
      </c>
      <c r="H287" s="6" t="n">
        <f aca="true">ROUND(RAND()*4+6,1)</f>
        <v>6</v>
      </c>
      <c r="I287" s="6" t="s">
        <v>46</v>
      </c>
      <c r="J287" s="6" t="str">
        <f aca="false">ROUND(75*1,0)&amp;"%"</f>
        <v>75%</v>
      </c>
    </row>
    <row r="288" customFormat="false" ht="15" hidden="false" customHeight="false" outlineLevel="0" collapsed="false">
      <c r="A288" s="5" t="s">
        <v>1881</v>
      </c>
      <c r="B288" s="5" t="s">
        <v>470</v>
      </c>
      <c r="C288" s="5" t="s">
        <v>76</v>
      </c>
      <c r="D288" s="5" t="s">
        <v>16</v>
      </c>
      <c r="E288" s="5" t="n">
        <f aca="false">ROUND(5841*1.05,2)</f>
        <v>6133.05</v>
      </c>
      <c r="F288" s="5" t="s">
        <v>49</v>
      </c>
      <c r="G288" s="5" t="s">
        <v>18</v>
      </c>
      <c r="H288" s="5" t="n">
        <f aca="true">ROUND(RAND()*4+6,1)</f>
        <v>8</v>
      </c>
      <c r="I288" s="5" t="s">
        <v>19</v>
      </c>
      <c r="J288" s="5" t="str">
        <f aca="false">ROUND(88*1,0)&amp;"%"</f>
        <v>88%</v>
      </c>
    </row>
    <row r="289" customFormat="false" ht="15" hidden="false" customHeight="false" outlineLevel="0" collapsed="false">
      <c r="A289" s="6" t="s">
        <v>1882</v>
      </c>
      <c r="B289" s="6" t="s">
        <v>472</v>
      </c>
      <c r="C289" s="6" t="s">
        <v>76</v>
      </c>
      <c r="D289" s="6" t="s">
        <v>22</v>
      </c>
      <c r="E289" s="6" t="n">
        <f aca="false">ROUND(6238*1.05,2)</f>
        <v>6549.9</v>
      </c>
      <c r="F289" s="6" t="s">
        <v>52</v>
      </c>
      <c r="G289" s="6" t="s">
        <v>24</v>
      </c>
      <c r="H289" s="6" t="n">
        <f aca="true">ROUND(RAND()*4+6,1)</f>
        <v>7</v>
      </c>
      <c r="I289" s="6" t="s">
        <v>25</v>
      </c>
      <c r="J289" s="6" t="str">
        <f aca="false">ROUND(76*1,0)&amp;"%"</f>
        <v>76%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1883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1884</v>
      </c>
      <c r="B294" s="5" t="s">
        <v>476</v>
      </c>
      <c r="C294" s="5" t="s">
        <v>95</v>
      </c>
      <c r="D294" s="5" t="s">
        <v>16</v>
      </c>
      <c r="E294" s="5" t="n">
        <f aca="false">ROUND(4486*1.05,2)</f>
        <v>4710.3</v>
      </c>
      <c r="F294" s="5" t="s">
        <v>17</v>
      </c>
      <c r="G294" s="5" t="s">
        <v>18</v>
      </c>
      <c r="H294" s="5" t="n">
        <f aca="true">ROUND(RAND()*4+6,1)</f>
        <v>6.7</v>
      </c>
      <c r="I294" s="5" t="s">
        <v>19</v>
      </c>
      <c r="J294" s="5" t="str">
        <f aca="false">ROUND(92*1,0)&amp;"%"</f>
        <v>92%</v>
      </c>
    </row>
    <row r="295" customFormat="false" ht="15" hidden="false" customHeight="false" outlineLevel="0" collapsed="false">
      <c r="A295" s="6" t="s">
        <v>1885</v>
      </c>
      <c r="B295" s="6" t="s">
        <v>478</v>
      </c>
      <c r="C295" s="6" t="s">
        <v>95</v>
      </c>
      <c r="D295" s="6" t="s">
        <v>22</v>
      </c>
      <c r="E295" s="6" t="n">
        <f aca="false">ROUND(8611*1.05,2)</f>
        <v>9041.55</v>
      </c>
      <c r="F295" s="6" t="s">
        <v>23</v>
      </c>
      <c r="G295" s="6" t="s">
        <v>24</v>
      </c>
      <c r="H295" s="6" t="n">
        <f aca="true">ROUND(RAND()*4+6,1)</f>
        <v>8.2</v>
      </c>
      <c r="I295" s="6" t="s">
        <v>25</v>
      </c>
      <c r="J295" s="6" t="str">
        <f aca="false">ROUND(79*1,0)&amp;"%"</f>
        <v>79%</v>
      </c>
    </row>
    <row r="296" customFormat="false" ht="15" hidden="false" customHeight="false" outlineLevel="0" collapsed="false">
      <c r="A296" s="5" t="s">
        <v>1886</v>
      </c>
      <c r="B296" s="5" t="s">
        <v>480</v>
      </c>
      <c r="C296" s="5" t="s">
        <v>95</v>
      </c>
      <c r="D296" s="5" t="s">
        <v>28</v>
      </c>
      <c r="E296" s="5" t="n">
        <f aca="false">ROUND(13640*1.05,2)</f>
        <v>14322</v>
      </c>
      <c r="F296" s="5" t="s">
        <v>29</v>
      </c>
      <c r="G296" s="5" t="s">
        <v>30</v>
      </c>
      <c r="H296" s="5" t="n">
        <f aca="true">ROUND(RAND()*4+6,1)</f>
        <v>7.4</v>
      </c>
      <c r="I296" s="5" t="s">
        <v>31</v>
      </c>
      <c r="J296" s="5" t="str">
        <f aca="false">ROUND(90*1,0)&amp;"%"</f>
        <v>90%</v>
      </c>
    </row>
    <row r="297" customFormat="false" ht="15" hidden="false" customHeight="false" outlineLevel="0" collapsed="false">
      <c r="A297" s="6" t="s">
        <v>1887</v>
      </c>
      <c r="B297" s="6" t="s">
        <v>482</v>
      </c>
      <c r="C297" s="6" t="s">
        <v>95</v>
      </c>
      <c r="D297" s="6" t="s">
        <v>34</v>
      </c>
      <c r="E297" s="6" t="n">
        <f aca="false">ROUND(11321*1.05,2)</f>
        <v>11887.05</v>
      </c>
      <c r="F297" s="6" t="s">
        <v>35</v>
      </c>
      <c r="G297" s="6" t="s">
        <v>18</v>
      </c>
      <c r="H297" s="6" t="n">
        <f aca="true">ROUND(RAND()*4+6,1)</f>
        <v>7.2</v>
      </c>
      <c r="I297" s="6" t="s">
        <v>36</v>
      </c>
      <c r="J297" s="6" t="str">
        <f aca="false">ROUND(98*1,0)&amp;"%"</f>
        <v>98%</v>
      </c>
    </row>
    <row r="298" customFormat="false" ht="15" hidden="false" customHeight="false" outlineLevel="0" collapsed="false">
      <c r="A298" s="5" t="s">
        <v>1888</v>
      </c>
      <c r="B298" s="5" t="s">
        <v>484</v>
      </c>
      <c r="C298" s="5" t="s">
        <v>95</v>
      </c>
      <c r="D298" s="5" t="s">
        <v>39</v>
      </c>
      <c r="E298" s="5" t="n">
        <f aca="false">ROUND(6557*1.05,2)</f>
        <v>6884.85</v>
      </c>
      <c r="F298" s="5" t="s">
        <v>40</v>
      </c>
      <c r="G298" s="5" t="s">
        <v>24</v>
      </c>
      <c r="H298" s="5" t="n">
        <f aca="true">ROUND(RAND()*4+6,1)</f>
        <v>7.9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1889</v>
      </c>
      <c r="B299" s="6" t="s">
        <v>486</v>
      </c>
      <c r="C299" s="6" t="s">
        <v>95</v>
      </c>
      <c r="D299" s="6" t="s">
        <v>44</v>
      </c>
      <c r="E299" s="6" t="n">
        <f aca="false">ROUND(10273*1.05,2)</f>
        <v>10786.65</v>
      </c>
      <c r="F299" s="6" t="s">
        <v>45</v>
      </c>
      <c r="G299" s="6" t="s">
        <v>30</v>
      </c>
      <c r="H299" s="6" t="n">
        <f aca="true">ROUND(RAND()*4+6,1)</f>
        <v>6.4</v>
      </c>
      <c r="I299" s="6" t="s">
        <v>46</v>
      </c>
      <c r="J299" s="6" t="str">
        <f aca="false">ROUND(92*1,0)&amp;"%"</f>
        <v>92%</v>
      </c>
    </row>
    <row r="300" customFormat="false" ht="15" hidden="false" customHeight="false" outlineLevel="0" collapsed="false">
      <c r="A300" s="5" t="s">
        <v>1890</v>
      </c>
      <c r="B300" s="5" t="s">
        <v>488</v>
      </c>
      <c r="C300" s="5" t="s">
        <v>95</v>
      </c>
      <c r="D300" s="5" t="s">
        <v>16</v>
      </c>
      <c r="E300" s="5" t="n">
        <f aca="false">ROUND(16944*1.05,2)</f>
        <v>17791.2</v>
      </c>
      <c r="F300" s="5" t="s">
        <v>49</v>
      </c>
      <c r="G300" s="5" t="s">
        <v>18</v>
      </c>
      <c r="H300" s="5" t="n">
        <f aca="true">ROUND(RAND()*4+6,1)</f>
        <v>8.2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1891</v>
      </c>
      <c r="B301" s="6" t="s">
        <v>490</v>
      </c>
      <c r="C301" s="6" t="s">
        <v>95</v>
      </c>
      <c r="D301" s="6" t="s">
        <v>22</v>
      </c>
      <c r="E301" s="6" t="n">
        <f aca="false">ROUND(8550*1.05,2)</f>
        <v>8977.5</v>
      </c>
      <c r="F301" s="6" t="s">
        <v>52</v>
      </c>
      <c r="G301" s="6" t="s">
        <v>24</v>
      </c>
      <c r="H301" s="6" t="n">
        <f aca="true">ROUND(RAND()*4+6,1)</f>
        <v>6.6</v>
      </c>
      <c r="I301" s="6" t="s">
        <v>25</v>
      </c>
      <c r="J301" s="6" t="str">
        <f aca="false">ROUND(84*1,0)&amp;"%"</f>
        <v>84%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1892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1893</v>
      </c>
      <c r="B306" s="5" t="s">
        <v>494</v>
      </c>
      <c r="C306" s="5" t="s">
        <v>114</v>
      </c>
      <c r="D306" s="5" t="s">
        <v>16</v>
      </c>
      <c r="E306" s="5" t="n">
        <f aca="false">ROUND(15288*1.05,2)</f>
        <v>16052.4</v>
      </c>
      <c r="F306" s="5" t="s">
        <v>17</v>
      </c>
      <c r="G306" s="5" t="s">
        <v>18</v>
      </c>
      <c r="H306" s="5" t="n">
        <f aca="true">ROUND(RAND()*4+6,1)</f>
        <v>9.8</v>
      </c>
      <c r="I306" s="5" t="s">
        <v>19</v>
      </c>
      <c r="J306" s="5" t="str">
        <f aca="false">ROUND(76*1,0)&amp;"%"</f>
        <v>76%</v>
      </c>
    </row>
    <row r="307" customFormat="false" ht="15" hidden="false" customHeight="false" outlineLevel="0" collapsed="false">
      <c r="A307" s="6" t="s">
        <v>1894</v>
      </c>
      <c r="B307" s="6" t="s">
        <v>496</v>
      </c>
      <c r="C307" s="6" t="s">
        <v>114</v>
      </c>
      <c r="D307" s="6" t="s">
        <v>22</v>
      </c>
      <c r="E307" s="6" t="n">
        <f aca="false">ROUND(4024*1.05,2)</f>
        <v>4225.2</v>
      </c>
      <c r="F307" s="6" t="s">
        <v>23</v>
      </c>
      <c r="G307" s="6" t="s">
        <v>24</v>
      </c>
      <c r="H307" s="6" t="n">
        <f aca="true">ROUND(RAND()*4+6,1)</f>
        <v>8.1</v>
      </c>
      <c r="I307" s="6" t="s">
        <v>25</v>
      </c>
      <c r="J307" s="6" t="str">
        <f aca="false">ROUND(88*1,0)&amp;"%"</f>
        <v>88%</v>
      </c>
    </row>
    <row r="308" customFormat="false" ht="15" hidden="false" customHeight="false" outlineLevel="0" collapsed="false">
      <c r="A308" s="5" t="s">
        <v>1895</v>
      </c>
      <c r="B308" s="5" t="s">
        <v>498</v>
      </c>
      <c r="C308" s="5" t="s">
        <v>114</v>
      </c>
      <c r="D308" s="5" t="s">
        <v>28</v>
      </c>
      <c r="E308" s="5" t="n">
        <f aca="false">ROUND(10585*1.05,2)</f>
        <v>11114.25</v>
      </c>
      <c r="F308" s="5" t="s">
        <v>29</v>
      </c>
      <c r="G308" s="5" t="s">
        <v>30</v>
      </c>
      <c r="H308" s="5" t="n">
        <f aca="true">ROUND(RAND()*4+6,1)</f>
        <v>9.3</v>
      </c>
      <c r="I308" s="5" t="s">
        <v>31</v>
      </c>
      <c r="J308" s="5" t="str">
        <f aca="false">ROUND(66*1,0)&amp;"%"</f>
        <v>66%</v>
      </c>
    </row>
    <row r="309" customFormat="false" ht="15" hidden="false" customHeight="false" outlineLevel="0" collapsed="false">
      <c r="A309" s="6" t="s">
        <v>1896</v>
      </c>
      <c r="B309" s="6" t="s">
        <v>500</v>
      </c>
      <c r="C309" s="6" t="s">
        <v>114</v>
      </c>
      <c r="D309" s="6" t="s">
        <v>34</v>
      </c>
      <c r="E309" s="6" t="n">
        <f aca="false">ROUND(14362*1.05,2)</f>
        <v>15080.1</v>
      </c>
      <c r="F309" s="6" t="s">
        <v>35</v>
      </c>
      <c r="G309" s="6" t="s">
        <v>18</v>
      </c>
      <c r="H309" s="6" t="n">
        <f aca="true">ROUND(RAND()*4+6,1)</f>
        <v>9.8</v>
      </c>
      <c r="I309" s="6" t="s">
        <v>36</v>
      </c>
      <c r="J309" s="6" t="str">
        <f aca="false">ROUND(94*1,0)&amp;"%"</f>
        <v>94%</v>
      </c>
    </row>
    <row r="310" customFormat="false" ht="15" hidden="false" customHeight="false" outlineLevel="0" collapsed="false">
      <c r="A310" s="5" t="s">
        <v>1897</v>
      </c>
      <c r="B310" s="5" t="s">
        <v>502</v>
      </c>
      <c r="C310" s="5" t="s">
        <v>114</v>
      </c>
      <c r="D310" s="5" t="s">
        <v>39</v>
      </c>
      <c r="E310" s="5" t="n">
        <f aca="false">ROUND(6768*1.05,2)</f>
        <v>7106.4</v>
      </c>
      <c r="F310" s="5" t="s">
        <v>40</v>
      </c>
      <c r="G310" s="5" t="s">
        <v>24</v>
      </c>
      <c r="H310" s="5" t="n">
        <f aca="true">ROUND(RAND()*4+6,1)</f>
        <v>9.3</v>
      </c>
      <c r="I310" s="5" t="s">
        <v>41</v>
      </c>
      <c r="J310" s="5" t="str">
        <f aca="false">ROUND(74*1,0)&amp;"%"</f>
        <v>74%</v>
      </c>
    </row>
    <row r="311" customFormat="false" ht="15" hidden="false" customHeight="false" outlineLevel="0" collapsed="false">
      <c r="A311" s="6" t="s">
        <v>1898</v>
      </c>
      <c r="B311" s="6" t="s">
        <v>504</v>
      </c>
      <c r="C311" s="6" t="s">
        <v>114</v>
      </c>
      <c r="D311" s="6" t="s">
        <v>44</v>
      </c>
      <c r="E311" s="6" t="n">
        <f aca="false">ROUND(13520*1.05,2)</f>
        <v>14196</v>
      </c>
      <c r="F311" s="6" t="s">
        <v>45</v>
      </c>
      <c r="G311" s="6" t="s">
        <v>30</v>
      </c>
      <c r="H311" s="6" t="n">
        <f aca="true">ROUND(RAND()*4+6,1)</f>
        <v>8.7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1899</v>
      </c>
      <c r="B312" s="5" t="s">
        <v>506</v>
      </c>
      <c r="C312" s="5" t="s">
        <v>114</v>
      </c>
      <c r="D312" s="5" t="s">
        <v>16</v>
      </c>
      <c r="E312" s="5" t="n">
        <f aca="false">ROUND(14830*1.05,2)</f>
        <v>15571.5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1900</v>
      </c>
      <c r="B313" s="6" t="s">
        <v>508</v>
      </c>
      <c r="C313" s="6" t="s">
        <v>114</v>
      </c>
      <c r="D313" s="6" t="s">
        <v>22</v>
      </c>
      <c r="E313" s="6" t="n">
        <f aca="false">ROUND(9946*1.05,2)</f>
        <v>10443.3</v>
      </c>
      <c r="F313" s="6" t="s">
        <v>52</v>
      </c>
      <c r="G313" s="6" t="s">
        <v>24</v>
      </c>
      <c r="H313" s="6" t="n">
        <f aca="true">ROUND(RAND()*4+6,1)</f>
        <v>6.5</v>
      </c>
      <c r="I313" s="6" t="s">
        <v>25</v>
      </c>
      <c r="J313" s="6" t="str">
        <f aca="false">ROUND(83*1,0)&amp;"%"</f>
        <v>83%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1901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1902</v>
      </c>
      <c r="B318" s="5" t="s">
        <v>512</v>
      </c>
      <c r="C318" s="5" t="s">
        <v>133</v>
      </c>
      <c r="D318" s="5" t="s">
        <v>16</v>
      </c>
      <c r="E318" s="5" t="n">
        <f aca="false">ROUND(15850*1.05,2)</f>
        <v>16642.5</v>
      </c>
      <c r="F318" s="5" t="s">
        <v>17</v>
      </c>
      <c r="G318" s="5" t="s">
        <v>18</v>
      </c>
      <c r="H318" s="5" t="n">
        <f aca="true">ROUND(RAND()*4+6,1)</f>
        <v>7.3</v>
      </c>
      <c r="I318" s="5" t="s">
        <v>19</v>
      </c>
      <c r="J318" s="5" t="str">
        <f aca="false">ROUND(94*1,0)&amp;"%"</f>
        <v>94%</v>
      </c>
    </row>
    <row r="319" customFormat="false" ht="15" hidden="false" customHeight="false" outlineLevel="0" collapsed="false">
      <c r="A319" s="6" t="s">
        <v>1903</v>
      </c>
      <c r="B319" s="6" t="s">
        <v>514</v>
      </c>
      <c r="C319" s="6" t="s">
        <v>133</v>
      </c>
      <c r="D319" s="6" t="s">
        <v>22</v>
      </c>
      <c r="E319" s="6" t="n">
        <f aca="false">ROUND(13716*1.05,2)</f>
        <v>14401.8</v>
      </c>
      <c r="F319" s="6" t="s">
        <v>23</v>
      </c>
      <c r="G319" s="6" t="s">
        <v>24</v>
      </c>
      <c r="H319" s="6" t="n">
        <f aca="true">ROUND(RAND()*4+6,1)</f>
        <v>7.1</v>
      </c>
      <c r="I319" s="6" t="s">
        <v>25</v>
      </c>
      <c r="J319" s="6" t="str">
        <f aca="false">ROUND(62*1,0)&amp;"%"</f>
        <v>62%</v>
      </c>
    </row>
    <row r="320" customFormat="false" ht="15" hidden="false" customHeight="false" outlineLevel="0" collapsed="false">
      <c r="A320" s="5" t="s">
        <v>1904</v>
      </c>
      <c r="B320" s="5" t="s">
        <v>516</v>
      </c>
      <c r="C320" s="5" t="s">
        <v>133</v>
      </c>
      <c r="D320" s="5" t="s">
        <v>28</v>
      </c>
      <c r="E320" s="5" t="n">
        <f aca="false">ROUND(9370*1.05,2)</f>
        <v>9838.5</v>
      </c>
      <c r="F320" s="5" t="s">
        <v>29</v>
      </c>
      <c r="G320" s="5" t="s">
        <v>30</v>
      </c>
      <c r="H320" s="5" t="n">
        <f aca="true">ROUND(RAND()*4+6,1)</f>
        <v>7.1</v>
      </c>
      <c r="I320" s="5" t="s">
        <v>31</v>
      </c>
      <c r="J320" s="5" t="str">
        <f aca="false">ROUND(73*1,0)&amp;"%"</f>
        <v>73%</v>
      </c>
    </row>
    <row r="321" customFormat="false" ht="15" hidden="false" customHeight="false" outlineLevel="0" collapsed="false">
      <c r="A321" s="6" t="s">
        <v>1905</v>
      </c>
      <c r="B321" s="6" t="s">
        <v>518</v>
      </c>
      <c r="C321" s="6" t="s">
        <v>133</v>
      </c>
      <c r="D321" s="6" t="s">
        <v>34</v>
      </c>
      <c r="E321" s="6" t="n">
        <f aca="false">ROUND(9931*1.05,2)</f>
        <v>10427.55</v>
      </c>
      <c r="F321" s="6" t="s">
        <v>35</v>
      </c>
      <c r="G321" s="6" t="s">
        <v>18</v>
      </c>
      <c r="H321" s="6" t="n">
        <f aca="true">ROUND(RAND()*4+6,1)</f>
        <v>6.2</v>
      </c>
      <c r="I321" s="6" t="s">
        <v>36</v>
      </c>
      <c r="J321" s="6" t="str">
        <f aca="false">ROUND(83*1,0)&amp;"%"</f>
        <v>83%</v>
      </c>
    </row>
    <row r="322" customFormat="false" ht="15" hidden="false" customHeight="false" outlineLevel="0" collapsed="false">
      <c r="A322" s="5" t="s">
        <v>1906</v>
      </c>
      <c r="B322" s="5" t="s">
        <v>520</v>
      </c>
      <c r="C322" s="5" t="s">
        <v>133</v>
      </c>
      <c r="D322" s="5" t="s">
        <v>39</v>
      </c>
      <c r="E322" s="5" t="n">
        <f aca="false">ROUND(13189*1.05,2)</f>
        <v>13848.45</v>
      </c>
      <c r="F322" s="5" t="s">
        <v>40</v>
      </c>
      <c r="G322" s="5" t="s">
        <v>24</v>
      </c>
      <c r="H322" s="5" t="n">
        <f aca="true">ROUND(RAND()*4+6,1)</f>
        <v>8.4</v>
      </c>
      <c r="I322" s="5" t="s">
        <v>41</v>
      </c>
      <c r="J322" s="5" t="str">
        <f aca="false">ROUND(92*1,0)&amp;"%"</f>
        <v>92%</v>
      </c>
    </row>
    <row r="323" customFormat="false" ht="15" hidden="false" customHeight="false" outlineLevel="0" collapsed="false">
      <c r="A323" s="6" t="s">
        <v>1907</v>
      </c>
      <c r="B323" s="6" t="s">
        <v>522</v>
      </c>
      <c r="C323" s="6" t="s">
        <v>133</v>
      </c>
      <c r="D323" s="6" t="s">
        <v>44</v>
      </c>
      <c r="E323" s="6" t="n">
        <f aca="false">ROUND(17076*1.05,2)</f>
        <v>17929.8</v>
      </c>
      <c r="F323" s="6" t="s">
        <v>45</v>
      </c>
      <c r="G323" s="6" t="s">
        <v>30</v>
      </c>
      <c r="H323" s="6" t="n">
        <f aca="true">ROUND(RAND()*4+6,1)</f>
        <v>9.8</v>
      </c>
      <c r="I323" s="6" t="s">
        <v>46</v>
      </c>
      <c r="J323" s="6" t="str">
        <f aca="false">ROUND(97*1,0)&amp;"%"</f>
        <v>97%</v>
      </c>
    </row>
    <row r="324" customFormat="false" ht="15" hidden="false" customHeight="false" outlineLevel="0" collapsed="false">
      <c r="A324" s="5" t="s">
        <v>1908</v>
      </c>
      <c r="B324" s="5" t="s">
        <v>524</v>
      </c>
      <c r="C324" s="5" t="s">
        <v>133</v>
      </c>
      <c r="D324" s="5" t="s">
        <v>16</v>
      </c>
      <c r="E324" s="5" t="n">
        <f aca="false">ROUND(14968*1.05,2)</f>
        <v>15716.4</v>
      </c>
      <c r="F324" s="5" t="s">
        <v>49</v>
      </c>
      <c r="G324" s="5" t="s">
        <v>18</v>
      </c>
      <c r="H324" s="5" t="n">
        <f aca="true">ROUND(RAND()*4+6,1)</f>
        <v>6.1</v>
      </c>
      <c r="I324" s="5" t="s">
        <v>19</v>
      </c>
      <c r="J324" s="5" t="str">
        <f aca="false">ROUND(82*1,0)&amp;"%"</f>
        <v>82%</v>
      </c>
    </row>
    <row r="325" customFormat="false" ht="15" hidden="false" customHeight="false" outlineLevel="0" collapsed="false">
      <c r="A325" s="6" t="s">
        <v>1909</v>
      </c>
      <c r="B325" s="6" t="s">
        <v>526</v>
      </c>
      <c r="C325" s="6" t="s">
        <v>133</v>
      </c>
      <c r="D325" s="6" t="s">
        <v>22</v>
      </c>
      <c r="E325" s="6" t="n">
        <f aca="false">ROUND(9655*1.05,2)</f>
        <v>10137.75</v>
      </c>
      <c r="F325" s="6" t="s">
        <v>52</v>
      </c>
      <c r="G325" s="6" t="s">
        <v>24</v>
      </c>
      <c r="H325" s="6" t="n">
        <f aca="true">ROUND(RAND()*4+6,1)</f>
        <v>9.9</v>
      </c>
      <c r="I325" s="6" t="s">
        <v>25</v>
      </c>
      <c r="J325" s="6" t="str">
        <f aca="false">ROUND(97*1,0)&amp;"%"</f>
        <v>97%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1910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1911</v>
      </c>
      <c r="B330" s="5" t="s">
        <v>530</v>
      </c>
      <c r="C330" s="5" t="s">
        <v>152</v>
      </c>
      <c r="D330" s="5" t="s">
        <v>16</v>
      </c>
      <c r="E330" s="5" t="n">
        <f aca="false">ROUND(12184*1.05,2)</f>
        <v>12793.2</v>
      </c>
      <c r="F330" s="5" t="s">
        <v>17</v>
      </c>
      <c r="G330" s="5" t="s">
        <v>18</v>
      </c>
      <c r="H330" s="5" t="n">
        <f aca="true">ROUND(RAND()*4+6,1)</f>
        <v>9.9</v>
      </c>
      <c r="I330" s="5" t="s">
        <v>19</v>
      </c>
      <c r="J330" s="5" t="str">
        <f aca="false">ROUND(75*1,0)&amp;"%"</f>
        <v>75%</v>
      </c>
    </row>
    <row r="331" customFormat="false" ht="15" hidden="false" customHeight="false" outlineLevel="0" collapsed="false">
      <c r="A331" s="6" t="s">
        <v>1912</v>
      </c>
      <c r="B331" s="6" t="s">
        <v>532</v>
      </c>
      <c r="C331" s="6" t="s">
        <v>152</v>
      </c>
      <c r="D331" s="6" t="s">
        <v>22</v>
      </c>
      <c r="E331" s="6" t="n">
        <f aca="false">ROUND(12565*1.05,2)</f>
        <v>13193.25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ROUND(83*1,0)&amp;"%"</f>
        <v>83%</v>
      </c>
    </row>
    <row r="332" customFormat="false" ht="15" hidden="false" customHeight="false" outlineLevel="0" collapsed="false">
      <c r="A332" s="5" t="s">
        <v>1913</v>
      </c>
      <c r="B332" s="5" t="s">
        <v>534</v>
      </c>
      <c r="C332" s="5" t="s">
        <v>152</v>
      </c>
      <c r="D332" s="5" t="s">
        <v>28</v>
      </c>
      <c r="E332" s="5" t="n">
        <f aca="false">ROUND(5852*1.05,2)</f>
        <v>6144.6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ROUND(94*1,0)&amp;"%"</f>
        <v>94%</v>
      </c>
    </row>
    <row r="333" customFormat="false" ht="15" hidden="false" customHeight="false" outlineLevel="0" collapsed="false">
      <c r="A333" s="6" t="s">
        <v>1914</v>
      </c>
      <c r="B333" s="6" t="s">
        <v>536</v>
      </c>
      <c r="C333" s="6" t="s">
        <v>152</v>
      </c>
      <c r="D333" s="6" t="s">
        <v>34</v>
      </c>
      <c r="E333" s="6" t="n">
        <f aca="false">ROUND(17869*1.05,2)</f>
        <v>18762.45</v>
      </c>
      <c r="F333" s="6" t="s">
        <v>35</v>
      </c>
      <c r="G333" s="6" t="s">
        <v>18</v>
      </c>
      <c r="H333" s="6" t="n">
        <f aca="true">ROUND(RAND()*4+6,1)</f>
        <v>8.8</v>
      </c>
      <c r="I333" s="6" t="s">
        <v>36</v>
      </c>
      <c r="J333" s="6" t="str">
        <f aca="false">ROUND(82*1,0)&amp;"%"</f>
        <v>82%</v>
      </c>
    </row>
    <row r="334" customFormat="false" ht="15" hidden="false" customHeight="false" outlineLevel="0" collapsed="false">
      <c r="A334" s="5" t="s">
        <v>1915</v>
      </c>
      <c r="B334" s="5" t="s">
        <v>538</v>
      </c>
      <c r="C334" s="5" t="s">
        <v>152</v>
      </c>
      <c r="D334" s="5" t="s">
        <v>39</v>
      </c>
      <c r="E334" s="5" t="n">
        <f aca="false">ROUND(17769*1.05,2)</f>
        <v>18657.45</v>
      </c>
      <c r="F334" s="5" t="s">
        <v>40</v>
      </c>
      <c r="G334" s="5" t="s">
        <v>24</v>
      </c>
      <c r="H334" s="5" t="n">
        <f aca="true">ROUND(RAND()*4+6,1)</f>
        <v>9.7</v>
      </c>
      <c r="I334" s="5" t="s">
        <v>41</v>
      </c>
      <c r="J334" s="5" t="str">
        <f aca="false">ROUND(94*1,0)&amp;"%"</f>
        <v>94%</v>
      </c>
    </row>
    <row r="335" customFormat="false" ht="15" hidden="false" customHeight="false" outlineLevel="0" collapsed="false">
      <c r="A335" s="6" t="s">
        <v>1916</v>
      </c>
      <c r="B335" s="6" t="s">
        <v>540</v>
      </c>
      <c r="C335" s="6" t="s">
        <v>152</v>
      </c>
      <c r="D335" s="6" t="s">
        <v>44</v>
      </c>
      <c r="E335" s="6" t="n">
        <f aca="false">ROUND(14257*1.05,2)</f>
        <v>14969.85</v>
      </c>
      <c r="F335" s="6" t="s">
        <v>45</v>
      </c>
      <c r="G335" s="6" t="s">
        <v>30</v>
      </c>
      <c r="H335" s="6" t="n">
        <f aca="true">ROUND(RAND()*4+6,1)</f>
        <v>6.4</v>
      </c>
      <c r="I335" s="6" t="s">
        <v>46</v>
      </c>
      <c r="J335" s="6" t="str">
        <f aca="false">ROUND(64*1,0)&amp;"%"</f>
        <v>64%</v>
      </c>
    </row>
    <row r="336" customFormat="false" ht="15" hidden="false" customHeight="false" outlineLevel="0" collapsed="false">
      <c r="A336" s="5" t="s">
        <v>1917</v>
      </c>
      <c r="B336" s="5" t="s">
        <v>542</v>
      </c>
      <c r="C336" s="5" t="s">
        <v>152</v>
      </c>
      <c r="D336" s="5" t="s">
        <v>16</v>
      </c>
      <c r="E336" s="5" t="n">
        <f aca="false">ROUND(11641*1.05,2)</f>
        <v>12223.05</v>
      </c>
      <c r="F336" s="5" t="s">
        <v>49</v>
      </c>
      <c r="G336" s="5" t="s">
        <v>18</v>
      </c>
      <c r="H336" s="5" t="n">
        <f aca="true">ROUND(RAND()*4+6,1)</f>
        <v>9.7</v>
      </c>
      <c r="I336" s="5" t="s">
        <v>19</v>
      </c>
      <c r="J336" s="5" t="str">
        <f aca="false">ROUND(90*1,0)&amp;"%"</f>
        <v>90%</v>
      </c>
    </row>
    <row r="337" customFormat="false" ht="15" hidden="false" customHeight="false" outlineLevel="0" collapsed="false">
      <c r="A337" s="6" t="s">
        <v>1918</v>
      </c>
      <c r="B337" s="6" t="s">
        <v>544</v>
      </c>
      <c r="C337" s="6" t="s">
        <v>152</v>
      </c>
      <c r="D337" s="6" t="s">
        <v>22</v>
      </c>
      <c r="E337" s="6" t="n">
        <f aca="false">ROUND(11139*1.05,2)</f>
        <v>11695.95</v>
      </c>
      <c r="F337" s="6" t="s">
        <v>52</v>
      </c>
      <c r="G337" s="6" t="s">
        <v>24</v>
      </c>
      <c r="H337" s="6" t="n">
        <f aca="true">ROUND(RAND()*4+6,1)</f>
        <v>7.9</v>
      </c>
      <c r="I337" s="6" t="s">
        <v>25</v>
      </c>
      <c r="J337" s="6" t="str">
        <f aca="false">ROUND(93*1,0)&amp;"%"</f>
        <v>93%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1919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1920</v>
      </c>
      <c r="B342" s="5" t="s">
        <v>548</v>
      </c>
      <c r="C342" s="5" t="s">
        <v>15</v>
      </c>
      <c r="D342" s="5" t="s">
        <v>16</v>
      </c>
      <c r="E342" s="5" t="n">
        <f aca="false">ROUND(4484*1.05,2)</f>
        <v>4708.2</v>
      </c>
      <c r="F342" s="5" t="s">
        <v>17</v>
      </c>
      <c r="G342" s="5" t="s">
        <v>18</v>
      </c>
      <c r="H342" s="5" t="n">
        <f aca="true">ROUND(RAND()*4+6,1)</f>
        <v>9</v>
      </c>
      <c r="I342" s="5" t="s">
        <v>19</v>
      </c>
      <c r="J342" s="5" t="str">
        <f aca="false">ROUND(74*1,0)&amp;"%"</f>
        <v>74%</v>
      </c>
    </row>
    <row r="343" customFormat="false" ht="15" hidden="false" customHeight="false" outlineLevel="0" collapsed="false">
      <c r="A343" s="6" t="s">
        <v>1921</v>
      </c>
      <c r="B343" s="6" t="s">
        <v>550</v>
      </c>
      <c r="C343" s="6" t="s">
        <v>15</v>
      </c>
      <c r="D343" s="6" t="s">
        <v>22</v>
      </c>
      <c r="E343" s="6" t="n">
        <f aca="false">ROUND(17409*1.05,2)</f>
        <v>18279.45</v>
      </c>
      <c r="F343" s="6" t="s">
        <v>23</v>
      </c>
      <c r="G343" s="6" t="s">
        <v>24</v>
      </c>
      <c r="H343" s="6" t="n">
        <f aca="true">ROUND(RAND()*4+6,1)</f>
        <v>6.4</v>
      </c>
      <c r="I343" s="6" t="s">
        <v>25</v>
      </c>
      <c r="J343" s="6" t="str">
        <f aca="false">ROUND(60*1,0)&amp;"%"</f>
        <v>60%</v>
      </c>
    </row>
    <row r="344" customFormat="false" ht="15" hidden="false" customHeight="false" outlineLevel="0" collapsed="false">
      <c r="A344" s="5" t="s">
        <v>1922</v>
      </c>
      <c r="B344" s="5" t="s">
        <v>552</v>
      </c>
      <c r="C344" s="5" t="s">
        <v>15</v>
      </c>
      <c r="D344" s="5" t="s">
        <v>28</v>
      </c>
      <c r="E344" s="5" t="n">
        <f aca="false">ROUND(6980*1.05,2)</f>
        <v>7329</v>
      </c>
      <c r="F344" s="5" t="s">
        <v>29</v>
      </c>
      <c r="G344" s="5" t="s">
        <v>30</v>
      </c>
      <c r="H344" s="5" t="n">
        <f aca="true">ROUND(RAND()*4+6,1)</f>
        <v>9.9</v>
      </c>
      <c r="I344" s="5" t="s">
        <v>31</v>
      </c>
      <c r="J344" s="5" t="str">
        <f aca="false">ROUND(65*1,0)&amp;"%"</f>
        <v>65%</v>
      </c>
    </row>
    <row r="345" customFormat="false" ht="15" hidden="false" customHeight="false" outlineLevel="0" collapsed="false">
      <c r="A345" s="6" t="s">
        <v>1923</v>
      </c>
      <c r="B345" s="6" t="s">
        <v>554</v>
      </c>
      <c r="C345" s="6" t="s">
        <v>15</v>
      </c>
      <c r="D345" s="6" t="s">
        <v>34</v>
      </c>
      <c r="E345" s="6" t="n">
        <f aca="false">ROUND(12814*1.05,2)</f>
        <v>13454.7</v>
      </c>
      <c r="F345" s="6" t="s">
        <v>35</v>
      </c>
      <c r="G345" s="6" t="s">
        <v>18</v>
      </c>
      <c r="H345" s="6" t="n">
        <f aca="true">ROUND(RAND()*4+6,1)</f>
        <v>8.1</v>
      </c>
      <c r="I345" s="6" t="s">
        <v>36</v>
      </c>
      <c r="J345" s="6" t="str">
        <f aca="false">ROUND(99*1,0)&amp;"%"</f>
        <v>99%</v>
      </c>
    </row>
    <row r="346" customFormat="false" ht="15" hidden="false" customHeight="false" outlineLevel="0" collapsed="false">
      <c r="A346" s="5" t="s">
        <v>1924</v>
      </c>
      <c r="B346" s="5" t="s">
        <v>556</v>
      </c>
      <c r="C346" s="5" t="s">
        <v>15</v>
      </c>
      <c r="D346" s="5" t="s">
        <v>39</v>
      </c>
      <c r="E346" s="5" t="n">
        <f aca="false">ROUND(17021*1.05,2)</f>
        <v>17872.05</v>
      </c>
      <c r="F346" s="5" t="s">
        <v>40</v>
      </c>
      <c r="G346" s="5" t="s">
        <v>24</v>
      </c>
      <c r="H346" s="5" t="n">
        <f aca="true">ROUND(RAND()*4+6,1)</f>
        <v>8.6</v>
      </c>
      <c r="I346" s="5" t="s">
        <v>41</v>
      </c>
      <c r="J346" s="5" t="str">
        <f aca="false">ROUND(92*1,0)&amp;"%"</f>
        <v>92%</v>
      </c>
    </row>
    <row r="347" customFormat="false" ht="15" hidden="false" customHeight="false" outlineLevel="0" collapsed="false">
      <c r="A347" s="6" t="s">
        <v>1925</v>
      </c>
      <c r="B347" s="6" t="s">
        <v>558</v>
      </c>
      <c r="C347" s="6" t="s">
        <v>15</v>
      </c>
      <c r="D347" s="6" t="s">
        <v>44</v>
      </c>
      <c r="E347" s="6" t="n">
        <f aca="false">ROUND(15897*1.05,2)</f>
        <v>16691.85</v>
      </c>
      <c r="F347" s="6" t="s">
        <v>45</v>
      </c>
      <c r="G347" s="6" t="s">
        <v>30</v>
      </c>
      <c r="H347" s="6" t="n">
        <f aca="true">ROUND(RAND()*4+6,1)</f>
        <v>6.4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1926</v>
      </c>
      <c r="B348" s="5" t="s">
        <v>560</v>
      </c>
      <c r="C348" s="5" t="s">
        <v>15</v>
      </c>
      <c r="D348" s="5" t="s">
        <v>16</v>
      </c>
      <c r="E348" s="5" t="n">
        <f aca="false">ROUND(10490*1.05,2)</f>
        <v>11014.5</v>
      </c>
      <c r="F348" s="5" t="s">
        <v>49</v>
      </c>
      <c r="G348" s="5" t="s">
        <v>18</v>
      </c>
      <c r="H348" s="5" t="n">
        <f aca="true">ROUND(RAND()*4+6,1)</f>
        <v>7.6</v>
      </c>
      <c r="I348" s="5" t="s">
        <v>19</v>
      </c>
      <c r="J348" s="5" t="str">
        <f aca="false">ROUND(83*1,0)&amp;"%"</f>
        <v>83%</v>
      </c>
    </row>
    <row r="349" customFormat="false" ht="15" hidden="false" customHeight="false" outlineLevel="0" collapsed="false">
      <c r="A349" s="6" t="s">
        <v>1927</v>
      </c>
      <c r="B349" s="6" t="s">
        <v>562</v>
      </c>
      <c r="C349" s="6" t="s">
        <v>15</v>
      </c>
      <c r="D349" s="6" t="s">
        <v>22</v>
      </c>
      <c r="E349" s="6" t="n">
        <f aca="false">ROUND(16664*1.05,2)</f>
        <v>17497.2</v>
      </c>
      <c r="F349" s="6" t="s">
        <v>52</v>
      </c>
      <c r="G349" s="6" t="s">
        <v>24</v>
      </c>
      <c r="H349" s="6" t="n">
        <f aca="true">ROUND(RAND()*4+6,1)</f>
        <v>7.9</v>
      </c>
      <c r="I349" s="6" t="s">
        <v>25</v>
      </c>
      <c r="J349" s="6" t="str">
        <f aca="false">ROUND(92*1,0)&amp;"%"</f>
        <v>92%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1928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1929</v>
      </c>
      <c r="B354" s="5" t="s">
        <v>566</v>
      </c>
      <c r="C354" s="5" t="s">
        <v>57</v>
      </c>
      <c r="D354" s="5" t="s">
        <v>16</v>
      </c>
      <c r="E354" s="5" t="n">
        <f aca="false">ROUND(11957*1.05,2)</f>
        <v>12554.85</v>
      </c>
      <c r="F354" s="5" t="s">
        <v>17</v>
      </c>
      <c r="G354" s="5" t="s">
        <v>18</v>
      </c>
      <c r="H354" s="5" t="n">
        <f aca="true">ROUND(RAND()*4+6,1)</f>
        <v>8.7</v>
      </c>
      <c r="I354" s="5" t="s">
        <v>19</v>
      </c>
      <c r="J354" s="5" t="str">
        <f aca="false">ROUND(87*1,0)&amp;"%"</f>
        <v>87%</v>
      </c>
    </row>
    <row r="355" customFormat="false" ht="15" hidden="false" customHeight="false" outlineLevel="0" collapsed="false">
      <c r="A355" s="6" t="s">
        <v>1930</v>
      </c>
      <c r="B355" s="6" t="s">
        <v>568</v>
      </c>
      <c r="C355" s="6" t="s">
        <v>57</v>
      </c>
      <c r="D355" s="6" t="s">
        <v>22</v>
      </c>
      <c r="E355" s="6" t="n">
        <f aca="false">ROUND(5066*1.05,2)</f>
        <v>5319.3</v>
      </c>
      <c r="F355" s="6" t="s">
        <v>23</v>
      </c>
      <c r="G355" s="6" t="s">
        <v>24</v>
      </c>
      <c r="H355" s="6" t="n">
        <f aca="true">ROUND(RAND()*4+6,1)</f>
        <v>8.1</v>
      </c>
      <c r="I355" s="6" t="s">
        <v>25</v>
      </c>
      <c r="J355" s="6" t="str">
        <f aca="false">ROUND(74*1,0)&amp;"%"</f>
        <v>74%</v>
      </c>
    </row>
    <row r="356" customFormat="false" ht="15" hidden="false" customHeight="false" outlineLevel="0" collapsed="false">
      <c r="A356" s="5" t="s">
        <v>1931</v>
      </c>
      <c r="B356" s="5" t="s">
        <v>570</v>
      </c>
      <c r="C356" s="5" t="s">
        <v>57</v>
      </c>
      <c r="D356" s="5" t="s">
        <v>28</v>
      </c>
      <c r="E356" s="5" t="n">
        <f aca="false">ROUND(6076*1.05,2)</f>
        <v>6379.8</v>
      </c>
      <c r="F356" s="5" t="s">
        <v>29</v>
      </c>
      <c r="G356" s="5" t="s">
        <v>30</v>
      </c>
      <c r="H356" s="5" t="n">
        <f aca="true">ROUND(RAND()*4+6,1)</f>
        <v>6.9</v>
      </c>
      <c r="I356" s="5" t="s">
        <v>31</v>
      </c>
      <c r="J356" s="5" t="str">
        <f aca="false">ROUND(85*1,0)&amp;"%"</f>
        <v>85%</v>
      </c>
    </row>
    <row r="357" customFormat="false" ht="15" hidden="false" customHeight="false" outlineLevel="0" collapsed="false">
      <c r="A357" s="6" t="s">
        <v>1932</v>
      </c>
      <c r="B357" s="6" t="s">
        <v>572</v>
      </c>
      <c r="C357" s="6" t="s">
        <v>57</v>
      </c>
      <c r="D357" s="6" t="s">
        <v>34</v>
      </c>
      <c r="E357" s="6" t="n">
        <f aca="false">ROUND(9362*1.05,2)</f>
        <v>9830.1</v>
      </c>
      <c r="F357" s="6" t="s">
        <v>35</v>
      </c>
      <c r="G357" s="6" t="s">
        <v>18</v>
      </c>
      <c r="H357" s="6" t="n">
        <f aca="true">ROUND(RAND()*4+6,1)</f>
        <v>9.3</v>
      </c>
      <c r="I357" s="6" t="s">
        <v>36</v>
      </c>
      <c r="J357" s="6" t="str">
        <f aca="false">ROUND(90*1,0)&amp;"%"</f>
        <v>90%</v>
      </c>
    </row>
    <row r="358" customFormat="false" ht="15" hidden="false" customHeight="false" outlineLevel="0" collapsed="false">
      <c r="A358" s="5" t="s">
        <v>1933</v>
      </c>
      <c r="B358" s="5" t="s">
        <v>574</v>
      </c>
      <c r="C358" s="5" t="s">
        <v>57</v>
      </c>
      <c r="D358" s="5" t="s">
        <v>39</v>
      </c>
      <c r="E358" s="5" t="n">
        <f aca="false">ROUND(8265*1.05,2)</f>
        <v>8678.25</v>
      </c>
      <c r="F358" s="5" t="s">
        <v>40</v>
      </c>
      <c r="G358" s="5" t="s">
        <v>24</v>
      </c>
      <c r="H358" s="5" t="n">
        <f aca="true">ROUND(RAND()*4+6,1)</f>
        <v>9.6</v>
      </c>
      <c r="I358" s="5" t="s">
        <v>41</v>
      </c>
      <c r="J358" s="5" t="str">
        <f aca="false">ROUND(77*1,0)&amp;"%"</f>
        <v>77%</v>
      </c>
    </row>
    <row r="359" customFormat="false" ht="15" hidden="false" customHeight="false" outlineLevel="0" collapsed="false">
      <c r="A359" s="6" t="s">
        <v>1934</v>
      </c>
      <c r="B359" s="6" t="s">
        <v>576</v>
      </c>
      <c r="C359" s="6" t="s">
        <v>57</v>
      </c>
      <c r="D359" s="6" t="s">
        <v>44</v>
      </c>
      <c r="E359" s="6" t="n">
        <f aca="false">ROUND(5483*1.05,2)</f>
        <v>5757.15</v>
      </c>
      <c r="F359" s="6" t="s">
        <v>45</v>
      </c>
      <c r="G359" s="6" t="s">
        <v>30</v>
      </c>
      <c r="H359" s="6" t="n">
        <f aca="true">ROUND(RAND()*4+6,1)</f>
        <v>7.3</v>
      </c>
      <c r="I359" s="6" t="s">
        <v>46</v>
      </c>
      <c r="J359" s="6" t="str">
        <f aca="false">ROUND(65*1,0)&amp;"%"</f>
        <v>65%</v>
      </c>
    </row>
    <row r="360" customFormat="false" ht="15" hidden="false" customHeight="false" outlineLevel="0" collapsed="false">
      <c r="A360" s="5" t="s">
        <v>1935</v>
      </c>
      <c r="B360" s="5" t="s">
        <v>578</v>
      </c>
      <c r="C360" s="5" t="s">
        <v>57</v>
      </c>
      <c r="D360" s="5" t="s">
        <v>16</v>
      </c>
      <c r="E360" s="5" t="n">
        <f aca="false">ROUND(11978*1.05,2)</f>
        <v>12576.9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ROUND(81*1,0)&amp;"%"</f>
        <v>81%</v>
      </c>
    </row>
    <row r="361" customFormat="false" ht="15" hidden="false" customHeight="false" outlineLevel="0" collapsed="false">
      <c r="A361" s="6" t="s">
        <v>1936</v>
      </c>
      <c r="B361" s="6" t="s">
        <v>580</v>
      </c>
      <c r="C361" s="6" t="s">
        <v>57</v>
      </c>
      <c r="D361" s="6" t="s">
        <v>22</v>
      </c>
      <c r="E361" s="6" t="n">
        <f aca="false">ROUND(17381*1.05,2)</f>
        <v>18250.05</v>
      </c>
      <c r="F361" s="6" t="s">
        <v>52</v>
      </c>
      <c r="G361" s="6" t="s">
        <v>24</v>
      </c>
      <c r="H361" s="6" t="n">
        <f aca="true">ROUND(RAND()*4+6,1)</f>
        <v>8.4</v>
      </c>
      <c r="I361" s="6" t="s">
        <v>25</v>
      </c>
      <c r="J361" s="6" t="str">
        <f aca="false">ROUND(75*1,0)&amp;"%"</f>
        <v>75%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1937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1938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1939</v>
      </c>
      <c r="B6" s="5" t="s">
        <v>14</v>
      </c>
      <c r="C6" s="5" t="s">
        <v>15</v>
      </c>
      <c r="D6" s="5" t="s">
        <v>16</v>
      </c>
      <c r="E6" s="5" t="n">
        <f aca="false">ROUND(12196*1.05,2)</f>
        <v>12805.8</v>
      </c>
      <c r="F6" s="5" t="s">
        <v>17</v>
      </c>
      <c r="G6" s="5" t="s">
        <v>18</v>
      </c>
      <c r="H6" s="5" t="n">
        <f aca="true">ROUND(RAND()*4+6,1)</f>
        <v>8.7</v>
      </c>
      <c r="I6" s="5" t="s">
        <v>19</v>
      </c>
      <c r="J6" s="5" t="str">
        <f aca="false">ROUND(68*1,0)&amp;"%"</f>
        <v>68%</v>
      </c>
    </row>
    <row r="7" customFormat="false" ht="15" hidden="false" customHeight="false" outlineLevel="0" collapsed="false">
      <c r="A7" s="6" t="s">
        <v>1940</v>
      </c>
      <c r="B7" s="6" t="s">
        <v>21</v>
      </c>
      <c r="C7" s="6" t="s">
        <v>15</v>
      </c>
      <c r="D7" s="6" t="s">
        <v>22</v>
      </c>
      <c r="E7" s="6" t="n">
        <f aca="false">ROUND(7739*1.05,2)</f>
        <v>8125.95</v>
      </c>
      <c r="F7" s="6" t="s">
        <v>23</v>
      </c>
      <c r="G7" s="6" t="s">
        <v>24</v>
      </c>
      <c r="H7" s="6" t="n">
        <f aca="true">ROUND(RAND()*4+6,1)</f>
        <v>8.6</v>
      </c>
      <c r="I7" s="6" t="s">
        <v>25</v>
      </c>
      <c r="J7" s="6" t="str">
        <f aca="false">ROUND(88*1,0)&amp;"%"</f>
        <v>88%</v>
      </c>
    </row>
    <row r="8" customFormat="false" ht="15" hidden="false" customHeight="false" outlineLevel="0" collapsed="false">
      <c r="A8" s="5" t="s">
        <v>1941</v>
      </c>
      <c r="B8" s="5" t="s">
        <v>27</v>
      </c>
      <c r="C8" s="5" t="s">
        <v>15</v>
      </c>
      <c r="D8" s="5" t="s">
        <v>28</v>
      </c>
      <c r="E8" s="5" t="n">
        <f aca="false">ROUND(12453*1.05,2)</f>
        <v>13075.65</v>
      </c>
      <c r="F8" s="5" t="s">
        <v>29</v>
      </c>
      <c r="G8" s="5" t="s">
        <v>30</v>
      </c>
      <c r="H8" s="5" t="n">
        <f aca="true">ROUND(RAND()*4+6,1)</f>
        <v>7.4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1942</v>
      </c>
      <c r="B9" s="6" t="s">
        <v>33</v>
      </c>
      <c r="C9" s="6" t="s">
        <v>15</v>
      </c>
      <c r="D9" s="6" t="s">
        <v>34</v>
      </c>
      <c r="E9" s="6" t="n">
        <f aca="false">ROUND(5377*1.05,2)</f>
        <v>5645.85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ROUND(71*1,0)&amp;"%"</f>
        <v>71%</v>
      </c>
    </row>
    <row r="10" customFormat="false" ht="15" hidden="false" customHeight="false" outlineLevel="0" collapsed="false">
      <c r="A10" s="5" t="s">
        <v>1943</v>
      </c>
      <c r="B10" s="5" t="s">
        <v>38</v>
      </c>
      <c r="C10" s="5" t="s">
        <v>15</v>
      </c>
      <c r="D10" s="5" t="s">
        <v>39</v>
      </c>
      <c r="E10" s="5" t="n">
        <f aca="false">ROUND(6563*1.05,2)</f>
        <v>6891.15</v>
      </c>
      <c r="F10" s="5" t="s">
        <v>40</v>
      </c>
      <c r="G10" s="5" t="s">
        <v>24</v>
      </c>
      <c r="H10" s="5" t="n">
        <f aca="true">ROUND(RAND()*4+6,1)</f>
        <v>7.8</v>
      </c>
      <c r="I10" s="5" t="s">
        <v>41</v>
      </c>
      <c r="J10" s="5" t="str">
        <f aca="false">ROUND(67*1,0)&amp;"%"</f>
        <v>67%</v>
      </c>
    </row>
    <row r="11" customFormat="false" ht="15" hidden="false" customHeight="false" outlineLevel="0" collapsed="false">
      <c r="A11" s="6" t="s">
        <v>1944</v>
      </c>
      <c r="B11" s="6" t="s">
        <v>43</v>
      </c>
      <c r="C11" s="6" t="s">
        <v>15</v>
      </c>
      <c r="D11" s="6" t="s">
        <v>44</v>
      </c>
      <c r="E11" s="6" t="n">
        <f aca="false">ROUND(4382*1.05,2)</f>
        <v>4601.1</v>
      </c>
      <c r="F11" s="6" t="s">
        <v>45</v>
      </c>
      <c r="G11" s="6" t="s">
        <v>30</v>
      </c>
      <c r="H11" s="6" t="n">
        <f aca="true">ROUND(RAND()*4+6,1)</f>
        <v>6.7</v>
      </c>
      <c r="I11" s="6" t="s">
        <v>46</v>
      </c>
      <c r="J11" s="6" t="str">
        <f aca="false">ROUND(77*1,0)&amp;"%"</f>
        <v>77%</v>
      </c>
    </row>
    <row r="12" customFormat="false" ht="15" hidden="false" customHeight="false" outlineLevel="0" collapsed="false">
      <c r="A12" s="5" t="s">
        <v>1945</v>
      </c>
      <c r="B12" s="5" t="s">
        <v>48</v>
      </c>
      <c r="C12" s="5" t="s">
        <v>15</v>
      </c>
      <c r="D12" s="5" t="s">
        <v>16</v>
      </c>
      <c r="E12" s="5" t="n">
        <f aca="false">ROUND(9326*1.05,2)</f>
        <v>9792.3</v>
      </c>
      <c r="F12" s="5" t="s">
        <v>49</v>
      </c>
      <c r="G12" s="5" t="s">
        <v>18</v>
      </c>
      <c r="H12" s="5" t="n">
        <f aca="true">ROUND(RAND()*4+6,1)</f>
        <v>9.4</v>
      </c>
      <c r="I12" s="5" t="s">
        <v>19</v>
      </c>
      <c r="J12" s="5" t="str">
        <f aca="false">ROUND(67*1,0)&amp;"%"</f>
        <v>67%</v>
      </c>
    </row>
    <row r="13" customFormat="false" ht="15" hidden="false" customHeight="false" outlineLevel="0" collapsed="false">
      <c r="A13" s="6" t="s">
        <v>1946</v>
      </c>
      <c r="B13" s="6" t="s">
        <v>51</v>
      </c>
      <c r="C13" s="6" t="s">
        <v>15</v>
      </c>
      <c r="D13" s="6" t="s">
        <v>22</v>
      </c>
      <c r="E13" s="6" t="n">
        <f aca="false">ROUND(17741*1.05,2)</f>
        <v>18628.05</v>
      </c>
      <c r="F13" s="6" t="s">
        <v>52</v>
      </c>
      <c r="G13" s="6" t="s">
        <v>24</v>
      </c>
      <c r="H13" s="6" t="n">
        <f aca="true">ROUND(RAND()*4+6,1)</f>
        <v>8.8</v>
      </c>
      <c r="I13" s="6" t="s">
        <v>25</v>
      </c>
      <c r="J13" s="6" t="str">
        <f aca="false">ROUND(67*1,0)&amp;"%"</f>
        <v>67%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1947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1948</v>
      </c>
      <c r="B18" s="5" t="s">
        <v>56</v>
      </c>
      <c r="C18" s="5" t="s">
        <v>57</v>
      </c>
      <c r="D18" s="5" t="s">
        <v>16</v>
      </c>
      <c r="E18" s="5" t="n">
        <f aca="false">ROUND(8938*1.05,2)</f>
        <v>9384.9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ROUND(92*1,0)&amp;"%"</f>
        <v>92%</v>
      </c>
    </row>
    <row r="19" customFormat="false" ht="15" hidden="false" customHeight="false" outlineLevel="0" collapsed="false">
      <c r="A19" s="6" t="s">
        <v>1949</v>
      </c>
      <c r="B19" s="6" t="s">
        <v>59</v>
      </c>
      <c r="C19" s="6" t="s">
        <v>57</v>
      </c>
      <c r="D19" s="6" t="s">
        <v>22</v>
      </c>
      <c r="E19" s="6" t="n">
        <f aca="false">ROUND(16080*1.05,2)</f>
        <v>16884</v>
      </c>
      <c r="F19" s="6" t="s">
        <v>23</v>
      </c>
      <c r="G19" s="6" t="s">
        <v>24</v>
      </c>
      <c r="H19" s="6" t="n">
        <f aca="true">ROUND(RAND()*4+6,1)</f>
        <v>6.6</v>
      </c>
      <c r="I19" s="6" t="s">
        <v>25</v>
      </c>
      <c r="J19" s="6" t="str">
        <f aca="false">ROUND(80*1,0)&amp;"%"</f>
        <v>80%</v>
      </c>
    </row>
    <row r="20" customFormat="false" ht="15" hidden="false" customHeight="false" outlineLevel="0" collapsed="false">
      <c r="A20" s="5" t="s">
        <v>1950</v>
      </c>
      <c r="B20" s="5" t="s">
        <v>61</v>
      </c>
      <c r="C20" s="5" t="s">
        <v>57</v>
      </c>
      <c r="D20" s="5" t="s">
        <v>28</v>
      </c>
      <c r="E20" s="5" t="n">
        <f aca="false">ROUND(4019*1.05,2)</f>
        <v>4219.95</v>
      </c>
      <c r="F20" s="5" t="s">
        <v>29</v>
      </c>
      <c r="G20" s="5" t="s">
        <v>30</v>
      </c>
      <c r="H20" s="5" t="n">
        <f aca="true">ROUND(RAND()*4+6,1)</f>
        <v>7.4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1951</v>
      </c>
      <c r="B21" s="6" t="s">
        <v>63</v>
      </c>
      <c r="C21" s="6" t="s">
        <v>57</v>
      </c>
      <c r="D21" s="6" t="s">
        <v>34</v>
      </c>
      <c r="E21" s="6" t="n">
        <f aca="false">ROUND(16100*1.05,2)</f>
        <v>16905</v>
      </c>
      <c r="F21" s="6" t="s">
        <v>35</v>
      </c>
      <c r="G21" s="6" t="s">
        <v>18</v>
      </c>
      <c r="H21" s="6" t="n">
        <f aca="true">ROUND(RAND()*4+6,1)</f>
        <v>9.7</v>
      </c>
      <c r="I21" s="6" t="s">
        <v>36</v>
      </c>
      <c r="J21" s="6" t="str">
        <f aca="false">ROUND(63*1,0)&amp;"%"</f>
        <v>63%</v>
      </c>
    </row>
    <row r="22" customFormat="false" ht="15" hidden="false" customHeight="false" outlineLevel="0" collapsed="false">
      <c r="A22" s="5" t="s">
        <v>1952</v>
      </c>
      <c r="B22" s="5" t="s">
        <v>65</v>
      </c>
      <c r="C22" s="5" t="s">
        <v>57</v>
      </c>
      <c r="D22" s="5" t="s">
        <v>39</v>
      </c>
      <c r="E22" s="5" t="n">
        <f aca="false">ROUND(11115*1.05,2)</f>
        <v>11670.75</v>
      </c>
      <c r="F22" s="5" t="s">
        <v>40</v>
      </c>
      <c r="G22" s="5" t="s">
        <v>24</v>
      </c>
      <c r="H22" s="5" t="n">
        <f aca="true">ROUND(RAND()*4+6,1)</f>
        <v>6.3</v>
      </c>
      <c r="I22" s="5" t="s">
        <v>41</v>
      </c>
      <c r="J22" s="5" t="str">
        <f aca="false">ROUND(93*1,0)&amp;"%"</f>
        <v>93%</v>
      </c>
    </row>
    <row r="23" customFormat="false" ht="15" hidden="false" customHeight="false" outlineLevel="0" collapsed="false">
      <c r="A23" s="6" t="s">
        <v>1953</v>
      </c>
      <c r="B23" s="6" t="s">
        <v>67</v>
      </c>
      <c r="C23" s="6" t="s">
        <v>57</v>
      </c>
      <c r="D23" s="6" t="s">
        <v>44</v>
      </c>
      <c r="E23" s="6" t="n">
        <f aca="false">ROUND(8334*1.05,2)</f>
        <v>8750.7</v>
      </c>
      <c r="F23" s="6" t="s">
        <v>45</v>
      </c>
      <c r="G23" s="6" t="s">
        <v>30</v>
      </c>
      <c r="H23" s="6" t="n">
        <f aca="true">ROUND(RAND()*4+6,1)</f>
        <v>8.9</v>
      </c>
      <c r="I23" s="6" t="s">
        <v>46</v>
      </c>
      <c r="J23" s="6" t="str">
        <f aca="false">ROUND(98*1,0)&amp;"%"</f>
        <v>98%</v>
      </c>
    </row>
    <row r="24" customFormat="false" ht="15" hidden="false" customHeight="false" outlineLevel="0" collapsed="false">
      <c r="A24" s="5" t="s">
        <v>1954</v>
      </c>
      <c r="B24" s="5" t="s">
        <v>69</v>
      </c>
      <c r="C24" s="5" t="s">
        <v>57</v>
      </c>
      <c r="D24" s="5" t="s">
        <v>16</v>
      </c>
      <c r="E24" s="5" t="n">
        <f aca="false">ROUND(17962*1.05,2)</f>
        <v>18860.1</v>
      </c>
      <c r="F24" s="5" t="s">
        <v>49</v>
      </c>
      <c r="G24" s="5" t="s">
        <v>18</v>
      </c>
      <c r="H24" s="5" t="n">
        <f aca="true">ROUND(RAND()*4+6,1)</f>
        <v>7.5</v>
      </c>
      <c r="I24" s="5" t="s">
        <v>19</v>
      </c>
      <c r="J24" s="5" t="str">
        <f aca="false">ROUND(100*1,0)&amp;"%"</f>
        <v>100%</v>
      </c>
    </row>
    <row r="25" customFormat="false" ht="15" hidden="false" customHeight="false" outlineLevel="0" collapsed="false">
      <c r="A25" s="6" t="s">
        <v>1955</v>
      </c>
      <c r="B25" s="6" t="s">
        <v>71</v>
      </c>
      <c r="C25" s="6" t="s">
        <v>57</v>
      </c>
      <c r="D25" s="6" t="s">
        <v>22</v>
      </c>
      <c r="E25" s="6" t="n">
        <f aca="false">ROUND(6370*1.05,2)</f>
        <v>6688.5</v>
      </c>
      <c r="F25" s="6" t="s">
        <v>52</v>
      </c>
      <c r="G25" s="6" t="s">
        <v>24</v>
      </c>
      <c r="H25" s="6" t="n">
        <f aca="true">ROUND(RAND()*4+6,1)</f>
        <v>6.4</v>
      </c>
      <c r="I25" s="6" t="s">
        <v>25</v>
      </c>
      <c r="J25" s="6" t="str">
        <f aca="false">ROUND(88*1,0)&amp;"%"</f>
        <v>88%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1956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1957</v>
      </c>
      <c r="B30" s="5" t="s">
        <v>75</v>
      </c>
      <c r="C30" s="5" t="s">
        <v>76</v>
      </c>
      <c r="D30" s="5" t="s">
        <v>16</v>
      </c>
      <c r="E30" s="5" t="n">
        <f aca="false">ROUND(13744*1.05,2)</f>
        <v>14431.2</v>
      </c>
      <c r="F30" s="5" t="s">
        <v>17</v>
      </c>
      <c r="G30" s="5" t="s">
        <v>18</v>
      </c>
      <c r="H30" s="5" t="n">
        <f aca="true">ROUND(RAND()*4+6,1)</f>
        <v>6.3</v>
      </c>
      <c r="I30" s="5" t="s">
        <v>19</v>
      </c>
      <c r="J30" s="5" t="str">
        <f aca="false">ROUND(88*1,0)&amp;"%"</f>
        <v>88%</v>
      </c>
    </row>
    <row r="31" customFormat="false" ht="15" hidden="false" customHeight="false" outlineLevel="0" collapsed="false">
      <c r="A31" s="6" t="s">
        <v>1958</v>
      </c>
      <c r="B31" s="6" t="s">
        <v>78</v>
      </c>
      <c r="C31" s="6" t="s">
        <v>76</v>
      </c>
      <c r="D31" s="6" t="s">
        <v>22</v>
      </c>
      <c r="E31" s="6" t="n">
        <f aca="false">ROUND(15055*1.05,2)</f>
        <v>15807.75</v>
      </c>
      <c r="F31" s="6" t="s">
        <v>23</v>
      </c>
      <c r="G31" s="6" t="s">
        <v>24</v>
      </c>
      <c r="H31" s="6" t="n">
        <f aca="true">ROUND(RAND()*4+6,1)</f>
        <v>9.1</v>
      </c>
      <c r="I31" s="6" t="s">
        <v>25</v>
      </c>
      <c r="J31" s="6" t="str">
        <f aca="false">ROUND(87*1,0)&amp;"%"</f>
        <v>87%</v>
      </c>
    </row>
    <row r="32" customFormat="false" ht="15" hidden="false" customHeight="false" outlineLevel="0" collapsed="false">
      <c r="A32" s="5" t="s">
        <v>1959</v>
      </c>
      <c r="B32" s="5" t="s">
        <v>80</v>
      </c>
      <c r="C32" s="5" t="s">
        <v>76</v>
      </c>
      <c r="D32" s="5" t="s">
        <v>28</v>
      </c>
      <c r="E32" s="5" t="n">
        <f aca="false">ROUND(8256*1.05,2)</f>
        <v>8668.8</v>
      </c>
      <c r="F32" s="5" t="s">
        <v>29</v>
      </c>
      <c r="G32" s="5" t="s">
        <v>30</v>
      </c>
      <c r="H32" s="5" t="n">
        <f aca="true">ROUND(RAND()*4+6,1)</f>
        <v>9.5</v>
      </c>
      <c r="I32" s="5" t="s">
        <v>31</v>
      </c>
      <c r="J32" s="5" t="str">
        <f aca="false">ROUND(63*1,0)&amp;"%"</f>
        <v>63%</v>
      </c>
    </row>
    <row r="33" customFormat="false" ht="15" hidden="false" customHeight="false" outlineLevel="0" collapsed="false">
      <c r="A33" s="6" t="s">
        <v>1960</v>
      </c>
      <c r="B33" s="6" t="s">
        <v>82</v>
      </c>
      <c r="C33" s="6" t="s">
        <v>76</v>
      </c>
      <c r="D33" s="6" t="s">
        <v>34</v>
      </c>
      <c r="E33" s="6" t="n">
        <f aca="false">ROUND(10292*1.05,2)</f>
        <v>10806.6</v>
      </c>
      <c r="F33" s="6" t="s">
        <v>35</v>
      </c>
      <c r="G33" s="6" t="s">
        <v>18</v>
      </c>
      <c r="H33" s="6" t="n">
        <f aca="true">ROUND(RAND()*4+6,1)</f>
        <v>8.8</v>
      </c>
      <c r="I33" s="6" t="s">
        <v>36</v>
      </c>
      <c r="J33" s="6" t="str">
        <f aca="false">ROUND(95*1,0)&amp;"%"</f>
        <v>95%</v>
      </c>
    </row>
    <row r="34" customFormat="false" ht="15" hidden="false" customHeight="false" outlineLevel="0" collapsed="false">
      <c r="A34" s="5" t="s">
        <v>1961</v>
      </c>
      <c r="B34" s="5" t="s">
        <v>84</v>
      </c>
      <c r="C34" s="5" t="s">
        <v>76</v>
      </c>
      <c r="D34" s="5" t="s">
        <v>39</v>
      </c>
      <c r="E34" s="5" t="n">
        <f aca="false">ROUND(16846*1.05,2)</f>
        <v>17688.3</v>
      </c>
      <c r="F34" s="5" t="s">
        <v>40</v>
      </c>
      <c r="G34" s="5" t="s">
        <v>24</v>
      </c>
      <c r="H34" s="5" t="n">
        <f aca="true">ROUND(RAND()*4+6,1)</f>
        <v>9</v>
      </c>
      <c r="I34" s="5" t="s">
        <v>41</v>
      </c>
      <c r="J34" s="5" t="str">
        <f aca="false">ROUND(84*1,0)&amp;"%"</f>
        <v>84%</v>
      </c>
    </row>
    <row r="35" customFormat="false" ht="15" hidden="false" customHeight="false" outlineLevel="0" collapsed="false">
      <c r="A35" s="6" t="s">
        <v>1962</v>
      </c>
      <c r="B35" s="6" t="s">
        <v>86</v>
      </c>
      <c r="C35" s="6" t="s">
        <v>76</v>
      </c>
      <c r="D35" s="6" t="s">
        <v>44</v>
      </c>
      <c r="E35" s="6" t="n">
        <f aca="false">ROUND(4340*1.05,2)</f>
        <v>4557</v>
      </c>
      <c r="F35" s="6" t="s">
        <v>45</v>
      </c>
      <c r="G35" s="6" t="s">
        <v>30</v>
      </c>
      <c r="H35" s="6" t="n">
        <f aca="true">ROUND(RAND()*4+6,1)</f>
        <v>6.5</v>
      </c>
      <c r="I35" s="6" t="s">
        <v>46</v>
      </c>
      <c r="J35" s="6" t="str">
        <f aca="false">ROUND(84*1,0)&amp;"%"</f>
        <v>84%</v>
      </c>
    </row>
    <row r="36" customFormat="false" ht="15" hidden="false" customHeight="false" outlineLevel="0" collapsed="false">
      <c r="A36" s="5" t="s">
        <v>1963</v>
      </c>
      <c r="B36" s="5" t="s">
        <v>88</v>
      </c>
      <c r="C36" s="5" t="s">
        <v>76</v>
      </c>
      <c r="D36" s="5" t="s">
        <v>16</v>
      </c>
      <c r="E36" s="5" t="n">
        <f aca="false">ROUND(13540*1.05,2)</f>
        <v>14217</v>
      </c>
      <c r="F36" s="5" t="s">
        <v>49</v>
      </c>
      <c r="G36" s="5" t="s">
        <v>18</v>
      </c>
      <c r="H36" s="5" t="n">
        <f aca="true">ROUND(RAND()*4+6,1)</f>
        <v>7.4</v>
      </c>
      <c r="I36" s="5" t="s">
        <v>19</v>
      </c>
      <c r="J36" s="5" t="str">
        <f aca="false">ROUND(82*1,0)&amp;"%"</f>
        <v>82%</v>
      </c>
    </row>
    <row r="37" customFormat="false" ht="15" hidden="false" customHeight="false" outlineLevel="0" collapsed="false">
      <c r="A37" s="6" t="s">
        <v>1964</v>
      </c>
      <c r="B37" s="6" t="s">
        <v>90</v>
      </c>
      <c r="C37" s="6" t="s">
        <v>76</v>
      </c>
      <c r="D37" s="6" t="s">
        <v>22</v>
      </c>
      <c r="E37" s="6" t="n">
        <f aca="false">ROUND(4614*1.05,2)</f>
        <v>4844.7</v>
      </c>
      <c r="F37" s="6" t="s">
        <v>52</v>
      </c>
      <c r="G37" s="6" t="s">
        <v>24</v>
      </c>
      <c r="H37" s="6" t="n">
        <f aca="true">ROUND(RAND()*4+6,1)</f>
        <v>10</v>
      </c>
      <c r="I37" s="6" t="s">
        <v>25</v>
      </c>
      <c r="J37" s="6" t="str">
        <f aca="false">ROUND(91*1,0)&amp;"%"</f>
        <v>91%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1965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1966</v>
      </c>
      <c r="B42" s="5" t="s">
        <v>94</v>
      </c>
      <c r="C42" s="5" t="s">
        <v>95</v>
      </c>
      <c r="D42" s="5" t="s">
        <v>16</v>
      </c>
      <c r="E42" s="5" t="n">
        <f aca="false">ROUND(12023*1.05,2)</f>
        <v>12624.15</v>
      </c>
      <c r="F42" s="5" t="s">
        <v>17</v>
      </c>
      <c r="G42" s="5" t="s">
        <v>18</v>
      </c>
      <c r="H42" s="5" t="n">
        <f aca="true">ROUND(RAND()*4+6,1)</f>
        <v>8.7</v>
      </c>
      <c r="I42" s="5" t="s">
        <v>19</v>
      </c>
      <c r="J42" s="5" t="str">
        <f aca="false">ROUND(83*1,0)&amp;"%"</f>
        <v>83%</v>
      </c>
    </row>
    <row r="43" customFormat="false" ht="15" hidden="false" customHeight="false" outlineLevel="0" collapsed="false">
      <c r="A43" s="6" t="s">
        <v>1967</v>
      </c>
      <c r="B43" s="6" t="s">
        <v>97</v>
      </c>
      <c r="C43" s="6" t="s">
        <v>95</v>
      </c>
      <c r="D43" s="6" t="s">
        <v>22</v>
      </c>
      <c r="E43" s="6" t="n">
        <f aca="false">ROUND(9455*1.05,2)</f>
        <v>9927.75</v>
      </c>
      <c r="F43" s="6" t="s">
        <v>23</v>
      </c>
      <c r="G43" s="6" t="s">
        <v>24</v>
      </c>
      <c r="H43" s="6" t="n">
        <f aca="true">ROUND(RAND()*4+6,1)</f>
        <v>9.5</v>
      </c>
      <c r="I43" s="6" t="s">
        <v>25</v>
      </c>
      <c r="J43" s="6" t="str">
        <f aca="false">ROUND(61*1,0)&amp;"%"</f>
        <v>61%</v>
      </c>
    </row>
    <row r="44" customFormat="false" ht="15" hidden="false" customHeight="false" outlineLevel="0" collapsed="false">
      <c r="A44" s="5" t="s">
        <v>1968</v>
      </c>
      <c r="B44" s="5" t="s">
        <v>99</v>
      </c>
      <c r="C44" s="5" t="s">
        <v>95</v>
      </c>
      <c r="D44" s="5" t="s">
        <v>28</v>
      </c>
      <c r="E44" s="5" t="n">
        <f aca="false">ROUND(7033*1.05,2)</f>
        <v>7384.65</v>
      </c>
      <c r="F44" s="5" t="s">
        <v>29</v>
      </c>
      <c r="G44" s="5" t="s">
        <v>30</v>
      </c>
      <c r="H44" s="5" t="n">
        <f aca="true">ROUND(RAND()*4+6,1)</f>
        <v>8.9</v>
      </c>
      <c r="I44" s="5" t="s">
        <v>31</v>
      </c>
      <c r="J44" s="5" t="str">
        <f aca="false">ROUND(88*1,0)&amp;"%"</f>
        <v>88%</v>
      </c>
    </row>
    <row r="45" customFormat="false" ht="15" hidden="false" customHeight="false" outlineLevel="0" collapsed="false">
      <c r="A45" s="6" t="s">
        <v>1969</v>
      </c>
      <c r="B45" s="6" t="s">
        <v>101</v>
      </c>
      <c r="C45" s="6" t="s">
        <v>95</v>
      </c>
      <c r="D45" s="6" t="s">
        <v>34</v>
      </c>
      <c r="E45" s="6" t="n">
        <f aca="false">ROUND(9179*1.05,2)</f>
        <v>9637.95</v>
      </c>
      <c r="F45" s="6" t="s">
        <v>35</v>
      </c>
      <c r="G45" s="6" t="s">
        <v>18</v>
      </c>
      <c r="H45" s="6" t="n">
        <f aca="true">ROUND(RAND()*4+6,1)</f>
        <v>9</v>
      </c>
      <c r="I45" s="6" t="s">
        <v>36</v>
      </c>
      <c r="J45" s="6" t="str">
        <f aca="false">ROUND(82*1,0)&amp;"%"</f>
        <v>82%</v>
      </c>
    </row>
    <row r="46" customFormat="false" ht="15" hidden="false" customHeight="false" outlineLevel="0" collapsed="false">
      <c r="A46" s="5" t="s">
        <v>1970</v>
      </c>
      <c r="B46" s="5" t="s">
        <v>103</v>
      </c>
      <c r="C46" s="5" t="s">
        <v>95</v>
      </c>
      <c r="D46" s="5" t="s">
        <v>39</v>
      </c>
      <c r="E46" s="5" t="n">
        <f aca="false">ROUND(9107*1.05,2)</f>
        <v>9562.35</v>
      </c>
      <c r="F46" s="5" t="s">
        <v>40</v>
      </c>
      <c r="G46" s="5" t="s">
        <v>24</v>
      </c>
      <c r="H46" s="5" t="n">
        <f aca="true">ROUND(RAND()*4+6,1)</f>
        <v>9.3</v>
      </c>
      <c r="I46" s="5" t="s">
        <v>41</v>
      </c>
      <c r="J46" s="5" t="str">
        <f aca="false">ROUND(60*1,0)&amp;"%"</f>
        <v>60%</v>
      </c>
    </row>
    <row r="47" customFormat="false" ht="15" hidden="false" customHeight="false" outlineLevel="0" collapsed="false">
      <c r="A47" s="6" t="s">
        <v>1971</v>
      </c>
      <c r="B47" s="6" t="s">
        <v>105</v>
      </c>
      <c r="C47" s="6" t="s">
        <v>95</v>
      </c>
      <c r="D47" s="6" t="s">
        <v>44</v>
      </c>
      <c r="E47" s="6" t="n">
        <f aca="false">ROUND(15625*1.05,2)</f>
        <v>16406.25</v>
      </c>
      <c r="F47" s="6" t="s">
        <v>45</v>
      </c>
      <c r="G47" s="6" t="s">
        <v>30</v>
      </c>
      <c r="H47" s="6" t="n">
        <f aca="true">ROUND(RAND()*4+6,1)</f>
        <v>8.3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1972</v>
      </c>
      <c r="B48" s="5" t="s">
        <v>107</v>
      </c>
      <c r="C48" s="5" t="s">
        <v>95</v>
      </c>
      <c r="D48" s="5" t="s">
        <v>16</v>
      </c>
      <c r="E48" s="5" t="n">
        <f aca="false">ROUND(14937*1.05,2)</f>
        <v>15683.85</v>
      </c>
      <c r="F48" s="5" t="s">
        <v>49</v>
      </c>
      <c r="G48" s="5" t="s">
        <v>18</v>
      </c>
      <c r="H48" s="5" t="n">
        <f aca="true">ROUND(RAND()*4+6,1)</f>
        <v>7.2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1973</v>
      </c>
      <c r="B49" s="6" t="s">
        <v>109</v>
      </c>
      <c r="C49" s="6" t="s">
        <v>95</v>
      </c>
      <c r="D49" s="6" t="s">
        <v>22</v>
      </c>
      <c r="E49" s="6" t="n">
        <f aca="false">ROUND(12308*1.05,2)</f>
        <v>12923.4</v>
      </c>
      <c r="F49" s="6" t="s">
        <v>52</v>
      </c>
      <c r="G49" s="6" t="s">
        <v>24</v>
      </c>
      <c r="H49" s="6" t="n">
        <f aca="true">ROUND(RAND()*4+6,1)</f>
        <v>6.8</v>
      </c>
      <c r="I49" s="6" t="s">
        <v>25</v>
      </c>
      <c r="J49" s="6" t="str">
        <f aca="false">ROUND(100*1,0)&amp;"%"</f>
        <v>100%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1974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1975</v>
      </c>
      <c r="B54" s="5" t="s">
        <v>113</v>
      </c>
      <c r="C54" s="5" t="s">
        <v>114</v>
      </c>
      <c r="D54" s="5" t="s">
        <v>16</v>
      </c>
      <c r="E54" s="5" t="n">
        <f aca="false">ROUND(5974*1.05,2)</f>
        <v>6272.7</v>
      </c>
      <c r="F54" s="5" t="s">
        <v>17</v>
      </c>
      <c r="G54" s="5" t="s">
        <v>18</v>
      </c>
      <c r="H54" s="5" t="n">
        <f aca="true">ROUND(RAND()*4+6,1)</f>
        <v>8.5</v>
      </c>
      <c r="I54" s="5" t="s">
        <v>19</v>
      </c>
      <c r="J54" s="5" t="str">
        <f aca="false">ROUND(85*1,0)&amp;"%"</f>
        <v>85%</v>
      </c>
    </row>
    <row r="55" customFormat="false" ht="15" hidden="false" customHeight="false" outlineLevel="0" collapsed="false">
      <c r="A55" s="6" t="s">
        <v>1976</v>
      </c>
      <c r="B55" s="6" t="s">
        <v>116</v>
      </c>
      <c r="C55" s="6" t="s">
        <v>114</v>
      </c>
      <c r="D55" s="6" t="s">
        <v>22</v>
      </c>
      <c r="E55" s="6" t="n">
        <f aca="false">ROUND(9484*1.05,2)</f>
        <v>9958.2</v>
      </c>
      <c r="F55" s="6" t="s">
        <v>23</v>
      </c>
      <c r="G55" s="6" t="s">
        <v>24</v>
      </c>
      <c r="H55" s="6" t="n">
        <f aca="true">ROUND(RAND()*4+6,1)</f>
        <v>7.7</v>
      </c>
      <c r="I55" s="6" t="s">
        <v>25</v>
      </c>
      <c r="J55" s="6" t="str">
        <f aca="false">ROUND(89*1,0)&amp;"%"</f>
        <v>89%</v>
      </c>
    </row>
    <row r="56" customFormat="false" ht="15" hidden="false" customHeight="false" outlineLevel="0" collapsed="false">
      <c r="A56" s="5" t="s">
        <v>1977</v>
      </c>
      <c r="B56" s="5" t="s">
        <v>118</v>
      </c>
      <c r="C56" s="5" t="s">
        <v>114</v>
      </c>
      <c r="D56" s="5" t="s">
        <v>28</v>
      </c>
      <c r="E56" s="5" t="n">
        <f aca="false">ROUND(14939*1.05,2)</f>
        <v>15685.95</v>
      </c>
      <c r="F56" s="5" t="s">
        <v>29</v>
      </c>
      <c r="G56" s="5" t="s">
        <v>30</v>
      </c>
      <c r="H56" s="5" t="n">
        <f aca="true">ROUND(RAND()*4+6,1)</f>
        <v>8.9</v>
      </c>
      <c r="I56" s="5" t="s">
        <v>31</v>
      </c>
      <c r="J56" s="5" t="str">
        <f aca="false">ROUND(82*1,0)&amp;"%"</f>
        <v>82%</v>
      </c>
    </row>
    <row r="57" customFormat="false" ht="15" hidden="false" customHeight="false" outlineLevel="0" collapsed="false">
      <c r="A57" s="6" t="s">
        <v>1978</v>
      </c>
      <c r="B57" s="6" t="s">
        <v>120</v>
      </c>
      <c r="C57" s="6" t="s">
        <v>114</v>
      </c>
      <c r="D57" s="6" t="s">
        <v>34</v>
      </c>
      <c r="E57" s="6" t="n">
        <f aca="false">ROUND(9231*1.05,2)</f>
        <v>9692.55</v>
      </c>
      <c r="F57" s="6" t="s">
        <v>35</v>
      </c>
      <c r="G57" s="6" t="s">
        <v>18</v>
      </c>
      <c r="H57" s="6" t="n">
        <f aca="true">ROUND(RAND()*4+6,1)</f>
        <v>8.2</v>
      </c>
      <c r="I57" s="6" t="s">
        <v>36</v>
      </c>
      <c r="J57" s="6" t="str">
        <f aca="false">ROUND(83*1,0)&amp;"%"</f>
        <v>83%</v>
      </c>
    </row>
    <row r="58" customFormat="false" ht="15" hidden="false" customHeight="false" outlineLevel="0" collapsed="false">
      <c r="A58" s="5" t="s">
        <v>1979</v>
      </c>
      <c r="B58" s="5" t="s">
        <v>122</v>
      </c>
      <c r="C58" s="5" t="s">
        <v>114</v>
      </c>
      <c r="D58" s="5" t="s">
        <v>39</v>
      </c>
      <c r="E58" s="5" t="n">
        <f aca="false">ROUND(4824*1.05,2)</f>
        <v>5065.2</v>
      </c>
      <c r="F58" s="5" t="s">
        <v>40</v>
      </c>
      <c r="G58" s="5" t="s">
        <v>24</v>
      </c>
      <c r="H58" s="5" t="n">
        <f aca="true">ROUND(RAND()*4+6,1)</f>
        <v>6</v>
      </c>
      <c r="I58" s="5" t="s">
        <v>41</v>
      </c>
      <c r="J58" s="5" t="str">
        <f aca="false">ROUND(77*1,0)&amp;"%"</f>
        <v>77%</v>
      </c>
    </row>
    <row r="59" customFormat="false" ht="15" hidden="false" customHeight="false" outlineLevel="0" collapsed="false">
      <c r="A59" s="6" t="s">
        <v>1980</v>
      </c>
      <c r="B59" s="6" t="s">
        <v>124</v>
      </c>
      <c r="C59" s="6" t="s">
        <v>114</v>
      </c>
      <c r="D59" s="6" t="s">
        <v>44</v>
      </c>
      <c r="E59" s="6" t="n">
        <f aca="false">ROUND(16714*1.05,2)</f>
        <v>17549.7</v>
      </c>
      <c r="F59" s="6" t="s">
        <v>45</v>
      </c>
      <c r="G59" s="6" t="s">
        <v>30</v>
      </c>
      <c r="H59" s="6" t="n">
        <f aca="true">ROUND(RAND()*4+6,1)</f>
        <v>7.1</v>
      </c>
      <c r="I59" s="6" t="s">
        <v>46</v>
      </c>
      <c r="J59" s="6" t="str">
        <f aca="false">ROUND(64*1,0)&amp;"%"</f>
        <v>64%</v>
      </c>
    </row>
    <row r="60" customFormat="false" ht="15" hidden="false" customHeight="false" outlineLevel="0" collapsed="false">
      <c r="A60" s="5" t="s">
        <v>1981</v>
      </c>
      <c r="B60" s="5" t="s">
        <v>126</v>
      </c>
      <c r="C60" s="5" t="s">
        <v>114</v>
      </c>
      <c r="D60" s="5" t="s">
        <v>16</v>
      </c>
      <c r="E60" s="5" t="n">
        <f aca="false">ROUND(11887*1.05,2)</f>
        <v>12481.35</v>
      </c>
      <c r="F60" s="5" t="s">
        <v>49</v>
      </c>
      <c r="G60" s="5" t="s">
        <v>18</v>
      </c>
      <c r="H60" s="5" t="n">
        <f aca="true">ROUND(RAND()*4+6,1)</f>
        <v>6.8</v>
      </c>
      <c r="I60" s="5" t="s">
        <v>19</v>
      </c>
      <c r="J60" s="5" t="str">
        <f aca="false">ROUND(84*1,0)&amp;"%"</f>
        <v>84%</v>
      </c>
    </row>
    <row r="61" customFormat="false" ht="15" hidden="false" customHeight="false" outlineLevel="0" collapsed="false">
      <c r="A61" s="6" t="s">
        <v>1982</v>
      </c>
      <c r="B61" s="6" t="s">
        <v>128</v>
      </c>
      <c r="C61" s="6" t="s">
        <v>114</v>
      </c>
      <c r="D61" s="6" t="s">
        <v>22</v>
      </c>
      <c r="E61" s="6" t="n">
        <f aca="false">ROUND(4710*1.05,2)</f>
        <v>4945.5</v>
      </c>
      <c r="F61" s="6" t="s">
        <v>52</v>
      </c>
      <c r="G61" s="6" t="s">
        <v>24</v>
      </c>
      <c r="H61" s="6" t="n">
        <f aca="true">ROUND(RAND()*4+6,1)</f>
        <v>9.2</v>
      </c>
      <c r="I61" s="6" t="s">
        <v>25</v>
      </c>
      <c r="J61" s="6" t="str">
        <f aca="false">ROUND(75*1,0)&amp;"%"</f>
        <v>75%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1983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1984</v>
      </c>
      <c r="B66" s="5" t="s">
        <v>132</v>
      </c>
      <c r="C66" s="5" t="s">
        <v>133</v>
      </c>
      <c r="D66" s="5" t="s">
        <v>16</v>
      </c>
      <c r="E66" s="5" t="n">
        <f aca="false">ROUND(16406*1.05,2)</f>
        <v>17226.3</v>
      </c>
      <c r="F66" s="5" t="s">
        <v>17</v>
      </c>
      <c r="G66" s="5" t="s">
        <v>18</v>
      </c>
      <c r="H66" s="5" t="n">
        <f aca="true">ROUND(RAND()*4+6,1)</f>
        <v>9.5</v>
      </c>
      <c r="I66" s="5" t="s">
        <v>19</v>
      </c>
      <c r="J66" s="5" t="str">
        <f aca="false">ROUND(100*1,0)&amp;"%"</f>
        <v>100%</v>
      </c>
    </row>
    <row r="67" customFormat="false" ht="15" hidden="false" customHeight="false" outlineLevel="0" collapsed="false">
      <c r="A67" s="6" t="s">
        <v>1985</v>
      </c>
      <c r="B67" s="6" t="s">
        <v>135</v>
      </c>
      <c r="C67" s="6" t="s">
        <v>133</v>
      </c>
      <c r="D67" s="6" t="s">
        <v>22</v>
      </c>
      <c r="E67" s="6" t="n">
        <f aca="false">ROUND(6937*1.05,2)</f>
        <v>7283.85</v>
      </c>
      <c r="F67" s="6" t="s">
        <v>23</v>
      </c>
      <c r="G67" s="6" t="s">
        <v>24</v>
      </c>
      <c r="H67" s="6" t="n">
        <f aca="true">ROUND(RAND()*4+6,1)</f>
        <v>6</v>
      </c>
      <c r="I67" s="6" t="s">
        <v>25</v>
      </c>
      <c r="J67" s="6" t="str">
        <f aca="false">ROUND(72*1,0)&amp;"%"</f>
        <v>72%</v>
      </c>
    </row>
    <row r="68" customFormat="false" ht="15" hidden="false" customHeight="false" outlineLevel="0" collapsed="false">
      <c r="A68" s="5" t="s">
        <v>1986</v>
      </c>
      <c r="B68" s="5" t="s">
        <v>137</v>
      </c>
      <c r="C68" s="5" t="s">
        <v>133</v>
      </c>
      <c r="D68" s="5" t="s">
        <v>28</v>
      </c>
      <c r="E68" s="5" t="n">
        <f aca="false">ROUND(8507*1.05,2)</f>
        <v>8932.35</v>
      </c>
      <c r="F68" s="5" t="s">
        <v>29</v>
      </c>
      <c r="G68" s="5" t="s">
        <v>30</v>
      </c>
      <c r="H68" s="5" t="n">
        <f aca="true">ROUND(RAND()*4+6,1)</f>
        <v>8.9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1987</v>
      </c>
      <c r="B69" s="6" t="s">
        <v>139</v>
      </c>
      <c r="C69" s="6" t="s">
        <v>133</v>
      </c>
      <c r="D69" s="6" t="s">
        <v>34</v>
      </c>
      <c r="E69" s="6" t="n">
        <f aca="false">ROUND(17265*1.05,2)</f>
        <v>18128.25</v>
      </c>
      <c r="F69" s="6" t="s">
        <v>35</v>
      </c>
      <c r="G69" s="6" t="s">
        <v>18</v>
      </c>
      <c r="H69" s="6" t="n">
        <f aca="true">ROUND(RAND()*4+6,1)</f>
        <v>7.4</v>
      </c>
      <c r="I69" s="6" t="s">
        <v>36</v>
      </c>
      <c r="J69" s="6" t="str">
        <f aca="false">ROUND(97*1,0)&amp;"%"</f>
        <v>97%</v>
      </c>
    </row>
    <row r="70" customFormat="false" ht="15" hidden="false" customHeight="false" outlineLevel="0" collapsed="false">
      <c r="A70" s="5" t="s">
        <v>1988</v>
      </c>
      <c r="B70" s="5" t="s">
        <v>141</v>
      </c>
      <c r="C70" s="5" t="s">
        <v>133</v>
      </c>
      <c r="D70" s="5" t="s">
        <v>39</v>
      </c>
      <c r="E70" s="5" t="n">
        <f aca="false">ROUND(13918*1.05,2)</f>
        <v>14613.9</v>
      </c>
      <c r="F70" s="5" t="s">
        <v>40</v>
      </c>
      <c r="G70" s="5" t="s">
        <v>24</v>
      </c>
      <c r="H70" s="5" t="n">
        <f aca="true">ROUND(RAND()*4+6,1)</f>
        <v>6.2</v>
      </c>
      <c r="I70" s="5" t="s">
        <v>41</v>
      </c>
      <c r="J70" s="5" t="str">
        <f aca="false">ROUND(81*1,0)&amp;"%"</f>
        <v>81%</v>
      </c>
    </row>
    <row r="71" customFormat="false" ht="15" hidden="false" customHeight="false" outlineLevel="0" collapsed="false">
      <c r="A71" s="6" t="s">
        <v>1989</v>
      </c>
      <c r="B71" s="6" t="s">
        <v>143</v>
      </c>
      <c r="C71" s="6" t="s">
        <v>133</v>
      </c>
      <c r="D71" s="6" t="s">
        <v>44</v>
      </c>
      <c r="E71" s="6" t="n">
        <f aca="false">ROUND(11653*1.05,2)</f>
        <v>12235.65</v>
      </c>
      <c r="F71" s="6" t="s">
        <v>45</v>
      </c>
      <c r="G71" s="6" t="s">
        <v>30</v>
      </c>
      <c r="H71" s="6" t="n">
        <f aca="true">ROUND(RAND()*4+6,1)</f>
        <v>8.6</v>
      </c>
      <c r="I71" s="6" t="s">
        <v>46</v>
      </c>
      <c r="J71" s="6" t="str">
        <f aca="false">ROUND(77*1,0)&amp;"%"</f>
        <v>77%</v>
      </c>
    </row>
    <row r="72" customFormat="false" ht="15" hidden="false" customHeight="false" outlineLevel="0" collapsed="false">
      <c r="A72" s="5" t="s">
        <v>1990</v>
      </c>
      <c r="B72" s="5" t="s">
        <v>145</v>
      </c>
      <c r="C72" s="5" t="s">
        <v>133</v>
      </c>
      <c r="D72" s="5" t="s">
        <v>16</v>
      </c>
      <c r="E72" s="5" t="n">
        <f aca="false">ROUND(16077*1.05,2)</f>
        <v>16880.85</v>
      </c>
      <c r="F72" s="5" t="s">
        <v>49</v>
      </c>
      <c r="G72" s="5" t="s">
        <v>18</v>
      </c>
      <c r="H72" s="5" t="n">
        <f aca="true">ROUND(RAND()*4+6,1)</f>
        <v>6.5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1991</v>
      </c>
      <c r="B73" s="6" t="s">
        <v>147</v>
      </c>
      <c r="C73" s="6" t="s">
        <v>133</v>
      </c>
      <c r="D73" s="6" t="s">
        <v>22</v>
      </c>
      <c r="E73" s="6" t="n">
        <f aca="false">ROUND(12668*1.05,2)</f>
        <v>13301.4</v>
      </c>
      <c r="F73" s="6" t="s">
        <v>52</v>
      </c>
      <c r="G73" s="6" t="s">
        <v>24</v>
      </c>
      <c r="H73" s="6" t="n">
        <f aca="true">ROUND(RAND()*4+6,1)</f>
        <v>7.3</v>
      </c>
      <c r="I73" s="6" t="s">
        <v>25</v>
      </c>
      <c r="J73" s="6" t="str">
        <f aca="false">ROUND(63*1,0)&amp;"%"</f>
        <v>63%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1992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1993</v>
      </c>
      <c r="B78" s="5" t="s">
        <v>151</v>
      </c>
      <c r="C78" s="5" t="s">
        <v>152</v>
      </c>
      <c r="D78" s="5" t="s">
        <v>16</v>
      </c>
      <c r="E78" s="5" t="n">
        <f aca="false">ROUND(15576*1.05,2)</f>
        <v>16354.8</v>
      </c>
      <c r="F78" s="5" t="s">
        <v>17</v>
      </c>
      <c r="G78" s="5" t="s">
        <v>18</v>
      </c>
      <c r="H78" s="5" t="n">
        <f aca="true">ROUND(RAND()*4+6,1)</f>
        <v>7.3</v>
      </c>
      <c r="I78" s="5" t="s">
        <v>19</v>
      </c>
      <c r="J78" s="5" t="str">
        <f aca="false">ROUND(87*1,0)&amp;"%"</f>
        <v>87%</v>
      </c>
    </row>
    <row r="79" customFormat="false" ht="15" hidden="false" customHeight="false" outlineLevel="0" collapsed="false">
      <c r="A79" s="6" t="s">
        <v>1994</v>
      </c>
      <c r="B79" s="6" t="s">
        <v>154</v>
      </c>
      <c r="C79" s="6" t="s">
        <v>152</v>
      </c>
      <c r="D79" s="6" t="s">
        <v>22</v>
      </c>
      <c r="E79" s="6" t="n">
        <f aca="false">ROUND(7469*1.05,2)</f>
        <v>7842.45</v>
      </c>
      <c r="F79" s="6" t="s">
        <v>23</v>
      </c>
      <c r="G79" s="6" t="s">
        <v>24</v>
      </c>
      <c r="H79" s="6" t="n">
        <f aca="true">ROUND(RAND()*4+6,1)</f>
        <v>9.5</v>
      </c>
      <c r="I79" s="6" t="s">
        <v>25</v>
      </c>
      <c r="J79" s="6" t="str">
        <f aca="false">ROUND(65*1,0)&amp;"%"</f>
        <v>65%</v>
      </c>
    </row>
    <row r="80" customFormat="false" ht="15" hidden="false" customHeight="false" outlineLevel="0" collapsed="false">
      <c r="A80" s="5" t="s">
        <v>1995</v>
      </c>
      <c r="B80" s="5" t="s">
        <v>156</v>
      </c>
      <c r="C80" s="5" t="s">
        <v>152</v>
      </c>
      <c r="D80" s="5" t="s">
        <v>28</v>
      </c>
      <c r="E80" s="5" t="n">
        <f aca="false">ROUND(16302*1.05,2)</f>
        <v>17117.1</v>
      </c>
      <c r="F80" s="5" t="s">
        <v>29</v>
      </c>
      <c r="G80" s="5" t="s">
        <v>30</v>
      </c>
      <c r="H80" s="5" t="n">
        <f aca="true">ROUND(RAND()*4+6,1)</f>
        <v>8.4</v>
      </c>
      <c r="I80" s="5" t="s">
        <v>31</v>
      </c>
      <c r="J80" s="5" t="str">
        <f aca="false">ROUND(63*1,0)&amp;"%"</f>
        <v>63%</v>
      </c>
    </row>
    <row r="81" customFormat="false" ht="15" hidden="false" customHeight="false" outlineLevel="0" collapsed="false">
      <c r="A81" s="6" t="s">
        <v>1996</v>
      </c>
      <c r="B81" s="6" t="s">
        <v>158</v>
      </c>
      <c r="C81" s="6" t="s">
        <v>152</v>
      </c>
      <c r="D81" s="6" t="s">
        <v>34</v>
      </c>
      <c r="E81" s="6" t="n">
        <f aca="false">ROUND(4475*1.05,2)</f>
        <v>4698.75</v>
      </c>
      <c r="F81" s="6" t="s">
        <v>35</v>
      </c>
      <c r="G81" s="6" t="s">
        <v>18</v>
      </c>
      <c r="H81" s="6" t="n">
        <f aca="true">ROUND(RAND()*4+6,1)</f>
        <v>6.2</v>
      </c>
      <c r="I81" s="6" t="s">
        <v>36</v>
      </c>
      <c r="J81" s="6" t="str">
        <f aca="false">ROUND(69*1,0)&amp;"%"</f>
        <v>69%</v>
      </c>
    </row>
    <row r="82" customFormat="false" ht="15" hidden="false" customHeight="false" outlineLevel="0" collapsed="false">
      <c r="A82" s="5" t="s">
        <v>1997</v>
      </c>
      <c r="B82" s="5" t="s">
        <v>160</v>
      </c>
      <c r="C82" s="5" t="s">
        <v>152</v>
      </c>
      <c r="D82" s="5" t="s">
        <v>39</v>
      </c>
      <c r="E82" s="5" t="n">
        <f aca="false">ROUND(7215*1.05,2)</f>
        <v>7575.75</v>
      </c>
      <c r="F82" s="5" t="s">
        <v>40</v>
      </c>
      <c r="G82" s="5" t="s">
        <v>24</v>
      </c>
      <c r="H82" s="5" t="n">
        <f aca="true">ROUND(RAND()*4+6,1)</f>
        <v>7.7</v>
      </c>
      <c r="I82" s="5" t="s">
        <v>41</v>
      </c>
      <c r="J82" s="5" t="str">
        <f aca="false">ROUND(71*1,0)&amp;"%"</f>
        <v>71%</v>
      </c>
    </row>
    <row r="83" customFormat="false" ht="15" hidden="false" customHeight="false" outlineLevel="0" collapsed="false">
      <c r="A83" s="6" t="s">
        <v>1998</v>
      </c>
      <c r="B83" s="6" t="s">
        <v>162</v>
      </c>
      <c r="C83" s="6" t="s">
        <v>152</v>
      </c>
      <c r="D83" s="6" t="s">
        <v>44</v>
      </c>
      <c r="E83" s="6" t="n">
        <f aca="false">ROUND(17919*1.05,2)</f>
        <v>18814.95</v>
      </c>
      <c r="F83" s="6" t="s">
        <v>45</v>
      </c>
      <c r="G83" s="6" t="s">
        <v>30</v>
      </c>
      <c r="H83" s="6" t="n">
        <f aca="true">ROUND(RAND()*4+6,1)</f>
        <v>6.1</v>
      </c>
      <c r="I83" s="6" t="s">
        <v>46</v>
      </c>
      <c r="J83" s="6" t="str">
        <f aca="false">ROUND(87*1,0)&amp;"%"</f>
        <v>87%</v>
      </c>
    </row>
    <row r="84" customFormat="false" ht="15" hidden="false" customHeight="false" outlineLevel="0" collapsed="false">
      <c r="A84" s="5" t="s">
        <v>1999</v>
      </c>
      <c r="B84" s="5" t="s">
        <v>164</v>
      </c>
      <c r="C84" s="5" t="s">
        <v>152</v>
      </c>
      <c r="D84" s="5" t="s">
        <v>16</v>
      </c>
      <c r="E84" s="5" t="n">
        <f aca="false">ROUND(14571*1.05,2)</f>
        <v>15299.55</v>
      </c>
      <c r="F84" s="5" t="s">
        <v>49</v>
      </c>
      <c r="G84" s="5" t="s">
        <v>18</v>
      </c>
      <c r="H84" s="5" t="n">
        <f aca="true">ROUND(RAND()*4+6,1)</f>
        <v>9.6</v>
      </c>
      <c r="I84" s="5" t="s">
        <v>19</v>
      </c>
      <c r="J84" s="5" t="str">
        <f aca="false">ROUND(95*1,0)&amp;"%"</f>
        <v>95%</v>
      </c>
    </row>
    <row r="85" customFormat="false" ht="15" hidden="false" customHeight="false" outlineLevel="0" collapsed="false">
      <c r="A85" s="6" t="s">
        <v>2000</v>
      </c>
      <c r="B85" s="6" t="s">
        <v>166</v>
      </c>
      <c r="C85" s="6" t="s">
        <v>152</v>
      </c>
      <c r="D85" s="6" t="s">
        <v>22</v>
      </c>
      <c r="E85" s="6" t="n">
        <f aca="false">ROUND(12043*1.05,2)</f>
        <v>12645.15</v>
      </c>
      <c r="F85" s="6" t="s">
        <v>52</v>
      </c>
      <c r="G85" s="6" t="s">
        <v>24</v>
      </c>
      <c r="H85" s="6" t="n">
        <f aca="true">ROUND(RAND()*4+6,1)</f>
        <v>10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2001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2002</v>
      </c>
      <c r="B90" s="5" t="s">
        <v>170</v>
      </c>
      <c r="C90" s="5" t="s">
        <v>15</v>
      </c>
      <c r="D90" s="5" t="s">
        <v>16</v>
      </c>
      <c r="E90" s="5" t="n">
        <f aca="false">ROUND(5180*1.05,2)</f>
        <v>5439</v>
      </c>
      <c r="F90" s="5" t="s">
        <v>17</v>
      </c>
      <c r="G90" s="5" t="s">
        <v>18</v>
      </c>
      <c r="H90" s="5" t="n">
        <f aca="true">ROUND(RAND()*4+6,1)</f>
        <v>6.8</v>
      </c>
      <c r="I90" s="5" t="s">
        <v>19</v>
      </c>
      <c r="J90" s="5" t="str">
        <f aca="false">ROUND(83*1,0)&amp;"%"</f>
        <v>83%</v>
      </c>
    </row>
    <row r="91" customFormat="false" ht="15" hidden="false" customHeight="false" outlineLevel="0" collapsed="false">
      <c r="A91" s="6" t="s">
        <v>2003</v>
      </c>
      <c r="B91" s="6" t="s">
        <v>172</v>
      </c>
      <c r="C91" s="6" t="s">
        <v>15</v>
      </c>
      <c r="D91" s="6" t="s">
        <v>22</v>
      </c>
      <c r="E91" s="6" t="n">
        <f aca="false">ROUND(9448*1.05,2)</f>
        <v>9920.4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ROUND(79*1,0)&amp;"%"</f>
        <v>79%</v>
      </c>
    </row>
    <row r="92" customFormat="false" ht="15" hidden="false" customHeight="false" outlineLevel="0" collapsed="false">
      <c r="A92" s="5" t="s">
        <v>2004</v>
      </c>
      <c r="B92" s="5" t="s">
        <v>174</v>
      </c>
      <c r="C92" s="5" t="s">
        <v>15</v>
      </c>
      <c r="D92" s="5" t="s">
        <v>28</v>
      </c>
      <c r="E92" s="5" t="n">
        <f aca="false">ROUND(7032*1.05,2)</f>
        <v>7383.6</v>
      </c>
      <c r="F92" s="5" t="s">
        <v>29</v>
      </c>
      <c r="G92" s="5" t="s">
        <v>30</v>
      </c>
      <c r="H92" s="5" t="n">
        <f aca="true">ROUND(RAND()*4+6,1)</f>
        <v>9.5</v>
      </c>
      <c r="I92" s="5" t="s">
        <v>31</v>
      </c>
      <c r="J92" s="5" t="str">
        <f aca="false">ROUND(93*1,0)&amp;"%"</f>
        <v>93%</v>
      </c>
    </row>
    <row r="93" customFormat="false" ht="15" hidden="false" customHeight="false" outlineLevel="0" collapsed="false">
      <c r="A93" s="6" t="s">
        <v>2005</v>
      </c>
      <c r="B93" s="6" t="s">
        <v>176</v>
      </c>
      <c r="C93" s="6" t="s">
        <v>15</v>
      </c>
      <c r="D93" s="6" t="s">
        <v>34</v>
      </c>
      <c r="E93" s="6" t="n">
        <f aca="false">ROUND(4840*1.05,2)</f>
        <v>5082</v>
      </c>
      <c r="F93" s="6" t="s">
        <v>35</v>
      </c>
      <c r="G93" s="6" t="s">
        <v>18</v>
      </c>
      <c r="H93" s="6" t="n">
        <f aca="true">ROUND(RAND()*4+6,1)</f>
        <v>6.2</v>
      </c>
      <c r="I93" s="6" t="s">
        <v>36</v>
      </c>
      <c r="J93" s="6" t="str">
        <f aca="false">ROUND(99*1,0)&amp;"%"</f>
        <v>99%</v>
      </c>
    </row>
    <row r="94" customFormat="false" ht="15" hidden="false" customHeight="false" outlineLevel="0" collapsed="false">
      <c r="A94" s="5" t="s">
        <v>2006</v>
      </c>
      <c r="B94" s="5" t="s">
        <v>178</v>
      </c>
      <c r="C94" s="5" t="s">
        <v>15</v>
      </c>
      <c r="D94" s="5" t="s">
        <v>39</v>
      </c>
      <c r="E94" s="5" t="n">
        <f aca="false">ROUND(13971*1.05,2)</f>
        <v>14669.55</v>
      </c>
      <c r="F94" s="5" t="s">
        <v>40</v>
      </c>
      <c r="G94" s="5" t="s">
        <v>24</v>
      </c>
      <c r="H94" s="5" t="n">
        <f aca="true">ROUND(RAND()*4+6,1)</f>
        <v>9.4</v>
      </c>
      <c r="I94" s="5" t="s">
        <v>41</v>
      </c>
      <c r="J94" s="5" t="str">
        <f aca="false">ROUND(63*1,0)&amp;"%"</f>
        <v>63%</v>
      </c>
    </row>
    <row r="95" customFormat="false" ht="15" hidden="false" customHeight="false" outlineLevel="0" collapsed="false">
      <c r="A95" s="6" t="s">
        <v>2007</v>
      </c>
      <c r="B95" s="6" t="s">
        <v>180</v>
      </c>
      <c r="C95" s="6" t="s">
        <v>15</v>
      </c>
      <c r="D95" s="6" t="s">
        <v>44</v>
      </c>
      <c r="E95" s="6" t="n">
        <f aca="false">ROUND(12128*1.05,2)</f>
        <v>12734.4</v>
      </c>
      <c r="F95" s="6" t="s">
        <v>45</v>
      </c>
      <c r="G95" s="6" t="s">
        <v>30</v>
      </c>
      <c r="H95" s="6" t="n">
        <f aca="true">ROUND(RAND()*4+6,1)</f>
        <v>7.5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2008</v>
      </c>
      <c r="B96" s="5" t="s">
        <v>182</v>
      </c>
      <c r="C96" s="5" t="s">
        <v>15</v>
      </c>
      <c r="D96" s="5" t="s">
        <v>16</v>
      </c>
      <c r="E96" s="5" t="n">
        <f aca="false">ROUND(6571*1.05,2)</f>
        <v>6899.55</v>
      </c>
      <c r="F96" s="5" t="s">
        <v>49</v>
      </c>
      <c r="G96" s="5" t="s">
        <v>18</v>
      </c>
      <c r="H96" s="5" t="n">
        <f aca="true">ROUND(RAND()*4+6,1)</f>
        <v>9.9</v>
      </c>
      <c r="I96" s="5" t="s">
        <v>19</v>
      </c>
      <c r="J96" s="5" t="str">
        <f aca="false">ROUND(91*1,0)&amp;"%"</f>
        <v>91%</v>
      </c>
    </row>
    <row r="97" customFormat="false" ht="15" hidden="false" customHeight="false" outlineLevel="0" collapsed="false">
      <c r="A97" s="6" t="s">
        <v>2009</v>
      </c>
      <c r="B97" s="6" t="s">
        <v>184</v>
      </c>
      <c r="C97" s="6" t="s">
        <v>15</v>
      </c>
      <c r="D97" s="6" t="s">
        <v>22</v>
      </c>
      <c r="E97" s="6" t="n">
        <f aca="false">ROUND(17235*1.05,2)</f>
        <v>18096.75</v>
      </c>
      <c r="F97" s="6" t="s">
        <v>52</v>
      </c>
      <c r="G97" s="6" t="s">
        <v>24</v>
      </c>
      <c r="H97" s="6" t="n">
        <f aca="true">ROUND(RAND()*4+6,1)</f>
        <v>7.9</v>
      </c>
      <c r="I97" s="6" t="s">
        <v>25</v>
      </c>
      <c r="J97" s="6" t="str">
        <f aca="false">ROUND(78*1,0)&amp;"%"</f>
        <v>78%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2010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2011</v>
      </c>
      <c r="B102" s="5" t="s">
        <v>188</v>
      </c>
      <c r="C102" s="5" t="s">
        <v>57</v>
      </c>
      <c r="D102" s="5" t="s">
        <v>16</v>
      </c>
      <c r="E102" s="5" t="n">
        <f aca="false">ROUND(10225*1.05,2)</f>
        <v>10736.25</v>
      </c>
      <c r="F102" s="5" t="s">
        <v>17</v>
      </c>
      <c r="G102" s="5" t="s">
        <v>18</v>
      </c>
      <c r="H102" s="5" t="n">
        <f aca="true">ROUND(RAND()*4+6,1)</f>
        <v>6.3</v>
      </c>
      <c r="I102" s="5" t="s">
        <v>19</v>
      </c>
      <c r="J102" s="5" t="str">
        <f aca="false">ROUND(66*1,0)&amp;"%"</f>
        <v>66%</v>
      </c>
    </row>
    <row r="103" customFormat="false" ht="15" hidden="false" customHeight="false" outlineLevel="0" collapsed="false">
      <c r="A103" s="6" t="s">
        <v>2012</v>
      </c>
      <c r="B103" s="6" t="s">
        <v>190</v>
      </c>
      <c r="C103" s="6" t="s">
        <v>57</v>
      </c>
      <c r="D103" s="6" t="s">
        <v>22</v>
      </c>
      <c r="E103" s="6" t="n">
        <f aca="false">ROUND(14850*1.05,2)</f>
        <v>15592.5</v>
      </c>
      <c r="F103" s="6" t="s">
        <v>23</v>
      </c>
      <c r="G103" s="6" t="s">
        <v>24</v>
      </c>
      <c r="H103" s="6" t="n">
        <f aca="true">ROUND(RAND()*4+6,1)</f>
        <v>9.1</v>
      </c>
      <c r="I103" s="6" t="s">
        <v>25</v>
      </c>
      <c r="J103" s="6" t="str">
        <f aca="false">ROUND(66*1,0)&amp;"%"</f>
        <v>66%</v>
      </c>
    </row>
    <row r="104" customFormat="false" ht="15" hidden="false" customHeight="false" outlineLevel="0" collapsed="false">
      <c r="A104" s="5" t="s">
        <v>2013</v>
      </c>
      <c r="B104" s="5" t="s">
        <v>192</v>
      </c>
      <c r="C104" s="5" t="s">
        <v>57</v>
      </c>
      <c r="D104" s="5" t="s">
        <v>28</v>
      </c>
      <c r="E104" s="5" t="n">
        <f aca="false">ROUND(5163*1.05,2)</f>
        <v>5421.15</v>
      </c>
      <c r="F104" s="5" t="s">
        <v>29</v>
      </c>
      <c r="G104" s="5" t="s">
        <v>30</v>
      </c>
      <c r="H104" s="5" t="n">
        <f aca="true">ROUND(RAND()*4+6,1)</f>
        <v>7.2</v>
      </c>
      <c r="I104" s="5" t="s">
        <v>31</v>
      </c>
      <c r="J104" s="5" t="str">
        <f aca="false">ROUND(70*1,0)&amp;"%"</f>
        <v>70%</v>
      </c>
    </row>
    <row r="105" customFormat="false" ht="15" hidden="false" customHeight="false" outlineLevel="0" collapsed="false">
      <c r="A105" s="6" t="s">
        <v>2014</v>
      </c>
      <c r="B105" s="6" t="s">
        <v>194</v>
      </c>
      <c r="C105" s="6" t="s">
        <v>57</v>
      </c>
      <c r="D105" s="6" t="s">
        <v>34</v>
      </c>
      <c r="E105" s="6" t="n">
        <f aca="false">ROUND(10205*1.05,2)</f>
        <v>10715.25</v>
      </c>
      <c r="F105" s="6" t="s">
        <v>35</v>
      </c>
      <c r="G105" s="6" t="s">
        <v>18</v>
      </c>
      <c r="H105" s="6" t="n">
        <f aca="true">ROUND(RAND()*4+6,1)</f>
        <v>6.3</v>
      </c>
      <c r="I105" s="6" t="s">
        <v>36</v>
      </c>
      <c r="J105" s="6" t="str">
        <f aca="false">ROUND(61*1,0)&amp;"%"</f>
        <v>61%</v>
      </c>
    </row>
    <row r="106" customFormat="false" ht="15" hidden="false" customHeight="false" outlineLevel="0" collapsed="false">
      <c r="A106" s="5" t="s">
        <v>2015</v>
      </c>
      <c r="B106" s="5" t="s">
        <v>196</v>
      </c>
      <c r="C106" s="5" t="s">
        <v>57</v>
      </c>
      <c r="D106" s="5" t="s">
        <v>39</v>
      </c>
      <c r="E106" s="5" t="n">
        <f aca="false">ROUND(9114*1.05,2)</f>
        <v>9569.7</v>
      </c>
      <c r="F106" s="5" t="s">
        <v>40</v>
      </c>
      <c r="G106" s="5" t="s">
        <v>24</v>
      </c>
      <c r="H106" s="5" t="n">
        <f aca="true">ROUND(RAND()*4+6,1)</f>
        <v>8.5</v>
      </c>
      <c r="I106" s="5" t="s">
        <v>41</v>
      </c>
      <c r="J106" s="5" t="str">
        <f aca="false">ROUND(86*1,0)&amp;"%"</f>
        <v>86%</v>
      </c>
    </row>
    <row r="107" customFormat="false" ht="15" hidden="false" customHeight="false" outlineLevel="0" collapsed="false">
      <c r="A107" s="6" t="s">
        <v>2016</v>
      </c>
      <c r="B107" s="6" t="s">
        <v>198</v>
      </c>
      <c r="C107" s="6" t="s">
        <v>57</v>
      </c>
      <c r="D107" s="6" t="s">
        <v>44</v>
      </c>
      <c r="E107" s="6" t="n">
        <f aca="false">ROUND(10138*1.05,2)</f>
        <v>10644.9</v>
      </c>
      <c r="F107" s="6" t="s">
        <v>45</v>
      </c>
      <c r="G107" s="6" t="s">
        <v>30</v>
      </c>
      <c r="H107" s="6" t="n">
        <f aca="true">ROUND(RAND()*4+6,1)</f>
        <v>9.2</v>
      </c>
      <c r="I107" s="6" t="s">
        <v>46</v>
      </c>
      <c r="J107" s="6" t="str">
        <f aca="false">ROUND(76*1,0)&amp;"%"</f>
        <v>76%</v>
      </c>
    </row>
    <row r="108" customFormat="false" ht="15" hidden="false" customHeight="false" outlineLevel="0" collapsed="false">
      <c r="A108" s="5" t="s">
        <v>2017</v>
      </c>
      <c r="B108" s="5" t="s">
        <v>200</v>
      </c>
      <c r="C108" s="5" t="s">
        <v>57</v>
      </c>
      <c r="D108" s="5" t="s">
        <v>16</v>
      </c>
      <c r="E108" s="5" t="n">
        <f aca="false">ROUND(6548*1.05,2)</f>
        <v>6875.4</v>
      </c>
      <c r="F108" s="5" t="s">
        <v>49</v>
      </c>
      <c r="G108" s="5" t="s">
        <v>18</v>
      </c>
      <c r="H108" s="5" t="n">
        <f aca="true">ROUND(RAND()*4+6,1)</f>
        <v>9</v>
      </c>
      <c r="I108" s="5" t="s">
        <v>19</v>
      </c>
      <c r="J108" s="5" t="str">
        <f aca="false">ROUND(77*1,0)&amp;"%"</f>
        <v>77%</v>
      </c>
    </row>
    <row r="109" customFormat="false" ht="15" hidden="false" customHeight="false" outlineLevel="0" collapsed="false">
      <c r="A109" s="6" t="s">
        <v>2018</v>
      </c>
      <c r="B109" s="6" t="s">
        <v>202</v>
      </c>
      <c r="C109" s="6" t="s">
        <v>57</v>
      </c>
      <c r="D109" s="6" t="s">
        <v>22</v>
      </c>
      <c r="E109" s="6" t="n">
        <f aca="false">ROUND(6332*1.05,2)</f>
        <v>6648.6</v>
      </c>
      <c r="F109" s="6" t="s">
        <v>52</v>
      </c>
      <c r="G109" s="6" t="s">
        <v>24</v>
      </c>
      <c r="H109" s="6" t="n">
        <f aca="true">ROUND(RAND()*4+6,1)</f>
        <v>9.6</v>
      </c>
      <c r="I109" s="6" t="s">
        <v>25</v>
      </c>
      <c r="J109" s="6" t="str">
        <f aca="false">ROUND(66*1,0)&amp;"%"</f>
        <v>66%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2019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2020</v>
      </c>
      <c r="B114" s="5" t="s">
        <v>206</v>
      </c>
      <c r="C114" s="5" t="s">
        <v>76</v>
      </c>
      <c r="D114" s="5" t="s">
        <v>16</v>
      </c>
      <c r="E114" s="5" t="n">
        <f aca="false">ROUND(9887*1.05,2)</f>
        <v>10381.35</v>
      </c>
      <c r="F114" s="5" t="s">
        <v>17</v>
      </c>
      <c r="G114" s="5" t="s">
        <v>18</v>
      </c>
      <c r="H114" s="5" t="n">
        <f aca="true">ROUND(RAND()*4+6,1)</f>
        <v>7.6</v>
      </c>
      <c r="I114" s="5" t="s">
        <v>19</v>
      </c>
      <c r="J114" s="5" t="str">
        <f aca="false">ROUND(79*1,0)&amp;"%"</f>
        <v>79%</v>
      </c>
    </row>
    <row r="115" customFormat="false" ht="15" hidden="false" customHeight="false" outlineLevel="0" collapsed="false">
      <c r="A115" s="6" t="s">
        <v>2021</v>
      </c>
      <c r="B115" s="6" t="s">
        <v>208</v>
      </c>
      <c r="C115" s="6" t="s">
        <v>76</v>
      </c>
      <c r="D115" s="6" t="s">
        <v>22</v>
      </c>
      <c r="E115" s="6" t="n">
        <f aca="false">ROUND(9281*1.05,2)</f>
        <v>9745.05</v>
      </c>
      <c r="F115" s="6" t="s">
        <v>23</v>
      </c>
      <c r="G115" s="6" t="s">
        <v>24</v>
      </c>
      <c r="H115" s="6" t="n">
        <f aca="true">ROUND(RAND()*4+6,1)</f>
        <v>9</v>
      </c>
      <c r="I115" s="6" t="s">
        <v>25</v>
      </c>
      <c r="J115" s="6" t="str">
        <f aca="false">ROUND(75*1,0)&amp;"%"</f>
        <v>75%</v>
      </c>
    </row>
    <row r="116" customFormat="false" ht="15" hidden="false" customHeight="false" outlineLevel="0" collapsed="false">
      <c r="A116" s="5" t="s">
        <v>2022</v>
      </c>
      <c r="B116" s="5" t="s">
        <v>210</v>
      </c>
      <c r="C116" s="5" t="s">
        <v>76</v>
      </c>
      <c r="D116" s="5" t="s">
        <v>28</v>
      </c>
      <c r="E116" s="5" t="n">
        <f aca="false">ROUND(11133*1.05,2)</f>
        <v>11689.65</v>
      </c>
      <c r="F116" s="5" t="s">
        <v>29</v>
      </c>
      <c r="G116" s="5" t="s">
        <v>30</v>
      </c>
      <c r="H116" s="5" t="n">
        <f aca="true">ROUND(RAND()*4+6,1)</f>
        <v>8.1</v>
      </c>
      <c r="I116" s="5" t="s">
        <v>31</v>
      </c>
      <c r="J116" s="5" t="str">
        <f aca="false">ROUND(71*1,0)&amp;"%"</f>
        <v>71%</v>
      </c>
    </row>
    <row r="117" customFormat="false" ht="15" hidden="false" customHeight="false" outlineLevel="0" collapsed="false">
      <c r="A117" s="6" t="s">
        <v>2023</v>
      </c>
      <c r="B117" s="6" t="s">
        <v>212</v>
      </c>
      <c r="C117" s="6" t="s">
        <v>76</v>
      </c>
      <c r="D117" s="6" t="s">
        <v>34</v>
      </c>
      <c r="E117" s="6" t="n">
        <f aca="false">ROUND(15767*1.05,2)</f>
        <v>16555.35</v>
      </c>
      <c r="F117" s="6" t="s">
        <v>35</v>
      </c>
      <c r="G117" s="6" t="s">
        <v>18</v>
      </c>
      <c r="H117" s="6" t="n">
        <f aca="true">ROUND(RAND()*4+6,1)</f>
        <v>9.8</v>
      </c>
      <c r="I117" s="6" t="s">
        <v>36</v>
      </c>
      <c r="J117" s="6" t="str">
        <f aca="false">ROUND(97*1,0)&amp;"%"</f>
        <v>97%</v>
      </c>
    </row>
    <row r="118" customFormat="false" ht="15" hidden="false" customHeight="false" outlineLevel="0" collapsed="false">
      <c r="A118" s="5" t="s">
        <v>2024</v>
      </c>
      <c r="B118" s="5" t="s">
        <v>214</v>
      </c>
      <c r="C118" s="5" t="s">
        <v>76</v>
      </c>
      <c r="D118" s="5" t="s">
        <v>39</v>
      </c>
      <c r="E118" s="5" t="n">
        <f aca="false">ROUND(10470*1.05,2)</f>
        <v>10993.5</v>
      </c>
      <c r="F118" s="5" t="s">
        <v>40</v>
      </c>
      <c r="G118" s="5" t="s">
        <v>24</v>
      </c>
      <c r="H118" s="5" t="n">
        <f aca="true">ROUND(RAND()*4+6,1)</f>
        <v>8.8</v>
      </c>
      <c r="I118" s="5" t="s">
        <v>41</v>
      </c>
      <c r="J118" s="5" t="str">
        <f aca="false">ROUND(74*1,0)&amp;"%"</f>
        <v>74%</v>
      </c>
    </row>
    <row r="119" customFormat="false" ht="15" hidden="false" customHeight="false" outlineLevel="0" collapsed="false">
      <c r="A119" s="6" t="s">
        <v>2025</v>
      </c>
      <c r="B119" s="6" t="s">
        <v>216</v>
      </c>
      <c r="C119" s="6" t="s">
        <v>76</v>
      </c>
      <c r="D119" s="6" t="s">
        <v>44</v>
      </c>
      <c r="E119" s="6" t="n">
        <f aca="false">ROUND(9240*1.05,2)</f>
        <v>9702</v>
      </c>
      <c r="F119" s="6" t="s">
        <v>45</v>
      </c>
      <c r="G119" s="6" t="s">
        <v>30</v>
      </c>
      <c r="H119" s="6" t="n">
        <f aca="true">ROUND(RAND()*4+6,1)</f>
        <v>7.7</v>
      </c>
      <c r="I119" s="6" t="s">
        <v>46</v>
      </c>
      <c r="J119" s="6" t="str">
        <f aca="false">ROUND(98*1,0)&amp;"%"</f>
        <v>98%</v>
      </c>
    </row>
    <row r="120" customFormat="false" ht="15" hidden="false" customHeight="false" outlineLevel="0" collapsed="false">
      <c r="A120" s="5" t="s">
        <v>2026</v>
      </c>
      <c r="B120" s="5" t="s">
        <v>218</v>
      </c>
      <c r="C120" s="5" t="s">
        <v>76</v>
      </c>
      <c r="D120" s="5" t="s">
        <v>16</v>
      </c>
      <c r="E120" s="5" t="n">
        <f aca="false">ROUND(11853*1.05,2)</f>
        <v>12445.65</v>
      </c>
      <c r="F120" s="5" t="s">
        <v>49</v>
      </c>
      <c r="G120" s="5" t="s">
        <v>18</v>
      </c>
      <c r="H120" s="5" t="n">
        <f aca="true">ROUND(RAND()*4+6,1)</f>
        <v>8.1</v>
      </c>
      <c r="I120" s="5" t="s">
        <v>19</v>
      </c>
      <c r="J120" s="5" t="str">
        <f aca="false">ROUND(90*1,0)&amp;"%"</f>
        <v>90%</v>
      </c>
    </row>
    <row r="121" customFormat="false" ht="15" hidden="false" customHeight="false" outlineLevel="0" collapsed="false">
      <c r="A121" s="6" t="s">
        <v>2027</v>
      </c>
      <c r="B121" s="6" t="s">
        <v>220</v>
      </c>
      <c r="C121" s="6" t="s">
        <v>76</v>
      </c>
      <c r="D121" s="6" t="s">
        <v>22</v>
      </c>
      <c r="E121" s="6" t="n">
        <f aca="false">ROUND(12166*1.05,2)</f>
        <v>12774.3</v>
      </c>
      <c r="F121" s="6" t="s">
        <v>52</v>
      </c>
      <c r="G121" s="6" t="s">
        <v>24</v>
      </c>
      <c r="H121" s="6" t="n">
        <f aca="true">ROUND(RAND()*4+6,1)</f>
        <v>8.8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2028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2029</v>
      </c>
      <c r="B126" s="5" t="s">
        <v>224</v>
      </c>
      <c r="C126" s="5" t="s">
        <v>95</v>
      </c>
      <c r="D126" s="5" t="s">
        <v>16</v>
      </c>
      <c r="E126" s="5" t="n">
        <f aca="false">ROUND(15294*1.05,2)</f>
        <v>16058.7</v>
      </c>
      <c r="F126" s="5" t="s">
        <v>17</v>
      </c>
      <c r="G126" s="5" t="s">
        <v>18</v>
      </c>
      <c r="H126" s="5" t="n">
        <f aca="true">ROUND(RAND()*4+6,1)</f>
        <v>6.6</v>
      </c>
      <c r="I126" s="5" t="s">
        <v>19</v>
      </c>
      <c r="J126" s="5" t="str">
        <f aca="false">ROUND(91*1,0)&amp;"%"</f>
        <v>91%</v>
      </c>
    </row>
    <row r="127" customFormat="false" ht="15" hidden="false" customHeight="false" outlineLevel="0" collapsed="false">
      <c r="A127" s="6" t="s">
        <v>2030</v>
      </c>
      <c r="B127" s="6" t="s">
        <v>226</v>
      </c>
      <c r="C127" s="6" t="s">
        <v>95</v>
      </c>
      <c r="D127" s="6" t="s">
        <v>22</v>
      </c>
      <c r="E127" s="6" t="n">
        <f aca="false">ROUND(16409*1.05,2)</f>
        <v>17229.45</v>
      </c>
      <c r="F127" s="6" t="s">
        <v>23</v>
      </c>
      <c r="G127" s="6" t="s">
        <v>24</v>
      </c>
      <c r="H127" s="6" t="n">
        <f aca="true">ROUND(RAND()*4+6,1)</f>
        <v>7.8</v>
      </c>
      <c r="I127" s="6" t="s">
        <v>25</v>
      </c>
      <c r="J127" s="6" t="str">
        <f aca="false">ROUND(92*1,0)&amp;"%"</f>
        <v>92%</v>
      </c>
    </row>
    <row r="128" customFormat="false" ht="15" hidden="false" customHeight="false" outlineLevel="0" collapsed="false">
      <c r="A128" s="5" t="s">
        <v>2031</v>
      </c>
      <c r="B128" s="5" t="s">
        <v>228</v>
      </c>
      <c r="C128" s="5" t="s">
        <v>95</v>
      </c>
      <c r="D128" s="5" t="s">
        <v>28</v>
      </c>
      <c r="E128" s="5" t="n">
        <f aca="false">ROUND(6617*1.05,2)</f>
        <v>6947.85</v>
      </c>
      <c r="F128" s="5" t="s">
        <v>29</v>
      </c>
      <c r="G128" s="5" t="s">
        <v>30</v>
      </c>
      <c r="H128" s="5" t="n">
        <f aca="true">ROUND(RAND()*4+6,1)</f>
        <v>7.1</v>
      </c>
      <c r="I128" s="5" t="s">
        <v>31</v>
      </c>
      <c r="J128" s="5" t="str">
        <f aca="false">ROUND(80*1,0)&amp;"%"</f>
        <v>80%</v>
      </c>
    </row>
    <row r="129" customFormat="false" ht="15" hidden="false" customHeight="false" outlineLevel="0" collapsed="false">
      <c r="A129" s="6" t="s">
        <v>2032</v>
      </c>
      <c r="B129" s="6" t="s">
        <v>230</v>
      </c>
      <c r="C129" s="6" t="s">
        <v>95</v>
      </c>
      <c r="D129" s="6" t="s">
        <v>34</v>
      </c>
      <c r="E129" s="6" t="n">
        <f aca="false">ROUND(12283*1.05,2)</f>
        <v>12897.15</v>
      </c>
      <c r="F129" s="6" t="s">
        <v>35</v>
      </c>
      <c r="G129" s="6" t="s">
        <v>18</v>
      </c>
      <c r="H129" s="6" t="n">
        <f aca="true">ROUND(RAND()*4+6,1)</f>
        <v>9.6</v>
      </c>
      <c r="I129" s="6" t="s">
        <v>36</v>
      </c>
      <c r="J129" s="6" t="str">
        <f aca="false">ROUND(79*1,0)&amp;"%"</f>
        <v>79%</v>
      </c>
    </row>
    <row r="130" customFormat="false" ht="15" hidden="false" customHeight="false" outlineLevel="0" collapsed="false">
      <c r="A130" s="5" t="s">
        <v>2033</v>
      </c>
      <c r="B130" s="5" t="s">
        <v>232</v>
      </c>
      <c r="C130" s="5" t="s">
        <v>95</v>
      </c>
      <c r="D130" s="5" t="s">
        <v>39</v>
      </c>
      <c r="E130" s="5" t="n">
        <f aca="false">ROUND(13262*1.05,2)</f>
        <v>13925.1</v>
      </c>
      <c r="F130" s="5" t="s">
        <v>40</v>
      </c>
      <c r="G130" s="5" t="s">
        <v>24</v>
      </c>
      <c r="H130" s="5" t="n">
        <f aca="true">ROUND(RAND()*4+6,1)</f>
        <v>8.7</v>
      </c>
      <c r="I130" s="5" t="s">
        <v>41</v>
      </c>
      <c r="J130" s="5" t="str">
        <f aca="false">ROUND(91*1,0)&amp;"%"</f>
        <v>91%</v>
      </c>
    </row>
    <row r="131" customFormat="false" ht="15" hidden="false" customHeight="false" outlineLevel="0" collapsed="false">
      <c r="A131" s="6" t="s">
        <v>2034</v>
      </c>
      <c r="B131" s="6" t="s">
        <v>234</v>
      </c>
      <c r="C131" s="6" t="s">
        <v>95</v>
      </c>
      <c r="D131" s="6" t="s">
        <v>44</v>
      </c>
      <c r="E131" s="6" t="n">
        <f aca="false">ROUND(4037*1.05,2)</f>
        <v>4238.85</v>
      </c>
      <c r="F131" s="6" t="s">
        <v>45</v>
      </c>
      <c r="G131" s="6" t="s">
        <v>30</v>
      </c>
      <c r="H131" s="6" t="n">
        <f aca="true">ROUND(RAND()*4+6,1)</f>
        <v>8</v>
      </c>
      <c r="I131" s="6" t="s">
        <v>46</v>
      </c>
      <c r="J131" s="6" t="str">
        <f aca="false">ROUND(79*1,0)&amp;"%"</f>
        <v>79%</v>
      </c>
    </row>
    <row r="132" customFormat="false" ht="15" hidden="false" customHeight="false" outlineLevel="0" collapsed="false">
      <c r="A132" s="5" t="s">
        <v>2035</v>
      </c>
      <c r="B132" s="5" t="s">
        <v>236</v>
      </c>
      <c r="C132" s="5" t="s">
        <v>95</v>
      </c>
      <c r="D132" s="5" t="s">
        <v>16</v>
      </c>
      <c r="E132" s="5" t="n">
        <f aca="false">ROUND(15747*1.05,2)</f>
        <v>16534.35</v>
      </c>
      <c r="F132" s="5" t="s">
        <v>49</v>
      </c>
      <c r="G132" s="5" t="s">
        <v>18</v>
      </c>
      <c r="H132" s="5" t="n">
        <f aca="true">ROUND(RAND()*4+6,1)</f>
        <v>8.9</v>
      </c>
      <c r="I132" s="5" t="s">
        <v>19</v>
      </c>
      <c r="J132" s="5" t="str">
        <f aca="false">ROUND(73*1,0)&amp;"%"</f>
        <v>73%</v>
      </c>
    </row>
    <row r="133" customFormat="false" ht="15" hidden="false" customHeight="false" outlineLevel="0" collapsed="false">
      <c r="A133" s="6" t="s">
        <v>2036</v>
      </c>
      <c r="B133" s="6" t="s">
        <v>238</v>
      </c>
      <c r="C133" s="6" t="s">
        <v>95</v>
      </c>
      <c r="D133" s="6" t="s">
        <v>22</v>
      </c>
      <c r="E133" s="6" t="n">
        <f aca="false">ROUND(10072*1.05,2)</f>
        <v>10575.6</v>
      </c>
      <c r="F133" s="6" t="s">
        <v>52</v>
      </c>
      <c r="G133" s="6" t="s">
        <v>24</v>
      </c>
      <c r="H133" s="6" t="n">
        <f aca="true">ROUND(RAND()*4+6,1)</f>
        <v>9.8</v>
      </c>
      <c r="I133" s="6" t="s">
        <v>25</v>
      </c>
      <c r="J133" s="6" t="str">
        <f aca="false">ROUND(61*1,0)&amp;"%"</f>
        <v>61%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2037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2038</v>
      </c>
      <c r="B138" s="5" t="s">
        <v>242</v>
      </c>
      <c r="C138" s="5" t="s">
        <v>114</v>
      </c>
      <c r="D138" s="5" t="s">
        <v>16</v>
      </c>
      <c r="E138" s="5" t="n">
        <f aca="false">ROUND(15278*1.05,2)</f>
        <v>16041.9</v>
      </c>
      <c r="F138" s="5" t="s">
        <v>17</v>
      </c>
      <c r="G138" s="5" t="s">
        <v>18</v>
      </c>
      <c r="H138" s="5" t="n">
        <f aca="true">ROUND(RAND()*4+6,1)</f>
        <v>8.6</v>
      </c>
      <c r="I138" s="5" t="s">
        <v>19</v>
      </c>
      <c r="J138" s="5" t="str">
        <f aca="false">ROUND(71*1,0)&amp;"%"</f>
        <v>71%</v>
      </c>
    </row>
    <row r="139" customFormat="false" ht="15" hidden="false" customHeight="false" outlineLevel="0" collapsed="false">
      <c r="A139" s="6" t="s">
        <v>2039</v>
      </c>
      <c r="B139" s="6" t="s">
        <v>244</v>
      </c>
      <c r="C139" s="6" t="s">
        <v>114</v>
      </c>
      <c r="D139" s="6" t="s">
        <v>22</v>
      </c>
      <c r="E139" s="6" t="n">
        <f aca="false">ROUND(13158*1.05,2)</f>
        <v>13815.9</v>
      </c>
      <c r="F139" s="6" t="s">
        <v>23</v>
      </c>
      <c r="G139" s="6" t="s">
        <v>24</v>
      </c>
      <c r="H139" s="6" t="n">
        <f aca="true">ROUND(RAND()*4+6,1)</f>
        <v>7.7</v>
      </c>
      <c r="I139" s="6" t="s">
        <v>25</v>
      </c>
      <c r="J139" s="6" t="str">
        <f aca="false">ROUND(89*1,0)&amp;"%"</f>
        <v>89%</v>
      </c>
    </row>
    <row r="140" customFormat="false" ht="15" hidden="false" customHeight="false" outlineLevel="0" collapsed="false">
      <c r="A140" s="5" t="s">
        <v>2040</v>
      </c>
      <c r="B140" s="5" t="s">
        <v>246</v>
      </c>
      <c r="C140" s="5" t="s">
        <v>114</v>
      </c>
      <c r="D140" s="5" t="s">
        <v>28</v>
      </c>
      <c r="E140" s="5" t="n">
        <f aca="false">ROUND(17118*1.05,2)</f>
        <v>17973.9</v>
      </c>
      <c r="F140" s="5" t="s">
        <v>29</v>
      </c>
      <c r="G140" s="5" t="s">
        <v>30</v>
      </c>
      <c r="H140" s="5" t="n">
        <f aca="true">ROUND(RAND()*4+6,1)</f>
        <v>9.1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2041</v>
      </c>
      <c r="B141" s="6" t="s">
        <v>248</v>
      </c>
      <c r="C141" s="6" t="s">
        <v>114</v>
      </c>
      <c r="D141" s="6" t="s">
        <v>34</v>
      </c>
      <c r="E141" s="6" t="n">
        <f aca="false">ROUND(8915*1.05,2)</f>
        <v>9360.75</v>
      </c>
      <c r="F141" s="6" t="s">
        <v>35</v>
      </c>
      <c r="G141" s="6" t="s">
        <v>18</v>
      </c>
      <c r="H141" s="6" t="n">
        <f aca="true">ROUND(RAND()*4+6,1)</f>
        <v>6.9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2042</v>
      </c>
      <c r="B142" s="5" t="s">
        <v>250</v>
      </c>
      <c r="C142" s="5" t="s">
        <v>114</v>
      </c>
      <c r="D142" s="5" t="s">
        <v>39</v>
      </c>
      <c r="E142" s="5" t="n">
        <f aca="false">ROUND(16905*1.05,2)</f>
        <v>17750.25</v>
      </c>
      <c r="F142" s="5" t="s">
        <v>40</v>
      </c>
      <c r="G142" s="5" t="s">
        <v>24</v>
      </c>
      <c r="H142" s="5" t="n">
        <f aca="true">ROUND(RAND()*4+6,1)</f>
        <v>7.3</v>
      </c>
      <c r="I142" s="5" t="s">
        <v>41</v>
      </c>
      <c r="J142" s="5" t="str">
        <f aca="false">ROUND(67*1,0)&amp;"%"</f>
        <v>67%</v>
      </c>
    </row>
    <row r="143" customFormat="false" ht="15" hidden="false" customHeight="false" outlineLevel="0" collapsed="false">
      <c r="A143" s="6" t="s">
        <v>2043</v>
      </c>
      <c r="B143" s="6" t="s">
        <v>252</v>
      </c>
      <c r="C143" s="6" t="s">
        <v>114</v>
      </c>
      <c r="D143" s="6" t="s">
        <v>44</v>
      </c>
      <c r="E143" s="6" t="n">
        <f aca="false">ROUND(5437*1.05,2)</f>
        <v>5708.85</v>
      </c>
      <c r="F143" s="6" t="s">
        <v>45</v>
      </c>
      <c r="G143" s="6" t="s">
        <v>30</v>
      </c>
      <c r="H143" s="6" t="n">
        <f aca="true">ROUND(RAND()*4+6,1)</f>
        <v>8.9</v>
      </c>
      <c r="I143" s="6" t="s">
        <v>46</v>
      </c>
      <c r="J143" s="6" t="str">
        <f aca="false">ROUND(72*1,0)&amp;"%"</f>
        <v>72%</v>
      </c>
    </row>
    <row r="144" customFormat="false" ht="15" hidden="false" customHeight="false" outlineLevel="0" collapsed="false">
      <c r="A144" s="5" t="s">
        <v>2044</v>
      </c>
      <c r="B144" s="5" t="s">
        <v>254</v>
      </c>
      <c r="C144" s="5" t="s">
        <v>114</v>
      </c>
      <c r="D144" s="5" t="s">
        <v>16</v>
      </c>
      <c r="E144" s="5" t="n">
        <f aca="false">ROUND(12441*1.05,2)</f>
        <v>13063.05</v>
      </c>
      <c r="F144" s="5" t="s">
        <v>49</v>
      </c>
      <c r="G144" s="5" t="s">
        <v>18</v>
      </c>
      <c r="H144" s="5" t="n">
        <f aca="true">ROUND(RAND()*4+6,1)</f>
        <v>9.6</v>
      </c>
      <c r="I144" s="5" t="s">
        <v>19</v>
      </c>
      <c r="J144" s="5" t="str">
        <f aca="false">ROUND(87*1,0)&amp;"%"</f>
        <v>87%</v>
      </c>
    </row>
    <row r="145" customFormat="false" ht="15" hidden="false" customHeight="false" outlineLevel="0" collapsed="false">
      <c r="A145" s="6" t="s">
        <v>2045</v>
      </c>
      <c r="B145" s="6" t="s">
        <v>256</v>
      </c>
      <c r="C145" s="6" t="s">
        <v>114</v>
      </c>
      <c r="D145" s="6" t="s">
        <v>22</v>
      </c>
      <c r="E145" s="6" t="n">
        <f aca="false">ROUND(8064*1.05,2)</f>
        <v>8467.2</v>
      </c>
      <c r="F145" s="6" t="s">
        <v>52</v>
      </c>
      <c r="G145" s="6" t="s">
        <v>24</v>
      </c>
      <c r="H145" s="6" t="n">
        <f aca="true">ROUND(RAND()*4+6,1)</f>
        <v>6.9</v>
      </c>
      <c r="I145" s="6" t="s">
        <v>25</v>
      </c>
      <c r="J145" s="6" t="str">
        <f aca="false">ROUND(99*1,0)&amp;"%"</f>
        <v>99%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2046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2047</v>
      </c>
      <c r="B150" s="5" t="s">
        <v>260</v>
      </c>
      <c r="C150" s="5" t="s">
        <v>133</v>
      </c>
      <c r="D150" s="5" t="s">
        <v>16</v>
      </c>
      <c r="E150" s="5" t="n">
        <f aca="false">ROUND(7939*1.05,2)</f>
        <v>8335.95</v>
      </c>
      <c r="F150" s="5" t="s">
        <v>17</v>
      </c>
      <c r="G150" s="5" t="s">
        <v>18</v>
      </c>
      <c r="H150" s="5" t="n">
        <f aca="true">ROUND(RAND()*4+6,1)</f>
        <v>7.5</v>
      </c>
      <c r="I150" s="5" t="s">
        <v>19</v>
      </c>
      <c r="J150" s="5" t="str">
        <f aca="false">ROUND(63*1,0)&amp;"%"</f>
        <v>63%</v>
      </c>
    </row>
    <row r="151" customFormat="false" ht="15" hidden="false" customHeight="false" outlineLevel="0" collapsed="false">
      <c r="A151" s="6" t="s">
        <v>2048</v>
      </c>
      <c r="B151" s="6" t="s">
        <v>262</v>
      </c>
      <c r="C151" s="6" t="s">
        <v>133</v>
      </c>
      <c r="D151" s="6" t="s">
        <v>22</v>
      </c>
      <c r="E151" s="6" t="n">
        <f aca="false">ROUND(16811*1.05,2)</f>
        <v>17651.55</v>
      </c>
      <c r="F151" s="6" t="s">
        <v>23</v>
      </c>
      <c r="G151" s="6" t="s">
        <v>24</v>
      </c>
      <c r="H151" s="6" t="n">
        <f aca="true">ROUND(RAND()*4+6,1)</f>
        <v>8.7</v>
      </c>
      <c r="I151" s="6" t="s">
        <v>25</v>
      </c>
      <c r="J151" s="6" t="str">
        <f aca="false">ROUND(97*1,0)&amp;"%"</f>
        <v>97%</v>
      </c>
    </row>
    <row r="152" customFormat="false" ht="15" hidden="false" customHeight="false" outlineLevel="0" collapsed="false">
      <c r="A152" s="5" t="s">
        <v>2049</v>
      </c>
      <c r="B152" s="5" t="s">
        <v>264</v>
      </c>
      <c r="C152" s="5" t="s">
        <v>133</v>
      </c>
      <c r="D152" s="5" t="s">
        <v>28</v>
      </c>
      <c r="E152" s="5" t="n">
        <f aca="false">ROUND(9367*1.05,2)</f>
        <v>9835.35</v>
      </c>
      <c r="F152" s="5" t="s">
        <v>29</v>
      </c>
      <c r="G152" s="5" t="s">
        <v>30</v>
      </c>
      <c r="H152" s="5" t="n">
        <f aca="true">ROUND(RAND()*4+6,1)</f>
        <v>9.5</v>
      </c>
      <c r="I152" s="5" t="s">
        <v>31</v>
      </c>
      <c r="J152" s="5" t="str">
        <f aca="false">ROUND(88*1,0)&amp;"%"</f>
        <v>88%</v>
      </c>
    </row>
    <row r="153" customFormat="false" ht="15" hidden="false" customHeight="false" outlineLevel="0" collapsed="false">
      <c r="A153" s="6" t="s">
        <v>2050</v>
      </c>
      <c r="B153" s="6" t="s">
        <v>266</v>
      </c>
      <c r="C153" s="6" t="s">
        <v>133</v>
      </c>
      <c r="D153" s="6" t="s">
        <v>34</v>
      </c>
      <c r="E153" s="6" t="n">
        <f aca="false">ROUND(10040*1.05,2)</f>
        <v>10542</v>
      </c>
      <c r="F153" s="6" t="s">
        <v>35</v>
      </c>
      <c r="G153" s="6" t="s">
        <v>18</v>
      </c>
      <c r="H153" s="6" t="n">
        <f aca="true">ROUND(RAND()*4+6,1)</f>
        <v>8.4</v>
      </c>
      <c r="I153" s="6" t="s">
        <v>36</v>
      </c>
      <c r="J153" s="6" t="str">
        <f aca="false">ROUND(63*1,0)&amp;"%"</f>
        <v>63%</v>
      </c>
    </row>
    <row r="154" customFormat="false" ht="15" hidden="false" customHeight="false" outlineLevel="0" collapsed="false">
      <c r="A154" s="5" t="s">
        <v>2051</v>
      </c>
      <c r="B154" s="5" t="s">
        <v>268</v>
      </c>
      <c r="C154" s="5" t="s">
        <v>133</v>
      </c>
      <c r="D154" s="5" t="s">
        <v>39</v>
      </c>
      <c r="E154" s="5" t="n">
        <f aca="false">ROUND(17264*1.05,2)</f>
        <v>18127.2</v>
      </c>
      <c r="F154" s="5" t="s">
        <v>40</v>
      </c>
      <c r="G154" s="5" t="s">
        <v>24</v>
      </c>
      <c r="H154" s="5" t="n">
        <f aca="true">ROUND(RAND()*4+6,1)</f>
        <v>6.1</v>
      </c>
      <c r="I154" s="5" t="s">
        <v>41</v>
      </c>
      <c r="J154" s="5" t="str">
        <f aca="false">ROUND(71*1,0)&amp;"%"</f>
        <v>71%</v>
      </c>
    </row>
    <row r="155" customFormat="false" ht="15" hidden="false" customHeight="false" outlineLevel="0" collapsed="false">
      <c r="A155" s="6" t="s">
        <v>2052</v>
      </c>
      <c r="B155" s="6" t="s">
        <v>270</v>
      </c>
      <c r="C155" s="6" t="s">
        <v>133</v>
      </c>
      <c r="D155" s="6" t="s">
        <v>44</v>
      </c>
      <c r="E155" s="6" t="n">
        <f aca="false">ROUND(4042*1.05,2)</f>
        <v>4244.1</v>
      </c>
      <c r="F155" s="6" t="s">
        <v>45</v>
      </c>
      <c r="G155" s="6" t="s">
        <v>30</v>
      </c>
      <c r="H155" s="6" t="n">
        <f aca="true">ROUND(RAND()*4+6,1)</f>
        <v>6.6</v>
      </c>
      <c r="I155" s="6" t="s">
        <v>46</v>
      </c>
      <c r="J155" s="6" t="str">
        <f aca="false">ROUND(85*1,0)&amp;"%"</f>
        <v>85%</v>
      </c>
    </row>
    <row r="156" customFormat="false" ht="15" hidden="false" customHeight="false" outlineLevel="0" collapsed="false">
      <c r="A156" s="5" t="s">
        <v>2053</v>
      </c>
      <c r="B156" s="5" t="s">
        <v>272</v>
      </c>
      <c r="C156" s="5" t="s">
        <v>133</v>
      </c>
      <c r="D156" s="5" t="s">
        <v>16</v>
      </c>
      <c r="E156" s="5" t="n">
        <f aca="false">ROUND(5475*1.05,2)</f>
        <v>5748.75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ROUND(89*1,0)&amp;"%"</f>
        <v>89%</v>
      </c>
    </row>
    <row r="157" customFormat="false" ht="15" hidden="false" customHeight="false" outlineLevel="0" collapsed="false">
      <c r="A157" s="6" t="s">
        <v>2054</v>
      </c>
      <c r="B157" s="6" t="s">
        <v>274</v>
      </c>
      <c r="C157" s="6" t="s">
        <v>133</v>
      </c>
      <c r="D157" s="6" t="s">
        <v>22</v>
      </c>
      <c r="E157" s="6" t="n">
        <f aca="false">ROUND(8747*1.05,2)</f>
        <v>9184.35</v>
      </c>
      <c r="F157" s="6" t="s">
        <v>52</v>
      </c>
      <c r="G157" s="6" t="s">
        <v>24</v>
      </c>
      <c r="H157" s="6" t="n">
        <f aca="true">ROUND(RAND()*4+6,1)</f>
        <v>8.2</v>
      </c>
      <c r="I157" s="6" t="s">
        <v>25</v>
      </c>
      <c r="J157" s="6" t="str">
        <f aca="false">ROUND(90*1,0)&amp;"%"</f>
        <v>90%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2055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2056</v>
      </c>
      <c r="B162" s="5" t="s">
        <v>278</v>
      </c>
      <c r="C162" s="5" t="s">
        <v>152</v>
      </c>
      <c r="D162" s="5" t="s">
        <v>16</v>
      </c>
      <c r="E162" s="5" t="n">
        <f aca="false">ROUND(12934*1.05,2)</f>
        <v>13580.7</v>
      </c>
      <c r="F162" s="5" t="s">
        <v>17</v>
      </c>
      <c r="G162" s="5" t="s">
        <v>18</v>
      </c>
      <c r="H162" s="5" t="n">
        <f aca="true">ROUND(RAND()*4+6,1)</f>
        <v>6.2</v>
      </c>
      <c r="I162" s="5" t="s">
        <v>19</v>
      </c>
      <c r="J162" s="5" t="str">
        <f aca="false">ROUND(60*1,0)&amp;"%"</f>
        <v>60%</v>
      </c>
    </row>
    <row r="163" customFormat="false" ht="15" hidden="false" customHeight="false" outlineLevel="0" collapsed="false">
      <c r="A163" s="6" t="s">
        <v>2057</v>
      </c>
      <c r="B163" s="6" t="s">
        <v>280</v>
      </c>
      <c r="C163" s="6" t="s">
        <v>152</v>
      </c>
      <c r="D163" s="6" t="s">
        <v>22</v>
      </c>
      <c r="E163" s="6" t="n">
        <f aca="false">ROUND(9984*1.05,2)</f>
        <v>10483.2</v>
      </c>
      <c r="F163" s="6" t="s">
        <v>23</v>
      </c>
      <c r="G163" s="6" t="s">
        <v>24</v>
      </c>
      <c r="H163" s="6" t="n">
        <f aca="true">ROUND(RAND()*4+6,1)</f>
        <v>8</v>
      </c>
      <c r="I163" s="6" t="s">
        <v>25</v>
      </c>
      <c r="J163" s="6" t="str">
        <f aca="false">ROUND(78*1,0)&amp;"%"</f>
        <v>78%</v>
      </c>
    </row>
    <row r="164" customFormat="false" ht="15" hidden="false" customHeight="false" outlineLevel="0" collapsed="false">
      <c r="A164" s="5" t="s">
        <v>2058</v>
      </c>
      <c r="B164" s="5" t="s">
        <v>282</v>
      </c>
      <c r="C164" s="5" t="s">
        <v>152</v>
      </c>
      <c r="D164" s="5" t="s">
        <v>28</v>
      </c>
      <c r="E164" s="5" t="n">
        <f aca="false">ROUND(13546*1.05,2)</f>
        <v>14223.3</v>
      </c>
      <c r="F164" s="5" t="s">
        <v>29</v>
      </c>
      <c r="G164" s="5" t="s">
        <v>30</v>
      </c>
      <c r="H164" s="5" t="n">
        <f aca="true">ROUND(RAND()*4+6,1)</f>
        <v>9.7</v>
      </c>
      <c r="I164" s="5" t="s">
        <v>31</v>
      </c>
      <c r="J164" s="5" t="str">
        <f aca="false">ROUND(67*1,0)&amp;"%"</f>
        <v>67%</v>
      </c>
    </row>
    <row r="165" customFormat="false" ht="15" hidden="false" customHeight="false" outlineLevel="0" collapsed="false">
      <c r="A165" s="6" t="s">
        <v>2059</v>
      </c>
      <c r="B165" s="6" t="s">
        <v>284</v>
      </c>
      <c r="C165" s="6" t="s">
        <v>152</v>
      </c>
      <c r="D165" s="6" t="s">
        <v>34</v>
      </c>
      <c r="E165" s="6" t="n">
        <f aca="false">ROUND(10135*1.05,2)</f>
        <v>10641.75</v>
      </c>
      <c r="F165" s="6" t="s">
        <v>35</v>
      </c>
      <c r="G165" s="6" t="s">
        <v>18</v>
      </c>
      <c r="H165" s="6" t="n">
        <f aca="true">ROUND(RAND()*4+6,1)</f>
        <v>6.5</v>
      </c>
      <c r="I165" s="6" t="s">
        <v>36</v>
      </c>
      <c r="J165" s="6" t="str">
        <f aca="false">ROUND(69*1,0)&amp;"%"</f>
        <v>69%</v>
      </c>
    </row>
    <row r="166" customFormat="false" ht="15" hidden="false" customHeight="false" outlineLevel="0" collapsed="false">
      <c r="A166" s="5" t="s">
        <v>2060</v>
      </c>
      <c r="B166" s="5" t="s">
        <v>286</v>
      </c>
      <c r="C166" s="5" t="s">
        <v>152</v>
      </c>
      <c r="D166" s="5" t="s">
        <v>39</v>
      </c>
      <c r="E166" s="5" t="n">
        <f aca="false">ROUND(16768*1.05,2)</f>
        <v>17606.4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ROUND(60*1,0)&amp;"%"</f>
        <v>60%</v>
      </c>
    </row>
    <row r="167" customFormat="false" ht="15" hidden="false" customHeight="false" outlineLevel="0" collapsed="false">
      <c r="A167" s="6" t="s">
        <v>2061</v>
      </c>
      <c r="B167" s="6" t="s">
        <v>288</v>
      </c>
      <c r="C167" s="6" t="s">
        <v>152</v>
      </c>
      <c r="D167" s="6" t="s">
        <v>44</v>
      </c>
      <c r="E167" s="6" t="n">
        <f aca="false">ROUND(16209*1.05,2)</f>
        <v>17019.45</v>
      </c>
      <c r="F167" s="6" t="s">
        <v>45</v>
      </c>
      <c r="G167" s="6" t="s">
        <v>30</v>
      </c>
      <c r="H167" s="6" t="n">
        <f aca="true">ROUND(RAND()*4+6,1)</f>
        <v>6.2</v>
      </c>
      <c r="I167" s="6" t="s">
        <v>46</v>
      </c>
      <c r="J167" s="6" t="str">
        <f aca="false">ROUND(68*1,0)&amp;"%"</f>
        <v>68%</v>
      </c>
    </row>
    <row r="168" customFormat="false" ht="15" hidden="false" customHeight="false" outlineLevel="0" collapsed="false">
      <c r="A168" s="5" t="s">
        <v>2062</v>
      </c>
      <c r="B168" s="5" t="s">
        <v>290</v>
      </c>
      <c r="C168" s="5" t="s">
        <v>152</v>
      </c>
      <c r="D168" s="5" t="s">
        <v>16</v>
      </c>
      <c r="E168" s="5" t="n">
        <f aca="false">ROUND(10138*1.05,2)</f>
        <v>10644.9</v>
      </c>
      <c r="F168" s="5" t="s">
        <v>49</v>
      </c>
      <c r="G168" s="5" t="s">
        <v>18</v>
      </c>
      <c r="H168" s="5" t="n">
        <f aca="true">ROUND(RAND()*4+6,1)</f>
        <v>7.4</v>
      </c>
      <c r="I168" s="5" t="s">
        <v>19</v>
      </c>
      <c r="J168" s="5" t="str">
        <f aca="false">ROUND(84*1,0)&amp;"%"</f>
        <v>84%</v>
      </c>
    </row>
    <row r="169" customFormat="false" ht="15" hidden="false" customHeight="false" outlineLevel="0" collapsed="false">
      <c r="A169" s="6" t="s">
        <v>2063</v>
      </c>
      <c r="B169" s="6" t="s">
        <v>292</v>
      </c>
      <c r="C169" s="6" t="s">
        <v>152</v>
      </c>
      <c r="D169" s="6" t="s">
        <v>22</v>
      </c>
      <c r="E169" s="6" t="n">
        <f aca="false">ROUND(10711*1.05,2)</f>
        <v>11246.55</v>
      </c>
      <c r="F169" s="6" t="s">
        <v>52</v>
      </c>
      <c r="G169" s="6" t="s">
        <v>24</v>
      </c>
      <c r="H169" s="6" t="n">
        <f aca="true">ROUND(RAND()*4+6,1)</f>
        <v>7.7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2064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2065</v>
      </c>
      <c r="B174" s="5" t="s">
        <v>296</v>
      </c>
      <c r="C174" s="5" t="s">
        <v>15</v>
      </c>
      <c r="D174" s="5" t="s">
        <v>16</v>
      </c>
      <c r="E174" s="5" t="n">
        <f aca="false">ROUND(5698*1.05,2)</f>
        <v>5982.9</v>
      </c>
      <c r="F174" s="5" t="s">
        <v>17</v>
      </c>
      <c r="G174" s="5" t="s">
        <v>18</v>
      </c>
      <c r="H174" s="5" t="n">
        <f aca="true">ROUND(RAND()*4+6,1)</f>
        <v>8.6</v>
      </c>
      <c r="I174" s="5" t="s">
        <v>19</v>
      </c>
      <c r="J174" s="5" t="str">
        <f aca="false">ROUND(63*1,0)&amp;"%"</f>
        <v>63%</v>
      </c>
    </row>
    <row r="175" customFormat="false" ht="15" hidden="false" customHeight="false" outlineLevel="0" collapsed="false">
      <c r="A175" s="6" t="s">
        <v>2066</v>
      </c>
      <c r="B175" s="6" t="s">
        <v>298</v>
      </c>
      <c r="C175" s="6" t="s">
        <v>15</v>
      </c>
      <c r="D175" s="6" t="s">
        <v>22</v>
      </c>
      <c r="E175" s="6" t="n">
        <f aca="false">ROUND(17946*1.05,2)</f>
        <v>18843.3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ROUND(94*1,0)&amp;"%"</f>
        <v>94%</v>
      </c>
    </row>
    <row r="176" customFormat="false" ht="15" hidden="false" customHeight="false" outlineLevel="0" collapsed="false">
      <c r="A176" s="5" t="s">
        <v>2067</v>
      </c>
      <c r="B176" s="5" t="s">
        <v>300</v>
      </c>
      <c r="C176" s="5" t="s">
        <v>15</v>
      </c>
      <c r="D176" s="5" t="s">
        <v>28</v>
      </c>
      <c r="E176" s="5" t="n">
        <f aca="false">ROUND(11925*1.05,2)</f>
        <v>12521.25</v>
      </c>
      <c r="F176" s="5" t="s">
        <v>29</v>
      </c>
      <c r="G176" s="5" t="s">
        <v>30</v>
      </c>
      <c r="H176" s="5" t="n">
        <f aca="true">ROUND(RAND()*4+6,1)</f>
        <v>9.1</v>
      </c>
      <c r="I176" s="5" t="s">
        <v>31</v>
      </c>
      <c r="J176" s="5" t="str">
        <f aca="false">ROUND(68*1,0)&amp;"%"</f>
        <v>68%</v>
      </c>
    </row>
    <row r="177" customFormat="false" ht="15" hidden="false" customHeight="false" outlineLevel="0" collapsed="false">
      <c r="A177" s="6" t="s">
        <v>2068</v>
      </c>
      <c r="B177" s="6" t="s">
        <v>302</v>
      </c>
      <c r="C177" s="6" t="s">
        <v>15</v>
      </c>
      <c r="D177" s="6" t="s">
        <v>34</v>
      </c>
      <c r="E177" s="6" t="n">
        <f aca="false">ROUND(5831*1.05,2)</f>
        <v>6122.55</v>
      </c>
      <c r="F177" s="6" t="s">
        <v>35</v>
      </c>
      <c r="G177" s="6" t="s">
        <v>18</v>
      </c>
      <c r="H177" s="6" t="n">
        <f aca="true">ROUND(RAND()*4+6,1)</f>
        <v>7.5</v>
      </c>
      <c r="I177" s="6" t="s">
        <v>36</v>
      </c>
      <c r="J177" s="6" t="str">
        <f aca="false">ROUND(67*1,0)&amp;"%"</f>
        <v>67%</v>
      </c>
    </row>
    <row r="178" customFormat="false" ht="15" hidden="false" customHeight="false" outlineLevel="0" collapsed="false">
      <c r="A178" s="5" t="s">
        <v>2069</v>
      </c>
      <c r="B178" s="5" t="s">
        <v>304</v>
      </c>
      <c r="C178" s="5" t="s">
        <v>15</v>
      </c>
      <c r="D178" s="5" t="s">
        <v>39</v>
      </c>
      <c r="E178" s="5" t="n">
        <f aca="false">ROUND(9495*1.05,2)</f>
        <v>9969.75</v>
      </c>
      <c r="F178" s="5" t="s">
        <v>40</v>
      </c>
      <c r="G178" s="5" t="s">
        <v>24</v>
      </c>
      <c r="H178" s="5" t="n">
        <f aca="true">ROUND(RAND()*4+6,1)</f>
        <v>8.2</v>
      </c>
      <c r="I178" s="5" t="s">
        <v>41</v>
      </c>
      <c r="J178" s="5" t="str">
        <f aca="false">ROUND(88*1,0)&amp;"%"</f>
        <v>88%</v>
      </c>
    </row>
    <row r="179" customFormat="false" ht="15" hidden="false" customHeight="false" outlineLevel="0" collapsed="false">
      <c r="A179" s="6" t="s">
        <v>2070</v>
      </c>
      <c r="B179" s="6" t="s">
        <v>306</v>
      </c>
      <c r="C179" s="6" t="s">
        <v>15</v>
      </c>
      <c r="D179" s="6" t="s">
        <v>44</v>
      </c>
      <c r="E179" s="6" t="n">
        <f aca="false">ROUND(5473*1.05,2)</f>
        <v>5746.65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ROUND(86*1,0)&amp;"%"</f>
        <v>86%</v>
      </c>
    </row>
    <row r="180" customFormat="false" ht="15" hidden="false" customHeight="false" outlineLevel="0" collapsed="false">
      <c r="A180" s="5" t="s">
        <v>2071</v>
      </c>
      <c r="B180" s="5" t="s">
        <v>308</v>
      </c>
      <c r="C180" s="5" t="s">
        <v>15</v>
      </c>
      <c r="D180" s="5" t="s">
        <v>16</v>
      </c>
      <c r="E180" s="5" t="n">
        <f aca="false">ROUND(6570*1.05,2)</f>
        <v>6898.5</v>
      </c>
      <c r="F180" s="5" t="s">
        <v>49</v>
      </c>
      <c r="G180" s="5" t="s">
        <v>18</v>
      </c>
      <c r="H180" s="5" t="n">
        <f aca="true">ROUND(RAND()*4+6,1)</f>
        <v>9.7</v>
      </c>
      <c r="I180" s="5" t="s">
        <v>19</v>
      </c>
      <c r="J180" s="5" t="str">
        <f aca="false">ROUND(89*1,0)&amp;"%"</f>
        <v>89%</v>
      </c>
    </row>
    <row r="181" customFormat="false" ht="15" hidden="false" customHeight="false" outlineLevel="0" collapsed="false">
      <c r="A181" s="6" t="s">
        <v>2072</v>
      </c>
      <c r="B181" s="6" t="s">
        <v>310</v>
      </c>
      <c r="C181" s="6" t="s">
        <v>15</v>
      </c>
      <c r="D181" s="6" t="s">
        <v>22</v>
      </c>
      <c r="E181" s="6" t="n">
        <f aca="false">ROUND(12841*1.05,2)</f>
        <v>13483.05</v>
      </c>
      <c r="F181" s="6" t="s">
        <v>52</v>
      </c>
      <c r="G181" s="6" t="s">
        <v>24</v>
      </c>
      <c r="H181" s="6" t="n">
        <f aca="true">ROUND(RAND()*4+6,1)</f>
        <v>7.1</v>
      </c>
      <c r="I181" s="6" t="s">
        <v>25</v>
      </c>
      <c r="J181" s="6" t="str">
        <f aca="false">ROUND(69*1,0)&amp;"%"</f>
        <v>69%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2073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2074</v>
      </c>
      <c r="B186" s="5" t="s">
        <v>314</v>
      </c>
      <c r="C186" s="5" t="s">
        <v>57</v>
      </c>
      <c r="D186" s="5" t="s">
        <v>16</v>
      </c>
      <c r="E186" s="5" t="n">
        <f aca="false">ROUND(7784*1.05,2)</f>
        <v>8173.2</v>
      </c>
      <c r="F186" s="5" t="s">
        <v>17</v>
      </c>
      <c r="G186" s="5" t="s">
        <v>18</v>
      </c>
      <c r="H186" s="5" t="n">
        <f aca="true">ROUND(RAND()*4+6,1)</f>
        <v>7.1</v>
      </c>
      <c r="I186" s="5" t="s">
        <v>19</v>
      </c>
      <c r="J186" s="5" t="str">
        <f aca="false">ROUND(69*1,0)&amp;"%"</f>
        <v>69%</v>
      </c>
    </row>
    <row r="187" customFormat="false" ht="15" hidden="false" customHeight="false" outlineLevel="0" collapsed="false">
      <c r="A187" s="6" t="s">
        <v>2075</v>
      </c>
      <c r="B187" s="6" t="s">
        <v>316</v>
      </c>
      <c r="C187" s="6" t="s">
        <v>57</v>
      </c>
      <c r="D187" s="6" t="s">
        <v>22</v>
      </c>
      <c r="E187" s="6" t="n">
        <f aca="false">ROUND(15688*1.05,2)</f>
        <v>16472.4</v>
      </c>
      <c r="F187" s="6" t="s">
        <v>23</v>
      </c>
      <c r="G187" s="6" t="s">
        <v>24</v>
      </c>
      <c r="H187" s="6" t="n">
        <f aca="true">ROUND(RAND()*4+6,1)</f>
        <v>7.5</v>
      </c>
      <c r="I187" s="6" t="s">
        <v>25</v>
      </c>
      <c r="J187" s="6" t="str">
        <f aca="false">ROUND(93*1,0)&amp;"%"</f>
        <v>93%</v>
      </c>
    </row>
    <row r="188" customFormat="false" ht="15" hidden="false" customHeight="false" outlineLevel="0" collapsed="false">
      <c r="A188" s="5" t="s">
        <v>2076</v>
      </c>
      <c r="B188" s="5" t="s">
        <v>318</v>
      </c>
      <c r="C188" s="5" t="s">
        <v>57</v>
      </c>
      <c r="D188" s="5" t="s">
        <v>28</v>
      </c>
      <c r="E188" s="5" t="n">
        <f aca="false">ROUND(9050*1.05,2)</f>
        <v>9502.5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ROUND(82*1,0)&amp;"%"</f>
        <v>82%</v>
      </c>
    </row>
    <row r="189" customFormat="false" ht="15" hidden="false" customHeight="false" outlineLevel="0" collapsed="false">
      <c r="A189" s="6" t="s">
        <v>2077</v>
      </c>
      <c r="B189" s="6" t="s">
        <v>320</v>
      </c>
      <c r="C189" s="6" t="s">
        <v>57</v>
      </c>
      <c r="D189" s="6" t="s">
        <v>34</v>
      </c>
      <c r="E189" s="6" t="n">
        <f aca="false">ROUND(4041*1.05,2)</f>
        <v>4243.05</v>
      </c>
      <c r="F189" s="6" t="s">
        <v>35</v>
      </c>
      <c r="G189" s="6" t="s">
        <v>18</v>
      </c>
      <c r="H189" s="6" t="n">
        <f aca="true">ROUND(RAND()*4+6,1)</f>
        <v>8</v>
      </c>
      <c r="I189" s="6" t="s">
        <v>36</v>
      </c>
      <c r="J189" s="6" t="str">
        <f aca="false">ROUND(68*1,0)&amp;"%"</f>
        <v>68%</v>
      </c>
    </row>
    <row r="190" customFormat="false" ht="15" hidden="false" customHeight="false" outlineLevel="0" collapsed="false">
      <c r="A190" s="5" t="s">
        <v>2078</v>
      </c>
      <c r="B190" s="5" t="s">
        <v>322</v>
      </c>
      <c r="C190" s="5" t="s">
        <v>57</v>
      </c>
      <c r="D190" s="5" t="s">
        <v>39</v>
      </c>
      <c r="E190" s="5" t="n">
        <f aca="false">ROUND(4339*1.05,2)</f>
        <v>4555.95</v>
      </c>
      <c r="F190" s="5" t="s">
        <v>40</v>
      </c>
      <c r="G190" s="5" t="s">
        <v>24</v>
      </c>
      <c r="H190" s="5" t="n">
        <f aca="true">ROUND(RAND()*4+6,1)</f>
        <v>7.4</v>
      </c>
      <c r="I190" s="5" t="s">
        <v>41</v>
      </c>
      <c r="J190" s="5" t="str">
        <f aca="false">ROUND(99*1,0)&amp;"%"</f>
        <v>99%</v>
      </c>
    </row>
    <row r="191" customFormat="false" ht="15" hidden="false" customHeight="false" outlineLevel="0" collapsed="false">
      <c r="A191" s="6" t="s">
        <v>2079</v>
      </c>
      <c r="B191" s="6" t="s">
        <v>324</v>
      </c>
      <c r="C191" s="6" t="s">
        <v>57</v>
      </c>
      <c r="D191" s="6" t="s">
        <v>44</v>
      </c>
      <c r="E191" s="6" t="n">
        <f aca="false">ROUND(16053*1.05,2)</f>
        <v>16855.65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ROUND(90*1,0)&amp;"%"</f>
        <v>90%</v>
      </c>
    </row>
    <row r="192" customFormat="false" ht="15" hidden="false" customHeight="false" outlineLevel="0" collapsed="false">
      <c r="A192" s="5" t="s">
        <v>2080</v>
      </c>
      <c r="B192" s="5" t="s">
        <v>326</v>
      </c>
      <c r="C192" s="5" t="s">
        <v>57</v>
      </c>
      <c r="D192" s="5" t="s">
        <v>16</v>
      </c>
      <c r="E192" s="5" t="n">
        <f aca="false">ROUND(5703*1.05,2)</f>
        <v>5988.15</v>
      </c>
      <c r="F192" s="5" t="s">
        <v>49</v>
      </c>
      <c r="G192" s="5" t="s">
        <v>18</v>
      </c>
      <c r="H192" s="5" t="n">
        <f aca="true">ROUND(RAND()*4+6,1)</f>
        <v>6.3</v>
      </c>
      <c r="I192" s="5" t="s">
        <v>19</v>
      </c>
      <c r="J192" s="5" t="str">
        <f aca="false">ROUND(88*1,0)&amp;"%"</f>
        <v>88%</v>
      </c>
    </row>
    <row r="193" customFormat="false" ht="15" hidden="false" customHeight="false" outlineLevel="0" collapsed="false">
      <c r="A193" s="6" t="s">
        <v>2081</v>
      </c>
      <c r="B193" s="6" t="s">
        <v>328</v>
      </c>
      <c r="C193" s="6" t="s">
        <v>57</v>
      </c>
      <c r="D193" s="6" t="s">
        <v>22</v>
      </c>
      <c r="E193" s="6" t="n">
        <f aca="false">ROUND(16872*1.05,2)</f>
        <v>17715.6</v>
      </c>
      <c r="F193" s="6" t="s">
        <v>52</v>
      </c>
      <c r="G193" s="6" t="s">
        <v>24</v>
      </c>
      <c r="H193" s="6" t="n">
        <f aca="true">ROUND(RAND()*4+6,1)</f>
        <v>9.1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2082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2083</v>
      </c>
      <c r="B198" s="5" t="s">
        <v>332</v>
      </c>
      <c r="C198" s="5" t="s">
        <v>76</v>
      </c>
      <c r="D198" s="5" t="s">
        <v>16</v>
      </c>
      <c r="E198" s="5" t="n">
        <f aca="false">ROUND(7731*1.05,2)</f>
        <v>8117.55</v>
      </c>
      <c r="F198" s="5" t="s">
        <v>17</v>
      </c>
      <c r="G198" s="5" t="s">
        <v>18</v>
      </c>
      <c r="H198" s="5" t="n">
        <f aca="true">ROUND(RAND()*4+6,1)</f>
        <v>8.9</v>
      </c>
      <c r="I198" s="5" t="s">
        <v>19</v>
      </c>
      <c r="J198" s="5" t="str">
        <f aca="false">ROUND(64*1,0)&amp;"%"</f>
        <v>64%</v>
      </c>
    </row>
    <row r="199" customFormat="false" ht="15" hidden="false" customHeight="false" outlineLevel="0" collapsed="false">
      <c r="A199" s="6" t="s">
        <v>2084</v>
      </c>
      <c r="B199" s="6" t="s">
        <v>334</v>
      </c>
      <c r="C199" s="6" t="s">
        <v>76</v>
      </c>
      <c r="D199" s="6" t="s">
        <v>22</v>
      </c>
      <c r="E199" s="6" t="n">
        <f aca="false">ROUND(10562*1.05,2)</f>
        <v>11090.1</v>
      </c>
      <c r="F199" s="6" t="s">
        <v>23</v>
      </c>
      <c r="G199" s="6" t="s">
        <v>24</v>
      </c>
      <c r="H199" s="6" t="n">
        <f aca="true">ROUND(RAND()*4+6,1)</f>
        <v>8.9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2085</v>
      </c>
      <c r="B200" s="5" t="s">
        <v>336</v>
      </c>
      <c r="C200" s="5" t="s">
        <v>76</v>
      </c>
      <c r="D200" s="5" t="s">
        <v>28</v>
      </c>
      <c r="E200" s="5" t="n">
        <f aca="false">ROUND(4322*1.05,2)</f>
        <v>4538.1</v>
      </c>
      <c r="F200" s="5" t="s">
        <v>29</v>
      </c>
      <c r="G200" s="5" t="s">
        <v>30</v>
      </c>
      <c r="H200" s="5" t="n">
        <f aca="true">ROUND(RAND()*4+6,1)</f>
        <v>8.9</v>
      </c>
      <c r="I200" s="5" t="s">
        <v>31</v>
      </c>
      <c r="J200" s="5" t="str">
        <f aca="false">ROUND(80*1,0)&amp;"%"</f>
        <v>80%</v>
      </c>
    </row>
    <row r="201" customFormat="false" ht="15" hidden="false" customHeight="false" outlineLevel="0" collapsed="false">
      <c r="A201" s="6" t="s">
        <v>2086</v>
      </c>
      <c r="B201" s="6" t="s">
        <v>338</v>
      </c>
      <c r="C201" s="6" t="s">
        <v>76</v>
      </c>
      <c r="D201" s="6" t="s">
        <v>34</v>
      </c>
      <c r="E201" s="6" t="n">
        <f aca="false">ROUND(4689*1.05,2)</f>
        <v>4923.45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2087</v>
      </c>
      <c r="B202" s="5" t="s">
        <v>340</v>
      </c>
      <c r="C202" s="5" t="s">
        <v>76</v>
      </c>
      <c r="D202" s="5" t="s">
        <v>39</v>
      </c>
      <c r="E202" s="5" t="n">
        <f aca="false">ROUND(13657*1.05,2)</f>
        <v>14339.85</v>
      </c>
      <c r="F202" s="5" t="s">
        <v>40</v>
      </c>
      <c r="G202" s="5" t="s">
        <v>24</v>
      </c>
      <c r="H202" s="5" t="n">
        <f aca="true">ROUND(RAND()*4+6,1)</f>
        <v>9.8</v>
      </c>
      <c r="I202" s="5" t="s">
        <v>41</v>
      </c>
      <c r="J202" s="5" t="str">
        <f aca="false">ROUND(78*1,0)&amp;"%"</f>
        <v>78%</v>
      </c>
    </row>
    <row r="203" customFormat="false" ht="15" hidden="false" customHeight="false" outlineLevel="0" collapsed="false">
      <c r="A203" s="6" t="s">
        <v>2088</v>
      </c>
      <c r="B203" s="6" t="s">
        <v>342</v>
      </c>
      <c r="C203" s="6" t="s">
        <v>76</v>
      </c>
      <c r="D203" s="6" t="s">
        <v>44</v>
      </c>
      <c r="E203" s="6" t="n">
        <f aca="false">ROUND(14513*1.05,2)</f>
        <v>15238.65</v>
      </c>
      <c r="F203" s="6" t="s">
        <v>45</v>
      </c>
      <c r="G203" s="6" t="s">
        <v>30</v>
      </c>
      <c r="H203" s="6" t="n">
        <f aca="true">ROUND(RAND()*4+6,1)</f>
        <v>6.1</v>
      </c>
      <c r="I203" s="6" t="s">
        <v>46</v>
      </c>
      <c r="J203" s="6" t="str">
        <f aca="false">ROUND(72*1,0)&amp;"%"</f>
        <v>72%</v>
      </c>
    </row>
    <row r="204" customFormat="false" ht="15" hidden="false" customHeight="false" outlineLevel="0" collapsed="false">
      <c r="A204" s="5" t="s">
        <v>2089</v>
      </c>
      <c r="B204" s="5" t="s">
        <v>344</v>
      </c>
      <c r="C204" s="5" t="s">
        <v>76</v>
      </c>
      <c r="D204" s="5" t="s">
        <v>16</v>
      </c>
      <c r="E204" s="5" t="n">
        <f aca="false">ROUND(17342*1.05,2)</f>
        <v>18209.1</v>
      </c>
      <c r="F204" s="5" t="s">
        <v>49</v>
      </c>
      <c r="G204" s="5" t="s">
        <v>18</v>
      </c>
      <c r="H204" s="5" t="n">
        <f aca="true">ROUND(RAND()*4+6,1)</f>
        <v>6.4</v>
      </c>
      <c r="I204" s="5" t="s">
        <v>19</v>
      </c>
      <c r="J204" s="5" t="str">
        <f aca="false">ROUND(69*1,0)&amp;"%"</f>
        <v>69%</v>
      </c>
    </row>
    <row r="205" customFormat="false" ht="15" hidden="false" customHeight="false" outlineLevel="0" collapsed="false">
      <c r="A205" s="6" t="s">
        <v>2090</v>
      </c>
      <c r="B205" s="6" t="s">
        <v>346</v>
      </c>
      <c r="C205" s="6" t="s">
        <v>76</v>
      </c>
      <c r="D205" s="6" t="s">
        <v>22</v>
      </c>
      <c r="E205" s="6" t="n">
        <f aca="false">ROUND(6296*1.05,2)</f>
        <v>6610.8</v>
      </c>
      <c r="F205" s="6" t="s">
        <v>52</v>
      </c>
      <c r="G205" s="6" t="s">
        <v>24</v>
      </c>
      <c r="H205" s="6" t="n">
        <f aca="true">ROUND(RAND()*4+6,1)</f>
        <v>8.6</v>
      </c>
      <c r="I205" s="6" t="s">
        <v>25</v>
      </c>
      <c r="J205" s="6" t="str">
        <f aca="false">ROUND(96*1,0)&amp;"%"</f>
        <v>96%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2091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2092</v>
      </c>
      <c r="B210" s="5" t="s">
        <v>350</v>
      </c>
      <c r="C210" s="5" t="s">
        <v>95</v>
      </c>
      <c r="D210" s="5" t="s">
        <v>16</v>
      </c>
      <c r="E210" s="5" t="n">
        <f aca="false">ROUND(7085*1.05,2)</f>
        <v>7439.25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ROUND(64*1,0)&amp;"%"</f>
        <v>64%</v>
      </c>
    </row>
    <row r="211" customFormat="false" ht="15" hidden="false" customHeight="false" outlineLevel="0" collapsed="false">
      <c r="A211" s="6" t="s">
        <v>2093</v>
      </c>
      <c r="B211" s="6" t="s">
        <v>352</v>
      </c>
      <c r="C211" s="6" t="s">
        <v>95</v>
      </c>
      <c r="D211" s="6" t="s">
        <v>22</v>
      </c>
      <c r="E211" s="6" t="n">
        <f aca="false">ROUND(11692*1.05,2)</f>
        <v>12276.6</v>
      </c>
      <c r="F211" s="6" t="s">
        <v>23</v>
      </c>
      <c r="G211" s="6" t="s">
        <v>24</v>
      </c>
      <c r="H211" s="6" t="n">
        <f aca="true">ROUND(RAND()*4+6,1)</f>
        <v>6.7</v>
      </c>
      <c r="I211" s="6" t="s">
        <v>25</v>
      </c>
      <c r="J211" s="6" t="str">
        <f aca="false">ROUND(88*1,0)&amp;"%"</f>
        <v>88%</v>
      </c>
    </row>
    <row r="212" customFormat="false" ht="15" hidden="false" customHeight="false" outlineLevel="0" collapsed="false">
      <c r="A212" s="5" t="s">
        <v>2094</v>
      </c>
      <c r="B212" s="5" t="s">
        <v>354</v>
      </c>
      <c r="C212" s="5" t="s">
        <v>95</v>
      </c>
      <c r="D212" s="5" t="s">
        <v>28</v>
      </c>
      <c r="E212" s="5" t="n">
        <f aca="false">ROUND(10989*1.05,2)</f>
        <v>11538.45</v>
      </c>
      <c r="F212" s="5" t="s">
        <v>29</v>
      </c>
      <c r="G212" s="5" t="s">
        <v>30</v>
      </c>
      <c r="H212" s="5" t="n">
        <f aca="true">ROUND(RAND()*4+6,1)</f>
        <v>7.5</v>
      </c>
      <c r="I212" s="5" t="s">
        <v>31</v>
      </c>
      <c r="J212" s="5" t="str">
        <f aca="false">ROUND(100*1,0)&amp;"%"</f>
        <v>100%</v>
      </c>
    </row>
    <row r="213" customFormat="false" ht="15" hidden="false" customHeight="false" outlineLevel="0" collapsed="false">
      <c r="A213" s="6" t="s">
        <v>2095</v>
      </c>
      <c r="B213" s="6" t="s">
        <v>356</v>
      </c>
      <c r="C213" s="6" t="s">
        <v>95</v>
      </c>
      <c r="D213" s="6" t="s">
        <v>34</v>
      </c>
      <c r="E213" s="6" t="n">
        <f aca="false">ROUND(9721*1.05,2)</f>
        <v>10207.05</v>
      </c>
      <c r="F213" s="6" t="s">
        <v>35</v>
      </c>
      <c r="G213" s="6" t="s">
        <v>18</v>
      </c>
      <c r="H213" s="6" t="n">
        <f aca="true">ROUND(RAND()*4+6,1)</f>
        <v>8</v>
      </c>
      <c r="I213" s="6" t="s">
        <v>36</v>
      </c>
      <c r="J213" s="6" t="str">
        <f aca="false">ROUND(94*1,0)&amp;"%"</f>
        <v>94%</v>
      </c>
    </row>
    <row r="214" customFormat="false" ht="15" hidden="false" customHeight="false" outlineLevel="0" collapsed="false">
      <c r="A214" s="5" t="s">
        <v>2096</v>
      </c>
      <c r="B214" s="5" t="s">
        <v>358</v>
      </c>
      <c r="C214" s="5" t="s">
        <v>95</v>
      </c>
      <c r="D214" s="5" t="s">
        <v>39</v>
      </c>
      <c r="E214" s="5" t="n">
        <f aca="false">ROUND(4361*1.05,2)</f>
        <v>4579.05</v>
      </c>
      <c r="F214" s="5" t="s">
        <v>40</v>
      </c>
      <c r="G214" s="5" t="s">
        <v>24</v>
      </c>
      <c r="H214" s="5" t="n">
        <f aca="true">ROUND(RAND()*4+6,1)</f>
        <v>6.1</v>
      </c>
      <c r="I214" s="5" t="s">
        <v>41</v>
      </c>
      <c r="J214" s="5" t="str">
        <f aca="false">ROUND(88*1,0)&amp;"%"</f>
        <v>88%</v>
      </c>
    </row>
    <row r="215" customFormat="false" ht="15" hidden="false" customHeight="false" outlineLevel="0" collapsed="false">
      <c r="A215" s="6" t="s">
        <v>2097</v>
      </c>
      <c r="B215" s="6" t="s">
        <v>360</v>
      </c>
      <c r="C215" s="6" t="s">
        <v>95</v>
      </c>
      <c r="D215" s="6" t="s">
        <v>44</v>
      </c>
      <c r="E215" s="6" t="n">
        <f aca="false">ROUND(6989*1.05,2)</f>
        <v>7338.45</v>
      </c>
      <c r="F215" s="6" t="s">
        <v>45</v>
      </c>
      <c r="G215" s="6" t="s">
        <v>30</v>
      </c>
      <c r="H215" s="6" t="n">
        <f aca="true">ROUND(RAND()*4+6,1)</f>
        <v>9</v>
      </c>
      <c r="I215" s="6" t="s">
        <v>46</v>
      </c>
      <c r="J215" s="6" t="str">
        <f aca="false">ROUND(73*1,0)&amp;"%"</f>
        <v>73%</v>
      </c>
    </row>
    <row r="216" customFormat="false" ht="15" hidden="false" customHeight="false" outlineLevel="0" collapsed="false">
      <c r="A216" s="5" t="s">
        <v>2098</v>
      </c>
      <c r="B216" s="5" t="s">
        <v>362</v>
      </c>
      <c r="C216" s="5" t="s">
        <v>95</v>
      </c>
      <c r="D216" s="5" t="s">
        <v>16</v>
      </c>
      <c r="E216" s="5" t="n">
        <f aca="false">ROUND(8225*1.05,2)</f>
        <v>8636.25</v>
      </c>
      <c r="F216" s="5" t="s">
        <v>49</v>
      </c>
      <c r="G216" s="5" t="s">
        <v>18</v>
      </c>
      <c r="H216" s="5" t="n">
        <f aca="true">ROUND(RAND()*4+6,1)</f>
        <v>6</v>
      </c>
      <c r="I216" s="5" t="s">
        <v>19</v>
      </c>
      <c r="J216" s="5" t="str">
        <f aca="false">ROUND(81*1,0)&amp;"%"</f>
        <v>81%</v>
      </c>
    </row>
    <row r="217" customFormat="false" ht="15" hidden="false" customHeight="false" outlineLevel="0" collapsed="false">
      <c r="A217" s="6" t="s">
        <v>2099</v>
      </c>
      <c r="B217" s="6" t="s">
        <v>364</v>
      </c>
      <c r="C217" s="6" t="s">
        <v>95</v>
      </c>
      <c r="D217" s="6" t="s">
        <v>22</v>
      </c>
      <c r="E217" s="6" t="n">
        <f aca="false">ROUND(8137*1.05,2)</f>
        <v>8543.85</v>
      </c>
      <c r="F217" s="6" t="s">
        <v>52</v>
      </c>
      <c r="G217" s="6" t="s">
        <v>24</v>
      </c>
      <c r="H217" s="6" t="n">
        <f aca="true">ROUND(RAND()*4+6,1)</f>
        <v>8.8</v>
      </c>
      <c r="I217" s="6" t="s">
        <v>25</v>
      </c>
      <c r="J217" s="6" t="str">
        <f aca="false">ROUND(63*1,0)&amp;"%"</f>
        <v>63%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2100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2101</v>
      </c>
      <c r="B222" s="5" t="s">
        <v>368</v>
      </c>
      <c r="C222" s="5" t="s">
        <v>114</v>
      </c>
      <c r="D222" s="5" t="s">
        <v>16</v>
      </c>
      <c r="E222" s="5" t="n">
        <f aca="false">ROUND(4438*1.05,2)</f>
        <v>4659.9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ROUND(89*1,0)&amp;"%"</f>
        <v>89%</v>
      </c>
    </row>
    <row r="223" customFormat="false" ht="15" hidden="false" customHeight="false" outlineLevel="0" collapsed="false">
      <c r="A223" s="6" t="s">
        <v>2102</v>
      </c>
      <c r="B223" s="6" t="s">
        <v>370</v>
      </c>
      <c r="C223" s="6" t="s">
        <v>114</v>
      </c>
      <c r="D223" s="6" t="s">
        <v>22</v>
      </c>
      <c r="E223" s="6" t="n">
        <f aca="false">ROUND(9761*1.05,2)</f>
        <v>10249.05</v>
      </c>
      <c r="F223" s="6" t="s">
        <v>23</v>
      </c>
      <c r="G223" s="6" t="s">
        <v>24</v>
      </c>
      <c r="H223" s="6" t="n">
        <f aca="true">ROUND(RAND()*4+6,1)</f>
        <v>9.2</v>
      </c>
      <c r="I223" s="6" t="s">
        <v>25</v>
      </c>
      <c r="J223" s="6" t="str">
        <f aca="false">ROUND(95*1,0)&amp;"%"</f>
        <v>95%</v>
      </c>
    </row>
    <row r="224" customFormat="false" ht="15" hidden="false" customHeight="false" outlineLevel="0" collapsed="false">
      <c r="A224" s="5" t="s">
        <v>2103</v>
      </c>
      <c r="B224" s="5" t="s">
        <v>372</v>
      </c>
      <c r="C224" s="5" t="s">
        <v>114</v>
      </c>
      <c r="D224" s="5" t="s">
        <v>28</v>
      </c>
      <c r="E224" s="5" t="n">
        <f aca="false">ROUND(6189*1.05,2)</f>
        <v>6498.45</v>
      </c>
      <c r="F224" s="5" t="s">
        <v>29</v>
      </c>
      <c r="G224" s="5" t="s">
        <v>30</v>
      </c>
      <c r="H224" s="5" t="n">
        <f aca="true">ROUND(RAND()*4+6,1)</f>
        <v>7.7</v>
      </c>
      <c r="I224" s="5" t="s">
        <v>31</v>
      </c>
      <c r="J224" s="5" t="str">
        <f aca="false">ROUND(96*1,0)&amp;"%"</f>
        <v>96%</v>
      </c>
    </row>
    <row r="225" customFormat="false" ht="15" hidden="false" customHeight="false" outlineLevel="0" collapsed="false">
      <c r="A225" s="6" t="s">
        <v>2104</v>
      </c>
      <c r="B225" s="6" t="s">
        <v>374</v>
      </c>
      <c r="C225" s="6" t="s">
        <v>114</v>
      </c>
      <c r="D225" s="6" t="s">
        <v>34</v>
      </c>
      <c r="E225" s="6" t="n">
        <f aca="false">ROUND(8626*1.05,2)</f>
        <v>9057.3</v>
      </c>
      <c r="F225" s="6" t="s">
        <v>35</v>
      </c>
      <c r="G225" s="6" t="s">
        <v>18</v>
      </c>
      <c r="H225" s="6" t="n">
        <f aca="true">ROUND(RAND()*4+6,1)</f>
        <v>9.2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2105</v>
      </c>
      <c r="B226" s="5" t="s">
        <v>376</v>
      </c>
      <c r="C226" s="5" t="s">
        <v>114</v>
      </c>
      <c r="D226" s="5" t="s">
        <v>39</v>
      </c>
      <c r="E226" s="5" t="n">
        <f aca="false">ROUND(14702*1.05,2)</f>
        <v>15437.1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ROUND(69*1,0)&amp;"%"</f>
        <v>69%</v>
      </c>
    </row>
    <row r="227" customFormat="false" ht="15" hidden="false" customHeight="false" outlineLevel="0" collapsed="false">
      <c r="A227" s="6" t="s">
        <v>2106</v>
      </c>
      <c r="B227" s="6" t="s">
        <v>378</v>
      </c>
      <c r="C227" s="6" t="s">
        <v>114</v>
      </c>
      <c r="D227" s="6" t="s">
        <v>44</v>
      </c>
      <c r="E227" s="6" t="n">
        <f aca="false">ROUND(7368*1.05,2)</f>
        <v>7736.4</v>
      </c>
      <c r="F227" s="6" t="s">
        <v>45</v>
      </c>
      <c r="G227" s="6" t="s">
        <v>30</v>
      </c>
      <c r="H227" s="6" t="n">
        <f aca="true">ROUND(RAND()*4+6,1)</f>
        <v>8.5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2107</v>
      </c>
      <c r="B228" s="5" t="s">
        <v>380</v>
      </c>
      <c r="C228" s="5" t="s">
        <v>114</v>
      </c>
      <c r="D228" s="5" t="s">
        <v>16</v>
      </c>
      <c r="E228" s="5" t="n">
        <f aca="false">ROUND(9439*1.05,2)</f>
        <v>9910.95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ROUND(65*1,0)&amp;"%"</f>
        <v>65%</v>
      </c>
    </row>
    <row r="229" customFormat="false" ht="15" hidden="false" customHeight="false" outlineLevel="0" collapsed="false">
      <c r="A229" s="6" t="s">
        <v>2108</v>
      </c>
      <c r="B229" s="6" t="s">
        <v>382</v>
      </c>
      <c r="C229" s="6" t="s">
        <v>114</v>
      </c>
      <c r="D229" s="6" t="s">
        <v>22</v>
      </c>
      <c r="E229" s="6" t="n">
        <f aca="false">ROUND(8780*1.05,2)</f>
        <v>9219</v>
      </c>
      <c r="F229" s="6" t="s">
        <v>52</v>
      </c>
      <c r="G229" s="6" t="s">
        <v>24</v>
      </c>
      <c r="H229" s="6" t="n">
        <f aca="true">ROUND(RAND()*4+6,1)</f>
        <v>8.2</v>
      </c>
      <c r="I229" s="6" t="s">
        <v>25</v>
      </c>
      <c r="J229" s="6" t="str">
        <f aca="false">ROUND(78*1,0)&amp;"%"</f>
        <v>78%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2109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2110</v>
      </c>
      <c r="B234" s="5" t="s">
        <v>386</v>
      </c>
      <c r="C234" s="5" t="s">
        <v>133</v>
      </c>
      <c r="D234" s="5" t="s">
        <v>16</v>
      </c>
      <c r="E234" s="5" t="n">
        <f aca="false">ROUND(13054*1.05,2)</f>
        <v>13706.7</v>
      </c>
      <c r="F234" s="5" t="s">
        <v>17</v>
      </c>
      <c r="G234" s="5" t="s">
        <v>18</v>
      </c>
      <c r="H234" s="5" t="n">
        <f aca="true">ROUND(RAND()*4+6,1)</f>
        <v>9.9</v>
      </c>
      <c r="I234" s="5" t="s">
        <v>19</v>
      </c>
      <c r="J234" s="5" t="str">
        <f aca="false">ROUND(73*1,0)&amp;"%"</f>
        <v>73%</v>
      </c>
    </row>
    <row r="235" customFormat="false" ht="15" hidden="false" customHeight="false" outlineLevel="0" collapsed="false">
      <c r="A235" s="6" t="s">
        <v>2111</v>
      </c>
      <c r="B235" s="6" t="s">
        <v>388</v>
      </c>
      <c r="C235" s="6" t="s">
        <v>133</v>
      </c>
      <c r="D235" s="6" t="s">
        <v>22</v>
      </c>
      <c r="E235" s="6" t="n">
        <f aca="false">ROUND(16784*1.05,2)</f>
        <v>17623.2</v>
      </c>
      <c r="F235" s="6" t="s">
        <v>23</v>
      </c>
      <c r="G235" s="6" t="s">
        <v>24</v>
      </c>
      <c r="H235" s="6" t="n">
        <f aca="true">ROUND(RAND()*4+6,1)</f>
        <v>6.7</v>
      </c>
      <c r="I235" s="6" t="s">
        <v>25</v>
      </c>
      <c r="J235" s="6" t="str">
        <f aca="false">ROUND(72*1,0)&amp;"%"</f>
        <v>72%</v>
      </c>
    </row>
    <row r="236" customFormat="false" ht="15" hidden="false" customHeight="false" outlineLevel="0" collapsed="false">
      <c r="A236" s="5" t="s">
        <v>2112</v>
      </c>
      <c r="B236" s="5" t="s">
        <v>390</v>
      </c>
      <c r="C236" s="5" t="s">
        <v>133</v>
      </c>
      <c r="D236" s="5" t="s">
        <v>28</v>
      </c>
      <c r="E236" s="5" t="n">
        <f aca="false">ROUND(17982*1.05,2)</f>
        <v>18881.1</v>
      </c>
      <c r="F236" s="5" t="s">
        <v>29</v>
      </c>
      <c r="G236" s="5" t="s">
        <v>30</v>
      </c>
      <c r="H236" s="5" t="n">
        <f aca="true">ROUND(RAND()*4+6,1)</f>
        <v>7.5</v>
      </c>
      <c r="I236" s="5" t="s">
        <v>31</v>
      </c>
      <c r="J236" s="5" t="str">
        <f aca="false">ROUND(100*1,0)&amp;"%"</f>
        <v>100%</v>
      </c>
    </row>
    <row r="237" customFormat="false" ht="15" hidden="false" customHeight="false" outlineLevel="0" collapsed="false">
      <c r="A237" s="6" t="s">
        <v>2113</v>
      </c>
      <c r="B237" s="6" t="s">
        <v>392</v>
      </c>
      <c r="C237" s="6" t="s">
        <v>133</v>
      </c>
      <c r="D237" s="6" t="s">
        <v>34</v>
      </c>
      <c r="E237" s="6" t="n">
        <f aca="false">ROUND(16674*1.05,2)</f>
        <v>17507.7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ROUND(65*1,0)&amp;"%"</f>
        <v>65%</v>
      </c>
    </row>
    <row r="238" customFormat="false" ht="15" hidden="false" customHeight="false" outlineLevel="0" collapsed="false">
      <c r="A238" s="5" t="s">
        <v>2114</v>
      </c>
      <c r="B238" s="5" t="s">
        <v>394</v>
      </c>
      <c r="C238" s="5" t="s">
        <v>133</v>
      </c>
      <c r="D238" s="5" t="s">
        <v>39</v>
      </c>
      <c r="E238" s="5" t="n">
        <f aca="false">ROUND(12074*1.05,2)</f>
        <v>12677.7</v>
      </c>
      <c r="F238" s="5" t="s">
        <v>40</v>
      </c>
      <c r="G238" s="5" t="s">
        <v>24</v>
      </c>
      <c r="H238" s="5" t="n">
        <f aca="true">ROUND(RAND()*4+6,1)</f>
        <v>8.6</v>
      </c>
      <c r="I238" s="5" t="s">
        <v>41</v>
      </c>
      <c r="J238" s="5" t="str">
        <f aca="false">ROUND(62*1,0)&amp;"%"</f>
        <v>62%</v>
      </c>
    </row>
    <row r="239" customFormat="false" ht="15" hidden="false" customHeight="false" outlineLevel="0" collapsed="false">
      <c r="A239" s="6" t="s">
        <v>2115</v>
      </c>
      <c r="B239" s="6" t="s">
        <v>396</v>
      </c>
      <c r="C239" s="6" t="s">
        <v>133</v>
      </c>
      <c r="D239" s="6" t="s">
        <v>44</v>
      </c>
      <c r="E239" s="6" t="n">
        <f aca="false">ROUND(14648*1.05,2)</f>
        <v>15380.4</v>
      </c>
      <c r="F239" s="6" t="s">
        <v>45</v>
      </c>
      <c r="G239" s="6" t="s">
        <v>30</v>
      </c>
      <c r="H239" s="6" t="n">
        <f aca="true">ROUND(RAND()*4+6,1)</f>
        <v>8.8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2116</v>
      </c>
      <c r="B240" s="5" t="s">
        <v>398</v>
      </c>
      <c r="C240" s="5" t="s">
        <v>133</v>
      </c>
      <c r="D240" s="5" t="s">
        <v>16</v>
      </c>
      <c r="E240" s="5" t="n">
        <f aca="false">ROUND(16400*1.05,2)</f>
        <v>17220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ROUND(81*1,0)&amp;"%"</f>
        <v>81%</v>
      </c>
    </row>
    <row r="241" customFormat="false" ht="15" hidden="false" customHeight="false" outlineLevel="0" collapsed="false">
      <c r="A241" s="6" t="s">
        <v>2117</v>
      </c>
      <c r="B241" s="6" t="s">
        <v>400</v>
      </c>
      <c r="C241" s="6" t="s">
        <v>133</v>
      </c>
      <c r="D241" s="6" t="s">
        <v>22</v>
      </c>
      <c r="E241" s="6" t="n">
        <f aca="false">ROUND(13895*1.05,2)</f>
        <v>14589.75</v>
      </c>
      <c r="F241" s="6" t="s">
        <v>52</v>
      </c>
      <c r="G241" s="6" t="s">
        <v>24</v>
      </c>
      <c r="H241" s="6" t="n">
        <f aca="true">ROUND(RAND()*4+6,1)</f>
        <v>7.2</v>
      </c>
      <c r="I241" s="6" t="s">
        <v>25</v>
      </c>
      <c r="J241" s="6" t="str">
        <f aca="false">ROUND(63*1,0)&amp;"%"</f>
        <v>63%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2118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2119</v>
      </c>
      <c r="B246" s="5" t="s">
        <v>404</v>
      </c>
      <c r="C246" s="5" t="s">
        <v>152</v>
      </c>
      <c r="D246" s="5" t="s">
        <v>16</v>
      </c>
      <c r="E246" s="5" t="n">
        <f aca="false">ROUND(11986*1.05,2)</f>
        <v>12585.3</v>
      </c>
      <c r="F246" s="5" t="s">
        <v>17</v>
      </c>
      <c r="G246" s="5" t="s">
        <v>18</v>
      </c>
      <c r="H246" s="5" t="n">
        <f aca="true">ROUND(RAND()*4+6,1)</f>
        <v>6.9</v>
      </c>
      <c r="I246" s="5" t="s">
        <v>19</v>
      </c>
      <c r="J246" s="5" t="str">
        <f aca="false">ROUND(83*1,0)&amp;"%"</f>
        <v>83%</v>
      </c>
    </row>
    <row r="247" customFormat="false" ht="15" hidden="false" customHeight="false" outlineLevel="0" collapsed="false">
      <c r="A247" s="6" t="s">
        <v>2120</v>
      </c>
      <c r="B247" s="6" t="s">
        <v>406</v>
      </c>
      <c r="C247" s="6" t="s">
        <v>152</v>
      </c>
      <c r="D247" s="6" t="s">
        <v>22</v>
      </c>
      <c r="E247" s="6" t="n">
        <f aca="false">ROUND(5157*1.05,2)</f>
        <v>5414.85</v>
      </c>
      <c r="F247" s="6" t="s">
        <v>23</v>
      </c>
      <c r="G247" s="6" t="s">
        <v>24</v>
      </c>
      <c r="H247" s="6" t="n">
        <f aca="true">ROUND(RAND()*4+6,1)</f>
        <v>10</v>
      </c>
      <c r="I247" s="6" t="s">
        <v>25</v>
      </c>
      <c r="J247" s="6" t="str">
        <f aca="false">ROUND(63*1,0)&amp;"%"</f>
        <v>63%</v>
      </c>
    </row>
    <row r="248" customFormat="false" ht="15" hidden="false" customHeight="false" outlineLevel="0" collapsed="false">
      <c r="A248" s="5" t="s">
        <v>2121</v>
      </c>
      <c r="B248" s="5" t="s">
        <v>408</v>
      </c>
      <c r="C248" s="5" t="s">
        <v>152</v>
      </c>
      <c r="D248" s="5" t="s">
        <v>28</v>
      </c>
      <c r="E248" s="5" t="n">
        <f aca="false">ROUND(7391*1.05,2)</f>
        <v>7760.55</v>
      </c>
      <c r="F248" s="5" t="s">
        <v>29</v>
      </c>
      <c r="G248" s="5" t="s">
        <v>30</v>
      </c>
      <c r="H248" s="5" t="n">
        <f aca="true">ROUND(RAND()*4+6,1)</f>
        <v>9</v>
      </c>
      <c r="I248" s="5" t="s">
        <v>31</v>
      </c>
      <c r="J248" s="5" t="str">
        <f aca="false">ROUND(93*1,0)&amp;"%"</f>
        <v>93%</v>
      </c>
    </row>
    <row r="249" customFormat="false" ht="15" hidden="false" customHeight="false" outlineLevel="0" collapsed="false">
      <c r="A249" s="6" t="s">
        <v>2122</v>
      </c>
      <c r="B249" s="6" t="s">
        <v>410</v>
      </c>
      <c r="C249" s="6" t="s">
        <v>152</v>
      </c>
      <c r="D249" s="6" t="s">
        <v>34</v>
      </c>
      <c r="E249" s="6" t="n">
        <f aca="false">ROUND(5105*1.05,2)</f>
        <v>5360.25</v>
      </c>
      <c r="F249" s="6" t="s">
        <v>35</v>
      </c>
      <c r="G249" s="6" t="s">
        <v>18</v>
      </c>
      <c r="H249" s="6" t="n">
        <f aca="true">ROUND(RAND()*4+6,1)</f>
        <v>8.3</v>
      </c>
      <c r="I249" s="6" t="s">
        <v>36</v>
      </c>
      <c r="J249" s="6" t="str">
        <f aca="false">ROUND(61*1,0)&amp;"%"</f>
        <v>61%</v>
      </c>
    </row>
    <row r="250" customFormat="false" ht="15" hidden="false" customHeight="false" outlineLevel="0" collapsed="false">
      <c r="A250" s="5" t="s">
        <v>2123</v>
      </c>
      <c r="B250" s="5" t="s">
        <v>412</v>
      </c>
      <c r="C250" s="5" t="s">
        <v>152</v>
      </c>
      <c r="D250" s="5" t="s">
        <v>39</v>
      </c>
      <c r="E250" s="5" t="n">
        <f aca="false">ROUND(8251*1.05,2)</f>
        <v>8663.55</v>
      </c>
      <c r="F250" s="5" t="s">
        <v>40</v>
      </c>
      <c r="G250" s="5" t="s">
        <v>24</v>
      </c>
      <c r="H250" s="5" t="n">
        <f aca="true">ROUND(RAND()*4+6,1)</f>
        <v>8.9</v>
      </c>
      <c r="I250" s="5" t="s">
        <v>41</v>
      </c>
      <c r="J250" s="5" t="str">
        <f aca="false">ROUND(79*1,0)&amp;"%"</f>
        <v>79%</v>
      </c>
    </row>
    <row r="251" customFormat="false" ht="15" hidden="false" customHeight="false" outlineLevel="0" collapsed="false">
      <c r="A251" s="6" t="s">
        <v>2124</v>
      </c>
      <c r="B251" s="6" t="s">
        <v>414</v>
      </c>
      <c r="C251" s="6" t="s">
        <v>152</v>
      </c>
      <c r="D251" s="6" t="s">
        <v>44</v>
      </c>
      <c r="E251" s="6" t="n">
        <f aca="false">ROUND(9600*1.05,2)</f>
        <v>10080</v>
      </c>
      <c r="F251" s="6" t="s">
        <v>45</v>
      </c>
      <c r="G251" s="6" t="s">
        <v>30</v>
      </c>
      <c r="H251" s="6" t="n">
        <f aca="true">ROUND(RAND()*4+6,1)</f>
        <v>7.8</v>
      </c>
      <c r="I251" s="6" t="s">
        <v>46</v>
      </c>
      <c r="J251" s="6" t="str">
        <f aca="false">ROUND(98*1,0)&amp;"%"</f>
        <v>98%</v>
      </c>
    </row>
    <row r="252" customFormat="false" ht="15" hidden="false" customHeight="false" outlineLevel="0" collapsed="false">
      <c r="A252" s="5" t="s">
        <v>2125</v>
      </c>
      <c r="B252" s="5" t="s">
        <v>416</v>
      </c>
      <c r="C252" s="5" t="s">
        <v>152</v>
      </c>
      <c r="D252" s="5" t="s">
        <v>16</v>
      </c>
      <c r="E252" s="5" t="n">
        <f aca="false">ROUND(12995*1.05,2)</f>
        <v>13644.75</v>
      </c>
      <c r="F252" s="5" t="s">
        <v>49</v>
      </c>
      <c r="G252" s="5" t="s">
        <v>18</v>
      </c>
      <c r="H252" s="5" t="n">
        <f aca="true">ROUND(RAND()*4+6,1)</f>
        <v>9.1</v>
      </c>
      <c r="I252" s="5" t="s">
        <v>19</v>
      </c>
      <c r="J252" s="5" t="str">
        <f aca="false">ROUND(72*1,0)&amp;"%"</f>
        <v>72%</v>
      </c>
    </row>
    <row r="253" customFormat="false" ht="15" hidden="false" customHeight="false" outlineLevel="0" collapsed="false">
      <c r="A253" s="6" t="s">
        <v>2126</v>
      </c>
      <c r="B253" s="6" t="s">
        <v>418</v>
      </c>
      <c r="C253" s="6" t="s">
        <v>152</v>
      </c>
      <c r="D253" s="6" t="s">
        <v>22</v>
      </c>
      <c r="E253" s="6" t="n">
        <f aca="false">ROUND(11651*1.05,2)</f>
        <v>12233.55</v>
      </c>
      <c r="F253" s="6" t="s">
        <v>52</v>
      </c>
      <c r="G253" s="6" t="s">
        <v>24</v>
      </c>
      <c r="H253" s="6" t="n">
        <f aca="true">ROUND(RAND()*4+6,1)</f>
        <v>7.8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2127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2128</v>
      </c>
      <c r="B258" s="5" t="s">
        <v>422</v>
      </c>
      <c r="C258" s="5" t="s">
        <v>15</v>
      </c>
      <c r="D258" s="5" t="s">
        <v>16</v>
      </c>
      <c r="E258" s="5" t="n">
        <f aca="false">ROUND(12470*1.05,2)</f>
        <v>13093.5</v>
      </c>
      <c r="F258" s="5" t="s">
        <v>17</v>
      </c>
      <c r="G258" s="5" t="s">
        <v>18</v>
      </c>
      <c r="H258" s="5" t="n">
        <f aca="true">ROUND(RAND()*4+6,1)</f>
        <v>9.7</v>
      </c>
      <c r="I258" s="5" t="s">
        <v>19</v>
      </c>
      <c r="J258" s="5" t="str">
        <f aca="false">ROUND(72*1,0)&amp;"%"</f>
        <v>72%</v>
      </c>
    </row>
    <row r="259" customFormat="false" ht="15" hidden="false" customHeight="false" outlineLevel="0" collapsed="false">
      <c r="A259" s="6" t="s">
        <v>2129</v>
      </c>
      <c r="B259" s="6" t="s">
        <v>424</v>
      </c>
      <c r="C259" s="6" t="s">
        <v>15</v>
      </c>
      <c r="D259" s="6" t="s">
        <v>22</v>
      </c>
      <c r="E259" s="6" t="n">
        <f aca="false">ROUND(16644*1.05,2)</f>
        <v>17476.2</v>
      </c>
      <c r="F259" s="6" t="s">
        <v>23</v>
      </c>
      <c r="G259" s="6" t="s">
        <v>24</v>
      </c>
      <c r="H259" s="6" t="n">
        <f aca="true">ROUND(RAND()*4+6,1)</f>
        <v>8.4</v>
      </c>
      <c r="I259" s="6" t="s">
        <v>25</v>
      </c>
      <c r="J259" s="6" t="str">
        <f aca="false">ROUND(99*1,0)&amp;"%"</f>
        <v>99%</v>
      </c>
    </row>
    <row r="260" customFormat="false" ht="15" hidden="false" customHeight="false" outlineLevel="0" collapsed="false">
      <c r="A260" s="5" t="s">
        <v>2130</v>
      </c>
      <c r="B260" s="5" t="s">
        <v>426</v>
      </c>
      <c r="C260" s="5" t="s">
        <v>15</v>
      </c>
      <c r="D260" s="5" t="s">
        <v>28</v>
      </c>
      <c r="E260" s="5" t="n">
        <f aca="false">ROUND(9363*1.05,2)</f>
        <v>9831.15</v>
      </c>
      <c r="F260" s="5" t="s">
        <v>29</v>
      </c>
      <c r="G260" s="5" t="s">
        <v>30</v>
      </c>
      <c r="H260" s="5" t="n">
        <f aca="true">ROUND(RAND()*4+6,1)</f>
        <v>9.7</v>
      </c>
      <c r="I260" s="5" t="s">
        <v>31</v>
      </c>
      <c r="J260" s="5" t="str">
        <f aca="false">ROUND(76*1,0)&amp;"%"</f>
        <v>76%</v>
      </c>
    </row>
    <row r="261" customFormat="false" ht="15" hidden="false" customHeight="false" outlineLevel="0" collapsed="false">
      <c r="A261" s="6" t="s">
        <v>2131</v>
      </c>
      <c r="B261" s="6" t="s">
        <v>428</v>
      </c>
      <c r="C261" s="6" t="s">
        <v>15</v>
      </c>
      <c r="D261" s="6" t="s">
        <v>34</v>
      </c>
      <c r="E261" s="6" t="n">
        <f aca="false">ROUND(13884*1.05,2)</f>
        <v>14578.2</v>
      </c>
      <c r="F261" s="6" t="s">
        <v>35</v>
      </c>
      <c r="G261" s="6" t="s">
        <v>18</v>
      </c>
      <c r="H261" s="6" t="n">
        <f aca="true">ROUND(RAND()*4+6,1)</f>
        <v>9</v>
      </c>
      <c r="I261" s="6" t="s">
        <v>36</v>
      </c>
      <c r="J261" s="6" t="str">
        <f aca="false">ROUND(80*1,0)&amp;"%"</f>
        <v>80%</v>
      </c>
    </row>
    <row r="262" customFormat="false" ht="15" hidden="false" customHeight="false" outlineLevel="0" collapsed="false">
      <c r="A262" s="5" t="s">
        <v>2132</v>
      </c>
      <c r="B262" s="5" t="s">
        <v>430</v>
      </c>
      <c r="C262" s="5" t="s">
        <v>15</v>
      </c>
      <c r="D262" s="5" t="s">
        <v>39</v>
      </c>
      <c r="E262" s="5" t="n">
        <f aca="false">ROUND(11861*1.05,2)</f>
        <v>12454.05</v>
      </c>
      <c r="F262" s="5" t="s">
        <v>40</v>
      </c>
      <c r="G262" s="5" t="s">
        <v>24</v>
      </c>
      <c r="H262" s="5" t="n">
        <f aca="true">ROUND(RAND()*4+6,1)</f>
        <v>7.2</v>
      </c>
      <c r="I262" s="5" t="s">
        <v>41</v>
      </c>
      <c r="J262" s="5" t="str">
        <f aca="false">ROUND(93*1,0)&amp;"%"</f>
        <v>93%</v>
      </c>
    </row>
    <row r="263" customFormat="false" ht="15" hidden="false" customHeight="false" outlineLevel="0" collapsed="false">
      <c r="A263" s="6" t="s">
        <v>2133</v>
      </c>
      <c r="B263" s="6" t="s">
        <v>432</v>
      </c>
      <c r="C263" s="6" t="s">
        <v>15</v>
      </c>
      <c r="D263" s="6" t="s">
        <v>44</v>
      </c>
      <c r="E263" s="6" t="n">
        <f aca="false">ROUND(11387*1.05,2)</f>
        <v>11956.35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ROUND(76*1,0)&amp;"%"</f>
        <v>76%</v>
      </c>
    </row>
    <row r="264" customFormat="false" ht="15" hidden="false" customHeight="false" outlineLevel="0" collapsed="false">
      <c r="A264" s="5" t="s">
        <v>2134</v>
      </c>
      <c r="B264" s="5" t="s">
        <v>434</v>
      </c>
      <c r="C264" s="5" t="s">
        <v>15</v>
      </c>
      <c r="D264" s="5" t="s">
        <v>16</v>
      </c>
      <c r="E264" s="5" t="n">
        <f aca="false">ROUND(7436*1.05,2)</f>
        <v>7807.8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2135</v>
      </c>
      <c r="B265" s="6" t="s">
        <v>436</v>
      </c>
      <c r="C265" s="6" t="s">
        <v>15</v>
      </c>
      <c r="D265" s="6" t="s">
        <v>22</v>
      </c>
      <c r="E265" s="6" t="n">
        <f aca="false">ROUND(12028*1.05,2)</f>
        <v>12629.4</v>
      </c>
      <c r="F265" s="6" t="s">
        <v>52</v>
      </c>
      <c r="G265" s="6" t="s">
        <v>24</v>
      </c>
      <c r="H265" s="6" t="n">
        <f aca="true">ROUND(RAND()*4+6,1)</f>
        <v>7.3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2136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2137</v>
      </c>
      <c r="B270" s="5" t="s">
        <v>440</v>
      </c>
      <c r="C270" s="5" t="s">
        <v>57</v>
      </c>
      <c r="D270" s="5" t="s">
        <v>16</v>
      </c>
      <c r="E270" s="5" t="n">
        <f aca="false">ROUND(17033*1.05,2)</f>
        <v>17884.65</v>
      </c>
      <c r="F270" s="5" t="s">
        <v>17</v>
      </c>
      <c r="G270" s="5" t="s">
        <v>18</v>
      </c>
      <c r="H270" s="5" t="n">
        <f aca="true">ROUND(RAND()*4+6,1)</f>
        <v>6.5</v>
      </c>
      <c r="I270" s="5" t="s">
        <v>19</v>
      </c>
      <c r="J270" s="5" t="str">
        <f aca="false">ROUND(80*1,0)&amp;"%"</f>
        <v>80%</v>
      </c>
    </row>
    <row r="271" customFormat="false" ht="15" hidden="false" customHeight="false" outlineLevel="0" collapsed="false">
      <c r="A271" s="6" t="s">
        <v>2138</v>
      </c>
      <c r="B271" s="6" t="s">
        <v>442</v>
      </c>
      <c r="C271" s="6" t="s">
        <v>57</v>
      </c>
      <c r="D271" s="6" t="s">
        <v>22</v>
      </c>
      <c r="E271" s="6" t="n">
        <f aca="false">ROUND(5563*1.05,2)</f>
        <v>5841.15</v>
      </c>
      <c r="F271" s="6" t="s">
        <v>23</v>
      </c>
      <c r="G271" s="6" t="s">
        <v>24</v>
      </c>
      <c r="H271" s="6" t="n">
        <f aca="true">ROUND(RAND()*4+6,1)</f>
        <v>8.3</v>
      </c>
      <c r="I271" s="6" t="s">
        <v>25</v>
      </c>
      <c r="J271" s="6" t="str">
        <f aca="false">ROUND(70*1,0)&amp;"%"</f>
        <v>70%</v>
      </c>
    </row>
    <row r="272" customFormat="false" ht="15" hidden="false" customHeight="false" outlineLevel="0" collapsed="false">
      <c r="A272" s="5" t="s">
        <v>2139</v>
      </c>
      <c r="B272" s="5" t="s">
        <v>444</v>
      </c>
      <c r="C272" s="5" t="s">
        <v>57</v>
      </c>
      <c r="D272" s="5" t="s">
        <v>28</v>
      </c>
      <c r="E272" s="5" t="n">
        <f aca="false">ROUND(8981*1.05,2)</f>
        <v>9430.05</v>
      </c>
      <c r="F272" s="5" t="s">
        <v>29</v>
      </c>
      <c r="G272" s="5" t="s">
        <v>30</v>
      </c>
      <c r="H272" s="5" t="n">
        <f aca="true">ROUND(RAND()*4+6,1)</f>
        <v>8.8</v>
      </c>
      <c r="I272" s="5" t="s">
        <v>31</v>
      </c>
      <c r="J272" s="5" t="str">
        <f aca="false">ROUND(92*1,0)&amp;"%"</f>
        <v>92%</v>
      </c>
    </row>
    <row r="273" customFormat="false" ht="15" hidden="false" customHeight="false" outlineLevel="0" collapsed="false">
      <c r="A273" s="6" t="s">
        <v>2140</v>
      </c>
      <c r="B273" s="6" t="s">
        <v>446</v>
      </c>
      <c r="C273" s="6" t="s">
        <v>57</v>
      </c>
      <c r="D273" s="6" t="s">
        <v>34</v>
      </c>
      <c r="E273" s="6" t="n">
        <f aca="false">ROUND(10515*1.05,2)</f>
        <v>11040.75</v>
      </c>
      <c r="F273" s="6" t="s">
        <v>35</v>
      </c>
      <c r="G273" s="6" t="s">
        <v>18</v>
      </c>
      <c r="H273" s="6" t="n">
        <f aca="true">ROUND(RAND()*4+6,1)</f>
        <v>7.1</v>
      </c>
      <c r="I273" s="6" t="s">
        <v>36</v>
      </c>
      <c r="J273" s="6" t="str">
        <f aca="false">ROUND(83*1,0)&amp;"%"</f>
        <v>83%</v>
      </c>
    </row>
    <row r="274" customFormat="false" ht="15" hidden="false" customHeight="false" outlineLevel="0" collapsed="false">
      <c r="A274" s="5" t="s">
        <v>2141</v>
      </c>
      <c r="B274" s="5" t="s">
        <v>448</v>
      </c>
      <c r="C274" s="5" t="s">
        <v>57</v>
      </c>
      <c r="D274" s="5" t="s">
        <v>39</v>
      </c>
      <c r="E274" s="5" t="n">
        <f aca="false">ROUND(4934*1.05,2)</f>
        <v>5180.7</v>
      </c>
      <c r="F274" s="5" t="s">
        <v>40</v>
      </c>
      <c r="G274" s="5" t="s">
        <v>24</v>
      </c>
      <c r="H274" s="5" t="n">
        <f aca="true">ROUND(RAND()*4+6,1)</f>
        <v>8.6</v>
      </c>
      <c r="I274" s="5" t="s">
        <v>41</v>
      </c>
      <c r="J274" s="5" t="str">
        <f aca="false">ROUND(95*1,0)&amp;"%"</f>
        <v>95%</v>
      </c>
    </row>
    <row r="275" customFormat="false" ht="15" hidden="false" customHeight="false" outlineLevel="0" collapsed="false">
      <c r="A275" s="6" t="s">
        <v>2142</v>
      </c>
      <c r="B275" s="6" t="s">
        <v>450</v>
      </c>
      <c r="C275" s="6" t="s">
        <v>57</v>
      </c>
      <c r="D275" s="6" t="s">
        <v>44</v>
      </c>
      <c r="E275" s="6" t="n">
        <f aca="false">ROUND(15620*1.05,2)</f>
        <v>16401</v>
      </c>
      <c r="F275" s="6" t="s">
        <v>45</v>
      </c>
      <c r="G275" s="6" t="s">
        <v>30</v>
      </c>
      <c r="H275" s="6" t="n">
        <f aca="true">ROUND(RAND()*4+6,1)</f>
        <v>7.3</v>
      </c>
      <c r="I275" s="6" t="s">
        <v>46</v>
      </c>
      <c r="J275" s="6" t="str">
        <f aca="false">ROUND(72*1,0)&amp;"%"</f>
        <v>72%</v>
      </c>
    </row>
    <row r="276" customFormat="false" ht="15" hidden="false" customHeight="false" outlineLevel="0" collapsed="false">
      <c r="A276" s="5" t="s">
        <v>2143</v>
      </c>
      <c r="B276" s="5" t="s">
        <v>452</v>
      </c>
      <c r="C276" s="5" t="s">
        <v>57</v>
      </c>
      <c r="D276" s="5" t="s">
        <v>16</v>
      </c>
      <c r="E276" s="5" t="n">
        <f aca="false">ROUND(5531*1.05,2)</f>
        <v>5807.55</v>
      </c>
      <c r="F276" s="5" t="s">
        <v>49</v>
      </c>
      <c r="G276" s="5" t="s">
        <v>18</v>
      </c>
      <c r="H276" s="5" t="n">
        <f aca="true">ROUND(RAND()*4+6,1)</f>
        <v>6.7</v>
      </c>
      <c r="I276" s="5" t="s">
        <v>19</v>
      </c>
      <c r="J276" s="5" t="str">
        <f aca="false">ROUND(84*1,0)&amp;"%"</f>
        <v>84%</v>
      </c>
    </row>
    <row r="277" customFormat="false" ht="15" hidden="false" customHeight="false" outlineLevel="0" collapsed="false">
      <c r="A277" s="6" t="s">
        <v>2144</v>
      </c>
      <c r="B277" s="6" t="s">
        <v>454</v>
      </c>
      <c r="C277" s="6" t="s">
        <v>57</v>
      </c>
      <c r="D277" s="6" t="s">
        <v>22</v>
      </c>
      <c r="E277" s="6" t="n">
        <f aca="false">ROUND(5082*1.05,2)</f>
        <v>5336.1</v>
      </c>
      <c r="F277" s="6" t="s">
        <v>52</v>
      </c>
      <c r="G277" s="6" t="s">
        <v>24</v>
      </c>
      <c r="H277" s="6" t="n">
        <f aca="true">ROUND(RAND()*4+6,1)</f>
        <v>8.5</v>
      </c>
      <c r="I277" s="6" t="s">
        <v>25</v>
      </c>
      <c r="J277" s="6" t="str">
        <f aca="false">ROUND(63*1,0)&amp;"%"</f>
        <v>63%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2145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2146</v>
      </c>
      <c r="B282" s="5" t="s">
        <v>458</v>
      </c>
      <c r="C282" s="5" t="s">
        <v>76</v>
      </c>
      <c r="D282" s="5" t="s">
        <v>16</v>
      </c>
      <c r="E282" s="5" t="n">
        <f aca="false">ROUND(17606*1.05,2)</f>
        <v>18486.3</v>
      </c>
      <c r="F282" s="5" t="s">
        <v>17</v>
      </c>
      <c r="G282" s="5" t="s">
        <v>18</v>
      </c>
      <c r="H282" s="5" t="n">
        <f aca="true">ROUND(RAND()*4+6,1)</f>
        <v>7.2</v>
      </c>
      <c r="I282" s="5" t="s">
        <v>19</v>
      </c>
      <c r="J282" s="5" t="str">
        <f aca="false">ROUND(82*1,0)&amp;"%"</f>
        <v>82%</v>
      </c>
    </row>
    <row r="283" customFormat="false" ht="15" hidden="false" customHeight="false" outlineLevel="0" collapsed="false">
      <c r="A283" s="6" t="s">
        <v>2147</v>
      </c>
      <c r="B283" s="6" t="s">
        <v>460</v>
      </c>
      <c r="C283" s="6" t="s">
        <v>76</v>
      </c>
      <c r="D283" s="6" t="s">
        <v>22</v>
      </c>
      <c r="E283" s="6" t="n">
        <f aca="false">ROUND(14684*1.05,2)</f>
        <v>15418.2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ROUND(91*1,0)&amp;"%"</f>
        <v>91%</v>
      </c>
    </row>
    <row r="284" customFormat="false" ht="15" hidden="false" customHeight="false" outlineLevel="0" collapsed="false">
      <c r="A284" s="5" t="s">
        <v>2148</v>
      </c>
      <c r="B284" s="5" t="s">
        <v>462</v>
      </c>
      <c r="C284" s="5" t="s">
        <v>76</v>
      </c>
      <c r="D284" s="5" t="s">
        <v>28</v>
      </c>
      <c r="E284" s="5" t="n">
        <f aca="false">ROUND(5341*1.05,2)</f>
        <v>5608.05</v>
      </c>
      <c r="F284" s="5" t="s">
        <v>29</v>
      </c>
      <c r="G284" s="5" t="s">
        <v>30</v>
      </c>
      <c r="H284" s="5" t="n">
        <f aca="true">ROUND(RAND()*4+6,1)</f>
        <v>8.1</v>
      </c>
      <c r="I284" s="5" t="s">
        <v>31</v>
      </c>
      <c r="J284" s="5" t="str">
        <f aca="false">ROUND(69*1,0)&amp;"%"</f>
        <v>69%</v>
      </c>
    </row>
    <row r="285" customFormat="false" ht="15" hidden="false" customHeight="false" outlineLevel="0" collapsed="false">
      <c r="A285" s="6" t="s">
        <v>2149</v>
      </c>
      <c r="B285" s="6" t="s">
        <v>464</v>
      </c>
      <c r="C285" s="6" t="s">
        <v>76</v>
      </c>
      <c r="D285" s="6" t="s">
        <v>34</v>
      </c>
      <c r="E285" s="6" t="n">
        <f aca="false">ROUND(15704*1.05,2)</f>
        <v>16489.2</v>
      </c>
      <c r="F285" s="6" t="s">
        <v>35</v>
      </c>
      <c r="G285" s="6" t="s">
        <v>18</v>
      </c>
      <c r="H285" s="6" t="n">
        <f aca="true">ROUND(RAND()*4+6,1)</f>
        <v>6.5</v>
      </c>
      <c r="I285" s="6" t="s">
        <v>36</v>
      </c>
      <c r="J285" s="6" t="str">
        <f aca="false">ROUND(75*1,0)&amp;"%"</f>
        <v>75%</v>
      </c>
    </row>
    <row r="286" customFormat="false" ht="15" hidden="false" customHeight="false" outlineLevel="0" collapsed="false">
      <c r="A286" s="5" t="s">
        <v>2150</v>
      </c>
      <c r="B286" s="5" t="s">
        <v>466</v>
      </c>
      <c r="C286" s="5" t="s">
        <v>76</v>
      </c>
      <c r="D286" s="5" t="s">
        <v>39</v>
      </c>
      <c r="E286" s="5" t="n">
        <f aca="false">ROUND(4061*1.05,2)</f>
        <v>4264.05</v>
      </c>
      <c r="F286" s="5" t="s">
        <v>40</v>
      </c>
      <c r="G286" s="5" t="s">
        <v>24</v>
      </c>
      <c r="H286" s="5" t="n">
        <f aca="true">ROUND(RAND()*4+6,1)</f>
        <v>7.1</v>
      </c>
      <c r="I286" s="5" t="s">
        <v>41</v>
      </c>
      <c r="J286" s="5" t="str">
        <f aca="false">ROUND(92*1,0)&amp;"%"</f>
        <v>92%</v>
      </c>
    </row>
    <row r="287" customFormat="false" ht="15" hidden="false" customHeight="false" outlineLevel="0" collapsed="false">
      <c r="A287" s="6" t="s">
        <v>2151</v>
      </c>
      <c r="B287" s="6" t="s">
        <v>468</v>
      </c>
      <c r="C287" s="6" t="s">
        <v>76</v>
      </c>
      <c r="D287" s="6" t="s">
        <v>44</v>
      </c>
      <c r="E287" s="6" t="n">
        <f aca="false">ROUND(9274*1.05,2)</f>
        <v>9737.7</v>
      </c>
      <c r="F287" s="6" t="s">
        <v>45</v>
      </c>
      <c r="G287" s="6" t="s">
        <v>30</v>
      </c>
      <c r="H287" s="6" t="n">
        <f aca="true">ROUND(RAND()*4+6,1)</f>
        <v>7.9</v>
      </c>
      <c r="I287" s="6" t="s">
        <v>46</v>
      </c>
      <c r="J287" s="6" t="str">
        <f aca="false">ROUND(71*1,0)&amp;"%"</f>
        <v>71%</v>
      </c>
    </row>
    <row r="288" customFormat="false" ht="15" hidden="false" customHeight="false" outlineLevel="0" collapsed="false">
      <c r="A288" s="5" t="s">
        <v>2152</v>
      </c>
      <c r="B288" s="5" t="s">
        <v>470</v>
      </c>
      <c r="C288" s="5" t="s">
        <v>76</v>
      </c>
      <c r="D288" s="5" t="s">
        <v>16</v>
      </c>
      <c r="E288" s="5" t="n">
        <f aca="false">ROUND(13819*1.05,2)</f>
        <v>14509.95</v>
      </c>
      <c r="F288" s="5" t="s">
        <v>49</v>
      </c>
      <c r="G288" s="5" t="s">
        <v>18</v>
      </c>
      <c r="H288" s="5" t="n">
        <f aca="true">ROUND(RAND()*4+6,1)</f>
        <v>6.5</v>
      </c>
      <c r="I288" s="5" t="s">
        <v>19</v>
      </c>
      <c r="J288" s="5" t="str">
        <f aca="false">ROUND(85*1,0)&amp;"%"</f>
        <v>85%</v>
      </c>
    </row>
    <row r="289" customFormat="false" ht="15" hidden="false" customHeight="false" outlineLevel="0" collapsed="false">
      <c r="A289" s="6" t="s">
        <v>2153</v>
      </c>
      <c r="B289" s="6" t="s">
        <v>472</v>
      </c>
      <c r="C289" s="6" t="s">
        <v>76</v>
      </c>
      <c r="D289" s="6" t="s">
        <v>22</v>
      </c>
      <c r="E289" s="6" t="n">
        <f aca="false">ROUND(10647*1.05,2)</f>
        <v>11179.35</v>
      </c>
      <c r="F289" s="6" t="s">
        <v>52</v>
      </c>
      <c r="G289" s="6" t="s">
        <v>24</v>
      </c>
      <c r="H289" s="6" t="n">
        <f aca="true">ROUND(RAND()*4+6,1)</f>
        <v>6.9</v>
      </c>
      <c r="I289" s="6" t="s">
        <v>25</v>
      </c>
      <c r="J289" s="6" t="str">
        <f aca="false">ROUND(77*1,0)&amp;"%"</f>
        <v>77%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2154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2155</v>
      </c>
      <c r="B294" s="5" t="s">
        <v>476</v>
      </c>
      <c r="C294" s="5" t="s">
        <v>95</v>
      </c>
      <c r="D294" s="5" t="s">
        <v>16</v>
      </c>
      <c r="E294" s="5" t="n">
        <f aca="false">ROUND(17060*1.05,2)</f>
        <v>17913</v>
      </c>
      <c r="F294" s="5" t="s">
        <v>17</v>
      </c>
      <c r="G294" s="5" t="s">
        <v>18</v>
      </c>
      <c r="H294" s="5" t="n">
        <f aca="true">ROUND(RAND()*4+6,1)</f>
        <v>7.4</v>
      </c>
      <c r="I294" s="5" t="s">
        <v>19</v>
      </c>
      <c r="J294" s="5" t="str">
        <f aca="false">ROUND(89*1,0)&amp;"%"</f>
        <v>89%</v>
      </c>
    </row>
    <row r="295" customFormat="false" ht="15" hidden="false" customHeight="false" outlineLevel="0" collapsed="false">
      <c r="A295" s="6" t="s">
        <v>2156</v>
      </c>
      <c r="B295" s="6" t="s">
        <v>478</v>
      </c>
      <c r="C295" s="6" t="s">
        <v>95</v>
      </c>
      <c r="D295" s="6" t="s">
        <v>22</v>
      </c>
      <c r="E295" s="6" t="n">
        <f aca="false">ROUND(4255*1.05,2)</f>
        <v>4467.75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ROUND(96*1,0)&amp;"%"</f>
        <v>96%</v>
      </c>
    </row>
    <row r="296" customFormat="false" ht="15" hidden="false" customHeight="false" outlineLevel="0" collapsed="false">
      <c r="A296" s="5" t="s">
        <v>2157</v>
      </c>
      <c r="B296" s="5" t="s">
        <v>480</v>
      </c>
      <c r="C296" s="5" t="s">
        <v>95</v>
      </c>
      <c r="D296" s="5" t="s">
        <v>28</v>
      </c>
      <c r="E296" s="5" t="n">
        <f aca="false">ROUND(9294*1.05,2)</f>
        <v>9758.7</v>
      </c>
      <c r="F296" s="5" t="s">
        <v>29</v>
      </c>
      <c r="G296" s="5" t="s">
        <v>30</v>
      </c>
      <c r="H296" s="5" t="n">
        <f aca="true">ROUND(RAND()*4+6,1)</f>
        <v>6.6</v>
      </c>
      <c r="I296" s="5" t="s">
        <v>31</v>
      </c>
      <c r="J296" s="5" t="str">
        <f aca="false">ROUND(77*1,0)&amp;"%"</f>
        <v>77%</v>
      </c>
    </row>
    <row r="297" customFormat="false" ht="15" hidden="false" customHeight="false" outlineLevel="0" collapsed="false">
      <c r="A297" s="6" t="s">
        <v>2158</v>
      </c>
      <c r="B297" s="6" t="s">
        <v>482</v>
      </c>
      <c r="C297" s="6" t="s">
        <v>95</v>
      </c>
      <c r="D297" s="6" t="s">
        <v>34</v>
      </c>
      <c r="E297" s="6" t="n">
        <f aca="false">ROUND(15487*1.05,2)</f>
        <v>16261.35</v>
      </c>
      <c r="F297" s="6" t="s">
        <v>35</v>
      </c>
      <c r="G297" s="6" t="s">
        <v>18</v>
      </c>
      <c r="H297" s="6" t="n">
        <f aca="true">ROUND(RAND()*4+6,1)</f>
        <v>8.4</v>
      </c>
      <c r="I297" s="6" t="s">
        <v>36</v>
      </c>
      <c r="J297" s="6" t="str">
        <f aca="false">ROUND(81*1,0)&amp;"%"</f>
        <v>81%</v>
      </c>
    </row>
    <row r="298" customFormat="false" ht="15" hidden="false" customHeight="false" outlineLevel="0" collapsed="false">
      <c r="A298" s="5" t="s">
        <v>2159</v>
      </c>
      <c r="B298" s="5" t="s">
        <v>484</v>
      </c>
      <c r="C298" s="5" t="s">
        <v>95</v>
      </c>
      <c r="D298" s="5" t="s">
        <v>39</v>
      </c>
      <c r="E298" s="5" t="n">
        <f aca="false">ROUND(5863*1.05,2)</f>
        <v>6156.15</v>
      </c>
      <c r="F298" s="5" t="s">
        <v>40</v>
      </c>
      <c r="G298" s="5" t="s">
        <v>24</v>
      </c>
      <c r="H298" s="5" t="n">
        <f aca="true">ROUND(RAND()*4+6,1)</f>
        <v>8.7</v>
      </c>
      <c r="I298" s="5" t="s">
        <v>41</v>
      </c>
      <c r="J298" s="5" t="str">
        <f aca="false">ROUND(65*1,0)&amp;"%"</f>
        <v>65%</v>
      </c>
    </row>
    <row r="299" customFormat="false" ht="15" hidden="false" customHeight="false" outlineLevel="0" collapsed="false">
      <c r="A299" s="6" t="s">
        <v>2160</v>
      </c>
      <c r="B299" s="6" t="s">
        <v>486</v>
      </c>
      <c r="C299" s="6" t="s">
        <v>95</v>
      </c>
      <c r="D299" s="6" t="s">
        <v>44</v>
      </c>
      <c r="E299" s="6" t="n">
        <f aca="false">ROUND(16128*1.05,2)</f>
        <v>16934.4</v>
      </c>
      <c r="F299" s="6" t="s">
        <v>45</v>
      </c>
      <c r="G299" s="6" t="s">
        <v>30</v>
      </c>
      <c r="H299" s="6" t="n">
        <f aca="true">ROUND(RAND()*4+6,1)</f>
        <v>7.7</v>
      </c>
      <c r="I299" s="6" t="s">
        <v>46</v>
      </c>
      <c r="J299" s="6" t="str">
        <f aca="false">ROUND(79*1,0)&amp;"%"</f>
        <v>79%</v>
      </c>
    </row>
    <row r="300" customFormat="false" ht="15" hidden="false" customHeight="false" outlineLevel="0" collapsed="false">
      <c r="A300" s="5" t="s">
        <v>2161</v>
      </c>
      <c r="B300" s="5" t="s">
        <v>488</v>
      </c>
      <c r="C300" s="5" t="s">
        <v>95</v>
      </c>
      <c r="D300" s="5" t="s">
        <v>16</v>
      </c>
      <c r="E300" s="5" t="n">
        <f aca="false">ROUND(10903*1.05,2)</f>
        <v>11448.15</v>
      </c>
      <c r="F300" s="5" t="s">
        <v>49</v>
      </c>
      <c r="G300" s="5" t="s">
        <v>18</v>
      </c>
      <c r="H300" s="5" t="n">
        <f aca="true">ROUND(RAND()*4+6,1)</f>
        <v>8.9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2162</v>
      </c>
      <c r="B301" s="6" t="s">
        <v>490</v>
      </c>
      <c r="C301" s="6" t="s">
        <v>95</v>
      </c>
      <c r="D301" s="6" t="s">
        <v>22</v>
      </c>
      <c r="E301" s="6" t="n">
        <f aca="false">ROUND(17808*1.05,2)</f>
        <v>18698.4</v>
      </c>
      <c r="F301" s="6" t="s">
        <v>52</v>
      </c>
      <c r="G301" s="6" t="s">
        <v>24</v>
      </c>
      <c r="H301" s="6" t="n">
        <f aca="true">ROUND(RAND()*4+6,1)</f>
        <v>7.4</v>
      </c>
      <c r="I301" s="6" t="s">
        <v>25</v>
      </c>
      <c r="J301" s="6" t="str">
        <f aca="false">ROUND(64*1,0)&amp;"%"</f>
        <v>64%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2163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2164</v>
      </c>
      <c r="B306" s="5" t="s">
        <v>494</v>
      </c>
      <c r="C306" s="5" t="s">
        <v>114</v>
      </c>
      <c r="D306" s="5" t="s">
        <v>16</v>
      </c>
      <c r="E306" s="5" t="n">
        <f aca="false">ROUND(15577*1.05,2)</f>
        <v>16355.85</v>
      </c>
      <c r="F306" s="5" t="s">
        <v>17</v>
      </c>
      <c r="G306" s="5" t="s">
        <v>18</v>
      </c>
      <c r="H306" s="5" t="n">
        <f aca="true">ROUND(RAND()*4+6,1)</f>
        <v>6.6</v>
      </c>
      <c r="I306" s="5" t="s">
        <v>19</v>
      </c>
      <c r="J306" s="5" t="str">
        <f aca="false">ROUND(64*1,0)&amp;"%"</f>
        <v>64%</v>
      </c>
    </row>
    <row r="307" customFormat="false" ht="15" hidden="false" customHeight="false" outlineLevel="0" collapsed="false">
      <c r="A307" s="6" t="s">
        <v>2165</v>
      </c>
      <c r="B307" s="6" t="s">
        <v>496</v>
      </c>
      <c r="C307" s="6" t="s">
        <v>114</v>
      </c>
      <c r="D307" s="6" t="s">
        <v>22</v>
      </c>
      <c r="E307" s="6" t="n">
        <f aca="false">ROUND(5724*1.05,2)</f>
        <v>6010.2</v>
      </c>
      <c r="F307" s="6" t="s">
        <v>23</v>
      </c>
      <c r="G307" s="6" t="s">
        <v>24</v>
      </c>
      <c r="H307" s="6" t="n">
        <f aca="true">ROUND(RAND()*4+6,1)</f>
        <v>6.3</v>
      </c>
      <c r="I307" s="6" t="s">
        <v>25</v>
      </c>
      <c r="J307" s="6" t="str">
        <f aca="false">ROUND(68*1,0)&amp;"%"</f>
        <v>68%</v>
      </c>
    </row>
    <row r="308" customFormat="false" ht="15" hidden="false" customHeight="false" outlineLevel="0" collapsed="false">
      <c r="A308" s="5" t="s">
        <v>2166</v>
      </c>
      <c r="B308" s="5" t="s">
        <v>498</v>
      </c>
      <c r="C308" s="5" t="s">
        <v>114</v>
      </c>
      <c r="D308" s="5" t="s">
        <v>28</v>
      </c>
      <c r="E308" s="5" t="n">
        <f aca="false">ROUND(5006*1.05,2)</f>
        <v>5256.3</v>
      </c>
      <c r="F308" s="5" t="s">
        <v>29</v>
      </c>
      <c r="G308" s="5" t="s">
        <v>30</v>
      </c>
      <c r="H308" s="5" t="n">
        <f aca="true">ROUND(RAND()*4+6,1)</f>
        <v>8.8</v>
      </c>
      <c r="I308" s="5" t="s">
        <v>31</v>
      </c>
      <c r="J308" s="5" t="str">
        <f aca="false">ROUND(60*1,0)&amp;"%"</f>
        <v>60%</v>
      </c>
    </row>
    <row r="309" customFormat="false" ht="15" hidden="false" customHeight="false" outlineLevel="0" collapsed="false">
      <c r="A309" s="6" t="s">
        <v>2167</v>
      </c>
      <c r="B309" s="6" t="s">
        <v>500</v>
      </c>
      <c r="C309" s="6" t="s">
        <v>114</v>
      </c>
      <c r="D309" s="6" t="s">
        <v>34</v>
      </c>
      <c r="E309" s="6" t="n">
        <f aca="false">ROUND(12787*1.05,2)</f>
        <v>13426.35</v>
      </c>
      <c r="F309" s="6" t="s">
        <v>35</v>
      </c>
      <c r="G309" s="6" t="s">
        <v>18</v>
      </c>
      <c r="H309" s="6" t="n">
        <f aca="true">ROUND(RAND()*4+6,1)</f>
        <v>9.3</v>
      </c>
      <c r="I309" s="6" t="s">
        <v>36</v>
      </c>
      <c r="J309" s="6" t="str">
        <f aca="false">ROUND(98*1,0)&amp;"%"</f>
        <v>98%</v>
      </c>
    </row>
    <row r="310" customFormat="false" ht="15" hidden="false" customHeight="false" outlineLevel="0" collapsed="false">
      <c r="A310" s="5" t="s">
        <v>2168</v>
      </c>
      <c r="B310" s="5" t="s">
        <v>502</v>
      </c>
      <c r="C310" s="5" t="s">
        <v>114</v>
      </c>
      <c r="D310" s="5" t="s">
        <v>39</v>
      </c>
      <c r="E310" s="5" t="n">
        <f aca="false">ROUND(12161*1.05,2)</f>
        <v>12769.05</v>
      </c>
      <c r="F310" s="5" t="s">
        <v>40</v>
      </c>
      <c r="G310" s="5" t="s">
        <v>24</v>
      </c>
      <c r="H310" s="5" t="n">
        <f aca="true">ROUND(RAND()*4+6,1)</f>
        <v>9</v>
      </c>
      <c r="I310" s="5" t="s">
        <v>41</v>
      </c>
      <c r="J310" s="5" t="str">
        <f aca="false">ROUND(78*1,0)&amp;"%"</f>
        <v>78%</v>
      </c>
    </row>
    <row r="311" customFormat="false" ht="15" hidden="false" customHeight="false" outlineLevel="0" collapsed="false">
      <c r="A311" s="6" t="s">
        <v>2169</v>
      </c>
      <c r="B311" s="6" t="s">
        <v>504</v>
      </c>
      <c r="C311" s="6" t="s">
        <v>114</v>
      </c>
      <c r="D311" s="6" t="s">
        <v>44</v>
      </c>
      <c r="E311" s="6" t="n">
        <f aca="false">ROUND(4905*1.05,2)</f>
        <v>5150.25</v>
      </c>
      <c r="F311" s="6" t="s">
        <v>45</v>
      </c>
      <c r="G311" s="6" t="s">
        <v>30</v>
      </c>
      <c r="H311" s="6" t="n">
        <f aca="true">ROUND(RAND()*4+6,1)</f>
        <v>9.2</v>
      </c>
      <c r="I311" s="6" t="s">
        <v>46</v>
      </c>
      <c r="J311" s="6" t="str">
        <f aca="false">ROUND(67*1,0)&amp;"%"</f>
        <v>67%</v>
      </c>
    </row>
    <row r="312" customFormat="false" ht="15" hidden="false" customHeight="false" outlineLevel="0" collapsed="false">
      <c r="A312" s="5" t="s">
        <v>2170</v>
      </c>
      <c r="B312" s="5" t="s">
        <v>506</v>
      </c>
      <c r="C312" s="5" t="s">
        <v>114</v>
      </c>
      <c r="D312" s="5" t="s">
        <v>16</v>
      </c>
      <c r="E312" s="5" t="n">
        <f aca="false">ROUND(14576*1.05,2)</f>
        <v>15304.8</v>
      </c>
      <c r="F312" s="5" t="s">
        <v>49</v>
      </c>
      <c r="G312" s="5" t="s">
        <v>18</v>
      </c>
      <c r="H312" s="5" t="n">
        <f aca="true">ROUND(RAND()*4+6,1)</f>
        <v>6.9</v>
      </c>
      <c r="I312" s="5" t="s">
        <v>19</v>
      </c>
      <c r="J312" s="5" t="str">
        <f aca="false">ROUND(78*1,0)&amp;"%"</f>
        <v>78%</v>
      </c>
    </row>
    <row r="313" customFormat="false" ht="15" hidden="false" customHeight="false" outlineLevel="0" collapsed="false">
      <c r="A313" s="6" t="s">
        <v>2171</v>
      </c>
      <c r="B313" s="6" t="s">
        <v>508</v>
      </c>
      <c r="C313" s="6" t="s">
        <v>114</v>
      </c>
      <c r="D313" s="6" t="s">
        <v>22</v>
      </c>
      <c r="E313" s="6" t="n">
        <f aca="false">ROUND(16566*1.05,2)</f>
        <v>17394.3</v>
      </c>
      <c r="F313" s="6" t="s">
        <v>52</v>
      </c>
      <c r="G313" s="6" t="s">
        <v>24</v>
      </c>
      <c r="H313" s="6" t="n">
        <f aca="true">ROUND(RAND()*4+6,1)</f>
        <v>7.2</v>
      </c>
      <c r="I313" s="6" t="s">
        <v>25</v>
      </c>
      <c r="J313" s="6" t="str">
        <f aca="false">ROUND(72*1,0)&amp;"%"</f>
        <v>72%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2172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2173</v>
      </c>
      <c r="B318" s="5" t="s">
        <v>512</v>
      </c>
      <c r="C318" s="5" t="s">
        <v>133</v>
      </c>
      <c r="D318" s="5" t="s">
        <v>16</v>
      </c>
      <c r="E318" s="5" t="n">
        <f aca="false">ROUND(9074*1.05,2)</f>
        <v>9527.7</v>
      </c>
      <c r="F318" s="5" t="s">
        <v>17</v>
      </c>
      <c r="G318" s="5" t="s">
        <v>18</v>
      </c>
      <c r="H318" s="5" t="n">
        <f aca="true">ROUND(RAND()*4+6,1)</f>
        <v>7.8</v>
      </c>
      <c r="I318" s="5" t="s">
        <v>19</v>
      </c>
      <c r="J318" s="5" t="str">
        <f aca="false">ROUND(73*1,0)&amp;"%"</f>
        <v>73%</v>
      </c>
    </row>
    <row r="319" customFormat="false" ht="15" hidden="false" customHeight="false" outlineLevel="0" collapsed="false">
      <c r="A319" s="6" t="s">
        <v>2174</v>
      </c>
      <c r="B319" s="6" t="s">
        <v>514</v>
      </c>
      <c r="C319" s="6" t="s">
        <v>133</v>
      </c>
      <c r="D319" s="6" t="s">
        <v>22</v>
      </c>
      <c r="E319" s="6" t="n">
        <f aca="false">ROUND(9242*1.05,2)</f>
        <v>9704.1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ROUND(62*1,0)&amp;"%"</f>
        <v>62%</v>
      </c>
    </row>
    <row r="320" customFormat="false" ht="15" hidden="false" customHeight="false" outlineLevel="0" collapsed="false">
      <c r="A320" s="5" t="s">
        <v>2175</v>
      </c>
      <c r="B320" s="5" t="s">
        <v>516</v>
      </c>
      <c r="C320" s="5" t="s">
        <v>133</v>
      </c>
      <c r="D320" s="5" t="s">
        <v>28</v>
      </c>
      <c r="E320" s="5" t="n">
        <f aca="false">ROUND(10717*1.05,2)</f>
        <v>11252.85</v>
      </c>
      <c r="F320" s="5" t="s">
        <v>29</v>
      </c>
      <c r="G320" s="5" t="s">
        <v>30</v>
      </c>
      <c r="H320" s="5" t="n">
        <f aca="true">ROUND(RAND()*4+6,1)</f>
        <v>6.4</v>
      </c>
      <c r="I320" s="5" t="s">
        <v>31</v>
      </c>
      <c r="J320" s="5" t="str">
        <f aca="false">ROUND(85*1,0)&amp;"%"</f>
        <v>85%</v>
      </c>
    </row>
    <row r="321" customFormat="false" ht="15" hidden="false" customHeight="false" outlineLevel="0" collapsed="false">
      <c r="A321" s="6" t="s">
        <v>2176</v>
      </c>
      <c r="B321" s="6" t="s">
        <v>518</v>
      </c>
      <c r="C321" s="6" t="s">
        <v>133</v>
      </c>
      <c r="D321" s="6" t="s">
        <v>34</v>
      </c>
      <c r="E321" s="6" t="n">
        <f aca="false">ROUND(4044*1.05,2)</f>
        <v>4246.2</v>
      </c>
      <c r="F321" s="6" t="s">
        <v>35</v>
      </c>
      <c r="G321" s="6" t="s">
        <v>18</v>
      </c>
      <c r="H321" s="6" t="n">
        <f aca="true">ROUND(RAND()*4+6,1)</f>
        <v>7.6</v>
      </c>
      <c r="I321" s="6" t="s">
        <v>36</v>
      </c>
      <c r="J321" s="6" t="str">
        <f aca="false">ROUND(62*1,0)&amp;"%"</f>
        <v>62%</v>
      </c>
    </row>
    <row r="322" customFormat="false" ht="15" hidden="false" customHeight="false" outlineLevel="0" collapsed="false">
      <c r="A322" s="5" t="s">
        <v>2177</v>
      </c>
      <c r="B322" s="5" t="s">
        <v>520</v>
      </c>
      <c r="C322" s="5" t="s">
        <v>133</v>
      </c>
      <c r="D322" s="5" t="s">
        <v>39</v>
      </c>
      <c r="E322" s="5" t="n">
        <f aca="false">ROUND(4170*1.05,2)</f>
        <v>4378.5</v>
      </c>
      <c r="F322" s="5" t="s">
        <v>40</v>
      </c>
      <c r="G322" s="5" t="s">
        <v>24</v>
      </c>
      <c r="H322" s="5" t="n">
        <f aca="true">ROUND(RAND()*4+6,1)</f>
        <v>9.7</v>
      </c>
      <c r="I322" s="5" t="s">
        <v>41</v>
      </c>
      <c r="J322" s="5" t="str">
        <f aca="false">ROUND(75*1,0)&amp;"%"</f>
        <v>75%</v>
      </c>
    </row>
    <row r="323" customFormat="false" ht="15" hidden="false" customHeight="false" outlineLevel="0" collapsed="false">
      <c r="A323" s="6" t="s">
        <v>2178</v>
      </c>
      <c r="B323" s="6" t="s">
        <v>522</v>
      </c>
      <c r="C323" s="6" t="s">
        <v>133</v>
      </c>
      <c r="D323" s="6" t="s">
        <v>44</v>
      </c>
      <c r="E323" s="6" t="n">
        <f aca="false">ROUND(12386*1.05,2)</f>
        <v>13005.3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ROUND(78*1,0)&amp;"%"</f>
        <v>78%</v>
      </c>
    </row>
    <row r="324" customFormat="false" ht="15" hidden="false" customHeight="false" outlineLevel="0" collapsed="false">
      <c r="A324" s="5" t="s">
        <v>2179</v>
      </c>
      <c r="B324" s="5" t="s">
        <v>524</v>
      </c>
      <c r="C324" s="5" t="s">
        <v>133</v>
      </c>
      <c r="D324" s="5" t="s">
        <v>16</v>
      </c>
      <c r="E324" s="5" t="n">
        <f aca="false">ROUND(10268*1.05,2)</f>
        <v>10781.4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ROUND(71*1,0)&amp;"%"</f>
        <v>71%</v>
      </c>
    </row>
    <row r="325" customFormat="false" ht="15" hidden="false" customHeight="false" outlineLevel="0" collapsed="false">
      <c r="A325" s="6" t="s">
        <v>2180</v>
      </c>
      <c r="B325" s="6" t="s">
        <v>526</v>
      </c>
      <c r="C325" s="6" t="s">
        <v>133</v>
      </c>
      <c r="D325" s="6" t="s">
        <v>22</v>
      </c>
      <c r="E325" s="6" t="n">
        <f aca="false">ROUND(9287*1.05,2)</f>
        <v>9751.35</v>
      </c>
      <c r="F325" s="6" t="s">
        <v>52</v>
      </c>
      <c r="G325" s="6" t="s">
        <v>24</v>
      </c>
      <c r="H325" s="6" t="n">
        <f aca="true">ROUND(RAND()*4+6,1)</f>
        <v>9.7</v>
      </c>
      <c r="I325" s="6" t="s">
        <v>25</v>
      </c>
      <c r="J325" s="6" t="str">
        <f aca="false">ROUND(79*1,0)&amp;"%"</f>
        <v>79%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2181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2182</v>
      </c>
      <c r="B330" s="5" t="s">
        <v>530</v>
      </c>
      <c r="C330" s="5" t="s">
        <v>152</v>
      </c>
      <c r="D330" s="5" t="s">
        <v>16</v>
      </c>
      <c r="E330" s="5" t="n">
        <f aca="false">ROUND(14380*1.05,2)</f>
        <v>15099</v>
      </c>
      <c r="F330" s="5" t="s">
        <v>17</v>
      </c>
      <c r="G330" s="5" t="s">
        <v>18</v>
      </c>
      <c r="H330" s="5" t="n">
        <f aca="true">ROUND(RAND()*4+6,1)</f>
        <v>6.9</v>
      </c>
      <c r="I330" s="5" t="s">
        <v>19</v>
      </c>
      <c r="J330" s="5" t="str">
        <f aca="false">ROUND(64*1,0)&amp;"%"</f>
        <v>64%</v>
      </c>
    </row>
    <row r="331" customFormat="false" ht="15" hidden="false" customHeight="false" outlineLevel="0" collapsed="false">
      <c r="A331" s="6" t="s">
        <v>2183</v>
      </c>
      <c r="B331" s="6" t="s">
        <v>532</v>
      </c>
      <c r="C331" s="6" t="s">
        <v>152</v>
      </c>
      <c r="D331" s="6" t="s">
        <v>22</v>
      </c>
      <c r="E331" s="6" t="n">
        <f aca="false">ROUND(4557*1.05,2)</f>
        <v>4784.85</v>
      </c>
      <c r="F331" s="6" t="s">
        <v>23</v>
      </c>
      <c r="G331" s="6" t="s">
        <v>24</v>
      </c>
      <c r="H331" s="6" t="n">
        <f aca="true">ROUND(RAND()*4+6,1)</f>
        <v>6.3</v>
      </c>
      <c r="I331" s="6" t="s">
        <v>25</v>
      </c>
      <c r="J331" s="6" t="str">
        <f aca="false">ROUND(64*1,0)&amp;"%"</f>
        <v>64%</v>
      </c>
    </row>
    <row r="332" customFormat="false" ht="15" hidden="false" customHeight="false" outlineLevel="0" collapsed="false">
      <c r="A332" s="5" t="s">
        <v>2184</v>
      </c>
      <c r="B332" s="5" t="s">
        <v>534</v>
      </c>
      <c r="C332" s="5" t="s">
        <v>152</v>
      </c>
      <c r="D332" s="5" t="s">
        <v>28</v>
      </c>
      <c r="E332" s="5" t="n">
        <f aca="false">ROUND(14213*1.05,2)</f>
        <v>14923.65</v>
      </c>
      <c r="F332" s="5" t="s">
        <v>29</v>
      </c>
      <c r="G332" s="5" t="s">
        <v>30</v>
      </c>
      <c r="H332" s="5" t="n">
        <f aca="true">ROUND(RAND()*4+6,1)</f>
        <v>9.9</v>
      </c>
      <c r="I332" s="5" t="s">
        <v>31</v>
      </c>
      <c r="J332" s="5" t="str">
        <f aca="false">ROUND(60*1,0)&amp;"%"</f>
        <v>60%</v>
      </c>
    </row>
    <row r="333" customFormat="false" ht="15" hidden="false" customHeight="false" outlineLevel="0" collapsed="false">
      <c r="A333" s="6" t="s">
        <v>2185</v>
      </c>
      <c r="B333" s="6" t="s">
        <v>536</v>
      </c>
      <c r="C333" s="6" t="s">
        <v>152</v>
      </c>
      <c r="D333" s="6" t="s">
        <v>34</v>
      </c>
      <c r="E333" s="6" t="n">
        <f aca="false">ROUND(12535*1.05,2)</f>
        <v>13161.75</v>
      </c>
      <c r="F333" s="6" t="s">
        <v>35</v>
      </c>
      <c r="G333" s="6" t="s">
        <v>18</v>
      </c>
      <c r="H333" s="6" t="n">
        <f aca="true">ROUND(RAND()*4+6,1)</f>
        <v>9.3</v>
      </c>
      <c r="I333" s="6" t="s">
        <v>36</v>
      </c>
      <c r="J333" s="6" t="str">
        <f aca="false">ROUND(69*1,0)&amp;"%"</f>
        <v>69%</v>
      </c>
    </row>
    <row r="334" customFormat="false" ht="15" hidden="false" customHeight="false" outlineLevel="0" collapsed="false">
      <c r="A334" s="5" t="s">
        <v>2186</v>
      </c>
      <c r="B334" s="5" t="s">
        <v>538</v>
      </c>
      <c r="C334" s="5" t="s">
        <v>152</v>
      </c>
      <c r="D334" s="5" t="s">
        <v>39</v>
      </c>
      <c r="E334" s="5" t="n">
        <f aca="false">ROUND(11518*1.05,2)</f>
        <v>12093.9</v>
      </c>
      <c r="F334" s="5" t="s">
        <v>40</v>
      </c>
      <c r="G334" s="5" t="s">
        <v>24</v>
      </c>
      <c r="H334" s="5" t="n">
        <f aca="true">ROUND(RAND()*4+6,1)</f>
        <v>8.7</v>
      </c>
      <c r="I334" s="5" t="s">
        <v>41</v>
      </c>
      <c r="J334" s="5" t="str">
        <f aca="false">ROUND(90*1,0)&amp;"%"</f>
        <v>90%</v>
      </c>
    </row>
    <row r="335" customFormat="false" ht="15" hidden="false" customHeight="false" outlineLevel="0" collapsed="false">
      <c r="A335" s="6" t="s">
        <v>2187</v>
      </c>
      <c r="B335" s="6" t="s">
        <v>540</v>
      </c>
      <c r="C335" s="6" t="s">
        <v>152</v>
      </c>
      <c r="D335" s="6" t="s">
        <v>44</v>
      </c>
      <c r="E335" s="6" t="n">
        <f aca="false">ROUND(7701*1.05,2)</f>
        <v>8086.05</v>
      </c>
      <c r="F335" s="6" t="s">
        <v>45</v>
      </c>
      <c r="G335" s="6" t="s">
        <v>30</v>
      </c>
      <c r="H335" s="6" t="n">
        <f aca="true">ROUND(RAND()*4+6,1)</f>
        <v>9.8</v>
      </c>
      <c r="I335" s="6" t="s">
        <v>46</v>
      </c>
      <c r="J335" s="6" t="str">
        <f aca="false">ROUND(92*1,0)&amp;"%"</f>
        <v>92%</v>
      </c>
    </row>
    <row r="336" customFormat="false" ht="15" hidden="false" customHeight="false" outlineLevel="0" collapsed="false">
      <c r="A336" s="5" t="s">
        <v>2188</v>
      </c>
      <c r="B336" s="5" t="s">
        <v>542</v>
      </c>
      <c r="C336" s="5" t="s">
        <v>152</v>
      </c>
      <c r="D336" s="5" t="s">
        <v>16</v>
      </c>
      <c r="E336" s="5" t="n">
        <f aca="false">ROUND(6045*1.05,2)</f>
        <v>6347.25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ROUND(94*1,0)&amp;"%"</f>
        <v>94%</v>
      </c>
    </row>
    <row r="337" customFormat="false" ht="15" hidden="false" customHeight="false" outlineLevel="0" collapsed="false">
      <c r="A337" s="6" t="s">
        <v>2189</v>
      </c>
      <c r="B337" s="6" t="s">
        <v>544</v>
      </c>
      <c r="C337" s="6" t="s">
        <v>152</v>
      </c>
      <c r="D337" s="6" t="s">
        <v>22</v>
      </c>
      <c r="E337" s="6" t="n">
        <f aca="false">ROUND(16631*1.05,2)</f>
        <v>17462.55</v>
      </c>
      <c r="F337" s="6" t="s">
        <v>52</v>
      </c>
      <c r="G337" s="6" t="s">
        <v>24</v>
      </c>
      <c r="H337" s="6" t="n">
        <f aca="true">ROUND(RAND()*4+6,1)</f>
        <v>8.6</v>
      </c>
      <c r="I337" s="6" t="s">
        <v>25</v>
      </c>
      <c r="J337" s="6" t="str">
        <f aca="false">ROUND(86*1,0)&amp;"%"</f>
        <v>86%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2190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2191</v>
      </c>
      <c r="B342" s="5" t="s">
        <v>548</v>
      </c>
      <c r="C342" s="5" t="s">
        <v>15</v>
      </c>
      <c r="D342" s="5" t="s">
        <v>16</v>
      </c>
      <c r="E342" s="5" t="n">
        <f aca="false">ROUND(5795*1.05,2)</f>
        <v>6084.75</v>
      </c>
      <c r="F342" s="5" t="s">
        <v>17</v>
      </c>
      <c r="G342" s="5" t="s">
        <v>18</v>
      </c>
      <c r="H342" s="5" t="n">
        <f aca="true">ROUND(RAND()*4+6,1)</f>
        <v>8.8</v>
      </c>
      <c r="I342" s="5" t="s">
        <v>19</v>
      </c>
      <c r="J342" s="5" t="str">
        <f aca="false">ROUND(64*1,0)&amp;"%"</f>
        <v>64%</v>
      </c>
    </row>
    <row r="343" customFormat="false" ht="15" hidden="false" customHeight="false" outlineLevel="0" collapsed="false">
      <c r="A343" s="6" t="s">
        <v>2192</v>
      </c>
      <c r="B343" s="6" t="s">
        <v>550</v>
      </c>
      <c r="C343" s="6" t="s">
        <v>15</v>
      </c>
      <c r="D343" s="6" t="s">
        <v>22</v>
      </c>
      <c r="E343" s="6" t="n">
        <f aca="false">ROUND(10930*1.05,2)</f>
        <v>11476.5</v>
      </c>
      <c r="F343" s="6" t="s">
        <v>23</v>
      </c>
      <c r="G343" s="6" t="s">
        <v>24</v>
      </c>
      <c r="H343" s="6" t="n">
        <f aca="true">ROUND(RAND()*4+6,1)</f>
        <v>9</v>
      </c>
      <c r="I343" s="6" t="s">
        <v>25</v>
      </c>
      <c r="J343" s="6" t="str">
        <f aca="false">ROUND(94*1,0)&amp;"%"</f>
        <v>94%</v>
      </c>
    </row>
    <row r="344" customFormat="false" ht="15" hidden="false" customHeight="false" outlineLevel="0" collapsed="false">
      <c r="A344" s="5" t="s">
        <v>2193</v>
      </c>
      <c r="B344" s="5" t="s">
        <v>552</v>
      </c>
      <c r="C344" s="5" t="s">
        <v>15</v>
      </c>
      <c r="D344" s="5" t="s">
        <v>28</v>
      </c>
      <c r="E344" s="5" t="n">
        <f aca="false">ROUND(11867*1.05,2)</f>
        <v>12460.35</v>
      </c>
      <c r="F344" s="5" t="s">
        <v>29</v>
      </c>
      <c r="G344" s="5" t="s">
        <v>30</v>
      </c>
      <c r="H344" s="5" t="n">
        <f aca="true">ROUND(RAND()*4+6,1)</f>
        <v>6.6</v>
      </c>
      <c r="I344" s="5" t="s">
        <v>31</v>
      </c>
      <c r="J344" s="5" t="str">
        <f aca="false">ROUND(65*1,0)&amp;"%"</f>
        <v>65%</v>
      </c>
    </row>
    <row r="345" customFormat="false" ht="15" hidden="false" customHeight="false" outlineLevel="0" collapsed="false">
      <c r="A345" s="6" t="s">
        <v>2194</v>
      </c>
      <c r="B345" s="6" t="s">
        <v>554</v>
      </c>
      <c r="C345" s="6" t="s">
        <v>15</v>
      </c>
      <c r="D345" s="6" t="s">
        <v>34</v>
      </c>
      <c r="E345" s="6" t="n">
        <f aca="false">ROUND(17933*1.05,2)</f>
        <v>18829.65</v>
      </c>
      <c r="F345" s="6" t="s">
        <v>35</v>
      </c>
      <c r="G345" s="6" t="s">
        <v>18</v>
      </c>
      <c r="H345" s="6" t="n">
        <f aca="true">ROUND(RAND()*4+6,1)</f>
        <v>8.9</v>
      </c>
      <c r="I345" s="6" t="s">
        <v>36</v>
      </c>
      <c r="J345" s="6" t="str">
        <f aca="false">ROUND(75*1,0)&amp;"%"</f>
        <v>75%</v>
      </c>
    </row>
    <row r="346" customFormat="false" ht="15" hidden="false" customHeight="false" outlineLevel="0" collapsed="false">
      <c r="A346" s="5" t="s">
        <v>2195</v>
      </c>
      <c r="B346" s="5" t="s">
        <v>556</v>
      </c>
      <c r="C346" s="5" t="s">
        <v>15</v>
      </c>
      <c r="D346" s="5" t="s">
        <v>39</v>
      </c>
      <c r="E346" s="5" t="n">
        <f aca="false">ROUND(16539*1.05,2)</f>
        <v>17365.95</v>
      </c>
      <c r="F346" s="5" t="s">
        <v>40</v>
      </c>
      <c r="G346" s="5" t="s">
        <v>24</v>
      </c>
      <c r="H346" s="5" t="n">
        <f aca="true">ROUND(RAND()*4+6,1)</f>
        <v>9.7</v>
      </c>
      <c r="I346" s="5" t="s">
        <v>41</v>
      </c>
      <c r="J346" s="5" t="str">
        <f aca="false">ROUND(79*1,0)&amp;"%"</f>
        <v>79%</v>
      </c>
    </row>
    <row r="347" customFormat="false" ht="15" hidden="false" customHeight="false" outlineLevel="0" collapsed="false">
      <c r="A347" s="6" t="s">
        <v>2196</v>
      </c>
      <c r="B347" s="6" t="s">
        <v>558</v>
      </c>
      <c r="C347" s="6" t="s">
        <v>15</v>
      </c>
      <c r="D347" s="6" t="s">
        <v>44</v>
      </c>
      <c r="E347" s="6" t="n">
        <f aca="false">ROUND(9184*1.05,2)</f>
        <v>9643.2</v>
      </c>
      <c r="F347" s="6" t="s">
        <v>45</v>
      </c>
      <c r="G347" s="6" t="s">
        <v>30</v>
      </c>
      <c r="H347" s="6" t="n">
        <f aca="true">ROUND(RAND()*4+6,1)</f>
        <v>7.1</v>
      </c>
      <c r="I347" s="6" t="s">
        <v>46</v>
      </c>
      <c r="J347" s="6" t="str">
        <f aca="false">ROUND(100*1,0)&amp;"%"</f>
        <v>100%</v>
      </c>
    </row>
    <row r="348" customFormat="false" ht="15" hidden="false" customHeight="false" outlineLevel="0" collapsed="false">
      <c r="A348" s="5" t="s">
        <v>2197</v>
      </c>
      <c r="B348" s="5" t="s">
        <v>560</v>
      </c>
      <c r="C348" s="5" t="s">
        <v>15</v>
      </c>
      <c r="D348" s="5" t="s">
        <v>16</v>
      </c>
      <c r="E348" s="5" t="n">
        <f aca="false">ROUND(7490*1.05,2)</f>
        <v>7864.5</v>
      </c>
      <c r="F348" s="5" t="s">
        <v>49</v>
      </c>
      <c r="G348" s="5" t="s">
        <v>18</v>
      </c>
      <c r="H348" s="5" t="n">
        <f aca="true">ROUND(RAND()*4+6,1)</f>
        <v>7.2</v>
      </c>
      <c r="I348" s="5" t="s">
        <v>19</v>
      </c>
      <c r="J348" s="5" t="str">
        <f aca="false">ROUND(78*1,0)&amp;"%"</f>
        <v>78%</v>
      </c>
    </row>
    <row r="349" customFormat="false" ht="15" hidden="false" customHeight="false" outlineLevel="0" collapsed="false">
      <c r="A349" s="6" t="s">
        <v>2198</v>
      </c>
      <c r="B349" s="6" t="s">
        <v>562</v>
      </c>
      <c r="C349" s="6" t="s">
        <v>15</v>
      </c>
      <c r="D349" s="6" t="s">
        <v>22</v>
      </c>
      <c r="E349" s="6" t="n">
        <f aca="false">ROUND(6906*1.05,2)</f>
        <v>7251.3</v>
      </c>
      <c r="F349" s="6" t="s">
        <v>52</v>
      </c>
      <c r="G349" s="6" t="s">
        <v>24</v>
      </c>
      <c r="H349" s="6" t="n">
        <f aca="true">ROUND(RAND()*4+6,1)</f>
        <v>6.9</v>
      </c>
      <c r="I349" s="6" t="s">
        <v>25</v>
      </c>
      <c r="J349" s="6" t="str">
        <f aca="false">ROUND(83*1,0)&amp;"%"</f>
        <v>83%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2199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2200</v>
      </c>
      <c r="B354" s="5" t="s">
        <v>566</v>
      </c>
      <c r="C354" s="5" t="s">
        <v>57</v>
      </c>
      <c r="D354" s="5" t="s">
        <v>16</v>
      </c>
      <c r="E354" s="5" t="n">
        <f aca="false">ROUND(9896*1.05,2)</f>
        <v>10390.8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ROUND(66*1,0)&amp;"%"</f>
        <v>66%</v>
      </c>
    </row>
    <row r="355" customFormat="false" ht="15" hidden="false" customHeight="false" outlineLevel="0" collapsed="false">
      <c r="A355" s="6" t="s">
        <v>2201</v>
      </c>
      <c r="B355" s="6" t="s">
        <v>568</v>
      </c>
      <c r="C355" s="6" t="s">
        <v>57</v>
      </c>
      <c r="D355" s="6" t="s">
        <v>22</v>
      </c>
      <c r="E355" s="6" t="n">
        <f aca="false">ROUND(10848*1.05,2)</f>
        <v>11390.4</v>
      </c>
      <c r="F355" s="6" t="s">
        <v>23</v>
      </c>
      <c r="G355" s="6" t="s">
        <v>24</v>
      </c>
      <c r="H355" s="6" t="n">
        <f aca="true">ROUND(RAND()*4+6,1)</f>
        <v>9.8</v>
      </c>
      <c r="I355" s="6" t="s">
        <v>25</v>
      </c>
      <c r="J355" s="6" t="str">
        <f aca="false">ROUND(71*1,0)&amp;"%"</f>
        <v>71%</v>
      </c>
    </row>
    <row r="356" customFormat="false" ht="15" hidden="false" customHeight="false" outlineLevel="0" collapsed="false">
      <c r="A356" s="5" t="s">
        <v>2202</v>
      </c>
      <c r="B356" s="5" t="s">
        <v>570</v>
      </c>
      <c r="C356" s="5" t="s">
        <v>57</v>
      </c>
      <c r="D356" s="5" t="s">
        <v>28</v>
      </c>
      <c r="E356" s="5" t="n">
        <f aca="false">ROUND(6874*1.05,2)</f>
        <v>7217.7</v>
      </c>
      <c r="F356" s="5" t="s">
        <v>29</v>
      </c>
      <c r="G356" s="5" t="s">
        <v>30</v>
      </c>
      <c r="H356" s="5" t="n">
        <f aca="true">ROUND(RAND()*4+6,1)</f>
        <v>8.7</v>
      </c>
      <c r="I356" s="5" t="s">
        <v>31</v>
      </c>
      <c r="J356" s="5" t="str">
        <f aca="false">ROUND(98*1,0)&amp;"%"</f>
        <v>98%</v>
      </c>
    </row>
    <row r="357" customFormat="false" ht="15" hidden="false" customHeight="false" outlineLevel="0" collapsed="false">
      <c r="A357" s="6" t="s">
        <v>2203</v>
      </c>
      <c r="B357" s="6" t="s">
        <v>572</v>
      </c>
      <c r="C357" s="6" t="s">
        <v>57</v>
      </c>
      <c r="D357" s="6" t="s">
        <v>34</v>
      </c>
      <c r="E357" s="6" t="n">
        <f aca="false">ROUND(8170*1.05,2)</f>
        <v>8578.5</v>
      </c>
      <c r="F357" s="6" t="s">
        <v>35</v>
      </c>
      <c r="G357" s="6" t="s">
        <v>18</v>
      </c>
      <c r="H357" s="6" t="n">
        <f aca="true">ROUND(RAND()*4+6,1)</f>
        <v>9</v>
      </c>
      <c r="I357" s="6" t="s">
        <v>36</v>
      </c>
      <c r="J357" s="6" t="str">
        <f aca="false">ROUND(78*1,0)&amp;"%"</f>
        <v>78%</v>
      </c>
    </row>
    <row r="358" customFormat="false" ht="15" hidden="false" customHeight="false" outlineLevel="0" collapsed="false">
      <c r="A358" s="5" t="s">
        <v>2204</v>
      </c>
      <c r="B358" s="5" t="s">
        <v>574</v>
      </c>
      <c r="C358" s="5" t="s">
        <v>57</v>
      </c>
      <c r="D358" s="5" t="s">
        <v>39</v>
      </c>
      <c r="E358" s="5" t="n">
        <f aca="false">ROUND(10866*1.05,2)</f>
        <v>11409.3</v>
      </c>
      <c r="F358" s="5" t="s">
        <v>40</v>
      </c>
      <c r="G358" s="5" t="s">
        <v>24</v>
      </c>
      <c r="H358" s="5" t="n">
        <f aca="true">ROUND(RAND()*4+6,1)</f>
        <v>8.9</v>
      </c>
      <c r="I358" s="5" t="s">
        <v>41</v>
      </c>
      <c r="J358" s="5" t="str">
        <f aca="false">ROUND(91*1,0)&amp;"%"</f>
        <v>91%</v>
      </c>
    </row>
    <row r="359" customFormat="false" ht="15" hidden="false" customHeight="false" outlineLevel="0" collapsed="false">
      <c r="A359" s="6" t="s">
        <v>2205</v>
      </c>
      <c r="B359" s="6" t="s">
        <v>576</v>
      </c>
      <c r="C359" s="6" t="s">
        <v>57</v>
      </c>
      <c r="D359" s="6" t="s">
        <v>44</v>
      </c>
      <c r="E359" s="6" t="n">
        <f aca="false">ROUND(14004*1.05,2)</f>
        <v>14704.2</v>
      </c>
      <c r="F359" s="6" t="s">
        <v>45</v>
      </c>
      <c r="G359" s="6" t="s">
        <v>30</v>
      </c>
      <c r="H359" s="6" t="n">
        <f aca="true">ROUND(RAND()*4+6,1)</f>
        <v>7</v>
      </c>
      <c r="I359" s="6" t="s">
        <v>46</v>
      </c>
      <c r="J359" s="6" t="str">
        <f aca="false">ROUND(77*1,0)&amp;"%"</f>
        <v>77%</v>
      </c>
    </row>
    <row r="360" customFormat="false" ht="15" hidden="false" customHeight="false" outlineLevel="0" collapsed="false">
      <c r="A360" s="5" t="s">
        <v>2206</v>
      </c>
      <c r="B360" s="5" t="s">
        <v>578</v>
      </c>
      <c r="C360" s="5" t="s">
        <v>57</v>
      </c>
      <c r="D360" s="5" t="s">
        <v>16</v>
      </c>
      <c r="E360" s="5" t="n">
        <f aca="false">ROUND(4817*1.05,2)</f>
        <v>5057.85</v>
      </c>
      <c r="F360" s="5" t="s">
        <v>49</v>
      </c>
      <c r="G360" s="5" t="s">
        <v>18</v>
      </c>
      <c r="H360" s="5" t="n">
        <f aca="true">ROUND(RAND()*4+6,1)</f>
        <v>6.3</v>
      </c>
      <c r="I360" s="5" t="s">
        <v>19</v>
      </c>
      <c r="J360" s="5" t="str">
        <f aca="false">ROUND(60*1,0)&amp;"%"</f>
        <v>60%</v>
      </c>
    </row>
    <row r="361" customFormat="false" ht="15" hidden="false" customHeight="false" outlineLevel="0" collapsed="false">
      <c r="A361" s="6" t="s">
        <v>2207</v>
      </c>
      <c r="B361" s="6" t="s">
        <v>580</v>
      </c>
      <c r="C361" s="6" t="s">
        <v>57</v>
      </c>
      <c r="D361" s="6" t="s">
        <v>22</v>
      </c>
      <c r="E361" s="6" t="n">
        <f aca="false">ROUND(4428*1.05,2)</f>
        <v>4649.4</v>
      </c>
      <c r="F361" s="6" t="s">
        <v>52</v>
      </c>
      <c r="G361" s="6" t="s">
        <v>24</v>
      </c>
      <c r="H361" s="6" t="n">
        <f aca="true">ROUND(RAND()*4+6,1)</f>
        <v>6.9</v>
      </c>
      <c r="I361" s="6" t="s">
        <v>25</v>
      </c>
      <c r="J361" s="6" t="str">
        <f aca="false">ROUND(99*1,0)&amp;"%"</f>
        <v>99%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2208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2209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2210</v>
      </c>
      <c r="B6" s="5" t="s">
        <v>14</v>
      </c>
      <c r="C6" s="5" t="s">
        <v>15</v>
      </c>
      <c r="D6" s="5" t="s">
        <v>16</v>
      </c>
      <c r="E6" s="5" t="n">
        <f aca="false">ROUND(15549*1.05,2)</f>
        <v>16326.45</v>
      </c>
      <c r="F6" s="5" t="s">
        <v>17</v>
      </c>
      <c r="G6" s="5" t="s">
        <v>18</v>
      </c>
      <c r="H6" s="5" t="n">
        <f aca="true">ROUND(RAND()*4+6,1)</f>
        <v>6.7</v>
      </c>
      <c r="I6" s="5" t="s">
        <v>19</v>
      </c>
      <c r="J6" s="5" t="str">
        <f aca="false">ROUND(75*1,0)&amp;"%"</f>
        <v>75%</v>
      </c>
    </row>
    <row r="7" customFormat="false" ht="15" hidden="false" customHeight="false" outlineLevel="0" collapsed="false">
      <c r="A7" s="6" t="s">
        <v>2211</v>
      </c>
      <c r="B7" s="6" t="s">
        <v>21</v>
      </c>
      <c r="C7" s="6" t="s">
        <v>15</v>
      </c>
      <c r="D7" s="6" t="s">
        <v>22</v>
      </c>
      <c r="E7" s="6" t="n">
        <f aca="false">ROUND(6387*1.05,2)</f>
        <v>6706.35</v>
      </c>
      <c r="F7" s="6" t="s">
        <v>23</v>
      </c>
      <c r="G7" s="6" t="s">
        <v>24</v>
      </c>
      <c r="H7" s="6" t="n">
        <f aca="true">ROUND(RAND()*4+6,1)</f>
        <v>8.9</v>
      </c>
      <c r="I7" s="6" t="s">
        <v>25</v>
      </c>
      <c r="J7" s="6" t="str">
        <f aca="false">ROUND(88*1,0)&amp;"%"</f>
        <v>88%</v>
      </c>
    </row>
    <row r="8" customFormat="false" ht="15" hidden="false" customHeight="false" outlineLevel="0" collapsed="false">
      <c r="A8" s="5" t="s">
        <v>2212</v>
      </c>
      <c r="B8" s="5" t="s">
        <v>27</v>
      </c>
      <c r="C8" s="5" t="s">
        <v>15</v>
      </c>
      <c r="D8" s="5" t="s">
        <v>28</v>
      </c>
      <c r="E8" s="5" t="n">
        <f aca="false">ROUND(8060*1.05,2)</f>
        <v>8463</v>
      </c>
      <c r="F8" s="5" t="s">
        <v>29</v>
      </c>
      <c r="G8" s="5" t="s">
        <v>30</v>
      </c>
      <c r="H8" s="5" t="n">
        <f aca="true">ROUND(RAND()*4+6,1)</f>
        <v>9.2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2213</v>
      </c>
      <c r="B9" s="6" t="s">
        <v>33</v>
      </c>
      <c r="C9" s="6" t="s">
        <v>15</v>
      </c>
      <c r="D9" s="6" t="s">
        <v>34</v>
      </c>
      <c r="E9" s="6" t="n">
        <f aca="false">ROUND(17238*1.05,2)</f>
        <v>18099.9</v>
      </c>
      <c r="F9" s="6" t="s">
        <v>35</v>
      </c>
      <c r="G9" s="6" t="s">
        <v>18</v>
      </c>
      <c r="H9" s="6" t="n">
        <f aca="true">ROUND(RAND()*4+6,1)</f>
        <v>7.2</v>
      </c>
      <c r="I9" s="6" t="s">
        <v>36</v>
      </c>
      <c r="J9" s="6" t="str">
        <f aca="false">ROUND(93*1,0)&amp;"%"</f>
        <v>93%</v>
      </c>
    </row>
    <row r="10" customFormat="false" ht="15" hidden="false" customHeight="false" outlineLevel="0" collapsed="false">
      <c r="A10" s="5" t="s">
        <v>2214</v>
      </c>
      <c r="B10" s="5" t="s">
        <v>38</v>
      </c>
      <c r="C10" s="5" t="s">
        <v>15</v>
      </c>
      <c r="D10" s="5" t="s">
        <v>39</v>
      </c>
      <c r="E10" s="5" t="n">
        <f aca="false">ROUND(8942*1.05,2)</f>
        <v>9389.1</v>
      </c>
      <c r="F10" s="5" t="s">
        <v>40</v>
      </c>
      <c r="G10" s="5" t="s">
        <v>24</v>
      </c>
      <c r="H10" s="5" t="n">
        <f aca="true">ROUND(RAND()*4+6,1)</f>
        <v>7.8</v>
      </c>
      <c r="I10" s="5" t="s">
        <v>41</v>
      </c>
      <c r="J10" s="5" t="str">
        <f aca="false">ROUND(72*1,0)&amp;"%"</f>
        <v>72%</v>
      </c>
    </row>
    <row r="11" customFormat="false" ht="15" hidden="false" customHeight="false" outlineLevel="0" collapsed="false">
      <c r="A11" s="6" t="s">
        <v>2215</v>
      </c>
      <c r="B11" s="6" t="s">
        <v>43</v>
      </c>
      <c r="C11" s="6" t="s">
        <v>15</v>
      </c>
      <c r="D11" s="6" t="s">
        <v>44</v>
      </c>
      <c r="E11" s="6" t="n">
        <f aca="false">ROUND(9109*1.05,2)</f>
        <v>9564.45</v>
      </c>
      <c r="F11" s="6" t="s">
        <v>45</v>
      </c>
      <c r="G11" s="6" t="s">
        <v>30</v>
      </c>
      <c r="H11" s="6" t="n">
        <f aca="true">ROUND(RAND()*4+6,1)</f>
        <v>8.6</v>
      </c>
      <c r="I11" s="6" t="s">
        <v>46</v>
      </c>
      <c r="J11" s="6" t="str">
        <f aca="false">ROUND(91*1,0)&amp;"%"</f>
        <v>91%</v>
      </c>
    </row>
    <row r="12" customFormat="false" ht="15" hidden="false" customHeight="false" outlineLevel="0" collapsed="false">
      <c r="A12" s="5" t="s">
        <v>2216</v>
      </c>
      <c r="B12" s="5" t="s">
        <v>48</v>
      </c>
      <c r="C12" s="5" t="s">
        <v>15</v>
      </c>
      <c r="D12" s="5" t="s">
        <v>16</v>
      </c>
      <c r="E12" s="5" t="n">
        <f aca="false">ROUND(4765*1.05,2)</f>
        <v>5003.25</v>
      </c>
      <c r="F12" s="5" t="s">
        <v>49</v>
      </c>
      <c r="G12" s="5" t="s">
        <v>18</v>
      </c>
      <c r="H12" s="5" t="n">
        <f aca="true">ROUND(RAND()*4+6,1)</f>
        <v>7.3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2217</v>
      </c>
      <c r="B13" s="6" t="s">
        <v>51</v>
      </c>
      <c r="C13" s="6" t="s">
        <v>15</v>
      </c>
      <c r="D13" s="6" t="s">
        <v>22</v>
      </c>
      <c r="E13" s="6" t="n">
        <f aca="false">ROUND(13643*1.05,2)</f>
        <v>14325.15</v>
      </c>
      <c r="F13" s="6" t="s">
        <v>52</v>
      </c>
      <c r="G13" s="6" t="s">
        <v>24</v>
      </c>
      <c r="H13" s="6" t="n">
        <f aca="true">ROUND(RAND()*4+6,1)</f>
        <v>10</v>
      </c>
      <c r="I13" s="6" t="s">
        <v>25</v>
      </c>
      <c r="J13" s="6" t="str">
        <f aca="false">ROUND(98*1,0)&amp;"%"</f>
        <v>98%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2218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2219</v>
      </c>
      <c r="B18" s="5" t="s">
        <v>56</v>
      </c>
      <c r="C18" s="5" t="s">
        <v>57</v>
      </c>
      <c r="D18" s="5" t="s">
        <v>16</v>
      </c>
      <c r="E18" s="5" t="n">
        <f aca="false">ROUND(13797*1.05,2)</f>
        <v>14486.85</v>
      </c>
      <c r="F18" s="5" t="s">
        <v>17</v>
      </c>
      <c r="G18" s="5" t="s">
        <v>18</v>
      </c>
      <c r="H18" s="5" t="n">
        <f aca="true">ROUND(RAND()*4+6,1)</f>
        <v>6.7</v>
      </c>
      <c r="I18" s="5" t="s">
        <v>19</v>
      </c>
      <c r="J18" s="5" t="str">
        <f aca="false">ROUND(99*1,0)&amp;"%"</f>
        <v>99%</v>
      </c>
    </row>
    <row r="19" customFormat="false" ht="15" hidden="false" customHeight="false" outlineLevel="0" collapsed="false">
      <c r="A19" s="6" t="s">
        <v>2220</v>
      </c>
      <c r="B19" s="6" t="s">
        <v>59</v>
      </c>
      <c r="C19" s="6" t="s">
        <v>57</v>
      </c>
      <c r="D19" s="6" t="s">
        <v>22</v>
      </c>
      <c r="E19" s="6" t="n">
        <f aca="false">ROUND(15442*1.05,2)</f>
        <v>16214.1</v>
      </c>
      <c r="F19" s="6" t="s">
        <v>23</v>
      </c>
      <c r="G19" s="6" t="s">
        <v>24</v>
      </c>
      <c r="H19" s="6" t="n">
        <f aca="true">ROUND(RAND()*4+6,1)</f>
        <v>6.4</v>
      </c>
      <c r="I19" s="6" t="s">
        <v>25</v>
      </c>
      <c r="J19" s="6" t="str">
        <f aca="false">ROUND(94*1,0)&amp;"%"</f>
        <v>94%</v>
      </c>
    </row>
    <row r="20" customFormat="false" ht="15" hidden="false" customHeight="false" outlineLevel="0" collapsed="false">
      <c r="A20" s="5" t="s">
        <v>2221</v>
      </c>
      <c r="B20" s="5" t="s">
        <v>61</v>
      </c>
      <c r="C20" s="5" t="s">
        <v>57</v>
      </c>
      <c r="D20" s="5" t="s">
        <v>28</v>
      </c>
      <c r="E20" s="5" t="n">
        <f aca="false">ROUND(6523*1.05,2)</f>
        <v>6849.15</v>
      </c>
      <c r="F20" s="5" t="s">
        <v>29</v>
      </c>
      <c r="G20" s="5" t="s">
        <v>30</v>
      </c>
      <c r="H20" s="5" t="n">
        <f aca="true">ROUND(RAND()*4+6,1)</f>
        <v>9.5</v>
      </c>
      <c r="I20" s="5" t="s">
        <v>31</v>
      </c>
      <c r="J20" s="5" t="str">
        <f aca="false">ROUND(82*1,0)&amp;"%"</f>
        <v>82%</v>
      </c>
    </row>
    <row r="21" customFormat="false" ht="15" hidden="false" customHeight="false" outlineLevel="0" collapsed="false">
      <c r="A21" s="6" t="s">
        <v>2222</v>
      </c>
      <c r="B21" s="6" t="s">
        <v>63</v>
      </c>
      <c r="C21" s="6" t="s">
        <v>57</v>
      </c>
      <c r="D21" s="6" t="s">
        <v>34</v>
      </c>
      <c r="E21" s="6" t="n">
        <f aca="false">ROUND(5282*1.05,2)</f>
        <v>5546.1</v>
      </c>
      <c r="F21" s="6" t="s">
        <v>35</v>
      </c>
      <c r="G21" s="6" t="s">
        <v>18</v>
      </c>
      <c r="H21" s="6" t="n">
        <f aca="true">ROUND(RAND()*4+6,1)</f>
        <v>9.1</v>
      </c>
      <c r="I21" s="6" t="s">
        <v>36</v>
      </c>
      <c r="J21" s="6" t="str">
        <f aca="false">ROUND(71*1,0)&amp;"%"</f>
        <v>71%</v>
      </c>
    </row>
    <row r="22" customFormat="false" ht="15" hidden="false" customHeight="false" outlineLevel="0" collapsed="false">
      <c r="A22" s="5" t="s">
        <v>2223</v>
      </c>
      <c r="B22" s="5" t="s">
        <v>65</v>
      </c>
      <c r="C22" s="5" t="s">
        <v>57</v>
      </c>
      <c r="D22" s="5" t="s">
        <v>39</v>
      </c>
      <c r="E22" s="5" t="n">
        <f aca="false">ROUND(15425*1.05,2)</f>
        <v>16196.25</v>
      </c>
      <c r="F22" s="5" t="s">
        <v>40</v>
      </c>
      <c r="G22" s="5" t="s">
        <v>24</v>
      </c>
      <c r="H22" s="5" t="n">
        <f aca="true">ROUND(RAND()*4+6,1)</f>
        <v>9</v>
      </c>
      <c r="I22" s="5" t="s">
        <v>41</v>
      </c>
      <c r="J22" s="5" t="str">
        <f aca="false">ROUND(69*1,0)&amp;"%"</f>
        <v>69%</v>
      </c>
    </row>
    <row r="23" customFormat="false" ht="15" hidden="false" customHeight="false" outlineLevel="0" collapsed="false">
      <c r="A23" s="6" t="s">
        <v>2224</v>
      </c>
      <c r="B23" s="6" t="s">
        <v>67</v>
      </c>
      <c r="C23" s="6" t="s">
        <v>57</v>
      </c>
      <c r="D23" s="6" t="s">
        <v>44</v>
      </c>
      <c r="E23" s="6" t="n">
        <f aca="false">ROUND(17399*1.05,2)</f>
        <v>18268.95</v>
      </c>
      <c r="F23" s="6" t="s">
        <v>45</v>
      </c>
      <c r="G23" s="6" t="s">
        <v>30</v>
      </c>
      <c r="H23" s="6" t="n">
        <f aca="true">ROUND(RAND()*4+6,1)</f>
        <v>8</v>
      </c>
      <c r="I23" s="6" t="s">
        <v>46</v>
      </c>
      <c r="J23" s="6" t="str">
        <f aca="false">ROUND(66*1,0)&amp;"%"</f>
        <v>66%</v>
      </c>
    </row>
    <row r="24" customFormat="false" ht="15" hidden="false" customHeight="false" outlineLevel="0" collapsed="false">
      <c r="A24" s="5" t="s">
        <v>2225</v>
      </c>
      <c r="B24" s="5" t="s">
        <v>69</v>
      </c>
      <c r="C24" s="5" t="s">
        <v>57</v>
      </c>
      <c r="D24" s="5" t="s">
        <v>16</v>
      </c>
      <c r="E24" s="5" t="n">
        <f aca="false">ROUND(16112*1.05,2)</f>
        <v>16917.6</v>
      </c>
      <c r="F24" s="5" t="s">
        <v>49</v>
      </c>
      <c r="G24" s="5" t="s">
        <v>18</v>
      </c>
      <c r="H24" s="5" t="n">
        <f aca="true">ROUND(RAND()*4+6,1)</f>
        <v>7.1</v>
      </c>
      <c r="I24" s="5" t="s">
        <v>19</v>
      </c>
      <c r="J24" s="5" t="str">
        <f aca="false">ROUND(79*1,0)&amp;"%"</f>
        <v>79%</v>
      </c>
    </row>
    <row r="25" customFormat="false" ht="15" hidden="false" customHeight="false" outlineLevel="0" collapsed="false">
      <c r="A25" s="6" t="s">
        <v>2226</v>
      </c>
      <c r="B25" s="6" t="s">
        <v>71</v>
      </c>
      <c r="C25" s="6" t="s">
        <v>57</v>
      </c>
      <c r="D25" s="6" t="s">
        <v>22</v>
      </c>
      <c r="E25" s="6" t="n">
        <f aca="false">ROUND(15376*1.05,2)</f>
        <v>16144.8</v>
      </c>
      <c r="F25" s="6" t="s">
        <v>52</v>
      </c>
      <c r="G25" s="6" t="s">
        <v>24</v>
      </c>
      <c r="H25" s="6" t="n">
        <f aca="true">ROUND(RAND()*4+6,1)</f>
        <v>7.5</v>
      </c>
      <c r="I25" s="6" t="s">
        <v>25</v>
      </c>
      <c r="J25" s="6" t="str">
        <f aca="false">ROUND(77*1,0)&amp;"%"</f>
        <v>77%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2227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2228</v>
      </c>
      <c r="B30" s="5" t="s">
        <v>75</v>
      </c>
      <c r="C30" s="5" t="s">
        <v>76</v>
      </c>
      <c r="D30" s="5" t="s">
        <v>16</v>
      </c>
      <c r="E30" s="5" t="n">
        <f aca="false">ROUND(15299*1.05,2)</f>
        <v>16063.95</v>
      </c>
      <c r="F30" s="5" t="s">
        <v>17</v>
      </c>
      <c r="G30" s="5" t="s">
        <v>18</v>
      </c>
      <c r="H30" s="5" t="n">
        <f aca="true">ROUND(RAND()*4+6,1)</f>
        <v>9.5</v>
      </c>
      <c r="I30" s="5" t="s">
        <v>19</v>
      </c>
      <c r="J30" s="5" t="str">
        <f aca="false">ROUND(96*1,0)&amp;"%"</f>
        <v>96%</v>
      </c>
    </row>
    <row r="31" customFormat="false" ht="15" hidden="false" customHeight="false" outlineLevel="0" collapsed="false">
      <c r="A31" s="6" t="s">
        <v>2229</v>
      </c>
      <c r="B31" s="6" t="s">
        <v>78</v>
      </c>
      <c r="C31" s="6" t="s">
        <v>76</v>
      </c>
      <c r="D31" s="6" t="s">
        <v>22</v>
      </c>
      <c r="E31" s="6" t="n">
        <f aca="false">ROUND(16055*1.05,2)</f>
        <v>16857.75</v>
      </c>
      <c r="F31" s="6" t="s">
        <v>23</v>
      </c>
      <c r="G31" s="6" t="s">
        <v>24</v>
      </c>
      <c r="H31" s="6" t="n">
        <f aca="true">ROUND(RAND()*4+6,1)</f>
        <v>9.7</v>
      </c>
      <c r="I31" s="6" t="s">
        <v>25</v>
      </c>
      <c r="J31" s="6" t="str">
        <f aca="false">ROUND(97*1,0)&amp;"%"</f>
        <v>97%</v>
      </c>
    </row>
    <row r="32" customFormat="false" ht="15" hidden="false" customHeight="false" outlineLevel="0" collapsed="false">
      <c r="A32" s="5" t="s">
        <v>2230</v>
      </c>
      <c r="B32" s="5" t="s">
        <v>80</v>
      </c>
      <c r="C32" s="5" t="s">
        <v>76</v>
      </c>
      <c r="D32" s="5" t="s">
        <v>28</v>
      </c>
      <c r="E32" s="5" t="n">
        <f aca="false">ROUND(6635*1.05,2)</f>
        <v>6966.75</v>
      </c>
      <c r="F32" s="5" t="s">
        <v>29</v>
      </c>
      <c r="G32" s="5" t="s">
        <v>30</v>
      </c>
      <c r="H32" s="5" t="n">
        <f aca="true">ROUND(RAND()*4+6,1)</f>
        <v>9</v>
      </c>
      <c r="I32" s="5" t="s">
        <v>31</v>
      </c>
      <c r="J32" s="5" t="str">
        <f aca="false">ROUND(76*1,0)&amp;"%"</f>
        <v>76%</v>
      </c>
    </row>
    <row r="33" customFormat="false" ht="15" hidden="false" customHeight="false" outlineLevel="0" collapsed="false">
      <c r="A33" s="6" t="s">
        <v>2231</v>
      </c>
      <c r="B33" s="6" t="s">
        <v>82</v>
      </c>
      <c r="C33" s="6" t="s">
        <v>76</v>
      </c>
      <c r="D33" s="6" t="s">
        <v>34</v>
      </c>
      <c r="E33" s="6" t="n">
        <f aca="false">ROUND(15440*1.05,2)</f>
        <v>16212</v>
      </c>
      <c r="F33" s="6" t="s">
        <v>35</v>
      </c>
      <c r="G33" s="6" t="s">
        <v>18</v>
      </c>
      <c r="H33" s="6" t="n">
        <f aca="true">ROUND(RAND()*4+6,1)</f>
        <v>7.8</v>
      </c>
      <c r="I33" s="6" t="s">
        <v>36</v>
      </c>
      <c r="J33" s="6" t="str">
        <f aca="false">ROUND(70*1,0)&amp;"%"</f>
        <v>70%</v>
      </c>
    </row>
    <row r="34" customFormat="false" ht="15" hidden="false" customHeight="false" outlineLevel="0" collapsed="false">
      <c r="A34" s="5" t="s">
        <v>2232</v>
      </c>
      <c r="B34" s="5" t="s">
        <v>84</v>
      </c>
      <c r="C34" s="5" t="s">
        <v>76</v>
      </c>
      <c r="D34" s="5" t="s">
        <v>39</v>
      </c>
      <c r="E34" s="5" t="n">
        <f aca="false">ROUND(9598*1.05,2)</f>
        <v>10077.9</v>
      </c>
      <c r="F34" s="5" t="s">
        <v>40</v>
      </c>
      <c r="G34" s="5" t="s">
        <v>24</v>
      </c>
      <c r="H34" s="5" t="n">
        <f aca="true">ROUND(RAND()*4+6,1)</f>
        <v>9.1</v>
      </c>
      <c r="I34" s="5" t="s">
        <v>41</v>
      </c>
      <c r="J34" s="5" t="str">
        <f aca="false">ROUND(78*1,0)&amp;"%"</f>
        <v>78%</v>
      </c>
    </row>
    <row r="35" customFormat="false" ht="15" hidden="false" customHeight="false" outlineLevel="0" collapsed="false">
      <c r="A35" s="6" t="s">
        <v>2233</v>
      </c>
      <c r="B35" s="6" t="s">
        <v>86</v>
      </c>
      <c r="C35" s="6" t="s">
        <v>76</v>
      </c>
      <c r="D35" s="6" t="s">
        <v>44</v>
      </c>
      <c r="E35" s="6" t="n">
        <f aca="false">ROUND(5345*1.05,2)</f>
        <v>5612.25</v>
      </c>
      <c r="F35" s="6" t="s">
        <v>45</v>
      </c>
      <c r="G35" s="6" t="s">
        <v>30</v>
      </c>
      <c r="H35" s="6" t="n">
        <f aca="true">ROUND(RAND()*4+6,1)</f>
        <v>8.2</v>
      </c>
      <c r="I35" s="6" t="s">
        <v>46</v>
      </c>
      <c r="J35" s="6" t="str">
        <f aca="false">ROUND(97*1,0)&amp;"%"</f>
        <v>97%</v>
      </c>
    </row>
    <row r="36" customFormat="false" ht="15" hidden="false" customHeight="false" outlineLevel="0" collapsed="false">
      <c r="A36" s="5" t="s">
        <v>2234</v>
      </c>
      <c r="B36" s="5" t="s">
        <v>88</v>
      </c>
      <c r="C36" s="5" t="s">
        <v>76</v>
      </c>
      <c r="D36" s="5" t="s">
        <v>16</v>
      </c>
      <c r="E36" s="5" t="n">
        <f aca="false">ROUND(7900*1.05,2)</f>
        <v>8295</v>
      </c>
      <c r="F36" s="5" t="s">
        <v>49</v>
      </c>
      <c r="G36" s="5" t="s">
        <v>18</v>
      </c>
      <c r="H36" s="5" t="n">
        <f aca="true">ROUND(RAND()*4+6,1)</f>
        <v>6.9</v>
      </c>
      <c r="I36" s="5" t="s">
        <v>19</v>
      </c>
      <c r="J36" s="5" t="str">
        <f aca="false">ROUND(72*1,0)&amp;"%"</f>
        <v>72%</v>
      </c>
    </row>
    <row r="37" customFormat="false" ht="15" hidden="false" customHeight="false" outlineLevel="0" collapsed="false">
      <c r="A37" s="6" t="s">
        <v>2235</v>
      </c>
      <c r="B37" s="6" t="s">
        <v>90</v>
      </c>
      <c r="C37" s="6" t="s">
        <v>76</v>
      </c>
      <c r="D37" s="6" t="s">
        <v>22</v>
      </c>
      <c r="E37" s="6" t="n">
        <f aca="false">ROUND(14937*1.05,2)</f>
        <v>15683.85</v>
      </c>
      <c r="F37" s="6" t="s">
        <v>52</v>
      </c>
      <c r="G37" s="6" t="s">
        <v>24</v>
      </c>
      <c r="H37" s="6" t="n">
        <f aca="true">ROUND(RAND()*4+6,1)</f>
        <v>9.3</v>
      </c>
      <c r="I37" s="6" t="s">
        <v>25</v>
      </c>
      <c r="J37" s="6" t="str">
        <f aca="false">ROUND(81*1,0)&amp;"%"</f>
        <v>81%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2236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2237</v>
      </c>
      <c r="B42" s="5" t="s">
        <v>94</v>
      </c>
      <c r="C42" s="5" t="s">
        <v>95</v>
      </c>
      <c r="D42" s="5" t="s">
        <v>16</v>
      </c>
      <c r="E42" s="5" t="n">
        <f aca="false">ROUND(13169*1.05,2)</f>
        <v>13827.45</v>
      </c>
      <c r="F42" s="5" t="s">
        <v>17</v>
      </c>
      <c r="G42" s="5" t="s">
        <v>18</v>
      </c>
      <c r="H42" s="5" t="n">
        <f aca="true">ROUND(RAND()*4+6,1)</f>
        <v>7.1</v>
      </c>
      <c r="I42" s="5" t="s">
        <v>19</v>
      </c>
      <c r="J42" s="5" t="str">
        <f aca="false">ROUND(91*1,0)&amp;"%"</f>
        <v>91%</v>
      </c>
    </row>
    <row r="43" customFormat="false" ht="15" hidden="false" customHeight="false" outlineLevel="0" collapsed="false">
      <c r="A43" s="6" t="s">
        <v>2238</v>
      </c>
      <c r="B43" s="6" t="s">
        <v>97</v>
      </c>
      <c r="C43" s="6" t="s">
        <v>95</v>
      </c>
      <c r="D43" s="6" t="s">
        <v>22</v>
      </c>
      <c r="E43" s="6" t="n">
        <f aca="false">ROUND(15243*1.05,2)</f>
        <v>16005.15</v>
      </c>
      <c r="F43" s="6" t="s">
        <v>23</v>
      </c>
      <c r="G43" s="6" t="s">
        <v>24</v>
      </c>
      <c r="H43" s="6" t="n">
        <f aca="true">ROUND(RAND()*4+6,1)</f>
        <v>9.8</v>
      </c>
      <c r="I43" s="6" t="s">
        <v>25</v>
      </c>
      <c r="J43" s="6" t="str">
        <f aca="false">ROUND(69*1,0)&amp;"%"</f>
        <v>69%</v>
      </c>
    </row>
    <row r="44" customFormat="false" ht="15" hidden="false" customHeight="false" outlineLevel="0" collapsed="false">
      <c r="A44" s="5" t="s">
        <v>2239</v>
      </c>
      <c r="B44" s="5" t="s">
        <v>99</v>
      </c>
      <c r="C44" s="5" t="s">
        <v>95</v>
      </c>
      <c r="D44" s="5" t="s">
        <v>28</v>
      </c>
      <c r="E44" s="5" t="n">
        <f aca="false">ROUND(15949*1.05,2)</f>
        <v>16746.45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ROUND(73*1,0)&amp;"%"</f>
        <v>73%</v>
      </c>
    </row>
    <row r="45" customFormat="false" ht="15" hidden="false" customHeight="false" outlineLevel="0" collapsed="false">
      <c r="A45" s="6" t="s">
        <v>2240</v>
      </c>
      <c r="B45" s="6" t="s">
        <v>101</v>
      </c>
      <c r="C45" s="6" t="s">
        <v>95</v>
      </c>
      <c r="D45" s="6" t="s">
        <v>34</v>
      </c>
      <c r="E45" s="6" t="n">
        <f aca="false">ROUND(9134*1.05,2)</f>
        <v>9590.7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ROUND(78*1,0)&amp;"%"</f>
        <v>78%</v>
      </c>
    </row>
    <row r="46" customFormat="false" ht="15" hidden="false" customHeight="false" outlineLevel="0" collapsed="false">
      <c r="A46" s="5" t="s">
        <v>2241</v>
      </c>
      <c r="B46" s="5" t="s">
        <v>103</v>
      </c>
      <c r="C46" s="5" t="s">
        <v>95</v>
      </c>
      <c r="D46" s="5" t="s">
        <v>39</v>
      </c>
      <c r="E46" s="5" t="n">
        <f aca="false">ROUND(5531*1.05,2)</f>
        <v>5807.55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ROUND(90*1,0)&amp;"%"</f>
        <v>90%</v>
      </c>
    </row>
    <row r="47" customFormat="false" ht="15" hidden="false" customHeight="false" outlineLevel="0" collapsed="false">
      <c r="A47" s="6" t="s">
        <v>2242</v>
      </c>
      <c r="B47" s="6" t="s">
        <v>105</v>
      </c>
      <c r="C47" s="6" t="s">
        <v>95</v>
      </c>
      <c r="D47" s="6" t="s">
        <v>44</v>
      </c>
      <c r="E47" s="6" t="n">
        <f aca="false">ROUND(13963*1.05,2)</f>
        <v>14661.15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ROUND(76*1,0)&amp;"%"</f>
        <v>76%</v>
      </c>
    </row>
    <row r="48" customFormat="false" ht="15" hidden="false" customHeight="false" outlineLevel="0" collapsed="false">
      <c r="A48" s="5" t="s">
        <v>2243</v>
      </c>
      <c r="B48" s="5" t="s">
        <v>107</v>
      </c>
      <c r="C48" s="5" t="s">
        <v>95</v>
      </c>
      <c r="D48" s="5" t="s">
        <v>16</v>
      </c>
      <c r="E48" s="5" t="n">
        <f aca="false">ROUND(9620*1.05,2)</f>
        <v>10101</v>
      </c>
      <c r="F48" s="5" t="s">
        <v>49</v>
      </c>
      <c r="G48" s="5" t="s">
        <v>18</v>
      </c>
      <c r="H48" s="5" t="n">
        <f aca="true">ROUND(RAND()*4+6,1)</f>
        <v>7.6</v>
      </c>
      <c r="I48" s="5" t="s">
        <v>19</v>
      </c>
      <c r="J48" s="5" t="str">
        <f aca="false">ROUND(71*1,0)&amp;"%"</f>
        <v>71%</v>
      </c>
    </row>
    <row r="49" customFormat="false" ht="15" hidden="false" customHeight="false" outlineLevel="0" collapsed="false">
      <c r="A49" s="6" t="s">
        <v>2244</v>
      </c>
      <c r="B49" s="6" t="s">
        <v>109</v>
      </c>
      <c r="C49" s="6" t="s">
        <v>95</v>
      </c>
      <c r="D49" s="6" t="s">
        <v>22</v>
      </c>
      <c r="E49" s="6" t="n">
        <f aca="false">ROUND(7089*1.05,2)</f>
        <v>7443.45</v>
      </c>
      <c r="F49" s="6" t="s">
        <v>52</v>
      </c>
      <c r="G49" s="6" t="s">
        <v>24</v>
      </c>
      <c r="H49" s="6" t="n">
        <f aca="true">ROUND(RAND()*4+6,1)</f>
        <v>7.6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2245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2246</v>
      </c>
      <c r="B54" s="5" t="s">
        <v>113</v>
      </c>
      <c r="C54" s="5" t="s">
        <v>114</v>
      </c>
      <c r="D54" s="5" t="s">
        <v>16</v>
      </c>
      <c r="E54" s="5" t="n">
        <f aca="false">ROUND(14062*1.05,2)</f>
        <v>14765.1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ROUND(71*1,0)&amp;"%"</f>
        <v>71%</v>
      </c>
    </row>
    <row r="55" customFormat="false" ht="15" hidden="false" customHeight="false" outlineLevel="0" collapsed="false">
      <c r="A55" s="6" t="s">
        <v>2247</v>
      </c>
      <c r="B55" s="6" t="s">
        <v>116</v>
      </c>
      <c r="C55" s="6" t="s">
        <v>114</v>
      </c>
      <c r="D55" s="6" t="s">
        <v>22</v>
      </c>
      <c r="E55" s="6" t="n">
        <f aca="false">ROUND(11389*1.05,2)</f>
        <v>11958.45</v>
      </c>
      <c r="F55" s="6" t="s">
        <v>23</v>
      </c>
      <c r="G55" s="6" t="s">
        <v>24</v>
      </c>
      <c r="H55" s="6" t="n">
        <f aca="true">ROUND(RAND()*4+6,1)</f>
        <v>9.8</v>
      </c>
      <c r="I55" s="6" t="s">
        <v>25</v>
      </c>
      <c r="J55" s="6" t="str">
        <f aca="false">ROUND(96*1,0)&amp;"%"</f>
        <v>96%</v>
      </c>
    </row>
    <row r="56" customFormat="false" ht="15" hidden="false" customHeight="false" outlineLevel="0" collapsed="false">
      <c r="A56" s="5" t="s">
        <v>2248</v>
      </c>
      <c r="B56" s="5" t="s">
        <v>118</v>
      </c>
      <c r="C56" s="5" t="s">
        <v>114</v>
      </c>
      <c r="D56" s="5" t="s">
        <v>28</v>
      </c>
      <c r="E56" s="5" t="n">
        <f aca="false">ROUND(10254*1.05,2)</f>
        <v>10766.7</v>
      </c>
      <c r="F56" s="5" t="s">
        <v>29</v>
      </c>
      <c r="G56" s="5" t="s">
        <v>30</v>
      </c>
      <c r="H56" s="5" t="n">
        <f aca="true">ROUND(RAND()*4+6,1)</f>
        <v>7.9</v>
      </c>
      <c r="I56" s="5" t="s">
        <v>31</v>
      </c>
      <c r="J56" s="5" t="str">
        <f aca="false">ROUND(72*1,0)&amp;"%"</f>
        <v>72%</v>
      </c>
    </row>
    <row r="57" customFormat="false" ht="15" hidden="false" customHeight="false" outlineLevel="0" collapsed="false">
      <c r="A57" s="6" t="s">
        <v>2249</v>
      </c>
      <c r="B57" s="6" t="s">
        <v>120</v>
      </c>
      <c r="C57" s="6" t="s">
        <v>114</v>
      </c>
      <c r="D57" s="6" t="s">
        <v>34</v>
      </c>
      <c r="E57" s="6" t="n">
        <f aca="false">ROUND(13729*1.05,2)</f>
        <v>14415.45</v>
      </c>
      <c r="F57" s="6" t="s">
        <v>35</v>
      </c>
      <c r="G57" s="6" t="s">
        <v>18</v>
      </c>
      <c r="H57" s="6" t="n">
        <f aca="true">ROUND(RAND()*4+6,1)</f>
        <v>8.6</v>
      </c>
      <c r="I57" s="6" t="s">
        <v>36</v>
      </c>
      <c r="J57" s="6" t="str">
        <f aca="false">ROUND(91*1,0)&amp;"%"</f>
        <v>91%</v>
      </c>
    </row>
    <row r="58" customFormat="false" ht="15" hidden="false" customHeight="false" outlineLevel="0" collapsed="false">
      <c r="A58" s="5" t="s">
        <v>2250</v>
      </c>
      <c r="B58" s="5" t="s">
        <v>122</v>
      </c>
      <c r="C58" s="5" t="s">
        <v>114</v>
      </c>
      <c r="D58" s="5" t="s">
        <v>39</v>
      </c>
      <c r="E58" s="5" t="n">
        <f aca="false">ROUND(9877*1.05,2)</f>
        <v>10370.85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ROUND(96*1,0)&amp;"%"</f>
        <v>96%</v>
      </c>
    </row>
    <row r="59" customFormat="false" ht="15" hidden="false" customHeight="false" outlineLevel="0" collapsed="false">
      <c r="A59" s="6" t="s">
        <v>2251</v>
      </c>
      <c r="B59" s="6" t="s">
        <v>124</v>
      </c>
      <c r="C59" s="6" t="s">
        <v>114</v>
      </c>
      <c r="D59" s="6" t="s">
        <v>44</v>
      </c>
      <c r="E59" s="6" t="n">
        <f aca="false">ROUND(13921*1.05,2)</f>
        <v>14617.05</v>
      </c>
      <c r="F59" s="6" t="s">
        <v>45</v>
      </c>
      <c r="G59" s="6" t="s">
        <v>30</v>
      </c>
      <c r="H59" s="6" t="n">
        <f aca="true">ROUND(RAND()*4+6,1)</f>
        <v>8</v>
      </c>
      <c r="I59" s="6" t="s">
        <v>46</v>
      </c>
      <c r="J59" s="6" t="str">
        <f aca="false">ROUND(81*1,0)&amp;"%"</f>
        <v>81%</v>
      </c>
    </row>
    <row r="60" customFormat="false" ht="15" hidden="false" customHeight="false" outlineLevel="0" collapsed="false">
      <c r="A60" s="5" t="s">
        <v>2252</v>
      </c>
      <c r="B60" s="5" t="s">
        <v>126</v>
      </c>
      <c r="C60" s="5" t="s">
        <v>114</v>
      </c>
      <c r="D60" s="5" t="s">
        <v>16</v>
      </c>
      <c r="E60" s="5" t="n">
        <f aca="false">ROUND(4143*1.05,2)</f>
        <v>4350.15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ROUND(86*1,0)&amp;"%"</f>
        <v>86%</v>
      </c>
    </row>
    <row r="61" customFormat="false" ht="15" hidden="false" customHeight="false" outlineLevel="0" collapsed="false">
      <c r="A61" s="6" t="s">
        <v>2253</v>
      </c>
      <c r="B61" s="6" t="s">
        <v>128</v>
      </c>
      <c r="C61" s="6" t="s">
        <v>114</v>
      </c>
      <c r="D61" s="6" t="s">
        <v>22</v>
      </c>
      <c r="E61" s="6" t="n">
        <f aca="false">ROUND(7967*1.05,2)</f>
        <v>8365.35</v>
      </c>
      <c r="F61" s="6" t="s">
        <v>52</v>
      </c>
      <c r="G61" s="6" t="s">
        <v>24</v>
      </c>
      <c r="H61" s="6" t="n">
        <f aca="true">ROUND(RAND()*4+6,1)</f>
        <v>7</v>
      </c>
      <c r="I61" s="6" t="s">
        <v>25</v>
      </c>
      <c r="J61" s="6" t="str">
        <f aca="false">ROUND(61*1,0)&amp;"%"</f>
        <v>61%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2254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2255</v>
      </c>
      <c r="B66" s="5" t="s">
        <v>132</v>
      </c>
      <c r="C66" s="5" t="s">
        <v>133</v>
      </c>
      <c r="D66" s="5" t="s">
        <v>16</v>
      </c>
      <c r="E66" s="5" t="n">
        <f aca="false">ROUND(4280*1.05,2)</f>
        <v>4494</v>
      </c>
      <c r="F66" s="5" t="s">
        <v>17</v>
      </c>
      <c r="G66" s="5" t="s">
        <v>18</v>
      </c>
      <c r="H66" s="5" t="n">
        <f aca="true">ROUND(RAND()*4+6,1)</f>
        <v>9.5</v>
      </c>
      <c r="I66" s="5" t="s">
        <v>19</v>
      </c>
      <c r="J66" s="5" t="str">
        <f aca="false">ROUND(73*1,0)&amp;"%"</f>
        <v>73%</v>
      </c>
    </row>
    <row r="67" customFormat="false" ht="15" hidden="false" customHeight="false" outlineLevel="0" collapsed="false">
      <c r="A67" s="6" t="s">
        <v>2256</v>
      </c>
      <c r="B67" s="6" t="s">
        <v>135</v>
      </c>
      <c r="C67" s="6" t="s">
        <v>133</v>
      </c>
      <c r="D67" s="6" t="s">
        <v>22</v>
      </c>
      <c r="E67" s="6" t="n">
        <f aca="false">ROUND(8596*1.05,2)</f>
        <v>9025.8</v>
      </c>
      <c r="F67" s="6" t="s">
        <v>23</v>
      </c>
      <c r="G67" s="6" t="s">
        <v>24</v>
      </c>
      <c r="H67" s="6" t="n">
        <f aca="true">ROUND(RAND()*4+6,1)</f>
        <v>8</v>
      </c>
      <c r="I67" s="6" t="s">
        <v>25</v>
      </c>
      <c r="J67" s="6" t="str">
        <f aca="false">ROUND(74*1,0)&amp;"%"</f>
        <v>74%</v>
      </c>
    </row>
    <row r="68" customFormat="false" ht="15" hidden="false" customHeight="false" outlineLevel="0" collapsed="false">
      <c r="A68" s="5" t="s">
        <v>2257</v>
      </c>
      <c r="B68" s="5" t="s">
        <v>137</v>
      </c>
      <c r="C68" s="5" t="s">
        <v>133</v>
      </c>
      <c r="D68" s="5" t="s">
        <v>28</v>
      </c>
      <c r="E68" s="5" t="n">
        <f aca="false">ROUND(17552*1.05,2)</f>
        <v>18429.6</v>
      </c>
      <c r="F68" s="5" t="s">
        <v>29</v>
      </c>
      <c r="G68" s="5" t="s">
        <v>30</v>
      </c>
      <c r="H68" s="5" t="n">
        <f aca="true">ROUND(RAND()*4+6,1)</f>
        <v>8.5</v>
      </c>
      <c r="I68" s="5" t="s">
        <v>31</v>
      </c>
      <c r="J68" s="5" t="str">
        <f aca="false">ROUND(95*1,0)&amp;"%"</f>
        <v>95%</v>
      </c>
    </row>
    <row r="69" customFormat="false" ht="15" hidden="false" customHeight="false" outlineLevel="0" collapsed="false">
      <c r="A69" s="6" t="s">
        <v>2258</v>
      </c>
      <c r="B69" s="6" t="s">
        <v>139</v>
      </c>
      <c r="C69" s="6" t="s">
        <v>133</v>
      </c>
      <c r="D69" s="6" t="s">
        <v>34</v>
      </c>
      <c r="E69" s="6" t="n">
        <f aca="false">ROUND(16865*1.05,2)</f>
        <v>17708.25</v>
      </c>
      <c r="F69" s="6" t="s">
        <v>35</v>
      </c>
      <c r="G69" s="6" t="s">
        <v>18</v>
      </c>
      <c r="H69" s="6" t="n">
        <f aca="true">ROUND(RAND()*4+6,1)</f>
        <v>6.5</v>
      </c>
      <c r="I69" s="6" t="s">
        <v>36</v>
      </c>
      <c r="J69" s="6" t="str">
        <f aca="false">ROUND(83*1,0)&amp;"%"</f>
        <v>83%</v>
      </c>
    </row>
    <row r="70" customFormat="false" ht="15" hidden="false" customHeight="false" outlineLevel="0" collapsed="false">
      <c r="A70" s="5" t="s">
        <v>2259</v>
      </c>
      <c r="B70" s="5" t="s">
        <v>141</v>
      </c>
      <c r="C70" s="5" t="s">
        <v>133</v>
      </c>
      <c r="D70" s="5" t="s">
        <v>39</v>
      </c>
      <c r="E70" s="5" t="n">
        <f aca="false">ROUND(16127*1.05,2)</f>
        <v>16933.35</v>
      </c>
      <c r="F70" s="5" t="s">
        <v>40</v>
      </c>
      <c r="G70" s="5" t="s">
        <v>24</v>
      </c>
      <c r="H70" s="5" t="n">
        <f aca="true">ROUND(RAND()*4+6,1)</f>
        <v>7.2</v>
      </c>
      <c r="I70" s="5" t="s">
        <v>41</v>
      </c>
      <c r="J70" s="5" t="str">
        <f aca="false">ROUND(69*1,0)&amp;"%"</f>
        <v>69%</v>
      </c>
    </row>
    <row r="71" customFormat="false" ht="15" hidden="false" customHeight="false" outlineLevel="0" collapsed="false">
      <c r="A71" s="6" t="s">
        <v>2260</v>
      </c>
      <c r="B71" s="6" t="s">
        <v>143</v>
      </c>
      <c r="C71" s="6" t="s">
        <v>133</v>
      </c>
      <c r="D71" s="6" t="s">
        <v>44</v>
      </c>
      <c r="E71" s="6" t="n">
        <f aca="false">ROUND(9790*1.05,2)</f>
        <v>10279.5</v>
      </c>
      <c r="F71" s="6" t="s">
        <v>45</v>
      </c>
      <c r="G71" s="6" t="s">
        <v>30</v>
      </c>
      <c r="H71" s="6" t="n">
        <f aca="true">ROUND(RAND()*4+6,1)</f>
        <v>8</v>
      </c>
      <c r="I71" s="6" t="s">
        <v>46</v>
      </c>
      <c r="J71" s="6" t="str">
        <f aca="false">ROUND(72*1,0)&amp;"%"</f>
        <v>72%</v>
      </c>
    </row>
    <row r="72" customFormat="false" ht="15" hidden="false" customHeight="false" outlineLevel="0" collapsed="false">
      <c r="A72" s="5" t="s">
        <v>2261</v>
      </c>
      <c r="B72" s="5" t="s">
        <v>145</v>
      </c>
      <c r="C72" s="5" t="s">
        <v>133</v>
      </c>
      <c r="D72" s="5" t="s">
        <v>16</v>
      </c>
      <c r="E72" s="5" t="n">
        <f aca="false">ROUND(15152*1.05,2)</f>
        <v>15909.6</v>
      </c>
      <c r="F72" s="5" t="s">
        <v>49</v>
      </c>
      <c r="G72" s="5" t="s">
        <v>18</v>
      </c>
      <c r="H72" s="5" t="n">
        <f aca="true">ROUND(RAND()*4+6,1)</f>
        <v>9.6</v>
      </c>
      <c r="I72" s="5" t="s">
        <v>19</v>
      </c>
      <c r="J72" s="5" t="str">
        <f aca="false">ROUND(61*1,0)&amp;"%"</f>
        <v>61%</v>
      </c>
    </row>
    <row r="73" customFormat="false" ht="15" hidden="false" customHeight="false" outlineLevel="0" collapsed="false">
      <c r="A73" s="6" t="s">
        <v>2262</v>
      </c>
      <c r="B73" s="6" t="s">
        <v>147</v>
      </c>
      <c r="C73" s="6" t="s">
        <v>133</v>
      </c>
      <c r="D73" s="6" t="s">
        <v>22</v>
      </c>
      <c r="E73" s="6" t="n">
        <f aca="false">ROUND(13883*1.05,2)</f>
        <v>14577.15</v>
      </c>
      <c r="F73" s="6" t="s">
        <v>52</v>
      </c>
      <c r="G73" s="6" t="s">
        <v>24</v>
      </c>
      <c r="H73" s="6" t="n">
        <f aca="true">ROUND(RAND()*4+6,1)</f>
        <v>9.9</v>
      </c>
      <c r="I73" s="6" t="s">
        <v>25</v>
      </c>
      <c r="J73" s="6" t="str">
        <f aca="false">ROUND(80*1,0)&amp;"%"</f>
        <v>80%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2263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2264</v>
      </c>
      <c r="B78" s="5" t="s">
        <v>151</v>
      </c>
      <c r="C78" s="5" t="s">
        <v>152</v>
      </c>
      <c r="D78" s="5" t="s">
        <v>16</v>
      </c>
      <c r="E78" s="5" t="n">
        <f aca="false">ROUND(4843*1.05,2)</f>
        <v>5085.15</v>
      </c>
      <c r="F78" s="5" t="s">
        <v>17</v>
      </c>
      <c r="G78" s="5" t="s">
        <v>18</v>
      </c>
      <c r="H78" s="5" t="n">
        <f aca="true">ROUND(RAND()*4+6,1)</f>
        <v>6.4</v>
      </c>
      <c r="I78" s="5" t="s">
        <v>19</v>
      </c>
      <c r="J78" s="5" t="str">
        <f aca="false">ROUND(68*1,0)&amp;"%"</f>
        <v>68%</v>
      </c>
    </row>
    <row r="79" customFormat="false" ht="15" hidden="false" customHeight="false" outlineLevel="0" collapsed="false">
      <c r="A79" s="6" t="s">
        <v>2265</v>
      </c>
      <c r="B79" s="6" t="s">
        <v>154</v>
      </c>
      <c r="C79" s="6" t="s">
        <v>152</v>
      </c>
      <c r="D79" s="6" t="s">
        <v>22</v>
      </c>
      <c r="E79" s="6" t="n">
        <f aca="false">ROUND(13355*1.05,2)</f>
        <v>14022.75</v>
      </c>
      <c r="F79" s="6" t="s">
        <v>23</v>
      </c>
      <c r="G79" s="6" t="s">
        <v>24</v>
      </c>
      <c r="H79" s="6" t="n">
        <f aca="true">ROUND(RAND()*4+6,1)</f>
        <v>7.1</v>
      </c>
      <c r="I79" s="6" t="s">
        <v>25</v>
      </c>
      <c r="J79" s="6" t="str">
        <f aca="false">ROUND(81*1,0)&amp;"%"</f>
        <v>81%</v>
      </c>
    </row>
    <row r="80" customFormat="false" ht="15" hidden="false" customHeight="false" outlineLevel="0" collapsed="false">
      <c r="A80" s="5" t="s">
        <v>2266</v>
      </c>
      <c r="B80" s="5" t="s">
        <v>156</v>
      </c>
      <c r="C80" s="5" t="s">
        <v>152</v>
      </c>
      <c r="D80" s="5" t="s">
        <v>28</v>
      </c>
      <c r="E80" s="5" t="n">
        <f aca="false">ROUND(6437*1.05,2)</f>
        <v>6758.85</v>
      </c>
      <c r="F80" s="5" t="s">
        <v>29</v>
      </c>
      <c r="G80" s="5" t="s">
        <v>30</v>
      </c>
      <c r="H80" s="5" t="n">
        <f aca="true">ROUND(RAND()*4+6,1)</f>
        <v>8</v>
      </c>
      <c r="I80" s="5" t="s">
        <v>31</v>
      </c>
      <c r="J80" s="5" t="str">
        <f aca="false">ROUND(65*1,0)&amp;"%"</f>
        <v>65%</v>
      </c>
    </row>
    <row r="81" customFormat="false" ht="15" hidden="false" customHeight="false" outlineLevel="0" collapsed="false">
      <c r="A81" s="6" t="s">
        <v>2267</v>
      </c>
      <c r="B81" s="6" t="s">
        <v>158</v>
      </c>
      <c r="C81" s="6" t="s">
        <v>152</v>
      </c>
      <c r="D81" s="6" t="s">
        <v>34</v>
      </c>
      <c r="E81" s="6" t="n">
        <f aca="false">ROUND(10380*1.05,2)</f>
        <v>10899</v>
      </c>
      <c r="F81" s="6" t="s">
        <v>35</v>
      </c>
      <c r="G81" s="6" t="s">
        <v>18</v>
      </c>
      <c r="H81" s="6" t="n">
        <f aca="true">ROUND(RAND()*4+6,1)</f>
        <v>9.3</v>
      </c>
      <c r="I81" s="6" t="s">
        <v>36</v>
      </c>
      <c r="J81" s="6" t="str">
        <f aca="false">ROUND(72*1,0)&amp;"%"</f>
        <v>72%</v>
      </c>
    </row>
    <row r="82" customFormat="false" ht="15" hidden="false" customHeight="false" outlineLevel="0" collapsed="false">
      <c r="A82" s="5" t="s">
        <v>2268</v>
      </c>
      <c r="B82" s="5" t="s">
        <v>160</v>
      </c>
      <c r="C82" s="5" t="s">
        <v>152</v>
      </c>
      <c r="D82" s="5" t="s">
        <v>39</v>
      </c>
      <c r="E82" s="5" t="n">
        <f aca="false">ROUND(14261*1.05,2)</f>
        <v>14974.05</v>
      </c>
      <c r="F82" s="5" t="s">
        <v>40</v>
      </c>
      <c r="G82" s="5" t="s">
        <v>24</v>
      </c>
      <c r="H82" s="5" t="n">
        <f aca="true">ROUND(RAND()*4+6,1)</f>
        <v>9.7</v>
      </c>
      <c r="I82" s="5" t="s">
        <v>41</v>
      </c>
      <c r="J82" s="5" t="str">
        <f aca="false">ROUND(93*1,0)&amp;"%"</f>
        <v>93%</v>
      </c>
    </row>
    <row r="83" customFormat="false" ht="15" hidden="false" customHeight="false" outlineLevel="0" collapsed="false">
      <c r="A83" s="6" t="s">
        <v>2269</v>
      </c>
      <c r="B83" s="6" t="s">
        <v>162</v>
      </c>
      <c r="C83" s="6" t="s">
        <v>152</v>
      </c>
      <c r="D83" s="6" t="s">
        <v>44</v>
      </c>
      <c r="E83" s="6" t="n">
        <f aca="false">ROUND(13808*1.05,2)</f>
        <v>14498.4</v>
      </c>
      <c r="F83" s="6" t="s">
        <v>45</v>
      </c>
      <c r="G83" s="6" t="s">
        <v>30</v>
      </c>
      <c r="H83" s="6" t="n">
        <f aca="true">ROUND(RAND()*4+6,1)</f>
        <v>9.9</v>
      </c>
      <c r="I83" s="6" t="s">
        <v>46</v>
      </c>
      <c r="J83" s="6" t="str">
        <f aca="false">ROUND(71*1,0)&amp;"%"</f>
        <v>71%</v>
      </c>
    </row>
    <row r="84" customFormat="false" ht="15" hidden="false" customHeight="false" outlineLevel="0" collapsed="false">
      <c r="A84" s="5" t="s">
        <v>2270</v>
      </c>
      <c r="B84" s="5" t="s">
        <v>164</v>
      </c>
      <c r="C84" s="5" t="s">
        <v>152</v>
      </c>
      <c r="D84" s="5" t="s">
        <v>16</v>
      </c>
      <c r="E84" s="5" t="n">
        <f aca="false">ROUND(14040*1.05,2)</f>
        <v>14742</v>
      </c>
      <c r="F84" s="5" t="s">
        <v>49</v>
      </c>
      <c r="G84" s="5" t="s">
        <v>18</v>
      </c>
      <c r="H84" s="5" t="n">
        <f aca="true">ROUND(RAND()*4+6,1)</f>
        <v>7.1</v>
      </c>
      <c r="I84" s="5" t="s">
        <v>19</v>
      </c>
      <c r="J84" s="5" t="str">
        <f aca="false">ROUND(98*1,0)&amp;"%"</f>
        <v>98%</v>
      </c>
    </row>
    <row r="85" customFormat="false" ht="15" hidden="false" customHeight="false" outlineLevel="0" collapsed="false">
      <c r="A85" s="6" t="s">
        <v>2271</v>
      </c>
      <c r="B85" s="6" t="s">
        <v>166</v>
      </c>
      <c r="C85" s="6" t="s">
        <v>152</v>
      </c>
      <c r="D85" s="6" t="s">
        <v>22</v>
      </c>
      <c r="E85" s="6" t="n">
        <f aca="false">ROUND(11852*1.05,2)</f>
        <v>12444.6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ROUND(96*1,0)&amp;"%"</f>
        <v>96%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2272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2273</v>
      </c>
      <c r="B90" s="5" t="s">
        <v>170</v>
      </c>
      <c r="C90" s="5" t="s">
        <v>15</v>
      </c>
      <c r="D90" s="5" t="s">
        <v>16</v>
      </c>
      <c r="E90" s="5" t="n">
        <f aca="false">ROUND(8939*1.05,2)</f>
        <v>9385.95</v>
      </c>
      <c r="F90" s="5" t="s">
        <v>17</v>
      </c>
      <c r="G90" s="5" t="s">
        <v>18</v>
      </c>
      <c r="H90" s="5" t="n">
        <f aca="true">ROUND(RAND()*4+6,1)</f>
        <v>8.1</v>
      </c>
      <c r="I90" s="5" t="s">
        <v>19</v>
      </c>
      <c r="J90" s="5" t="str">
        <f aca="false">ROUND(68*1,0)&amp;"%"</f>
        <v>68%</v>
      </c>
    </row>
    <row r="91" customFormat="false" ht="15" hidden="false" customHeight="false" outlineLevel="0" collapsed="false">
      <c r="A91" s="6" t="s">
        <v>2274</v>
      </c>
      <c r="B91" s="6" t="s">
        <v>172</v>
      </c>
      <c r="C91" s="6" t="s">
        <v>15</v>
      </c>
      <c r="D91" s="6" t="s">
        <v>22</v>
      </c>
      <c r="E91" s="6" t="n">
        <f aca="false">ROUND(6762*1.05,2)</f>
        <v>7100.1</v>
      </c>
      <c r="F91" s="6" t="s">
        <v>23</v>
      </c>
      <c r="G91" s="6" t="s">
        <v>24</v>
      </c>
      <c r="H91" s="6" t="n">
        <f aca="true">ROUND(RAND()*4+6,1)</f>
        <v>6.1</v>
      </c>
      <c r="I91" s="6" t="s">
        <v>25</v>
      </c>
      <c r="J91" s="6" t="str">
        <f aca="false">ROUND(85*1,0)&amp;"%"</f>
        <v>85%</v>
      </c>
    </row>
    <row r="92" customFormat="false" ht="15" hidden="false" customHeight="false" outlineLevel="0" collapsed="false">
      <c r="A92" s="5" t="s">
        <v>2275</v>
      </c>
      <c r="B92" s="5" t="s">
        <v>174</v>
      </c>
      <c r="C92" s="5" t="s">
        <v>15</v>
      </c>
      <c r="D92" s="5" t="s">
        <v>28</v>
      </c>
      <c r="E92" s="5" t="n">
        <f aca="false">ROUND(6938*1.05,2)</f>
        <v>7284.9</v>
      </c>
      <c r="F92" s="5" t="s">
        <v>29</v>
      </c>
      <c r="G92" s="5" t="s">
        <v>30</v>
      </c>
      <c r="H92" s="5" t="n">
        <f aca="true">ROUND(RAND()*4+6,1)</f>
        <v>6.9</v>
      </c>
      <c r="I92" s="5" t="s">
        <v>31</v>
      </c>
      <c r="J92" s="5" t="str">
        <f aca="false">ROUND(71*1,0)&amp;"%"</f>
        <v>71%</v>
      </c>
    </row>
    <row r="93" customFormat="false" ht="15" hidden="false" customHeight="false" outlineLevel="0" collapsed="false">
      <c r="A93" s="6" t="s">
        <v>2276</v>
      </c>
      <c r="B93" s="6" t="s">
        <v>176</v>
      </c>
      <c r="C93" s="6" t="s">
        <v>15</v>
      </c>
      <c r="D93" s="6" t="s">
        <v>34</v>
      </c>
      <c r="E93" s="6" t="n">
        <f aca="false">ROUND(6799*1.05,2)</f>
        <v>7138.95</v>
      </c>
      <c r="F93" s="6" t="s">
        <v>35</v>
      </c>
      <c r="G93" s="6" t="s">
        <v>18</v>
      </c>
      <c r="H93" s="6" t="n">
        <f aca="true">ROUND(RAND()*4+6,1)</f>
        <v>8.9</v>
      </c>
      <c r="I93" s="6" t="s">
        <v>36</v>
      </c>
      <c r="J93" s="6" t="str">
        <f aca="false">ROUND(79*1,0)&amp;"%"</f>
        <v>79%</v>
      </c>
    </row>
    <row r="94" customFormat="false" ht="15" hidden="false" customHeight="false" outlineLevel="0" collapsed="false">
      <c r="A94" s="5" t="s">
        <v>2277</v>
      </c>
      <c r="B94" s="5" t="s">
        <v>178</v>
      </c>
      <c r="C94" s="5" t="s">
        <v>15</v>
      </c>
      <c r="D94" s="5" t="s">
        <v>39</v>
      </c>
      <c r="E94" s="5" t="n">
        <f aca="false">ROUND(10082*1.05,2)</f>
        <v>10586.1</v>
      </c>
      <c r="F94" s="5" t="s">
        <v>40</v>
      </c>
      <c r="G94" s="5" t="s">
        <v>24</v>
      </c>
      <c r="H94" s="5" t="n">
        <f aca="true">ROUND(RAND()*4+6,1)</f>
        <v>6.5</v>
      </c>
      <c r="I94" s="5" t="s">
        <v>41</v>
      </c>
      <c r="J94" s="5" t="str">
        <f aca="false">ROUND(80*1,0)&amp;"%"</f>
        <v>80%</v>
      </c>
    </row>
    <row r="95" customFormat="false" ht="15" hidden="false" customHeight="false" outlineLevel="0" collapsed="false">
      <c r="A95" s="6" t="s">
        <v>2278</v>
      </c>
      <c r="B95" s="6" t="s">
        <v>180</v>
      </c>
      <c r="C95" s="6" t="s">
        <v>15</v>
      </c>
      <c r="D95" s="6" t="s">
        <v>44</v>
      </c>
      <c r="E95" s="6" t="n">
        <f aca="false">ROUND(9721*1.05,2)</f>
        <v>10207.05</v>
      </c>
      <c r="F95" s="6" t="s">
        <v>45</v>
      </c>
      <c r="G95" s="6" t="s">
        <v>30</v>
      </c>
      <c r="H95" s="6" t="n">
        <f aca="true">ROUND(RAND()*4+6,1)</f>
        <v>7.2</v>
      </c>
      <c r="I95" s="6" t="s">
        <v>46</v>
      </c>
      <c r="J95" s="6" t="str">
        <f aca="false">ROUND(73*1,0)&amp;"%"</f>
        <v>73%</v>
      </c>
    </row>
    <row r="96" customFormat="false" ht="15" hidden="false" customHeight="false" outlineLevel="0" collapsed="false">
      <c r="A96" s="5" t="s">
        <v>2279</v>
      </c>
      <c r="B96" s="5" t="s">
        <v>182</v>
      </c>
      <c r="C96" s="5" t="s">
        <v>15</v>
      </c>
      <c r="D96" s="5" t="s">
        <v>16</v>
      </c>
      <c r="E96" s="5" t="n">
        <f aca="false">ROUND(8689*1.05,2)</f>
        <v>9123.45</v>
      </c>
      <c r="F96" s="5" t="s">
        <v>49</v>
      </c>
      <c r="G96" s="5" t="s">
        <v>18</v>
      </c>
      <c r="H96" s="5" t="n">
        <f aca="true">ROUND(RAND()*4+6,1)</f>
        <v>7.9</v>
      </c>
      <c r="I96" s="5" t="s">
        <v>19</v>
      </c>
      <c r="J96" s="5" t="str">
        <f aca="false">ROUND(92*1,0)&amp;"%"</f>
        <v>92%</v>
      </c>
    </row>
    <row r="97" customFormat="false" ht="15" hidden="false" customHeight="false" outlineLevel="0" collapsed="false">
      <c r="A97" s="6" t="s">
        <v>2280</v>
      </c>
      <c r="B97" s="6" t="s">
        <v>184</v>
      </c>
      <c r="C97" s="6" t="s">
        <v>15</v>
      </c>
      <c r="D97" s="6" t="s">
        <v>22</v>
      </c>
      <c r="E97" s="6" t="n">
        <f aca="false">ROUND(4746*1.05,2)</f>
        <v>4983.3</v>
      </c>
      <c r="F97" s="6" t="s">
        <v>52</v>
      </c>
      <c r="G97" s="6" t="s">
        <v>24</v>
      </c>
      <c r="H97" s="6" t="n">
        <f aca="true">ROUND(RAND()*4+6,1)</f>
        <v>9</v>
      </c>
      <c r="I97" s="6" t="s">
        <v>25</v>
      </c>
      <c r="J97" s="6" t="str">
        <f aca="false">ROUND(73*1,0)&amp;"%"</f>
        <v>73%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2281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2282</v>
      </c>
      <c r="B102" s="5" t="s">
        <v>188</v>
      </c>
      <c r="C102" s="5" t="s">
        <v>57</v>
      </c>
      <c r="D102" s="5" t="s">
        <v>16</v>
      </c>
      <c r="E102" s="5" t="n">
        <f aca="false">ROUND(6241*1.05,2)</f>
        <v>6553.05</v>
      </c>
      <c r="F102" s="5" t="s">
        <v>17</v>
      </c>
      <c r="G102" s="5" t="s">
        <v>18</v>
      </c>
      <c r="H102" s="5" t="n">
        <f aca="true">ROUND(RAND()*4+6,1)</f>
        <v>9.8</v>
      </c>
      <c r="I102" s="5" t="s">
        <v>19</v>
      </c>
      <c r="J102" s="5" t="str">
        <f aca="false">ROUND(85*1,0)&amp;"%"</f>
        <v>85%</v>
      </c>
    </row>
    <row r="103" customFormat="false" ht="15" hidden="false" customHeight="false" outlineLevel="0" collapsed="false">
      <c r="A103" s="6" t="s">
        <v>2283</v>
      </c>
      <c r="B103" s="6" t="s">
        <v>190</v>
      </c>
      <c r="C103" s="6" t="s">
        <v>57</v>
      </c>
      <c r="D103" s="6" t="s">
        <v>22</v>
      </c>
      <c r="E103" s="6" t="n">
        <f aca="false">ROUND(12864*1.05,2)</f>
        <v>13507.2</v>
      </c>
      <c r="F103" s="6" t="s">
        <v>23</v>
      </c>
      <c r="G103" s="6" t="s">
        <v>24</v>
      </c>
      <c r="H103" s="6" t="n">
        <f aca="true">ROUND(RAND()*4+6,1)</f>
        <v>6.3</v>
      </c>
      <c r="I103" s="6" t="s">
        <v>25</v>
      </c>
      <c r="J103" s="6" t="str">
        <f aca="false">ROUND(67*1,0)&amp;"%"</f>
        <v>67%</v>
      </c>
    </row>
    <row r="104" customFormat="false" ht="15" hidden="false" customHeight="false" outlineLevel="0" collapsed="false">
      <c r="A104" s="5" t="s">
        <v>2284</v>
      </c>
      <c r="B104" s="5" t="s">
        <v>192</v>
      </c>
      <c r="C104" s="5" t="s">
        <v>57</v>
      </c>
      <c r="D104" s="5" t="s">
        <v>28</v>
      </c>
      <c r="E104" s="5" t="n">
        <f aca="false">ROUND(14983*1.05,2)</f>
        <v>15732.15</v>
      </c>
      <c r="F104" s="5" t="s">
        <v>29</v>
      </c>
      <c r="G104" s="5" t="s">
        <v>30</v>
      </c>
      <c r="H104" s="5" t="n">
        <f aca="true">ROUND(RAND()*4+6,1)</f>
        <v>9.6</v>
      </c>
      <c r="I104" s="5" t="s">
        <v>31</v>
      </c>
      <c r="J104" s="5" t="str">
        <f aca="false">ROUND(95*1,0)&amp;"%"</f>
        <v>95%</v>
      </c>
    </row>
    <row r="105" customFormat="false" ht="15" hidden="false" customHeight="false" outlineLevel="0" collapsed="false">
      <c r="A105" s="6" t="s">
        <v>2285</v>
      </c>
      <c r="B105" s="6" t="s">
        <v>194</v>
      </c>
      <c r="C105" s="6" t="s">
        <v>57</v>
      </c>
      <c r="D105" s="6" t="s">
        <v>34</v>
      </c>
      <c r="E105" s="6" t="n">
        <f aca="false">ROUND(9932*1.05,2)</f>
        <v>10428.6</v>
      </c>
      <c r="F105" s="6" t="s">
        <v>35</v>
      </c>
      <c r="G105" s="6" t="s">
        <v>18</v>
      </c>
      <c r="H105" s="6" t="n">
        <f aca="true">ROUND(RAND()*4+6,1)</f>
        <v>8.5</v>
      </c>
      <c r="I105" s="6" t="s">
        <v>36</v>
      </c>
      <c r="J105" s="6" t="str">
        <f aca="false">ROUND(81*1,0)&amp;"%"</f>
        <v>81%</v>
      </c>
    </row>
    <row r="106" customFormat="false" ht="15" hidden="false" customHeight="false" outlineLevel="0" collapsed="false">
      <c r="A106" s="5" t="s">
        <v>2286</v>
      </c>
      <c r="B106" s="5" t="s">
        <v>196</v>
      </c>
      <c r="C106" s="5" t="s">
        <v>57</v>
      </c>
      <c r="D106" s="5" t="s">
        <v>39</v>
      </c>
      <c r="E106" s="5" t="n">
        <f aca="false">ROUND(10777*1.05,2)</f>
        <v>11315.85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ROUND(96*1,0)&amp;"%"</f>
        <v>96%</v>
      </c>
    </row>
    <row r="107" customFormat="false" ht="15" hidden="false" customHeight="false" outlineLevel="0" collapsed="false">
      <c r="A107" s="6" t="s">
        <v>2287</v>
      </c>
      <c r="B107" s="6" t="s">
        <v>198</v>
      </c>
      <c r="C107" s="6" t="s">
        <v>57</v>
      </c>
      <c r="D107" s="6" t="s">
        <v>44</v>
      </c>
      <c r="E107" s="6" t="n">
        <f aca="false">ROUND(13053*1.05,2)</f>
        <v>13705.65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2288</v>
      </c>
      <c r="B108" s="5" t="s">
        <v>200</v>
      </c>
      <c r="C108" s="5" t="s">
        <v>57</v>
      </c>
      <c r="D108" s="5" t="s">
        <v>16</v>
      </c>
      <c r="E108" s="5" t="n">
        <f aca="false">ROUND(8375*1.05,2)</f>
        <v>8793.75</v>
      </c>
      <c r="F108" s="5" t="s">
        <v>49</v>
      </c>
      <c r="G108" s="5" t="s">
        <v>18</v>
      </c>
      <c r="H108" s="5" t="n">
        <f aca="true">ROUND(RAND()*4+6,1)</f>
        <v>6.6</v>
      </c>
      <c r="I108" s="5" t="s">
        <v>19</v>
      </c>
      <c r="J108" s="5" t="str">
        <f aca="false">ROUND(91*1,0)&amp;"%"</f>
        <v>91%</v>
      </c>
    </row>
    <row r="109" customFormat="false" ht="15" hidden="false" customHeight="false" outlineLevel="0" collapsed="false">
      <c r="A109" s="6" t="s">
        <v>2289</v>
      </c>
      <c r="B109" s="6" t="s">
        <v>202</v>
      </c>
      <c r="C109" s="6" t="s">
        <v>57</v>
      </c>
      <c r="D109" s="6" t="s">
        <v>22</v>
      </c>
      <c r="E109" s="6" t="n">
        <f aca="false">ROUND(17698*1.05,2)</f>
        <v>18582.9</v>
      </c>
      <c r="F109" s="6" t="s">
        <v>52</v>
      </c>
      <c r="G109" s="6" t="s">
        <v>24</v>
      </c>
      <c r="H109" s="6" t="n">
        <f aca="true">ROUND(RAND()*4+6,1)</f>
        <v>7.5</v>
      </c>
      <c r="I109" s="6" t="s">
        <v>25</v>
      </c>
      <c r="J109" s="6" t="str">
        <f aca="false">ROUND(69*1,0)&amp;"%"</f>
        <v>69%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2290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2291</v>
      </c>
      <c r="B114" s="5" t="s">
        <v>206</v>
      </c>
      <c r="C114" s="5" t="s">
        <v>76</v>
      </c>
      <c r="D114" s="5" t="s">
        <v>16</v>
      </c>
      <c r="E114" s="5" t="n">
        <f aca="false">ROUND(11167*1.05,2)</f>
        <v>11725.35</v>
      </c>
      <c r="F114" s="5" t="s">
        <v>17</v>
      </c>
      <c r="G114" s="5" t="s">
        <v>18</v>
      </c>
      <c r="H114" s="5" t="n">
        <f aca="true">ROUND(RAND()*4+6,1)</f>
        <v>8.4</v>
      </c>
      <c r="I114" s="5" t="s">
        <v>19</v>
      </c>
      <c r="J114" s="5" t="str">
        <f aca="false">ROUND(72*1,0)&amp;"%"</f>
        <v>72%</v>
      </c>
    </row>
    <row r="115" customFormat="false" ht="15" hidden="false" customHeight="false" outlineLevel="0" collapsed="false">
      <c r="A115" s="6" t="s">
        <v>2292</v>
      </c>
      <c r="B115" s="6" t="s">
        <v>208</v>
      </c>
      <c r="C115" s="6" t="s">
        <v>76</v>
      </c>
      <c r="D115" s="6" t="s">
        <v>22</v>
      </c>
      <c r="E115" s="6" t="n">
        <f aca="false">ROUND(5742*1.05,2)</f>
        <v>6029.1</v>
      </c>
      <c r="F115" s="6" t="s">
        <v>23</v>
      </c>
      <c r="G115" s="6" t="s">
        <v>24</v>
      </c>
      <c r="H115" s="6" t="n">
        <f aca="true">ROUND(RAND()*4+6,1)</f>
        <v>9.5</v>
      </c>
      <c r="I115" s="6" t="s">
        <v>25</v>
      </c>
      <c r="J115" s="6" t="str">
        <f aca="false">ROUND(100*1,0)&amp;"%"</f>
        <v>100%</v>
      </c>
    </row>
    <row r="116" customFormat="false" ht="15" hidden="false" customHeight="false" outlineLevel="0" collapsed="false">
      <c r="A116" s="5" t="s">
        <v>2293</v>
      </c>
      <c r="B116" s="5" t="s">
        <v>210</v>
      </c>
      <c r="C116" s="5" t="s">
        <v>76</v>
      </c>
      <c r="D116" s="5" t="s">
        <v>28</v>
      </c>
      <c r="E116" s="5" t="n">
        <f aca="false">ROUND(5305*1.05,2)</f>
        <v>5570.25</v>
      </c>
      <c r="F116" s="5" t="s">
        <v>29</v>
      </c>
      <c r="G116" s="5" t="s">
        <v>30</v>
      </c>
      <c r="H116" s="5" t="n">
        <f aca="true">ROUND(RAND()*4+6,1)</f>
        <v>9.2</v>
      </c>
      <c r="I116" s="5" t="s">
        <v>31</v>
      </c>
      <c r="J116" s="5" t="str">
        <f aca="false">ROUND(66*1,0)&amp;"%"</f>
        <v>66%</v>
      </c>
    </row>
    <row r="117" customFormat="false" ht="15" hidden="false" customHeight="false" outlineLevel="0" collapsed="false">
      <c r="A117" s="6" t="s">
        <v>2294</v>
      </c>
      <c r="B117" s="6" t="s">
        <v>212</v>
      </c>
      <c r="C117" s="6" t="s">
        <v>76</v>
      </c>
      <c r="D117" s="6" t="s">
        <v>34</v>
      </c>
      <c r="E117" s="6" t="n">
        <f aca="false">ROUND(4147*1.05,2)</f>
        <v>4354.35</v>
      </c>
      <c r="F117" s="6" t="s">
        <v>35</v>
      </c>
      <c r="G117" s="6" t="s">
        <v>18</v>
      </c>
      <c r="H117" s="6" t="n">
        <f aca="true">ROUND(RAND()*4+6,1)</f>
        <v>8.3</v>
      </c>
      <c r="I117" s="6" t="s">
        <v>36</v>
      </c>
      <c r="J117" s="6" t="str">
        <f aca="false">ROUND(63*1,0)&amp;"%"</f>
        <v>63%</v>
      </c>
    </row>
    <row r="118" customFormat="false" ht="15" hidden="false" customHeight="false" outlineLevel="0" collapsed="false">
      <c r="A118" s="5" t="s">
        <v>2295</v>
      </c>
      <c r="B118" s="5" t="s">
        <v>214</v>
      </c>
      <c r="C118" s="5" t="s">
        <v>76</v>
      </c>
      <c r="D118" s="5" t="s">
        <v>39</v>
      </c>
      <c r="E118" s="5" t="n">
        <f aca="false">ROUND(17725*1.05,2)</f>
        <v>18611.25</v>
      </c>
      <c r="F118" s="5" t="s">
        <v>40</v>
      </c>
      <c r="G118" s="5" t="s">
        <v>24</v>
      </c>
      <c r="H118" s="5" t="n">
        <f aca="true">ROUND(RAND()*4+6,1)</f>
        <v>8.2</v>
      </c>
      <c r="I118" s="5" t="s">
        <v>41</v>
      </c>
      <c r="J118" s="5" t="str">
        <f aca="false">ROUND(61*1,0)&amp;"%"</f>
        <v>61%</v>
      </c>
    </row>
    <row r="119" customFormat="false" ht="15" hidden="false" customHeight="false" outlineLevel="0" collapsed="false">
      <c r="A119" s="6" t="s">
        <v>2296</v>
      </c>
      <c r="B119" s="6" t="s">
        <v>216</v>
      </c>
      <c r="C119" s="6" t="s">
        <v>76</v>
      </c>
      <c r="D119" s="6" t="s">
        <v>44</v>
      </c>
      <c r="E119" s="6" t="n">
        <f aca="false">ROUND(7656*1.05,2)</f>
        <v>8038.8</v>
      </c>
      <c r="F119" s="6" t="s">
        <v>45</v>
      </c>
      <c r="G119" s="6" t="s">
        <v>30</v>
      </c>
      <c r="H119" s="6" t="n">
        <f aca="true">ROUND(RAND()*4+6,1)</f>
        <v>9.6</v>
      </c>
      <c r="I119" s="6" t="s">
        <v>46</v>
      </c>
      <c r="J119" s="6" t="str">
        <f aca="false">ROUND(97*1,0)&amp;"%"</f>
        <v>97%</v>
      </c>
    </row>
    <row r="120" customFormat="false" ht="15" hidden="false" customHeight="false" outlineLevel="0" collapsed="false">
      <c r="A120" s="5" t="s">
        <v>2297</v>
      </c>
      <c r="B120" s="5" t="s">
        <v>218</v>
      </c>
      <c r="C120" s="5" t="s">
        <v>76</v>
      </c>
      <c r="D120" s="5" t="s">
        <v>16</v>
      </c>
      <c r="E120" s="5" t="n">
        <f aca="false">ROUND(9641*1.05,2)</f>
        <v>10123.05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ROUND(78*1,0)&amp;"%"</f>
        <v>78%</v>
      </c>
    </row>
    <row r="121" customFormat="false" ht="15" hidden="false" customHeight="false" outlineLevel="0" collapsed="false">
      <c r="A121" s="6" t="s">
        <v>2298</v>
      </c>
      <c r="B121" s="6" t="s">
        <v>220</v>
      </c>
      <c r="C121" s="6" t="s">
        <v>76</v>
      </c>
      <c r="D121" s="6" t="s">
        <v>22</v>
      </c>
      <c r="E121" s="6" t="n">
        <f aca="false">ROUND(10541*1.05,2)</f>
        <v>11068.05</v>
      </c>
      <c r="F121" s="6" t="s">
        <v>52</v>
      </c>
      <c r="G121" s="6" t="s">
        <v>24</v>
      </c>
      <c r="H121" s="6" t="n">
        <f aca="true">ROUND(RAND()*4+6,1)</f>
        <v>9</v>
      </c>
      <c r="I121" s="6" t="s">
        <v>25</v>
      </c>
      <c r="J121" s="6" t="str">
        <f aca="false">ROUND(78*1,0)&amp;"%"</f>
        <v>78%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2299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2300</v>
      </c>
      <c r="B126" s="5" t="s">
        <v>224</v>
      </c>
      <c r="C126" s="5" t="s">
        <v>95</v>
      </c>
      <c r="D126" s="5" t="s">
        <v>16</v>
      </c>
      <c r="E126" s="5" t="n">
        <f aca="false">ROUND(7940*1.05,2)</f>
        <v>8337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ROUND(93*1,0)&amp;"%"</f>
        <v>93%</v>
      </c>
    </row>
    <row r="127" customFormat="false" ht="15" hidden="false" customHeight="false" outlineLevel="0" collapsed="false">
      <c r="A127" s="6" t="s">
        <v>2301</v>
      </c>
      <c r="B127" s="6" t="s">
        <v>226</v>
      </c>
      <c r="C127" s="6" t="s">
        <v>95</v>
      </c>
      <c r="D127" s="6" t="s">
        <v>22</v>
      </c>
      <c r="E127" s="6" t="n">
        <f aca="false">ROUND(4312*1.05,2)</f>
        <v>4527.6</v>
      </c>
      <c r="F127" s="6" t="s">
        <v>23</v>
      </c>
      <c r="G127" s="6" t="s">
        <v>24</v>
      </c>
      <c r="H127" s="6" t="n">
        <f aca="true">ROUND(RAND()*4+6,1)</f>
        <v>6.2</v>
      </c>
      <c r="I127" s="6" t="s">
        <v>25</v>
      </c>
      <c r="J127" s="6" t="str">
        <f aca="false">ROUND(63*1,0)&amp;"%"</f>
        <v>63%</v>
      </c>
    </row>
    <row r="128" customFormat="false" ht="15" hidden="false" customHeight="false" outlineLevel="0" collapsed="false">
      <c r="A128" s="5" t="s">
        <v>2302</v>
      </c>
      <c r="B128" s="5" t="s">
        <v>228</v>
      </c>
      <c r="C128" s="5" t="s">
        <v>95</v>
      </c>
      <c r="D128" s="5" t="s">
        <v>28</v>
      </c>
      <c r="E128" s="5" t="n">
        <f aca="false">ROUND(8800*1.05,2)</f>
        <v>9240</v>
      </c>
      <c r="F128" s="5" t="s">
        <v>29</v>
      </c>
      <c r="G128" s="5" t="s">
        <v>30</v>
      </c>
      <c r="H128" s="5" t="n">
        <f aca="true">ROUND(RAND()*4+6,1)</f>
        <v>8.2</v>
      </c>
      <c r="I128" s="5" t="s">
        <v>31</v>
      </c>
      <c r="J128" s="5" t="str">
        <f aca="false">ROUND(92*1,0)&amp;"%"</f>
        <v>92%</v>
      </c>
    </row>
    <row r="129" customFormat="false" ht="15" hidden="false" customHeight="false" outlineLevel="0" collapsed="false">
      <c r="A129" s="6" t="s">
        <v>2303</v>
      </c>
      <c r="B129" s="6" t="s">
        <v>230</v>
      </c>
      <c r="C129" s="6" t="s">
        <v>95</v>
      </c>
      <c r="D129" s="6" t="s">
        <v>34</v>
      </c>
      <c r="E129" s="6" t="n">
        <f aca="false">ROUND(13953*1.05,2)</f>
        <v>14650.65</v>
      </c>
      <c r="F129" s="6" t="s">
        <v>35</v>
      </c>
      <c r="G129" s="6" t="s">
        <v>18</v>
      </c>
      <c r="H129" s="6" t="n">
        <f aca="true">ROUND(RAND()*4+6,1)</f>
        <v>9.7</v>
      </c>
      <c r="I129" s="6" t="s">
        <v>36</v>
      </c>
      <c r="J129" s="6" t="str">
        <f aca="false">ROUND(68*1,0)&amp;"%"</f>
        <v>68%</v>
      </c>
    </row>
    <row r="130" customFormat="false" ht="15" hidden="false" customHeight="false" outlineLevel="0" collapsed="false">
      <c r="A130" s="5" t="s">
        <v>2304</v>
      </c>
      <c r="B130" s="5" t="s">
        <v>232</v>
      </c>
      <c r="C130" s="5" t="s">
        <v>95</v>
      </c>
      <c r="D130" s="5" t="s">
        <v>39</v>
      </c>
      <c r="E130" s="5" t="n">
        <f aca="false">ROUND(17960*1.05,2)</f>
        <v>18858</v>
      </c>
      <c r="F130" s="5" t="s">
        <v>40</v>
      </c>
      <c r="G130" s="5" t="s">
        <v>24</v>
      </c>
      <c r="H130" s="5" t="n">
        <f aca="true">ROUND(RAND()*4+6,1)</f>
        <v>7.1</v>
      </c>
      <c r="I130" s="5" t="s">
        <v>41</v>
      </c>
      <c r="J130" s="5" t="str">
        <f aca="false">ROUND(86*1,0)&amp;"%"</f>
        <v>86%</v>
      </c>
    </row>
    <row r="131" customFormat="false" ht="15" hidden="false" customHeight="false" outlineLevel="0" collapsed="false">
      <c r="A131" s="6" t="s">
        <v>2305</v>
      </c>
      <c r="B131" s="6" t="s">
        <v>234</v>
      </c>
      <c r="C131" s="6" t="s">
        <v>95</v>
      </c>
      <c r="D131" s="6" t="s">
        <v>44</v>
      </c>
      <c r="E131" s="6" t="n">
        <f aca="false">ROUND(15979*1.05,2)</f>
        <v>16777.95</v>
      </c>
      <c r="F131" s="6" t="s">
        <v>45</v>
      </c>
      <c r="G131" s="6" t="s">
        <v>30</v>
      </c>
      <c r="H131" s="6" t="n">
        <f aca="true">ROUND(RAND()*4+6,1)</f>
        <v>7</v>
      </c>
      <c r="I131" s="6" t="s">
        <v>46</v>
      </c>
      <c r="J131" s="6" t="str">
        <f aca="false">ROUND(79*1,0)&amp;"%"</f>
        <v>79%</v>
      </c>
    </row>
    <row r="132" customFormat="false" ht="15" hidden="false" customHeight="false" outlineLevel="0" collapsed="false">
      <c r="A132" s="5" t="s">
        <v>2306</v>
      </c>
      <c r="B132" s="5" t="s">
        <v>236</v>
      </c>
      <c r="C132" s="5" t="s">
        <v>95</v>
      </c>
      <c r="D132" s="5" t="s">
        <v>16</v>
      </c>
      <c r="E132" s="5" t="n">
        <f aca="false">ROUND(10040*1.05,2)</f>
        <v>10542</v>
      </c>
      <c r="F132" s="5" t="s">
        <v>49</v>
      </c>
      <c r="G132" s="5" t="s">
        <v>18</v>
      </c>
      <c r="H132" s="5" t="n">
        <f aca="true">ROUND(RAND()*4+6,1)</f>
        <v>6.2</v>
      </c>
      <c r="I132" s="5" t="s">
        <v>19</v>
      </c>
      <c r="J132" s="5" t="str">
        <f aca="false">ROUND(100*1,0)&amp;"%"</f>
        <v>100%</v>
      </c>
    </row>
    <row r="133" customFormat="false" ht="15" hidden="false" customHeight="false" outlineLevel="0" collapsed="false">
      <c r="A133" s="6" t="s">
        <v>2307</v>
      </c>
      <c r="B133" s="6" t="s">
        <v>238</v>
      </c>
      <c r="C133" s="6" t="s">
        <v>95</v>
      </c>
      <c r="D133" s="6" t="s">
        <v>22</v>
      </c>
      <c r="E133" s="6" t="n">
        <f aca="false">ROUND(5245*1.05,2)</f>
        <v>5507.25</v>
      </c>
      <c r="F133" s="6" t="s">
        <v>52</v>
      </c>
      <c r="G133" s="6" t="s">
        <v>24</v>
      </c>
      <c r="H133" s="6" t="n">
        <f aca="true">ROUND(RAND()*4+6,1)</f>
        <v>6.6</v>
      </c>
      <c r="I133" s="6" t="s">
        <v>25</v>
      </c>
      <c r="J133" s="6" t="str">
        <f aca="false">ROUND(91*1,0)&amp;"%"</f>
        <v>91%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2308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2309</v>
      </c>
      <c r="B138" s="5" t="s">
        <v>242</v>
      </c>
      <c r="C138" s="5" t="s">
        <v>114</v>
      </c>
      <c r="D138" s="5" t="s">
        <v>16</v>
      </c>
      <c r="E138" s="5" t="n">
        <f aca="false">ROUND(7921*1.05,2)</f>
        <v>8317.05</v>
      </c>
      <c r="F138" s="5" t="s">
        <v>17</v>
      </c>
      <c r="G138" s="5" t="s">
        <v>18</v>
      </c>
      <c r="H138" s="5" t="n">
        <f aca="true">ROUND(RAND()*4+6,1)</f>
        <v>9.1</v>
      </c>
      <c r="I138" s="5" t="s">
        <v>19</v>
      </c>
      <c r="J138" s="5" t="str">
        <f aca="false">ROUND(78*1,0)&amp;"%"</f>
        <v>78%</v>
      </c>
    </row>
    <row r="139" customFormat="false" ht="15" hidden="false" customHeight="false" outlineLevel="0" collapsed="false">
      <c r="A139" s="6" t="s">
        <v>2310</v>
      </c>
      <c r="B139" s="6" t="s">
        <v>244</v>
      </c>
      <c r="C139" s="6" t="s">
        <v>114</v>
      </c>
      <c r="D139" s="6" t="s">
        <v>22</v>
      </c>
      <c r="E139" s="6" t="n">
        <f aca="false">ROUND(16019*1.05,2)</f>
        <v>16819.95</v>
      </c>
      <c r="F139" s="6" t="s">
        <v>23</v>
      </c>
      <c r="G139" s="6" t="s">
        <v>24</v>
      </c>
      <c r="H139" s="6" t="n">
        <f aca="true">ROUND(RAND()*4+6,1)</f>
        <v>8.3</v>
      </c>
      <c r="I139" s="6" t="s">
        <v>25</v>
      </c>
      <c r="J139" s="6" t="str">
        <f aca="false">ROUND(95*1,0)&amp;"%"</f>
        <v>95%</v>
      </c>
    </row>
    <row r="140" customFormat="false" ht="15" hidden="false" customHeight="false" outlineLevel="0" collapsed="false">
      <c r="A140" s="5" t="s">
        <v>2311</v>
      </c>
      <c r="B140" s="5" t="s">
        <v>246</v>
      </c>
      <c r="C140" s="5" t="s">
        <v>114</v>
      </c>
      <c r="D140" s="5" t="s">
        <v>28</v>
      </c>
      <c r="E140" s="5" t="n">
        <f aca="false">ROUND(9087*1.05,2)</f>
        <v>9541.35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2312</v>
      </c>
      <c r="B141" s="6" t="s">
        <v>248</v>
      </c>
      <c r="C141" s="6" t="s">
        <v>114</v>
      </c>
      <c r="D141" s="6" t="s">
        <v>34</v>
      </c>
      <c r="E141" s="6" t="n">
        <f aca="false">ROUND(4163*1.05,2)</f>
        <v>4371.15</v>
      </c>
      <c r="F141" s="6" t="s">
        <v>35</v>
      </c>
      <c r="G141" s="6" t="s">
        <v>18</v>
      </c>
      <c r="H141" s="6" t="n">
        <f aca="true">ROUND(RAND()*4+6,1)</f>
        <v>9.9</v>
      </c>
      <c r="I141" s="6" t="s">
        <v>36</v>
      </c>
      <c r="J141" s="6" t="str">
        <f aca="false">ROUND(88*1,0)&amp;"%"</f>
        <v>88%</v>
      </c>
    </row>
    <row r="142" customFormat="false" ht="15" hidden="false" customHeight="false" outlineLevel="0" collapsed="false">
      <c r="A142" s="5" t="s">
        <v>2313</v>
      </c>
      <c r="B142" s="5" t="s">
        <v>250</v>
      </c>
      <c r="C142" s="5" t="s">
        <v>114</v>
      </c>
      <c r="D142" s="5" t="s">
        <v>39</v>
      </c>
      <c r="E142" s="5" t="n">
        <f aca="false">ROUND(4825*1.05,2)</f>
        <v>5066.25</v>
      </c>
      <c r="F142" s="5" t="s">
        <v>40</v>
      </c>
      <c r="G142" s="5" t="s">
        <v>24</v>
      </c>
      <c r="H142" s="5" t="n">
        <f aca="true">ROUND(RAND()*4+6,1)</f>
        <v>7.4</v>
      </c>
      <c r="I142" s="5" t="s">
        <v>41</v>
      </c>
      <c r="J142" s="5" t="str">
        <f aca="false">ROUND(83*1,0)&amp;"%"</f>
        <v>83%</v>
      </c>
    </row>
    <row r="143" customFormat="false" ht="15" hidden="false" customHeight="false" outlineLevel="0" collapsed="false">
      <c r="A143" s="6" t="s">
        <v>2314</v>
      </c>
      <c r="B143" s="6" t="s">
        <v>252</v>
      </c>
      <c r="C143" s="6" t="s">
        <v>114</v>
      </c>
      <c r="D143" s="6" t="s">
        <v>44</v>
      </c>
      <c r="E143" s="6" t="n">
        <f aca="false">ROUND(13954*1.05,2)</f>
        <v>14651.7</v>
      </c>
      <c r="F143" s="6" t="s">
        <v>45</v>
      </c>
      <c r="G143" s="6" t="s">
        <v>30</v>
      </c>
      <c r="H143" s="6" t="n">
        <f aca="true">ROUND(RAND()*4+6,1)</f>
        <v>7.9</v>
      </c>
      <c r="I143" s="6" t="s">
        <v>46</v>
      </c>
      <c r="J143" s="6" t="str">
        <f aca="false">ROUND(94*1,0)&amp;"%"</f>
        <v>94%</v>
      </c>
    </row>
    <row r="144" customFormat="false" ht="15" hidden="false" customHeight="false" outlineLevel="0" collapsed="false">
      <c r="A144" s="5" t="s">
        <v>2315</v>
      </c>
      <c r="B144" s="5" t="s">
        <v>254</v>
      </c>
      <c r="C144" s="5" t="s">
        <v>114</v>
      </c>
      <c r="D144" s="5" t="s">
        <v>16</v>
      </c>
      <c r="E144" s="5" t="n">
        <f aca="false">ROUND(15813*1.05,2)</f>
        <v>16603.65</v>
      </c>
      <c r="F144" s="5" t="s">
        <v>49</v>
      </c>
      <c r="G144" s="5" t="s">
        <v>18</v>
      </c>
      <c r="H144" s="5" t="n">
        <f aca="true">ROUND(RAND()*4+6,1)</f>
        <v>6.6</v>
      </c>
      <c r="I144" s="5" t="s">
        <v>19</v>
      </c>
      <c r="J144" s="5" t="str">
        <f aca="false">ROUND(99*1,0)&amp;"%"</f>
        <v>99%</v>
      </c>
    </row>
    <row r="145" customFormat="false" ht="15" hidden="false" customHeight="false" outlineLevel="0" collapsed="false">
      <c r="A145" s="6" t="s">
        <v>2316</v>
      </c>
      <c r="B145" s="6" t="s">
        <v>256</v>
      </c>
      <c r="C145" s="6" t="s">
        <v>114</v>
      </c>
      <c r="D145" s="6" t="s">
        <v>22</v>
      </c>
      <c r="E145" s="6" t="n">
        <f aca="false">ROUND(17558*1.05,2)</f>
        <v>18435.9</v>
      </c>
      <c r="F145" s="6" t="s">
        <v>52</v>
      </c>
      <c r="G145" s="6" t="s">
        <v>24</v>
      </c>
      <c r="H145" s="6" t="n">
        <f aca="true">ROUND(RAND()*4+6,1)</f>
        <v>8.6</v>
      </c>
      <c r="I145" s="6" t="s">
        <v>25</v>
      </c>
      <c r="J145" s="6" t="str">
        <f aca="false">ROUND(92*1,0)&amp;"%"</f>
        <v>92%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2317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2318</v>
      </c>
      <c r="B150" s="5" t="s">
        <v>260</v>
      </c>
      <c r="C150" s="5" t="s">
        <v>133</v>
      </c>
      <c r="D150" s="5" t="s">
        <v>16</v>
      </c>
      <c r="E150" s="5" t="n">
        <f aca="false">ROUND(6584*1.05,2)</f>
        <v>6913.2</v>
      </c>
      <c r="F150" s="5" t="s">
        <v>17</v>
      </c>
      <c r="G150" s="5" t="s">
        <v>18</v>
      </c>
      <c r="H150" s="5" t="n">
        <f aca="true">ROUND(RAND()*4+6,1)</f>
        <v>7.5</v>
      </c>
      <c r="I150" s="5" t="s">
        <v>19</v>
      </c>
      <c r="J150" s="5" t="str">
        <f aca="false">ROUND(80*1,0)&amp;"%"</f>
        <v>80%</v>
      </c>
    </row>
    <row r="151" customFormat="false" ht="15" hidden="false" customHeight="false" outlineLevel="0" collapsed="false">
      <c r="A151" s="6" t="s">
        <v>2319</v>
      </c>
      <c r="B151" s="6" t="s">
        <v>262</v>
      </c>
      <c r="C151" s="6" t="s">
        <v>133</v>
      </c>
      <c r="D151" s="6" t="s">
        <v>22</v>
      </c>
      <c r="E151" s="6" t="n">
        <f aca="false">ROUND(16690*1.05,2)</f>
        <v>17524.5</v>
      </c>
      <c r="F151" s="6" t="s">
        <v>23</v>
      </c>
      <c r="G151" s="6" t="s">
        <v>24</v>
      </c>
      <c r="H151" s="6" t="n">
        <f aca="true">ROUND(RAND()*4+6,1)</f>
        <v>6.8</v>
      </c>
      <c r="I151" s="6" t="s">
        <v>25</v>
      </c>
      <c r="J151" s="6" t="str">
        <f aca="false">ROUND(88*1,0)&amp;"%"</f>
        <v>88%</v>
      </c>
    </row>
    <row r="152" customFormat="false" ht="15" hidden="false" customHeight="false" outlineLevel="0" collapsed="false">
      <c r="A152" s="5" t="s">
        <v>2320</v>
      </c>
      <c r="B152" s="5" t="s">
        <v>264</v>
      </c>
      <c r="C152" s="5" t="s">
        <v>133</v>
      </c>
      <c r="D152" s="5" t="s">
        <v>28</v>
      </c>
      <c r="E152" s="5" t="n">
        <f aca="false">ROUND(5186*1.05,2)</f>
        <v>5445.3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ROUND(73*1,0)&amp;"%"</f>
        <v>73%</v>
      </c>
    </row>
    <row r="153" customFormat="false" ht="15" hidden="false" customHeight="false" outlineLevel="0" collapsed="false">
      <c r="A153" s="6" t="s">
        <v>2321</v>
      </c>
      <c r="B153" s="6" t="s">
        <v>266</v>
      </c>
      <c r="C153" s="6" t="s">
        <v>133</v>
      </c>
      <c r="D153" s="6" t="s">
        <v>34</v>
      </c>
      <c r="E153" s="6" t="n">
        <f aca="false">ROUND(16215*1.05,2)</f>
        <v>17025.75</v>
      </c>
      <c r="F153" s="6" t="s">
        <v>35</v>
      </c>
      <c r="G153" s="6" t="s">
        <v>18</v>
      </c>
      <c r="H153" s="6" t="n">
        <f aca="true">ROUND(RAND()*4+6,1)</f>
        <v>9.8</v>
      </c>
      <c r="I153" s="6" t="s">
        <v>36</v>
      </c>
      <c r="J153" s="6" t="str">
        <f aca="false">ROUND(100*1,0)&amp;"%"</f>
        <v>100%</v>
      </c>
    </row>
    <row r="154" customFormat="false" ht="15" hidden="false" customHeight="false" outlineLevel="0" collapsed="false">
      <c r="A154" s="5" t="s">
        <v>2322</v>
      </c>
      <c r="B154" s="5" t="s">
        <v>268</v>
      </c>
      <c r="C154" s="5" t="s">
        <v>133</v>
      </c>
      <c r="D154" s="5" t="s">
        <v>39</v>
      </c>
      <c r="E154" s="5" t="n">
        <f aca="false">ROUND(16135*1.05,2)</f>
        <v>16941.75</v>
      </c>
      <c r="F154" s="5" t="s">
        <v>40</v>
      </c>
      <c r="G154" s="5" t="s">
        <v>24</v>
      </c>
      <c r="H154" s="5" t="n">
        <f aca="true">ROUND(RAND()*4+6,1)</f>
        <v>6.4</v>
      </c>
      <c r="I154" s="5" t="s">
        <v>41</v>
      </c>
      <c r="J154" s="5" t="str">
        <f aca="false">ROUND(79*1,0)&amp;"%"</f>
        <v>79%</v>
      </c>
    </row>
    <row r="155" customFormat="false" ht="15" hidden="false" customHeight="false" outlineLevel="0" collapsed="false">
      <c r="A155" s="6" t="s">
        <v>2323</v>
      </c>
      <c r="B155" s="6" t="s">
        <v>270</v>
      </c>
      <c r="C155" s="6" t="s">
        <v>133</v>
      </c>
      <c r="D155" s="6" t="s">
        <v>44</v>
      </c>
      <c r="E155" s="6" t="n">
        <f aca="false">ROUND(8567*1.05,2)</f>
        <v>8995.35</v>
      </c>
      <c r="F155" s="6" t="s">
        <v>45</v>
      </c>
      <c r="G155" s="6" t="s">
        <v>30</v>
      </c>
      <c r="H155" s="6" t="n">
        <f aca="true">ROUND(RAND()*4+6,1)</f>
        <v>7.9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2324</v>
      </c>
      <c r="B156" s="5" t="s">
        <v>272</v>
      </c>
      <c r="C156" s="5" t="s">
        <v>133</v>
      </c>
      <c r="D156" s="5" t="s">
        <v>16</v>
      </c>
      <c r="E156" s="5" t="n">
        <f aca="false">ROUND(6866*1.05,2)</f>
        <v>7209.3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ROUND(68*1,0)&amp;"%"</f>
        <v>68%</v>
      </c>
    </row>
    <row r="157" customFormat="false" ht="15" hidden="false" customHeight="false" outlineLevel="0" collapsed="false">
      <c r="A157" s="6" t="s">
        <v>2325</v>
      </c>
      <c r="B157" s="6" t="s">
        <v>274</v>
      </c>
      <c r="C157" s="6" t="s">
        <v>133</v>
      </c>
      <c r="D157" s="6" t="s">
        <v>22</v>
      </c>
      <c r="E157" s="6" t="n">
        <f aca="false">ROUND(11710*1.05,2)</f>
        <v>12295.5</v>
      </c>
      <c r="F157" s="6" t="s">
        <v>52</v>
      </c>
      <c r="G157" s="6" t="s">
        <v>24</v>
      </c>
      <c r="H157" s="6" t="n">
        <f aca="true">ROUND(RAND()*4+6,1)</f>
        <v>7.5</v>
      </c>
      <c r="I157" s="6" t="s">
        <v>25</v>
      </c>
      <c r="J157" s="6" t="str">
        <f aca="false">ROUND(80*1,0)&amp;"%"</f>
        <v>80%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2326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2327</v>
      </c>
      <c r="B162" s="5" t="s">
        <v>278</v>
      </c>
      <c r="C162" s="5" t="s">
        <v>152</v>
      </c>
      <c r="D162" s="5" t="s">
        <v>16</v>
      </c>
      <c r="E162" s="5" t="n">
        <f aca="false">ROUND(14637*1.05,2)</f>
        <v>15368.85</v>
      </c>
      <c r="F162" s="5" t="s">
        <v>17</v>
      </c>
      <c r="G162" s="5" t="s">
        <v>18</v>
      </c>
      <c r="H162" s="5" t="n">
        <f aca="true">ROUND(RAND()*4+6,1)</f>
        <v>8.7</v>
      </c>
      <c r="I162" s="5" t="s">
        <v>19</v>
      </c>
      <c r="J162" s="5" t="str">
        <f aca="false">ROUND(96*1,0)&amp;"%"</f>
        <v>96%</v>
      </c>
    </row>
    <row r="163" customFormat="false" ht="15" hidden="false" customHeight="false" outlineLevel="0" collapsed="false">
      <c r="A163" s="6" t="s">
        <v>2328</v>
      </c>
      <c r="B163" s="6" t="s">
        <v>280</v>
      </c>
      <c r="C163" s="6" t="s">
        <v>152</v>
      </c>
      <c r="D163" s="6" t="s">
        <v>22</v>
      </c>
      <c r="E163" s="6" t="n">
        <f aca="false">ROUND(14710*1.05,2)</f>
        <v>15445.5</v>
      </c>
      <c r="F163" s="6" t="s">
        <v>23</v>
      </c>
      <c r="G163" s="6" t="s">
        <v>24</v>
      </c>
      <c r="H163" s="6" t="n">
        <f aca="true">ROUND(RAND()*4+6,1)</f>
        <v>10</v>
      </c>
      <c r="I163" s="6" t="s">
        <v>25</v>
      </c>
      <c r="J163" s="6" t="str">
        <f aca="false">ROUND(82*1,0)&amp;"%"</f>
        <v>82%</v>
      </c>
    </row>
    <row r="164" customFormat="false" ht="15" hidden="false" customHeight="false" outlineLevel="0" collapsed="false">
      <c r="A164" s="5" t="s">
        <v>2329</v>
      </c>
      <c r="B164" s="5" t="s">
        <v>282</v>
      </c>
      <c r="C164" s="5" t="s">
        <v>152</v>
      </c>
      <c r="D164" s="5" t="s">
        <v>28</v>
      </c>
      <c r="E164" s="5" t="n">
        <f aca="false">ROUND(4167*1.05,2)</f>
        <v>4375.35</v>
      </c>
      <c r="F164" s="5" t="s">
        <v>29</v>
      </c>
      <c r="G164" s="5" t="s">
        <v>30</v>
      </c>
      <c r="H164" s="5" t="n">
        <f aca="true">ROUND(RAND()*4+6,1)</f>
        <v>6.4</v>
      </c>
      <c r="I164" s="5" t="s">
        <v>31</v>
      </c>
      <c r="J164" s="5" t="str">
        <f aca="false">ROUND(66*1,0)&amp;"%"</f>
        <v>66%</v>
      </c>
    </row>
    <row r="165" customFormat="false" ht="15" hidden="false" customHeight="false" outlineLevel="0" collapsed="false">
      <c r="A165" s="6" t="s">
        <v>2330</v>
      </c>
      <c r="B165" s="6" t="s">
        <v>284</v>
      </c>
      <c r="C165" s="6" t="s">
        <v>152</v>
      </c>
      <c r="D165" s="6" t="s">
        <v>34</v>
      </c>
      <c r="E165" s="6" t="n">
        <f aca="false">ROUND(14024*1.05,2)</f>
        <v>14725.2</v>
      </c>
      <c r="F165" s="6" t="s">
        <v>35</v>
      </c>
      <c r="G165" s="6" t="s">
        <v>18</v>
      </c>
      <c r="H165" s="6" t="n">
        <f aca="true">ROUND(RAND()*4+6,1)</f>
        <v>8.3</v>
      </c>
      <c r="I165" s="6" t="s">
        <v>36</v>
      </c>
      <c r="J165" s="6" t="str">
        <f aca="false">ROUND(61*1,0)&amp;"%"</f>
        <v>61%</v>
      </c>
    </row>
    <row r="166" customFormat="false" ht="15" hidden="false" customHeight="false" outlineLevel="0" collapsed="false">
      <c r="A166" s="5" t="s">
        <v>2331</v>
      </c>
      <c r="B166" s="5" t="s">
        <v>286</v>
      </c>
      <c r="C166" s="5" t="s">
        <v>152</v>
      </c>
      <c r="D166" s="5" t="s">
        <v>39</v>
      </c>
      <c r="E166" s="5" t="n">
        <f aca="false">ROUND(16163*1.05,2)</f>
        <v>16971.15</v>
      </c>
      <c r="F166" s="5" t="s">
        <v>40</v>
      </c>
      <c r="G166" s="5" t="s">
        <v>24</v>
      </c>
      <c r="H166" s="5" t="n">
        <f aca="true">ROUND(RAND()*4+6,1)</f>
        <v>7.5</v>
      </c>
      <c r="I166" s="5" t="s">
        <v>41</v>
      </c>
      <c r="J166" s="5" t="str">
        <f aca="false">ROUND(93*1,0)&amp;"%"</f>
        <v>93%</v>
      </c>
    </row>
    <row r="167" customFormat="false" ht="15" hidden="false" customHeight="false" outlineLevel="0" collapsed="false">
      <c r="A167" s="6" t="s">
        <v>2332</v>
      </c>
      <c r="B167" s="6" t="s">
        <v>288</v>
      </c>
      <c r="C167" s="6" t="s">
        <v>152</v>
      </c>
      <c r="D167" s="6" t="s">
        <v>44</v>
      </c>
      <c r="E167" s="6" t="n">
        <f aca="false">ROUND(6403*1.05,2)</f>
        <v>6723.15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ROUND(70*1,0)&amp;"%"</f>
        <v>70%</v>
      </c>
    </row>
    <row r="168" customFormat="false" ht="15" hidden="false" customHeight="false" outlineLevel="0" collapsed="false">
      <c r="A168" s="5" t="s">
        <v>2333</v>
      </c>
      <c r="B168" s="5" t="s">
        <v>290</v>
      </c>
      <c r="C168" s="5" t="s">
        <v>152</v>
      </c>
      <c r="D168" s="5" t="s">
        <v>16</v>
      </c>
      <c r="E168" s="5" t="n">
        <f aca="false">ROUND(6170*1.05,2)</f>
        <v>6478.5</v>
      </c>
      <c r="F168" s="5" t="s">
        <v>49</v>
      </c>
      <c r="G168" s="5" t="s">
        <v>18</v>
      </c>
      <c r="H168" s="5" t="n">
        <f aca="true">ROUND(RAND()*4+6,1)</f>
        <v>8</v>
      </c>
      <c r="I168" s="5" t="s">
        <v>19</v>
      </c>
      <c r="J168" s="5" t="str">
        <f aca="false">ROUND(75*1,0)&amp;"%"</f>
        <v>75%</v>
      </c>
    </row>
    <row r="169" customFormat="false" ht="15" hidden="false" customHeight="false" outlineLevel="0" collapsed="false">
      <c r="A169" s="6" t="s">
        <v>2334</v>
      </c>
      <c r="B169" s="6" t="s">
        <v>292</v>
      </c>
      <c r="C169" s="6" t="s">
        <v>152</v>
      </c>
      <c r="D169" s="6" t="s">
        <v>22</v>
      </c>
      <c r="E169" s="6" t="n">
        <f aca="false">ROUND(17166*1.05,2)</f>
        <v>18024.3</v>
      </c>
      <c r="F169" s="6" t="s">
        <v>52</v>
      </c>
      <c r="G169" s="6" t="s">
        <v>24</v>
      </c>
      <c r="H169" s="6" t="n">
        <f aca="true">ROUND(RAND()*4+6,1)</f>
        <v>8.3</v>
      </c>
      <c r="I169" s="6" t="s">
        <v>25</v>
      </c>
      <c r="J169" s="6" t="str">
        <f aca="false">ROUND(78*1,0)&amp;"%"</f>
        <v>78%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2335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2336</v>
      </c>
      <c r="B174" s="5" t="s">
        <v>296</v>
      </c>
      <c r="C174" s="5" t="s">
        <v>15</v>
      </c>
      <c r="D174" s="5" t="s">
        <v>16</v>
      </c>
      <c r="E174" s="5" t="n">
        <f aca="false">ROUND(6665*1.05,2)</f>
        <v>6998.25</v>
      </c>
      <c r="F174" s="5" t="s">
        <v>17</v>
      </c>
      <c r="G174" s="5" t="s">
        <v>18</v>
      </c>
      <c r="H174" s="5" t="n">
        <f aca="true">ROUND(RAND()*4+6,1)</f>
        <v>7.4</v>
      </c>
      <c r="I174" s="5" t="s">
        <v>19</v>
      </c>
      <c r="J174" s="5" t="str">
        <f aca="false">ROUND(74*1,0)&amp;"%"</f>
        <v>74%</v>
      </c>
    </row>
    <row r="175" customFormat="false" ht="15" hidden="false" customHeight="false" outlineLevel="0" collapsed="false">
      <c r="A175" s="6" t="s">
        <v>2337</v>
      </c>
      <c r="B175" s="6" t="s">
        <v>298</v>
      </c>
      <c r="C175" s="6" t="s">
        <v>15</v>
      </c>
      <c r="D175" s="6" t="s">
        <v>22</v>
      </c>
      <c r="E175" s="6" t="n">
        <f aca="false">ROUND(17089*1.05,2)</f>
        <v>17943.45</v>
      </c>
      <c r="F175" s="6" t="s">
        <v>23</v>
      </c>
      <c r="G175" s="6" t="s">
        <v>24</v>
      </c>
      <c r="H175" s="6" t="n">
        <f aca="true">ROUND(RAND()*4+6,1)</f>
        <v>7.4</v>
      </c>
      <c r="I175" s="6" t="s">
        <v>25</v>
      </c>
      <c r="J175" s="6" t="str">
        <f aca="false">ROUND(91*1,0)&amp;"%"</f>
        <v>91%</v>
      </c>
    </row>
    <row r="176" customFormat="false" ht="15" hidden="false" customHeight="false" outlineLevel="0" collapsed="false">
      <c r="A176" s="5" t="s">
        <v>2338</v>
      </c>
      <c r="B176" s="5" t="s">
        <v>300</v>
      </c>
      <c r="C176" s="5" t="s">
        <v>15</v>
      </c>
      <c r="D176" s="5" t="s">
        <v>28</v>
      </c>
      <c r="E176" s="5" t="n">
        <f aca="false">ROUND(14249*1.05,2)</f>
        <v>14961.45</v>
      </c>
      <c r="F176" s="5" t="s">
        <v>29</v>
      </c>
      <c r="G176" s="5" t="s">
        <v>30</v>
      </c>
      <c r="H176" s="5" t="n">
        <f aca="true">ROUND(RAND()*4+6,1)</f>
        <v>9.4</v>
      </c>
      <c r="I176" s="5" t="s">
        <v>31</v>
      </c>
      <c r="J176" s="5" t="str">
        <f aca="false">ROUND(95*1,0)&amp;"%"</f>
        <v>95%</v>
      </c>
    </row>
    <row r="177" customFormat="false" ht="15" hidden="false" customHeight="false" outlineLevel="0" collapsed="false">
      <c r="A177" s="6" t="s">
        <v>2339</v>
      </c>
      <c r="B177" s="6" t="s">
        <v>302</v>
      </c>
      <c r="C177" s="6" t="s">
        <v>15</v>
      </c>
      <c r="D177" s="6" t="s">
        <v>34</v>
      </c>
      <c r="E177" s="6" t="n">
        <f aca="false">ROUND(13784*1.05,2)</f>
        <v>14473.2</v>
      </c>
      <c r="F177" s="6" t="s">
        <v>35</v>
      </c>
      <c r="G177" s="6" t="s">
        <v>18</v>
      </c>
      <c r="H177" s="6" t="n">
        <f aca="true">ROUND(RAND()*4+6,1)</f>
        <v>9.8</v>
      </c>
      <c r="I177" s="6" t="s">
        <v>36</v>
      </c>
      <c r="J177" s="6" t="str">
        <f aca="false">ROUND(81*1,0)&amp;"%"</f>
        <v>81%</v>
      </c>
    </row>
    <row r="178" customFormat="false" ht="15" hidden="false" customHeight="false" outlineLevel="0" collapsed="false">
      <c r="A178" s="5" t="s">
        <v>2340</v>
      </c>
      <c r="B178" s="5" t="s">
        <v>304</v>
      </c>
      <c r="C178" s="5" t="s">
        <v>15</v>
      </c>
      <c r="D178" s="5" t="s">
        <v>39</v>
      </c>
      <c r="E178" s="5" t="n">
        <f aca="false">ROUND(4008*1.05,2)</f>
        <v>4208.4</v>
      </c>
      <c r="F178" s="5" t="s">
        <v>40</v>
      </c>
      <c r="G178" s="5" t="s">
        <v>24</v>
      </c>
      <c r="H178" s="5" t="n">
        <f aca="true">ROUND(RAND()*4+6,1)</f>
        <v>8.7</v>
      </c>
      <c r="I178" s="5" t="s">
        <v>41</v>
      </c>
      <c r="J178" s="5" t="str">
        <f aca="false">ROUND(66*1,0)&amp;"%"</f>
        <v>66%</v>
      </c>
    </row>
    <row r="179" customFormat="false" ht="15" hidden="false" customHeight="false" outlineLevel="0" collapsed="false">
      <c r="A179" s="6" t="s">
        <v>2341</v>
      </c>
      <c r="B179" s="6" t="s">
        <v>306</v>
      </c>
      <c r="C179" s="6" t="s">
        <v>15</v>
      </c>
      <c r="D179" s="6" t="s">
        <v>44</v>
      </c>
      <c r="E179" s="6" t="n">
        <f aca="false">ROUND(4373*1.05,2)</f>
        <v>4591.65</v>
      </c>
      <c r="F179" s="6" t="s">
        <v>45</v>
      </c>
      <c r="G179" s="6" t="s">
        <v>30</v>
      </c>
      <c r="H179" s="6" t="n">
        <f aca="true">ROUND(RAND()*4+6,1)</f>
        <v>8.6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2342</v>
      </c>
      <c r="B180" s="5" t="s">
        <v>308</v>
      </c>
      <c r="C180" s="5" t="s">
        <v>15</v>
      </c>
      <c r="D180" s="5" t="s">
        <v>16</v>
      </c>
      <c r="E180" s="5" t="n">
        <f aca="false">ROUND(6001*1.05,2)</f>
        <v>6301.05</v>
      </c>
      <c r="F180" s="5" t="s">
        <v>49</v>
      </c>
      <c r="G180" s="5" t="s">
        <v>18</v>
      </c>
      <c r="H180" s="5" t="n">
        <f aca="true">ROUND(RAND()*4+6,1)</f>
        <v>8.7</v>
      </c>
      <c r="I180" s="5" t="s">
        <v>19</v>
      </c>
      <c r="J180" s="5" t="str">
        <f aca="false">ROUND(87*1,0)&amp;"%"</f>
        <v>87%</v>
      </c>
    </row>
    <row r="181" customFormat="false" ht="15" hidden="false" customHeight="false" outlineLevel="0" collapsed="false">
      <c r="A181" s="6" t="s">
        <v>2343</v>
      </c>
      <c r="B181" s="6" t="s">
        <v>310</v>
      </c>
      <c r="C181" s="6" t="s">
        <v>15</v>
      </c>
      <c r="D181" s="6" t="s">
        <v>22</v>
      </c>
      <c r="E181" s="6" t="n">
        <f aca="false">ROUND(10507*1.05,2)</f>
        <v>11032.35</v>
      </c>
      <c r="F181" s="6" t="s">
        <v>52</v>
      </c>
      <c r="G181" s="6" t="s">
        <v>24</v>
      </c>
      <c r="H181" s="6" t="n">
        <f aca="true">ROUND(RAND()*4+6,1)</f>
        <v>7</v>
      </c>
      <c r="I181" s="6" t="s">
        <v>25</v>
      </c>
      <c r="J181" s="6" t="str">
        <f aca="false">ROUND(93*1,0)&amp;"%"</f>
        <v>93%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2344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2345</v>
      </c>
      <c r="B186" s="5" t="s">
        <v>314</v>
      </c>
      <c r="C186" s="5" t="s">
        <v>57</v>
      </c>
      <c r="D186" s="5" t="s">
        <v>16</v>
      </c>
      <c r="E186" s="5" t="n">
        <f aca="false">ROUND(12961*1.05,2)</f>
        <v>13609.05</v>
      </c>
      <c r="F186" s="5" t="s">
        <v>17</v>
      </c>
      <c r="G186" s="5" t="s">
        <v>18</v>
      </c>
      <c r="H186" s="5" t="n">
        <f aca="true">ROUND(RAND()*4+6,1)</f>
        <v>8.7</v>
      </c>
      <c r="I186" s="5" t="s">
        <v>19</v>
      </c>
      <c r="J186" s="5" t="str">
        <f aca="false">ROUND(98*1,0)&amp;"%"</f>
        <v>98%</v>
      </c>
    </row>
    <row r="187" customFormat="false" ht="15" hidden="false" customHeight="false" outlineLevel="0" collapsed="false">
      <c r="A187" s="6" t="s">
        <v>2346</v>
      </c>
      <c r="B187" s="6" t="s">
        <v>316</v>
      </c>
      <c r="C187" s="6" t="s">
        <v>57</v>
      </c>
      <c r="D187" s="6" t="s">
        <v>22</v>
      </c>
      <c r="E187" s="6" t="n">
        <f aca="false">ROUND(17943*1.05,2)</f>
        <v>18840.15</v>
      </c>
      <c r="F187" s="6" t="s">
        <v>23</v>
      </c>
      <c r="G187" s="6" t="s">
        <v>24</v>
      </c>
      <c r="H187" s="6" t="n">
        <f aca="true">ROUND(RAND()*4+6,1)</f>
        <v>7.9</v>
      </c>
      <c r="I187" s="6" t="s">
        <v>25</v>
      </c>
      <c r="J187" s="6" t="str">
        <f aca="false">ROUND(94*1,0)&amp;"%"</f>
        <v>94%</v>
      </c>
    </row>
    <row r="188" customFormat="false" ht="15" hidden="false" customHeight="false" outlineLevel="0" collapsed="false">
      <c r="A188" s="5" t="s">
        <v>2347</v>
      </c>
      <c r="B188" s="5" t="s">
        <v>318</v>
      </c>
      <c r="C188" s="5" t="s">
        <v>57</v>
      </c>
      <c r="D188" s="5" t="s">
        <v>28</v>
      </c>
      <c r="E188" s="5" t="n">
        <f aca="false">ROUND(9285*1.05,2)</f>
        <v>9749.25</v>
      </c>
      <c r="F188" s="5" t="s">
        <v>29</v>
      </c>
      <c r="G188" s="5" t="s">
        <v>30</v>
      </c>
      <c r="H188" s="5" t="n">
        <f aca="true">ROUND(RAND()*4+6,1)</f>
        <v>6.8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2348</v>
      </c>
      <c r="B189" s="6" t="s">
        <v>320</v>
      </c>
      <c r="C189" s="6" t="s">
        <v>57</v>
      </c>
      <c r="D189" s="6" t="s">
        <v>34</v>
      </c>
      <c r="E189" s="6" t="n">
        <f aca="false">ROUND(6973*1.05,2)</f>
        <v>7321.65</v>
      </c>
      <c r="F189" s="6" t="s">
        <v>35</v>
      </c>
      <c r="G189" s="6" t="s">
        <v>18</v>
      </c>
      <c r="H189" s="6" t="n">
        <f aca="true">ROUND(RAND()*4+6,1)</f>
        <v>7.5</v>
      </c>
      <c r="I189" s="6" t="s">
        <v>36</v>
      </c>
      <c r="J189" s="6" t="str">
        <f aca="false">ROUND(94*1,0)&amp;"%"</f>
        <v>94%</v>
      </c>
    </row>
    <row r="190" customFormat="false" ht="15" hidden="false" customHeight="false" outlineLevel="0" collapsed="false">
      <c r="A190" s="5" t="s">
        <v>2349</v>
      </c>
      <c r="B190" s="5" t="s">
        <v>322</v>
      </c>
      <c r="C190" s="5" t="s">
        <v>57</v>
      </c>
      <c r="D190" s="5" t="s">
        <v>39</v>
      </c>
      <c r="E190" s="5" t="n">
        <f aca="false">ROUND(7494*1.05,2)</f>
        <v>7868.7</v>
      </c>
      <c r="F190" s="5" t="s">
        <v>40</v>
      </c>
      <c r="G190" s="5" t="s">
        <v>24</v>
      </c>
      <c r="H190" s="5" t="n">
        <f aca="true">ROUND(RAND()*4+6,1)</f>
        <v>8.2</v>
      </c>
      <c r="I190" s="5" t="s">
        <v>41</v>
      </c>
      <c r="J190" s="5" t="str">
        <f aca="false">ROUND(80*1,0)&amp;"%"</f>
        <v>80%</v>
      </c>
    </row>
    <row r="191" customFormat="false" ht="15" hidden="false" customHeight="false" outlineLevel="0" collapsed="false">
      <c r="A191" s="6" t="s">
        <v>2350</v>
      </c>
      <c r="B191" s="6" t="s">
        <v>324</v>
      </c>
      <c r="C191" s="6" t="s">
        <v>57</v>
      </c>
      <c r="D191" s="6" t="s">
        <v>44</v>
      </c>
      <c r="E191" s="6" t="n">
        <f aca="false">ROUND(13610*1.05,2)</f>
        <v>14290.5</v>
      </c>
      <c r="F191" s="6" t="s">
        <v>45</v>
      </c>
      <c r="G191" s="6" t="s">
        <v>30</v>
      </c>
      <c r="H191" s="6" t="n">
        <f aca="true">ROUND(RAND()*4+6,1)</f>
        <v>7.5</v>
      </c>
      <c r="I191" s="6" t="s">
        <v>46</v>
      </c>
      <c r="J191" s="6" t="str">
        <f aca="false">ROUND(73*1,0)&amp;"%"</f>
        <v>73%</v>
      </c>
    </row>
    <row r="192" customFormat="false" ht="15" hidden="false" customHeight="false" outlineLevel="0" collapsed="false">
      <c r="A192" s="5" t="s">
        <v>2351</v>
      </c>
      <c r="B192" s="5" t="s">
        <v>326</v>
      </c>
      <c r="C192" s="5" t="s">
        <v>57</v>
      </c>
      <c r="D192" s="5" t="s">
        <v>16</v>
      </c>
      <c r="E192" s="5" t="n">
        <f aca="false">ROUND(17049*1.05,2)</f>
        <v>17901.45</v>
      </c>
      <c r="F192" s="5" t="s">
        <v>49</v>
      </c>
      <c r="G192" s="5" t="s">
        <v>18</v>
      </c>
      <c r="H192" s="5" t="n">
        <f aca="true">ROUND(RAND()*4+6,1)</f>
        <v>6.6</v>
      </c>
      <c r="I192" s="5" t="s">
        <v>19</v>
      </c>
      <c r="J192" s="5" t="str">
        <f aca="false">ROUND(75*1,0)&amp;"%"</f>
        <v>75%</v>
      </c>
    </row>
    <row r="193" customFormat="false" ht="15" hidden="false" customHeight="false" outlineLevel="0" collapsed="false">
      <c r="A193" s="6" t="s">
        <v>2352</v>
      </c>
      <c r="B193" s="6" t="s">
        <v>328</v>
      </c>
      <c r="C193" s="6" t="s">
        <v>57</v>
      </c>
      <c r="D193" s="6" t="s">
        <v>22</v>
      </c>
      <c r="E193" s="6" t="n">
        <f aca="false">ROUND(6190*1.05,2)</f>
        <v>6499.5</v>
      </c>
      <c r="F193" s="6" t="s">
        <v>52</v>
      </c>
      <c r="G193" s="6" t="s">
        <v>24</v>
      </c>
      <c r="H193" s="6" t="n">
        <f aca="true">ROUND(RAND()*4+6,1)</f>
        <v>8.7</v>
      </c>
      <c r="I193" s="6" t="s">
        <v>25</v>
      </c>
      <c r="J193" s="6" t="str">
        <f aca="false">ROUND(74*1,0)&amp;"%"</f>
        <v>74%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2353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2354</v>
      </c>
      <c r="B198" s="5" t="s">
        <v>332</v>
      </c>
      <c r="C198" s="5" t="s">
        <v>76</v>
      </c>
      <c r="D198" s="5" t="s">
        <v>16</v>
      </c>
      <c r="E198" s="5" t="n">
        <f aca="false">ROUND(13931*1.05,2)</f>
        <v>14627.55</v>
      </c>
      <c r="F198" s="5" t="s">
        <v>17</v>
      </c>
      <c r="G198" s="5" t="s">
        <v>18</v>
      </c>
      <c r="H198" s="5" t="n">
        <f aca="true">ROUND(RAND()*4+6,1)</f>
        <v>6.8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2355</v>
      </c>
      <c r="B199" s="6" t="s">
        <v>334</v>
      </c>
      <c r="C199" s="6" t="s">
        <v>76</v>
      </c>
      <c r="D199" s="6" t="s">
        <v>22</v>
      </c>
      <c r="E199" s="6" t="n">
        <f aca="false">ROUND(12791*1.05,2)</f>
        <v>13430.55</v>
      </c>
      <c r="F199" s="6" t="s">
        <v>23</v>
      </c>
      <c r="G199" s="6" t="s">
        <v>24</v>
      </c>
      <c r="H199" s="6" t="n">
        <f aca="true">ROUND(RAND()*4+6,1)</f>
        <v>8</v>
      </c>
      <c r="I199" s="6" t="s">
        <v>25</v>
      </c>
      <c r="J199" s="6" t="str">
        <f aca="false">ROUND(62*1,0)&amp;"%"</f>
        <v>62%</v>
      </c>
    </row>
    <row r="200" customFormat="false" ht="15" hidden="false" customHeight="false" outlineLevel="0" collapsed="false">
      <c r="A200" s="5" t="s">
        <v>2356</v>
      </c>
      <c r="B200" s="5" t="s">
        <v>336</v>
      </c>
      <c r="C200" s="5" t="s">
        <v>76</v>
      </c>
      <c r="D200" s="5" t="s">
        <v>28</v>
      </c>
      <c r="E200" s="5" t="n">
        <f aca="false">ROUND(7154*1.05,2)</f>
        <v>7511.7</v>
      </c>
      <c r="F200" s="5" t="s">
        <v>29</v>
      </c>
      <c r="G200" s="5" t="s">
        <v>30</v>
      </c>
      <c r="H200" s="5" t="n">
        <f aca="true">ROUND(RAND()*4+6,1)</f>
        <v>6</v>
      </c>
      <c r="I200" s="5" t="s">
        <v>31</v>
      </c>
      <c r="J200" s="5" t="str">
        <f aca="false">ROUND(66*1,0)&amp;"%"</f>
        <v>66%</v>
      </c>
    </row>
    <row r="201" customFormat="false" ht="15" hidden="false" customHeight="false" outlineLevel="0" collapsed="false">
      <c r="A201" s="6" t="s">
        <v>2357</v>
      </c>
      <c r="B201" s="6" t="s">
        <v>338</v>
      </c>
      <c r="C201" s="6" t="s">
        <v>76</v>
      </c>
      <c r="D201" s="6" t="s">
        <v>34</v>
      </c>
      <c r="E201" s="6" t="n">
        <f aca="false">ROUND(8908*1.05,2)</f>
        <v>9353.4</v>
      </c>
      <c r="F201" s="6" t="s">
        <v>35</v>
      </c>
      <c r="G201" s="6" t="s">
        <v>18</v>
      </c>
      <c r="H201" s="6" t="n">
        <f aca="true">ROUND(RAND()*4+6,1)</f>
        <v>9.2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2358</v>
      </c>
      <c r="B202" s="5" t="s">
        <v>340</v>
      </c>
      <c r="C202" s="5" t="s">
        <v>76</v>
      </c>
      <c r="D202" s="5" t="s">
        <v>39</v>
      </c>
      <c r="E202" s="5" t="n">
        <f aca="false">ROUND(7944*1.05,2)</f>
        <v>8341.2</v>
      </c>
      <c r="F202" s="5" t="s">
        <v>40</v>
      </c>
      <c r="G202" s="5" t="s">
        <v>24</v>
      </c>
      <c r="H202" s="5" t="n">
        <f aca="true">ROUND(RAND()*4+6,1)</f>
        <v>6.9</v>
      </c>
      <c r="I202" s="5" t="s">
        <v>41</v>
      </c>
      <c r="J202" s="5" t="str">
        <f aca="false">ROUND(81*1,0)&amp;"%"</f>
        <v>81%</v>
      </c>
    </row>
    <row r="203" customFormat="false" ht="15" hidden="false" customHeight="false" outlineLevel="0" collapsed="false">
      <c r="A203" s="6" t="s">
        <v>2359</v>
      </c>
      <c r="B203" s="6" t="s">
        <v>342</v>
      </c>
      <c r="C203" s="6" t="s">
        <v>76</v>
      </c>
      <c r="D203" s="6" t="s">
        <v>44</v>
      </c>
      <c r="E203" s="6" t="n">
        <f aca="false">ROUND(11014*1.05,2)</f>
        <v>11564.7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ROUND(91*1,0)&amp;"%"</f>
        <v>91%</v>
      </c>
    </row>
    <row r="204" customFormat="false" ht="15" hidden="false" customHeight="false" outlineLevel="0" collapsed="false">
      <c r="A204" s="5" t="s">
        <v>2360</v>
      </c>
      <c r="B204" s="5" t="s">
        <v>344</v>
      </c>
      <c r="C204" s="5" t="s">
        <v>76</v>
      </c>
      <c r="D204" s="5" t="s">
        <v>16</v>
      </c>
      <c r="E204" s="5" t="n">
        <f aca="false">ROUND(15132*1.05,2)</f>
        <v>15888.6</v>
      </c>
      <c r="F204" s="5" t="s">
        <v>49</v>
      </c>
      <c r="G204" s="5" t="s">
        <v>18</v>
      </c>
      <c r="H204" s="5" t="n">
        <f aca="true">ROUND(RAND()*4+6,1)</f>
        <v>8.7</v>
      </c>
      <c r="I204" s="5" t="s">
        <v>19</v>
      </c>
      <c r="J204" s="5" t="str">
        <f aca="false">ROUND(68*1,0)&amp;"%"</f>
        <v>68%</v>
      </c>
    </row>
    <row r="205" customFormat="false" ht="15" hidden="false" customHeight="false" outlineLevel="0" collapsed="false">
      <c r="A205" s="6" t="s">
        <v>2361</v>
      </c>
      <c r="B205" s="6" t="s">
        <v>346</v>
      </c>
      <c r="C205" s="6" t="s">
        <v>76</v>
      </c>
      <c r="D205" s="6" t="s">
        <v>22</v>
      </c>
      <c r="E205" s="6" t="n">
        <f aca="false">ROUND(13184*1.05,2)</f>
        <v>13843.2</v>
      </c>
      <c r="F205" s="6" t="s">
        <v>52</v>
      </c>
      <c r="G205" s="6" t="s">
        <v>24</v>
      </c>
      <c r="H205" s="6" t="n">
        <f aca="true">ROUND(RAND()*4+6,1)</f>
        <v>6.5</v>
      </c>
      <c r="I205" s="6" t="s">
        <v>25</v>
      </c>
      <c r="J205" s="6" t="str">
        <f aca="false">ROUND(79*1,0)&amp;"%"</f>
        <v>79%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2362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2363</v>
      </c>
      <c r="B210" s="5" t="s">
        <v>350</v>
      </c>
      <c r="C210" s="5" t="s">
        <v>95</v>
      </c>
      <c r="D210" s="5" t="s">
        <v>16</v>
      </c>
      <c r="E210" s="5" t="n">
        <f aca="false">ROUND(17810*1.05,2)</f>
        <v>18700.5</v>
      </c>
      <c r="F210" s="5" t="s">
        <v>17</v>
      </c>
      <c r="G210" s="5" t="s">
        <v>18</v>
      </c>
      <c r="H210" s="5" t="n">
        <f aca="true">ROUND(RAND()*4+6,1)</f>
        <v>7.6</v>
      </c>
      <c r="I210" s="5" t="s">
        <v>19</v>
      </c>
      <c r="J210" s="5" t="str">
        <f aca="false">ROUND(97*1,0)&amp;"%"</f>
        <v>97%</v>
      </c>
    </row>
    <row r="211" customFormat="false" ht="15" hidden="false" customHeight="false" outlineLevel="0" collapsed="false">
      <c r="A211" s="6" t="s">
        <v>2364</v>
      </c>
      <c r="B211" s="6" t="s">
        <v>352</v>
      </c>
      <c r="C211" s="6" t="s">
        <v>95</v>
      </c>
      <c r="D211" s="6" t="s">
        <v>22</v>
      </c>
      <c r="E211" s="6" t="n">
        <f aca="false">ROUND(9545*1.05,2)</f>
        <v>10022.25</v>
      </c>
      <c r="F211" s="6" t="s">
        <v>23</v>
      </c>
      <c r="G211" s="6" t="s">
        <v>24</v>
      </c>
      <c r="H211" s="6" t="n">
        <f aca="true">ROUND(RAND()*4+6,1)</f>
        <v>9.4</v>
      </c>
      <c r="I211" s="6" t="s">
        <v>25</v>
      </c>
      <c r="J211" s="6" t="str">
        <f aca="false">ROUND(95*1,0)&amp;"%"</f>
        <v>95%</v>
      </c>
    </row>
    <row r="212" customFormat="false" ht="15" hidden="false" customHeight="false" outlineLevel="0" collapsed="false">
      <c r="A212" s="5" t="s">
        <v>2365</v>
      </c>
      <c r="B212" s="5" t="s">
        <v>354</v>
      </c>
      <c r="C212" s="5" t="s">
        <v>95</v>
      </c>
      <c r="D212" s="5" t="s">
        <v>28</v>
      </c>
      <c r="E212" s="5" t="n">
        <f aca="false">ROUND(16368*1.05,2)</f>
        <v>17186.4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ROUND(99*1,0)&amp;"%"</f>
        <v>99%</v>
      </c>
    </row>
    <row r="213" customFormat="false" ht="15" hidden="false" customHeight="false" outlineLevel="0" collapsed="false">
      <c r="A213" s="6" t="s">
        <v>2366</v>
      </c>
      <c r="B213" s="6" t="s">
        <v>356</v>
      </c>
      <c r="C213" s="6" t="s">
        <v>95</v>
      </c>
      <c r="D213" s="6" t="s">
        <v>34</v>
      </c>
      <c r="E213" s="6" t="n">
        <f aca="false">ROUND(16524*1.05,2)</f>
        <v>17350.2</v>
      </c>
      <c r="F213" s="6" t="s">
        <v>35</v>
      </c>
      <c r="G213" s="6" t="s">
        <v>18</v>
      </c>
      <c r="H213" s="6" t="n">
        <f aca="true">ROUND(RAND()*4+6,1)</f>
        <v>6.1</v>
      </c>
      <c r="I213" s="6" t="s">
        <v>36</v>
      </c>
      <c r="J213" s="6" t="str">
        <f aca="false">ROUND(81*1,0)&amp;"%"</f>
        <v>81%</v>
      </c>
    </row>
    <row r="214" customFormat="false" ht="15" hidden="false" customHeight="false" outlineLevel="0" collapsed="false">
      <c r="A214" s="5" t="s">
        <v>2367</v>
      </c>
      <c r="B214" s="5" t="s">
        <v>358</v>
      </c>
      <c r="C214" s="5" t="s">
        <v>95</v>
      </c>
      <c r="D214" s="5" t="s">
        <v>39</v>
      </c>
      <c r="E214" s="5" t="n">
        <f aca="false">ROUND(13184*1.05,2)</f>
        <v>13843.2</v>
      </c>
      <c r="F214" s="5" t="s">
        <v>40</v>
      </c>
      <c r="G214" s="5" t="s">
        <v>24</v>
      </c>
      <c r="H214" s="5" t="n">
        <f aca="true">ROUND(RAND()*4+6,1)</f>
        <v>6.8</v>
      </c>
      <c r="I214" s="5" t="s">
        <v>41</v>
      </c>
      <c r="J214" s="5" t="str">
        <f aca="false">ROUND(68*1,0)&amp;"%"</f>
        <v>68%</v>
      </c>
    </row>
    <row r="215" customFormat="false" ht="15" hidden="false" customHeight="false" outlineLevel="0" collapsed="false">
      <c r="A215" s="6" t="s">
        <v>2368</v>
      </c>
      <c r="B215" s="6" t="s">
        <v>360</v>
      </c>
      <c r="C215" s="6" t="s">
        <v>95</v>
      </c>
      <c r="D215" s="6" t="s">
        <v>44</v>
      </c>
      <c r="E215" s="6" t="n">
        <f aca="false">ROUND(11529*1.05,2)</f>
        <v>12105.45</v>
      </c>
      <c r="F215" s="6" t="s">
        <v>45</v>
      </c>
      <c r="G215" s="6" t="s">
        <v>30</v>
      </c>
      <c r="H215" s="6" t="n">
        <f aca="true">ROUND(RAND()*4+6,1)</f>
        <v>8.7</v>
      </c>
      <c r="I215" s="6" t="s">
        <v>46</v>
      </c>
      <c r="J215" s="6" t="str">
        <f aca="false">ROUND(91*1,0)&amp;"%"</f>
        <v>91%</v>
      </c>
    </row>
    <row r="216" customFormat="false" ht="15" hidden="false" customHeight="false" outlineLevel="0" collapsed="false">
      <c r="A216" s="5" t="s">
        <v>2369</v>
      </c>
      <c r="B216" s="5" t="s">
        <v>362</v>
      </c>
      <c r="C216" s="5" t="s">
        <v>95</v>
      </c>
      <c r="D216" s="5" t="s">
        <v>16</v>
      </c>
      <c r="E216" s="5" t="n">
        <f aca="false">ROUND(11916*1.05,2)</f>
        <v>12511.8</v>
      </c>
      <c r="F216" s="5" t="s">
        <v>49</v>
      </c>
      <c r="G216" s="5" t="s">
        <v>18</v>
      </c>
      <c r="H216" s="5" t="n">
        <f aca="true">ROUND(RAND()*4+6,1)</f>
        <v>6.4</v>
      </c>
      <c r="I216" s="5" t="s">
        <v>19</v>
      </c>
      <c r="J216" s="5" t="str">
        <f aca="false">ROUND(79*1,0)&amp;"%"</f>
        <v>79%</v>
      </c>
    </row>
    <row r="217" customFormat="false" ht="15" hidden="false" customHeight="false" outlineLevel="0" collapsed="false">
      <c r="A217" s="6" t="s">
        <v>2370</v>
      </c>
      <c r="B217" s="6" t="s">
        <v>364</v>
      </c>
      <c r="C217" s="6" t="s">
        <v>95</v>
      </c>
      <c r="D217" s="6" t="s">
        <v>22</v>
      </c>
      <c r="E217" s="6" t="n">
        <f aca="false">ROUND(5959*1.05,2)</f>
        <v>6256.95</v>
      </c>
      <c r="F217" s="6" t="s">
        <v>52</v>
      </c>
      <c r="G217" s="6" t="s">
        <v>24</v>
      </c>
      <c r="H217" s="6" t="n">
        <f aca="true">ROUND(RAND()*4+6,1)</f>
        <v>8</v>
      </c>
      <c r="I217" s="6" t="s">
        <v>25</v>
      </c>
      <c r="J217" s="6" t="str">
        <f aca="false">ROUND(82*1,0)&amp;"%"</f>
        <v>82%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2371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2372</v>
      </c>
      <c r="B222" s="5" t="s">
        <v>368</v>
      </c>
      <c r="C222" s="5" t="s">
        <v>114</v>
      </c>
      <c r="D222" s="5" t="s">
        <v>16</v>
      </c>
      <c r="E222" s="5" t="n">
        <f aca="false">ROUND(5496*1.05,2)</f>
        <v>5770.8</v>
      </c>
      <c r="F222" s="5" t="s">
        <v>17</v>
      </c>
      <c r="G222" s="5" t="s">
        <v>18</v>
      </c>
      <c r="H222" s="5" t="n">
        <f aca="true">ROUND(RAND()*4+6,1)</f>
        <v>8.2</v>
      </c>
      <c r="I222" s="5" t="s">
        <v>19</v>
      </c>
      <c r="J222" s="5" t="str">
        <f aca="false">ROUND(75*1,0)&amp;"%"</f>
        <v>75%</v>
      </c>
    </row>
    <row r="223" customFormat="false" ht="15" hidden="false" customHeight="false" outlineLevel="0" collapsed="false">
      <c r="A223" s="6" t="s">
        <v>2373</v>
      </c>
      <c r="B223" s="6" t="s">
        <v>370</v>
      </c>
      <c r="C223" s="6" t="s">
        <v>114</v>
      </c>
      <c r="D223" s="6" t="s">
        <v>22</v>
      </c>
      <c r="E223" s="6" t="n">
        <f aca="false">ROUND(10020*1.05,2)</f>
        <v>10521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ROUND(100*1,0)&amp;"%"</f>
        <v>100%</v>
      </c>
    </row>
    <row r="224" customFormat="false" ht="15" hidden="false" customHeight="false" outlineLevel="0" collapsed="false">
      <c r="A224" s="5" t="s">
        <v>2374</v>
      </c>
      <c r="B224" s="5" t="s">
        <v>372</v>
      </c>
      <c r="C224" s="5" t="s">
        <v>114</v>
      </c>
      <c r="D224" s="5" t="s">
        <v>28</v>
      </c>
      <c r="E224" s="5" t="n">
        <f aca="false">ROUND(8266*1.05,2)</f>
        <v>8679.3</v>
      </c>
      <c r="F224" s="5" t="s">
        <v>29</v>
      </c>
      <c r="G224" s="5" t="s">
        <v>30</v>
      </c>
      <c r="H224" s="5" t="n">
        <f aca="true">ROUND(RAND()*4+6,1)</f>
        <v>7.6</v>
      </c>
      <c r="I224" s="5" t="s">
        <v>31</v>
      </c>
      <c r="J224" s="5" t="str">
        <f aca="false">ROUND(94*1,0)&amp;"%"</f>
        <v>94%</v>
      </c>
    </row>
    <row r="225" customFormat="false" ht="15" hidden="false" customHeight="false" outlineLevel="0" collapsed="false">
      <c r="A225" s="6" t="s">
        <v>2375</v>
      </c>
      <c r="B225" s="6" t="s">
        <v>374</v>
      </c>
      <c r="C225" s="6" t="s">
        <v>114</v>
      </c>
      <c r="D225" s="6" t="s">
        <v>34</v>
      </c>
      <c r="E225" s="6" t="n">
        <f aca="false">ROUND(15851*1.05,2)</f>
        <v>16643.55</v>
      </c>
      <c r="F225" s="6" t="s">
        <v>35</v>
      </c>
      <c r="G225" s="6" t="s">
        <v>18</v>
      </c>
      <c r="H225" s="6" t="n">
        <f aca="true">ROUND(RAND()*4+6,1)</f>
        <v>7.9</v>
      </c>
      <c r="I225" s="6" t="s">
        <v>36</v>
      </c>
      <c r="J225" s="6" t="str">
        <f aca="false">ROUND(75*1,0)&amp;"%"</f>
        <v>75%</v>
      </c>
    </row>
    <row r="226" customFormat="false" ht="15" hidden="false" customHeight="false" outlineLevel="0" collapsed="false">
      <c r="A226" s="5" t="s">
        <v>2376</v>
      </c>
      <c r="B226" s="5" t="s">
        <v>376</v>
      </c>
      <c r="C226" s="5" t="s">
        <v>114</v>
      </c>
      <c r="D226" s="5" t="s">
        <v>39</v>
      </c>
      <c r="E226" s="5" t="n">
        <f aca="false">ROUND(16184*1.05,2)</f>
        <v>16993.2</v>
      </c>
      <c r="F226" s="5" t="s">
        <v>40</v>
      </c>
      <c r="G226" s="5" t="s">
        <v>24</v>
      </c>
      <c r="H226" s="5" t="n">
        <f aca="true">ROUND(RAND()*4+6,1)</f>
        <v>8.3</v>
      </c>
      <c r="I226" s="5" t="s">
        <v>41</v>
      </c>
      <c r="J226" s="5" t="str">
        <f aca="false">ROUND(74*1,0)&amp;"%"</f>
        <v>74%</v>
      </c>
    </row>
    <row r="227" customFormat="false" ht="15" hidden="false" customHeight="false" outlineLevel="0" collapsed="false">
      <c r="A227" s="6" t="s">
        <v>2377</v>
      </c>
      <c r="B227" s="6" t="s">
        <v>378</v>
      </c>
      <c r="C227" s="6" t="s">
        <v>114</v>
      </c>
      <c r="D227" s="6" t="s">
        <v>44</v>
      </c>
      <c r="E227" s="6" t="n">
        <f aca="false">ROUND(14983*1.05,2)</f>
        <v>15732.15</v>
      </c>
      <c r="F227" s="6" t="s">
        <v>45</v>
      </c>
      <c r="G227" s="6" t="s">
        <v>30</v>
      </c>
      <c r="H227" s="6" t="n">
        <f aca="true">ROUND(RAND()*4+6,1)</f>
        <v>7.1</v>
      </c>
      <c r="I227" s="6" t="s">
        <v>46</v>
      </c>
      <c r="J227" s="6" t="str">
        <f aca="false">ROUND(60*1,0)&amp;"%"</f>
        <v>60%</v>
      </c>
    </row>
    <row r="228" customFormat="false" ht="15" hidden="false" customHeight="false" outlineLevel="0" collapsed="false">
      <c r="A228" s="5" t="s">
        <v>2378</v>
      </c>
      <c r="B228" s="5" t="s">
        <v>380</v>
      </c>
      <c r="C228" s="5" t="s">
        <v>114</v>
      </c>
      <c r="D228" s="5" t="s">
        <v>16</v>
      </c>
      <c r="E228" s="5" t="n">
        <f aca="false">ROUND(15968*1.05,2)</f>
        <v>16766.4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ROUND(67*1,0)&amp;"%"</f>
        <v>67%</v>
      </c>
    </row>
    <row r="229" customFormat="false" ht="15" hidden="false" customHeight="false" outlineLevel="0" collapsed="false">
      <c r="A229" s="6" t="s">
        <v>2379</v>
      </c>
      <c r="B229" s="6" t="s">
        <v>382</v>
      </c>
      <c r="C229" s="6" t="s">
        <v>114</v>
      </c>
      <c r="D229" s="6" t="s">
        <v>22</v>
      </c>
      <c r="E229" s="6" t="n">
        <f aca="false">ROUND(7655*1.05,2)</f>
        <v>8037.75</v>
      </c>
      <c r="F229" s="6" t="s">
        <v>52</v>
      </c>
      <c r="G229" s="6" t="s">
        <v>24</v>
      </c>
      <c r="H229" s="6" t="n">
        <f aca="true">ROUND(RAND()*4+6,1)</f>
        <v>8.1</v>
      </c>
      <c r="I229" s="6" t="s">
        <v>25</v>
      </c>
      <c r="J229" s="6" t="str">
        <f aca="false">ROUND(93*1,0)&amp;"%"</f>
        <v>93%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2380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2381</v>
      </c>
      <c r="B234" s="5" t="s">
        <v>386</v>
      </c>
      <c r="C234" s="5" t="s">
        <v>133</v>
      </c>
      <c r="D234" s="5" t="s">
        <v>16</v>
      </c>
      <c r="E234" s="5" t="n">
        <f aca="false">ROUND(17083*1.05,2)</f>
        <v>17937.15</v>
      </c>
      <c r="F234" s="5" t="s">
        <v>17</v>
      </c>
      <c r="G234" s="5" t="s">
        <v>18</v>
      </c>
      <c r="H234" s="5" t="n">
        <f aca="true">ROUND(RAND()*4+6,1)</f>
        <v>8.2</v>
      </c>
      <c r="I234" s="5" t="s">
        <v>19</v>
      </c>
      <c r="J234" s="5" t="str">
        <f aca="false">ROUND(66*1,0)&amp;"%"</f>
        <v>66%</v>
      </c>
    </row>
    <row r="235" customFormat="false" ht="15" hidden="false" customHeight="false" outlineLevel="0" collapsed="false">
      <c r="A235" s="6" t="s">
        <v>2382</v>
      </c>
      <c r="B235" s="6" t="s">
        <v>388</v>
      </c>
      <c r="C235" s="6" t="s">
        <v>133</v>
      </c>
      <c r="D235" s="6" t="s">
        <v>22</v>
      </c>
      <c r="E235" s="6" t="n">
        <f aca="false">ROUND(17560*1.05,2)</f>
        <v>18438</v>
      </c>
      <c r="F235" s="6" t="s">
        <v>23</v>
      </c>
      <c r="G235" s="6" t="s">
        <v>24</v>
      </c>
      <c r="H235" s="6" t="n">
        <f aca="true">ROUND(RAND()*4+6,1)</f>
        <v>8.9</v>
      </c>
      <c r="I235" s="6" t="s">
        <v>25</v>
      </c>
      <c r="J235" s="6" t="str">
        <f aca="false">ROUND(66*1,0)&amp;"%"</f>
        <v>66%</v>
      </c>
    </row>
    <row r="236" customFormat="false" ht="15" hidden="false" customHeight="false" outlineLevel="0" collapsed="false">
      <c r="A236" s="5" t="s">
        <v>2383</v>
      </c>
      <c r="B236" s="5" t="s">
        <v>390</v>
      </c>
      <c r="C236" s="5" t="s">
        <v>133</v>
      </c>
      <c r="D236" s="5" t="s">
        <v>28</v>
      </c>
      <c r="E236" s="5" t="n">
        <f aca="false">ROUND(7131*1.05,2)</f>
        <v>7487.55</v>
      </c>
      <c r="F236" s="5" t="s">
        <v>29</v>
      </c>
      <c r="G236" s="5" t="s">
        <v>30</v>
      </c>
      <c r="H236" s="5" t="n">
        <f aca="true">ROUND(RAND()*4+6,1)</f>
        <v>8.2</v>
      </c>
      <c r="I236" s="5" t="s">
        <v>31</v>
      </c>
      <c r="J236" s="5" t="str">
        <f aca="false">ROUND(87*1,0)&amp;"%"</f>
        <v>87%</v>
      </c>
    </row>
    <row r="237" customFormat="false" ht="15" hidden="false" customHeight="false" outlineLevel="0" collapsed="false">
      <c r="A237" s="6" t="s">
        <v>2384</v>
      </c>
      <c r="B237" s="6" t="s">
        <v>392</v>
      </c>
      <c r="C237" s="6" t="s">
        <v>133</v>
      </c>
      <c r="D237" s="6" t="s">
        <v>34</v>
      </c>
      <c r="E237" s="6" t="n">
        <f aca="false">ROUND(7288*1.05,2)</f>
        <v>7652.4</v>
      </c>
      <c r="F237" s="6" t="s">
        <v>35</v>
      </c>
      <c r="G237" s="6" t="s">
        <v>18</v>
      </c>
      <c r="H237" s="6" t="n">
        <f aca="true">ROUND(RAND()*4+6,1)</f>
        <v>7.6</v>
      </c>
      <c r="I237" s="6" t="s">
        <v>36</v>
      </c>
      <c r="J237" s="6" t="str">
        <f aca="false">ROUND(66*1,0)&amp;"%"</f>
        <v>66%</v>
      </c>
    </row>
    <row r="238" customFormat="false" ht="15" hidden="false" customHeight="false" outlineLevel="0" collapsed="false">
      <c r="A238" s="5" t="s">
        <v>2385</v>
      </c>
      <c r="B238" s="5" t="s">
        <v>394</v>
      </c>
      <c r="C238" s="5" t="s">
        <v>133</v>
      </c>
      <c r="D238" s="5" t="s">
        <v>39</v>
      </c>
      <c r="E238" s="5" t="n">
        <f aca="false">ROUND(10563*1.05,2)</f>
        <v>11091.15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ROUND(77*1,0)&amp;"%"</f>
        <v>77%</v>
      </c>
    </row>
    <row r="239" customFormat="false" ht="15" hidden="false" customHeight="false" outlineLevel="0" collapsed="false">
      <c r="A239" s="6" t="s">
        <v>2386</v>
      </c>
      <c r="B239" s="6" t="s">
        <v>396</v>
      </c>
      <c r="C239" s="6" t="s">
        <v>133</v>
      </c>
      <c r="D239" s="6" t="s">
        <v>44</v>
      </c>
      <c r="E239" s="6" t="n">
        <f aca="false">ROUND(4519*1.05,2)</f>
        <v>4744.95</v>
      </c>
      <c r="F239" s="6" t="s">
        <v>45</v>
      </c>
      <c r="G239" s="6" t="s">
        <v>30</v>
      </c>
      <c r="H239" s="6" t="n">
        <f aca="true">ROUND(RAND()*4+6,1)</f>
        <v>9.4</v>
      </c>
      <c r="I239" s="6" t="s">
        <v>46</v>
      </c>
      <c r="J239" s="6" t="str">
        <f aca="false">ROUND(62*1,0)&amp;"%"</f>
        <v>62%</v>
      </c>
    </row>
    <row r="240" customFormat="false" ht="15" hidden="false" customHeight="false" outlineLevel="0" collapsed="false">
      <c r="A240" s="5" t="s">
        <v>2387</v>
      </c>
      <c r="B240" s="5" t="s">
        <v>398</v>
      </c>
      <c r="C240" s="5" t="s">
        <v>133</v>
      </c>
      <c r="D240" s="5" t="s">
        <v>16</v>
      </c>
      <c r="E240" s="5" t="n">
        <f aca="false">ROUND(15831*1.05,2)</f>
        <v>16622.55</v>
      </c>
      <c r="F240" s="5" t="s">
        <v>49</v>
      </c>
      <c r="G240" s="5" t="s">
        <v>18</v>
      </c>
      <c r="H240" s="5" t="n">
        <f aca="true">ROUND(RAND()*4+6,1)</f>
        <v>8.6</v>
      </c>
      <c r="I240" s="5" t="s">
        <v>19</v>
      </c>
      <c r="J240" s="5" t="str">
        <f aca="false">ROUND(88*1,0)&amp;"%"</f>
        <v>88%</v>
      </c>
    </row>
    <row r="241" customFormat="false" ht="15" hidden="false" customHeight="false" outlineLevel="0" collapsed="false">
      <c r="A241" s="6" t="s">
        <v>2388</v>
      </c>
      <c r="B241" s="6" t="s">
        <v>400</v>
      </c>
      <c r="C241" s="6" t="s">
        <v>133</v>
      </c>
      <c r="D241" s="6" t="s">
        <v>22</v>
      </c>
      <c r="E241" s="6" t="n">
        <f aca="false">ROUND(7723*1.05,2)</f>
        <v>8109.15</v>
      </c>
      <c r="F241" s="6" t="s">
        <v>52</v>
      </c>
      <c r="G241" s="6" t="s">
        <v>24</v>
      </c>
      <c r="H241" s="6" t="n">
        <f aca="true">ROUND(RAND()*4+6,1)</f>
        <v>9.5</v>
      </c>
      <c r="I241" s="6" t="s">
        <v>25</v>
      </c>
      <c r="J241" s="6" t="str">
        <f aca="false">ROUND(98*1,0)&amp;"%"</f>
        <v>98%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2389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2390</v>
      </c>
      <c r="B246" s="5" t="s">
        <v>404</v>
      </c>
      <c r="C246" s="5" t="s">
        <v>152</v>
      </c>
      <c r="D246" s="5" t="s">
        <v>16</v>
      </c>
      <c r="E246" s="5" t="n">
        <f aca="false">ROUND(4066*1.05,2)</f>
        <v>4269.3</v>
      </c>
      <c r="F246" s="5" t="s">
        <v>17</v>
      </c>
      <c r="G246" s="5" t="s">
        <v>18</v>
      </c>
      <c r="H246" s="5" t="n">
        <f aca="true">ROUND(RAND()*4+6,1)</f>
        <v>7.4</v>
      </c>
      <c r="I246" s="5" t="s">
        <v>19</v>
      </c>
      <c r="J246" s="5" t="str">
        <f aca="false">ROUND(74*1,0)&amp;"%"</f>
        <v>74%</v>
      </c>
    </row>
    <row r="247" customFormat="false" ht="15" hidden="false" customHeight="false" outlineLevel="0" collapsed="false">
      <c r="A247" s="6" t="s">
        <v>2391</v>
      </c>
      <c r="B247" s="6" t="s">
        <v>406</v>
      </c>
      <c r="C247" s="6" t="s">
        <v>152</v>
      </c>
      <c r="D247" s="6" t="s">
        <v>22</v>
      </c>
      <c r="E247" s="6" t="n">
        <f aca="false">ROUND(11586*1.05,2)</f>
        <v>12165.3</v>
      </c>
      <c r="F247" s="6" t="s">
        <v>23</v>
      </c>
      <c r="G247" s="6" t="s">
        <v>24</v>
      </c>
      <c r="H247" s="6" t="n">
        <f aca="true">ROUND(RAND()*4+6,1)</f>
        <v>9.7</v>
      </c>
      <c r="I247" s="6" t="s">
        <v>25</v>
      </c>
      <c r="J247" s="6" t="str">
        <f aca="false">ROUND(74*1,0)&amp;"%"</f>
        <v>74%</v>
      </c>
    </row>
    <row r="248" customFormat="false" ht="15" hidden="false" customHeight="false" outlineLevel="0" collapsed="false">
      <c r="A248" s="5" t="s">
        <v>2392</v>
      </c>
      <c r="B248" s="5" t="s">
        <v>408</v>
      </c>
      <c r="C248" s="5" t="s">
        <v>152</v>
      </c>
      <c r="D248" s="5" t="s">
        <v>28</v>
      </c>
      <c r="E248" s="5" t="n">
        <f aca="false">ROUND(17207*1.05,2)</f>
        <v>18067.35</v>
      </c>
      <c r="F248" s="5" t="s">
        <v>29</v>
      </c>
      <c r="G248" s="5" t="s">
        <v>30</v>
      </c>
      <c r="H248" s="5" t="n">
        <f aca="true">ROUND(RAND()*4+6,1)</f>
        <v>8.9</v>
      </c>
      <c r="I248" s="5" t="s">
        <v>31</v>
      </c>
      <c r="J248" s="5" t="str">
        <f aca="false">ROUND(67*1,0)&amp;"%"</f>
        <v>67%</v>
      </c>
    </row>
    <row r="249" customFormat="false" ht="15" hidden="false" customHeight="false" outlineLevel="0" collapsed="false">
      <c r="A249" s="6" t="s">
        <v>2393</v>
      </c>
      <c r="B249" s="6" t="s">
        <v>410</v>
      </c>
      <c r="C249" s="6" t="s">
        <v>152</v>
      </c>
      <c r="D249" s="6" t="s">
        <v>34</v>
      </c>
      <c r="E249" s="6" t="n">
        <f aca="false">ROUND(10127*1.05,2)</f>
        <v>10633.35</v>
      </c>
      <c r="F249" s="6" t="s">
        <v>35</v>
      </c>
      <c r="G249" s="6" t="s">
        <v>18</v>
      </c>
      <c r="H249" s="6" t="n">
        <f aca="true">ROUND(RAND()*4+6,1)</f>
        <v>8.8</v>
      </c>
      <c r="I249" s="6" t="s">
        <v>36</v>
      </c>
      <c r="J249" s="6" t="str">
        <f aca="false">ROUND(70*1,0)&amp;"%"</f>
        <v>70%</v>
      </c>
    </row>
    <row r="250" customFormat="false" ht="15" hidden="false" customHeight="false" outlineLevel="0" collapsed="false">
      <c r="A250" s="5" t="s">
        <v>2394</v>
      </c>
      <c r="B250" s="5" t="s">
        <v>412</v>
      </c>
      <c r="C250" s="5" t="s">
        <v>152</v>
      </c>
      <c r="D250" s="5" t="s">
        <v>39</v>
      </c>
      <c r="E250" s="5" t="n">
        <f aca="false">ROUND(4246*1.05,2)</f>
        <v>4458.3</v>
      </c>
      <c r="F250" s="5" t="s">
        <v>40</v>
      </c>
      <c r="G250" s="5" t="s">
        <v>24</v>
      </c>
      <c r="H250" s="5" t="n">
        <f aca="true">ROUND(RAND()*4+6,1)</f>
        <v>6.5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2395</v>
      </c>
      <c r="B251" s="6" t="s">
        <v>414</v>
      </c>
      <c r="C251" s="6" t="s">
        <v>152</v>
      </c>
      <c r="D251" s="6" t="s">
        <v>44</v>
      </c>
      <c r="E251" s="6" t="n">
        <f aca="false">ROUND(15337*1.05,2)</f>
        <v>16103.85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ROUND(90*1,0)&amp;"%"</f>
        <v>90%</v>
      </c>
    </row>
    <row r="252" customFormat="false" ht="15" hidden="false" customHeight="false" outlineLevel="0" collapsed="false">
      <c r="A252" s="5" t="s">
        <v>2396</v>
      </c>
      <c r="B252" s="5" t="s">
        <v>416</v>
      </c>
      <c r="C252" s="5" t="s">
        <v>152</v>
      </c>
      <c r="D252" s="5" t="s">
        <v>16</v>
      </c>
      <c r="E252" s="5" t="n">
        <f aca="false">ROUND(9347*1.05,2)</f>
        <v>9814.35</v>
      </c>
      <c r="F252" s="5" t="s">
        <v>49</v>
      </c>
      <c r="G252" s="5" t="s">
        <v>18</v>
      </c>
      <c r="H252" s="5" t="n">
        <f aca="true">ROUND(RAND()*4+6,1)</f>
        <v>9.4</v>
      </c>
      <c r="I252" s="5" t="s">
        <v>19</v>
      </c>
      <c r="J252" s="5" t="str">
        <f aca="false">ROUND(85*1,0)&amp;"%"</f>
        <v>85%</v>
      </c>
    </row>
    <row r="253" customFormat="false" ht="15" hidden="false" customHeight="false" outlineLevel="0" collapsed="false">
      <c r="A253" s="6" t="s">
        <v>2397</v>
      </c>
      <c r="B253" s="6" t="s">
        <v>418</v>
      </c>
      <c r="C253" s="6" t="s">
        <v>152</v>
      </c>
      <c r="D253" s="6" t="s">
        <v>22</v>
      </c>
      <c r="E253" s="6" t="n">
        <f aca="false">ROUND(13876*1.05,2)</f>
        <v>14569.8</v>
      </c>
      <c r="F253" s="6" t="s">
        <v>52</v>
      </c>
      <c r="G253" s="6" t="s">
        <v>24</v>
      </c>
      <c r="H253" s="6" t="n">
        <f aca="true">ROUND(RAND()*4+6,1)</f>
        <v>6.9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2398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2399</v>
      </c>
      <c r="B258" s="5" t="s">
        <v>422</v>
      </c>
      <c r="C258" s="5" t="s">
        <v>15</v>
      </c>
      <c r="D258" s="5" t="s">
        <v>16</v>
      </c>
      <c r="E258" s="5" t="n">
        <f aca="false">ROUND(11417*1.05,2)</f>
        <v>11987.85</v>
      </c>
      <c r="F258" s="5" t="s">
        <v>17</v>
      </c>
      <c r="G258" s="5" t="s">
        <v>18</v>
      </c>
      <c r="H258" s="5" t="n">
        <f aca="true">ROUND(RAND()*4+6,1)</f>
        <v>9.7</v>
      </c>
      <c r="I258" s="5" t="s">
        <v>19</v>
      </c>
      <c r="J258" s="5" t="str">
        <f aca="false">ROUND(99*1,0)&amp;"%"</f>
        <v>99%</v>
      </c>
    </row>
    <row r="259" customFormat="false" ht="15" hidden="false" customHeight="false" outlineLevel="0" collapsed="false">
      <c r="A259" s="6" t="s">
        <v>2400</v>
      </c>
      <c r="B259" s="6" t="s">
        <v>424</v>
      </c>
      <c r="C259" s="6" t="s">
        <v>15</v>
      </c>
      <c r="D259" s="6" t="s">
        <v>22</v>
      </c>
      <c r="E259" s="6" t="n">
        <f aca="false">ROUND(11401*1.05,2)</f>
        <v>11971.05</v>
      </c>
      <c r="F259" s="6" t="s">
        <v>23</v>
      </c>
      <c r="G259" s="6" t="s">
        <v>24</v>
      </c>
      <c r="H259" s="6" t="n">
        <f aca="true">ROUND(RAND()*4+6,1)</f>
        <v>8.5</v>
      </c>
      <c r="I259" s="6" t="s">
        <v>25</v>
      </c>
      <c r="J259" s="6" t="str">
        <f aca="false">ROUND(99*1,0)&amp;"%"</f>
        <v>99%</v>
      </c>
    </row>
    <row r="260" customFormat="false" ht="15" hidden="false" customHeight="false" outlineLevel="0" collapsed="false">
      <c r="A260" s="5" t="s">
        <v>2401</v>
      </c>
      <c r="B260" s="5" t="s">
        <v>426</v>
      </c>
      <c r="C260" s="5" t="s">
        <v>15</v>
      </c>
      <c r="D260" s="5" t="s">
        <v>28</v>
      </c>
      <c r="E260" s="5" t="n">
        <f aca="false">ROUND(10726*1.05,2)</f>
        <v>11262.3</v>
      </c>
      <c r="F260" s="5" t="s">
        <v>29</v>
      </c>
      <c r="G260" s="5" t="s">
        <v>30</v>
      </c>
      <c r="H260" s="5" t="n">
        <f aca="true">ROUND(RAND()*4+6,1)</f>
        <v>7.1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2402</v>
      </c>
      <c r="B261" s="6" t="s">
        <v>428</v>
      </c>
      <c r="C261" s="6" t="s">
        <v>15</v>
      </c>
      <c r="D261" s="6" t="s">
        <v>34</v>
      </c>
      <c r="E261" s="6" t="n">
        <f aca="false">ROUND(17646*1.05,2)</f>
        <v>18528.3</v>
      </c>
      <c r="F261" s="6" t="s">
        <v>35</v>
      </c>
      <c r="G261" s="6" t="s">
        <v>18</v>
      </c>
      <c r="H261" s="6" t="n">
        <f aca="true">ROUND(RAND()*4+6,1)</f>
        <v>8.1</v>
      </c>
      <c r="I261" s="6" t="s">
        <v>36</v>
      </c>
      <c r="J261" s="6" t="str">
        <f aca="false">ROUND(71*1,0)&amp;"%"</f>
        <v>71%</v>
      </c>
    </row>
    <row r="262" customFormat="false" ht="15" hidden="false" customHeight="false" outlineLevel="0" collapsed="false">
      <c r="A262" s="5" t="s">
        <v>2403</v>
      </c>
      <c r="B262" s="5" t="s">
        <v>430</v>
      </c>
      <c r="C262" s="5" t="s">
        <v>15</v>
      </c>
      <c r="D262" s="5" t="s">
        <v>39</v>
      </c>
      <c r="E262" s="5" t="n">
        <f aca="false">ROUND(9239*1.05,2)</f>
        <v>9700.95</v>
      </c>
      <c r="F262" s="5" t="s">
        <v>40</v>
      </c>
      <c r="G262" s="5" t="s">
        <v>24</v>
      </c>
      <c r="H262" s="5" t="n">
        <f aca="true">ROUND(RAND()*4+6,1)</f>
        <v>7.5</v>
      </c>
      <c r="I262" s="5" t="s">
        <v>41</v>
      </c>
      <c r="J262" s="5" t="str">
        <f aca="false">ROUND(66*1,0)&amp;"%"</f>
        <v>66%</v>
      </c>
    </row>
    <row r="263" customFormat="false" ht="15" hidden="false" customHeight="false" outlineLevel="0" collapsed="false">
      <c r="A263" s="6" t="s">
        <v>2404</v>
      </c>
      <c r="B263" s="6" t="s">
        <v>432</v>
      </c>
      <c r="C263" s="6" t="s">
        <v>15</v>
      </c>
      <c r="D263" s="6" t="s">
        <v>44</v>
      </c>
      <c r="E263" s="6" t="n">
        <f aca="false">ROUND(5117*1.05,2)</f>
        <v>5372.85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ROUND(85*1,0)&amp;"%"</f>
        <v>85%</v>
      </c>
    </row>
    <row r="264" customFormat="false" ht="15" hidden="false" customHeight="false" outlineLevel="0" collapsed="false">
      <c r="A264" s="5" t="s">
        <v>2405</v>
      </c>
      <c r="B264" s="5" t="s">
        <v>434</v>
      </c>
      <c r="C264" s="5" t="s">
        <v>15</v>
      </c>
      <c r="D264" s="5" t="s">
        <v>16</v>
      </c>
      <c r="E264" s="5" t="n">
        <f aca="false">ROUND(5286*1.05,2)</f>
        <v>5550.3</v>
      </c>
      <c r="F264" s="5" t="s">
        <v>49</v>
      </c>
      <c r="G264" s="5" t="s">
        <v>18</v>
      </c>
      <c r="H264" s="5" t="n">
        <f aca="true">ROUND(RAND()*4+6,1)</f>
        <v>7.5</v>
      </c>
      <c r="I264" s="5" t="s">
        <v>19</v>
      </c>
      <c r="J264" s="5" t="str">
        <f aca="false">ROUND(100*1,0)&amp;"%"</f>
        <v>100%</v>
      </c>
    </row>
    <row r="265" customFormat="false" ht="15" hidden="false" customHeight="false" outlineLevel="0" collapsed="false">
      <c r="A265" s="6" t="s">
        <v>2406</v>
      </c>
      <c r="B265" s="6" t="s">
        <v>436</v>
      </c>
      <c r="C265" s="6" t="s">
        <v>15</v>
      </c>
      <c r="D265" s="6" t="s">
        <v>22</v>
      </c>
      <c r="E265" s="6" t="n">
        <f aca="false">ROUND(7974*1.05,2)</f>
        <v>8372.7</v>
      </c>
      <c r="F265" s="6" t="s">
        <v>52</v>
      </c>
      <c r="G265" s="6" t="s">
        <v>24</v>
      </c>
      <c r="H265" s="6" t="n">
        <f aca="true">ROUND(RAND()*4+6,1)</f>
        <v>6.9</v>
      </c>
      <c r="I265" s="6" t="s">
        <v>25</v>
      </c>
      <c r="J265" s="6" t="str">
        <f aca="false">ROUND(84*1,0)&amp;"%"</f>
        <v>84%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2407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2408</v>
      </c>
      <c r="B270" s="5" t="s">
        <v>440</v>
      </c>
      <c r="C270" s="5" t="s">
        <v>57</v>
      </c>
      <c r="D270" s="5" t="s">
        <v>16</v>
      </c>
      <c r="E270" s="5" t="n">
        <f aca="false">ROUND(12933*1.05,2)</f>
        <v>13579.65</v>
      </c>
      <c r="F270" s="5" t="s">
        <v>17</v>
      </c>
      <c r="G270" s="5" t="s">
        <v>18</v>
      </c>
      <c r="H270" s="5" t="n">
        <f aca="true">ROUND(RAND()*4+6,1)</f>
        <v>9.4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2409</v>
      </c>
      <c r="B271" s="6" t="s">
        <v>442</v>
      </c>
      <c r="C271" s="6" t="s">
        <v>57</v>
      </c>
      <c r="D271" s="6" t="s">
        <v>22</v>
      </c>
      <c r="E271" s="6" t="n">
        <f aca="false">ROUND(10493*1.05,2)</f>
        <v>11017.65</v>
      </c>
      <c r="F271" s="6" t="s">
        <v>23</v>
      </c>
      <c r="G271" s="6" t="s">
        <v>24</v>
      </c>
      <c r="H271" s="6" t="n">
        <f aca="true">ROUND(RAND()*4+6,1)</f>
        <v>8.5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2410</v>
      </c>
      <c r="B272" s="5" t="s">
        <v>444</v>
      </c>
      <c r="C272" s="5" t="s">
        <v>57</v>
      </c>
      <c r="D272" s="5" t="s">
        <v>28</v>
      </c>
      <c r="E272" s="5" t="n">
        <f aca="false">ROUND(11951*1.05,2)</f>
        <v>12548.55</v>
      </c>
      <c r="F272" s="5" t="s">
        <v>29</v>
      </c>
      <c r="G272" s="5" t="s">
        <v>30</v>
      </c>
      <c r="H272" s="5" t="n">
        <f aca="true">ROUND(RAND()*4+6,1)</f>
        <v>9.6</v>
      </c>
      <c r="I272" s="5" t="s">
        <v>31</v>
      </c>
      <c r="J272" s="5" t="str">
        <f aca="false">ROUND(69*1,0)&amp;"%"</f>
        <v>69%</v>
      </c>
    </row>
    <row r="273" customFormat="false" ht="15" hidden="false" customHeight="false" outlineLevel="0" collapsed="false">
      <c r="A273" s="6" t="s">
        <v>2411</v>
      </c>
      <c r="B273" s="6" t="s">
        <v>446</v>
      </c>
      <c r="C273" s="6" t="s">
        <v>57</v>
      </c>
      <c r="D273" s="6" t="s">
        <v>34</v>
      </c>
      <c r="E273" s="6" t="n">
        <f aca="false">ROUND(14761*1.05,2)</f>
        <v>15499.05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ROUND(84*1,0)&amp;"%"</f>
        <v>84%</v>
      </c>
    </row>
    <row r="274" customFormat="false" ht="15" hidden="false" customHeight="false" outlineLevel="0" collapsed="false">
      <c r="A274" s="5" t="s">
        <v>2412</v>
      </c>
      <c r="B274" s="5" t="s">
        <v>448</v>
      </c>
      <c r="C274" s="5" t="s">
        <v>57</v>
      </c>
      <c r="D274" s="5" t="s">
        <v>39</v>
      </c>
      <c r="E274" s="5" t="n">
        <f aca="false">ROUND(6831*1.05,2)</f>
        <v>7172.55</v>
      </c>
      <c r="F274" s="5" t="s">
        <v>40</v>
      </c>
      <c r="G274" s="5" t="s">
        <v>24</v>
      </c>
      <c r="H274" s="5" t="n">
        <f aca="true">ROUND(RAND()*4+6,1)</f>
        <v>6.1</v>
      </c>
      <c r="I274" s="5" t="s">
        <v>41</v>
      </c>
      <c r="J274" s="5" t="str">
        <f aca="false">ROUND(91*1,0)&amp;"%"</f>
        <v>91%</v>
      </c>
    </row>
    <row r="275" customFormat="false" ht="15" hidden="false" customHeight="false" outlineLevel="0" collapsed="false">
      <c r="A275" s="6" t="s">
        <v>2413</v>
      </c>
      <c r="B275" s="6" t="s">
        <v>450</v>
      </c>
      <c r="C275" s="6" t="s">
        <v>57</v>
      </c>
      <c r="D275" s="6" t="s">
        <v>44</v>
      </c>
      <c r="E275" s="6" t="n">
        <f aca="false">ROUND(13649*1.05,2)</f>
        <v>14331.45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ROUND(98*1,0)&amp;"%"</f>
        <v>98%</v>
      </c>
    </row>
    <row r="276" customFormat="false" ht="15" hidden="false" customHeight="false" outlineLevel="0" collapsed="false">
      <c r="A276" s="5" t="s">
        <v>2414</v>
      </c>
      <c r="B276" s="5" t="s">
        <v>452</v>
      </c>
      <c r="C276" s="5" t="s">
        <v>57</v>
      </c>
      <c r="D276" s="5" t="s">
        <v>16</v>
      </c>
      <c r="E276" s="5" t="n">
        <f aca="false">ROUND(10169*1.05,2)</f>
        <v>10677.45</v>
      </c>
      <c r="F276" s="5" t="s">
        <v>49</v>
      </c>
      <c r="G276" s="5" t="s">
        <v>18</v>
      </c>
      <c r="H276" s="5" t="n">
        <f aca="true">ROUND(RAND()*4+6,1)</f>
        <v>9.8</v>
      </c>
      <c r="I276" s="5" t="s">
        <v>19</v>
      </c>
      <c r="J276" s="5" t="str">
        <f aca="false">ROUND(84*1,0)&amp;"%"</f>
        <v>84%</v>
      </c>
    </row>
    <row r="277" customFormat="false" ht="15" hidden="false" customHeight="false" outlineLevel="0" collapsed="false">
      <c r="A277" s="6" t="s">
        <v>2415</v>
      </c>
      <c r="B277" s="6" t="s">
        <v>454</v>
      </c>
      <c r="C277" s="6" t="s">
        <v>57</v>
      </c>
      <c r="D277" s="6" t="s">
        <v>22</v>
      </c>
      <c r="E277" s="6" t="n">
        <f aca="false">ROUND(17446*1.05,2)</f>
        <v>18318.3</v>
      </c>
      <c r="F277" s="6" t="s">
        <v>52</v>
      </c>
      <c r="G277" s="6" t="s">
        <v>24</v>
      </c>
      <c r="H277" s="6" t="n">
        <f aca="true">ROUND(RAND()*4+6,1)</f>
        <v>9.3</v>
      </c>
      <c r="I277" s="6" t="s">
        <v>25</v>
      </c>
      <c r="J277" s="6" t="str">
        <f aca="false">ROUND(96*1,0)&amp;"%"</f>
        <v>96%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2416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2417</v>
      </c>
      <c r="B282" s="5" t="s">
        <v>458</v>
      </c>
      <c r="C282" s="5" t="s">
        <v>76</v>
      </c>
      <c r="D282" s="5" t="s">
        <v>16</v>
      </c>
      <c r="E282" s="5" t="n">
        <f aca="false">ROUND(17760*1.05,2)</f>
        <v>18648</v>
      </c>
      <c r="F282" s="5" t="s">
        <v>17</v>
      </c>
      <c r="G282" s="5" t="s">
        <v>18</v>
      </c>
      <c r="H282" s="5" t="n">
        <f aca="true">ROUND(RAND()*4+6,1)</f>
        <v>7.9</v>
      </c>
      <c r="I282" s="5" t="s">
        <v>19</v>
      </c>
      <c r="J282" s="5" t="str">
        <f aca="false">ROUND(65*1,0)&amp;"%"</f>
        <v>65%</v>
      </c>
    </row>
    <row r="283" customFormat="false" ht="15" hidden="false" customHeight="false" outlineLevel="0" collapsed="false">
      <c r="A283" s="6" t="s">
        <v>2418</v>
      </c>
      <c r="B283" s="6" t="s">
        <v>460</v>
      </c>
      <c r="C283" s="6" t="s">
        <v>76</v>
      </c>
      <c r="D283" s="6" t="s">
        <v>22</v>
      </c>
      <c r="E283" s="6" t="n">
        <f aca="false">ROUND(12128*1.05,2)</f>
        <v>12734.4</v>
      </c>
      <c r="F283" s="6" t="s">
        <v>23</v>
      </c>
      <c r="G283" s="6" t="s">
        <v>24</v>
      </c>
      <c r="H283" s="6" t="n">
        <f aca="true">ROUND(RAND()*4+6,1)</f>
        <v>8.1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2419</v>
      </c>
      <c r="B284" s="5" t="s">
        <v>462</v>
      </c>
      <c r="C284" s="5" t="s">
        <v>76</v>
      </c>
      <c r="D284" s="5" t="s">
        <v>28</v>
      </c>
      <c r="E284" s="5" t="n">
        <f aca="false">ROUND(12186*1.05,2)</f>
        <v>12795.3</v>
      </c>
      <c r="F284" s="5" t="s">
        <v>29</v>
      </c>
      <c r="G284" s="5" t="s">
        <v>30</v>
      </c>
      <c r="H284" s="5" t="n">
        <f aca="true">ROUND(RAND()*4+6,1)</f>
        <v>7.6</v>
      </c>
      <c r="I284" s="5" t="s">
        <v>31</v>
      </c>
      <c r="J284" s="5" t="str">
        <f aca="false">ROUND(63*1,0)&amp;"%"</f>
        <v>63%</v>
      </c>
    </row>
    <row r="285" customFormat="false" ht="15" hidden="false" customHeight="false" outlineLevel="0" collapsed="false">
      <c r="A285" s="6" t="s">
        <v>2420</v>
      </c>
      <c r="B285" s="6" t="s">
        <v>464</v>
      </c>
      <c r="C285" s="6" t="s">
        <v>76</v>
      </c>
      <c r="D285" s="6" t="s">
        <v>34</v>
      </c>
      <c r="E285" s="6" t="n">
        <f aca="false">ROUND(14350*1.05,2)</f>
        <v>15067.5</v>
      </c>
      <c r="F285" s="6" t="s">
        <v>35</v>
      </c>
      <c r="G285" s="6" t="s">
        <v>18</v>
      </c>
      <c r="H285" s="6" t="n">
        <f aca="true">ROUND(RAND()*4+6,1)</f>
        <v>7.3</v>
      </c>
      <c r="I285" s="6" t="s">
        <v>36</v>
      </c>
      <c r="J285" s="6" t="str">
        <f aca="false">ROUND(73*1,0)&amp;"%"</f>
        <v>73%</v>
      </c>
    </row>
    <row r="286" customFormat="false" ht="15" hidden="false" customHeight="false" outlineLevel="0" collapsed="false">
      <c r="A286" s="5" t="s">
        <v>2421</v>
      </c>
      <c r="B286" s="5" t="s">
        <v>466</v>
      </c>
      <c r="C286" s="5" t="s">
        <v>76</v>
      </c>
      <c r="D286" s="5" t="s">
        <v>39</v>
      </c>
      <c r="E286" s="5" t="n">
        <f aca="false">ROUND(14547*1.05,2)</f>
        <v>15274.35</v>
      </c>
      <c r="F286" s="5" t="s">
        <v>40</v>
      </c>
      <c r="G286" s="5" t="s">
        <v>24</v>
      </c>
      <c r="H286" s="5" t="n">
        <f aca="true">ROUND(RAND()*4+6,1)</f>
        <v>6.6</v>
      </c>
      <c r="I286" s="5" t="s">
        <v>41</v>
      </c>
      <c r="J286" s="5" t="str">
        <f aca="false">ROUND(95*1,0)&amp;"%"</f>
        <v>95%</v>
      </c>
    </row>
    <row r="287" customFormat="false" ht="15" hidden="false" customHeight="false" outlineLevel="0" collapsed="false">
      <c r="A287" s="6" t="s">
        <v>2422</v>
      </c>
      <c r="B287" s="6" t="s">
        <v>468</v>
      </c>
      <c r="C287" s="6" t="s">
        <v>76</v>
      </c>
      <c r="D287" s="6" t="s">
        <v>44</v>
      </c>
      <c r="E287" s="6" t="n">
        <f aca="false">ROUND(6728*1.05,2)</f>
        <v>7064.4</v>
      </c>
      <c r="F287" s="6" t="s">
        <v>45</v>
      </c>
      <c r="G287" s="6" t="s">
        <v>30</v>
      </c>
      <c r="H287" s="6" t="n">
        <f aca="true">ROUND(RAND()*4+6,1)</f>
        <v>8.5</v>
      </c>
      <c r="I287" s="6" t="s">
        <v>46</v>
      </c>
      <c r="J287" s="6" t="str">
        <f aca="false">ROUND(74*1,0)&amp;"%"</f>
        <v>74%</v>
      </c>
    </row>
    <row r="288" customFormat="false" ht="15" hidden="false" customHeight="false" outlineLevel="0" collapsed="false">
      <c r="A288" s="5" t="s">
        <v>2423</v>
      </c>
      <c r="B288" s="5" t="s">
        <v>470</v>
      </c>
      <c r="C288" s="5" t="s">
        <v>76</v>
      </c>
      <c r="D288" s="5" t="s">
        <v>16</v>
      </c>
      <c r="E288" s="5" t="n">
        <f aca="false">ROUND(10010*1.05,2)</f>
        <v>10510.5</v>
      </c>
      <c r="F288" s="5" t="s">
        <v>49</v>
      </c>
      <c r="G288" s="5" t="s">
        <v>18</v>
      </c>
      <c r="H288" s="5" t="n">
        <f aca="true">ROUND(RAND()*4+6,1)</f>
        <v>7.8</v>
      </c>
      <c r="I288" s="5" t="s">
        <v>19</v>
      </c>
      <c r="J288" s="5" t="str">
        <f aca="false">ROUND(91*1,0)&amp;"%"</f>
        <v>91%</v>
      </c>
    </row>
    <row r="289" customFormat="false" ht="15" hidden="false" customHeight="false" outlineLevel="0" collapsed="false">
      <c r="A289" s="6" t="s">
        <v>2424</v>
      </c>
      <c r="B289" s="6" t="s">
        <v>472</v>
      </c>
      <c r="C289" s="6" t="s">
        <v>76</v>
      </c>
      <c r="D289" s="6" t="s">
        <v>22</v>
      </c>
      <c r="E289" s="6" t="n">
        <f aca="false">ROUND(6962*1.05,2)</f>
        <v>7310.1</v>
      </c>
      <c r="F289" s="6" t="s">
        <v>52</v>
      </c>
      <c r="G289" s="6" t="s">
        <v>24</v>
      </c>
      <c r="H289" s="6" t="n">
        <f aca="true">ROUND(RAND()*4+6,1)</f>
        <v>7.8</v>
      </c>
      <c r="I289" s="6" t="s">
        <v>25</v>
      </c>
      <c r="J289" s="6" t="str">
        <f aca="false">ROUND(89*1,0)&amp;"%"</f>
        <v>89%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2425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2426</v>
      </c>
      <c r="B294" s="5" t="s">
        <v>476</v>
      </c>
      <c r="C294" s="5" t="s">
        <v>95</v>
      </c>
      <c r="D294" s="5" t="s">
        <v>16</v>
      </c>
      <c r="E294" s="5" t="n">
        <f aca="false">ROUND(16621*1.05,2)</f>
        <v>17452.05</v>
      </c>
      <c r="F294" s="5" t="s">
        <v>17</v>
      </c>
      <c r="G294" s="5" t="s">
        <v>18</v>
      </c>
      <c r="H294" s="5" t="n">
        <f aca="true">ROUND(RAND()*4+6,1)</f>
        <v>7.3</v>
      </c>
      <c r="I294" s="5" t="s">
        <v>19</v>
      </c>
      <c r="J294" s="5" t="str">
        <f aca="false">ROUND(66*1,0)&amp;"%"</f>
        <v>66%</v>
      </c>
    </row>
    <row r="295" customFormat="false" ht="15" hidden="false" customHeight="false" outlineLevel="0" collapsed="false">
      <c r="A295" s="6" t="s">
        <v>2427</v>
      </c>
      <c r="B295" s="6" t="s">
        <v>478</v>
      </c>
      <c r="C295" s="6" t="s">
        <v>95</v>
      </c>
      <c r="D295" s="6" t="s">
        <v>22</v>
      </c>
      <c r="E295" s="6" t="n">
        <f aca="false">ROUND(8096*1.05,2)</f>
        <v>8500.8</v>
      </c>
      <c r="F295" s="6" t="s">
        <v>23</v>
      </c>
      <c r="G295" s="6" t="s">
        <v>24</v>
      </c>
      <c r="H295" s="6" t="n">
        <f aca="true">ROUND(RAND()*4+6,1)</f>
        <v>9.2</v>
      </c>
      <c r="I295" s="6" t="s">
        <v>25</v>
      </c>
      <c r="J295" s="6" t="str">
        <f aca="false">ROUND(97*1,0)&amp;"%"</f>
        <v>97%</v>
      </c>
    </row>
    <row r="296" customFormat="false" ht="15" hidden="false" customHeight="false" outlineLevel="0" collapsed="false">
      <c r="A296" s="5" t="s">
        <v>2428</v>
      </c>
      <c r="B296" s="5" t="s">
        <v>480</v>
      </c>
      <c r="C296" s="5" t="s">
        <v>95</v>
      </c>
      <c r="D296" s="5" t="s">
        <v>28</v>
      </c>
      <c r="E296" s="5" t="n">
        <f aca="false">ROUND(12312*1.05,2)</f>
        <v>12927.6</v>
      </c>
      <c r="F296" s="5" t="s">
        <v>29</v>
      </c>
      <c r="G296" s="5" t="s">
        <v>30</v>
      </c>
      <c r="H296" s="5" t="n">
        <f aca="true">ROUND(RAND()*4+6,1)</f>
        <v>7.1</v>
      </c>
      <c r="I296" s="5" t="s">
        <v>31</v>
      </c>
      <c r="J296" s="5" t="str">
        <f aca="false">ROUND(95*1,0)&amp;"%"</f>
        <v>95%</v>
      </c>
    </row>
    <row r="297" customFormat="false" ht="15" hidden="false" customHeight="false" outlineLevel="0" collapsed="false">
      <c r="A297" s="6" t="s">
        <v>2429</v>
      </c>
      <c r="B297" s="6" t="s">
        <v>482</v>
      </c>
      <c r="C297" s="6" t="s">
        <v>95</v>
      </c>
      <c r="D297" s="6" t="s">
        <v>34</v>
      </c>
      <c r="E297" s="6" t="n">
        <f aca="false">ROUND(6481*1.05,2)</f>
        <v>6805.05</v>
      </c>
      <c r="F297" s="6" t="s">
        <v>35</v>
      </c>
      <c r="G297" s="6" t="s">
        <v>18</v>
      </c>
      <c r="H297" s="6" t="n">
        <f aca="true">ROUND(RAND()*4+6,1)</f>
        <v>7.8</v>
      </c>
      <c r="I297" s="6" t="s">
        <v>36</v>
      </c>
      <c r="J297" s="6" t="str">
        <f aca="false">ROUND(62*1,0)&amp;"%"</f>
        <v>62%</v>
      </c>
    </row>
    <row r="298" customFormat="false" ht="15" hidden="false" customHeight="false" outlineLevel="0" collapsed="false">
      <c r="A298" s="5" t="s">
        <v>2430</v>
      </c>
      <c r="B298" s="5" t="s">
        <v>484</v>
      </c>
      <c r="C298" s="5" t="s">
        <v>95</v>
      </c>
      <c r="D298" s="5" t="s">
        <v>39</v>
      </c>
      <c r="E298" s="5" t="n">
        <f aca="false">ROUND(16030*1.05,2)</f>
        <v>16831.5</v>
      </c>
      <c r="F298" s="5" t="s">
        <v>40</v>
      </c>
      <c r="G298" s="5" t="s">
        <v>24</v>
      </c>
      <c r="H298" s="5" t="n">
        <f aca="true">ROUND(RAND()*4+6,1)</f>
        <v>7</v>
      </c>
      <c r="I298" s="5" t="s">
        <v>41</v>
      </c>
      <c r="J298" s="5" t="str">
        <f aca="false">ROUND(83*1,0)&amp;"%"</f>
        <v>83%</v>
      </c>
    </row>
    <row r="299" customFormat="false" ht="15" hidden="false" customHeight="false" outlineLevel="0" collapsed="false">
      <c r="A299" s="6" t="s">
        <v>2431</v>
      </c>
      <c r="B299" s="6" t="s">
        <v>486</v>
      </c>
      <c r="C299" s="6" t="s">
        <v>95</v>
      </c>
      <c r="D299" s="6" t="s">
        <v>44</v>
      </c>
      <c r="E299" s="6" t="n">
        <f aca="false">ROUND(16497*1.05,2)</f>
        <v>17321.85</v>
      </c>
      <c r="F299" s="6" t="s">
        <v>45</v>
      </c>
      <c r="G299" s="6" t="s">
        <v>30</v>
      </c>
      <c r="H299" s="6" t="n">
        <f aca="true">ROUND(RAND()*4+6,1)</f>
        <v>8.4</v>
      </c>
      <c r="I299" s="6" t="s">
        <v>46</v>
      </c>
      <c r="J299" s="6" t="str">
        <f aca="false">ROUND(68*1,0)&amp;"%"</f>
        <v>68%</v>
      </c>
    </row>
    <row r="300" customFormat="false" ht="15" hidden="false" customHeight="false" outlineLevel="0" collapsed="false">
      <c r="A300" s="5" t="s">
        <v>2432</v>
      </c>
      <c r="B300" s="5" t="s">
        <v>488</v>
      </c>
      <c r="C300" s="5" t="s">
        <v>95</v>
      </c>
      <c r="D300" s="5" t="s">
        <v>16</v>
      </c>
      <c r="E300" s="5" t="n">
        <f aca="false">ROUND(9233*1.05,2)</f>
        <v>9694.65</v>
      </c>
      <c r="F300" s="5" t="s">
        <v>49</v>
      </c>
      <c r="G300" s="5" t="s">
        <v>18</v>
      </c>
      <c r="H300" s="5" t="n">
        <f aca="true">ROUND(RAND()*4+6,1)</f>
        <v>6</v>
      </c>
      <c r="I300" s="5" t="s">
        <v>19</v>
      </c>
      <c r="J300" s="5" t="str">
        <f aca="false">ROUND(75*1,0)&amp;"%"</f>
        <v>75%</v>
      </c>
    </row>
    <row r="301" customFormat="false" ht="15" hidden="false" customHeight="false" outlineLevel="0" collapsed="false">
      <c r="A301" s="6" t="s">
        <v>2433</v>
      </c>
      <c r="B301" s="6" t="s">
        <v>490</v>
      </c>
      <c r="C301" s="6" t="s">
        <v>95</v>
      </c>
      <c r="D301" s="6" t="s">
        <v>22</v>
      </c>
      <c r="E301" s="6" t="n">
        <f aca="false">ROUND(4864*1.05,2)</f>
        <v>5107.2</v>
      </c>
      <c r="F301" s="6" t="s">
        <v>52</v>
      </c>
      <c r="G301" s="6" t="s">
        <v>24</v>
      </c>
      <c r="H301" s="6" t="n">
        <f aca="true">ROUND(RAND()*4+6,1)</f>
        <v>7.1</v>
      </c>
      <c r="I301" s="6" t="s">
        <v>25</v>
      </c>
      <c r="J301" s="6" t="str">
        <f aca="false">ROUND(77*1,0)&amp;"%"</f>
        <v>77%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2434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2435</v>
      </c>
      <c r="B306" s="5" t="s">
        <v>494</v>
      </c>
      <c r="C306" s="5" t="s">
        <v>114</v>
      </c>
      <c r="D306" s="5" t="s">
        <v>16</v>
      </c>
      <c r="E306" s="5" t="n">
        <f aca="false">ROUND(4744*1.05,2)</f>
        <v>4981.2</v>
      </c>
      <c r="F306" s="5" t="s">
        <v>17</v>
      </c>
      <c r="G306" s="5" t="s">
        <v>18</v>
      </c>
      <c r="H306" s="5" t="n">
        <f aca="true">ROUND(RAND()*4+6,1)</f>
        <v>7.3</v>
      </c>
      <c r="I306" s="5" t="s">
        <v>19</v>
      </c>
      <c r="J306" s="5" t="str">
        <f aca="false">ROUND(83*1,0)&amp;"%"</f>
        <v>83%</v>
      </c>
    </row>
    <row r="307" customFormat="false" ht="15" hidden="false" customHeight="false" outlineLevel="0" collapsed="false">
      <c r="A307" s="6" t="s">
        <v>2436</v>
      </c>
      <c r="B307" s="6" t="s">
        <v>496</v>
      </c>
      <c r="C307" s="6" t="s">
        <v>114</v>
      </c>
      <c r="D307" s="6" t="s">
        <v>22</v>
      </c>
      <c r="E307" s="6" t="n">
        <f aca="false">ROUND(6478*1.05,2)</f>
        <v>6801.9</v>
      </c>
      <c r="F307" s="6" t="s">
        <v>23</v>
      </c>
      <c r="G307" s="6" t="s">
        <v>24</v>
      </c>
      <c r="H307" s="6" t="n">
        <f aca="true">ROUND(RAND()*4+6,1)</f>
        <v>8.5</v>
      </c>
      <c r="I307" s="6" t="s">
        <v>25</v>
      </c>
      <c r="J307" s="6" t="str">
        <f aca="false">ROUND(71*1,0)&amp;"%"</f>
        <v>71%</v>
      </c>
    </row>
    <row r="308" customFormat="false" ht="15" hidden="false" customHeight="false" outlineLevel="0" collapsed="false">
      <c r="A308" s="5" t="s">
        <v>2437</v>
      </c>
      <c r="B308" s="5" t="s">
        <v>498</v>
      </c>
      <c r="C308" s="5" t="s">
        <v>114</v>
      </c>
      <c r="D308" s="5" t="s">
        <v>28</v>
      </c>
      <c r="E308" s="5" t="n">
        <f aca="false">ROUND(10579*1.05,2)</f>
        <v>11107.95</v>
      </c>
      <c r="F308" s="5" t="s">
        <v>29</v>
      </c>
      <c r="G308" s="5" t="s">
        <v>30</v>
      </c>
      <c r="H308" s="5" t="n">
        <f aca="true">ROUND(RAND()*4+6,1)</f>
        <v>9.6</v>
      </c>
      <c r="I308" s="5" t="s">
        <v>31</v>
      </c>
      <c r="J308" s="5" t="str">
        <f aca="false">ROUND(86*1,0)&amp;"%"</f>
        <v>86%</v>
      </c>
    </row>
    <row r="309" customFormat="false" ht="15" hidden="false" customHeight="false" outlineLevel="0" collapsed="false">
      <c r="A309" s="6" t="s">
        <v>2438</v>
      </c>
      <c r="B309" s="6" t="s">
        <v>500</v>
      </c>
      <c r="C309" s="6" t="s">
        <v>114</v>
      </c>
      <c r="D309" s="6" t="s">
        <v>34</v>
      </c>
      <c r="E309" s="6" t="n">
        <f aca="false">ROUND(13890*1.05,2)</f>
        <v>14584.5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2439</v>
      </c>
      <c r="B310" s="5" t="s">
        <v>502</v>
      </c>
      <c r="C310" s="5" t="s">
        <v>114</v>
      </c>
      <c r="D310" s="5" t="s">
        <v>39</v>
      </c>
      <c r="E310" s="5" t="n">
        <f aca="false">ROUND(17293*1.05,2)</f>
        <v>18157.65</v>
      </c>
      <c r="F310" s="5" t="s">
        <v>40</v>
      </c>
      <c r="G310" s="5" t="s">
        <v>24</v>
      </c>
      <c r="H310" s="5" t="n">
        <f aca="true">ROUND(RAND()*4+6,1)</f>
        <v>8.9</v>
      </c>
      <c r="I310" s="5" t="s">
        <v>41</v>
      </c>
      <c r="J310" s="5" t="str">
        <f aca="false">ROUND(64*1,0)&amp;"%"</f>
        <v>64%</v>
      </c>
    </row>
    <row r="311" customFormat="false" ht="15" hidden="false" customHeight="false" outlineLevel="0" collapsed="false">
      <c r="A311" s="6" t="s">
        <v>2440</v>
      </c>
      <c r="B311" s="6" t="s">
        <v>504</v>
      </c>
      <c r="C311" s="6" t="s">
        <v>114</v>
      </c>
      <c r="D311" s="6" t="s">
        <v>44</v>
      </c>
      <c r="E311" s="6" t="n">
        <f aca="false">ROUND(8819*1.05,2)</f>
        <v>9259.95</v>
      </c>
      <c r="F311" s="6" t="s">
        <v>45</v>
      </c>
      <c r="G311" s="6" t="s">
        <v>30</v>
      </c>
      <c r="H311" s="6" t="n">
        <f aca="true">ROUND(RAND()*4+6,1)</f>
        <v>6.7</v>
      </c>
      <c r="I311" s="6" t="s">
        <v>46</v>
      </c>
      <c r="J311" s="6" t="str">
        <f aca="false">ROUND(64*1,0)&amp;"%"</f>
        <v>64%</v>
      </c>
    </row>
    <row r="312" customFormat="false" ht="15" hidden="false" customHeight="false" outlineLevel="0" collapsed="false">
      <c r="A312" s="5" t="s">
        <v>2441</v>
      </c>
      <c r="B312" s="5" t="s">
        <v>506</v>
      </c>
      <c r="C312" s="5" t="s">
        <v>114</v>
      </c>
      <c r="D312" s="5" t="s">
        <v>16</v>
      </c>
      <c r="E312" s="5" t="n">
        <f aca="false">ROUND(10305*1.05,2)</f>
        <v>10820.25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ROUND(82*1,0)&amp;"%"</f>
        <v>82%</v>
      </c>
    </row>
    <row r="313" customFormat="false" ht="15" hidden="false" customHeight="false" outlineLevel="0" collapsed="false">
      <c r="A313" s="6" t="s">
        <v>2442</v>
      </c>
      <c r="B313" s="6" t="s">
        <v>508</v>
      </c>
      <c r="C313" s="6" t="s">
        <v>114</v>
      </c>
      <c r="D313" s="6" t="s">
        <v>22</v>
      </c>
      <c r="E313" s="6" t="n">
        <f aca="false">ROUND(8808*1.05,2)</f>
        <v>9248.4</v>
      </c>
      <c r="F313" s="6" t="s">
        <v>52</v>
      </c>
      <c r="G313" s="6" t="s">
        <v>24</v>
      </c>
      <c r="H313" s="6" t="n">
        <f aca="true">ROUND(RAND()*4+6,1)</f>
        <v>6.1</v>
      </c>
      <c r="I313" s="6" t="s">
        <v>25</v>
      </c>
      <c r="J313" s="6" t="str">
        <f aca="false">ROUND(74*1,0)&amp;"%"</f>
        <v>74%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2443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2444</v>
      </c>
      <c r="B318" s="5" t="s">
        <v>512</v>
      </c>
      <c r="C318" s="5" t="s">
        <v>133</v>
      </c>
      <c r="D318" s="5" t="s">
        <v>16</v>
      </c>
      <c r="E318" s="5" t="n">
        <f aca="false">ROUND(17483*1.05,2)</f>
        <v>18357.15</v>
      </c>
      <c r="F318" s="5" t="s">
        <v>17</v>
      </c>
      <c r="G318" s="5" t="s">
        <v>18</v>
      </c>
      <c r="H318" s="5" t="n">
        <f aca="true">ROUND(RAND()*4+6,1)</f>
        <v>7.2</v>
      </c>
      <c r="I318" s="5" t="s">
        <v>19</v>
      </c>
      <c r="J318" s="5" t="str">
        <f aca="false">ROUND(63*1,0)&amp;"%"</f>
        <v>63%</v>
      </c>
    </row>
    <row r="319" customFormat="false" ht="15" hidden="false" customHeight="false" outlineLevel="0" collapsed="false">
      <c r="A319" s="6" t="s">
        <v>2445</v>
      </c>
      <c r="B319" s="6" t="s">
        <v>514</v>
      </c>
      <c r="C319" s="6" t="s">
        <v>133</v>
      </c>
      <c r="D319" s="6" t="s">
        <v>22</v>
      </c>
      <c r="E319" s="6" t="n">
        <f aca="false">ROUND(6180*1.05,2)</f>
        <v>6489</v>
      </c>
      <c r="F319" s="6" t="s">
        <v>23</v>
      </c>
      <c r="G319" s="6" t="s">
        <v>24</v>
      </c>
      <c r="H319" s="6" t="n">
        <f aca="true">ROUND(RAND()*4+6,1)</f>
        <v>9.8</v>
      </c>
      <c r="I319" s="6" t="s">
        <v>25</v>
      </c>
      <c r="J319" s="6" t="str">
        <f aca="false">ROUND(79*1,0)&amp;"%"</f>
        <v>79%</v>
      </c>
    </row>
    <row r="320" customFormat="false" ht="15" hidden="false" customHeight="false" outlineLevel="0" collapsed="false">
      <c r="A320" s="5" t="s">
        <v>2446</v>
      </c>
      <c r="B320" s="5" t="s">
        <v>516</v>
      </c>
      <c r="C320" s="5" t="s">
        <v>133</v>
      </c>
      <c r="D320" s="5" t="s">
        <v>28</v>
      </c>
      <c r="E320" s="5" t="n">
        <f aca="false">ROUND(17593*1.05,2)</f>
        <v>18472.65</v>
      </c>
      <c r="F320" s="5" t="s">
        <v>29</v>
      </c>
      <c r="G320" s="5" t="s">
        <v>30</v>
      </c>
      <c r="H320" s="5" t="n">
        <f aca="true">ROUND(RAND()*4+6,1)</f>
        <v>8.5</v>
      </c>
      <c r="I320" s="5" t="s">
        <v>31</v>
      </c>
      <c r="J320" s="5" t="str">
        <f aca="false">ROUND(77*1,0)&amp;"%"</f>
        <v>77%</v>
      </c>
    </row>
    <row r="321" customFormat="false" ht="15" hidden="false" customHeight="false" outlineLevel="0" collapsed="false">
      <c r="A321" s="6" t="s">
        <v>2447</v>
      </c>
      <c r="B321" s="6" t="s">
        <v>518</v>
      </c>
      <c r="C321" s="6" t="s">
        <v>133</v>
      </c>
      <c r="D321" s="6" t="s">
        <v>34</v>
      </c>
      <c r="E321" s="6" t="n">
        <f aca="false">ROUND(11593*1.05,2)</f>
        <v>12172.65</v>
      </c>
      <c r="F321" s="6" t="s">
        <v>35</v>
      </c>
      <c r="G321" s="6" t="s">
        <v>18</v>
      </c>
      <c r="H321" s="6" t="n">
        <f aca="true">ROUND(RAND()*4+6,1)</f>
        <v>8.5</v>
      </c>
      <c r="I321" s="6" t="s">
        <v>36</v>
      </c>
      <c r="J321" s="6" t="str">
        <f aca="false">ROUND(83*1,0)&amp;"%"</f>
        <v>83%</v>
      </c>
    </row>
    <row r="322" customFormat="false" ht="15" hidden="false" customHeight="false" outlineLevel="0" collapsed="false">
      <c r="A322" s="5" t="s">
        <v>2448</v>
      </c>
      <c r="B322" s="5" t="s">
        <v>520</v>
      </c>
      <c r="C322" s="5" t="s">
        <v>133</v>
      </c>
      <c r="D322" s="5" t="s">
        <v>39</v>
      </c>
      <c r="E322" s="5" t="n">
        <f aca="false">ROUND(7383*1.05,2)</f>
        <v>7752.15</v>
      </c>
      <c r="F322" s="5" t="s">
        <v>40</v>
      </c>
      <c r="G322" s="5" t="s">
        <v>24</v>
      </c>
      <c r="H322" s="5" t="n">
        <f aca="true">ROUND(RAND()*4+6,1)</f>
        <v>9.1</v>
      </c>
      <c r="I322" s="5" t="s">
        <v>41</v>
      </c>
      <c r="J322" s="5" t="str">
        <f aca="false">ROUND(67*1,0)&amp;"%"</f>
        <v>67%</v>
      </c>
    </row>
    <row r="323" customFormat="false" ht="15" hidden="false" customHeight="false" outlineLevel="0" collapsed="false">
      <c r="A323" s="6" t="s">
        <v>2449</v>
      </c>
      <c r="B323" s="6" t="s">
        <v>522</v>
      </c>
      <c r="C323" s="6" t="s">
        <v>133</v>
      </c>
      <c r="D323" s="6" t="s">
        <v>44</v>
      </c>
      <c r="E323" s="6" t="n">
        <f aca="false">ROUND(10621*1.05,2)</f>
        <v>11152.05</v>
      </c>
      <c r="F323" s="6" t="s">
        <v>45</v>
      </c>
      <c r="G323" s="6" t="s">
        <v>30</v>
      </c>
      <c r="H323" s="6" t="n">
        <f aca="true">ROUND(RAND()*4+6,1)</f>
        <v>9.5</v>
      </c>
      <c r="I323" s="6" t="s">
        <v>46</v>
      </c>
      <c r="J323" s="6" t="str">
        <f aca="false">ROUND(61*1,0)&amp;"%"</f>
        <v>61%</v>
      </c>
    </row>
    <row r="324" customFormat="false" ht="15" hidden="false" customHeight="false" outlineLevel="0" collapsed="false">
      <c r="A324" s="5" t="s">
        <v>2450</v>
      </c>
      <c r="B324" s="5" t="s">
        <v>524</v>
      </c>
      <c r="C324" s="5" t="s">
        <v>133</v>
      </c>
      <c r="D324" s="5" t="s">
        <v>16</v>
      </c>
      <c r="E324" s="5" t="n">
        <f aca="false">ROUND(9537*1.05,2)</f>
        <v>10013.85</v>
      </c>
      <c r="F324" s="5" t="s">
        <v>49</v>
      </c>
      <c r="G324" s="5" t="s">
        <v>18</v>
      </c>
      <c r="H324" s="5" t="n">
        <f aca="true">ROUND(RAND()*4+6,1)</f>
        <v>8.9</v>
      </c>
      <c r="I324" s="5" t="s">
        <v>19</v>
      </c>
      <c r="J324" s="5" t="str">
        <f aca="false">ROUND(99*1,0)&amp;"%"</f>
        <v>99%</v>
      </c>
    </row>
    <row r="325" customFormat="false" ht="15" hidden="false" customHeight="false" outlineLevel="0" collapsed="false">
      <c r="A325" s="6" t="s">
        <v>2451</v>
      </c>
      <c r="B325" s="6" t="s">
        <v>526</v>
      </c>
      <c r="C325" s="6" t="s">
        <v>133</v>
      </c>
      <c r="D325" s="6" t="s">
        <v>22</v>
      </c>
      <c r="E325" s="6" t="n">
        <f aca="false">ROUND(17368*1.05,2)</f>
        <v>18236.4</v>
      </c>
      <c r="F325" s="6" t="s">
        <v>52</v>
      </c>
      <c r="G325" s="6" t="s">
        <v>24</v>
      </c>
      <c r="H325" s="6" t="n">
        <f aca="true">ROUND(RAND()*4+6,1)</f>
        <v>8.6</v>
      </c>
      <c r="I325" s="6" t="s">
        <v>25</v>
      </c>
      <c r="J325" s="6" t="str">
        <f aca="false">ROUND(94*1,0)&amp;"%"</f>
        <v>94%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2452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2453</v>
      </c>
      <c r="B330" s="5" t="s">
        <v>530</v>
      </c>
      <c r="C330" s="5" t="s">
        <v>152</v>
      </c>
      <c r="D330" s="5" t="s">
        <v>16</v>
      </c>
      <c r="E330" s="5" t="n">
        <f aca="false">ROUND(15361*1.05,2)</f>
        <v>16129.05</v>
      </c>
      <c r="F330" s="5" t="s">
        <v>17</v>
      </c>
      <c r="G330" s="5" t="s">
        <v>18</v>
      </c>
      <c r="H330" s="5" t="n">
        <f aca="true">ROUND(RAND()*4+6,1)</f>
        <v>8.2</v>
      </c>
      <c r="I330" s="5" t="s">
        <v>19</v>
      </c>
      <c r="J330" s="5" t="str">
        <f aca="false">ROUND(74*1,0)&amp;"%"</f>
        <v>74%</v>
      </c>
    </row>
    <row r="331" customFormat="false" ht="15" hidden="false" customHeight="false" outlineLevel="0" collapsed="false">
      <c r="A331" s="6" t="s">
        <v>2454</v>
      </c>
      <c r="B331" s="6" t="s">
        <v>532</v>
      </c>
      <c r="C331" s="6" t="s">
        <v>152</v>
      </c>
      <c r="D331" s="6" t="s">
        <v>22</v>
      </c>
      <c r="E331" s="6" t="n">
        <f aca="false">ROUND(8434*1.05,2)</f>
        <v>8855.7</v>
      </c>
      <c r="F331" s="6" t="s">
        <v>23</v>
      </c>
      <c r="G331" s="6" t="s">
        <v>24</v>
      </c>
      <c r="H331" s="6" t="n">
        <f aca="true">ROUND(RAND()*4+6,1)</f>
        <v>7.8</v>
      </c>
      <c r="I331" s="6" t="s">
        <v>25</v>
      </c>
      <c r="J331" s="6" t="str">
        <f aca="false">ROUND(65*1,0)&amp;"%"</f>
        <v>65%</v>
      </c>
    </row>
    <row r="332" customFormat="false" ht="15" hidden="false" customHeight="false" outlineLevel="0" collapsed="false">
      <c r="A332" s="5" t="s">
        <v>2455</v>
      </c>
      <c r="B332" s="5" t="s">
        <v>534</v>
      </c>
      <c r="C332" s="5" t="s">
        <v>152</v>
      </c>
      <c r="D332" s="5" t="s">
        <v>28</v>
      </c>
      <c r="E332" s="5" t="n">
        <f aca="false">ROUND(10725*1.05,2)</f>
        <v>11261.25</v>
      </c>
      <c r="F332" s="5" t="s">
        <v>29</v>
      </c>
      <c r="G332" s="5" t="s">
        <v>30</v>
      </c>
      <c r="H332" s="5" t="n">
        <f aca="true">ROUND(RAND()*4+6,1)</f>
        <v>9.1</v>
      </c>
      <c r="I332" s="5" t="s">
        <v>31</v>
      </c>
      <c r="J332" s="5" t="str">
        <f aca="false">ROUND(91*1,0)&amp;"%"</f>
        <v>91%</v>
      </c>
    </row>
    <row r="333" customFormat="false" ht="15" hidden="false" customHeight="false" outlineLevel="0" collapsed="false">
      <c r="A333" s="6" t="s">
        <v>2456</v>
      </c>
      <c r="B333" s="6" t="s">
        <v>536</v>
      </c>
      <c r="C333" s="6" t="s">
        <v>152</v>
      </c>
      <c r="D333" s="6" t="s">
        <v>34</v>
      </c>
      <c r="E333" s="6" t="n">
        <f aca="false">ROUND(15595*1.05,2)</f>
        <v>16374.75</v>
      </c>
      <c r="F333" s="6" t="s">
        <v>35</v>
      </c>
      <c r="G333" s="6" t="s">
        <v>18</v>
      </c>
      <c r="H333" s="6" t="n">
        <f aca="true">ROUND(RAND()*4+6,1)</f>
        <v>7.6</v>
      </c>
      <c r="I333" s="6" t="s">
        <v>36</v>
      </c>
      <c r="J333" s="6" t="str">
        <f aca="false">ROUND(98*1,0)&amp;"%"</f>
        <v>98%</v>
      </c>
    </row>
    <row r="334" customFormat="false" ht="15" hidden="false" customHeight="false" outlineLevel="0" collapsed="false">
      <c r="A334" s="5" t="s">
        <v>2457</v>
      </c>
      <c r="B334" s="5" t="s">
        <v>538</v>
      </c>
      <c r="C334" s="5" t="s">
        <v>152</v>
      </c>
      <c r="D334" s="5" t="s">
        <v>39</v>
      </c>
      <c r="E334" s="5" t="n">
        <f aca="false">ROUND(10706*1.05,2)</f>
        <v>11241.3</v>
      </c>
      <c r="F334" s="5" t="s">
        <v>40</v>
      </c>
      <c r="G334" s="5" t="s">
        <v>24</v>
      </c>
      <c r="H334" s="5" t="n">
        <f aca="true">ROUND(RAND()*4+6,1)</f>
        <v>9.7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2458</v>
      </c>
      <c r="B335" s="6" t="s">
        <v>540</v>
      </c>
      <c r="C335" s="6" t="s">
        <v>152</v>
      </c>
      <c r="D335" s="6" t="s">
        <v>44</v>
      </c>
      <c r="E335" s="6" t="n">
        <f aca="false">ROUND(9839*1.05,2)</f>
        <v>10330.95</v>
      </c>
      <c r="F335" s="6" t="s">
        <v>45</v>
      </c>
      <c r="G335" s="6" t="s">
        <v>30</v>
      </c>
      <c r="H335" s="6" t="n">
        <f aca="true">ROUND(RAND()*4+6,1)</f>
        <v>10</v>
      </c>
      <c r="I335" s="6" t="s">
        <v>46</v>
      </c>
      <c r="J335" s="6" t="str">
        <f aca="false">ROUND(92*1,0)&amp;"%"</f>
        <v>92%</v>
      </c>
    </row>
    <row r="336" customFormat="false" ht="15" hidden="false" customHeight="false" outlineLevel="0" collapsed="false">
      <c r="A336" s="5" t="s">
        <v>2459</v>
      </c>
      <c r="B336" s="5" t="s">
        <v>542</v>
      </c>
      <c r="C336" s="5" t="s">
        <v>152</v>
      </c>
      <c r="D336" s="5" t="s">
        <v>16</v>
      </c>
      <c r="E336" s="5" t="n">
        <f aca="false">ROUND(14588*1.05,2)</f>
        <v>15317.4</v>
      </c>
      <c r="F336" s="5" t="s">
        <v>49</v>
      </c>
      <c r="G336" s="5" t="s">
        <v>18</v>
      </c>
      <c r="H336" s="5" t="n">
        <f aca="true">ROUND(RAND()*4+6,1)</f>
        <v>7.2</v>
      </c>
      <c r="I336" s="5" t="s">
        <v>19</v>
      </c>
      <c r="J336" s="5" t="str">
        <f aca="false">ROUND(78*1,0)&amp;"%"</f>
        <v>78%</v>
      </c>
    </row>
    <row r="337" customFormat="false" ht="15" hidden="false" customHeight="false" outlineLevel="0" collapsed="false">
      <c r="A337" s="6" t="s">
        <v>2460</v>
      </c>
      <c r="B337" s="6" t="s">
        <v>544</v>
      </c>
      <c r="C337" s="6" t="s">
        <v>152</v>
      </c>
      <c r="D337" s="6" t="s">
        <v>22</v>
      </c>
      <c r="E337" s="6" t="n">
        <f aca="false">ROUND(14793*1.05,2)</f>
        <v>15532.65</v>
      </c>
      <c r="F337" s="6" t="s">
        <v>52</v>
      </c>
      <c r="G337" s="6" t="s">
        <v>24</v>
      </c>
      <c r="H337" s="6" t="n">
        <f aca="true">ROUND(RAND()*4+6,1)</f>
        <v>8.2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2461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2462</v>
      </c>
      <c r="B342" s="5" t="s">
        <v>548</v>
      </c>
      <c r="C342" s="5" t="s">
        <v>15</v>
      </c>
      <c r="D342" s="5" t="s">
        <v>16</v>
      </c>
      <c r="E342" s="5" t="n">
        <f aca="false">ROUND(4736*1.05,2)</f>
        <v>4972.8</v>
      </c>
      <c r="F342" s="5" t="s">
        <v>17</v>
      </c>
      <c r="G342" s="5" t="s">
        <v>18</v>
      </c>
      <c r="H342" s="5" t="n">
        <f aca="true">ROUND(RAND()*4+6,1)</f>
        <v>8.9</v>
      </c>
      <c r="I342" s="5" t="s">
        <v>19</v>
      </c>
      <c r="J342" s="5" t="str">
        <f aca="false">ROUND(72*1,0)&amp;"%"</f>
        <v>72%</v>
      </c>
    </row>
    <row r="343" customFormat="false" ht="15" hidden="false" customHeight="false" outlineLevel="0" collapsed="false">
      <c r="A343" s="6" t="s">
        <v>2463</v>
      </c>
      <c r="B343" s="6" t="s">
        <v>550</v>
      </c>
      <c r="C343" s="6" t="s">
        <v>15</v>
      </c>
      <c r="D343" s="6" t="s">
        <v>22</v>
      </c>
      <c r="E343" s="6" t="n">
        <f aca="false">ROUND(16802*1.05,2)</f>
        <v>17642.1</v>
      </c>
      <c r="F343" s="6" t="s">
        <v>23</v>
      </c>
      <c r="G343" s="6" t="s">
        <v>24</v>
      </c>
      <c r="H343" s="6" t="n">
        <f aca="true">ROUND(RAND()*4+6,1)</f>
        <v>6.6</v>
      </c>
      <c r="I343" s="6" t="s">
        <v>25</v>
      </c>
      <c r="J343" s="6" t="str">
        <f aca="false">ROUND(67*1,0)&amp;"%"</f>
        <v>67%</v>
      </c>
    </row>
    <row r="344" customFormat="false" ht="15" hidden="false" customHeight="false" outlineLevel="0" collapsed="false">
      <c r="A344" s="5" t="s">
        <v>2464</v>
      </c>
      <c r="B344" s="5" t="s">
        <v>552</v>
      </c>
      <c r="C344" s="5" t="s">
        <v>15</v>
      </c>
      <c r="D344" s="5" t="s">
        <v>28</v>
      </c>
      <c r="E344" s="5" t="n">
        <f aca="false">ROUND(11769*1.05,2)</f>
        <v>12357.45</v>
      </c>
      <c r="F344" s="5" t="s">
        <v>29</v>
      </c>
      <c r="G344" s="5" t="s">
        <v>30</v>
      </c>
      <c r="H344" s="5" t="n">
        <f aca="true">ROUND(RAND()*4+6,1)</f>
        <v>7.1</v>
      </c>
      <c r="I344" s="5" t="s">
        <v>31</v>
      </c>
      <c r="J344" s="5" t="str">
        <f aca="false">ROUND(63*1,0)&amp;"%"</f>
        <v>63%</v>
      </c>
    </row>
    <row r="345" customFormat="false" ht="15" hidden="false" customHeight="false" outlineLevel="0" collapsed="false">
      <c r="A345" s="6" t="s">
        <v>2465</v>
      </c>
      <c r="B345" s="6" t="s">
        <v>554</v>
      </c>
      <c r="C345" s="6" t="s">
        <v>15</v>
      </c>
      <c r="D345" s="6" t="s">
        <v>34</v>
      </c>
      <c r="E345" s="6" t="n">
        <f aca="false">ROUND(17947*1.05,2)</f>
        <v>18844.35</v>
      </c>
      <c r="F345" s="6" t="s">
        <v>35</v>
      </c>
      <c r="G345" s="6" t="s">
        <v>18</v>
      </c>
      <c r="H345" s="6" t="n">
        <f aca="true">ROUND(RAND()*4+6,1)</f>
        <v>7.2</v>
      </c>
      <c r="I345" s="6" t="s">
        <v>36</v>
      </c>
      <c r="J345" s="6" t="str">
        <f aca="false">ROUND(82*1,0)&amp;"%"</f>
        <v>82%</v>
      </c>
    </row>
    <row r="346" customFormat="false" ht="15" hidden="false" customHeight="false" outlineLevel="0" collapsed="false">
      <c r="A346" s="5" t="s">
        <v>2466</v>
      </c>
      <c r="B346" s="5" t="s">
        <v>556</v>
      </c>
      <c r="C346" s="5" t="s">
        <v>15</v>
      </c>
      <c r="D346" s="5" t="s">
        <v>39</v>
      </c>
      <c r="E346" s="5" t="n">
        <f aca="false">ROUND(9688*1.05,2)</f>
        <v>10172.4</v>
      </c>
      <c r="F346" s="5" t="s">
        <v>40</v>
      </c>
      <c r="G346" s="5" t="s">
        <v>24</v>
      </c>
      <c r="H346" s="5" t="n">
        <f aca="true">ROUND(RAND()*4+6,1)</f>
        <v>8.7</v>
      </c>
      <c r="I346" s="5" t="s">
        <v>41</v>
      </c>
      <c r="J346" s="5" t="str">
        <f aca="false">ROUND(97*1,0)&amp;"%"</f>
        <v>97%</v>
      </c>
    </row>
    <row r="347" customFormat="false" ht="15" hidden="false" customHeight="false" outlineLevel="0" collapsed="false">
      <c r="A347" s="6" t="s">
        <v>2467</v>
      </c>
      <c r="B347" s="6" t="s">
        <v>558</v>
      </c>
      <c r="C347" s="6" t="s">
        <v>15</v>
      </c>
      <c r="D347" s="6" t="s">
        <v>44</v>
      </c>
      <c r="E347" s="6" t="n">
        <f aca="false">ROUND(15449*1.05,2)</f>
        <v>16221.45</v>
      </c>
      <c r="F347" s="6" t="s">
        <v>45</v>
      </c>
      <c r="G347" s="6" t="s">
        <v>30</v>
      </c>
      <c r="H347" s="6" t="n">
        <f aca="true">ROUND(RAND()*4+6,1)</f>
        <v>7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2468</v>
      </c>
      <c r="B348" s="5" t="s">
        <v>560</v>
      </c>
      <c r="C348" s="5" t="s">
        <v>15</v>
      </c>
      <c r="D348" s="5" t="s">
        <v>16</v>
      </c>
      <c r="E348" s="5" t="n">
        <f aca="false">ROUND(13293*1.05,2)</f>
        <v>13957.65</v>
      </c>
      <c r="F348" s="5" t="s">
        <v>49</v>
      </c>
      <c r="G348" s="5" t="s">
        <v>18</v>
      </c>
      <c r="H348" s="5" t="n">
        <f aca="true">ROUND(RAND()*4+6,1)</f>
        <v>7.6</v>
      </c>
      <c r="I348" s="5" t="s">
        <v>19</v>
      </c>
      <c r="J348" s="5" t="str">
        <f aca="false">ROUND(73*1,0)&amp;"%"</f>
        <v>73%</v>
      </c>
    </row>
    <row r="349" customFormat="false" ht="15" hidden="false" customHeight="false" outlineLevel="0" collapsed="false">
      <c r="A349" s="6" t="s">
        <v>2469</v>
      </c>
      <c r="B349" s="6" t="s">
        <v>562</v>
      </c>
      <c r="C349" s="6" t="s">
        <v>15</v>
      </c>
      <c r="D349" s="6" t="s">
        <v>22</v>
      </c>
      <c r="E349" s="6" t="n">
        <f aca="false">ROUND(14846*1.05,2)</f>
        <v>15588.3</v>
      </c>
      <c r="F349" s="6" t="s">
        <v>52</v>
      </c>
      <c r="G349" s="6" t="s">
        <v>24</v>
      </c>
      <c r="H349" s="6" t="n">
        <f aca="true">ROUND(RAND()*4+6,1)</f>
        <v>9</v>
      </c>
      <c r="I349" s="6" t="s">
        <v>25</v>
      </c>
      <c r="J349" s="6" t="str">
        <f aca="false">ROUND(74*1,0)&amp;"%"</f>
        <v>74%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2470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2471</v>
      </c>
      <c r="B354" s="5" t="s">
        <v>566</v>
      </c>
      <c r="C354" s="5" t="s">
        <v>57</v>
      </c>
      <c r="D354" s="5" t="s">
        <v>16</v>
      </c>
      <c r="E354" s="5" t="n">
        <f aca="false">ROUND(6435*1.05,2)</f>
        <v>6756.75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ROUND(77*1,0)&amp;"%"</f>
        <v>77%</v>
      </c>
    </row>
    <row r="355" customFormat="false" ht="15" hidden="false" customHeight="false" outlineLevel="0" collapsed="false">
      <c r="A355" s="6" t="s">
        <v>2472</v>
      </c>
      <c r="B355" s="6" t="s">
        <v>568</v>
      </c>
      <c r="C355" s="6" t="s">
        <v>57</v>
      </c>
      <c r="D355" s="6" t="s">
        <v>22</v>
      </c>
      <c r="E355" s="6" t="n">
        <f aca="false">ROUND(16743*1.05,2)</f>
        <v>17580.15</v>
      </c>
      <c r="F355" s="6" t="s">
        <v>23</v>
      </c>
      <c r="G355" s="6" t="s">
        <v>24</v>
      </c>
      <c r="H355" s="6" t="n">
        <f aca="true">ROUND(RAND()*4+6,1)</f>
        <v>7</v>
      </c>
      <c r="I355" s="6" t="s">
        <v>25</v>
      </c>
      <c r="J355" s="6" t="str">
        <f aca="false">ROUND(97*1,0)&amp;"%"</f>
        <v>97%</v>
      </c>
    </row>
    <row r="356" customFormat="false" ht="15" hidden="false" customHeight="false" outlineLevel="0" collapsed="false">
      <c r="A356" s="5" t="s">
        <v>2473</v>
      </c>
      <c r="B356" s="5" t="s">
        <v>570</v>
      </c>
      <c r="C356" s="5" t="s">
        <v>57</v>
      </c>
      <c r="D356" s="5" t="s">
        <v>28</v>
      </c>
      <c r="E356" s="5" t="n">
        <f aca="false">ROUND(13619*1.05,2)</f>
        <v>14299.95</v>
      </c>
      <c r="F356" s="5" t="s">
        <v>29</v>
      </c>
      <c r="G356" s="5" t="s">
        <v>30</v>
      </c>
      <c r="H356" s="5" t="n">
        <f aca="true">ROUND(RAND()*4+6,1)</f>
        <v>8.3</v>
      </c>
      <c r="I356" s="5" t="s">
        <v>31</v>
      </c>
      <c r="J356" s="5" t="str">
        <f aca="false">ROUND(80*1,0)&amp;"%"</f>
        <v>80%</v>
      </c>
    </row>
    <row r="357" customFormat="false" ht="15" hidden="false" customHeight="false" outlineLevel="0" collapsed="false">
      <c r="A357" s="6" t="s">
        <v>2474</v>
      </c>
      <c r="B357" s="6" t="s">
        <v>572</v>
      </c>
      <c r="C357" s="6" t="s">
        <v>57</v>
      </c>
      <c r="D357" s="6" t="s">
        <v>34</v>
      </c>
      <c r="E357" s="6" t="n">
        <f aca="false">ROUND(12809*1.05,2)</f>
        <v>13449.45</v>
      </c>
      <c r="F357" s="6" t="s">
        <v>35</v>
      </c>
      <c r="G357" s="6" t="s">
        <v>18</v>
      </c>
      <c r="H357" s="6" t="n">
        <f aca="true">ROUND(RAND()*4+6,1)</f>
        <v>8.8</v>
      </c>
      <c r="I357" s="6" t="s">
        <v>36</v>
      </c>
      <c r="J357" s="6" t="str">
        <f aca="false">ROUND(78*1,0)&amp;"%"</f>
        <v>78%</v>
      </c>
    </row>
    <row r="358" customFormat="false" ht="15" hidden="false" customHeight="false" outlineLevel="0" collapsed="false">
      <c r="A358" s="5" t="s">
        <v>2475</v>
      </c>
      <c r="B358" s="5" t="s">
        <v>574</v>
      </c>
      <c r="C358" s="5" t="s">
        <v>57</v>
      </c>
      <c r="D358" s="5" t="s">
        <v>39</v>
      </c>
      <c r="E358" s="5" t="n">
        <f aca="false">ROUND(17867*1.05,2)</f>
        <v>18760.35</v>
      </c>
      <c r="F358" s="5" t="s">
        <v>40</v>
      </c>
      <c r="G358" s="5" t="s">
        <v>24</v>
      </c>
      <c r="H358" s="5" t="n">
        <f aca="true">ROUND(RAND()*4+6,1)</f>
        <v>6</v>
      </c>
      <c r="I358" s="5" t="s">
        <v>41</v>
      </c>
      <c r="J358" s="5" t="str">
        <f aca="false">ROUND(90*1,0)&amp;"%"</f>
        <v>90%</v>
      </c>
    </row>
    <row r="359" customFormat="false" ht="15" hidden="false" customHeight="false" outlineLevel="0" collapsed="false">
      <c r="A359" s="6" t="s">
        <v>2476</v>
      </c>
      <c r="B359" s="6" t="s">
        <v>576</v>
      </c>
      <c r="C359" s="6" t="s">
        <v>57</v>
      </c>
      <c r="D359" s="6" t="s">
        <v>44</v>
      </c>
      <c r="E359" s="6" t="n">
        <f aca="false">ROUND(17455*1.05,2)</f>
        <v>18327.75</v>
      </c>
      <c r="F359" s="6" t="s">
        <v>45</v>
      </c>
      <c r="G359" s="6" t="s">
        <v>30</v>
      </c>
      <c r="H359" s="6" t="n">
        <f aca="true">ROUND(RAND()*4+6,1)</f>
        <v>8.6</v>
      </c>
      <c r="I359" s="6" t="s">
        <v>46</v>
      </c>
      <c r="J359" s="6" t="str">
        <f aca="false">ROUND(70*1,0)&amp;"%"</f>
        <v>70%</v>
      </c>
    </row>
    <row r="360" customFormat="false" ht="15" hidden="false" customHeight="false" outlineLevel="0" collapsed="false">
      <c r="A360" s="5" t="s">
        <v>2477</v>
      </c>
      <c r="B360" s="5" t="s">
        <v>578</v>
      </c>
      <c r="C360" s="5" t="s">
        <v>57</v>
      </c>
      <c r="D360" s="5" t="s">
        <v>16</v>
      </c>
      <c r="E360" s="5" t="n">
        <f aca="false">ROUND(9549*1.05,2)</f>
        <v>10026.45</v>
      </c>
      <c r="F360" s="5" t="s">
        <v>49</v>
      </c>
      <c r="G360" s="5" t="s">
        <v>18</v>
      </c>
      <c r="H360" s="5" t="n">
        <f aca="true">ROUND(RAND()*4+6,1)</f>
        <v>7.7</v>
      </c>
      <c r="I360" s="5" t="s">
        <v>19</v>
      </c>
      <c r="J360" s="5" t="str">
        <f aca="false">ROUND(61*1,0)&amp;"%"</f>
        <v>61%</v>
      </c>
    </row>
    <row r="361" customFormat="false" ht="15" hidden="false" customHeight="false" outlineLevel="0" collapsed="false">
      <c r="A361" s="6" t="s">
        <v>2478</v>
      </c>
      <c r="B361" s="6" t="s">
        <v>580</v>
      </c>
      <c r="C361" s="6" t="s">
        <v>57</v>
      </c>
      <c r="D361" s="6" t="s">
        <v>22</v>
      </c>
      <c r="E361" s="6" t="n">
        <f aca="false">ROUND(13058*1.05,2)</f>
        <v>13710.9</v>
      </c>
      <c r="F361" s="6" t="s">
        <v>52</v>
      </c>
      <c r="G361" s="6" t="s">
        <v>24</v>
      </c>
      <c r="H361" s="6" t="n">
        <f aca="true">ROUND(RAND()*4+6,1)</f>
        <v>9.1</v>
      </c>
      <c r="I361" s="6" t="s">
        <v>25</v>
      </c>
      <c r="J361" s="6" t="str">
        <f aca="false">ROUND(91*1,0)&amp;"%"</f>
        <v>91%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2479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2480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2481</v>
      </c>
      <c r="B6" s="5" t="s">
        <v>14</v>
      </c>
      <c r="C6" s="5" t="s">
        <v>15</v>
      </c>
      <c r="D6" s="5" t="s">
        <v>16</v>
      </c>
      <c r="E6" s="5" t="n">
        <f aca="false">ROUND(7867*1.05,2)</f>
        <v>8260.35</v>
      </c>
      <c r="F6" s="5" t="s">
        <v>17</v>
      </c>
      <c r="G6" s="5" t="s">
        <v>18</v>
      </c>
      <c r="H6" s="5" t="n">
        <f aca="true">ROUND(RAND()*4+6,1)</f>
        <v>8.3</v>
      </c>
      <c r="I6" s="5" t="s">
        <v>19</v>
      </c>
      <c r="J6" s="5" t="str">
        <f aca="false">ROUND(83*1,0)&amp;"%"</f>
        <v>83%</v>
      </c>
    </row>
    <row r="7" customFormat="false" ht="15" hidden="false" customHeight="false" outlineLevel="0" collapsed="false">
      <c r="A7" s="6" t="s">
        <v>2482</v>
      </c>
      <c r="B7" s="6" t="s">
        <v>21</v>
      </c>
      <c r="C7" s="6" t="s">
        <v>15</v>
      </c>
      <c r="D7" s="6" t="s">
        <v>22</v>
      </c>
      <c r="E7" s="6" t="n">
        <f aca="false">ROUND(15056*1.05,2)</f>
        <v>15808.8</v>
      </c>
      <c r="F7" s="6" t="s">
        <v>23</v>
      </c>
      <c r="G7" s="6" t="s">
        <v>24</v>
      </c>
      <c r="H7" s="6" t="n">
        <f aca="true">ROUND(RAND()*4+6,1)</f>
        <v>7.6</v>
      </c>
      <c r="I7" s="6" t="s">
        <v>25</v>
      </c>
      <c r="J7" s="6" t="str">
        <f aca="false">ROUND(67*1,0)&amp;"%"</f>
        <v>67%</v>
      </c>
    </row>
    <row r="8" customFormat="false" ht="15" hidden="false" customHeight="false" outlineLevel="0" collapsed="false">
      <c r="A8" s="5" t="s">
        <v>2483</v>
      </c>
      <c r="B8" s="5" t="s">
        <v>27</v>
      </c>
      <c r="C8" s="5" t="s">
        <v>15</v>
      </c>
      <c r="D8" s="5" t="s">
        <v>28</v>
      </c>
      <c r="E8" s="5" t="n">
        <f aca="false">ROUND(17184*1.05,2)</f>
        <v>18043.2</v>
      </c>
      <c r="F8" s="5" t="s">
        <v>29</v>
      </c>
      <c r="G8" s="5" t="s">
        <v>30</v>
      </c>
      <c r="H8" s="5" t="n">
        <f aca="true">ROUND(RAND()*4+6,1)</f>
        <v>6.4</v>
      </c>
      <c r="I8" s="5" t="s">
        <v>31</v>
      </c>
      <c r="J8" s="5" t="str">
        <f aca="false">ROUND(84*1,0)&amp;"%"</f>
        <v>84%</v>
      </c>
    </row>
    <row r="9" customFormat="false" ht="15" hidden="false" customHeight="false" outlineLevel="0" collapsed="false">
      <c r="A9" s="6" t="s">
        <v>2484</v>
      </c>
      <c r="B9" s="6" t="s">
        <v>33</v>
      </c>
      <c r="C9" s="6" t="s">
        <v>15</v>
      </c>
      <c r="D9" s="6" t="s">
        <v>34</v>
      </c>
      <c r="E9" s="6" t="n">
        <f aca="false">ROUND(5075*1.05,2)</f>
        <v>5328.75</v>
      </c>
      <c r="F9" s="6" t="s">
        <v>35</v>
      </c>
      <c r="G9" s="6" t="s">
        <v>18</v>
      </c>
      <c r="H9" s="6" t="n">
        <f aca="true">ROUND(RAND()*4+6,1)</f>
        <v>8.4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2485</v>
      </c>
      <c r="B10" s="5" t="s">
        <v>38</v>
      </c>
      <c r="C10" s="5" t="s">
        <v>15</v>
      </c>
      <c r="D10" s="5" t="s">
        <v>39</v>
      </c>
      <c r="E10" s="5" t="n">
        <f aca="false">ROUND(14126*1.05,2)</f>
        <v>14832.3</v>
      </c>
      <c r="F10" s="5" t="s">
        <v>40</v>
      </c>
      <c r="G10" s="5" t="s">
        <v>24</v>
      </c>
      <c r="H10" s="5" t="n">
        <f aca="true">ROUND(RAND()*4+6,1)</f>
        <v>8.4</v>
      </c>
      <c r="I10" s="5" t="s">
        <v>41</v>
      </c>
      <c r="J10" s="5" t="str">
        <f aca="false">ROUND(67*1,0)&amp;"%"</f>
        <v>67%</v>
      </c>
    </row>
    <row r="11" customFormat="false" ht="15" hidden="false" customHeight="false" outlineLevel="0" collapsed="false">
      <c r="A11" s="6" t="s">
        <v>2486</v>
      </c>
      <c r="B11" s="6" t="s">
        <v>43</v>
      </c>
      <c r="C11" s="6" t="s">
        <v>15</v>
      </c>
      <c r="D11" s="6" t="s">
        <v>44</v>
      </c>
      <c r="E11" s="6" t="n">
        <f aca="false">ROUND(15335*1.05,2)</f>
        <v>16101.75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ROUND(78*1,0)&amp;"%"</f>
        <v>78%</v>
      </c>
    </row>
    <row r="12" customFormat="false" ht="15" hidden="false" customHeight="false" outlineLevel="0" collapsed="false">
      <c r="A12" s="5" t="s">
        <v>2487</v>
      </c>
      <c r="B12" s="5" t="s">
        <v>48</v>
      </c>
      <c r="C12" s="5" t="s">
        <v>15</v>
      </c>
      <c r="D12" s="5" t="s">
        <v>16</v>
      </c>
      <c r="E12" s="5" t="n">
        <f aca="false">ROUND(17120*1.05,2)</f>
        <v>17976</v>
      </c>
      <c r="F12" s="5" t="s">
        <v>49</v>
      </c>
      <c r="G12" s="5" t="s">
        <v>18</v>
      </c>
      <c r="H12" s="5" t="n">
        <f aca="true">ROUND(RAND()*4+6,1)</f>
        <v>9</v>
      </c>
      <c r="I12" s="5" t="s">
        <v>19</v>
      </c>
      <c r="J12" s="5" t="str">
        <f aca="false">ROUND(75*1,0)&amp;"%"</f>
        <v>75%</v>
      </c>
    </row>
    <row r="13" customFormat="false" ht="15" hidden="false" customHeight="false" outlineLevel="0" collapsed="false">
      <c r="A13" s="6" t="s">
        <v>2488</v>
      </c>
      <c r="B13" s="6" t="s">
        <v>51</v>
      </c>
      <c r="C13" s="6" t="s">
        <v>15</v>
      </c>
      <c r="D13" s="6" t="s">
        <v>22</v>
      </c>
      <c r="E13" s="6" t="n">
        <f aca="false">ROUND(8248*1.05,2)</f>
        <v>8660.4</v>
      </c>
      <c r="F13" s="6" t="s">
        <v>52</v>
      </c>
      <c r="G13" s="6" t="s">
        <v>24</v>
      </c>
      <c r="H13" s="6" t="n">
        <f aca="true">ROUND(RAND()*4+6,1)</f>
        <v>9.2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2489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2490</v>
      </c>
      <c r="B18" s="5" t="s">
        <v>56</v>
      </c>
      <c r="C18" s="5" t="s">
        <v>57</v>
      </c>
      <c r="D18" s="5" t="s">
        <v>16</v>
      </c>
      <c r="E18" s="5" t="n">
        <f aca="false">ROUND(11191*1.05,2)</f>
        <v>11750.55</v>
      </c>
      <c r="F18" s="5" t="s">
        <v>17</v>
      </c>
      <c r="G18" s="5" t="s">
        <v>18</v>
      </c>
      <c r="H18" s="5" t="n">
        <f aca="true">ROUND(RAND()*4+6,1)</f>
        <v>10</v>
      </c>
      <c r="I18" s="5" t="s">
        <v>19</v>
      </c>
      <c r="J18" s="5" t="str">
        <f aca="false">ROUND(92*1,0)&amp;"%"</f>
        <v>92%</v>
      </c>
    </row>
    <row r="19" customFormat="false" ht="15" hidden="false" customHeight="false" outlineLevel="0" collapsed="false">
      <c r="A19" s="6" t="s">
        <v>2491</v>
      </c>
      <c r="B19" s="6" t="s">
        <v>59</v>
      </c>
      <c r="C19" s="6" t="s">
        <v>57</v>
      </c>
      <c r="D19" s="6" t="s">
        <v>22</v>
      </c>
      <c r="E19" s="6" t="n">
        <f aca="false">ROUND(17811*1.05,2)</f>
        <v>18701.55</v>
      </c>
      <c r="F19" s="6" t="s">
        <v>23</v>
      </c>
      <c r="G19" s="6" t="s">
        <v>24</v>
      </c>
      <c r="H19" s="6" t="n">
        <f aca="true">ROUND(RAND()*4+6,1)</f>
        <v>8.3</v>
      </c>
      <c r="I19" s="6" t="s">
        <v>25</v>
      </c>
      <c r="J19" s="6" t="str">
        <f aca="false">ROUND(83*1,0)&amp;"%"</f>
        <v>83%</v>
      </c>
    </row>
    <row r="20" customFormat="false" ht="15" hidden="false" customHeight="false" outlineLevel="0" collapsed="false">
      <c r="A20" s="5" t="s">
        <v>2492</v>
      </c>
      <c r="B20" s="5" t="s">
        <v>61</v>
      </c>
      <c r="C20" s="5" t="s">
        <v>57</v>
      </c>
      <c r="D20" s="5" t="s">
        <v>28</v>
      </c>
      <c r="E20" s="5" t="n">
        <f aca="false">ROUND(6348*1.05,2)</f>
        <v>6665.4</v>
      </c>
      <c r="F20" s="5" t="s">
        <v>29</v>
      </c>
      <c r="G20" s="5" t="s">
        <v>30</v>
      </c>
      <c r="H20" s="5" t="n">
        <f aca="true">ROUND(RAND()*4+6,1)</f>
        <v>6.9</v>
      </c>
      <c r="I20" s="5" t="s">
        <v>31</v>
      </c>
      <c r="J20" s="5" t="str">
        <f aca="false">ROUND(75*1,0)&amp;"%"</f>
        <v>75%</v>
      </c>
    </row>
    <row r="21" customFormat="false" ht="15" hidden="false" customHeight="false" outlineLevel="0" collapsed="false">
      <c r="A21" s="6" t="s">
        <v>2493</v>
      </c>
      <c r="B21" s="6" t="s">
        <v>63</v>
      </c>
      <c r="C21" s="6" t="s">
        <v>57</v>
      </c>
      <c r="D21" s="6" t="s">
        <v>34</v>
      </c>
      <c r="E21" s="6" t="n">
        <f aca="false">ROUND(12253*1.05,2)</f>
        <v>12865.65</v>
      </c>
      <c r="F21" s="6" t="s">
        <v>35</v>
      </c>
      <c r="G21" s="6" t="s">
        <v>18</v>
      </c>
      <c r="H21" s="6" t="n">
        <f aca="true">ROUND(RAND()*4+6,1)</f>
        <v>8</v>
      </c>
      <c r="I21" s="6" t="s">
        <v>36</v>
      </c>
      <c r="J21" s="6" t="str">
        <f aca="false">ROUND(66*1,0)&amp;"%"</f>
        <v>66%</v>
      </c>
    </row>
    <row r="22" customFormat="false" ht="15" hidden="false" customHeight="false" outlineLevel="0" collapsed="false">
      <c r="A22" s="5" t="s">
        <v>2494</v>
      </c>
      <c r="B22" s="5" t="s">
        <v>65</v>
      </c>
      <c r="C22" s="5" t="s">
        <v>57</v>
      </c>
      <c r="D22" s="5" t="s">
        <v>39</v>
      </c>
      <c r="E22" s="5" t="n">
        <f aca="false">ROUND(6892*1.05,2)</f>
        <v>7236.6</v>
      </c>
      <c r="F22" s="5" t="s">
        <v>40</v>
      </c>
      <c r="G22" s="5" t="s">
        <v>24</v>
      </c>
      <c r="H22" s="5" t="n">
        <f aca="true">ROUND(RAND()*4+6,1)</f>
        <v>8</v>
      </c>
      <c r="I22" s="5" t="s">
        <v>41</v>
      </c>
      <c r="J22" s="5" t="str">
        <f aca="false">ROUND(72*1,0)&amp;"%"</f>
        <v>72%</v>
      </c>
    </row>
    <row r="23" customFormat="false" ht="15" hidden="false" customHeight="false" outlineLevel="0" collapsed="false">
      <c r="A23" s="6" t="s">
        <v>2495</v>
      </c>
      <c r="B23" s="6" t="s">
        <v>67</v>
      </c>
      <c r="C23" s="6" t="s">
        <v>57</v>
      </c>
      <c r="D23" s="6" t="s">
        <v>44</v>
      </c>
      <c r="E23" s="6" t="n">
        <f aca="false">ROUND(12855*1.05,2)</f>
        <v>13497.75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2496</v>
      </c>
      <c r="B24" s="5" t="s">
        <v>69</v>
      </c>
      <c r="C24" s="5" t="s">
        <v>57</v>
      </c>
      <c r="D24" s="5" t="s">
        <v>16</v>
      </c>
      <c r="E24" s="5" t="n">
        <f aca="false">ROUND(17161*1.05,2)</f>
        <v>18019.05</v>
      </c>
      <c r="F24" s="5" t="s">
        <v>49</v>
      </c>
      <c r="G24" s="5" t="s">
        <v>18</v>
      </c>
      <c r="H24" s="5" t="n">
        <f aca="true">ROUND(RAND()*4+6,1)</f>
        <v>7</v>
      </c>
      <c r="I24" s="5" t="s">
        <v>19</v>
      </c>
      <c r="J24" s="5" t="str">
        <f aca="false">ROUND(60*1,0)&amp;"%"</f>
        <v>60%</v>
      </c>
    </row>
    <row r="25" customFormat="false" ht="15" hidden="false" customHeight="false" outlineLevel="0" collapsed="false">
      <c r="A25" s="6" t="s">
        <v>2497</v>
      </c>
      <c r="B25" s="6" t="s">
        <v>71</v>
      </c>
      <c r="C25" s="6" t="s">
        <v>57</v>
      </c>
      <c r="D25" s="6" t="s">
        <v>22</v>
      </c>
      <c r="E25" s="6" t="n">
        <f aca="false">ROUND(5262*1.05,2)</f>
        <v>5525.1</v>
      </c>
      <c r="F25" s="6" t="s">
        <v>52</v>
      </c>
      <c r="G25" s="6" t="s">
        <v>24</v>
      </c>
      <c r="H25" s="6" t="n">
        <f aca="true">ROUND(RAND()*4+6,1)</f>
        <v>9.9</v>
      </c>
      <c r="I25" s="6" t="s">
        <v>25</v>
      </c>
      <c r="J25" s="6" t="str">
        <f aca="false">ROUND(66*1,0)&amp;"%"</f>
        <v>66%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2498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2499</v>
      </c>
      <c r="B30" s="5" t="s">
        <v>75</v>
      </c>
      <c r="C30" s="5" t="s">
        <v>76</v>
      </c>
      <c r="D30" s="5" t="s">
        <v>16</v>
      </c>
      <c r="E30" s="5" t="n">
        <f aca="false">ROUND(12135*1.05,2)</f>
        <v>12741.75</v>
      </c>
      <c r="F30" s="5" t="s">
        <v>17</v>
      </c>
      <c r="G30" s="5" t="s">
        <v>18</v>
      </c>
      <c r="H30" s="5" t="n">
        <f aca="true">ROUND(RAND()*4+6,1)</f>
        <v>9</v>
      </c>
      <c r="I30" s="5" t="s">
        <v>19</v>
      </c>
      <c r="J30" s="5" t="str">
        <f aca="false">ROUND(68*1,0)&amp;"%"</f>
        <v>68%</v>
      </c>
    </row>
    <row r="31" customFormat="false" ht="15" hidden="false" customHeight="false" outlineLevel="0" collapsed="false">
      <c r="A31" s="6" t="s">
        <v>2500</v>
      </c>
      <c r="B31" s="6" t="s">
        <v>78</v>
      </c>
      <c r="C31" s="6" t="s">
        <v>76</v>
      </c>
      <c r="D31" s="6" t="s">
        <v>22</v>
      </c>
      <c r="E31" s="6" t="n">
        <f aca="false">ROUND(4675*1.05,2)</f>
        <v>4908.75</v>
      </c>
      <c r="F31" s="6" t="s">
        <v>23</v>
      </c>
      <c r="G31" s="6" t="s">
        <v>24</v>
      </c>
      <c r="H31" s="6" t="n">
        <f aca="true">ROUND(RAND()*4+6,1)</f>
        <v>8.2</v>
      </c>
      <c r="I31" s="6" t="s">
        <v>25</v>
      </c>
      <c r="J31" s="6" t="str">
        <f aca="false">ROUND(92*1,0)&amp;"%"</f>
        <v>92%</v>
      </c>
    </row>
    <row r="32" customFormat="false" ht="15" hidden="false" customHeight="false" outlineLevel="0" collapsed="false">
      <c r="A32" s="5" t="s">
        <v>2501</v>
      </c>
      <c r="B32" s="5" t="s">
        <v>80</v>
      </c>
      <c r="C32" s="5" t="s">
        <v>76</v>
      </c>
      <c r="D32" s="5" t="s">
        <v>28</v>
      </c>
      <c r="E32" s="5" t="n">
        <f aca="false">ROUND(13492*1.05,2)</f>
        <v>14166.6</v>
      </c>
      <c r="F32" s="5" t="s">
        <v>29</v>
      </c>
      <c r="G32" s="5" t="s">
        <v>30</v>
      </c>
      <c r="H32" s="5" t="n">
        <f aca="true">ROUND(RAND()*4+6,1)</f>
        <v>8.7</v>
      </c>
      <c r="I32" s="5" t="s">
        <v>31</v>
      </c>
      <c r="J32" s="5" t="str">
        <f aca="false">ROUND(77*1,0)&amp;"%"</f>
        <v>77%</v>
      </c>
    </row>
    <row r="33" customFormat="false" ht="15" hidden="false" customHeight="false" outlineLevel="0" collapsed="false">
      <c r="A33" s="6" t="s">
        <v>2502</v>
      </c>
      <c r="B33" s="6" t="s">
        <v>82</v>
      </c>
      <c r="C33" s="6" t="s">
        <v>76</v>
      </c>
      <c r="D33" s="6" t="s">
        <v>34</v>
      </c>
      <c r="E33" s="6" t="n">
        <f aca="false">ROUND(8686*1.05,2)</f>
        <v>9120.3</v>
      </c>
      <c r="F33" s="6" t="s">
        <v>35</v>
      </c>
      <c r="G33" s="6" t="s">
        <v>18</v>
      </c>
      <c r="H33" s="6" t="n">
        <f aca="true">ROUND(RAND()*4+6,1)</f>
        <v>9.9</v>
      </c>
      <c r="I33" s="6" t="s">
        <v>36</v>
      </c>
      <c r="J33" s="6" t="str">
        <f aca="false">ROUND(67*1,0)&amp;"%"</f>
        <v>67%</v>
      </c>
    </row>
    <row r="34" customFormat="false" ht="15" hidden="false" customHeight="false" outlineLevel="0" collapsed="false">
      <c r="A34" s="5" t="s">
        <v>2503</v>
      </c>
      <c r="B34" s="5" t="s">
        <v>84</v>
      </c>
      <c r="C34" s="5" t="s">
        <v>76</v>
      </c>
      <c r="D34" s="5" t="s">
        <v>39</v>
      </c>
      <c r="E34" s="5" t="n">
        <f aca="false">ROUND(13949*1.05,2)</f>
        <v>14646.45</v>
      </c>
      <c r="F34" s="5" t="s">
        <v>40</v>
      </c>
      <c r="G34" s="5" t="s">
        <v>24</v>
      </c>
      <c r="H34" s="5" t="n">
        <f aca="true">ROUND(RAND()*4+6,1)</f>
        <v>9.8</v>
      </c>
      <c r="I34" s="5" t="s">
        <v>41</v>
      </c>
      <c r="J34" s="5" t="str">
        <f aca="false">ROUND(67*1,0)&amp;"%"</f>
        <v>67%</v>
      </c>
    </row>
    <row r="35" customFormat="false" ht="15" hidden="false" customHeight="false" outlineLevel="0" collapsed="false">
      <c r="A35" s="6" t="s">
        <v>2504</v>
      </c>
      <c r="B35" s="6" t="s">
        <v>86</v>
      </c>
      <c r="C35" s="6" t="s">
        <v>76</v>
      </c>
      <c r="D35" s="6" t="s">
        <v>44</v>
      </c>
      <c r="E35" s="6" t="n">
        <f aca="false">ROUND(10273*1.05,2)</f>
        <v>10786.65</v>
      </c>
      <c r="F35" s="6" t="s">
        <v>45</v>
      </c>
      <c r="G35" s="6" t="s">
        <v>30</v>
      </c>
      <c r="H35" s="6" t="n">
        <f aca="true">ROUND(RAND()*4+6,1)</f>
        <v>7.9</v>
      </c>
      <c r="I35" s="6" t="s">
        <v>46</v>
      </c>
      <c r="J35" s="6" t="str">
        <f aca="false">ROUND(74*1,0)&amp;"%"</f>
        <v>74%</v>
      </c>
    </row>
    <row r="36" customFormat="false" ht="15" hidden="false" customHeight="false" outlineLevel="0" collapsed="false">
      <c r="A36" s="5" t="s">
        <v>2505</v>
      </c>
      <c r="B36" s="5" t="s">
        <v>88</v>
      </c>
      <c r="C36" s="5" t="s">
        <v>76</v>
      </c>
      <c r="D36" s="5" t="s">
        <v>16</v>
      </c>
      <c r="E36" s="5" t="n">
        <f aca="false">ROUND(14476*1.05,2)</f>
        <v>15199.8</v>
      </c>
      <c r="F36" s="5" t="s">
        <v>49</v>
      </c>
      <c r="G36" s="5" t="s">
        <v>18</v>
      </c>
      <c r="H36" s="5" t="n">
        <f aca="true">ROUND(RAND()*4+6,1)</f>
        <v>9.1</v>
      </c>
      <c r="I36" s="5" t="s">
        <v>19</v>
      </c>
      <c r="J36" s="5" t="str">
        <f aca="false">ROUND(70*1,0)&amp;"%"</f>
        <v>70%</v>
      </c>
    </row>
    <row r="37" customFormat="false" ht="15" hidden="false" customHeight="false" outlineLevel="0" collapsed="false">
      <c r="A37" s="6" t="s">
        <v>2506</v>
      </c>
      <c r="B37" s="6" t="s">
        <v>90</v>
      </c>
      <c r="C37" s="6" t="s">
        <v>76</v>
      </c>
      <c r="D37" s="6" t="s">
        <v>22</v>
      </c>
      <c r="E37" s="6" t="n">
        <f aca="false">ROUND(15495*1.05,2)</f>
        <v>16269.75</v>
      </c>
      <c r="F37" s="6" t="s">
        <v>52</v>
      </c>
      <c r="G37" s="6" t="s">
        <v>24</v>
      </c>
      <c r="H37" s="6" t="n">
        <f aca="true">ROUND(RAND()*4+6,1)</f>
        <v>7.9</v>
      </c>
      <c r="I37" s="6" t="s">
        <v>25</v>
      </c>
      <c r="J37" s="6" t="str">
        <f aca="false">ROUND(61*1,0)&amp;"%"</f>
        <v>61%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2507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2508</v>
      </c>
      <c r="B42" s="5" t="s">
        <v>94</v>
      </c>
      <c r="C42" s="5" t="s">
        <v>95</v>
      </c>
      <c r="D42" s="5" t="s">
        <v>16</v>
      </c>
      <c r="E42" s="5" t="n">
        <f aca="false">ROUND(9071*1.05,2)</f>
        <v>9524.55</v>
      </c>
      <c r="F42" s="5" t="s">
        <v>17</v>
      </c>
      <c r="G42" s="5" t="s">
        <v>18</v>
      </c>
      <c r="H42" s="5" t="n">
        <f aca="true">ROUND(RAND()*4+6,1)</f>
        <v>9.3</v>
      </c>
      <c r="I42" s="5" t="s">
        <v>19</v>
      </c>
      <c r="J42" s="5" t="str">
        <f aca="false">ROUND(96*1,0)&amp;"%"</f>
        <v>96%</v>
      </c>
    </row>
    <row r="43" customFormat="false" ht="15" hidden="false" customHeight="false" outlineLevel="0" collapsed="false">
      <c r="A43" s="6" t="s">
        <v>2509</v>
      </c>
      <c r="B43" s="6" t="s">
        <v>97</v>
      </c>
      <c r="C43" s="6" t="s">
        <v>95</v>
      </c>
      <c r="D43" s="6" t="s">
        <v>22</v>
      </c>
      <c r="E43" s="6" t="n">
        <f aca="false">ROUND(5401*1.05,2)</f>
        <v>5671.05</v>
      </c>
      <c r="F43" s="6" t="s">
        <v>23</v>
      </c>
      <c r="G43" s="6" t="s">
        <v>24</v>
      </c>
      <c r="H43" s="6" t="n">
        <f aca="true">ROUND(RAND()*4+6,1)</f>
        <v>7.5</v>
      </c>
      <c r="I43" s="6" t="s">
        <v>25</v>
      </c>
      <c r="J43" s="6" t="str">
        <f aca="false">ROUND(64*1,0)&amp;"%"</f>
        <v>64%</v>
      </c>
    </row>
    <row r="44" customFormat="false" ht="15" hidden="false" customHeight="false" outlineLevel="0" collapsed="false">
      <c r="A44" s="5" t="s">
        <v>2510</v>
      </c>
      <c r="B44" s="5" t="s">
        <v>99</v>
      </c>
      <c r="C44" s="5" t="s">
        <v>95</v>
      </c>
      <c r="D44" s="5" t="s">
        <v>28</v>
      </c>
      <c r="E44" s="5" t="n">
        <f aca="false">ROUND(15839*1.05,2)</f>
        <v>16630.95</v>
      </c>
      <c r="F44" s="5" t="s">
        <v>29</v>
      </c>
      <c r="G44" s="5" t="s">
        <v>30</v>
      </c>
      <c r="H44" s="5" t="n">
        <f aca="true">ROUND(RAND()*4+6,1)</f>
        <v>7.7</v>
      </c>
      <c r="I44" s="5" t="s">
        <v>31</v>
      </c>
      <c r="J44" s="5" t="str">
        <f aca="false">ROUND(80*1,0)&amp;"%"</f>
        <v>80%</v>
      </c>
    </row>
    <row r="45" customFormat="false" ht="15" hidden="false" customHeight="false" outlineLevel="0" collapsed="false">
      <c r="A45" s="6" t="s">
        <v>2511</v>
      </c>
      <c r="B45" s="6" t="s">
        <v>101</v>
      </c>
      <c r="C45" s="6" t="s">
        <v>95</v>
      </c>
      <c r="D45" s="6" t="s">
        <v>34</v>
      </c>
      <c r="E45" s="6" t="n">
        <f aca="false">ROUND(16785*1.05,2)</f>
        <v>17624.25</v>
      </c>
      <c r="F45" s="6" t="s">
        <v>35</v>
      </c>
      <c r="G45" s="6" t="s">
        <v>18</v>
      </c>
      <c r="H45" s="6" t="n">
        <f aca="true">ROUND(RAND()*4+6,1)</f>
        <v>8.5</v>
      </c>
      <c r="I45" s="6" t="s">
        <v>36</v>
      </c>
      <c r="J45" s="6" t="str">
        <f aca="false">ROUND(87*1,0)&amp;"%"</f>
        <v>87%</v>
      </c>
    </row>
    <row r="46" customFormat="false" ht="15" hidden="false" customHeight="false" outlineLevel="0" collapsed="false">
      <c r="A46" s="5" t="s">
        <v>2512</v>
      </c>
      <c r="B46" s="5" t="s">
        <v>103</v>
      </c>
      <c r="C46" s="5" t="s">
        <v>95</v>
      </c>
      <c r="D46" s="5" t="s">
        <v>39</v>
      </c>
      <c r="E46" s="5" t="n">
        <f aca="false">ROUND(17595*1.05,2)</f>
        <v>18474.75</v>
      </c>
      <c r="F46" s="5" t="s">
        <v>40</v>
      </c>
      <c r="G46" s="5" t="s">
        <v>24</v>
      </c>
      <c r="H46" s="5" t="n">
        <f aca="true">ROUND(RAND()*4+6,1)</f>
        <v>9.2</v>
      </c>
      <c r="I46" s="5" t="s">
        <v>41</v>
      </c>
      <c r="J46" s="5" t="str">
        <f aca="false">ROUND(72*1,0)&amp;"%"</f>
        <v>72%</v>
      </c>
    </row>
    <row r="47" customFormat="false" ht="15" hidden="false" customHeight="false" outlineLevel="0" collapsed="false">
      <c r="A47" s="6" t="s">
        <v>2513</v>
      </c>
      <c r="B47" s="6" t="s">
        <v>105</v>
      </c>
      <c r="C47" s="6" t="s">
        <v>95</v>
      </c>
      <c r="D47" s="6" t="s">
        <v>44</v>
      </c>
      <c r="E47" s="6" t="n">
        <f aca="false">ROUND(11987*1.05,2)</f>
        <v>12586.35</v>
      </c>
      <c r="F47" s="6" t="s">
        <v>45</v>
      </c>
      <c r="G47" s="6" t="s">
        <v>30</v>
      </c>
      <c r="H47" s="6" t="n">
        <f aca="true">ROUND(RAND()*4+6,1)</f>
        <v>7.4</v>
      </c>
      <c r="I47" s="6" t="s">
        <v>46</v>
      </c>
      <c r="J47" s="6" t="str">
        <f aca="false">ROUND(89*1,0)&amp;"%"</f>
        <v>89%</v>
      </c>
    </row>
    <row r="48" customFormat="false" ht="15" hidden="false" customHeight="false" outlineLevel="0" collapsed="false">
      <c r="A48" s="5" t="s">
        <v>2514</v>
      </c>
      <c r="B48" s="5" t="s">
        <v>107</v>
      </c>
      <c r="C48" s="5" t="s">
        <v>95</v>
      </c>
      <c r="D48" s="5" t="s">
        <v>16</v>
      </c>
      <c r="E48" s="5" t="n">
        <f aca="false">ROUND(7019*1.05,2)</f>
        <v>7369.95</v>
      </c>
      <c r="F48" s="5" t="s">
        <v>49</v>
      </c>
      <c r="G48" s="5" t="s">
        <v>18</v>
      </c>
      <c r="H48" s="5" t="n">
        <f aca="true">ROUND(RAND()*4+6,1)</f>
        <v>8.7</v>
      </c>
      <c r="I48" s="5" t="s">
        <v>19</v>
      </c>
      <c r="J48" s="5" t="str">
        <f aca="false">ROUND(96*1,0)&amp;"%"</f>
        <v>96%</v>
      </c>
    </row>
    <row r="49" customFormat="false" ht="15" hidden="false" customHeight="false" outlineLevel="0" collapsed="false">
      <c r="A49" s="6" t="s">
        <v>2515</v>
      </c>
      <c r="B49" s="6" t="s">
        <v>109</v>
      </c>
      <c r="C49" s="6" t="s">
        <v>95</v>
      </c>
      <c r="D49" s="6" t="s">
        <v>22</v>
      </c>
      <c r="E49" s="6" t="n">
        <f aca="false">ROUND(6191*1.05,2)</f>
        <v>6500.55</v>
      </c>
      <c r="F49" s="6" t="s">
        <v>52</v>
      </c>
      <c r="G49" s="6" t="s">
        <v>24</v>
      </c>
      <c r="H49" s="6" t="n">
        <f aca="true">ROUND(RAND()*4+6,1)</f>
        <v>6.1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2516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2517</v>
      </c>
      <c r="B54" s="5" t="s">
        <v>113</v>
      </c>
      <c r="C54" s="5" t="s">
        <v>114</v>
      </c>
      <c r="D54" s="5" t="s">
        <v>16</v>
      </c>
      <c r="E54" s="5" t="n">
        <f aca="false">ROUND(6433*1.05,2)</f>
        <v>6754.65</v>
      </c>
      <c r="F54" s="5" t="s">
        <v>17</v>
      </c>
      <c r="G54" s="5" t="s">
        <v>18</v>
      </c>
      <c r="H54" s="5" t="n">
        <f aca="true">ROUND(RAND()*4+6,1)</f>
        <v>6.5</v>
      </c>
      <c r="I54" s="5" t="s">
        <v>19</v>
      </c>
      <c r="J54" s="5" t="str">
        <f aca="false">ROUND(82*1,0)&amp;"%"</f>
        <v>82%</v>
      </c>
    </row>
    <row r="55" customFormat="false" ht="15" hidden="false" customHeight="false" outlineLevel="0" collapsed="false">
      <c r="A55" s="6" t="s">
        <v>2518</v>
      </c>
      <c r="B55" s="6" t="s">
        <v>116</v>
      </c>
      <c r="C55" s="6" t="s">
        <v>114</v>
      </c>
      <c r="D55" s="6" t="s">
        <v>22</v>
      </c>
      <c r="E55" s="6" t="n">
        <f aca="false">ROUND(12206*1.05,2)</f>
        <v>12816.3</v>
      </c>
      <c r="F55" s="6" t="s">
        <v>23</v>
      </c>
      <c r="G55" s="6" t="s">
        <v>24</v>
      </c>
      <c r="H55" s="6" t="n">
        <f aca="true">ROUND(RAND()*4+6,1)</f>
        <v>9.6</v>
      </c>
      <c r="I55" s="6" t="s">
        <v>25</v>
      </c>
      <c r="J55" s="6" t="str">
        <f aca="false">ROUND(65*1,0)&amp;"%"</f>
        <v>65%</v>
      </c>
    </row>
    <row r="56" customFormat="false" ht="15" hidden="false" customHeight="false" outlineLevel="0" collapsed="false">
      <c r="A56" s="5" t="s">
        <v>2519</v>
      </c>
      <c r="B56" s="5" t="s">
        <v>118</v>
      </c>
      <c r="C56" s="5" t="s">
        <v>114</v>
      </c>
      <c r="D56" s="5" t="s">
        <v>28</v>
      </c>
      <c r="E56" s="5" t="n">
        <f aca="false">ROUND(5499*1.05,2)</f>
        <v>5773.95</v>
      </c>
      <c r="F56" s="5" t="s">
        <v>29</v>
      </c>
      <c r="G56" s="5" t="s">
        <v>30</v>
      </c>
      <c r="H56" s="5" t="n">
        <f aca="true">ROUND(RAND()*4+6,1)</f>
        <v>9.8</v>
      </c>
      <c r="I56" s="5" t="s">
        <v>31</v>
      </c>
      <c r="J56" s="5" t="str">
        <f aca="false">ROUND(92*1,0)&amp;"%"</f>
        <v>92%</v>
      </c>
    </row>
    <row r="57" customFormat="false" ht="15" hidden="false" customHeight="false" outlineLevel="0" collapsed="false">
      <c r="A57" s="6" t="s">
        <v>2520</v>
      </c>
      <c r="B57" s="6" t="s">
        <v>120</v>
      </c>
      <c r="C57" s="6" t="s">
        <v>114</v>
      </c>
      <c r="D57" s="6" t="s">
        <v>34</v>
      </c>
      <c r="E57" s="6" t="n">
        <f aca="false">ROUND(14281*1.05,2)</f>
        <v>14995.05</v>
      </c>
      <c r="F57" s="6" t="s">
        <v>35</v>
      </c>
      <c r="G57" s="6" t="s">
        <v>18</v>
      </c>
      <c r="H57" s="6" t="n">
        <f aca="true">ROUND(RAND()*4+6,1)</f>
        <v>6.6</v>
      </c>
      <c r="I57" s="6" t="s">
        <v>36</v>
      </c>
      <c r="J57" s="6" t="str">
        <f aca="false">ROUND(62*1,0)&amp;"%"</f>
        <v>62%</v>
      </c>
    </row>
    <row r="58" customFormat="false" ht="15" hidden="false" customHeight="false" outlineLevel="0" collapsed="false">
      <c r="A58" s="5" t="s">
        <v>2521</v>
      </c>
      <c r="B58" s="5" t="s">
        <v>122</v>
      </c>
      <c r="C58" s="5" t="s">
        <v>114</v>
      </c>
      <c r="D58" s="5" t="s">
        <v>39</v>
      </c>
      <c r="E58" s="5" t="n">
        <f aca="false">ROUND(4795*1.05,2)</f>
        <v>5034.75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ROUND(90*1,0)&amp;"%"</f>
        <v>90%</v>
      </c>
    </row>
    <row r="59" customFormat="false" ht="15" hidden="false" customHeight="false" outlineLevel="0" collapsed="false">
      <c r="A59" s="6" t="s">
        <v>2522</v>
      </c>
      <c r="B59" s="6" t="s">
        <v>124</v>
      </c>
      <c r="C59" s="6" t="s">
        <v>114</v>
      </c>
      <c r="D59" s="6" t="s">
        <v>44</v>
      </c>
      <c r="E59" s="6" t="n">
        <f aca="false">ROUND(15645*1.05,2)</f>
        <v>16427.25</v>
      </c>
      <c r="F59" s="6" t="s">
        <v>45</v>
      </c>
      <c r="G59" s="6" t="s">
        <v>30</v>
      </c>
      <c r="H59" s="6" t="n">
        <f aca="true">ROUND(RAND()*4+6,1)</f>
        <v>9.8</v>
      </c>
      <c r="I59" s="6" t="s">
        <v>46</v>
      </c>
      <c r="J59" s="6" t="str">
        <f aca="false">ROUND(84*1,0)&amp;"%"</f>
        <v>84%</v>
      </c>
    </row>
    <row r="60" customFormat="false" ht="15" hidden="false" customHeight="false" outlineLevel="0" collapsed="false">
      <c r="A60" s="5" t="s">
        <v>2523</v>
      </c>
      <c r="B60" s="5" t="s">
        <v>126</v>
      </c>
      <c r="C60" s="5" t="s">
        <v>114</v>
      </c>
      <c r="D60" s="5" t="s">
        <v>16</v>
      </c>
      <c r="E60" s="5" t="n">
        <f aca="false">ROUND(16603*1.05,2)</f>
        <v>17433.15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2524</v>
      </c>
      <c r="B61" s="6" t="s">
        <v>128</v>
      </c>
      <c r="C61" s="6" t="s">
        <v>114</v>
      </c>
      <c r="D61" s="6" t="s">
        <v>22</v>
      </c>
      <c r="E61" s="6" t="n">
        <f aca="false">ROUND(15281*1.05,2)</f>
        <v>16045.05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ROUND(76*1,0)&amp;"%"</f>
        <v>76%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2525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2526</v>
      </c>
      <c r="B66" s="5" t="s">
        <v>132</v>
      </c>
      <c r="C66" s="5" t="s">
        <v>133</v>
      </c>
      <c r="D66" s="5" t="s">
        <v>16</v>
      </c>
      <c r="E66" s="5" t="n">
        <f aca="false">ROUND(6154*1.05,2)</f>
        <v>6461.7</v>
      </c>
      <c r="F66" s="5" t="s">
        <v>17</v>
      </c>
      <c r="G66" s="5" t="s">
        <v>18</v>
      </c>
      <c r="H66" s="5" t="n">
        <f aca="true">ROUND(RAND()*4+6,1)</f>
        <v>8.9</v>
      </c>
      <c r="I66" s="5" t="s">
        <v>19</v>
      </c>
      <c r="J66" s="5" t="str">
        <f aca="false">ROUND(88*1,0)&amp;"%"</f>
        <v>88%</v>
      </c>
    </row>
    <row r="67" customFormat="false" ht="15" hidden="false" customHeight="false" outlineLevel="0" collapsed="false">
      <c r="A67" s="6" t="s">
        <v>2527</v>
      </c>
      <c r="B67" s="6" t="s">
        <v>135</v>
      </c>
      <c r="C67" s="6" t="s">
        <v>133</v>
      </c>
      <c r="D67" s="6" t="s">
        <v>22</v>
      </c>
      <c r="E67" s="6" t="n">
        <f aca="false">ROUND(13516*1.05,2)</f>
        <v>14191.8</v>
      </c>
      <c r="F67" s="6" t="s">
        <v>23</v>
      </c>
      <c r="G67" s="6" t="s">
        <v>24</v>
      </c>
      <c r="H67" s="6" t="n">
        <f aca="true">ROUND(RAND()*4+6,1)</f>
        <v>9.3</v>
      </c>
      <c r="I67" s="6" t="s">
        <v>25</v>
      </c>
      <c r="J67" s="6" t="str">
        <f aca="false">ROUND(74*1,0)&amp;"%"</f>
        <v>74%</v>
      </c>
    </row>
    <row r="68" customFormat="false" ht="15" hidden="false" customHeight="false" outlineLevel="0" collapsed="false">
      <c r="A68" s="5" t="s">
        <v>2528</v>
      </c>
      <c r="B68" s="5" t="s">
        <v>137</v>
      </c>
      <c r="C68" s="5" t="s">
        <v>133</v>
      </c>
      <c r="D68" s="5" t="s">
        <v>28</v>
      </c>
      <c r="E68" s="5" t="n">
        <f aca="false">ROUND(10636*1.05,2)</f>
        <v>11167.8</v>
      </c>
      <c r="F68" s="5" t="s">
        <v>29</v>
      </c>
      <c r="G68" s="5" t="s">
        <v>30</v>
      </c>
      <c r="H68" s="5" t="n">
        <f aca="true">ROUND(RAND()*4+6,1)</f>
        <v>6</v>
      </c>
      <c r="I68" s="5" t="s">
        <v>31</v>
      </c>
      <c r="J68" s="5" t="str">
        <f aca="false">ROUND(62*1,0)&amp;"%"</f>
        <v>62%</v>
      </c>
    </row>
    <row r="69" customFormat="false" ht="15" hidden="false" customHeight="false" outlineLevel="0" collapsed="false">
      <c r="A69" s="6" t="s">
        <v>2529</v>
      </c>
      <c r="B69" s="6" t="s">
        <v>139</v>
      </c>
      <c r="C69" s="6" t="s">
        <v>133</v>
      </c>
      <c r="D69" s="6" t="s">
        <v>34</v>
      </c>
      <c r="E69" s="6" t="n">
        <f aca="false">ROUND(6324*1.05,2)</f>
        <v>6640.2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ROUND(89*1,0)&amp;"%"</f>
        <v>89%</v>
      </c>
    </row>
    <row r="70" customFormat="false" ht="15" hidden="false" customHeight="false" outlineLevel="0" collapsed="false">
      <c r="A70" s="5" t="s">
        <v>2530</v>
      </c>
      <c r="B70" s="5" t="s">
        <v>141</v>
      </c>
      <c r="C70" s="5" t="s">
        <v>133</v>
      </c>
      <c r="D70" s="5" t="s">
        <v>39</v>
      </c>
      <c r="E70" s="5" t="n">
        <f aca="false">ROUND(14833*1.05,2)</f>
        <v>15574.65</v>
      </c>
      <c r="F70" s="5" t="s">
        <v>40</v>
      </c>
      <c r="G70" s="5" t="s">
        <v>24</v>
      </c>
      <c r="H70" s="5" t="n">
        <f aca="true">ROUND(RAND()*4+6,1)</f>
        <v>6.3</v>
      </c>
      <c r="I70" s="5" t="s">
        <v>41</v>
      </c>
      <c r="J70" s="5" t="str">
        <f aca="false">ROUND(85*1,0)&amp;"%"</f>
        <v>85%</v>
      </c>
    </row>
    <row r="71" customFormat="false" ht="15" hidden="false" customHeight="false" outlineLevel="0" collapsed="false">
      <c r="A71" s="6" t="s">
        <v>2531</v>
      </c>
      <c r="B71" s="6" t="s">
        <v>143</v>
      </c>
      <c r="C71" s="6" t="s">
        <v>133</v>
      </c>
      <c r="D71" s="6" t="s">
        <v>44</v>
      </c>
      <c r="E71" s="6" t="n">
        <f aca="false">ROUND(12549*1.05,2)</f>
        <v>13176.45</v>
      </c>
      <c r="F71" s="6" t="s">
        <v>45</v>
      </c>
      <c r="G71" s="6" t="s">
        <v>30</v>
      </c>
      <c r="H71" s="6" t="n">
        <f aca="true">ROUND(RAND()*4+6,1)</f>
        <v>9.4</v>
      </c>
      <c r="I71" s="6" t="s">
        <v>46</v>
      </c>
      <c r="J71" s="6" t="str">
        <f aca="false">ROUND(69*1,0)&amp;"%"</f>
        <v>69%</v>
      </c>
    </row>
    <row r="72" customFormat="false" ht="15" hidden="false" customHeight="false" outlineLevel="0" collapsed="false">
      <c r="A72" s="5" t="s">
        <v>2532</v>
      </c>
      <c r="B72" s="5" t="s">
        <v>145</v>
      </c>
      <c r="C72" s="5" t="s">
        <v>133</v>
      </c>
      <c r="D72" s="5" t="s">
        <v>16</v>
      </c>
      <c r="E72" s="5" t="n">
        <f aca="false">ROUND(4350*1.05,2)</f>
        <v>4567.5</v>
      </c>
      <c r="F72" s="5" t="s">
        <v>49</v>
      </c>
      <c r="G72" s="5" t="s">
        <v>18</v>
      </c>
      <c r="H72" s="5" t="n">
        <f aca="true">ROUND(RAND()*4+6,1)</f>
        <v>9.7</v>
      </c>
      <c r="I72" s="5" t="s">
        <v>19</v>
      </c>
      <c r="J72" s="5" t="str">
        <f aca="false">ROUND(78*1,0)&amp;"%"</f>
        <v>78%</v>
      </c>
    </row>
    <row r="73" customFormat="false" ht="15" hidden="false" customHeight="false" outlineLevel="0" collapsed="false">
      <c r="A73" s="6" t="s">
        <v>2533</v>
      </c>
      <c r="B73" s="6" t="s">
        <v>147</v>
      </c>
      <c r="C73" s="6" t="s">
        <v>133</v>
      </c>
      <c r="D73" s="6" t="s">
        <v>22</v>
      </c>
      <c r="E73" s="6" t="n">
        <f aca="false">ROUND(4485*1.05,2)</f>
        <v>4709.25</v>
      </c>
      <c r="F73" s="6" t="s">
        <v>52</v>
      </c>
      <c r="G73" s="6" t="s">
        <v>24</v>
      </c>
      <c r="H73" s="6" t="n">
        <f aca="true">ROUND(RAND()*4+6,1)</f>
        <v>7.2</v>
      </c>
      <c r="I73" s="6" t="s">
        <v>25</v>
      </c>
      <c r="J73" s="6" t="str">
        <f aca="false">ROUND(92*1,0)&amp;"%"</f>
        <v>92%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2534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2535</v>
      </c>
      <c r="B78" s="5" t="s">
        <v>151</v>
      </c>
      <c r="C78" s="5" t="s">
        <v>152</v>
      </c>
      <c r="D78" s="5" t="s">
        <v>16</v>
      </c>
      <c r="E78" s="5" t="n">
        <f aca="false">ROUND(11294*1.05,2)</f>
        <v>11858.7</v>
      </c>
      <c r="F78" s="5" t="s">
        <v>17</v>
      </c>
      <c r="G78" s="5" t="s">
        <v>18</v>
      </c>
      <c r="H78" s="5" t="n">
        <f aca="true">ROUND(RAND()*4+6,1)</f>
        <v>6.9</v>
      </c>
      <c r="I78" s="5" t="s">
        <v>19</v>
      </c>
      <c r="J78" s="5" t="str">
        <f aca="false">ROUND(87*1,0)&amp;"%"</f>
        <v>87%</v>
      </c>
    </row>
    <row r="79" customFormat="false" ht="15" hidden="false" customHeight="false" outlineLevel="0" collapsed="false">
      <c r="A79" s="6" t="s">
        <v>2536</v>
      </c>
      <c r="B79" s="6" t="s">
        <v>154</v>
      </c>
      <c r="C79" s="6" t="s">
        <v>152</v>
      </c>
      <c r="D79" s="6" t="s">
        <v>22</v>
      </c>
      <c r="E79" s="6" t="n">
        <f aca="false">ROUND(14157*1.05,2)</f>
        <v>14864.85</v>
      </c>
      <c r="F79" s="6" t="s">
        <v>23</v>
      </c>
      <c r="G79" s="6" t="s">
        <v>24</v>
      </c>
      <c r="H79" s="6" t="n">
        <f aca="true">ROUND(RAND()*4+6,1)</f>
        <v>6.9</v>
      </c>
      <c r="I79" s="6" t="s">
        <v>25</v>
      </c>
      <c r="J79" s="6" t="str">
        <f aca="false">ROUND(69*1,0)&amp;"%"</f>
        <v>69%</v>
      </c>
    </row>
    <row r="80" customFormat="false" ht="15" hidden="false" customHeight="false" outlineLevel="0" collapsed="false">
      <c r="A80" s="5" t="s">
        <v>2537</v>
      </c>
      <c r="B80" s="5" t="s">
        <v>156</v>
      </c>
      <c r="C80" s="5" t="s">
        <v>152</v>
      </c>
      <c r="D80" s="5" t="s">
        <v>28</v>
      </c>
      <c r="E80" s="5" t="n">
        <f aca="false">ROUND(16011*1.05,2)</f>
        <v>16811.55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ROUND(76*1,0)&amp;"%"</f>
        <v>76%</v>
      </c>
    </row>
    <row r="81" customFormat="false" ht="15" hidden="false" customHeight="false" outlineLevel="0" collapsed="false">
      <c r="A81" s="6" t="s">
        <v>2538</v>
      </c>
      <c r="B81" s="6" t="s">
        <v>158</v>
      </c>
      <c r="C81" s="6" t="s">
        <v>152</v>
      </c>
      <c r="D81" s="6" t="s">
        <v>34</v>
      </c>
      <c r="E81" s="6" t="n">
        <f aca="false">ROUND(14927*1.05,2)</f>
        <v>15673.35</v>
      </c>
      <c r="F81" s="6" t="s">
        <v>35</v>
      </c>
      <c r="G81" s="6" t="s">
        <v>18</v>
      </c>
      <c r="H81" s="6" t="n">
        <f aca="true">ROUND(RAND()*4+6,1)</f>
        <v>8.8</v>
      </c>
      <c r="I81" s="6" t="s">
        <v>36</v>
      </c>
      <c r="J81" s="6" t="str">
        <f aca="false">ROUND(74*1,0)&amp;"%"</f>
        <v>74%</v>
      </c>
    </row>
    <row r="82" customFormat="false" ht="15" hidden="false" customHeight="false" outlineLevel="0" collapsed="false">
      <c r="A82" s="5" t="s">
        <v>2539</v>
      </c>
      <c r="B82" s="5" t="s">
        <v>160</v>
      </c>
      <c r="C82" s="5" t="s">
        <v>152</v>
      </c>
      <c r="D82" s="5" t="s">
        <v>39</v>
      </c>
      <c r="E82" s="5" t="n">
        <f aca="false">ROUND(9887*1.05,2)</f>
        <v>10381.35</v>
      </c>
      <c r="F82" s="5" t="s">
        <v>40</v>
      </c>
      <c r="G82" s="5" t="s">
        <v>24</v>
      </c>
      <c r="H82" s="5" t="n">
        <f aca="true">ROUND(RAND()*4+6,1)</f>
        <v>8.4</v>
      </c>
      <c r="I82" s="5" t="s">
        <v>41</v>
      </c>
      <c r="J82" s="5" t="str">
        <f aca="false">ROUND(86*1,0)&amp;"%"</f>
        <v>86%</v>
      </c>
    </row>
    <row r="83" customFormat="false" ht="15" hidden="false" customHeight="false" outlineLevel="0" collapsed="false">
      <c r="A83" s="6" t="s">
        <v>2540</v>
      </c>
      <c r="B83" s="6" t="s">
        <v>162</v>
      </c>
      <c r="C83" s="6" t="s">
        <v>152</v>
      </c>
      <c r="D83" s="6" t="s">
        <v>44</v>
      </c>
      <c r="E83" s="6" t="n">
        <f aca="false">ROUND(9938*1.05,2)</f>
        <v>10434.9</v>
      </c>
      <c r="F83" s="6" t="s">
        <v>45</v>
      </c>
      <c r="G83" s="6" t="s">
        <v>30</v>
      </c>
      <c r="H83" s="6" t="n">
        <f aca="true">ROUND(RAND()*4+6,1)</f>
        <v>9.1</v>
      </c>
      <c r="I83" s="6" t="s">
        <v>46</v>
      </c>
      <c r="J83" s="6" t="str">
        <f aca="false">ROUND(76*1,0)&amp;"%"</f>
        <v>76%</v>
      </c>
    </row>
    <row r="84" customFormat="false" ht="15" hidden="false" customHeight="false" outlineLevel="0" collapsed="false">
      <c r="A84" s="5" t="s">
        <v>2541</v>
      </c>
      <c r="B84" s="5" t="s">
        <v>164</v>
      </c>
      <c r="C84" s="5" t="s">
        <v>152</v>
      </c>
      <c r="D84" s="5" t="s">
        <v>16</v>
      </c>
      <c r="E84" s="5" t="n">
        <f aca="false">ROUND(15444*1.05,2)</f>
        <v>16216.2</v>
      </c>
      <c r="F84" s="5" t="s">
        <v>49</v>
      </c>
      <c r="G84" s="5" t="s">
        <v>18</v>
      </c>
      <c r="H84" s="5" t="n">
        <f aca="true">ROUND(RAND()*4+6,1)</f>
        <v>8.8</v>
      </c>
      <c r="I84" s="5" t="s">
        <v>19</v>
      </c>
      <c r="J84" s="5" t="str">
        <f aca="false">ROUND(67*1,0)&amp;"%"</f>
        <v>67%</v>
      </c>
    </row>
    <row r="85" customFormat="false" ht="15" hidden="false" customHeight="false" outlineLevel="0" collapsed="false">
      <c r="A85" s="6" t="s">
        <v>2542</v>
      </c>
      <c r="B85" s="6" t="s">
        <v>166</v>
      </c>
      <c r="C85" s="6" t="s">
        <v>152</v>
      </c>
      <c r="D85" s="6" t="s">
        <v>22</v>
      </c>
      <c r="E85" s="6" t="n">
        <f aca="false">ROUND(10124*1.05,2)</f>
        <v>10630.2</v>
      </c>
      <c r="F85" s="6" t="s">
        <v>52</v>
      </c>
      <c r="G85" s="6" t="s">
        <v>24</v>
      </c>
      <c r="H85" s="6" t="n">
        <f aca="true">ROUND(RAND()*4+6,1)</f>
        <v>7.4</v>
      </c>
      <c r="I85" s="6" t="s">
        <v>25</v>
      </c>
      <c r="J85" s="6" t="str">
        <f aca="false">ROUND(94*1,0)&amp;"%"</f>
        <v>94%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2543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2544</v>
      </c>
      <c r="B90" s="5" t="s">
        <v>170</v>
      </c>
      <c r="C90" s="5" t="s">
        <v>15</v>
      </c>
      <c r="D90" s="5" t="s">
        <v>16</v>
      </c>
      <c r="E90" s="5" t="n">
        <f aca="false">ROUND(16408*1.05,2)</f>
        <v>17228.4</v>
      </c>
      <c r="F90" s="5" t="s">
        <v>17</v>
      </c>
      <c r="G90" s="5" t="s">
        <v>18</v>
      </c>
      <c r="H90" s="5" t="n">
        <f aca="true">ROUND(RAND()*4+6,1)</f>
        <v>9.7</v>
      </c>
      <c r="I90" s="5" t="s">
        <v>19</v>
      </c>
      <c r="J90" s="5" t="str">
        <f aca="false">ROUND(77*1,0)&amp;"%"</f>
        <v>77%</v>
      </c>
    </row>
    <row r="91" customFormat="false" ht="15" hidden="false" customHeight="false" outlineLevel="0" collapsed="false">
      <c r="A91" s="6" t="s">
        <v>2545</v>
      </c>
      <c r="B91" s="6" t="s">
        <v>172</v>
      </c>
      <c r="C91" s="6" t="s">
        <v>15</v>
      </c>
      <c r="D91" s="6" t="s">
        <v>22</v>
      </c>
      <c r="E91" s="6" t="n">
        <f aca="false">ROUND(15798*1.05,2)</f>
        <v>16587.9</v>
      </c>
      <c r="F91" s="6" t="s">
        <v>23</v>
      </c>
      <c r="G91" s="6" t="s">
        <v>24</v>
      </c>
      <c r="H91" s="6" t="n">
        <f aca="true">ROUND(RAND()*4+6,1)</f>
        <v>9.8</v>
      </c>
      <c r="I91" s="6" t="s">
        <v>25</v>
      </c>
      <c r="J91" s="6" t="str">
        <f aca="false">ROUND(62*1,0)&amp;"%"</f>
        <v>62%</v>
      </c>
    </row>
    <row r="92" customFormat="false" ht="15" hidden="false" customHeight="false" outlineLevel="0" collapsed="false">
      <c r="A92" s="5" t="s">
        <v>2546</v>
      </c>
      <c r="B92" s="5" t="s">
        <v>174</v>
      </c>
      <c r="C92" s="5" t="s">
        <v>15</v>
      </c>
      <c r="D92" s="5" t="s">
        <v>28</v>
      </c>
      <c r="E92" s="5" t="n">
        <f aca="false">ROUND(15241*1.05,2)</f>
        <v>16003.05</v>
      </c>
      <c r="F92" s="5" t="s">
        <v>29</v>
      </c>
      <c r="G92" s="5" t="s">
        <v>30</v>
      </c>
      <c r="H92" s="5" t="n">
        <f aca="true">ROUND(RAND()*4+6,1)</f>
        <v>9.6</v>
      </c>
      <c r="I92" s="5" t="s">
        <v>31</v>
      </c>
      <c r="J92" s="5" t="str">
        <f aca="false">ROUND(73*1,0)&amp;"%"</f>
        <v>73%</v>
      </c>
    </row>
    <row r="93" customFormat="false" ht="15" hidden="false" customHeight="false" outlineLevel="0" collapsed="false">
      <c r="A93" s="6" t="s">
        <v>2547</v>
      </c>
      <c r="B93" s="6" t="s">
        <v>176</v>
      </c>
      <c r="C93" s="6" t="s">
        <v>15</v>
      </c>
      <c r="D93" s="6" t="s">
        <v>34</v>
      </c>
      <c r="E93" s="6" t="n">
        <f aca="false">ROUND(6458*1.05,2)</f>
        <v>6780.9</v>
      </c>
      <c r="F93" s="6" t="s">
        <v>35</v>
      </c>
      <c r="G93" s="6" t="s">
        <v>18</v>
      </c>
      <c r="H93" s="6" t="n">
        <f aca="true">ROUND(RAND()*4+6,1)</f>
        <v>8</v>
      </c>
      <c r="I93" s="6" t="s">
        <v>36</v>
      </c>
      <c r="J93" s="6" t="str">
        <f aca="false">ROUND(82*1,0)&amp;"%"</f>
        <v>82%</v>
      </c>
    </row>
    <row r="94" customFormat="false" ht="15" hidden="false" customHeight="false" outlineLevel="0" collapsed="false">
      <c r="A94" s="5" t="s">
        <v>2548</v>
      </c>
      <c r="B94" s="5" t="s">
        <v>178</v>
      </c>
      <c r="C94" s="5" t="s">
        <v>15</v>
      </c>
      <c r="D94" s="5" t="s">
        <v>39</v>
      </c>
      <c r="E94" s="5" t="n">
        <f aca="false">ROUND(7582*1.05,2)</f>
        <v>7961.1</v>
      </c>
      <c r="F94" s="5" t="s">
        <v>40</v>
      </c>
      <c r="G94" s="5" t="s">
        <v>24</v>
      </c>
      <c r="H94" s="5" t="n">
        <f aca="true">ROUND(RAND()*4+6,1)</f>
        <v>8.7</v>
      </c>
      <c r="I94" s="5" t="s">
        <v>41</v>
      </c>
      <c r="J94" s="5" t="str">
        <f aca="false">ROUND(85*1,0)&amp;"%"</f>
        <v>85%</v>
      </c>
    </row>
    <row r="95" customFormat="false" ht="15" hidden="false" customHeight="false" outlineLevel="0" collapsed="false">
      <c r="A95" s="6" t="s">
        <v>2549</v>
      </c>
      <c r="B95" s="6" t="s">
        <v>180</v>
      </c>
      <c r="C95" s="6" t="s">
        <v>15</v>
      </c>
      <c r="D95" s="6" t="s">
        <v>44</v>
      </c>
      <c r="E95" s="6" t="n">
        <f aca="false">ROUND(12767*1.05,2)</f>
        <v>13405.35</v>
      </c>
      <c r="F95" s="6" t="s">
        <v>45</v>
      </c>
      <c r="G95" s="6" t="s">
        <v>30</v>
      </c>
      <c r="H95" s="6" t="n">
        <f aca="true">ROUND(RAND()*4+6,1)</f>
        <v>9.9</v>
      </c>
      <c r="I95" s="6" t="s">
        <v>46</v>
      </c>
      <c r="J95" s="6" t="str">
        <f aca="false">ROUND(62*1,0)&amp;"%"</f>
        <v>62%</v>
      </c>
    </row>
    <row r="96" customFormat="false" ht="15" hidden="false" customHeight="false" outlineLevel="0" collapsed="false">
      <c r="A96" s="5" t="s">
        <v>2550</v>
      </c>
      <c r="B96" s="5" t="s">
        <v>182</v>
      </c>
      <c r="C96" s="5" t="s">
        <v>15</v>
      </c>
      <c r="D96" s="5" t="s">
        <v>16</v>
      </c>
      <c r="E96" s="5" t="n">
        <f aca="false">ROUND(11206*1.05,2)</f>
        <v>11766.3</v>
      </c>
      <c r="F96" s="5" t="s">
        <v>49</v>
      </c>
      <c r="G96" s="5" t="s">
        <v>18</v>
      </c>
      <c r="H96" s="5" t="n">
        <f aca="true">ROUND(RAND()*4+6,1)</f>
        <v>9.9</v>
      </c>
      <c r="I96" s="5" t="s">
        <v>19</v>
      </c>
      <c r="J96" s="5" t="str">
        <f aca="false">ROUND(66*1,0)&amp;"%"</f>
        <v>66%</v>
      </c>
    </row>
    <row r="97" customFormat="false" ht="15" hidden="false" customHeight="false" outlineLevel="0" collapsed="false">
      <c r="A97" s="6" t="s">
        <v>2551</v>
      </c>
      <c r="B97" s="6" t="s">
        <v>184</v>
      </c>
      <c r="C97" s="6" t="s">
        <v>15</v>
      </c>
      <c r="D97" s="6" t="s">
        <v>22</v>
      </c>
      <c r="E97" s="6" t="n">
        <f aca="false">ROUND(10265*1.05,2)</f>
        <v>10778.25</v>
      </c>
      <c r="F97" s="6" t="s">
        <v>52</v>
      </c>
      <c r="G97" s="6" t="s">
        <v>24</v>
      </c>
      <c r="H97" s="6" t="n">
        <f aca="true">ROUND(RAND()*4+6,1)</f>
        <v>9.5</v>
      </c>
      <c r="I97" s="6" t="s">
        <v>25</v>
      </c>
      <c r="J97" s="6" t="str">
        <f aca="false">ROUND(83*1,0)&amp;"%"</f>
        <v>83%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2552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2553</v>
      </c>
      <c r="B102" s="5" t="s">
        <v>188</v>
      </c>
      <c r="C102" s="5" t="s">
        <v>57</v>
      </c>
      <c r="D102" s="5" t="s">
        <v>16</v>
      </c>
      <c r="E102" s="5" t="n">
        <f aca="false">ROUND(9676*1.05,2)</f>
        <v>10159.8</v>
      </c>
      <c r="F102" s="5" t="s">
        <v>17</v>
      </c>
      <c r="G102" s="5" t="s">
        <v>18</v>
      </c>
      <c r="H102" s="5" t="n">
        <f aca="true">ROUND(RAND()*4+6,1)</f>
        <v>9.5</v>
      </c>
      <c r="I102" s="5" t="s">
        <v>19</v>
      </c>
      <c r="J102" s="5" t="str">
        <f aca="false">ROUND(93*1,0)&amp;"%"</f>
        <v>93%</v>
      </c>
    </row>
    <row r="103" customFormat="false" ht="15" hidden="false" customHeight="false" outlineLevel="0" collapsed="false">
      <c r="A103" s="6" t="s">
        <v>2554</v>
      </c>
      <c r="B103" s="6" t="s">
        <v>190</v>
      </c>
      <c r="C103" s="6" t="s">
        <v>57</v>
      </c>
      <c r="D103" s="6" t="s">
        <v>22</v>
      </c>
      <c r="E103" s="6" t="n">
        <f aca="false">ROUND(10438*1.05,2)</f>
        <v>10959.9</v>
      </c>
      <c r="F103" s="6" t="s">
        <v>23</v>
      </c>
      <c r="G103" s="6" t="s">
        <v>24</v>
      </c>
      <c r="H103" s="6" t="n">
        <f aca="true">ROUND(RAND()*4+6,1)</f>
        <v>6.6</v>
      </c>
      <c r="I103" s="6" t="s">
        <v>25</v>
      </c>
      <c r="J103" s="6" t="str">
        <f aca="false">ROUND(73*1,0)&amp;"%"</f>
        <v>73%</v>
      </c>
    </row>
    <row r="104" customFormat="false" ht="15" hidden="false" customHeight="false" outlineLevel="0" collapsed="false">
      <c r="A104" s="5" t="s">
        <v>2555</v>
      </c>
      <c r="B104" s="5" t="s">
        <v>192</v>
      </c>
      <c r="C104" s="5" t="s">
        <v>57</v>
      </c>
      <c r="D104" s="5" t="s">
        <v>28</v>
      </c>
      <c r="E104" s="5" t="n">
        <f aca="false">ROUND(16751*1.05,2)</f>
        <v>17588.55</v>
      </c>
      <c r="F104" s="5" t="s">
        <v>29</v>
      </c>
      <c r="G104" s="5" t="s">
        <v>30</v>
      </c>
      <c r="H104" s="5" t="n">
        <f aca="true">ROUND(RAND()*4+6,1)</f>
        <v>8.8</v>
      </c>
      <c r="I104" s="5" t="s">
        <v>31</v>
      </c>
      <c r="J104" s="5" t="str">
        <f aca="false">ROUND(75*1,0)&amp;"%"</f>
        <v>75%</v>
      </c>
    </row>
    <row r="105" customFormat="false" ht="15" hidden="false" customHeight="false" outlineLevel="0" collapsed="false">
      <c r="A105" s="6" t="s">
        <v>2556</v>
      </c>
      <c r="B105" s="6" t="s">
        <v>194</v>
      </c>
      <c r="C105" s="6" t="s">
        <v>57</v>
      </c>
      <c r="D105" s="6" t="s">
        <v>34</v>
      </c>
      <c r="E105" s="6" t="n">
        <f aca="false">ROUND(16118*1.05,2)</f>
        <v>16923.9</v>
      </c>
      <c r="F105" s="6" t="s">
        <v>35</v>
      </c>
      <c r="G105" s="6" t="s">
        <v>18</v>
      </c>
      <c r="H105" s="6" t="n">
        <f aca="true">ROUND(RAND()*4+6,1)</f>
        <v>6.7</v>
      </c>
      <c r="I105" s="6" t="s">
        <v>36</v>
      </c>
      <c r="J105" s="6" t="str">
        <f aca="false">ROUND(74*1,0)&amp;"%"</f>
        <v>74%</v>
      </c>
    </row>
    <row r="106" customFormat="false" ht="15" hidden="false" customHeight="false" outlineLevel="0" collapsed="false">
      <c r="A106" s="5" t="s">
        <v>2557</v>
      </c>
      <c r="B106" s="5" t="s">
        <v>196</v>
      </c>
      <c r="C106" s="5" t="s">
        <v>57</v>
      </c>
      <c r="D106" s="5" t="s">
        <v>39</v>
      </c>
      <c r="E106" s="5" t="n">
        <f aca="false">ROUND(15851*1.05,2)</f>
        <v>16643.55</v>
      </c>
      <c r="F106" s="5" t="s">
        <v>40</v>
      </c>
      <c r="G106" s="5" t="s">
        <v>24</v>
      </c>
      <c r="H106" s="5" t="n">
        <f aca="true">ROUND(RAND()*4+6,1)</f>
        <v>10</v>
      </c>
      <c r="I106" s="5" t="s">
        <v>41</v>
      </c>
      <c r="J106" s="5" t="str">
        <f aca="false">ROUND(87*1,0)&amp;"%"</f>
        <v>87%</v>
      </c>
    </row>
    <row r="107" customFormat="false" ht="15" hidden="false" customHeight="false" outlineLevel="0" collapsed="false">
      <c r="A107" s="6" t="s">
        <v>2558</v>
      </c>
      <c r="B107" s="6" t="s">
        <v>198</v>
      </c>
      <c r="C107" s="6" t="s">
        <v>57</v>
      </c>
      <c r="D107" s="6" t="s">
        <v>44</v>
      </c>
      <c r="E107" s="6" t="n">
        <f aca="false">ROUND(4299*1.05,2)</f>
        <v>4513.95</v>
      </c>
      <c r="F107" s="6" t="s">
        <v>45</v>
      </c>
      <c r="G107" s="6" t="s">
        <v>30</v>
      </c>
      <c r="H107" s="6" t="n">
        <f aca="true">ROUND(RAND()*4+6,1)</f>
        <v>8.7</v>
      </c>
      <c r="I107" s="6" t="s">
        <v>46</v>
      </c>
      <c r="J107" s="6" t="str">
        <f aca="false">ROUND(84*1,0)&amp;"%"</f>
        <v>84%</v>
      </c>
    </row>
    <row r="108" customFormat="false" ht="15" hidden="false" customHeight="false" outlineLevel="0" collapsed="false">
      <c r="A108" s="5" t="s">
        <v>2559</v>
      </c>
      <c r="B108" s="5" t="s">
        <v>200</v>
      </c>
      <c r="C108" s="5" t="s">
        <v>57</v>
      </c>
      <c r="D108" s="5" t="s">
        <v>16</v>
      </c>
      <c r="E108" s="5" t="n">
        <f aca="false">ROUND(11680*1.05,2)</f>
        <v>12264</v>
      </c>
      <c r="F108" s="5" t="s">
        <v>49</v>
      </c>
      <c r="G108" s="5" t="s">
        <v>18</v>
      </c>
      <c r="H108" s="5" t="n">
        <f aca="true">ROUND(RAND()*4+6,1)</f>
        <v>8.2</v>
      </c>
      <c r="I108" s="5" t="s">
        <v>19</v>
      </c>
      <c r="J108" s="5" t="str">
        <f aca="false">ROUND(87*1,0)&amp;"%"</f>
        <v>87%</v>
      </c>
    </row>
    <row r="109" customFormat="false" ht="15" hidden="false" customHeight="false" outlineLevel="0" collapsed="false">
      <c r="A109" s="6" t="s">
        <v>2560</v>
      </c>
      <c r="B109" s="6" t="s">
        <v>202</v>
      </c>
      <c r="C109" s="6" t="s">
        <v>57</v>
      </c>
      <c r="D109" s="6" t="s">
        <v>22</v>
      </c>
      <c r="E109" s="6" t="n">
        <f aca="false">ROUND(12559*1.05,2)</f>
        <v>13186.95</v>
      </c>
      <c r="F109" s="6" t="s">
        <v>52</v>
      </c>
      <c r="G109" s="6" t="s">
        <v>24</v>
      </c>
      <c r="H109" s="6" t="n">
        <f aca="true">ROUND(RAND()*4+6,1)</f>
        <v>8.3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2561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2562</v>
      </c>
      <c r="B114" s="5" t="s">
        <v>206</v>
      </c>
      <c r="C114" s="5" t="s">
        <v>76</v>
      </c>
      <c r="D114" s="5" t="s">
        <v>16</v>
      </c>
      <c r="E114" s="5" t="n">
        <f aca="false">ROUND(15187*1.05,2)</f>
        <v>15946.35</v>
      </c>
      <c r="F114" s="5" t="s">
        <v>17</v>
      </c>
      <c r="G114" s="5" t="s">
        <v>18</v>
      </c>
      <c r="H114" s="5" t="n">
        <f aca="true">ROUND(RAND()*4+6,1)</f>
        <v>8</v>
      </c>
      <c r="I114" s="5" t="s">
        <v>19</v>
      </c>
      <c r="J114" s="5" t="str">
        <f aca="false">ROUND(88*1,0)&amp;"%"</f>
        <v>88%</v>
      </c>
    </row>
    <row r="115" customFormat="false" ht="15" hidden="false" customHeight="false" outlineLevel="0" collapsed="false">
      <c r="A115" s="6" t="s">
        <v>2563</v>
      </c>
      <c r="B115" s="6" t="s">
        <v>208</v>
      </c>
      <c r="C115" s="6" t="s">
        <v>76</v>
      </c>
      <c r="D115" s="6" t="s">
        <v>22</v>
      </c>
      <c r="E115" s="6" t="n">
        <f aca="false">ROUND(6044*1.05,2)</f>
        <v>6346.2</v>
      </c>
      <c r="F115" s="6" t="s">
        <v>23</v>
      </c>
      <c r="G115" s="6" t="s">
        <v>24</v>
      </c>
      <c r="H115" s="6" t="n">
        <f aca="true">ROUND(RAND()*4+6,1)</f>
        <v>6.9</v>
      </c>
      <c r="I115" s="6" t="s">
        <v>25</v>
      </c>
      <c r="J115" s="6" t="str">
        <f aca="false">ROUND(84*1,0)&amp;"%"</f>
        <v>84%</v>
      </c>
    </row>
    <row r="116" customFormat="false" ht="15" hidden="false" customHeight="false" outlineLevel="0" collapsed="false">
      <c r="A116" s="5" t="s">
        <v>2564</v>
      </c>
      <c r="B116" s="5" t="s">
        <v>210</v>
      </c>
      <c r="C116" s="5" t="s">
        <v>76</v>
      </c>
      <c r="D116" s="5" t="s">
        <v>28</v>
      </c>
      <c r="E116" s="5" t="n">
        <f aca="false">ROUND(11420*1.05,2)</f>
        <v>11991</v>
      </c>
      <c r="F116" s="5" t="s">
        <v>29</v>
      </c>
      <c r="G116" s="5" t="s">
        <v>30</v>
      </c>
      <c r="H116" s="5" t="n">
        <f aca="true">ROUND(RAND()*4+6,1)</f>
        <v>9.7</v>
      </c>
      <c r="I116" s="5" t="s">
        <v>31</v>
      </c>
      <c r="J116" s="5" t="str">
        <f aca="false">ROUND(68*1,0)&amp;"%"</f>
        <v>68%</v>
      </c>
    </row>
    <row r="117" customFormat="false" ht="15" hidden="false" customHeight="false" outlineLevel="0" collapsed="false">
      <c r="A117" s="6" t="s">
        <v>2565</v>
      </c>
      <c r="B117" s="6" t="s">
        <v>212</v>
      </c>
      <c r="C117" s="6" t="s">
        <v>76</v>
      </c>
      <c r="D117" s="6" t="s">
        <v>34</v>
      </c>
      <c r="E117" s="6" t="n">
        <f aca="false">ROUND(6176*1.05,2)</f>
        <v>6484.8</v>
      </c>
      <c r="F117" s="6" t="s">
        <v>35</v>
      </c>
      <c r="G117" s="6" t="s">
        <v>18</v>
      </c>
      <c r="H117" s="6" t="n">
        <f aca="true">ROUND(RAND()*4+6,1)</f>
        <v>7.6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2566</v>
      </c>
      <c r="B118" s="5" t="s">
        <v>214</v>
      </c>
      <c r="C118" s="5" t="s">
        <v>76</v>
      </c>
      <c r="D118" s="5" t="s">
        <v>39</v>
      </c>
      <c r="E118" s="5" t="n">
        <f aca="false">ROUND(12515*1.05,2)</f>
        <v>13140.75</v>
      </c>
      <c r="F118" s="5" t="s">
        <v>40</v>
      </c>
      <c r="G118" s="5" t="s">
        <v>24</v>
      </c>
      <c r="H118" s="5" t="n">
        <f aca="true">ROUND(RAND()*4+6,1)</f>
        <v>6.9</v>
      </c>
      <c r="I118" s="5" t="s">
        <v>41</v>
      </c>
      <c r="J118" s="5" t="str">
        <f aca="false">ROUND(87*1,0)&amp;"%"</f>
        <v>87%</v>
      </c>
    </row>
    <row r="119" customFormat="false" ht="15" hidden="false" customHeight="false" outlineLevel="0" collapsed="false">
      <c r="A119" s="6" t="s">
        <v>2567</v>
      </c>
      <c r="B119" s="6" t="s">
        <v>216</v>
      </c>
      <c r="C119" s="6" t="s">
        <v>76</v>
      </c>
      <c r="D119" s="6" t="s">
        <v>44</v>
      </c>
      <c r="E119" s="6" t="n">
        <f aca="false">ROUND(16960*1.05,2)</f>
        <v>17808</v>
      </c>
      <c r="F119" s="6" t="s">
        <v>45</v>
      </c>
      <c r="G119" s="6" t="s">
        <v>30</v>
      </c>
      <c r="H119" s="6" t="n">
        <f aca="true">ROUND(RAND()*4+6,1)</f>
        <v>7.2</v>
      </c>
      <c r="I119" s="6" t="s">
        <v>46</v>
      </c>
      <c r="J119" s="6" t="str">
        <f aca="false">ROUND(67*1,0)&amp;"%"</f>
        <v>67%</v>
      </c>
    </row>
    <row r="120" customFormat="false" ht="15" hidden="false" customHeight="false" outlineLevel="0" collapsed="false">
      <c r="A120" s="5" t="s">
        <v>2568</v>
      </c>
      <c r="B120" s="5" t="s">
        <v>218</v>
      </c>
      <c r="C120" s="5" t="s">
        <v>76</v>
      </c>
      <c r="D120" s="5" t="s">
        <v>16</v>
      </c>
      <c r="E120" s="5" t="n">
        <f aca="false">ROUND(7001*1.05,2)</f>
        <v>7351.05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2569</v>
      </c>
      <c r="B121" s="6" t="s">
        <v>220</v>
      </c>
      <c r="C121" s="6" t="s">
        <v>76</v>
      </c>
      <c r="D121" s="6" t="s">
        <v>22</v>
      </c>
      <c r="E121" s="6" t="n">
        <f aca="false">ROUND(14528*1.05,2)</f>
        <v>15254.4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ROUND(100*1,0)&amp;"%"</f>
        <v>100%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2570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2571</v>
      </c>
      <c r="B126" s="5" t="s">
        <v>224</v>
      </c>
      <c r="C126" s="5" t="s">
        <v>95</v>
      </c>
      <c r="D126" s="5" t="s">
        <v>16</v>
      </c>
      <c r="E126" s="5" t="n">
        <f aca="false">ROUND(12572*1.05,2)</f>
        <v>13200.6</v>
      </c>
      <c r="F126" s="5" t="s">
        <v>17</v>
      </c>
      <c r="G126" s="5" t="s">
        <v>18</v>
      </c>
      <c r="H126" s="5" t="n">
        <f aca="true">ROUND(RAND()*4+6,1)</f>
        <v>8.5</v>
      </c>
      <c r="I126" s="5" t="s">
        <v>19</v>
      </c>
      <c r="J126" s="5" t="str">
        <f aca="false">ROUND(87*1,0)&amp;"%"</f>
        <v>87%</v>
      </c>
    </row>
    <row r="127" customFormat="false" ht="15" hidden="false" customHeight="false" outlineLevel="0" collapsed="false">
      <c r="A127" s="6" t="s">
        <v>2572</v>
      </c>
      <c r="B127" s="6" t="s">
        <v>226</v>
      </c>
      <c r="C127" s="6" t="s">
        <v>95</v>
      </c>
      <c r="D127" s="6" t="s">
        <v>22</v>
      </c>
      <c r="E127" s="6" t="n">
        <f aca="false">ROUND(16494*1.05,2)</f>
        <v>17318.7</v>
      </c>
      <c r="F127" s="6" t="s">
        <v>23</v>
      </c>
      <c r="G127" s="6" t="s">
        <v>24</v>
      </c>
      <c r="H127" s="6" t="n">
        <f aca="true">ROUND(RAND()*4+6,1)</f>
        <v>6.1</v>
      </c>
      <c r="I127" s="6" t="s">
        <v>25</v>
      </c>
      <c r="J127" s="6" t="str">
        <f aca="false">ROUND(95*1,0)&amp;"%"</f>
        <v>95%</v>
      </c>
    </row>
    <row r="128" customFormat="false" ht="15" hidden="false" customHeight="false" outlineLevel="0" collapsed="false">
      <c r="A128" s="5" t="s">
        <v>2573</v>
      </c>
      <c r="B128" s="5" t="s">
        <v>228</v>
      </c>
      <c r="C128" s="5" t="s">
        <v>95</v>
      </c>
      <c r="D128" s="5" t="s">
        <v>28</v>
      </c>
      <c r="E128" s="5" t="n">
        <f aca="false">ROUND(16538*1.05,2)</f>
        <v>17364.9</v>
      </c>
      <c r="F128" s="5" t="s">
        <v>29</v>
      </c>
      <c r="G128" s="5" t="s">
        <v>30</v>
      </c>
      <c r="H128" s="5" t="n">
        <f aca="true">ROUND(RAND()*4+6,1)</f>
        <v>8.2</v>
      </c>
      <c r="I128" s="5" t="s">
        <v>31</v>
      </c>
      <c r="J128" s="5" t="str">
        <f aca="false">ROUND(80*1,0)&amp;"%"</f>
        <v>80%</v>
      </c>
    </row>
    <row r="129" customFormat="false" ht="15" hidden="false" customHeight="false" outlineLevel="0" collapsed="false">
      <c r="A129" s="6" t="s">
        <v>2574</v>
      </c>
      <c r="B129" s="6" t="s">
        <v>230</v>
      </c>
      <c r="C129" s="6" t="s">
        <v>95</v>
      </c>
      <c r="D129" s="6" t="s">
        <v>34</v>
      </c>
      <c r="E129" s="6" t="n">
        <f aca="false">ROUND(10485*1.05,2)</f>
        <v>11009.25</v>
      </c>
      <c r="F129" s="6" t="s">
        <v>35</v>
      </c>
      <c r="G129" s="6" t="s">
        <v>18</v>
      </c>
      <c r="H129" s="6" t="n">
        <f aca="true">ROUND(RAND()*4+6,1)</f>
        <v>7.4</v>
      </c>
      <c r="I129" s="6" t="s">
        <v>36</v>
      </c>
      <c r="J129" s="6" t="str">
        <f aca="false">ROUND(95*1,0)&amp;"%"</f>
        <v>95%</v>
      </c>
    </row>
    <row r="130" customFormat="false" ht="15" hidden="false" customHeight="false" outlineLevel="0" collapsed="false">
      <c r="A130" s="5" t="s">
        <v>2575</v>
      </c>
      <c r="B130" s="5" t="s">
        <v>232</v>
      </c>
      <c r="C130" s="5" t="s">
        <v>95</v>
      </c>
      <c r="D130" s="5" t="s">
        <v>39</v>
      </c>
      <c r="E130" s="5" t="n">
        <f aca="false">ROUND(7047*1.05,2)</f>
        <v>7399.35</v>
      </c>
      <c r="F130" s="5" t="s">
        <v>40</v>
      </c>
      <c r="G130" s="5" t="s">
        <v>24</v>
      </c>
      <c r="H130" s="5" t="n">
        <f aca="true">ROUND(RAND()*4+6,1)</f>
        <v>8.4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2576</v>
      </c>
      <c r="B131" s="6" t="s">
        <v>234</v>
      </c>
      <c r="C131" s="6" t="s">
        <v>95</v>
      </c>
      <c r="D131" s="6" t="s">
        <v>44</v>
      </c>
      <c r="E131" s="6" t="n">
        <f aca="false">ROUND(9434*1.05,2)</f>
        <v>9905.7</v>
      </c>
      <c r="F131" s="6" t="s">
        <v>45</v>
      </c>
      <c r="G131" s="6" t="s">
        <v>30</v>
      </c>
      <c r="H131" s="6" t="n">
        <f aca="true">ROUND(RAND()*4+6,1)</f>
        <v>6.3</v>
      </c>
      <c r="I131" s="6" t="s">
        <v>46</v>
      </c>
      <c r="J131" s="6" t="str">
        <f aca="false">ROUND(76*1,0)&amp;"%"</f>
        <v>76%</v>
      </c>
    </row>
    <row r="132" customFormat="false" ht="15" hidden="false" customHeight="false" outlineLevel="0" collapsed="false">
      <c r="A132" s="5" t="s">
        <v>2577</v>
      </c>
      <c r="B132" s="5" t="s">
        <v>236</v>
      </c>
      <c r="C132" s="5" t="s">
        <v>95</v>
      </c>
      <c r="D132" s="5" t="s">
        <v>16</v>
      </c>
      <c r="E132" s="5" t="n">
        <f aca="false">ROUND(9134*1.05,2)</f>
        <v>9590.7</v>
      </c>
      <c r="F132" s="5" t="s">
        <v>49</v>
      </c>
      <c r="G132" s="5" t="s">
        <v>18</v>
      </c>
      <c r="H132" s="5" t="n">
        <f aca="true">ROUND(RAND()*4+6,1)</f>
        <v>9</v>
      </c>
      <c r="I132" s="5" t="s">
        <v>19</v>
      </c>
      <c r="J132" s="5" t="str">
        <f aca="false">ROUND(93*1,0)&amp;"%"</f>
        <v>93%</v>
      </c>
    </row>
    <row r="133" customFormat="false" ht="15" hidden="false" customHeight="false" outlineLevel="0" collapsed="false">
      <c r="A133" s="6" t="s">
        <v>2578</v>
      </c>
      <c r="B133" s="6" t="s">
        <v>238</v>
      </c>
      <c r="C133" s="6" t="s">
        <v>95</v>
      </c>
      <c r="D133" s="6" t="s">
        <v>22</v>
      </c>
      <c r="E133" s="6" t="n">
        <f aca="false">ROUND(10731*1.05,2)</f>
        <v>11267.55</v>
      </c>
      <c r="F133" s="6" t="s">
        <v>52</v>
      </c>
      <c r="G133" s="6" t="s">
        <v>24</v>
      </c>
      <c r="H133" s="6" t="n">
        <f aca="true">ROUND(RAND()*4+6,1)</f>
        <v>7</v>
      </c>
      <c r="I133" s="6" t="s">
        <v>25</v>
      </c>
      <c r="J133" s="6" t="str">
        <f aca="false">ROUND(72*1,0)&amp;"%"</f>
        <v>72%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2579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2580</v>
      </c>
      <c r="B138" s="5" t="s">
        <v>242</v>
      </c>
      <c r="C138" s="5" t="s">
        <v>114</v>
      </c>
      <c r="D138" s="5" t="s">
        <v>16</v>
      </c>
      <c r="E138" s="5" t="n">
        <f aca="false">ROUND(15010*1.05,2)</f>
        <v>15760.5</v>
      </c>
      <c r="F138" s="5" t="s">
        <v>17</v>
      </c>
      <c r="G138" s="5" t="s">
        <v>18</v>
      </c>
      <c r="H138" s="5" t="n">
        <f aca="true">ROUND(RAND()*4+6,1)</f>
        <v>9.3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2581</v>
      </c>
      <c r="B139" s="6" t="s">
        <v>244</v>
      </c>
      <c r="C139" s="6" t="s">
        <v>114</v>
      </c>
      <c r="D139" s="6" t="s">
        <v>22</v>
      </c>
      <c r="E139" s="6" t="n">
        <f aca="false">ROUND(17630*1.05,2)</f>
        <v>18511.5</v>
      </c>
      <c r="F139" s="6" t="s">
        <v>23</v>
      </c>
      <c r="G139" s="6" t="s">
        <v>24</v>
      </c>
      <c r="H139" s="6" t="n">
        <f aca="true">ROUND(RAND()*4+6,1)</f>
        <v>9.3</v>
      </c>
      <c r="I139" s="6" t="s">
        <v>25</v>
      </c>
      <c r="J139" s="6" t="str">
        <f aca="false">ROUND(98*1,0)&amp;"%"</f>
        <v>98%</v>
      </c>
    </row>
    <row r="140" customFormat="false" ht="15" hidden="false" customHeight="false" outlineLevel="0" collapsed="false">
      <c r="A140" s="5" t="s">
        <v>2582</v>
      </c>
      <c r="B140" s="5" t="s">
        <v>246</v>
      </c>
      <c r="C140" s="5" t="s">
        <v>114</v>
      </c>
      <c r="D140" s="5" t="s">
        <v>28</v>
      </c>
      <c r="E140" s="5" t="n">
        <f aca="false">ROUND(15440*1.05,2)</f>
        <v>16212</v>
      </c>
      <c r="F140" s="5" t="s">
        <v>29</v>
      </c>
      <c r="G140" s="5" t="s">
        <v>30</v>
      </c>
      <c r="H140" s="5" t="n">
        <f aca="true">ROUND(RAND()*4+6,1)</f>
        <v>6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2583</v>
      </c>
      <c r="B141" s="6" t="s">
        <v>248</v>
      </c>
      <c r="C141" s="6" t="s">
        <v>114</v>
      </c>
      <c r="D141" s="6" t="s">
        <v>34</v>
      </c>
      <c r="E141" s="6" t="n">
        <f aca="false">ROUND(10876*1.05,2)</f>
        <v>11419.8</v>
      </c>
      <c r="F141" s="6" t="s">
        <v>35</v>
      </c>
      <c r="G141" s="6" t="s">
        <v>18</v>
      </c>
      <c r="H141" s="6" t="n">
        <f aca="true">ROUND(RAND()*4+6,1)</f>
        <v>9.1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2584</v>
      </c>
      <c r="B142" s="5" t="s">
        <v>250</v>
      </c>
      <c r="C142" s="5" t="s">
        <v>114</v>
      </c>
      <c r="D142" s="5" t="s">
        <v>39</v>
      </c>
      <c r="E142" s="5" t="n">
        <f aca="false">ROUND(7464*1.05,2)</f>
        <v>7837.2</v>
      </c>
      <c r="F142" s="5" t="s">
        <v>40</v>
      </c>
      <c r="G142" s="5" t="s">
        <v>24</v>
      </c>
      <c r="H142" s="5" t="n">
        <f aca="true">ROUND(RAND()*4+6,1)</f>
        <v>8.4</v>
      </c>
      <c r="I142" s="5" t="s">
        <v>41</v>
      </c>
      <c r="J142" s="5" t="str">
        <f aca="false">ROUND(82*1,0)&amp;"%"</f>
        <v>82%</v>
      </c>
    </row>
    <row r="143" customFormat="false" ht="15" hidden="false" customHeight="false" outlineLevel="0" collapsed="false">
      <c r="A143" s="6" t="s">
        <v>2585</v>
      </c>
      <c r="B143" s="6" t="s">
        <v>252</v>
      </c>
      <c r="C143" s="6" t="s">
        <v>114</v>
      </c>
      <c r="D143" s="6" t="s">
        <v>44</v>
      </c>
      <c r="E143" s="6" t="n">
        <f aca="false">ROUND(10606*1.05,2)</f>
        <v>11136.3</v>
      </c>
      <c r="F143" s="6" t="s">
        <v>45</v>
      </c>
      <c r="G143" s="6" t="s">
        <v>30</v>
      </c>
      <c r="H143" s="6" t="n">
        <f aca="true">ROUND(RAND()*4+6,1)</f>
        <v>8.8</v>
      </c>
      <c r="I143" s="6" t="s">
        <v>46</v>
      </c>
      <c r="J143" s="6" t="str">
        <f aca="false">ROUND(75*1,0)&amp;"%"</f>
        <v>75%</v>
      </c>
    </row>
    <row r="144" customFormat="false" ht="15" hidden="false" customHeight="false" outlineLevel="0" collapsed="false">
      <c r="A144" s="5" t="s">
        <v>2586</v>
      </c>
      <c r="B144" s="5" t="s">
        <v>254</v>
      </c>
      <c r="C144" s="5" t="s">
        <v>114</v>
      </c>
      <c r="D144" s="5" t="s">
        <v>16</v>
      </c>
      <c r="E144" s="5" t="n">
        <f aca="false">ROUND(11200*1.05,2)</f>
        <v>11760</v>
      </c>
      <c r="F144" s="5" t="s">
        <v>49</v>
      </c>
      <c r="G144" s="5" t="s">
        <v>18</v>
      </c>
      <c r="H144" s="5" t="n">
        <f aca="true">ROUND(RAND()*4+6,1)</f>
        <v>6.4</v>
      </c>
      <c r="I144" s="5" t="s">
        <v>19</v>
      </c>
      <c r="J144" s="5" t="str">
        <f aca="false">ROUND(63*1,0)&amp;"%"</f>
        <v>63%</v>
      </c>
    </row>
    <row r="145" customFormat="false" ht="15" hidden="false" customHeight="false" outlineLevel="0" collapsed="false">
      <c r="A145" s="6" t="s">
        <v>2587</v>
      </c>
      <c r="B145" s="6" t="s">
        <v>256</v>
      </c>
      <c r="C145" s="6" t="s">
        <v>114</v>
      </c>
      <c r="D145" s="6" t="s">
        <v>22</v>
      </c>
      <c r="E145" s="6" t="n">
        <f aca="false">ROUND(15383*1.05,2)</f>
        <v>16152.15</v>
      </c>
      <c r="F145" s="6" t="s">
        <v>52</v>
      </c>
      <c r="G145" s="6" t="s">
        <v>24</v>
      </c>
      <c r="H145" s="6" t="n">
        <f aca="true">ROUND(RAND()*4+6,1)</f>
        <v>7.7</v>
      </c>
      <c r="I145" s="6" t="s">
        <v>25</v>
      </c>
      <c r="J145" s="6" t="str">
        <f aca="false">ROUND(74*1,0)&amp;"%"</f>
        <v>74%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2588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2589</v>
      </c>
      <c r="B150" s="5" t="s">
        <v>260</v>
      </c>
      <c r="C150" s="5" t="s">
        <v>133</v>
      </c>
      <c r="D150" s="5" t="s">
        <v>16</v>
      </c>
      <c r="E150" s="5" t="n">
        <f aca="false">ROUND(4003*1.05,2)</f>
        <v>4203.15</v>
      </c>
      <c r="F150" s="5" t="s">
        <v>17</v>
      </c>
      <c r="G150" s="5" t="s">
        <v>18</v>
      </c>
      <c r="H150" s="5" t="n">
        <f aca="true">ROUND(RAND()*4+6,1)</f>
        <v>6.3</v>
      </c>
      <c r="I150" s="5" t="s">
        <v>19</v>
      </c>
      <c r="J150" s="5" t="str">
        <f aca="false">ROUND(95*1,0)&amp;"%"</f>
        <v>95%</v>
      </c>
    </row>
    <row r="151" customFormat="false" ht="15" hidden="false" customHeight="false" outlineLevel="0" collapsed="false">
      <c r="A151" s="6" t="s">
        <v>2590</v>
      </c>
      <c r="B151" s="6" t="s">
        <v>262</v>
      </c>
      <c r="C151" s="6" t="s">
        <v>133</v>
      </c>
      <c r="D151" s="6" t="s">
        <v>22</v>
      </c>
      <c r="E151" s="6" t="n">
        <f aca="false">ROUND(15052*1.05,2)</f>
        <v>15804.6</v>
      </c>
      <c r="F151" s="6" t="s">
        <v>23</v>
      </c>
      <c r="G151" s="6" t="s">
        <v>24</v>
      </c>
      <c r="H151" s="6" t="n">
        <f aca="true">ROUND(RAND()*4+6,1)</f>
        <v>7.1</v>
      </c>
      <c r="I151" s="6" t="s">
        <v>25</v>
      </c>
      <c r="J151" s="6" t="str">
        <f aca="false">ROUND(77*1,0)&amp;"%"</f>
        <v>77%</v>
      </c>
    </row>
    <row r="152" customFormat="false" ht="15" hidden="false" customHeight="false" outlineLevel="0" collapsed="false">
      <c r="A152" s="5" t="s">
        <v>2591</v>
      </c>
      <c r="B152" s="5" t="s">
        <v>264</v>
      </c>
      <c r="C152" s="5" t="s">
        <v>133</v>
      </c>
      <c r="D152" s="5" t="s">
        <v>28</v>
      </c>
      <c r="E152" s="5" t="n">
        <f aca="false">ROUND(11638*1.05,2)</f>
        <v>12219.9</v>
      </c>
      <c r="F152" s="5" t="s">
        <v>29</v>
      </c>
      <c r="G152" s="5" t="s">
        <v>30</v>
      </c>
      <c r="H152" s="5" t="n">
        <f aca="true">ROUND(RAND()*4+6,1)</f>
        <v>7.7</v>
      </c>
      <c r="I152" s="5" t="s">
        <v>31</v>
      </c>
      <c r="J152" s="5" t="str">
        <f aca="false">ROUND(97*1,0)&amp;"%"</f>
        <v>97%</v>
      </c>
    </row>
    <row r="153" customFormat="false" ht="15" hidden="false" customHeight="false" outlineLevel="0" collapsed="false">
      <c r="A153" s="6" t="s">
        <v>2592</v>
      </c>
      <c r="B153" s="6" t="s">
        <v>266</v>
      </c>
      <c r="C153" s="6" t="s">
        <v>133</v>
      </c>
      <c r="D153" s="6" t="s">
        <v>34</v>
      </c>
      <c r="E153" s="6" t="n">
        <f aca="false">ROUND(12842*1.05,2)</f>
        <v>13484.1</v>
      </c>
      <c r="F153" s="6" t="s">
        <v>35</v>
      </c>
      <c r="G153" s="6" t="s">
        <v>18</v>
      </c>
      <c r="H153" s="6" t="n">
        <f aca="true">ROUND(RAND()*4+6,1)</f>
        <v>7.9</v>
      </c>
      <c r="I153" s="6" t="s">
        <v>36</v>
      </c>
      <c r="J153" s="6" t="str">
        <f aca="false">ROUND(93*1,0)&amp;"%"</f>
        <v>93%</v>
      </c>
    </row>
    <row r="154" customFormat="false" ht="15" hidden="false" customHeight="false" outlineLevel="0" collapsed="false">
      <c r="A154" s="5" t="s">
        <v>2593</v>
      </c>
      <c r="B154" s="5" t="s">
        <v>268</v>
      </c>
      <c r="C154" s="5" t="s">
        <v>133</v>
      </c>
      <c r="D154" s="5" t="s">
        <v>39</v>
      </c>
      <c r="E154" s="5" t="n">
        <f aca="false">ROUND(15492*1.05,2)</f>
        <v>16266.6</v>
      </c>
      <c r="F154" s="5" t="s">
        <v>40</v>
      </c>
      <c r="G154" s="5" t="s">
        <v>24</v>
      </c>
      <c r="H154" s="5" t="n">
        <f aca="true">ROUND(RAND()*4+6,1)</f>
        <v>6.8</v>
      </c>
      <c r="I154" s="5" t="s">
        <v>41</v>
      </c>
      <c r="J154" s="5" t="str">
        <f aca="false">ROUND(64*1,0)&amp;"%"</f>
        <v>64%</v>
      </c>
    </row>
    <row r="155" customFormat="false" ht="15" hidden="false" customHeight="false" outlineLevel="0" collapsed="false">
      <c r="A155" s="6" t="s">
        <v>2594</v>
      </c>
      <c r="B155" s="6" t="s">
        <v>270</v>
      </c>
      <c r="C155" s="6" t="s">
        <v>133</v>
      </c>
      <c r="D155" s="6" t="s">
        <v>44</v>
      </c>
      <c r="E155" s="6" t="n">
        <f aca="false">ROUND(16011*1.05,2)</f>
        <v>16811.55</v>
      </c>
      <c r="F155" s="6" t="s">
        <v>45</v>
      </c>
      <c r="G155" s="6" t="s">
        <v>30</v>
      </c>
      <c r="H155" s="6" t="n">
        <f aca="true">ROUND(RAND()*4+6,1)</f>
        <v>9.1</v>
      </c>
      <c r="I155" s="6" t="s">
        <v>46</v>
      </c>
      <c r="J155" s="6" t="str">
        <f aca="false">ROUND(63*1,0)&amp;"%"</f>
        <v>63%</v>
      </c>
    </row>
    <row r="156" customFormat="false" ht="15" hidden="false" customHeight="false" outlineLevel="0" collapsed="false">
      <c r="A156" s="5" t="s">
        <v>2595</v>
      </c>
      <c r="B156" s="5" t="s">
        <v>272</v>
      </c>
      <c r="C156" s="5" t="s">
        <v>133</v>
      </c>
      <c r="D156" s="5" t="s">
        <v>16</v>
      </c>
      <c r="E156" s="5" t="n">
        <f aca="false">ROUND(14135*1.05,2)</f>
        <v>14841.75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ROUND(86*1,0)&amp;"%"</f>
        <v>86%</v>
      </c>
    </row>
    <row r="157" customFormat="false" ht="15" hidden="false" customHeight="false" outlineLevel="0" collapsed="false">
      <c r="A157" s="6" t="s">
        <v>2596</v>
      </c>
      <c r="B157" s="6" t="s">
        <v>274</v>
      </c>
      <c r="C157" s="6" t="s">
        <v>133</v>
      </c>
      <c r="D157" s="6" t="s">
        <v>22</v>
      </c>
      <c r="E157" s="6" t="n">
        <f aca="false">ROUND(15864*1.05,2)</f>
        <v>16657.2</v>
      </c>
      <c r="F157" s="6" t="s">
        <v>52</v>
      </c>
      <c r="G157" s="6" t="s">
        <v>24</v>
      </c>
      <c r="H157" s="6" t="n">
        <f aca="true">ROUND(RAND()*4+6,1)</f>
        <v>8.6</v>
      </c>
      <c r="I157" s="6" t="s">
        <v>25</v>
      </c>
      <c r="J157" s="6" t="str">
        <f aca="false">ROUND(93*1,0)&amp;"%"</f>
        <v>93%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2597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2598</v>
      </c>
      <c r="B162" s="5" t="s">
        <v>278</v>
      </c>
      <c r="C162" s="5" t="s">
        <v>152</v>
      </c>
      <c r="D162" s="5" t="s">
        <v>16</v>
      </c>
      <c r="E162" s="5" t="n">
        <f aca="false">ROUND(11765*1.05,2)</f>
        <v>12353.25</v>
      </c>
      <c r="F162" s="5" t="s">
        <v>17</v>
      </c>
      <c r="G162" s="5" t="s">
        <v>18</v>
      </c>
      <c r="H162" s="5" t="n">
        <f aca="true">ROUND(RAND()*4+6,1)</f>
        <v>8</v>
      </c>
      <c r="I162" s="5" t="s">
        <v>19</v>
      </c>
      <c r="J162" s="5" t="str">
        <f aca="false">ROUND(89*1,0)&amp;"%"</f>
        <v>89%</v>
      </c>
    </row>
    <row r="163" customFormat="false" ht="15" hidden="false" customHeight="false" outlineLevel="0" collapsed="false">
      <c r="A163" s="6" t="s">
        <v>2599</v>
      </c>
      <c r="B163" s="6" t="s">
        <v>280</v>
      </c>
      <c r="C163" s="6" t="s">
        <v>152</v>
      </c>
      <c r="D163" s="6" t="s">
        <v>22</v>
      </c>
      <c r="E163" s="6" t="n">
        <f aca="false">ROUND(11599*1.05,2)</f>
        <v>12178.95</v>
      </c>
      <c r="F163" s="6" t="s">
        <v>23</v>
      </c>
      <c r="G163" s="6" t="s">
        <v>24</v>
      </c>
      <c r="H163" s="6" t="n">
        <f aca="true">ROUND(RAND()*4+6,1)</f>
        <v>6.7</v>
      </c>
      <c r="I163" s="6" t="s">
        <v>25</v>
      </c>
      <c r="J163" s="6" t="str">
        <f aca="false">ROUND(98*1,0)&amp;"%"</f>
        <v>98%</v>
      </c>
    </row>
    <row r="164" customFormat="false" ht="15" hidden="false" customHeight="false" outlineLevel="0" collapsed="false">
      <c r="A164" s="5" t="s">
        <v>2600</v>
      </c>
      <c r="B164" s="5" t="s">
        <v>282</v>
      </c>
      <c r="C164" s="5" t="s">
        <v>152</v>
      </c>
      <c r="D164" s="5" t="s">
        <v>28</v>
      </c>
      <c r="E164" s="5" t="n">
        <f aca="false">ROUND(12631*1.05,2)</f>
        <v>13262.55</v>
      </c>
      <c r="F164" s="5" t="s">
        <v>29</v>
      </c>
      <c r="G164" s="5" t="s">
        <v>30</v>
      </c>
      <c r="H164" s="5" t="n">
        <f aca="true">ROUND(RAND()*4+6,1)</f>
        <v>6.1</v>
      </c>
      <c r="I164" s="5" t="s">
        <v>31</v>
      </c>
      <c r="J164" s="5" t="str">
        <f aca="false">ROUND(78*1,0)&amp;"%"</f>
        <v>78%</v>
      </c>
    </row>
    <row r="165" customFormat="false" ht="15" hidden="false" customHeight="false" outlineLevel="0" collapsed="false">
      <c r="A165" s="6" t="s">
        <v>2601</v>
      </c>
      <c r="B165" s="6" t="s">
        <v>284</v>
      </c>
      <c r="C165" s="6" t="s">
        <v>152</v>
      </c>
      <c r="D165" s="6" t="s">
        <v>34</v>
      </c>
      <c r="E165" s="6" t="n">
        <f aca="false">ROUND(15369*1.05,2)</f>
        <v>16137.45</v>
      </c>
      <c r="F165" s="6" t="s">
        <v>35</v>
      </c>
      <c r="G165" s="6" t="s">
        <v>18</v>
      </c>
      <c r="H165" s="6" t="n">
        <f aca="true">ROUND(RAND()*4+6,1)</f>
        <v>9.6</v>
      </c>
      <c r="I165" s="6" t="s">
        <v>36</v>
      </c>
      <c r="J165" s="6" t="str">
        <f aca="false">ROUND(80*1,0)&amp;"%"</f>
        <v>80%</v>
      </c>
    </row>
    <row r="166" customFormat="false" ht="15" hidden="false" customHeight="false" outlineLevel="0" collapsed="false">
      <c r="A166" s="5" t="s">
        <v>2602</v>
      </c>
      <c r="B166" s="5" t="s">
        <v>286</v>
      </c>
      <c r="C166" s="5" t="s">
        <v>152</v>
      </c>
      <c r="D166" s="5" t="s">
        <v>39</v>
      </c>
      <c r="E166" s="5" t="n">
        <f aca="false">ROUND(12199*1.05,2)</f>
        <v>12808.95</v>
      </c>
      <c r="F166" s="5" t="s">
        <v>40</v>
      </c>
      <c r="G166" s="5" t="s">
        <v>24</v>
      </c>
      <c r="H166" s="5" t="n">
        <f aca="true">ROUND(RAND()*4+6,1)</f>
        <v>7.4</v>
      </c>
      <c r="I166" s="5" t="s">
        <v>41</v>
      </c>
      <c r="J166" s="5" t="str">
        <f aca="false">ROUND(95*1,0)&amp;"%"</f>
        <v>95%</v>
      </c>
    </row>
    <row r="167" customFormat="false" ht="15" hidden="false" customHeight="false" outlineLevel="0" collapsed="false">
      <c r="A167" s="6" t="s">
        <v>2603</v>
      </c>
      <c r="B167" s="6" t="s">
        <v>288</v>
      </c>
      <c r="C167" s="6" t="s">
        <v>152</v>
      </c>
      <c r="D167" s="6" t="s">
        <v>44</v>
      </c>
      <c r="E167" s="6" t="n">
        <f aca="false">ROUND(16440*1.05,2)</f>
        <v>17262</v>
      </c>
      <c r="F167" s="6" t="s">
        <v>45</v>
      </c>
      <c r="G167" s="6" t="s">
        <v>30</v>
      </c>
      <c r="H167" s="6" t="n">
        <f aca="true">ROUND(RAND()*4+6,1)</f>
        <v>7.2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2604</v>
      </c>
      <c r="B168" s="5" t="s">
        <v>290</v>
      </c>
      <c r="C168" s="5" t="s">
        <v>152</v>
      </c>
      <c r="D168" s="5" t="s">
        <v>16</v>
      </c>
      <c r="E168" s="5" t="n">
        <f aca="false">ROUND(12735*1.05,2)</f>
        <v>13371.75</v>
      </c>
      <c r="F168" s="5" t="s">
        <v>49</v>
      </c>
      <c r="G168" s="5" t="s">
        <v>18</v>
      </c>
      <c r="H168" s="5" t="n">
        <f aca="true">ROUND(RAND()*4+6,1)</f>
        <v>9.7</v>
      </c>
      <c r="I168" s="5" t="s">
        <v>19</v>
      </c>
      <c r="J168" s="5" t="str">
        <f aca="false">ROUND(68*1,0)&amp;"%"</f>
        <v>68%</v>
      </c>
    </row>
    <row r="169" customFormat="false" ht="15" hidden="false" customHeight="false" outlineLevel="0" collapsed="false">
      <c r="A169" s="6" t="s">
        <v>2605</v>
      </c>
      <c r="B169" s="6" t="s">
        <v>292</v>
      </c>
      <c r="C169" s="6" t="s">
        <v>152</v>
      </c>
      <c r="D169" s="6" t="s">
        <v>22</v>
      </c>
      <c r="E169" s="6" t="n">
        <f aca="false">ROUND(13992*1.05,2)</f>
        <v>14691.6</v>
      </c>
      <c r="F169" s="6" t="s">
        <v>52</v>
      </c>
      <c r="G169" s="6" t="s">
        <v>24</v>
      </c>
      <c r="H169" s="6" t="n">
        <f aca="true">ROUND(RAND()*4+6,1)</f>
        <v>6</v>
      </c>
      <c r="I169" s="6" t="s">
        <v>25</v>
      </c>
      <c r="J169" s="6" t="str">
        <f aca="false">ROUND(64*1,0)&amp;"%"</f>
        <v>64%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2606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2607</v>
      </c>
      <c r="B174" s="5" t="s">
        <v>296</v>
      </c>
      <c r="C174" s="5" t="s">
        <v>15</v>
      </c>
      <c r="D174" s="5" t="s">
        <v>16</v>
      </c>
      <c r="E174" s="5" t="n">
        <f aca="false">ROUND(4179*1.05,2)</f>
        <v>4387.95</v>
      </c>
      <c r="F174" s="5" t="s">
        <v>17</v>
      </c>
      <c r="G174" s="5" t="s">
        <v>18</v>
      </c>
      <c r="H174" s="5" t="n">
        <f aca="true">ROUND(RAND()*4+6,1)</f>
        <v>6.9</v>
      </c>
      <c r="I174" s="5" t="s">
        <v>19</v>
      </c>
      <c r="J174" s="5" t="str">
        <f aca="false">ROUND(97*1,0)&amp;"%"</f>
        <v>97%</v>
      </c>
    </row>
    <row r="175" customFormat="false" ht="15" hidden="false" customHeight="false" outlineLevel="0" collapsed="false">
      <c r="A175" s="6" t="s">
        <v>2608</v>
      </c>
      <c r="B175" s="6" t="s">
        <v>298</v>
      </c>
      <c r="C175" s="6" t="s">
        <v>15</v>
      </c>
      <c r="D175" s="6" t="s">
        <v>22</v>
      </c>
      <c r="E175" s="6" t="n">
        <f aca="false">ROUND(5186*1.05,2)</f>
        <v>5445.3</v>
      </c>
      <c r="F175" s="6" t="s">
        <v>23</v>
      </c>
      <c r="G175" s="6" t="s">
        <v>24</v>
      </c>
      <c r="H175" s="6" t="n">
        <f aca="true">ROUND(RAND()*4+6,1)</f>
        <v>8.8</v>
      </c>
      <c r="I175" s="6" t="s">
        <v>25</v>
      </c>
      <c r="J175" s="6" t="str">
        <f aca="false">ROUND(98*1,0)&amp;"%"</f>
        <v>98%</v>
      </c>
    </row>
    <row r="176" customFormat="false" ht="15" hidden="false" customHeight="false" outlineLevel="0" collapsed="false">
      <c r="A176" s="5" t="s">
        <v>2609</v>
      </c>
      <c r="B176" s="5" t="s">
        <v>300</v>
      </c>
      <c r="C176" s="5" t="s">
        <v>15</v>
      </c>
      <c r="D176" s="5" t="s">
        <v>28</v>
      </c>
      <c r="E176" s="5" t="n">
        <f aca="false">ROUND(14422*1.05,2)</f>
        <v>15143.1</v>
      </c>
      <c r="F176" s="5" t="s">
        <v>29</v>
      </c>
      <c r="G176" s="5" t="s">
        <v>30</v>
      </c>
      <c r="H176" s="5" t="n">
        <f aca="true">ROUND(RAND()*4+6,1)</f>
        <v>7.2</v>
      </c>
      <c r="I176" s="5" t="s">
        <v>31</v>
      </c>
      <c r="J176" s="5" t="str">
        <f aca="false">ROUND(77*1,0)&amp;"%"</f>
        <v>77%</v>
      </c>
    </row>
    <row r="177" customFormat="false" ht="15" hidden="false" customHeight="false" outlineLevel="0" collapsed="false">
      <c r="A177" s="6" t="s">
        <v>2610</v>
      </c>
      <c r="B177" s="6" t="s">
        <v>302</v>
      </c>
      <c r="C177" s="6" t="s">
        <v>15</v>
      </c>
      <c r="D177" s="6" t="s">
        <v>34</v>
      </c>
      <c r="E177" s="6" t="n">
        <f aca="false">ROUND(6753*1.05,2)</f>
        <v>7090.65</v>
      </c>
      <c r="F177" s="6" t="s">
        <v>35</v>
      </c>
      <c r="G177" s="6" t="s">
        <v>18</v>
      </c>
      <c r="H177" s="6" t="n">
        <f aca="true">ROUND(RAND()*4+6,1)</f>
        <v>8.9</v>
      </c>
      <c r="I177" s="6" t="s">
        <v>36</v>
      </c>
      <c r="J177" s="6" t="str">
        <f aca="false">ROUND(93*1,0)&amp;"%"</f>
        <v>93%</v>
      </c>
    </row>
    <row r="178" customFormat="false" ht="15" hidden="false" customHeight="false" outlineLevel="0" collapsed="false">
      <c r="A178" s="5" t="s">
        <v>2611</v>
      </c>
      <c r="B178" s="5" t="s">
        <v>304</v>
      </c>
      <c r="C178" s="5" t="s">
        <v>15</v>
      </c>
      <c r="D178" s="5" t="s">
        <v>39</v>
      </c>
      <c r="E178" s="5" t="n">
        <f aca="false">ROUND(16976*1.05,2)</f>
        <v>17824.8</v>
      </c>
      <c r="F178" s="5" t="s">
        <v>40</v>
      </c>
      <c r="G178" s="5" t="s">
        <v>24</v>
      </c>
      <c r="H178" s="5" t="n">
        <f aca="true">ROUND(RAND()*4+6,1)</f>
        <v>7.3</v>
      </c>
      <c r="I178" s="5" t="s">
        <v>41</v>
      </c>
      <c r="J178" s="5" t="str">
        <f aca="false">ROUND(96*1,0)&amp;"%"</f>
        <v>96%</v>
      </c>
    </row>
    <row r="179" customFormat="false" ht="15" hidden="false" customHeight="false" outlineLevel="0" collapsed="false">
      <c r="A179" s="6" t="s">
        <v>2612</v>
      </c>
      <c r="B179" s="6" t="s">
        <v>306</v>
      </c>
      <c r="C179" s="6" t="s">
        <v>15</v>
      </c>
      <c r="D179" s="6" t="s">
        <v>44</v>
      </c>
      <c r="E179" s="6" t="n">
        <f aca="false">ROUND(12957*1.05,2)</f>
        <v>13604.85</v>
      </c>
      <c r="F179" s="6" t="s">
        <v>45</v>
      </c>
      <c r="G179" s="6" t="s">
        <v>30</v>
      </c>
      <c r="H179" s="6" t="n">
        <f aca="true">ROUND(RAND()*4+6,1)</f>
        <v>6.5</v>
      </c>
      <c r="I179" s="6" t="s">
        <v>46</v>
      </c>
      <c r="J179" s="6" t="str">
        <f aca="false">ROUND(97*1,0)&amp;"%"</f>
        <v>97%</v>
      </c>
    </row>
    <row r="180" customFormat="false" ht="15" hidden="false" customHeight="false" outlineLevel="0" collapsed="false">
      <c r="A180" s="5" t="s">
        <v>2613</v>
      </c>
      <c r="B180" s="5" t="s">
        <v>308</v>
      </c>
      <c r="C180" s="5" t="s">
        <v>15</v>
      </c>
      <c r="D180" s="5" t="s">
        <v>16</v>
      </c>
      <c r="E180" s="5" t="n">
        <f aca="false">ROUND(11657*1.05,2)</f>
        <v>12239.85</v>
      </c>
      <c r="F180" s="5" t="s">
        <v>49</v>
      </c>
      <c r="G180" s="5" t="s">
        <v>18</v>
      </c>
      <c r="H180" s="5" t="n">
        <f aca="true">ROUND(RAND()*4+6,1)</f>
        <v>10</v>
      </c>
      <c r="I180" s="5" t="s">
        <v>19</v>
      </c>
      <c r="J180" s="5" t="str">
        <f aca="false">ROUND(69*1,0)&amp;"%"</f>
        <v>69%</v>
      </c>
    </row>
    <row r="181" customFormat="false" ht="15" hidden="false" customHeight="false" outlineLevel="0" collapsed="false">
      <c r="A181" s="6" t="s">
        <v>2614</v>
      </c>
      <c r="B181" s="6" t="s">
        <v>310</v>
      </c>
      <c r="C181" s="6" t="s">
        <v>15</v>
      </c>
      <c r="D181" s="6" t="s">
        <v>22</v>
      </c>
      <c r="E181" s="6" t="n">
        <f aca="false">ROUND(8680*1.05,2)</f>
        <v>9114</v>
      </c>
      <c r="F181" s="6" t="s">
        <v>52</v>
      </c>
      <c r="G181" s="6" t="s">
        <v>24</v>
      </c>
      <c r="H181" s="6" t="n">
        <f aca="true">ROUND(RAND()*4+6,1)</f>
        <v>8.4</v>
      </c>
      <c r="I181" s="6" t="s">
        <v>25</v>
      </c>
      <c r="J181" s="6" t="str">
        <f aca="false">ROUND(63*1,0)&amp;"%"</f>
        <v>63%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2615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2616</v>
      </c>
      <c r="B186" s="5" t="s">
        <v>314</v>
      </c>
      <c r="C186" s="5" t="s">
        <v>57</v>
      </c>
      <c r="D186" s="5" t="s">
        <v>16</v>
      </c>
      <c r="E186" s="5" t="n">
        <f aca="false">ROUND(7407*1.05,2)</f>
        <v>7777.35</v>
      </c>
      <c r="F186" s="5" t="s">
        <v>17</v>
      </c>
      <c r="G186" s="5" t="s">
        <v>18</v>
      </c>
      <c r="H186" s="5" t="n">
        <f aca="true">ROUND(RAND()*4+6,1)</f>
        <v>6.1</v>
      </c>
      <c r="I186" s="5" t="s">
        <v>19</v>
      </c>
      <c r="J186" s="5" t="str">
        <f aca="false">ROUND(100*1,0)&amp;"%"</f>
        <v>100%</v>
      </c>
    </row>
    <row r="187" customFormat="false" ht="15" hidden="false" customHeight="false" outlineLevel="0" collapsed="false">
      <c r="A187" s="6" t="s">
        <v>2617</v>
      </c>
      <c r="B187" s="6" t="s">
        <v>316</v>
      </c>
      <c r="C187" s="6" t="s">
        <v>57</v>
      </c>
      <c r="D187" s="6" t="s">
        <v>22</v>
      </c>
      <c r="E187" s="6" t="n">
        <f aca="false">ROUND(6287*1.05,2)</f>
        <v>6601.35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ROUND(93*1,0)&amp;"%"</f>
        <v>93%</v>
      </c>
    </row>
    <row r="188" customFormat="false" ht="15" hidden="false" customHeight="false" outlineLevel="0" collapsed="false">
      <c r="A188" s="5" t="s">
        <v>2618</v>
      </c>
      <c r="B188" s="5" t="s">
        <v>318</v>
      </c>
      <c r="C188" s="5" t="s">
        <v>57</v>
      </c>
      <c r="D188" s="5" t="s">
        <v>28</v>
      </c>
      <c r="E188" s="5" t="n">
        <f aca="false">ROUND(8008*1.05,2)</f>
        <v>8408.4</v>
      </c>
      <c r="F188" s="5" t="s">
        <v>29</v>
      </c>
      <c r="G188" s="5" t="s">
        <v>30</v>
      </c>
      <c r="H188" s="5" t="n">
        <f aca="true">ROUND(RAND()*4+6,1)</f>
        <v>8.6</v>
      </c>
      <c r="I188" s="5" t="s">
        <v>31</v>
      </c>
      <c r="J188" s="5" t="str">
        <f aca="false">ROUND(94*1,0)&amp;"%"</f>
        <v>94%</v>
      </c>
    </row>
    <row r="189" customFormat="false" ht="15" hidden="false" customHeight="false" outlineLevel="0" collapsed="false">
      <c r="A189" s="6" t="s">
        <v>2619</v>
      </c>
      <c r="B189" s="6" t="s">
        <v>320</v>
      </c>
      <c r="C189" s="6" t="s">
        <v>57</v>
      </c>
      <c r="D189" s="6" t="s">
        <v>34</v>
      </c>
      <c r="E189" s="6" t="n">
        <f aca="false">ROUND(12913*1.05,2)</f>
        <v>13558.65</v>
      </c>
      <c r="F189" s="6" t="s">
        <v>35</v>
      </c>
      <c r="G189" s="6" t="s">
        <v>18</v>
      </c>
      <c r="H189" s="6" t="n">
        <f aca="true">ROUND(RAND()*4+6,1)</f>
        <v>6.8</v>
      </c>
      <c r="I189" s="6" t="s">
        <v>36</v>
      </c>
      <c r="J189" s="6" t="str">
        <f aca="false">ROUND(64*1,0)&amp;"%"</f>
        <v>64%</v>
      </c>
    </row>
    <row r="190" customFormat="false" ht="15" hidden="false" customHeight="false" outlineLevel="0" collapsed="false">
      <c r="A190" s="5" t="s">
        <v>2620</v>
      </c>
      <c r="B190" s="5" t="s">
        <v>322</v>
      </c>
      <c r="C190" s="5" t="s">
        <v>57</v>
      </c>
      <c r="D190" s="5" t="s">
        <v>39</v>
      </c>
      <c r="E190" s="5" t="n">
        <f aca="false">ROUND(7067*1.05,2)</f>
        <v>7420.35</v>
      </c>
      <c r="F190" s="5" t="s">
        <v>40</v>
      </c>
      <c r="G190" s="5" t="s">
        <v>24</v>
      </c>
      <c r="H190" s="5" t="n">
        <f aca="true">ROUND(RAND()*4+6,1)</f>
        <v>9.6</v>
      </c>
      <c r="I190" s="5" t="s">
        <v>41</v>
      </c>
      <c r="J190" s="5" t="str">
        <f aca="false">ROUND(69*1,0)&amp;"%"</f>
        <v>69%</v>
      </c>
    </row>
    <row r="191" customFormat="false" ht="15" hidden="false" customHeight="false" outlineLevel="0" collapsed="false">
      <c r="A191" s="6" t="s">
        <v>2621</v>
      </c>
      <c r="B191" s="6" t="s">
        <v>324</v>
      </c>
      <c r="C191" s="6" t="s">
        <v>57</v>
      </c>
      <c r="D191" s="6" t="s">
        <v>44</v>
      </c>
      <c r="E191" s="6" t="n">
        <f aca="false">ROUND(11869*1.05,2)</f>
        <v>12462.45</v>
      </c>
      <c r="F191" s="6" t="s">
        <v>45</v>
      </c>
      <c r="G191" s="6" t="s">
        <v>30</v>
      </c>
      <c r="H191" s="6" t="n">
        <f aca="true">ROUND(RAND()*4+6,1)</f>
        <v>8.8</v>
      </c>
      <c r="I191" s="6" t="s">
        <v>46</v>
      </c>
      <c r="J191" s="6" t="str">
        <f aca="false">ROUND(74*1,0)&amp;"%"</f>
        <v>74%</v>
      </c>
    </row>
    <row r="192" customFormat="false" ht="15" hidden="false" customHeight="false" outlineLevel="0" collapsed="false">
      <c r="A192" s="5" t="s">
        <v>2622</v>
      </c>
      <c r="B192" s="5" t="s">
        <v>326</v>
      </c>
      <c r="C192" s="5" t="s">
        <v>57</v>
      </c>
      <c r="D192" s="5" t="s">
        <v>16</v>
      </c>
      <c r="E192" s="5" t="n">
        <f aca="false">ROUND(10285*1.05,2)</f>
        <v>10799.25</v>
      </c>
      <c r="F192" s="5" t="s">
        <v>49</v>
      </c>
      <c r="G192" s="5" t="s">
        <v>18</v>
      </c>
      <c r="H192" s="5" t="n">
        <f aca="true">ROUND(RAND()*4+6,1)</f>
        <v>6.3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2623</v>
      </c>
      <c r="B193" s="6" t="s">
        <v>328</v>
      </c>
      <c r="C193" s="6" t="s">
        <v>57</v>
      </c>
      <c r="D193" s="6" t="s">
        <v>22</v>
      </c>
      <c r="E193" s="6" t="n">
        <f aca="false">ROUND(13193*1.05,2)</f>
        <v>13852.65</v>
      </c>
      <c r="F193" s="6" t="s">
        <v>52</v>
      </c>
      <c r="G193" s="6" t="s">
        <v>24</v>
      </c>
      <c r="H193" s="6" t="n">
        <f aca="true">ROUND(RAND()*4+6,1)</f>
        <v>6.1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2624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2625</v>
      </c>
      <c r="B198" s="5" t="s">
        <v>332</v>
      </c>
      <c r="C198" s="5" t="s">
        <v>76</v>
      </c>
      <c r="D198" s="5" t="s">
        <v>16</v>
      </c>
      <c r="E198" s="5" t="n">
        <f aca="false">ROUND(6407*1.05,2)</f>
        <v>6727.35</v>
      </c>
      <c r="F198" s="5" t="s">
        <v>17</v>
      </c>
      <c r="G198" s="5" t="s">
        <v>18</v>
      </c>
      <c r="H198" s="5" t="n">
        <f aca="true">ROUND(RAND()*4+6,1)</f>
        <v>7.2</v>
      </c>
      <c r="I198" s="5" t="s">
        <v>19</v>
      </c>
      <c r="J198" s="5" t="str">
        <f aca="false">ROUND(94*1,0)&amp;"%"</f>
        <v>94%</v>
      </c>
    </row>
    <row r="199" customFormat="false" ht="15" hidden="false" customHeight="false" outlineLevel="0" collapsed="false">
      <c r="A199" s="6" t="s">
        <v>2626</v>
      </c>
      <c r="B199" s="6" t="s">
        <v>334</v>
      </c>
      <c r="C199" s="6" t="s">
        <v>76</v>
      </c>
      <c r="D199" s="6" t="s">
        <v>22</v>
      </c>
      <c r="E199" s="6" t="n">
        <f aca="false">ROUND(6940*1.05,2)</f>
        <v>7287</v>
      </c>
      <c r="F199" s="6" t="s">
        <v>23</v>
      </c>
      <c r="G199" s="6" t="s">
        <v>24</v>
      </c>
      <c r="H199" s="6" t="n">
        <f aca="true">ROUND(RAND()*4+6,1)</f>
        <v>8</v>
      </c>
      <c r="I199" s="6" t="s">
        <v>25</v>
      </c>
      <c r="J199" s="6" t="str">
        <f aca="false">ROUND(75*1,0)&amp;"%"</f>
        <v>75%</v>
      </c>
    </row>
    <row r="200" customFormat="false" ht="15" hidden="false" customHeight="false" outlineLevel="0" collapsed="false">
      <c r="A200" s="5" t="s">
        <v>2627</v>
      </c>
      <c r="B200" s="5" t="s">
        <v>336</v>
      </c>
      <c r="C200" s="5" t="s">
        <v>76</v>
      </c>
      <c r="D200" s="5" t="s">
        <v>28</v>
      </c>
      <c r="E200" s="5" t="n">
        <f aca="false">ROUND(6730*1.05,2)</f>
        <v>7066.5</v>
      </c>
      <c r="F200" s="5" t="s">
        <v>29</v>
      </c>
      <c r="G200" s="5" t="s">
        <v>30</v>
      </c>
      <c r="H200" s="5" t="n">
        <f aca="true">ROUND(RAND()*4+6,1)</f>
        <v>8.7</v>
      </c>
      <c r="I200" s="5" t="s">
        <v>31</v>
      </c>
      <c r="J200" s="5" t="str">
        <f aca="false">ROUND(67*1,0)&amp;"%"</f>
        <v>67%</v>
      </c>
    </row>
    <row r="201" customFormat="false" ht="15" hidden="false" customHeight="false" outlineLevel="0" collapsed="false">
      <c r="A201" s="6" t="s">
        <v>2628</v>
      </c>
      <c r="B201" s="6" t="s">
        <v>338</v>
      </c>
      <c r="C201" s="6" t="s">
        <v>76</v>
      </c>
      <c r="D201" s="6" t="s">
        <v>34</v>
      </c>
      <c r="E201" s="6" t="n">
        <f aca="false">ROUND(4911*1.05,2)</f>
        <v>5156.55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2629</v>
      </c>
      <c r="B202" s="5" t="s">
        <v>340</v>
      </c>
      <c r="C202" s="5" t="s">
        <v>76</v>
      </c>
      <c r="D202" s="5" t="s">
        <v>39</v>
      </c>
      <c r="E202" s="5" t="n">
        <f aca="false">ROUND(6496*1.05,2)</f>
        <v>6820.8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ROUND(73*1,0)&amp;"%"</f>
        <v>73%</v>
      </c>
    </row>
    <row r="203" customFormat="false" ht="15" hidden="false" customHeight="false" outlineLevel="0" collapsed="false">
      <c r="A203" s="6" t="s">
        <v>2630</v>
      </c>
      <c r="B203" s="6" t="s">
        <v>342</v>
      </c>
      <c r="C203" s="6" t="s">
        <v>76</v>
      </c>
      <c r="D203" s="6" t="s">
        <v>44</v>
      </c>
      <c r="E203" s="6" t="n">
        <f aca="false">ROUND(17993*1.05,2)</f>
        <v>18892.65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ROUND(96*1,0)&amp;"%"</f>
        <v>96%</v>
      </c>
    </row>
    <row r="204" customFormat="false" ht="15" hidden="false" customHeight="false" outlineLevel="0" collapsed="false">
      <c r="A204" s="5" t="s">
        <v>2631</v>
      </c>
      <c r="B204" s="5" t="s">
        <v>344</v>
      </c>
      <c r="C204" s="5" t="s">
        <v>76</v>
      </c>
      <c r="D204" s="5" t="s">
        <v>16</v>
      </c>
      <c r="E204" s="5" t="n">
        <f aca="false">ROUND(6959*1.05,2)</f>
        <v>7306.95</v>
      </c>
      <c r="F204" s="5" t="s">
        <v>49</v>
      </c>
      <c r="G204" s="5" t="s">
        <v>18</v>
      </c>
      <c r="H204" s="5" t="n">
        <f aca="true">ROUND(RAND()*4+6,1)</f>
        <v>6.1</v>
      </c>
      <c r="I204" s="5" t="s">
        <v>19</v>
      </c>
      <c r="J204" s="5" t="str">
        <f aca="false">ROUND(67*1,0)&amp;"%"</f>
        <v>67%</v>
      </c>
    </row>
    <row r="205" customFormat="false" ht="15" hidden="false" customHeight="false" outlineLevel="0" collapsed="false">
      <c r="A205" s="6" t="s">
        <v>2632</v>
      </c>
      <c r="B205" s="6" t="s">
        <v>346</v>
      </c>
      <c r="C205" s="6" t="s">
        <v>76</v>
      </c>
      <c r="D205" s="6" t="s">
        <v>22</v>
      </c>
      <c r="E205" s="6" t="n">
        <f aca="false">ROUND(12388*1.05,2)</f>
        <v>13007.4</v>
      </c>
      <c r="F205" s="6" t="s">
        <v>52</v>
      </c>
      <c r="G205" s="6" t="s">
        <v>24</v>
      </c>
      <c r="H205" s="6" t="n">
        <f aca="true">ROUND(RAND()*4+6,1)</f>
        <v>9.9</v>
      </c>
      <c r="I205" s="6" t="s">
        <v>25</v>
      </c>
      <c r="J205" s="6" t="str">
        <f aca="false">ROUND(69*1,0)&amp;"%"</f>
        <v>69%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2633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2634</v>
      </c>
      <c r="B210" s="5" t="s">
        <v>350</v>
      </c>
      <c r="C210" s="5" t="s">
        <v>95</v>
      </c>
      <c r="D210" s="5" t="s">
        <v>16</v>
      </c>
      <c r="E210" s="5" t="n">
        <f aca="false">ROUND(14506*1.05,2)</f>
        <v>15231.3</v>
      </c>
      <c r="F210" s="5" t="s">
        <v>17</v>
      </c>
      <c r="G210" s="5" t="s">
        <v>18</v>
      </c>
      <c r="H210" s="5" t="n">
        <f aca="true">ROUND(RAND()*4+6,1)</f>
        <v>9.4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2635</v>
      </c>
      <c r="B211" s="6" t="s">
        <v>352</v>
      </c>
      <c r="C211" s="6" t="s">
        <v>95</v>
      </c>
      <c r="D211" s="6" t="s">
        <v>22</v>
      </c>
      <c r="E211" s="6" t="n">
        <f aca="false">ROUND(9829*1.05,2)</f>
        <v>10320.45</v>
      </c>
      <c r="F211" s="6" t="s">
        <v>23</v>
      </c>
      <c r="G211" s="6" t="s">
        <v>24</v>
      </c>
      <c r="H211" s="6" t="n">
        <f aca="true">ROUND(RAND()*4+6,1)</f>
        <v>9.8</v>
      </c>
      <c r="I211" s="6" t="s">
        <v>25</v>
      </c>
      <c r="J211" s="6" t="str">
        <f aca="false">ROUND(79*1,0)&amp;"%"</f>
        <v>79%</v>
      </c>
    </row>
    <row r="212" customFormat="false" ht="15" hidden="false" customHeight="false" outlineLevel="0" collapsed="false">
      <c r="A212" s="5" t="s">
        <v>2636</v>
      </c>
      <c r="B212" s="5" t="s">
        <v>354</v>
      </c>
      <c r="C212" s="5" t="s">
        <v>95</v>
      </c>
      <c r="D212" s="5" t="s">
        <v>28</v>
      </c>
      <c r="E212" s="5" t="n">
        <f aca="false">ROUND(9336*1.05,2)</f>
        <v>9802.8</v>
      </c>
      <c r="F212" s="5" t="s">
        <v>29</v>
      </c>
      <c r="G212" s="5" t="s">
        <v>30</v>
      </c>
      <c r="H212" s="5" t="n">
        <f aca="true">ROUND(RAND()*4+6,1)</f>
        <v>9.3</v>
      </c>
      <c r="I212" s="5" t="s">
        <v>31</v>
      </c>
      <c r="J212" s="5" t="str">
        <f aca="false">ROUND(60*1,0)&amp;"%"</f>
        <v>60%</v>
      </c>
    </row>
    <row r="213" customFormat="false" ht="15" hidden="false" customHeight="false" outlineLevel="0" collapsed="false">
      <c r="A213" s="6" t="s">
        <v>2637</v>
      </c>
      <c r="B213" s="6" t="s">
        <v>356</v>
      </c>
      <c r="C213" s="6" t="s">
        <v>95</v>
      </c>
      <c r="D213" s="6" t="s">
        <v>34</v>
      </c>
      <c r="E213" s="6" t="n">
        <f aca="false">ROUND(13927*1.05,2)</f>
        <v>14623.35</v>
      </c>
      <c r="F213" s="6" t="s">
        <v>35</v>
      </c>
      <c r="G213" s="6" t="s">
        <v>18</v>
      </c>
      <c r="H213" s="6" t="n">
        <f aca="true">ROUND(RAND()*4+6,1)</f>
        <v>6.4</v>
      </c>
      <c r="I213" s="6" t="s">
        <v>36</v>
      </c>
      <c r="J213" s="6" t="str">
        <f aca="false">ROUND(62*1,0)&amp;"%"</f>
        <v>62%</v>
      </c>
    </row>
    <row r="214" customFormat="false" ht="15" hidden="false" customHeight="false" outlineLevel="0" collapsed="false">
      <c r="A214" s="5" t="s">
        <v>2638</v>
      </c>
      <c r="B214" s="5" t="s">
        <v>358</v>
      </c>
      <c r="C214" s="5" t="s">
        <v>95</v>
      </c>
      <c r="D214" s="5" t="s">
        <v>39</v>
      </c>
      <c r="E214" s="5" t="n">
        <f aca="false">ROUND(9014*1.05,2)</f>
        <v>9464.7</v>
      </c>
      <c r="F214" s="5" t="s">
        <v>40</v>
      </c>
      <c r="G214" s="5" t="s">
        <v>24</v>
      </c>
      <c r="H214" s="5" t="n">
        <f aca="true">ROUND(RAND()*4+6,1)</f>
        <v>7.9</v>
      </c>
      <c r="I214" s="5" t="s">
        <v>41</v>
      </c>
      <c r="J214" s="5" t="str">
        <f aca="false">ROUND(89*1,0)&amp;"%"</f>
        <v>89%</v>
      </c>
    </row>
    <row r="215" customFormat="false" ht="15" hidden="false" customHeight="false" outlineLevel="0" collapsed="false">
      <c r="A215" s="6" t="s">
        <v>2639</v>
      </c>
      <c r="B215" s="6" t="s">
        <v>360</v>
      </c>
      <c r="C215" s="6" t="s">
        <v>95</v>
      </c>
      <c r="D215" s="6" t="s">
        <v>44</v>
      </c>
      <c r="E215" s="6" t="n">
        <f aca="false">ROUND(6841*1.05,2)</f>
        <v>7183.05</v>
      </c>
      <c r="F215" s="6" t="s">
        <v>45</v>
      </c>
      <c r="G215" s="6" t="s">
        <v>30</v>
      </c>
      <c r="H215" s="6" t="n">
        <f aca="true">ROUND(RAND()*4+6,1)</f>
        <v>8.6</v>
      </c>
      <c r="I215" s="6" t="s">
        <v>46</v>
      </c>
      <c r="J215" s="6" t="str">
        <f aca="false">ROUND(65*1,0)&amp;"%"</f>
        <v>65%</v>
      </c>
    </row>
    <row r="216" customFormat="false" ht="15" hidden="false" customHeight="false" outlineLevel="0" collapsed="false">
      <c r="A216" s="5" t="s">
        <v>2640</v>
      </c>
      <c r="B216" s="5" t="s">
        <v>362</v>
      </c>
      <c r="C216" s="5" t="s">
        <v>95</v>
      </c>
      <c r="D216" s="5" t="s">
        <v>16</v>
      </c>
      <c r="E216" s="5" t="n">
        <f aca="false">ROUND(10539*1.05,2)</f>
        <v>11065.95</v>
      </c>
      <c r="F216" s="5" t="s">
        <v>49</v>
      </c>
      <c r="G216" s="5" t="s">
        <v>18</v>
      </c>
      <c r="H216" s="5" t="n">
        <f aca="true">ROUND(RAND()*4+6,1)</f>
        <v>9.6</v>
      </c>
      <c r="I216" s="5" t="s">
        <v>19</v>
      </c>
      <c r="J216" s="5" t="str">
        <f aca="false">ROUND(73*1,0)&amp;"%"</f>
        <v>73%</v>
      </c>
    </row>
    <row r="217" customFormat="false" ht="15" hidden="false" customHeight="false" outlineLevel="0" collapsed="false">
      <c r="A217" s="6" t="s">
        <v>2641</v>
      </c>
      <c r="B217" s="6" t="s">
        <v>364</v>
      </c>
      <c r="C217" s="6" t="s">
        <v>95</v>
      </c>
      <c r="D217" s="6" t="s">
        <v>22</v>
      </c>
      <c r="E217" s="6" t="n">
        <f aca="false">ROUND(8003*1.05,2)</f>
        <v>8403.15</v>
      </c>
      <c r="F217" s="6" t="s">
        <v>52</v>
      </c>
      <c r="G217" s="6" t="s">
        <v>24</v>
      </c>
      <c r="H217" s="6" t="n">
        <f aca="true">ROUND(RAND()*4+6,1)</f>
        <v>7.1</v>
      </c>
      <c r="I217" s="6" t="s">
        <v>25</v>
      </c>
      <c r="J217" s="6" t="str">
        <f aca="false">ROUND(69*1,0)&amp;"%"</f>
        <v>69%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2642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2643</v>
      </c>
      <c r="B222" s="5" t="s">
        <v>368</v>
      </c>
      <c r="C222" s="5" t="s">
        <v>114</v>
      </c>
      <c r="D222" s="5" t="s">
        <v>16</v>
      </c>
      <c r="E222" s="5" t="n">
        <f aca="false">ROUND(14449*1.05,2)</f>
        <v>15171.45</v>
      </c>
      <c r="F222" s="5" t="s">
        <v>17</v>
      </c>
      <c r="G222" s="5" t="s">
        <v>18</v>
      </c>
      <c r="H222" s="5" t="n">
        <f aca="true">ROUND(RAND()*4+6,1)</f>
        <v>9.1</v>
      </c>
      <c r="I222" s="5" t="s">
        <v>19</v>
      </c>
      <c r="J222" s="5" t="str">
        <f aca="false">ROUND(66*1,0)&amp;"%"</f>
        <v>66%</v>
      </c>
    </row>
    <row r="223" customFormat="false" ht="15" hidden="false" customHeight="false" outlineLevel="0" collapsed="false">
      <c r="A223" s="6" t="s">
        <v>2644</v>
      </c>
      <c r="B223" s="6" t="s">
        <v>370</v>
      </c>
      <c r="C223" s="6" t="s">
        <v>114</v>
      </c>
      <c r="D223" s="6" t="s">
        <v>22</v>
      </c>
      <c r="E223" s="6" t="n">
        <f aca="false">ROUND(6753*1.05,2)</f>
        <v>7090.65</v>
      </c>
      <c r="F223" s="6" t="s">
        <v>23</v>
      </c>
      <c r="G223" s="6" t="s">
        <v>24</v>
      </c>
      <c r="H223" s="6" t="n">
        <f aca="true">ROUND(RAND()*4+6,1)</f>
        <v>6.4</v>
      </c>
      <c r="I223" s="6" t="s">
        <v>25</v>
      </c>
      <c r="J223" s="6" t="str">
        <f aca="false">ROUND(99*1,0)&amp;"%"</f>
        <v>99%</v>
      </c>
    </row>
    <row r="224" customFormat="false" ht="15" hidden="false" customHeight="false" outlineLevel="0" collapsed="false">
      <c r="A224" s="5" t="s">
        <v>2645</v>
      </c>
      <c r="B224" s="5" t="s">
        <v>372</v>
      </c>
      <c r="C224" s="5" t="s">
        <v>114</v>
      </c>
      <c r="D224" s="5" t="s">
        <v>28</v>
      </c>
      <c r="E224" s="5" t="n">
        <f aca="false">ROUND(8671*1.05,2)</f>
        <v>9104.55</v>
      </c>
      <c r="F224" s="5" t="s">
        <v>29</v>
      </c>
      <c r="G224" s="5" t="s">
        <v>30</v>
      </c>
      <c r="H224" s="5" t="n">
        <f aca="true">ROUND(RAND()*4+6,1)</f>
        <v>8.8</v>
      </c>
      <c r="I224" s="5" t="s">
        <v>31</v>
      </c>
      <c r="J224" s="5" t="str">
        <f aca="false">ROUND(88*1,0)&amp;"%"</f>
        <v>88%</v>
      </c>
    </row>
    <row r="225" customFormat="false" ht="15" hidden="false" customHeight="false" outlineLevel="0" collapsed="false">
      <c r="A225" s="6" t="s">
        <v>2646</v>
      </c>
      <c r="B225" s="6" t="s">
        <v>374</v>
      </c>
      <c r="C225" s="6" t="s">
        <v>114</v>
      </c>
      <c r="D225" s="6" t="s">
        <v>34</v>
      </c>
      <c r="E225" s="6" t="n">
        <f aca="false">ROUND(4379*1.05,2)</f>
        <v>4597.95</v>
      </c>
      <c r="F225" s="6" t="s">
        <v>35</v>
      </c>
      <c r="G225" s="6" t="s">
        <v>18</v>
      </c>
      <c r="H225" s="6" t="n">
        <f aca="true">ROUND(RAND()*4+6,1)</f>
        <v>9.1</v>
      </c>
      <c r="I225" s="6" t="s">
        <v>36</v>
      </c>
      <c r="J225" s="6" t="str">
        <f aca="false">ROUND(78*1,0)&amp;"%"</f>
        <v>78%</v>
      </c>
    </row>
    <row r="226" customFormat="false" ht="15" hidden="false" customHeight="false" outlineLevel="0" collapsed="false">
      <c r="A226" s="5" t="s">
        <v>2647</v>
      </c>
      <c r="B226" s="5" t="s">
        <v>376</v>
      </c>
      <c r="C226" s="5" t="s">
        <v>114</v>
      </c>
      <c r="D226" s="5" t="s">
        <v>39</v>
      </c>
      <c r="E226" s="5" t="n">
        <f aca="false">ROUND(5621*1.05,2)</f>
        <v>5902.05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ROUND(72*1,0)&amp;"%"</f>
        <v>72%</v>
      </c>
    </row>
    <row r="227" customFormat="false" ht="15" hidden="false" customHeight="false" outlineLevel="0" collapsed="false">
      <c r="A227" s="6" t="s">
        <v>2648</v>
      </c>
      <c r="B227" s="6" t="s">
        <v>378</v>
      </c>
      <c r="C227" s="6" t="s">
        <v>114</v>
      </c>
      <c r="D227" s="6" t="s">
        <v>44</v>
      </c>
      <c r="E227" s="6" t="n">
        <f aca="false">ROUND(4711*1.05,2)</f>
        <v>4946.55</v>
      </c>
      <c r="F227" s="6" t="s">
        <v>45</v>
      </c>
      <c r="G227" s="6" t="s">
        <v>30</v>
      </c>
      <c r="H227" s="6" t="n">
        <f aca="true">ROUND(RAND()*4+6,1)</f>
        <v>8.3</v>
      </c>
      <c r="I227" s="6" t="s">
        <v>46</v>
      </c>
      <c r="J227" s="6" t="str">
        <f aca="false">ROUND(97*1,0)&amp;"%"</f>
        <v>97%</v>
      </c>
    </row>
    <row r="228" customFormat="false" ht="15" hidden="false" customHeight="false" outlineLevel="0" collapsed="false">
      <c r="A228" s="5" t="s">
        <v>2649</v>
      </c>
      <c r="B228" s="5" t="s">
        <v>380</v>
      </c>
      <c r="C228" s="5" t="s">
        <v>114</v>
      </c>
      <c r="D228" s="5" t="s">
        <v>16</v>
      </c>
      <c r="E228" s="5" t="n">
        <f aca="false">ROUND(8971*1.05,2)</f>
        <v>9419.55</v>
      </c>
      <c r="F228" s="5" t="s">
        <v>49</v>
      </c>
      <c r="G228" s="5" t="s">
        <v>18</v>
      </c>
      <c r="H228" s="5" t="n">
        <f aca="true">ROUND(RAND()*4+6,1)</f>
        <v>10</v>
      </c>
      <c r="I228" s="5" t="s">
        <v>19</v>
      </c>
      <c r="J228" s="5" t="str">
        <f aca="false">ROUND(63*1,0)&amp;"%"</f>
        <v>63%</v>
      </c>
    </row>
    <row r="229" customFormat="false" ht="15" hidden="false" customHeight="false" outlineLevel="0" collapsed="false">
      <c r="A229" s="6" t="s">
        <v>2650</v>
      </c>
      <c r="B229" s="6" t="s">
        <v>382</v>
      </c>
      <c r="C229" s="6" t="s">
        <v>114</v>
      </c>
      <c r="D229" s="6" t="s">
        <v>22</v>
      </c>
      <c r="E229" s="6" t="n">
        <f aca="false">ROUND(12105*1.05,2)</f>
        <v>12710.25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ROUND(79*1,0)&amp;"%"</f>
        <v>79%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2651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2652</v>
      </c>
      <c r="B234" s="5" t="s">
        <v>386</v>
      </c>
      <c r="C234" s="5" t="s">
        <v>133</v>
      </c>
      <c r="D234" s="5" t="s">
        <v>16</v>
      </c>
      <c r="E234" s="5" t="n">
        <f aca="false">ROUND(14076*1.05,2)</f>
        <v>14779.8</v>
      </c>
      <c r="F234" s="5" t="s">
        <v>17</v>
      </c>
      <c r="G234" s="5" t="s">
        <v>18</v>
      </c>
      <c r="H234" s="5" t="n">
        <f aca="true">ROUND(RAND()*4+6,1)</f>
        <v>9.8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2653</v>
      </c>
      <c r="B235" s="6" t="s">
        <v>388</v>
      </c>
      <c r="C235" s="6" t="s">
        <v>133</v>
      </c>
      <c r="D235" s="6" t="s">
        <v>22</v>
      </c>
      <c r="E235" s="6" t="n">
        <f aca="false">ROUND(16549*1.05,2)</f>
        <v>17376.45</v>
      </c>
      <c r="F235" s="6" t="s">
        <v>23</v>
      </c>
      <c r="G235" s="6" t="s">
        <v>24</v>
      </c>
      <c r="H235" s="6" t="n">
        <f aca="true">ROUND(RAND()*4+6,1)</f>
        <v>6.6</v>
      </c>
      <c r="I235" s="6" t="s">
        <v>25</v>
      </c>
      <c r="J235" s="6" t="str">
        <f aca="false">ROUND(71*1,0)&amp;"%"</f>
        <v>71%</v>
      </c>
    </row>
    <row r="236" customFormat="false" ht="15" hidden="false" customHeight="false" outlineLevel="0" collapsed="false">
      <c r="A236" s="5" t="s">
        <v>2654</v>
      </c>
      <c r="B236" s="5" t="s">
        <v>390</v>
      </c>
      <c r="C236" s="5" t="s">
        <v>133</v>
      </c>
      <c r="D236" s="5" t="s">
        <v>28</v>
      </c>
      <c r="E236" s="5" t="n">
        <f aca="false">ROUND(6250*1.05,2)</f>
        <v>6562.5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ROUND(75*1,0)&amp;"%"</f>
        <v>75%</v>
      </c>
    </row>
    <row r="237" customFormat="false" ht="15" hidden="false" customHeight="false" outlineLevel="0" collapsed="false">
      <c r="A237" s="6" t="s">
        <v>2655</v>
      </c>
      <c r="B237" s="6" t="s">
        <v>392</v>
      </c>
      <c r="C237" s="6" t="s">
        <v>133</v>
      </c>
      <c r="D237" s="6" t="s">
        <v>34</v>
      </c>
      <c r="E237" s="6" t="n">
        <f aca="false">ROUND(12728*1.05,2)</f>
        <v>13364.4</v>
      </c>
      <c r="F237" s="6" t="s">
        <v>35</v>
      </c>
      <c r="G237" s="6" t="s">
        <v>18</v>
      </c>
      <c r="H237" s="6" t="n">
        <f aca="true">ROUND(RAND()*4+6,1)</f>
        <v>7.5</v>
      </c>
      <c r="I237" s="6" t="s">
        <v>36</v>
      </c>
      <c r="J237" s="6" t="str">
        <f aca="false">ROUND(78*1,0)&amp;"%"</f>
        <v>78%</v>
      </c>
    </row>
    <row r="238" customFormat="false" ht="15" hidden="false" customHeight="false" outlineLevel="0" collapsed="false">
      <c r="A238" s="5" t="s">
        <v>2656</v>
      </c>
      <c r="B238" s="5" t="s">
        <v>394</v>
      </c>
      <c r="C238" s="5" t="s">
        <v>133</v>
      </c>
      <c r="D238" s="5" t="s">
        <v>39</v>
      </c>
      <c r="E238" s="5" t="n">
        <f aca="false">ROUND(11342*1.05,2)</f>
        <v>11909.1</v>
      </c>
      <c r="F238" s="5" t="s">
        <v>40</v>
      </c>
      <c r="G238" s="5" t="s">
        <v>24</v>
      </c>
      <c r="H238" s="5" t="n">
        <f aca="true">ROUND(RAND()*4+6,1)</f>
        <v>7.4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2657</v>
      </c>
      <c r="B239" s="6" t="s">
        <v>396</v>
      </c>
      <c r="C239" s="6" t="s">
        <v>133</v>
      </c>
      <c r="D239" s="6" t="s">
        <v>44</v>
      </c>
      <c r="E239" s="6" t="n">
        <f aca="false">ROUND(9727*1.05,2)</f>
        <v>10213.35</v>
      </c>
      <c r="F239" s="6" t="s">
        <v>45</v>
      </c>
      <c r="G239" s="6" t="s">
        <v>30</v>
      </c>
      <c r="H239" s="6" t="n">
        <f aca="true">ROUND(RAND()*4+6,1)</f>
        <v>6.7</v>
      </c>
      <c r="I239" s="6" t="s">
        <v>46</v>
      </c>
      <c r="J239" s="6" t="str">
        <f aca="false">ROUND(64*1,0)&amp;"%"</f>
        <v>64%</v>
      </c>
    </row>
    <row r="240" customFormat="false" ht="15" hidden="false" customHeight="false" outlineLevel="0" collapsed="false">
      <c r="A240" s="5" t="s">
        <v>2658</v>
      </c>
      <c r="B240" s="5" t="s">
        <v>398</v>
      </c>
      <c r="C240" s="5" t="s">
        <v>133</v>
      </c>
      <c r="D240" s="5" t="s">
        <v>16</v>
      </c>
      <c r="E240" s="5" t="n">
        <f aca="false">ROUND(11857*1.05,2)</f>
        <v>12449.85</v>
      </c>
      <c r="F240" s="5" t="s">
        <v>49</v>
      </c>
      <c r="G240" s="5" t="s">
        <v>18</v>
      </c>
      <c r="H240" s="5" t="n">
        <f aca="true">ROUND(RAND()*4+6,1)</f>
        <v>8.9</v>
      </c>
      <c r="I240" s="5" t="s">
        <v>19</v>
      </c>
      <c r="J240" s="5" t="str">
        <f aca="false">ROUND(99*1,0)&amp;"%"</f>
        <v>99%</v>
      </c>
    </row>
    <row r="241" customFormat="false" ht="15" hidden="false" customHeight="false" outlineLevel="0" collapsed="false">
      <c r="A241" s="6" t="s">
        <v>2659</v>
      </c>
      <c r="B241" s="6" t="s">
        <v>400</v>
      </c>
      <c r="C241" s="6" t="s">
        <v>133</v>
      </c>
      <c r="D241" s="6" t="s">
        <v>22</v>
      </c>
      <c r="E241" s="6" t="n">
        <f aca="false">ROUND(9770*1.05,2)</f>
        <v>10258.5</v>
      </c>
      <c r="F241" s="6" t="s">
        <v>52</v>
      </c>
      <c r="G241" s="6" t="s">
        <v>24</v>
      </c>
      <c r="H241" s="6" t="n">
        <f aca="true">ROUND(RAND()*4+6,1)</f>
        <v>7.7</v>
      </c>
      <c r="I241" s="6" t="s">
        <v>25</v>
      </c>
      <c r="J241" s="6" t="str">
        <f aca="false">ROUND(69*1,0)&amp;"%"</f>
        <v>69%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2660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2661</v>
      </c>
      <c r="B246" s="5" t="s">
        <v>404</v>
      </c>
      <c r="C246" s="5" t="s">
        <v>152</v>
      </c>
      <c r="D246" s="5" t="s">
        <v>16</v>
      </c>
      <c r="E246" s="5" t="n">
        <f aca="false">ROUND(16727*1.05,2)</f>
        <v>17563.35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ROUND(88*1,0)&amp;"%"</f>
        <v>88%</v>
      </c>
    </row>
    <row r="247" customFormat="false" ht="15" hidden="false" customHeight="false" outlineLevel="0" collapsed="false">
      <c r="A247" s="6" t="s">
        <v>2662</v>
      </c>
      <c r="B247" s="6" t="s">
        <v>406</v>
      </c>
      <c r="C247" s="6" t="s">
        <v>152</v>
      </c>
      <c r="D247" s="6" t="s">
        <v>22</v>
      </c>
      <c r="E247" s="6" t="n">
        <f aca="false">ROUND(10378*1.05,2)</f>
        <v>10896.9</v>
      </c>
      <c r="F247" s="6" t="s">
        <v>23</v>
      </c>
      <c r="G247" s="6" t="s">
        <v>24</v>
      </c>
      <c r="H247" s="6" t="n">
        <f aca="true">ROUND(RAND()*4+6,1)</f>
        <v>9.5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2663</v>
      </c>
      <c r="B248" s="5" t="s">
        <v>408</v>
      </c>
      <c r="C248" s="5" t="s">
        <v>152</v>
      </c>
      <c r="D248" s="5" t="s">
        <v>28</v>
      </c>
      <c r="E248" s="5" t="n">
        <f aca="false">ROUND(10325*1.05,2)</f>
        <v>10841.25</v>
      </c>
      <c r="F248" s="5" t="s">
        <v>29</v>
      </c>
      <c r="G248" s="5" t="s">
        <v>30</v>
      </c>
      <c r="H248" s="5" t="n">
        <f aca="true">ROUND(RAND()*4+6,1)</f>
        <v>9.9</v>
      </c>
      <c r="I248" s="5" t="s">
        <v>31</v>
      </c>
      <c r="J248" s="5" t="str">
        <f aca="false">ROUND(62*1,0)&amp;"%"</f>
        <v>62%</v>
      </c>
    </row>
    <row r="249" customFormat="false" ht="15" hidden="false" customHeight="false" outlineLevel="0" collapsed="false">
      <c r="A249" s="6" t="s">
        <v>2664</v>
      </c>
      <c r="B249" s="6" t="s">
        <v>410</v>
      </c>
      <c r="C249" s="6" t="s">
        <v>152</v>
      </c>
      <c r="D249" s="6" t="s">
        <v>34</v>
      </c>
      <c r="E249" s="6" t="n">
        <f aca="false">ROUND(4659*1.05,2)</f>
        <v>4891.95</v>
      </c>
      <c r="F249" s="6" t="s">
        <v>35</v>
      </c>
      <c r="G249" s="6" t="s">
        <v>18</v>
      </c>
      <c r="H249" s="6" t="n">
        <f aca="true">ROUND(RAND()*4+6,1)</f>
        <v>9.9</v>
      </c>
      <c r="I249" s="6" t="s">
        <v>36</v>
      </c>
      <c r="J249" s="6" t="str">
        <f aca="false">ROUND(88*1,0)&amp;"%"</f>
        <v>88%</v>
      </c>
    </row>
    <row r="250" customFormat="false" ht="15" hidden="false" customHeight="false" outlineLevel="0" collapsed="false">
      <c r="A250" s="5" t="s">
        <v>2665</v>
      </c>
      <c r="B250" s="5" t="s">
        <v>412</v>
      </c>
      <c r="C250" s="5" t="s">
        <v>152</v>
      </c>
      <c r="D250" s="5" t="s">
        <v>39</v>
      </c>
      <c r="E250" s="5" t="n">
        <f aca="false">ROUND(7362*1.05,2)</f>
        <v>7730.1</v>
      </c>
      <c r="F250" s="5" t="s">
        <v>40</v>
      </c>
      <c r="G250" s="5" t="s">
        <v>24</v>
      </c>
      <c r="H250" s="5" t="n">
        <f aca="true">ROUND(RAND()*4+6,1)</f>
        <v>9.5</v>
      </c>
      <c r="I250" s="5" t="s">
        <v>41</v>
      </c>
      <c r="J250" s="5" t="str">
        <f aca="false">ROUND(60*1,0)&amp;"%"</f>
        <v>60%</v>
      </c>
    </row>
    <row r="251" customFormat="false" ht="15" hidden="false" customHeight="false" outlineLevel="0" collapsed="false">
      <c r="A251" s="6" t="s">
        <v>2666</v>
      </c>
      <c r="B251" s="6" t="s">
        <v>414</v>
      </c>
      <c r="C251" s="6" t="s">
        <v>152</v>
      </c>
      <c r="D251" s="6" t="s">
        <v>44</v>
      </c>
      <c r="E251" s="6" t="n">
        <f aca="false">ROUND(14638*1.05,2)</f>
        <v>15369.9</v>
      </c>
      <c r="F251" s="6" t="s">
        <v>45</v>
      </c>
      <c r="G251" s="6" t="s">
        <v>30</v>
      </c>
      <c r="H251" s="6" t="n">
        <f aca="true">ROUND(RAND()*4+6,1)</f>
        <v>6.3</v>
      </c>
      <c r="I251" s="6" t="s">
        <v>46</v>
      </c>
      <c r="J251" s="6" t="str">
        <f aca="false">ROUND(73*1,0)&amp;"%"</f>
        <v>73%</v>
      </c>
    </row>
    <row r="252" customFormat="false" ht="15" hidden="false" customHeight="false" outlineLevel="0" collapsed="false">
      <c r="A252" s="5" t="s">
        <v>2667</v>
      </c>
      <c r="B252" s="5" t="s">
        <v>416</v>
      </c>
      <c r="C252" s="5" t="s">
        <v>152</v>
      </c>
      <c r="D252" s="5" t="s">
        <v>16</v>
      </c>
      <c r="E252" s="5" t="n">
        <f aca="false">ROUND(12337*1.05,2)</f>
        <v>12953.85</v>
      </c>
      <c r="F252" s="5" t="s">
        <v>49</v>
      </c>
      <c r="G252" s="5" t="s">
        <v>18</v>
      </c>
      <c r="H252" s="5" t="n">
        <f aca="true">ROUND(RAND()*4+6,1)</f>
        <v>6.2</v>
      </c>
      <c r="I252" s="5" t="s">
        <v>19</v>
      </c>
      <c r="J252" s="5" t="str">
        <f aca="false">ROUND(73*1,0)&amp;"%"</f>
        <v>73%</v>
      </c>
    </row>
    <row r="253" customFormat="false" ht="15" hidden="false" customHeight="false" outlineLevel="0" collapsed="false">
      <c r="A253" s="6" t="s">
        <v>2668</v>
      </c>
      <c r="B253" s="6" t="s">
        <v>418</v>
      </c>
      <c r="C253" s="6" t="s">
        <v>152</v>
      </c>
      <c r="D253" s="6" t="s">
        <v>22</v>
      </c>
      <c r="E253" s="6" t="n">
        <f aca="false">ROUND(6114*1.05,2)</f>
        <v>6419.7</v>
      </c>
      <c r="F253" s="6" t="s">
        <v>52</v>
      </c>
      <c r="G253" s="6" t="s">
        <v>24</v>
      </c>
      <c r="H253" s="6" t="n">
        <f aca="true">ROUND(RAND()*4+6,1)</f>
        <v>9.6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2669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2670</v>
      </c>
      <c r="B258" s="5" t="s">
        <v>422</v>
      </c>
      <c r="C258" s="5" t="s">
        <v>15</v>
      </c>
      <c r="D258" s="5" t="s">
        <v>16</v>
      </c>
      <c r="E258" s="5" t="n">
        <f aca="false">ROUND(8256*1.05,2)</f>
        <v>8668.8</v>
      </c>
      <c r="F258" s="5" t="s">
        <v>17</v>
      </c>
      <c r="G258" s="5" t="s">
        <v>18</v>
      </c>
      <c r="H258" s="5" t="n">
        <f aca="true">ROUND(RAND()*4+6,1)</f>
        <v>7</v>
      </c>
      <c r="I258" s="5" t="s">
        <v>19</v>
      </c>
      <c r="J258" s="5" t="str">
        <f aca="false">ROUND(68*1,0)&amp;"%"</f>
        <v>68%</v>
      </c>
    </row>
    <row r="259" customFormat="false" ht="15" hidden="false" customHeight="false" outlineLevel="0" collapsed="false">
      <c r="A259" s="6" t="s">
        <v>2671</v>
      </c>
      <c r="B259" s="6" t="s">
        <v>424</v>
      </c>
      <c r="C259" s="6" t="s">
        <v>15</v>
      </c>
      <c r="D259" s="6" t="s">
        <v>22</v>
      </c>
      <c r="E259" s="6" t="n">
        <f aca="false">ROUND(12127*1.05,2)</f>
        <v>12733.35</v>
      </c>
      <c r="F259" s="6" t="s">
        <v>23</v>
      </c>
      <c r="G259" s="6" t="s">
        <v>24</v>
      </c>
      <c r="H259" s="6" t="n">
        <f aca="true">ROUND(RAND()*4+6,1)</f>
        <v>8.9</v>
      </c>
      <c r="I259" s="6" t="s">
        <v>25</v>
      </c>
      <c r="J259" s="6" t="str">
        <f aca="false">ROUND(74*1,0)&amp;"%"</f>
        <v>74%</v>
      </c>
    </row>
    <row r="260" customFormat="false" ht="15" hidden="false" customHeight="false" outlineLevel="0" collapsed="false">
      <c r="A260" s="5" t="s">
        <v>2672</v>
      </c>
      <c r="B260" s="5" t="s">
        <v>426</v>
      </c>
      <c r="C260" s="5" t="s">
        <v>15</v>
      </c>
      <c r="D260" s="5" t="s">
        <v>28</v>
      </c>
      <c r="E260" s="5" t="n">
        <f aca="false">ROUND(13425*1.05,2)</f>
        <v>14096.25</v>
      </c>
      <c r="F260" s="5" t="s">
        <v>29</v>
      </c>
      <c r="G260" s="5" t="s">
        <v>30</v>
      </c>
      <c r="H260" s="5" t="n">
        <f aca="true">ROUND(RAND()*4+6,1)</f>
        <v>6.7</v>
      </c>
      <c r="I260" s="5" t="s">
        <v>31</v>
      </c>
      <c r="J260" s="5" t="str">
        <f aca="false">ROUND(99*1,0)&amp;"%"</f>
        <v>99%</v>
      </c>
    </row>
    <row r="261" customFormat="false" ht="15" hidden="false" customHeight="false" outlineLevel="0" collapsed="false">
      <c r="A261" s="6" t="s">
        <v>2673</v>
      </c>
      <c r="B261" s="6" t="s">
        <v>428</v>
      </c>
      <c r="C261" s="6" t="s">
        <v>15</v>
      </c>
      <c r="D261" s="6" t="s">
        <v>34</v>
      </c>
      <c r="E261" s="6" t="n">
        <f aca="false">ROUND(11379*1.05,2)</f>
        <v>11947.95</v>
      </c>
      <c r="F261" s="6" t="s">
        <v>35</v>
      </c>
      <c r="G261" s="6" t="s">
        <v>18</v>
      </c>
      <c r="H261" s="6" t="n">
        <f aca="true">ROUND(RAND()*4+6,1)</f>
        <v>9.8</v>
      </c>
      <c r="I261" s="6" t="s">
        <v>36</v>
      </c>
      <c r="J261" s="6" t="str">
        <f aca="false">ROUND(89*1,0)&amp;"%"</f>
        <v>89%</v>
      </c>
    </row>
    <row r="262" customFormat="false" ht="15" hidden="false" customHeight="false" outlineLevel="0" collapsed="false">
      <c r="A262" s="5" t="s">
        <v>2674</v>
      </c>
      <c r="B262" s="5" t="s">
        <v>430</v>
      </c>
      <c r="C262" s="5" t="s">
        <v>15</v>
      </c>
      <c r="D262" s="5" t="s">
        <v>39</v>
      </c>
      <c r="E262" s="5" t="n">
        <f aca="false">ROUND(17676*1.05,2)</f>
        <v>18559.8</v>
      </c>
      <c r="F262" s="5" t="s">
        <v>40</v>
      </c>
      <c r="G262" s="5" t="s">
        <v>24</v>
      </c>
      <c r="H262" s="5" t="n">
        <f aca="true">ROUND(RAND()*4+6,1)</f>
        <v>6.1</v>
      </c>
      <c r="I262" s="5" t="s">
        <v>41</v>
      </c>
      <c r="J262" s="5" t="str">
        <f aca="false">ROUND(96*1,0)&amp;"%"</f>
        <v>96%</v>
      </c>
    </row>
    <row r="263" customFormat="false" ht="15" hidden="false" customHeight="false" outlineLevel="0" collapsed="false">
      <c r="A263" s="6" t="s">
        <v>2675</v>
      </c>
      <c r="B263" s="6" t="s">
        <v>432</v>
      </c>
      <c r="C263" s="6" t="s">
        <v>15</v>
      </c>
      <c r="D263" s="6" t="s">
        <v>44</v>
      </c>
      <c r="E263" s="6" t="n">
        <f aca="false">ROUND(8450*1.05,2)</f>
        <v>8872.5</v>
      </c>
      <c r="F263" s="6" t="s">
        <v>45</v>
      </c>
      <c r="G263" s="6" t="s">
        <v>30</v>
      </c>
      <c r="H263" s="6" t="n">
        <f aca="true">ROUND(RAND()*4+6,1)</f>
        <v>6.9</v>
      </c>
      <c r="I263" s="6" t="s">
        <v>46</v>
      </c>
      <c r="J263" s="6" t="str">
        <f aca="false">ROUND(80*1,0)&amp;"%"</f>
        <v>80%</v>
      </c>
    </row>
    <row r="264" customFormat="false" ht="15" hidden="false" customHeight="false" outlineLevel="0" collapsed="false">
      <c r="A264" s="5" t="s">
        <v>2676</v>
      </c>
      <c r="B264" s="5" t="s">
        <v>434</v>
      </c>
      <c r="C264" s="5" t="s">
        <v>15</v>
      </c>
      <c r="D264" s="5" t="s">
        <v>16</v>
      </c>
      <c r="E264" s="5" t="n">
        <f aca="false">ROUND(13738*1.05,2)</f>
        <v>14424.9</v>
      </c>
      <c r="F264" s="5" t="s">
        <v>49</v>
      </c>
      <c r="G264" s="5" t="s">
        <v>18</v>
      </c>
      <c r="H264" s="5" t="n">
        <f aca="true">ROUND(RAND()*4+6,1)</f>
        <v>6</v>
      </c>
      <c r="I264" s="5" t="s">
        <v>19</v>
      </c>
      <c r="J264" s="5" t="str">
        <f aca="false">ROUND(85*1,0)&amp;"%"</f>
        <v>85%</v>
      </c>
    </row>
    <row r="265" customFormat="false" ht="15" hidden="false" customHeight="false" outlineLevel="0" collapsed="false">
      <c r="A265" s="6" t="s">
        <v>2677</v>
      </c>
      <c r="B265" s="6" t="s">
        <v>436</v>
      </c>
      <c r="C265" s="6" t="s">
        <v>15</v>
      </c>
      <c r="D265" s="6" t="s">
        <v>22</v>
      </c>
      <c r="E265" s="6" t="n">
        <f aca="false">ROUND(14454*1.05,2)</f>
        <v>15176.7</v>
      </c>
      <c r="F265" s="6" t="s">
        <v>52</v>
      </c>
      <c r="G265" s="6" t="s">
        <v>24</v>
      </c>
      <c r="H265" s="6" t="n">
        <f aca="true">ROUND(RAND()*4+6,1)</f>
        <v>9.2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2678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2679</v>
      </c>
      <c r="B270" s="5" t="s">
        <v>440</v>
      </c>
      <c r="C270" s="5" t="s">
        <v>57</v>
      </c>
      <c r="D270" s="5" t="s">
        <v>16</v>
      </c>
      <c r="E270" s="5" t="n">
        <f aca="false">ROUND(15335*1.05,2)</f>
        <v>16101.75</v>
      </c>
      <c r="F270" s="5" t="s">
        <v>17</v>
      </c>
      <c r="G270" s="5" t="s">
        <v>18</v>
      </c>
      <c r="H270" s="5" t="n">
        <f aca="true">ROUND(RAND()*4+6,1)</f>
        <v>6.9</v>
      </c>
      <c r="I270" s="5" t="s">
        <v>19</v>
      </c>
      <c r="J270" s="5" t="str">
        <f aca="false">ROUND(82*1,0)&amp;"%"</f>
        <v>82%</v>
      </c>
    </row>
    <row r="271" customFormat="false" ht="15" hidden="false" customHeight="false" outlineLevel="0" collapsed="false">
      <c r="A271" s="6" t="s">
        <v>2680</v>
      </c>
      <c r="B271" s="6" t="s">
        <v>442</v>
      </c>
      <c r="C271" s="6" t="s">
        <v>57</v>
      </c>
      <c r="D271" s="6" t="s">
        <v>22</v>
      </c>
      <c r="E271" s="6" t="n">
        <f aca="false">ROUND(16636*1.05,2)</f>
        <v>17467.8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ROUND(65*1,0)&amp;"%"</f>
        <v>65%</v>
      </c>
    </row>
    <row r="272" customFormat="false" ht="15" hidden="false" customHeight="false" outlineLevel="0" collapsed="false">
      <c r="A272" s="5" t="s">
        <v>2681</v>
      </c>
      <c r="B272" s="5" t="s">
        <v>444</v>
      </c>
      <c r="C272" s="5" t="s">
        <v>57</v>
      </c>
      <c r="D272" s="5" t="s">
        <v>28</v>
      </c>
      <c r="E272" s="5" t="n">
        <f aca="false">ROUND(17644*1.05,2)</f>
        <v>18526.2</v>
      </c>
      <c r="F272" s="5" t="s">
        <v>29</v>
      </c>
      <c r="G272" s="5" t="s">
        <v>30</v>
      </c>
      <c r="H272" s="5" t="n">
        <f aca="true">ROUND(RAND()*4+6,1)</f>
        <v>9.3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2682</v>
      </c>
      <c r="B273" s="6" t="s">
        <v>446</v>
      </c>
      <c r="C273" s="6" t="s">
        <v>57</v>
      </c>
      <c r="D273" s="6" t="s">
        <v>34</v>
      </c>
      <c r="E273" s="6" t="n">
        <f aca="false">ROUND(14576*1.05,2)</f>
        <v>15304.8</v>
      </c>
      <c r="F273" s="6" t="s">
        <v>35</v>
      </c>
      <c r="G273" s="6" t="s">
        <v>18</v>
      </c>
      <c r="H273" s="6" t="n">
        <f aca="true">ROUND(RAND()*4+6,1)</f>
        <v>6.1</v>
      </c>
      <c r="I273" s="6" t="s">
        <v>36</v>
      </c>
      <c r="J273" s="6" t="str">
        <f aca="false">ROUND(91*1,0)&amp;"%"</f>
        <v>91%</v>
      </c>
    </row>
    <row r="274" customFormat="false" ht="15" hidden="false" customHeight="false" outlineLevel="0" collapsed="false">
      <c r="A274" s="5" t="s">
        <v>2683</v>
      </c>
      <c r="B274" s="5" t="s">
        <v>448</v>
      </c>
      <c r="C274" s="5" t="s">
        <v>57</v>
      </c>
      <c r="D274" s="5" t="s">
        <v>39</v>
      </c>
      <c r="E274" s="5" t="n">
        <f aca="false">ROUND(14132*1.05,2)</f>
        <v>14838.6</v>
      </c>
      <c r="F274" s="5" t="s">
        <v>40</v>
      </c>
      <c r="G274" s="5" t="s">
        <v>24</v>
      </c>
      <c r="H274" s="5" t="n">
        <f aca="true">ROUND(RAND()*4+6,1)</f>
        <v>6.7</v>
      </c>
      <c r="I274" s="5" t="s">
        <v>41</v>
      </c>
      <c r="J274" s="5" t="str">
        <f aca="false">ROUND(68*1,0)&amp;"%"</f>
        <v>68%</v>
      </c>
    </row>
    <row r="275" customFormat="false" ht="15" hidden="false" customHeight="false" outlineLevel="0" collapsed="false">
      <c r="A275" s="6" t="s">
        <v>2684</v>
      </c>
      <c r="B275" s="6" t="s">
        <v>450</v>
      </c>
      <c r="C275" s="6" t="s">
        <v>57</v>
      </c>
      <c r="D275" s="6" t="s">
        <v>44</v>
      </c>
      <c r="E275" s="6" t="n">
        <f aca="false">ROUND(13682*1.05,2)</f>
        <v>14366.1</v>
      </c>
      <c r="F275" s="6" t="s">
        <v>45</v>
      </c>
      <c r="G275" s="6" t="s">
        <v>30</v>
      </c>
      <c r="H275" s="6" t="n">
        <f aca="true">ROUND(RAND()*4+6,1)</f>
        <v>9.5</v>
      </c>
      <c r="I275" s="6" t="s">
        <v>46</v>
      </c>
      <c r="J275" s="6" t="str">
        <f aca="false">ROUND(82*1,0)&amp;"%"</f>
        <v>82%</v>
      </c>
    </row>
    <row r="276" customFormat="false" ht="15" hidden="false" customHeight="false" outlineLevel="0" collapsed="false">
      <c r="A276" s="5" t="s">
        <v>2685</v>
      </c>
      <c r="B276" s="5" t="s">
        <v>452</v>
      </c>
      <c r="C276" s="5" t="s">
        <v>57</v>
      </c>
      <c r="D276" s="5" t="s">
        <v>16</v>
      </c>
      <c r="E276" s="5" t="n">
        <f aca="false">ROUND(12335*1.05,2)</f>
        <v>12951.75</v>
      </c>
      <c r="F276" s="5" t="s">
        <v>49</v>
      </c>
      <c r="G276" s="5" t="s">
        <v>18</v>
      </c>
      <c r="H276" s="5" t="n">
        <f aca="true">ROUND(RAND()*4+6,1)</f>
        <v>8.5</v>
      </c>
      <c r="I276" s="5" t="s">
        <v>19</v>
      </c>
      <c r="J276" s="5" t="str">
        <f aca="false">ROUND(79*1,0)&amp;"%"</f>
        <v>79%</v>
      </c>
    </row>
    <row r="277" customFormat="false" ht="15" hidden="false" customHeight="false" outlineLevel="0" collapsed="false">
      <c r="A277" s="6" t="s">
        <v>2686</v>
      </c>
      <c r="B277" s="6" t="s">
        <v>454</v>
      </c>
      <c r="C277" s="6" t="s">
        <v>57</v>
      </c>
      <c r="D277" s="6" t="s">
        <v>22</v>
      </c>
      <c r="E277" s="6" t="n">
        <f aca="false">ROUND(9634*1.05,2)</f>
        <v>10115.7</v>
      </c>
      <c r="F277" s="6" t="s">
        <v>52</v>
      </c>
      <c r="G277" s="6" t="s">
        <v>24</v>
      </c>
      <c r="H277" s="6" t="n">
        <f aca="true">ROUND(RAND()*4+6,1)</f>
        <v>8.2</v>
      </c>
      <c r="I277" s="6" t="s">
        <v>25</v>
      </c>
      <c r="J277" s="6" t="str">
        <f aca="false">ROUND(72*1,0)&amp;"%"</f>
        <v>72%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2687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2688</v>
      </c>
      <c r="B282" s="5" t="s">
        <v>458</v>
      </c>
      <c r="C282" s="5" t="s">
        <v>76</v>
      </c>
      <c r="D282" s="5" t="s">
        <v>16</v>
      </c>
      <c r="E282" s="5" t="n">
        <f aca="false">ROUND(11930*1.05,2)</f>
        <v>12526.5</v>
      </c>
      <c r="F282" s="5" t="s">
        <v>17</v>
      </c>
      <c r="G282" s="5" t="s">
        <v>18</v>
      </c>
      <c r="H282" s="5" t="n">
        <f aca="true">ROUND(RAND()*4+6,1)</f>
        <v>7.9</v>
      </c>
      <c r="I282" s="5" t="s">
        <v>19</v>
      </c>
      <c r="J282" s="5" t="str">
        <f aca="false">ROUND(71*1,0)&amp;"%"</f>
        <v>71%</v>
      </c>
    </row>
    <row r="283" customFormat="false" ht="15" hidden="false" customHeight="false" outlineLevel="0" collapsed="false">
      <c r="A283" s="6" t="s">
        <v>2689</v>
      </c>
      <c r="B283" s="6" t="s">
        <v>460</v>
      </c>
      <c r="C283" s="6" t="s">
        <v>76</v>
      </c>
      <c r="D283" s="6" t="s">
        <v>22</v>
      </c>
      <c r="E283" s="6" t="n">
        <f aca="false">ROUND(7907*1.05,2)</f>
        <v>8302.35</v>
      </c>
      <c r="F283" s="6" t="s">
        <v>23</v>
      </c>
      <c r="G283" s="6" t="s">
        <v>24</v>
      </c>
      <c r="H283" s="6" t="n">
        <f aca="true">ROUND(RAND()*4+6,1)</f>
        <v>7.6</v>
      </c>
      <c r="I283" s="6" t="s">
        <v>25</v>
      </c>
      <c r="J283" s="6" t="str">
        <f aca="false">ROUND(81*1,0)&amp;"%"</f>
        <v>81%</v>
      </c>
    </row>
    <row r="284" customFormat="false" ht="15" hidden="false" customHeight="false" outlineLevel="0" collapsed="false">
      <c r="A284" s="5" t="s">
        <v>2690</v>
      </c>
      <c r="B284" s="5" t="s">
        <v>462</v>
      </c>
      <c r="C284" s="5" t="s">
        <v>76</v>
      </c>
      <c r="D284" s="5" t="s">
        <v>28</v>
      </c>
      <c r="E284" s="5" t="n">
        <f aca="false">ROUND(9684*1.05,2)</f>
        <v>10168.2</v>
      </c>
      <c r="F284" s="5" t="s">
        <v>29</v>
      </c>
      <c r="G284" s="5" t="s">
        <v>30</v>
      </c>
      <c r="H284" s="5" t="n">
        <f aca="true">ROUND(RAND()*4+6,1)</f>
        <v>6.5</v>
      </c>
      <c r="I284" s="5" t="s">
        <v>31</v>
      </c>
      <c r="J284" s="5" t="str">
        <f aca="false">ROUND(72*1,0)&amp;"%"</f>
        <v>72%</v>
      </c>
    </row>
    <row r="285" customFormat="false" ht="15" hidden="false" customHeight="false" outlineLevel="0" collapsed="false">
      <c r="A285" s="6" t="s">
        <v>2691</v>
      </c>
      <c r="B285" s="6" t="s">
        <v>464</v>
      </c>
      <c r="C285" s="6" t="s">
        <v>76</v>
      </c>
      <c r="D285" s="6" t="s">
        <v>34</v>
      </c>
      <c r="E285" s="6" t="n">
        <f aca="false">ROUND(16011*1.05,2)</f>
        <v>16811.55</v>
      </c>
      <c r="F285" s="6" t="s">
        <v>35</v>
      </c>
      <c r="G285" s="6" t="s">
        <v>18</v>
      </c>
      <c r="H285" s="6" t="n">
        <f aca="true">ROUND(RAND()*4+6,1)</f>
        <v>7.1</v>
      </c>
      <c r="I285" s="6" t="s">
        <v>36</v>
      </c>
      <c r="J285" s="6" t="str">
        <f aca="false">ROUND(96*1,0)&amp;"%"</f>
        <v>96%</v>
      </c>
    </row>
    <row r="286" customFormat="false" ht="15" hidden="false" customHeight="false" outlineLevel="0" collapsed="false">
      <c r="A286" s="5" t="s">
        <v>2692</v>
      </c>
      <c r="B286" s="5" t="s">
        <v>466</v>
      </c>
      <c r="C286" s="5" t="s">
        <v>76</v>
      </c>
      <c r="D286" s="5" t="s">
        <v>39</v>
      </c>
      <c r="E286" s="5" t="n">
        <f aca="false">ROUND(10762*1.05,2)</f>
        <v>11300.1</v>
      </c>
      <c r="F286" s="5" t="s">
        <v>40</v>
      </c>
      <c r="G286" s="5" t="s">
        <v>24</v>
      </c>
      <c r="H286" s="5" t="n">
        <f aca="true">ROUND(RAND()*4+6,1)</f>
        <v>6.9</v>
      </c>
      <c r="I286" s="5" t="s">
        <v>41</v>
      </c>
      <c r="J286" s="5" t="str">
        <f aca="false">ROUND(74*1,0)&amp;"%"</f>
        <v>74%</v>
      </c>
    </row>
    <row r="287" customFormat="false" ht="15" hidden="false" customHeight="false" outlineLevel="0" collapsed="false">
      <c r="A287" s="6" t="s">
        <v>2693</v>
      </c>
      <c r="B287" s="6" t="s">
        <v>468</v>
      </c>
      <c r="C287" s="6" t="s">
        <v>76</v>
      </c>
      <c r="D287" s="6" t="s">
        <v>44</v>
      </c>
      <c r="E287" s="6" t="n">
        <f aca="false">ROUND(8655*1.05,2)</f>
        <v>9087.75</v>
      </c>
      <c r="F287" s="6" t="s">
        <v>45</v>
      </c>
      <c r="G287" s="6" t="s">
        <v>30</v>
      </c>
      <c r="H287" s="6" t="n">
        <f aca="true">ROUND(RAND()*4+6,1)</f>
        <v>6.2</v>
      </c>
      <c r="I287" s="6" t="s">
        <v>46</v>
      </c>
      <c r="J287" s="6" t="str">
        <f aca="false">ROUND(93*1,0)&amp;"%"</f>
        <v>93%</v>
      </c>
    </row>
    <row r="288" customFormat="false" ht="15" hidden="false" customHeight="false" outlineLevel="0" collapsed="false">
      <c r="A288" s="5" t="s">
        <v>2694</v>
      </c>
      <c r="B288" s="5" t="s">
        <v>470</v>
      </c>
      <c r="C288" s="5" t="s">
        <v>76</v>
      </c>
      <c r="D288" s="5" t="s">
        <v>16</v>
      </c>
      <c r="E288" s="5" t="n">
        <f aca="false">ROUND(14604*1.05,2)</f>
        <v>15334.2</v>
      </c>
      <c r="F288" s="5" t="s">
        <v>49</v>
      </c>
      <c r="G288" s="5" t="s">
        <v>18</v>
      </c>
      <c r="H288" s="5" t="n">
        <f aca="true">ROUND(RAND()*4+6,1)</f>
        <v>6.1</v>
      </c>
      <c r="I288" s="5" t="s">
        <v>19</v>
      </c>
      <c r="J288" s="5" t="str">
        <f aca="false">ROUND(91*1,0)&amp;"%"</f>
        <v>91%</v>
      </c>
    </row>
    <row r="289" customFormat="false" ht="15" hidden="false" customHeight="false" outlineLevel="0" collapsed="false">
      <c r="A289" s="6" t="s">
        <v>2695</v>
      </c>
      <c r="B289" s="6" t="s">
        <v>472</v>
      </c>
      <c r="C289" s="6" t="s">
        <v>76</v>
      </c>
      <c r="D289" s="6" t="s">
        <v>22</v>
      </c>
      <c r="E289" s="6" t="n">
        <f aca="false">ROUND(17192*1.05,2)</f>
        <v>18051.6</v>
      </c>
      <c r="F289" s="6" t="s">
        <v>52</v>
      </c>
      <c r="G289" s="6" t="s">
        <v>24</v>
      </c>
      <c r="H289" s="6" t="n">
        <f aca="true">ROUND(RAND()*4+6,1)</f>
        <v>6.6</v>
      </c>
      <c r="I289" s="6" t="s">
        <v>25</v>
      </c>
      <c r="J289" s="6" t="str">
        <f aca="false">ROUND(73*1,0)&amp;"%"</f>
        <v>73%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2696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2697</v>
      </c>
      <c r="B294" s="5" t="s">
        <v>476</v>
      </c>
      <c r="C294" s="5" t="s">
        <v>95</v>
      </c>
      <c r="D294" s="5" t="s">
        <v>16</v>
      </c>
      <c r="E294" s="5" t="n">
        <f aca="false">ROUND(15627*1.05,2)</f>
        <v>16408.35</v>
      </c>
      <c r="F294" s="5" t="s">
        <v>17</v>
      </c>
      <c r="G294" s="5" t="s">
        <v>18</v>
      </c>
      <c r="H294" s="5" t="n">
        <f aca="true">ROUND(RAND()*4+6,1)</f>
        <v>6</v>
      </c>
      <c r="I294" s="5" t="s">
        <v>19</v>
      </c>
      <c r="J294" s="5" t="str">
        <f aca="false">ROUND(85*1,0)&amp;"%"</f>
        <v>85%</v>
      </c>
    </row>
    <row r="295" customFormat="false" ht="15" hidden="false" customHeight="false" outlineLevel="0" collapsed="false">
      <c r="A295" s="6" t="s">
        <v>2698</v>
      </c>
      <c r="B295" s="6" t="s">
        <v>478</v>
      </c>
      <c r="C295" s="6" t="s">
        <v>95</v>
      </c>
      <c r="D295" s="6" t="s">
        <v>22</v>
      </c>
      <c r="E295" s="6" t="n">
        <f aca="false">ROUND(4816*1.05,2)</f>
        <v>5056.8</v>
      </c>
      <c r="F295" s="6" t="s">
        <v>23</v>
      </c>
      <c r="G295" s="6" t="s">
        <v>24</v>
      </c>
      <c r="H295" s="6" t="n">
        <f aca="true">ROUND(RAND()*4+6,1)</f>
        <v>8.5</v>
      </c>
      <c r="I295" s="6" t="s">
        <v>25</v>
      </c>
      <c r="J295" s="6" t="str">
        <f aca="false">ROUND(95*1,0)&amp;"%"</f>
        <v>95%</v>
      </c>
    </row>
    <row r="296" customFormat="false" ht="15" hidden="false" customHeight="false" outlineLevel="0" collapsed="false">
      <c r="A296" s="5" t="s">
        <v>2699</v>
      </c>
      <c r="B296" s="5" t="s">
        <v>480</v>
      </c>
      <c r="C296" s="5" t="s">
        <v>95</v>
      </c>
      <c r="D296" s="5" t="s">
        <v>28</v>
      </c>
      <c r="E296" s="5" t="n">
        <f aca="false">ROUND(9188*1.05,2)</f>
        <v>9647.4</v>
      </c>
      <c r="F296" s="5" t="s">
        <v>29</v>
      </c>
      <c r="G296" s="5" t="s">
        <v>30</v>
      </c>
      <c r="H296" s="5" t="n">
        <f aca="true">ROUND(RAND()*4+6,1)</f>
        <v>9.6</v>
      </c>
      <c r="I296" s="5" t="s">
        <v>31</v>
      </c>
      <c r="J296" s="5" t="str">
        <f aca="false">ROUND(66*1,0)&amp;"%"</f>
        <v>66%</v>
      </c>
    </row>
    <row r="297" customFormat="false" ht="15" hidden="false" customHeight="false" outlineLevel="0" collapsed="false">
      <c r="A297" s="6" t="s">
        <v>2700</v>
      </c>
      <c r="B297" s="6" t="s">
        <v>482</v>
      </c>
      <c r="C297" s="6" t="s">
        <v>95</v>
      </c>
      <c r="D297" s="6" t="s">
        <v>34</v>
      </c>
      <c r="E297" s="6" t="n">
        <f aca="false">ROUND(15380*1.05,2)</f>
        <v>16149</v>
      </c>
      <c r="F297" s="6" t="s">
        <v>35</v>
      </c>
      <c r="G297" s="6" t="s">
        <v>18</v>
      </c>
      <c r="H297" s="6" t="n">
        <f aca="true">ROUND(RAND()*4+6,1)</f>
        <v>8.6</v>
      </c>
      <c r="I297" s="6" t="s">
        <v>36</v>
      </c>
      <c r="J297" s="6" t="str">
        <f aca="false">ROUND(70*1,0)&amp;"%"</f>
        <v>70%</v>
      </c>
    </row>
    <row r="298" customFormat="false" ht="15" hidden="false" customHeight="false" outlineLevel="0" collapsed="false">
      <c r="A298" s="5" t="s">
        <v>2701</v>
      </c>
      <c r="B298" s="5" t="s">
        <v>484</v>
      </c>
      <c r="C298" s="5" t="s">
        <v>95</v>
      </c>
      <c r="D298" s="5" t="s">
        <v>39</v>
      </c>
      <c r="E298" s="5" t="n">
        <f aca="false">ROUND(6272*1.05,2)</f>
        <v>6585.6</v>
      </c>
      <c r="F298" s="5" t="s">
        <v>40</v>
      </c>
      <c r="G298" s="5" t="s">
        <v>24</v>
      </c>
      <c r="H298" s="5" t="n">
        <f aca="true">ROUND(RAND()*4+6,1)</f>
        <v>8.3</v>
      </c>
      <c r="I298" s="5" t="s">
        <v>41</v>
      </c>
      <c r="J298" s="5" t="str">
        <f aca="false">ROUND(92*1,0)&amp;"%"</f>
        <v>92%</v>
      </c>
    </row>
    <row r="299" customFormat="false" ht="15" hidden="false" customHeight="false" outlineLevel="0" collapsed="false">
      <c r="A299" s="6" t="s">
        <v>2702</v>
      </c>
      <c r="B299" s="6" t="s">
        <v>486</v>
      </c>
      <c r="C299" s="6" t="s">
        <v>95</v>
      </c>
      <c r="D299" s="6" t="s">
        <v>44</v>
      </c>
      <c r="E299" s="6" t="n">
        <f aca="false">ROUND(12164*1.05,2)</f>
        <v>12772.2</v>
      </c>
      <c r="F299" s="6" t="s">
        <v>45</v>
      </c>
      <c r="G299" s="6" t="s">
        <v>30</v>
      </c>
      <c r="H299" s="6" t="n">
        <f aca="true">ROUND(RAND()*4+6,1)</f>
        <v>8.1</v>
      </c>
      <c r="I299" s="6" t="s">
        <v>46</v>
      </c>
      <c r="J299" s="6" t="str">
        <f aca="false">ROUND(80*1,0)&amp;"%"</f>
        <v>80%</v>
      </c>
    </row>
    <row r="300" customFormat="false" ht="15" hidden="false" customHeight="false" outlineLevel="0" collapsed="false">
      <c r="A300" s="5" t="s">
        <v>2703</v>
      </c>
      <c r="B300" s="5" t="s">
        <v>488</v>
      </c>
      <c r="C300" s="5" t="s">
        <v>95</v>
      </c>
      <c r="D300" s="5" t="s">
        <v>16</v>
      </c>
      <c r="E300" s="5" t="n">
        <f aca="false">ROUND(16379*1.05,2)</f>
        <v>17197.95</v>
      </c>
      <c r="F300" s="5" t="s">
        <v>49</v>
      </c>
      <c r="G300" s="5" t="s">
        <v>18</v>
      </c>
      <c r="H300" s="5" t="n">
        <f aca="true">ROUND(RAND()*4+6,1)</f>
        <v>9.4</v>
      </c>
      <c r="I300" s="5" t="s">
        <v>19</v>
      </c>
      <c r="J300" s="5" t="str">
        <f aca="false">ROUND(92*1,0)&amp;"%"</f>
        <v>92%</v>
      </c>
    </row>
    <row r="301" customFormat="false" ht="15" hidden="false" customHeight="false" outlineLevel="0" collapsed="false">
      <c r="A301" s="6" t="s">
        <v>2704</v>
      </c>
      <c r="B301" s="6" t="s">
        <v>490</v>
      </c>
      <c r="C301" s="6" t="s">
        <v>95</v>
      </c>
      <c r="D301" s="6" t="s">
        <v>22</v>
      </c>
      <c r="E301" s="6" t="n">
        <f aca="false">ROUND(6005*1.05,2)</f>
        <v>6305.25</v>
      </c>
      <c r="F301" s="6" t="s">
        <v>52</v>
      </c>
      <c r="G301" s="6" t="s">
        <v>24</v>
      </c>
      <c r="H301" s="6" t="n">
        <f aca="true">ROUND(RAND()*4+6,1)</f>
        <v>9.7</v>
      </c>
      <c r="I301" s="6" t="s">
        <v>25</v>
      </c>
      <c r="J301" s="6" t="str">
        <f aca="false">ROUND(69*1,0)&amp;"%"</f>
        <v>69%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2705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2706</v>
      </c>
      <c r="B306" s="5" t="s">
        <v>494</v>
      </c>
      <c r="C306" s="5" t="s">
        <v>114</v>
      </c>
      <c r="D306" s="5" t="s">
        <v>16</v>
      </c>
      <c r="E306" s="5" t="n">
        <f aca="false">ROUND(4017*1.05,2)</f>
        <v>4217.85</v>
      </c>
      <c r="F306" s="5" t="s">
        <v>17</v>
      </c>
      <c r="G306" s="5" t="s">
        <v>18</v>
      </c>
      <c r="H306" s="5" t="n">
        <f aca="true">ROUND(RAND()*4+6,1)</f>
        <v>6.7</v>
      </c>
      <c r="I306" s="5" t="s">
        <v>19</v>
      </c>
      <c r="J306" s="5" t="str">
        <f aca="false">ROUND(63*1,0)&amp;"%"</f>
        <v>63%</v>
      </c>
    </row>
    <row r="307" customFormat="false" ht="15" hidden="false" customHeight="false" outlineLevel="0" collapsed="false">
      <c r="A307" s="6" t="s">
        <v>2707</v>
      </c>
      <c r="B307" s="6" t="s">
        <v>496</v>
      </c>
      <c r="C307" s="6" t="s">
        <v>114</v>
      </c>
      <c r="D307" s="6" t="s">
        <v>22</v>
      </c>
      <c r="E307" s="6" t="n">
        <f aca="false">ROUND(14511*1.05,2)</f>
        <v>15236.55</v>
      </c>
      <c r="F307" s="6" t="s">
        <v>23</v>
      </c>
      <c r="G307" s="6" t="s">
        <v>24</v>
      </c>
      <c r="H307" s="6" t="n">
        <f aca="true">ROUND(RAND()*4+6,1)</f>
        <v>8.4</v>
      </c>
      <c r="I307" s="6" t="s">
        <v>25</v>
      </c>
      <c r="J307" s="6" t="str">
        <f aca="false">ROUND(69*1,0)&amp;"%"</f>
        <v>69%</v>
      </c>
    </row>
    <row r="308" customFormat="false" ht="15" hidden="false" customHeight="false" outlineLevel="0" collapsed="false">
      <c r="A308" s="5" t="s">
        <v>2708</v>
      </c>
      <c r="B308" s="5" t="s">
        <v>498</v>
      </c>
      <c r="C308" s="5" t="s">
        <v>114</v>
      </c>
      <c r="D308" s="5" t="s">
        <v>28</v>
      </c>
      <c r="E308" s="5" t="n">
        <f aca="false">ROUND(16492*1.05,2)</f>
        <v>17316.6</v>
      </c>
      <c r="F308" s="5" t="s">
        <v>29</v>
      </c>
      <c r="G308" s="5" t="s">
        <v>30</v>
      </c>
      <c r="H308" s="5" t="n">
        <f aca="true">ROUND(RAND()*4+6,1)</f>
        <v>10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2709</v>
      </c>
      <c r="B309" s="6" t="s">
        <v>500</v>
      </c>
      <c r="C309" s="6" t="s">
        <v>114</v>
      </c>
      <c r="D309" s="6" t="s">
        <v>34</v>
      </c>
      <c r="E309" s="6" t="n">
        <f aca="false">ROUND(12531*1.05,2)</f>
        <v>13157.55</v>
      </c>
      <c r="F309" s="6" t="s">
        <v>35</v>
      </c>
      <c r="G309" s="6" t="s">
        <v>18</v>
      </c>
      <c r="H309" s="6" t="n">
        <f aca="true">ROUND(RAND()*4+6,1)</f>
        <v>7.7</v>
      </c>
      <c r="I309" s="6" t="s">
        <v>36</v>
      </c>
      <c r="J309" s="6" t="str">
        <f aca="false">ROUND(65*1,0)&amp;"%"</f>
        <v>65%</v>
      </c>
    </row>
    <row r="310" customFormat="false" ht="15" hidden="false" customHeight="false" outlineLevel="0" collapsed="false">
      <c r="A310" s="5" t="s">
        <v>2710</v>
      </c>
      <c r="B310" s="5" t="s">
        <v>502</v>
      </c>
      <c r="C310" s="5" t="s">
        <v>114</v>
      </c>
      <c r="D310" s="5" t="s">
        <v>39</v>
      </c>
      <c r="E310" s="5" t="n">
        <f aca="false">ROUND(9255*1.05,2)</f>
        <v>9717.75</v>
      </c>
      <c r="F310" s="5" t="s">
        <v>40</v>
      </c>
      <c r="G310" s="5" t="s">
        <v>24</v>
      </c>
      <c r="H310" s="5" t="n">
        <f aca="true">ROUND(RAND()*4+6,1)</f>
        <v>8.5</v>
      </c>
      <c r="I310" s="5" t="s">
        <v>41</v>
      </c>
      <c r="J310" s="5" t="str">
        <f aca="false">ROUND(88*1,0)&amp;"%"</f>
        <v>88%</v>
      </c>
    </row>
    <row r="311" customFormat="false" ht="15" hidden="false" customHeight="false" outlineLevel="0" collapsed="false">
      <c r="A311" s="6" t="s">
        <v>2711</v>
      </c>
      <c r="B311" s="6" t="s">
        <v>504</v>
      </c>
      <c r="C311" s="6" t="s">
        <v>114</v>
      </c>
      <c r="D311" s="6" t="s">
        <v>44</v>
      </c>
      <c r="E311" s="6" t="n">
        <f aca="false">ROUND(7302*1.05,2)</f>
        <v>7667.1</v>
      </c>
      <c r="F311" s="6" t="s">
        <v>45</v>
      </c>
      <c r="G311" s="6" t="s">
        <v>30</v>
      </c>
      <c r="H311" s="6" t="n">
        <f aca="true">ROUND(RAND()*4+6,1)</f>
        <v>9.8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2712</v>
      </c>
      <c r="B312" s="5" t="s">
        <v>506</v>
      </c>
      <c r="C312" s="5" t="s">
        <v>114</v>
      </c>
      <c r="D312" s="5" t="s">
        <v>16</v>
      </c>
      <c r="E312" s="5" t="n">
        <f aca="false">ROUND(5142*1.05,2)</f>
        <v>5399.1</v>
      </c>
      <c r="F312" s="5" t="s">
        <v>49</v>
      </c>
      <c r="G312" s="5" t="s">
        <v>18</v>
      </c>
      <c r="H312" s="5" t="n">
        <f aca="true">ROUND(RAND()*4+6,1)</f>
        <v>7.5</v>
      </c>
      <c r="I312" s="5" t="s">
        <v>19</v>
      </c>
      <c r="J312" s="5" t="str">
        <f aca="false">ROUND(75*1,0)&amp;"%"</f>
        <v>75%</v>
      </c>
    </row>
    <row r="313" customFormat="false" ht="15" hidden="false" customHeight="false" outlineLevel="0" collapsed="false">
      <c r="A313" s="6" t="s">
        <v>2713</v>
      </c>
      <c r="B313" s="6" t="s">
        <v>508</v>
      </c>
      <c r="C313" s="6" t="s">
        <v>114</v>
      </c>
      <c r="D313" s="6" t="s">
        <v>22</v>
      </c>
      <c r="E313" s="6" t="n">
        <f aca="false">ROUND(15613*1.05,2)</f>
        <v>16393.65</v>
      </c>
      <c r="F313" s="6" t="s">
        <v>52</v>
      </c>
      <c r="G313" s="6" t="s">
        <v>24</v>
      </c>
      <c r="H313" s="6" t="n">
        <f aca="true">ROUND(RAND()*4+6,1)</f>
        <v>8.6</v>
      </c>
      <c r="I313" s="6" t="s">
        <v>25</v>
      </c>
      <c r="J313" s="6" t="str">
        <f aca="false">ROUND(90*1,0)&amp;"%"</f>
        <v>90%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2714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2715</v>
      </c>
      <c r="B318" s="5" t="s">
        <v>512</v>
      </c>
      <c r="C318" s="5" t="s">
        <v>133</v>
      </c>
      <c r="D318" s="5" t="s">
        <v>16</v>
      </c>
      <c r="E318" s="5" t="n">
        <f aca="false">ROUND(15724*1.05,2)</f>
        <v>16510.2</v>
      </c>
      <c r="F318" s="5" t="s">
        <v>17</v>
      </c>
      <c r="G318" s="5" t="s">
        <v>18</v>
      </c>
      <c r="H318" s="5" t="n">
        <f aca="true">ROUND(RAND()*4+6,1)</f>
        <v>6.1</v>
      </c>
      <c r="I318" s="5" t="s">
        <v>19</v>
      </c>
      <c r="J318" s="5" t="str">
        <f aca="false">ROUND(93*1,0)&amp;"%"</f>
        <v>93%</v>
      </c>
    </row>
    <row r="319" customFormat="false" ht="15" hidden="false" customHeight="false" outlineLevel="0" collapsed="false">
      <c r="A319" s="6" t="s">
        <v>2716</v>
      </c>
      <c r="B319" s="6" t="s">
        <v>514</v>
      </c>
      <c r="C319" s="6" t="s">
        <v>133</v>
      </c>
      <c r="D319" s="6" t="s">
        <v>22</v>
      </c>
      <c r="E319" s="6" t="n">
        <f aca="false">ROUND(10920*1.05,2)</f>
        <v>11466</v>
      </c>
      <c r="F319" s="6" t="s">
        <v>23</v>
      </c>
      <c r="G319" s="6" t="s">
        <v>24</v>
      </c>
      <c r="H319" s="6" t="n">
        <f aca="true">ROUND(RAND()*4+6,1)</f>
        <v>6.1</v>
      </c>
      <c r="I319" s="6" t="s">
        <v>25</v>
      </c>
      <c r="J319" s="6" t="str">
        <f aca="false">ROUND(89*1,0)&amp;"%"</f>
        <v>89%</v>
      </c>
    </row>
    <row r="320" customFormat="false" ht="15" hidden="false" customHeight="false" outlineLevel="0" collapsed="false">
      <c r="A320" s="5" t="s">
        <v>2717</v>
      </c>
      <c r="B320" s="5" t="s">
        <v>516</v>
      </c>
      <c r="C320" s="5" t="s">
        <v>133</v>
      </c>
      <c r="D320" s="5" t="s">
        <v>28</v>
      </c>
      <c r="E320" s="5" t="n">
        <f aca="false">ROUND(8437*1.05,2)</f>
        <v>8858.85</v>
      </c>
      <c r="F320" s="5" t="s">
        <v>29</v>
      </c>
      <c r="G320" s="5" t="s">
        <v>30</v>
      </c>
      <c r="H320" s="5" t="n">
        <f aca="true">ROUND(RAND()*4+6,1)</f>
        <v>6.9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2718</v>
      </c>
      <c r="B321" s="6" t="s">
        <v>518</v>
      </c>
      <c r="C321" s="6" t="s">
        <v>133</v>
      </c>
      <c r="D321" s="6" t="s">
        <v>34</v>
      </c>
      <c r="E321" s="6" t="n">
        <f aca="false">ROUND(7543*1.05,2)</f>
        <v>7920.15</v>
      </c>
      <c r="F321" s="6" t="s">
        <v>35</v>
      </c>
      <c r="G321" s="6" t="s">
        <v>18</v>
      </c>
      <c r="H321" s="6" t="n">
        <f aca="true">ROUND(RAND()*4+6,1)</f>
        <v>6.6</v>
      </c>
      <c r="I321" s="6" t="s">
        <v>36</v>
      </c>
      <c r="J321" s="6" t="str">
        <f aca="false">ROUND(80*1,0)&amp;"%"</f>
        <v>80%</v>
      </c>
    </row>
    <row r="322" customFormat="false" ht="15" hidden="false" customHeight="false" outlineLevel="0" collapsed="false">
      <c r="A322" s="5" t="s">
        <v>2719</v>
      </c>
      <c r="B322" s="5" t="s">
        <v>520</v>
      </c>
      <c r="C322" s="5" t="s">
        <v>133</v>
      </c>
      <c r="D322" s="5" t="s">
        <v>39</v>
      </c>
      <c r="E322" s="5" t="n">
        <f aca="false">ROUND(12837*1.05,2)</f>
        <v>13478.85</v>
      </c>
      <c r="F322" s="5" t="s">
        <v>40</v>
      </c>
      <c r="G322" s="5" t="s">
        <v>24</v>
      </c>
      <c r="H322" s="5" t="n">
        <f aca="true">ROUND(RAND()*4+6,1)</f>
        <v>8.8</v>
      </c>
      <c r="I322" s="5" t="s">
        <v>41</v>
      </c>
      <c r="J322" s="5" t="str">
        <f aca="false">ROUND(68*1,0)&amp;"%"</f>
        <v>68%</v>
      </c>
    </row>
    <row r="323" customFormat="false" ht="15" hidden="false" customHeight="false" outlineLevel="0" collapsed="false">
      <c r="A323" s="6" t="s">
        <v>2720</v>
      </c>
      <c r="B323" s="6" t="s">
        <v>522</v>
      </c>
      <c r="C323" s="6" t="s">
        <v>133</v>
      </c>
      <c r="D323" s="6" t="s">
        <v>44</v>
      </c>
      <c r="E323" s="6" t="n">
        <f aca="false">ROUND(6085*1.05,2)</f>
        <v>6389.25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ROUND(99*1,0)&amp;"%"</f>
        <v>99%</v>
      </c>
    </row>
    <row r="324" customFormat="false" ht="15" hidden="false" customHeight="false" outlineLevel="0" collapsed="false">
      <c r="A324" s="5" t="s">
        <v>2721</v>
      </c>
      <c r="B324" s="5" t="s">
        <v>524</v>
      </c>
      <c r="C324" s="5" t="s">
        <v>133</v>
      </c>
      <c r="D324" s="5" t="s">
        <v>16</v>
      </c>
      <c r="E324" s="5" t="n">
        <f aca="false">ROUND(16814*1.05,2)</f>
        <v>17654.7</v>
      </c>
      <c r="F324" s="5" t="s">
        <v>49</v>
      </c>
      <c r="G324" s="5" t="s">
        <v>18</v>
      </c>
      <c r="H324" s="5" t="n">
        <f aca="true">ROUND(RAND()*4+6,1)</f>
        <v>6.7</v>
      </c>
      <c r="I324" s="5" t="s">
        <v>19</v>
      </c>
      <c r="J324" s="5" t="str">
        <f aca="false">ROUND(61*1,0)&amp;"%"</f>
        <v>61%</v>
      </c>
    </row>
    <row r="325" customFormat="false" ht="15" hidden="false" customHeight="false" outlineLevel="0" collapsed="false">
      <c r="A325" s="6" t="s">
        <v>2722</v>
      </c>
      <c r="B325" s="6" t="s">
        <v>526</v>
      </c>
      <c r="C325" s="6" t="s">
        <v>133</v>
      </c>
      <c r="D325" s="6" t="s">
        <v>22</v>
      </c>
      <c r="E325" s="6" t="n">
        <f aca="false">ROUND(5167*1.05,2)</f>
        <v>5425.35</v>
      </c>
      <c r="F325" s="6" t="s">
        <v>52</v>
      </c>
      <c r="G325" s="6" t="s">
        <v>24</v>
      </c>
      <c r="H325" s="6" t="n">
        <f aca="true">ROUND(RAND()*4+6,1)</f>
        <v>6.3</v>
      </c>
      <c r="I325" s="6" t="s">
        <v>25</v>
      </c>
      <c r="J325" s="6" t="str">
        <f aca="false">ROUND(94*1,0)&amp;"%"</f>
        <v>94%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2723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2724</v>
      </c>
      <c r="B330" s="5" t="s">
        <v>530</v>
      </c>
      <c r="C330" s="5" t="s">
        <v>152</v>
      </c>
      <c r="D330" s="5" t="s">
        <v>16</v>
      </c>
      <c r="E330" s="5" t="n">
        <f aca="false">ROUND(8717*1.05,2)</f>
        <v>9152.85</v>
      </c>
      <c r="F330" s="5" t="s">
        <v>17</v>
      </c>
      <c r="G330" s="5" t="s">
        <v>18</v>
      </c>
      <c r="H330" s="5" t="n">
        <f aca="true">ROUND(RAND()*4+6,1)</f>
        <v>6.9</v>
      </c>
      <c r="I330" s="5" t="s">
        <v>19</v>
      </c>
      <c r="J330" s="5" t="str">
        <f aca="false">ROUND(97*1,0)&amp;"%"</f>
        <v>97%</v>
      </c>
    </row>
    <row r="331" customFormat="false" ht="15" hidden="false" customHeight="false" outlineLevel="0" collapsed="false">
      <c r="A331" s="6" t="s">
        <v>2725</v>
      </c>
      <c r="B331" s="6" t="s">
        <v>532</v>
      </c>
      <c r="C331" s="6" t="s">
        <v>152</v>
      </c>
      <c r="D331" s="6" t="s">
        <v>22</v>
      </c>
      <c r="E331" s="6" t="n">
        <f aca="false">ROUND(16809*1.05,2)</f>
        <v>17649.45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ROUND(83*1,0)&amp;"%"</f>
        <v>83%</v>
      </c>
    </row>
    <row r="332" customFormat="false" ht="15" hidden="false" customHeight="false" outlineLevel="0" collapsed="false">
      <c r="A332" s="5" t="s">
        <v>2726</v>
      </c>
      <c r="B332" s="5" t="s">
        <v>534</v>
      </c>
      <c r="C332" s="5" t="s">
        <v>152</v>
      </c>
      <c r="D332" s="5" t="s">
        <v>28</v>
      </c>
      <c r="E332" s="5" t="n">
        <f aca="false">ROUND(5730*1.05,2)</f>
        <v>6016.5</v>
      </c>
      <c r="F332" s="5" t="s">
        <v>29</v>
      </c>
      <c r="G332" s="5" t="s">
        <v>30</v>
      </c>
      <c r="H332" s="5" t="n">
        <f aca="true">ROUND(RAND()*4+6,1)</f>
        <v>7.5</v>
      </c>
      <c r="I332" s="5" t="s">
        <v>31</v>
      </c>
      <c r="J332" s="5" t="str">
        <f aca="false">ROUND(86*1,0)&amp;"%"</f>
        <v>86%</v>
      </c>
    </row>
    <row r="333" customFormat="false" ht="15" hidden="false" customHeight="false" outlineLevel="0" collapsed="false">
      <c r="A333" s="6" t="s">
        <v>2727</v>
      </c>
      <c r="B333" s="6" t="s">
        <v>536</v>
      </c>
      <c r="C333" s="6" t="s">
        <v>152</v>
      </c>
      <c r="D333" s="6" t="s">
        <v>34</v>
      </c>
      <c r="E333" s="6" t="n">
        <f aca="false">ROUND(16384*1.05,2)</f>
        <v>17203.2</v>
      </c>
      <c r="F333" s="6" t="s">
        <v>35</v>
      </c>
      <c r="G333" s="6" t="s">
        <v>18</v>
      </c>
      <c r="H333" s="6" t="n">
        <f aca="true">ROUND(RAND()*4+6,1)</f>
        <v>9.6</v>
      </c>
      <c r="I333" s="6" t="s">
        <v>36</v>
      </c>
      <c r="J333" s="6" t="str">
        <f aca="false">ROUND(86*1,0)&amp;"%"</f>
        <v>86%</v>
      </c>
    </row>
    <row r="334" customFormat="false" ht="15" hidden="false" customHeight="false" outlineLevel="0" collapsed="false">
      <c r="A334" s="5" t="s">
        <v>2728</v>
      </c>
      <c r="B334" s="5" t="s">
        <v>538</v>
      </c>
      <c r="C334" s="5" t="s">
        <v>152</v>
      </c>
      <c r="D334" s="5" t="s">
        <v>39</v>
      </c>
      <c r="E334" s="5" t="n">
        <f aca="false">ROUND(11852*1.05,2)</f>
        <v>12444.6</v>
      </c>
      <c r="F334" s="5" t="s">
        <v>40</v>
      </c>
      <c r="G334" s="5" t="s">
        <v>24</v>
      </c>
      <c r="H334" s="5" t="n">
        <f aca="true">ROUND(RAND()*4+6,1)</f>
        <v>7.1</v>
      </c>
      <c r="I334" s="5" t="s">
        <v>41</v>
      </c>
      <c r="J334" s="5" t="str">
        <f aca="false">ROUND(90*1,0)&amp;"%"</f>
        <v>90%</v>
      </c>
    </row>
    <row r="335" customFormat="false" ht="15" hidden="false" customHeight="false" outlineLevel="0" collapsed="false">
      <c r="A335" s="6" t="s">
        <v>2729</v>
      </c>
      <c r="B335" s="6" t="s">
        <v>540</v>
      </c>
      <c r="C335" s="6" t="s">
        <v>152</v>
      </c>
      <c r="D335" s="6" t="s">
        <v>44</v>
      </c>
      <c r="E335" s="6" t="n">
        <f aca="false">ROUND(9336*1.05,2)</f>
        <v>9802.8</v>
      </c>
      <c r="F335" s="6" t="s">
        <v>45</v>
      </c>
      <c r="G335" s="6" t="s">
        <v>30</v>
      </c>
      <c r="H335" s="6" t="n">
        <f aca="true">ROUND(RAND()*4+6,1)</f>
        <v>8.2</v>
      </c>
      <c r="I335" s="6" t="s">
        <v>46</v>
      </c>
      <c r="J335" s="6" t="str">
        <f aca="false">ROUND(86*1,0)&amp;"%"</f>
        <v>86%</v>
      </c>
    </row>
    <row r="336" customFormat="false" ht="15" hidden="false" customHeight="false" outlineLevel="0" collapsed="false">
      <c r="A336" s="5" t="s">
        <v>2730</v>
      </c>
      <c r="B336" s="5" t="s">
        <v>542</v>
      </c>
      <c r="C336" s="5" t="s">
        <v>152</v>
      </c>
      <c r="D336" s="5" t="s">
        <v>16</v>
      </c>
      <c r="E336" s="5" t="n">
        <f aca="false">ROUND(14205*1.05,2)</f>
        <v>14915.25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ROUND(69*1,0)&amp;"%"</f>
        <v>69%</v>
      </c>
    </row>
    <row r="337" customFormat="false" ht="15" hidden="false" customHeight="false" outlineLevel="0" collapsed="false">
      <c r="A337" s="6" t="s">
        <v>2731</v>
      </c>
      <c r="B337" s="6" t="s">
        <v>544</v>
      </c>
      <c r="C337" s="6" t="s">
        <v>152</v>
      </c>
      <c r="D337" s="6" t="s">
        <v>22</v>
      </c>
      <c r="E337" s="6" t="n">
        <f aca="false">ROUND(4317*1.05,2)</f>
        <v>4532.85</v>
      </c>
      <c r="F337" s="6" t="s">
        <v>52</v>
      </c>
      <c r="G337" s="6" t="s">
        <v>24</v>
      </c>
      <c r="H337" s="6" t="n">
        <f aca="true">ROUND(RAND()*4+6,1)</f>
        <v>7.9</v>
      </c>
      <c r="I337" s="6" t="s">
        <v>25</v>
      </c>
      <c r="J337" s="6" t="str">
        <f aca="false">ROUND(99*1,0)&amp;"%"</f>
        <v>99%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2732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2733</v>
      </c>
      <c r="B342" s="5" t="s">
        <v>548</v>
      </c>
      <c r="C342" s="5" t="s">
        <v>15</v>
      </c>
      <c r="D342" s="5" t="s">
        <v>16</v>
      </c>
      <c r="E342" s="5" t="n">
        <f aca="false">ROUND(11849*1.05,2)</f>
        <v>12441.45</v>
      </c>
      <c r="F342" s="5" t="s">
        <v>17</v>
      </c>
      <c r="G342" s="5" t="s">
        <v>18</v>
      </c>
      <c r="H342" s="5" t="n">
        <f aca="true">ROUND(RAND()*4+6,1)</f>
        <v>9.2</v>
      </c>
      <c r="I342" s="5" t="s">
        <v>19</v>
      </c>
      <c r="J342" s="5" t="str">
        <f aca="false">ROUND(70*1,0)&amp;"%"</f>
        <v>70%</v>
      </c>
    </row>
    <row r="343" customFormat="false" ht="15" hidden="false" customHeight="false" outlineLevel="0" collapsed="false">
      <c r="A343" s="6" t="s">
        <v>2734</v>
      </c>
      <c r="B343" s="6" t="s">
        <v>550</v>
      </c>
      <c r="C343" s="6" t="s">
        <v>15</v>
      </c>
      <c r="D343" s="6" t="s">
        <v>22</v>
      </c>
      <c r="E343" s="6" t="n">
        <f aca="false">ROUND(6718*1.05,2)</f>
        <v>7053.9</v>
      </c>
      <c r="F343" s="6" t="s">
        <v>23</v>
      </c>
      <c r="G343" s="6" t="s">
        <v>24</v>
      </c>
      <c r="H343" s="6" t="n">
        <f aca="true">ROUND(RAND()*4+6,1)</f>
        <v>9.1</v>
      </c>
      <c r="I343" s="6" t="s">
        <v>25</v>
      </c>
      <c r="J343" s="6" t="str">
        <f aca="false">ROUND(74*1,0)&amp;"%"</f>
        <v>74%</v>
      </c>
    </row>
    <row r="344" customFormat="false" ht="15" hidden="false" customHeight="false" outlineLevel="0" collapsed="false">
      <c r="A344" s="5" t="s">
        <v>2735</v>
      </c>
      <c r="B344" s="5" t="s">
        <v>552</v>
      </c>
      <c r="C344" s="5" t="s">
        <v>15</v>
      </c>
      <c r="D344" s="5" t="s">
        <v>28</v>
      </c>
      <c r="E344" s="5" t="n">
        <f aca="false">ROUND(12477*1.05,2)</f>
        <v>13100.85</v>
      </c>
      <c r="F344" s="5" t="s">
        <v>29</v>
      </c>
      <c r="G344" s="5" t="s">
        <v>30</v>
      </c>
      <c r="H344" s="5" t="n">
        <f aca="true">ROUND(RAND()*4+6,1)</f>
        <v>9</v>
      </c>
      <c r="I344" s="5" t="s">
        <v>31</v>
      </c>
      <c r="J344" s="5" t="str">
        <f aca="false">ROUND(78*1,0)&amp;"%"</f>
        <v>78%</v>
      </c>
    </row>
    <row r="345" customFormat="false" ht="15" hidden="false" customHeight="false" outlineLevel="0" collapsed="false">
      <c r="A345" s="6" t="s">
        <v>2736</v>
      </c>
      <c r="B345" s="6" t="s">
        <v>554</v>
      </c>
      <c r="C345" s="6" t="s">
        <v>15</v>
      </c>
      <c r="D345" s="6" t="s">
        <v>34</v>
      </c>
      <c r="E345" s="6" t="n">
        <f aca="false">ROUND(4590*1.05,2)</f>
        <v>4819.5</v>
      </c>
      <c r="F345" s="6" t="s">
        <v>35</v>
      </c>
      <c r="G345" s="6" t="s">
        <v>18</v>
      </c>
      <c r="H345" s="6" t="n">
        <f aca="true">ROUND(RAND()*4+6,1)</f>
        <v>6.2</v>
      </c>
      <c r="I345" s="6" t="s">
        <v>36</v>
      </c>
      <c r="J345" s="6" t="str">
        <f aca="false">ROUND(69*1,0)&amp;"%"</f>
        <v>69%</v>
      </c>
    </row>
    <row r="346" customFormat="false" ht="15" hidden="false" customHeight="false" outlineLevel="0" collapsed="false">
      <c r="A346" s="5" t="s">
        <v>2737</v>
      </c>
      <c r="B346" s="5" t="s">
        <v>556</v>
      </c>
      <c r="C346" s="5" t="s">
        <v>15</v>
      </c>
      <c r="D346" s="5" t="s">
        <v>39</v>
      </c>
      <c r="E346" s="5" t="n">
        <f aca="false">ROUND(6443*1.05,2)</f>
        <v>6765.15</v>
      </c>
      <c r="F346" s="5" t="s">
        <v>40</v>
      </c>
      <c r="G346" s="5" t="s">
        <v>24</v>
      </c>
      <c r="H346" s="5" t="n">
        <f aca="true">ROUND(RAND()*4+6,1)</f>
        <v>6.4</v>
      </c>
      <c r="I346" s="5" t="s">
        <v>41</v>
      </c>
      <c r="J346" s="5" t="str">
        <f aca="false">ROUND(80*1,0)&amp;"%"</f>
        <v>80%</v>
      </c>
    </row>
    <row r="347" customFormat="false" ht="15" hidden="false" customHeight="false" outlineLevel="0" collapsed="false">
      <c r="A347" s="6" t="s">
        <v>2738</v>
      </c>
      <c r="B347" s="6" t="s">
        <v>558</v>
      </c>
      <c r="C347" s="6" t="s">
        <v>15</v>
      </c>
      <c r="D347" s="6" t="s">
        <v>44</v>
      </c>
      <c r="E347" s="6" t="n">
        <f aca="false">ROUND(7892*1.05,2)</f>
        <v>8286.6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ROUND(76*1,0)&amp;"%"</f>
        <v>76%</v>
      </c>
    </row>
    <row r="348" customFormat="false" ht="15" hidden="false" customHeight="false" outlineLevel="0" collapsed="false">
      <c r="A348" s="5" t="s">
        <v>2739</v>
      </c>
      <c r="B348" s="5" t="s">
        <v>560</v>
      </c>
      <c r="C348" s="5" t="s">
        <v>15</v>
      </c>
      <c r="D348" s="5" t="s">
        <v>16</v>
      </c>
      <c r="E348" s="5" t="n">
        <f aca="false">ROUND(6042*1.05,2)</f>
        <v>6344.1</v>
      </c>
      <c r="F348" s="5" t="s">
        <v>49</v>
      </c>
      <c r="G348" s="5" t="s">
        <v>18</v>
      </c>
      <c r="H348" s="5" t="n">
        <f aca="true">ROUND(RAND()*4+6,1)</f>
        <v>8</v>
      </c>
      <c r="I348" s="5" t="s">
        <v>19</v>
      </c>
      <c r="J348" s="5" t="str">
        <f aca="false">ROUND(74*1,0)&amp;"%"</f>
        <v>74%</v>
      </c>
    </row>
    <row r="349" customFormat="false" ht="15" hidden="false" customHeight="false" outlineLevel="0" collapsed="false">
      <c r="A349" s="6" t="s">
        <v>2740</v>
      </c>
      <c r="B349" s="6" t="s">
        <v>562</v>
      </c>
      <c r="C349" s="6" t="s">
        <v>15</v>
      </c>
      <c r="D349" s="6" t="s">
        <v>22</v>
      </c>
      <c r="E349" s="6" t="n">
        <f aca="false">ROUND(16488*1.05,2)</f>
        <v>17312.4</v>
      </c>
      <c r="F349" s="6" t="s">
        <v>52</v>
      </c>
      <c r="G349" s="6" t="s">
        <v>24</v>
      </c>
      <c r="H349" s="6" t="n">
        <f aca="true">ROUND(RAND()*4+6,1)</f>
        <v>7.3</v>
      </c>
      <c r="I349" s="6" t="s">
        <v>25</v>
      </c>
      <c r="J349" s="6" t="str">
        <f aca="false">ROUND(76*1,0)&amp;"%"</f>
        <v>76%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2741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2742</v>
      </c>
      <c r="B354" s="5" t="s">
        <v>566</v>
      </c>
      <c r="C354" s="5" t="s">
        <v>57</v>
      </c>
      <c r="D354" s="5" t="s">
        <v>16</v>
      </c>
      <c r="E354" s="5" t="n">
        <f aca="false">ROUND(10193*1.05,2)</f>
        <v>10702.65</v>
      </c>
      <c r="F354" s="5" t="s">
        <v>17</v>
      </c>
      <c r="G354" s="5" t="s">
        <v>18</v>
      </c>
      <c r="H354" s="5" t="n">
        <f aca="true">ROUND(RAND()*4+6,1)</f>
        <v>9</v>
      </c>
      <c r="I354" s="5" t="s">
        <v>19</v>
      </c>
      <c r="J354" s="5" t="str">
        <f aca="false">ROUND(87*1,0)&amp;"%"</f>
        <v>87%</v>
      </c>
    </row>
    <row r="355" customFormat="false" ht="15" hidden="false" customHeight="false" outlineLevel="0" collapsed="false">
      <c r="A355" s="6" t="s">
        <v>2743</v>
      </c>
      <c r="B355" s="6" t="s">
        <v>568</v>
      </c>
      <c r="C355" s="6" t="s">
        <v>57</v>
      </c>
      <c r="D355" s="6" t="s">
        <v>22</v>
      </c>
      <c r="E355" s="6" t="n">
        <f aca="false">ROUND(14850*1.05,2)</f>
        <v>15592.5</v>
      </c>
      <c r="F355" s="6" t="s">
        <v>23</v>
      </c>
      <c r="G355" s="6" t="s">
        <v>24</v>
      </c>
      <c r="H355" s="6" t="n">
        <f aca="true">ROUND(RAND()*4+6,1)</f>
        <v>6.2</v>
      </c>
      <c r="I355" s="6" t="s">
        <v>25</v>
      </c>
      <c r="J355" s="6" t="str">
        <f aca="false">ROUND(84*1,0)&amp;"%"</f>
        <v>84%</v>
      </c>
    </row>
    <row r="356" customFormat="false" ht="15" hidden="false" customHeight="false" outlineLevel="0" collapsed="false">
      <c r="A356" s="5" t="s">
        <v>2744</v>
      </c>
      <c r="B356" s="5" t="s">
        <v>570</v>
      </c>
      <c r="C356" s="5" t="s">
        <v>57</v>
      </c>
      <c r="D356" s="5" t="s">
        <v>28</v>
      </c>
      <c r="E356" s="5" t="n">
        <f aca="false">ROUND(14446*1.05,2)</f>
        <v>15168.3</v>
      </c>
      <c r="F356" s="5" t="s">
        <v>29</v>
      </c>
      <c r="G356" s="5" t="s">
        <v>30</v>
      </c>
      <c r="H356" s="5" t="n">
        <f aca="true">ROUND(RAND()*4+6,1)</f>
        <v>7.7</v>
      </c>
      <c r="I356" s="5" t="s">
        <v>31</v>
      </c>
      <c r="J356" s="5" t="str">
        <f aca="false">ROUND(85*1,0)&amp;"%"</f>
        <v>85%</v>
      </c>
    </row>
    <row r="357" customFormat="false" ht="15" hidden="false" customHeight="false" outlineLevel="0" collapsed="false">
      <c r="A357" s="6" t="s">
        <v>2745</v>
      </c>
      <c r="B357" s="6" t="s">
        <v>572</v>
      </c>
      <c r="C357" s="6" t="s">
        <v>57</v>
      </c>
      <c r="D357" s="6" t="s">
        <v>34</v>
      </c>
      <c r="E357" s="6" t="n">
        <f aca="false">ROUND(6034*1.05,2)</f>
        <v>6335.7</v>
      </c>
      <c r="F357" s="6" t="s">
        <v>35</v>
      </c>
      <c r="G357" s="6" t="s">
        <v>18</v>
      </c>
      <c r="H357" s="6" t="n">
        <f aca="true">ROUND(RAND()*4+6,1)</f>
        <v>6</v>
      </c>
      <c r="I357" s="6" t="s">
        <v>36</v>
      </c>
      <c r="J357" s="6" t="str">
        <f aca="false">ROUND(79*1,0)&amp;"%"</f>
        <v>79%</v>
      </c>
    </row>
    <row r="358" customFormat="false" ht="15" hidden="false" customHeight="false" outlineLevel="0" collapsed="false">
      <c r="A358" s="5" t="s">
        <v>2746</v>
      </c>
      <c r="B358" s="5" t="s">
        <v>574</v>
      </c>
      <c r="C358" s="5" t="s">
        <v>57</v>
      </c>
      <c r="D358" s="5" t="s">
        <v>39</v>
      </c>
      <c r="E358" s="5" t="n">
        <f aca="false">ROUND(14812*1.05,2)</f>
        <v>15552.6</v>
      </c>
      <c r="F358" s="5" t="s">
        <v>40</v>
      </c>
      <c r="G358" s="5" t="s">
        <v>24</v>
      </c>
      <c r="H358" s="5" t="n">
        <f aca="true">ROUND(RAND()*4+6,1)</f>
        <v>7.8</v>
      </c>
      <c r="I358" s="5" t="s">
        <v>41</v>
      </c>
      <c r="J358" s="5" t="str">
        <f aca="false">ROUND(99*1,0)&amp;"%"</f>
        <v>99%</v>
      </c>
    </row>
    <row r="359" customFormat="false" ht="15" hidden="false" customHeight="false" outlineLevel="0" collapsed="false">
      <c r="A359" s="6" t="s">
        <v>2747</v>
      </c>
      <c r="B359" s="6" t="s">
        <v>576</v>
      </c>
      <c r="C359" s="6" t="s">
        <v>57</v>
      </c>
      <c r="D359" s="6" t="s">
        <v>44</v>
      </c>
      <c r="E359" s="6" t="n">
        <f aca="false">ROUND(6371*1.05,2)</f>
        <v>6689.55</v>
      </c>
      <c r="F359" s="6" t="s">
        <v>45</v>
      </c>
      <c r="G359" s="6" t="s">
        <v>30</v>
      </c>
      <c r="H359" s="6" t="n">
        <f aca="true">ROUND(RAND()*4+6,1)</f>
        <v>9.6</v>
      </c>
      <c r="I359" s="6" t="s">
        <v>46</v>
      </c>
      <c r="J359" s="6" t="str">
        <f aca="false">ROUND(98*1,0)&amp;"%"</f>
        <v>98%</v>
      </c>
    </row>
    <row r="360" customFormat="false" ht="15" hidden="false" customHeight="false" outlineLevel="0" collapsed="false">
      <c r="A360" s="5" t="s">
        <v>2748</v>
      </c>
      <c r="B360" s="5" t="s">
        <v>578</v>
      </c>
      <c r="C360" s="5" t="s">
        <v>57</v>
      </c>
      <c r="D360" s="5" t="s">
        <v>16</v>
      </c>
      <c r="E360" s="5" t="n">
        <f aca="false">ROUND(16245*1.05,2)</f>
        <v>17057.25</v>
      </c>
      <c r="F360" s="5" t="s">
        <v>49</v>
      </c>
      <c r="G360" s="5" t="s">
        <v>18</v>
      </c>
      <c r="H360" s="5" t="n">
        <f aca="true">ROUND(RAND()*4+6,1)</f>
        <v>7.6</v>
      </c>
      <c r="I360" s="5" t="s">
        <v>19</v>
      </c>
      <c r="J360" s="5" t="str">
        <f aca="false">ROUND(76*1,0)&amp;"%"</f>
        <v>76%</v>
      </c>
    </row>
    <row r="361" customFormat="false" ht="15" hidden="false" customHeight="false" outlineLevel="0" collapsed="false">
      <c r="A361" s="6" t="s">
        <v>2749</v>
      </c>
      <c r="B361" s="6" t="s">
        <v>580</v>
      </c>
      <c r="C361" s="6" t="s">
        <v>57</v>
      </c>
      <c r="D361" s="6" t="s">
        <v>22</v>
      </c>
      <c r="E361" s="6" t="n">
        <f aca="false">ROUND(5616*1.05,2)</f>
        <v>5896.8</v>
      </c>
      <c r="F361" s="6" t="s">
        <v>52</v>
      </c>
      <c r="G361" s="6" t="s">
        <v>24</v>
      </c>
      <c r="H361" s="6" t="n">
        <f aca="true">ROUND(RAND()*4+6,1)</f>
        <v>7.6</v>
      </c>
      <c r="I361" s="6" t="s">
        <v>25</v>
      </c>
      <c r="J361" s="6" t="str">
        <f aca="false">ROUND(77*1,0)&amp;"%"</f>
        <v>77%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2750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2751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2752</v>
      </c>
      <c r="B6" s="5" t="s">
        <v>14</v>
      </c>
      <c r="C6" s="5" t="s">
        <v>15</v>
      </c>
      <c r="D6" s="5" t="s">
        <v>16</v>
      </c>
      <c r="E6" s="5" t="n">
        <f aca="false">ROUND(4487*1.05,2)</f>
        <v>4711.35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ROUND(60*1,0)&amp;"%"</f>
        <v>60%</v>
      </c>
    </row>
    <row r="7" customFormat="false" ht="15" hidden="false" customHeight="false" outlineLevel="0" collapsed="false">
      <c r="A7" s="6" t="s">
        <v>2753</v>
      </c>
      <c r="B7" s="6" t="s">
        <v>21</v>
      </c>
      <c r="C7" s="6" t="s">
        <v>15</v>
      </c>
      <c r="D7" s="6" t="s">
        <v>22</v>
      </c>
      <c r="E7" s="6" t="n">
        <f aca="false">ROUND(11889*1.05,2)</f>
        <v>12483.45</v>
      </c>
      <c r="F7" s="6" t="s">
        <v>23</v>
      </c>
      <c r="G7" s="6" t="s">
        <v>24</v>
      </c>
      <c r="H7" s="6" t="n">
        <f aca="true">ROUND(RAND()*4+6,1)</f>
        <v>6.1</v>
      </c>
      <c r="I7" s="6" t="s">
        <v>25</v>
      </c>
      <c r="J7" s="6" t="str">
        <f aca="false">ROUND(94*1,0)&amp;"%"</f>
        <v>94%</v>
      </c>
    </row>
    <row r="8" customFormat="false" ht="15" hidden="false" customHeight="false" outlineLevel="0" collapsed="false">
      <c r="A8" s="5" t="s">
        <v>2754</v>
      </c>
      <c r="B8" s="5" t="s">
        <v>27</v>
      </c>
      <c r="C8" s="5" t="s">
        <v>15</v>
      </c>
      <c r="D8" s="5" t="s">
        <v>28</v>
      </c>
      <c r="E8" s="5" t="n">
        <f aca="false">ROUND(11129*1.05,2)</f>
        <v>11685.45</v>
      </c>
      <c r="F8" s="5" t="s">
        <v>29</v>
      </c>
      <c r="G8" s="5" t="s">
        <v>30</v>
      </c>
      <c r="H8" s="5" t="n">
        <f aca="true">ROUND(RAND()*4+6,1)</f>
        <v>9.2</v>
      </c>
      <c r="I8" s="5" t="s">
        <v>31</v>
      </c>
      <c r="J8" s="5" t="str">
        <f aca="false">ROUND(67*1,0)&amp;"%"</f>
        <v>67%</v>
      </c>
    </row>
    <row r="9" customFormat="false" ht="15" hidden="false" customHeight="false" outlineLevel="0" collapsed="false">
      <c r="A9" s="6" t="s">
        <v>2755</v>
      </c>
      <c r="B9" s="6" t="s">
        <v>33</v>
      </c>
      <c r="C9" s="6" t="s">
        <v>15</v>
      </c>
      <c r="D9" s="6" t="s">
        <v>34</v>
      </c>
      <c r="E9" s="6" t="n">
        <f aca="false">ROUND(16894*1.05,2)</f>
        <v>17738.7</v>
      </c>
      <c r="F9" s="6" t="s">
        <v>35</v>
      </c>
      <c r="G9" s="6" t="s">
        <v>18</v>
      </c>
      <c r="H9" s="6" t="n">
        <f aca="true">ROUND(RAND()*4+6,1)</f>
        <v>8.8</v>
      </c>
      <c r="I9" s="6" t="s">
        <v>36</v>
      </c>
      <c r="J9" s="6" t="str">
        <f aca="false">ROUND(96*1,0)&amp;"%"</f>
        <v>96%</v>
      </c>
    </row>
    <row r="10" customFormat="false" ht="15" hidden="false" customHeight="false" outlineLevel="0" collapsed="false">
      <c r="A10" s="5" t="s">
        <v>2756</v>
      </c>
      <c r="B10" s="5" t="s">
        <v>38</v>
      </c>
      <c r="C10" s="5" t="s">
        <v>15</v>
      </c>
      <c r="D10" s="5" t="s">
        <v>39</v>
      </c>
      <c r="E10" s="5" t="n">
        <f aca="false">ROUND(11781*1.05,2)</f>
        <v>12370.05</v>
      </c>
      <c r="F10" s="5" t="s">
        <v>40</v>
      </c>
      <c r="G10" s="5" t="s">
        <v>24</v>
      </c>
      <c r="H10" s="5" t="n">
        <f aca="true">ROUND(RAND()*4+6,1)</f>
        <v>7.1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2757</v>
      </c>
      <c r="B11" s="6" t="s">
        <v>43</v>
      </c>
      <c r="C11" s="6" t="s">
        <v>15</v>
      </c>
      <c r="D11" s="6" t="s">
        <v>44</v>
      </c>
      <c r="E11" s="6" t="n">
        <f aca="false">ROUND(17221*1.05,2)</f>
        <v>18082.05</v>
      </c>
      <c r="F11" s="6" t="s">
        <v>45</v>
      </c>
      <c r="G11" s="6" t="s">
        <v>30</v>
      </c>
      <c r="H11" s="6" t="n">
        <f aca="true">ROUND(RAND()*4+6,1)</f>
        <v>7.9</v>
      </c>
      <c r="I11" s="6" t="s">
        <v>46</v>
      </c>
      <c r="J11" s="6" t="str">
        <f aca="false">ROUND(78*1,0)&amp;"%"</f>
        <v>78%</v>
      </c>
    </row>
    <row r="12" customFormat="false" ht="15" hidden="false" customHeight="false" outlineLevel="0" collapsed="false">
      <c r="A12" s="5" t="s">
        <v>2758</v>
      </c>
      <c r="B12" s="5" t="s">
        <v>48</v>
      </c>
      <c r="C12" s="5" t="s">
        <v>15</v>
      </c>
      <c r="D12" s="5" t="s">
        <v>16</v>
      </c>
      <c r="E12" s="5" t="n">
        <f aca="false">ROUND(10235*1.05,2)</f>
        <v>10746.75</v>
      </c>
      <c r="F12" s="5" t="s">
        <v>49</v>
      </c>
      <c r="G12" s="5" t="s">
        <v>18</v>
      </c>
      <c r="H12" s="5" t="n">
        <f aca="true">ROUND(RAND()*4+6,1)</f>
        <v>8.8</v>
      </c>
      <c r="I12" s="5" t="s">
        <v>19</v>
      </c>
      <c r="J12" s="5" t="str">
        <f aca="false">ROUND(87*1,0)&amp;"%"</f>
        <v>87%</v>
      </c>
    </row>
    <row r="13" customFormat="false" ht="15" hidden="false" customHeight="false" outlineLevel="0" collapsed="false">
      <c r="A13" s="6" t="s">
        <v>2759</v>
      </c>
      <c r="B13" s="6" t="s">
        <v>51</v>
      </c>
      <c r="C13" s="6" t="s">
        <v>15</v>
      </c>
      <c r="D13" s="6" t="s">
        <v>22</v>
      </c>
      <c r="E13" s="6" t="n">
        <f aca="false">ROUND(8307*1.05,2)</f>
        <v>8722.35</v>
      </c>
      <c r="F13" s="6" t="s">
        <v>52</v>
      </c>
      <c r="G13" s="6" t="s">
        <v>24</v>
      </c>
      <c r="H13" s="6" t="n">
        <f aca="true">ROUND(RAND()*4+6,1)</f>
        <v>9</v>
      </c>
      <c r="I13" s="6" t="s">
        <v>25</v>
      </c>
      <c r="J13" s="6" t="str">
        <f aca="false">ROUND(92*1,0)&amp;"%"</f>
        <v>92%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2760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2761</v>
      </c>
      <c r="B18" s="5" t="s">
        <v>56</v>
      </c>
      <c r="C18" s="5" t="s">
        <v>57</v>
      </c>
      <c r="D18" s="5" t="s">
        <v>16</v>
      </c>
      <c r="E18" s="5" t="n">
        <f aca="false">ROUND(5482*1.05,2)</f>
        <v>5756.1</v>
      </c>
      <c r="F18" s="5" t="s">
        <v>17</v>
      </c>
      <c r="G18" s="5" t="s">
        <v>18</v>
      </c>
      <c r="H18" s="5" t="n">
        <f aca="true">ROUND(RAND()*4+6,1)</f>
        <v>6.6</v>
      </c>
      <c r="I18" s="5" t="s">
        <v>19</v>
      </c>
      <c r="J18" s="5" t="str">
        <f aca="false">ROUND(90*1,0)&amp;"%"</f>
        <v>90%</v>
      </c>
    </row>
    <row r="19" customFormat="false" ht="15" hidden="false" customHeight="false" outlineLevel="0" collapsed="false">
      <c r="A19" s="6" t="s">
        <v>2762</v>
      </c>
      <c r="B19" s="6" t="s">
        <v>59</v>
      </c>
      <c r="C19" s="6" t="s">
        <v>57</v>
      </c>
      <c r="D19" s="6" t="s">
        <v>22</v>
      </c>
      <c r="E19" s="6" t="n">
        <f aca="false">ROUND(4876*1.05,2)</f>
        <v>5119.8</v>
      </c>
      <c r="F19" s="6" t="s">
        <v>23</v>
      </c>
      <c r="G19" s="6" t="s">
        <v>24</v>
      </c>
      <c r="H19" s="6" t="n">
        <f aca="true">ROUND(RAND()*4+6,1)</f>
        <v>7.3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2763</v>
      </c>
      <c r="B20" s="5" t="s">
        <v>61</v>
      </c>
      <c r="C20" s="5" t="s">
        <v>57</v>
      </c>
      <c r="D20" s="5" t="s">
        <v>28</v>
      </c>
      <c r="E20" s="5" t="n">
        <f aca="false">ROUND(17145*1.05,2)</f>
        <v>18002.25</v>
      </c>
      <c r="F20" s="5" t="s">
        <v>29</v>
      </c>
      <c r="G20" s="5" t="s">
        <v>30</v>
      </c>
      <c r="H20" s="5" t="n">
        <f aca="true">ROUND(RAND()*4+6,1)</f>
        <v>6.8</v>
      </c>
      <c r="I20" s="5" t="s">
        <v>31</v>
      </c>
      <c r="J20" s="5" t="str">
        <f aca="false">ROUND(100*1,0)&amp;"%"</f>
        <v>100%</v>
      </c>
    </row>
    <row r="21" customFormat="false" ht="15" hidden="false" customHeight="false" outlineLevel="0" collapsed="false">
      <c r="A21" s="6" t="s">
        <v>2764</v>
      </c>
      <c r="B21" s="6" t="s">
        <v>63</v>
      </c>
      <c r="C21" s="6" t="s">
        <v>57</v>
      </c>
      <c r="D21" s="6" t="s">
        <v>34</v>
      </c>
      <c r="E21" s="6" t="n">
        <f aca="false">ROUND(9961*1.05,2)</f>
        <v>10459.05</v>
      </c>
      <c r="F21" s="6" t="s">
        <v>35</v>
      </c>
      <c r="G21" s="6" t="s">
        <v>18</v>
      </c>
      <c r="H21" s="6" t="n">
        <f aca="true">ROUND(RAND()*4+6,1)</f>
        <v>8.8</v>
      </c>
      <c r="I21" s="6" t="s">
        <v>36</v>
      </c>
      <c r="J21" s="6" t="str">
        <f aca="false">ROUND(80*1,0)&amp;"%"</f>
        <v>80%</v>
      </c>
    </row>
    <row r="22" customFormat="false" ht="15" hidden="false" customHeight="false" outlineLevel="0" collapsed="false">
      <c r="A22" s="5" t="s">
        <v>2765</v>
      </c>
      <c r="B22" s="5" t="s">
        <v>65</v>
      </c>
      <c r="C22" s="5" t="s">
        <v>57</v>
      </c>
      <c r="D22" s="5" t="s">
        <v>39</v>
      </c>
      <c r="E22" s="5" t="n">
        <f aca="false">ROUND(9763*1.05,2)</f>
        <v>10251.15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ROUND(65*1,0)&amp;"%"</f>
        <v>65%</v>
      </c>
    </row>
    <row r="23" customFormat="false" ht="15" hidden="false" customHeight="false" outlineLevel="0" collapsed="false">
      <c r="A23" s="6" t="s">
        <v>2766</v>
      </c>
      <c r="B23" s="6" t="s">
        <v>67</v>
      </c>
      <c r="C23" s="6" t="s">
        <v>57</v>
      </c>
      <c r="D23" s="6" t="s">
        <v>44</v>
      </c>
      <c r="E23" s="6" t="n">
        <f aca="false">ROUND(5168*1.05,2)</f>
        <v>5426.4</v>
      </c>
      <c r="F23" s="6" t="s">
        <v>45</v>
      </c>
      <c r="G23" s="6" t="s">
        <v>30</v>
      </c>
      <c r="H23" s="6" t="n">
        <f aca="true">ROUND(RAND()*4+6,1)</f>
        <v>8.3</v>
      </c>
      <c r="I23" s="6" t="s">
        <v>46</v>
      </c>
      <c r="J23" s="6" t="str">
        <f aca="false">ROUND(91*1,0)&amp;"%"</f>
        <v>91%</v>
      </c>
    </row>
    <row r="24" customFormat="false" ht="15" hidden="false" customHeight="false" outlineLevel="0" collapsed="false">
      <c r="A24" s="5" t="s">
        <v>2767</v>
      </c>
      <c r="B24" s="5" t="s">
        <v>69</v>
      </c>
      <c r="C24" s="5" t="s">
        <v>57</v>
      </c>
      <c r="D24" s="5" t="s">
        <v>16</v>
      </c>
      <c r="E24" s="5" t="n">
        <f aca="false">ROUND(11503*1.05,2)</f>
        <v>12078.15</v>
      </c>
      <c r="F24" s="5" t="s">
        <v>49</v>
      </c>
      <c r="G24" s="5" t="s">
        <v>18</v>
      </c>
      <c r="H24" s="5" t="n">
        <f aca="true">ROUND(RAND()*4+6,1)</f>
        <v>6.6</v>
      </c>
      <c r="I24" s="5" t="s">
        <v>19</v>
      </c>
      <c r="J24" s="5" t="str">
        <f aca="false">ROUND(89*1,0)&amp;"%"</f>
        <v>89%</v>
      </c>
    </row>
    <row r="25" customFormat="false" ht="15" hidden="false" customHeight="false" outlineLevel="0" collapsed="false">
      <c r="A25" s="6" t="s">
        <v>2768</v>
      </c>
      <c r="B25" s="6" t="s">
        <v>71</v>
      </c>
      <c r="C25" s="6" t="s">
        <v>57</v>
      </c>
      <c r="D25" s="6" t="s">
        <v>22</v>
      </c>
      <c r="E25" s="6" t="n">
        <f aca="false">ROUND(4880*1.05,2)</f>
        <v>5124</v>
      </c>
      <c r="F25" s="6" t="s">
        <v>52</v>
      </c>
      <c r="G25" s="6" t="s">
        <v>24</v>
      </c>
      <c r="H25" s="6" t="n">
        <f aca="true">ROUND(RAND()*4+6,1)</f>
        <v>6.3</v>
      </c>
      <c r="I25" s="6" t="s">
        <v>25</v>
      </c>
      <c r="J25" s="6" t="str">
        <f aca="false">ROUND(62*1,0)&amp;"%"</f>
        <v>62%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2769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2770</v>
      </c>
      <c r="B30" s="5" t="s">
        <v>75</v>
      </c>
      <c r="C30" s="5" t="s">
        <v>76</v>
      </c>
      <c r="D30" s="5" t="s">
        <v>16</v>
      </c>
      <c r="E30" s="5" t="n">
        <f aca="false">ROUND(17130*1.05,2)</f>
        <v>17986.5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ROUND(75*1,0)&amp;"%"</f>
        <v>75%</v>
      </c>
    </row>
    <row r="31" customFormat="false" ht="15" hidden="false" customHeight="false" outlineLevel="0" collapsed="false">
      <c r="A31" s="6" t="s">
        <v>2771</v>
      </c>
      <c r="B31" s="6" t="s">
        <v>78</v>
      </c>
      <c r="C31" s="6" t="s">
        <v>76</v>
      </c>
      <c r="D31" s="6" t="s">
        <v>22</v>
      </c>
      <c r="E31" s="6" t="n">
        <f aca="false">ROUND(5399*1.05,2)</f>
        <v>5668.95</v>
      </c>
      <c r="F31" s="6" t="s">
        <v>23</v>
      </c>
      <c r="G31" s="6" t="s">
        <v>24</v>
      </c>
      <c r="H31" s="6" t="n">
        <f aca="true">ROUND(RAND()*4+6,1)</f>
        <v>7</v>
      </c>
      <c r="I31" s="6" t="s">
        <v>25</v>
      </c>
      <c r="J31" s="6" t="str">
        <f aca="false">ROUND(83*1,0)&amp;"%"</f>
        <v>83%</v>
      </c>
    </row>
    <row r="32" customFormat="false" ht="15" hidden="false" customHeight="false" outlineLevel="0" collapsed="false">
      <c r="A32" s="5" t="s">
        <v>2772</v>
      </c>
      <c r="B32" s="5" t="s">
        <v>80</v>
      </c>
      <c r="C32" s="5" t="s">
        <v>76</v>
      </c>
      <c r="D32" s="5" t="s">
        <v>28</v>
      </c>
      <c r="E32" s="5" t="n">
        <f aca="false">ROUND(15339*1.05,2)</f>
        <v>16105.95</v>
      </c>
      <c r="F32" s="5" t="s">
        <v>29</v>
      </c>
      <c r="G32" s="5" t="s">
        <v>30</v>
      </c>
      <c r="H32" s="5" t="n">
        <f aca="true">ROUND(RAND()*4+6,1)</f>
        <v>7.9</v>
      </c>
      <c r="I32" s="5" t="s">
        <v>31</v>
      </c>
      <c r="J32" s="5" t="str">
        <f aca="false">ROUND(79*1,0)&amp;"%"</f>
        <v>79%</v>
      </c>
    </row>
    <row r="33" customFormat="false" ht="15" hidden="false" customHeight="false" outlineLevel="0" collapsed="false">
      <c r="A33" s="6" t="s">
        <v>2773</v>
      </c>
      <c r="B33" s="6" t="s">
        <v>82</v>
      </c>
      <c r="C33" s="6" t="s">
        <v>76</v>
      </c>
      <c r="D33" s="6" t="s">
        <v>34</v>
      </c>
      <c r="E33" s="6" t="n">
        <f aca="false">ROUND(10365*1.05,2)</f>
        <v>10883.25</v>
      </c>
      <c r="F33" s="6" t="s">
        <v>35</v>
      </c>
      <c r="G33" s="6" t="s">
        <v>18</v>
      </c>
      <c r="H33" s="6" t="n">
        <f aca="true">ROUND(RAND()*4+6,1)</f>
        <v>9.1</v>
      </c>
      <c r="I33" s="6" t="s">
        <v>36</v>
      </c>
      <c r="J33" s="6" t="str">
        <f aca="false">ROUND(97*1,0)&amp;"%"</f>
        <v>97%</v>
      </c>
    </row>
    <row r="34" customFormat="false" ht="15" hidden="false" customHeight="false" outlineLevel="0" collapsed="false">
      <c r="A34" s="5" t="s">
        <v>2774</v>
      </c>
      <c r="B34" s="5" t="s">
        <v>84</v>
      </c>
      <c r="C34" s="5" t="s">
        <v>76</v>
      </c>
      <c r="D34" s="5" t="s">
        <v>39</v>
      </c>
      <c r="E34" s="5" t="n">
        <f aca="false">ROUND(15970*1.05,2)</f>
        <v>16768.5</v>
      </c>
      <c r="F34" s="5" t="s">
        <v>40</v>
      </c>
      <c r="G34" s="5" t="s">
        <v>24</v>
      </c>
      <c r="H34" s="5" t="n">
        <f aca="true">ROUND(RAND()*4+6,1)</f>
        <v>7.3</v>
      </c>
      <c r="I34" s="5" t="s">
        <v>41</v>
      </c>
      <c r="J34" s="5" t="str">
        <f aca="false">ROUND(72*1,0)&amp;"%"</f>
        <v>72%</v>
      </c>
    </row>
    <row r="35" customFormat="false" ht="15" hidden="false" customHeight="false" outlineLevel="0" collapsed="false">
      <c r="A35" s="6" t="s">
        <v>2775</v>
      </c>
      <c r="B35" s="6" t="s">
        <v>86</v>
      </c>
      <c r="C35" s="6" t="s">
        <v>76</v>
      </c>
      <c r="D35" s="6" t="s">
        <v>44</v>
      </c>
      <c r="E35" s="6" t="n">
        <f aca="false">ROUND(16307*1.05,2)</f>
        <v>17122.35</v>
      </c>
      <c r="F35" s="6" t="s">
        <v>45</v>
      </c>
      <c r="G35" s="6" t="s">
        <v>30</v>
      </c>
      <c r="H35" s="6" t="n">
        <f aca="true">ROUND(RAND()*4+6,1)</f>
        <v>8.8</v>
      </c>
      <c r="I35" s="6" t="s">
        <v>46</v>
      </c>
      <c r="J35" s="6" t="str">
        <f aca="false">ROUND(63*1,0)&amp;"%"</f>
        <v>63%</v>
      </c>
    </row>
    <row r="36" customFormat="false" ht="15" hidden="false" customHeight="false" outlineLevel="0" collapsed="false">
      <c r="A36" s="5" t="s">
        <v>2776</v>
      </c>
      <c r="B36" s="5" t="s">
        <v>88</v>
      </c>
      <c r="C36" s="5" t="s">
        <v>76</v>
      </c>
      <c r="D36" s="5" t="s">
        <v>16</v>
      </c>
      <c r="E36" s="5" t="n">
        <f aca="false">ROUND(7082*1.05,2)</f>
        <v>7436.1</v>
      </c>
      <c r="F36" s="5" t="s">
        <v>49</v>
      </c>
      <c r="G36" s="5" t="s">
        <v>18</v>
      </c>
      <c r="H36" s="5" t="n">
        <f aca="true">ROUND(RAND()*4+6,1)</f>
        <v>9.5</v>
      </c>
      <c r="I36" s="5" t="s">
        <v>19</v>
      </c>
      <c r="J36" s="5" t="str">
        <f aca="false">ROUND(80*1,0)&amp;"%"</f>
        <v>80%</v>
      </c>
    </row>
    <row r="37" customFormat="false" ht="15" hidden="false" customHeight="false" outlineLevel="0" collapsed="false">
      <c r="A37" s="6" t="s">
        <v>2777</v>
      </c>
      <c r="B37" s="6" t="s">
        <v>90</v>
      </c>
      <c r="C37" s="6" t="s">
        <v>76</v>
      </c>
      <c r="D37" s="6" t="s">
        <v>22</v>
      </c>
      <c r="E37" s="6" t="n">
        <f aca="false">ROUND(10578*1.05,2)</f>
        <v>11106.9</v>
      </c>
      <c r="F37" s="6" t="s">
        <v>52</v>
      </c>
      <c r="G37" s="6" t="s">
        <v>24</v>
      </c>
      <c r="H37" s="6" t="n">
        <f aca="true">ROUND(RAND()*4+6,1)</f>
        <v>7.1</v>
      </c>
      <c r="I37" s="6" t="s">
        <v>25</v>
      </c>
      <c r="J37" s="6" t="str">
        <f aca="false">ROUND(78*1,0)&amp;"%"</f>
        <v>78%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2778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2779</v>
      </c>
      <c r="B42" s="5" t="s">
        <v>94</v>
      </c>
      <c r="C42" s="5" t="s">
        <v>95</v>
      </c>
      <c r="D42" s="5" t="s">
        <v>16</v>
      </c>
      <c r="E42" s="5" t="n">
        <f aca="false">ROUND(14588*1.05,2)</f>
        <v>15317.4</v>
      </c>
      <c r="F42" s="5" t="s">
        <v>17</v>
      </c>
      <c r="G42" s="5" t="s">
        <v>18</v>
      </c>
      <c r="H42" s="5" t="n">
        <f aca="true">ROUND(RAND()*4+6,1)</f>
        <v>9.8</v>
      </c>
      <c r="I42" s="5" t="s">
        <v>19</v>
      </c>
      <c r="J42" s="5" t="str">
        <f aca="false">ROUND(100*1,0)&amp;"%"</f>
        <v>100%</v>
      </c>
    </row>
    <row r="43" customFormat="false" ht="15" hidden="false" customHeight="false" outlineLevel="0" collapsed="false">
      <c r="A43" s="6" t="s">
        <v>2780</v>
      </c>
      <c r="B43" s="6" t="s">
        <v>97</v>
      </c>
      <c r="C43" s="6" t="s">
        <v>95</v>
      </c>
      <c r="D43" s="6" t="s">
        <v>22</v>
      </c>
      <c r="E43" s="6" t="n">
        <f aca="false">ROUND(9414*1.05,2)</f>
        <v>9884.7</v>
      </c>
      <c r="F43" s="6" t="s">
        <v>23</v>
      </c>
      <c r="G43" s="6" t="s">
        <v>24</v>
      </c>
      <c r="H43" s="6" t="n">
        <f aca="true">ROUND(RAND()*4+6,1)</f>
        <v>6.6</v>
      </c>
      <c r="I43" s="6" t="s">
        <v>25</v>
      </c>
      <c r="J43" s="6" t="str">
        <f aca="false">ROUND(75*1,0)&amp;"%"</f>
        <v>75%</v>
      </c>
    </row>
    <row r="44" customFormat="false" ht="15" hidden="false" customHeight="false" outlineLevel="0" collapsed="false">
      <c r="A44" s="5" t="s">
        <v>2781</v>
      </c>
      <c r="B44" s="5" t="s">
        <v>99</v>
      </c>
      <c r="C44" s="5" t="s">
        <v>95</v>
      </c>
      <c r="D44" s="5" t="s">
        <v>28</v>
      </c>
      <c r="E44" s="5" t="n">
        <f aca="false">ROUND(14989*1.05,2)</f>
        <v>15738.45</v>
      </c>
      <c r="F44" s="5" t="s">
        <v>29</v>
      </c>
      <c r="G44" s="5" t="s">
        <v>30</v>
      </c>
      <c r="H44" s="5" t="n">
        <f aca="true">ROUND(RAND()*4+6,1)</f>
        <v>6.4</v>
      </c>
      <c r="I44" s="5" t="s">
        <v>31</v>
      </c>
      <c r="J44" s="5" t="str">
        <f aca="false">ROUND(78*1,0)&amp;"%"</f>
        <v>78%</v>
      </c>
    </row>
    <row r="45" customFormat="false" ht="15" hidden="false" customHeight="false" outlineLevel="0" collapsed="false">
      <c r="A45" s="6" t="s">
        <v>2782</v>
      </c>
      <c r="B45" s="6" t="s">
        <v>101</v>
      </c>
      <c r="C45" s="6" t="s">
        <v>95</v>
      </c>
      <c r="D45" s="6" t="s">
        <v>34</v>
      </c>
      <c r="E45" s="6" t="n">
        <f aca="false">ROUND(6651*1.05,2)</f>
        <v>6983.55</v>
      </c>
      <c r="F45" s="6" t="s">
        <v>35</v>
      </c>
      <c r="G45" s="6" t="s">
        <v>18</v>
      </c>
      <c r="H45" s="6" t="n">
        <f aca="true">ROUND(RAND()*4+6,1)</f>
        <v>6.9</v>
      </c>
      <c r="I45" s="6" t="s">
        <v>36</v>
      </c>
      <c r="J45" s="6" t="str">
        <f aca="false">ROUND(69*1,0)&amp;"%"</f>
        <v>69%</v>
      </c>
    </row>
    <row r="46" customFormat="false" ht="15" hidden="false" customHeight="false" outlineLevel="0" collapsed="false">
      <c r="A46" s="5" t="s">
        <v>2783</v>
      </c>
      <c r="B46" s="5" t="s">
        <v>103</v>
      </c>
      <c r="C46" s="5" t="s">
        <v>95</v>
      </c>
      <c r="D46" s="5" t="s">
        <v>39</v>
      </c>
      <c r="E46" s="5" t="n">
        <f aca="false">ROUND(16846*1.05,2)</f>
        <v>17688.3</v>
      </c>
      <c r="F46" s="5" t="s">
        <v>40</v>
      </c>
      <c r="G46" s="5" t="s">
        <v>24</v>
      </c>
      <c r="H46" s="5" t="n">
        <f aca="true">ROUND(RAND()*4+6,1)</f>
        <v>6.7</v>
      </c>
      <c r="I46" s="5" t="s">
        <v>41</v>
      </c>
      <c r="J46" s="5" t="str">
        <f aca="false">ROUND(75*1,0)&amp;"%"</f>
        <v>75%</v>
      </c>
    </row>
    <row r="47" customFormat="false" ht="15" hidden="false" customHeight="false" outlineLevel="0" collapsed="false">
      <c r="A47" s="6" t="s">
        <v>2784</v>
      </c>
      <c r="B47" s="6" t="s">
        <v>105</v>
      </c>
      <c r="C47" s="6" t="s">
        <v>95</v>
      </c>
      <c r="D47" s="6" t="s">
        <v>44</v>
      </c>
      <c r="E47" s="6" t="n">
        <f aca="false">ROUND(7446*1.05,2)</f>
        <v>7818.3</v>
      </c>
      <c r="F47" s="6" t="s">
        <v>45</v>
      </c>
      <c r="G47" s="6" t="s">
        <v>30</v>
      </c>
      <c r="H47" s="6" t="n">
        <f aca="true">ROUND(RAND()*4+6,1)</f>
        <v>6.4</v>
      </c>
      <c r="I47" s="6" t="s">
        <v>46</v>
      </c>
      <c r="J47" s="6" t="str">
        <f aca="false">ROUND(90*1,0)&amp;"%"</f>
        <v>90%</v>
      </c>
    </row>
    <row r="48" customFormat="false" ht="15" hidden="false" customHeight="false" outlineLevel="0" collapsed="false">
      <c r="A48" s="5" t="s">
        <v>2785</v>
      </c>
      <c r="B48" s="5" t="s">
        <v>107</v>
      </c>
      <c r="C48" s="5" t="s">
        <v>95</v>
      </c>
      <c r="D48" s="5" t="s">
        <v>16</v>
      </c>
      <c r="E48" s="5" t="n">
        <f aca="false">ROUND(14654*1.05,2)</f>
        <v>15386.7</v>
      </c>
      <c r="F48" s="5" t="s">
        <v>49</v>
      </c>
      <c r="G48" s="5" t="s">
        <v>18</v>
      </c>
      <c r="H48" s="5" t="n">
        <f aca="true">ROUND(RAND()*4+6,1)</f>
        <v>8.1</v>
      </c>
      <c r="I48" s="5" t="s">
        <v>19</v>
      </c>
      <c r="J48" s="5" t="str">
        <f aca="false">ROUND(60*1,0)&amp;"%"</f>
        <v>60%</v>
      </c>
    </row>
    <row r="49" customFormat="false" ht="15" hidden="false" customHeight="false" outlineLevel="0" collapsed="false">
      <c r="A49" s="6" t="s">
        <v>2786</v>
      </c>
      <c r="B49" s="6" t="s">
        <v>109</v>
      </c>
      <c r="C49" s="6" t="s">
        <v>95</v>
      </c>
      <c r="D49" s="6" t="s">
        <v>22</v>
      </c>
      <c r="E49" s="6" t="n">
        <f aca="false">ROUND(9522*1.05,2)</f>
        <v>9998.1</v>
      </c>
      <c r="F49" s="6" t="s">
        <v>52</v>
      </c>
      <c r="G49" s="6" t="s">
        <v>24</v>
      </c>
      <c r="H49" s="6" t="n">
        <f aca="true">ROUND(RAND()*4+6,1)</f>
        <v>6.5</v>
      </c>
      <c r="I49" s="6" t="s">
        <v>25</v>
      </c>
      <c r="J49" s="6" t="str">
        <f aca="false">ROUND(92*1,0)&amp;"%"</f>
        <v>92%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2787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2788</v>
      </c>
      <c r="B54" s="5" t="s">
        <v>113</v>
      </c>
      <c r="C54" s="5" t="s">
        <v>114</v>
      </c>
      <c r="D54" s="5" t="s">
        <v>16</v>
      </c>
      <c r="E54" s="5" t="n">
        <f aca="false">ROUND(14199*1.05,2)</f>
        <v>14908.95</v>
      </c>
      <c r="F54" s="5" t="s">
        <v>17</v>
      </c>
      <c r="G54" s="5" t="s">
        <v>18</v>
      </c>
      <c r="H54" s="5" t="n">
        <f aca="true">ROUND(RAND()*4+6,1)</f>
        <v>9.5</v>
      </c>
      <c r="I54" s="5" t="s">
        <v>19</v>
      </c>
      <c r="J54" s="5" t="str">
        <f aca="false">ROUND(88*1,0)&amp;"%"</f>
        <v>88%</v>
      </c>
    </row>
    <row r="55" customFormat="false" ht="15" hidden="false" customHeight="false" outlineLevel="0" collapsed="false">
      <c r="A55" s="6" t="s">
        <v>2789</v>
      </c>
      <c r="B55" s="6" t="s">
        <v>116</v>
      </c>
      <c r="C55" s="6" t="s">
        <v>114</v>
      </c>
      <c r="D55" s="6" t="s">
        <v>22</v>
      </c>
      <c r="E55" s="6" t="n">
        <f aca="false">ROUND(17249*1.05,2)</f>
        <v>18111.45</v>
      </c>
      <c r="F55" s="6" t="s">
        <v>23</v>
      </c>
      <c r="G55" s="6" t="s">
        <v>24</v>
      </c>
      <c r="H55" s="6" t="n">
        <f aca="true">ROUND(RAND()*4+6,1)</f>
        <v>9.2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2790</v>
      </c>
      <c r="B56" s="5" t="s">
        <v>118</v>
      </c>
      <c r="C56" s="5" t="s">
        <v>114</v>
      </c>
      <c r="D56" s="5" t="s">
        <v>28</v>
      </c>
      <c r="E56" s="5" t="n">
        <f aca="false">ROUND(6422*1.05,2)</f>
        <v>6743.1</v>
      </c>
      <c r="F56" s="5" t="s">
        <v>29</v>
      </c>
      <c r="G56" s="5" t="s">
        <v>30</v>
      </c>
      <c r="H56" s="5" t="n">
        <f aca="true">ROUND(RAND()*4+6,1)</f>
        <v>9</v>
      </c>
      <c r="I56" s="5" t="s">
        <v>31</v>
      </c>
      <c r="J56" s="5" t="str">
        <f aca="false">ROUND(68*1,0)&amp;"%"</f>
        <v>68%</v>
      </c>
    </row>
    <row r="57" customFormat="false" ht="15" hidden="false" customHeight="false" outlineLevel="0" collapsed="false">
      <c r="A57" s="6" t="s">
        <v>2791</v>
      </c>
      <c r="B57" s="6" t="s">
        <v>120</v>
      </c>
      <c r="C57" s="6" t="s">
        <v>114</v>
      </c>
      <c r="D57" s="6" t="s">
        <v>34</v>
      </c>
      <c r="E57" s="6" t="n">
        <f aca="false">ROUND(12130*1.05,2)</f>
        <v>12736.5</v>
      </c>
      <c r="F57" s="6" t="s">
        <v>35</v>
      </c>
      <c r="G57" s="6" t="s">
        <v>18</v>
      </c>
      <c r="H57" s="6" t="n">
        <f aca="true">ROUND(RAND()*4+6,1)</f>
        <v>6.4</v>
      </c>
      <c r="I57" s="6" t="s">
        <v>36</v>
      </c>
      <c r="J57" s="6" t="str">
        <f aca="false">ROUND(67*1,0)&amp;"%"</f>
        <v>67%</v>
      </c>
    </row>
    <row r="58" customFormat="false" ht="15" hidden="false" customHeight="false" outlineLevel="0" collapsed="false">
      <c r="A58" s="5" t="s">
        <v>2792</v>
      </c>
      <c r="B58" s="5" t="s">
        <v>122</v>
      </c>
      <c r="C58" s="5" t="s">
        <v>114</v>
      </c>
      <c r="D58" s="5" t="s">
        <v>39</v>
      </c>
      <c r="E58" s="5" t="n">
        <f aca="false">ROUND(7608*1.05,2)</f>
        <v>7988.4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ROUND(75*1,0)&amp;"%"</f>
        <v>75%</v>
      </c>
    </row>
    <row r="59" customFormat="false" ht="15" hidden="false" customHeight="false" outlineLevel="0" collapsed="false">
      <c r="A59" s="6" t="s">
        <v>2793</v>
      </c>
      <c r="B59" s="6" t="s">
        <v>124</v>
      </c>
      <c r="C59" s="6" t="s">
        <v>114</v>
      </c>
      <c r="D59" s="6" t="s">
        <v>44</v>
      </c>
      <c r="E59" s="6" t="n">
        <f aca="false">ROUND(5215*1.05,2)</f>
        <v>5475.75</v>
      </c>
      <c r="F59" s="6" t="s">
        <v>45</v>
      </c>
      <c r="G59" s="6" t="s">
        <v>30</v>
      </c>
      <c r="H59" s="6" t="n">
        <f aca="true">ROUND(RAND()*4+6,1)</f>
        <v>8.7</v>
      </c>
      <c r="I59" s="6" t="s">
        <v>46</v>
      </c>
      <c r="J59" s="6" t="str">
        <f aca="false">ROUND(100*1,0)&amp;"%"</f>
        <v>100%</v>
      </c>
    </row>
    <row r="60" customFormat="false" ht="15" hidden="false" customHeight="false" outlineLevel="0" collapsed="false">
      <c r="A60" s="5" t="s">
        <v>2794</v>
      </c>
      <c r="B60" s="5" t="s">
        <v>126</v>
      </c>
      <c r="C60" s="5" t="s">
        <v>114</v>
      </c>
      <c r="D60" s="5" t="s">
        <v>16</v>
      </c>
      <c r="E60" s="5" t="n">
        <f aca="false">ROUND(8288*1.05,2)</f>
        <v>8702.4</v>
      </c>
      <c r="F60" s="5" t="s">
        <v>49</v>
      </c>
      <c r="G60" s="5" t="s">
        <v>18</v>
      </c>
      <c r="H60" s="5" t="n">
        <f aca="true">ROUND(RAND()*4+6,1)</f>
        <v>7.9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2795</v>
      </c>
      <c r="B61" s="6" t="s">
        <v>128</v>
      </c>
      <c r="C61" s="6" t="s">
        <v>114</v>
      </c>
      <c r="D61" s="6" t="s">
        <v>22</v>
      </c>
      <c r="E61" s="6" t="n">
        <f aca="false">ROUND(8587*1.05,2)</f>
        <v>9016.35</v>
      </c>
      <c r="F61" s="6" t="s">
        <v>52</v>
      </c>
      <c r="G61" s="6" t="s">
        <v>24</v>
      </c>
      <c r="H61" s="6" t="n">
        <f aca="true">ROUND(RAND()*4+6,1)</f>
        <v>9.1</v>
      </c>
      <c r="I61" s="6" t="s">
        <v>25</v>
      </c>
      <c r="J61" s="6" t="str">
        <f aca="false">ROUND(73*1,0)&amp;"%"</f>
        <v>73%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2796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2797</v>
      </c>
      <c r="B66" s="5" t="s">
        <v>132</v>
      </c>
      <c r="C66" s="5" t="s">
        <v>133</v>
      </c>
      <c r="D66" s="5" t="s">
        <v>16</v>
      </c>
      <c r="E66" s="5" t="n">
        <f aca="false">ROUND(8139*1.05,2)</f>
        <v>8545.95</v>
      </c>
      <c r="F66" s="5" t="s">
        <v>17</v>
      </c>
      <c r="G66" s="5" t="s">
        <v>18</v>
      </c>
      <c r="H66" s="5" t="n">
        <f aca="true">ROUND(RAND()*4+6,1)</f>
        <v>8.1</v>
      </c>
      <c r="I66" s="5" t="s">
        <v>19</v>
      </c>
      <c r="J66" s="5" t="str">
        <f aca="false">ROUND(79*1,0)&amp;"%"</f>
        <v>79%</v>
      </c>
    </row>
    <row r="67" customFormat="false" ht="15" hidden="false" customHeight="false" outlineLevel="0" collapsed="false">
      <c r="A67" s="6" t="s">
        <v>2798</v>
      </c>
      <c r="B67" s="6" t="s">
        <v>135</v>
      </c>
      <c r="C67" s="6" t="s">
        <v>133</v>
      </c>
      <c r="D67" s="6" t="s">
        <v>22</v>
      </c>
      <c r="E67" s="6" t="n">
        <f aca="false">ROUND(17630*1.05,2)</f>
        <v>18511.5</v>
      </c>
      <c r="F67" s="6" t="s">
        <v>23</v>
      </c>
      <c r="G67" s="6" t="s">
        <v>24</v>
      </c>
      <c r="H67" s="6" t="n">
        <f aca="true">ROUND(RAND()*4+6,1)</f>
        <v>8.1</v>
      </c>
      <c r="I67" s="6" t="s">
        <v>25</v>
      </c>
      <c r="J67" s="6" t="str">
        <f aca="false">ROUND(76*1,0)&amp;"%"</f>
        <v>76%</v>
      </c>
    </row>
    <row r="68" customFormat="false" ht="15" hidden="false" customHeight="false" outlineLevel="0" collapsed="false">
      <c r="A68" s="5" t="s">
        <v>2799</v>
      </c>
      <c r="B68" s="5" t="s">
        <v>137</v>
      </c>
      <c r="C68" s="5" t="s">
        <v>133</v>
      </c>
      <c r="D68" s="5" t="s">
        <v>28</v>
      </c>
      <c r="E68" s="5" t="n">
        <f aca="false">ROUND(15067*1.05,2)</f>
        <v>15820.35</v>
      </c>
      <c r="F68" s="5" t="s">
        <v>29</v>
      </c>
      <c r="G68" s="5" t="s">
        <v>30</v>
      </c>
      <c r="H68" s="5" t="n">
        <f aca="true">ROUND(RAND()*4+6,1)</f>
        <v>9.6</v>
      </c>
      <c r="I68" s="5" t="s">
        <v>31</v>
      </c>
      <c r="J68" s="5" t="str">
        <f aca="false">ROUND(73*1,0)&amp;"%"</f>
        <v>73%</v>
      </c>
    </row>
    <row r="69" customFormat="false" ht="15" hidden="false" customHeight="false" outlineLevel="0" collapsed="false">
      <c r="A69" s="6" t="s">
        <v>2800</v>
      </c>
      <c r="B69" s="6" t="s">
        <v>139</v>
      </c>
      <c r="C69" s="6" t="s">
        <v>133</v>
      </c>
      <c r="D69" s="6" t="s">
        <v>34</v>
      </c>
      <c r="E69" s="6" t="n">
        <f aca="false">ROUND(17668*1.05,2)</f>
        <v>18551.4</v>
      </c>
      <c r="F69" s="6" t="s">
        <v>35</v>
      </c>
      <c r="G69" s="6" t="s">
        <v>18</v>
      </c>
      <c r="H69" s="6" t="n">
        <f aca="true">ROUND(RAND()*4+6,1)</f>
        <v>8.3</v>
      </c>
      <c r="I69" s="6" t="s">
        <v>36</v>
      </c>
      <c r="J69" s="6" t="str">
        <f aca="false">ROUND(71*1,0)&amp;"%"</f>
        <v>71%</v>
      </c>
    </row>
    <row r="70" customFormat="false" ht="15" hidden="false" customHeight="false" outlineLevel="0" collapsed="false">
      <c r="A70" s="5" t="s">
        <v>2801</v>
      </c>
      <c r="B70" s="5" t="s">
        <v>141</v>
      </c>
      <c r="C70" s="5" t="s">
        <v>133</v>
      </c>
      <c r="D70" s="5" t="s">
        <v>39</v>
      </c>
      <c r="E70" s="5" t="n">
        <f aca="false">ROUND(10277*1.05,2)</f>
        <v>10790.85</v>
      </c>
      <c r="F70" s="5" t="s">
        <v>40</v>
      </c>
      <c r="G70" s="5" t="s">
        <v>24</v>
      </c>
      <c r="H70" s="5" t="n">
        <f aca="true">ROUND(RAND()*4+6,1)</f>
        <v>7.7</v>
      </c>
      <c r="I70" s="5" t="s">
        <v>41</v>
      </c>
      <c r="J70" s="5" t="str">
        <f aca="false">ROUND(89*1,0)&amp;"%"</f>
        <v>89%</v>
      </c>
    </row>
    <row r="71" customFormat="false" ht="15" hidden="false" customHeight="false" outlineLevel="0" collapsed="false">
      <c r="A71" s="6" t="s">
        <v>2802</v>
      </c>
      <c r="B71" s="6" t="s">
        <v>143</v>
      </c>
      <c r="C71" s="6" t="s">
        <v>133</v>
      </c>
      <c r="D71" s="6" t="s">
        <v>44</v>
      </c>
      <c r="E71" s="6" t="n">
        <f aca="false">ROUND(5755*1.05,2)</f>
        <v>6042.75</v>
      </c>
      <c r="F71" s="6" t="s">
        <v>45</v>
      </c>
      <c r="G71" s="6" t="s">
        <v>30</v>
      </c>
      <c r="H71" s="6" t="n">
        <f aca="true">ROUND(RAND()*4+6,1)</f>
        <v>6.3</v>
      </c>
      <c r="I71" s="6" t="s">
        <v>46</v>
      </c>
      <c r="J71" s="6" t="str">
        <f aca="false">ROUND(60*1,0)&amp;"%"</f>
        <v>60%</v>
      </c>
    </row>
    <row r="72" customFormat="false" ht="15" hidden="false" customHeight="false" outlineLevel="0" collapsed="false">
      <c r="A72" s="5" t="s">
        <v>2803</v>
      </c>
      <c r="B72" s="5" t="s">
        <v>145</v>
      </c>
      <c r="C72" s="5" t="s">
        <v>133</v>
      </c>
      <c r="D72" s="5" t="s">
        <v>16</v>
      </c>
      <c r="E72" s="5" t="n">
        <f aca="false">ROUND(13702*1.05,2)</f>
        <v>14387.1</v>
      </c>
      <c r="F72" s="5" t="s">
        <v>49</v>
      </c>
      <c r="G72" s="5" t="s">
        <v>18</v>
      </c>
      <c r="H72" s="5" t="n">
        <f aca="true">ROUND(RAND()*4+6,1)</f>
        <v>7.6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2804</v>
      </c>
      <c r="B73" s="6" t="s">
        <v>147</v>
      </c>
      <c r="C73" s="6" t="s">
        <v>133</v>
      </c>
      <c r="D73" s="6" t="s">
        <v>22</v>
      </c>
      <c r="E73" s="6" t="n">
        <f aca="false">ROUND(7792*1.05,2)</f>
        <v>8181.6</v>
      </c>
      <c r="F73" s="6" t="s">
        <v>52</v>
      </c>
      <c r="G73" s="6" t="s">
        <v>24</v>
      </c>
      <c r="H73" s="6" t="n">
        <f aca="true">ROUND(RAND()*4+6,1)</f>
        <v>9.9</v>
      </c>
      <c r="I73" s="6" t="s">
        <v>25</v>
      </c>
      <c r="J73" s="6" t="str">
        <f aca="false">ROUND(67*1,0)&amp;"%"</f>
        <v>67%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2805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2806</v>
      </c>
      <c r="B78" s="5" t="s">
        <v>151</v>
      </c>
      <c r="C78" s="5" t="s">
        <v>152</v>
      </c>
      <c r="D78" s="5" t="s">
        <v>16</v>
      </c>
      <c r="E78" s="5" t="n">
        <f aca="false">ROUND(10164*1.05,2)</f>
        <v>10672.2</v>
      </c>
      <c r="F78" s="5" t="s">
        <v>17</v>
      </c>
      <c r="G78" s="5" t="s">
        <v>18</v>
      </c>
      <c r="H78" s="5" t="n">
        <f aca="true">ROUND(RAND()*4+6,1)</f>
        <v>7.7</v>
      </c>
      <c r="I78" s="5" t="s">
        <v>19</v>
      </c>
      <c r="J78" s="5" t="str">
        <f aca="false">ROUND(97*1,0)&amp;"%"</f>
        <v>97%</v>
      </c>
    </row>
    <row r="79" customFormat="false" ht="15" hidden="false" customHeight="false" outlineLevel="0" collapsed="false">
      <c r="A79" s="6" t="s">
        <v>2807</v>
      </c>
      <c r="B79" s="6" t="s">
        <v>154</v>
      </c>
      <c r="C79" s="6" t="s">
        <v>152</v>
      </c>
      <c r="D79" s="6" t="s">
        <v>22</v>
      </c>
      <c r="E79" s="6" t="n">
        <f aca="false">ROUND(10525*1.05,2)</f>
        <v>11051.25</v>
      </c>
      <c r="F79" s="6" t="s">
        <v>23</v>
      </c>
      <c r="G79" s="6" t="s">
        <v>24</v>
      </c>
      <c r="H79" s="6" t="n">
        <f aca="true">ROUND(RAND()*4+6,1)</f>
        <v>9.2</v>
      </c>
      <c r="I79" s="6" t="s">
        <v>25</v>
      </c>
      <c r="J79" s="6" t="str">
        <f aca="false">ROUND(87*1,0)&amp;"%"</f>
        <v>87%</v>
      </c>
    </row>
    <row r="80" customFormat="false" ht="15" hidden="false" customHeight="false" outlineLevel="0" collapsed="false">
      <c r="A80" s="5" t="s">
        <v>2808</v>
      </c>
      <c r="B80" s="5" t="s">
        <v>156</v>
      </c>
      <c r="C80" s="5" t="s">
        <v>152</v>
      </c>
      <c r="D80" s="5" t="s">
        <v>28</v>
      </c>
      <c r="E80" s="5" t="n">
        <f aca="false">ROUND(9178*1.05,2)</f>
        <v>9636.9</v>
      </c>
      <c r="F80" s="5" t="s">
        <v>29</v>
      </c>
      <c r="G80" s="5" t="s">
        <v>30</v>
      </c>
      <c r="H80" s="5" t="n">
        <f aca="true">ROUND(RAND()*4+6,1)</f>
        <v>6.6</v>
      </c>
      <c r="I80" s="5" t="s">
        <v>31</v>
      </c>
      <c r="J80" s="5" t="str">
        <f aca="false">ROUND(96*1,0)&amp;"%"</f>
        <v>96%</v>
      </c>
    </row>
    <row r="81" customFormat="false" ht="15" hidden="false" customHeight="false" outlineLevel="0" collapsed="false">
      <c r="A81" s="6" t="s">
        <v>2809</v>
      </c>
      <c r="B81" s="6" t="s">
        <v>158</v>
      </c>
      <c r="C81" s="6" t="s">
        <v>152</v>
      </c>
      <c r="D81" s="6" t="s">
        <v>34</v>
      </c>
      <c r="E81" s="6" t="n">
        <f aca="false">ROUND(16232*1.05,2)</f>
        <v>17043.6</v>
      </c>
      <c r="F81" s="6" t="s">
        <v>35</v>
      </c>
      <c r="G81" s="6" t="s">
        <v>18</v>
      </c>
      <c r="H81" s="6" t="n">
        <f aca="true">ROUND(RAND()*4+6,1)</f>
        <v>9.5</v>
      </c>
      <c r="I81" s="6" t="s">
        <v>36</v>
      </c>
      <c r="J81" s="6" t="str">
        <f aca="false">ROUND(65*1,0)&amp;"%"</f>
        <v>65%</v>
      </c>
    </row>
    <row r="82" customFormat="false" ht="15" hidden="false" customHeight="false" outlineLevel="0" collapsed="false">
      <c r="A82" s="5" t="s">
        <v>2810</v>
      </c>
      <c r="B82" s="5" t="s">
        <v>160</v>
      </c>
      <c r="C82" s="5" t="s">
        <v>152</v>
      </c>
      <c r="D82" s="5" t="s">
        <v>39</v>
      </c>
      <c r="E82" s="5" t="n">
        <f aca="false">ROUND(5612*1.05,2)</f>
        <v>5892.6</v>
      </c>
      <c r="F82" s="5" t="s">
        <v>40</v>
      </c>
      <c r="G82" s="5" t="s">
        <v>24</v>
      </c>
      <c r="H82" s="5" t="n">
        <f aca="true">ROUND(RAND()*4+6,1)</f>
        <v>7.5</v>
      </c>
      <c r="I82" s="5" t="s">
        <v>41</v>
      </c>
      <c r="J82" s="5" t="str">
        <f aca="false">ROUND(69*1,0)&amp;"%"</f>
        <v>69%</v>
      </c>
    </row>
    <row r="83" customFormat="false" ht="15" hidden="false" customHeight="false" outlineLevel="0" collapsed="false">
      <c r="A83" s="6" t="s">
        <v>2811</v>
      </c>
      <c r="B83" s="6" t="s">
        <v>162</v>
      </c>
      <c r="C83" s="6" t="s">
        <v>152</v>
      </c>
      <c r="D83" s="6" t="s">
        <v>44</v>
      </c>
      <c r="E83" s="6" t="n">
        <f aca="false">ROUND(13683*1.05,2)</f>
        <v>14367.15</v>
      </c>
      <c r="F83" s="6" t="s">
        <v>45</v>
      </c>
      <c r="G83" s="6" t="s">
        <v>30</v>
      </c>
      <c r="H83" s="6" t="n">
        <f aca="true">ROUND(RAND()*4+6,1)</f>
        <v>8.7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2812</v>
      </c>
      <c r="B84" s="5" t="s">
        <v>164</v>
      </c>
      <c r="C84" s="5" t="s">
        <v>152</v>
      </c>
      <c r="D84" s="5" t="s">
        <v>16</v>
      </c>
      <c r="E84" s="5" t="n">
        <f aca="false">ROUND(13665*1.05,2)</f>
        <v>14348.25</v>
      </c>
      <c r="F84" s="5" t="s">
        <v>49</v>
      </c>
      <c r="G84" s="5" t="s">
        <v>18</v>
      </c>
      <c r="H84" s="5" t="n">
        <f aca="true">ROUND(RAND()*4+6,1)</f>
        <v>7.8</v>
      </c>
      <c r="I84" s="5" t="s">
        <v>19</v>
      </c>
      <c r="J84" s="5" t="str">
        <f aca="false">ROUND(98*1,0)&amp;"%"</f>
        <v>98%</v>
      </c>
    </row>
    <row r="85" customFormat="false" ht="15" hidden="false" customHeight="false" outlineLevel="0" collapsed="false">
      <c r="A85" s="6" t="s">
        <v>2813</v>
      </c>
      <c r="B85" s="6" t="s">
        <v>166</v>
      </c>
      <c r="C85" s="6" t="s">
        <v>152</v>
      </c>
      <c r="D85" s="6" t="s">
        <v>22</v>
      </c>
      <c r="E85" s="6" t="n">
        <f aca="false">ROUND(16754*1.05,2)</f>
        <v>17591.7</v>
      </c>
      <c r="F85" s="6" t="s">
        <v>52</v>
      </c>
      <c r="G85" s="6" t="s">
        <v>24</v>
      </c>
      <c r="H85" s="6" t="n">
        <f aca="true">ROUND(RAND()*4+6,1)</f>
        <v>6.1</v>
      </c>
      <c r="I85" s="6" t="s">
        <v>25</v>
      </c>
      <c r="J85" s="6" t="str">
        <f aca="false">ROUND(97*1,0)&amp;"%"</f>
        <v>97%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2814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2815</v>
      </c>
      <c r="B90" s="5" t="s">
        <v>170</v>
      </c>
      <c r="C90" s="5" t="s">
        <v>15</v>
      </c>
      <c r="D90" s="5" t="s">
        <v>16</v>
      </c>
      <c r="E90" s="5" t="n">
        <f aca="false">ROUND(12373*1.05,2)</f>
        <v>12991.65</v>
      </c>
      <c r="F90" s="5" t="s">
        <v>17</v>
      </c>
      <c r="G90" s="5" t="s">
        <v>18</v>
      </c>
      <c r="H90" s="5" t="n">
        <f aca="true">ROUND(RAND()*4+6,1)</f>
        <v>10</v>
      </c>
      <c r="I90" s="5" t="s">
        <v>19</v>
      </c>
      <c r="J90" s="5" t="str">
        <f aca="false">ROUND(93*1,0)&amp;"%"</f>
        <v>93%</v>
      </c>
    </row>
    <row r="91" customFormat="false" ht="15" hidden="false" customHeight="false" outlineLevel="0" collapsed="false">
      <c r="A91" s="6" t="s">
        <v>2816</v>
      </c>
      <c r="B91" s="6" t="s">
        <v>172</v>
      </c>
      <c r="C91" s="6" t="s">
        <v>15</v>
      </c>
      <c r="D91" s="6" t="s">
        <v>22</v>
      </c>
      <c r="E91" s="6" t="n">
        <f aca="false">ROUND(6420*1.05,2)</f>
        <v>6741</v>
      </c>
      <c r="F91" s="6" t="s">
        <v>23</v>
      </c>
      <c r="G91" s="6" t="s">
        <v>24</v>
      </c>
      <c r="H91" s="6" t="n">
        <f aca="true">ROUND(RAND()*4+6,1)</f>
        <v>7.7</v>
      </c>
      <c r="I91" s="6" t="s">
        <v>25</v>
      </c>
      <c r="J91" s="6" t="str">
        <f aca="false">ROUND(65*1,0)&amp;"%"</f>
        <v>65%</v>
      </c>
    </row>
    <row r="92" customFormat="false" ht="15" hidden="false" customHeight="false" outlineLevel="0" collapsed="false">
      <c r="A92" s="5" t="s">
        <v>2817</v>
      </c>
      <c r="B92" s="5" t="s">
        <v>174</v>
      </c>
      <c r="C92" s="5" t="s">
        <v>15</v>
      </c>
      <c r="D92" s="5" t="s">
        <v>28</v>
      </c>
      <c r="E92" s="5" t="n">
        <f aca="false">ROUND(10734*1.05,2)</f>
        <v>11270.7</v>
      </c>
      <c r="F92" s="5" t="s">
        <v>29</v>
      </c>
      <c r="G92" s="5" t="s">
        <v>30</v>
      </c>
      <c r="H92" s="5" t="n">
        <f aca="true">ROUND(RAND()*4+6,1)</f>
        <v>9</v>
      </c>
      <c r="I92" s="5" t="s">
        <v>31</v>
      </c>
      <c r="J92" s="5" t="str">
        <f aca="false">ROUND(80*1,0)&amp;"%"</f>
        <v>80%</v>
      </c>
    </row>
    <row r="93" customFormat="false" ht="15" hidden="false" customHeight="false" outlineLevel="0" collapsed="false">
      <c r="A93" s="6" t="s">
        <v>2818</v>
      </c>
      <c r="B93" s="6" t="s">
        <v>176</v>
      </c>
      <c r="C93" s="6" t="s">
        <v>15</v>
      </c>
      <c r="D93" s="6" t="s">
        <v>34</v>
      </c>
      <c r="E93" s="6" t="n">
        <f aca="false">ROUND(5786*1.05,2)</f>
        <v>6075.3</v>
      </c>
      <c r="F93" s="6" t="s">
        <v>35</v>
      </c>
      <c r="G93" s="6" t="s">
        <v>18</v>
      </c>
      <c r="H93" s="6" t="n">
        <f aca="true">ROUND(RAND()*4+6,1)</f>
        <v>9.9</v>
      </c>
      <c r="I93" s="6" t="s">
        <v>36</v>
      </c>
      <c r="J93" s="6" t="str">
        <f aca="false">ROUND(70*1,0)&amp;"%"</f>
        <v>70%</v>
      </c>
    </row>
    <row r="94" customFormat="false" ht="15" hidden="false" customHeight="false" outlineLevel="0" collapsed="false">
      <c r="A94" s="5" t="s">
        <v>2819</v>
      </c>
      <c r="B94" s="5" t="s">
        <v>178</v>
      </c>
      <c r="C94" s="5" t="s">
        <v>15</v>
      </c>
      <c r="D94" s="5" t="s">
        <v>39</v>
      </c>
      <c r="E94" s="5" t="n">
        <f aca="false">ROUND(14359*1.05,2)</f>
        <v>15076.95</v>
      </c>
      <c r="F94" s="5" t="s">
        <v>40</v>
      </c>
      <c r="G94" s="5" t="s">
        <v>24</v>
      </c>
      <c r="H94" s="5" t="n">
        <f aca="true">ROUND(RAND()*4+6,1)</f>
        <v>9.2</v>
      </c>
      <c r="I94" s="5" t="s">
        <v>41</v>
      </c>
      <c r="J94" s="5" t="str">
        <f aca="false">ROUND(65*1,0)&amp;"%"</f>
        <v>65%</v>
      </c>
    </row>
    <row r="95" customFormat="false" ht="15" hidden="false" customHeight="false" outlineLevel="0" collapsed="false">
      <c r="A95" s="6" t="s">
        <v>2820</v>
      </c>
      <c r="B95" s="6" t="s">
        <v>180</v>
      </c>
      <c r="C95" s="6" t="s">
        <v>15</v>
      </c>
      <c r="D95" s="6" t="s">
        <v>44</v>
      </c>
      <c r="E95" s="6" t="n">
        <f aca="false">ROUND(16940*1.05,2)</f>
        <v>17787</v>
      </c>
      <c r="F95" s="6" t="s">
        <v>45</v>
      </c>
      <c r="G95" s="6" t="s">
        <v>30</v>
      </c>
      <c r="H95" s="6" t="n">
        <f aca="true">ROUND(RAND()*4+6,1)</f>
        <v>8.1</v>
      </c>
      <c r="I95" s="6" t="s">
        <v>46</v>
      </c>
      <c r="J95" s="6" t="str">
        <f aca="false">ROUND(71*1,0)&amp;"%"</f>
        <v>71%</v>
      </c>
    </row>
    <row r="96" customFormat="false" ht="15" hidden="false" customHeight="false" outlineLevel="0" collapsed="false">
      <c r="A96" s="5" t="s">
        <v>2821</v>
      </c>
      <c r="B96" s="5" t="s">
        <v>182</v>
      </c>
      <c r="C96" s="5" t="s">
        <v>15</v>
      </c>
      <c r="D96" s="5" t="s">
        <v>16</v>
      </c>
      <c r="E96" s="5" t="n">
        <f aca="false">ROUND(12534*1.05,2)</f>
        <v>13160.7</v>
      </c>
      <c r="F96" s="5" t="s">
        <v>49</v>
      </c>
      <c r="G96" s="5" t="s">
        <v>18</v>
      </c>
      <c r="H96" s="5" t="n">
        <f aca="true">ROUND(RAND()*4+6,1)</f>
        <v>7.4</v>
      </c>
      <c r="I96" s="5" t="s">
        <v>19</v>
      </c>
      <c r="J96" s="5" t="str">
        <f aca="false">ROUND(99*1,0)&amp;"%"</f>
        <v>99%</v>
      </c>
    </row>
    <row r="97" customFormat="false" ht="15" hidden="false" customHeight="false" outlineLevel="0" collapsed="false">
      <c r="A97" s="6" t="s">
        <v>2822</v>
      </c>
      <c r="B97" s="6" t="s">
        <v>184</v>
      </c>
      <c r="C97" s="6" t="s">
        <v>15</v>
      </c>
      <c r="D97" s="6" t="s">
        <v>22</v>
      </c>
      <c r="E97" s="6" t="n">
        <f aca="false">ROUND(6815*1.05,2)</f>
        <v>7155.75</v>
      </c>
      <c r="F97" s="6" t="s">
        <v>52</v>
      </c>
      <c r="G97" s="6" t="s">
        <v>24</v>
      </c>
      <c r="H97" s="6" t="n">
        <f aca="true">ROUND(RAND()*4+6,1)</f>
        <v>8.8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2823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2824</v>
      </c>
      <c r="B102" s="5" t="s">
        <v>188</v>
      </c>
      <c r="C102" s="5" t="s">
        <v>57</v>
      </c>
      <c r="D102" s="5" t="s">
        <v>16</v>
      </c>
      <c r="E102" s="5" t="n">
        <f aca="false">ROUND(14171*1.05,2)</f>
        <v>14879.55</v>
      </c>
      <c r="F102" s="5" t="s">
        <v>17</v>
      </c>
      <c r="G102" s="5" t="s">
        <v>18</v>
      </c>
      <c r="H102" s="5" t="n">
        <f aca="true">ROUND(RAND()*4+6,1)</f>
        <v>8.4</v>
      </c>
      <c r="I102" s="5" t="s">
        <v>19</v>
      </c>
      <c r="J102" s="5" t="str">
        <f aca="false">ROUND(65*1,0)&amp;"%"</f>
        <v>65%</v>
      </c>
    </row>
    <row r="103" customFormat="false" ht="15" hidden="false" customHeight="false" outlineLevel="0" collapsed="false">
      <c r="A103" s="6" t="s">
        <v>2825</v>
      </c>
      <c r="B103" s="6" t="s">
        <v>190</v>
      </c>
      <c r="C103" s="6" t="s">
        <v>57</v>
      </c>
      <c r="D103" s="6" t="s">
        <v>22</v>
      </c>
      <c r="E103" s="6" t="n">
        <f aca="false">ROUND(9386*1.05,2)</f>
        <v>9855.3</v>
      </c>
      <c r="F103" s="6" t="s">
        <v>23</v>
      </c>
      <c r="G103" s="6" t="s">
        <v>24</v>
      </c>
      <c r="H103" s="6" t="n">
        <f aca="true">ROUND(RAND()*4+6,1)</f>
        <v>7.4</v>
      </c>
      <c r="I103" s="6" t="s">
        <v>25</v>
      </c>
      <c r="J103" s="6" t="str">
        <f aca="false">ROUND(77*1,0)&amp;"%"</f>
        <v>77%</v>
      </c>
    </row>
    <row r="104" customFormat="false" ht="15" hidden="false" customHeight="false" outlineLevel="0" collapsed="false">
      <c r="A104" s="5" t="s">
        <v>2826</v>
      </c>
      <c r="B104" s="5" t="s">
        <v>192</v>
      </c>
      <c r="C104" s="5" t="s">
        <v>57</v>
      </c>
      <c r="D104" s="5" t="s">
        <v>28</v>
      </c>
      <c r="E104" s="5" t="n">
        <f aca="false">ROUND(9634*1.05,2)</f>
        <v>10115.7</v>
      </c>
      <c r="F104" s="5" t="s">
        <v>29</v>
      </c>
      <c r="G104" s="5" t="s">
        <v>30</v>
      </c>
      <c r="H104" s="5" t="n">
        <f aca="true">ROUND(RAND()*4+6,1)</f>
        <v>8.2</v>
      </c>
      <c r="I104" s="5" t="s">
        <v>31</v>
      </c>
      <c r="J104" s="5" t="str">
        <f aca="false">ROUND(94*1,0)&amp;"%"</f>
        <v>94%</v>
      </c>
    </row>
    <row r="105" customFormat="false" ht="15" hidden="false" customHeight="false" outlineLevel="0" collapsed="false">
      <c r="A105" s="6" t="s">
        <v>2827</v>
      </c>
      <c r="B105" s="6" t="s">
        <v>194</v>
      </c>
      <c r="C105" s="6" t="s">
        <v>57</v>
      </c>
      <c r="D105" s="6" t="s">
        <v>34</v>
      </c>
      <c r="E105" s="6" t="n">
        <f aca="false">ROUND(11213*1.05,2)</f>
        <v>11773.65</v>
      </c>
      <c r="F105" s="6" t="s">
        <v>35</v>
      </c>
      <c r="G105" s="6" t="s">
        <v>18</v>
      </c>
      <c r="H105" s="6" t="n">
        <f aca="true">ROUND(RAND()*4+6,1)</f>
        <v>7.8</v>
      </c>
      <c r="I105" s="6" t="s">
        <v>36</v>
      </c>
      <c r="J105" s="6" t="str">
        <f aca="false">ROUND(89*1,0)&amp;"%"</f>
        <v>89%</v>
      </c>
    </row>
    <row r="106" customFormat="false" ht="15" hidden="false" customHeight="false" outlineLevel="0" collapsed="false">
      <c r="A106" s="5" t="s">
        <v>2828</v>
      </c>
      <c r="B106" s="5" t="s">
        <v>196</v>
      </c>
      <c r="C106" s="5" t="s">
        <v>57</v>
      </c>
      <c r="D106" s="5" t="s">
        <v>39</v>
      </c>
      <c r="E106" s="5" t="n">
        <f aca="false">ROUND(11123*1.05,2)</f>
        <v>11679.15</v>
      </c>
      <c r="F106" s="5" t="s">
        <v>40</v>
      </c>
      <c r="G106" s="5" t="s">
        <v>24</v>
      </c>
      <c r="H106" s="5" t="n">
        <f aca="true">ROUND(RAND()*4+6,1)</f>
        <v>9.1</v>
      </c>
      <c r="I106" s="5" t="s">
        <v>41</v>
      </c>
      <c r="J106" s="5" t="str">
        <f aca="false">ROUND(60*1,0)&amp;"%"</f>
        <v>60%</v>
      </c>
    </row>
    <row r="107" customFormat="false" ht="15" hidden="false" customHeight="false" outlineLevel="0" collapsed="false">
      <c r="A107" s="6" t="s">
        <v>2829</v>
      </c>
      <c r="B107" s="6" t="s">
        <v>198</v>
      </c>
      <c r="C107" s="6" t="s">
        <v>57</v>
      </c>
      <c r="D107" s="6" t="s">
        <v>44</v>
      </c>
      <c r="E107" s="6" t="n">
        <f aca="false">ROUND(11944*1.05,2)</f>
        <v>12541.2</v>
      </c>
      <c r="F107" s="6" t="s">
        <v>45</v>
      </c>
      <c r="G107" s="6" t="s">
        <v>30</v>
      </c>
      <c r="H107" s="6" t="n">
        <f aca="true">ROUND(RAND()*4+6,1)</f>
        <v>9.3</v>
      </c>
      <c r="I107" s="6" t="s">
        <v>46</v>
      </c>
      <c r="J107" s="6" t="str">
        <f aca="false">ROUND(77*1,0)&amp;"%"</f>
        <v>77%</v>
      </c>
    </row>
    <row r="108" customFormat="false" ht="15" hidden="false" customHeight="false" outlineLevel="0" collapsed="false">
      <c r="A108" s="5" t="s">
        <v>2830</v>
      </c>
      <c r="B108" s="5" t="s">
        <v>200</v>
      </c>
      <c r="C108" s="5" t="s">
        <v>57</v>
      </c>
      <c r="D108" s="5" t="s">
        <v>16</v>
      </c>
      <c r="E108" s="5" t="n">
        <f aca="false">ROUND(12124*1.05,2)</f>
        <v>12730.2</v>
      </c>
      <c r="F108" s="5" t="s">
        <v>49</v>
      </c>
      <c r="G108" s="5" t="s">
        <v>18</v>
      </c>
      <c r="H108" s="5" t="n">
        <f aca="true">ROUND(RAND()*4+6,1)</f>
        <v>8.5</v>
      </c>
      <c r="I108" s="5" t="s">
        <v>19</v>
      </c>
      <c r="J108" s="5" t="str">
        <f aca="false">ROUND(60*1,0)&amp;"%"</f>
        <v>60%</v>
      </c>
    </row>
    <row r="109" customFormat="false" ht="15" hidden="false" customHeight="false" outlineLevel="0" collapsed="false">
      <c r="A109" s="6" t="s">
        <v>2831</v>
      </c>
      <c r="B109" s="6" t="s">
        <v>202</v>
      </c>
      <c r="C109" s="6" t="s">
        <v>57</v>
      </c>
      <c r="D109" s="6" t="s">
        <v>22</v>
      </c>
      <c r="E109" s="6" t="n">
        <f aca="false">ROUND(9037*1.05,2)</f>
        <v>9488.85</v>
      </c>
      <c r="F109" s="6" t="s">
        <v>52</v>
      </c>
      <c r="G109" s="6" t="s">
        <v>24</v>
      </c>
      <c r="H109" s="6" t="n">
        <f aca="true">ROUND(RAND()*4+6,1)</f>
        <v>7.7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2832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2833</v>
      </c>
      <c r="B114" s="5" t="s">
        <v>206</v>
      </c>
      <c r="C114" s="5" t="s">
        <v>76</v>
      </c>
      <c r="D114" s="5" t="s">
        <v>16</v>
      </c>
      <c r="E114" s="5" t="n">
        <f aca="false">ROUND(12081*1.05,2)</f>
        <v>12685.05</v>
      </c>
      <c r="F114" s="5" t="s">
        <v>17</v>
      </c>
      <c r="G114" s="5" t="s">
        <v>18</v>
      </c>
      <c r="H114" s="5" t="n">
        <f aca="true">ROUND(RAND()*4+6,1)</f>
        <v>9.9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2834</v>
      </c>
      <c r="B115" s="6" t="s">
        <v>208</v>
      </c>
      <c r="C115" s="6" t="s">
        <v>76</v>
      </c>
      <c r="D115" s="6" t="s">
        <v>22</v>
      </c>
      <c r="E115" s="6" t="n">
        <f aca="false">ROUND(4042*1.05,2)</f>
        <v>4244.1</v>
      </c>
      <c r="F115" s="6" t="s">
        <v>23</v>
      </c>
      <c r="G115" s="6" t="s">
        <v>24</v>
      </c>
      <c r="H115" s="6" t="n">
        <f aca="true">ROUND(RAND()*4+6,1)</f>
        <v>6.8</v>
      </c>
      <c r="I115" s="6" t="s">
        <v>25</v>
      </c>
      <c r="J115" s="6" t="str">
        <f aca="false">ROUND(78*1,0)&amp;"%"</f>
        <v>78%</v>
      </c>
    </row>
    <row r="116" customFormat="false" ht="15" hidden="false" customHeight="false" outlineLevel="0" collapsed="false">
      <c r="A116" s="5" t="s">
        <v>2835</v>
      </c>
      <c r="B116" s="5" t="s">
        <v>210</v>
      </c>
      <c r="C116" s="5" t="s">
        <v>76</v>
      </c>
      <c r="D116" s="5" t="s">
        <v>28</v>
      </c>
      <c r="E116" s="5" t="n">
        <f aca="false">ROUND(12018*1.05,2)</f>
        <v>12618.9</v>
      </c>
      <c r="F116" s="5" t="s">
        <v>29</v>
      </c>
      <c r="G116" s="5" t="s">
        <v>30</v>
      </c>
      <c r="H116" s="5" t="n">
        <f aca="true">ROUND(RAND()*4+6,1)</f>
        <v>8.9</v>
      </c>
      <c r="I116" s="5" t="s">
        <v>31</v>
      </c>
      <c r="J116" s="5" t="str">
        <f aca="false">ROUND(71*1,0)&amp;"%"</f>
        <v>71%</v>
      </c>
    </row>
    <row r="117" customFormat="false" ht="15" hidden="false" customHeight="false" outlineLevel="0" collapsed="false">
      <c r="A117" s="6" t="s">
        <v>2836</v>
      </c>
      <c r="B117" s="6" t="s">
        <v>212</v>
      </c>
      <c r="C117" s="6" t="s">
        <v>76</v>
      </c>
      <c r="D117" s="6" t="s">
        <v>34</v>
      </c>
      <c r="E117" s="6" t="n">
        <f aca="false">ROUND(4519*1.05,2)</f>
        <v>4744.95</v>
      </c>
      <c r="F117" s="6" t="s">
        <v>35</v>
      </c>
      <c r="G117" s="6" t="s">
        <v>18</v>
      </c>
      <c r="H117" s="6" t="n">
        <f aca="true">ROUND(RAND()*4+6,1)</f>
        <v>9</v>
      </c>
      <c r="I117" s="6" t="s">
        <v>36</v>
      </c>
      <c r="J117" s="6" t="str">
        <f aca="false">ROUND(74*1,0)&amp;"%"</f>
        <v>74%</v>
      </c>
    </row>
    <row r="118" customFormat="false" ht="15" hidden="false" customHeight="false" outlineLevel="0" collapsed="false">
      <c r="A118" s="5" t="s">
        <v>2837</v>
      </c>
      <c r="B118" s="5" t="s">
        <v>214</v>
      </c>
      <c r="C118" s="5" t="s">
        <v>76</v>
      </c>
      <c r="D118" s="5" t="s">
        <v>39</v>
      </c>
      <c r="E118" s="5" t="n">
        <f aca="false">ROUND(4569*1.05,2)</f>
        <v>4797.45</v>
      </c>
      <c r="F118" s="5" t="s">
        <v>40</v>
      </c>
      <c r="G118" s="5" t="s">
        <v>24</v>
      </c>
      <c r="H118" s="5" t="n">
        <f aca="true">ROUND(RAND()*4+6,1)</f>
        <v>7.6</v>
      </c>
      <c r="I118" s="5" t="s">
        <v>41</v>
      </c>
      <c r="J118" s="5" t="str">
        <f aca="false">ROUND(95*1,0)&amp;"%"</f>
        <v>95%</v>
      </c>
    </row>
    <row r="119" customFormat="false" ht="15" hidden="false" customHeight="false" outlineLevel="0" collapsed="false">
      <c r="A119" s="6" t="s">
        <v>2838</v>
      </c>
      <c r="B119" s="6" t="s">
        <v>216</v>
      </c>
      <c r="C119" s="6" t="s">
        <v>76</v>
      </c>
      <c r="D119" s="6" t="s">
        <v>44</v>
      </c>
      <c r="E119" s="6" t="n">
        <f aca="false">ROUND(14330*1.05,2)</f>
        <v>15046.5</v>
      </c>
      <c r="F119" s="6" t="s">
        <v>45</v>
      </c>
      <c r="G119" s="6" t="s">
        <v>30</v>
      </c>
      <c r="H119" s="6" t="n">
        <f aca="true">ROUND(RAND()*4+6,1)</f>
        <v>6.8</v>
      </c>
      <c r="I119" s="6" t="s">
        <v>46</v>
      </c>
      <c r="J119" s="6" t="str">
        <f aca="false">ROUND(67*1,0)&amp;"%"</f>
        <v>67%</v>
      </c>
    </row>
    <row r="120" customFormat="false" ht="15" hidden="false" customHeight="false" outlineLevel="0" collapsed="false">
      <c r="A120" s="5" t="s">
        <v>2839</v>
      </c>
      <c r="B120" s="5" t="s">
        <v>218</v>
      </c>
      <c r="C120" s="5" t="s">
        <v>76</v>
      </c>
      <c r="D120" s="5" t="s">
        <v>16</v>
      </c>
      <c r="E120" s="5" t="n">
        <f aca="false">ROUND(12479*1.05,2)</f>
        <v>13102.95</v>
      </c>
      <c r="F120" s="5" t="s">
        <v>49</v>
      </c>
      <c r="G120" s="5" t="s">
        <v>18</v>
      </c>
      <c r="H120" s="5" t="n">
        <f aca="true">ROUND(RAND()*4+6,1)</f>
        <v>6.2</v>
      </c>
      <c r="I120" s="5" t="s">
        <v>19</v>
      </c>
      <c r="J120" s="5" t="str">
        <f aca="false">ROUND(85*1,0)&amp;"%"</f>
        <v>85%</v>
      </c>
    </row>
    <row r="121" customFormat="false" ht="15" hidden="false" customHeight="false" outlineLevel="0" collapsed="false">
      <c r="A121" s="6" t="s">
        <v>2840</v>
      </c>
      <c r="B121" s="6" t="s">
        <v>220</v>
      </c>
      <c r="C121" s="6" t="s">
        <v>76</v>
      </c>
      <c r="D121" s="6" t="s">
        <v>22</v>
      </c>
      <c r="E121" s="6" t="n">
        <f aca="false">ROUND(17854*1.05,2)</f>
        <v>18746.7</v>
      </c>
      <c r="F121" s="6" t="s">
        <v>52</v>
      </c>
      <c r="G121" s="6" t="s">
        <v>24</v>
      </c>
      <c r="H121" s="6" t="n">
        <f aca="true">ROUND(RAND()*4+6,1)</f>
        <v>9.6</v>
      </c>
      <c r="I121" s="6" t="s">
        <v>25</v>
      </c>
      <c r="J121" s="6" t="str">
        <f aca="false">ROUND(96*1,0)&amp;"%"</f>
        <v>96%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2841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2842</v>
      </c>
      <c r="B126" s="5" t="s">
        <v>224</v>
      </c>
      <c r="C126" s="5" t="s">
        <v>95</v>
      </c>
      <c r="D126" s="5" t="s">
        <v>16</v>
      </c>
      <c r="E126" s="5" t="n">
        <f aca="false">ROUND(6761*1.05,2)</f>
        <v>7099.05</v>
      </c>
      <c r="F126" s="5" t="s">
        <v>17</v>
      </c>
      <c r="G126" s="5" t="s">
        <v>18</v>
      </c>
      <c r="H126" s="5" t="n">
        <f aca="true">ROUND(RAND()*4+6,1)</f>
        <v>8.1</v>
      </c>
      <c r="I126" s="5" t="s">
        <v>19</v>
      </c>
      <c r="J126" s="5" t="str">
        <f aca="false">ROUND(81*1,0)&amp;"%"</f>
        <v>81%</v>
      </c>
    </row>
    <row r="127" customFormat="false" ht="15" hidden="false" customHeight="false" outlineLevel="0" collapsed="false">
      <c r="A127" s="6" t="s">
        <v>2843</v>
      </c>
      <c r="B127" s="6" t="s">
        <v>226</v>
      </c>
      <c r="C127" s="6" t="s">
        <v>95</v>
      </c>
      <c r="D127" s="6" t="s">
        <v>22</v>
      </c>
      <c r="E127" s="6" t="n">
        <f aca="false">ROUND(11008*1.05,2)</f>
        <v>11558.4</v>
      </c>
      <c r="F127" s="6" t="s">
        <v>23</v>
      </c>
      <c r="G127" s="6" t="s">
        <v>24</v>
      </c>
      <c r="H127" s="6" t="n">
        <f aca="true">ROUND(RAND()*4+6,1)</f>
        <v>8.2</v>
      </c>
      <c r="I127" s="6" t="s">
        <v>25</v>
      </c>
      <c r="J127" s="6" t="str">
        <f aca="false">ROUND(94*1,0)&amp;"%"</f>
        <v>94%</v>
      </c>
    </row>
    <row r="128" customFormat="false" ht="15" hidden="false" customHeight="false" outlineLevel="0" collapsed="false">
      <c r="A128" s="5" t="s">
        <v>2844</v>
      </c>
      <c r="B128" s="5" t="s">
        <v>228</v>
      </c>
      <c r="C128" s="5" t="s">
        <v>95</v>
      </c>
      <c r="D128" s="5" t="s">
        <v>28</v>
      </c>
      <c r="E128" s="5" t="n">
        <f aca="false">ROUND(5055*1.05,2)</f>
        <v>5307.75</v>
      </c>
      <c r="F128" s="5" t="s">
        <v>29</v>
      </c>
      <c r="G128" s="5" t="s">
        <v>30</v>
      </c>
      <c r="H128" s="5" t="n">
        <f aca="true">ROUND(RAND()*4+6,1)</f>
        <v>9.2</v>
      </c>
      <c r="I128" s="5" t="s">
        <v>31</v>
      </c>
      <c r="J128" s="5" t="str">
        <f aca="false">ROUND(85*1,0)&amp;"%"</f>
        <v>85%</v>
      </c>
    </row>
    <row r="129" customFormat="false" ht="15" hidden="false" customHeight="false" outlineLevel="0" collapsed="false">
      <c r="A129" s="6" t="s">
        <v>2845</v>
      </c>
      <c r="B129" s="6" t="s">
        <v>230</v>
      </c>
      <c r="C129" s="6" t="s">
        <v>95</v>
      </c>
      <c r="D129" s="6" t="s">
        <v>34</v>
      </c>
      <c r="E129" s="6" t="n">
        <f aca="false">ROUND(9103*1.05,2)</f>
        <v>9558.15</v>
      </c>
      <c r="F129" s="6" t="s">
        <v>35</v>
      </c>
      <c r="G129" s="6" t="s">
        <v>18</v>
      </c>
      <c r="H129" s="6" t="n">
        <f aca="true">ROUND(RAND()*4+6,1)</f>
        <v>9.6</v>
      </c>
      <c r="I129" s="6" t="s">
        <v>36</v>
      </c>
      <c r="J129" s="6" t="str">
        <f aca="false">ROUND(86*1,0)&amp;"%"</f>
        <v>86%</v>
      </c>
    </row>
    <row r="130" customFormat="false" ht="15" hidden="false" customHeight="false" outlineLevel="0" collapsed="false">
      <c r="A130" s="5" t="s">
        <v>2846</v>
      </c>
      <c r="B130" s="5" t="s">
        <v>232</v>
      </c>
      <c r="C130" s="5" t="s">
        <v>95</v>
      </c>
      <c r="D130" s="5" t="s">
        <v>39</v>
      </c>
      <c r="E130" s="5" t="n">
        <f aca="false">ROUND(13071*1.05,2)</f>
        <v>13724.55</v>
      </c>
      <c r="F130" s="5" t="s">
        <v>40</v>
      </c>
      <c r="G130" s="5" t="s">
        <v>24</v>
      </c>
      <c r="H130" s="5" t="n">
        <f aca="true">ROUND(RAND()*4+6,1)</f>
        <v>9.1</v>
      </c>
      <c r="I130" s="5" t="s">
        <v>41</v>
      </c>
      <c r="J130" s="5" t="str">
        <f aca="false">ROUND(63*1,0)&amp;"%"</f>
        <v>63%</v>
      </c>
    </row>
    <row r="131" customFormat="false" ht="15" hidden="false" customHeight="false" outlineLevel="0" collapsed="false">
      <c r="A131" s="6" t="s">
        <v>2847</v>
      </c>
      <c r="B131" s="6" t="s">
        <v>234</v>
      </c>
      <c r="C131" s="6" t="s">
        <v>95</v>
      </c>
      <c r="D131" s="6" t="s">
        <v>44</v>
      </c>
      <c r="E131" s="6" t="n">
        <f aca="false">ROUND(16999*1.05,2)</f>
        <v>17848.95</v>
      </c>
      <c r="F131" s="6" t="s">
        <v>45</v>
      </c>
      <c r="G131" s="6" t="s">
        <v>30</v>
      </c>
      <c r="H131" s="6" t="n">
        <f aca="true">ROUND(RAND()*4+6,1)</f>
        <v>9.2</v>
      </c>
      <c r="I131" s="6" t="s">
        <v>46</v>
      </c>
      <c r="J131" s="6" t="str">
        <f aca="false">ROUND(95*1,0)&amp;"%"</f>
        <v>95%</v>
      </c>
    </row>
    <row r="132" customFormat="false" ht="15" hidden="false" customHeight="false" outlineLevel="0" collapsed="false">
      <c r="A132" s="5" t="s">
        <v>2848</v>
      </c>
      <c r="B132" s="5" t="s">
        <v>236</v>
      </c>
      <c r="C132" s="5" t="s">
        <v>95</v>
      </c>
      <c r="D132" s="5" t="s">
        <v>16</v>
      </c>
      <c r="E132" s="5" t="n">
        <f aca="false">ROUND(10438*1.05,2)</f>
        <v>10959.9</v>
      </c>
      <c r="F132" s="5" t="s">
        <v>49</v>
      </c>
      <c r="G132" s="5" t="s">
        <v>18</v>
      </c>
      <c r="H132" s="5" t="n">
        <f aca="true">ROUND(RAND()*4+6,1)</f>
        <v>6.2</v>
      </c>
      <c r="I132" s="5" t="s">
        <v>19</v>
      </c>
      <c r="J132" s="5" t="str">
        <f aca="false">ROUND(74*1,0)&amp;"%"</f>
        <v>74%</v>
      </c>
    </row>
    <row r="133" customFormat="false" ht="15" hidden="false" customHeight="false" outlineLevel="0" collapsed="false">
      <c r="A133" s="6" t="s">
        <v>2849</v>
      </c>
      <c r="B133" s="6" t="s">
        <v>238</v>
      </c>
      <c r="C133" s="6" t="s">
        <v>95</v>
      </c>
      <c r="D133" s="6" t="s">
        <v>22</v>
      </c>
      <c r="E133" s="6" t="n">
        <f aca="false">ROUND(6867*1.05,2)</f>
        <v>7210.35</v>
      </c>
      <c r="F133" s="6" t="s">
        <v>52</v>
      </c>
      <c r="G133" s="6" t="s">
        <v>24</v>
      </c>
      <c r="H133" s="6" t="n">
        <f aca="true">ROUND(RAND()*4+6,1)</f>
        <v>7.8</v>
      </c>
      <c r="I133" s="6" t="s">
        <v>25</v>
      </c>
      <c r="J133" s="6" t="str">
        <f aca="false">ROUND(73*1,0)&amp;"%"</f>
        <v>73%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2850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2851</v>
      </c>
      <c r="B138" s="5" t="s">
        <v>242</v>
      </c>
      <c r="C138" s="5" t="s">
        <v>114</v>
      </c>
      <c r="D138" s="5" t="s">
        <v>16</v>
      </c>
      <c r="E138" s="5" t="n">
        <f aca="false">ROUND(6860*1.05,2)</f>
        <v>7203</v>
      </c>
      <c r="F138" s="5" t="s">
        <v>17</v>
      </c>
      <c r="G138" s="5" t="s">
        <v>18</v>
      </c>
      <c r="H138" s="5" t="n">
        <f aca="true">ROUND(RAND()*4+6,1)</f>
        <v>9.8</v>
      </c>
      <c r="I138" s="5" t="s">
        <v>19</v>
      </c>
      <c r="J138" s="5" t="str">
        <f aca="false">ROUND(81*1,0)&amp;"%"</f>
        <v>81%</v>
      </c>
    </row>
    <row r="139" customFormat="false" ht="15" hidden="false" customHeight="false" outlineLevel="0" collapsed="false">
      <c r="A139" s="6" t="s">
        <v>2852</v>
      </c>
      <c r="B139" s="6" t="s">
        <v>244</v>
      </c>
      <c r="C139" s="6" t="s">
        <v>114</v>
      </c>
      <c r="D139" s="6" t="s">
        <v>22</v>
      </c>
      <c r="E139" s="6" t="n">
        <f aca="false">ROUND(7423*1.05,2)</f>
        <v>7794.15</v>
      </c>
      <c r="F139" s="6" t="s">
        <v>23</v>
      </c>
      <c r="G139" s="6" t="s">
        <v>24</v>
      </c>
      <c r="H139" s="6" t="n">
        <f aca="true">ROUND(RAND()*4+6,1)</f>
        <v>8.4</v>
      </c>
      <c r="I139" s="6" t="s">
        <v>25</v>
      </c>
      <c r="J139" s="6" t="str">
        <f aca="false">ROUND(80*1,0)&amp;"%"</f>
        <v>80%</v>
      </c>
    </row>
    <row r="140" customFormat="false" ht="15" hidden="false" customHeight="false" outlineLevel="0" collapsed="false">
      <c r="A140" s="5" t="s">
        <v>2853</v>
      </c>
      <c r="B140" s="5" t="s">
        <v>246</v>
      </c>
      <c r="C140" s="5" t="s">
        <v>114</v>
      </c>
      <c r="D140" s="5" t="s">
        <v>28</v>
      </c>
      <c r="E140" s="5" t="n">
        <f aca="false">ROUND(9065*1.05,2)</f>
        <v>9518.25</v>
      </c>
      <c r="F140" s="5" t="s">
        <v>29</v>
      </c>
      <c r="G140" s="5" t="s">
        <v>30</v>
      </c>
      <c r="H140" s="5" t="n">
        <f aca="true">ROUND(RAND()*4+6,1)</f>
        <v>9.7</v>
      </c>
      <c r="I140" s="5" t="s">
        <v>31</v>
      </c>
      <c r="J140" s="5" t="str">
        <f aca="false">ROUND(82*1,0)&amp;"%"</f>
        <v>82%</v>
      </c>
    </row>
    <row r="141" customFormat="false" ht="15" hidden="false" customHeight="false" outlineLevel="0" collapsed="false">
      <c r="A141" s="6" t="s">
        <v>2854</v>
      </c>
      <c r="B141" s="6" t="s">
        <v>248</v>
      </c>
      <c r="C141" s="6" t="s">
        <v>114</v>
      </c>
      <c r="D141" s="6" t="s">
        <v>34</v>
      </c>
      <c r="E141" s="6" t="n">
        <f aca="false">ROUND(12632*1.05,2)</f>
        <v>13263.6</v>
      </c>
      <c r="F141" s="6" t="s">
        <v>35</v>
      </c>
      <c r="G141" s="6" t="s">
        <v>18</v>
      </c>
      <c r="H141" s="6" t="n">
        <f aca="true">ROUND(RAND()*4+6,1)</f>
        <v>8.6</v>
      </c>
      <c r="I141" s="6" t="s">
        <v>36</v>
      </c>
      <c r="J141" s="6" t="str">
        <f aca="false">ROUND(60*1,0)&amp;"%"</f>
        <v>60%</v>
      </c>
    </row>
    <row r="142" customFormat="false" ht="15" hidden="false" customHeight="false" outlineLevel="0" collapsed="false">
      <c r="A142" s="5" t="s">
        <v>2855</v>
      </c>
      <c r="B142" s="5" t="s">
        <v>250</v>
      </c>
      <c r="C142" s="5" t="s">
        <v>114</v>
      </c>
      <c r="D142" s="5" t="s">
        <v>39</v>
      </c>
      <c r="E142" s="5" t="n">
        <f aca="false">ROUND(9359*1.05,2)</f>
        <v>9826.95</v>
      </c>
      <c r="F142" s="5" t="s">
        <v>40</v>
      </c>
      <c r="G142" s="5" t="s">
        <v>24</v>
      </c>
      <c r="H142" s="5" t="n">
        <f aca="true">ROUND(RAND()*4+6,1)</f>
        <v>8.7</v>
      </c>
      <c r="I142" s="5" t="s">
        <v>41</v>
      </c>
      <c r="J142" s="5" t="str">
        <f aca="false">ROUND(89*1,0)&amp;"%"</f>
        <v>89%</v>
      </c>
    </row>
    <row r="143" customFormat="false" ht="15" hidden="false" customHeight="false" outlineLevel="0" collapsed="false">
      <c r="A143" s="6" t="s">
        <v>2856</v>
      </c>
      <c r="B143" s="6" t="s">
        <v>252</v>
      </c>
      <c r="C143" s="6" t="s">
        <v>114</v>
      </c>
      <c r="D143" s="6" t="s">
        <v>44</v>
      </c>
      <c r="E143" s="6" t="n">
        <f aca="false">ROUND(11527*1.05,2)</f>
        <v>12103.35</v>
      </c>
      <c r="F143" s="6" t="s">
        <v>45</v>
      </c>
      <c r="G143" s="6" t="s">
        <v>30</v>
      </c>
      <c r="H143" s="6" t="n">
        <f aca="true">ROUND(RAND()*4+6,1)</f>
        <v>9.3</v>
      </c>
      <c r="I143" s="6" t="s">
        <v>46</v>
      </c>
      <c r="J143" s="6" t="str">
        <f aca="false">ROUND(75*1,0)&amp;"%"</f>
        <v>75%</v>
      </c>
    </row>
    <row r="144" customFormat="false" ht="15" hidden="false" customHeight="false" outlineLevel="0" collapsed="false">
      <c r="A144" s="5" t="s">
        <v>2857</v>
      </c>
      <c r="B144" s="5" t="s">
        <v>254</v>
      </c>
      <c r="C144" s="5" t="s">
        <v>114</v>
      </c>
      <c r="D144" s="5" t="s">
        <v>16</v>
      </c>
      <c r="E144" s="5" t="n">
        <f aca="false">ROUND(8245*1.05,2)</f>
        <v>8657.25</v>
      </c>
      <c r="F144" s="5" t="s">
        <v>49</v>
      </c>
      <c r="G144" s="5" t="s">
        <v>18</v>
      </c>
      <c r="H144" s="5" t="n">
        <f aca="true">ROUND(RAND()*4+6,1)</f>
        <v>9.2</v>
      </c>
      <c r="I144" s="5" t="s">
        <v>19</v>
      </c>
      <c r="J144" s="5" t="str">
        <f aca="false">ROUND(70*1,0)&amp;"%"</f>
        <v>70%</v>
      </c>
    </row>
    <row r="145" customFormat="false" ht="15" hidden="false" customHeight="false" outlineLevel="0" collapsed="false">
      <c r="A145" s="6" t="s">
        <v>2858</v>
      </c>
      <c r="B145" s="6" t="s">
        <v>256</v>
      </c>
      <c r="C145" s="6" t="s">
        <v>114</v>
      </c>
      <c r="D145" s="6" t="s">
        <v>22</v>
      </c>
      <c r="E145" s="6" t="n">
        <f aca="false">ROUND(5024*1.05,2)</f>
        <v>5275.2</v>
      </c>
      <c r="F145" s="6" t="s">
        <v>52</v>
      </c>
      <c r="G145" s="6" t="s">
        <v>24</v>
      </c>
      <c r="H145" s="6" t="n">
        <f aca="true">ROUND(RAND()*4+6,1)</f>
        <v>7.9</v>
      </c>
      <c r="I145" s="6" t="s">
        <v>25</v>
      </c>
      <c r="J145" s="6" t="str">
        <f aca="false">ROUND(63*1,0)&amp;"%"</f>
        <v>63%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2859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2860</v>
      </c>
      <c r="B150" s="5" t="s">
        <v>260</v>
      </c>
      <c r="C150" s="5" t="s">
        <v>133</v>
      </c>
      <c r="D150" s="5" t="s">
        <v>16</v>
      </c>
      <c r="E150" s="5" t="n">
        <f aca="false">ROUND(6403*1.05,2)</f>
        <v>6723.15</v>
      </c>
      <c r="F150" s="5" t="s">
        <v>17</v>
      </c>
      <c r="G150" s="5" t="s">
        <v>18</v>
      </c>
      <c r="H150" s="5" t="n">
        <f aca="true">ROUND(RAND()*4+6,1)</f>
        <v>9.3</v>
      </c>
      <c r="I150" s="5" t="s">
        <v>19</v>
      </c>
      <c r="J150" s="5" t="str">
        <f aca="false">ROUND(73*1,0)&amp;"%"</f>
        <v>73%</v>
      </c>
    </row>
    <row r="151" customFormat="false" ht="15" hidden="false" customHeight="false" outlineLevel="0" collapsed="false">
      <c r="A151" s="6" t="s">
        <v>2861</v>
      </c>
      <c r="B151" s="6" t="s">
        <v>262</v>
      </c>
      <c r="C151" s="6" t="s">
        <v>133</v>
      </c>
      <c r="D151" s="6" t="s">
        <v>22</v>
      </c>
      <c r="E151" s="6" t="n">
        <f aca="false">ROUND(7808*1.05,2)</f>
        <v>8198.4</v>
      </c>
      <c r="F151" s="6" t="s">
        <v>23</v>
      </c>
      <c r="G151" s="6" t="s">
        <v>24</v>
      </c>
      <c r="H151" s="6" t="n">
        <f aca="true">ROUND(RAND()*4+6,1)</f>
        <v>8.6</v>
      </c>
      <c r="I151" s="6" t="s">
        <v>25</v>
      </c>
      <c r="J151" s="6" t="str">
        <f aca="false">ROUND(86*1,0)&amp;"%"</f>
        <v>86%</v>
      </c>
    </row>
    <row r="152" customFormat="false" ht="15" hidden="false" customHeight="false" outlineLevel="0" collapsed="false">
      <c r="A152" s="5" t="s">
        <v>2862</v>
      </c>
      <c r="B152" s="5" t="s">
        <v>264</v>
      </c>
      <c r="C152" s="5" t="s">
        <v>133</v>
      </c>
      <c r="D152" s="5" t="s">
        <v>28</v>
      </c>
      <c r="E152" s="5" t="n">
        <f aca="false">ROUND(9497*1.05,2)</f>
        <v>9971.85</v>
      </c>
      <c r="F152" s="5" t="s">
        <v>29</v>
      </c>
      <c r="G152" s="5" t="s">
        <v>30</v>
      </c>
      <c r="H152" s="5" t="n">
        <f aca="true">ROUND(RAND()*4+6,1)</f>
        <v>7.5</v>
      </c>
      <c r="I152" s="5" t="s">
        <v>31</v>
      </c>
      <c r="J152" s="5" t="str">
        <f aca="false">ROUND(99*1,0)&amp;"%"</f>
        <v>99%</v>
      </c>
    </row>
    <row r="153" customFormat="false" ht="15" hidden="false" customHeight="false" outlineLevel="0" collapsed="false">
      <c r="A153" s="6" t="s">
        <v>2863</v>
      </c>
      <c r="B153" s="6" t="s">
        <v>266</v>
      </c>
      <c r="C153" s="6" t="s">
        <v>133</v>
      </c>
      <c r="D153" s="6" t="s">
        <v>34</v>
      </c>
      <c r="E153" s="6" t="n">
        <f aca="false">ROUND(6127*1.05,2)</f>
        <v>6433.35</v>
      </c>
      <c r="F153" s="6" t="s">
        <v>35</v>
      </c>
      <c r="G153" s="6" t="s">
        <v>18</v>
      </c>
      <c r="H153" s="6" t="n">
        <f aca="true">ROUND(RAND()*4+6,1)</f>
        <v>8</v>
      </c>
      <c r="I153" s="6" t="s">
        <v>36</v>
      </c>
      <c r="J153" s="6" t="str">
        <f aca="false">ROUND(91*1,0)&amp;"%"</f>
        <v>91%</v>
      </c>
    </row>
    <row r="154" customFormat="false" ht="15" hidden="false" customHeight="false" outlineLevel="0" collapsed="false">
      <c r="A154" s="5" t="s">
        <v>2864</v>
      </c>
      <c r="B154" s="5" t="s">
        <v>268</v>
      </c>
      <c r="C154" s="5" t="s">
        <v>133</v>
      </c>
      <c r="D154" s="5" t="s">
        <v>39</v>
      </c>
      <c r="E154" s="5" t="n">
        <f aca="false">ROUND(4093*1.05,2)</f>
        <v>4297.65</v>
      </c>
      <c r="F154" s="5" t="s">
        <v>40</v>
      </c>
      <c r="G154" s="5" t="s">
        <v>24</v>
      </c>
      <c r="H154" s="5" t="n">
        <f aca="true">ROUND(RAND()*4+6,1)</f>
        <v>6.4</v>
      </c>
      <c r="I154" s="5" t="s">
        <v>41</v>
      </c>
      <c r="J154" s="5" t="str">
        <f aca="false">ROUND(77*1,0)&amp;"%"</f>
        <v>77%</v>
      </c>
    </row>
    <row r="155" customFormat="false" ht="15" hidden="false" customHeight="false" outlineLevel="0" collapsed="false">
      <c r="A155" s="6" t="s">
        <v>2865</v>
      </c>
      <c r="B155" s="6" t="s">
        <v>270</v>
      </c>
      <c r="C155" s="6" t="s">
        <v>133</v>
      </c>
      <c r="D155" s="6" t="s">
        <v>44</v>
      </c>
      <c r="E155" s="6" t="n">
        <f aca="false">ROUND(14184*1.05,2)</f>
        <v>14893.2</v>
      </c>
      <c r="F155" s="6" t="s">
        <v>45</v>
      </c>
      <c r="G155" s="6" t="s">
        <v>30</v>
      </c>
      <c r="H155" s="6" t="n">
        <f aca="true">ROUND(RAND()*4+6,1)</f>
        <v>8.9</v>
      </c>
      <c r="I155" s="6" t="s">
        <v>46</v>
      </c>
      <c r="J155" s="6" t="str">
        <f aca="false">ROUND(69*1,0)&amp;"%"</f>
        <v>69%</v>
      </c>
    </row>
    <row r="156" customFormat="false" ht="15" hidden="false" customHeight="false" outlineLevel="0" collapsed="false">
      <c r="A156" s="5" t="s">
        <v>2866</v>
      </c>
      <c r="B156" s="5" t="s">
        <v>272</v>
      </c>
      <c r="C156" s="5" t="s">
        <v>133</v>
      </c>
      <c r="D156" s="5" t="s">
        <v>16</v>
      </c>
      <c r="E156" s="5" t="n">
        <f aca="false">ROUND(16350*1.05,2)</f>
        <v>17167.5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ROUND(68*1,0)&amp;"%"</f>
        <v>68%</v>
      </c>
    </row>
    <row r="157" customFormat="false" ht="15" hidden="false" customHeight="false" outlineLevel="0" collapsed="false">
      <c r="A157" s="6" t="s">
        <v>2867</v>
      </c>
      <c r="B157" s="6" t="s">
        <v>274</v>
      </c>
      <c r="C157" s="6" t="s">
        <v>133</v>
      </c>
      <c r="D157" s="6" t="s">
        <v>22</v>
      </c>
      <c r="E157" s="6" t="n">
        <f aca="false">ROUND(6969*1.05,2)</f>
        <v>7317.45</v>
      </c>
      <c r="F157" s="6" t="s">
        <v>52</v>
      </c>
      <c r="G157" s="6" t="s">
        <v>24</v>
      </c>
      <c r="H157" s="6" t="n">
        <f aca="true">ROUND(RAND()*4+6,1)</f>
        <v>6.6</v>
      </c>
      <c r="I157" s="6" t="s">
        <v>25</v>
      </c>
      <c r="J157" s="6" t="str">
        <f aca="false">ROUND(99*1,0)&amp;"%"</f>
        <v>99%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2868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2869</v>
      </c>
      <c r="B162" s="5" t="s">
        <v>278</v>
      </c>
      <c r="C162" s="5" t="s">
        <v>152</v>
      </c>
      <c r="D162" s="5" t="s">
        <v>16</v>
      </c>
      <c r="E162" s="5" t="n">
        <f aca="false">ROUND(9547*1.05,2)</f>
        <v>10024.35</v>
      </c>
      <c r="F162" s="5" t="s">
        <v>17</v>
      </c>
      <c r="G162" s="5" t="s">
        <v>18</v>
      </c>
      <c r="H162" s="5" t="n">
        <f aca="true">ROUND(RAND()*4+6,1)</f>
        <v>8.5</v>
      </c>
      <c r="I162" s="5" t="s">
        <v>19</v>
      </c>
      <c r="J162" s="5" t="str">
        <f aca="false">ROUND(81*1,0)&amp;"%"</f>
        <v>81%</v>
      </c>
    </row>
    <row r="163" customFormat="false" ht="15" hidden="false" customHeight="false" outlineLevel="0" collapsed="false">
      <c r="A163" s="6" t="s">
        <v>2870</v>
      </c>
      <c r="B163" s="6" t="s">
        <v>280</v>
      </c>
      <c r="C163" s="6" t="s">
        <v>152</v>
      </c>
      <c r="D163" s="6" t="s">
        <v>22</v>
      </c>
      <c r="E163" s="6" t="n">
        <f aca="false">ROUND(13726*1.05,2)</f>
        <v>14412.3</v>
      </c>
      <c r="F163" s="6" t="s">
        <v>23</v>
      </c>
      <c r="G163" s="6" t="s">
        <v>24</v>
      </c>
      <c r="H163" s="6" t="n">
        <f aca="true">ROUND(RAND()*4+6,1)</f>
        <v>6.9</v>
      </c>
      <c r="I163" s="6" t="s">
        <v>25</v>
      </c>
      <c r="J163" s="6" t="str">
        <f aca="false">ROUND(83*1,0)&amp;"%"</f>
        <v>83%</v>
      </c>
    </row>
    <row r="164" customFormat="false" ht="15" hidden="false" customHeight="false" outlineLevel="0" collapsed="false">
      <c r="A164" s="5" t="s">
        <v>2871</v>
      </c>
      <c r="B164" s="5" t="s">
        <v>282</v>
      </c>
      <c r="C164" s="5" t="s">
        <v>152</v>
      </c>
      <c r="D164" s="5" t="s">
        <v>28</v>
      </c>
      <c r="E164" s="5" t="n">
        <f aca="false">ROUND(13382*1.05,2)</f>
        <v>14051.1</v>
      </c>
      <c r="F164" s="5" t="s">
        <v>29</v>
      </c>
      <c r="G164" s="5" t="s">
        <v>30</v>
      </c>
      <c r="H164" s="5" t="n">
        <f aca="true">ROUND(RAND()*4+6,1)</f>
        <v>6.1</v>
      </c>
      <c r="I164" s="5" t="s">
        <v>31</v>
      </c>
      <c r="J164" s="5" t="str">
        <f aca="false">ROUND(73*1,0)&amp;"%"</f>
        <v>73%</v>
      </c>
    </row>
    <row r="165" customFormat="false" ht="15" hidden="false" customHeight="false" outlineLevel="0" collapsed="false">
      <c r="A165" s="6" t="s">
        <v>2872</v>
      </c>
      <c r="B165" s="6" t="s">
        <v>284</v>
      </c>
      <c r="C165" s="6" t="s">
        <v>152</v>
      </c>
      <c r="D165" s="6" t="s">
        <v>34</v>
      </c>
      <c r="E165" s="6" t="n">
        <f aca="false">ROUND(17106*1.05,2)</f>
        <v>17961.3</v>
      </c>
      <c r="F165" s="6" t="s">
        <v>35</v>
      </c>
      <c r="G165" s="6" t="s">
        <v>18</v>
      </c>
      <c r="H165" s="6" t="n">
        <f aca="true">ROUND(RAND()*4+6,1)</f>
        <v>8.8</v>
      </c>
      <c r="I165" s="6" t="s">
        <v>36</v>
      </c>
      <c r="J165" s="6" t="str">
        <f aca="false">ROUND(75*1,0)&amp;"%"</f>
        <v>75%</v>
      </c>
    </row>
    <row r="166" customFormat="false" ht="15" hidden="false" customHeight="false" outlineLevel="0" collapsed="false">
      <c r="A166" s="5" t="s">
        <v>2873</v>
      </c>
      <c r="B166" s="5" t="s">
        <v>286</v>
      </c>
      <c r="C166" s="5" t="s">
        <v>152</v>
      </c>
      <c r="D166" s="5" t="s">
        <v>39</v>
      </c>
      <c r="E166" s="5" t="n">
        <f aca="false">ROUND(14200*1.05,2)</f>
        <v>14910</v>
      </c>
      <c r="F166" s="5" t="s">
        <v>40</v>
      </c>
      <c r="G166" s="5" t="s">
        <v>24</v>
      </c>
      <c r="H166" s="5" t="n">
        <f aca="true">ROUND(RAND()*4+6,1)</f>
        <v>7</v>
      </c>
      <c r="I166" s="5" t="s">
        <v>41</v>
      </c>
      <c r="J166" s="5" t="str">
        <f aca="false">ROUND(65*1,0)&amp;"%"</f>
        <v>65%</v>
      </c>
    </row>
    <row r="167" customFormat="false" ht="15" hidden="false" customHeight="false" outlineLevel="0" collapsed="false">
      <c r="A167" s="6" t="s">
        <v>2874</v>
      </c>
      <c r="B167" s="6" t="s">
        <v>288</v>
      </c>
      <c r="C167" s="6" t="s">
        <v>152</v>
      </c>
      <c r="D167" s="6" t="s">
        <v>44</v>
      </c>
      <c r="E167" s="6" t="n">
        <f aca="false">ROUND(16237*1.05,2)</f>
        <v>17048.85</v>
      </c>
      <c r="F167" s="6" t="s">
        <v>45</v>
      </c>
      <c r="G167" s="6" t="s">
        <v>30</v>
      </c>
      <c r="H167" s="6" t="n">
        <f aca="true">ROUND(RAND()*4+6,1)</f>
        <v>7.9</v>
      </c>
      <c r="I167" s="6" t="s">
        <v>46</v>
      </c>
      <c r="J167" s="6" t="str">
        <f aca="false">ROUND(93*1,0)&amp;"%"</f>
        <v>93%</v>
      </c>
    </row>
    <row r="168" customFormat="false" ht="15" hidden="false" customHeight="false" outlineLevel="0" collapsed="false">
      <c r="A168" s="5" t="s">
        <v>2875</v>
      </c>
      <c r="B168" s="5" t="s">
        <v>290</v>
      </c>
      <c r="C168" s="5" t="s">
        <v>152</v>
      </c>
      <c r="D168" s="5" t="s">
        <v>16</v>
      </c>
      <c r="E168" s="5" t="n">
        <f aca="false">ROUND(4431*1.05,2)</f>
        <v>4652.55</v>
      </c>
      <c r="F168" s="5" t="s">
        <v>49</v>
      </c>
      <c r="G168" s="5" t="s">
        <v>18</v>
      </c>
      <c r="H168" s="5" t="n">
        <f aca="true">ROUND(RAND()*4+6,1)</f>
        <v>8.8</v>
      </c>
      <c r="I168" s="5" t="s">
        <v>19</v>
      </c>
      <c r="J168" s="5" t="str">
        <f aca="false">ROUND(86*1,0)&amp;"%"</f>
        <v>86%</v>
      </c>
    </row>
    <row r="169" customFormat="false" ht="15" hidden="false" customHeight="false" outlineLevel="0" collapsed="false">
      <c r="A169" s="6" t="s">
        <v>2876</v>
      </c>
      <c r="B169" s="6" t="s">
        <v>292</v>
      </c>
      <c r="C169" s="6" t="s">
        <v>152</v>
      </c>
      <c r="D169" s="6" t="s">
        <v>22</v>
      </c>
      <c r="E169" s="6" t="n">
        <f aca="false">ROUND(16774*1.05,2)</f>
        <v>17612.7</v>
      </c>
      <c r="F169" s="6" t="s">
        <v>52</v>
      </c>
      <c r="G169" s="6" t="s">
        <v>24</v>
      </c>
      <c r="H169" s="6" t="n">
        <f aca="true">ROUND(RAND()*4+6,1)</f>
        <v>8.2</v>
      </c>
      <c r="I169" s="6" t="s">
        <v>25</v>
      </c>
      <c r="J169" s="6" t="str">
        <f aca="false">ROUND(61*1,0)&amp;"%"</f>
        <v>61%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2877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2878</v>
      </c>
      <c r="B174" s="5" t="s">
        <v>296</v>
      </c>
      <c r="C174" s="5" t="s">
        <v>15</v>
      </c>
      <c r="D174" s="5" t="s">
        <v>16</v>
      </c>
      <c r="E174" s="5" t="n">
        <f aca="false">ROUND(10996*1.05,2)</f>
        <v>11545.8</v>
      </c>
      <c r="F174" s="5" t="s">
        <v>17</v>
      </c>
      <c r="G174" s="5" t="s">
        <v>18</v>
      </c>
      <c r="H174" s="5" t="n">
        <f aca="true">ROUND(RAND()*4+6,1)</f>
        <v>7.5</v>
      </c>
      <c r="I174" s="5" t="s">
        <v>19</v>
      </c>
      <c r="J174" s="5" t="str">
        <f aca="false">ROUND(69*1,0)&amp;"%"</f>
        <v>69%</v>
      </c>
    </row>
    <row r="175" customFormat="false" ht="15" hidden="false" customHeight="false" outlineLevel="0" collapsed="false">
      <c r="A175" s="6" t="s">
        <v>2879</v>
      </c>
      <c r="B175" s="6" t="s">
        <v>298</v>
      </c>
      <c r="C175" s="6" t="s">
        <v>15</v>
      </c>
      <c r="D175" s="6" t="s">
        <v>22</v>
      </c>
      <c r="E175" s="6" t="n">
        <f aca="false">ROUND(4323*1.05,2)</f>
        <v>4539.15</v>
      </c>
      <c r="F175" s="6" t="s">
        <v>23</v>
      </c>
      <c r="G175" s="6" t="s">
        <v>24</v>
      </c>
      <c r="H175" s="6" t="n">
        <f aca="true">ROUND(RAND()*4+6,1)</f>
        <v>9.4</v>
      </c>
      <c r="I175" s="6" t="s">
        <v>25</v>
      </c>
      <c r="J175" s="6" t="str">
        <f aca="false">ROUND(73*1,0)&amp;"%"</f>
        <v>73%</v>
      </c>
    </row>
    <row r="176" customFormat="false" ht="15" hidden="false" customHeight="false" outlineLevel="0" collapsed="false">
      <c r="A176" s="5" t="s">
        <v>2880</v>
      </c>
      <c r="B176" s="5" t="s">
        <v>300</v>
      </c>
      <c r="C176" s="5" t="s">
        <v>15</v>
      </c>
      <c r="D176" s="5" t="s">
        <v>28</v>
      </c>
      <c r="E176" s="5" t="n">
        <f aca="false">ROUND(7879*1.05,2)</f>
        <v>8272.95</v>
      </c>
      <c r="F176" s="5" t="s">
        <v>29</v>
      </c>
      <c r="G176" s="5" t="s">
        <v>30</v>
      </c>
      <c r="H176" s="5" t="n">
        <f aca="true">ROUND(RAND()*4+6,1)</f>
        <v>6.2</v>
      </c>
      <c r="I176" s="5" t="s">
        <v>31</v>
      </c>
      <c r="J176" s="5" t="str">
        <f aca="false">ROUND(89*1,0)&amp;"%"</f>
        <v>89%</v>
      </c>
    </row>
    <row r="177" customFormat="false" ht="15" hidden="false" customHeight="false" outlineLevel="0" collapsed="false">
      <c r="A177" s="6" t="s">
        <v>2881</v>
      </c>
      <c r="B177" s="6" t="s">
        <v>302</v>
      </c>
      <c r="C177" s="6" t="s">
        <v>15</v>
      </c>
      <c r="D177" s="6" t="s">
        <v>34</v>
      </c>
      <c r="E177" s="6" t="n">
        <f aca="false">ROUND(11463*1.05,2)</f>
        <v>12036.15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ROUND(61*1,0)&amp;"%"</f>
        <v>61%</v>
      </c>
    </row>
    <row r="178" customFormat="false" ht="15" hidden="false" customHeight="false" outlineLevel="0" collapsed="false">
      <c r="A178" s="5" t="s">
        <v>2882</v>
      </c>
      <c r="B178" s="5" t="s">
        <v>304</v>
      </c>
      <c r="C178" s="5" t="s">
        <v>15</v>
      </c>
      <c r="D178" s="5" t="s">
        <v>39</v>
      </c>
      <c r="E178" s="5" t="n">
        <f aca="false">ROUND(15119*1.05,2)</f>
        <v>15874.95</v>
      </c>
      <c r="F178" s="5" t="s">
        <v>40</v>
      </c>
      <c r="G178" s="5" t="s">
        <v>24</v>
      </c>
      <c r="H178" s="5" t="n">
        <f aca="true">ROUND(RAND()*4+6,1)</f>
        <v>8.2</v>
      </c>
      <c r="I178" s="5" t="s">
        <v>41</v>
      </c>
      <c r="J178" s="5" t="str">
        <f aca="false">ROUND(95*1,0)&amp;"%"</f>
        <v>95%</v>
      </c>
    </row>
    <row r="179" customFormat="false" ht="15" hidden="false" customHeight="false" outlineLevel="0" collapsed="false">
      <c r="A179" s="6" t="s">
        <v>2883</v>
      </c>
      <c r="B179" s="6" t="s">
        <v>306</v>
      </c>
      <c r="C179" s="6" t="s">
        <v>15</v>
      </c>
      <c r="D179" s="6" t="s">
        <v>44</v>
      </c>
      <c r="E179" s="6" t="n">
        <f aca="false">ROUND(12439*1.05,2)</f>
        <v>13060.95</v>
      </c>
      <c r="F179" s="6" t="s">
        <v>45</v>
      </c>
      <c r="G179" s="6" t="s">
        <v>30</v>
      </c>
      <c r="H179" s="6" t="n">
        <f aca="true">ROUND(RAND()*4+6,1)</f>
        <v>7.3</v>
      </c>
      <c r="I179" s="6" t="s">
        <v>46</v>
      </c>
      <c r="J179" s="6" t="str">
        <f aca="false">ROUND(95*1,0)&amp;"%"</f>
        <v>95%</v>
      </c>
    </row>
    <row r="180" customFormat="false" ht="15" hidden="false" customHeight="false" outlineLevel="0" collapsed="false">
      <c r="A180" s="5" t="s">
        <v>2884</v>
      </c>
      <c r="B180" s="5" t="s">
        <v>308</v>
      </c>
      <c r="C180" s="5" t="s">
        <v>15</v>
      </c>
      <c r="D180" s="5" t="s">
        <v>16</v>
      </c>
      <c r="E180" s="5" t="n">
        <f aca="false">ROUND(4734*1.05,2)</f>
        <v>4970.7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ROUND(98*1,0)&amp;"%"</f>
        <v>98%</v>
      </c>
    </row>
    <row r="181" customFormat="false" ht="15" hidden="false" customHeight="false" outlineLevel="0" collapsed="false">
      <c r="A181" s="6" t="s">
        <v>2885</v>
      </c>
      <c r="B181" s="6" t="s">
        <v>310</v>
      </c>
      <c r="C181" s="6" t="s">
        <v>15</v>
      </c>
      <c r="D181" s="6" t="s">
        <v>22</v>
      </c>
      <c r="E181" s="6" t="n">
        <f aca="false">ROUND(16296*1.05,2)</f>
        <v>17110.8</v>
      </c>
      <c r="F181" s="6" t="s">
        <v>52</v>
      </c>
      <c r="G181" s="6" t="s">
        <v>24</v>
      </c>
      <c r="H181" s="6" t="n">
        <f aca="true">ROUND(RAND()*4+6,1)</f>
        <v>9.3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2886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2887</v>
      </c>
      <c r="B186" s="5" t="s">
        <v>314</v>
      </c>
      <c r="C186" s="5" t="s">
        <v>57</v>
      </c>
      <c r="D186" s="5" t="s">
        <v>16</v>
      </c>
      <c r="E186" s="5" t="n">
        <f aca="false">ROUND(15618*1.05,2)</f>
        <v>16398.9</v>
      </c>
      <c r="F186" s="5" t="s">
        <v>17</v>
      </c>
      <c r="G186" s="5" t="s">
        <v>18</v>
      </c>
      <c r="H186" s="5" t="n">
        <f aca="true">ROUND(RAND()*4+6,1)</f>
        <v>8</v>
      </c>
      <c r="I186" s="5" t="s">
        <v>19</v>
      </c>
      <c r="J186" s="5" t="str">
        <f aca="false">ROUND(64*1,0)&amp;"%"</f>
        <v>64%</v>
      </c>
    </row>
    <row r="187" customFormat="false" ht="15" hidden="false" customHeight="false" outlineLevel="0" collapsed="false">
      <c r="A187" s="6" t="s">
        <v>2888</v>
      </c>
      <c r="B187" s="6" t="s">
        <v>316</v>
      </c>
      <c r="C187" s="6" t="s">
        <v>57</v>
      </c>
      <c r="D187" s="6" t="s">
        <v>22</v>
      </c>
      <c r="E187" s="6" t="n">
        <f aca="false">ROUND(14597*1.05,2)</f>
        <v>15326.85</v>
      </c>
      <c r="F187" s="6" t="s">
        <v>23</v>
      </c>
      <c r="G187" s="6" t="s">
        <v>24</v>
      </c>
      <c r="H187" s="6" t="n">
        <f aca="true">ROUND(RAND()*4+6,1)</f>
        <v>7.3</v>
      </c>
      <c r="I187" s="6" t="s">
        <v>25</v>
      </c>
      <c r="J187" s="6" t="str">
        <f aca="false">ROUND(92*1,0)&amp;"%"</f>
        <v>92%</v>
      </c>
    </row>
    <row r="188" customFormat="false" ht="15" hidden="false" customHeight="false" outlineLevel="0" collapsed="false">
      <c r="A188" s="5" t="s">
        <v>2889</v>
      </c>
      <c r="B188" s="5" t="s">
        <v>318</v>
      </c>
      <c r="C188" s="5" t="s">
        <v>57</v>
      </c>
      <c r="D188" s="5" t="s">
        <v>28</v>
      </c>
      <c r="E188" s="5" t="n">
        <f aca="false">ROUND(6075*1.05,2)</f>
        <v>6378.75</v>
      </c>
      <c r="F188" s="5" t="s">
        <v>29</v>
      </c>
      <c r="G188" s="5" t="s">
        <v>30</v>
      </c>
      <c r="H188" s="5" t="n">
        <f aca="true">ROUND(RAND()*4+6,1)</f>
        <v>6.6</v>
      </c>
      <c r="I188" s="5" t="s">
        <v>31</v>
      </c>
      <c r="J188" s="5" t="str">
        <f aca="false">ROUND(69*1,0)&amp;"%"</f>
        <v>69%</v>
      </c>
    </row>
    <row r="189" customFormat="false" ht="15" hidden="false" customHeight="false" outlineLevel="0" collapsed="false">
      <c r="A189" s="6" t="s">
        <v>2890</v>
      </c>
      <c r="B189" s="6" t="s">
        <v>320</v>
      </c>
      <c r="C189" s="6" t="s">
        <v>57</v>
      </c>
      <c r="D189" s="6" t="s">
        <v>34</v>
      </c>
      <c r="E189" s="6" t="n">
        <f aca="false">ROUND(13885*1.05,2)</f>
        <v>14579.25</v>
      </c>
      <c r="F189" s="6" t="s">
        <v>35</v>
      </c>
      <c r="G189" s="6" t="s">
        <v>18</v>
      </c>
      <c r="H189" s="6" t="n">
        <f aca="true">ROUND(RAND()*4+6,1)</f>
        <v>9.8</v>
      </c>
      <c r="I189" s="6" t="s">
        <v>36</v>
      </c>
      <c r="J189" s="6" t="str">
        <f aca="false">ROUND(72*1,0)&amp;"%"</f>
        <v>72%</v>
      </c>
    </row>
    <row r="190" customFormat="false" ht="15" hidden="false" customHeight="false" outlineLevel="0" collapsed="false">
      <c r="A190" s="5" t="s">
        <v>2891</v>
      </c>
      <c r="B190" s="5" t="s">
        <v>322</v>
      </c>
      <c r="C190" s="5" t="s">
        <v>57</v>
      </c>
      <c r="D190" s="5" t="s">
        <v>39</v>
      </c>
      <c r="E190" s="5" t="n">
        <f aca="false">ROUND(6217*1.05,2)</f>
        <v>6527.85</v>
      </c>
      <c r="F190" s="5" t="s">
        <v>40</v>
      </c>
      <c r="G190" s="5" t="s">
        <v>24</v>
      </c>
      <c r="H190" s="5" t="n">
        <f aca="true">ROUND(RAND()*4+6,1)</f>
        <v>8.5</v>
      </c>
      <c r="I190" s="5" t="s">
        <v>41</v>
      </c>
      <c r="J190" s="5" t="str">
        <f aca="false">ROUND(78*1,0)&amp;"%"</f>
        <v>78%</v>
      </c>
    </row>
    <row r="191" customFormat="false" ht="15" hidden="false" customHeight="false" outlineLevel="0" collapsed="false">
      <c r="A191" s="6" t="s">
        <v>2892</v>
      </c>
      <c r="B191" s="6" t="s">
        <v>324</v>
      </c>
      <c r="C191" s="6" t="s">
        <v>57</v>
      </c>
      <c r="D191" s="6" t="s">
        <v>44</v>
      </c>
      <c r="E191" s="6" t="n">
        <f aca="false">ROUND(16074*1.05,2)</f>
        <v>16877.7</v>
      </c>
      <c r="F191" s="6" t="s">
        <v>45</v>
      </c>
      <c r="G191" s="6" t="s">
        <v>30</v>
      </c>
      <c r="H191" s="6" t="n">
        <f aca="true">ROUND(RAND()*4+6,1)</f>
        <v>7.3</v>
      </c>
      <c r="I191" s="6" t="s">
        <v>46</v>
      </c>
      <c r="J191" s="6" t="str">
        <f aca="false">ROUND(79*1,0)&amp;"%"</f>
        <v>79%</v>
      </c>
    </row>
    <row r="192" customFormat="false" ht="15" hidden="false" customHeight="false" outlineLevel="0" collapsed="false">
      <c r="A192" s="5" t="s">
        <v>2893</v>
      </c>
      <c r="B192" s="5" t="s">
        <v>326</v>
      </c>
      <c r="C192" s="5" t="s">
        <v>57</v>
      </c>
      <c r="D192" s="5" t="s">
        <v>16</v>
      </c>
      <c r="E192" s="5" t="n">
        <f aca="false">ROUND(6795*1.05,2)</f>
        <v>7134.75</v>
      </c>
      <c r="F192" s="5" t="s">
        <v>49</v>
      </c>
      <c r="G192" s="5" t="s">
        <v>18</v>
      </c>
      <c r="H192" s="5" t="n">
        <f aca="true">ROUND(RAND()*4+6,1)</f>
        <v>9.8</v>
      </c>
      <c r="I192" s="5" t="s">
        <v>19</v>
      </c>
      <c r="J192" s="5" t="str">
        <f aca="false">ROUND(93*1,0)&amp;"%"</f>
        <v>93%</v>
      </c>
    </row>
    <row r="193" customFormat="false" ht="15" hidden="false" customHeight="false" outlineLevel="0" collapsed="false">
      <c r="A193" s="6" t="s">
        <v>2894</v>
      </c>
      <c r="B193" s="6" t="s">
        <v>328</v>
      </c>
      <c r="C193" s="6" t="s">
        <v>57</v>
      </c>
      <c r="D193" s="6" t="s">
        <v>22</v>
      </c>
      <c r="E193" s="6" t="n">
        <f aca="false">ROUND(11315*1.05,2)</f>
        <v>11880.75</v>
      </c>
      <c r="F193" s="6" t="s">
        <v>52</v>
      </c>
      <c r="G193" s="6" t="s">
        <v>24</v>
      </c>
      <c r="H193" s="6" t="n">
        <f aca="true">ROUND(RAND()*4+6,1)</f>
        <v>7.9</v>
      </c>
      <c r="I193" s="6" t="s">
        <v>25</v>
      </c>
      <c r="J193" s="6" t="str">
        <f aca="false">ROUND(91*1,0)&amp;"%"</f>
        <v>91%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2895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2896</v>
      </c>
      <c r="B198" s="5" t="s">
        <v>332</v>
      </c>
      <c r="C198" s="5" t="s">
        <v>76</v>
      </c>
      <c r="D198" s="5" t="s">
        <v>16</v>
      </c>
      <c r="E198" s="5" t="n">
        <f aca="false">ROUND(9042*1.05,2)</f>
        <v>9494.1</v>
      </c>
      <c r="F198" s="5" t="s">
        <v>17</v>
      </c>
      <c r="G198" s="5" t="s">
        <v>18</v>
      </c>
      <c r="H198" s="5" t="n">
        <f aca="true">ROUND(RAND()*4+6,1)</f>
        <v>7.1</v>
      </c>
      <c r="I198" s="5" t="s">
        <v>19</v>
      </c>
      <c r="J198" s="5" t="str">
        <f aca="false">ROUND(97*1,0)&amp;"%"</f>
        <v>97%</v>
      </c>
    </row>
    <row r="199" customFormat="false" ht="15" hidden="false" customHeight="false" outlineLevel="0" collapsed="false">
      <c r="A199" s="6" t="s">
        <v>2897</v>
      </c>
      <c r="B199" s="6" t="s">
        <v>334</v>
      </c>
      <c r="C199" s="6" t="s">
        <v>76</v>
      </c>
      <c r="D199" s="6" t="s">
        <v>22</v>
      </c>
      <c r="E199" s="6" t="n">
        <f aca="false">ROUND(12098*1.05,2)</f>
        <v>12702.9</v>
      </c>
      <c r="F199" s="6" t="s">
        <v>23</v>
      </c>
      <c r="G199" s="6" t="s">
        <v>24</v>
      </c>
      <c r="H199" s="6" t="n">
        <f aca="true">ROUND(RAND()*4+6,1)</f>
        <v>6.3</v>
      </c>
      <c r="I199" s="6" t="s">
        <v>25</v>
      </c>
      <c r="J199" s="6" t="str">
        <f aca="false">ROUND(91*1,0)&amp;"%"</f>
        <v>91%</v>
      </c>
    </row>
    <row r="200" customFormat="false" ht="15" hidden="false" customHeight="false" outlineLevel="0" collapsed="false">
      <c r="A200" s="5" t="s">
        <v>2898</v>
      </c>
      <c r="B200" s="5" t="s">
        <v>336</v>
      </c>
      <c r="C200" s="5" t="s">
        <v>76</v>
      </c>
      <c r="D200" s="5" t="s">
        <v>28</v>
      </c>
      <c r="E200" s="5" t="n">
        <f aca="false">ROUND(14896*1.05,2)</f>
        <v>15640.8</v>
      </c>
      <c r="F200" s="5" t="s">
        <v>29</v>
      </c>
      <c r="G200" s="5" t="s">
        <v>30</v>
      </c>
      <c r="H200" s="5" t="n">
        <f aca="true">ROUND(RAND()*4+6,1)</f>
        <v>9.3</v>
      </c>
      <c r="I200" s="5" t="s">
        <v>31</v>
      </c>
      <c r="J200" s="5" t="str">
        <f aca="false">ROUND(83*1,0)&amp;"%"</f>
        <v>83%</v>
      </c>
    </row>
    <row r="201" customFormat="false" ht="15" hidden="false" customHeight="false" outlineLevel="0" collapsed="false">
      <c r="A201" s="6" t="s">
        <v>2899</v>
      </c>
      <c r="B201" s="6" t="s">
        <v>338</v>
      </c>
      <c r="C201" s="6" t="s">
        <v>76</v>
      </c>
      <c r="D201" s="6" t="s">
        <v>34</v>
      </c>
      <c r="E201" s="6" t="n">
        <f aca="false">ROUND(11299*1.05,2)</f>
        <v>11863.95</v>
      </c>
      <c r="F201" s="6" t="s">
        <v>35</v>
      </c>
      <c r="G201" s="6" t="s">
        <v>18</v>
      </c>
      <c r="H201" s="6" t="n">
        <f aca="true">ROUND(RAND()*4+6,1)</f>
        <v>6</v>
      </c>
      <c r="I201" s="6" t="s">
        <v>36</v>
      </c>
      <c r="J201" s="6" t="str">
        <f aca="false">ROUND(94*1,0)&amp;"%"</f>
        <v>94%</v>
      </c>
    </row>
    <row r="202" customFormat="false" ht="15" hidden="false" customHeight="false" outlineLevel="0" collapsed="false">
      <c r="A202" s="5" t="s">
        <v>2900</v>
      </c>
      <c r="B202" s="5" t="s">
        <v>340</v>
      </c>
      <c r="C202" s="5" t="s">
        <v>76</v>
      </c>
      <c r="D202" s="5" t="s">
        <v>39</v>
      </c>
      <c r="E202" s="5" t="n">
        <f aca="false">ROUND(10831*1.05,2)</f>
        <v>11372.55</v>
      </c>
      <c r="F202" s="5" t="s">
        <v>40</v>
      </c>
      <c r="G202" s="5" t="s">
        <v>24</v>
      </c>
      <c r="H202" s="5" t="n">
        <f aca="true">ROUND(RAND()*4+6,1)</f>
        <v>8.7</v>
      </c>
      <c r="I202" s="5" t="s">
        <v>41</v>
      </c>
      <c r="J202" s="5" t="str">
        <f aca="false">ROUND(96*1,0)&amp;"%"</f>
        <v>96%</v>
      </c>
    </row>
    <row r="203" customFormat="false" ht="15" hidden="false" customHeight="false" outlineLevel="0" collapsed="false">
      <c r="A203" s="6" t="s">
        <v>2901</v>
      </c>
      <c r="B203" s="6" t="s">
        <v>342</v>
      </c>
      <c r="C203" s="6" t="s">
        <v>76</v>
      </c>
      <c r="D203" s="6" t="s">
        <v>44</v>
      </c>
      <c r="E203" s="6" t="n">
        <f aca="false">ROUND(4494*1.05,2)</f>
        <v>4718.7</v>
      </c>
      <c r="F203" s="6" t="s">
        <v>45</v>
      </c>
      <c r="G203" s="6" t="s">
        <v>30</v>
      </c>
      <c r="H203" s="6" t="n">
        <f aca="true">ROUND(RAND()*4+6,1)</f>
        <v>8.7</v>
      </c>
      <c r="I203" s="6" t="s">
        <v>46</v>
      </c>
      <c r="J203" s="6" t="str">
        <f aca="false">ROUND(93*1,0)&amp;"%"</f>
        <v>93%</v>
      </c>
    </row>
    <row r="204" customFormat="false" ht="15" hidden="false" customHeight="false" outlineLevel="0" collapsed="false">
      <c r="A204" s="5" t="s">
        <v>2902</v>
      </c>
      <c r="B204" s="5" t="s">
        <v>344</v>
      </c>
      <c r="C204" s="5" t="s">
        <v>76</v>
      </c>
      <c r="D204" s="5" t="s">
        <v>16</v>
      </c>
      <c r="E204" s="5" t="n">
        <f aca="false">ROUND(16676*1.05,2)</f>
        <v>17509.8</v>
      </c>
      <c r="F204" s="5" t="s">
        <v>49</v>
      </c>
      <c r="G204" s="5" t="s">
        <v>18</v>
      </c>
      <c r="H204" s="5" t="n">
        <f aca="true">ROUND(RAND()*4+6,1)</f>
        <v>6.9</v>
      </c>
      <c r="I204" s="5" t="s">
        <v>19</v>
      </c>
      <c r="J204" s="5" t="str">
        <f aca="false">ROUND(93*1,0)&amp;"%"</f>
        <v>93%</v>
      </c>
    </row>
    <row r="205" customFormat="false" ht="15" hidden="false" customHeight="false" outlineLevel="0" collapsed="false">
      <c r="A205" s="6" t="s">
        <v>2903</v>
      </c>
      <c r="B205" s="6" t="s">
        <v>346</v>
      </c>
      <c r="C205" s="6" t="s">
        <v>76</v>
      </c>
      <c r="D205" s="6" t="s">
        <v>22</v>
      </c>
      <c r="E205" s="6" t="n">
        <f aca="false">ROUND(4127*1.05,2)</f>
        <v>4333.35</v>
      </c>
      <c r="F205" s="6" t="s">
        <v>52</v>
      </c>
      <c r="G205" s="6" t="s">
        <v>24</v>
      </c>
      <c r="H205" s="6" t="n">
        <f aca="true">ROUND(RAND()*4+6,1)</f>
        <v>8.6</v>
      </c>
      <c r="I205" s="6" t="s">
        <v>25</v>
      </c>
      <c r="J205" s="6" t="str">
        <f aca="false">ROUND(83*1,0)&amp;"%"</f>
        <v>83%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2904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2905</v>
      </c>
      <c r="B210" s="5" t="s">
        <v>350</v>
      </c>
      <c r="C210" s="5" t="s">
        <v>95</v>
      </c>
      <c r="D210" s="5" t="s">
        <v>16</v>
      </c>
      <c r="E210" s="5" t="n">
        <f aca="false">ROUND(4020*1.05,2)</f>
        <v>4221</v>
      </c>
      <c r="F210" s="5" t="s">
        <v>17</v>
      </c>
      <c r="G210" s="5" t="s">
        <v>18</v>
      </c>
      <c r="H210" s="5" t="n">
        <f aca="true">ROUND(RAND()*4+6,1)</f>
        <v>6.7</v>
      </c>
      <c r="I210" s="5" t="s">
        <v>19</v>
      </c>
      <c r="J210" s="5" t="str">
        <f aca="false">ROUND(81*1,0)&amp;"%"</f>
        <v>81%</v>
      </c>
    </row>
    <row r="211" customFormat="false" ht="15" hidden="false" customHeight="false" outlineLevel="0" collapsed="false">
      <c r="A211" s="6" t="s">
        <v>2906</v>
      </c>
      <c r="B211" s="6" t="s">
        <v>352</v>
      </c>
      <c r="C211" s="6" t="s">
        <v>95</v>
      </c>
      <c r="D211" s="6" t="s">
        <v>22</v>
      </c>
      <c r="E211" s="6" t="n">
        <f aca="false">ROUND(4451*1.05,2)</f>
        <v>4673.55</v>
      </c>
      <c r="F211" s="6" t="s">
        <v>23</v>
      </c>
      <c r="G211" s="6" t="s">
        <v>24</v>
      </c>
      <c r="H211" s="6" t="n">
        <f aca="true">ROUND(RAND()*4+6,1)</f>
        <v>8.3</v>
      </c>
      <c r="I211" s="6" t="s">
        <v>25</v>
      </c>
      <c r="J211" s="6" t="str">
        <f aca="false">ROUND(66*1,0)&amp;"%"</f>
        <v>66%</v>
      </c>
    </row>
    <row r="212" customFormat="false" ht="15" hidden="false" customHeight="false" outlineLevel="0" collapsed="false">
      <c r="A212" s="5" t="s">
        <v>2907</v>
      </c>
      <c r="B212" s="5" t="s">
        <v>354</v>
      </c>
      <c r="C212" s="5" t="s">
        <v>95</v>
      </c>
      <c r="D212" s="5" t="s">
        <v>28</v>
      </c>
      <c r="E212" s="5" t="n">
        <f aca="false">ROUND(11040*1.05,2)</f>
        <v>11592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ROUND(65*1,0)&amp;"%"</f>
        <v>65%</v>
      </c>
    </row>
    <row r="213" customFormat="false" ht="15" hidden="false" customHeight="false" outlineLevel="0" collapsed="false">
      <c r="A213" s="6" t="s">
        <v>2908</v>
      </c>
      <c r="B213" s="6" t="s">
        <v>356</v>
      </c>
      <c r="C213" s="6" t="s">
        <v>95</v>
      </c>
      <c r="D213" s="6" t="s">
        <v>34</v>
      </c>
      <c r="E213" s="6" t="n">
        <f aca="false">ROUND(6083*1.05,2)</f>
        <v>6387.15</v>
      </c>
      <c r="F213" s="6" t="s">
        <v>35</v>
      </c>
      <c r="G213" s="6" t="s">
        <v>18</v>
      </c>
      <c r="H213" s="6" t="n">
        <f aca="true">ROUND(RAND()*4+6,1)</f>
        <v>9.5</v>
      </c>
      <c r="I213" s="6" t="s">
        <v>36</v>
      </c>
      <c r="J213" s="6" t="str">
        <f aca="false">ROUND(76*1,0)&amp;"%"</f>
        <v>76%</v>
      </c>
    </row>
    <row r="214" customFormat="false" ht="15" hidden="false" customHeight="false" outlineLevel="0" collapsed="false">
      <c r="A214" s="5" t="s">
        <v>2909</v>
      </c>
      <c r="B214" s="5" t="s">
        <v>358</v>
      </c>
      <c r="C214" s="5" t="s">
        <v>95</v>
      </c>
      <c r="D214" s="5" t="s">
        <v>39</v>
      </c>
      <c r="E214" s="5" t="n">
        <f aca="false">ROUND(15302*1.05,2)</f>
        <v>16067.1</v>
      </c>
      <c r="F214" s="5" t="s">
        <v>40</v>
      </c>
      <c r="G214" s="5" t="s">
        <v>24</v>
      </c>
      <c r="H214" s="5" t="n">
        <f aca="true">ROUND(RAND()*4+6,1)</f>
        <v>7.2</v>
      </c>
      <c r="I214" s="5" t="s">
        <v>41</v>
      </c>
      <c r="J214" s="5" t="str">
        <f aca="false">ROUND(91*1,0)&amp;"%"</f>
        <v>91%</v>
      </c>
    </row>
    <row r="215" customFormat="false" ht="15" hidden="false" customHeight="false" outlineLevel="0" collapsed="false">
      <c r="A215" s="6" t="s">
        <v>2910</v>
      </c>
      <c r="B215" s="6" t="s">
        <v>360</v>
      </c>
      <c r="C215" s="6" t="s">
        <v>95</v>
      </c>
      <c r="D215" s="6" t="s">
        <v>44</v>
      </c>
      <c r="E215" s="6" t="n">
        <f aca="false">ROUND(14685*1.05,2)</f>
        <v>15419.25</v>
      </c>
      <c r="F215" s="6" t="s">
        <v>45</v>
      </c>
      <c r="G215" s="6" t="s">
        <v>30</v>
      </c>
      <c r="H215" s="6" t="n">
        <f aca="true">ROUND(RAND()*4+6,1)</f>
        <v>9</v>
      </c>
      <c r="I215" s="6" t="s">
        <v>46</v>
      </c>
      <c r="J215" s="6" t="str">
        <f aca="false">ROUND(78*1,0)&amp;"%"</f>
        <v>78%</v>
      </c>
    </row>
    <row r="216" customFormat="false" ht="15" hidden="false" customHeight="false" outlineLevel="0" collapsed="false">
      <c r="A216" s="5" t="s">
        <v>2911</v>
      </c>
      <c r="B216" s="5" t="s">
        <v>362</v>
      </c>
      <c r="C216" s="5" t="s">
        <v>95</v>
      </c>
      <c r="D216" s="5" t="s">
        <v>16</v>
      </c>
      <c r="E216" s="5" t="n">
        <f aca="false">ROUND(11304*1.05,2)</f>
        <v>11869.2</v>
      </c>
      <c r="F216" s="5" t="s">
        <v>49</v>
      </c>
      <c r="G216" s="5" t="s">
        <v>18</v>
      </c>
      <c r="H216" s="5" t="n">
        <f aca="true">ROUND(RAND()*4+6,1)</f>
        <v>8.3</v>
      </c>
      <c r="I216" s="5" t="s">
        <v>19</v>
      </c>
      <c r="J216" s="5" t="str">
        <f aca="false">ROUND(83*1,0)&amp;"%"</f>
        <v>83%</v>
      </c>
    </row>
    <row r="217" customFormat="false" ht="15" hidden="false" customHeight="false" outlineLevel="0" collapsed="false">
      <c r="A217" s="6" t="s">
        <v>2912</v>
      </c>
      <c r="B217" s="6" t="s">
        <v>364</v>
      </c>
      <c r="C217" s="6" t="s">
        <v>95</v>
      </c>
      <c r="D217" s="6" t="s">
        <v>22</v>
      </c>
      <c r="E217" s="6" t="n">
        <f aca="false">ROUND(14959*1.05,2)</f>
        <v>15706.95</v>
      </c>
      <c r="F217" s="6" t="s">
        <v>52</v>
      </c>
      <c r="G217" s="6" t="s">
        <v>24</v>
      </c>
      <c r="H217" s="6" t="n">
        <f aca="true">ROUND(RAND()*4+6,1)</f>
        <v>6.8</v>
      </c>
      <c r="I217" s="6" t="s">
        <v>25</v>
      </c>
      <c r="J217" s="6" t="str">
        <f aca="false">ROUND(75*1,0)&amp;"%"</f>
        <v>75%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2913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2914</v>
      </c>
      <c r="B222" s="5" t="s">
        <v>368</v>
      </c>
      <c r="C222" s="5" t="s">
        <v>114</v>
      </c>
      <c r="D222" s="5" t="s">
        <v>16</v>
      </c>
      <c r="E222" s="5" t="n">
        <f aca="false">ROUND(12528*1.05,2)</f>
        <v>13154.4</v>
      </c>
      <c r="F222" s="5" t="s">
        <v>17</v>
      </c>
      <c r="G222" s="5" t="s">
        <v>18</v>
      </c>
      <c r="H222" s="5" t="n">
        <f aca="true">ROUND(RAND()*4+6,1)</f>
        <v>6.4</v>
      </c>
      <c r="I222" s="5" t="s">
        <v>19</v>
      </c>
      <c r="J222" s="5" t="str">
        <f aca="false">ROUND(68*1,0)&amp;"%"</f>
        <v>68%</v>
      </c>
    </row>
    <row r="223" customFormat="false" ht="15" hidden="false" customHeight="false" outlineLevel="0" collapsed="false">
      <c r="A223" s="6" t="s">
        <v>2915</v>
      </c>
      <c r="B223" s="6" t="s">
        <v>370</v>
      </c>
      <c r="C223" s="6" t="s">
        <v>114</v>
      </c>
      <c r="D223" s="6" t="s">
        <v>22</v>
      </c>
      <c r="E223" s="6" t="n">
        <f aca="false">ROUND(7787*1.05,2)</f>
        <v>8176.35</v>
      </c>
      <c r="F223" s="6" t="s">
        <v>23</v>
      </c>
      <c r="G223" s="6" t="s">
        <v>24</v>
      </c>
      <c r="H223" s="6" t="n">
        <f aca="true">ROUND(RAND()*4+6,1)</f>
        <v>6.8</v>
      </c>
      <c r="I223" s="6" t="s">
        <v>25</v>
      </c>
      <c r="J223" s="6" t="str">
        <f aca="false">ROUND(91*1,0)&amp;"%"</f>
        <v>91%</v>
      </c>
    </row>
    <row r="224" customFormat="false" ht="15" hidden="false" customHeight="false" outlineLevel="0" collapsed="false">
      <c r="A224" s="5" t="s">
        <v>2916</v>
      </c>
      <c r="B224" s="5" t="s">
        <v>372</v>
      </c>
      <c r="C224" s="5" t="s">
        <v>114</v>
      </c>
      <c r="D224" s="5" t="s">
        <v>28</v>
      </c>
      <c r="E224" s="5" t="n">
        <f aca="false">ROUND(6462*1.05,2)</f>
        <v>6785.1</v>
      </c>
      <c r="F224" s="5" t="s">
        <v>29</v>
      </c>
      <c r="G224" s="5" t="s">
        <v>30</v>
      </c>
      <c r="H224" s="5" t="n">
        <f aca="true">ROUND(RAND()*4+6,1)</f>
        <v>10</v>
      </c>
      <c r="I224" s="5" t="s">
        <v>31</v>
      </c>
      <c r="J224" s="5" t="str">
        <f aca="false">ROUND(96*1,0)&amp;"%"</f>
        <v>96%</v>
      </c>
    </row>
    <row r="225" customFormat="false" ht="15" hidden="false" customHeight="false" outlineLevel="0" collapsed="false">
      <c r="A225" s="6" t="s">
        <v>2917</v>
      </c>
      <c r="B225" s="6" t="s">
        <v>374</v>
      </c>
      <c r="C225" s="6" t="s">
        <v>114</v>
      </c>
      <c r="D225" s="6" t="s">
        <v>34</v>
      </c>
      <c r="E225" s="6" t="n">
        <f aca="false">ROUND(10941*1.05,2)</f>
        <v>11488.05</v>
      </c>
      <c r="F225" s="6" t="s">
        <v>35</v>
      </c>
      <c r="G225" s="6" t="s">
        <v>18</v>
      </c>
      <c r="H225" s="6" t="n">
        <f aca="true">ROUND(RAND()*4+6,1)</f>
        <v>6.4</v>
      </c>
      <c r="I225" s="6" t="s">
        <v>36</v>
      </c>
      <c r="J225" s="6" t="str">
        <f aca="false">ROUND(70*1,0)&amp;"%"</f>
        <v>70%</v>
      </c>
    </row>
    <row r="226" customFormat="false" ht="15" hidden="false" customHeight="false" outlineLevel="0" collapsed="false">
      <c r="A226" s="5" t="s">
        <v>2918</v>
      </c>
      <c r="B226" s="5" t="s">
        <v>376</v>
      </c>
      <c r="C226" s="5" t="s">
        <v>114</v>
      </c>
      <c r="D226" s="5" t="s">
        <v>39</v>
      </c>
      <c r="E226" s="5" t="n">
        <f aca="false">ROUND(12944*1.05,2)</f>
        <v>13591.2</v>
      </c>
      <c r="F226" s="5" t="s">
        <v>40</v>
      </c>
      <c r="G226" s="5" t="s">
        <v>24</v>
      </c>
      <c r="H226" s="5" t="n">
        <f aca="true">ROUND(RAND()*4+6,1)</f>
        <v>6.2</v>
      </c>
      <c r="I226" s="5" t="s">
        <v>41</v>
      </c>
      <c r="J226" s="5" t="str">
        <f aca="false">ROUND(60*1,0)&amp;"%"</f>
        <v>60%</v>
      </c>
    </row>
    <row r="227" customFormat="false" ht="15" hidden="false" customHeight="false" outlineLevel="0" collapsed="false">
      <c r="A227" s="6" t="s">
        <v>2919</v>
      </c>
      <c r="B227" s="6" t="s">
        <v>378</v>
      </c>
      <c r="C227" s="6" t="s">
        <v>114</v>
      </c>
      <c r="D227" s="6" t="s">
        <v>44</v>
      </c>
      <c r="E227" s="6" t="n">
        <f aca="false">ROUND(7532*1.05,2)</f>
        <v>7908.6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2920</v>
      </c>
      <c r="B228" s="5" t="s">
        <v>380</v>
      </c>
      <c r="C228" s="5" t="s">
        <v>114</v>
      </c>
      <c r="D228" s="5" t="s">
        <v>16</v>
      </c>
      <c r="E228" s="5" t="n">
        <f aca="false">ROUND(16544*1.05,2)</f>
        <v>17371.2</v>
      </c>
      <c r="F228" s="5" t="s">
        <v>49</v>
      </c>
      <c r="G228" s="5" t="s">
        <v>18</v>
      </c>
      <c r="H228" s="5" t="n">
        <f aca="true">ROUND(RAND()*4+6,1)</f>
        <v>8.6</v>
      </c>
      <c r="I228" s="5" t="s">
        <v>19</v>
      </c>
      <c r="J228" s="5" t="str">
        <f aca="false">ROUND(83*1,0)&amp;"%"</f>
        <v>83%</v>
      </c>
    </row>
    <row r="229" customFormat="false" ht="15" hidden="false" customHeight="false" outlineLevel="0" collapsed="false">
      <c r="A229" s="6" t="s">
        <v>2921</v>
      </c>
      <c r="B229" s="6" t="s">
        <v>382</v>
      </c>
      <c r="C229" s="6" t="s">
        <v>114</v>
      </c>
      <c r="D229" s="6" t="s">
        <v>22</v>
      </c>
      <c r="E229" s="6" t="n">
        <f aca="false">ROUND(5901*1.05,2)</f>
        <v>6196.05</v>
      </c>
      <c r="F229" s="6" t="s">
        <v>52</v>
      </c>
      <c r="G229" s="6" t="s">
        <v>24</v>
      </c>
      <c r="H229" s="6" t="n">
        <f aca="true">ROUND(RAND()*4+6,1)</f>
        <v>8.2</v>
      </c>
      <c r="I229" s="6" t="s">
        <v>25</v>
      </c>
      <c r="J229" s="6" t="str">
        <f aca="false">ROUND(90*1,0)&amp;"%"</f>
        <v>90%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2922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2923</v>
      </c>
      <c r="B234" s="5" t="s">
        <v>386</v>
      </c>
      <c r="C234" s="5" t="s">
        <v>133</v>
      </c>
      <c r="D234" s="5" t="s">
        <v>16</v>
      </c>
      <c r="E234" s="5" t="n">
        <f aca="false">ROUND(13042*1.05,2)</f>
        <v>13694.1</v>
      </c>
      <c r="F234" s="5" t="s">
        <v>17</v>
      </c>
      <c r="G234" s="5" t="s">
        <v>18</v>
      </c>
      <c r="H234" s="5" t="n">
        <f aca="true">ROUND(RAND()*4+6,1)</f>
        <v>8.7</v>
      </c>
      <c r="I234" s="5" t="s">
        <v>19</v>
      </c>
      <c r="J234" s="5" t="str">
        <f aca="false">ROUND(90*1,0)&amp;"%"</f>
        <v>90%</v>
      </c>
    </row>
    <row r="235" customFormat="false" ht="15" hidden="false" customHeight="false" outlineLevel="0" collapsed="false">
      <c r="A235" s="6" t="s">
        <v>2924</v>
      </c>
      <c r="B235" s="6" t="s">
        <v>388</v>
      </c>
      <c r="C235" s="6" t="s">
        <v>133</v>
      </c>
      <c r="D235" s="6" t="s">
        <v>22</v>
      </c>
      <c r="E235" s="6" t="n">
        <f aca="false">ROUND(6790*1.05,2)</f>
        <v>7129.5</v>
      </c>
      <c r="F235" s="6" t="s">
        <v>23</v>
      </c>
      <c r="G235" s="6" t="s">
        <v>24</v>
      </c>
      <c r="H235" s="6" t="n">
        <f aca="true">ROUND(RAND()*4+6,1)</f>
        <v>6.6</v>
      </c>
      <c r="I235" s="6" t="s">
        <v>25</v>
      </c>
      <c r="J235" s="6" t="str">
        <f aca="false">ROUND(86*1,0)&amp;"%"</f>
        <v>86%</v>
      </c>
    </row>
    <row r="236" customFormat="false" ht="15" hidden="false" customHeight="false" outlineLevel="0" collapsed="false">
      <c r="A236" s="5" t="s">
        <v>2925</v>
      </c>
      <c r="B236" s="5" t="s">
        <v>390</v>
      </c>
      <c r="C236" s="5" t="s">
        <v>133</v>
      </c>
      <c r="D236" s="5" t="s">
        <v>28</v>
      </c>
      <c r="E236" s="5" t="n">
        <f aca="false">ROUND(10118*1.05,2)</f>
        <v>10623.9</v>
      </c>
      <c r="F236" s="5" t="s">
        <v>29</v>
      </c>
      <c r="G236" s="5" t="s">
        <v>30</v>
      </c>
      <c r="H236" s="5" t="n">
        <f aca="true">ROUND(RAND()*4+6,1)</f>
        <v>9.1</v>
      </c>
      <c r="I236" s="5" t="s">
        <v>31</v>
      </c>
      <c r="J236" s="5" t="str">
        <f aca="false">ROUND(98*1,0)&amp;"%"</f>
        <v>98%</v>
      </c>
    </row>
    <row r="237" customFormat="false" ht="15" hidden="false" customHeight="false" outlineLevel="0" collapsed="false">
      <c r="A237" s="6" t="s">
        <v>2926</v>
      </c>
      <c r="B237" s="6" t="s">
        <v>392</v>
      </c>
      <c r="C237" s="6" t="s">
        <v>133</v>
      </c>
      <c r="D237" s="6" t="s">
        <v>34</v>
      </c>
      <c r="E237" s="6" t="n">
        <f aca="false">ROUND(8689*1.05,2)</f>
        <v>9123.45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2927</v>
      </c>
      <c r="B238" s="5" t="s">
        <v>394</v>
      </c>
      <c r="C238" s="5" t="s">
        <v>133</v>
      </c>
      <c r="D238" s="5" t="s">
        <v>39</v>
      </c>
      <c r="E238" s="5" t="n">
        <f aca="false">ROUND(10167*1.05,2)</f>
        <v>10675.35</v>
      </c>
      <c r="F238" s="5" t="s">
        <v>40</v>
      </c>
      <c r="G238" s="5" t="s">
        <v>24</v>
      </c>
      <c r="H238" s="5" t="n">
        <f aca="true">ROUND(RAND()*4+6,1)</f>
        <v>7.4</v>
      </c>
      <c r="I238" s="5" t="s">
        <v>41</v>
      </c>
      <c r="J238" s="5" t="str">
        <f aca="false">ROUND(72*1,0)&amp;"%"</f>
        <v>72%</v>
      </c>
    </row>
    <row r="239" customFormat="false" ht="15" hidden="false" customHeight="false" outlineLevel="0" collapsed="false">
      <c r="A239" s="6" t="s">
        <v>2928</v>
      </c>
      <c r="B239" s="6" t="s">
        <v>396</v>
      </c>
      <c r="C239" s="6" t="s">
        <v>133</v>
      </c>
      <c r="D239" s="6" t="s">
        <v>44</v>
      </c>
      <c r="E239" s="6" t="n">
        <f aca="false">ROUND(13764*1.05,2)</f>
        <v>14452.2</v>
      </c>
      <c r="F239" s="6" t="s">
        <v>45</v>
      </c>
      <c r="G239" s="6" t="s">
        <v>30</v>
      </c>
      <c r="H239" s="6" t="n">
        <f aca="true">ROUND(RAND()*4+6,1)</f>
        <v>8.8</v>
      </c>
      <c r="I239" s="6" t="s">
        <v>46</v>
      </c>
      <c r="J239" s="6" t="str">
        <f aca="false">ROUND(68*1,0)&amp;"%"</f>
        <v>68%</v>
      </c>
    </row>
    <row r="240" customFormat="false" ht="15" hidden="false" customHeight="false" outlineLevel="0" collapsed="false">
      <c r="A240" s="5" t="s">
        <v>2929</v>
      </c>
      <c r="B240" s="5" t="s">
        <v>398</v>
      </c>
      <c r="C240" s="5" t="s">
        <v>133</v>
      </c>
      <c r="D240" s="5" t="s">
        <v>16</v>
      </c>
      <c r="E240" s="5" t="n">
        <f aca="false">ROUND(12800*1.05,2)</f>
        <v>13440</v>
      </c>
      <c r="F240" s="5" t="s">
        <v>49</v>
      </c>
      <c r="G240" s="5" t="s">
        <v>18</v>
      </c>
      <c r="H240" s="5" t="n">
        <f aca="true">ROUND(RAND()*4+6,1)</f>
        <v>9.7</v>
      </c>
      <c r="I240" s="5" t="s">
        <v>19</v>
      </c>
      <c r="J240" s="5" t="str">
        <f aca="false">ROUND(74*1,0)&amp;"%"</f>
        <v>74%</v>
      </c>
    </row>
    <row r="241" customFormat="false" ht="15" hidden="false" customHeight="false" outlineLevel="0" collapsed="false">
      <c r="A241" s="6" t="s">
        <v>2930</v>
      </c>
      <c r="B241" s="6" t="s">
        <v>400</v>
      </c>
      <c r="C241" s="6" t="s">
        <v>133</v>
      </c>
      <c r="D241" s="6" t="s">
        <v>22</v>
      </c>
      <c r="E241" s="6" t="n">
        <f aca="false">ROUND(12112*1.05,2)</f>
        <v>12717.6</v>
      </c>
      <c r="F241" s="6" t="s">
        <v>52</v>
      </c>
      <c r="G241" s="6" t="s">
        <v>24</v>
      </c>
      <c r="H241" s="6" t="n">
        <f aca="true">ROUND(RAND()*4+6,1)</f>
        <v>9.9</v>
      </c>
      <c r="I241" s="6" t="s">
        <v>25</v>
      </c>
      <c r="J241" s="6" t="str">
        <f aca="false">ROUND(95*1,0)&amp;"%"</f>
        <v>95%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2931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2932</v>
      </c>
      <c r="B246" s="5" t="s">
        <v>404</v>
      </c>
      <c r="C246" s="5" t="s">
        <v>152</v>
      </c>
      <c r="D246" s="5" t="s">
        <v>16</v>
      </c>
      <c r="E246" s="5" t="n">
        <f aca="false">ROUND(12251*1.05,2)</f>
        <v>12863.55</v>
      </c>
      <c r="F246" s="5" t="s">
        <v>17</v>
      </c>
      <c r="G246" s="5" t="s">
        <v>18</v>
      </c>
      <c r="H246" s="5" t="n">
        <f aca="true">ROUND(RAND()*4+6,1)</f>
        <v>7.3</v>
      </c>
      <c r="I246" s="5" t="s">
        <v>19</v>
      </c>
      <c r="J246" s="5" t="str">
        <f aca="false">ROUND(75*1,0)&amp;"%"</f>
        <v>75%</v>
      </c>
    </row>
    <row r="247" customFormat="false" ht="15" hidden="false" customHeight="false" outlineLevel="0" collapsed="false">
      <c r="A247" s="6" t="s">
        <v>2933</v>
      </c>
      <c r="B247" s="6" t="s">
        <v>406</v>
      </c>
      <c r="C247" s="6" t="s">
        <v>152</v>
      </c>
      <c r="D247" s="6" t="s">
        <v>22</v>
      </c>
      <c r="E247" s="6" t="n">
        <f aca="false">ROUND(5466*1.05,2)</f>
        <v>5739.3</v>
      </c>
      <c r="F247" s="6" t="s">
        <v>23</v>
      </c>
      <c r="G247" s="6" t="s">
        <v>24</v>
      </c>
      <c r="H247" s="6" t="n">
        <f aca="true">ROUND(RAND()*4+6,1)</f>
        <v>8.7</v>
      </c>
      <c r="I247" s="6" t="s">
        <v>25</v>
      </c>
      <c r="J247" s="6" t="str">
        <f aca="false">ROUND(72*1,0)&amp;"%"</f>
        <v>72%</v>
      </c>
    </row>
    <row r="248" customFormat="false" ht="15" hidden="false" customHeight="false" outlineLevel="0" collapsed="false">
      <c r="A248" s="5" t="s">
        <v>2934</v>
      </c>
      <c r="B248" s="5" t="s">
        <v>408</v>
      </c>
      <c r="C248" s="5" t="s">
        <v>152</v>
      </c>
      <c r="D248" s="5" t="s">
        <v>28</v>
      </c>
      <c r="E248" s="5" t="n">
        <f aca="false">ROUND(5888*1.05,2)</f>
        <v>6182.4</v>
      </c>
      <c r="F248" s="5" t="s">
        <v>29</v>
      </c>
      <c r="G248" s="5" t="s">
        <v>30</v>
      </c>
      <c r="H248" s="5" t="n">
        <f aca="true">ROUND(RAND()*4+6,1)</f>
        <v>8.4</v>
      </c>
      <c r="I248" s="5" t="s">
        <v>31</v>
      </c>
      <c r="J248" s="5" t="str">
        <f aca="false">ROUND(60*1,0)&amp;"%"</f>
        <v>60%</v>
      </c>
    </row>
    <row r="249" customFormat="false" ht="15" hidden="false" customHeight="false" outlineLevel="0" collapsed="false">
      <c r="A249" s="6" t="s">
        <v>2935</v>
      </c>
      <c r="B249" s="6" t="s">
        <v>410</v>
      </c>
      <c r="C249" s="6" t="s">
        <v>152</v>
      </c>
      <c r="D249" s="6" t="s">
        <v>34</v>
      </c>
      <c r="E249" s="6" t="n">
        <f aca="false">ROUND(13477*1.05,2)</f>
        <v>14150.85</v>
      </c>
      <c r="F249" s="6" t="s">
        <v>35</v>
      </c>
      <c r="G249" s="6" t="s">
        <v>18</v>
      </c>
      <c r="H249" s="6" t="n">
        <f aca="true">ROUND(RAND()*4+6,1)</f>
        <v>8.7</v>
      </c>
      <c r="I249" s="6" t="s">
        <v>36</v>
      </c>
      <c r="J249" s="6" t="str">
        <f aca="false">ROUND(68*1,0)&amp;"%"</f>
        <v>68%</v>
      </c>
    </row>
    <row r="250" customFormat="false" ht="15" hidden="false" customHeight="false" outlineLevel="0" collapsed="false">
      <c r="A250" s="5" t="s">
        <v>2936</v>
      </c>
      <c r="B250" s="5" t="s">
        <v>412</v>
      </c>
      <c r="C250" s="5" t="s">
        <v>152</v>
      </c>
      <c r="D250" s="5" t="s">
        <v>39</v>
      </c>
      <c r="E250" s="5" t="n">
        <f aca="false">ROUND(4524*1.05,2)</f>
        <v>4750.2</v>
      </c>
      <c r="F250" s="5" t="s">
        <v>40</v>
      </c>
      <c r="G250" s="5" t="s">
        <v>24</v>
      </c>
      <c r="H250" s="5" t="n">
        <f aca="true">ROUND(RAND()*4+6,1)</f>
        <v>8.8</v>
      </c>
      <c r="I250" s="5" t="s">
        <v>41</v>
      </c>
      <c r="J250" s="5" t="str">
        <f aca="false">ROUND(64*1,0)&amp;"%"</f>
        <v>64%</v>
      </c>
    </row>
    <row r="251" customFormat="false" ht="15" hidden="false" customHeight="false" outlineLevel="0" collapsed="false">
      <c r="A251" s="6" t="s">
        <v>2937</v>
      </c>
      <c r="B251" s="6" t="s">
        <v>414</v>
      </c>
      <c r="C251" s="6" t="s">
        <v>152</v>
      </c>
      <c r="D251" s="6" t="s">
        <v>44</v>
      </c>
      <c r="E251" s="6" t="n">
        <f aca="false">ROUND(13359*1.05,2)</f>
        <v>14026.95</v>
      </c>
      <c r="F251" s="6" t="s">
        <v>45</v>
      </c>
      <c r="G251" s="6" t="s">
        <v>30</v>
      </c>
      <c r="H251" s="6" t="n">
        <f aca="true">ROUND(RAND()*4+6,1)</f>
        <v>6.7</v>
      </c>
      <c r="I251" s="6" t="s">
        <v>46</v>
      </c>
      <c r="J251" s="6" t="str">
        <f aca="false">ROUND(75*1,0)&amp;"%"</f>
        <v>75%</v>
      </c>
    </row>
    <row r="252" customFormat="false" ht="15" hidden="false" customHeight="false" outlineLevel="0" collapsed="false">
      <c r="A252" s="5" t="s">
        <v>2938</v>
      </c>
      <c r="B252" s="5" t="s">
        <v>416</v>
      </c>
      <c r="C252" s="5" t="s">
        <v>152</v>
      </c>
      <c r="D252" s="5" t="s">
        <v>16</v>
      </c>
      <c r="E252" s="5" t="n">
        <f aca="false">ROUND(8497*1.05,2)</f>
        <v>8921.85</v>
      </c>
      <c r="F252" s="5" t="s">
        <v>49</v>
      </c>
      <c r="G252" s="5" t="s">
        <v>18</v>
      </c>
      <c r="H252" s="5" t="n">
        <f aca="true">ROUND(RAND()*4+6,1)</f>
        <v>7.9</v>
      </c>
      <c r="I252" s="5" t="s">
        <v>19</v>
      </c>
      <c r="J252" s="5" t="str">
        <f aca="false">ROUND(75*1,0)&amp;"%"</f>
        <v>75%</v>
      </c>
    </row>
    <row r="253" customFormat="false" ht="15" hidden="false" customHeight="false" outlineLevel="0" collapsed="false">
      <c r="A253" s="6" t="s">
        <v>2939</v>
      </c>
      <c r="B253" s="6" t="s">
        <v>418</v>
      </c>
      <c r="C253" s="6" t="s">
        <v>152</v>
      </c>
      <c r="D253" s="6" t="s">
        <v>22</v>
      </c>
      <c r="E253" s="6" t="n">
        <f aca="false">ROUND(16479*1.05,2)</f>
        <v>17302.95</v>
      </c>
      <c r="F253" s="6" t="s">
        <v>52</v>
      </c>
      <c r="G253" s="6" t="s">
        <v>24</v>
      </c>
      <c r="H253" s="6" t="n">
        <f aca="true">ROUND(RAND()*4+6,1)</f>
        <v>9.6</v>
      </c>
      <c r="I253" s="6" t="s">
        <v>25</v>
      </c>
      <c r="J253" s="6" t="str">
        <f aca="false">ROUND(90*1,0)&amp;"%"</f>
        <v>90%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2940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2941</v>
      </c>
      <c r="B258" s="5" t="s">
        <v>422</v>
      </c>
      <c r="C258" s="5" t="s">
        <v>15</v>
      </c>
      <c r="D258" s="5" t="s">
        <v>16</v>
      </c>
      <c r="E258" s="5" t="n">
        <f aca="false">ROUND(4817*1.05,2)</f>
        <v>5057.85</v>
      </c>
      <c r="F258" s="5" t="s">
        <v>17</v>
      </c>
      <c r="G258" s="5" t="s">
        <v>18</v>
      </c>
      <c r="H258" s="5" t="n">
        <f aca="true">ROUND(RAND()*4+6,1)</f>
        <v>6.9</v>
      </c>
      <c r="I258" s="5" t="s">
        <v>19</v>
      </c>
      <c r="J258" s="5" t="str">
        <f aca="false">ROUND(92*1,0)&amp;"%"</f>
        <v>92%</v>
      </c>
    </row>
    <row r="259" customFormat="false" ht="15" hidden="false" customHeight="false" outlineLevel="0" collapsed="false">
      <c r="A259" s="6" t="s">
        <v>2942</v>
      </c>
      <c r="B259" s="6" t="s">
        <v>424</v>
      </c>
      <c r="C259" s="6" t="s">
        <v>15</v>
      </c>
      <c r="D259" s="6" t="s">
        <v>22</v>
      </c>
      <c r="E259" s="6" t="n">
        <f aca="false">ROUND(11129*1.05,2)</f>
        <v>11685.45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ROUND(81*1,0)&amp;"%"</f>
        <v>81%</v>
      </c>
    </row>
    <row r="260" customFormat="false" ht="15" hidden="false" customHeight="false" outlineLevel="0" collapsed="false">
      <c r="A260" s="5" t="s">
        <v>2943</v>
      </c>
      <c r="B260" s="5" t="s">
        <v>426</v>
      </c>
      <c r="C260" s="5" t="s">
        <v>15</v>
      </c>
      <c r="D260" s="5" t="s">
        <v>28</v>
      </c>
      <c r="E260" s="5" t="n">
        <f aca="false">ROUND(10338*1.05,2)</f>
        <v>10854.9</v>
      </c>
      <c r="F260" s="5" t="s">
        <v>29</v>
      </c>
      <c r="G260" s="5" t="s">
        <v>30</v>
      </c>
      <c r="H260" s="5" t="n">
        <f aca="true">ROUND(RAND()*4+6,1)</f>
        <v>6.4</v>
      </c>
      <c r="I260" s="5" t="s">
        <v>31</v>
      </c>
      <c r="J260" s="5" t="str">
        <f aca="false">ROUND(82*1,0)&amp;"%"</f>
        <v>82%</v>
      </c>
    </row>
    <row r="261" customFormat="false" ht="15" hidden="false" customHeight="false" outlineLevel="0" collapsed="false">
      <c r="A261" s="6" t="s">
        <v>2944</v>
      </c>
      <c r="B261" s="6" t="s">
        <v>428</v>
      </c>
      <c r="C261" s="6" t="s">
        <v>15</v>
      </c>
      <c r="D261" s="6" t="s">
        <v>34</v>
      </c>
      <c r="E261" s="6" t="n">
        <f aca="false">ROUND(12381*1.05,2)</f>
        <v>13000.05</v>
      </c>
      <c r="F261" s="6" t="s">
        <v>35</v>
      </c>
      <c r="G261" s="6" t="s">
        <v>18</v>
      </c>
      <c r="H261" s="6" t="n">
        <f aca="true">ROUND(RAND()*4+6,1)</f>
        <v>7.6</v>
      </c>
      <c r="I261" s="6" t="s">
        <v>36</v>
      </c>
      <c r="J261" s="6" t="str">
        <f aca="false">ROUND(69*1,0)&amp;"%"</f>
        <v>69%</v>
      </c>
    </row>
    <row r="262" customFormat="false" ht="15" hidden="false" customHeight="false" outlineLevel="0" collapsed="false">
      <c r="A262" s="5" t="s">
        <v>2945</v>
      </c>
      <c r="B262" s="5" t="s">
        <v>430</v>
      </c>
      <c r="C262" s="5" t="s">
        <v>15</v>
      </c>
      <c r="D262" s="5" t="s">
        <v>39</v>
      </c>
      <c r="E262" s="5" t="n">
        <f aca="false">ROUND(10463*1.05,2)</f>
        <v>10986.15</v>
      </c>
      <c r="F262" s="5" t="s">
        <v>40</v>
      </c>
      <c r="G262" s="5" t="s">
        <v>24</v>
      </c>
      <c r="H262" s="5" t="n">
        <f aca="true">ROUND(RAND()*4+6,1)</f>
        <v>6</v>
      </c>
      <c r="I262" s="5" t="s">
        <v>41</v>
      </c>
      <c r="J262" s="5" t="str">
        <f aca="false">ROUND(99*1,0)&amp;"%"</f>
        <v>99%</v>
      </c>
    </row>
    <row r="263" customFormat="false" ht="15" hidden="false" customHeight="false" outlineLevel="0" collapsed="false">
      <c r="A263" s="6" t="s">
        <v>2946</v>
      </c>
      <c r="B263" s="6" t="s">
        <v>432</v>
      </c>
      <c r="C263" s="6" t="s">
        <v>15</v>
      </c>
      <c r="D263" s="6" t="s">
        <v>44</v>
      </c>
      <c r="E263" s="6" t="n">
        <f aca="false">ROUND(15201*1.05,2)</f>
        <v>15961.05</v>
      </c>
      <c r="F263" s="6" t="s">
        <v>45</v>
      </c>
      <c r="G263" s="6" t="s">
        <v>30</v>
      </c>
      <c r="H263" s="6" t="n">
        <f aca="true">ROUND(RAND()*4+6,1)</f>
        <v>8.9</v>
      </c>
      <c r="I263" s="6" t="s">
        <v>46</v>
      </c>
      <c r="J263" s="6" t="str">
        <f aca="false">ROUND(66*1,0)&amp;"%"</f>
        <v>66%</v>
      </c>
    </row>
    <row r="264" customFormat="false" ht="15" hidden="false" customHeight="false" outlineLevel="0" collapsed="false">
      <c r="A264" s="5" t="s">
        <v>2947</v>
      </c>
      <c r="B264" s="5" t="s">
        <v>434</v>
      </c>
      <c r="C264" s="5" t="s">
        <v>15</v>
      </c>
      <c r="D264" s="5" t="s">
        <v>16</v>
      </c>
      <c r="E264" s="5" t="n">
        <f aca="false">ROUND(9723*1.05,2)</f>
        <v>10209.15</v>
      </c>
      <c r="F264" s="5" t="s">
        <v>49</v>
      </c>
      <c r="G264" s="5" t="s">
        <v>18</v>
      </c>
      <c r="H264" s="5" t="n">
        <f aca="true">ROUND(RAND()*4+6,1)</f>
        <v>7.1</v>
      </c>
      <c r="I264" s="5" t="s">
        <v>19</v>
      </c>
      <c r="J264" s="5" t="str">
        <f aca="false">ROUND(96*1,0)&amp;"%"</f>
        <v>96%</v>
      </c>
    </row>
    <row r="265" customFormat="false" ht="15" hidden="false" customHeight="false" outlineLevel="0" collapsed="false">
      <c r="A265" s="6" t="s">
        <v>2948</v>
      </c>
      <c r="B265" s="6" t="s">
        <v>436</v>
      </c>
      <c r="C265" s="6" t="s">
        <v>15</v>
      </c>
      <c r="D265" s="6" t="s">
        <v>22</v>
      </c>
      <c r="E265" s="6" t="n">
        <f aca="false">ROUND(17929*1.05,2)</f>
        <v>18825.45</v>
      </c>
      <c r="F265" s="6" t="s">
        <v>52</v>
      </c>
      <c r="G265" s="6" t="s">
        <v>24</v>
      </c>
      <c r="H265" s="6" t="n">
        <f aca="true">ROUND(RAND()*4+6,1)</f>
        <v>6.2</v>
      </c>
      <c r="I265" s="6" t="s">
        <v>25</v>
      </c>
      <c r="J265" s="6" t="str">
        <f aca="false">ROUND(87*1,0)&amp;"%"</f>
        <v>87%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2949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2950</v>
      </c>
      <c r="B270" s="5" t="s">
        <v>440</v>
      </c>
      <c r="C270" s="5" t="s">
        <v>57</v>
      </c>
      <c r="D270" s="5" t="s">
        <v>16</v>
      </c>
      <c r="E270" s="5" t="n">
        <f aca="false">ROUND(8311*1.05,2)</f>
        <v>8726.55</v>
      </c>
      <c r="F270" s="5" t="s">
        <v>17</v>
      </c>
      <c r="G270" s="5" t="s">
        <v>18</v>
      </c>
      <c r="H270" s="5" t="n">
        <f aca="true">ROUND(RAND()*4+6,1)</f>
        <v>9.5</v>
      </c>
      <c r="I270" s="5" t="s">
        <v>19</v>
      </c>
      <c r="J270" s="5" t="str">
        <f aca="false">ROUND(89*1,0)&amp;"%"</f>
        <v>89%</v>
      </c>
    </row>
    <row r="271" customFormat="false" ht="15" hidden="false" customHeight="false" outlineLevel="0" collapsed="false">
      <c r="A271" s="6" t="s">
        <v>2951</v>
      </c>
      <c r="B271" s="6" t="s">
        <v>442</v>
      </c>
      <c r="C271" s="6" t="s">
        <v>57</v>
      </c>
      <c r="D271" s="6" t="s">
        <v>22</v>
      </c>
      <c r="E271" s="6" t="n">
        <f aca="false">ROUND(7794*1.05,2)</f>
        <v>8183.7</v>
      </c>
      <c r="F271" s="6" t="s">
        <v>23</v>
      </c>
      <c r="G271" s="6" t="s">
        <v>24</v>
      </c>
      <c r="H271" s="6" t="n">
        <f aca="true">ROUND(RAND()*4+6,1)</f>
        <v>9.5</v>
      </c>
      <c r="I271" s="6" t="s">
        <v>25</v>
      </c>
      <c r="J271" s="6" t="str">
        <f aca="false">ROUND(69*1,0)&amp;"%"</f>
        <v>69%</v>
      </c>
    </row>
    <row r="272" customFormat="false" ht="15" hidden="false" customHeight="false" outlineLevel="0" collapsed="false">
      <c r="A272" s="5" t="s">
        <v>2952</v>
      </c>
      <c r="B272" s="5" t="s">
        <v>444</v>
      </c>
      <c r="C272" s="5" t="s">
        <v>57</v>
      </c>
      <c r="D272" s="5" t="s">
        <v>28</v>
      </c>
      <c r="E272" s="5" t="n">
        <f aca="false">ROUND(9289*1.05,2)</f>
        <v>9753.45</v>
      </c>
      <c r="F272" s="5" t="s">
        <v>29</v>
      </c>
      <c r="G272" s="5" t="s">
        <v>30</v>
      </c>
      <c r="H272" s="5" t="n">
        <f aca="true">ROUND(RAND()*4+6,1)</f>
        <v>8.3</v>
      </c>
      <c r="I272" s="5" t="s">
        <v>31</v>
      </c>
      <c r="J272" s="5" t="str">
        <f aca="false">ROUND(67*1,0)&amp;"%"</f>
        <v>67%</v>
      </c>
    </row>
    <row r="273" customFormat="false" ht="15" hidden="false" customHeight="false" outlineLevel="0" collapsed="false">
      <c r="A273" s="6" t="s">
        <v>2953</v>
      </c>
      <c r="B273" s="6" t="s">
        <v>446</v>
      </c>
      <c r="C273" s="6" t="s">
        <v>57</v>
      </c>
      <c r="D273" s="6" t="s">
        <v>34</v>
      </c>
      <c r="E273" s="6" t="n">
        <f aca="false">ROUND(6200*1.05,2)</f>
        <v>6510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2954</v>
      </c>
      <c r="B274" s="5" t="s">
        <v>448</v>
      </c>
      <c r="C274" s="5" t="s">
        <v>57</v>
      </c>
      <c r="D274" s="5" t="s">
        <v>39</v>
      </c>
      <c r="E274" s="5" t="n">
        <f aca="false">ROUND(14881*1.05,2)</f>
        <v>15625.05</v>
      </c>
      <c r="F274" s="5" t="s">
        <v>40</v>
      </c>
      <c r="G274" s="5" t="s">
        <v>24</v>
      </c>
      <c r="H274" s="5" t="n">
        <f aca="true">ROUND(RAND()*4+6,1)</f>
        <v>6.3</v>
      </c>
      <c r="I274" s="5" t="s">
        <v>41</v>
      </c>
      <c r="J274" s="5" t="str">
        <f aca="false">ROUND(67*1,0)&amp;"%"</f>
        <v>67%</v>
      </c>
    </row>
    <row r="275" customFormat="false" ht="15" hidden="false" customHeight="false" outlineLevel="0" collapsed="false">
      <c r="A275" s="6" t="s">
        <v>2955</v>
      </c>
      <c r="B275" s="6" t="s">
        <v>450</v>
      </c>
      <c r="C275" s="6" t="s">
        <v>57</v>
      </c>
      <c r="D275" s="6" t="s">
        <v>44</v>
      </c>
      <c r="E275" s="6" t="n">
        <f aca="false">ROUND(10915*1.05,2)</f>
        <v>11460.75</v>
      </c>
      <c r="F275" s="6" t="s">
        <v>45</v>
      </c>
      <c r="G275" s="6" t="s">
        <v>30</v>
      </c>
      <c r="H275" s="6" t="n">
        <f aca="true">ROUND(RAND()*4+6,1)</f>
        <v>9.2</v>
      </c>
      <c r="I275" s="6" t="s">
        <v>46</v>
      </c>
      <c r="J275" s="6" t="str">
        <f aca="false">ROUND(85*1,0)&amp;"%"</f>
        <v>85%</v>
      </c>
    </row>
    <row r="276" customFormat="false" ht="15" hidden="false" customHeight="false" outlineLevel="0" collapsed="false">
      <c r="A276" s="5" t="s">
        <v>2956</v>
      </c>
      <c r="B276" s="5" t="s">
        <v>452</v>
      </c>
      <c r="C276" s="5" t="s">
        <v>57</v>
      </c>
      <c r="D276" s="5" t="s">
        <v>16</v>
      </c>
      <c r="E276" s="5" t="n">
        <f aca="false">ROUND(12358*1.05,2)</f>
        <v>12975.9</v>
      </c>
      <c r="F276" s="5" t="s">
        <v>49</v>
      </c>
      <c r="G276" s="5" t="s">
        <v>18</v>
      </c>
      <c r="H276" s="5" t="n">
        <f aca="true">ROUND(RAND()*4+6,1)</f>
        <v>8.7</v>
      </c>
      <c r="I276" s="5" t="s">
        <v>19</v>
      </c>
      <c r="J276" s="5" t="str">
        <f aca="false">ROUND(74*1,0)&amp;"%"</f>
        <v>74%</v>
      </c>
    </row>
    <row r="277" customFormat="false" ht="15" hidden="false" customHeight="false" outlineLevel="0" collapsed="false">
      <c r="A277" s="6" t="s">
        <v>2957</v>
      </c>
      <c r="B277" s="6" t="s">
        <v>454</v>
      </c>
      <c r="C277" s="6" t="s">
        <v>57</v>
      </c>
      <c r="D277" s="6" t="s">
        <v>22</v>
      </c>
      <c r="E277" s="6" t="n">
        <f aca="false">ROUND(9935*1.05,2)</f>
        <v>10431.75</v>
      </c>
      <c r="F277" s="6" t="s">
        <v>52</v>
      </c>
      <c r="G277" s="6" t="s">
        <v>24</v>
      </c>
      <c r="H277" s="6" t="n">
        <f aca="true">ROUND(RAND()*4+6,1)</f>
        <v>9.7</v>
      </c>
      <c r="I277" s="6" t="s">
        <v>25</v>
      </c>
      <c r="J277" s="6" t="str">
        <f aca="false">ROUND(97*1,0)&amp;"%"</f>
        <v>97%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2958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2959</v>
      </c>
      <c r="B282" s="5" t="s">
        <v>458</v>
      </c>
      <c r="C282" s="5" t="s">
        <v>76</v>
      </c>
      <c r="D282" s="5" t="s">
        <v>16</v>
      </c>
      <c r="E282" s="5" t="n">
        <f aca="false">ROUND(12145*1.05,2)</f>
        <v>12752.25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ROUND(73*1,0)&amp;"%"</f>
        <v>73%</v>
      </c>
    </row>
    <row r="283" customFormat="false" ht="15" hidden="false" customHeight="false" outlineLevel="0" collapsed="false">
      <c r="A283" s="6" t="s">
        <v>2960</v>
      </c>
      <c r="B283" s="6" t="s">
        <v>460</v>
      </c>
      <c r="C283" s="6" t="s">
        <v>76</v>
      </c>
      <c r="D283" s="6" t="s">
        <v>22</v>
      </c>
      <c r="E283" s="6" t="n">
        <f aca="false">ROUND(13802*1.05,2)</f>
        <v>14492.1</v>
      </c>
      <c r="F283" s="6" t="s">
        <v>23</v>
      </c>
      <c r="G283" s="6" t="s">
        <v>24</v>
      </c>
      <c r="H283" s="6" t="n">
        <f aca="true">ROUND(RAND()*4+6,1)</f>
        <v>7.2</v>
      </c>
      <c r="I283" s="6" t="s">
        <v>25</v>
      </c>
      <c r="J283" s="6" t="str">
        <f aca="false">ROUND(98*1,0)&amp;"%"</f>
        <v>98%</v>
      </c>
    </row>
    <row r="284" customFormat="false" ht="15" hidden="false" customHeight="false" outlineLevel="0" collapsed="false">
      <c r="A284" s="5" t="s">
        <v>2961</v>
      </c>
      <c r="B284" s="5" t="s">
        <v>462</v>
      </c>
      <c r="C284" s="5" t="s">
        <v>76</v>
      </c>
      <c r="D284" s="5" t="s">
        <v>28</v>
      </c>
      <c r="E284" s="5" t="n">
        <f aca="false">ROUND(8037*1.05,2)</f>
        <v>8438.85</v>
      </c>
      <c r="F284" s="5" t="s">
        <v>29</v>
      </c>
      <c r="G284" s="5" t="s">
        <v>30</v>
      </c>
      <c r="H284" s="5" t="n">
        <f aca="true">ROUND(RAND()*4+6,1)</f>
        <v>8.9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2962</v>
      </c>
      <c r="B285" s="6" t="s">
        <v>464</v>
      </c>
      <c r="C285" s="6" t="s">
        <v>76</v>
      </c>
      <c r="D285" s="6" t="s">
        <v>34</v>
      </c>
      <c r="E285" s="6" t="n">
        <f aca="false">ROUND(5293*1.05,2)</f>
        <v>5557.65</v>
      </c>
      <c r="F285" s="6" t="s">
        <v>35</v>
      </c>
      <c r="G285" s="6" t="s">
        <v>18</v>
      </c>
      <c r="H285" s="6" t="n">
        <f aca="true">ROUND(RAND()*4+6,1)</f>
        <v>10</v>
      </c>
      <c r="I285" s="6" t="s">
        <v>36</v>
      </c>
      <c r="J285" s="6" t="str">
        <f aca="false">ROUND(87*1,0)&amp;"%"</f>
        <v>87%</v>
      </c>
    </row>
    <row r="286" customFormat="false" ht="15" hidden="false" customHeight="false" outlineLevel="0" collapsed="false">
      <c r="A286" s="5" t="s">
        <v>2963</v>
      </c>
      <c r="B286" s="5" t="s">
        <v>466</v>
      </c>
      <c r="C286" s="5" t="s">
        <v>76</v>
      </c>
      <c r="D286" s="5" t="s">
        <v>39</v>
      </c>
      <c r="E286" s="5" t="n">
        <f aca="false">ROUND(13542*1.05,2)</f>
        <v>14219.1</v>
      </c>
      <c r="F286" s="5" t="s">
        <v>40</v>
      </c>
      <c r="G286" s="5" t="s">
        <v>24</v>
      </c>
      <c r="H286" s="5" t="n">
        <f aca="true">ROUND(RAND()*4+6,1)</f>
        <v>9.1</v>
      </c>
      <c r="I286" s="5" t="s">
        <v>41</v>
      </c>
      <c r="J286" s="5" t="str">
        <f aca="false">ROUND(83*1,0)&amp;"%"</f>
        <v>83%</v>
      </c>
    </row>
    <row r="287" customFormat="false" ht="15" hidden="false" customHeight="false" outlineLevel="0" collapsed="false">
      <c r="A287" s="6" t="s">
        <v>2964</v>
      </c>
      <c r="B287" s="6" t="s">
        <v>468</v>
      </c>
      <c r="C287" s="6" t="s">
        <v>76</v>
      </c>
      <c r="D287" s="6" t="s">
        <v>44</v>
      </c>
      <c r="E287" s="6" t="n">
        <f aca="false">ROUND(5944*1.05,2)</f>
        <v>6241.2</v>
      </c>
      <c r="F287" s="6" t="s">
        <v>45</v>
      </c>
      <c r="G287" s="6" t="s">
        <v>30</v>
      </c>
      <c r="H287" s="6" t="n">
        <f aca="true">ROUND(RAND()*4+6,1)</f>
        <v>8.9</v>
      </c>
      <c r="I287" s="6" t="s">
        <v>46</v>
      </c>
      <c r="J287" s="6" t="str">
        <f aca="false">ROUND(69*1,0)&amp;"%"</f>
        <v>69%</v>
      </c>
    </row>
    <row r="288" customFormat="false" ht="15" hidden="false" customHeight="false" outlineLevel="0" collapsed="false">
      <c r="A288" s="5" t="s">
        <v>2965</v>
      </c>
      <c r="B288" s="5" t="s">
        <v>470</v>
      </c>
      <c r="C288" s="5" t="s">
        <v>76</v>
      </c>
      <c r="D288" s="5" t="s">
        <v>16</v>
      </c>
      <c r="E288" s="5" t="n">
        <f aca="false">ROUND(14742*1.05,2)</f>
        <v>15479.1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ROUND(70*1,0)&amp;"%"</f>
        <v>70%</v>
      </c>
    </row>
    <row r="289" customFormat="false" ht="15" hidden="false" customHeight="false" outlineLevel="0" collapsed="false">
      <c r="A289" s="6" t="s">
        <v>2966</v>
      </c>
      <c r="B289" s="6" t="s">
        <v>472</v>
      </c>
      <c r="C289" s="6" t="s">
        <v>76</v>
      </c>
      <c r="D289" s="6" t="s">
        <v>22</v>
      </c>
      <c r="E289" s="6" t="n">
        <f aca="false">ROUND(14985*1.05,2)</f>
        <v>15734.25</v>
      </c>
      <c r="F289" s="6" t="s">
        <v>52</v>
      </c>
      <c r="G289" s="6" t="s">
        <v>24</v>
      </c>
      <c r="H289" s="6" t="n">
        <f aca="true">ROUND(RAND()*4+6,1)</f>
        <v>6.1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2967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2968</v>
      </c>
      <c r="B294" s="5" t="s">
        <v>476</v>
      </c>
      <c r="C294" s="5" t="s">
        <v>95</v>
      </c>
      <c r="D294" s="5" t="s">
        <v>16</v>
      </c>
      <c r="E294" s="5" t="n">
        <f aca="false">ROUND(4830*1.05,2)</f>
        <v>5071.5</v>
      </c>
      <c r="F294" s="5" t="s">
        <v>17</v>
      </c>
      <c r="G294" s="5" t="s">
        <v>18</v>
      </c>
      <c r="H294" s="5" t="n">
        <f aca="true">ROUND(RAND()*4+6,1)</f>
        <v>7.6</v>
      </c>
      <c r="I294" s="5" t="s">
        <v>19</v>
      </c>
      <c r="J294" s="5" t="str">
        <f aca="false">ROUND(75*1,0)&amp;"%"</f>
        <v>75%</v>
      </c>
    </row>
    <row r="295" customFormat="false" ht="15" hidden="false" customHeight="false" outlineLevel="0" collapsed="false">
      <c r="A295" s="6" t="s">
        <v>2969</v>
      </c>
      <c r="B295" s="6" t="s">
        <v>478</v>
      </c>
      <c r="C295" s="6" t="s">
        <v>95</v>
      </c>
      <c r="D295" s="6" t="s">
        <v>22</v>
      </c>
      <c r="E295" s="6" t="n">
        <f aca="false">ROUND(15975*1.05,2)</f>
        <v>16773.75</v>
      </c>
      <c r="F295" s="6" t="s">
        <v>23</v>
      </c>
      <c r="G295" s="6" t="s">
        <v>24</v>
      </c>
      <c r="H295" s="6" t="n">
        <f aca="true">ROUND(RAND()*4+6,1)</f>
        <v>6.8</v>
      </c>
      <c r="I295" s="6" t="s">
        <v>25</v>
      </c>
      <c r="J295" s="6" t="str">
        <f aca="false">ROUND(95*1,0)&amp;"%"</f>
        <v>95%</v>
      </c>
    </row>
    <row r="296" customFormat="false" ht="15" hidden="false" customHeight="false" outlineLevel="0" collapsed="false">
      <c r="A296" s="5" t="s">
        <v>2970</v>
      </c>
      <c r="B296" s="5" t="s">
        <v>480</v>
      </c>
      <c r="C296" s="5" t="s">
        <v>95</v>
      </c>
      <c r="D296" s="5" t="s">
        <v>28</v>
      </c>
      <c r="E296" s="5" t="n">
        <f aca="false">ROUND(15616*1.05,2)</f>
        <v>16396.8</v>
      </c>
      <c r="F296" s="5" t="s">
        <v>29</v>
      </c>
      <c r="G296" s="5" t="s">
        <v>30</v>
      </c>
      <c r="H296" s="5" t="n">
        <f aca="true">ROUND(RAND()*4+6,1)</f>
        <v>10</v>
      </c>
      <c r="I296" s="5" t="s">
        <v>31</v>
      </c>
      <c r="J296" s="5" t="str">
        <f aca="false">ROUND(78*1,0)&amp;"%"</f>
        <v>78%</v>
      </c>
    </row>
    <row r="297" customFormat="false" ht="15" hidden="false" customHeight="false" outlineLevel="0" collapsed="false">
      <c r="A297" s="6" t="s">
        <v>2971</v>
      </c>
      <c r="B297" s="6" t="s">
        <v>482</v>
      </c>
      <c r="C297" s="6" t="s">
        <v>95</v>
      </c>
      <c r="D297" s="6" t="s">
        <v>34</v>
      </c>
      <c r="E297" s="6" t="n">
        <f aca="false">ROUND(16460*1.05,2)</f>
        <v>17283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ROUND(83*1,0)&amp;"%"</f>
        <v>83%</v>
      </c>
    </row>
    <row r="298" customFormat="false" ht="15" hidden="false" customHeight="false" outlineLevel="0" collapsed="false">
      <c r="A298" s="5" t="s">
        <v>2972</v>
      </c>
      <c r="B298" s="5" t="s">
        <v>484</v>
      </c>
      <c r="C298" s="5" t="s">
        <v>95</v>
      </c>
      <c r="D298" s="5" t="s">
        <v>39</v>
      </c>
      <c r="E298" s="5" t="n">
        <f aca="false">ROUND(15052*1.05,2)</f>
        <v>15804.6</v>
      </c>
      <c r="F298" s="5" t="s">
        <v>40</v>
      </c>
      <c r="G298" s="5" t="s">
        <v>24</v>
      </c>
      <c r="H298" s="5" t="n">
        <f aca="true">ROUND(RAND()*4+6,1)</f>
        <v>6.8</v>
      </c>
      <c r="I298" s="5" t="s">
        <v>41</v>
      </c>
      <c r="J298" s="5" t="str">
        <f aca="false">ROUND(67*1,0)&amp;"%"</f>
        <v>67%</v>
      </c>
    </row>
    <row r="299" customFormat="false" ht="15" hidden="false" customHeight="false" outlineLevel="0" collapsed="false">
      <c r="A299" s="6" t="s">
        <v>2973</v>
      </c>
      <c r="B299" s="6" t="s">
        <v>486</v>
      </c>
      <c r="C299" s="6" t="s">
        <v>95</v>
      </c>
      <c r="D299" s="6" t="s">
        <v>44</v>
      </c>
      <c r="E299" s="6" t="n">
        <f aca="false">ROUND(13241*1.05,2)</f>
        <v>13903.05</v>
      </c>
      <c r="F299" s="6" t="s">
        <v>45</v>
      </c>
      <c r="G299" s="6" t="s">
        <v>30</v>
      </c>
      <c r="H299" s="6" t="n">
        <f aca="true">ROUND(RAND()*4+6,1)</f>
        <v>9.4</v>
      </c>
      <c r="I299" s="6" t="s">
        <v>46</v>
      </c>
      <c r="J299" s="6" t="str">
        <f aca="false">ROUND(74*1,0)&amp;"%"</f>
        <v>74%</v>
      </c>
    </row>
    <row r="300" customFormat="false" ht="15" hidden="false" customHeight="false" outlineLevel="0" collapsed="false">
      <c r="A300" s="5" t="s">
        <v>2974</v>
      </c>
      <c r="B300" s="5" t="s">
        <v>488</v>
      </c>
      <c r="C300" s="5" t="s">
        <v>95</v>
      </c>
      <c r="D300" s="5" t="s">
        <v>16</v>
      </c>
      <c r="E300" s="5" t="n">
        <f aca="false">ROUND(9455*1.05,2)</f>
        <v>9927.75</v>
      </c>
      <c r="F300" s="5" t="s">
        <v>49</v>
      </c>
      <c r="G300" s="5" t="s">
        <v>18</v>
      </c>
      <c r="H300" s="5" t="n">
        <f aca="true">ROUND(RAND()*4+6,1)</f>
        <v>8.3</v>
      </c>
      <c r="I300" s="5" t="s">
        <v>19</v>
      </c>
      <c r="J300" s="5" t="str">
        <f aca="false">ROUND(89*1,0)&amp;"%"</f>
        <v>89%</v>
      </c>
    </row>
    <row r="301" customFormat="false" ht="15" hidden="false" customHeight="false" outlineLevel="0" collapsed="false">
      <c r="A301" s="6" t="s">
        <v>2975</v>
      </c>
      <c r="B301" s="6" t="s">
        <v>490</v>
      </c>
      <c r="C301" s="6" t="s">
        <v>95</v>
      </c>
      <c r="D301" s="6" t="s">
        <v>22</v>
      </c>
      <c r="E301" s="6" t="n">
        <f aca="false">ROUND(6751*1.05,2)</f>
        <v>7088.55</v>
      </c>
      <c r="F301" s="6" t="s">
        <v>52</v>
      </c>
      <c r="G301" s="6" t="s">
        <v>24</v>
      </c>
      <c r="H301" s="6" t="n">
        <f aca="true">ROUND(RAND()*4+6,1)</f>
        <v>9.5</v>
      </c>
      <c r="I301" s="6" t="s">
        <v>25</v>
      </c>
      <c r="J301" s="6" t="str">
        <f aca="false">ROUND(64*1,0)&amp;"%"</f>
        <v>64%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2976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2977</v>
      </c>
      <c r="B306" s="5" t="s">
        <v>494</v>
      </c>
      <c r="C306" s="5" t="s">
        <v>114</v>
      </c>
      <c r="D306" s="5" t="s">
        <v>16</v>
      </c>
      <c r="E306" s="5" t="n">
        <f aca="false">ROUND(12904*1.05,2)</f>
        <v>13549.2</v>
      </c>
      <c r="F306" s="5" t="s">
        <v>17</v>
      </c>
      <c r="G306" s="5" t="s">
        <v>18</v>
      </c>
      <c r="H306" s="5" t="n">
        <f aca="true">ROUND(RAND()*4+6,1)</f>
        <v>8.8</v>
      </c>
      <c r="I306" s="5" t="s">
        <v>19</v>
      </c>
      <c r="J306" s="5" t="str">
        <f aca="false">ROUND(91*1,0)&amp;"%"</f>
        <v>91%</v>
      </c>
    </row>
    <row r="307" customFormat="false" ht="15" hidden="false" customHeight="false" outlineLevel="0" collapsed="false">
      <c r="A307" s="6" t="s">
        <v>2978</v>
      </c>
      <c r="B307" s="6" t="s">
        <v>496</v>
      </c>
      <c r="C307" s="6" t="s">
        <v>114</v>
      </c>
      <c r="D307" s="6" t="s">
        <v>22</v>
      </c>
      <c r="E307" s="6" t="n">
        <f aca="false">ROUND(14054*1.05,2)</f>
        <v>14756.7</v>
      </c>
      <c r="F307" s="6" t="s">
        <v>23</v>
      </c>
      <c r="G307" s="6" t="s">
        <v>24</v>
      </c>
      <c r="H307" s="6" t="n">
        <f aca="true">ROUND(RAND()*4+6,1)</f>
        <v>7.7</v>
      </c>
      <c r="I307" s="6" t="s">
        <v>25</v>
      </c>
      <c r="J307" s="6" t="str">
        <f aca="false">ROUND(96*1,0)&amp;"%"</f>
        <v>96%</v>
      </c>
    </row>
    <row r="308" customFormat="false" ht="15" hidden="false" customHeight="false" outlineLevel="0" collapsed="false">
      <c r="A308" s="5" t="s">
        <v>2979</v>
      </c>
      <c r="B308" s="5" t="s">
        <v>498</v>
      </c>
      <c r="C308" s="5" t="s">
        <v>114</v>
      </c>
      <c r="D308" s="5" t="s">
        <v>28</v>
      </c>
      <c r="E308" s="5" t="n">
        <f aca="false">ROUND(6004*1.05,2)</f>
        <v>6304.2</v>
      </c>
      <c r="F308" s="5" t="s">
        <v>29</v>
      </c>
      <c r="G308" s="5" t="s">
        <v>30</v>
      </c>
      <c r="H308" s="5" t="n">
        <f aca="true">ROUND(RAND()*4+6,1)</f>
        <v>8.3</v>
      </c>
      <c r="I308" s="5" t="s">
        <v>31</v>
      </c>
      <c r="J308" s="5" t="str">
        <f aca="false">ROUND(83*1,0)&amp;"%"</f>
        <v>83%</v>
      </c>
    </row>
    <row r="309" customFormat="false" ht="15" hidden="false" customHeight="false" outlineLevel="0" collapsed="false">
      <c r="A309" s="6" t="s">
        <v>2980</v>
      </c>
      <c r="B309" s="6" t="s">
        <v>500</v>
      </c>
      <c r="C309" s="6" t="s">
        <v>114</v>
      </c>
      <c r="D309" s="6" t="s">
        <v>34</v>
      </c>
      <c r="E309" s="6" t="n">
        <f aca="false">ROUND(15561*1.05,2)</f>
        <v>16339.05</v>
      </c>
      <c r="F309" s="6" t="s">
        <v>35</v>
      </c>
      <c r="G309" s="6" t="s">
        <v>18</v>
      </c>
      <c r="H309" s="6" t="n">
        <f aca="true">ROUND(RAND()*4+6,1)</f>
        <v>8.8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2981</v>
      </c>
      <c r="B310" s="5" t="s">
        <v>502</v>
      </c>
      <c r="C310" s="5" t="s">
        <v>114</v>
      </c>
      <c r="D310" s="5" t="s">
        <v>39</v>
      </c>
      <c r="E310" s="5" t="n">
        <f aca="false">ROUND(6195*1.05,2)</f>
        <v>6504.75</v>
      </c>
      <c r="F310" s="5" t="s">
        <v>40</v>
      </c>
      <c r="G310" s="5" t="s">
        <v>24</v>
      </c>
      <c r="H310" s="5" t="n">
        <f aca="true">ROUND(RAND()*4+6,1)</f>
        <v>8.4</v>
      </c>
      <c r="I310" s="5" t="s">
        <v>41</v>
      </c>
      <c r="J310" s="5" t="str">
        <f aca="false">ROUND(95*1,0)&amp;"%"</f>
        <v>95%</v>
      </c>
    </row>
    <row r="311" customFormat="false" ht="15" hidden="false" customHeight="false" outlineLevel="0" collapsed="false">
      <c r="A311" s="6" t="s">
        <v>2982</v>
      </c>
      <c r="B311" s="6" t="s">
        <v>504</v>
      </c>
      <c r="C311" s="6" t="s">
        <v>114</v>
      </c>
      <c r="D311" s="6" t="s">
        <v>44</v>
      </c>
      <c r="E311" s="6" t="n">
        <f aca="false">ROUND(5325*1.05,2)</f>
        <v>5591.25</v>
      </c>
      <c r="F311" s="6" t="s">
        <v>45</v>
      </c>
      <c r="G311" s="6" t="s">
        <v>30</v>
      </c>
      <c r="H311" s="6" t="n">
        <f aca="true">ROUND(RAND()*4+6,1)</f>
        <v>8.8</v>
      </c>
      <c r="I311" s="6" t="s">
        <v>46</v>
      </c>
      <c r="J311" s="6" t="str">
        <f aca="false">ROUND(82*1,0)&amp;"%"</f>
        <v>82%</v>
      </c>
    </row>
    <row r="312" customFormat="false" ht="15" hidden="false" customHeight="false" outlineLevel="0" collapsed="false">
      <c r="A312" s="5" t="s">
        <v>2983</v>
      </c>
      <c r="B312" s="5" t="s">
        <v>506</v>
      </c>
      <c r="C312" s="5" t="s">
        <v>114</v>
      </c>
      <c r="D312" s="5" t="s">
        <v>16</v>
      </c>
      <c r="E312" s="5" t="n">
        <f aca="false">ROUND(15850*1.05,2)</f>
        <v>16642.5</v>
      </c>
      <c r="F312" s="5" t="s">
        <v>49</v>
      </c>
      <c r="G312" s="5" t="s">
        <v>18</v>
      </c>
      <c r="H312" s="5" t="n">
        <f aca="true">ROUND(RAND()*4+6,1)</f>
        <v>6.7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2984</v>
      </c>
      <c r="B313" s="6" t="s">
        <v>508</v>
      </c>
      <c r="C313" s="6" t="s">
        <v>114</v>
      </c>
      <c r="D313" s="6" t="s">
        <v>22</v>
      </c>
      <c r="E313" s="6" t="n">
        <f aca="false">ROUND(8707*1.05,2)</f>
        <v>9142.35</v>
      </c>
      <c r="F313" s="6" t="s">
        <v>52</v>
      </c>
      <c r="G313" s="6" t="s">
        <v>24</v>
      </c>
      <c r="H313" s="6" t="n">
        <f aca="true">ROUND(RAND()*4+6,1)</f>
        <v>6</v>
      </c>
      <c r="I313" s="6" t="s">
        <v>25</v>
      </c>
      <c r="J313" s="6" t="str">
        <f aca="false">ROUND(95*1,0)&amp;"%"</f>
        <v>95%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2985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2986</v>
      </c>
      <c r="B318" s="5" t="s">
        <v>512</v>
      </c>
      <c r="C318" s="5" t="s">
        <v>133</v>
      </c>
      <c r="D318" s="5" t="s">
        <v>16</v>
      </c>
      <c r="E318" s="5" t="n">
        <f aca="false">ROUND(4672*1.05,2)</f>
        <v>4905.6</v>
      </c>
      <c r="F318" s="5" t="s">
        <v>17</v>
      </c>
      <c r="G318" s="5" t="s">
        <v>18</v>
      </c>
      <c r="H318" s="5" t="n">
        <f aca="true">ROUND(RAND()*4+6,1)</f>
        <v>6.1</v>
      </c>
      <c r="I318" s="5" t="s">
        <v>19</v>
      </c>
      <c r="J318" s="5" t="str">
        <f aca="false">ROUND(96*1,0)&amp;"%"</f>
        <v>96%</v>
      </c>
    </row>
    <row r="319" customFormat="false" ht="15" hidden="false" customHeight="false" outlineLevel="0" collapsed="false">
      <c r="A319" s="6" t="s">
        <v>2987</v>
      </c>
      <c r="B319" s="6" t="s">
        <v>514</v>
      </c>
      <c r="C319" s="6" t="s">
        <v>133</v>
      </c>
      <c r="D319" s="6" t="s">
        <v>22</v>
      </c>
      <c r="E319" s="6" t="n">
        <f aca="false">ROUND(8915*1.05,2)</f>
        <v>9360.75</v>
      </c>
      <c r="F319" s="6" t="s">
        <v>23</v>
      </c>
      <c r="G319" s="6" t="s">
        <v>24</v>
      </c>
      <c r="H319" s="6" t="n">
        <f aca="true">ROUND(RAND()*4+6,1)</f>
        <v>9.7</v>
      </c>
      <c r="I319" s="6" t="s">
        <v>25</v>
      </c>
      <c r="J319" s="6" t="str">
        <f aca="false">ROUND(77*1,0)&amp;"%"</f>
        <v>77%</v>
      </c>
    </row>
    <row r="320" customFormat="false" ht="15" hidden="false" customHeight="false" outlineLevel="0" collapsed="false">
      <c r="A320" s="5" t="s">
        <v>2988</v>
      </c>
      <c r="B320" s="5" t="s">
        <v>516</v>
      </c>
      <c r="C320" s="5" t="s">
        <v>133</v>
      </c>
      <c r="D320" s="5" t="s">
        <v>28</v>
      </c>
      <c r="E320" s="5" t="n">
        <f aca="false">ROUND(15874*1.05,2)</f>
        <v>16667.7</v>
      </c>
      <c r="F320" s="5" t="s">
        <v>29</v>
      </c>
      <c r="G320" s="5" t="s">
        <v>30</v>
      </c>
      <c r="H320" s="5" t="n">
        <f aca="true">ROUND(RAND()*4+6,1)</f>
        <v>8.7</v>
      </c>
      <c r="I320" s="5" t="s">
        <v>31</v>
      </c>
      <c r="J320" s="5" t="str">
        <f aca="false">ROUND(95*1,0)&amp;"%"</f>
        <v>95%</v>
      </c>
    </row>
    <row r="321" customFormat="false" ht="15" hidden="false" customHeight="false" outlineLevel="0" collapsed="false">
      <c r="A321" s="6" t="s">
        <v>2989</v>
      </c>
      <c r="B321" s="6" t="s">
        <v>518</v>
      </c>
      <c r="C321" s="6" t="s">
        <v>133</v>
      </c>
      <c r="D321" s="6" t="s">
        <v>34</v>
      </c>
      <c r="E321" s="6" t="n">
        <f aca="false">ROUND(4338*1.05,2)</f>
        <v>4554.9</v>
      </c>
      <c r="F321" s="6" t="s">
        <v>35</v>
      </c>
      <c r="G321" s="6" t="s">
        <v>18</v>
      </c>
      <c r="H321" s="6" t="n">
        <f aca="true">ROUND(RAND()*4+6,1)</f>
        <v>7.3</v>
      </c>
      <c r="I321" s="6" t="s">
        <v>36</v>
      </c>
      <c r="J321" s="6" t="str">
        <f aca="false">ROUND(96*1,0)&amp;"%"</f>
        <v>96%</v>
      </c>
    </row>
    <row r="322" customFormat="false" ht="15" hidden="false" customHeight="false" outlineLevel="0" collapsed="false">
      <c r="A322" s="5" t="s">
        <v>2990</v>
      </c>
      <c r="B322" s="5" t="s">
        <v>520</v>
      </c>
      <c r="C322" s="5" t="s">
        <v>133</v>
      </c>
      <c r="D322" s="5" t="s">
        <v>39</v>
      </c>
      <c r="E322" s="5" t="n">
        <f aca="false">ROUND(9554*1.05,2)</f>
        <v>10031.7</v>
      </c>
      <c r="F322" s="5" t="s">
        <v>40</v>
      </c>
      <c r="G322" s="5" t="s">
        <v>24</v>
      </c>
      <c r="H322" s="5" t="n">
        <f aca="true">ROUND(RAND()*4+6,1)</f>
        <v>7.9</v>
      </c>
      <c r="I322" s="5" t="s">
        <v>41</v>
      </c>
      <c r="J322" s="5" t="str">
        <f aca="false">ROUND(87*1,0)&amp;"%"</f>
        <v>87%</v>
      </c>
    </row>
    <row r="323" customFormat="false" ht="15" hidden="false" customHeight="false" outlineLevel="0" collapsed="false">
      <c r="A323" s="6" t="s">
        <v>2991</v>
      </c>
      <c r="B323" s="6" t="s">
        <v>522</v>
      </c>
      <c r="C323" s="6" t="s">
        <v>133</v>
      </c>
      <c r="D323" s="6" t="s">
        <v>44</v>
      </c>
      <c r="E323" s="6" t="n">
        <f aca="false">ROUND(11808*1.05,2)</f>
        <v>12398.4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ROUND(76*1,0)&amp;"%"</f>
        <v>76%</v>
      </c>
    </row>
    <row r="324" customFormat="false" ht="15" hidden="false" customHeight="false" outlineLevel="0" collapsed="false">
      <c r="A324" s="5" t="s">
        <v>2992</v>
      </c>
      <c r="B324" s="5" t="s">
        <v>524</v>
      </c>
      <c r="C324" s="5" t="s">
        <v>133</v>
      </c>
      <c r="D324" s="5" t="s">
        <v>16</v>
      </c>
      <c r="E324" s="5" t="n">
        <f aca="false">ROUND(10540*1.05,2)</f>
        <v>11067</v>
      </c>
      <c r="F324" s="5" t="s">
        <v>49</v>
      </c>
      <c r="G324" s="5" t="s">
        <v>18</v>
      </c>
      <c r="H324" s="5" t="n">
        <f aca="true">ROUND(RAND()*4+6,1)</f>
        <v>7.2</v>
      </c>
      <c r="I324" s="5" t="s">
        <v>19</v>
      </c>
      <c r="J324" s="5" t="str">
        <f aca="false">ROUND(64*1,0)&amp;"%"</f>
        <v>64%</v>
      </c>
    </row>
    <row r="325" customFormat="false" ht="15" hidden="false" customHeight="false" outlineLevel="0" collapsed="false">
      <c r="A325" s="6" t="s">
        <v>2993</v>
      </c>
      <c r="B325" s="6" t="s">
        <v>526</v>
      </c>
      <c r="C325" s="6" t="s">
        <v>133</v>
      </c>
      <c r="D325" s="6" t="s">
        <v>22</v>
      </c>
      <c r="E325" s="6" t="n">
        <f aca="false">ROUND(12652*1.05,2)</f>
        <v>13284.6</v>
      </c>
      <c r="F325" s="6" t="s">
        <v>52</v>
      </c>
      <c r="G325" s="6" t="s">
        <v>24</v>
      </c>
      <c r="H325" s="6" t="n">
        <f aca="true">ROUND(RAND()*4+6,1)</f>
        <v>8.2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2994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2995</v>
      </c>
      <c r="B330" s="5" t="s">
        <v>530</v>
      </c>
      <c r="C330" s="5" t="s">
        <v>152</v>
      </c>
      <c r="D330" s="5" t="s">
        <v>16</v>
      </c>
      <c r="E330" s="5" t="n">
        <f aca="false">ROUND(4566*1.05,2)</f>
        <v>4794.3</v>
      </c>
      <c r="F330" s="5" t="s">
        <v>17</v>
      </c>
      <c r="G330" s="5" t="s">
        <v>18</v>
      </c>
      <c r="H330" s="5" t="n">
        <f aca="true">ROUND(RAND()*4+6,1)</f>
        <v>6.8</v>
      </c>
      <c r="I330" s="5" t="s">
        <v>19</v>
      </c>
      <c r="J330" s="5" t="str">
        <f aca="false">ROUND(99*1,0)&amp;"%"</f>
        <v>99%</v>
      </c>
    </row>
    <row r="331" customFormat="false" ht="15" hidden="false" customHeight="false" outlineLevel="0" collapsed="false">
      <c r="A331" s="6" t="s">
        <v>2996</v>
      </c>
      <c r="B331" s="6" t="s">
        <v>532</v>
      </c>
      <c r="C331" s="6" t="s">
        <v>152</v>
      </c>
      <c r="D331" s="6" t="s">
        <v>22</v>
      </c>
      <c r="E331" s="6" t="n">
        <f aca="false">ROUND(9803*1.05,2)</f>
        <v>10293.15</v>
      </c>
      <c r="F331" s="6" t="s">
        <v>23</v>
      </c>
      <c r="G331" s="6" t="s">
        <v>24</v>
      </c>
      <c r="H331" s="6" t="n">
        <f aca="true">ROUND(RAND()*4+6,1)</f>
        <v>9.7</v>
      </c>
      <c r="I331" s="6" t="s">
        <v>25</v>
      </c>
      <c r="J331" s="6" t="str">
        <f aca="false">ROUND(74*1,0)&amp;"%"</f>
        <v>74%</v>
      </c>
    </row>
    <row r="332" customFormat="false" ht="15" hidden="false" customHeight="false" outlineLevel="0" collapsed="false">
      <c r="A332" s="5" t="s">
        <v>2997</v>
      </c>
      <c r="B332" s="5" t="s">
        <v>534</v>
      </c>
      <c r="C332" s="5" t="s">
        <v>152</v>
      </c>
      <c r="D332" s="5" t="s">
        <v>28</v>
      </c>
      <c r="E332" s="5" t="n">
        <f aca="false">ROUND(4645*1.05,2)</f>
        <v>4877.25</v>
      </c>
      <c r="F332" s="5" t="s">
        <v>29</v>
      </c>
      <c r="G332" s="5" t="s">
        <v>30</v>
      </c>
      <c r="H332" s="5" t="n">
        <f aca="true">ROUND(RAND()*4+6,1)</f>
        <v>6.4</v>
      </c>
      <c r="I332" s="5" t="s">
        <v>31</v>
      </c>
      <c r="J332" s="5" t="str">
        <f aca="false">ROUND(61*1,0)&amp;"%"</f>
        <v>61%</v>
      </c>
    </row>
    <row r="333" customFormat="false" ht="15" hidden="false" customHeight="false" outlineLevel="0" collapsed="false">
      <c r="A333" s="6" t="s">
        <v>2998</v>
      </c>
      <c r="B333" s="6" t="s">
        <v>536</v>
      </c>
      <c r="C333" s="6" t="s">
        <v>152</v>
      </c>
      <c r="D333" s="6" t="s">
        <v>34</v>
      </c>
      <c r="E333" s="6" t="n">
        <f aca="false">ROUND(9390*1.05,2)</f>
        <v>9859.5</v>
      </c>
      <c r="F333" s="6" t="s">
        <v>35</v>
      </c>
      <c r="G333" s="6" t="s">
        <v>18</v>
      </c>
      <c r="H333" s="6" t="n">
        <f aca="true">ROUND(RAND()*4+6,1)</f>
        <v>7.8</v>
      </c>
      <c r="I333" s="6" t="s">
        <v>36</v>
      </c>
      <c r="J333" s="6" t="str">
        <f aca="false">ROUND(71*1,0)&amp;"%"</f>
        <v>71%</v>
      </c>
    </row>
    <row r="334" customFormat="false" ht="15" hidden="false" customHeight="false" outlineLevel="0" collapsed="false">
      <c r="A334" s="5" t="s">
        <v>2999</v>
      </c>
      <c r="B334" s="5" t="s">
        <v>538</v>
      </c>
      <c r="C334" s="5" t="s">
        <v>152</v>
      </c>
      <c r="D334" s="5" t="s">
        <v>39</v>
      </c>
      <c r="E334" s="5" t="n">
        <f aca="false">ROUND(6210*1.05,2)</f>
        <v>6520.5</v>
      </c>
      <c r="F334" s="5" t="s">
        <v>40</v>
      </c>
      <c r="G334" s="5" t="s">
        <v>24</v>
      </c>
      <c r="H334" s="5" t="n">
        <f aca="true">ROUND(RAND()*4+6,1)</f>
        <v>9.3</v>
      </c>
      <c r="I334" s="5" t="s">
        <v>41</v>
      </c>
      <c r="J334" s="5" t="str">
        <f aca="false">ROUND(62*1,0)&amp;"%"</f>
        <v>62%</v>
      </c>
    </row>
    <row r="335" customFormat="false" ht="15" hidden="false" customHeight="false" outlineLevel="0" collapsed="false">
      <c r="A335" s="6" t="s">
        <v>3000</v>
      </c>
      <c r="B335" s="6" t="s">
        <v>540</v>
      </c>
      <c r="C335" s="6" t="s">
        <v>152</v>
      </c>
      <c r="D335" s="6" t="s">
        <v>44</v>
      </c>
      <c r="E335" s="6" t="n">
        <f aca="false">ROUND(14854*1.05,2)</f>
        <v>15596.7</v>
      </c>
      <c r="F335" s="6" t="s">
        <v>45</v>
      </c>
      <c r="G335" s="6" t="s">
        <v>30</v>
      </c>
      <c r="H335" s="6" t="n">
        <f aca="true">ROUND(RAND()*4+6,1)</f>
        <v>9.9</v>
      </c>
      <c r="I335" s="6" t="s">
        <v>46</v>
      </c>
      <c r="J335" s="6" t="str">
        <f aca="false">ROUND(71*1,0)&amp;"%"</f>
        <v>71%</v>
      </c>
    </row>
    <row r="336" customFormat="false" ht="15" hidden="false" customHeight="false" outlineLevel="0" collapsed="false">
      <c r="A336" s="5" t="s">
        <v>3001</v>
      </c>
      <c r="B336" s="5" t="s">
        <v>542</v>
      </c>
      <c r="C336" s="5" t="s">
        <v>152</v>
      </c>
      <c r="D336" s="5" t="s">
        <v>16</v>
      </c>
      <c r="E336" s="5" t="n">
        <f aca="false">ROUND(17844*1.05,2)</f>
        <v>18736.2</v>
      </c>
      <c r="F336" s="5" t="s">
        <v>49</v>
      </c>
      <c r="G336" s="5" t="s">
        <v>18</v>
      </c>
      <c r="H336" s="5" t="n">
        <f aca="true">ROUND(RAND()*4+6,1)</f>
        <v>7.4</v>
      </c>
      <c r="I336" s="5" t="s">
        <v>19</v>
      </c>
      <c r="J336" s="5" t="str">
        <f aca="false">ROUND(81*1,0)&amp;"%"</f>
        <v>81%</v>
      </c>
    </row>
    <row r="337" customFormat="false" ht="15" hidden="false" customHeight="false" outlineLevel="0" collapsed="false">
      <c r="A337" s="6" t="s">
        <v>3002</v>
      </c>
      <c r="B337" s="6" t="s">
        <v>544</v>
      </c>
      <c r="C337" s="6" t="s">
        <v>152</v>
      </c>
      <c r="D337" s="6" t="s">
        <v>22</v>
      </c>
      <c r="E337" s="6" t="n">
        <f aca="false">ROUND(14729*1.05,2)</f>
        <v>15465.45</v>
      </c>
      <c r="F337" s="6" t="s">
        <v>52</v>
      </c>
      <c r="G337" s="6" t="s">
        <v>24</v>
      </c>
      <c r="H337" s="6" t="n">
        <f aca="true">ROUND(RAND()*4+6,1)</f>
        <v>8.7</v>
      </c>
      <c r="I337" s="6" t="s">
        <v>25</v>
      </c>
      <c r="J337" s="6" t="str">
        <f aca="false">ROUND(96*1,0)&amp;"%"</f>
        <v>96%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3003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3004</v>
      </c>
      <c r="B342" s="5" t="s">
        <v>548</v>
      </c>
      <c r="C342" s="5" t="s">
        <v>15</v>
      </c>
      <c r="D342" s="5" t="s">
        <v>16</v>
      </c>
      <c r="E342" s="5" t="n">
        <f aca="false">ROUND(4734*1.05,2)</f>
        <v>4970.7</v>
      </c>
      <c r="F342" s="5" t="s">
        <v>17</v>
      </c>
      <c r="G342" s="5" t="s">
        <v>18</v>
      </c>
      <c r="H342" s="5" t="n">
        <f aca="true">ROUND(RAND()*4+6,1)</f>
        <v>6.7</v>
      </c>
      <c r="I342" s="5" t="s">
        <v>19</v>
      </c>
      <c r="J342" s="5" t="str">
        <f aca="false">ROUND(82*1,0)&amp;"%"</f>
        <v>82%</v>
      </c>
    </row>
    <row r="343" customFormat="false" ht="15" hidden="false" customHeight="false" outlineLevel="0" collapsed="false">
      <c r="A343" s="6" t="s">
        <v>3005</v>
      </c>
      <c r="B343" s="6" t="s">
        <v>550</v>
      </c>
      <c r="C343" s="6" t="s">
        <v>15</v>
      </c>
      <c r="D343" s="6" t="s">
        <v>22</v>
      </c>
      <c r="E343" s="6" t="n">
        <f aca="false">ROUND(13507*1.05,2)</f>
        <v>14182.35</v>
      </c>
      <c r="F343" s="6" t="s">
        <v>23</v>
      </c>
      <c r="G343" s="6" t="s">
        <v>24</v>
      </c>
      <c r="H343" s="6" t="n">
        <f aca="true">ROUND(RAND()*4+6,1)</f>
        <v>7.1</v>
      </c>
      <c r="I343" s="6" t="s">
        <v>25</v>
      </c>
      <c r="J343" s="6" t="str">
        <f aca="false">ROUND(96*1,0)&amp;"%"</f>
        <v>96%</v>
      </c>
    </row>
    <row r="344" customFormat="false" ht="15" hidden="false" customHeight="false" outlineLevel="0" collapsed="false">
      <c r="A344" s="5" t="s">
        <v>3006</v>
      </c>
      <c r="B344" s="5" t="s">
        <v>552</v>
      </c>
      <c r="C344" s="5" t="s">
        <v>15</v>
      </c>
      <c r="D344" s="5" t="s">
        <v>28</v>
      </c>
      <c r="E344" s="5" t="n">
        <f aca="false">ROUND(17336*1.05,2)</f>
        <v>18202.8</v>
      </c>
      <c r="F344" s="5" t="s">
        <v>29</v>
      </c>
      <c r="G344" s="5" t="s">
        <v>30</v>
      </c>
      <c r="H344" s="5" t="n">
        <f aca="true">ROUND(RAND()*4+6,1)</f>
        <v>6.9</v>
      </c>
      <c r="I344" s="5" t="s">
        <v>31</v>
      </c>
      <c r="J344" s="5" t="str">
        <f aca="false">ROUND(89*1,0)&amp;"%"</f>
        <v>89%</v>
      </c>
    </row>
    <row r="345" customFormat="false" ht="15" hidden="false" customHeight="false" outlineLevel="0" collapsed="false">
      <c r="A345" s="6" t="s">
        <v>3007</v>
      </c>
      <c r="B345" s="6" t="s">
        <v>554</v>
      </c>
      <c r="C345" s="6" t="s">
        <v>15</v>
      </c>
      <c r="D345" s="6" t="s">
        <v>34</v>
      </c>
      <c r="E345" s="6" t="n">
        <f aca="false">ROUND(7850*1.05,2)</f>
        <v>8242.5</v>
      </c>
      <c r="F345" s="6" t="s">
        <v>35</v>
      </c>
      <c r="G345" s="6" t="s">
        <v>18</v>
      </c>
      <c r="H345" s="6" t="n">
        <f aca="true">ROUND(RAND()*4+6,1)</f>
        <v>7.9</v>
      </c>
      <c r="I345" s="6" t="s">
        <v>36</v>
      </c>
      <c r="J345" s="6" t="str">
        <f aca="false">ROUND(96*1,0)&amp;"%"</f>
        <v>96%</v>
      </c>
    </row>
    <row r="346" customFormat="false" ht="15" hidden="false" customHeight="false" outlineLevel="0" collapsed="false">
      <c r="A346" s="5" t="s">
        <v>3008</v>
      </c>
      <c r="B346" s="5" t="s">
        <v>556</v>
      </c>
      <c r="C346" s="5" t="s">
        <v>15</v>
      </c>
      <c r="D346" s="5" t="s">
        <v>39</v>
      </c>
      <c r="E346" s="5" t="n">
        <f aca="false">ROUND(11260*1.05,2)</f>
        <v>11823</v>
      </c>
      <c r="F346" s="5" t="s">
        <v>40</v>
      </c>
      <c r="G346" s="5" t="s">
        <v>24</v>
      </c>
      <c r="H346" s="5" t="n">
        <f aca="true">ROUND(RAND()*4+6,1)</f>
        <v>9</v>
      </c>
      <c r="I346" s="5" t="s">
        <v>41</v>
      </c>
      <c r="J346" s="5" t="str">
        <f aca="false">ROUND(64*1,0)&amp;"%"</f>
        <v>64%</v>
      </c>
    </row>
    <row r="347" customFormat="false" ht="15" hidden="false" customHeight="false" outlineLevel="0" collapsed="false">
      <c r="A347" s="6" t="s">
        <v>3009</v>
      </c>
      <c r="B347" s="6" t="s">
        <v>558</v>
      </c>
      <c r="C347" s="6" t="s">
        <v>15</v>
      </c>
      <c r="D347" s="6" t="s">
        <v>44</v>
      </c>
      <c r="E347" s="6" t="n">
        <f aca="false">ROUND(14587*1.05,2)</f>
        <v>15316.35</v>
      </c>
      <c r="F347" s="6" t="s">
        <v>45</v>
      </c>
      <c r="G347" s="6" t="s">
        <v>30</v>
      </c>
      <c r="H347" s="6" t="n">
        <f aca="true">ROUND(RAND()*4+6,1)</f>
        <v>7</v>
      </c>
      <c r="I347" s="6" t="s">
        <v>46</v>
      </c>
      <c r="J347" s="6" t="str">
        <f aca="false">ROUND(76*1,0)&amp;"%"</f>
        <v>76%</v>
      </c>
    </row>
    <row r="348" customFormat="false" ht="15" hidden="false" customHeight="false" outlineLevel="0" collapsed="false">
      <c r="A348" s="5" t="s">
        <v>3010</v>
      </c>
      <c r="B348" s="5" t="s">
        <v>560</v>
      </c>
      <c r="C348" s="5" t="s">
        <v>15</v>
      </c>
      <c r="D348" s="5" t="s">
        <v>16</v>
      </c>
      <c r="E348" s="5" t="n">
        <f aca="false">ROUND(13572*1.05,2)</f>
        <v>14250.6</v>
      </c>
      <c r="F348" s="5" t="s">
        <v>49</v>
      </c>
      <c r="G348" s="5" t="s">
        <v>18</v>
      </c>
      <c r="H348" s="5" t="n">
        <f aca="true">ROUND(RAND()*4+6,1)</f>
        <v>8.4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3011</v>
      </c>
      <c r="B349" s="6" t="s">
        <v>562</v>
      </c>
      <c r="C349" s="6" t="s">
        <v>15</v>
      </c>
      <c r="D349" s="6" t="s">
        <v>22</v>
      </c>
      <c r="E349" s="6" t="n">
        <f aca="false">ROUND(17536*1.05,2)</f>
        <v>18412.8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ROUND(85*1,0)&amp;"%"</f>
        <v>85%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3012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3013</v>
      </c>
      <c r="B354" s="5" t="s">
        <v>566</v>
      </c>
      <c r="C354" s="5" t="s">
        <v>57</v>
      </c>
      <c r="D354" s="5" t="s">
        <v>16</v>
      </c>
      <c r="E354" s="5" t="n">
        <f aca="false">ROUND(5513*1.05,2)</f>
        <v>5788.65</v>
      </c>
      <c r="F354" s="5" t="s">
        <v>17</v>
      </c>
      <c r="G354" s="5" t="s">
        <v>18</v>
      </c>
      <c r="H354" s="5" t="n">
        <f aca="true">ROUND(RAND()*4+6,1)</f>
        <v>7.1</v>
      </c>
      <c r="I354" s="5" t="s">
        <v>19</v>
      </c>
      <c r="J354" s="5" t="str">
        <f aca="false">ROUND(69*1,0)&amp;"%"</f>
        <v>69%</v>
      </c>
    </row>
    <row r="355" customFormat="false" ht="15" hidden="false" customHeight="false" outlineLevel="0" collapsed="false">
      <c r="A355" s="6" t="s">
        <v>3014</v>
      </c>
      <c r="B355" s="6" t="s">
        <v>568</v>
      </c>
      <c r="C355" s="6" t="s">
        <v>57</v>
      </c>
      <c r="D355" s="6" t="s">
        <v>22</v>
      </c>
      <c r="E355" s="6" t="n">
        <f aca="false">ROUND(16900*1.05,2)</f>
        <v>17745</v>
      </c>
      <c r="F355" s="6" t="s">
        <v>23</v>
      </c>
      <c r="G355" s="6" t="s">
        <v>24</v>
      </c>
      <c r="H355" s="6" t="n">
        <f aca="true">ROUND(RAND()*4+6,1)</f>
        <v>7.3</v>
      </c>
      <c r="I355" s="6" t="s">
        <v>25</v>
      </c>
      <c r="J355" s="6" t="str">
        <f aca="false">ROUND(82*1,0)&amp;"%"</f>
        <v>82%</v>
      </c>
    </row>
    <row r="356" customFormat="false" ht="15" hidden="false" customHeight="false" outlineLevel="0" collapsed="false">
      <c r="A356" s="5" t="s">
        <v>3015</v>
      </c>
      <c r="B356" s="5" t="s">
        <v>570</v>
      </c>
      <c r="C356" s="5" t="s">
        <v>57</v>
      </c>
      <c r="D356" s="5" t="s">
        <v>28</v>
      </c>
      <c r="E356" s="5" t="n">
        <f aca="false">ROUND(9770*1.05,2)</f>
        <v>10258.5</v>
      </c>
      <c r="F356" s="5" t="s">
        <v>29</v>
      </c>
      <c r="G356" s="5" t="s">
        <v>30</v>
      </c>
      <c r="H356" s="5" t="n">
        <f aca="true">ROUND(RAND()*4+6,1)</f>
        <v>8.5</v>
      </c>
      <c r="I356" s="5" t="s">
        <v>31</v>
      </c>
      <c r="J356" s="5" t="str">
        <f aca="false">ROUND(88*1,0)&amp;"%"</f>
        <v>88%</v>
      </c>
    </row>
    <row r="357" customFormat="false" ht="15" hidden="false" customHeight="false" outlineLevel="0" collapsed="false">
      <c r="A357" s="6" t="s">
        <v>3016</v>
      </c>
      <c r="B357" s="6" t="s">
        <v>572</v>
      </c>
      <c r="C357" s="6" t="s">
        <v>57</v>
      </c>
      <c r="D357" s="6" t="s">
        <v>34</v>
      </c>
      <c r="E357" s="6" t="n">
        <f aca="false">ROUND(7060*1.05,2)</f>
        <v>7413</v>
      </c>
      <c r="F357" s="6" t="s">
        <v>35</v>
      </c>
      <c r="G357" s="6" t="s">
        <v>18</v>
      </c>
      <c r="H357" s="6" t="n">
        <f aca="true">ROUND(RAND()*4+6,1)</f>
        <v>8.1</v>
      </c>
      <c r="I357" s="6" t="s">
        <v>36</v>
      </c>
      <c r="J357" s="6" t="str">
        <f aca="false">ROUND(72*1,0)&amp;"%"</f>
        <v>72%</v>
      </c>
    </row>
    <row r="358" customFormat="false" ht="15" hidden="false" customHeight="false" outlineLevel="0" collapsed="false">
      <c r="A358" s="5" t="s">
        <v>3017</v>
      </c>
      <c r="B358" s="5" t="s">
        <v>574</v>
      </c>
      <c r="C358" s="5" t="s">
        <v>57</v>
      </c>
      <c r="D358" s="5" t="s">
        <v>39</v>
      </c>
      <c r="E358" s="5" t="n">
        <f aca="false">ROUND(17863*1.05,2)</f>
        <v>18756.15</v>
      </c>
      <c r="F358" s="5" t="s">
        <v>40</v>
      </c>
      <c r="G358" s="5" t="s">
        <v>24</v>
      </c>
      <c r="H358" s="5" t="n">
        <f aca="true">ROUND(RAND()*4+6,1)</f>
        <v>7.5</v>
      </c>
      <c r="I358" s="5" t="s">
        <v>41</v>
      </c>
      <c r="J358" s="5" t="str">
        <f aca="false">ROUND(100*1,0)&amp;"%"</f>
        <v>100%</v>
      </c>
    </row>
    <row r="359" customFormat="false" ht="15" hidden="false" customHeight="false" outlineLevel="0" collapsed="false">
      <c r="A359" s="6" t="s">
        <v>3018</v>
      </c>
      <c r="B359" s="6" t="s">
        <v>576</v>
      </c>
      <c r="C359" s="6" t="s">
        <v>57</v>
      </c>
      <c r="D359" s="6" t="s">
        <v>44</v>
      </c>
      <c r="E359" s="6" t="n">
        <f aca="false">ROUND(10463*1.05,2)</f>
        <v>10986.15</v>
      </c>
      <c r="F359" s="6" t="s">
        <v>45</v>
      </c>
      <c r="G359" s="6" t="s">
        <v>30</v>
      </c>
      <c r="H359" s="6" t="n">
        <f aca="true">ROUND(RAND()*4+6,1)</f>
        <v>6.8</v>
      </c>
      <c r="I359" s="6" t="s">
        <v>46</v>
      </c>
      <c r="J359" s="6" t="str">
        <f aca="false">ROUND(100*1,0)&amp;"%"</f>
        <v>100%</v>
      </c>
    </row>
    <row r="360" customFormat="false" ht="15" hidden="false" customHeight="false" outlineLevel="0" collapsed="false">
      <c r="A360" s="5" t="s">
        <v>3019</v>
      </c>
      <c r="B360" s="5" t="s">
        <v>578</v>
      </c>
      <c r="C360" s="5" t="s">
        <v>57</v>
      </c>
      <c r="D360" s="5" t="s">
        <v>16</v>
      </c>
      <c r="E360" s="5" t="n">
        <f aca="false">ROUND(17574*1.05,2)</f>
        <v>18452.7</v>
      </c>
      <c r="F360" s="5" t="s">
        <v>49</v>
      </c>
      <c r="G360" s="5" t="s">
        <v>18</v>
      </c>
      <c r="H360" s="5" t="n">
        <f aca="true">ROUND(RAND()*4+6,1)</f>
        <v>6.4</v>
      </c>
      <c r="I360" s="5" t="s">
        <v>19</v>
      </c>
      <c r="J360" s="5" t="str">
        <f aca="false">ROUND(72*1,0)&amp;"%"</f>
        <v>72%</v>
      </c>
    </row>
    <row r="361" customFormat="false" ht="15" hidden="false" customHeight="false" outlineLevel="0" collapsed="false">
      <c r="A361" s="6" t="s">
        <v>3020</v>
      </c>
      <c r="B361" s="6" t="s">
        <v>580</v>
      </c>
      <c r="C361" s="6" t="s">
        <v>57</v>
      </c>
      <c r="D361" s="6" t="s">
        <v>22</v>
      </c>
      <c r="E361" s="6" t="n">
        <f aca="false">ROUND(15379*1.05,2)</f>
        <v>16147.95</v>
      </c>
      <c r="F361" s="6" t="s">
        <v>52</v>
      </c>
      <c r="G361" s="6" t="s">
        <v>24</v>
      </c>
      <c r="H361" s="6" t="n">
        <f aca="true">ROUND(RAND()*4+6,1)</f>
        <v>8.4</v>
      </c>
      <c r="I361" s="6" t="s">
        <v>25</v>
      </c>
      <c r="J361" s="6" t="str">
        <f aca="false">ROUND(62*1,0)&amp;"%"</f>
        <v>62%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3021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3022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3023</v>
      </c>
      <c r="B6" s="5" t="s">
        <v>14</v>
      </c>
      <c r="C6" s="5" t="s">
        <v>15</v>
      </c>
      <c r="D6" s="5" t="s">
        <v>16</v>
      </c>
      <c r="E6" s="5" t="n">
        <f aca="false">ROUND(17394*1.05,2)</f>
        <v>18263.7</v>
      </c>
      <c r="F6" s="5" t="s">
        <v>17</v>
      </c>
      <c r="G6" s="5" t="s">
        <v>18</v>
      </c>
      <c r="H6" s="5" t="n">
        <f aca="true">ROUND(RAND()*4+6,1)</f>
        <v>7</v>
      </c>
      <c r="I6" s="5" t="s">
        <v>19</v>
      </c>
      <c r="J6" s="5" t="str">
        <f aca="false">ROUND(97*1,0)&amp;"%"</f>
        <v>97%</v>
      </c>
    </row>
    <row r="7" customFormat="false" ht="15" hidden="false" customHeight="false" outlineLevel="0" collapsed="false">
      <c r="A7" s="6" t="s">
        <v>3024</v>
      </c>
      <c r="B7" s="6" t="s">
        <v>21</v>
      </c>
      <c r="C7" s="6" t="s">
        <v>15</v>
      </c>
      <c r="D7" s="6" t="s">
        <v>22</v>
      </c>
      <c r="E7" s="6" t="n">
        <f aca="false">ROUND(11694*1.05,2)</f>
        <v>12278.7</v>
      </c>
      <c r="F7" s="6" t="s">
        <v>23</v>
      </c>
      <c r="G7" s="6" t="s">
        <v>24</v>
      </c>
      <c r="H7" s="6" t="n">
        <f aca="true">ROUND(RAND()*4+6,1)</f>
        <v>9.1</v>
      </c>
      <c r="I7" s="6" t="s">
        <v>25</v>
      </c>
      <c r="J7" s="6" t="str">
        <f aca="false">ROUND(72*1,0)&amp;"%"</f>
        <v>72%</v>
      </c>
    </row>
    <row r="8" customFormat="false" ht="15" hidden="false" customHeight="false" outlineLevel="0" collapsed="false">
      <c r="A8" s="5" t="s">
        <v>3025</v>
      </c>
      <c r="B8" s="5" t="s">
        <v>27</v>
      </c>
      <c r="C8" s="5" t="s">
        <v>15</v>
      </c>
      <c r="D8" s="5" t="s">
        <v>28</v>
      </c>
      <c r="E8" s="5" t="n">
        <f aca="false">ROUND(5074*1.05,2)</f>
        <v>5327.7</v>
      </c>
      <c r="F8" s="5" t="s">
        <v>29</v>
      </c>
      <c r="G8" s="5" t="s">
        <v>30</v>
      </c>
      <c r="H8" s="5" t="n">
        <f aca="true">ROUND(RAND()*4+6,1)</f>
        <v>6.3</v>
      </c>
      <c r="I8" s="5" t="s">
        <v>31</v>
      </c>
      <c r="J8" s="5" t="str">
        <f aca="false">ROUND(82*1,0)&amp;"%"</f>
        <v>82%</v>
      </c>
    </row>
    <row r="9" customFormat="false" ht="15" hidden="false" customHeight="false" outlineLevel="0" collapsed="false">
      <c r="A9" s="6" t="s">
        <v>3026</v>
      </c>
      <c r="B9" s="6" t="s">
        <v>33</v>
      </c>
      <c r="C9" s="6" t="s">
        <v>15</v>
      </c>
      <c r="D9" s="6" t="s">
        <v>34</v>
      </c>
      <c r="E9" s="6" t="n">
        <f aca="false">ROUND(9613*1.05,2)</f>
        <v>10093.65</v>
      </c>
      <c r="F9" s="6" t="s">
        <v>35</v>
      </c>
      <c r="G9" s="6" t="s">
        <v>18</v>
      </c>
      <c r="H9" s="6" t="n">
        <f aca="true">ROUND(RAND()*4+6,1)</f>
        <v>6.3</v>
      </c>
      <c r="I9" s="6" t="s">
        <v>36</v>
      </c>
      <c r="J9" s="6" t="str">
        <f aca="false">ROUND(74*1,0)&amp;"%"</f>
        <v>74%</v>
      </c>
    </row>
    <row r="10" customFormat="false" ht="15" hidden="false" customHeight="false" outlineLevel="0" collapsed="false">
      <c r="A10" s="5" t="s">
        <v>3027</v>
      </c>
      <c r="B10" s="5" t="s">
        <v>38</v>
      </c>
      <c r="C10" s="5" t="s">
        <v>15</v>
      </c>
      <c r="D10" s="5" t="s">
        <v>39</v>
      </c>
      <c r="E10" s="5" t="n">
        <f aca="false">ROUND(5336*1.05,2)</f>
        <v>5602.8</v>
      </c>
      <c r="F10" s="5" t="s">
        <v>40</v>
      </c>
      <c r="G10" s="5" t="s">
        <v>24</v>
      </c>
      <c r="H10" s="5" t="n">
        <f aca="true">ROUND(RAND()*4+6,1)</f>
        <v>7.7</v>
      </c>
      <c r="I10" s="5" t="s">
        <v>41</v>
      </c>
      <c r="J10" s="5" t="str">
        <f aca="false">ROUND(74*1,0)&amp;"%"</f>
        <v>74%</v>
      </c>
    </row>
    <row r="11" customFormat="false" ht="15" hidden="false" customHeight="false" outlineLevel="0" collapsed="false">
      <c r="A11" s="6" t="s">
        <v>3028</v>
      </c>
      <c r="B11" s="6" t="s">
        <v>43</v>
      </c>
      <c r="C11" s="6" t="s">
        <v>15</v>
      </c>
      <c r="D11" s="6" t="s">
        <v>44</v>
      </c>
      <c r="E11" s="6" t="n">
        <f aca="false">ROUND(13197*1.05,2)</f>
        <v>13856.85</v>
      </c>
      <c r="F11" s="6" t="s">
        <v>45</v>
      </c>
      <c r="G11" s="6" t="s">
        <v>30</v>
      </c>
      <c r="H11" s="6" t="n">
        <f aca="true">ROUND(RAND()*4+6,1)</f>
        <v>8</v>
      </c>
      <c r="I11" s="6" t="s">
        <v>46</v>
      </c>
      <c r="J11" s="6" t="str">
        <f aca="false">ROUND(97*1,0)&amp;"%"</f>
        <v>97%</v>
      </c>
    </row>
    <row r="12" customFormat="false" ht="15" hidden="false" customHeight="false" outlineLevel="0" collapsed="false">
      <c r="A12" s="5" t="s">
        <v>3029</v>
      </c>
      <c r="B12" s="5" t="s">
        <v>48</v>
      </c>
      <c r="C12" s="5" t="s">
        <v>15</v>
      </c>
      <c r="D12" s="5" t="s">
        <v>16</v>
      </c>
      <c r="E12" s="5" t="n">
        <f aca="false">ROUND(16470*1.05,2)</f>
        <v>17293.5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ROUND(89*1,0)&amp;"%"</f>
        <v>89%</v>
      </c>
    </row>
    <row r="13" customFormat="false" ht="15" hidden="false" customHeight="false" outlineLevel="0" collapsed="false">
      <c r="A13" s="6" t="s">
        <v>3030</v>
      </c>
      <c r="B13" s="6" t="s">
        <v>51</v>
      </c>
      <c r="C13" s="6" t="s">
        <v>15</v>
      </c>
      <c r="D13" s="6" t="s">
        <v>22</v>
      </c>
      <c r="E13" s="6" t="n">
        <f aca="false">ROUND(13804*1.05,2)</f>
        <v>14494.2</v>
      </c>
      <c r="F13" s="6" t="s">
        <v>52</v>
      </c>
      <c r="G13" s="6" t="s">
        <v>24</v>
      </c>
      <c r="H13" s="6" t="n">
        <f aca="true">ROUND(RAND()*4+6,1)</f>
        <v>6.7</v>
      </c>
      <c r="I13" s="6" t="s">
        <v>25</v>
      </c>
      <c r="J13" s="6" t="str">
        <f aca="false">ROUND(93*1,0)&amp;"%"</f>
        <v>93%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3031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3032</v>
      </c>
      <c r="B18" s="5" t="s">
        <v>56</v>
      </c>
      <c r="C18" s="5" t="s">
        <v>57</v>
      </c>
      <c r="D18" s="5" t="s">
        <v>16</v>
      </c>
      <c r="E18" s="5" t="n">
        <f aca="false">ROUND(4290*1.05,2)</f>
        <v>4504.5</v>
      </c>
      <c r="F18" s="5" t="s">
        <v>17</v>
      </c>
      <c r="G18" s="5" t="s">
        <v>18</v>
      </c>
      <c r="H18" s="5" t="n">
        <f aca="true">ROUND(RAND()*4+6,1)</f>
        <v>8.9</v>
      </c>
      <c r="I18" s="5" t="s">
        <v>19</v>
      </c>
      <c r="J18" s="5" t="str">
        <f aca="false">ROUND(64*1,0)&amp;"%"</f>
        <v>64%</v>
      </c>
    </row>
    <row r="19" customFormat="false" ht="15" hidden="false" customHeight="false" outlineLevel="0" collapsed="false">
      <c r="A19" s="6" t="s">
        <v>3033</v>
      </c>
      <c r="B19" s="6" t="s">
        <v>59</v>
      </c>
      <c r="C19" s="6" t="s">
        <v>57</v>
      </c>
      <c r="D19" s="6" t="s">
        <v>22</v>
      </c>
      <c r="E19" s="6" t="n">
        <f aca="false">ROUND(10296*1.05,2)</f>
        <v>10810.8</v>
      </c>
      <c r="F19" s="6" t="s">
        <v>23</v>
      </c>
      <c r="G19" s="6" t="s">
        <v>24</v>
      </c>
      <c r="H19" s="6" t="n">
        <f aca="true">ROUND(RAND()*4+6,1)</f>
        <v>9.8</v>
      </c>
      <c r="I19" s="6" t="s">
        <v>25</v>
      </c>
      <c r="J19" s="6" t="str">
        <f aca="false">ROUND(64*1,0)&amp;"%"</f>
        <v>64%</v>
      </c>
    </row>
    <row r="20" customFormat="false" ht="15" hidden="false" customHeight="false" outlineLevel="0" collapsed="false">
      <c r="A20" s="5" t="s">
        <v>3034</v>
      </c>
      <c r="B20" s="5" t="s">
        <v>61</v>
      </c>
      <c r="C20" s="5" t="s">
        <v>57</v>
      </c>
      <c r="D20" s="5" t="s">
        <v>28</v>
      </c>
      <c r="E20" s="5" t="n">
        <f aca="false">ROUND(11579*1.05,2)</f>
        <v>12157.95</v>
      </c>
      <c r="F20" s="5" t="s">
        <v>29</v>
      </c>
      <c r="G20" s="5" t="s">
        <v>30</v>
      </c>
      <c r="H20" s="5" t="n">
        <f aca="true">ROUND(RAND()*4+6,1)</f>
        <v>10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3035</v>
      </c>
      <c r="B21" s="6" t="s">
        <v>63</v>
      </c>
      <c r="C21" s="6" t="s">
        <v>57</v>
      </c>
      <c r="D21" s="6" t="s">
        <v>34</v>
      </c>
      <c r="E21" s="6" t="n">
        <f aca="false">ROUND(9329*1.05,2)</f>
        <v>9795.45</v>
      </c>
      <c r="F21" s="6" t="s">
        <v>35</v>
      </c>
      <c r="G21" s="6" t="s">
        <v>18</v>
      </c>
      <c r="H21" s="6" t="n">
        <f aca="true">ROUND(RAND()*4+6,1)</f>
        <v>6.3</v>
      </c>
      <c r="I21" s="6" t="s">
        <v>36</v>
      </c>
      <c r="J21" s="6" t="str">
        <f aca="false">ROUND(79*1,0)&amp;"%"</f>
        <v>79%</v>
      </c>
    </row>
    <row r="22" customFormat="false" ht="15" hidden="false" customHeight="false" outlineLevel="0" collapsed="false">
      <c r="A22" s="5" t="s">
        <v>3036</v>
      </c>
      <c r="B22" s="5" t="s">
        <v>65</v>
      </c>
      <c r="C22" s="5" t="s">
        <v>57</v>
      </c>
      <c r="D22" s="5" t="s">
        <v>39</v>
      </c>
      <c r="E22" s="5" t="n">
        <f aca="false">ROUND(11647*1.05,2)</f>
        <v>12229.35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ROUND(87*1,0)&amp;"%"</f>
        <v>87%</v>
      </c>
    </row>
    <row r="23" customFormat="false" ht="15" hidden="false" customHeight="false" outlineLevel="0" collapsed="false">
      <c r="A23" s="6" t="s">
        <v>3037</v>
      </c>
      <c r="B23" s="6" t="s">
        <v>67</v>
      </c>
      <c r="C23" s="6" t="s">
        <v>57</v>
      </c>
      <c r="D23" s="6" t="s">
        <v>44</v>
      </c>
      <c r="E23" s="6" t="n">
        <f aca="false">ROUND(8742*1.05,2)</f>
        <v>9179.1</v>
      </c>
      <c r="F23" s="6" t="s">
        <v>45</v>
      </c>
      <c r="G23" s="6" t="s">
        <v>30</v>
      </c>
      <c r="H23" s="6" t="n">
        <f aca="true">ROUND(RAND()*4+6,1)</f>
        <v>8.4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3038</v>
      </c>
      <c r="B24" s="5" t="s">
        <v>69</v>
      </c>
      <c r="C24" s="5" t="s">
        <v>57</v>
      </c>
      <c r="D24" s="5" t="s">
        <v>16</v>
      </c>
      <c r="E24" s="5" t="n">
        <f aca="false">ROUND(11746*1.05,2)</f>
        <v>12333.3</v>
      </c>
      <c r="F24" s="5" t="s">
        <v>49</v>
      </c>
      <c r="G24" s="5" t="s">
        <v>18</v>
      </c>
      <c r="H24" s="5" t="n">
        <f aca="true">ROUND(RAND()*4+6,1)</f>
        <v>7.1</v>
      </c>
      <c r="I24" s="5" t="s">
        <v>19</v>
      </c>
      <c r="J24" s="5" t="str">
        <f aca="false">ROUND(79*1,0)&amp;"%"</f>
        <v>79%</v>
      </c>
    </row>
    <row r="25" customFormat="false" ht="15" hidden="false" customHeight="false" outlineLevel="0" collapsed="false">
      <c r="A25" s="6" t="s">
        <v>3039</v>
      </c>
      <c r="B25" s="6" t="s">
        <v>71</v>
      </c>
      <c r="C25" s="6" t="s">
        <v>57</v>
      </c>
      <c r="D25" s="6" t="s">
        <v>22</v>
      </c>
      <c r="E25" s="6" t="n">
        <f aca="false">ROUND(5741*1.05,2)</f>
        <v>6028.05</v>
      </c>
      <c r="F25" s="6" t="s">
        <v>52</v>
      </c>
      <c r="G25" s="6" t="s">
        <v>24</v>
      </c>
      <c r="H25" s="6" t="n">
        <f aca="true">ROUND(RAND()*4+6,1)</f>
        <v>6.2</v>
      </c>
      <c r="I25" s="6" t="s">
        <v>25</v>
      </c>
      <c r="J25" s="6" t="str">
        <f aca="false">ROUND(68*1,0)&amp;"%"</f>
        <v>68%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3040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3041</v>
      </c>
      <c r="B30" s="5" t="s">
        <v>75</v>
      </c>
      <c r="C30" s="5" t="s">
        <v>76</v>
      </c>
      <c r="D30" s="5" t="s">
        <v>16</v>
      </c>
      <c r="E30" s="5" t="n">
        <f aca="false">ROUND(13011*1.05,2)</f>
        <v>13661.55</v>
      </c>
      <c r="F30" s="5" t="s">
        <v>17</v>
      </c>
      <c r="G30" s="5" t="s">
        <v>18</v>
      </c>
      <c r="H30" s="5" t="n">
        <f aca="true">ROUND(RAND()*4+6,1)</f>
        <v>6</v>
      </c>
      <c r="I30" s="5" t="s">
        <v>19</v>
      </c>
      <c r="J30" s="5" t="str">
        <f aca="false">ROUND(68*1,0)&amp;"%"</f>
        <v>68%</v>
      </c>
    </row>
    <row r="31" customFormat="false" ht="15" hidden="false" customHeight="false" outlineLevel="0" collapsed="false">
      <c r="A31" s="6" t="s">
        <v>3042</v>
      </c>
      <c r="B31" s="6" t="s">
        <v>78</v>
      </c>
      <c r="C31" s="6" t="s">
        <v>76</v>
      </c>
      <c r="D31" s="6" t="s">
        <v>22</v>
      </c>
      <c r="E31" s="6" t="n">
        <f aca="false">ROUND(12385*1.05,2)</f>
        <v>13004.25</v>
      </c>
      <c r="F31" s="6" t="s">
        <v>23</v>
      </c>
      <c r="G31" s="6" t="s">
        <v>24</v>
      </c>
      <c r="H31" s="6" t="n">
        <f aca="true">ROUND(RAND()*4+6,1)</f>
        <v>7.9</v>
      </c>
      <c r="I31" s="6" t="s">
        <v>25</v>
      </c>
      <c r="J31" s="6" t="str">
        <f aca="false">ROUND(60*1,0)&amp;"%"</f>
        <v>60%</v>
      </c>
    </row>
    <row r="32" customFormat="false" ht="15" hidden="false" customHeight="false" outlineLevel="0" collapsed="false">
      <c r="A32" s="5" t="s">
        <v>3043</v>
      </c>
      <c r="B32" s="5" t="s">
        <v>80</v>
      </c>
      <c r="C32" s="5" t="s">
        <v>76</v>
      </c>
      <c r="D32" s="5" t="s">
        <v>28</v>
      </c>
      <c r="E32" s="5" t="n">
        <f aca="false">ROUND(10367*1.05,2)</f>
        <v>10885.35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ROUND(91*1,0)&amp;"%"</f>
        <v>91%</v>
      </c>
    </row>
    <row r="33" customFormat="false" ht="15" hidden="false" customHeight="false" outlineLevel="0" collapsed="false">
      <c r="A33" s="6" t="s">
        <v>3044</v>
      </c>
      <c r="B33" s="6" t="s">
        <v>82</v>
      </c>
      <c r="C33" s="6" t="s">
        <v>76</v>
      </c>
      <c r="D33" s="6" t="s">
        <v>34</v>
      </c>
      <c r="E33" s="6" t="n">
        <f aca="false">ROUND(13037*1.05,2)</f>
        <v>13688.85</v>
      </c>
      <c r="F33" s="6" t="s">
        <v>35</v>
      </c>
      <c r="G33" s="6" t="s">
        <v>18</v>
      </c>
      <c r="H33" s="6" t="n">
        <f aca="true">ROUND(RAND()*4+6,1)</f>
        <v>9.8</v>
      </c>
      <c r="I33" s="6" t="s">
        <v>36</v>
      </c>
      <c r="J33" s="6" t="str">
        <f aca="false">ROUND(89*1,0)&amp;"%"</f>
        <v>89%</v>
      </c>
    </row>
    <row r="34" customFormat="false" ht="15" hidden="false" customHeight="false" outlineLevel="0" collapsed="false">
      <c r="A34" s="5" t="s">
        <v>3045</v>
      </c>
      <c r="B34" s="5" t="s">
        <v>84</v>
      </c>
      <c r="C34" s="5" t="s">
        <v>76</v>
      </c>
      <c r="D34" s="5" t="s">
        <v>39</v>
      </c>
      <c r="E34" s="5" t="n">
        <f aca="false">ROUND(14436*1.05,2)</f>
        <v>15157.8</v>
      </c>
      <c r="F34" s="5" t="s">
        <v>40</v>
      </c>
      <c r="G34" s="5" t="s">
        <v>24</v>
      </c>
      <c r="H34" s="5" t="n">
        <f aca="true">ROUND(RAND()*4+6,1)</f>
        <v>6</v>
      </c>
      <c r="I34" s="5" t="s">
        <v>41</v>
      </c>
      <c r="J34" s="5" t="str">
        <f aca="false">ROUND(84*1,0)&amp;"%"</f>
        <v>84%</v>
      </c>
    </row>
    <row r="35" customFormat="false" ht="15" hidden="false" customHeight="false" outlineLevel="0" collapsed="false">
      <c r="A35" s="6" t="s">
        <v>3046</v>
      </c>
      <c r="B35" s="6" t="s">
        <v>86</v>
      </c>
      <c r="C35" s="6" t="s">
        <v>76</v>
      </c>
      <c r="D35" s="6" t="s">
        <v>44</v>
      </c>
      <c r="E35" s="6" t="n">
        <f aca="false">ROUND(12318*1.05,2)</f>
        <v>12933.9</v>
      </c>
      <c r="F35" s="6" t="s">
        <v>45</v>
      </c>
      <c r="G35" s="6" t="s">
        <v>30</v>
      </c>
      <c r="H35" s="6" t="n">
        <f aca="true">ROUND(RAND()*4+6,1)</f>
        <v>7.7</v>
      </c>
      <c r="I35" s="6" t="s">
        <v>46</v>
      </c>
      <c r="J35" s="6" t="str">
        <f aca="false">ROUND(95*1,0)&amp;"%"</f>
        <v>95%</v>
      </c>
    </row>
    <row r="36" customFormat="false" ht="15" hidden="false" customHeight="false" outlineLevel="0" collapsed="false">
      <c r="A36" s="5" t="s">
        <v>3047</v>
      </c>
      <c r="B36" s="5" t="s">
        <v>88</v>
      </c>
      <c r="C36" s="5" t="s">
        <v>76</v>
      </c>
      <c r="D36" s="5" t="s">
        <v>16</v>
      </c>
      <c r="E36" s="5" t="n">
        <f aca="false">ROUND(4200*1.05,2)</f>
        <v>4410</v>
      </c>
      <c r="F36" s="5" t="s">
        <v>49</v>
      </c>
      <c r="G36" s="5" t="s">
        <v>18</v>
      </c>
      <c r="H36" s="5" t="n">
        <f aca="true">ROUND(RAND()*4+6,1)</f>
        <v>6.8</v>
      </c>
      <c r="I36" s="5" t="s">
        <v>19</v>
      </c>
      <c r="J36" s="5" t="str">
        <f aca="false">ROUND(75*1,0)&amp;"%"</f>
        <v>75%</v>
      </c>
    </row>
    <row r="37" customFormat="false" ht="15" hidden="false" customHeight="false" outlineLevel="0" collapsed="false">
      <c r="A37" s="6" t="s">
        <v>3048</v>
      </c>
      <c r="B37" s="6" t="s">
        <v>90</v>
      </c>
      <c r="C37" s="6" t="s">
        <v>76</v>
      </c>
      <c r="D37" s="6" t="s">
        <v>22</v>
      </c>
      <c r="E37" s="6" t="n">
        <f aca="false">ROUND(11129*1.05,2)</f>
        <v>11685.45</v>
      </c>
      <c r="F37" s="6" t="s">
        <v>52</v>
      </c>
      <c r="G37" s="6" t="s">
        <v>24</v>
      </c>
      <c r="H37" s="6" t="n">
        <f aca="true">ROUND(RAND()*4+6,1)</f>
        <v>9.6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3049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3050</v>
      </c>
      <c r="B42" s="5" t="s">
        <v>94</v>
      </c>
      <c r="C42" s="5" t="s">
        <v>95</v>
      </c>
      <c r="D42" s="5" t="s">
        <v>16</v>
      </c>
      <c r="E42" s="5" t="n">
        <f aca="false">ROUND(13994*1.05,2)</f>
        <v>14693.7</v>
      </c>
      <c r="F42" s="5" t="s">
        <v>17</v>
      </c>
      <c r="G42" s="5" t="s">
        <v>18</v>
      </c>
      <c r="H42" s="5" t="n">
        <f aca="true">ROUND(RAND()*4+6,1)</f>
        <v>9.7</v>
      </c>
      <c r="I42" s="5" t="s">
        <v>19</v>
      </c>
      <c r="J42" s="5" t="str">
        <f aca="false">ROUND(98*1,0)&amp;"%"</f>
        <v>98%</v>
      </c>
    </row>
    <row r="43" customFormat="false" ht="15" hidden="false" customHeight="false" outlineLevel="0" collapsed="false">
      <c r="A43" s="6" t="s">
        <v>3051</v>
      </c>
      <c r="B43" s="6" t="s">
        <v>97</v>
      </c>
      <c r="C43" s="6" t="s">
        <v>95</v>
      </c>
      <c r="D43" s="6" t="s">
        <v>22</v>
      </c>
      <c r="E43" s="6" t="n">
        <f aca="false">ROUND(16320*1.05,2)</f>
        <v>17136</v>
      </c>
      <c r="F43" s="6" t="s">
        <v>23</v>
      </c>
      <c r="G43" s="6" t="s">
        <v>24</v>
      </c>
      <c r="H43" s="6" t="n">
        <f aca="true">ROUND(RAND()*4+6,1)</f>
        <v>6.5</v>
      </c>
      <c r="I43" s="6" t="s">
        <v>25</v>
      </c>
      <c r="J43" s="6" t="str">
        <f aca="false">ROUND(62*1,0)&amp;"%"</f>
        <v>62%</v>
      </c>
    </row>
    <row r="44" customFormat="false" ht="15" hidden="false" customHeight="false" outlineLevel="0" collapsed="false">
      <c r="A44" s="5" t="s">
        <v>3052</v>
      </c>
      <c r="B44" s="5" t="s">
        <v>99</v>
      </c>
      <c r="C44" s="5" t="s">
        <v>95</v>
      </c>
      <c r="D44" s="5" t="s">
        <v>28</v>
      </c>
      <c r="E44" s="5" t="n">
        <f aca="false">ROUND(17379*1.05,2)</f>
        <v>18247.95</v>
      </c>
      <c r="F44" s="5" t="s">
        <v>29</v>
      </c>
      <c r="G44" s="5" t="s">
        <v>30</v>
      </c>
      <c r="H44" s="5" t="n">
        <f aca="true">ROUND(RAND()*4+6,1)</f>
        <v>7.9</v>
      </c>
      <c r="I44" s="5" t="s">
        <v>31</v>
      </c>
      <c r="J44" s="5" t="str">
        <f aca="false">ROUND(60*1,0)&amp;"%"</f>
        <v>60%</v>
      </c>
    </row>
    <row r="45" customFormat="false" ht="15" hidden="false" customHeight="false" outlineLevel="0" collapsed="false">
      <c r="A45" s="6" t="s">
        <v>3053</v>
      </c>
      <c r="B45" s="6" t="s">
        <v>101</v>
      </c>
      <c r="C45" s="6" t="s">
        <v>95</v>
      </c>
      <c r="D45" s="6" t="s">
        <v>34</v>
      </c>
      <c r="E45" s="6" t="n">
        <f aca="false">ROUND(15154*1.05,2)</f>
        <v>15911.7</v>
      </c>
      <c r="F45" s="6" t="s">
        <v>35</v>
      </c>
      <c r="G45" s="6" t="s">
        <v>18</v>
      </c>
      <c r="H45" s="6" t="n">
        <f aca="true">ROUND(RAND()*4+6,1)</f>
        <v>7.1</v>
      </c>
      <c r="I45" s="6" t="s">
        <v>36</v>
      </c>
      <c r="J45" s="6" t="str">
        <f aca="false">ROUND(75*1,0)&amp;"%"</f>
        <v>75%</v>
      </c>
    </row>
    <row r="46" customFormat="false" ht="15" hidden="false" customHeight="false" outlineLevel="0" collapsed="false">
      <c r="A46" s="5" t="s">
        <v>3054</v>
      </c>
      <c r="B46" s="5" t="s">
        <v>103</v>
      </c>
      <c r="C46" s="5" t="s">
        <v>95</v>
      </c>
      <c r="D46" s="5" t="s">
        <v>39</v>
      </c>
      <c r="E46" s="5" t="n">
        <f aca="false">ROUND(8071*1.05,2)</f>
        <v>8474.55</v>
      </c>
      <c r="F46" s="5" t="s">
        <v>40</v>
      </c>
      <c r="G46" s="5" t="s">
        <v>24</v>
      </c>
      <c r="H46" s="5" t="n">
        <f aca="true">ROUND(RAND()*4+6,1)</f>
        <v>9.8</v>
      </c>
      <c r="I46" s="5" t="s">
        <v>41</v>
      </c>
      <c r="J46" s="5" t="str">
        <f aca="false">ROUND(96*1,0)&amp;"%"</f>
        <v>96%</v>
      </c>
    </row>
    <row r="47" customFormat="false" ht="15" hidden="false" customHeight="false" outlineLevel="0" collapsed="false">
      <c r="A47" s="6" t="s">
        <v>3055</v>
      </c>
      <c r="B47" s="6" t="s">
        <v>105</v>
      </c>
      <c r="C47" s="6" t="s">
        <v>95</v>
      </c>
      <c r="D47" s="6" t="s">
        <v>44</v>
      </c>
      <c r="E47" s="6" t="n">
        <f aca="false">ROUND(5587*1.05,2)</f>
        <v>5866.35</v>
      </c>
      <c r="F47" s="6" t="s">
        <v>45</v>
      </c>
      <c r="G47" s="6" t="s">
        <v>30</v>
      </c>
      <c r="H47" s="6" t="n">
        <f aca="true">ROUND(RAND()*4+6,1)</f>
        <v>9.1</v>
      </c>
      <c r="I47" s="6" t="s">
        <v>46</v>
      </c>
      <c r="J47" s="6" t="str">
        <f aca="false">ROUND(84*1,0)&amp;"%"</f>
        <v>84%</v>
      </c>
    </row>
    <row r="48" customFormat="false" ht="15" hidden="false" customHeight="false" outlineLevel="0" collapsed="false">
      <c r="A48" s="5" t="s">
        <v>3056</v>
      </c>
      <c r="B48" s="5" t="s">
        <v>107</v>
      </c>
      <c r="C48" s="5" t="s">
        <v>95</v>
      </c>
      <c r="D48" s="5" t="s">
        <v>16</v>
      </c>
      <c r="E48" s="5" t="n">
        <f aca="false">ROUND(13230*1.05,2)</f>
        <v>13891.5</v>
      </c>
      <c r="F48" s="5" t="s">
        <v>49</v>
      </c>
      <c r="G48" s="5" t="s">
        <v>18</v>
      </c>
      <c r="H48" s="5" t="n">
        <f aca="true">ROUND(RAND()*4+6,1)</f>
        <v>7.3</v>
      </c>
      <c r="I48" s="5" t="s">
        <v>19</v>
      </c>
      <c r="J48" s="5" t="str">
        <f aca="false">ROUND(65*1,0)&amp;"%"</f>
        <v>65%</v>
      </c>
    </row>
    <row r="49" customFormat="false" ht="15" hidden="false" customHeight="false" outlineLevel="0" collapsed="false">
      <c r="A49" s="6" t="s">
        <v>3057</v>
      </c>
      <c r="B49" s="6" t="s">
        <v>109</v>
      </c>
      <c r="C49" s="6" t="s">
        <v>95</v>
      </c>
      <c r="D49" s="6" t="s">
        <v>22</v>
      </c>
      <c r="E49" s="6" t="n">
        <f aca="false">ROUND(13178*1.05,2)</f>
        <v>13836.9</v>
      </c>
      <c r="F49" s="6" t="s">
        <v>52</v>
      </c>
      <c r="G49" s="6" t="s">
        <v>24</v>
      </c>
      <c r="H49" s="6" t="n">
        <f aca="true">ROUND(RAND()*4+6,1)</f>
        <v>6.2</v>
      </c>
      <c r="I49" s="6" t="s">
        <v>25</v>
      </c>
      <c r="J49" s="6" t="str">
        <f aca="false">ROUND(81*1,0)&amp;"%"</f>
        <v>81%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3058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3059</v>
      </c>
      <c r="B54" s="5" t="s">
        <v>113</v>
      </c>
      <c r="C54" s="5" t="s">
        <v>114</v>
      </c>
      <c r="D54" s="5" t="s">
        <v>16</v>
      </c>
      <c r="E54" s="5" t="n">
        <f aca="false">ROUND(4746*1.05,2)</f>
        <v>4983.3</v>
      </c>
      <c r="F54" s="5" t="s">
        <v>17</v>
      </c>
      <c r="G54" s="5" t="s">
        <v>18</v>
      </c>
      <c r="H54" s="5" t="n">
        <f aca="true">ROUND(RAND()*4+6,1)</f>
        <v>7.7</v>
      </c>
      <c r="I54" s="5" t="s">
        <v>19</v>
      </c>
      <c r="J54" s="5" t="str">
        <f aca="false">ROUND(85*1,0)&amp;"%"</f>
        <v>85%</v>
      </c>
    </row>
    <row r="55" customFormat="false" ht="15" hidden="false" customHeight="false" outlineLevel="0" collapsed="false">
      <c r="A55" s="6" t="s">
        <v>3060</v>
      </c>
      <c r="B55" s="6" t="s">
        <v>116</v>
      </c>
      <c r="C55" s="6" t="s">
        <v>114</v>
      </c>
      <c r="D55" s="6" t="s">
        <v>22</v>
      </c>
      <c r="E55" s="6" t="n">
        <f aca="false">ROUND(5957*1.05,2)</f>
        <v>6254.85</v>
      </c>
      <c r="F55" s="6" t="s">
        <v>23</v>
      </c>
      <c r="G55" s="6" t="s">
        <v>24</v>
      </c>
      <c r="H55" s="6" t="n">
        <f aca="true">ROUND(RAND()*4+6,1)</f>
        <v>9.5</v>
      </c>
      <c r="I55" s="6" t="s">
        <v>25</v>
      </c>
      <c r="J55" s="6" t="str">
        <f aca="false">ROUND(96*1,0)&amp;"%"</f>
        <v>96%</v>
      </c>
    </row>
    <row r="56" customFormat="false" ht="15" hidden="false" customHeight="false" outlineLevel="0" collapsed="false">
      <c r="A56" s="5" t="s">
        <v>3061</v>
      </c>
      <c r="B56" s="5" t="s">
        <v>118</v>
      </c>
      <c r="C56" s="5" t="s">
        <v>114</v>
      </c>
      <c r="D56" s="5" t="s">
        <v>28</v>
      </c>
      <c r="E56" s="5" t="n">
        <f aca="false">ROUND(16025*1.05,2)</f>
        <v>16826.25</v>
      </c>
      <c r="F56" s="5" t="s">
        <v>29</v>
      </c>
      <c r="G56" s="5" t="s">
        <v>30</v>
      </c>
      <c r="H56" s="5" t="n">
        <f aca="true">ROUND(RAND()*4+6,1)</f>
        <v>9.9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3062</v>
      </c>
      <c r="B57" s="6" t="s">
        <v>120</v>
      </c>
      <c r="C57" s="6" t="s">
        <v>114</v>
      </c>
      <c r="D57" s="6" t="s">
        <v>34</v>
      </c>
      <c r="E57" s="6" t="n">
        <f aca="false">ROUND(11435*1.05,2)</f>
        <v>12006.75</v>
      </c>
      <c r="F57" s="6" t="s">
        <v>35</v>
      </c>
      <c r="G57" s="6" t="s">
        <v>18</v>
      </c>
      <c r="H57" s="6" t="n">
        <f aca="true">ROUND(RAND()*4+6,1)</f>
        <v>9.9</v>
      </c>
      <c r="I57" s="6" t="s">
        <v>36</v>
      </c>
      <c r="J57" s="6" t="str">
        <f aca="false">ROUND(62*1,0)&amp;"%"</f>
        <v>62%</v>
      </c>
    </row>
    <row r="58" customFormat="false" ht="15" hidden="false" customHeight="false" outlineLevel="0" collapsed="false">
      <c r="A58" s="5" t="s">
        <v>3063</v>
      </c>
      <c r="B58" s="5" t="s">
        <v>122</v>
      </c>
      <c r="C58" s="5" t="s">
        <v>114</v>
      </c>
      <c r="D58" s="5" t="s">
        <v>39</v>
      </c>
      <c r="E58" s="5" t="n">
        <f aca="false">ROUND(4381*1.05,2)</f>
        <v>4600.05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ROUND(74*1,0)&amp;"%"</f>
        <v>74%</v>
      </c>
    </row>
    <row r="59" customFormat="false" ht="15" hidden="false" customHeight="false" outlineLevel="0" collapsed="false">
      <c r="A59" s="6" t="s">
        <v>3064</v>
      </c>
      <c r="B59" s="6" t="s">
        <v>124</v>
      </c>
      <c r="C59" s="6" t="s">
        <v>114</v>
      </c>
      <c r="D59" s="6" t="s">
        <v>44</v>
      </c>
      <c r="E59" s="6" t="n">
        <f aca="false">ROUND(14250*1.05,2)</f>
        <v>14962.5</v>
      </c>
      <c r="F59" s="6" t="s">
        <v>45</v>
      </c>
      <c r="G59" s="6" t="s">
        <v>30</v>
      </c>
      <c r="H59" s="6" t="n">
        <f aca="true">ROUND(RAND()*4+6,1)</f>
        <v>6.5</v>
      </c>
      <c r="I59" s="6" t="s">
        <v>46</v>
      </c>
      <c r="J59" s="6" t="str">
        <f aca="false">ROUND(82*1,0)&amp;"%"</f>
        <v>82%</v>
      </c>
    </row>
    <row r="60" customFormat="false" ht="15" hidden="false" customHeight="false" outlineLevel="0" collapsed="false">
      <c r="A60" s="5" t="s">
        <v>3065</v>
      </c>
      <c r="B60" s="5" t="s">
        <v>126</v>
      </c>
      <c r="C60" s="5" t="s">
        <v>114</v>
      </c>
      <c r="D60" s="5" t="s">
        <v>16</v>
      </c>
      <c r="E60" s="5" t="n">
        <f aca="false">ROUND(10898*1.05,2)</f>
        <v>11442.9</v>
      </c>
      <c r="F60" s="5" t="s">
        <v>49</v>
      </c>
      <c r="G60" s="5" t="s">
        <v>18</v>
      </c>
      <c r="H60" s="5" t="n">
        <f aca="true">ROUND(RAND()*4+6,1)</f>
        <v>7.2</v>
      </c>
      <c r="I60" s="5" t="s">
        <v>19</v>
      </c>
      <c r="J60" s="5" t="str">
        <f aca="false">ROUND(73*1,0)&amp;"%"</f>
        <v>73%</v>
      </c>
    </row>
    <row r="61" customFormat="false" ht="15" hidden="false" customHeight="false" outlineLevel="0" collapsed="false">
      <c r="A61" s="6" t="s">
        <v>3066</v>
      </c>
      <c r="B61" s="6" t="s">
        <v>128</v>
      </c>
      <c r="C61" s="6" t="s">
        <v>114</v>
      </c>
      <c r="D61" s="6" t="s">
        <v>22</v>
      </c>
      <c r="E61" s="6" t="n">
        <f aca="false">ROUND(9797*1.05,2)</f>
        <v>10286.85</v>
      </c>
      <c r="F61" s="6" t="s">
        <v>52</v>
      </c>
      <c r="G61" s="6" t="s">
        <v>24</v>
      </c>
      <c r="H61" s="6" t="n">
        <f aca="true">ROUND(RAND()*4+6,1)</f>
        <v>8.3</v>
      </c>
      <c r="I61" s="6" t="s">
        <v>25</v>
      </c>
      <c r="J61" s="6" t="str">
        <f aca="false">ROUND(91*1,0)&amp;"%"</f>
        <v>91%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3067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3068</v>
      </c>
      <c r="B66" s="5" t="s">
        <v>132</v>
      </c>
      <c r="C66" s="5" t="s">
        <v>133</v>
      </c>
      <c r="D66" s="5" t="s">
        <v>16</v>
      </c>
      <c r="E66" s="5" t="n">
        <f aca="false">ROUND(5790*1.05,2)</f>
        <v>6079.5</v>
      </c>
      <c r="F66" s="5" t="s">
        <v>17</v>
      </c>
      <c r="G66" s="5" t="s">
        <v>18</v>
      </c>
      <c r="H66" s="5" t="n">
        <f aca="true">ROUND(RAND()*4+6,1)</f>
        <v>9.7</v>
      </c>
      <c r="I66" s="5" t="s">
        <v>19</v>
      </c>
      <c r="J66" s="5" t="str">
        <f aca="false">ROUND(64*1,0)&amp;"%"</f>
        <v>64%</v>
      </c>
    </row>
    <row r="67" customFormat="false" ht="15" hidden="false" customHeight="false" outlineLevel="0" collapsed="false">
      <c r="A67" s="6" t="s">
        <v>3069</v>
      </c>
      <c r="B67" s="6" t="s">
        <v>135</v>
      </c>
      <c r="C67" s="6" t="s">
        <v>133</v>
      </c>
      <c r="D67" s="6" t="s">
        <v>22</v>
      </c>
      <c r="E67" s="6" t="n">
        <f aca="false">ROUND(10816*1.05,2)</f>
        <v>11356.8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ROUND(87*1,0)&amp;"%"</f>
        <v>87%</v>
      </c>
    </row>
    <row r="68" customFormat="false" ht="15" hidden="false" customHeight="false" outlineLevel="0" collapsed="false">
      <c r="A68" s="5" t="s">
        <v>3070</v>
      </c>
      <c r="B68" s="5" t="s">
        <v>137</v>
      </c>
      <c r="C68" s="5" t="s">
        <v>133</v>
      </c>
      <c r="D68" s="5" t="s">
        <v>28</v>
      </c>
      <c r="E68" s="5" t="n">
        <f aca="false">ROUND(6264*1.05,2)</f>
        <v>6577.2</v>
      </c>
      <c r="F68" s="5" t="s">
        <v>29</v>
      </c>
      <c r="G68" s="5" t="s">
        <v>30</v>
      </c>
      <c r="H68" s="5" t="n">
        <f aca="true">ROUND(RAND()*4+6,1)</f>
        <v>6</v>
      </c>
      <c r="I68" s="5" t="s">
        <v>31</v>
      </c>
      <c r="J68" s="5" t="str">
        <f aca="false">ROUND(98*1,0)&amp;"%"</f>
        <v>98%</v>
      </c>
    </row>
    <row r="69" customFormat="false" ht="15" hidden="false" customHeight="false" outlineLevel="0" collapsed="false">
      <c r="A69" s="6" t="s">
        <v>3071</v>
      </c>
      <c r="B69" s="6" t="s">
        <v>139</v>
      </c>
      <c r="C69" s="6" t="s">
        <v>133</v>
      </c>
      <c r="D69" s="6" t="s">
        <v>34</v>
      </c>
      <c r="E69" s="6" t="n">
        <f aca="false">ROUND(12960*1.05,2)</f>
        <v>13608</v>
      </c>
      <c r="F69" s="6" t="s">
        <v>35</v>
      </c>
      <c r="G69" s="6" t="s">
        <v>18</v>
      </c>
      <c r="H69" s="6" t="n">
        <f aca="true">ROUND(RAND()*4+6,1)</f>
        <v>8.3</v>
      </c>
      <c r="I69" s="6" t="s">
        <v>36</v>
      </c>
      <c r="J69" s="6" t="str">
        <f aca="false">ROUND(69*1,0)&amp;"%"</f>
        <v>69%</v>
      </c>
    </row>
    <row r="70" customFormat="false" ht="15" hidden="false" customHeight="false" outlineLevel="0" collapsed="false">
      <c r="A70" s="5" t="s">
        <v>3072</v>
      </c>
      <c r="B70" s="5" t="s">
        <v>141</v>
      </c>
      <c r="C70" s="5" t="s">
        <v>133</v>
      </c>
      <c r="D70" s="5" t="s">
        <v>39</v>
      </c>
      <c r="E70" s="5" t="n">
        <f aca="false">ROUND(11394*1.05,2)</f>
        <v>11963.7</v>
      </c>
      <c r="F70" s="5" t="s">
        <v>40</v>
      </c>
      <c r="G70" s="5" t="s">
        <v>24</v>
      </c>
      <c r="H70" s="5" t="n">
        <f aca="true">ROUND(RAND()*4+6,1)</f>
        <v>8.9</v>
      </c>
      <c r="I70" s="5" t="s">
        <v>41</v>
      </c>
      <c r="J70" s="5" t="str">
        <f aca="false">ROUND(90*1,0)&amp;"%"</f>
        <v>90%</v>
      </c>
    </row>
    <row r="71" customFormat="false" ht="15" hidden="false" customHeight="false" outlineLevel="0" collapsed="false">
      <c r="A71" s="6" t="s">
        <v>3073</v>
      </c>
      <c r="B71" s="6" t="s">
        <v>143</v>
      </c>
      <c r="C71" s="6" t="s">
        <v>133</v>
      </c>
      <c r="D71" s="6" t="s">
        <v>44</v>
      </c>
      <c r="E71" s="6" t="n">
        <f aca="false">ROUND(13455*1.05,2)</f>
        <v>14127.75</v>
      </c>
      <c r="F71" s="6" t="s">
        <v>45</v>
      </c>
      <c r="G71" s="6" t="s">
        <v>30</v>
      </c>
      <c r="H71" s="6" t="n">
        <f aca="true">ROUND(RAND()*4+6,1)</f>
        <v>7.2</v>
      </c>
      <c r="I71" s="6" t="s">
        <v>46</v>
      </c>
      <c r="J71" s="6" t="str">
        <f aca="false">ROUND(89*1,0)&amp;"%"</f>
        <v>89%</v>
      </c>
    </row>
    <row r="72" customFormat="false" ht="15" hidden="false" customHeight="false" outlineLevel="0" collapsed="false">
      <c r="A72" s="5" t="s">
        <v>3074</v>
      </c>
      <c r="B72" s="5" t="s">
        <v>145</v>
      </c>
      <c r="C72" s="5" t="s">
        <v>133</v>
      </c>
      <c r="D72" s="5" t="s">
        <v>16</v>
      </c>
      <c r="E72" s="5" t="n">
        <f aca="false">ROUND(8739*1.05,2)</f>
        <v>9175.95</v>
      </c>
      <c r="F72" s="5" t="s">
        <v>49</v>
      </c>
      <c r="G72" s="5" t="s">
        <v>18</v>
      </c>
      <c r="H72" s="5" t="n">
        <f aca="true">ROUND(RAND()*4+6,1)</f>
        <v>7.7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3075</v>
      </c>
      <c r="B73" s="6" t="s">
        <v>147</v>
      </c>
      <c r="C73" s="6" t="s">
        <v>133</v>
      </c>
      <c r="D73" s="6" t="s">
        <v>22</v>
      </c>
      <c r="E73" s="6" t="n">
        <f aca="false">ROUND(9393*1.05,2)</f>
        <v>9862.65</v>
      </c>
      <c r="F73" s="6" t="s">
        <v>52</v>
      </c>
      <c r="G73" s="6" t="s">
        <v>24</v>
      </c>
      <c r="H73" s="6" t="n">
        <f aca="true">ROUND(RAND()*4+6,1)</f>
        <v>8.4</v>
      </c>
      <c r="I73" s="6" t="s">
        <v>25</v>
      </c>
      <c r="J73" s="6" t="str">
        <f aca="false">ROUND(89*1,0)&amp;"%"</f>
        <v>89%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3076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3077</v>
      </c>
      <c r="B78" s="5" t="s">
        <v>151</v>
      </c>
      <c r="C78" s="5" t="s">
        <v>152</v>
      </c>
      <c r="D78" s="5" t="s">
        <v>16</v>
      </c>
      <c r="E78" s="5" t="n">
        <f aca="false">ROUND(16151*1.05,2)</f>
        <v>16958.55</v>
      </c>
      <c r="F78" s="5" t="s">
        <v>17</v>
      </c>
      <c r="G78" s="5" t="s">
        <v>18</v>
      </c>
      <c r="H78" s="5" t="n">
        <f aca="true">ROUND(RAND()*4+6,1)</f>
        <v>6.9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3078</v>
      </c>
      <c r="B79" s="6" t="s">
        <v>154</v>
      </c>
      <c r="C79" s="6" t="s">
        <v>152</v>
      </c>
      <c r="D79" s="6" t="s">
        <v>22</v>
      </c>
      <c r="E79" s="6" t="n">
        <f aca="false">ROUND(11964*1.05,2)</f>
        <v>12562.2</v>
      </c>
      <c r="F79" s="6" t="s">
        <v>23</v>
      </c>
      <c r="G79" s="6" t="s">
        <v>24</v>
      </c>
      <c r="H79" s="6" t="n">
        <f aca="true">ROUND(RAND()*4+6,1)</f>
        <v>8.6</v>
      </c>
      <c r="I79" s="6" t="s">
        <v>25</v>
      </c>
      <c r="J79" s="6" t="str">
        <f aca="false">ROUND(95*1,0)&amp;"%"</f>
        <v>95%</v>
      </c>
    </row>
    <row r="80" customFormat="false" ht="15" hidden="false" customHeight="false" outlineLevel="0" collapsed="false">
      <c r="A80" s="5" t="s">
        <v>3079</v>
      </c>
      <c r="B80" s="5" t="s">
        <v>156</v>
      </c>
      <c r="C80" s="5" t="s">
        <v>152</v>
      </c>
      <c r="D80" s="5" t="s">
        <v>28</v>
      </c>
      <c r="E80" s="5" t="n">
        <f aca="false">ROUND(6032*1.05,2)</f>
        <v>6333.6</v>
      </c>
      <c r="F80" s="5" t="s">
        <v>29</v>
      </c>
      <c r="G80" s="5" t="s">
        <v>30</v>
      </c>
      <c r="H80" s="5" t="n">
        <f aca="true">ROUND(RAND()*4+6,1)</f>
        <v>9.2</v>
      </c>
      <c r="I80" s="5" t="s">
        <v>31</v>
      </c>
      <c r="J80" s="5" t="str">
        <f aca="false">ROUND(73*1,0)&amp;"%"</f>
        <v>73%</v>
      </c>
    </row>
    <row r="81" customFormat="false" ht="15" hidden="false" customHeight="false" outlineLevel="0" collapsed="false">
      <c r="A81" s="6" t="s">
        <v>3080</v>
      </c>
      <c r="B81" s="6" t="s">
        <v>158</v>
      </c>
      <c r="C81" s="6" t="s">
        <v>152</v>
      </c>
      <c r="D81" s="6" t="s">
        <v>34</v>
      </c>
      <c r="E81" s="6" t="n">
        <f aca="false">ROUND(10880*1.05,2)</f>
        <v>11424</v>
      </c>
      <c r="F81" s="6" t="s">
        <v>35</v>
      </c>
      <c r="G81" s="6" t="s">
        <v>18</v>
      </c>
      <c r="H81" s="6" t="n">
        <f aca="true">ROUND(RAND()*4+6,1)</f>
        <v>6.8</v>
      </c>
      <c r="I81" s="6" t="s">
        <v>36</v>
      </c>
      <c r="J81" s="6" t="str">
        <f aca="false">ROUND(67*1,0)&amp;"%"</f>
        <v>67%</v>
      </c>
    </row>
    <row r="82" customFormat="false" ht="15" hidden="false" customHeight="false" outlineLevel="0" collapsed="false">
      <c r="A82" s="5" t="s">
        <v>3081</v>
      </c>
      <c r="B82" s="5" t="s">
        <v>160</v>
      </c>
      <c r="C82" s="5" t="s">
        <v>152</v>
      </c>
      <c r="D82" s="5" t="s">
        <v>39</v>
      </c>
      <c r="E82" s="5" t="n">
        <f aca="false">ROUND(15692*1.05,2)</f>
        <v>16476.6</v>
      </c>
      <c r="F82" s="5" t="s">
        <v>40</v>
      </c>
      <c r="G82" s="5" t="s">
        <v>24</v>
      </c>
      <c r="H82" s="5" t="n">
        <f aca="true">ROUND(RAND()*4+6,1)</f>
        <v>7.9</v>
      </c>
      <c r="I82" s="5" t="s">
        <v>41</v>
      </c>
      <c r="J82" s="5" t="str">
        <f aca="false">ROUND(87*1,0)&amp;"%"</f>
        <v>87%</v>
      </c>
    </row>
    <row r="83" customFormat="false" ht="15" hidden="false" customHeight="false" outlineLevel="0" collapsed="false">
      <c r="A83" s="6" t="s">
        <v>3082</v>
      </c>
      <c r="B83" s="6" t="s">
        <v>162</v>
      </c>
      <c r="C83" s="6" t="s">
        <v>152</v>
      </c>
      <c r="D83" s="6" t="s">
        <v>44</v>
      </c>
      <c r="E83" s="6" t="n">
        <f aca="false">ROUND(17685*1.05,2)</f>
        <v>18569.25</v>
      </c>
      <c r="F83" s="6" t="s">
        <v>45</v>
      </c>
      <c r="G83" s="6" t="s">
        <v>30</v>
      </c>
      <c r="H83" s="6" t="n">
        <f aca="true">ROUND(RAND()*4+6,1)</f>
        <v>8.4</v>
      </c>
      <c r="I83" s="6" t="s">
        <v>46</v>
      </c>
      <c r="J83" s="6" t="str">
        <f aca="false">ROUND(68*1,0)&amp;"%"</f>
        <v>68%</v>
      </c>
    </row>
    <row r="84" customFormat="false" ht="15" hidden="false" customHeight="false" outlineLevel="0" collapsed="false">
      <c r="A84" s="5" t="s">
        <v>3083</v>
      </c>
      <c r="B84" s="5" t="s">
        <v>164</v>
      </c>
      <c r="C84" s="5" t="s">
        <v>152</v>
      </c>
      <c r="D84" s="5" t="s">
        <v>16</v>
      </c>
      <c r="E84" s="5" t="n">
        <f aca="false">ROUND(17320*1.05,2)</f>
        <v>18186</v>
      </c>
      <c r="F84" s="5" t="s">
        <v>49</v>
      </c>
      <c r="G84" s="5" t="s">
        <v>18</v>
      </c>
      <c r="H84" s="5" t="n">
        <f aca="true">ROUND(RAND()*4+6,1)</f>
        <v>9.9</v>
      </c>
      <c r="I84" s="5" t="s">
        <v>19</v>
      </c>
      <c r="J84" s="5" t="str">
        <f aca="false">ROUND(90*1,0)&amp;"%"</f>
        <v>90%</v>
      </c>
    </row>
    <row r="85" customFormat="false" ht="15" hidden="false" customHeight="false" outlineLevel="0" collapsed="false">
      <c r="A85" s="6" t="s">
        <v>3084</v>
      </c>
      <c r="B85" s="6" t="s">
        <v>166</v>
      </c>
      <c r="C85" s="6" t="s">
        <v>152</v>
      </c>
      <c r="D85" s="6" t="s">
        <v>22</v>
      </c>
      <c r="E85" s="6" t="n">
        <f aca="false">ROUND(9454*1.05,2)</f>
        <v>9926.7</v>
      </c>
      <c r="F85" s="6" t="s">
        <v>52</v>
      </c>
      <c r="G85" s="6" t="s">
        <v>24</v>
      </c>
      <c r="H85" s="6" t="n">
        <f aca="true">ROUND(RAND()*4+6,1)</f>
        <v>8.7</v>
      </c>
      <c r="I85" s="6" t="s">
        <v>25</v>
      </c>
      <c r="J85" s="6" t="str">
        <f aca="false">ROUND(75*1,0)&amp;"%"</f>
        <v>75%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3085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3086</v>
      </c>
      <c r="B90" s="5" t="s">
        <v>170</v>
      </c>
      <c r="C90" s="5" t="s">
        <v>15</v>
      </c>
      <c r="D90" s="5" t="s">
        <v>16</v>
      </c>
      <c r="E90" s="5" t="n">
        <f aca="false">ROUND(11748*1.05,2)</f>
        <v>12335.4</v>
      </c>
      <c r="F90" s="5" t="s">
        <v>17</v>
      </c>
      <c r="G90" s="5" t="s">
        <v>18</v>
      </c>
      <c r="H90" s="5" t="n">
        <f aca="true">ROUND(RAND()*4+6,1)</f>
        <v>8.8</v>
      </c>
      <c r="I90" s="5" t="s">
        <v>19</v>
      </c>
      <c r="J90" s="5" t="str">
        <f aca="false">ROUND(93*1,0)&amp;"%"</f>
        <v>93%</v>
      </c>
    </row>
    <row r="91" customFormat="false" ht="15" hidden="false" customHeight="false" outlineLevel="0" collapsed="false">
      <c r="A91" s="6" t="s">
        <v>3087</v>
      </c>
      <c r="B91" s="6" t="s">
        <v>172</v>
      </c>
      <c r="C91" s="6" t="s">
        <v>15</v>
      </c>
      <c r="D91" s="6" t="s">
        <v>22</v>
      </c>
      <c r="E91" s="6" t="n">
        <f aca="false">ROUND(8087*1.05,2)</f>
        <v>8491.35</v>
      </c>
      <c r="F91" s="6" t="s">
        <v>23</v>
      </c>
      <c r="G91" s="6" t="s">
        <v>24</v>
      </c>
      <c r="H91" s="6" t="n">
        <f aca="true">ROUND(RAND()*4+6,1)</f>
        <v>8.8</v>
      </c>
      <c r="I91" s="6" t="s">
        <v>25</v>
      </c>
      <c r="J91" s="6" t="str">
        <f aca="false">ROUND(86*1,0)&amp;"%"</f>
        <v>86%</v>
      </c>
    </row>
    <row r="92" customFormat="false" ht="15" hidden="false" customHeight="false" outlineLevel="0" collapsed="false">
      <c r="A92" s="5" t="s">
        <v>3088</v>
      </c>
      <c r="B92" s="5" t="s">
        <v>174</v>
      </c>
      <c r="C92" s="5" t="s">
        <v>15</v>
      </c>
      <c r="D92" s="5" t="s">
        <v>28</v>
      </c>
      <c r="E92" s="5" t="n">
        <f aca="false">ROUND(6607*1.05,2)</f>
        <v>6937.35</v>
      </c>
      <c r="F92" s="5" t="s">
        <v>29</v>
      </c>
      <c r="G92" s="5" t="s">
        <v>30</v>
      </c>
      <c r="H92" s="5" t="n">
        <f aca="true">ROUND(RAND()*4+6,1)</f>
        <v>9.9</v>
      </c>
      <c r="I92" s="5" t="s">
        <v>31</v>
      </c>
      <c r="J92" s="5" t="str">
        <f aca="false">ROUND(94*1,0)&amp;"%"</f>
        <v>94%</v>
      </c>
    </row>
    <row r="93" customFormat="false" ht="15" hidden="false" customHeight="false" outlineLevel="0" collapsed="false">
      <c r="A93" s="6" t="s">
        <v>3089</v>
      </c>
      <c r="B93" s="6" t="s">
        <v>176</v>
      </c>
      <c r="C93" s="6" t="s">
        <v>15</v>
      </c>
      <c r="D93" s="6" t="s">
        <v>34</v>
      </c>
      <c r="E93" s="6" t="n">
        <f aca="false">ROUND(17869*1.05,2)</f>
        <v>18762.45</v>
      </c>
      <c r="F93" s="6" t="s">
        <v>35</v>
      </c>
      <c r="G93" s="6" t="s">
        <v>18</v>
      </c>
      <c r="H93" s="6" t="n">
        <f aca="true">ROUND(RAND()*4+6,1)</f>
        <v>8.1</v>
      </c>
      <c r="I93" s="6" t="s">
        <v>36</v>
      </c>
      <c r="J93" s="6" t="str">
        <f aca="false">ROUND(77*1,0)&amp;"%"</f>
        <v>77%</v>
      </c>
    </row>
    <row r="94" customFormat="false" ht="15" hidden="false" customHeight="false" outlineLevel="0" collapsed="false">
      <c r="A94" s="5" t="s">
        <v>3090</v>
      </c>
      <c r="B94" s="5" t="s">
        <v>178</v>
      </c>
      <c r="C94" s="5" t="s">
        <v>15</v>
      </c>
      <c r="D94" s="5" t="s">
        <v>39</v>
      </c>
      <c r="E94" s="5" t="n">
        <f aca="false">ROUND(5480*1.05,2)</f>
        <v>5754</v>
      </c>
      <c r="F94" s="5" t="s">
        <v>40</v>
      </c>
      <c r="G94" s="5" t="s">
        <v>24</v>
      </c>
      <c r="H94" s="5" t="n">
        <f aca="true">ROUND(RAND()*4+6,1)</f>
        <v>6.2</v>
      </c>
      <c r="I94" s="5" t="s">
        <v>41</v>
      </c>
      <c r="J94" s="5" t="str">
        <f aca="false">ROUND(96*1,0)&amp;"%"</f>
        <v>96%</v>
      </c>
    </row>
    <row r="95" customFormat="false" ht="15" hidden="false" customHeight="false" outlineLevel="0" collapsed="false">
      <c r="A95" s="6" t="s">
        <v>3091</v>
      </c>
      <c r="B95" s="6" t="s">
        <v>180</v>
      </c>
      <c r="C95" s="6" t="s">
        <v>15</v>
      </c>
      <c r="D95" s="6" t="s">
        <v>44</v>
      </c>
      <c r="E95" s="6" t="n">
        <f aca="false">ROUND(6643*1.05,2)</f>
        <v>6975.15</v>
      </c>
      <c r="F95" s="6" t="s">
        <v>45</v>
      </c>
      <c r="G95" s="6" t="s">
        <v>30</v>
      </c>
      <c r="H95" s="6" t="n">
        <f aca="true">ROUND(RAND()*4+6,1)</f>
        <v>9</v>
      </c>
      <c r="I95" s="6" t="s">
        <v>46</v>
      </c>
      <c r="J95" s="6" t="str">
        <f aca="false">ROUND(91*1,0)&amp;"%"</f>
        <v>91%</v>
      </c>
    </row>
    <row r="96" customFormat="false" ht="15" hidden="false" customHeight="false" outlineLevel="0" collapsed="false">
      <c r="A96" s="5" t="s">
        <v>3092</v>
      </c>
      <c r="B96" s="5" t="s">
        <v>182</v>
      </c>
      <c r="C96" s="5" t="s">
        <v>15</v>
      </c>
      <c r="D96" s="5" t="s">
        <v>16</v>
      </c>
      <c r="E96" s="5" t="n">
        <f aca="false">ROUND(10242*1.05,2)</f>
        <v>10754.1</v>
      </c>
      <c r="F96" s="5" t="s">
        <v>49</v>
      </c>
      <c r="G96" s="5" t="s">
        <v>18</v>
      </c>
      <c r="H96" s="5" t="n">
        <f aca="true">ROUND(RAND()*4+6,1)</f>
        <v>7.9</v>
      </c>
      <c r="I96" s="5" t="s">
        <v>19</v>
      </c>
      <c r="J96" s="5" t="str">
        <f aca="false">ROUND(97*1,0)&amp;"%"</f>
        <v>97%</v>
      </c>
    </row>
    <row r="97" customFormat="false" ht="15" hidden="false" customHeight="false" outlineLevel="0" collapsed="false">
      <c r="A97" s="6" t="s">
        <v>3093</v>
      </c>
      <c r="B97" s="6" t="s">
        <v>184</v>
      </c>
      <c r="C97" s="6" t="s">
        <v>15</v>
      </c>
      <c r="D97" s="6" t="s">
        <v>22</v>
      </c>
      <c r="E97" s="6" t="n">
        <f aca="false">ROUND(5885*1.05,2)</f>
        <v>6179.25</v>
      </c>
      <c r="F97" s="6" t="s">
        <v>52</v>
      </c>
      <c r="G97" s="6" t="s">
        <v>24</v>
      </c>
      <c r="H97" s="6" t="n">
        <f aca="true">ROUND(RAND()*4+6,1)</f>
        <v>8.1</v>
      </c>
      <c r="I97" s="6" t="s">
        <v>25</v>
      </c>
      <c r="J97" s="6" t="str">
        <f aca="false">ROUND(93*1,0)&amp;"%"</f>
        <v>93%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3094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3095</v>
      </c>
      <c r="B102" s="5" t="s">
        <v>188</v>
      </c>
      <c r="C102" s="5" t="s">
        <v>57</v>
      </c>
      <c r="D102" s="5" t="s">
        <v>16</v>
      </c>
      <c r="E102" s="5" t="n">
        <f aca="false">ROUND(5102*1.05,2)</f>
        <v>5357.1</v>
      </c>
      <c r="F102" s="5" t="s">
        <v>17</v>
      </c>
      <c r="G102" s="5" t="s">
        <v>18</v>
      </c>
      <c r="H102" s="5" t="n">
        <f aca="true">ROUND(RAND()*4+6,1)</f>
        <v>6.7</v>
      </c>
      <c r="I102" s="5" t="s">
        <v>19</v>
      </c>
      <c r="J102" s="5" t="str">
        <f aca="false">ROUND(75*1,0)&amp;"%"</f>
        <v>75%</v>
      </c>
    </row>
    <row r="103" customFormat="false" ht="15" hidden="false" customHeight="false" outlineLevel="0" collapsed="false">
      <c r="A103" s="6" t="s">
        <v>3096</v>
      </c>
      <c r="B103" s="6" t="s">
        <v>190</v>
      </c>
      <c r="C103" s="6" t="s">
        <v>57</v>
      </c>
      <c r="D103" s="6" t="s">
        <v>22</v>
      </c>
      <c r="E103" s="6" t="n">
        <f aca="false">ROUND(8281*1.05,2)</f>
        <v>8695.05</v>
      </c>
      <c r="F103" s="6" t="s">
        <v>23</v>
      </c>
      <c r="G103" s="6" t="s">
        <v>24</v>
      </c>
      <c r="H103" s="6" t="n">
        <f aca="true">ROUND(RAND()*4+6,1)</f>
        <v>6.3</v>
      </c>
      <c r="I103" s="6" t="s">
        <v>25</v>
      </c>
      <c r="J103" s="6" t="str">
        <f aca="false">ROUND(74*1,0)&amp;"%"</f>
        <v>74%</v>
      </c>
    </row>
    <row r="104" customFormat="false" ht="15" hidden="false" customHeight="false" outlineLevel="0" collapsed="false">
      <c r="A104" s="5" t="s">
        <v>3097</v>
      </c>
      <c r="B104" s="5" t="s">
        <v>192</v>
      </c>
      <c r="C104" s="5" t="s">
        <v>57</v>
      </c>
      <c r="D104" s="5" t="s">
        <v>28</v>
      </c>
      <c r="E104" s="5" t="n">
        <f aca="false">ROUND(7463*1.05,2)</f>
        <v>7836.15</v>
      </c>
      <c r="F104" s="5" t="s">
        <v>29</v>
      </c>
      <c r="G104" s="5" t="s">
        <v>30</v>
      </c>
      <c r="H104" s="5" t="n">
        <f aca="true">ROUND(RAND()*4+6,1)</f>
        <v>9.2</v>
      </c>
      <c r="I104" s="5" t="s">
        <v>31</v>
      </c>
      <c r="J104" s="5" t="str">
        <f aca="false">ROUND(78*1,0)&amp;"%"</f>
        <v>78%</v>
      </c>
    </row>
    <row r="105" customFormat="false" ht="15" hidden="false" customHeight="false" outlineLevel="0" collapsed="false">
      <c r="A105" s="6" t="s">
        <v>3098</v>
      </c>
      <c r="B105" s="6" t="s">
        <v>194</v>
      </c>
      <c r="C105" s="6" t="s">
        <v>57</v>
      </c>
      <c r="D105" s="6" t="s">
        <v>34</v>
      </c>
      <c r="E105" s="6" t="n">
        <f aca="false">ROUND(13167*1.05,2)</f>
        <v>13825.35</v>
      </c>
      <c r="F105" s="6" t="s">
        <v>35</v>
      </c>
      <c r="G105" s="6" t="s">
        <v>18</v>
      </c>
      <c r="H105" s="6" t="n">
        <f aca="true">ROUND(RAND()*4+6,1)</f>
        <v>9.5</v>
      </c>
      <c r="I105" s="6" t="s">
        <v>36</v>
      </c>
      <c r="J105" s="6" t="str">
        <f aca="false">ROUND(73*1,0)&amp;"%"</f>
        <v>73%</v>
      </c>
    </row>
    <row r="106" customFormat="false" ht="15" hidden="false" customHeight="false" outlineLevel="0" collapsed="false">
      <c r="A106" s="5" t="s">
        <v>3099</v>
      </c>
      <c r="B106" s="5" t="s">
        <v>196</v>
      </c>
      <c r="C106" s="5" t="s">
        <v>57</v>
      </c>
      <c r="D106" s="5" t="s">
        <v>39</v>
      </c>
      <c r="E106" s="5" t="n">
        <f aca="false">ROUND(15180*1.05,2)</f>
        <v>15939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ROUND(74*1,0)&amp;"%"</f>
        <v>74%</v>
      </c>
    </row>
    <row r="107" customFormat="false" ht="15" hidden="false" customHeight="false" outlineLevel="0" collapsed="false">
      <c r="A107" s="6" t="s">
        <v>3100</v>
      </c>
      <c r="B107" s="6" t="s">
        <v>198</v>
      </c>
      <c r="C107" s="6" t="s">
        <v>57</v>
      </c>
      <c r="D107" s="6" t="s">
        <v>44</v>
      </c>
      <c r="E107" s="6" t="n">
        <f aca="false">ROUND(10750*1.05,2)</f>
        <v>11287.5</v>
      </c>
      <c r="F107" s="6" t="s">
        <v>45</v>
      </c>
      <c r="G107" s="6" t="s">
        <v>30</v>
      </c>
      <c r="H107" s="6" t="n">
        <f aca="true">ROUND(RAND()*4+6,1)</f>
        <v>8.4</v>
      </c>
      <c r="I107" s="6" t="s">
        <v>46</v>
      </c>
      <c r="J107" s="6" t="str">
        <f aca="false">ROUND(76*1,0)&amp;"%"</f>
        <v>76%</v>
      </c>
    </row>
    <row r="108" customFormat="false" ht="15" hidden="false" customHeight="false" outlineLevel="0" collapsed="false">
      <c r="A108" s="5" t="s">
        <v>3101</v>
      </c>
      <c r="B108" s="5" t="s">
        <v>200</v>
      </c>
      <c r="C108" s="5" t="s">
        <v>57</v>
      </c>
      <c r="D108" s="5" t="s">
        <v>16</v>
      </c>
      <c r="E108" s="5" t="n">
        <f aca="false">ROUND(12372*1.05,2)</f>
        <v>12990.6</v>
      </c>
      <c r="F108" s="5" t="s">
        <v>49</v>
      </c>
      <c r="G108" s="5" t="s">
        <v>18</v>
      </c>
      <c r="H108" s="5" t="n">
        <f aca="true">ROUND(RAND()*4+6,1)</f>
        <v>6.9</v>
      </c>
      <c r="I108" s="5" t="s">
        <v>19</v>
      </c>
      <c r="J108" s="5" t="str">
        <f aca="false">ROUND(89*1,0)&amp;"%"</f>
        <v>89%</v>
      </c>
    </row>
    <row r="109" customFormat="false" ht="15" hidden="false" customHeight="false" outlineLevel="0" collapsed="false">
      <c r="A109" s="6" t="s">
        <v>3102</v>
      </c>
      <c r="B109" s="6" t="s">
        <v>202</v>
      </c>
      <c r="C109" s="6" t="s">
        <v>57</v>
      </c>
      <c r="D109" s="6" t="s">
        <v>22</v>
      </c>
      <c r="E109" s="6" t="n">
        <f aca="false">ROUND(13783*1.05,2)</f>
        <v>14472.15</v>
      </c>
      <c r="F109" s="6" t="s">
        <v>52</v>
      </c>
      <c r="G109" s="6" t="s">
        <v>24</v>
      </c>
      <c r="H109" s="6" t="n">
        <f aca="true">ROUND(RAND()*4+6,1)</f>
        <v>7.6</v>
      </c>
      <c r="I109" s="6" t="s">
        <v>25</v>
      </c>
      <c r="J109" s="6" t="str">
        <f aca="false">ROUND(81*1,0)&amp;"%"</f>
        <v>81%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3103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3104</v>
      </c>
      <c r="B114" s="5" t="s">
        <v>206</v>
      </c>
      <c r="C114" s="5" t="s">
        <v>76</v>
      </c>
      <c r="D114" s="5" t="s">
        <v>16</v>
      </c>
      <c r="E114" s="5" t="n">
        <f aca="false">ROUND(5996*1.05,2)</f>
        <v>6295.8</v>
      </c>
      <c r="F114" s="5" t="s">
        <v>17</v>
      </c>
      <c r="G114" s="5" t="s">
        <v>18</v>
      </c>
      <c r="H114" s="5" t="n">
        <f aca="true">ROUND(RAND()*4+6,1)</f>
        <v>9.2</v>
      </c>
      <c r="I114" s="5" t="s">
        <v>19</v>
      </c>
      <c r="J114" s="5" t="str">
        <f aca="false">ROUND(94*1,0)&amp;"%"</f>
        <v>94%</v>
      </c>
    </row>
    <row r="115" customFormat="false" ht="15" hidden="false" customHeight="false" outlineLevel="0" collapsed="false">
      <c r="A115" s="6" t="s">
        <v>3105</v>
      </c>
      <c r="B115" s="6" t="s">
        <v>208</v>
      </c>
      <c r="C115" s="6" t="s">
        <v>76</v>
      </c>
      <c r="D115" s="6" t="s">
        <v>22</v>
      </c>
      <c r="E115" s="6" t="n">
        <f aca="false">ROUND(11841*1.05,2)</f>
        <v>12433.05</v>
      </c>
      <c r="F115" s="6" t="s">
        <v>23</v>
      </c>
      <c r="G115" s="6" t="s">
        <v>24</v>
      </c>
      <c r="H115" s="6" t="n">
        <f aca="true">ROUND(RAND()*4+6,1)</f>
        <v>9.3</v>
      </c>
      <c r="I115" s="6" t="s">
        <v>25</v>
      </c>
      <c r="J115" s="6" t="str">
        <f aca="false">ROUND(88*1,0)&amp;"%"</f>
        <v>88%</v>
      </c>
    </row>
    <row r="116" customFormat="false" ht="15" hidden="false" customHeight="false" outlineLevel="0" collapsed="false">
      <c r="A116" s="5" t="s">
        <v>3106</v>
      </c>
      <c r="B116" s="5" t="s">
        <v>210</v>
      </c>
      <c r="C116" s="5" t="s">
        <v>76</v>
      </c>
      <c r="D116" s="5" t="s">
        <v>28</v>
      </c>
      <c r="E116" s="5" t="n">
        <f aca="false">ROUND(9177*1.05,2)</f>
        <v>9635.85</v>
      </c>
      <c r="F116" s="5" t="s">
        <v>29</v>
      </c>
      <c r="G116" s="5" t="s">
        <v>30</v>
      </c>
      <c r="H116" s="5" t="n">
        <f aca="true">ROUND(RAND()*4+6,1)</f>
        <v>6.1</v>
      </c>
      <c r="I116" s="5" t="s">
        <v>31</v>
      </c>
      <c r="J116" s="5" t="str">
        <f aca="false">ROUND(64*1,0)&amp;"%"</f>
        <v>64%</v>
      </c>
    </row>
    <row r="117" customFormat="false" ht="15" hidden="false" customHeight="false" outlineLevel="0" collapsed="false">
      <c r="A117" s="6" t="s">
        <v>3107</v>
      </c>
      <c r="B117" s="6" t="s">
        <v>212</v>
      </c>
      <c r="C117" s="6" t="s">
        <v>76</v>
      </c>
      <c r="D117" s="6" t="s">
        <v>34</v>
      </c>
      <c r="E117" s="6" t="n">
        <f aca="false">ROUND(10852*1.05,2)</f>
        <v>11394.6</v>
      </c>
      <c r="F117" s="6" t="s">
        <v>35</v>
      </c>
      <c r="G117" s="6" t="s">
        <v>18</v>
      </c>
      <c r="H117" s="6" t="n">
        <f aca="true">ROUND(RAND()*4+6,1)</f>
        <v>8.5</v>
      </c>
      <c r="I117" s="6" t="s">
        <v>36</v>
      </c>
      <c r="J117" s="6" t="str">
        <f aca="false">ROUND(92*1,0)&amp;"%"</f>
        <v>92%</v>
      </c>
    </row>
    <row r="118" customFormat="false" ht="15" hidden="false" customHeight="false" outlineLevel="0" collapsed="false">
      <c r="A118" s="5" t="s">
        <v>3108</v>
      </c>
      <c r="B118" s="5" t="s">
        <v>214</v>
      </c>
      <c r="C118" s="5" t="s">
        <v>76</v>
      </c>
      <c r="D118" s="5" t="s">
        <v>39</v>
      </c>
      <c r="E118" s="5" t="n">
        <f aca="false">ROUND(12001*1.05,2)</f>
        <v>12601.05</v>
      </c>
      <c r="F118" s="5" t="s">
        <v>40</v>
      </c>
      <c r="G118" s="5" t="s">
        <v>24</v>
      </c>
      <c r="H118" s="5" t="n">
        <f aca="true">ROUND(RAND()*4+6,1)</f>
        <v>8.1</v>
      </c>
      <c r="I118" s="5" t="s">
        <v>41</v>
      </c>
      <c r="J118" s="5" t="str">
        <f aca="false">ROUND(92*1,0)&amp;"%"</f>
        <v>92%</v>
      </c>
    </row>
    <row r="119" customFormat="false" ht="15" hidden="false" customHeight="false" outlineLevel="0" collapsed="false">
      <c r="A119" s="6" t="s">
        <v>3109</v>
      </c>
      <c r="B119" s="6" t="s">
        <v>216</v>
      </c>
      <c r="C119" s="6" t="s">
        <v>76</v>
      </c>
      <c r="D119" s="6" t="s">
        <v>44</v>
      </c>
      <c r="E119" s="6" t="n">
        <f aca="false">ROUND(14919*1.05,2)</f>
        <v>15664.95</v>
      </c>
      <c r="F119" s="6" t="s">
        <v>45</v>
      </c>
      <c r="G119" s="6" t="s">
        <v>30</v>
      </c>
      <c r="H119" s="6" t="n">
        <f aca="true">ROUND(RAND()*4+6,1)</f>
        <v>8.3</v>
      </c>
      <c r="I119" s="6" t="s">
        <v>46</v>
      </c>
      <c r="J119" s="6" t="str">
        <f aca="false">ROUND(93*1,0)&amp;"%"</f>
        <v>93%</v>
      </c>
    </row>
    <row r="120" customFormat="false" ht="15" hidden="false" customHeight="false" outlineLevel="0" collapsed="false">
      <c r="A120" s="5" t="s">
        <v>3110</v>
      </c>
      <c r="B120" s="5" t="s">
        <v>218</v>
      </c>
      <c r="C120" s="5" t="s">
        <v>76</v>
      </c>
      <c r="D120" s="5" t="s">
        <v>16</v>
      </c>
      <c r="E120" s="5" t="n">
        <f aca="false">ROUND(12595*1.05,2)</f>
        <v>13224.75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ROUND(63*1,0)&amp;"%"</f>
        <v>63%</v>
      </c>
    </row>
    <row r="121" customFormat="false" ht="15" hidden="false" customHeight="false" outlineLevel="0" collapsed="false">
      <c r="A121" s="6" t="s">
        <v>3111</v>
      </c>
      <c r="B121" s="6" t="s">
        <v>220</v>
      </c>
      <c r="C121" s="6" t="s">
        <v>76</v>
      </c>
      <c r="D121" s="6" t="s">
        <v>22</v>
      </c>
      <c r="E121" s="6" t="n">
        <f aca="false">ROUND(13286*1.05,2)</f>
        <v>13950.3</v>
      </c>
      <c r="F121" s="6" t="s">
        <v>52</v>
      </c>
      <c r="G121" s="6" t="s">
        <v>24</v>
      </c>
      <c r="H121" s="6" t="n">
        <f aca="true">ROUND(RAND()*4+6,1)</f>
        <v>8.4</v>
      </c>
      <c r="I121" s="6" t="s">
        <v>25</v>
      </c>
      <c r="J121" s="6" t="str">
        <f aca="false">ROUND(73*1,0)&amp;"%"</f>
        <v>73%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3112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3113</v>
      </c>
      <c r="B126" s="5" t="s">
        <v>224</v>
      </c>
      <c r="C126" s="5" t="s">
        <v>95</v>
      </c>
      <c r="D126" s="5" t="s">
        <v>16</v>
      </c>
      <c r="E126" s="5" t="n">
        <f aca="false">ROUND(11472*1.05,2)</f>
        <v>12045.6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ROUND(67*1,0)&amp;"%"</f>
        <v>67%</v>
      </c>
    </row>
    <row r="127" customFormat="false" ht="15" hidden="false" customHeight="false" outlineLevel="0" collapsed="false">
      <c r="A127" s="6" t="s">
        <v>3114</v>
      </c>
      <c r="B127" s="6" t="s">
        <v>226</v>
      </c>
      <c r="C127" s="6" t="s">
        <v>95</v>
      </c>
      <c r="D127" s="6" t="s">
        <v>22</v>
      </c>
      <c r="E127" s="6" t="n">
        <f aca="false">ROUND(8225*1.05,2)</f>
        <v>8636.25</v>
      </c>
      <c r="F127" s="6" t="s">
        <v>23</v>
      </c>
      <c r="G127" s="6" t="s">
        <v>24</v>
      </c>
      <c r="H127" s="6" t="n">
        <f aca="true">ROUND(RAND()*4+6,1)</f>
        <v>6.6</v>
      </c>
      <c r="I127" s="6" t="s">
        <v>25</v>
      </c>
      <c r="J127" s="6" t="str">
        <f aca="false">ROUND(93*1,0)&amp;"%"</f>
        <v>93%</v>
      </c>
    </row>
    <row r="128" customFormat="false" ht="15" hidden="false" customHeight="false" outlineLevel="0" collapsed="false">
      <c r="A128" s="5" t="s">
        <v>3115</v>
      </c>
      <c r="B128" s="5" t="s">
        <v>228</v>
      </c>
      <c r="C128" s="5" t="s">
        <v>95</v>
      </c>
      <c r="D128" s="5" t="s">
        <v>28</v>
      </c>
      <c r="E128" s="5" t="n">
        <f aca="false">ROUND(15477*1.05,2)</f>
        <v>16250.85</v>
      </c>
      <c r="F128" s="5" t="s">
        <v>29</v>
      </c>
      <c r="G128" s="5" t="s">
        <v>30</v>
      </c>
      <c r="H128" s="5" t="n">
        <f aca="true">ROUND(RAND()*4+6,1)</f>
        <v>8.9</v>
      </c>
      <c r="I128" s="5" t="s">
        <v>31</v>
      </c>
      <c r="J128" s="5" t="str">
        <f aca="false">ROUND(85*1,0)&amp;"%"</f>
        <v>85%</v>
      </c>
    </row>
    <row r="129" customFormat="false" ht="15" hidden="false" customHeight="false" outlineLevel="0" collapsed="false">
      <c r="A129" s="6" t="s">
        <v>3116</v>
      </c>
      <c r="B129" s="6" t="s">
        <v>230</v>
      </c>
      <c r="C129" s="6" t="s">
        <v>95</v>
      </c>
      <c r="D129" s="6" t="s">
        <v>34</v>
      </c>
      <c r="E129" s="6" t="n">
        <f aca="false">ROUND(10725*1.05,2)</f>
        <v>11261.25</v>
      </c>
      <c r="F129" s="6" t="s">
        <v>35</v>
      </c>
      <c r="G129" s="6" t="s">
        <v>18</v>
      </c>
      <c r="H129" s="6" t="n">
        <f aca="true">ROUND(RAND()*4+6,1)</f>
        <v>9.6</v>
      </c>
      <c r="I129" s="6" t="s">
        <v>36</v>
      </c>
      <c r="J129" s="6" t="str">
        <f aca="false">ROUND(84*1,0)&amp;"%"</f>
        <v>84%</v>
      </c>
    </row>
    <row r="130" customFormat="false" ht="15" hidden="false" customHeight="false" outlineLevel="0" collapsed="false">
      <c r="A130" s="5" t="s">
        <v>3117</v>
      </c>
      <c r="B130" s="5" t="s">
        <v>232</v>
      </c>
      <c r="C130" s="5" t="s">
        <v>95</v>
      </c>
      <c r="D130" s="5" t="s">
        <v>39</v>
      </c>
      <c r="E130" s="5" t="n">
        <f aca="false">ROUND(5644*1.05,2)</f>
        <v>5926.2</v>
      </c>
      <c r="F130" s="5" t="s">
        <v>40</v>
      </c>
      <c r="G130" s="5" t="s">
        <v>24</v>
      </c>
      <c r="H130" s="5" t="n">
        <f aca="true">ROUND(RAND()*4+6,1)</f>
        <v>8</v>
      </c>
      <c r="I130" s="5" t="s">
        <v>41</v>
      </c>
      <c r="J130" s="5" t="str">
        <f aca="false">ROUND(82*1,0)&amp;"%"</f>
        <v>82%</v>
      </c>
    </row>
    <row r="131" customFormat="false" ht="15" hidden="false" customHeight="false" outlineLevel="0" collapsed="false">
      <c r="A131" s="6" t="s">
        <v>3118</v>
      </c>
      <c r="B131" s="6" t="s">
        <v>234</v>
      </c>
      <c r="C131" s="6" t="s">
        <v>95</v>
      </c>
      <c r="D131" s="6" t="s">
        <v>44</v>
      </c>
      <c r="E131" s="6" t="n">
        <f aca="false">ROUND(17300*1.05,2)</f>
        <v>18165</v>
      </c>
      <c r="F131" s="6" t="s">
        <v>45</v>
      </c>
      <c r="G131" s="6" t="s">
        <v>30</v>
      </c>
      <c r="H131" s="6" t="n">
        <f aca="true">ROUND(RAND()*4+6,1)</f>
        <v>10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3119</v>
      </c>
      <c r="B132" s="5" t="s">
        <v>236</v>
      </c>
      <c r="C132" s="5" t="s">
        <v>95</v>
      </c>
      <c r="D132" s="5" t="s">
        <v>16</v>
      </c>
      <c r="E132" s="5" t="n">
        <f aca="false">ROUND(10540*1.05,2)</f>
        <v>11067</v>
      </c>
      <c r="F132" s="5" t="s">
        <v>49</v>
      </c>
      <c r="G132" s="5" t="s">
        <v>18</v>
      </c>
      <c r="H132" s="5" t="n">
        <f aca="true">ROUND(RAND()*4+6,1)</f>
        <v>8.8</v>
      </c>
      <c r="I132" s="5" t="s">
        <v>19</v>
      </c>
      <c r="J132" s="5" t="str">
        <f aca="false">ROUND(96*1,0)&amp;"%"</f>
        <v>96%</v>
      </c>
    </row>
    <row r="133" customFormat="false" ht="15" hidden="false" customHeight="false" outlineLevel="0" collapsed="false">
      <c r="A133" s="6" t="s">
        <v>3120</v>
      </c>
      <c r="B133" s="6" t="s">
        <v>238</v>
      </c>
      <c r="C133" s="6" t="s">
        <v>95</v>
      </c>
      <c r="D133" s="6" t="s">
        <v>22</v>
      </c>
      <c r="E133" s="6" t="n">
        <f aca="false">ROUND(4786*1.05,2)</f>
        <v>5025.3</v>
      </c>
      <c r="F133" s="6" t="s">
        <v>52</v>
      </c>
      <c r="G133" s="6" t="s">
        <v>24</v>
      </c>
      <c r="H133" s="6" t="n">
        <f aca="true">ROUND(RAND()*4+6,1)</f>
        <v>8</v>
      </c>
      <c r="I133" s="6" t="s">
        <v>25</v>
      </c>
      <c r="J133" s="6" t="str">
        <f aca="false">ROUND(77*1,0)&amp;"%"</f>
        <v>77%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3121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3122</v>
      </c>
      <c r="B138" s="5" t="s">
        <v>242</v>
      </c>
      <c r="C138" s="5" t="s">
        <v>114</v>
      </c>
      <c r="D138" s="5" t="s">
        <v>16</v>
      </c>
      <c r="E138" s="5" t="n">
        <f aca="false">ROUND(9911*1.05,2)</f>
        <v>10406.55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ROUND(78*1,0)&amp;"%"</f>
        <v>78%</v>
      </c>
    </row>
    <row r="139" customFormat="false" ht="15" hidden="false" customHeight="false" outlineLevel="0" collapsed="false">
      <c r="A139" s="6" t="s">
        <v>3123</v>
      </c>
      <c r="B139" s="6" t="s">
        <v>244</v>
      </c>
      <c r="C139" s="6" t="s">
        <v>114</v>
      </c>
      <c r="D139" s="6" t="s">
        <v>22</v>
      </c>
      <c r="E139" s="6" t="n">
        <f aca="false">ROUND(17809*1.05,2)</f>
        <v>18699.45</v>
      </c>
      <c r="F139" s="6" t="s">
        <v>23</v>
      </c>
      <c r="G139" s="6" t="s">
        <v>24</v>
      </c>
      <c r="H139" s="6" t="n">
        <f aca="true">ROUND(RAND()*4+6,1)</f>
        <v>6</v>
      </c>
      <c r="I139" s="6" t="s">
        <v>25</v>
      </c>
      <c r="J139" s="6" t="str">
        <f aca="false">ROUND(90*1,0)&amp;"%"</f>
        <v>90%</v>
      </c>
    </row>
    <row r="140" customFormat="false" ht="15" hidden="false" customHeight="false" outlineLevel="0" collapsed="false">
      <c r="A140" s="5" t="s">
        <v>3124</v>
      </c>
      <c r="B140" s="5" t="s">
        <v>246</v>
      </c>
      <c r="C140" s="5" t="s">
        <v>114</v>
      </c>
      <c r="D140" s="5" t="s">
        <v>28</v>
      </c>
      <c r="E140" s="5" t="n">
        <f aca="false">ROUND(15340*1.05,2)</f>
        <v>16107</v>
      </c>
      <c r="F140" s="5" t="s">
        <v>29</v>
      </c>
      <c r="G140" s="5" t="s">
        <v>30</v>
      </c>
      <c r="H140" s="5" t="n">
        <f aca="true">ROUND(RAND()*4+6,1)</f>
        <v>9.3</v>
      </c>
      <c r="I140" s="5" t="s">
        <v>31</v>
      </c>
      <c r="J140" s="5" t="str">
        <f aca="false">ROUND(86*1,0)&amp;"%"</f>
        <v>86%</v>
      </c>
    </row>
    <row r="141" customFormat="false" ht="15" hidden="false" customHeight="false" outlineLevel="0" collapsed="false">
      <c r="A141" s="6" t="s">
        <v>3125</v>
      </c>
      <c r="B141" s="6" t="s">
        <v>248</v>
      </c>
      <c r="C141" s="6" t="s">
        <v>114</v>
      </c>
      <c r="D141" s="6" t="s">
        <v>34</v>
      </c>
      <c r="E141" s="6" t="n">
        <f aca="false">ROUND(6128*1.05,2)</f>
        <v>6434.4</v>
      </c>
      <c r="F141" s="6" t="s">
        <v>35</v>
      </c>
      <c r="G141" s="6" t="s">
        <v>18</v>
      </c>
      <c r="H141" s="6" t="n">
        <f aca="true">ROUND(RAND()*4+6,1)</f>
        <v>7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3126</v>
      </c>
      <c r="B142" s="5" t="s">
        <v>250</v>
      </c>
      <c r="C142" s="5" t="s">
        <v>114</v>
      </c>
      <c r="D142" s="5" t="s">
        <v>39</v>
      </c>
      <c r="E142" s="5" t="n">
        <f aca="false">ROUND(13696*1.05,2)</f>
        <v>14380.8</v>
      </c>
      <c r="F142" s="5" t="s">
        <v>40</v>
      </c>
      <c r="G142" s="5" t="s">
        <v>24</v>
      </c>
      <c r="H142" s="5" t="n">
        <f aca="true">ROUND(RAND()*4+6,1)</f>
        <v>6.7</v>
      </c>
      <c r="I142" s="5" t="s">
        <v>41</v>
      </c>
      <c r="J142" s="5" t="str">
        <f aca="false">ROUND(66*1,0)&amp;"%"</f>
        <v>66%</v>
      </c>
    </row>
    <row r="143" customFormat="false" ht="15" hidden="false" customHeight="false" outlineLevel="0" collapsed="false">
      <c r="A143" s="6" t="s">
        <v>3127</v>
      </c>
      <c r="B143" s="6" t="s">
        <v>252</v>
      </c>
      <c r="C143" s="6" t="s">
        <v>114</v>
      </c>
      <c r="D143" s="6" t="s">
        <v>44</v>
      </c>
      <c r="E143" s="6" t="n">
        <f aca="false">ROUND(8744*1.05,2)</f>
        <v>9181.2</v>
      </c>
      <c r="F143" s="6" t="s">
        <v>45</v>
      </c>
      <c r="G143" s="6" t="s">
        <v>30</v>
      </c>
      <c r="H143" s="6" t="n">
        <f aca="true">ROUND(RAND()*4+6,1)</f>
        <v>7.8</v>
      </c>
      <c r="I143" s="6" t="s">
        <v>46</v>
      </c>
      <c r="J143" s="6" t="str">
        <f aca="false">ROUND(99*1,0)&amp;"%"</f>
        <v>99%</v>
      </c>
    </row>
    <row r="144" customFormat="false" ht="15" hidden="false" customHeight="false" outlineLevel="0" collapsed="false">
      <c r="A144" s="5" t="s">
        <v>3128</v>
      </c>
      <c r="B144" s="5" t="s">
        <v>254</v>
      </c>
      <c r="C144" s="5" t="s">
        <v>114</v>
      </c>
      <c r="D144" s="5" t="s">
        <v>16</v>
      </c>
      <c r="E144" s="5" t="n">
        <f aca="false">ROUND(10985*1.05,2)</f>
        <v>11534.25</v>
      </c>
      <c r="F144" s="5" t="s">
        <v>49</v>
      </c>
      <c r="G144" s="5" t="s">
        <v>18</v>
      </c>
      <c r="H144" s="5" t="n">
        <f aca="true">ROUND(RAND()*4+6,1)</f>
        <v>6.1</v>
      </c>
      <c r="I144" s="5" t="s">
        <v>19</v>
      </c>
      <c r="J144" s="5" t="str">
        <f aca="false">ROUND(64*1,0)&amp;"%"</f>
        <v>64%</v>
      </c>
    </row>
    <row r="145" customFormat="false" ht="15" hidden="false" customHeight="false" outlineLevel="0" collapsed="false">
      <c r="A145" s="6" t="s">
        <v>3129</v>
      </c>
      <c r="B145" s="6" t="s">
        <v>256</v>
      </c>
      <c r="C145" s="6" t="s">
        <v>114</v>
      </c>
      <c r="D145" s="6" t="s">
        <v>22</v>
      </c>
      <c r="E145" s="6" t="n">
        <f aca="false">ROUND(6789*1.05,2)</f>
        <v>7128.45</v>
      </c>
      <c r="F145" s="6" t="s">
        <v>52</v>
      </c>
      <c r="G145" s="6" t="s">
        <v>24</v>
      </c>
      <c r="H145" s="6" t="n">
        <f aca="true">ROUND(RAND()*4+6,1)</f>
        <v>9.7</v>
      </c>
      <c r="I145" s="6" t="s">
        <v>25</v>
      </c>
      <c r="J145" s="6" t="str">
        <f aca="false">ROUND(72*1,0)&amp;"%"</f>
        <v>72%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3130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3131</v>
      </c>
      <c r="B150" s="5" t="s">
        <v>260</v>
      </c>
      <c r="C150" s="5" t="s">
        <v>133</v>
      </c>
      <c r="D150" s="5" t="s">
        <v>16</v>
      </c>
      <c r="E150" s="5" t="n">
        <f aca="false">ROUND(6446*1.05,2)</f>
        <v>6768.3</v>
      </c>
      <c r="F150" s="5" t="s">
        <v>17</v>
      </c>
      <c r="G150" s="5" t="s">
        <v>18</v>
      </c>
      <c r="H150" s="5" t="n">
        <f aca="true">ROUND(RAND()*4+6,1)</f>
        <v>7.2</v>
      </c>
      <c r="I150" s="5" t="s">
        <v>19</v>
      </c>
      <c r="J150" s="5" t="str">
        <f aca="false">ROUND(78*1,0)&amp;"%"</f>
        <v>78%</v>
      </c>
    </row>
    <row r="151" customFormat="false" ht="15" hidden="false" customHeight="false" outlineLevel="0" collapsed="false">
      <c r="A151" s="6" t="s">
        <v>3132</v>
      </c>
      <c r="B151" s="6" t="s">
        <v>262</v>
      </c>
      <c r="C151" s="6" t="s">
        <v>133</v>
      </c>
      <c r="D151" s="6" t="s">
        <v>22</v>
      </c>
      <c r="E151" s="6" t="n">
        <f aca="false">ROUND(10056*1.05,2)</f>
        <v>10558.8</v>
      </c>
      <c r="F151" s="6" t="s">
        <v>23</v>
      </c>
      <c r="G151" s="6" t="s">
        <v>24</v>
      </c>
      <c r="H151" s="6" t="n">
        <f aca="true">ROUND(RAND()*4+6,1)</f>
        <v>6.5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3133</v>
      </c>
      <c r="B152" s="5" t="s">
        <v>264</v>
      </c>
      <c r="C152" s="5" t="s">
        <v>133</v>
      </c>
      <c r="D152" s="5" t="s">
        <v>28</v>
      </c>
      <c r="E152" s="5" t="n">
        <f aca="false">ROUND(7335*1.05,2)</f>
        <v>7701.75</v>
      </c>
      <c r="F152" s="5" t="s">
        <v>29</v>
      </c>
      <c r="G152" s="5" t="s">
        <v>30</v>
      </c>
      <c r="H152" s="5" t="n">
        <f aca="true">ROUND(RAND()*4+6,1)</f>
        <v>9.1</v>
      </c>
      <c r="I152" s="5" t="s">
        <v>31</v>
      </c>
      <c r="J152" s="5" t="str">
        <f aca="false">ROUND(91*1,0)&amp;"%"</f>
        <v>91%</v>
      </c>
    </row>
    <row r="153" customFormat="false" ht="15" hidden="false" customHeight="false" outlineLevel="0" collapsed="false">
      <c r="A153" s="6" t="s">
        <v>3134</v>
      </c>
      <c r="B153" s="6" t="s">
        <v>266</v>
      </c>
      <c r="C153" s="6" t="s">
        <v>133</v>
      </c>
      <c r="D153" s="6" t="s">
        <v>34</v>
      </c>
      <c r="E153" s="6" t="n">
        <f aca="false">ROUND(14852*1.05,2)</f>
        <v>15594.6</v>
      </c>
      <c r="F153" s="6" t="s">
        <v>35</v>
      </c>
      <c r="G153" s="6" t="s">
        <v>18</v>
      </c>
      <c r="H153" s="6" t="n">
        <f aca="true">ROUND(RAND()*4+6,1)</f>
        <v>6.5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3135</v>
      </c>
      <c r="B154" s="5" t="s">
        <v>268</v>
      </c>
      <c r="C154" s="5" t="s">
        <v>133</v>
      </c>
      <c r="D154" s="5" t="s">
        <v>39</v>
      </c>
      <c r="E154" s="5" t="n">
        <f aca="false">ROUND(12027*1.05,2)</f>
        <v>12628.35</v>
      </c>
      <c r="F154" s="5" t="s">
        <v>40</v>
      </c>
      <c r="G154" s="5" t="s">
        <v>24</v>
      </c>
      <c r="H154" s="5" t="n">
        <f aca="true">ROUND(RAND()*4+6,1)</f>
        <v>7.4</v>
      </c>
      <c r="I154" s="5" t="s">
        <v>41</v>
      </c>
      <c r="J154" s="5" t="str">
        <f aca="false">ROUND(77*1,0)&amp;"%"</f>
        <v>77%</v>
      </c>
    </row>
    <row r="155" customFormat="false" ht="15" hidden="false" customHeight="false" outlineLevel="0" collapsed="false">
      <c r="A155" s="6" t="s">
        <v>3136</v>
      </c>
      <c r="B155" s="6" t="s">
        <v>270</v>
      </c>
      <c r="C155" s="6" t="s">
        <v>133</v>
      </c>
      <c r="D155" s="6" t="s">
        <v>44</v>
      </c>
      <c r="E155" s="6" t="n">
        <f aca="false">ROUND(7737*1.05,2)</f>
        <v>8123.85</v>
      </c>
      <c r="F155" s="6" t="s">
        <v>45</v>
      </c>
      <c r="G155" s="6" t="s">
        <v>30</v>
      </c>
      <c r="H155" s="6" t="n">
        <f aca="true">ROUND(RAND()*4+6,1)</f>
        <v>7.6</v>
      </c>
      <c r="I155" s="6" t="s">
        <v>46</v>
      </c>
      <c r="J155" s="6" t="str">
        <f aca="false">ROUND(72*1,0)&amp;"%"</f>
        <v>72%</v>
      </c>
    </row>
    <row r="156" customFormat="false" ht="15" hidden="false" customHeight="false" outlineLevel="0" collapsed="false">
      <c r="A156" s="5" t="s">
        <v>3137</v>
      </c>
      <c r="B156" s="5" t="s">
        <v>272</v>
      </c>
      <c r="C156" s="5" t="s">
        <v>133</v>
      </c>
      <c r="D156" s="5" t="s">
        <v>16</v>
      </c>
      <c r="E156" s="5" t="n">
        <f aca="false">ROUND(8509*1.05,2)</f>
        <v>8934.45</v>
      </c>
      <c r="F156" s="5" t="s">
        <v>49</v>
      </c>
      <c r="G156" s="5" t="s">
        <v>18</v>
      </c>
      <c r="H156" s="5" t="n">
        <f aca="true">ROUND(RAND()*4+6,1)</f>
        <v>8.7</v>
      </c>
      <c r="I156" s="5" t="s">
        <v>19</v>
      </c>
      <c r="J156" s="5" t="str">
        <f aca="false">ROUND(83*1,0)&amp;"%"</f>
        <v>83%</v>
      </c>
    </row>
    <row r="157" customFormat="false" ht="15" hidden="false" customHeight="false" outlineLevel="0" collapsed="false">
      <c r="A157" s="6" t="s">
        <v>3138</v>
      </c>
      <c r="B157" s="6" t="s">
        <v>274</v>
      </c>
      <c r="C157" s="6" t="s">
        <v>133</v>
      </c>
      <c r="D157" s="6" t="s">
        <v>22</v>
      </c>
      <c r="E157" s="6" t="n">
        <f aca="false">ROUND(8594*1.05,2)</f>
        <v>9023.7</v>
      </c>
      <c r="F157" s="6" t="s">
        <v>52</v>
      </c>
      <c r="G157" s="6" t="s">
        <v>24</v>
      </c>
      <c r="H157" s="6" t="n">
        <f aca="true">ROUND(RAND()*4+6,1)</f>
        <v>9.6</v>
      </c>
      <c r="I157" s="6" t="s">
        <v>25</v>
      </c>
      <c r="J157" s="6" t="str">
        <f aca="false">ROUND(68*1,0)&amp;"%"</f>
        <v>68%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3139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3140</v>
      </c>
      <c r="B162" s="5" t="s">
        <v>278</v>
      </c>
      <c r="C162" s="5" t="s">
        <v>152</v>
      </c>
      <c r="D162" s="5" t="s">
        <v>16</v>
      </c>
      <c r="E162" s="5" t="n">
        <f aca="false">ROUND(12830*1.05,2)</f>
        <v>13471.5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ROUND(68*1,0)&amp;"%"</f>
        <v>68%</v>
      </c>
    </row>
    <row r="163" customFormat="false" ht="15" hidden="false" customHeight="false" outlineLevel="0" collapsed="false">
      <c r="A163" s="6" t="s">
        <v>3141</v>
      </c>
      <c r="B163" s="6" t="s">
        <v>280</v>
      </c>
      <c r="C163" s="6" t="s">
        <v>152</v>
      </c>
      <c r="D163" s="6" t="s">
        <v>22</v>
      </c>
      <c r="E163" s="6" t="n">
        <f aca="false">ROUND(7130*1.05,2)</f>
        <v>7486.5</v>
      </c>
      <c r="F163" s="6" t="s">
        <v>23</v>
      </c>
      <c r="G163" s="6" t="s">
        <v>24</v>
      </c>
      <c r="H163" s="6" t="n">
        <f aca="true">ROUND(RAND()*4+6,1)</f>
        <v>6.2</v>
      </c>
      <c r="I163" s="6" t="s">
        <v>25</v>
      </c>
      <c r="J163" s="6" t="str">
        <f aca="false">ROUND(60*1,0)&amp;"%"</f>
        <v>60%</v>
      </c>
    </row>
    <row r="164" customFormat="false" ht="15" hidden="false" customHeight="false" outlineLevel="0" collapsed="false">
      <c r="A164" s="5" t="s">
        <v>3142</v>
      </c>
      <c r="B164" s="5" t="s">
        <v>282</v>
      </c>
      <c r="C164" s="5" t="s">
        <v>152</v>
      </c>
      <c r="D164" s="5" t="s">
        <v>28</v>
      </c>
      <c r="E164" s="5" t="n">
        <f aca="false">ROUND(4985*1.05,2)</f>
        <v>5234.25</v>
      </c>
      <c r="F164" s="5" t="s">
        <v>29</v>
      </c>
      <c r="G164" s="5" t="s">
        <v>30</v>
      </c>
      <c r="H164" s="5" t="n">
        <f aca="true">ROUND(RAND()*4+6,1)</f>
        <v>8.2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3143</v>
      </c>
      <c r="B165" s="6" t="s">
        <v>284</v>
      </c>
      <c r="C165" s="6" t="s">
        <v>152</v>
      </c>
      <c r="D165" s="6" t="s">
        <v>34</v>
      </c>
      <c r="E165" s="6" t="n">
        <f aca="false">ROUND(6824*1.05,2)</f>
        <v>7165.2</v>
      </c>
      <c r="F165" s="6" t="s">
        <v>35</v>
      </c>
      <c r="G165" s="6" t="s">
        <v>18</v>
      </c>
      <c r="H165" s="6" t="n">
        <f aca="true">ROUND(RAND()*4+6,1)</f>
        <v>9.3</v>
      </c>
      <c r="I165" s="6" t="s">
        <v>36</v>
      </c>
      <c r="J165" s="6" t="str">
        <f aca="false">ROUND(98*1,0)&amp;"%"</f>
        <v>98%</v>
      </c>
    </row>
    <row r="166" customFormat="false" ht="15" hidden="false" customHeight="false" outlineLevel="0" collapsed="false">
      <c r="A166" s="5" t="s">
        <v>3144</v>
      </c>
      <c r="B166" s="5" t="s">
        <v>286</v>
      </c>
      <c r="C166" s="5" t="s">
        <v>152</v>
      </c>
      <c r="D166" s="5" t="s">
        <v>39</v>
      </c>
      <c r="E166" s="5" t="n">
        <f aca="false">ROUND(12257*1.05,2)</f>
        <v>12869.85</v>
      </c>
      <c r="F166" s="5" t="s">
        <v>40</v>
      </c>
      <c r="G166" s="5" t="s">
        <v>24</v>
      </c>
      <c r="H166" s="5" t="n">
        <f aca="true">ROUND(RAND()*4+6,1)</f>
        <v>7.1</v>
      </c>
      <c r="I166" s="5" t="s">
        <v>41</v>
      </c>
      <c r="J166" s="5" t="str">
        <f aca="false">ROUND(95*1,0)&amp;"%"</f>
        <v>95%</v>
      </c>
    </row>
    <row r="167" customFormat="false" ht="15" hidden="false" customHeight="false" outlineLevel="0" collapsed="false">
      <c r="A167" s="6" t="s">
        <v>3145</v>
      </c>
      <c r="B167" s="6" t="s">
        <v>288</v>
      </c>
      <c r="C167" s="6" t="s">
        <v>152</v>
      </c>
      <c r="D167" s="6" t="s">
        <v>44</v>
      </c>
      <c r="E167" s="6" t="n">
        <f aca="false">ROUND(13001*1.05,2)</f>
        <v>13651.05</v>
      </c>
      <c r="F167" s="6" t="s">
        <v>45</v>
      </c>
      <c r="G167" s="6" t="s">
        <v>30</v>
      </c>
      <c r="H167" s="6" t="n">
        <f aca="true">ROUND(RAND()*4+6,1)</f>
        <v>9.5</v>
      </c>
      <c r="I167" s="6" t="s">
        <v>46</v>
      </c>
      <c r="J167" s="6" t="str">
        <f aca="false">ROUND(85*1,0)&amp;"%"</f>
        <v>85%</v>
      </c>
    </row>
    <row r="168" customFormat="false" ht="15" hidden="false" customHeight="false" outlineLevel="0" collapsed="false">
      <c r="A168" s="5" t="s">
        <v>3146</v>
      </c>
      <c r="B168" s="5" t="s">
        <v>290</v>
      </c>
      <c r="C168" s="5" t="s">
        <v>152</v>
      </c>
      <c r="D168" s="5" t="s">
        <v>16</v>
      </c>
      <c r="E168" s="5" t="n">
        <f aca="false">ROUND(13006*1.05,2)</f>
        <v>13656.3</v>
      </c>
      <c r="F168" s="5" t="s">
        <v>49</v>
      </c>
      <c r="G168" s="5" t="s">
        <v>18</v>
      </c>
      <c r="H168" s="5" t="n">
        <f aca="true">ROUND(RAND()*4+6,1)</f>
        <v>6.5</v>
      </c>
      <c r="I168" s="5" t="s">
        <v>19</v>
      </c>
      <c r="J168" s="5" t="str">
        <f aca="false">ROUND(70*1,0)&amp;"%"</f>
        <v>70%</v>
      </c>
    </row>
    <row r="169" customFormat="false" ht="15" hidden="false" customHeight="false" outlineLevel="0" collapsed="false">
      <c r="A169" s="6" t="s">
        <v>3147</v>
      </c>
      <c r="B169" s="6" t="s">
        <v>292</v>
      </c>
      <c r="C169" s="6" t="s">
        <v>152</v>
      </c>
      <c r="D169" s="6" t="s">
        <v>22</v>
      </c>
      <c r="E169" s="6" t="n">
        <f aca="false">ROUND(14422*1.05,2)</f>
        <v>15143.1</v>
      </c>
      <c r="F169" s="6" t="s">
        <v>52</v>
      </c>
      <c r="G169" s="6" t="s">
        <v>24</v>
      </c>
      <c r="H169" s="6" t="n">
        <f aca="true">ROUND(RAND()*4+6,1)</f>
        <v>7.1</v>
      </c>
      <c r="I169" s="6" t="s">
        <v>25</v>
      </c>
      <c r="J169" s="6" t="str">
        <f aca="false">ROUND(70*1,0)&amp;"%"</f>
        <v>70%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3148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3149</v>
      </c>
      <c r="B174" s="5" t="s">
        <v>296</v>
      </c>
      <c r="C174" s="5" t="s">
        <v>15</v>
      </c>
      <c r="D174" s="5" t="s">
        <v>16</v>
      </c>
      <c r="E174" s="5" t="n">
        <f aca="false">ROUND(4027*1.05,2)</f>
        <v>4228.35</v>
      </c>
      <c r="F174" s="5" t="s">
        <v>17</v>
      </c>
      <c r="G174" s="5" t="s">
        <v>18</v>
      </c>
      <c r="H174" s="5" t="n">
        <f aca="true">ROUND(RAND()*4+6,1)</f>
        <v>6.6</v>
      </c>
      <c r="I174" s="5" t="s">
        <v>19</v>
      </c>
      <c r="J174" s="5" t="str">
        <f aca="false">ROUND(70*1,0)&amp;"%"</f>
        <v>70%</v>
      </c>
    </row>
    <row r="175" customFormat="false" ht="15" hidden="false" customHeight="false" outlineLevel="0" collapsed="false">
      <c r="A175" s="6" t="s">
        <v>3150</v>
      </c>
      <c r="B175" s="6" t="s">
        <v>298</v>
      </c>
      <c r="C175" s="6" t="s">
        <v>15</v>
      </c>
      <c r="D175" s="6" t="s">
        <v>22</v>
      </c>
      <c r="E175" s="6" t="n">
        <f aca="false">ROUND(4948*1.05,2)</f>
        <v>5195.4</v>
      </c>
      <c r="F175" s="6" t="s">
        <v>23</v>
      </c>
      <c r="G175" s="6" t="s">
        <v>24</v>
      </c>
      <c r="H175" s="6" t="n">
        <f aca="true">ROUND(RAND()*4+6,1)</f>
        <v>8.1</v>
      </c>
      <c r="I175" s="6" t="s">
        <v>25</v>
      </c>
      <c r="J175" s="6" t="str">
        <f aca="false">ROUND(76*1,0)&amp;"%"</f>
        <v>76%</v>
      </c>
    </row>
    <row r="176" customFormat="false" ht="15" hidden="false" customHeight="false" outlineLevel="0" collapsed="false">
      <c r="A176" s="5" t="s">
        <v>3151</v>
      </c>
      <c r="B176" s="5" t="s">
        <v>300</v>
      </c>
      <c r="C176" s="5" t="s">
        <v>15</v>
      </c>
      <c r="D176" s="5" t="s">
        <v>28</v>
      </c>
      <c r="E176" s="5" t="n">
        <f aca="false">ROUND(16240*1.05,2)</f>
        <v>17052</v>
      </c>
      <c r="F176" s="5" t="s">
        <v>29</v>
      </c>
      <c r="G176" s="5" t="s">
        <v>30</v>
      </c>
      <c r="H176" s="5" t="n">
        <f aca="true">ROUND(RAND()*4+6,1)</f>
        <v>9.6</v>
      </c>
      <c r="I176" s="5" t="s">
        <v>31</v>
      </c>
      <c r="J176" s="5" t="str">
        <f aca="false">ROUND(86*1,0)&amp;"%"</f>
        <v>86%</v>
      </c>
    </row>
    <row r="177" customFormat="false" ht="15" hidden="false" customHeight="false" outlineLevel="0" collapsed="false">
      <c r="A177" s="6" t="s">
        <v>3152</v>
      </c>
      <c r="B177" s="6" t="s">
        <v>302</v>
      </c>
      <c r="C177" s="6" t="s">
        <v>15</v>
      </c>
      <c r="D177" s="6" t="s">
        <v>34</v>
      </c>
      <c r="E177" s="6" t="n">
        <f aca="false">ROUND(11823*1.05,2)</f>
        <v>12414.15</v>
      </c>
      <c r="F177" s="6" t="s">
        <v>35</v>
      </c>
      <c r="G177" s="6" t="s">
        <v>18</v>
      </c>
      <c r="H177" s="6" t="n">
        <f aca="true">ROUND(RAND()*4+6,1)</f>
        <v>7.1</v>
      </c>
      <c r="I177" s="6" t="s">
        <v>36</v>
      </c>
      <c r="J177" s="6" t="str">
        <f aca="false">ROUND(100*1,0)&amp;"%"</f>
        <v>100%</v>
      </c>
    </row>
    <row r="178" customFormat="false" ht="15" hidden="false" customHeight="false" outlineLevel="0" collapsed="false">
      <c r="A178" s="5" t="s">
        <v>3153</v>
      </c>
      <c r="B178" s="5" t="s">
        <v>304</v>
      </c>
      <c r="C178" s="5" t="s">
        <v>15</v>
      </c>
      <c r="D178" s="5" t="s">
        <v>39</v>
      </c>
      <c r="E178" s="5" t="n">
        <f aca="false">ROUND(4980*1.05,2)</f>
        <v>5229</v>
      </c>
      <c r="F178" s="5" t="s">
        <v>40</v>
      </c>
      <c r="G178" s="5" t="s">
        <v>24</v>
      </c>
      <c r="H178" s="5" t="n">
        <f aca="true">ROUND(RAND()*4+6,1)</f>
        <v>8.3</v>
      </c>
      <c r="I178" s="5" t="s">
        <v>41</v>
      </c>
      <c r="J178" s="5" t="str">
        <f aca="false">ROUND(75*1,0)&amp;"%"</f>
        <v>75%</v>
      </c>
    </row>
    <row r="179" customFormat="false" ht="15" hidden="false" customHeight="false" outlineLevel="0" collapsed="false">
      <c r="A179" s="6" t="s">
        <v>3154</v>
      </c>
      <c r="B179" s="6" t="s">
        <v>306</v>
      </c>
      <c r="C179" s="6" t="s">
        <v>15</v>
      </c>
      <c r="D179" s="6" t="s">
        <v>44</v>
      </c>
      <c r="E179" s="6" t="n">
        <f aca="false">ROUND(15002*1.05,2)</f>
        <v>15752.1</v>
      </c>
      <c r="F179" s="6" t="s">
        <v>45</v>
      </c>
      <c r="G179" s="6" t="s">
        <v>30</v>
      </c>
      <c r="H179" s="6" t="n">
        <f aca="true">ROUND(RAND()*4+6,1)</f>
        <v>6.9</v>
      </c>
      <c r="I179" s="6" t="s">
        <v>46</v>
      </c>
      <c r="J179" s="6" t="str">
        <f aca="false">ROUND(81*1,0)&amp;"%"</f>
        <v>81%</v>
      </c>
    </row>
    <row r="180" customFormat="false" ht="15" hidden="false" customHeight="false" outlineLevel="0" collapsed="false">
      <c r="A180" s="5" t="s">
        <v>3155</v>
      </c>
      <c r="B180" s="5" t="s">
        <v>308</v>
      </c>
      <c r="C180" s="5" t="s">
        <v>15</v>
      </c>
      <c r="D180" s="5" t="s">
        <v>16</v>
      </c>
      <c r="E180" s="5" t="n">
        <f aca="false">ROUND(15677*1.05,2)</f>
        <v>16460.85</v>
      </c>
      <c r="F180" s="5" t="s">
        <v>49</v>
      </c>
      <c r="G180" s="5" t="s">
        <v>18</v>
      </c>
      <c r="H180" s="5" t="n">
        <f aca="true">ROUND(RAND()*4+6,1)</f>
        <v>9.8</v>
      </c>
      <c r="I180" s="5" t="s">
        <v>19</v>
      </c>
      <c r="J180" s="5" t="str">
        <f aca="false">ROUND(99*1,0)&amp;"%"</f>
        <v>99%</v>
      </c>
    </row>
    <row r="181" customFormat="false" ht="15" hidden="false" customHeight="false" outlineLevel="0" collapsed="false">
      <c r="A181" s="6" t="s">
        <v>3156</v>
      </c>
      <c r="B181" s="6" t="s">
        <v>310</v>
      </c>
      <c r="C181" s="6" t="s">
        <v>15</v>
      </c>
      <c r="D181" s="6" t="s">
        <v>22</v>
      </c>
      <c r="E181" s="6" t="n">
        <f aca="false">ROUND(6194*1.05,2)</f>
        <v>6503.7</v>
      </c>
      <c r="F181" s="6" t="s">
        <v>52</v>
      </c>
      <c r="G181" s="6" t="s">
        <v>24</v>
      </c>
      <c r="H181" s="6" t="n">
        <f aca="true">ROUND(RAND()*4+6,1)</f>
        <v>7.2</v>
      </c>
      <c r="I181" s="6" t="s">
        <v>25</v>
      </c>
      <c r="J181" s="6" t="str">
        <f aca="false">ROUND(62*1,0)&amp;"%"</f>
        <v>62%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3157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3158</v>
      </c>
      <c r="B186" s="5" t="s">
        <v>314</v>
      </c>
      <c r="C186" s="5" t="s">
        <v>57</v>
      </c>
      <c r="D186" s="5" t="s">
        <v>16</v>
      </c>
      <c r="E186" s="5" t="n">
        <f aca="false">ROUND(13138*1.05,2)</f>
        <v>13794.9</v>
      </c>
      <c r="F186" s="5" t="s">
        <v>17</v>
      </c>
      <c r="G186" s="5" t="s">
        <v>18</v>
      </c>
      <c r="H186" s="5" t="n">
        <f aca="true">ROUND(RAND()*4+6,1)</f>
        <v>8.6</v>
      </c>
      <c r="I186" s="5" t="s">
        <v>19</v>
      </c>
      <c r="J186" s="5" t="str">
        <f aca="false">ROUND(91*1,0)&amp;"%"</f>
        <v>91%</v>
      </c>
    </row>
    <row r="187" customFormat="false" ht="15" hidden="false" customHeight="false" outlineLevel="0" collapsed="false">
      <c r="A187" s="6" t="s">
        <v>3159</v>
      </c>
      <c r="B187" s="6" t="s">
        <v>316</v>
      </c>
      <c r="C187" s="6" t="s">
        <v>57</v>
      </c>
      <c r="D187" s="6" t="s">
        <v>22</v>
      </c>
      <c r="E187" s="6" t="n">
        <f aca="false">ROUND(15929*1.05,2)</f>
        <v>16725.45</v>
      </c>
      <c r="F187" s="6" t="s">
        <v>23</v>
      </c>
      <c r="G187" s="6" t="s">
        <v>24</v>
      </c>
      <c r="H187" s="6" t="n">
        <f aca="true">ROUND(RAND()*4+6,1)</f>
        <v>8.9</v>
      </c>
      <c r="I187" s="6" t="s">
        <v>25</v>
      </c>
      <c r="J187" s="6" t="str">
        <f aca="false">ROUND(65*1,0)&amp;"%"</f>
        <v>65%</v>
      </c>
    </row>
    <row r="188" customFormat="false" ht="15" hidden="false" customHeight="false" outlineLevel="0" collapsed="false">
      <c r="A188" s="5" t="s">
        <v>3160</v>
      </c>
      <c r="B188" s="5" t="s">
        <v>318</v>
      </c>
      <c r="C188" s="5" t="s">
        <v>57</v>
      </c>
      <c r="D188" s="5" t="s">
        <v>28</v>
      </c>
      <c r="E188" s="5" t="n">
        <f aca="false">ROUND(8623*1.05,2)</f>
        <v>9054.15</v>
      </c>
      <c r="F188" s="5" t="s">
        <v>29</v>
      </c>
      <c r="G188" s="5" t="s">
        <v>30</v>
      </c>
      <c r="H188" s="5" t="n">
        <f aca="true">ROUND(RAND()*4+6,1)</f>
        <v>7.2</v>
      </c>
      <c r="I188" s="5" t="s">
        <v>31</v>
      </c>
      <c r="J188" s="5" t="str">
        <f aca="false">ROUND(99*1,0)&amp;"%"</f>
        <v>99%</v>
      </c>
    </row>
    <row r="189" customFormat="false" ht="15" hidden="false" customHeight="false" outlineLevel="0" collapsed="false">
      <c r="A189" s="6" t="s">
        <v>3161</v>
      </c>
      <c r="B189" s="6" t="s">
        <v>320</v>
      </c>
      <c r="C189" s="6" t="s">
        <v>57</v>
      </c>
      <c r="D189" s="6" t="s">
        <v>34</v>
      </c>
      <c r="E189" s="6" t="n">
        <f aca="false">ROUND(15808*1.05,2)</f>
        <v>16598.4</v>
      </c>
      <c r="F189" s="6" t="s">
        <v>35</v>
      </c>
      <c r="G189" s="6" t="s">
        <v>18</v>
      </c>
      <c r="H189" s="6" t="n">
        <f aca="true">ROUND(RAND()*4+6,1)</f>
        <v>10</v>
      </c>
      <c r="I189" s="6" t="s">
        <v>36</v>
      </c>
      <c r="J189" s="6" t="str">
        <f aca="false">ROUND(96*1,0)&amp;"%"</f>
        <v>96%</v>
      </c>
    </row>
    <row r="190" customFormat="false" ht="15" hidden="false" customHeight="false" outlineLevel="0" collapsed="false">
      <c r="A190" s="5" t="s">
        <v>3162</v>
      </c>
      <c r="B190" s="5" t="s">
        <v>322</v>
      </c>
      <c r="C190" s="5" t="s">
        <v>57</v>
      </c>
      <c r="D190" s="5" t="s">
        <v>39</v>
      </c>
      <c r="E190" s="5" t="n">
        <f aca="false">ROUND(10093*1.05,2)</f>
        <v>10597.65</v>
      </c>
      <c r="F190" s="5" t="s">
        <v>40</v>
      </c>
      <c r="G190" s="5" t="s">
        <v>24</v>
      </c>
      <c r="H190" s="5" t="n">
        <f aca="true">ROUND(RAND()*4+6,1)</f>
        <v>8.6</v>
      </c>
      <c r="I190" s="5" t="s">
        <v>41</v>
      </c>
      <c r="J190" s="5" t="str">
        <f aca="false">ROUND(80*1,0)&amp;"%"</f>
        <v>80%</v>
      </c>
    </row>
    <row r="191" customFormat="false" ht="15" hidden="false" customHeight="false" outlineLevel="0" collapsed="false">
      <c r="A191" s="6" t="s">
        <v>3163</v>
      </c>
      <c r="B191" s="6" t="s">
        <v>324</v>
      </c>
      <c r="C191" s="6" t="s">
        <v>57</v>
      </c>
      <c r="D191" s="6" t="s">
        <v>44</v>
      </c>
      <c r="E191" s="6" t="n">
        <f aca="false">ROUND(4414*1.05,2)</f>
        <v>4634.7</v>
      </c>
      <c r="F191" s="6" t="s">
        <v>45</v>
      </c>
      <c r="G191" s="6" t="s">
        <v>30</v>
      </c>
      <c r="H191" s="6" t="n">
        <f aca="true">ROUND(RAND()*4+6,1)</f>
        <v>7.1</v>
      </c>
      <c r="I191" s="6" t="s">
        <v>46</v>
      </c>
      <c r="J191" s="6" t="str">
        <f aca="false">ROUND(88*1,0)&amp;"%"</f>
        <v>88%</v>
      </c>
    </row>
    <row r="192" customFormat="false" ht="15" hidden="false" customHeight="false" outlineLevel="0" collapsed="false">
      <c r="A192" s="5" t="s">
        <v>3164</v>
      </c>
      <c r="B192" s="5" t="s">
        <v>326</v>
      </c>
      <c r="C192" s="5" t="s">
        <v>57</v>
      </c>
      <c r="D192" s="5" t="s">
        <v>16</v>
      </c>
      <c r="E192" s="5" t="n">
        <f aca="false">ROUND(14765*1.05,2)</f>
        <v>15503.25</v>
      </c>
      <c r="F192" s="5" t="s">
        <v>49</v>
      </c>
      <c r="G192" s="5" t="s">
        <v>18</v>
      </c>
      <c r="H192" s="5" t="n">
        <f aca="true">ROUND(RAND()*4+6,1)</f>
        <v>9.5</v>
      </c>
      <c r="I192" s="5" t="s">
        <v>19</v>
      </c>
      <c r="J192" s="5" t="str">
        <f aca="false">ROUND(83*1,0)&amp;"%"</f>
        <v>83%</v>
      </c>
    </row>
    <row r="193" customFormat="false" ht="15" hidden="false" customHeight="false" outlineLevel="0" collapsed="false">
      <c r="A193" s="6" t="s">
        <v>3165</v>
      </c>
      <c r="B193" s="6" t="s">
        <v>328</v>
      </c>
      <c r="C193" s="6" t="s">
        <v>57</v>
      </c>
      <c r="D193" s="6" t="s">
        <v>22</v>
      </c>
      <c r="E193" s="6" t="n">
        <f aca="false">ROUND(9472*1.05,2)</f>
        <v>9945.6</v>
      </c>
      <c r="F193" s="6" t="s">
        <v>52</v>
      </c>
      <c r="G193" s="6" t="s">
        <v>24</v>
      </c>
      <c r="H193" s="6" t="n">
        <f aca="true">ROUND(RAND()*4+6,1)</f>
        <v>9.5</v>
      </c>
      <c r="I193" s="6" t="s">
        <v>25</v>
      </c>
      <c r="J193" s="6" t="str">
        <f aca="false">ROUND(75*1,0)&amp;"%"</f>
        <v>75%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3166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3167</v>
      </c>
      <c r="B198" s="5" t="s">
        <v>332</v>
      </c>
      <c r="C198" s="5" t="s">
        <v>76</v>
      </c>
      <c r="D198" s="5" t="s">
        <v>16</v>
      </c>
      <c r="E198" s="5" t="n">
        <f aca="false">ROUND(14967*1.05,2)</f>
        <v>15715.35</v>
      </c>
      <c r="F198" s="5" t="s">
        <v>17</v>
      </c>
      <c r="G198" s="5" t="s">
        <v>18</v>
      </c>
      <c r="H198" s="5" t="n">
        <f aca="true">ROUND(RAND()*4+6,1)</f>
        <v>6.1</v>
      </c>
      <c r="I198" s="5" t="s">
        <v>19</v>
      </c>
      <c r="J198" s="5" t="str">
        <f aca="false">ROUND(83*1,0)&amp;"%"</f>
        <v>83%</v>
      </c>
    </row>
    <row r="199" customFormat="false" ht="15" hidden="false" customHeight="false" outlineLevel="0" collapsed="false">
      <c r="A199" s="6" t="s">
        <v>3168</v>
      </c>
      <c r="B199" s="6" t="s">
        <v>334</v>
      </c>
      <c r="C199" s="6" t="s">
        <v>76</v>
      </c>
      <c r="D199" s="6" t="s">
        <v>22</v>
      </c>
      <c r="E199" s="6" t="n">
        <f aca="false">ROUND(11122*1.05,2)</f>
        <v>11678.1</v>
      </c>
      <c r="F199" s="6" t="s">
        <v>23</v>
      </c>
      <c r="G199" s="6" t="s">
        <v>24</v>
      </c>
      <c r="H199" s="6" t="n">
        <f aca="true">ROUND(RAND()*4+6,1)</f>
        <v>6.5</v>
      </c>
      <c r="I199" s="6" t="s">
        <v>25</v>
      </c>
      <c r="J199" s="6" t="str">
        <f aca="false">ROUND(61*1,0)&amp;"%"</f>
        <v>61%</v>
      </c>
    </row>
    <row r="200" customFormat="false" ht="15" hidden="false" customHeight="false" outlineLevel="0" collapsed="false">
      <c r="A200" s="5" t="s">
        <v>3169</v>
      </c>
      <c r="B200" s="5" t="s">
        <v>336</v>
      </c>
      <c r="C200" s="5" t="s">
        <v>76</v>
      </c>
      <c r="D200" s="5" t="s">
        <v>28</v>
      </c>
      <c r="E200" s="5" t="n">
        <f aca="false">ROUND(11203*1.05,2)</f>
        <v>11763.15</v>
      </c>
      <c r="F200" s="5" t="s">
        <v>29</v>
      </c>
      <c r="G200" s="5" t="s">
        <v>30</v>
      </c>
      <c r="H200" s="5" t="n">
        <f aca="true">ROUND(RAND()*4+6,1)</f>
        <v>7.6</v>
      </c>
      <c r="I200" s="5" t="s">
        <v>31</v>
      </c>
      <c r="J200" s="5" t="str">
        <f aca="false">ROUND(75*1,0)&amp;"%"</f>
        <v>75%</v>
      </c>
    </row>
    <row r="201" customFormat="false" ht="15" hidden="false" customHeight="false" outlineLevel="0" collapsed="false">
      <c r="A201" s="6" t="s">
        <v>3170</v>
      </c>
      <c r="B201" s="6" t="s">
        <v>338</v>
      </c>
      <c r="C201" s="6" t="s">
        <v>76</v>
      </c>
      <c r="D201" s="6" t="s">
        <v>34</v>
      </c>
      <c r="E201" s="6" t="n">
        <f aca="false">ROUND(11661*1.05,2)</f>
        <v>12244.05</v>
      </c>
      <c r="F201" s="6" t="s">
        <v>35</v>
      </c>
      <c r="G201" s="6" t="s">
        <v>18</v>
      </c>
      <c r="H201" s="6" t="n">
        <f aca="true">ROUND(RAND()*4+6,1)</f>
        <v>6.1</v>
      </c>
      <c r="I201" s="6" t="s">
        <v>36</v>
      </c>
      <c r="J201" s="6" t="str">
        <f aca="false">ROUND(77*1,0)&amp;"%"</f>
        <v>77%</v>
      </c>
    </row>
    <row r="202" customFormat="false" ht="15" hidden="false" customHeight="false" outlineLevel="0" collapsed="false">
      <c r="A202" s="5" t="s">
        <v>3171</v>
      </c>
      <c r="B202" s="5" t="s">
        <v>340</v>
      </c>
      <c r="C202" s="5" t="s">
        <v>76</v>
      </c>
      <c r="D202" s="5" t="s">
        <v>39</v>
      </c>
      <c r="E202" s="5" t="n">
        <f aca="false">ROUND(6818*1.05,2)</f>
        <v>7158.9</v>
      </c>
      <c r="F202" s="5" t="s">
        <v>40</v>
      </c>
      <c r="G202" s="5" t="s">
        <v>24</v>
      </c>
      <c r="H202" s="5" t="n">
        <f aca="true">ROUND(RAND()*4+6,1)</f>
        <v>7.5</v>
      </c>
      <c r="I202" s="5" t="s">
        <v>41</v>
      </c>
      <c r="J202" s="5" t="str">
        <f aca="false">ROUND(74*1,0)&amp;"%"</f>
        <v>74%</v>
      </c>
    </row>
    <row r="203" customFormat="false" ht="15" hidden="false" customHeight="false" outlineLevel="0" collapsed="false">
      <c r="A203" s="6" t="s">
        <v>3172</v>
      </c>
      <c r="B203" s="6" t="s">
        <v>342</v>
      </c>
      <c r="C203" s="6" t="s">
        <v>76</v>
      </c>
      <c r="D203" s="6" t="s">
        <v>44</v>
      </c>
      <c r="E203" s="6" t="n">
        <f aca="false">ROUND(16657*1.05,2)</f>
        <v>17489.85</v>
      </c>
      <c r="F203" s="6" t="s">
        <v>45</v>
      </c>
      <c r="G203" s="6" t="s">
        <v>30</v>
      </c>
      <c r="H203" s="6" t="n">
        <f aca="true">ROUND(RAND()*4+6,1)</f>
        <v>7.3</v>
      </c>
      <c r="I203" s="6" t="s">
        <v>46</v>
      </c>
      <c r="J203" s="6" t="str">
        <f aca="false">ROUND(83*1,0)&amp;"%"</f>
        <v>83%</v>
      </c>
    </row>
    <row r="204" customFormat="false" ht="15" hidden="false" customHeight="false" outlineLevel="0" collapsed="false">
      <c r="A204" s="5" t="s">
        <v>3173</v>
      </c>
      <c r="B204" s="5" t="s">
        <v>344</v>
      </c>
      <c r="C204" s="5" t="s">
        <v>76</v>
      </c>
      <c r="D204" s="5" t="s">
        <v>16</v>
      </c>
      <c r="E204" s="5" t="n">
        <f aca="false">ROUND(14149*1.05,2)</f>
        <v>14856.45</v>
      </c>
      <c r="F204" s="5" t="s">
        <v>49</v>
      </c>
      <c r="G204" s="5" t="s">
        <v>18</v>
      </c>
      <c r="H204" s="5" t="n">
        <f aca="true">ROUND(RAND()*4+6,1)</f>
        <v>8.4</v>
      </c>
      <c r="I204" s="5" t="s">
        <v>19</v>
      </c>
      <c r="J204" s="5" t="str">
        <f aca="false">ROUND(95*1,0)&amp;"%"</f>
        <v>95%</v>
      </c>
    </row>
    <row r="205" customFormat="false" ht="15" hidden="false" customHeight="false" outlineLevel="0" collapsed="false">
      <c r="A205" s="6" t="s">
        <v>3174</v>
      </c>
      <c r="B205" s="6" t="s">
        <v>346</v>
      </c>
      <c r="C205" s="6" t="s">
        <v>76</v>
      </c>
      <c r="D205" s="6" t="s">
        <v>22</v>
      </c>
      <c r="E205" s="6" t="n">
        <f aca="false">ROUND(14958*1.05,2)</f>
        <v>15705.9</v>
      </c>
      <c r="F205" s="6" t="s">
        <v>52</v>
      </c>
      <c r="G205" s="6" t="s">
        <v>24</v>
      </c>
      <c r="H205" s="6" t="n">
        <f aca="true">ROUND(RAND()*4+6,1)</f>
        <v>9.2</v>
      </c>
      <c r="I205" s="6" t="s">
        <v>25</v>
      </c>
      <c r="J205" s="6" t="str">
        <f aca="false">ROUND(73*1,0)&amp;"%"</f>
        <v>73%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3175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3176</v>
      </c>
      <c r="B210" s="5" t="s">
        <v>350</v>
      </c>
      <c r="C210" s="5" t="s">
        <v>95</v>
      </c>
      <c r="D210" s="5" t="s">
        <v>16</v>
      </c>
      <c r="E210" s="5" t="n">
        <f aca="false">ROUND(14829*1.05,2)</f>
        <v>15570.45</v>
      </c>
      <c r="F210" s="5" t="s">
        <v>17</v>
      </c>
      <c r="G210" s="5" t="s">
        <v>18</v>
      </c>
      <c r="H210" s="5" t="n">
        <f aca="true">ROUND(RAND()*4+6,1)</f>
        <v>6.8</v>
      </c>
      <c r="I210" s="5" t="s">
        <v>19</v>
      </c>
      <c r="J210" s="5" t="str">
        <f aca="false">ROUND(87*1,0)&amp;"%"</f>
        <v>87%</v>
      </c>
    </row>
    <row r="211" customFormat="false" ht="15" hidden="false" customHeight="false" outlineLevel="0" collapsed="false">
      <c r="A211" s="6" t="s">
        <v>3177</v>
      </c>
      <c r="B211" s="6" t="s">
        <v>352</v>
      </c>
      <c r="C211" s="6" t="s">
        <v>95</v>
      </c>
      <c r="D211" s="6" t="s">
        <v>22</v>
      </c>
      <c r="E211" s="6" t="n">
        <f aca="false">ROUND(12282*1.05,2)</f>
        <v>12896.1</v>
      </c>
      <c r="F211" s="6" t="s">
        <v>23</v>
      </c>
      <c r="G211" s="6" t="s">
        <v>24</v>
      </c>
      <c r="H211" s="6" t="n">
        <f aca="true">ROUND(RAND()*4+6,1)</f>
        <v>9</v>
      </c>
      <c r="I211" s="6" t="s">
        <v>25</v>
      </c>
      <c r="J211" s="6" t="str">
        <f aca="false">ROUND(69*1,0)&amp;"%"</f>
        <v>69%</v>
      </c>
    </row>
    <row r="212" customFormat="false" ht="15" hidden="false" customHeight="false" outlineLevel="0" collapsed="false">
      <c r="A212" s="5" t="s">
        <v>3178</v>
      </c>
      <c r="B212" s="5" t="s">
        <v>354</v>
      </c>
      <c r="C212" s="5" t="s">
        <v>95</v>
      </c>
      <c r="D212" s="5" t="s">
        <v>28</v>
      </c>
      <c r="E212" s="5" t="n">
        <f aca="false">ROUND(7249*1.05,2)</f>
        <v>7611.45</v>
      </c>
      <c r="F212" s="5" t="s">
        <v>29</v>
      </c>
      <c r="G212" s="5" t="s">
        <v>30</v>
      </c>
      <c r="H212" s="5" t="n">
        <f aca="true">ROUND(RAND()*4+6,1)</f>
        <v>8.3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3179</v>
      </c>
      <c r="B213" s="6" t="s">
        <v>356</v>
      </c>
      <c r="C213" s="6" t="s">
        <v>95</v>
      </c>
      <c r="D213" s="6" t="s">
        <v>34</v>
      </c>
      <c r="E213" s="6" t="n">
        <f aca="false">ROUND(5587*1.05,2)</f>
        <v>5866.35</v>
      </c>
      <c r="F213" s="6" t="s">
        <v>35</v>
      </c>
      <c r="G213" s="6" t="s">
        <v>18</v>
      </c>
      <c r="H213" s="6" t="n">
        <f aca="true">ROUND(RAND()*4+6,1)</f>
        <v>7.4</v>
      </c>
      <c r="I213" s="6" t="s">
        <v>36</v>
      </c>
      <c r="J213" s="6" t="str">
        <f aca="false">ROUND(97*1,0)&amp;"%"</f>
        <v>97%</v>
      </c>
    </row>
    <row r="214" customFormat="false" ht="15" hidden="false" customHeight="false" outlineLevel="0" collapsed="false">
      <c r="A214" s="5" t="s">
        <v>3180</v>
      </c>
      <c r="B214" s="5" t="s">
        <v>358</v>
      </c>
      <c r="C214" s="5" t="s">
        <v>95</v>
      </c>
      <c r="D214" s="5" t="s">
        <v>39</v>
      </c>
      <c r="E214" s="5" t="n">
        <f aca="false">ROUND(15825*1.05,2)</f>
        <v>16616.25</v>
      </c>
      <c r="F214" s="5" t="s">
        <v>40</v>
      </c>
      <c r="G214" s="5" t="s">
        <v>24</v>
      </c>
      <c r="H214" s="5" t="n">
        <f aca="true">ROUND(RAND()*4+6,1)</f>
        <v>8.2</v>
      </c>
      <c r="I214" s="5" t="s">
        <v>41</v>
      </c>
      <c r="J214" s="5" t="str">
        <f aca="false">ROUND(89*1,0)&amp;"%"</f>
        <v>89%</v>
      </c>
    </row>
    <row r="215" customFormat="false" ht="15" hidden="false" customHeight="false" outlineLevel="0" collapsed="false">
      <c r="A215" s="6" t="s">
        <v>3181</v>
      </c>
      <c r="B215" s="6" t="s">
        <v>360</v>
      </c>
      <c r="C215" s="6" t="s">
        <v>95</v>
      </c>
      <c r="D215" s="6" t="s">
        <v>44</v>
      </c>
      <c r="E215" s="6" t="n">
        <f aca="false">ROUND(6661*1.05,2)</f>
        <v>6994.05</v>
      </c>
      <c r="F215" s="6" t="s">
        <v>45</v>
      </c>
      <c r="G215" s="6" t="s">
        <v>30</v>
      </c>
      <c r="H215" s="6" t="n">
        <f aca="true">ROUND(RAND()*4+6,1)</f>
        <v>9</v>
      </c>
      <c r="I215" s="6" t="s">
        <v>46</v>
      </c>
      <c r="J215" s="6" t="str">
        <f aca="false">ROUND(100*1,0)&amp;"%"</f>
        <v>100%</v>
      </c>
    </row>
    <row r="216" customFormat="false" ht="15" hidden="false" customHeight="false" outlineLevel="0" collapsed="false">
      <c r="A216" s="5" t="s">
        <v>3182</v>
      </c>
      <c r="B216" s="5" t="s">
        <v>362</v>
      </c>
      <c r="C216" s="5" t="s">
        <v>95</v>
      </c>
      <c r="D216" s="5" t="s">
        <v>16</v>
      </c>
      <c r="E216" s="5" t="n">
        <f aca="false">ROUND(9106*1.05,2)</f>
        <v>9561.3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ROUND(98*1,0)&amp;"%"</f>
        <v>98%</v>
      </c>
    </row>
    <row r="217" customFormat="false" ht="15" hidden="false" customHeight="false" outlineLevel="0" collapsed="false">
      <c r="A217" s="6" t="s">
        <v>3183</v>
      </c>
      <c r="B217" s="6" t="s">
        <v>364</v>
      </c>
      <c r="C217" s="6" t="s">
        <v>95</v>
      </c>
      <c r="D217" s="6" t="s">
        <v>22</v>
      </c>
      <c r="E217" s="6" t="n">
        <f aca="false">ROUND(7016*1.05,2)</f>
        <v>7366.8</v>
      </c>
      <c r="F217" s="6" t="s">
        <v>52</v>
      </c>
      <c r="G217" s="6" t="s">
        <v>24</v>
      </c>
      <c r="H217" s="6" t="n">
        <f aca="true">ROUND(RAND()*4+6,1)</f>
        <v>9.7</v>
      </c>
      <c r="I217" s="6" t="s">
        <v>25</v>
      </c>
      <c r="J217" s="6" t="str">
        <f aca="false">ROUND(63*1,0)&amp;"%"</f>
        <v>63%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3184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3185</v>
      </c>
      <c r="B222" s="5" t="s">
        <v>368</v>
      </c>
      <c r="C222" s="5" t="s">
        <v>114</v>
      </c>
      <c r="D222" s="5" t="s">
        <v>16</v>
      </c>
      <c r="E222" s="5" t="n">
        <f aca="false">ROUND(6630*1.05,2)</f>
        <v>6961.5</v>
      </c>
      <c r="F222" s="5" t="s">
        <v>17</v>
      </c>
      <c r="G222" s="5" t="s">
        <v>18</v>
      </c>
      <c r="H222" s="5" t="n">
        <f aca="true">ROUND(RAND()*4+6,1)</f>
        <v>7.9</v>
      </c>
      <c r="I222" s="5" t="s">
        <v>19</v>
      </c>
      <c r="J222" s="5" t="str">
        <f aca="false">ROUND(77*1,0)&amp;"%"</f>
        <v>77%</v>
      </c>
    </row>
    <row r="223" customFormat="false" ht="15" hidden="false" customHeight="false" outlineLevel="0" collapsed="false">
      <c r="A223" s="6" t="s">
        <v>3186</v>
      </c>
      <c r="B223" s="6" t="s">
        <v>370</v>
      </c>
      <c r="C223" s="6" t="s">
        <v>114</v>
      </c>
      <c r="D223" s="6" t="s">
        <v>22</v>
      </c>
      <c r="E223" s="6" t="n">
        <f aca="false">ROUND(15417*1.05,2)</f>
        <v>16187.85</v>
      </c>
      <c r="F223" s="6" t="s">
        <v>23</v>
      </c>
      <c r="G223" s="6" t="s">
        <v>24</v>
      </c>
      <c r="H223" s="6" t="n">
        <f aca="true">ROUND(RAND()*4+6,1)</f>
        <v>6.5</v>
      </c>
      <c r="I223" s="6" t="s">
        <v>25</v>
      </c>
      <c r="J223" s="6" t="str">
        <f aca="false">ROUND(97*1,0)&amp;"%"</f>
        <v>97%</v>
      </c>
    </row>
    <row r="224" customFormat="false" ht="15" hidden="false" customHeight="false" outlineLevel="0" collapsed="false">
      <c r="A224" s="5" t="s">
        <v>3187</v>
      </c>
      <c r="B224" s="5" t="s">
        <v>372</v>
      </c>
      <c r="C224" s="5" t="s">
        <v>114</v>
      </c>
      <c r="D224" s="5" t="s">
        <v>28</v>
      </c>
      <c r="E224" s="5" t="n">
        <f aca="false">ROUND(9404*1.05,2)</f>
        <v>9874.2</v>
      </c>
      <c r="F224" s="5" t="s">
        <v>29</v>
      </c>
      <c r="G224" s="5" t="s">
        <v>30</v>
      </c>
      <c r="H224" s="5" t="n">
        <f aca="true">ROUND(RAND()*4+6,1)</f>
        <v>8.7</v>
      </c>
      <c r="I224" s="5" t="s">
        <v>31</v>
      </c>
      <c r="J224" s="5" t="str">
        <f aca="false">ROUND(92*1,0)&amp;"%"</f>
        <v>92%</v>
      </c>
    </row>
    <row r="225" customFormat="false" ht="15" hidden="false" customHeight="false" outlineLevel="0" collapsed="false">
      <c r="A225" s="6" t="s">
        <v>3188</v>
      </c>
      <c r="B225" s="6" t="s">
        <v>374</v>
      </c>
      <c r="C225" s="6" t="s">
        <v>114</v>
      </c>
      <c r="D225" s="6" t="s">
        <v>34</v>
      </c>
      <c r="E225" s="6" t="n">
        <f aca="false">ROUND(9166*1.05,2)</f>
        <v>9624.3</v>
      </c>
      <c r="F225" s="6" t="s">
        <v>35</v>
      </c>
      <c r="G225" s="6" t="s">
        <v>18</v>
      </c>
      <c r="H225" s="6" t="n">
        <f aca="true">ROUND(RAND()*4+6,1)</f>
        <v>9.6</v>
      </c>
      <c r="I225" s="6" t="s">
        <v>36</v>
      </c>
      <c r="J225" s="6" t="str">
        <f aca="false">ROUND(89*1,0)&amp;"%"</f>
        <v>89%</v>
      </c>
    </row>
    <row r="226" customFormat="false" ht="15" hidden="false" customHeight="false" outlineLevel="0" collapsed="false">
      <c r="A226" s="5" t="s">
        <v>3189</v>
      </c>
      <c r="B226" s="5" t="s">
        <v>376</v>
      </c>
      <c r="C226" s="5" t="s">
        <v>114</v>
      </c>
      <c r="D226" s="5" t="s">
        <v>39</v>
      </c>
      <c r="E226" s="5" t="n">
        <f aca="false">ROUND(4450*1.05,2)</f>
        <v>4672.5</v>
      </c>
      <c r="F226" s="5" t="s">
        <v>40</v>
      </c>
      <c r="G226" s="5" t="s">
        <v>24</v>
      </c>
      <c r="H226" s="5" t="n">
        <f aca="true">ROUND(RAND()*4+6,1)</f>
        <v>9.2</v>
      </c>
      <c r="I226" s="5" t="s">
        <v>41</v>
      </c>
      <c r="J226" s="5" t="str">
        <f aca="false">ROUND(83*1,0)&amp;"%"</f>
        <v>83%</v>
      </c>
    </row>
    <row r="227" customFormat="false" ht="15" hidden="false" customHeight="false" outlineLevel="0" collapsed="false">
      <c r="A227" s="6" t="s">
        <v>3190</v>
      </c>
      <c r="B227" s="6" t="s">
        <v>378</v>
      </c>
      <c r="C227" s="6" t="s">
        <v>114</v>
      </c>
      <c r="D227" s="6" t="s">
        <v>44</v>
      </c>
      <c r="E227" s="6" t="n">
        <f aca="false">ROUND(15382*1.05,2)</f>
        <v>16151.1</v>
      </c>
      <c r="F227" s="6" t="s">
        <v>45</v>
      </c>
      <c r="G227" s="6" t="s">
        <v>30</v>
      </c>
      <c r="H227" s="6" t="n">
        <f aca="true">ROUND(RAND()*4+6,1)</f>
        <v>9.4</v>
      </c>
      <c r="I227" s="6" t="s">
        <v>46</v>
      </c>
      <c r="J227" s="6" t="str">
        <f aca="false">ROUND(81*1,0)&amp;"%"</f>
        <v>81%</v>
      </c>
    </row>
    <row r="228" customFormat="false" ht="15" hidden="false" customHeight="false" outlineLevel="0" collapsed="false">
      <c r="A228" s="5" t="s">
        <v>3191</v>
      </c>
      <c r="B228" s="5" t="s">
        <v>380</v>
      </c>
      <c r="C228" s="5" t="s">
        <v>114</v>
      </c>
      <c r="D228" s="5" t="s">
        <v>16</v>
      </c>
      <c r="E228" s="5" t="n">
        <f aca="false">ROUND(9601*1.05,2)</f>
        <v>10081.05</v>
      </c>
      <c r="F228" s="5" t="s">
        <v>49</v>
      </c>
      <c r="G228" s="5" t="s">
        <v>18</v>
      </c>
      <c r="H228" s="5" t="n">
        <f aca="true">ROUND(RAND()*4+6,1)</f>
        <v>6.8</v>
      </c>
      <c r="I228" s="5" t="s">
        <v>19</v>
      </c>
      <c r="J228" s="5" t="str">
        <f aca="false">ROUND(78*1,0)&amp;"%"</f>
        <v>78%</v>
      </c>
    </row>
    <row r="229" customFormat="false" ht="15" hidden="false" customHeight="false" outlineLevel="0" collapsed="false">
      <c r="A229" s="6" t="s">
        <v>3192</v>
      </c>
      <c r="B229" s="6" t="s">
        <v>382</v>
      </c>
      <c r="C229" s="6" t="s">
        <v>114</v>
      </c>
      <c r="D229" s="6" t="s">
        <v>22</v>
      </c>
      <c r="E229" s="6" t="n">
        <f aca="false">ROUND(15763*1.05,2)</f>
        <v>16551.15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ROUND(91*1,0)&amp;"%"</f>
        <v>91%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3193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3194</v>
      </c>
      <c r="B234" s="5" t="s">
        <v>386</v>
      </c>
      <c r="C234" s="5" t="s">
        <v>133</v>
      </c>
      <c r="D234" s="5" t="s">
        <v>16</v>
      </c>
      <c r="E234" s="5" t="n">
        <f aca="false">ROUND(13886*1.05,2)</f>
        <v>14580.3</v>
      </c>
      <c r="F234" s="5" t="s">
        <v>17</v>
      </c>
      <c r="G234" s="5" t="s">
        <v>18</v>
      </c>
      <c r="H234" s="5" t="n">
        <f aca="true">ROUND(RAND()*4+6,1)</f>
        <v>8.2</v>
      </c>
      <c r="I234" s="5" t="s">
        <v>19</v>
      </c>
      <c r="J234" s="5" t="str">
        <f aca="false">ROUND(79*1,0)&amp;"%"</f>
        <v>79%</v>
      </c>
    </row>
    <row r="235" customFormat="false" ht="15" hidden="false" customHeight="false" outlineLevel="0" collapsed="false">
      <c r="A235" s="6" t="s">
        <v>3195</v>
      </c>
      <c r="B235" s="6" t="s">
        <v>388</v>
      </c>
      <c r="C235" s="6" t="s">
        <v>133</v>
      </c>
      <c r="D235" s="6" t="s">
        <v>22</v>
      </c>
      <c r="E235" s="6" t="n">
        <f aca="false">ROUND(11581*1.05,2)</f>
        <v>12160.05</v>
      </c>
      <c r="F235" s="6" t="s">
        <v>23</v>
      </c>
      <c r="G235" s="6" t="s">
        <v>24</v>
      </c>
      <c r="H235" s="6" t="n">
        <f aca="true">ROUND(RAND()*4+6,1)</f>
        <v>7</v>
      </c>
      <c r="I235" s="6" t="s">
        <v>25</v>
      </c>
      <c r="J235" s="6" t="str">
        <f aca="false">ROUND(70*1,0)&amp;"%"</f>
        <v>70%</v>
      </c>
    </row>
    <row r="236" customFormat="false" ht="15" hidden="false" customHeight="false" outlineLevel="0" collapsed="false">
      <c r="A236" s="5" t="s">
        <v>3196</v>
      </c>
      <c r="B236" s="5" t="s">
        <v>390</v>
      </c>
      <c r="C236" s="5" t="s">
        <v>133</v>
      </c>
      <c r="D236" s="5" t="s">
        <v>28</v>
      </c>
      <c r="E236" s="5" t="n">
        <f aca="false">ROUND(14422*1.05,2)</f>
        <v>15143.1</v>
      </c>
      <c r="F236" s="5" t="s">
        <v>29</v>
      </c>
      <c r="G236" s="5" t="s">
        <v>30</v>
      </c>
      <c r="H236" s="5" t="n">
        <f aca="true">ROUND(RAND()*4+6,1)</f>
        <v>7.8</v>
      </c>
      <c r="I236" s="5" t="s">
        <v>31</v>
      </c>
      <c r="J236" s="5" t="str">
        <f aca="false">ROUND(81*1,0)&amp;"%"</f>
        <v>81%</v>
      </c>
    </row>
    <row r="237" customFormat="false" ht="15" hidden="false" customHeight="false" outlineLevel="0" collapsed="false">
      <c r="A237" s="6" t="s">
        <v>3197</v>
      </c>
      <c r="B237" s="6" t="s">
        <v>392</v>
      </c>
      <c r="C237" s="6" t="s">
        <v>133</v>
      </c>
      <c r="D237" s="6" t="s">
        <v>34</v>
      </c>
      <c r="E237" s="6" t="n">
        <f aca="false">ROUND(17955*1.05,2)</f>
        <v>18852.75</v>
      </c>
      <c r="F237" s="6" t="s">
        <v>35</v>
      </c>
      <c r="G237" s="6" t="s">
        <v>18</v>
      </c>
      <c r="H237" s="6" t="n">
        <f aca="true">ROUND(RAND()*4+6,1)</f>
        <v>7.1</v>
      </c>
      <c r="I237" s="6" t="s">
        <v>36</v>
      </c>
      <c r="J237" s="6" t="str">
        <f aca="false">ROUND(74*1,0)&amp;"%"</f>
        <v>74%</v>
      </c>
    </row>
    <row r="238" customFormat="false" ht="15" hidden="false" customHeight="false" outlineLevel="0" collapsed="false">
      <c r="A238" s="5" t="s">
        <v>3198</v>
      </c>
      <c r="B238" s="5" t="s">
        <v>394</v>
      </c>
      <c r="C238" s="5" t="s">
        <v>133</v>
      </c>
      <c r="D238" s="5" t="s">
        <v>39</v>
      </c>
      <c r="E238" s="5" t="n">
        <f aca="false">ROUND(14777*1.05,2)</f>
        <v>15515.85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ROUND(94*1,0)&amp;"%"</f>
        <v>94%</v>
      </c>
    </row>
    <row r="239" customFormat="false" ht="15" hidden="false" customHeight="false" outlineLevel="0" collapsed="false">
      <c r="A239" s="6" t="s">
        <v>3199</v>
      </c>
      <c r="B239" s="6" t="s">
        <v>396</v>
      </c>
      <c r="C239" s="6" t="s">
        <v>133</v>
      </c>
      <c r="D239" s="6" t="s">
        <v>44</v>
      </c>
      <c r="E239" s="6" t="n">
        <f aca="false">ROUND(13197*1.05,2)</f>
        <v>13856.85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ROUND(99*1,0)&amp;"%"</f>
        <v>99%</v>
      </c>
    </row>
    <row r="240" customFormat="false" ht="15" hidden="false" customHeight="false" outlineLevel="0" collapsed="false">
      <c r="A240" s="5" t="s">
        <v>3200</v>
      </c>
      <c r="B240" s="5" t="s">
        <v>398</v>
      </c>
      <c r="C240" s="5" t="s">
        <v>133</v>
      </c>
      <c r="D240" s="5" t="s">
        <v>16</v>
      </c>
      <c r="E240" s="5" t="n">
        <f aca="false">ROUND(17567*1.05,2)</f>
        <v>18445.35</v>
      </c>
      <c r="F240" s="5" t="s">
        <v>49</v>
      </c>
      <c r="G240" s="5" t="s">
        <v>18</v>
      </c>
      <c r="H240" s="5" t="n">
        <f aca="true">ROUND(RAND()*4+6,1)</f>
        <v>8.6</v>
      </c>
      <c r="I240" s="5" t="s">
        <v>19</v>
      </c>
      <c r="J240" s="5" t="str">
        <f aca="false">ROUND(98*1,0)&amp;"%"</f>
        <v>98%</v>
      </c>
    </row>
    <row r="241" customFormat="false" ht="15" hidden="false" customHeight="false" outlineLevel="0" collapsed="false">
      <c r="A241" s="6" t="s">
        <v>3201</v>
      </c>
      <c r="B241" s="6" t="s">
        <v>400</v>
      </c>
      <c r="C241" s="6" t="s">
        <v>133</v>
      </c>
      <c r="D241" s="6" t="s">
        <v>22</v>
      </c>
      <c r="E241" s="6" t="n">
        <f aca="false">ROUND(14190*1.05,2)</f>
        <v>14899.5</v>
      </c>
      <c r="F241" s="6" t="s">
        <v>52</v>
      </c>
      <c r="G241" s="6" t="s">
        <v>24</v>
      </c>
      <c r="H241" s="6" t="n">
        <f aca="true">ROUND(RAND()*4+6,1)</f>
        <v>8.2</v>
      </c>
      <c r="I241" s="6" t="s">
        <v>25</v>
      </c>
      <c r="J241" s="6" t="str">
        <f aca="false">ROUND(66*1,0)&amp;"%"</f>
        <v>66%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3202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3203</v>
      </c>
      <c r="B246" s="5" t="s">
        <v>404</v>
      </c>
      <c r="C246" s="5" t="s">
        <v>152</v>
      </c>
      <c r="D246" s="5" t="s">
        <v>16</v>
      </c>
      <c r="E246" s="5" t="n">
        <f aca="false">ROUND(9562*1.05,2)</f>
        <v>10040.1</v>
      </c>
      <c r="F246" s="5" t="s">
        <v>17</v>
      </c>
      <c r="G246" s="5" t="s">
        <v>18</v>
      </c>
      <c r="H246" s="5" t="n">
        <f aca="true">ROUND(RAND()*4+6,1)</f>
        <v>9.1</v>
      </c>
      <c r="I246" s="5" t="s">
        <v>19</v>
      </c>
      <c r="J246" s="5" t="str">
        <f aca="false">ROUND(99*1,0)&amp;"%"</f>
        <v>99%</v>
      </c>
    </row>
    <row r="247" customFormat="false" ht="15" hidden="false" customHeight="false" outlineLevel="0" collapsed="false">
      <c r="A247" s="6" t="s">
        <v>3204</v>
      </c>
      <c r="B247" s="6" t="s">
        <v>406</v>
      </c>
      <c r="C247" s="6" t="s">
        <v>152</v>
      </c>
      <c r="D247" s="6" t="s">
        <v>22</v>
      </c>
      <c r="E247" s="6" t="n">
        <f aca="false">ROUND(5655*1.05,2)</f>
        <v>5937.75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ROUND(85*1,0)&amp;"%"</f>
        <v>85%</v>
      </c>
    </row>
    <row r="248" customFormat="false" ht="15" hidden="false" customHeight="false" outlineLevel="0" collapsed="false">
      <c r="A248" s="5" t="s">
        <v>3205</v>
      </c>
      <c r="B248" s="5" t="s">
        <v>408</v>
      </c>
      <c r="C248" s="5" t="s">
        <v>152</v>
      </c>
      <c r="D248" s="5" t="s">
        <v>28</v>
      </c>
      <c r="E248" s="5" t="n">
        <f aca="false">ROUND(4980*1.05,2)</f>
        <v>5229</v>
      </c>
      <c r="F248" s="5" t="s">
        <v>29</v>
      </c>
      <c r="G248" s="5" t="s">
        <v>30</v>
      </c>
      <c r="H248" s="5" t="n">
        <f aca="true">ROUND(RAND()*4+6,1)</f>
        <v>9.3</v>
      </c>
      <c r="I248" s="5" t="s">
        <v>31</v>
      </c>
      <c r="J248" s="5" t="str">
        <f aca="false">ROUND(73*1,0)&amp;"%"</f>
        <v>73%</v>
      </c>
    </row>
    <row r="249" customFormat="false" ht="15" hidden="false" customHeight="false" outlineLevel="0" collapsed="false">
      <c r="A249" s="6" t="s">
        <v>3206</v>
      </c>
      <c r="B249" s="6" t="s">
        <v>410</v>
      </c>
      <c r="C249" s="6" t="s">
        <v>152</v>
      </c>
      <c r="D249" s="6" t="s">
        <v>34</v>
      </c>
      <c r="E249" s="6" t="n">
        <f aca="false">ROUND(14550*1.05,2)</f>
        <v>15277.5</v>
      </c>
      <c r="F249" s="6" t="s">
        <v>35</v>
      </c>
      <c r="G249" s="6" t="s">
        <v>18</v>
      </c>
      <c r="H249" s="6" t="n">
        <f aca="true">ROUND(RAND()*4+6,1)</f>
        <v>7.3</v>
      </c>
      <c r="I249" s="6" t="s">
        <v>36</v>
      </c>
      <c r="J249" s="6" t="str">
        <f aca="false">ROUND(78*1,0)&amp;"%"</f>
        <v>78%</v>
      </c>
    </row>
    <row r="250" customFormat="false" ht="15" hidden="false" customHeight="false" outlineLevel="0" collapsed="false">
      <c r="A250" s="5" t="s">
        <v>3207</v>
      </c>
      <c r="B250" s="5" t="s">
        <v>412</v>
      </c>
      <c r="C250" s="5" t="s">
        <v>152</v>
      </c>
      <c r="D250" s="5" t="s">
        <v>39</v>
      </c>
      <c r="E250" s="5" t="n">
        <f aca="false">ROUND(11541*1.05,2)</f>
        <v>12118.05</v>
      </c>
      <c r="F250" s="5" t="s">
        <v>40</v>
      </c>
      <c r="G250" s="5" t="s">
        <v>24</v>
      </c>
      <c r="H250" s="5" t="n">
        <f aca="true">ROUND(RAND()*4+6,1)</f>
        <v>6.9</v>
      </c>
      <c r="I250" s="5" t="s">
        <v>41</v>
      </c>
      <c r="J250" s="5" t="str">
        <f aca="false">ROUND(87*1,0)&amp;"%"</f>
        <v>87%</v>
      </c>
    </row>
    <row r="251" customFormat="false" ht="15" hidden="false" customHeight="false" outlineLevel="0" collapsed="false">
      <c r="A251" s="6" t="s">
        <v>3208</v>
      </c>
      <c r="B251" s="6" t="s">
        <v>414</v>
      </c>
      <c r="C251" s="6" t="s">
        <v>152</v>
      </c>
      <c r="D251" s="6" t="s">
        <v>44</v>
      </c>
      <c r="E251" s="6" t="n">
        <f aca="false">ROUND(13387*1.05,2)</f>
        <v>14056.35</v>
      </c>
      <c r="F251" s="6" t="s">
        <v>45</v>
      </c>
      <c r="G251" s="6" t="s">
        <v>30</v>
      </c>
      <c r="H251" s="6" t="n">
        <f aca="true">ROUND(RAND()*4+6,1)</f>
        <v>6</v>
      </c>
      <c r="I251" s="6" t="s">
        <v>46</v>
      </c>
      <c r="J251" s="6" t="str">
        <f aca="false">ROUND(81*1,0)&amp;"%"</f>
        <v>81%</v>
      </c>
    </row>
    <row r="252" customFormat="false" ht="15" hidden="false" customHeight="false" outlineLevel="0" collapsed="false">
      <c r="A252" s="5" t="s">
        <v>3209</v>
      </c>
      <c r="B252" s="5" t="s">
        <v>416</v>
      </c>
      <c r="C252" s="5" t="s">
        <v>152</v>
      </c>
      <c r="D252" s="5" t="s">
        <v>16</v>
      </c>
      <c r="E252" s="5" t="n">
        <f aca="false">ROUND(14830*1.05,2)</f>
        <v>15571.5</v>
      </c>
      <c r="F252" s="5" t="s">
        <v>49</v>
      </c>
      <c r="G252" s="5" t="s">
        <v>18</v>
      </c>
      <c r="H252" s="5" t="n">
        <f aca="true">ROUND(RAND()*4+6,1)</f>
        <v>8.9</v>
      </c>
      <c r="I252" s="5" t="s">
        <v>19</v>
      </c>
      <c r="J252" s="5" t="str">
        <f aca="false">ROUND(95*1,0)&amp;"%"</f>
        <v>95%</v>
      </c>
    </row>
    <row r="253" customFormat="false" ht="15" hidden="false" customHeight="false" outlineLevel="0" collapsed="false">
      <c r="A253" s="6" t="s">
        <v>3210</v>
      </c>
      <c r="B253" s="6" t="s">
        <v>418</v>
      </c>
      <c r="C253" s="6" t="s">
        <v>152</v>
      </c>
      <c r="D253" s="6" t="s">
        <v>22</v>
      </c>
      <c r="E253" s="6" t="n">
        <f aca="false">ROUND(9052*1.05,2)</f>
        <v>9504.6</v>
      </c>
      <c r="F253" s="6" t="s">
        <v>52</v>
      </c>
      <c r="G253" s="6" t="s">
        <v>24</v>
      </c>
      <c r="H253" s="6" t="n">
        <f aca="true">ROUND(RAND()*4+6,1)</f>
        <v>6.4</v>
      </c>
      <c r="I253" s="6" t="s">
        <v>25</v>
      </c>
      <c r="J253" s="6" t="str">
        <f aca="false">ROUND(80*1,0)&amp;"%"</f>
        <v>80%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3211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3212</v>
      </c>
      <c r="B258" s="5" t="s">
        <v>422</v>
      </c>
      <c r="C258" s="5" t="s">
        <v>15</v>
      </c>
      <c r="D258" s="5" t="s">
        <v>16</v>
      </c>
      <c r="E258" s="5" t="n">
        <f aca="false">ROUND(7805*1.05,2)</f>
        <v>8195.25</v>
      </c>
      <c r="F258" s="5" t="s">
        <v>17</v>
      </c>
      <c r="G258" s="5" t="s">
        <v>18</v>
      </c>
      <c r="H258" s="5" t="n">
        <f aca="true">ROUND(RAND()*4+6,1)</f>
        <v>9.8</v>
      </c>
      <c r="I258" s="5" t="s">
        <v>19</v>
      </c>
      <c r="J258" s="5" t="str">
        <f aca="false">ROUND(96*1,0)&amp;"%"</f>
        <v>96%</v>
      </c>
    </row>
    <row r="259" customFormat="false" ht="15" hidden="false" customHeight="false" outlineLevel="0" collapsed="false">
      <c r="A259" s="6" t="s">
        <v>3213</v>
      </c>
      <c r="B259" s="6" t="s">
        <v>424</v>
      </c>
      <c r="C259" s="6" t="s">
        <v>15</v>
      </c>
      <c r="D259" s="6" t="s">
        <v>22</v>
      </c>
      <c r="E259" s="6" t="n">
        <f aca="false">ROUND(5715*1.05,2)</f>
        <v>6000.75</v>
      </c>
      <c r="F259" s="6" t="s">
        <v>23</v>
      </c>
      <c r="G259" s="6" t="s">
        <v>24</v>
      </c>
      <c r="H259" s="6" t="n">
        <f aca="true">ROUND(RAND()*4+6,1)</f>
        <v>8.8</v>
      </c>
      <c r="I259" s="6" t="s">
        <v>25</v>
      </c>
      <c r="J259" s="6" t="str">
        <f aca="false">ROUND(90*1,0)&amp;"%"</f>
        <v>90%</v>
      </c>
    </row>
    <row r="260" customFormat="false" ht="15" hidden="false" customHeight="false" outlineLevel="0" collapsed="false">
      <c r="A260" s="5" t="s">
        <v>3214</v>
      </c>
      <c r="B260" s="5" t="s">
        <v>426</v>
      </c>
      <c r="C260" s="5" t="s">
        <v>15</v>
      </c>
      <c r="D260" s="5" t="s">
        <v>28</v>
      </c>
      <c r="E260" s="5" t="n">
        <f aca="false">ROUND(9096*1.05,2)</f>
        <v>9550.8</v>
      </c>
      <c r="F260" s="5" t="s">
        <v>29</v>
      </c>
      <c r="G260" s="5" t="s">
        <v>30</v>
      </c>
      <c r="H260" s="5" t="n">
        <f aca="true">ROUND(RAND()*4+6,1)</f>
        <v>8.2</v>
      </c>
      <c r="I260" s="5" t="s">
        <v>31</v>
      </c>
      <c r="J260" s="5" t="str">
        <f aca="false">ROUND(89*1,0)&amp;"%"</f>
        <v>89%</v>
      </c>
    </row>
    <row r="261" customFormat="false" ht="15" hidden="false" customHeight="false" outlineLevel="0" collapsed="false">
      <c r="A261" s="6" t="s">
        <v>3215</v>
      </c>
      <c r="B261" s="6" t="s">
        <v>428</v>
      </c>
      <c r="C261" s="6" t="s">
        <v>15</v>
      </c>
      <c r="D261" s="6" t="s">
        <v>34</v>
      </c>
      <c r="E261" s="6" t="n">
        <f aca="false">ROUND(17831*1.05,2)</f>
        <v>18722.55</v>
      </c>
      <c r="F261" s="6" t="s">
        <v>35</v>
      </c>
      <c r="G261" s="6" t="s">
        <v>18</v>
      </c>
      <c r="H261" s="6" t="n">
        <f aca="true">ROUND(RAND()*4+6,1)</f>
        <v>6.9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3216</v>
      </c>
      <c r="B262" s="5" t="s">
        <v>430</v>
      </c>
      <c r="C262" s="5" t="s">
        <v>15</v>
      </c>
      <c r="D262" s="5" t="s">
        <v>39</v>
      </c>
      <c r="E262" s="5" t="n">
        <f aca="false">ROUND(8181*1.05,2)</f>
        <v>8590.05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3217</v>
      </c>
      <c r="B263" s="6" t="s">
        <v>432</v>
      </c>
      <c r="C263" s="6" t="s">
        <v>15</v>
      </c>
      <c r="D263" s="6" t="s">
        <v>44</v>
      </c>
      <c r="E263" s="6" t="n">
        <f aca="false">ROUND(7864*1.05,2)</f>
        <v>8257.2</v>
      </c>
      <c r="F263" s="6" t="s">
        <v>45</v>
      </c>
      <c r="G263" s="6" t="s">
        <v>30</v>
      </c>
      <c r="H263" s="6" t="n">
        <f aca="true">ROUND(RAND()*4+6,1)</f>
        <v>7.6</v>
      </c>
      <c r="I263" s="6" t="s">
        <v>46</v>
      </c>
      <c r="J263" s="6" t="str">
        <f aca="false">ROUND(65*1,0)&amp;"%"</f>
        <v>65%</v>
      </c>
    </row>
    <row r="264" customFormat="false" ht="15" hidden="false" customHeight="false" outlineLevel="0" collapsed="false">
      <c r="A264" s="5" t="s">
        <v>3218</v>
      </c>
      <c r="B264" s="5" t="s">
        <v>434</v>
      </c>
      <c r="C264" s="5" t="s">
        <v>15</v>
      </c>
      <c r="D264" s="5" t="s">
        <v>16</v>
      </c>
      <c r="E264" s="5" t="n">
        <f aca="false">ROUND(9765*1.05,2)</f>
        <v>10253.25</v>
      </c>
      <c r="F264" s="5" t="s">
        <v>49</v>
      </c>
      <c r="G264" s="5" t="s">
        <v>18</v>
      </c>
      <c r="H264" s="5" t="n">
        <f aca="true">ROUND(RAND()*4+6,1)</f>
        <v>8.6</v>
      </c>
      <c r="I264" s="5" t="s">
        <v>19</v>
      </c>
      <c r="J264" s="5" t="str">
        <f aca="false">ROUND(86*1,0)&amp;"%"</f>
        <v>86%</v>
      </c>
    </row>
    <row r="265" customFormat="false" ht="15" hidden="false" customHeight="false" outlineLevel="0" collapsed="false">
      <c r="A265" s="6" t="s">
        <v>3219</v>
      </c>
      <c r="B265" s="6" t="s">
        <v>436</v>
      </c>
      <c r="C265" s="6" t="s">
        <v>15</v>
      </c>
      <c r="D265" s="6" t="s">
        <v>22</v>
      </c>
      <c r="E265" s="6" t="n">
        <f aca="false">ROUND(16347*1.05,2)</f>
        <v>17164.35</v>
      </c>
      <c r="F265" s="6" t="s">
        <v>52</v>
      </c>
      <c r="G265" s="6" t="s">
        <v>24</v>
      </c>
      <c r="H265" s="6" t="n">
        <f aca="true">ROUND(RAND()*4+6,1)</f>
        <v>9.2</v>
      </c>
      <c r="I265" s="6" t="s">
        <v>25</v>
      </c>
      <c r="J265" s="6" t="str">
        <f aca="false">ROUND(73*1,0)&amp;"%"</f>
        <v>73%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3220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3221</v>
      </c>
      <c r="B270" s="5" t="s">
        <v>440</v>
      </c>
      <c r="C270" s="5" t="s">
        <v>57</v>
      </c>
      <c r="D270" s="5" t="s">
        <v>16</v>
      </c>
      <c r="E270" s="5" t="n">
        <f aca="false">ROUND(15322*1.05,2)</f>
        <v>16088.1</v>
      </c>
      <c r="F270" s="5" t="s">
        <v>17</v>
      </c>
      <c r="G270" s="5" t="s">
        <v>18</v>
      </c>
      <c r="H270" s="5" t="n">
        <f aca="true">ROUND(RAND()*4+6,1)</f>
        <v>7.8</v>
      </c>
      <c r="I270" s="5" t="s">
        <v>19</v>
      </c>
      <c r="J270" s="5" t="str">
        <f aca="false">ROUND(93*1,0)&amp;"%"</f>
        <v>93%</v>
      </c>
    </row>
    <row r="271" customFormat="false" ht="15" hidden="false" customHeight="false" outlineLevel="0" collapsed="false">
      <c r="A271" s="6" t="s">
        <v>3222</v>
      </c>
      <c r="B271" s="6" t="s">
        <v>442</v>
      </c>
      <c r="C271" s="6" t="s">
        <v>57</v>
      </c>
      <c r="D271" s="6" t="s">
        <v>22</v>
      </c>
      <c r="E271" s="6" t="n">
        <f aca="false">ROUND(15057*1.05,2)</f>
        <v>15809.85</v>
      </c>
      <c r="F271" s="6" t="s">
        <v>23</v>
      </c>
      <c r="G271" s="6" t="s">
        <v>24</v>
      </c>
      <c r="H271" s="6" t="n">
        <f aca="true">ROUND(RAND()*4+6,1)</f>
        <v>7.8</v>
      </c>
      <c r="I271" s="6" t="s">
        <v>25</v>
      </c>
      <c r="J271" s="6" t="str">
        <f aca="false">ROUND(62*1,0)&amp;"%"</f>
        <v>62%</v>
      </c>
    </row>
    <row r="272" customFormat="false" ht="15" hidden="false" customHeight="false" outlineLevel="0" collapsed="false">
      <c r="A272" s="5" t="s">
        <v>3223</v>
      </c>
      <c r="B272" s="5" t="s">
        <v>444</v>
      </c>
      <c r="C272" s="5" t="s">
        <v>57</v>
      </c>
      <c r="D272" s="5" t="s">
        <v>28</v>
      </c>
      <c r="E272" s="5" t="n">
        <f aca="false">ROUND(12301*1.05,2)</f>
        <v>12916.05</v>
      </c>
      <c r="F272" s="5" t="s">
        <v>29</v>
      </c>
      <c r="G272" s="5" t="s">
        <v>30</v>
      </c>
      <c r="H272" s="5" t="n">
        <f aca="true">ROUND(RAND()*4+6,1)</f>
        <v>7.2</v>
      </c>
      <c r="I272" s="5" t="s">
        <v>31</v>
      </c>
      <c r="J272" s="5" t="str">
        <f aca="false">ROUND(69*1,0)&amp;"%"</f>
        <v>69%</v>
      </c>
    </row>
    <row r="273" customFormat="false" ht="15" hidden="false" customHeight="false" outlineLevel="0" collapsed="false">
      <c r="A273" s="6" t="s">
        <v>3224</v>
      </c>
      <c r="B273" s="6" t="s">
        <v>446</v>
      </c>
      <c r="C273" s="6" t="s">
        <v>57</v>
      </c>
      <c r="D273" s="6" t="s">
        <v>34</v>
      </c>
      <c r="E273" s="6" t="n">
        <f aca="false">ROUND(12086*1.05,2)</f>
        <v>12690.3</v>
      </c>
      <c r="F273" s="6" t="s">
        <v>35</v>
      </c>
      <c r="G273" s="6" t="s">
        <v>18</v>
      </c>
      <c r="H273" s="6" t="n">
        <f aca="true">ROUND(RAND()*4+6,1)</f>
        <v>9.7</v>
      </c>
      <c r="I273" s="6" t="s">
        <v>36</v>
      </c>
      <c r="J273" s="6" t="str">
        <f aca="false">ROUND(95*1,0)&amp;"%"</f>
        <v>95%</v>
      </c>
    </row>
    <row r="274" customFormat="false" ht="15" hidden="false" customHeight="false" outlineLevel="0" collapsed="false">
      <c r="A274" s="5" t="s">
        <v>3225</v>
      </c>
      <c r="B274" s="5" t="s">
        <v>448</v>
      </c>
      <c r="C274" s="5" t="s">
        <v>57</v>
      </c>
      <c r="D274" s="5" t="s">
        <v>39</v>
      </c>
      <c r="E274" s="5" t="n">
        <f aca="false">ROUND(10157*1.05,2)</f>
        <v>10664.85</v>
      </c>
      <c r="F274" s="5" t="s">
        <v>40</v>
      </c>
      <c r="G274" s="5" t="s">
        <v>24</v>
      </c>
      <c r="H274" s="5" t="n">
        <f aca="true">ROUND(RAND()*4+6,1)</f>
        <v>6.1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3226</v>
      </c>
      <c r="B275" s="6" t="s">
        <v>450</v>
      </c>
      <c r="C275" s="6" t="s">
        <v>57</v>
      </c>
      <c r="D275" s="6" t="s">
        <v>44</v>
      </c>
      <c r="E275" s="6" t="n">
        <f aca="false">ROUND(7371*1.05,2)</f>
        <v>7739.55</v>
      </c>
      <c r="F275" s="6" t="s">
        <v>45</v>
      </c>
      <c r="G275" s="6" t="s">
        <v>30</v>
      </c>
      <c r="H275" s="6" t="n">
        <f aca="true">ROUND(RAND()*4+6,1)</f>
        <v>9.2</v>
      </c>
      <c r="I275" s="6" t="s">
        <v>46</v>
      </c>
      <c r="J275" s="6" t="str">
        <f aca="false">ROUND(92*1,0)&amp;"%"</f>
        <v>92%</v>
      </c>
    </row>
    <row r="276" customFormat="false" ht="15" hidden="false" customHeight="false" outlineLevel="0" collapsed="false">
      <c r="A276" s="5" t="s">
        <v>3227</v>
      </c>
      <c r="B276" s="5" t="s">
        <v>452</v>
      </c>
      <c r="C276" s="5" t="s">
        <v>57</v>
      </c>
      <c r="D276" s="5" t="s">
        <v>16</v>
      </c>
      <c r="E276" s="5" t="n">
        <f aca="false">ROUND(7076*1.05,2)</f>
        <v>7429.8</v>
      </c>
      <c r="F276" s="5" t="s">
        <v>49</v>
      </c>
      <c r="G276" s="5" t="s">
        <v>18</v>
      </c>
      <c r="H276" s="5" t="n">
        <f aca="true">ROUND(RAND()*4+6,1)</f>
        <v>8.6</v>
      </c>
      <c r="I276" s="5" t="s">
        <v>19</v>
      </c>
      <c r="J276" s="5" t="str">
        <f aca="false">ROUND(61*1,0)&amp;"%"</f>
        <v>61%</v>
      </c>
    </row>
    <row r="277" customFormat="false" ht="15" hidden="false" customHeight="false" outlineLevel="0" collapsed="false">
      <c r="A277" s="6" t="s">
        <v>3228</v>
      </c>
      <c r="B277" s="6" t="s">
        <v>454</v>
      </c>
      <c r="C277" s="6" t="s">
        <v>57</v>
      </c>
      <c r="D277" s="6" t="s">
        <v>22</v>
      </c>
      <c r="E277" s="6" t="n">
        <f aca="false">ROUND(10880*1.05,2)</f>
        <v>11424</v>
      </c>
      <c r="F277" s="6" t="s">
        <v>52</v>
      </c>
      <c r="G277" s="6" t="s">
        <v>24</v>
      </c>
      <c r="H277" s="6" t="n">
        <f aca="true">ROUND(RAND()*4+6,1)</f>
        <v>9.2</v>
      </c>
      <c r="I277" s="6" t="s">
        <v>25</v>
      </c>
      <c r="J277" s="6" t="str">
        <f aca="false">ROUND(68*1,0)&amp;"%"</f>
        <v>68%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3229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3230</v>
      </c>
      <c r="B282" s="5" t="s">
        <v>458</v>
      </c>
      <c r="C282" s="5" t="s">
        <v>76</v>
      </c>
      <c r="D282" s="5" t="s">
        <v>16</v>
      </c>
      <c r="E282" s="5" t="n">
        <f aca="false">ROUND(17278*1.05,2)</f>
        <v>18141.9</v>
      </c>
      <c r="F282" s="5" t="s">
        <v>17</v>
      </c>
      <c r="G282" s="5" t="s">
        <v>18</v>
      </c>
      <c r="H282" s="5" t="n">
        <f aca="true">ROUND(RAND()*4+6,1)</f>
        <v>7.8</v>
      </c>
      <c r="I282" s="5" t="s">
        <v>19</v>
      </c>
      <c r="J282" s="5" t="str">
        <f aca="false">ROUND(94*1,0)&amp;"%"</f>
        <v>94%</v>
      </c>
    </row>
    <row r="283" customFormat="false" ht="15" hidden="false" customHeight="false" outlineLevel="0" collapsed="false">
      <c r="A283" s="6" t="s">
        <v>3231</v>
      </c>
      <c r="B283" s="6" t="s">
        <v>460</v>
      </c>
      <c r="C283" s="6" t="s">
        <v>76</v>
      </c>
      <c r="D283" s="6" t="s">
        <v>22</v>
      </c>
      <c r="E283" s="6" t="n">
        <f aca="false">ROUND(15221*1.05,2)</f>
        <v>15982.05</v>
      </c>
      <c r="F283" s="6" t="s">
        <v>23</v>
      </c>
      <c r="G283" s="6" t="s">
        <v>24</v>
      </c>
      <c r="H283" s="6" t="n">
        <f aca="true">ROUND(RAND()*4+6,1)</f>
        <v>8.1</v>
      </c>
      <c r="I283" s="6" t="s">
        <v>25</v>
      </c>
      <c r="J283" s="6" t="str">
        <f aca="false">ROUND(64*1,0)&amp;"%"</f>
        <v>64%</v>
      </c>
    </row>
    <row r="284" customFormat="false" ht="15" hidden="false" customHeight="false" outlineLevel="0" collapsed="false">
      <c r="A284" s="5" t="s">
        <v>3232</v>
      </c>
      <c r="B284" s="5" t="s">
        <v>462</v>
      </c>
      <c r="C284" s="5" t="s">
        <v>76</v>
      </c>
      <c r="D284" s="5" t="s">
        <v>28</v>
      </c>
      <c r="E284" s="5" t="n">
        <f aca="false">ROUND(15688*1.05,2)</f>
        <v>16472.4</v>
      </c>
      <c r="F284" s="5" t="s">
        <v>29</v>
      </c>
      <c r="G284" s="5" t="s">
        <v>30</v>
      </c>
      <c r="H284" s="5" t="n">
        <f aca="true">ROUND(RAND()*4+6,1)</f>
        <v>8.3</v>
      </c>
      <c r="I284" s="5" t="s">
        <v>31</v>
      </c>
      <c r="J284" s="5" t="str">
        <f aca="false">ROUND(90*1,0)&amp;"%"</f>
        <v>90%</v>
      </c>
    </row>
    <row r="285" customFormat="false" ht="15" hidden="false" customHeight="false" outlineLevel="0" collapsed="false">
      <c r="A285" s="6" t="s">
        <v>3233</v>
      </c>
      <c r="B285" s="6" t="s">
        <v>464</v>
      </c>
      <c r="C285" s="6" t="s">
        <v>76</v>
      </c>
      <c r="D285" s="6" t="s">
        <v>34</v>
      </c>
      <c r="E285" s="6" t="n">
        <f aca="false">ROUND(12597*1.05,2)</f>
        <v>13226.85</v>
      </c>
      <c r="F285" s="6" t="s">
        <v>35</v>
      </c>
      <c r="G285" s="6" t="s">
        <v>18</v>
      </c>
      <c r="H285" s="6" t="n">
        <f aca="true">ROUND(RAND()*4+6,1)</f>
        <v>9.5</v>
      </c>
      <c r="I285" s="6" t="s">
        <v>36</v>
      </c>
      <c r="J285" s="6" t="str">
        <f aca="false">ROUND(66*1,0)&amp;"%"</f>
        <v>66%</v>
      </c>
    </row>
    <row r="286" customFormat="false" ht="15" hidden="false" customHeight="false" outlineLevel="0" collapsed="false">
      <c r="A286" s="5" t="s">
        <v>3234</v>
      </c>
      <c r="B286" s="5" t="s">
        <v>466</v>
      </c>
      <c r="C286" s="5" t="s">
        <v>76</v>
      </c>
      <c r="D286" s="5" t="s">
        <v>39</v>
      </c>
      <c r="E286" s="5" t="n">
        <f aca="false">ROUND(13531*1.05,2)</f>
        <v>14207.55</v>
      </c>
      <c r="F286" s="5" t="s">
        <v>40</v>
      </c>
      <c r="G286" s="5" t="s">
        <v>24</v>
      </c>
      <c r="H286" s="5" t="n">
        <f aca="true">ROUND(RAND()*4+6,1)</f>
        <v>8.5</v>
      </c>
      <c r="I286" s="5" t="s">
        <v>41</v>
      </c>
      <c r="J286" s="5" t="str">
        <f aca="false">ROUND(85*1,0)&amp;"%"</f>
        <v>85%</v>
      </c>
    </row>
    <row r="287" customFormat="false" ht="15" hidden="false" customHeight="false" outlineLevel="0" collapsed="false">
      <c r="A287" s="6" t="s">
        <v>3235</v>
      </c>
      <c r="B287" s="6" t="s">
        <v>468</v>
      </c>
      <c r="C287" s="6" t="s">
        <v>76</v>
      </c>
      <c r="D287" s="6" t="s">
        <v>44</v>
      </c>
      <c r="E287" s="6" t="n">
        <f aca="false">ROUND(4220*1.05,2)</f>
        <v>4431</v>
      </c>
      <c r="F287" s="6" t="s">
        <v>45</v>
      </c>
      <c r="G287" s="6" t="s">
        <v>30</v>
      </c>
      <c r="H287" s="6" t="n">
        <f aca="true">ROUND(RAND()*4+6,1)</f>
        <v>8.9</v>
      </c>
      <c r="I287" s="6" t="s">
        <v>46</v>
      </c>
      <c r="J287" s="6" t="str">
        <f aca="false">ROUND(90*1,0)&amp;"%"</f>
        <v>90%</v>
      </c>
    </row>
    <row r="288" customFormat="false" ht="15" hidden="false" customHeight="false" outlineLevel="0" collapsed="false">
      <c r="A288" s="5" t="s">
        <v>3236</v>
      </c>
      <c r="B288" s="5" t="s">
        <v>470</v>
      </c>
      <c r="C288" s="5" t="s">
        <v>76</v>
      </c>
      <c r="D288" s="5" t="s">
        <v>16</v>
      </c>
      <c r="E288" s="5" t="n">
        <f aca="false">ROUND(11781*1.05,2)</f>
        <v>12370.05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ROUND(89*1,0)&amp;"%"</f>
        <v>89%</v>
      </c>
    </row>
    <row r="289" customFormat="false" ht="15" hidden="false" customHeight="false" outlineLevel="0" collapsed="false">
      <c r="A289" s="6" t="s">
        <v>3237</v>
      </c>
      <c r="B289" s="6" t="s">
        <v>472</v>
      </c>
      <c r="C289" s="6" t="s">
        <v>76</v>
      </c>
      <c r="D289" s="6" t="s">
        <v>22</v>
      </c>
      <c r="E289" s="6" t="n">
        <f aca="false">ROUND(14889*1.05,2)</f>
        <v>15633.45</v>
      </c>
      <c r="F289" s="6" t="s">
        <v>52</v>
      </c>
      <c r="G289" s="6" t="s">
        <v>24</v>
      </c>
      <c r="H289" s="6" t="n">
        <f aca="true">ROUND(RAND()*4+6,1)</f>
        <v>8.7</v>
      </c>
      <c r="I289" s="6" t="s">
        <v>25</v>
      </c>
      <c r="J289" s="6" t="str">
        <f aca="false">ROUND(95*1,0)&amp;"%"</f>
        <v>95%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3238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3239</v>
      </c>
      <c r="B294" s="5" t="s">
        <v>476</v>
      </c>
      <c r="C294" s="5" t="s">
        <v>95</v>
      </c>
      <c r="D294" s="5" t="s">
        <v>16</v>
      </c>
      <c r="E294" s="5" t="n">
        <f aca="false">ROUND(8719*1.05,2)</f>
        <v>9154.95</v>
      </c>
      <c r="F294" s="5" t="s">
        <v>17</v>
      </c>
      <c r="G294" s="5" t="s">
        <v>18</v>
      </c>
      <c r="H294" s="5" t="n">
        <f aca="true">ROUND(RAND()*4+6,1)</f>
        <v>10</v>
      </c>
      <c r="I294" s="5" t="s">
        <v>19</v>
      </c>
      <c r="J294" s="5" t="str">
        <f aca="false">ROUND(90*1,0)&amp;"%"</f>
        <v>90%</v>
      </c>
    </row>
    <row r="295" customFormat="false" ht="15" hidden="false" customHeight="false" outlineLevel="0" collapsed="false">
      <c r="A295" s="6" t="s">
        <v>3240</v>
      </c>
      <c r="B295" s="6" t="s">
        <v>478</v>
      </c>
      <c r="C295" s="6" t="s">
        <v>95</v>
      </c>
      <c r="D295" s="6" t="s">
        <v>22</v>
      </c>
      <c r="E295" s="6" t="n">
        <f aca="false">ROUND(16865*1.05,2)</f>
        <v>17708.25</v>
      </c>
      <c r="F295" s="6" t="s">
        <v>23</v>
      </c>
      <c r="G295" s="6" t="s">
        <v>24</v>
      </c>
      <c r="H295" s="6" t="n">
        <f aca="true">ROUND(RAND()*4+6,1)</f>
        <v>6.5</v>
      </c>
      <c r="I295" s="6" t="s">
        <v>25</v>
      </c>
      <c r="J295" s="6" t="str">
        <f aca="false">ROUND(67*1,0)&amp;"%"</f>
        <v>67%</v>
      </c>
    </row>
    <row r="296" customFormat="false" ht="15" hidden="false" customHeight="false" outlineLevel="0" collapsed="false">
      <c r="A296" s="5" t="s">
        <v>3241</v>
      </c>
      <c r="B296" s="5" t="s">
        <v>480</v>
      </c>
      <c r="C296" s="5" t="s">
        <v>95</v>
      </c>
      <c r="D296" s="5" t="s">
        <v>28</v>
      </c>
      <c r="E296" s="5" t="n">
        <f aca="false">ROUND(10074*1.05,2)</f>
        <v>10577.7</v>
      </c>
      <c r="F296" s="5" t="s">
        <v>29</v>
      </c>
      <c r="G296" s="5" t="s">
        <v>30</v>
      </c>
      <c r="H296" s="5" t="n">
        <f aca="true">ROUND(RAND()*4+6,1)</f>
        <v>9.5</v>
      </c>
      <c r="I296" s="5" t="s">
        <v>31</v>
      </c>
      <c r="J296" s="5" t="str">
        <f aca="false">ROUND(62*1,0)&amp;"%"</f>
        <v>62%</v>
      </c>
    </row>
    <row r="297" customFormat="false" ht="15" hidden="false" customHeight="false" outlineLevel="0" collapsed="false">
      <c r="A297" s="6" t="s">
        <v>3242</v>
      </c>
      <c r="B297" s="6" t="s">
        <v>482</v>
      </c>
      <c r="C297" s="6" t="s">
        <v>95</v>
      </c>
      <c r="D297" s="6" t="s">
        <v>34</v>
      </c>
      <c r="E297" s="6" t="n">
        <f aca="false">ROUND(12368*1.05,2)</f>
        <v>12986.4</v>
      </c>
      <c r="F297" s="6" t="s">
        <v>35</v>
      </c>
      <c r="G297" s="6" t="s">
        <v>18</v>
      </c>
      <c r="H297" s="6" t="n">
        <f aca="true">ROUND(RAND()*4+6,1)</f>
        <v>6.5</v>
      </c>
      <c r="I297" s="6" t="s">
        <v>36</v>
      </c>
      <c r="J297" s="6" t="str">
        <f aca="false">ROUND(69*1,0)&amp;"%"</f>
        <v>69%</v>
      </c>
    </row>
    <row r="298" customFormat="false" ht="15" hidden="false" customHeight="false" outlineLevel="0" collapsed="false">
      <c r="A298" s="5" t="s">
        <v>3243</v>
      </c>
      <c r="B298" s="5" t="s">
        <v>484</v>
      </c>
      <c r="C298" s="5" t="s">
        <v>95</v>
      </c>
      <c r="D298" s="5" t="s">
        <v>39</v>
      </c>
      <c r="E298" s="5" t="n">
        <f aca="false">ROUND(14353*1.05,2)</f>
        <v>15070.65</v>
      </c>
      <c r="F298" s="5" t="s">
        <v>40</v>
      </c>
      <c r="G298" s="5" t="s">
        <v>24</v>
      </c>
      <c r="H298" s="5" t="n">
        <f aca="true">ROUND(RAND()*4+6,1)</f>
        <v>7.1</v>
      </c>
      <c r="I298" s="5" t="s">
        <v>41</v>
      </c>
      <c r="J298" s="5" t="str">
        <f aca="false">ROUND(69*1,0)&amp;"%"</f>
        <v>69%</v>
      </c>
    </row>
    <row r="299" customFormat="false" ht="15" hidden="false" customHeight="false" outlineLevel="0" collapsed="false">
      <c r="A299" s="6" t="s">
        <v>3244</v>
      </c>
      <c r="B299" s="6" t="s">
        <v>486</v>
      </c>
      <c r="C299" s="6" t="s">
        <v>95</v>
      </c>
      <c r="D299" s="6" t="s">
        <v>44</v>
      </c>
      <c r="E299" s="6" t="n">
        <f aca="false">ROUND(5166*1.05,2)</f>
        <v>5424.3</v>
      </c>
      <c r="F299" s="6" t="s">
        <v>45</v>
      </c>
      <c r="G299" s="6" t="s">
        <v>30</v>
      </c>
      <c r="H299" s="6" t="n">
        <f aca="true">ROUND(RAND()*4+6,1)</f>
        <v>9.8</v>
      </c>
      <c r="I299" s="6" t="s">
        <v>46</v>
      </c>
      <c r="J299" s="6" t="str">
        <f aca="false">ROUND(73*1,0)&amp;"%"</f>
        <v>73%</v>
      </c>
    </row>
    <row r="300" customFormat="false" ht="15" hidden="false" customHeight="false" outlineLevel="0" collapsed="false">
      <c r="A300" s="5" t="s">
        <v>3245</v>
      </c>
      <c r="B300" s="5" t="s">
        <v>488</v>
      </c>
      <c r="C300" s="5" t="s">
        <v>95</v>
      </c>
      <c r="D300" s="5" t="s">
        <v>16</v>
      </c>
      <c r="E300" s="5" t="n">
        <f aca="false">ROUND(4787*1.05,2)</f>
        <v>5026.35</v>
      </c>
      <c r="F300" s="5" t="s">
        <v>49</v>
      </c>
      <c r="G300" s="5" t="s">
        <v>18</v>
      </c>
      <c r="H300" s="5" t="n">
        <f aca="true">ROUND(RAND()*4+6,1)</f>
        <v>7.9</v>
      </c>
      <c r="I300" s="5" t="s">
        <v>19</v>
      </c>
      <c r="J300" s="5" t="str">
        <f aca="false">ROUND(61*1,0)&amp;"%"</f>
        <v>61%</v>
      </c>
    </row>
    <row r="301" customFormat="false" ht="15" hidden="false" customHeight="false" outlineLevel="0" collapsed="false">
      <c r="A301" s="6" t="s">
        <v>3246</v>
      </c>
      <c r="B301" s="6" t="s">
        <v>490</v>
      </c>
      <c r="C301" s="6" t="s">
        <v>95</v>
      </c>
      <c r="D301" s="6" t="s">
        <v>22</v>
      </c>
      <c r="E301" s="6" t="n">
        <f aca="false">ROUND(6037*1.05,2)</f>
        <v>6338.85</v>
      </c>
      <c r="F301" s="6" t="s">
        <v>52</v>
      </c>
      <c r="G301" s="6" t="s">
        <v>24</v>
      </c>
      <c r="H301" s="6" t="n">
        <f aca="true">ROUND(RAND()*4+6,1)</f>
        <v>10</v>
      </c>
      <c r="I301" s="6" t="s">
        <v>25</v>
      </c>
      <c r="J301" s="6" t="str">
        <f aca="false">ROUND(91*1,0)&amp;"%"</f>
        <v>91%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3247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3248</v>
      </c>
      <c r="B306" s="5" t="s">
        <v>494</v>
      </c>
      <c r="C306" s="5" t="s">
        <v>114</v>
      </c>
      <c r="D306" s="5" t="s">
        <v>16</v>
      </c>
      <c r="E306" s="5" t="n">
        <f aca="false">ROUND(12592*1.05,2)</f>
        <v>13221.6</v>
      </c>
      <c r="F306" s="5" t="s">
        <v>17</v>
      </c>
      <c r="G306" s="5" t="s">
        <v>18</v>
      </c>
      <c r="H306" s="5" t="n">
        <f aca="true">ROUND(RAND()*4+6,1)</f>
        <v>9</v>
      </c>
      <c r="I306" s="5" t="s">
        <v>19</v>
      </c>
      <c r="J306" s="5" t="str">
        <f aca="false">ROUND(96*1,0)&amp;"%"</f>
        <v>96%</v>
      </c>
    </row>
    <row r="307" customFormat="false" ht="15" hidden="false" customHeight="false" outlineLevel="0" collapsed="false">
      <c r="A307" s="6" t="s">
        <v>3249</v>
      </c>
      <c r="B307" s="6" t="s">
        <v>496</v>
      </c>
      <c r="C307" s="6" t="s">
        <v>114</v>
      </c>
      <c r="D307" s="6" t="s">
        <v>22</v>
      </c>
      <c r="E307" s="6" t="n">
        <f aca="false">ROUND(7747*1.05,2)</f>
        <v>8134.35</v>
      </c>
      <c r="F307" s="6" t="s">
        <v>23</v>
      </c>
      <c r="G307" s="6" t="s">
        <v>24</v>
      </c>
      <c r="H307" s="6" t="n">
        <f aca="true">ROUND(RAND()*4+6,1)</f>
        <v>6.1</v>
      </c>
      <c r="I307" s="6" t="s">
        <v>25</v>
      </c>
      <c r="J307" s="6" t="str">
        <f aca="false">ROUND(89*1,0)&amp;"%"</f>
        <v>89%</v>
      </c>
    </row>
    <row r="308" customFormat="false" ht="15" hidden="false" customHeight="false" outlineLevel="0" collapsed="false">
      <c r="A308" s="5" t="s">
        <v>3250</v>
      </c>
      <c r="B308" s="5" t="s">
        <v>498</v>
      </c>
      <c r="C308" s="5" t="s">
        <v>114</v>
      </c>
      <c r="D308" s="5" t="s">
        <v>28</v>
      </c>
      <c r="E308" s="5" t="n">
        <f aca="false">ROUND(4026*1.05,2)</f>
        <v>4227.3</v>
      </c>
      <c r="F308" s="5" t="s">
        <v>29</v>
      </c>
      <c r="G308" s="5" t="s">
        <v>30</v>
      </c>
      <c r="H308" s="5" t="n">
        <f aca="true">ROUND(RAND()*4+6,1)</f>
        <v>9.6</v>
      </c>
      <c r="I308" s="5" t="s">
        <v>31</v>
      </c>
      <c r="J308" s="5" t="str">
        <f aca="false">ROUND(94*1,0)&amp;"%"</f>
        <v>94%</v>
      </c>
    </row>
    <row r="309" customFormat="false" ht="15" hidden="false" customHeight="false" outlineLevel="0" collapsed="false">
      <c r="A309" s="6" t="s">
        <v>3251</v>
      </c>
      <c r="B309" s="6" t="s">
        <v>500</v>
      </c>
      <c r="C309" s="6" t="s">
        <v>114</v>
      </c>
      <c r="D309" s="6" t="s">
        <v>34</v>
      </c>
      <c r="E309" s="6" t="n">
        <f aca="false">ROUND(16681*1.05,2)</f>
        <v>17515.05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ROUND(68*1,0)&amp;"%"</f>
        <v>68%</v>
      </c>
    </row>
    <row r="310" customFormat="false" ht="15" hidden="false" customHeight="false" outlineLevel="0" collapsed="false">
      <c r="A310" s="5" t="s">
        <v>3252</v>
      </c>
      <c r="B310" s="5" t="s">
        <v>502</v>
      </c>
      <c r="C310" s="5" t="s">
        <v>114</v>
      </c>
      <c r="D310" s="5" t="s">
        <v>39</v>
      </c>
      <c r="E310" s="5" t="n">
        <f aca="false">ROUND(5132*1.05,2)</f>
        <v>5388.6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ROUND(68*1,0)&amp;"%"</f>
        <v>68%</v>
      </c>
    </row>
    <row r="311" customFormat="false" ht="15" hidden="false" customHeight="false" outlineLevel="0" collapsed="false">
      <c r="A311" s="6" t="s">
        <v>3253</v>
      </c>
      <c r="B311" s="6" t="s">
        <v>504</v>
      </c>
      <c r="C311" s="6" t="s">
        <v>114</v>
      </c>
      <c r="D311" s="6" t="s">
        <v>44</v>
      </c>
      <c r="E311" s="6" t="n">
        <f aca="false">ROUND(16186*1.05,2)</f>
        <v>16995.3</v>
      </c>
      <c r="F311" s="6" t="s">
        <v>45</v>
      </c>
      <c r="G311" s="6" t="s">
        <v>30</v>
      </c>
      <c r="H311" s="6" t="n">
        <f aca="true">ROUND(RAND()*4+6,1)</f>
        <v>8.2</v>
      </c>
      <c r="I311" s="6" t="s">
        <v>46</v>
      </c>
      <c r="J311" s="6" t="str">
        <f aca="false">ROUND(73*1,0)&amp;"%"</f>
        <v>73%</v>
      </c>
    </row>
    <row r="312" customFormat="false" ht="15" hidden="false" customHeight="false" outlineLevel="0" collapsed="false">
      <c r="A312" s="5" t="s">
        <v>3254</v>
      </c>
      <c r="B312" s="5" t="s">
        <v>506</v>
      </c>
      <c r="C312" s="5" t="s">
        <v>114</v>
      </c>
      <c r="D312" s="5" t="s">
        <v>16</v>
      </c>
      <c r="E312" s="5" t="n">
        <f aca="false">ROUND(7745*1.05,2)</f>
        <v>8132.25</v>
      </c>
      <c r="F312" s="5" t="s">
        <v>49</v>
      </c>
      <c r="G312" s="5" t="s">
        <v>18</v>
      </c>
      <c r="H312" s="5" t="n">
        <f aca="true">ROUND(RAND()*4+6,1)</f>
        <v>8.5</v>
      </c>
      <c r="I312" s="5" t="s">
        <v>19</v>
      </c>
      <c r="J312" s="5" t="str">
        <f aca="false">ROUND(94*1,0)&amp;"%"</f>
        <v>94%</v>
      </c>
    </row>
    <row r="313" customFormat="false" ht="15" hidden="false" customHeight="false" outlineLevel="0" collapsed="false">
      <c r="A313" s="6" t="s">
        <v>3255</v>
      </c>
      <c r="B313" s="6" t="s">
        <v>508</v>
      </c>
      <c r="C313" s="6" t="s">
        <v>114</v>
      </c>
      <c r="D313" s="6" t="s">
        <v>22</v>
      </c>
      <c r="E313" s="6" t="n">
        <f aca="false">ROUND(5106*1.05,2)</f>
        <v>5361.3</v>
      </c>
      <c r="F313" s="6" t="s">
        <v>52</v>
      </c>
      <c r="G313" s="6" t="s">
        <v>24</v>
      </c>
      <c r="H313" s="6" t="n">
        <f aca="true">ROUND(RAND()*4+6,1)</f>
        <v>6.7</v>
      </c>
      <c r="I313" s="6" t="s">
        <v>25</v>
      </c>
      <c r="J313" s="6" t="str">
        <f aca="false">ROUND(89*1,0)&amp;"%"</f>
        <v>89%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3256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3257</v>
      </c>
      <c r="B318" s="5" t="s">
        <v>512</v>
      </c>
      <c r="C318" s="5" t="s">
        <v>133</v>
      </c>
      <c r="D318" s="5" t="s">
        <v>16</v>
      </c>
      <c r="E318" s="5" t="n">
        <f aca="false">ROUND(5634*1.05,2)</f>
        <v>5915.7</v>
      </c>
      <c r="F318" s="5" t="s">
        <v>17</v>
      </c>
      <c r="G318" s="5" t="s">
        <v>18</v>
      </c>
      <c r="H318" s="5" t="n">
        <f aca="true">ROUND(RAND()*4+6,1)</f>
        <v>6.6</v>
      </c>
      <c r="I318" s="5" t="s">
        <v>19</v>
      </c>
      <c r="J318" s="5" t="str">
        <f aca="false">ROUND(86*1,0)&amp;"%"</f>
        <v>86%</v>
      </c>
    </row>
    <row r="319" customFormat="false" ht="15" hidden="false" customHeight="false" outlineLevel="0" collapsed="false">
      <c r="A319" s="6" t="s">
        <v>3258</v>
      </c>
      <c r="B319" s="6" t="s">
        <v>514</v>
      </c>
      <c r="C319" s="6" t="s">
        <v>133</v>
      </c>
      <c r="D319" s="6" t="s">
        <v>22</v>
      </c>
      <c r="E319" s="6" t="n">
        <f aca="false">ROUND(16822*1.05,2)</f>
        <v>17663.1</v>
      </c>
      <c r="F319" s="6" t="s">
        <v>23</v>
      </c>
      <c r="G319" s="6" t="s">
        <v>24</v>
      </c>
      <c r="H319" s="6" t="n">
        <f aca="true">ROUND(RAND()*4+6,1)</f>
        <v>9.5</v>
      </c>
      <c r="I319" s="6" t="s">
        <v>25</v>
      </c>
      <c r="J319" s="6" t="str">
        <f aca="false">ROUND(86*1,0)&amp;"%"</f>
        <v>86%</v>
      </c>
    </row>
    <row r="320" customFormat="false" ht="15" hidden="false" customHeight="false" outlineLevel="0" collapsed="false">
      <c r="A320" s="5" t="s">
        <v>3259</v>
      </c>
      <c r="B320" s="5" t="s">
        <v>516</v>
      </c>
      <c r="C320" s="5" t="s">
        <v>133</v>
      </c>
      <c r="D320" s="5" t="s">
        <v>28</v>
      </c>
      <c r="E320" s="5" t="n">
        <f aca="false">ROUND(7131*1.05,2)</f>
        <v>7487.55</v>
      </c>
      <c r="F320" s="5" t="s">
        <v>29</v>
      </c>
      <c r="G320" s="5" t="s">
        <v>30</v>
      </c>
      <c r="H320" s="5" t="n">
        <f aca="true">ROUND(RAND()*4+6,1)</f>
        <v>7.9</v>
      </c>
      <c r="I320" s="5" t="s">
        <v>31</v>
      </c>
      <c r="J320" s="5" t="str">
        <f aca="false">ROUND(80*1,0)&amp;"%"</f>
        <v>80%</v>
      </c>
    </row>
    <row r="321" customFormat="false" ht="15" hidden="false" customHeight="false" outlineLevel="0" collapsed="false">
      <c r="A321" s="6" t="s">
        <v>3260</v>
      </c>
      <c r="B321" s="6" t="s">
        <v>518</v>
      </c>
      <c r="C321" s="6" t="s">
        <v>133</v>
      </c>
      <c r="D321" s="6" t="s">
        <v>34</v>
      </c>
      <c r="E321" s="6" t="n">
        <f aca="false">ROUND(15994*1.05,2)</f>
        <v>16793.7</v>
      </c>
      <c r="F321" s="6" t="s">
        <v>35</v>
      </c>
      <c r="G321" s="6" t="s">
        <v>18</v>
      </c>
      <c r="H321" s="6" t="n">
        <f aca="true">ROUND(RAND()*4+6,1)</f>
        <v>7.8</v>
      </c>
      <c r="I321" s="6" t="s">
        <v>36</v>
      </c>
      <c r="J321" s="6" t="str">
        <f aca="false">ROUND(65*1,0)&amp;"%"</f>
        <v>65%</v>
      </c>
    </row>
    <row r="322" customFormat="false" ht="15" hidden="false" customHeight="false" outlineLevel="0" collapsed="false">
      <c r="A322" s="5" t="s">
        <v>3261</v>
      </c>
      <c r="B322" s="5" t="s">
        <v>520</v>
      </c>
      <c r="C322" s="5" t="s">
        <v>133</v>
      </c>
      <c r="D322" s="5" t="s">
        <v>39</v>
      </c>
      <c r="E322" s="5" t="n">
        <f aca="false">ROUND(16683*1.05,2)</f>
        <v>17517.15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ROUND(87*1,0)&amp;"%"</f>
        <v>87%</v>
      </c>
    </row>
    <row r="323" customFormat="false" ht="15" hidden="false" customHeight="false" outlineLevel="0" collapsed="false">
      <c r="A323" s="6" t="s">
        <v>3262</v>
      </c>
      <c r="B323" s="6" t="s">
        <v>522</v>
      </c>
      <c r="C323" s="6" t="s">
        <v>133</v>
      </c>
      <c r="D323" s="6" t="s">
        <v>44</v>
      </c>
      <c r="E323" s="6" t="n">
        <f aca="false">ROUND(13878*1.05,2)</f>
        <v>14571.9</v>
      </c>
      <c r="F323" s="6" t="s">
        <v>45</v>
      </c>
      <c r="G323" s="6" t="s">
        <v>30</v>
      </c>
      <c r="H323" s="6" t="n">
        <f aca="true">ROUND(RAND()*4+6,1)</f>
        <v>8.9</v>
      </c>
      <c r="I323" s="6" t="s">
        <v>46</v>
      </c>
      <c r="J323" s="6" t="str">
        <f aca="false">ROUND(83*1,0)&amp;"%"</f>
        <v>83%</v>
      </c>
    </row>
    <row r="324" customFormat="false" ht="15" hidden="false" customHeight="false" outlineLevel="0" collapsed="false">
      <c r="A324" s="5" t="s">
        <v>3263</v>
      </c>
      <c r="B324" s="5" t="s">
        <v>524</v>
      </c>
      <c r="C324" s="5" t="s">
        <v>133</v>
      </c>
      <c r="D324" s="5" t="s">
        <v>16</v>
      </c>
      <c r="E324" s="5" t="n">
        <f aca="false">ROUND(16566*1.05,2)</f>
        <v>17394.3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ROUND(100*1,0)&amp;"%"</f>
        <v>100%</v>
      </c>
    </row>
    <row r="325" customFormat="false" ht="15" hidden="false" customHeight="false" outlineLevel="0" collapsed="false">
      <c r="A325" s="6" t="s">
        <v>3264</v>
      </c>
      <c r="B325" s="6" t="s">
        <v>526</v>
      </c>
      <c r="C325" s="6" t="s">
        <v>133</v>
      </c>
      <c r="D325" s="6" t="s">
        <v>22</v>
      </c>
      <c r="E325" s="6" t="n">
        <f aca="false">ROUND(13639*1.05,2)</f>
        <v>14320.95</v>
      </c>
      <c r="F325" s="6" t="s">
        <v>52</v>
      </c>
      <c r="G325" s="6" t="s">
        <v>24</v>
      </c>
      <c r="H325" s="6" t="n">
        <f aca="true">ROUND(RAND()*4+6,1)</f>
        <v>9.9</v>
      </c>
      <c r="I325" s="6" t="s">
        <v>25</v>
      </c>
      <c r="J325" s="6" t="str">
        <f aca="false">ROUND(71*1,0)&amp;"%"</f>
        <v>71%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3265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3266</v>
      </c>
      <c r="B330" s="5" t="s">
        <v>530</v>
      </c>
      <c r="C330" s="5" t="s">
        <v>152</v>
      </c>
      <c r="D330" s="5" t="s">
        <v>16</v>
      </c>
      <c r="E330" s="5" t="n">
        <f aca="false">ROUND(15443*1.05,2)</f>
        <v>16215.15</v>
      </c>
      <c r="F330" s="5" t="s">
        <v>17</v>
      </c>
      <c r="G330" s="5" t="s">
        <v>18</v>
      </c>
      <c r="H330" s="5" t="n">
        <f aca="true">ROUND(RAND()*4+6,1)</f>
        <v>9.4</v>
      </c>
      <c r="I330" s="5" t="s">
        <v>19</v>
      </c>
      <c r="J330" s="5" t="str">
        <f aca="false">ROUND(78*1,0)&amp;"%"</f>
        <v>78%</v>
      </c>
    </row>
    <row r="331" customFormat="false" ht="15" hidden="false" customHeight="false" outlineLevel="0" collapsed="false">
      <c r="A331" s="6" t="s">
        <v>3267</v>
      </c>
      <c r="B331" s="6" t="s">
        <v>532</v>
      </c>
      <c r="C331" s="6" t="s">
        <v>152</v>
      </c>
      <c r="D331" s="6" t="s">
        <v>22</v>
      </c>
      <c r="E331" s="6" t="n">
        <f aca="false">ROUND(17534*1.05,2)</f>
        <v>18410.7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ROUND(63*1,0)&amp;"%"</f>
        <v>63%</v>
      </c>
    </row>
    <row r="332" customFormat="false" ht="15" hidden="false" customHeight="false" outlineLevel="0" collapsed="false">
      <c r="A332" s="5" t="s">
        <v>3268</v>
      </c>
      <c r="B332" s="5" t="s">
        <v>534</v>
      </c>
      <c r="C332" s="5" t="s">
        <v>152</v>
      </c>
      <c r="D332" s="5" t="s">
        <v>28</v>
      </c>
      <c r="E332" s="5" t="n">
        <f aca="false">ROUND(15744*1.05,2)</f>
        <v>16531.2</v>
      </c>
      <c r="F332" s="5" t="s">
        <v>29</v>
      </c>
      <c r="G332" s="5" t="s">
        <v>30</v>
      </c>
      <c r="H332" s="5" t="n">
        <f aca="true">ROUND(RAND()*4+6,1)</f>
        <v>8.5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3269</v>
      </c>
      <c r="B333" s="6" t="s">
        <v>536</v>
      </c>
      <c r="C333" s="6" t="s">
        <v>152</v>
      </c>
      <c r="D333" s="6" t="s">
        <v>34</v>
      </c>
      <c r="E333" s="6" t="n">
        <f aca="false">ROUND(11829*1.05,2)</f>
        <v>12420.45</v>
      </c>
      <c r="F333" s="6" t="s">
        <v>35</v>
      </c>
      <c r="G333" s="6" t="s">
        <v>18</v>
      </c>
      <c r="H333" s="6" t="n">
        <f aca="true">ROUND(RAND()*4+6,1)</f>
        <v>7.8</v>
      </c>
      <c r="I333" s="6" t="s">
        <v>36</v>
      </c>
      <c r="J333" s="6" t="str">
        <f aca="false">ROUND(99*1,0)&amp;"%"</f>
        <v>99%</v>
      </c>
    </row>
    <row r="334" customFormat="false" ht="15" hidden="false" customHeight="false" outlineLevel="0" collapsed="false">
      <c r="A334" s="5" t="s">
        <v>3270</v>
      </c>
      <c r="B334" s="5" t="s">
        <v>538</v>
      </c>
      <c r="C334" s="5" t="s">
        <v>152</v>
      </c>
      <c r="D334" s="5" t="s">
        <v>39</v>
      </c>
      <c r="E334" s="5" t="n">
        <f aca="false">ROUND(8496*1.05,2)</f>
        <v>8920.8</v>
      </c>
      <c r="F334" s="5" t="s">
        <v>40</v>
      </c>
      <c r="G334" s="5" t="s">
        <v>24</v>
      </c>
      <c r="H334" s="5" t="n">
        <f aca="true">ROUND(RAND()*4+6,1)</f>
        <v>10</v>
      </c>
      <c r="I334" s="5" t="s">
        <v>41</v>
      </c>
      <c r="J334" s="5" t="str">
        <f aca="false">ROUND(86*1,0)&amp;"%"</f>
        <v>86%</v>
      </c>
    </row>
    <row r="335" customFormat="false" ht="15" hidden="false" customHeight="false" outlineLevel="0" collapsed="false">
      <c r="A335" s="6" t="s">
        <v>3271</v>
      </c>
      <c r="B335" s="6" t="s">
        <v>540</v>
      </c>
      <c r="C335" s="6" t="s">
        <v>152</v>
      </c>
      <c r="D335" s="6" t="s">
        <v>44</v>
      </c>
      <c r="E335" s="6" t="n">
        <f aca="false">ROUND(8765*1.05,2)</f>
        <v>9203.25</v>
      </c>
      <c r="F335" s="6" t="s">
        <v>45</v>
      </c>
      <c r="G335" s="6" t="s">
        <v>30</v>
      </c>
      <c r="H335" s="6" t="n">
        <f aca="true">ROUND(RAND()*4+6,1)</f>
        <v>6.5</v>
      </c>
      <c r="I335" s="6" t="s">
        <v>46</v>
      </c>
      <c r="J335" s="6" t="str">
        <f aca="false">ROUND(68*1,0)&amp;"%"</f>
        <v>68%</v>
      </c>
    </row>
    <row r="336" customFormat="false" ht="15" hidden="false" customHeight="false" outlineLevel="0" collapsed="false">
      <c r="A336" s="5" t="s">
        <v>3272</v>
      </c>
      <c r="B336" s="5" t="s">
        <v>542</v>
      </c>
      <c r="C336" s="5" t="s">
        <v>152</v>
      </c>
      <c r="D336" s="5" t="s">
        <v>16</v>
      </c>
      <c r="E336" s="5" t="n">
        <f aca="false">ROUND(8528*1.05,2)</f>
        <v>8954.4</v>
      </c>
      <c r="F336" s="5" t="s">
        <v>49</v>
      </c>
      <c r="G336" s="5" t="s">
        <v>18</v>
      </c>
      <c r="H336" s="5" t="n">
        <f aca="true">ROUND(RAND()*4+6,1)</f>
        <v>8.8</v>
      </c>
      <c r="I336" s="5" t="s">
        <v>19</v>
      </c>
      <c r="J336" s="5" t="str">
        <f aca="false">ROUND(69*1,0)&amp;"%"</f>
        <v>69%</v>
      </c>
    </row>
    <row r="337" customFormat="false" ht="15" hidden="false" customHeight="false" outlineLevel="0" collapsed="false">
      <c r="A337" s="6" t="s">
        <v>3273</v>
      </c>
      <c r="B337" s="6" t="s">
        <v>544</v>
      </c>
      <c r="C337" s="6" t="s">
        <v>152</v>
      </c>
      <c r="D337" s="6" t="s">
        <v>22</v>
      </c>
      <c r="E337" s="6" t="n">
        <f aca="false">ROUND(6011*1.05,2)</f>
        <v>6311.55</v>
      </c>
      <c r="F337" s="6" t="s">
        <v>52</v>
      </c>
      <c r="G337" s="6" t="s">
        <v>24</v>
      </c>
      <c r="H337" s="6" t="n">
        <f aca="true">ROUND(RAND()*4+6,1)</f>
        <v>6.8</v>
      </c>
      <c r="I337" s="6" t="s">
        <v>25</v>
      </c>
      <c r="J337" s="6" t="str">
        <f aca="false">ROUND(85*1,0)&amp;"%"</f>
        <v>85%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3274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3275</v>
      </c>
      <c r="B342" s="5" t="s">
        <v>548</v>
      </c>
      <c r="C342" s="5" t="s">
        <v>15</v>
      </c>
      <c r="D342" s="5" t="s">
        <v>16</v>
      </c>
      <c r="E342" s="5" t="n">
        <f aca="false">ROUND(15972*1.05,2)</f>
        <v>16770.6</v>
      </c>
      <c r="F342" s="5" t="s">
        <v>17</v>
      </c>
      <c r="G342" s="5" t="s">
        <v>18</v>
      </c>
      <c r="H342" s="5" t="n">
        <f aca="true">ROUND(RAND()*4+6,1)</f>
        <v>7.3</v>
      </c>
      <c r="I342" s="5" t="s">
        <v>19</v>
      </c>
      <c r="J342" s="5" t="str">
        <f aca="false">ROUND(88*1,0)&amp;"%"</f>
        <v>88%</v>
      </c>
    </row>
    <row r="343" customFormat="false" ht="15" hidden="false" customHeight="false" outlineLevel="0" collapsed="false">
      <c r="A343" s="6" t="s">
        <v>3276</v>
      </c>
      <c r="B343" s="6" t="s">
        <v>550</v>
      </c>
      <c r="C343" s="6" t="s">
        <v>15</v>
      </c>
      <c r="D343" s="6" t="s">
        <v>22</v>
      </c>
      <c r="E343" s="6" t="n">
        <f aca="false">ROUND(6243*1.05,2)</f>
        <v>6555.15</v>
      </c>
      <c r="F343" s="6" t="s">
        <v>23</v>
      </c>
      <c r="G343" s="6" t="s">
        <v>24</v>
      </c>
      <c r="H343" s="6" t="n">
        <f aca="true">ROUND(RAND()*4+6,1)</f>
        <v>7.4</v>
      </c>
      <c r="I343" s="6" t="s">
        <v>25</v>
      </c>
      <c r="J343" s="6" t="str">
        <f aca="false">ROUND(74*1,0)&amp;"%"</f>
        <v>74%</v>
      </c>
    </row>
    <row r="344" customFormat="false" ht="15" hidden="false" customHeight="false" outlineLevel="0" collapsed="false">
      <c r="A344" s="5" t="s">
        <v>3277</v>
      </c>
      <c r="B344" s="5" t="s">
        <v>552</v>
      </c>
      <c r="C344" s="5" t="s">
        <v>15</v>
      </c>
      <c r="D344" s="5" t="s">
        <v>28</v>
      </c>
      <c r="E344" s="5" t="n">
        <f aca="false">ROUND(10097*1.05,2)</f>
        <v>10601.85</v>
      </c>
      <c r="F344" s="5" t="s">
        <v>29</v>
      </c>
      <c r="G344" s="5" t="s">
        <v>30</v>
      </c>
      <c r="H344" s="5" t="n">
        <f aca="true">ROUND(RAND()*4+6,1)</f>
        <v>6.7</v>
      </c>
      <c r="I344" s="5" t="s">
        <v>31</v>
      </c>
      <c r="J344" s="5" t="str">
        <f aca="false">ROUND(82*1,0)&amp;"%"</f>
        <v>82%</v>
      </c>
    </row>
    <row r="345" customFormat="false" ht="15" hidden="false" customHeight="false" outlineLevel="0" collapsed="false">
      <c r="A345" s="6" t="s">
        <v>3278</v>
      </c>
      <c r="B345" s="6" t="s">
        <v>554</v>
      </c>
      <c r="C345" s="6" t="s">
        <v>15</v>
      </c>
      <c r="D345" s="6" t="s">
        <v>34</v>
      </c>
      <c r="E345" s="6" t="n">
        <f aca="false">ROUND(10421*1.05,2)</f>
        <v>10942.05</v>
      </c>
      <c r="F345" s="6" t="s">
        <v>35</v>
      </c>
      <c r="G345" s="6" t="s">
        <v>18</v>
      </c>
      <c r="H345" s="6" t="n">
        <f aca="true">ROUND(RAND()*4+6,1)</f>
        <v>7.3</v>
      </c>
      <c r="I345" s="6" t="s">
        <v>36</v>
      </c>
      <c r="J345" s="6" t="str">
        <f aca="false">ROUND(88*1,0)&amp;"%"</f>
        <v>88%</v>
      </c>
    </row>
    <row r="346" customFormat="false" ht="15" hidden="false" customHeight="false" outlineLevel="0" collapsed="false">
      <c r="A346" s="5" t="s">
        <v>3279</v>
      </c>
      <c r="B346" s="5" t="s">
        <v>556</v>
      </c>
      <c r="C346" s="5" t="s">
        <v>15</v>
      </c>
      <c r="D346" s="5" t="s">
        <v>39</v>
      </c>
      <c r="E346" s="5" t="n">
        <f aca="false">ROUND(7910*1.05,2)</f>
        <v>8305.5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ROUND(94*1,0)&amp;"%"</f>
        <v>94%</v>
      </c>
    </row>
    <row r="347" customFormat="false" ht="15" hidden="false" customHeight="false" outlineLevel="0" collapsed="false">
      <c r="A347" s="6" t="s">
        <v>3280</v>
      </c>
      <c r="B347" s="6" t="s">
        <v>558</v>
      </c>
      <c r="C347" s="6" t="s">
        <v>15</v>
      </c>
      <c r="D347" s="6" t="s">
        <v>44</v>
      </c>
      <c r="E347" s="6" t="n">
        <f aca="false">ROUND(13195*1.05,2)</f>
        <v>13854.75</v>
      </c>
      <c r="F347" s="6" t="s">
        <v>45</v>
      </c>
      <c r="G347" s="6" t="s">
        <v>30</v>
      </c>
      <c r="H347" s="6" t="n">
        <f aca="true">ROUND(RAND()*4+6,1)</f>
        <v>9.9</v>
      </c>
      <c r="I347" s="6" t="s">
        <v>46</v>
      </c>
      <c r="J347" s="6" t="str">
        <f aca="false">ROUND(69*1,0)&amp;"%"</f>
        <v>69%</v>
      </c>
    </row>
    <row r="348" customFormat="false" ht="15" hidden="false" customHeight="false" outlineLevel="0" collapsed="false">
      <c r="A348" s="5" t="s">
        <v>3281</v>
      </c>
      <c r="B348" s="5" t="s">
        <v>560</v>
      </c>
      <c r="C348" s="5" t="s">
        <v>15</v>
      </c>
      <c r="D348" s="5" t="s">
        <v>16</v>
      </c>
      <c r="E348" s="5" t="n">
        <f aca="false">ROUND(6528*1.05,2)</f>
        <v>6854.4</v>
      </c>
      <c r="F348" s="5" t="s">
        <v>49</v>
      </c>
      <c r="G348" s="5" t="s">
        <v>18</v>
      </c>
      <c r="H348" s="5" t="n">
        <f aca="true">ROUND(RAND()*4+6,1)</f>
        <v>7.2</v>
      </c>
      <c r="I348" s="5" t="s">
        <v>19</v>
      </c>
      <c r="J348" s="5" t="str">
        <f aca="false">ROUND(91*1,0)&amp;"%"</f>
        <v>91%</v>
      </c>
    </row>
    <row r="349" customFormat="false" ht="15" hidden="false" customHeight="false" outlineLevel="0" collapsed="false">
      <c r="A349" s="6" t="s">
        <v>3282</v>
      </c>
      <c r="B349" s="6" t="s">
        <v>562</v>
      </c>
      <c r="C349" s="6" t="s">
        <v>15</v>
      </c>
      <c r="D349" s="6" t="s">
        <v>22</v>
      </c>
      <c r="E349" s="6" t="n">
        <f aca="false">ROUND(7042*1.05,2)</f>
        <v>7394.1</v>
      </c>
      <c r="F349" s="6" t="s">
        <v>52</v>
      </c>
      <c r="G349" s="6" t="s">
        <v>24</v>
      </c>
      <c r="H349" s="6" t="n">
        <f aca="true">ROUND(RAND()*4+6,1)</f>
        <v>9</v>
      </c>
      <c r="I349" s="6" t="s">
        <v>25</v>
      </c>
      <c r="J349" s="6" t="str">
        <f aca="false">ROUND(94*1,0)&amp;"%"</f>
        <v>94%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3283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3284</v>
      </c>
      <c r="B354" s="5" t="s">
        <v>566</v>
      </c>
      <c r="C354" s="5" t="s">
        <v>57</v>
      </c>
      <c r="D354" s="5" t="s">
        <v>16</v>
      </c>
      <c r="E354" s="5" t="n">
        <f aca="false">ROUND(14263*1.05,2)</f>
        <v>14976.15</v>
      </c>
      <c r="F354" s="5" t="s">
        <v>17</v>
      </c>
      <c r="G354" s="5" t="s">
        <v>18</v>
      </c>
      <c r="H354" s="5" t="n">
        <f aca="true">ROUND(RAND()*4+6,1)</f>
        <v>9.3</v>
      </c>
      <c r="I354" s="5" t="s">
        <v>19</v>
      </c>
      <c r="J354" s="5" t="str">
        <f aca="false">ROUND(85*1,0)&amp;"%"</f>
        <v>85%</v>
      </c>
    </row>
    <row r="355" customFormat="false" ht="15" hidden="false" customHeight="false" outlineLevel="0" collapsed="false">
      <c r="A355" s="6" t="s">
        <v>3285</v>
      </c>
      <c r="B355" s="6" t="s">
        <v>568</v>
      </c>
      <c r="C355" s="6" t="s">
        <v>57</v>
      </c>
      <c r="D355" s="6" t="s">
        <v>22</v>
      </c>
      <c r="E355" s="6" t="n">
        <f aca="false">ROUND(17850*1.05,2)</f>
        <v>18742.5</v>
      </c>
      <c r="F355" s="6" t="s">
        <v>23</v>
      </c>
      <c r="G355" s="6" t="s">
        <v>24</v>
      </c>
      <c r="H355" s="6" t="n">
        <f aca="true">ROUND(RAND()*4+6,1)</f>
        <v>9.2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3286</v>
      </c>
      <c r="B356" s="5" t="s">
        <v>570</v>
      </c>
      <c r="C356" s="5" t="s">
        <v>57</v>
      </c>
      <c r="D356" s="5" t="s">
        <v>28</v>
      </c>
      <c r="E356" s="5" t="n">
        <f aca="false">ROUND(15855*1.05,2)</f>
        <v>16647.75</v>
      </c>
      <c r="F356" s="5" t="s">
        <v>29</v>
      </c>
      <c r="G356" s="5" t="s">
        <v>30</v>
      </c>
      <c r="H356" s="5" t="n">
        <f aca="true">ROUND(RAND()*4+6,1)</f>
        <v>9.5</v>
      </c>
      <c r="I356" s="5" t="s">
        <v>31</v>
      </c>
      <c r="J356" s="5" t="str">
        <f aca="false">ROUND(84*1,0)&amp;"%"</f>
        <v>84%</v>
      </c>
    </row>
    <row r="357" customFormat="false" ht="15" hidden="false" customHeight="false" outlineLevel="0" collapsed="false">
      <c r="A357" s="6" t="s">
        <v>3287</v>
      </c>
      <c r="B357" s="6" t="s">
        <v>572</v>
      </c>
      <c r="C357" s="6" t="s">
        <v>57</v>
      </c>
      <c r="D357" s="6" t="s">
        <v>34</v>
      </c>
      <c r="E357" s="6" t="n">
        <f aca="false">ROUND(5043*1.05,2)</f>
        <v>5295.15</v>
      </c>
      <c r="F357" s="6" t="s">
        <v>35</v>
      </c>
      <c r="G357" s="6" t="s">
        <v>18</v>
      </c>
      <c r="H357" s="6" t="n">
        <f aca="true">ROUND(RAND()*4+6,1)</f>
        <v>9.1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3288</v>
      </c>
      <c r="B358" s="5" t="s">
        <v>574</v>
      </c>
      <c r="C358" s="5" t="s">
        <v>57</v>
      </c>
      <c r="D358" s="5" t="s">
        <v>39</v>
      </c>
      <c r="E358" s="5" t="n">
        <f aca="false">ROUND(6563*1.05,2)</f>
        <v>6891.15</v>
      </c>
      <c r="F358" s="5" t="s">
        <v>40</v>
      </c>
      <c r="G358" s="5" t="s">
        <v>24</v>
      </c>
      <c r="H358" s="5" t="n">
        <f aca="true">ROUND(RAND()*4+6,1)</f>
        <v>9</v>
      </c>
      <c r="I358" s="5" t="s">
        <v>41</v>
      </c>
      <c r="J358" s="5" t="str">
        <f aca="false">ROUND(84*1,0)&amp;"%"</f>
        <v>84%</v>
      </c>
    </row>
    <row r="359" customFormat="false" ht="15" hidden="false" customHeight="false" outlineLevel="0" collapsed="false">
      <c r="A359" s="6" t="s">
        <v>3289</v>
      </c>
      <c r="B359" s="6" t="s">
        <v>576</v>
      </c>
      <c r="C359" s="6" t="s">
        <v>57</v>
      </c>
      <c r="D359" s="6" t="s">
        <v>44</v>
      </c>
      <c r="E359" s="6" t="n">
        <f aca="false">ROUND(6873*1.05,2)</f>
        <v>7216.65</v>
      </c>
      <c r="F359" s="6" t="s">
        <v>45</v>
      </c>
      <c r="G359" s="6" t="s">
        <v>30</v>
      </c>
      <c r="H359" s="6" t="n">
        <f aca="true">ROUND(RAND()*4+6,1)</f>
        <v>9.4</v>
      </c>
      <c r="I359" s="6" t="s">
        <v>46</v>
      </c>
      <c r="J359" s="6" t="str">
        <f aca="false">ROUND(94*1,0)&amp;"%"</f>
        <v>94%</v>
      </c>
    </row>
    <row r="360" customFormat="false" ht="15" hidden="false" customHeight="false" outlineLevel="0" collapsed="false">
      <c r="A360" s="5" t="s">
        <v>3290</v>
      </c>
      <c r="B360" s="5" t="s">
        <v>578</v>
      </c>
      <c r="C360" s="5" t="s">
        <v>57</v>
      </c>
      <c r="D360" s="5" t="s">
        <v>16</v>
      </c>
      <c r="E360" s="5" t="n">
        <f aca="false">ROUND(17459*1.05,2)</f>
        <v>18331.95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ROUND(93*1,0)&amp;"%"</f>
        <v>93%</v>
      </c>
    </row>
    <row r="361" customFormat="false" ht="15" hidden="false" customHeight="false" outlineLevel="0" collapsed="false">
      <c r="A361" s="6" t="s">
        <v>3291</v>
      </c>
      <c r="B361" s="6" t="s">
        <v>580</v>
      </c>
      <c r="C361" s="6" t="s">
        <v>57</v>
      </c>
      <c r="D361" s="6" t="s">
        <v>22</v>
      </c>
      <c r="E361" s="6" t="n">
        <f aca="false">ROUND(9178*1.05,2)</f>
        <v>9636.9</v>
      </c>
      <c r="F361" s="6" t="s">
        <v>52</v>
      </c>
      <c r="G361" s="6" t="s">
        <v>24</v>
      </c>
      <c r="H361" s="6" t="n">
        <f aca="true">ROUND(RAND()*4+6,1)</f>
        <v>8.3</v>
      </c>
      <c r="I361" s="6" t="s">
        <v>25</v>
      </c>
      <c r="J361" s="6" t="str">
        <f aca="false">ROUND(79*1,0)&amp;"%"</f>
        <v>79%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3292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3293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3294</v>
      </c>
      <c r="B6" s="5" t="s">
        <v>14</v>
      </c>
      <c r="C6" s="5" t="s">
        <v>15</v>
      </c>
      <c r="D6" s="5" t="s">
        <v>16</v>
      </c>
      <c r="E6" s="5" t="n">
        <f aca="false">ROUND(9262*1.05,2)</f>
        <v>9725.1</v>
      </c>
      <c r="F6" s="5" t="s">
        <v>17</v>
      </c>
      <c r="G6" s="5" t="s">
        <v>18</v>
      </c>
      <c r="H6" s="5" t="n">
        <f aca="true">ROUND(RAND()*4+6,1)</f>
        <v>6.2</v>
      </c>
      <c r="I6" s="5" t="s">
        <v>19</v>
      </c>
      <c r="J6" s="5" t="str">
        <f aca="false">ROUND(90*1,0)&amp;"%"</f>
        <v>90%</v>
      </c>
    </row>
    <row r="7" customFormat="false" ht="15" hidden="false" customHeight="false" outlineLevel="0" collapsed="false">
      <c r="A7" s="6" t="s">
        <v>3295</v>
      </c>
      <c r="B7" s="6" t="s">
        <v>21</v>
      </c>
      <c r="C7" s="6" t="s">
        <v>15</v>
      </c>
      <c r="D7" s="6" t="s">
        <v>22</v>
      </c>
      <c r="E7" s="6" t="n">
        <f aca="false">ROUND(9489*1.05,2)</f>
        <v>9963.45</v>
      </c>
      <c r="F7" s="6" t="s">
        <v>23</v>
      </c>
      <c r="G7" s="6" t="s">
        <v>24</v>
      </c>
      <c r="H7" s="6" t="n">
        <f aca="true">ROUND(RAND()*4+6,1)</f>
        <v>8.2</v>
      </c>
      <c r="I7" s="6" t="s">
        <v>25</v>
      </c>
      <c r="J7" s="6" t="str">
        <f aca="false">ROUND(68*1,0)&amp;"%"</f>
        <v>68%</v>
      </c>
    </row>
    <row r="8" customFormat="false" ht="15" hidden="false" customHeight="false" outlineLevel="0" collapsed="false">
      <c r="A8" s="5" t="s">
        <v>3296</v>
      </c>
      <c r="B8" s="5" t="s">
        <v>27</v>
      </c>
      <c r="C8" s="5" t="s">
        <v>15</v>
      </c>
      <c r="D8" s="5" t="s">
        <v>28</v>
      </c>
      <c r="E8" s="5" t="n">
        <f aca="false">ROUND(10540*1.05,2)</f>
        <v>11067</v>
      </c>
      <c r="F8" s="5" t="s">
        <v>29</v>
      </c>
      <c r="G8" s="5" t="s">
        <v>30</v>
      </c>
      <c r="H8" s="5" t="n">
        <f aca="true">ROUND(RAND()*4+6,1)</f>
        <v>9.5</v>
      </c>
      <c r="I8" s="5" t="s">
        <v>31</v>
      </c>
      <c r="J8" s="5" t="str">
        <f aca="false">ROUND(97*1,0)&amp;"%"</f>
        <v>97%</v>
      </c>
    </row>
    <row r="9" customFormat="false" ht="15" hidden="false" customHeight="false" outlineLevel="0" collapsed="false">
      <c r="A9" s="6" t="s">
        <v>3297</v>
      </c>
      <c r="B9" s="6" t="s">
        <v>33</v>
      </c>
      <c r="C9" s="6" t="s">
        <v>15</v>
      </c>
      <c r="D9" s="6" t="s">
        <v>34</v>
      </c>
      <c r="E9" s="6" t="n">
        <f aca="false">ROUND(11546*1.05,2)</f>
        <v>12123.3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ROUND(80*1,0)&amp;"%"</f>
        <v>80%</v>
      </c>
    </row>
    <row r="10" customFormat="false" ht="15" hidden="false" customHeight="false" outlineLevel="0" collapsed="false">
      <c r="A10" s="5" t="s">
        <v>3298</v>
      </c>
      <c r="B10" s="5" t="s">
        <v>38</v>
      </c>
      <c r="C10" s="5" t="s">
        <v>15</v>
      </c>
      <c r="D10" s="5" t="s">
        <v>39</v>
      </c>
      <c r="E10" s="5" t="n">
        <f aca="false">ROUND(11802*1.05,2)</f>
        <v>12392.1</v>
      </c>
      <c r="F10" s="5" t="s">
        <v>40</v>
      </c>
      <c r="G10" s="5" t="s">
        <v>24</v>
      </c>
      <c r="H10" s="5" t="n">
        <f aca="true">ROUND(RAND()*4+6,1)</f>
        <v>8.8</v>
      </c>
      <c r="I10" s="5" t="s">
        <v>41</v>
      </c>
      <c r="J10" s="5" t="str">
        <f aca="false">ROUND(85*1,0)&amp;"%"</f>
        <v>85%</v>
      </c>
    </row>
    <row r="11" customFormat="false" ht="15" hidden="false" customHeight="false" outlineLevel="0" collapsed="false">
      <c r="A11" s="6" t="s">
        <v>3299</v>
      </c>
      <c r="B11" s="6" t="s">
        <v>43</v>
      </c>
      <c r="C11" s="6" t="s">
        <v>15</v>
      </c>
      <c r="D11" s="6" t="s">
        <v>44</v>
      </c>
      <c r="E11" s="6" t="n">
        <f aca="false">ROUND(5027*1.05,2)</f>
        <v>5278.35</v>
      </c>
      <c r="F11" s="6" t="s">
        <v>45</v>
      </c>
      <c r="G11" s="6" t="s">
        <v>30</v>
      </c>
      <c r="H11" s="6" t="n">
        <f aca="true">ROUND(RAND()*4+6,1)</f>
        <v>7.6</v>
      </c>
      <c r="I11" s="6" t="s">
        <v>46</v>
      </c>
      <c r="J11" s="6" t="str">
        <f aca="false">ROUND(96*1,0)&amp;"%"</f>
        <v>96%</v>
      </c>
    </row>
    <row r="12" customFormat="false" ht="15" hidden="false" customHeight="false" outlineLevel="0" collapsed="false">
      <c r="A12" s="5" t="s">
        <v>3300</v>
      </c>
      <c r="B12" s="5" t="s">
        <v>48</v>
      </c>
      <c r="C12" s="5" t="s">
        <v>15</v>
      </c>
      <c r="D12" s="5" t="s">
        <v>16</v>
      </c>
      <c r="E12" s="5" t="n">
        <f aca="false">ROUND(17144*1.05,2)</f>
        <v>18001.2</v>
      </c>
      <c r="F12" s="5" t="s">
        <v>49</v>
      </c>
      <c r="G12" s="5" t="s">
        <v>18</v>
      </c>
      <c r="H12" s="5" t="n">
        <f aca="true">ROUND(RAND()*4+6,1)</f>
        <v>7.2</v>
      </c>
      <c r="I12" s="5" t="s">
        <v>19</v>
      </c>
      <c r="J12" s="5" t="str">
        <f aca="false">ROUND(85*1,0)&amp;"%"</f>
        <v>85%</v>
      </c>
    </row>
    <row r="13" customFormat="false" ht="15" hidden="false" customHeight="false" outlineLevel="0" collapsed="false">
      <c r="A13" s="6" t="s">
        <v>3301</v>
      </c>
      <c r="B13" s="6" t="s">
        <v>51</v>
      </c>
      <c r="C13" s="6" t="s">
        <v>15</v>
      </c>
      <c r="D13" s="6" t="s">
        <v>22</v>
      </c>
      <c r="E13" s="6" t="n">
        <f aca="false">ROUND(11948*1.05,2)</f>
        <v>12545.4</v>
      </c>
      <c r="F13" s="6" t="s">
        <v>52</v>
      </c>
      <c r="G13" s="6" t="s">
        <v>24</v>
      </c>
      <c r="H13" s="6" t="n">
        <f aca="true">ROUND(RAND()*4+6,1)</f>
        <v>7</v>
      </c>
      <c r="I13" s="6" t="s">
        <v>25</v>
      </c>
      <c r="J13" s="6" t="str">
        <f aca="false">ROUND(86*1,0)&amp;"%"</f>
        <v>86%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3302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3303</v>
      </c>
      <c r="B18" s="5" t="s">
        <v>56</v>
      </c>
      <c r="C18" s="5" t="s">
        <v>57</v>
      </c>
      <c r="D18" s="5" t="s">
        <v>16</v>
      </c>
      <c r="E18" s="5" t="n">
        <f aca="false">ROUND(5885*1.05,2)</f>
        <v>6179.25</v>
      </c>
      <c r="F18" s="5" t="s">
        <v>17</v>
      </c>
      <c r="G18" s="5" t="s">
        <v>18</v>
      </c>
      <c r="H18" s="5" t="n">
        <f aca="true">ROUND(RAND()*4+6,1)</f>
        <v>8.6</v>
      </c>
      <c r="I18" s="5" t="s">
        <v>19</v>
      </c>
      <c r="J18" s="5" t="str">
        <f aca="false">ROUND(65*1,0)&amp;"%"</f>
        <v>65%</v>
      </c>
    </row>
    <row r="19" customFormat="false" ht="15" hidden="false" customHeight="false" outlineLevel="0" collapsed="false">
      <c r="A19" s="6" t="s">
        <v>3304</v>
      </c>
      <c r="B19" s="6" t="s">
        <v>59</v>
      </c>
      <c r="C19" s="6" t="s">
        <v>57</v>
      </c>
      <c r="D19" s="6" t="s">
        <v>22</v>
      </c>
      <c r="E19" s="6" t="n">
        <f aca="false">ROUND(12136*1.05,2)</f>
        <v>12742.8</v>
      </c>
      <c r="F19" s="6" t="s">
        <v>23</v>
      </c>
      <c r="G19" s="6" t="s">
        <v>24</v>
      </c>
      <c r="H19" s="6" t="n">
        <f aca="true">ROUND(RAND()*4+6,1)</f>
        <v>7.6</v>
      </c>
      <c r="I19" s="6" t="s">
        <v>25</v>
      </c>
      <c r="J19" s="6" t="str">
        <f aca="false">ROUND(67*1,0)&amp;"%"</f>
        <v>67%</v>
      </c>
    </row>
    <row r="20" customFormat="false" ht="15" hidden="false" customHeight="false" outlineLevel="0" collapsed="false">
      <c r="A20" s="5" t="s">
        <v>3305</v>
      </c>
      <c r="B20" s="5" t="s">
        <v>61</v>
      </c>
      <c r="C20" s="5" t="s">
        <v>57</v>
      </c>
      <c r="D20" s="5" t="s">
        <v>28</v>
      </c>
      <c r="E20" s="5" t="n">
        <f aca="false">ROUND(11114*1.05,2)</f>
        <v>11669.7</v>
      </c>
      <c r="F20" s="5" t="s">
        <v>29</v>
      </c>
      <c r="G20" s="5" t="s">
        <v>30</v>
      </c>
      <c r="H20" s="5" t="n">
        <f aca="true">ROUND(RAND()*4+6,1)</f>
        <v>9.1</v>
      </c>
      <c r="I20" s="5" t="s">
        <v>31</v>
      </c>
      <c r="J20" s="5" t="str">
        <f aca="false">ROUND(78*1,0)&amp;"%"</f>
        <v>78%</v>
      </c>
    </row>
    <row r="21" customFormat="false" ht="15" hidden="false" customHeight="false" outlineLevel="0" collapsed="false">
      <c r="A21" s="6" t="s">
        <v>3306</v>
      </c>
      <c r="B21" s="6" t="s">
        <v>63</v>
      </c>
      <c r="C21" s="6" t="s">
        <v>57</v>
      </c>
      <c r="D21" s="6" t="s">
        <v>34</v>
      </c>
      <c r="E21" s="6" t="n">
        <f aca="false">ROUND(15564*1.05,2)</f>
        <v>16342.2</v>
      </c>
      <c r="F21" s="6" t="s">
        <v>35</v>
      </c>
      <c r="G21" s="6" t="s">
        <v>18</v>
      </c>
      <c r="H21" s="6" t="n">
        <f aca="true">ROUND(RAND()*4+6,1)</f>
        <v>9.8</v>
      </c>
      <c r="I21" s="6" t="s">
        <v>36</v>
      </c>
      <c r="J21" s="6" t="str">
        <f aca="false">ROUND(85*1,0)&amp;"%"</f>
        <v>85%</v>
      </c>
    </row>
    <row r="22" customFormat="false" ht="15" hidden="false" customHeight="false" outlineLevel="0" collapsed="false">
      <c r="A22" s="5" t="s">
        <v>3307</v>
      </c>
      <c r="B22" s="5" t="s">
        <v>65</v>
      </c>
      <c r="C22" s="5" t="s">
        <v>57</v>
      </c>
      <c r="D22" s="5" t="s">
        <v>39</v>
      </c>
      <c r="E22" s="5" t="n">
        <f aca="false">ROUND(6346*1.05,2)</f>
        <v>6663.3</v>
      </c>
      <c r="F22" s="5" t="s">
        <v>40</v>
      </c>
      <c r="G22" s="5" t="s">
        <v>24</v>
      </c>
      <c r="H22" s="5" t="n">
        <f aca="true">ROUND(RAND()*4+6,1)</f>
        <v>7.4</v>
      </c>
      <c r="I22" s="5" t="s">
        <v>41</v>
      </c>
      <c r="J22" s="5" t="str">
        <f aca="false">ROUND(100*1,0)&amp;"%"</f>
        <v>100%</v>
      </c>
    </row>
    <row r="23" customFormat="false" ht="15" hidden="false" customHeight="false" outlineLevel="0" collapsed="false">
      <c r="A23" s="6" t="s">
        <v>3308</v>
      </c>
      <c r="B23" s="6" t="s">
        <v>67</v>
      </c>
      <c r="C23" s="6" t="s">
        <v>57</v>
      </c>
      <c r="D23" s="6" t="s">
        <v>44</v>
      </c>
      <c r="E23" s="6" t="n">
        <f aca="false">ROUND(11661*1.05,2)</f>
        <v>12244.05</v>
      </c>
      <c r="F23" s="6" t="s">
        <v>45</v>
      </c>
      <c r="G23" s="6" t="s">
        <v>30</v>
      </c>
      <c r="H23" s="6" t="n">
        <f aca="true">ROUND(RAND()*4+6,1)</f>
        <v>7</v>
      </c>
      <c r="I23" s="6" t="s">
        <v>46</v>
      </c>
      <c r="J23" s="6" t="str">
        <f aca="false">ROUND(70*1,0)&amp;"%"</f>
        <v>70%</v>
      </c>
    </row>
    <row r="24" customFormat="false" ht="15" hidden="false" customHeight="false" outlineLevel="0" collapsed="false">
      <c r="A24" s="5" t="s">
        <v>3309</v>
      </c>
      <c r="B24" s="5" t="s">
        <v>69</v>
      </c>
      <c r="C24" s="5" t="s">
        <v>57</v>
      </c>
      <c r="D24" s="5" t="s">
        <v>16</v>
      </c>
      <c r="E24" s="5" t="n">
        <f aca="false">ROUND(6742*1.05,2)</f>
        <v>7079.1</v>
      </c>
      <c r="F24" s="5" t="s">
        <v>49</v>
      </c>
      <c r="G24" s="5" t="s">
        <v>18</v>
      </c>
      <c r="H24" s="5" t="n">
        <f aca="true">ROUND(RAND()*4+6,1)</f>
        <v>6.1</v>
      </c>
      <c r="I24" s="5" t="s">
        <v>19</v>
      </c>
      <c r="J24" s="5" t="str">
        <f aca="false">ROUND(75*1,0)&amp;"%"</f>
        <v>75%</v>
      </c>
    </row>
    <row r="25" customFormat="false" ht="15" hidden="false" customHeight="false" outlineLevel="0" collapsed="false">
      <c r="A25" s="6" t="s">
        <v>3310</v>
      </c>
      <c r="B25" s="6" t="s">
        <v>71</v>
      </c>
      <c r="C25" s="6" t="s">
        <v>57</v>
      </c>
      <c r="D25" s="6" t="s">
        <v>22</v>
      </c>
      <c r="E25" s="6" t="n">
        <f aca="false">ROUND(14143*1.05,2)</f>
        <v>14850.15</v>
      </c>
      <c r="F25" s="6" t="s">
        <v>52</v>
      </c>
      <c r="G25" s="6" t="s">
        <v>24</v>
      </c>
      <c r="H25" s="6" t="n">
        <f aca="true">ROUND(RAND()*4+6,1)</f>
        <v>6.3</v>
      </c>
      <c r="I25" s="6" t="s">
        <v>25</v>
      </c>
      <c r="J25" s="6" t="str">
        <f aca="false">ROUND(91*1,0)&amp;"%"</f>
        <v>91%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3311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3312</v>
      </c>
      <c r="B30" s="5" t="s">
        <v>75</v>
      </c>
      <c r="C30" s="5" t="s">
        <v>76</v>
      </c>
      <c r="D30" s="5" t="s">
        <v>16</v>
      </c>
      <c r="E30" s="5" t="n">
        <f aca="false">ROUND(7169*1.05,2)</f>
        <v>7527.45</v>
      </c>
      <c r="F30" s="5" t="s">
        <v>17</v>
      </c>
      <c r="G30" s="5" t="s">
        <v>18</v>
      </c>
      <c r="H30" s="5" t="n">
        <f aca="true">ROUND(RAND()*4+6,1)</f>
        <v>7.6</v>
      </c>
      <c r="I30" s="5" t="s">
        <v>19</v>
      </c>
      <c r="J30" s="5" t="str">
        <f aca="false">ROUND(100*1,0)&amp;"%"</f>
        <v>100%</v>
      </c>
    </row>
    <row r="31" customFormat="false" ht="15" hidden="false" customHeight="false" outlineLevel="0" collapsed="false">
      <c r="A31" s="6" t="s">
        <v>3313</v>
      </c>
      <c r="B31" s="6" t="s">
        <v>78</v>
      </c>
      <c r="C31" s="6" t="s">
        <v>76</v>
      </c>
      <c r="D31" s="6" t="s">
        <v>22</v>
      </c>
      <c r="E31" s="6" t="n">
        <f aca="false">ROUND(17873*1.05,2)</f>
        <v>18766.65</v>
      </c>
      <c r="F31" s="6" t="s">
        <v>23</v>
      </c>
      <c r="G31" s="6" t="s">
        <v>24</v>
      </c>
      <c r="H31" s="6" t="n">
        <f aca="true">ROUND(RAND()*4+6,1)</f>
        <v>7.8</v>
      </c>
      <c r="I31" s="6" t="s">
        <v>25</v>
      </c>
      <c r="J31" s="6" t="str">
        <f aca="false">ROUND(96*1,0)&amp;"%"</f>
        <v>96%</v>
      </c>
    </row>
    <row r="32" customFormat="false" ht="15" hidden="false" customHeight="false" outlineLevel="0" collapsed="false">
      <c r="A32" s="5" t="s">
        <v>3314</v>
      </c>
      <c r="B32" s="5" t="s">
        <v>80</v>
      </c>
      <c r="C32" s="5" t="s">
        <v>76</v>
      </c>
      <c r="D32" s="5" t="s">
        <v>28</v>
      </c>
      <c r="E32" s="5" t="n">
        <f aca="false">ROUND(17483*1.05,2)</f>
        <v>18357.15</v>
      </c>
      <c r="F32" s="5" t="s">
        <v>29</v>
      </c>
      <c r="G32" s="5" t="s">
        <v>30</v>
      </c>
      <c r="H32" s="5" t="n">
        <f aca="true">ROUND(RAND()*4+6,1)</f>
        <v>7.4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3315</v>
      </c>
      <c r="B33" s="6" t="s">
        <v>82</v>
      </c>
      <c r="C33" s="6" t="s">
        <v>76</v>
      </c>
      <c r="D33" s="6" t="s">
        <v>34</v>
      </c>
      <c r="E33" s="6" t="n">
        <f aca="false">ROUND(14527*1.05,2)</f>
        <v>15253.35</v>
      </c>
      <c r="F33" s="6" t="s">
        <v>35</v>
      </c>
      <c r="G33" s="6" t="s">
        <v>18</v>
      </c>
      <c r="H33" s="6" t="n">
        <f aca="true">ROUND(RAND()*4+6,1)</f>
        <v>6</v>
      </c>
      <c r="I33" s="6" t="s">
        <v>36</v>
      </c>
      <c r="J33" s="6" t="str">
        <f aca="false">ROUND(97*1,0)&amp;"%"</f>
        <v>97%</v>
      </c>
    </row>
    <row r="34" customFormat="false" ht="15" hidden="false" customHeight="false" outlineLevel="0" collapsed="false">
      <c r="A34" s="5" t="s">
        <v>3316</v>
      </c>
      <c r="B34" s="5" t="s">
        <v>84</v>
      </c>
      <c r="C34" s="5" t="s">
        <v>76</v>
      </c>
      <c r="D34" s="5" t="s">
        <v>39</v>
      </c>
      <c r="E34" s="5" t="n">
        <f aca="false">ROUND(14540*1.05,2)</f>
        <v>15267</v>
      </c>
      <c r="F34" s="5" t="s">
        <v>40</v>
      </c>
      <c r="G34" s="5" t="s">
        <v>24</v>
      </c>
      <c r="H34" s="5" t="n">
        <f aca="true">ROUND(RAND()*4+6,1)</f>
        <v>8.2</v>
      </c>
      <c r="I34" s="5" t="s">
        <v>41</v>
      </c>
      <c r="J34" s="5" t="str">
        <f aca="false">ROUND(68*1,0)&amp;"%"</f>
        <v>68%</v>
      </c>
    </row>
    <row r="35" customFormat="false" ht="15" hidden="false" customHeight="false" outlineLevel="0" collapsed="false">
      <c r="A35" s="6" t="s">
        <v>3317</v>
      </c>
      <c r="B35" s="6" t="s">
        <v>86</v>
      </c>
      <c r="C35" s="6" t="s">
        <v>76</v>
      </c>
      <c r="D35" s="6" t="s">
        <v>44</v>
      </c>
      <c r="E35" s="6" t="n">
        <f aca="false">ROUND(9114*1.05,2)</f>
        <v>9569.7</v>
      </c>
      <c r="F35" s="6" t="s">
        <v>45</v>
      </c>
      <c r="G35" s="6" t="s">
        <v>30</v>
      </c>
      <c r="H35" s="6" t="n">
        <f aca="true">ROUND(RAND()*4+6,1)</f>
        <v>7.4</v>
      </c>
      <c r="I35" s="6" t="s">
        <v>46</v>
      </c>
      <c r="J35" s="6" t="str">
        <f aca="false">ROUND(92*1,0)&amp;"%"</f>
        <v>92%</v>
      </c>
    </row>
    <row r="36" customFormat="false" ht="15" hidden="false" customHeight="false" outlineLevel="0" collapsed="false">
      <c r="A36" s="5" t="s">
        <v>3318</v>
      </c>
      <c r="B36" s="5" t="s">
        <v>88</v>
      </c>
      <c r="C36" s="5" t="s">
        <v>76</v>
      </c>
      <c r="D36" s="5" t="s">
        <v>16</v>
      </c>
      <c r="E36" s="5" t="n">
        <f aca="false">ROUND(10415*1.05,2)</f>
        <v>10935.75</v>
      </c>
      <c r="F36" s="5" t="s">
        <v>49</v>
      </c>
      <c r="G36" s="5" t="s">
        <v>18</v>
      </c>
      <c r="H36" s="5" t="n">
        <f aca="true">ROUND(RAND()*4+6,1)</f>
        <v>7.5</v>
      </c>
      <c r="I36" s="5" t="s">
        <v>19</v>
      </c>
      <c r="J36" s="5" t="str">
        <f aca="false">ROUND(94*1,0)&amp;"%"</f>
        <v>94%</v>
      </c>
    </row>
    <row r="37" customFormat="false" ht="15" hidden="false" customHeight="false" outlineLevel="0" collapsed="false">
      <c r="A37" s="6" t="s">
        <v>3319</v>
      </c>
      <c r="B37" s="6" t="s">
        <v>90</v>
      </c>
      <c r="C37" s="6" t="s">
        <v>76</v>
      </c>
      <c r="D37" s="6" t="s">
        <v>22</v>
      </c>
      <c r="E37" s="6" t="n">
        <f aca="false">ROUND(11441*1.05,2)</f>
        <v>12013.05</v>
      </c>
      <c r="F37" s="6" t="s">
        <v>52</v>
      </c>
      <c r="G37" s="6" t="s">
        <v>24</v>
      </c>
      <c r="H37" s="6" t="n">
        <f aca="true">ROUND(RAND()*4+6,1)</f>
        <v>6.5</v>
      </c>
      <c r="I37" s="6" t="s">
        <v>25</v>
      </c>
      <c r="J37" s="6" t="str">
        <f aca="false">ROUND(76*1,0)&amp;"%"</f>
        <v>76%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3320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3321</v>
      </c>
      <c r="B42" s="5" t="s">
        <v>94</v>
      </c>
      <c r="C42" s="5" t="s">
        <v>95</v>
      </c>
      <c r="D42" s="5" t="s">
        <v>16</v>
      </c>
      <c r="E42" s="5" t="n">
        <f aca="false">ROUND(7555*1.05,2)</f>
        <v>7932.75</v>
      </c>
      <c r="F42" s="5" t="s">
        <v>17</v>
      </c>
      <c r="G42" s="5" t="s">
        <v>18</v>
      </c>
      <c r="H42" s="5" t="n">
        <f aca="true">ROUND(RAND()*4+6,1)</f>
        <v>6.4</v>
      </c>
      <c r="I42" s="5" t="s">
        <v>19</v>
      </c>
      <c r="J42" s="5" t="str">
        <f aca="false">ROUND(61*1,0)&amp;"%"</f>
        <v>61%</v>
      </c>
    </row>
    <row r="43" customFormat="false" ht="15" hidden="false" customHeight="false" outlineLevel="0" collapsed="false">
      <c r="A43" s="6" t="s">
        <v>3322</v>
      </c>
      <c r="B43" s="6" t="s">
        <v>97</v>
      </c>
      <c r="C43" s="6" t="s">
        <v>95</v>
      </c>
      <c r="D43" s="6" t="s">
        <v>22</v>
      </c>
      <c r="E43" s="6" t="n">
        <f aca="false">ROUND(17129*1.05,2)</f>
        <v>17985.45</v>
      </c>
      <c r="F43" s="6" t="s">
        <v>23</v>
      </c>
      <c r="G43" s="6" t="s">
        <v>24</v>
      </c>
      <c r="H43" s="6" t="n">
        <f aca="true">ROUND(RAND()*4+6,1)</f>
        <v>8.4</v>
      </c>
      <c r="I43" s="6" t="s">
        <v>25</v>
      </c>
      <c r="J43" s="6" t="str">
        <f aca="false">ROUND(69*1,0)&amp;"%"</f>
        <v>69%</v>
      </c>
    </row>
    <row r="44" customFormat="false" ht="15" hidden="false" customHeight="false" outlineLevel="0" collapsed="false">
      <c r="A44" s="5" t="s">
        <v>3323</v>
      </c>
      <c r="B44" s="5" t="s">
        <v>99</v>
      </c>
      <c r="C44" s="5" t="s">
        <v>95</v>
      </c>
      <c r="D44" s="5" t="s">
        <v>28</v>
      </c>
      <c r="E44" s="5" t="n">
        <f aca="false">ROUND(10835*1.05,2)</f>
        <v>11376.75</v>
      </c>
      <c r="F44" s="5" t="s">
        <v>29</v>
      </c>
      <c r="G44" s="5" t="s">
        <v>30</v>
      </c>
      <c r="H44" s="5" t="n">
        <f aca="true">ROUND(RAND()*4+6,1)</f>
        <v>6.4</v>
      </c>
      <c r="I44" s="5" t="s">
        <v>31</v>
      </c>
      <c r="J44" s="5" t="str">
        <f aca="false">ROUND(82*1,0)&amp;"%"</f>
        <v>82%</v>
      </c>
    </row>
    <row r="45" customFormat="false" ht="15" hidden="false" customHeight="false" outlineLevel="0" collapsed="false">
      <c r="A45" s="6" t="s">
        <v>3324</v>
      </c>
      <c r="B45" s="6" t="s">
        <v>101</v>
      </c>
      <c r="C45" s="6" t="s">
        <v>95</v>
      </c>
      <c r="D45" s="6" t="s">
        <v>34</v>
      </c>
      <c r="E45" s="6" t="n">
        <f aca="false">ROUND(7736*1.05,2)</f>
        <v>8122.8</v>
      </c>
      <c r="F45" s="6" t="s">
        <v>35</v>
      </c>
      <c r="G45" s="6" t="s">
        <v>18</v>
      </c>
      <c r="H45" s="6" t="n">
        <f aca="true">ROUND(RAND()*4+6,1)</f>
        <v>8.6</v>
      </c>
      <c r="I45" s="6" t="s">
        <v>36</v>
      </c>
      <c r="J45" s="6" t="str">
        <f aca="false">ROUND(95*1,0)&amp;"%"</f>
        <v>95%</v>
      </c>
    </row>
    <row r="46" customFormat="false" ht="15" hidden="false" customHeight="false" outlineLevel="0" collapsed="false">
      <c r="A46" s="5" t="s">
        <v>3325</v>
      </c>
      <c r="B46" s="5" t="s">
        <v>103</v>
      </c>
      <c r="C46" s="5" t="s">
        <v>95</v>
      </c>
      <c r="D46" s="5" t="s">
        <v>39</v>
      </c>
      <c r="E46" s="5" t="n">
        <f aca="false">ROUND(8034*1.05,2)</f>
        <v>8435.7</v>
      </c>
      <c r="F46" s="5" t="s">
        <v>40</v>
      </c>
      <c r="G46" s="5" t="s">
        <v>24</v>
      </c>
      <c r="H46" s="5" t="n">
        <f aca="true">ROUND(RAND()*4+6,1)</f>
        <v>6.5</v>
      </c>
      <c r="I46" s="5" t="s">
        <v>41</v>
      </c>
      <c r="J46" s="5" t="str">
        <f aca="false">ROUND(72*1,0)&amp;"%"</f>
        <v>72%</v>
      </c>
    </row>
    <row r="47" customFormat="false" ht="15" hidden="false" customHeight="false" outlineLevel="0" collapsed="false">
      <c r="A47" s="6" t="s">
        <v>3326</v>
      </c>
      <c r="B47" s="6" t="s">
        <v>105</v>
      </c>
      <c r="C47" s="6" t="s">
        <v>95</v>
      </c>
      <c r="D47" s="6" t="s">
        <v>44</v>
      </c>
      <c r="E47" s="6" t="n">
        <f aca="false">ROUND(8376*1.05,2)</f>
        <v>8794.8</v>
      </c>
      <c r="F47" s="6" t="s">
        <v>45</v>
      </c>
      <c r="G47" s="6" t="s">
        <v>30</v>
      </c>
      <c r="H47" s="6" t="n">
        <f aca="true">ROUND(RAND()*4+6,1)</f>
        <v>6.2</v>
      </c>
      <c r="I47" s="6" t="s">
        <v>46</v>
      </c>
      <c r="J47" s="6" t="str">
        <f aca="false">ROUND(99*1,0)&amp;"%"</f>
        <v>99%</v>
      </c>
    </row>
    <row r="48" customFormat="false" ht="15" hidden="false" customHeight="false" outlineLevel="0" collapsed="false">
      <c r="A48" s="5" t="s">
        <v>3327</v>
      </c>
      <c r="B48" s="5" t="s">
        <v>107</v>
      </c>
      <c r="C48" s="5" t="s">
        <v>95</v>
      </c>
      <c r="D48" s="5" t="s">
        <v>16</v>
      </c>
      <c r="E48" s="5" t="n">
        <f aca="false">ROUND(10685*1.05,2)</f>
        <v>11219.25</v>
      </c>
      <c r="F48" s="5" t="s">
        <v>49</v>
      </c>
      <c r="G48" s="5" t="s">
        <v>18</v>
      </c>
      <c r="H48" s="5" t="n">
        <f aca="true">ROUND(RAND()*4+6,1)</f>
        <v>8.8</v>
      </c>
      <c r="I48" s="5" t="s">
        <v>19</v>
      </c>
      <c r="J48" s="5" t="str">
        <f aca="false">ROUND(64*1,0)&amp;"%"</f>
        <v>64%</v>
      </c>
    </row>
    <row r="49" customFormat="false" ht="15" hidden="false" customHeight="false" outlineLevel="0" collapsed="false">
      <c r="A49" s="6" t="s">
        <v>3328</v>
      </c>
      <c r="B49" s="6" t="s">
        <v>109</v>
      </c>
      <c r="C49" s="6" t="s">
        <v>95</v>
      </c>
      <c r="D49" s="6" t="s">
        <v>22</v>
      </c>
      <c r="E49" s="6" t="n">
        <f aca="false">ROUND(7930*1.05,2)</f>
        <v>8326.5</v>
      </c>
      <c r="F49" s="6" t="s">
        <v>52</v>
      </c>
      <c r="G49" s="6" t="s">
        <v>24</v>
      </c>
      <c r="H49" s="6" t="n">
        <f aca="true">ROUND(RAND()*4+6,1)</f>
        <v>9.9</v>
      </c>
      <c r="I49" s="6" t="s">
        <v>25</v>
      </c>
      <c r="J49" s="6" t="str">
        <f aca="false">ROUND(70*1,0)&amp;"%"</f>
        <v>70%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3329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3330</v>
      </c>
      <c r="B54" s="5" t="s">
        <v>113</v>
      </c>
      <c r="C54" s="5" t="s">
        <v>114</v>
      </c>
      <c r="D54" s="5" t="s">
        <v>16</v>
      </c>
      <c r="E54" s="5" t="n">
        <f aca="false">ROUND(7602*1.05,2)</f>
        <v>7982.1</v>
      </c>
      <c r="F54" s="5" t="s">
        <v>17</v>
      </c>
      <c r="G54" s="5" t="s">
        <v>18</v>
      </c>
      <c r="H54" s="5" t="n">
        <f aca="true">ROUND(RAND()*4+6,1)</f>
        <v>8.1</v>
      </c>
      <c r="I54" s="5" t="s">
        <v>19</v>
      </c>
      <c r="J54" s="5" t="str">
        <f aca="false">ROUND(76*1,0)&amp;"%"</f>
        <v>76%</v>
      </c>
    </row>
    <row r="55" customFormat="false" ht="15" hidden="false" customHeight="false" outlineLevel="0" collapsed="false">
      <c r="A55" s="6" t="s">
        <v>3331</v>
      </c>
      <c r="B55" s="6" t="s">
        <v>116</v>
      </c>
      <c r="C55" s="6" t="s">
        <v>114</v>
      </c>
      <c r="D55" s="6" t="s">
        <v>22</v>
      </c>
      <c r="E55" s="6" t="n">
        <f aca="false">ROUND(11843*1.05,2)</f>
        <v>12435.15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ROUND(92*1,0)&amp;"%"</f>
        <v>92%</v>
      </c>
    </row>
    <row r="56" customFormat="false" ht="15" hidden="false" customHeight="false" outlineLevel="0" collapsed="false">
      <c r="A56" s="5" t="s">
        <v>3332</v>
      </c>
      <c r="B56" s="5" t="s">
        <v>118</v>
      </c>
      <c r="C56" s="5" t="s">
        <v>114</v>
      </c>
      <c r="D56" s="5" t="s">
        <v>28</v>
      </c>
      <c r="E56" s="5" t="n">
        <f aca="false">ROUND(15703*1.05,2)</f>
        <v>16488.15</v>
      </c>
      <c r="F56" s="5" t="s">
        <v>29</v>
      </c>
      <c r="G56" s="5" t="s">
        <v>30</v>
      </c>
      <c r="H56" s="5" t="n">
        <f aca="true">ROUND(RAND()*4+6,1)</f>
        <v>8</v>
      </c>
      <c r="I56" s="5" t="s">
        <v>31</v>
      </c>
      <c r="J56" s="5" t="str">
        <f aca="false">ROUND(96*1,0)&amp;"%"</f>
        <v>96%</v>
      </c>
    </row>
    <row r="57" customFormat="false" ht="15" hidden="false" customHeight="false" outlineLevel="0" collapsed="false">
      <c r="A57" s="6" t="s">
        <v>3333</v>
      </c>
      <c r="B57" s="6" t="s">
        <v>120</v>
      </c>
      <c r="C57" s="6" t="s">
        <v>114</v>
      </c>
      <c r="D57" s="6" t="s">
        <v>34</v>
      </c>
      <c r="E57" s="6" t="n">
        <f aca="false">ROUND(7068*1.05,2)</f>
        <v>7421.4</v>
      </c>
      <c r="F57" s="6" t="s">
        <v>35</v>
      </c>
      <c r="G57" s="6" t="s">
        <v>18</v>
      </c>
      <c r="H57" s="6" t="n">
        <f aca="true">ROUND(RAND()*4+6,1)</f>
        <v>8.7</v>
      </c>
      <c r="I57" s="6" t="s">
        <v>36</v>
      </c>
      <c r="J57" s="6" t="str">
        <f aca="false">ROUND(99*1,0)&amp;"%"</f>
        <v>99%</v>
      </c>
    </row>
    <row r="58" customFormat="false" ht="15" hidden="false" customHeight="false" outlineLevel="0" collapsed="false">
      <c r="A58" s="5" t="s">
        <v>3334</v>
      </c>
      <c r="B58" s="5" t="s">
        <v>122</v>
      </c>
      <c r="C58" s="5" t="s">
        <v>114</v>
      </c>
      <c r="D58" s="5" t="s">
        <v>39</v>
      </c>
      <c r="E58" s="5" t="n">
        <f aca="false">ROUND(16938*1.05,2)</f>
        <v>17784.9</v>
      </c>
      <c r="F58" s="5" t="s">
        <v>40</v>
      </c>
      <c r="G58" s="5" t="s">
        <v>24</v>
      </c>
      <c r="H58" s="5" t="n">
        <f aca="true">ROUND(RAND()*4+6,1)</f>
        <v>6.8</v>
      </c>
      <c r="I58" s="5" t="s">
        <v>41</v>
      </c>
      <c r="J58" s="5" t="str">
        <f aca="false">ROUND(68*1,0)&amp;"%"</f>
        <v>68%</v>
      </c>
    </row>
    <row r="59" customFormat="false" ht="15" hidden="false" customHeight="false" outlineLevel="0" collapsed="false">
      <c r="A59" s="6" t="s">
        <v>3335</v>
      </c>
      <c r="B59" s="6" t="s">
        <v>124</v>
      </c>
      <c r="C59" s="6" t="s">
        <v>114</v>
      </c>
      <c r="D59" s="6" t="s">
        <v>44</v>
      </c>
      <c r="E59" s="6" t="n">
        <f aca="false">ROUND(5284*1.05,2)</f>
        <v>5548.2</v>
      </c>
      <c r="F59" s="6" t="s">
        <v>45</v>
      </c>
      <c r="G59" s="6" t="s">
        <v>30</v>
      </c>
      <c r="H59" s="6" t="n">
        <f aca="true">ROUND(RAND()*4+6,1)</f>
        <v>6.7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3336</v>
      </c>
      <c r="B60" s="5" t="s">
        <v>126</v>
      </c>
      <c r="C60" s="5" t="s">
        <v>114</v>
      </c>
      <c r="D60" s="5" t="s">
        <v>16</v>
      </c>
      <c r="E60" s="5" t="n">
        <f aca="false">ROUND(7812*1.05,2)</f>
        <v>8202.6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ROUND(77*1,0)&amp;"%"</f>
        <v>77%</v>
      </c>
    </row>
    <row r="61" customFormat="false" ht="15" hidden="false" customHeight="false" outlineLevel="0" collapsed="false">
      <c r="A61" s="6" t="s">
        <v>3337</v>
      </c>
      <c r="B61" s="6" t="s">
        <v>128</v>
      </c>
      <c r="C61" s="6" t="s">
        <v>114</v>
      </c>
      <c r="D61" s="6" t="s">
        <v>22</v>
      </c>
      <c r="E61" s="6" t="n">
        <f aca="false">ROUND(13792*1.05,2)</f>
        <v>14481.6</v>
      </c>
      <c r="F61" s="6" t="s">
        <v>52</v>
      </c>
      <c r="G61" s="6" t="s">
        <v>24</v>
      </c>
      <c r="H61" s="6" t="n">
        <f aca="true">ROUND(RAND()*4+6,1)</f>
        <v>9.9</v>
      </c>
      <c r="I61" s="6" t="s">
        <v>25</v>
      </c>
      <c r="J61" s="6" t="str">
        <f aca="false">ROUND(68*1,0)&amp;"%"</f>
        <v>68%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3338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3339</v>
      </c>
      <c r="B66" s="5" t="s">
        <v>132</v>
      </c>
      <c r="C66" s="5" t="s">
        <v>133</v>
      </c>
      <c r="D66" s="5" t="s">
        <v>16</v>
      </c>
      <c r="E66" s="5" t="n">
        <f aca="false">ROUND(10593*1.05,2)</f>
        <v>11122.65</v>
      </c>
      <c r="F66" s="5" t="s">
        <v>17</v>
      </c>
      <c r="G66" s="5" t="s">
        <v>18</v>
      </c>
      <c r="H66" s="5" t="n">
        <f aca="true">ROUND(RAND()*4+6,1)</f>
        <v>9.8</v>
      </c>
      <c r="I66" s="5" t="s">
        <v>19</v>
      </c>
      <c r="J66" s="5" t="str">
        <f aca="false">ROUND(84*1,0)&amp;"%"</f>
        <v>84%</v>
      </c>
    </row>
    <row r="67" customFormat="false" ht="15" hidden="false" customHeight="false" outlineLevel="0" collapsed="false">
      <c r="A67" s="6" t="s">
        <v>3340</v>
      </c>
      <c r="B67" s="6" t="s">
        <v>135</v>
      </c>
      <c r="C67" s="6" t="s">
        <v>133</v>
      </c>
      <c r="D67" s="6" t="s">
        <v>22</v>
      </c>
      <c r="E67" s="6" t="n">
        <f aca="false">ROUND(15407*1.05,2)</f>
        <v>16177.35</v>
      </c>
      <c r="F67" s="6" t="s">
        <v>23</v>
      </c>
      <c r="G67" s="6" t="s">
        <v>24</v>
      </c>
      <c r="H67" s="6" t="n">
        <f aca="true">ROUND(RAND()*4+6,1)</f>
        <v>8.1</v>
      </c>
      <c r="I67" s="6" t="s">
        <v>25</v>
      </c>
      <c r="J67" s="6" t="str">
        <f aca="false">ROUND(80*1,0)&amp;"%"</f>
        <v>80%</v>
      </c>
    </row>
    <row r="68" customFormat="false" ht="15" hidden="false" customHeight="false" outlineLevel="0" collapsed="false">
      <c r="A68" s="5" t="s">
        <v>3341</v>
      </c>
      <c r="B68" s="5" t="s">
        <v>137</v>
      </c>
      <c r="C68" s="5" t="s">
        <v>133</v>
      </c>
      <c r="D68" s="5" t="s">
        <v>28</v>
      </c>
      <c r="E68" s="5" t="n">
        <f aca="false">ROUND(16898*1.05,2)</f>
        <v>17742.9</v>
      </c>
      <c r="F68" s="5" t="s">
        <v>29</v>
      </c>
      <c r="G68" s="5" t="s">
        <v>30</v>
      </c>
      <c r="H68" s="5" t="n">
        <f aca="true">ROUND(RAND()*4+6,1)</f>
        <v>9.3</v>
      </c>
      <c r="I68" s="5" t="s">
        <v>31</v>
      </c>
      <c r="J68" s="5" t="str">
        <f aca="false">ROUND(86*1,0)&amp;"%"</f>
        <v>86%</v>
      </c>
    </row>
    <row r="69" customFormat="false" ht="15" hidden="false" customHeight="false" outlineLevel="0" collapsed="false">
      <c r="A69" s="6" t="s">
        <v>3342</v>
      </c>
      <c r="B69" s="6" t="s">
        <v>139</v>
      </c>
      <c r="C69" s="6" t="s">
        <v>133</v>
      </c>
      <c r="D69" s="6" t="s">
        <v>34</v>
      </c>
      <c r="E69" s="6" t="n">
        <f aca="false">ROUND(6492*1.05,2)</f>
        <v>6816.6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ROUND(73*1,0)&amp;"%"</f>
        <v>73%</v>
      </c>
    </row>
    <row r="70" customFormat="false" ht="15" hidden="false" customHeight="false" outlineLevel="0" collapsed="false">
      <c r="A70" s="5" t="s">
        <v>3343</v>
      </c>
      <c r="B70" s="5" t="s">
        <v>141</v>
      </c>
      <c r="C70" s="5" t="s">
        <v>133</v>
      </c>
      <c r="D70" s="5" t="s">
        <v>39</v>
      </c>
      <c r="E70" s="5" t="n">
        <f aca="false">ROUND(6867*1.05,2)</f>
        <v>7210.35</v>
      </c>
      <c r="F70" s="5" t="s">
        <v>40</v>
      </c>
      <c r="G70" s="5" t="s">
        <v>24</v>
      </c>
      <c r="H70" s="5" t="n">
        <f aca="true">ROUND(RAND()*4+6,1)</f>
        <v>9.4</v>
      </c>
      <c r="I70" s="5" t="s">
        <v>41</v>
      </c>
      <c r="J70" s="5" t="str">
        <f aca="false">ROUND(78*1,0)&amp;"%"</f>
        <v>78%</v>
      </c>
    </row>
    <row r="71" customFormat="false" ht="15" hidden="false" customHeight="false" outlineLevel="0" collapsed="false">
      <c r="A71" s="6" t="s">
        <v>3344</v>
      </c>
      <c r="B71" s="6" t="s">
        <v>143</v>
      </c>
      <c r="C71" s="6" t="s">
        <v>133</v>
      </c>
      <c r="D71" s="6" t="s">
        <v>44</v>
      </c>
      <c r="E71" s="6" t="n">
        <f aca="false">ROUND(5356*1.05,2)</f>
        <v>5623.8</v>
      </c>
      <c r="F71" s="6" t="s">
        <v>45</v>
      </c>
      <c r="G71" s="6" t="s">
        <v>30</v>
      </c>
      <c r="H71" s="6" t="n">
        <f aca="true">ROUND(RAND()*4+6,1)</f>
        <v>8.3</v>
      </c>
      <c r="I71" s="6" t="s">
        <v>46</v>
      </c>
      <c r="J71" s="6" t="str">
        <f aca="false">ROUND(66*1,0)&amp;"%"</f>
        <v>66%</v>
      </c>
    </row>
    <row r="72" customFormat="false" ht="15" hidden="false" customHeight="false" outlineLevel="0" collapsed="false">
      <c r="A72" s="5" t="s">
        <v>3345</v>
      </c>
      <c r="B72" s="5" t="s">
        <v>145</v>
      </c>
      <c r="C72" s="5" t="s">
        <v>133</v>
      </c>
      <c r="D72" s="5" t="s">
        <v>16</v>
      </c>
      <c r="E72" s="5" t="n">
        <f aca="false">ROUND(17283*1.05,2)</f>
        <v>18147.15</v>
      </c>
      <c r="F72" s="5" t="s">
        <v>49</v>
      </c>
      <c r="G72" s="5" t="s">
        <v>18</v>
      </c>
      <c r="H72" s="5" t="n">
        <f aca="true">ROUND(RAND()*4+6,1)</f>
        <v>9.5</v>
      </c>
      <c r="I72" s="5" t="s">
        <v>19</v>
      </c>
      <c r="J72" s="5" t="str">
        <f aca="false">ROUND(79*1,0)&amp;"%"</f>
        <v>79%</v>
      </c>
    </row>
    <row r="73" customFormat="false" ht="15" hidden="false" customHeight="false" outlineLevel="0" collapsed="false">
      <c r="A73" s="6" t="s">
        <v>3346</v>
      </c>
      <c r="B73" s="6" t="s">
        <v>147</v>
      </c>
      <c r="C73" s="6" t="s">
        <v>133</v>
      </c>
      <c r="D73" s="6" t="s">
        <v>22</v>
      </c>
      <c r="E73" s="6" t="n">
        <f aca="false">ROUND(14928*1.05,2)</f>
        <v>15674.4</v>
      </c>
      <c r="F73" s="6" t="s">
        <v>52</v>
      </c>
      <c r="G73" s="6" t="s">
        <v>24</v>
      </c>
      <c r="H73" s="6" t="n">
        <f aca="true">ROUND(RAND()*4+6,1)</f>
        <v>8.8</v>
      </c>
      <c r="I73" s="6" t="s">
        <v>25</v>
      </c>
      <c r="J73" s="6" t="str">
        <f aca="false">ROUND(79*1,0)&amp;"%"</f>
        <v>79%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3347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3348</v>
      </c>
      <c r="B78" s="5" t="s">
        <v>151</v>
      </c>
      <c r="C78" s="5" t="s">
        <v>152</v>
      </c>
      <c r="D78" s="5" t="s">
        <v>16</v>
      </c>
      <c r="E78" s="5" t="n">
        <f aca="false">ROUND(7671*1.05,2)</f>
        <v>8054.55</v>
      </c>
      <c r="F78" s="5" t="s">
        <v>17</v>
      </c>
      <c r="G78" s="5" t="s">
        <v>18</v>
      </c>
      <c r="H78" s="5" t="n">
        <f aca="true">ROUND(RAND()*4+6,1)</f>
        <v>9.1</v>
      </c>
      <c r="I78" s="5" t="s">
        <v>19</v>
      </c>
      <c r="J78" s="5" t="str">
        <f aca="false">ROUND(76*1,0)&amp;"%"</f>
        <v>76%</v>
      </c>
    </row>
    <row r="79" customFormat="false" ht="15" hidden="false" customHeight="false" outlineLevel="0" collapsed="false">
      <c r="A79" s="6" t="s">
        <v>3349</v>
      </c>
      <c r="B79" s="6" t="s">
        <v>154</v>
      </c>
      <c r="C79" s="6" t="s">
        <v>152</v>
      </c>
      <c r="D79" s="6" t="s">
        <v>22</v>
      </c>
      <c r="E79" s="6" t="n">
        <f aca="false">ROUND(12830*1.05,2)</f>
        <v>13471.5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ROUND(81*1,0)&amp;"%"</f>
        <v>81%</v>
      </c>
    </row>
    <row r="80" customFormat="false" ht="15" hidden="false" customHeight="false" outlineLevel="0" collapsed="false">
      <c r="A80" s="5" t="s">
        <v>3350</v>
      </c>
      <c r="B80" s="5" t="s">
        <v>156</v>
      </c>
      <c r="C80" s="5" t="s">
        <v>152</v>
      </c>
      <c r="D80" s="5" t="s">
        <v>28</v>
      </c>
      <c r="E80" s="5" t="n">
        <f aca="false">ROUND(4662*1.05,2)</f>
        <v>4895.1</v>
      </c>
      <c r="F80" s="5" t="s">
        <v>29</v>
      </c>
      <c r="G80" s="5" t="s">
        <v>30</v>
      </c>
      <c r="H80" s="5" t="n">
        <f aca="true">ROUND(RAND()*4+6,1)</f>
        <v>6.8</v>
      </c>
      <c r="I80" s="5" t="s">
        <v>31</v>
      </c>
      <c r="J80" s="5" t="str">
        <f aca="false">ROUND(78*1,0)&amp;"%"</f>
        <v>78%</v>
      </c>
    </row>
    <row r="81" customFormat="false" ht="15" hidden="false" customHeight="false" outlineLevel="0" collapsed="false">
      <c r="A81" s="6" t="s">
        <v>3351</v>
      </c>
      <c r="B81" s="6" t="s">
        <v>158</v>
      </c>
      <c r="C81" s="6" t="s">
        <v>152</v>
      </c>
      <c r="D81" s="6" t="s">
        <v>34</v>
      </c>
      <c r="E81" s="6" t="n">
        <f aca="false">ROUND(11246*1.05,2)</f>
        <v>11808.3</v>
      </c>
      <c r="F81" s="6" t="s">
        <v>35</v>
      </c>
      <c r="G81" s="6" t="s">
        <v>18</v>
      </c>
      <c r="H81" s="6" t="n">
        <f aca="true">ROUND(RAND()*4+6,1)</f>
        <v>7.6</v>
      </c>
      <c r="I81" s="6" t="s">
        <v>36</v>
      </c>
      <c r="J81" s="6" t="str">
        <f aca="false">ROUND(92*1,0)&amp;"%"</f>
        <v>92%</v>
      </c>
    </row>
    <row r="82" customFormat="false" ht="15" hidden="false" customHeight="false" outlineLevel="0" collapsed="false">
      <c r="A82" s="5" t="s">
        <v>3352</v>
      </c>
      <c r="B82" s="5" t="s">
        <v>160</v>
      </c>
      <c r="C82" s="5" t="s">
        <v>152</v>
      </c>
      <c r="D82" s="5" t="s">
        <v>39</v>
      </c>
      <c r="E82" s="5" t="n">
        <f aca="false">ROUND(9628*1.05,2)</f>
        <v>10109.4</v>
      </c>
      <c r="F82" s="5" t="s">
        <v>40</v>
      </c>
      <c r="G82" s="5" t="s">
        <v>24</v>
      </c>
      <c r="H82" s="5" t="n">
        <f aca="true">ROUND(RAND()*4+6,1)</f>
        <v>7.7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3353</v>
      </c>
      <c r="B83" s="6" t="s">
        <v>162</v>
      </c>
      <c r="C83" s="6" t="s">
        <v>152</v>
      </c>
      <c r="D83" s="6" t="s">
        <v>44</v>
      </c>
      <c r="E83" s="6" t="n">
        <f aca="false">ROUND(5636*1.05,2)</f>
        <v>5917.8</v>
      </c>
      <c r="F83" s="6" t="s">
        <v>45</v>
      </c>
      <c r="G83" s="6" t="s">
        <v>30</v>
      </c>
      <c r="H83" s="6" t="n">
        <f aca="true">ROUND(RAND()*4+6,1)</f>
        <v>8.8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3354</v>
      </c>
      <c r="B84" s="5" t="s">
        <v>164</v>
      </c>
      <c r="C84" s="5" t="s">
        <v>152</v>
      </c>
      <c r="D84" s="5" t="s">
        <v>16</v>
      </c>
      <c r="E84" s="5" t="n">
        <f aca="false">ROUND(14204*1.05,2)</f>
        <v>14914.2</v>
      </c>
      <c r="F84" s="5" t="s">
        <v>49</v>
      </c>
      <c r="G84" s="5" t="s">
        <v>18</v>
      </c>
      <c r="H84" s="5" t="n">
        <f aca="true">ROUND(RAND()*4+6,1)</f>
        <v>7</v>
      </c>
      <c r="I84" s="5" t="s">
        <v>19</v>
      </c>
      <c r="J84" s="5" t="str">
        <f aca="false">ROUND(72*1,0)&amp;"%"</f>
        <v>72%</v>
      </c>
    </row>
    <row r="85" customFormat="false" ht="15" hidden="false" customHeight="false" outlineLevel="0" collapsed="false">
      <c r="A85" s="6" t="s">
        <v>3355</v>
      </c>
      <c r="B85" s="6" t="s">
        <v>166</v>
      </c>
      <c r="C85" s="6" t="s">
        <v>152</v>
      </c>
      <c r="D85" s="6" t="s">
        <v>22</v>
      </c>
      <c r="E85" s="6" t="n">
        <f aca="false">ROUND(13419*1.05,2)</f>
        <v>14089.95</v>
      </c>
      <c r="F85" s="6" t="s">
        <v>52</v>
      </c>
      <c r="G85" s="6" t="s">
        <v>24</v>
      </c>
      <c r="H85" s="6" t="n">
        <f aca="true">ROUND(RAND()*4+6,1)</f>
        <v>6.5</v>
      </c>
      <c r="I85" s="6" t="s">
        <v>25</v>
      </c>
      <c r="J85" s="6" t="str">
        <f aca="false">ROUND(74*1,0)&amp;"%"</f>
        <v>74%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3356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3357</v>
      </c>
      <c r="B90" s="5" t="s">
        <v>170</v>
      </c>
      <c r="C90" s="5" t="s">
        <v>15</v>
      </c>
      <c r="D90" s="5" t="s">
        <v>16</v>
      </c>
      <c r="E90" s="5" t="n">
        <f aca="false">ROUND(12926*1.05,2)</f>
        <v>13572.3</v>
      </c>
      <c r="F90" s="5" t="s">
        <v>17</v>
      </c>
      <c r="G90" s="5" t="s">
        <v>18</v>
      </c>
      <c r="H90" s="5" t="n">
        <f aca="true">ROUND(RAND()*4+6,1)</f>
        <v>6.4</v>
      </c>
      <c r="I90" s="5" t="s">
        <v>19</v>
      </c>
      <c r="J90" s="5" t="str">
        <f aca="false">ROUND(83*1,0)&amp;"%"</f>
        <v>83%</v>
      </c>
    </row>
    <row r="91" customFormat="false" ht="15" hidden="false" customHeight="false" outlineLevel="0" collapsed="false">
      <c r="A91" s="6" t="s">
        <v>3358</v>
      </c>
      <c r="B91" s="6" t="s">
        <v>172</v>
      </c>
      <c r="C91" s="6" t="s">
        <v>15</v>
      </c>
      <c r="D91" s="6" t="s">
        <v>22</v>
      </c>
      <c r="E91" s="6" t="n">
        <f aca="false">ROUND(7476*1.05,2)</f>
        <v>7849.8</v>
      </c>
      <c r="F91" s="6" t="s">
        <v>23</v>
      </c>
      <c r="G91" s="6" t="s">
        <v>24</v>
      </c>
      <c r="H91" s="6" t="n">
        <f aca="true">ROUND(RAND()*4+6,1)</f>
        <v>6.5</v>
      </c>
      <c r="I91" s="6" t="s">
        <v>25</v>
      </c>
      <c r="J91" s="6" t="str">
        <f aca="false">ROUND(67*1,0)&amp;"%"</f>
        <v>67%</v>
      </c>
    </row>
    <row r="92" customFormat="false" ht="15" hidden="false" customHeight="false" outlineLevel="0" collapsed="false">
      <c r="A92" s="5" t="s">
        <v>3359</v>
      </c>
      <c r="B92" s="5" t="s">
        <v>174</v>
      </c>
      <c r="C92" s="5" t="s">
        <v>15</v>
      </c>
      <c r="D92" s="5" t="s">
        <v>28</v>
      </c>
      <c r="E92" s="5" t="n">
        <f aca="false">ROUND(17539*1.05,2)</f>
        <v>18415.95</v>
      </c>
      <c r="F92" s="5" t="s">
        <v>29</v>
      </c>
      <c r="G92" s="5" t="s">
        <v>30</v>
      </c>
      <c r="H92" s="5" t="n">
        <f aca="true">ROUND(RAND()*4+6,1)</f>
        <v>7.4</v>
      </c>
      <c r="I92" s="5" t="s">
        <v>31</v>
      </c>
      <c r="J92" s="5" t="str">
        <f aca="false">ROUND(78*1,0)&amp;"%"</f>
        <v>78%</v>
      </c>
    </row>
    <row r="93" customFormat="false" ht="15" hidden="false" customHeight="false" outlineLevel="0" collapsed="false">
      <c r="A93" s="6" t="s">
        <v>3360</v>
      </c>
      <c r="B93" s="6" t="s">
        <v>176</v>
      </c>
      <c r="C93" s="6" t="s">
        <v>15</v>
      </c>
      <c r="D93" s="6" t="s">
        <v>34</v>
      </c>
      <c r="E93" s="6" t="n">
        <f aca="false">ROUND(17432*1.05,2)</f>
        <v>18303.6</v>
      </c>
      <c r="F93" s="6" t="s">
        <v>35</v>
      </c>
      <c r="G93" s="6" t="s">
        <v>18</v>
      </c>
      <c r="H93" s="6" t="n">
        <f aca="true">ROUND(RAND()*4+6,1)</f>
        <v>7.7</v>
      </c>
      <c r="I93" s="6" t="s">
        <v>36</v>
      </c>
      <c r="J93" s="6" t="str">
        <f aca="false">ROUND(61*1,0)&amp;"%"</f>
        <v>61%</v>
      </c>
    </row>
    <row r="94" customFormat="false" ht="15" hidden="false" customHeight="false" outlineLevel="0" collapsed="false">
      <c r="A94" s="5" t="s">
        <v>3361</v>
      </c>
      <c r="B94" s="5" t="s">
        <v>178</v>
      </c>
      <c r="C94" s="5" t="s">
        <v>15</v>
      </c>
      <c r="D94" s="5" t="s">
        <v>39</v>
      </c>
      <c r="E94" s="5" t="n">
        <f aca="false">ROUND(16180*1.05,2)</f>
        <v>16989</v>
      </c>
      <c r="F94" s="5" t="s">
        <v>40</v>
      </c>
      <c r="G94" s="5" t="s">
        <v>24</v>
      </c>
      <c r="H94" s="5" t="n">
        <f aca="true">ROUND(RAND()*4+6,1)</f>
        <v>9.8</v>
      </c>
      <c r="I94" s="5" t="s">
        <v>41</v>
      </c>
      <c r="J94" s="5" t="str">
        <f aca="false">ROUND(74*1,0)&amp;"%"</f>
        <v>74%</v>
      </c>
    </row>
    <row r="95" customFormat="false" ht="15" hidden="false" customHeight="false" outlineLevel="0" collapsed="false">
      <c r="A95" s="6" t="s">
        <v>3362</v>
      </c>
      <c r="B95" s="6" t="s">
        <v>180</v>
      </c>
      <c r="C95" s="6" t="s">
        <v>15</v>
      </c>
      <c r="D95" s="6" t="s">
        <v>44</v>
      </c>
      <c r="E95" s="6" t="n">
        <f aca="false">ROUND(7800*1.05,2)</f>
        <v>8190</v>
      </c>
      <c r="F95" s="6" t="s">
        <v>45</v>
      </c>
      <c r="G95" s="6" t="s">
        <v>30</v>
      </c>
      <c r="H95" s="6" t="n">
        <f aca="true">ROUND(RAND()*4+6,1)</f>
        <v>7</v>
      </c>
      <c r="I95" s="6" t="s">
        <v>46</v>
      </c>
      <c r="J95" s="6" t="str">
        <f aca="false">ROUND(63*1,0)&amp;"%"</f>
        <v>63%</v>
      </c>
    </row>
    <row r="96" customFormat="false" ht="15" hidden="false" customHeight="false" outlineLevel="0" collapsed="false">
      <c r="A96" s="5" t="s">
        <v>3363</v>
      </c>
      <c r="B96" s="5" t="s">
        <v>182</v>
      </c>
      <c r="C96" s="5" t="s">
        <v>15</v>
      </c>
      <c r="D96" s="5" t="s">
        <v>16</v>
      </c>
      <c r="E96" s="5" t="n">
        <f aca="false">ROUND(7315*1.05,2)</f>
        <v>7680.75</v>
      </c>
      <c r="F96" s="5" t="s">
        <v>49</v>
      </c>
      <c r="G96" s="5" t="s">
        <v>18</v>
      </c>
      <c r="H96" s="5" t="n">
        <f aca="true">ROUND(RAND()*4+6,1)</f>
        <v>8.4</v>
      </c>
      <c r="I96" s="5" t="s">
        <v>19</v>
      </c>
      <c r="J96" s="5" t="str">
        <f aca="false">ROUND(76*1,0)&amp;"%"</f>
        <v>76%</v>
      </c>
    </row>
    <row r="97" customFormat="false" ht="15" hidden="false" customHeight="false" outlineLevel="0" collapsed="false">
      <c r="A97" s="6" t="s">
        <v>3364</v>
      </c>
      <c r="B97" s="6" t="s">
        <v>184</v>
      </c>
      <c r="C97" s="6" t="s">
        <v>15</v>
      </c>
      <c r="D97" s="6" t="s">
        <v>22</v>
      </c>
      <c r="E97" s="6" t="n">
        <f aca="false">ROUND(15119*1.05,2)</f>
        <v>15874.95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3365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3366</v>
      </c>
      <c r="B102" s="5" t="s">
        <v>188</v>
      </c>
      <c r="C102" s="5" t="s">
        <v>57</v>
      </c>
      <c r="D102" s="5" t="s">
        <v>16</v>
      </c>
      <c r="E102" s="5" t="n">
        <f aca="false">ROUND(13470*1.05,2)</f>
        <v>14143.5</v>
      </c>
      <c r="F102" s="5" t="s">
        <v>17</v>
      </c>
      <c r="G102" s="5" t="s">
        <v>18</v>
      </c>
      <c r="H102" s="5" t="n">
        <f aca="true">ROUND(RAND()*4+6,1)</f>
        <v>8.9</v>
      </c>
      <c r="I102" s="5" t="s">
        <v>19</v>
      </c>
      <c r="J102" s="5" t="str">
        <f aca="false">ROUND(63*1,0)&amp;"%"</f>
        <v>63%</v>
      </c>
    </row>
    <row r="103" customFormat="false" ht="15" hidden="false" customHeight="false" outlineLevel="0" collapsed="false">
      <c r="A103" s="6" t="s">
        <v>3367</v>
      </c>
      <c r="B103" s="6" t="s">
        <v>190</v>
      </c>
      <c r="C103" s="6" t="s">
        <v>57</v>
      </c>
      <c r="D103" s="6" t="s">
        <v>22</v>
      </c>
      <c r="E103" s="6" t="n">
        <f aca="false">ROUND(13274*1.05,2)</f>
        <v>13937.7</v>
      </c>
      <c r="F103" s="6" t="s">
        <v>23</v>
      </c>
      <c r="G103" s="6" t="s">
        <v>24</v>
      </c>
      <c r="H103" s="6" t="n">
        <f aca="true">ROUND(RAND()*4+6,1)</f>
        <v>9.9</v>
      </c>
      <c r="I103" s="6" t="s">
        <v>25</v>
      </c>
      <c r="J103" s="6" t="str">
        <f aca="false">ROUND(72*1,0)&amp;"%"</f>
        <v>72%</v>
      </c>
    </row>
    <row r="104" customFormat="false" ht="15" hidden="false" customHeight="false" outlineLevel="0" collapsed="false">
      <c r="A104" s="5" t="s">
        <v>3368</v>
      </c>
      <c r="B104" s="5" t="s">
        <v>192</v>
      </c>
      <c r="C104" s="5" t="s">
        <v>57</v>
      </c>
      <c r="D104" s="5" t="s">
        <v>28</v>
      </c>
      <c r="E104" s="5" t="n">
        <f aca="false">ROUND(16171*1.05,2)</f>
        <v>16979.55</v>
      </c>
      <c r="F104" s="5" t="s">
        <v>29</v>
      </c>
      <c r="G104" s="5" t="s">
        <v>30</v>
      </c>
      <c r="H104" s="5" t="n">
        <f aca="true">ROUND(RAND()*4+6,1)</f>
        <v>9.3</v>
      </c>
      <c r="I104" s="5" t="s">
        <v>31</v>
      </c>
      <c r="J104" s="5" t="str">
        <f aca="false">ROUND(85*1,0)&amp;"%"</f>
        <v>85%</v>
      </c>
    </row>
    <row r="105" customFormat="false" ht="15" hidden="false" customHeight="false" outlineLevel="0" collapsed="false">
      <c r="A105" s="6" t="s">
        <v>3369</v>
      </c>
      <c r="B105" s="6" t="s">
        <v>194</v>
      </c>
      <c r="C105" s="6" t="s">
        <v>57</v>
      </c>
      <c r="D105" s="6" t="s">
        <v>34</v>
      </c>
      <c r="E105" s="6" t="n">
        <f aca="false">ROUND(14927*1.05,2)</f>
        <v>15673.35</v>
      </c>
      <c r="F105" s="6" t="s">
        <v>35</v>
      </c>
      <c r="G105" s="6" t="s">
        <v>18</v>
      </c>
      <c r="H105" s="6" t="n">
        <f aca="true">ROUND(RAND()*4+6,1)</f>
        <v>8.5</v>
      </c>
      <c r="I105" s="6" t="s">
        <v>36</v>
      </c>
      <c r="J105" s="6" t="str">
        <f aca="false">ROUND(87*1,0)&amp;"%"</f>
        <v>87%</v>
      </c>
    </row>
    <row r="106" customFormat="false" ht="15" hidden="false" customHeight="false" outlineLevel="0" collapsed="false">
      <c r="A106" s="5" t="s">
        <v>3370</v>
      </c>
      <c r="B106" s="5" t="s">
        <v>196</v>
      </c>
      <c r="C106" s="5" t="s">
        <v>57</v>
      </c>
      <c r="D106" s="5" t="s">
        <v>39</v>
      </c>
      <c r="E106" s="5" t="n">
        <f aca="false">ROUND(4849*1.05,2)</f>
        <v>5091.45</v>
      </c>
      <c r="F106" s="5" t="s">
        <v>40</v>
      </c>
      <c r="G106" s="5" t="s">
        <v>24</v>
      </c>
      <c r="H106" s="5" t="n">
        <f aca="true">ROUND(RAND()*4+6,1)</f>
        <v>8.4</v>
      </c>
      <c r="I106" s="5" t="s">
        <v>41</v>
      </c>
      <c r="J106" s="5" t="str">
        <f aca="false">ROUND(70*1,0)&amp;"%"</f>
        <v>70%</v>
      </c>
    </row>
    <row r="107" customFormat="false" ht="15" hidden="false" customHeight="false" outlineLevel="0" collapsed="false">
      <c r="A107" s="6" t="s">
        <v>3371</v>
      </c>
      <c r="B107" s="6" t="s">
        <v>198</v>
      </c>
      <c r="C107" s="6" t="s">
        <v>57</v>
      </c>
      <c r="D107" s="6" t="s">
        <v>44</v>
      </c>
      <c r="E107" s="6" t="n">
        <f aca="false">ROUND(8043*1.05,2)</f>
        <v>8445.15</v>
      </c>
      <c r="F107" s="6" t="s">
        <v>45</v>
      </c>
      <c r="G107" s="6" t="s">
        <v>30</v>
      </c>
      <c r="H107" s="6" t="n">
        <f aca="true">ROUND(RAND()*4+6,1)</f>
        <v>9.9</v>
      </c>
      <c r="I107" s="6" t="s">
        <v>46</v>
      </c>
      <c r="J107" s="6" t="str">
        <f aca="false">ROUND(81*1,0)&amp;"%"</f>
        <v>81%</v>
      </c>
    </row>
    <row r="108" customFormat="false" ht="15" hidden="false" customHeight="false" outlineLevel="0" collapsed="false">
      <c r="A108" s="5" t="s">
        <v>3372</v>
      </c>
      <c r="B108" s="5" t="s">
        <v>200</v>
      </c>
      <c r="C108" s="5" t="s">
        <v>57</v>
      </c>
      <c r="D108" s="5" t="s">
        <v>16</v>
      </c>
      <c r="E108" s="5" t="n">
        <f aca="false">ROUND(7699*1.05,2)</f>
        <v>8083.95</v>
      </c>
      <c r="F108" s="5" t="s">
        <v>49</v>
      </c>
      <c r="G108" s="5" t="s">
        <v>18</v>
      </c>
      <c r="H108" s="5" t="n">
        <f aca="true">ROUND(RAND()*4+6,1)</f>
        <v>8.4</v>
      </c>
      <c r="I108" s="5" t="s">
        <v>19</v>
      </c>
      <c r="J108" s="5" t="str">
        <f aca="false">ROUND(72*1,0)&amp;"%"</f>
        <v>72%</v>
      </c>
    </row>
    <row r="109" customFormat="false" ht="15" hidden="false" customHeight="false" outlineLevel="0" collapsed="false">
      <c r="A109" s="6" t="s">
        <v>3373</v>
      </c>
      <c r="B109" s="6" t="s">
        <v>202</v>
      </c>
      <c r="C109" s="6" t="s">
        <v>57</v>
      </c>
      <c r="D109" s="6" t="s">
        <v>22</v>
      </c>
      <c r="E109" s="6" t="n">
        <f aca="false">ROUND(8491*1.05,2)</f>
        <v>8915.55</v>
      </c>
      <c r="F109" s="6" t="s">
        <v>52</v>
      </c>
      <c r="G109" s="6" t="s">
        <v>24</v>
      </c>
      <c r="H109" s="6" t="n">
        <f aca="true">ROUND(RAND()*4+6,1)</f>
        <v>7.5</v>
      </c>
      <c r="I109" s="6" t="s">
        <v>25</v>
      </c>
      <c r="J109" s="6" t="str">
        <f aca="false">ROUND(93*1,0)&amp;"%"</f>
        <v>93%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3374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3375</v>
      </c>
      <c r="B114" s="5" t="s">
        <v>206</v>
      </c>
      <c r="C114" s="5" t="s">
        <v>76</v>
      </c>
      <c r="D114" s="5" t="s">
        <v>16</v>
      </c>
      <c r="E114" s="5" t="n">
        <f aca="false">ROUND(13539*1.05,2)</f>
        <v>14215.95</v>
      </c>
      <c r="F114" s="5" t="s">
        <v>17</v>
      </c>
      <c r="G114" s="5" t="s">
        <v>18</v>
      </c>
      <c r="H114" s="5" t="n">
        <f aca="true">ROUND(RAND()*4+6,1)</f>
        <v>8.1</v>
      </c>
      <c r="I114" s="5" t="s">
        <v>19</v>
      </c>
      <c r="J114" s="5" t="str">
        <f aca="false">ROUND(64*1,0)&amp;"%"</f>
        <v>64%</v>
      </c>
    </row>
    <row r="115" customFormat="false" ht="15" hidden="false" customHeight="false" outlineLevel="0" collapsed="false">
      <c r="A115" s="6" t="s">
        <v>3376</v>
      </c>
      <c r="B115" s="6" t="s">
        <v>208</v>
      </c>
      <c r="C115" s="6" t="s">
        <v>76</v>
      </c>
      <c r="D115" s="6" t="s">
        <v>22</v>
      </c>
      <c r="E115" s="6" t="n">
        <f aca="false">ROUND(15185*1.05,2)</f>
        <v>15944.25</v>
      </c>
      <c r="F115" s="6" t="s">
        <v>23</v>
      </c>
      <c r="G115" s="6" t="s">
        <v>24</v>
      </c>
      <c r="H115" s="6" t="n">
        <f aca="true">ROUND(RAND()*4+6,1)</f>
        <v>7.8</v>
      </c>
      <c r="I115" s="6" t="s">
        <v>25</v>
      </c>
      <c r="J115" s="6" t="str">
        <f aca="false">ROUND(83*1,0)&amp;"%"</f>
        <v>83%</v>
      </c>
    </row>
    <row r="116" customFormat="false" ht="15" hidden="false" customHeight="false" outlineLevel="0" collapsed="false">
      <c r="A116" s="5" t="s">
        <v>3377</v>
      </c>
      <c r="B116" s="5" t="s">
        <v>210</v>
      </c>
      <c r="C116" s="5" t="s">
        <v>76</v>
      </c>
      <c r="D116" s="5" t="s">
        <v>28</v>
      </c>
      <c r="E116" s="5" t="n">
        <f aca="false">ROUND(4269*1.05,2)</f>
        <v>4482.45</v>
      </c>
      <c r="F116" s="5" t="s">
        <v>29</v>
      </c>
      <c r="G116" s="5" t="s">
        <v>30</v>
      </c>
      <c r="H116" s="5" t="n">
        <f aca="true">ROUND(RAND()*4+6,1)</f>
        <v>7.5</v>
      </c>
      <c r="I116" s="5" t="s">
        <v>31</v>
      </c>
      <c r="J116" s="5" t="str">
        <f aca="false">ROUND(66*1,0)&amp;"%"</f>
        <v>66%</v>
      </c>
    </row>
    <row r="117" customFormat="false" ht="15" hidden="false" customHeight="false" outlineLevel="0" collapsed="false">
      <c r="A117" s="6" t="s">
        <v>3378</v>
      </c>
      <c r="B117" s="6" t="s">
        <v>212</v>
      </c>
      <c r="C117" s="6" t="s">
        <v>76</v>
      </c>
      <c r="D117" s="6" t="s">
        <v>34</v>
      </c>
      <c r="E117" s="6" t="n">
        <f aca="false">ROUND(11383*1.05,2)</f>
        <v>11952.15</v>
      </c>
      <c r="F117" s="6" t="s">
        <v>35</v>
      </c>
      <c r="G117" s="6" t="s">
        <v>18</v>
      </c>
      <c r="H117" s="6" t="n">
        <f aca="true">ROUND(RAND()*4+6,1)</f>
        <v>6.8</v>
      </c>
      <c r="I117" s="6" t="s">
        <v>36</v>
      </c>
      <c r="J117" s="6" t="str">
        <f aca="false">ROUND(76*1,0)&amp;"%"</f>
        <v>76%</v>
      </c>
    </row>
    <row r="118" customFormat="false" ht="15" hidden="false" customHeight="false" outlineLevel="0" collapsed="false">
      <c r="A118" s="5" t="s">
        <v>3379</v>
      </c>
      <c r="B118" s="5" t="s">
        <v>214</v>
      </c>
      <c r="C118" s="5" t="s">
        <v>76</v>
      </c>
      <c r="D118" s="5" t="s">
        <v>39</v>
      </c>
      <c r="E118" s="5" t="n">
        <f aca="false">ROUND(11684*1.05,2)</f>
        <v>12268.2</v>
      </c>
      <c r="F118" s="5" t="s">
        <v>40</v>
      </c>
      <c r="G118" s="5" t="s">
        <v>24</v>
      </c>
      <c r="H118" s="5" t="n">
        <f aca="true">ROUND(RAND()*4+6,1)</f>
        <v>9.9</v>
      </c>
      <c r="I118" s="5" t="s">
        <v>41</v>
      </c>
      <c r="J118" s="5" t="str">
        <f aca="false">ROUND(78*1,0)&amp;"%"</f>
        <v>78%</v>
      </c>
    </row>
    <row r="119" customFormat="false" ht="15" hidden="false" customHeight="false" outlineLevel="0" collapsed="false">
      <c r="A119" s="6" t="s">
        <v>3380</v>
      </c>
      <c r="B119" s="6" t="s">
        <v>216</v>
      </c>
      <c r="C119" s="6" t="s">
        <v>76</v>
      </c>
      <c r="D119" s="6" t="s">
        <v>44</v>
      </c>
      <c r="E119" s="6" t="n">
        <f aca="false">ROUND(8841*1.05,2)</f>
        <v>9283.05</v>
      </c>
      <c r="F119" s="6" t="s">
        <v>45</v>
      </c>
      <c r="G119" s="6" t="s">
        <v>30</v>
      </c>
      <c r="H119" s="6" t="n">
        <f aca="true">ROUND(RAND()*4+6,1)</f>
        <v>8.8</v>
      </c>
      <c r="I119" s="6" t="s">
        <v>46</v>
      </c>
      <c r="J119" s="6" t="str">
        <f aca="false">ROUND(68*1,0)&amp;"%"</f>
        <v>68%</v>
      </c>
    </row>
    <row r="120" customFormat="false" ht="15" hidden="false" customHeight="false" outlineLevel="0" collapsed="false">
      <c r="A120" s="5" t="s">
        <v>3381</v>
      </c>
      <c r="B120" s="5" t="s">
        <v>218</v>
      </c>
      <c r="C120" s="5" t="s">
        <v>76</v>
      </c>
      <c r="D120" s="5" t="s">
        <v>16</v>
      </c>
      <c r="E120" s="5" t="n">
        <f aca="false">ROUND(12353*1.05,2)</f>
        <v>12970.65</v>
      </c>
      <c r="F120" s="5" t="s">
        <v>49</v>
      </c>
      <c r="G120" s="5" t="s">
        <v>18</v>
      </c>
      <c r="H120" s="5" t="n">
        <f aca="true">ROUND(RAND()*4+6,1)</f>
        <v>8.6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3382</v>
      </c>
      <c r="B121" s="6" t="s">
        <v>220</v>
      </c>
      <c r="C121" s="6" t="s">
        <v>76</v>
      </c>
      <c r="D121" s="6" t="s">
        <v>22</v>
      </c>
      <c r="E121" s="6" t="n">
        <f aca="false">ROUND(14778*1.05,2)</f>
        <v>15516.9</v>
      </c>
      <c r="F121" s="6" t="s">
        <v>52</v>
      </c>
      <c r="G121" s="6" t="s">
        <v>24</v>
      </c>
      <c r="H121" s="6" t="n">
        <f aca="true">ROUND(RAND()*4+6,1)</f>
        <v>8.7</v>
      </c>
      <c r="I121" s="6" t="s">
        <v>25</v>
      </c>
      <c r="J121" s="6" t="str">
        <f aca="false">ROUND(72*1,0)&amp;"%"</f>
        <v>72%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3383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3384</v>
      </c>
      <c r="B126" s="5" t="s">
        <v>224</v>
      </c>
      <c r="C126" s="5" t="s">
        <v>95</v>
      </c>
      <c r="D126" s="5" t="s">
        <v>16</v>
      </c>
      <c r="E126" s="5" t="n">
        <f aca="false">ROUND(9727*1.05,2)</f>
        <v>10213.35</v>
      </c>
      <c r="F126" s="5" t="s">
        <v>17</v>
      </c>
      <c r="G126" s="5" t="s">
        <v>18</v>
      </c>
      <c r="H126" s="5" t="n">
        <f aca="true">ROUND(RAND()*4+6,1)</f>
        <v>9.9</v>
      </c>
      <c r="I126" s="5" t="s">
        <v>19</v>
      </c>
      <c r="J126" s="5" t="str">
        <f aca="false">ROUND(100*1,0)&amp;"%"</f>
        <v>100%</v>
      </c>
    </row>
    <row r="127" customFormat="false" ht="15" hidden="false" customHeight="false" outlineLevel="0" collapsed="false">
      <c r="A127" s="6" t="s">
        <v>3385</v>
      </c>
      <c r="B127" s="6" t="s">
        <v>226</v>
      </c>
      <c r="C127" s="6" t="s">
        <v>95</v>
      </c>
      <c r="D127" s="6" t="s">
        <v>22</v>
      </c>
      <c r="E127" s="6" t="n">
        <f aca="false">ROUND(17256*1.05,2)</f>
        <v>18118.8</v>
      </c>
      <c r="F127" s="6" t="s">
        <v>23</v>
      </c>
      <c r="G127" s="6" t="s">
        <v>24</v>
      </c>
      <c r="H127" s="6" t="n">
        <f aca="true">ROUND(RAND()*4+6,1)</f>
        <v>8.3</v>
      </c>
      <c r="I127" s="6" t="s">
        <v>25</v>
      </c>
      <c r="J127" s="6" t="str">
        <f aca="false">ROUND(64*1,0)&amp;"%"</f>
        <v>64%</v>
      </c>
    </row>
    <row r="128" customFormat="false" ht="15" hidden="false" customHeight="false" outlineLevel="0" collapsed="false">
      <c r="A128" s="5" t="s">
        <v>3386</v>
      </c>
      <c r="B128" s="5" t="s">
        <v>228</v>
      </c>
      <c r="C128" s="5" t="s">
        <v>95</v>
      </c>
      <c r="D128" s="5" t="s">
        <v>28</v>
      </c>
      <c r="E128" s="5" t="n">
        <f aca="false">ROUND(17851*1.05,2)</f>
        <v>18743.55</v>
      </c>
      <c r="F128" s="5" t="s">
        <v>29</v>
      </c>
      <c r="G128" s="5" t="s">
        <v>30</v>
      </c>
      <c r="H128" s="5" t="n">
        <f aca="true">ROUND(RAND()*4+6,1)</f>
        <v>8</v>
      </c>
      <c r="I128" s="5" t="s">
        <v>31</v>
      </c>
      <c r="J128" s="5" t="str">
        <f aca="false">ROUND(92*1,0)&amp;"%"</f>
        <v>92%</v>
      </c>
    </row>
    <row r="129" customFormat="false" ht="15" hidden="false" customHeight="false" outlineLevel="0" collapsed="false">
      <c r="A129" s="6" t="s">
        <v>3387</v>
      </c>
      <c r="B129" s="6" t="s">
        <v>230</v>
      </c>
      <c r="C129" s="6" t="s">
        <v>95</v>
      </c>
      <c r="D129" s="6" t="s">
        <v>34</v>
      </c>
      <c r="E129" s="6" t="n">
        <f aca="false">ROUND(7140*1.05,2)</f>
        <v>7497</v>
      </c>
      <c r="F129" s="6" t="s">
        <v>35</v>
      </c>
      <c r="G129" s="6" t="s">
        <v>18</v>
      </c>
      <c r="H129" s="6" t="n">
        <f aca="true">ROUND(RAND()*4+6,1)</f>
        <v>9</v>
      </c>
      <c r="I129" s="6" t="s">
        <v>36</v>
      </c>
      <c r="J129" s="6" t="str">
        <f aca="false">ROUND(60*1,0)&amp;"%"</f>
        <v>60%</v>
      </c>
    </row>
    <row r="130" customFormat="false" ht="15" hidden="false" customHeight="false" outlineLevel="0" collapsed="false">
      <c r="A130" s="5" t="s">
        <v>3388</v>
      </c>
      <c r="B130" s="5" t="s">
        <v>232</v>
      </c>
      <c r="C130" s="5" t="s">
        <v>95</v>
      </c>
      <c r="D130" s="5" t="s">
        <v>39</v>
      </c>
      <c r="E130" s="5" t="n">
        <f aca="false">ROUND(13279*1.05,2)</f>
        <v>13942.95</v>
      </c>
      <c r="F130" s="5" t="s">
        <v>40</v>
      </c>
      <c r="G130" s="5" t="s">
        <v>24</v>
      </c>
      <c r="H130" s="5" t="n">
        <f aca="true">ROUND(RAND()*4+6,1)</f>
        <v>6.3</v>
      </c>
      <c r="I130" s="5" t="s">
        <v>41</v>
      </c>
      <c r="J130" s="5" t="str">
        <f aca="false">ROUND(91*1,0)&amp;"%"</f>
        <v>91%</v>
      </c>
    </row>
    <row r="131" customFormat="false" ht="15" hidden="false" customHeight="false" outlineLevel="0" collapsed="false">
      <c r="A131" s="6" t="s">
        <v>3389</v>
      </c>
      <c r="B131" s="6" t="s">
        <v>234</v>
      </c>
      <c r="C131" s="6" t="s">
        <v>95</v>
      </c>
      <c r="D131" s="6" t="s">
        <v>44</v>
      </c>
      <c r="E131" s="6" t="n">
        <f aca="false">ROUND(7840*1.05,2)</f>
        <v>8232</v>
      </c>
      <c r="F131" s="6" t="s">
        <v>45</v>
      </c>
      <c r="G131" s="6" t="s">
        <v>30</v>
      </c>
      <c r="H131" s="6" t="n">
        <f aca="true">ROUND(RAND()*4+6,1)</f>
        <v>6.7</v>
      </c>
      <c r="I131" s="6" t="s">
        <v>46</v>
      </c>
      <c r="J131" s="6" t="str">
        <f aca="false">ROUND(84*1,0)&amp;"%"</f>
        <v>84%</v>
      </c>
    </row>
    <row r="132" customFormat="false" ht="15" hidden="false" customHeight="false" outlineLevel="0" collapsed="false">
      <c r="A132" s="5" t="s">
        <v>3390</v>
      </c>
      <c r="B132" s="5" t="s">
        <v>236</v>
      </c>
      <c r="C132" s="5" t="s">
        <v>95</v>
      </c>
      <c r="D132" s="5" t="s">
        <v>16</v>
      </c>
      <c r="E132" s="5" t="n">
        <f aca="false">ROUND(4835*1.05,2)</f>
        <v>5076.75</v>
      </c>
      <c r="F132" s="5" t="s">
        <v>49</v>
      </c>
      <c r="G132" s="5" t="s">
        <v>18</v>
      </c>
      <c r="H132" s="5" t="n">
        <f aca="true">ROUND(RAND()*4+6,1)</f>
        <v>9.5</v>
      </c>
      <c r="I132" s="5" t="s">
        <v>19</v>
      </c>
      <c r="J132" s="5" t="str">
        <f aca="false">ROUND(87*1,0)&amp;"%"</f>
        <v>87%</v>
      </c>
    </row>
    <row r="133" customFormat="false" ht="15" hidden="false" customHeight="false" outlineLevel="0" collapsed="false">
      <c r="A133" s="6" t="s">
        <v>3391</v>
      </c>
      <c r="B133" s="6" t="s">
        <v>238</v>
      </c>
      <c r="C133" s="6" t="s">
        <v>95</v>
      </c>
      <c r="D133" s="6" t="s">
        <v>22</v>
      </c>
      <c r="E133" s="6" t="n">
        <f aca="false">ROUND(10290*1.05,2)</f>
        <v>10804.5</v>
      </c>
      <c r="F133" s="6" t="s">
        <v>52</v>
      </c>
      <c r="G133" s="6" t="s">
        <v>24</v>
      </c>
      <c r="H133" s="6" t="n">
        <f aca="true">ROUND(RAND()*4+6,1)</f>
        <v>9.9</v>
      </c>
      <c r="I133" s="6" t="s">
        <v>25</v>
      </c>
      <c r="J133" s="6" t="str">
        <f aca="false">ROUND(78*1,0)&amp;"%"</f>
        <v>78%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3392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3393</v>
      </c>
      <c r="B138" s="5" t="s">
        <v>242</v>
      </c>
      <c r="C138" s="5" t="s">
        <v>114</v>
      </c>
      <c r="D138" s="5" t="s">
        <v>16</v>
      </c>
      <c r="E138" s="5" t="n">
        <f aca="false">ROUND(4469*1.05,2)</f>
        <v>4692.45</v>
      </c>
      <c r="F138" s="5" t="s">
        <v>17</v>
      </c>
      <c r="G138" s="5" t="s">
        <v>18</v>
      </c>
      <c r="H138" s="5" t="n">
        <f aca="true">ROUND(RAND()*4+6,1)</f>
        <v>9.2</v>
      </c>
      <c r="I138" s="5" t="s">
        <v>19</v>
      </c>
      <c r="J138" s="5" t="str">
        <f aca="false">ROUND(81*1,0)&amp;"%"</f>
        <v>81%</v>
      </c>
    </row>
    <row r="139" customFormat="false" ht="15" hidden="false" customHeight="false" outlineLevel="0" collapsed="false">
      <c r="A139" s="6" t="s">
        <v>3394</v>
      </c>
      <c r="B139" s="6" t="s">
        <v>244</v>
      </c>
      <c r="C139" s="6" t="s">
        <v>114</v>
      </c>
      <c r="D139" s="6" t="s">
        <v>22</v>
      </c>
      <c r="E139" s="6" t="n">
        <f aca="false">ROUND(8422*1.05,2)</f>
        <v>8843.1</v>
      </c>
      <c r="F139" s="6" t="s">
        <v>23</v>
      </c>
      <c r="G139" s="6" t="s">
        <v>24</v>
      </c>
      <c r="H139" s="6" t="n">
        <f aca="true">ROUND(RAND()*4+6,1)</f>
        <v>6.3</v>
      </c>
      <c r="I139" s="6" t="s">
        <v>25</v>
      </c>
      <c r="J139" s="6" t="str">
        <f aca="false">ROUND(90*1,0)&amp;"%"</f>
        <v>90%</v>
      </c>
    </row>
    <row r="140" customFormat="false" ht="15" hidden="false" customHeight="false" outlineLevel="0" collapsed="false">
      <c r="A140" s="5" t="s">
        <v>3395</v>
      </c>
      <c r="B140" s="5" t="s">
        <v>246</v>
      </c>
      <c r="C140" s="5" t="s">
        <v>114</v>
      </c>
      <c r="D140" s="5" t="s">
        <v>28</v>
      </c>
      <c r="E140" s="5" t="n">
        <f aca="false">ROUND(5577*1.05,2)</f>
        <v>5855.85</v>
      </c>
      <c r="F140" s="5" t="s">
        <v>29</v>
      </c>
      <c r="G140" s="5" t="s">
        <v>30</v>
      </c>
      <c r="H140" s="5" t="n">
        <f aca="true">ROUND(RAND()*4+6,1)</f>
        <v>8.9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3396</v>
      </c>
      <c r="B141" s="6" t="s">
        <v>248</v>
      </c>
      <c r="C141" s="6" t="s">
        <v>114</v>
      </c>
      <c r="D141" s="6" t="s">
        <v>34</v>
      </c>
      <c r="E141" s="6" t="n">
        <f aca="false">ROUND(7276*1.05,2)</f>
        <v>7639.8</v>
      </c>
      <c r="F141" s="6" t="s">
        <v>35</v>
      </c>
      <c r="G141" s="6" t="s">
        <v>18</v>
      </c>
      <c r="H141" s="6" t="n">
        <f aca="true">ROUND(RAND()*4+6,1)</f>
        <v>7.7</v>
      </c>
      <c r="I141" s="6" t="s">
        <v>36</v>
      </c>
      <c r="J141" s="6" t="str">
        <f aca="false">ROUND(96*1,0)&amp;"%"</f>
        <v>96%</v>
      </c>
    </row>
    <row r="142" customFormat="false" ht="15" hidden="false" customHeight="false" outlineLevel="0" collapsed="false">
      <c r="A142" s="5" t="s">
        <v>3397</v>
      </c>
      <c r="B142" s="5" t="s">
        <v>250</v>
      </c>
      <c r="C142" s="5" t="s">
        <v>114</v>
      </c>
      <c r="D142" s="5" t="s">
        <v>39</v>
      </c>
      <c r="E142" s="5" t="n">
        <f aca="false">ROUND(10751*1.05,2)</f>
        <v>11288.55</v>
      </c>
      <c r="F142" s="5" t="s">
        <v>40</v>
      </c>
      <c r="G142" s="5" t="s">
        <v>24</v>
      </c>
      <c r="H142" s="5" t="n">
        <f aca="true">ROUND(RAND()*4+6,1)</f>
        <v>7.4</v>
      </c>
      <c r="I142" s="5" t="s">
        <v>41</v>
      </c>
      <c r="J142" s="5" t="str">
        <f aca="false">ROUND(91*1,0)&amp;"%"</f>
        <v>91%</v>
      </c>
    </row>
    <row r="143" customFormat="false" ht="15" hidden="false" customHeight="false" outlineLevel="0" collapsed="false">
      <c r="A143" s="6" t="s">
        <v>3398</v>
      </c>
      <c r="B143" s="6" t="s">
        <v>252</v>
      </c>
      <c r="C143" s="6" t="s">
        <v>114</v>
      </c>
      <c r="D143" s="6" t="s">
        <v>44</v>
      </c>
      <c r="E143" s="6" t="n">
        <f aca="false">ROUND(4689*1.05,2)</f>
        <v>4923.45</v>
      </c>
      <c r="F143" s="6" t="s">
        <v>45</v>
      </c>
      <c r="G143" s="6" t="s">
        <v>30</v>
      </c>
      <c r="H143" s="6" t="n">
        <f aca="true">ROUND(RAND()*4+6,1)</f>
        <v>9.8</v>
      </c>
      <c r="I143" s="6" t="s">
        <v>46</v>
      </c>
      <c r="J143" s="6" t="str">
        <f aca="false">ROUND(94*1,0)&amp;"%"</f>
        <v>94%</v>
      </c>
    </row>
    <row r="144" customFormat="false" ht="15" hidden="false" customHeight="false" outlineLevel="0" collapsed="false">
      <c r="A144" s="5" t="s">
        <v>3399</v>
      </c>
      <c r="B144" s="5" t="s">
        <v>254</v>
      </c>
      <c r="C144" s="5" t="s">
        <v>114</v>
      </c>
      <c r="D144" s="5" t="s">
        <v>16</v>
      </c>
      <c r="E144" s="5" t="n">
        <f aca="false">ROUND(10468*1.05,2)</f>
        <v>10991.4</v>
      </c>
      <c r="F144" s="5" t="s">
        <v>49</v>
      </c>
      <c r="G144" s="5" t="s">
        <v>18</v>
      </c>
      <c r="H144" s="5" t="n">
        <f aca="true">ROUND(RAND()*4+6,1)</f>
        <v>6.8</v>
      </c>
      <c r="I144" s="5" t="s">
        <v>19</v>
      </c>
      <c r="J144" s="5" t="str">
        <f aca="false">ROUND(99*1,0)&amp;"%"</f>
        <v>99%</v>
      </c>
    </row>
    <row r="145" customFormat="false" ht="15" hidden="false" customHeight="false" outlineLevel="0" collapsed="false">
      <c r="A145" s="6" t="s">
        <v>3400</v>
      </c>
      <c r="B145" s="6" t="s">
        <v>256</v>
      </c>
      <c r="C145" s="6" t="s">
        <v>114</v>
      </c>
      <c r="D145" s="6" t="s">
        <v>22</v>
      </c>
      <c r="E145" s="6" t="n">
        <f aca="false">ROUND(7060*1.05,2)</f>
        <v>7413</v>
      </c>
      <c r="F145" s="6" t="s">
        <v>52</v>
      </c>
      <c r="G145" s="6" t="s">
        <v>24</v>
      </c>
      <c r="H145" s="6" t="n">
        <f aca="true">ROUND(RAND()*4+6,1)</f>
        <v>7.3</v>
      </c>
      <c r="I145" s="6" t="s">
        <v>25</v>
      </c>
      <c r="J145" s="6" t="str">
        <f aca="false">ROUND(82*1,0)&amp;"%"</f>
        <v>82%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3401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3402</v>
      </c>
      <c r="B150" s="5" t="s">
        <v>260</v>
      </c>
      <c r="C150" s="5" t="s">
        <v>133</v>
      </c>
      <c r="D150" s="5" t="s">
        <v>16</v>
      </c>
      <c r="E150" s="5" t="n">
        <f aca="false">ROUND(6586*1.05,2)</f>
        <v>6915.3</v>
      </c>
      <c r="F150" s="5" t="s">
        <v>17</v>
      </c>
      <c r="G150" s="5" t="s">
        <v>18</v>
      </c>
      <c r="H150" s="5" t="n">
        <f aca="true">ROUND(RAND()*4+6,1)</f>
        <v>7</v>
      </c>
      <c r="I150" s="5" t="s">
        <v>19</v>
      </c>
      <c r="J150" s="5" t="str">
        <f aca="false">ROUND(60*1,0)&amp;"%"</f>
        <v>60%</v>
      </c>
    </row>
    <row r="151" customFormat="false" ht="15" hidden="false" customHeight="false" outlineLevel="0" collapsed="false">
      <c r="A151" s="6" t="s">
        <v>3403</v>
      </c>
      <c r="B151" s="6" t="s">
        <v>262</v>
      </c>
      <c r="C151" s="6" t="s">
        <v>133</v>
      </c>
      <c r="D151" s="6" t="s">
        <v>22</v>
      </c>
      <c r="E151" s="6" t="n">
        <f aca="false">ROUND(4560*1.05,2)</f>
        <v>4788</v>
      </c>
      <c r="F151" s="6" t="s">
        <v>23</v>
      </c>
      <c r="G151" s="6" t="s">
        <v>24</v>
      </c>
      <c r="H151" s="6" t="n">
        <f aca="true">ROUND(RAND()*4+6,1)</f>
        <v>9.1</v>
      </c>
      <c r="I151" s="6" t="s">
        <v>25</v>
      </c>
      <c r="J151" s="6" t="str">
        <f aca="false">ROUND(75*1,0)&amp;"%"</f>
        <v>75%</v>
      </c>
    </row>
    <row r="152" customFormat="false" ht="15" hidden="false" customHeight="false" outlineLevel="0" collapsed="false">
      <c r="A152" s="5" t="s">
        <v>3404</v>
      </c>
      <c r="B152" s="5" t="s">
        <v>264</v>
      </c>
      <c r="C152" s="5" t="s">
        <v>133</v>
      </c>
      <c r="D152" s="5" t="s">
        <v>28</v>
      </c>
      <c r="E152" s="5" t="n">
        <f aca="false">ROUND(10199*1.05,2)</f>
        <v>10708.95</v>
      </c>
      <c r="F152" s="5" t="s">
        <v>29</v>
      </c>
      <c r="G152" s="5" t="s">
        <v>30</v>
      </c>
      <c r="H152" s="5" t="n">
        <f aca="true">ROUND(RAND()*4+6,1)</f>
        <v>6.4</v>
      </c>
      <c r="I152" s="5" t="s">
        <v>31</v>
      </c>
      <c r="J152" s="5" t="str">
        <f aca="false">ROUND(77*1,0)&amp;"%"</f>
        <v>77%</v>
      </c>
    </row>
    <row r="153" customFormat="false" ht="15" hidden="false" customHeight="false" outlineLevel="0" collapsed="false">
      <c r="A153" s="6" t="s">
        <v>3405</v>
      </c>
      <c r="B153" s="6" t="s">
        <v>266</v>
      </c>
      <c r="C153" s="6" t="s">
        <v>133</v>
      </c>
      <c r="D153" s="6" t="s">
        <v>34</v>
      </c>
      <c r="E153" s="6" t="n">
        <f aca="false">ROUND(12821*1.05,2)</f>
        <v>13462.05</v>
      </c>
      <c r="F153" s="6" t="s">
        <v>35</v>
      </c>
      <c r="G153" s="6" t="s">
        <v>18</v>
      </c>
      <c r="H153" s="6" t="n">
        <f aca="true">ROUND(RAND()*4+6,1)</f>
        <v>7.9</v>
      </c>
      <c r="I153" s="6" t="s">
        <v>36</v>
      </c>
      <c r="J153" s="6" t="str">
        <f aca="false">ROUND(88*1,0)&amp;"%"</f>
        <v>88%</v>
      </c>
    </row>
    <row r="154" customFormat="false" ht="15" hidden="false" customHeight="false" outlineLevel="0" collapsed="false">
      <c r="A154" s="5" t="s">
        <v>3406</v>
      </c>
      <c r="B154" s="5" t="s">
        <v>268</v>
      </c>
      <c r="C154" s="5" t="s">
        <v>133</v>
      </c>
      <c r="D154" s="5" t="s">
        <v>39</v>
      </c>
      <c r="E154" s="5" t="n">
        <f aca="false">ROUND(11225*1.05,2)</f>
        <v>11786.25</v>
      </c>
      <c r="F154" s="5" t="s">
        <v>40</v>
      </c>
      <c r="G154" s="5" t="s">
        <v>24</v>
      </c>
      <c r="H154" s="5" t="n">
        <f aca="true">ROUND(RAND()*4+6,1)</f>
        <v>9.1</v>
      </c>
      <c r="I154" s="5" t="s">
        <v>41</v>
      </c>
      <c r="J154" s="5" t="str">
        <f aca="false">ROUND(93*1,0)&amp;"%"</f>
        <v>93%</v>
      </c>
    </row>
    <row r="155" customFormat="false" ht="15" hidden="false" customHeight="false" outlineLevel="0" collapsed="false">
      <c r="A155" s="6" t="s">
        <v>3407</v>
      </c>
      <c r="B155" s="6" t="s">
        <v>270</v>
      </c>
      <c r="C155" s="6" t="s">
        <v>133</v>
      </c>
      <c r="D155" s="6" t="s">
        <v>44</v>
      </c>
      <c r="E155" s="6" t="n">
        <f aca="false">ROUND(13513*1.05,2)</f>
        <v>14188.65</v>
      </c>
      <c r="F155" s="6" t="s">
        <v>45</v>
      </c>
      <c r="G155" s="6" t="s">
        <v>30</v>
      </c>
      <c r="H155" s="6" t="n">
        <f aca="true">ROUND(RAND()*4+6,1)</f>
        <v>7.5</v>
      </c>
      <c r="I155" s="6" t="s">
        <v>46</v>
      </c>
      <c r="J155" s="6" t="str">
        <f aca="false">ROUND(88*1,0)&amp;"%"</f>
        <v>88%</v>
      </c>
    </row>
    <row r="156" customFormat="false" ht="15" hidden="false" customHeight="false" outlineLevel="0" collapsed="false">
      <c r="A156" s="5" t="s">
        <v>3408</v>
      </c>
      <c r="B156" s="5" t="s">
        <v>272</v>
      </c>
      <c r="C156" s="5" t="s">
        <v>133</v>
      </c>
      <c r="D156" s="5" t="s">
        <v>16</v>
      </c>
      <c r="E156" s="5" t="n">
        <f aca="false">ROUND(12060*1.05,2)</f>
        <v>12663</v>
      </c>
      <c r="F156" s="5" t="s">
        <v>49</v>
      </c>
      <c r="G156" s="5" t="s">
        <v>18</v>
      </c>
      <c r="H156" s="5" t="n">
        <f aca="true">ROUND(RAND()*4+6,1)</f>
        <v>8.5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3409</v>
      </c>
      <c r="B157" s="6" t="s">
        <v>274</v>
      </c>
      <c r="C157" s="6" t="s">
        <v>133</v>
      </c>
      <c r="D157" s="6" t="s">
        <v>22</v>
      </c>
      <c r="E157" s="6" t="n">
        <f aca="false">ROUND(9585*1.05,2)</f>
        <v>10064.25</v>
      </c>
      <c r="F157" s="6" t="s">
        <v>52</v>
      </c>
      <c r="G157" s="6" t="s">
        <v>24</v>
      </c>
      <c r="H157" s="6" t="n">
        <f aca="true">ROUND(RAND()*4+6,1)</f>
        <v>8.9</v>
      </c>
      <c r="I157" s="6" t="s">
        <v>25</v>
      </c>
      <c r="J157" s="6" t="str">
        <f aca="false">ROUND(72*1,0)&amp;"%"</f>
        <v>72%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3410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3411</v>
      </c>
      <c r="B162" s="5" t="s">
        <v>278</v>
      </c>
      <c r="C162" s="5" t="s">
        <v>152</v>
      </c>
      <c r="D162" s="5" t="s">
        <v>16</v>
      </c>
      <c r="E162" s="5" t="n">
        <f aca="false">ROUND(9552*1.05,2)</f>
        <v>10029.6</v>
      </c>
      <c r="F162" s="5" t="s">
        <v>17</v>
      </c>
      <c r="G162" s="5" t="s">
        <v>18</v>
      </c>
      <c r="H162" s="5" t="n">
        <f aca="true">ROUND(RAND()*4+6,1)</f>
        <v>7.3</v>
      </c>
      <c r="I162" s="5" t="s">
        <v>19</v>
      </c>
      <c r="J162" s="5" t="str">
        <f aca="false">ROUND(89*1,0)&amp;"%"</f>
        <v>89%</v>
      </c>
    </row>
    <row r="163" customFormat="false" ht="15" hidden="false" customHeight="false" outlineLevel="0" collapsed="false">
      <c r="A163" s="6" t="s">
        <v>3412</v>
      </c>
      <c r="B163" s="6" t="s">
        <v>280</v>
      </c>
      <c r="C163" s="6" t="s">
        <v>152</v>
      </c>
      <c r="D163" s="6" t="s">
        <v>22</v>
      </c>
      <c r="E163" s="6" t="n">
        <f aca="false">ROUND(6995*1.05,2)</f>
        <v>7344.75</v>
      </c>
      <c r="F163" s="6" t="s">
        <v>23</v>
      </c>
      <c r="G163" s="6" t="s">
        <v>24</v>
      </c>
      <c r="H163" s="6" t="n">
        <f aca="true">ROUND(RAND()*4+6,1)</f>
        <v>9.1</v>
      </c>
      <c r="I163" s="6" t="s">
        <v>25</v>
      </c>
      <c r="J163" s="6" t="str">
        <f aca="false">ROUND(74*1,0)&amp;"%"</f>
        <v>74%</v>
      </c>
    </row>
    <row r="164" customFormat="false" ht="15" hidden="false" customHeight="false" outlineLevel="0" collapsed="false">
      <c r="A164" s="5" t="s">
        <v>3413</v>
      </c>
      <c r="B164" s="5" t="s">
        <v>282</v>
      </c>
      <c r="C164" s="5" t="s">
        <v>152</v>
      </c>
      <c r="D164" s="5" t="s">
        <v>28</v>
      </c>
      <c r="E164" s="5" t="n">
        <f aca="false">ROUND(9854*1.05,2)</f>
        <v>10346.7</v>
      </c>
      <c r="F164" s="5" t="s">
        <v>29</v>
      </c>
      <c r="G164" s="5" t="s">
        <v>30</v>
      </c>
      <c r="H164" s="5" t="n">
        <f aca="true">ROUND(RAND()*4+6,1)</f>
        <v>8.5</v>
      </c>
      <c r="I164" s="5" t="s">
        <v>31</v>
      </c>
      <c r="J164" s="5" t="str">
        <f aca="false">ROUND(66*1,0)&amp;"%"</f>
        <v>66%</v>
      </c>
    </row>
    <row r="165" customFormat="false" ht="15" hidden="false" customHeight="false" outlineLevel="0" collapsed="false">
      <c r="A165" s="6" t="s">
        <v>3414</v>
      </c>
      <c r="B165" s="6" t="s">
        <v>284</v>
      </c>
      <c r="C165" s="6" t="s">
        <v>152</v>
      </c>
      <c r="D165" s="6" t="s">
        <v>34</v>
      </c>
      <c r="E165" s="6" t="n">
        <f aca="false">ROUND(12546*1.05,2)</f>
        <v>13173.3</v>
      </c>
      <c r="F165" s="6" t="s">
        <v>35</v>
      </c>
      <c r="G165" s="6" t="s">
        <v>18</v>
      </c>
      <c r="H165" s="6" t="n">
        <f aca="true">ROUND(RAND()*4+6,1)</f>
        <v>8.1</v>
      </c>
      <c r="I165" s="6" t="s">
        <v>36</v>
      </c>
      <c r="J165" s="6" t="str">
        <f aca="false">ROUND(84*1,0)&amp;"%"</f>
        <v>84%</v>
      </c>
    </row>
    <row r="166" customFormat="false" ht="15" hidden="false" customHeight="false" outlineLevel="0" collapsed="false">
      <c r="A166" s="5" t="s">
        <v>3415</v>
      </c>
      <c r="B166" s="5" t="s">
        <v>286</v>
      </c>
      <c r="C166" s="5" t="s">
        <v>152</v>
      </c>
      <c r="D166" s="5" t="s">
        <v>39</v>
      </c>
      <c r="E166" s="5" t="n">
        <f aca="false">ROUND(13238*1.05,2)</f>
        <v>13899.9</v>
      </c>
      <c r="F166" s="5" t="s">
        <v>40</v>
      </c>
      <c r="G166" s="5" t="s">
        <v>24</v>
      </c>
      <c r="H166" s="5" t="n">
        <f aca="true">ROUND(RAND()*4+6,1)</f>
        <v>6.2</v>
      </c>
      <c r="I166" s="5" t="s">
        <v>41</v>
      </c>
      <c r="J166" s="5" t="str">
        <f aca="false">ROUND(85*1,0)&amp;"%"</f>
        <v>85%</v>
      </c>
    </row>
    <row r="167" customFormat="false" ht="15" hidden="false" customHeight="false" outlineLevel="0" collapsed="false">
      <c r="A167" s="6" t="s">
        <v>3416</v>
      </c>
      <c r="B167" s="6" t="s">
        <v>288</v>
      </c>
      <c r="C167" s="6" t="s">
        <v>152</v>
      </c>
      <c r="D167" s="6" t="s">
        <v>44</v>
      </c>
      <c r="E167" s="6" t="n">
        <f aca="false">ROUND(12290*1.05,2)</f>
        <v>12904.5</v>
      </c>
      <c r="F167" s="6" t="s">
        <v>45</v>
      </c>
      <c r="G167" s="6" t="s">
        <v>30</v>
      </c>
      <c r="H167" s="6" t="n">
        <f aca="true">ROUND(RAND()*4+6,1)</f>
        <v>9</v>
      </c>
      <c r="I167" s="6" t="s">
        <v>46</v>
      </c>
      <c r="J167" s="6" t="str">
        <f aca="false">ROUND(61*1,0)&amp;"%"</f>
        <v>61%</v>
      </c>
    </row>
    <row r="168" customFormat="false" ht="15" hidden="false" customHeight="false" outlineLevel="0" collapsed="false">
      <c r="A168" s="5" t="s">
        <v>3417</v>
      </c>
      <c r="B168" s="5" t="s">
        <v>290</v>
      </c>
      <c r="C168" s="5" t="s">
        <v>152</v>
      </c>
      <c r="D168" s="5" t="s">
        <v>16</v>
      </c>
      <c r="E168" s="5" t="n">
        <f aca="false">ROUND(6944*1.05,2)</f>
        <v>7291.2</v>
      </c>
      <c r="F168" s="5" t="s">
        <v>49</v>
      </c>
      <c r="G168" s="5" t="s">
        <v>18</v>
      </c>
      <c r="H168" s="5" t="n">
        <f aca="true">ROUND(RAND()*4+6,1)</f>
        <v>7.7</v>
      </c>
      <c r="I168" s="5" t="s">
        <v>19</v>
      </c>
      <c r="J168" s="5" t="str">
        <f aca="false">ROUND(68*1,0)&amp;"%"</f>
        <v>68%</v>
      </c>
    </row>
    <row r="169" customFormat="false" ht="15" hidden="false" customHeight="false" outlineLevel="0" collapsed="false">
      <c r="A169" s="6" t="s">
        <v>3418</v>
      </c>
      <c r="B169" s="6" t="s">
        <v>292</v>
      </c>
      <c r="C169" s="6" t="s">
        <v>152</v>
      </c>
      <c r="D169" s="6" t="s">
        <v>22</v>
      </c>
      <c r="E169" s="6" t="n">
        <f aca="false">ROUND(5607*1.05,2)</f>
        <v>5887.35</v>
      </c>
      <c r="F169" s="6" t="s">
        <v>52</v>
      </c>
      <c r="G169" s="6" t="s">
        <v>24</v>
      </c>
      <c r="H169" s="6" t="n">
        <f aca="true">ROUND(RAND()*4+6,1)</f>
        <v>8.9</v>
      </c>
      <c r="I169" s="6" t="s">
        <v>25</v>
      </c>
      <c r="J169" s="6" t="str">
        <f aca="false">ROUND(69*1,0)&amp;"%"</f>
        <v>69%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3419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3420</v>
      </c>
      <c r="B174" s="5" t="s">
        <v>296</v>
      </c>
      <c r="C174" s="5" t="s">
        <v>15</v>
      </c>
      <c r="D174" s="5" t="s">
        <v>16</v>
      </c>
      <c r="E174" s="5" t="n">
        <f aca="false">ROUND(11742*1.05,2)</f>
        <v>12329.1</v>
      </c>
      <c r="F174" s="5" t="s">
        <v>17</v>
      </c>
      <c r="G174" s="5" t="s">
        <v>18</v>
      </c>
      <c r="H174" s="5" t="n">
        <f aca="true">ROUND(RAND()*4+6,1)</f>
        <v>6.1</v>
      </c>
      <c r="I174" s="5" t="s">
        <v>19</v>
      </c>
      <c r="J174" s="5" t="str">
        <f aca="false">ROUND(87*1,0)&amp;"%"</f>
        <v>87%</v>
      </c>
    </row>
    <row r="175" customFormat="false" ht="15" hidden="false" customHeight="false" outlineLevel="0" collapsed="false">
      <c r="A175" s="6" t="s">
        <v>3421</v>
      </c>
      <c r="B175" s="6" t="s">
        <v>298</v>
      </c>
      <c r="C175" s="6" t="s">
        <v>15</v>
      </c>
      <c r="D175" s="6" t="s">
        <v>22</v>
      </c>
      <c r="E175" s="6" t="n">
        <f aca="false">ROUND(7945*1.05,2)</f>
        <v>8342.25</v>
      </c>
      <c r="F175" s="6" t="s">
        <v>23</v>
      </c>
      <c r="G175" s="6" t="s">
        <v>24</v>
      </c>
      <c r="H175" s="6" t="n">
        <f aca="true">ROUND(RAND()*4+6,1)</f>
        <v>6.4</v>
      </c>
      <c r="I175" s="6" t="s">
        <v>25</v>
      </c>
      <c r="J175" s="6" t="str">
        <f aca="false">ROUND(73*1,0)&amp;"%"</f>
        <v>73%</v>
      </c>
    </row>
    <row r="176" customFormat="false" ht="15" hidden="false" customHeight="false" outlineLevel="0" collapsed="false">
      <c r="A176" s="5" t="s">
        <v>3422</v>
      </c>
      <c r="B176" s="5" t="s">
        <v>300</v>
      </c>
      <c r="C176" s="5" t="s">
        <v>15</v>
      </c>
      <c r="D176" s="5" t="s">
        <v>28</v>
      </c>
      <c r="E176" s="5" t="n">
        <f aca="false">ROUND(10478*1.05,2)</f>
        <v>11001.9</v>
      </c>
      <c r="F176" s="5" t="s">
        <v>29</v>
      </c>
      <c r="G176" s="5" t="s">
        <v>30</v>
      </c>
      <c r="H176" s="5" t="n">
        <f aca="true">ROUND(RAND()*4+6,1)</f>
        <v>8.7</v>
      </c>
      <c r="I176" s="5" t="s">
        <v>31</v>
      </c>
      <c r="J176" s="5" t="str">
        <f aca="false">ROUND(90*1,0)&amp;"%"</f>
        <v>90%</v>
      </c>
    </row>
    <row r="177" customFormat="false" ht="15" hidden="false" customHeight="false" outlineLevel="0" collapsed="false">
      <c r="A177" s="6" t="s">
        <v>3423</v>
      </c>
      <c r="B177" s="6" t="s">
        <v>302</v>
      </c>
      <c r="C177" s="6" t="s">
        <v>15</v>
      </c>
      <c r="D177" s="6" t="s">
        <v>34</v>
      </c>
      <c r="E177" s="6" t="n">
        <f aca="false">ROUND(12791*1.05,2)</f>
        <v>13430.55</v>
      </c>
      <c r="F177" s="6" t="s">
        <v>35</v>
      </c>
      <c r="G177" s="6" t="s">
        <v>18</v>
      </c>
      <c r="H177" s="6" t="n">
        <f aca="true">ROUND(RAND()*4+6,1)</f>
        <v>7.7</v>
      </c>
      <c r="I177" s="6" t="s">
        <v>36</v>
      </c>
      <c r="J177" s="6" t="str">
        <f aca="false">ROUND(64*1,0)&amp;"%"</f>
        <v>64%</v>
      </c>
    </row>
    <row r="178" customFormat="false" ht="15" hidden="false" customHeight="false" outlineLevel="0" collapsed="false">
      <c r="A178" s="5" t="s">
        <v>3424</v>
      </c>
      <c r="B178" s="5" t="s">
        <v>304</v>
      </c>
      <c r="C178" s="5" t="s">
        <v>15</v>
      </c>
      <c r="D178" s="5" t="s">
        <v>39</v>
      </c>
      <c r="E178" s="5" t="n">
        <f aca="false">ROUND(5717*1.05,2)</f>
        <v>6002.85</v>
      </c>
      <c r="F178" s="5" t="s">
        <v>40</v>
      </c>
      <c r="G178" s="5" t="s">
        <v>24</v>
      </c>
      <c r="H178" s="5" t="n">
        <f aca="true">ROUND(RAND()*4+6,1)</f>
        <v>7</v>
      </c>
      <c r="I178" s="5" t="s">
        <v>41</v>
      </c>
      <c r="J178" s="5" t="str">
        <f aca="false">ROUND(62*1,0)&amp;"%"</f>
        <v>62%</v>
      </c>
    </row>
    <row r="179" customFormat="false" ht="15" hidden="false" customHeight="false" outlineLevel="0" collapsed="false">
      <c r="A179" s="6" t="s">
        <v>3425</v>
      </c>
      <c r="B179" s="6" t="s">
        <v>306</v>
      </c>
      <c r="C179" s="6" t="s">
        <v>15</v>
      </c>
      <c r="D179" s="6" t="s">
        <v>44</v>
      </c>
      <c r="E179" s="6" t="n">
        <f aca="false">ROUND(16157*1.05,2)</f>
        <v>16964.85</v>
      </c>
      <c r="F179" s="6" t="s">
        <v>45</v>
      </c>
      <c r="G179" s="6" t="s">
        <v>30</v>
      </c>
      <c r="H179" s="6" t="n">
        <f aca="true">ROUND(RAND()*4+6,1)</f>
        <v>8</v>
      </c>
      <c r="I179" s="6" t="s">
        <v>46</v>
      </c>
      <c r="J179" s="6" t="str">
        <f aca="false">ROUND(67*1,0)&amp;"%"</f>
        <v>67%</v>
      </c>
    </row>
    <row r="180" customFormat="false" ht="15" hidden="false" customHeight="false" outlineLevel="0" collapsed="false">
      <c r="A180" s="5" t="s">
        <v>3426</v>
      </c>
      <c r="B180" s="5" t="s">
        <v>308</v>
      </c>
      <c r="C180" s="5" t="s">
        <v>15</v>
      </c>
      <c r="D180" s="5" t="s">
        <v>16</v>
      </c>
      <c r="E180" s="5" t="n">
        <f aca="false">ROUND(8153*1.05,2)</f>
        <v>8560.65</v>
      </c>
      <c r="F180" s="5" t="s">
        <v>49</v>
      </c>
      <c r="G180" s="5" t="s">
        <v>18</v>
      </c>
      <c r="H180" s="5" t="n">
        <f aca="true">ROUND(RAND()*4+6,1)</f>
        <v>8.5</v>
      </c>
      <c r="I180" s="5" t="s">
        <v>19</v>
      </c>
      <c r="J180" s="5" t="str">
        <f aca="false">ROUND(92*1,0)&amp;"%"</f>
        <v>92%</v>
      </c>
    </row>
    <row r="181" customFormat="false" ht="15" hidden="false" customHeight="false" outlineLevel="0" collapsed="false">
      <c r="A181" s="6" t="s">
        <v>3427</v>
      </c>
      <c r="B181" s="6" t="s">
        <v>310</v>
      </c>
      <c r="C181" s="6" t="s">
        <v>15</v>
      </c>
      <c r="D181" s="6" t="s">
        <v>22</v>
      </c>
      <c r="E181" s="6" t="n">
        <f aca="false">ROUND(17194*1.05,2)</f>
        <v>18053.7</v>
      </c>
      <c r="F181" s="6" t="s">
        <v>52</v>
      </c>
      <c r="G181" s="6" t="s">
        <v>24</v>
      </c>
      <c r="H181" s="6" t="n">
        <f aca="true">ROUND(RAND()*4+6,1)</f>
        <v>7.3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3428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3429</v>
      </c>
      <c r="B186" s="5" t="s">
        <v>314</v>
      </c>
      <c r="C186" s="5" t="s">
        <v>57</v>
      </c>
      <c r="D186" s="5" t="s">
        <v>16</v>
      </c>
      <c r="E186" s="5" t="n">
        <f aca="false">ROUND(6826*1.05,2)</f>
        <v>7167.3</v>
      </c>
      <c r="F186" s="5" t="s">
        <v>17</v>
      </c>
      <c r="G186" s="5" t="s">
        <v>18</v>
      </c>
      <c r="H186" s="5" t="n">
        <f aca="true">ROUND(RAND()*4+6,1)</f>
        <v>7.2</v>
      </c>
      <c r="I186" s="5" t="s">
        <v>19</v>
      </c>
      <c r="J186" s="5" t="str">
        <f aca="false">ROUND(82*1,0)&amp;"%"</f>
        <v>82%</v>
      </c>
    </row>
    <row r="187" customFormat="false" ht="15" hidden="false" customHeight="false" outlineLevel="0" collapsed="false">
      <c r="A187" s="6" t="s">
        <v>3430</v>
      </c>
      <c r="B187" s="6" t="s">
        <v>316</v>
      </c>
      <c r="C187" s="6" t="s">
        <v>57</v>
      </c>
      <c r="D187" s="6" t="s">
        <v>22</v>
      </c>
      <c r="E187" s="6" t="n">
        <f aca="false">ROUND(14179*1.05,2)</f>
        <v>14887.95</v>
      </c>
      <c r="F187" s="6" t="s">
        <v>23</v>
      </c>
      <c r="G187" s="6" t="s">
        <v>24</v>
      </c>
      <c r="H187" s="6" t="n">
        <f aca="true">ROUND(RAND()*4+6,1)</f>
        <v>9.1</v>
      </c>
      <c r="I187" s="6" t="s">
        <v>25</v>
      </c>
      <c r="J187" s="6" t="str">
        <f aca="false">ROUND(69*1,0)&amp;"%"</f>
        <v>69%</v>
      </c>
    </row>
    <row r="188" customFormat="false" ht="15" hidden="false" customHeight="false" outlineLevel="0" collapsed="false">
      <c r="A188" s="5" t="s">
        <v>3431</v>
      </c>
      <c r="B188" s="5" t="s">
        <v>318</v>
      </c>
      <c r="C188" s="5" t="s">
        <v>57</v>
      </c>
      <c r="D188" s="5" t="s">
        <v>28</v>
      </c>
      <c r="E188" s="5" t="n">
        <f aca="false">ROUND(4437*1.05,2)</f>
        <v>4658.85</v>
      </c>
      <c r="F188" s="5" t="s">
        <v>29</v>
      </c>
      <c r="G188" s="5" t="s">
        <v>30</v>
      </c>
      <c r="H188" s="5" t="n">
        <f aca="true">ROUND(RAND()*4+6,1)</f>
        <v>8.6</v>
      </c>
      <c r="I188" s="5" t="s">
        <v>31</v>
      </c>
      <c r="J188" s="5" t="str">
        <f aca="false">ROUND(84*1,0)&amp;"%"</f>
        <v>84%</v>
      </c>
    </row>
    <row r="189" customFormat="false" ht="15" hidden="false" customHeight="false" outlineLevel="0" collapsed="false">
      <c r="A189" s="6" t="s">
        <v>3432</v>
      </c>
      <c r="B189" s="6" t="s">
        <v>320</v>
      </c>
      <c r="C189" s="6" t="s">
        <v>57</v>
      </c>
      <c r="D189" s="6" t="s">
        <v>34</v>
      </c>
      <c r="E189" s="6" t="n">
        <f aca="false">ROUND(12880*1.05,2)</f>
        <v>13524</v>
      </c>
      <c r="F189" s="6" t="s">
        <v>35</v>
      </c>
      <c r="G189" s="6" t="s">
        <v>18</v>
      </c>
      <c r="H189" s="6" t="n">
        <f aca="true">ROUND(RAND()*4+6,1)</f>
        <v>6.5</v>
      </c>
      <c r="I189" s="6" t="s">
        <v>36</v>
      </c>
      <c r="J189" s="6" t="str">
        <f aca="false">ROUND(92*1,0)&amp;"%"</f>
        <v>92%</v>
      </c>
    </row>
    <row r="190" customFormat="false" ht="15" hidden="false" customHeight="false" outlineLevel="0" collapsed="false">
      <c r="A190" s="5" t="s">
        <v>3433</v>
      </c>
      <c r="B190" s="5" t="s">
        <v>322</v>
      </c>
      <c r="C190" s="5" t="s">
        <v>57</v>
      </c>
      <c r="D190" s="5" t="s">
        <v>39</v>
      </c>
      <c r="E190" s="5" t="n">
        <f aca="false">ROUND(17821*1.05,2)</f>
        <v>18712.05</v>
      </c>
      <c r="F190" s="5" t="s">
        <v>40</v>
      </c>
      <c r="G190" s="5" t="s">
        <v>24</v>
      </c>
      <c r="H190" s="5" t="n">
        <f aca="true">ROUND(RAND()*4+6,1)</f>
        <v>8</v>
      </c>
      <c r="I190" s="5" t="s">
        <v>41</v>
      </c>
      <c r="J190" s="5" t="str">
        <f aca="false">ROUND(92*1,0)&amp;"%"</f>
        <v>92%</v>
      </c>
    </row>
    <row r="191" customFormat="false" ht="15" hidden="false" customHeight="false" outlineLevel="0" collapsed="false">
      <c r="A191" s="6" t="s">
        <v>3434</v>
      </c>
      <c r="B191" s="6" t="s">
        <v>324</v>
      </c>
      <c r="C191" s="6" t="s">
        <v>57</v>
      </c>
      <c r="D191" s="6" t="s">
        <v>44</v>
      </c>
      <c r="E191" s="6" t="n">
        <f aca="false">ROUND(6943*1.05,2)</f>
        <v>7290.15</v>
      </c>
      <c r="F191" s="6" t="s">
        <v>45</v>
      </c>
      <c r="G191" s="6" t="s">
        <v>30</v>
      </c>
      <c r="H191" s="6" t="n">
        <f aca="true">ROUND(RAND()*4+6,1)</f>
        <v>9.9</v>
      </c>
      <c r="I191" s="6" t="s">
        <v>46</v>
      </c>
      <c r="J191" s="6" t="str">
        <f aca="false">ROUND(86*1,0)&amp;"%"</f>
        <v>86%</v>
      </c>
    </row>
    <row r="192" customFormat="false" ht="15" hidden="false" customHeight="false" outlineLevel="0" collapsed="false">
      <c r="A192" s="5" t="s">
        <v>3435</v>
      </c>
      <c r="B192" s="5" t="s">
        <v>326</v>
      </c>
      <c r="C192" s="5" t="s">
        <v>57</v>
      </c>
      <c r="D192" s="5" t="s">
        <v>16</v>
      </c>
      <c r="E192" s="5" t="n">
        <f aca="false">ROUND(15823*1.05,2)</f>
        <v>16614.15</v>
      </c>
      <c r="F192" s="5" t="s">
        <v>49</v>
      </c>
      <c r="G192" s="5" t="s">
        <v>18</v>
      </c>
      <c r="H192" s="5" t="n">
        <f aca="true">ROUND(RAND()*4+6,1)</f>
        <v>8.6</v>
      </c>
      <c r="I192" s="5" t="s">
        <v>19</v>
      </c>
      <c r="J192" s="5" t="str">
        <f aca="false">ROUND(77*1,0)&amp;"%"</f>
        <v>77%</v>
      </c>
    </row>
    <row r="193" customFormat="false" ht="15" hidden="false" customHeight="false" outlineLevel="0" collapsed="false">
      <c r="A193" s="6" t="s">
        <v>3436</v>
      </c>
      <c r="B193" s="6" t="s">
        <v>328</v>
      </c>
      <c r="C193" s="6" t="s">
        <v>57</v>
      </c>
      <c r="D193" s="6" t="s">
        <v>22</v>
      </c>
      <c r="E193" s="6" t="n">
        <f aca="false">ROUND(9104*1.05,2)</f>
        <v>9559.2</v>
      </c>
      <c r="F193" s="6" t="s">
        <v>52</v>
      </c>
      <c r="G193" s="6" t="s">
        <v>24</v>
      </c>
      <c r="H193" s="6" t="n">
        <f aca="true">ROUND(RAND()*4+6,1)</f>
        <v>6.8</v>
      </c>
      <c r="I193" s="6" t="s">
        <v>25</v>
      </c>
      <c r="J193" s="6" t="str">
        <f aca="false">ROUND(100*1,0)&amp;"%"</f>
        <v>100%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3437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3438</v>
      </c>
      <c r="B198" s="5" t="s">
        <v>332</v>
      </c>
      <c r="C198" s="5" t="s">
        <v>76</v>
      </c>
      <c r="D198" s="5" t="s">
        <v>16</v>
      </c>
      <c r="E198" s="5" t="n">
        <f aca="false">ROUND(8665*1.05,2)</f>
        <v>9098.25</v>
      </c>
      <c r="F198" s="5" t="s">
        <v>17</v>
      </c>
      <c r="G198" s="5" t="s">
        <v>18</v>
      </c>
      <c r="H198" s="5" t="n">
        <f aca="true">ROUND(RAND()*4+6,1)</f>
        <v>6.3</v>
      </c>
      <c r="I198" s="5" t="s">
        <v>19</v>
      </c>
      <c r="J198" s="5" t="str">
        <f aca="false">ROUND(68*1,0)&amp;"%"</f>
        <v>68%</v>
      </c>
    </row>
    <row r="199" customFormat="false" ht="15" hidden="false" customHeight="false" outlineLevel="0" collapsed="false">
      <c r="A199" s="6" t="s">
        <v>3439</v>
      </c>
      <c r="B199" s="6" t="s">
        <v>334</v>
      </c>
      <c r="C199" s="6" t="s">
        <v>76</v>
      </c>
      <c r="D199" s="6" t="s">
        <v>22</v>
      </c>
      <c r="E199" s="6" t="n">
        <f aca="false">ROUND(12017*1.05,2)</f>
        <v>12617.85</v>
      </c>
      <c r="F199" s="6" t="s">
        <v>23</v>
      </c>
      <c r="G199" s="6" t="s">
        <v>24</v>
      </c>
      <c r="H199" s="6" t="n">
        <f aca="true">ROUND(RAND()*4+6,1)</f>
        <v>9</v>
      </c>
      <c r="I199" s="6" t="s">
        <v>25</v>
      </c>
      <c r="J199" s="6" t="str">
        <f aca="false">ROUND(74*1,0)&amp;"%"</f>
        <v>74%</v>
      </c>
    </row>
    <row r="200" customFormat="false" ht="15" hidden="false" customHeight="false" outlineLevel="0" collapsed="false">
      <c r="A200" s="5" t="s">
        <v>3440</v>
      </c>
      <c r="B200" s="5" t="s">
        <v>336</v>
      </c>
      <c r="C200" s="5" t="s">
        <v>76</v>
      </c>
      <c r="D200" s="5" t="s">
        <v>28</v>
      </c>
      <c r="E200" s="5" t="n">
        <f aca="false">ROUND(13195*1.05,2)</f>
        <v>13854.75</v>
      </c>
      <c r="F200" s="5" t="s">
        <v>29</v>
      </c>
      <c r="G200" s="5" t="s">
        <v>30</v>
      </c>
      <c r="H200" s="5" t="n">
        <f aca="true">ROUND(RAND()*4+6,1)</f>
        <v>9.2</v>
      </c>
      <c r="I200" s="5" t="s">
        <v>31</v>
      </c>
      <c r="J200" s="5" t="str">
        <f aca="false">ROUND(87*1,0)&amp;"%"</f>
        <v>87%</v>
      </c>
    </row>
    <row r="201" customFormat="false" ht="15" hidden="false" customHeight="false" outlineLevel="0" collapsed="false">
      <c r="A201" s="6" t="s">
        <v>3441</v>
      </c>
      <c r="B201" s="6" t="s">
        <v>338</v>
      </c>
      <c r="C201" s="6" t="s">
        <v>76</v>
      </c>
      <c r="D201" s="6" t="s">
        <v>34</v>
      </c>
      <c r="E201" s="6" t="n">
        <f aca="false">ROUND(9518*1.05,2)</f>
        <v>9993.9</v>
      </c>
      <c r="F201" s="6" t="s">
        <v>35</v>
      </c>
      <c r="G201" s="6" t="s">
        <v>18</v>
      </c>
      <c r="H201" s="6" t="n">
        <f aca="true">ROUND(RAND()*4+6,1)</f>
        <v>7.9</v>
      </c>
      <c r="I201" s="6" t="s">
        <v>36</v>
      </c>
      <c r="J201" s="6" t="str">
        <f aca="false">ROUND(85*1,0)&amp;"%"</f>
        <v>85%</v>
      </c>
    </row>
    <row r="202" customFormat="false" ht="15" hidden="false" customHeight="false" outlineLevel="0" collapsed="false">
      <c r="A202" s="5" t="s">
        <v>3442</v>
      </c>
      <c r="B202" s="5" t="s">
        <v>340</v>
      </c>
      <c r="C202" s="5" t="s">
        <v>76</v>
      </c>
      <c r="D202" s="5" t="s">
        <v>39</v>
      </c>
      <c r="E202" s="5" t="n">
        <f aca="false">ROUND(15156*1.05,2)</f>
        <v>15913.8</v>
      </c>
      <c r="F202" s="5" t="s">
        <v>40</v>
      </c>
      <c r="G202" s="5" t="s">
        <v>24</v>
      </c>
      <c r="H202" s="5" t="n">
        <f aca="true">ROUND(RAND()*4+6,1)</f>
        <v>9.7</v>
      </c>
      <c r="I202" s="5" t="s">
        <v>41</v>
      </c>
      <c r="J202" s="5" t="str">
        <f aca="false">ROUND(93*1,0)&amp;"%"</f>
        <v>93%</v>
      </c>
    </row>
    <row r="203" customFormat="false" ht="15" hidden="false" customHeight="false" outlineLevel="0" collapsed="false">
      <c r="A203" s="6" t="s">
        <v>3443</v>
      </c>
      <c r="B203" s="6" t="s">
        <v>342</v>
      </c>
      <c r="C203" s="6" t="s">
        <v>76</v>
      </c>
      <c r="D203" s="6" t="s">
        <v>44</v>
      </c>
      <c r="E203" s="6" t="n">
        <f aca="false">ROUND(5596*1.05,2)</f>
        <v>5875.8</v>
      </c>
      <c r="F203" s="6" t="s">
        <v>45</v>
      </c>
      <c r="G203" s="6" t="s">
        <v>30</v>
      </c>
      <c r="H203" s="6" t="n">
        <f aca="true">ROUND(RAND()*4+6,1)</f>
        <v>9.1</v>
      </c>
      <c r="I203" s="6" t="s">
        <v>46</v>
      </c>
      <c r="J203" s="6" t="str">
        <f aca="false">ROUND(74*1,0)&amp;"%"</f>
        <v>74%</v>
      </c>
    </row>
    <row r="204" customFormat="false" ht="15" hidden="false" customHeight="false" outlineLevel="0" collapsed="false">
      <c r="A204" s="5" t="s">
        <v>3444</v>
      </c>
      <c r="B204" s="5" t="s">
        <v>344</v>
      </c>
      <c r="C204" s="5" t="s">
        <v>76</v>
      </c>
      <c r="D204" s="5" t="s">
        <v>16</v>
      </c>
      <c r="E204" s="5" t="n">
        <f aca="false">ROUND(16410*1.05,2)</f>
        <v>17230.5</v>
      </c>
      <c r="F204" s="5" t="s">
        <v>49</v>
      </c>
      <c r="G204" s="5" t="s">
        <v>18</v>
      </c>
      <c r="H204" s="5" t="n">
        <f aca="true">ROUND(RAND()*4+6,1)</f>
        <v>6.5</v>
      </c>
      <c r="I204" s="5" t="s">
        <v>19</v>
      </c>
      <c r="J204" s="5" t="str">
        <f aca="false">ROUND(100*1,0)&amp;"%"</f>
        <v>100%</v>
      </c>
    </row>
    <row r="205" customFormat="false" ht="15" hidden="false" customHeight="false" outlineLevel="0" collapsed="false">
      <c r="A205" s="6" t="s">
        <v>3445</v>
      </c>
      <c r="B205" s="6" t="s">
        <v>346</v>
      </c>
      <c r="C205" s="6" t="s">
        <v>76</v>
      </c>
      <c r="D205" s="6" t="s">
        <v>22</v>
      </c>
      <c r="E205" s="6" t="n">
        <f aca="false">ROUND(9094*1.05,2)</f>
        <v>9548.7</v>
      </c>
      <c r="F205" s="6" t="s">
        <v>52</v>
      </c>
      <c r="G205" s="6" t="s">
        <v>24</v>
      </c>
      <c r="H205" s="6" t="n">
        <f aca="true">ROUND(RAND()*4+6,1)</f>
        <v>7.4</v>
      </c>
      <c r="I205" s="6" t="s">
        <v>25</v>
      </c>
      <c r="J205" s="6" t="str">
        <f aca="false">ROUND(83*1,0)&amp;"%"</f>
        <v>83%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3446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3447</v>
      </c>
      <c r="B210" s="5" t="s">
        <v>350</v>
      </c>
      <c r="C210" s="5" t="s">
        <v>95</v>
      </c>
      <c r="D210" s="5" t="s">
        <v>16</v>
      </c>
      <c r="E210" s="5" t="n">
        <f aca="false">ROUND(9347*1.05,2)</f>
        <v>9814.35</v>
      </c>
      <c r="F210" s="5" t="s">
        <v>17</v>
      </c>
      <c r="G210" s="5" t="s">
        <v>18</v>
      </c>
      <c r="H210" s="5" t="n">
        <f aca="true">ROUND(RAND()*4+6,1)</f>
        <v>8</v>
      </c>
      <c r="I210" s="5" t="s">
        <v>19</v>
      </c>
      <c r="J210" s="5" t="str">
        <f aca="false">ROUND(91*1,0)&amp;"%"</f>
        <v>91%</v>
      </c>
    </row>
    <row r="211" customFormat="false" ht="15" hidden="false" customHeight="false" outlineLevel="0" collapsed="false">
      <c r="A211" s="6" t="s">
        <v>3448</v>
      </c>
      <c r="B211" s="6" t="s">
        <v>352</v>
      </c>
      <c r="C211" s="6" t="s">
        <v>95</v>
      </c>
      <c r="D211" s="6" t="s">
        <v>22</v>
      </c>
      <c r="E211" s="6" t="n">
        <f aca="false">ROUND(6342*1.05,2)</f>
        <v>6659.1</v>
      </c>
      <c r="F211" s="6" t="s">
        <v>23</v>
      </c>
      <c r="G211" s="6" t="s">
        <v>24</v>
      </c>
      <c r="H211" s="6" t="n">
        <f aca="true">ROUND(RAND()*4+6,1)</f>
        <v>8.6</v>
      </c>
      <c r="I211" s="6" t="s">
        <v>25</v>
      </c>
      <c r="J211" s="6" t="str">
        <f aca="false">ROUND(91*1,0)&amp;"%"</f>
        <v>91%</v>
      </c>
    </row>
    <row r="212" customFormat="false" ht="15" hidden="false" customHeight="false" outlineLevel="0" collapsed="false">
      <c r="A212" s="5" t="s">
        <v>3449</v>
      </c>
      <c r="B212" s="5" t="s">
        <v>354</v>
      </c>
      <c r="C212" s="5" t="s">
        <v>95</v>
      </c>
      <c r="D212" s="5" t="s">
        <v>28</v>
      </c>
      <c r="E212" s="5" t="n">
        <f aca="false">ROUND(15975*1.05,2)</f>
        <v>16773.75</v>
      </c>
      <c r="F212" s="5" t="s">
        <v>29</v>
      </c>
      <c r="G212" s="5" t="s">
        <v>30</v>
      </c>
      <c r="H212" s="5" t="n">
        <f aca="true">ROUND(RAND()*4+6,1)</f>
        <v>10</v>
      </c>
      <c r="I212" s="5" t="s">
        <v>31</v>
      </c>
      <c r="J212" s="5" t="str">
        <f aca="false">ROUND(93*1,0)&amp;"%"</f>
        <v>93%</v>
      </c>
    </row>
    <row r="213" customFormat="false" ht="15" hidden="false" customHeight="false" outlineLevel="0" collapsed="false">
      <c r="A213" s="6" t="s">
        <v>3450</v>
      </c>
      <c r="B213" s="6" t="s">
        <v>356</v>
      </c>
      <c r="C213" s="6" t="s">
        <v>95</v>
      </c>
      <c r="D213" s="6" t="s">
        <v>34</v>
      </c>
      <c r="E213" s="6" t="n">
        <f aca="false">ROUND(12479*1.05,2)</f>
        <v>13102.95</v>
      </c>
      <c r="F213" s="6" t="s">
        <v>35</v>
      </c>
      <c r="G213" s="6" t="s">
        <v>18</v>
      </c>
      <c r="H213" s="6" t="n">
        <f aca="true">ROUND(RAND()*4+6,1)</f>
        <v>9.2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3451</v>
      </c>
      <c r="B214" s="5" t="s">
        <v>358</v>
      </c>
      <c r="C214" s="5" t="s">
        <v>95</v>
      </c>
      <c r="D214" s="5" t="s">
        <v>39</v>
      </c>
      <c r="E214" s="5" t="n">
        <f aca="false">ROUND(4322*1.05,2)</f>
        <v>4538.1</v>
      </c>
      <c r="F214" s="5" t="s">
        <v>40</v>
      </c>
      <c r="G214" s="5" t="s">
        <v>24</v>
      </c>
      <c r="H214" s="5" t="n">
        <f aca="true">ROUND(RAND()*4+6,1)</f>
        <v>7.9</v>
      </c>
      <c r="I214" s="5" t="s">
        <v>41</v>
      </c>
      <c r="J214" s="5" t="str">
        <f aca="false">ROUND(100*1,0)&amp;"%"</f>
        <v>100%</v>
      </c>
    </row>
    <row r="215" customFormat="false" ht="15" hidden="false" customHeight="false" outlineLevel="0" collapsed="false">
      <c r="A215" s="6" t="s">
        <v>3452</v>
      </c>
      <c r="B215" s="6" t="s">
        <v>360</v>
      </c>
      <c r="C215" s="6" t="s">
        <v>95</v>
      </c>
      <c r="D215" s="6" t="s">
        <v>44</v>
      </c>
      <c r="E215" s="6" t="n">
        <f aca="false">ROUND(4658*1.05,2)</f>
        <v>4890.9</v>
      </c>
      <c r="F215" s="6" t="s">
        <v>45</v>
      </c>
      <c r="G215" s="6" t="s">
        <v>30</v>
      </c>
      <c r="H215" s="6" t="n">
        <f aca="true">ROUND(RAND()*4+6,1)</f>
        <v>7.2</v>
      </c>
      <c r="I215" s="6" t="s">
        <v>46</v>
      </c>
      <c r="J215" s="6" t="str">
        <f aca="false">ROUND(72*1,0)&amp;"%"</f>
        <v>72%</v>
      </c>
    </row>
    <row r="216" customFormat="false" ht="15" hidden="false" customHeight="false" outlineLevel="0" collapsed="false">
      <c r="A216" s="5" t="s">
        <v>3453</v>
      </c>
      <c r="B216" s="5" t="s">
        <v>362</v>
      </c>
      <c r="C216" s="5" t="s">
        <v>95</v>
      </c>
      <c r="D216" s="5" t="s">
        <v>16</v>
      </c>
      <c r="E216" s="5" t="n">
        <f aca="false">ROUND(16949*1.05,2)</f>
        <v>17796.45</v>
      </c>
      <c r="F216" s="5" t="s">
        <v>49</v>
      </c>
      <c r="G216" s="5" t="s">
        <v>18</v>
      </c>
      <c r="H216" s="5" t="n">
        <f aca="true">ROUND(RAND()*4+6,1)</f>
        <v>9.5</v>
      </c>
      <c r="I216" s="5" t="s">
        <v>19</v>
      </c>
      <c r="J216" s="5" t="str">
        <f aca="false">ROUND(61*1,0)&amp;"%"</f>
        <v>61%</v>
      </c>
    </row>
    <row r="217" customFormat="false" ht="15" hidden="false" customHeight="false" outlineLevel="0" collapsed="false">
      <c r="A217" s="6" t="s">
        <v>3454</v>
      </c>
      <c r="B217" s="6" t="s">
        <v>364</v>
      </c>
      <c r="C217" s="6" t="s">
        <v>95</v>
      </c>
      <c r="D217" s="6" t="s">
        <v>22</v>
      </c>
      <c r="E217" s="6" t="n">
        <f aca="false">ROUND(5500*1.05,2)</f>
        <v>5775</v>
      </c>
      <c r="F217" s="6" t="s">
        <v>52</v>
      </c>
      <c r="G217" s="6" t="s">
        <v>24</v>
      </c>
      <c r="H217" s="6" t="n">
        <f aca="true">ROUND(RAND()*4+6,1)</f>
        <v>6.4</v>
      </c>
      <c r="I217" s="6" t="s">
        <v>25</v>
      </c>
      <c r="J217" s="6" t="str">
        <f aca="false">ROUND(63*1,0)&amp;"%"</f>
        <v>63%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3455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3456</v>
      </c>
      <c r="B222" s="5" t="s">
        <v>368</v>
      </c>
      <c r="C222" s="5" t="s">
        <v>114</v>
      </c>
      <c r="D222" s="5" t="s">
        <v>16</v>
      </c>
      <c r="E222" s="5" t="n">
        <f aca="false">ROUND(14388*1.05,2)</f>
        <v>15107.4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ROUND(95*1,0)&amp;"%"</f>
        <v>95%</v>
      </c>
    </row>
    <row r="223" customFormat="false" ht="15" hidden="false" customHeight="false" outlineLevel="0" collapsed="false">
      <c r="A223" s="6" t="s">
        <v>3457</v>
      </c>
      <c r="B223" s="6" t="s">
        <v>370</v>
      </c>
      <c r="C223" s="6" t="s">
        <v>114</v>
      </c>
      <c r="D223" s="6" t="s">
        <v>22</v>
      </c>
      <c r="E223" s="6" t="n">
        <f aca="false">ROUND(4015*1.05,2)</f>
        <v>4215.75</v>
      </c>
      <c r="F223" s="6" t="s">
        <v>23</v>
      </c>
      <c r="G223" s="6" t="s">
        <v>24</v>
      </c>
      <c r="H223" s="6" t="n">
        <f aca="true">ROUND(RAND()*4+6,1)</f>
        <v>6.2</v>
      </c>
      <c r="I223" s="6" t="s">
        <v>25</v>
      </c>
      <c r="J223" s="6" t="str">
        <f aca="false">ROUND(91*1,0)&amp;"%"</f>
        <v>91%</v>
      </c>
    </row>
    <row r="224" customFormat="false" ht="15" hidden="false" customHeight="false" outlineLevel="0" collapsed="false">
      <c r="A224" s="5" t="s">
        <v>3458</v>
      </c>
      <c r="B224" s="5" t="s">
        <v>372</v>
      </c>
      <c r="C224" s="5" t="s">
        <v>114</v>
      </c>
      <c r="D224" s="5" t="s">
        <v>28</v>
      </c>
      <c r="E224" s="5" t="n">
        <f aca="false">ROUND(5276*1.05,2)</f>
        <v>5539.8</v>
      </c>
      <c r="F224" s="5" t="s">
        <v>29</v>
      </c>
      <c r="G224" s="5" t="s">
        <v>30</v>
      </c>
      <c r="H224" s="5" t="n">
        <f aca="true">ROUND(RAND()*4+6,1)</f>
        <v>8.1</v>
      </c>
      <c r="I224" s="5" t="s">
        <v>31</v>
      </c>
      <c r="J224" s="5" t="str">
        <f aca="false">ROUND(79*1,0)&amp;"%"</f>
        <v>79%</v>
      </c>
    </row>
    <row r="225" customFormat="false" ht="15" hidden="false" customHeight="false" outlineLevel="0" collapsed="false">
      <c r="A225" s="6" t="s">
        <v>3459</v>
      </c>
      <c r="B225" s="6" t="s">
        <v>374</v>
      </c>
      <c r="C225" s="6" t="s">
        <v>114</v>
      </c>
      <c r="D225" s="6" t="s">
        <v>34</v>
      </c>
      <c r="E225" s="6" t="n">
        <f aca="false">ROUND(7903*1.05,2)</f>
        <v>8298.15</v>
      </c>
      <c r="F225" s="6" t="s">
        <v>35</v>
      </c>
      <c r="G225" s="6" t="s">
        <v>18</v>
      </c>
      <c r="H225" s="6" t="n">
        <f aca="true">ROUND(RAND()*4+6,1)</f>
        <v>6.2</v>
      </c>
      <c r="I225" s="6" t="s">
        <v>36</v>
      </c>
      <c r="J225" s="6" t="str">
        <f aca="false">ROUND(92*1,0)&amp;"%"</f>
        <v>92%</v>
      </c>
    </row>
    <row r="226" customFormat="false" ht="15" hidden="false" customHeight="false" outlineLevel="0" collapsed="false">
      <c r="A226" s="5" t="s">
        <v>3460</v>
      </c>
      <c r="B226" s="5" t="s">
        <v>376</v>
      </c>
      <c r="C226" s="5" t="s">
        <v>114</v>
      </c>
      <c r="D226" s="5" t="s">
        <v>39</v>
      </c>
      <c r="E226" s="5" t="n">
        <f aca="false">ROUND(7971*1.05,2)</f>
        <v>8369.55</v>
      </c>
      <c r="F226" s="5" t="s">
        <v>40</v>
      </c>
      <c r="G226" s="5" t="s">
        <v>24</v>
      </c>
      <c r="H226" s="5" t="n">
        <f aca="true">ROUND(RAND()*4+6,1)</f>
        <v>8.5</v>
      </c>
      <c r="I226" s="5" t="s">
        <v>41</v>
      </c>
      <c r="J226" s="5" t="str">
        <f aca="false">ROUND(94*1,0)&amp;"%"</f>
        <v>94%</v>
      </c>
    </row>
    <row r="227" customFormat="false" ht="15" hidden="false" customHeight="false" outlineLevel="0" collapsed="false">
      <c r="A227" s="6" t="s">
        <v>3461</v>
      </c>
      <c r="B227" s="6" t="s">
        <v>378</v>
      </c>
      <c r="C227" s="6" t="s">
        <v>114</v>
      </c>
      <c r="D227" s="6" t="s">
        <v>44</v>
      </c>
      <c r="E227" s="6" t="n">
        <f aca="false">ROUND(16331*1.05,2)</f>
        <v>17147.55</v>
      </c>
      <c r="F227" s="6" t="s">
        <v>45</v>
      </c>
      <c r="G227" s="6" t="s">
        <v>30</v>
      </c>
      <c r="H227" s="6" t="n">
        <f aca="true">ROUND(RAND()*4+6,1)</f>
        <v>6.1</v>
      </c>
      <c r="I227" s="6" t="s">
        <v>46</v>
      </c>
      <c r="J227" s="6" t="str">
        <f aca="false">ROUND(84*1,0)&amp;"%"</f>
        <v>84%</v>
      </c>
    </row>
    <row r="228" customFormat="false" ht="15" hidden="false" customHeight="false" outlineLevel="0" collapsed="false">
      <c r="A228" s="5" t="s">
        <v>3462</v>
      </c>
      <c r="B228" s="5" t="s">
        <v>380</v>
      </c>
      <c r="C228" s="5" t="s">
        <v>114</v>
      </c>
      <c r="D228" s="5" t="s">
        <v>16</v>
      </c>
      <c r="E228" s="5" t="n">
        <f aca="false">ROUND(14399*1.05,2)</f>
        <v>15118.95</v>
      </c>
      <c r="F228" s="5" t="s">
        <v>49</v>
      </c>
      <c r="G228" s="5" t="s">
        <v>18</v>
      </c>
      <c r="H228" s="5" t="n">
        <f aca="true">ROUND(RAND()*4+6,1)</f>
        <v>6.4</v>
      </c>
      <c r="I228" s="5" t="s">
        <v>19</v>
      </c>
      <c r="J228" s="5" t="str">
        <f aca="false">ROUND(78*1,0)&amp;"%"</f>
        <v>78%</v>
      </c>
    </row>
    <row r="229" customFormat="false" ht="15" hidden="false" customHeight="false" outlineLevel="0" collapsed="false">
      <c r="A229" s="6" t="s">
        <v>3463</v>
      </c>
      <c r="B229" s="6" t="s">
        <v>382</v>
      </c>
      <c r="C229" s="6" t="s">
        <v>114</v>
      </c>
      <c r="D229" s="6" t="s">
        <v>22</v>
      </c>
      <c r="E229" s="6" t="n">
        <f aca="false">ROUND(5168*1.05,2)</f>
        <v>5426.4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ROUND(80*1,0)&amp;"%"</f>
        <v>80%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3464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3465</v>
      </c>
      <c r="B234" s="5" t="s">
        <v>386</v>
      </c>
      <c r="C234" s="5" t="s">
        <v>133</v>
      </c>
      <c r="D234" s="5" t="s">
        <v>16</v>
      </c>
      <c r="E234" s="5" t="n">
        <f aca="false">ROUND(9426*1.05,2)</f>
        <v>9897.3</v>
      </c>
      <c r="F234" s="5" t="s">
        <v>17</v>
      </c>
      <c r="G234" s="5" t="s">
        <v>18</v>
      </c>
      <c r="H234" s="5" t="n">
        <f aca="true">ROUND(RAND()*4+6,1)</f>
        <v>10</v>
      </c>
      <c r="I234" s="5" t="s">
        <v>19</v>
      </c>
      <c r="J234" s="5" t="str">
        <f aca="false">ROUND(73*1,0)&amp;"%"</f>
        <v>73%</v>
      </c>
    </row>
    <row r="235" customFormat="false" ht="15" hidden="false" customHeight="false" outlineLevel="0" collapsed="false">
      <c r="A235" s="6" t="s">
        <v>3466</v>
      </c>
      <c r="B235" s="6" t="s">
        <v>388</v>
      </c>
      <c r="C235" s="6" t="s">
        <v>133</v>
      </c>
      <c r="D235" s="6" t="s">
        <v>22</v>
      </c>
      <c r="E235" s="6" t="n">
        <f aca="false">ROUND(16472*1.05,2)</f>
        <v>17295.6</v>
      </c>
      <c r="F235" s="6" t="s">
        <v>23</v>
      </c>
      <c r="G235" s="6" t="s">
        <v>24</v>
      </c>
      <c r="H235" s="6" t="n">
        <f aca="true">ROUND(RAND()*4+6,1)</f>
        <v>8.3</v>
      </c>
      <c r="I235" s="6" t="s">
        <v>25</v>
      </c>
      <c r="J235" s="6" t="str">
        <f aca="false">ROUND(91*1,0)&amp;"%"</f>
        <v>91%</v>
      </c>
    </row>
    <row r="236" customFormat="false" ht="15" hidden="false" customHeight="false" outlineLevel="0" collapsed="false">
      <c r="A236" s="5" t="s">
        <v>3467</v>
      </c>
      <c r="B236" s="5" t="s">
        <v>390</v>
      </c>
      <c r="C236" s="5" t="s">
        <v>133</v>
      </c>
      <c r="D236" s="5" t="s">
        <v>28</v>
      </c>
      <c r="E236" s="5" t="n">
        <f aca="false">ROUND(13491*1.05,2)</f>
        <v>14165.55</v>
      </c>
      <c r="F236" s="5" t="s">
        <v>29</v>
      </c>
      <c r="G236" s="5" t="s">
        <v>30</v>
      </c>
      <c r="H236" s="5" t="n">
        <f aca="true">ROUND(RAND()*4+6,1)</f>
        <v>7.8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3468</v>
      </c>
      <c r="B237" s="6" t="s">
        <v>392</v>
      </c>
      <c r="C237" s="6" t="s">
        <v>133</v>
      </c>
      <c r="D237" s="6" t="s">
        <v>34</v>
      </c>
      <c r="E237" s="6" t="n">
        <f aca="false">ROUND(7120*1.05,2)</f>
        <v>7476</v>
      </c>
      <c r="F237" s="6" t="s">
        <v>35</v>
      </c>
      <c r="G237" s="6" t="s">
        <v>18</v>
      </c>
      <c r="H237" s="6" t="n">
        <f aca="true">ROUND(RAND()*4+6,1)</f>
        <v>6.4</v>
      </c>
      <c r="I237" s="6" t="s">
        <v>36</v>
      </c>
      <c r="J237" s="6" t="str">
        <f aca="false">ROUND(95*1,0)&amp;"%"</f>
        <v>95%</v>
      </c>
    </row>
    <row r="238" customFormat="false" ht="15" hidden="false" customHeight="false" outlineLevel="0" collapsed="false">
      <c r="A238" s="5" t="s">
        <v>3469</v>
      </c>
      <c r="B238" s="5" t="s">
        <v>394</v>
      </c>
      <c r="C238" s="5" t="s">
        <v>133</v>
      </c>
      <c r="D238" s="5" t="s">
        <v>39</v>
      </c>
      <c r="E238" s="5" t="n">
        <f aca="false">ROUND(10147*1.05,2)</f>
        <v>10654.35</v>
      </c>
      <c r="F238" s="5" t="s">
        <v>40</v>
      </c>
      <c r="G238" s="5" t="s">
        <v>24</v>
      </c>
      <c r="H238" s="5" t="n">
        <f aca="true">ROUND(RAND()*4+6,1)</f>
        <v>7.8</v>
      </c>
      <c r="I238" s="5" t="s">
        <v>41</v>
      </c>
      <c r="J238" s="5" t="str">
        <f aca="false">ROUND(61*1,0)&amp;"%"</f>
        <v>61%</v>
      </c>
    </row>
    <row r="239" customFormat="false" ht="15" hidden="false" customHeight="false" outlineLevel="0" collapsed="false">
      <c r="A239" s="6" t="s">
        <v>3470</v>
      </c>
      <c r="B239" s="6" t="s">
        <v>396</v>
      </c>
      <c r="C239" s="6" t="s">
        <v>133</v>
      </c>
      <c r="D239" s="6" t="s">
        <v>44</v>
      </c>
      <c r="E239" s="6" t="n">
        <f aca="false">ROUND(7505*1.05,2)</f>
        <v>7880.25</v>
      </c>
      <c r="F239" s="6" t="s">
        <v>45</v>
      </c>
      <c r="G239" s="6" t="s">
        <v>30</v>
      </c>
      <c r="H239" s="6" t="n">
        <f aca="true">ROUND(RAND()*4+6,1)</f>
        <v>7.5</v>
      </c>
      <c r="I239" s="6" t="s">
        <v>46</v>
      </c>
      <c r="J239" s="6" t="str">
        <f aca="false">ROUND(99*1,0)&amp;"%"</f>
        <v>99%</v>
      </c>
    </row>
    <row r="240" customFormat="false" ht="15" hidden="false" customHeight="false" outlineLevel="0" collapsed="false">
      <c r="A240" s="5" t="s">
        <v>3471</v>
      </c>
      <c r="B240" s="5" t="s">
        <v>398</v>
      </c>
      <c r="C240" s="5" t="s">
        <v>133</v>
      </c>
      <c r="D240" s="5" t="s">
        <v>16</v>
      </c>
      <c r="E240" s="5" t="n">
        <f aca="false">ROUND(4676*1.05,2)</f>
        <v>4909.8</v>
      </c>
      <c r="F240" s="5" t="s">
        <v>49</v>
      </c>
      <c r="G240" s="5" t="s">
        <v>18</v>
      </c>
      <c r="H240" s="5" t="n">
        <f aca="true">ROUND(RAND()*4+6,1)</f>
        <v>6.2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3472</v>
      </c>
      <c r="B241" s="6" t="s">
        <v>400</v>
      </c>
      <c r="C241" s="6" t="s">
        <v>133</v>
      </c>
      <c r="D241" s="6" t="s">
        <v>22</v>
      </c>
      <c r="E241" s="6" t="n">
        <f aca="false">ROUND(16386*1.05,2)</f>
        <v>17205.3</v>
      </c>
      <c r="F241" s="6" t="s">
        <v>52</v>
      </c>
      <c r="G241" s="6" t="s">
        <v>24</v>
      </c>
      <c r="H241" s="6" t="n">
        <f aca="true">ROUND(RAND()*4+6,1)</f>
        <v>9.5</v>
      </c>
      <c r="I241" s="6" t="s">
        <v>25</v>
      </c>
      <c r="J241" s="6" t="str">
        <f aca="false">ROUND(70*1,0)&amp;"%"</f>
        <v>70%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3473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3474</v>
      </c>
      <c r="B246" s="5" t="s">
        <v>404</v>
      </c>
      <c r="C246" s="5" t="s">
        <v>152</v>
      </c>
      <c r="D246" s="5" t="s">
        <v>16</v>
      </c>
      <c r="E246" s="5" t="n">
        <f aca="false">ROUND(10698*1.05,2)</f>
        <v>11232.9</v>
      </c>
      <c r="F246" s="5" t="s">
        <v>17</v>
      </c>
      <c r="G246" s="5" t="s">
        <v>18</v>
      </c>
      <c r="H246" s="5" t="n">
        <f aca="true">ROUND(RAND()*4+6,1)</f>
        <v>7</v>
      </c>
      <c r="I246" s="5" t="s">
        <v>19</v>
      </c>
      <c r="J246" s="5" t="str">
        <f aca="false">ROUND(86*1,0)&amp;"%"</f>
        <v>86%</v>
      </c>
    </row>
    <row r="247" customFormat="false" ht="15" hidden="false" customHeight="false" outlineLevel="0" collapsed="false">
      <c r="A247" s="6" t="s">
        <v>3475</v>
      </c>
      <c r="B247" s="6" t="s">
        <v>406</v>
      </c>
      <c r="C247" s="6" t="s">
        <v>152</v>
      </c>
      <c r="D247" s="6" t="s">
        <v>22</v>
      </c>
      <c r="E247" s="6" t="n">
        <f aca="false">ROUND(4260*1.05,2)</f>
        <v>4473</v>
      </c>
      <c r="F247" s="6" t="s">
        <v>23</v>
      </c>
      <c r="G247" s="6" t="s">
        <v>24</v>
      </c>
      <c r="H247" s="6" t="n">
        <f aca="true">ROUND(RAND()*4+6,1)</f>
        <v>6.5</v>
      </c>
      <c r="I247" s="6" t="s">
        <v>25</v>
      </c>
      <c r="J247" s="6" t="str">
        <f aca="false">ROUND(89*1,0)&amp;"%"</f>
        <v>89%</v>
      </c>
    </row>
    <row r="248" customFormat="false" ht="15" hidden="false" customHeight="false" outlineLevel="0" collapsed="false">
      <c r="A248" s="5" t="s">
        <v>3476</v>
      </c>
      <c r="B248" s="5" t="s">
        <v>408</v>
      </c>
      <c r="C248" s="5" t="s">
        <v>152</v>
      </c>
      <c r="D248" s="5" t="s">
        <v>28</v>
      </c>
      <c r="E248" s="5" t="n">
        <f aca="false">ROUND(11470*1.05,2)</f>
        <v>12043.5</v>
      </c>
      <c r="F248" s="5" t="s">
        <v>29</v>
      </c>
      <c r="G248" s="5" t="s">
        <v>30</v>
      </c>
      <c r="H248" s="5" t="n">
        <f aca="true">ROUND(RAND()*4+6,1)</f>
        <v>9.1</v>
      </c>
      <c r="I248" s="5" t="s">
        <v>31</v>
      </c>
      <c r="J248" s="5" t="str">
        <f aca="false">ROUND(90*1,0)&amp;"%"</f>
        <v>90%</v>
      </c>
    </row>
    <row r="249" customFormat="false" ht="15" hidden="false" customHeight="false" outlineLevel="0" collapsed="false">
      <c r="A249" s="6" t="s">
        <v>3477</v>
      </c>
      <c r="B249" s="6" t="s">
        <v>410</v>
      </c>
      <c r="C249" s="6" t="s">
        <v>152</v>
      </c>
      <c r="D249" s="6" t="s">
        <v>34</v>
      </c>
      <c r="E249" s="6" t="n">
        <f aca="false">ROUND(10311*1.05,2)</f>
        <v>10826.55</v>
      </c>
      <c r="F249" s="6" t="s">
        <v>35</v>
      </c>
      <c r="G249" s="6" t="s">
        <v>18</v>
      </c>
      <c r="H249" s="6" t="n">
        <f aca="true">ROUND(RAND()*4+6,1)</f>
        <v>9.1</v>
      </c>
      <c r="I249" s="6" t="s">
        <v>36</v>
      </c>
      <c r="J249" s="6" t="str">
        <f aca="false">ROUND(69*1,0)&amp;"%"</f>
        <v>69%</v>
      </c>
    </row>
    <row r="250" customFormat="false" ht="15" hidden="false" customHeight="false" outlineLevel="0" collapsed="false">
      <c r="A250" s="5" t="s">
        <v>3478</v>
      </c>
      <c r="B250" s="5" t="s">
        <v>412</v>
      </c>
      <c r="C250" s="5" t="s">
        <v>152</v>
      </c>
      <c r="D250" s="5" t="s">
        <v>39</v>
      </c>
      <c r="E250" s="5" t="n">
        <f aca="false">ROUND(14759*1.05,2)</f>
        <v>15496.95</v>
      </c>
      <c r="F250" s="5" t="s">
        <v>40</v>
      </c>
      <c r="G250" s="5" t="s">
        <v>24</v>
      </c>
      <c r="H250" s="5" t="n">
        <f aca="true">ROUND(RAND()*4+6,1)</f>
        <v>6.3</v>
      </c>
      <c r="I250" s="5" t="s">
        <v>41</v>
      </c>
      <c r="J250" s="5" t="str">
        <f aca="false">ROUND(100*1,0)&amp;"%"</f>
        <v>100%</v>
      </c>
    </row>
    <row r="251" customFormat="false" ht="15" hidden="false" customHeight="false" outlineLevel="0" collapsed="false">
      <c r="A251" s="6" t="s">
        <v>3479</v>
      </c>
      <c r="B251" s="6" t="s">
        <v>414</v>
      </c>
      <c r="C251" s="6" t="s">
        <v>152</v>
      </c>
      <c r="D251" s="6" t="s">
        <v>44</v>
      </c>
      <c r="E251" s="6" t="n">
        <f aca="false">ROUND(12880*1.05,2)</f>
        <v>13524</v>
      </c>
      <c r="F251" s="6" t="s">
        <v>45</v>
      </c>
      <c r="G251" s="6" t="s">
        <v>30</v>
      </c>
      <c r="H251" s="6" t="n">
        <f aca="true">ROUND(RAND()*4+6,1)</f>
        <v>8.4</v>
      </c>
      <c r="I251" s="6" t="s">
        <v>46</v>
      </c>
      <c r="J251" s="6" t="str">
        <f aca="false">ROUND(65*1,0)&amp;"%"</f>
        <v>65%</v>
      </c>
    </row>
    <row r="252" customFormat="false" ht="15" hidden="false" customHeight="false" outlineLevel="0" collapsed="false">
      <c r="A252" s="5" t="s">
        <v>3480</v>
      </c>
      <c r="B252" s="5" t="s">
        <v>416</v>
      </c>
      <c r="C252" s="5" t="s">
        <v>152</v>
      </c>
      <c r="D252" s="5" t="s">
        <v>16</v>
      </c>
      <c r="E252" s="5" t="n">
        <f aca="false">ROUND(6815*1.05,2)</f>
        <v>7155.75</v>
      </c>
      <c r="F252" s="5" t="s">
        <v>49</v>
      </c>
      <c r="G252" s="5" t="s">
        <v>18</v>
      </c>
      <c r="H252" s="5" t="n">
        <f aca="true">ROUND(RAND()*4+6,1)</f>
        <v>8.7</v>
      </c>
      <c r="I252" s="5" t="s">
        <v>19</v>
      </c>
      <c r="J252" s="5" t="str">
        <f aca="false">ROUND(63*1,0)&amp;"%"</f>
        <v>63%</v>
      </c>
    </row>
    <row r="253" customFormat="false" ht="15" hidden="false" customHeight="false" outlineLevel="0" collapsed="false">
      <c r="A253" s="6" t="s">
        <v>3481</v>
      </c>
      <c r="B253" s="6" t="s">
        <v>418</v>
      </c>
      <c r="C253" s="6" t="s">
        <v>152</v>
      </c>
      <c r="D253" s="6" t="s">
        <v>22</v>
      </c>
      <c r="E253" s="6" t="n">
        <f aca="false">ROUND(7047*1.05,2)</f>
        <v>7399.35</v>
      </c>
      <c r="F253" s="6" t="s">
        <v>52</v>
      </c>
      <c r="G253" s="6" t="s">
        <v>24</v>
      </c>
      <c r="H253" s="6" t="n">
        <f aca="true">ROUND(RAND()*4+6,1)</f>
        <v>8.1</v>
      </c>
      <c r="I253" s="6" t="s">
        <v>25</v>
      </c>
      <c r="J253" s="6" t="str">
        <f aca="false">ROUND(98*1,0)&amp;"%"</f>
        <v>98%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3482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3483</v>
      </c>
      <c r="B258" s="5" t="s">
        <v>422</v>
      </c>
      <c r="C258" s="5" t="s">
        <v>15</v>
      </c>
      <c r="D258" s="5" t="s">
        <v>16</v>
      </c>
      <c r="E258" s="5" t="n">
        <f aca="false">ROUND(6416*1.05,2)</f>
        <v>6736.8</v>
      </c>
      <c r="F258" s="5" t="s">
        <v>17</v>
      </c>
      <c r="G258" s="5" t="s">
        <v>18</v>
      </c>
      <c r="H258" s="5" t="n">
        <f aca="true">ROUND(RAND()*4+6,1)</f>
        <v>9</v>
      </c>
      <c r="I258" s="5" t="s">
        <v>19</v>
      </c>
      <c r="J258" s="5" t="str">
        <f aca="false">ROUND(73*1,0)&amp;"%"</f>
        <v>73%</v>
      </c>
    </row>
    <row r="259" customFormat="false" ht="15" hidden="false" customHeight="false" outlineLevel="0" collapsed="false">
      <c r="A259" s="6" t="s">
        <v>3484</v>
      </c>
      <c r="B259" s="6" t="s">
        <v>424</v>
      </c>
      <c r="C259" s="6" t="s">
        <v>15</v>
      </c>
      <c r="D259" s="6" t="s">
        <v>22</v>
      </c>
      <c r="E259" s="6" t="n">
        <f aca="false">ROUND(9661*1.05,2)</f>
        <v>10144.05</v>
      </c>
      <c r="F259" s="6" t="s">
        <v>23</v>
      </c>
      <c r="G259" s="6" t="s">
        <v>24</v>
      </c>
      <c r="H259" s="6" t="n">
        <f aca="true">ROUND(RAND()*4+6,1)</f>
        <v>7.6</v>
      </c>
      <c r="I259" s="6" t="s">
        <v>25</v>
      </c>
      <c r="J259" s="6" t="str">
        <f aca="false">ROUND(76*1,0)&amp;"%"</f>
        <v>76%</v>
      </c>
    </row>
    <row r="260" customFormat="false" ht="15" hidden="false" customHeight="false" outlineLevel="0" collapsed="false">
      <c r="A260" s="5" t="s">
        <v>3485</v>
      </c>
      <c r="B260" s="5" t="s">
        <v>426</v>
      </c>
      <c r="C260" s="5" t="s">
        <v>15</v>
      </c>
      <c r="D260" s="5" t="s">
        <v>28</v>
      </c>
      <c r="E260" s="5" t="n">
        <f aca="false">ROUND(15938*1.05,2)</f>
        <v>16734.9</v>
      </c>
      <c r="F260" s="5" t="s">
        <v>29</v>
      </c>
      <c r="G260" s="5" t="s">
        <v>30</v>
      </c>
      <c r="H260" s="5" t="n">
        <f aca="true">ROUND(RAND()*4+6,1)</f>
        <v>6.3</v>
      </c>
      <c r="I260" s="5" t="s">
        <v>31</v>
      </c>
      <c r="J260" s="5" t="str">
        <f aca="false">ROUND(100*1,0)&amp;"%"</f>
        <v>100%</v>
      </c>
    </row>
    <row r="261" customFormat="false" ht="15" hidden="false" customHeight="false" outlineLevel="0" collapsed="false">
      <c r="A261" s="6" t="s">
        <v>3486</v>
      </c>
      <c r="B261" s="6" t="s">
        <v>428</v>
      </c>
      <c r="C261" s="6" t="s">
        <v>15</v>
      </c>
      <c r="D261" s="6" t="s">
        <v>34</v>
      </c>
      <c r="E261" s="6" t="n">
        <f aca="false">ROUND(13526*1.05,2)</f>
        <v>14202.3</v>
      </c>
      <c r="F261" s="6" t="s">
        <v>35</v>
      </c>
      <c r="G261" s="6" t="s">
        <v>18</v>
      </c>
      <c r="H261" s="6" t="n">
        <f aca="true">ROUND(RAND()*4+6,1)</f>
        <v>7.5</v>
      </c>
      <c r="I261" s="6" t="s">
        <v>36</v>
      </c>
      <c r="J261" s="6" t="str">
        <f aca="false">ROUND(70*1,0)&amp;"%"</f>
        <v>70%</v>
      </c>
    </row>
    <row r="262" customFormat="false" ht="15" hidden="false" customHeight="false" outlineLevel="0" collapsed="false">
      <c r="A262" s="5" t="s">
        <v>3487</v>
      </c>
      <c r="B262" s="5" t="s">
        <v>430</v>
      </c>
      <c r="C262" s="5" t="s">
        <v>15</v>
      </c>
      <c r="D262" s="5" t="s">
        <v>39</v>
      </c>
      <c r="E262" s="5" t="n">
        <f aca="false">ROUND(17058*1.05,2)</f>
        <v>17910.9</v>
      </c>
      <c r="F262" s="5" t="s">
        <v>40</v>
      </c>
      <c r="G262" s="5" t="s">
        <v>24</v>
      </c>
      <c r="H262" s="5" t="n">
        <f aca="true">ROUND(RAND()*4+6,1)</f>
        <v>6.9</v>
      </c>
      <c r="I262" s="5" t="s">
        <v>41</v>
      </c>
      <c r="J262" s="5" t="str">
        <f aca="false">ROUND(84*1,0)&amp;"%"</f>
        <v>84%</v>
      </c>
    </row>
    <row r="263" customFormat="false" ht="15" hidden="false" customHeight="false" outlineLevel="0" collapsed="false">
      <c r="A263" s="6" t="s">
        <v>3488</v>
      </c>
      <c r="B263" s="6" t="s">
        <v>432</v>
      </c>
      <c r="C263" s="6" t="s">
        <v>15</v>
      </c>
      <c r="D263" s="6" t="s">
        <v>44</v>
      </c>
      <c r="E263" s="6" t="n">
        <f aca="false">ROUND(8033*1.05,2)</f>
        <v>8434.65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3489</v>
      </c>
      <c r="B264" s="5" t="s">
        <v>434</v>
      </c>
      <c r="C264" s="5" t="s">
        <v>15</v>
      </c>
      <c r="D264" s="5" t="s">
        <v>16</v>
      </c>
      <c r="E264" s="5" t="n">
        <f aca="false">ROUND(8897*1.05,2)</f>
        <v>9341.85</v>
      </c>
      <c r="F264" s="5" t="s">
        <v>49</v>
      </c>
      <c r="G264" s="5" t="s">
        <v>18</v>
      </c>
      <c r="H264" s="5" t="n">
        <f aca="true">ROUND(RAND()*4+6,1)</f>
        <v>7.5</v>
      </c>
      <c r="I264" s="5" t="s">
        <v>19</v>
      </c>
      <c r="J264" s="5" t="str">
        <f aca="false">ROUND(84*1,0)&amp;"%"</f>
        <v>84%</v>
      </c>
    </row>
    <row r="265" customFormat="false" ht="15" hidden="false" customHeight="false" outlineLevel="0" collapsed="false">
      <c r="A265" s="6" t="s">
        <v>3490</v>
      </c>
      <c r="B265" s="6" t="s">
        <v>436</v>
      </c>
      <c r="C265" s="6" t="s">
        <v>15</v>
      </c>
      <c r="D265" s="6" t="s">
        <v>22</v>
      </c>
      <c r="E265" s="6" t="n">
        <f aca="false">ROUND(16503*1.05,2)</f>
        <v>17328.15</v>
      </c>
      <c r="F265" s="6" t="s">
        <v>52</v>
      </c>
      <c r="G265" s="6" t="s">
        <v>24</v>
      </c>
      <c r="H265" s="6" t="n">
        <f aca="true">ROUND(RAND()*4+6,1)</f>
        <v>8.1</v>
      </c>
      <c r="I265" s="6" t="s">
        <v>25</v>
      </c>
      <c r="J265" s="6" t="str">
        <f aca="false">ROUND(96*1,0)&amp;"%"</f>
        <v>96%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3491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3492</v>
      </c>
      <c r="B270" s="5" t="s">
        <v>440</v>
      </c>
      <c r="C270" s="5" t="s">
        <v>57</v>
      </c>
      <c r="D270" s="5" t="s">
        <v>16</v>
      </c>
      <c r="E270" s="5" t="n">
        <f aca="false">ROUND(7436*1.05,2)</f>
        <v>7807.8</v>
      </c>
      <c r="F270" s="5" t="s">
        <v>17</v>
      </c>
      <c r="G270" s="5" t="s">
        <v>18</v>
      </c>
      <c r="H270" s="5" t="n">
        <f aca="true">ROUND(RAND()*4+6,1)</f>
        <v>8.9</v>
      </c>
      <c r="I270" s="5" t="s">
        <v>19</v>
      </c>
      <c r="J270" s="5" t="str">
        <f aca="false">ROUND(82*1,0)&amp;"%"</f>
        <v>82%</v>
      </c>
    </row>
    <row r="271" customFormat="false" ht="15" hidden="false" customHeight="false" outlineLevel="0" collapsed="false">
      <c r="A271" s="6" t="s">
        <v>3493</v>
      </c>
      <c r="B271" s="6" t="s">
        <v>442</v>
      </c>
      <c r="C271" s="6" t="s">
        <v>57</v>
      </c>
      <c r="D271" s="6" t="s">
        <v>22</v>
      </c>
      <c r="E271" s="6" t="n">
        <f aca="false">ROUND(14932*1.05,2)</f>
        <v>15678.6</v>
      </c>
      <c r="F271" s="6" t="s">
        <v>23</v>
      </c>
      <c r="G271" s="6" t="s">
        <v>24</v>
      </c>
      <c r="H271" s="6" t="n">
        <f aca="true">ROUND(RAND()*4+6,1)</f>
        <v>8.2</v>
      </c>
      <c r="I271" s="6" t="s">
        <v>25</v>
      </c>
      <c r="J271" s="6" t="str">
        <f aca="false">ROUND(75*1,0)&amp;"%"</f>
        <v>75%</v>
      </c>
    </row>
    <row r="272" customFormat="false" ht="15" hidden="false" customHeight="false" outlineLevel="0" collapsed="false">
      <c r="A272" s="5" t="s">
        <v>3494</v>
      </c>
      <c r="B272" s="5" t="s">
        <v>444</v>
      </c>
      <c r="C272" s="5" t="s">
        <v>57</v>
      </c>
      <c r="D272" s="5" t="s">
        <v>28</v>
      </c>
      <c r="E272" s="5" t="n">
        <f aca="false">ROUND(14041*1.05,2)</f>
        <v>14743.05</v>
      </c>
      <c r="F272" s="5" t="s">
        <v>29</v>
      </c>
      <c r="G272" s="5" t="s">
        <v>30</v>
      </c>
      <c r="H272" s="5" t="n">
        <f aca="true">ROUND(RAND()*4+6,1)</f>
        <v>9.2</v>
      </c>
      <c r="I272" s="5" t="s">
        <v>31</v>
      </c>
      <c r="J272" s="5" t="str">
        <f aca="false">ROUND(87*1,0)&amp;"%"</f>
        <v>87%</v>
      </c>
    </row>
    <row r="273" customFormat="false" ht="15" hidden="false" customHeight="false" outlineLevel="0" collapsed="false">
      <c r="A273" s="6" t="s">
        <v>3495</v>
      </c>
      <c r="B273" s="6" t="s">
        <v>446</v>
      </c>
      <c r="C273" s="6" t="s">
        <v>57</v>
      </c>
      <c r="D273" s="6" t="s">
        <v>34</v>
      </c>
      <c r="E273" s="6" t="n">
        <f aca="false">ROUND(17420*1.05,2)</f>
        <v>18291</v>
      </c>
      <c r="F273" s="6" t="s">
        <v>35</v>
      </c>
      <c r="G273" s="6" t="s">
        <v>18</v>
      </c>
      <c r="H273" s="6" t="n">
        <f aca="true">ROUND(RAND()*4+6,1)</f>
        <v>9</v>
      </c>
      <c r="I273" s="6" t="s">
        <v>36</v>
      </c>
      <c r="J273" s="6" t="str">
        <f aca="false">ROUND(61*1,0)&amp;"%"</f>
        <v>61%</v>
      </c>
    </row>
    <row r="274" customFormat="false" ht="15" hidden="false" customHeight="false" outlineLevel="0" collapsed="false">
      <c r="A274" s="5" t="s">
        <v>3496</v>
      </c>
      <c r="B274" s="5" t="s">
        <v>448</v>
      </c>
      <c r="C274" s="5" t="s">
        <v>57</v>
      </c>
      <c r="D274" s="5" t="s">
        <v>39</v>
      </c>
      <c r="E274" s="5" t="n">
        <f aca="false">ROUND(4789*1.05,2)</f>
        <v>5028.45</v>
      </c>
      <c r="F274" s="5" t="s">
        <v>40</v>
      </c>
      <c r="G274" s="5" t="s">
        <v>24</v>
      </c>
      <c r="H274" s="5" t="n">
        <f aca="true">ROUND(RAND()*4+6,1)</f>
        <v>6.6</v>
      </c>
      <c r="I274" s="5" t="s">
        <v>41</v>
      </c>
      <c r="J274" s="5" t="str">
        <f aca="false">ROUND(72*1,0)&amp;"%"</f>
        <v>72%</v>
      </c>
    </row>
    <row r="275" customFormat="false" ht="15" hidden="false" customHeight="false" outlineLevel="0" collapsed="false">
      <c r="A275" s="6" t="s">
        <v>3497</v>
      </c>
      <c r="B275" s="6" t="s">
        <v>450</v>
      </c>
      <c r="C275" s="6" t="s">
        <v>57</v>
      </c>
      <c r="D275" s="6" t="s">
        <v>44</v>
      </c>
      <c r="E275" s="6" t="n">
        <f aca="false">ROUND(17564*1.05,2)</f>
        <v>18442.2</v>
      </c>
      <c r="F275" s="6" t="s">
        <v>45</v>
      </c>
      <c r="G275" s="6" t="s">
        <v>30</v>
      </c>
      <c r="H275" s="6" t="n">
        <f aca="true">ROUND(RAND()*4+6,1)</f>
        <v>8.9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3498</v>
      </c>
      <c r="B276" s="5" t="s">
        <v>452</v>
      </c>
      <c r="C276" s="5" t="s">
        <v>57</v>
      </c>
      <c r="D276" s="5" t="s">
        <v>16</v>
      </c>
      <c r="E276" s="5" t="n">
        <f aca="false">ROUND(7498*1.05,2)</f>
        <v>7872.9</v>
      </c>
      <c r="F276" s="5" t="s">
        <v>49</v>
      </c>
      <c r="G276" s="5" t="s">
        <v>18</v>
      </c>
      <c r="H276" s="5" t="n">
        <f aca="true">ROUND(RAND()*4+6,1)</f>
        <v>7.3</v>
      </c>
      <c r="I276" s="5" t="s">
        <v>19</v>
      </c>
      <c r="J276" s="5" t="str">
        <f aca="false">ROUND(93*1,0)&amp;"%"</f>
        <v>93%</v>
      </c>
    </row>
    <row r="277" customFormat="false" ht="15" hidden="false" customHeight="false" outlineLevel="0" collapsed="false">
      <c r="A277" s="6" t="s">
        <v>3499</v>
      </c>
      <c r="B277" s="6" t="s">
        <v>454</v>
      </c>
      <c r="C277" s="6" t="s">
        <v>57</v>
      </c>
      <c r="D277" s="6" t="s">
        <v>22</v>
      </c>
      <c r="E277" s="6" t="n">
        <f aca="false">ROUND(16905*1.05,2)</f>
        <v>17750.25</v>
      </c>
      <c r="F277" s="6" t="s">
        <v>52</v>
      </c>
      <c r="G277" s="6" t="s">
        <v>24</v>
      </c>
      <c r="H277" s="6" t="n">
        <f aca="true">ROUND(RAND()*4+6,1)</f>
        <v>7.1</v>
      </c>
      <c r="I277" s="6" t="s">
        <v>25</v>
      </c>
      <c r="J277" s="6" t="str">
        <f aca="false">ROUND(88*1,0)&amp;"%"</f>
        <v>88%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3500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3501</v>
      </c>
      <c r="B282" s="5" t="s">
        <v>458</v>
      </c>
      <c r="C282" s="5" t="s">
        <v>76</v>
      </c>
      <c r="D282" s="5" t="s">
        <v>16</v>
      </c>
      <c r="E282" s="5" t="n">
        <f aca="false">ROUND(11021*1.05,2)</f>
        <v>11572.05</v>
      </c>
      <c r="F282" s="5" t="s">
        <v>17</v>
      </c>
      <c r="G282" s="5" t="s">
        <v>18</v>
      </c>
      <c r="H282" s="5" t="n">
        <f aca="true">ROUND(RAND()*4+6,1)</f>
        <v>7.8</v>
      </c>
      <c r="I282" s="5" t="s">
        <v>19</v>
      </c>
      <c r="J282" s="5" t="str">
        <f aca="false">ROUND(96*1,0)&amp;"%"</f>
        <v>96%</v>
      </c>
    </row>
    <row r="283" customFormat="false" ht="15" hidden="false" customHeight="false" outlineLevel="0" collapsed="false">
      <c r="A283" s="6" t="s">
        <v>3502</v>
      </c>
      <c r="B283" s="6" t="s">
        <v>460</v>
      </c>
      <c r="C283" s="6" t="s">
        <v>76</v>
      </c>
      <c r="D283" s="6" t="s">
        <v>22</v>
      </c>
      <c r="E283" s="6" t="n">
        <f aca="false">ROUND(15079*1.05,2)</f>
        <v>15832.95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ROUND(69*1,0)&amp;"%"</f>
        <v>69%</v>
      </c>
    </row>
    <row r="284" customFormat="false" ht="15" hidden="false" customHeight="false" outlineLevel="0" collapsed="false">
      <c r="A284" s="5" t="s">
        <v>3503</v>
      </c>
      <c r="B284" s="5" t="s">
        <v>462</v>
      </c>
      <c r="C284" s="5" t="s">
        <v>76</v>
      </c>
      <c r="D284" s="5" t="s">
        <v>28</v>
      </c>
      <c r="E284" s="5" t="n">
        <f aca="false">ROUND(5753*1.05,2)</f>
        <v>6040.65</v>
      </c>
      <c r="F284" s="5" t="s">
        <v>29</v>
      </c>
      <c r="G284" s="5" t="s">
        <v>30</v>
      </c>
      <c r="H284" s="5" t="n">
        <f aca="true">ROUND(RAND()*4+6,1)</f>
        <v>6.1</v>
      </c>
      <c r="I284" s="5" t="s">
        <v>31</v>
      </c>
      <c r="J284" s="5" t="str">
        <f aca="false">ROUND(68*1,0)&amp;"%"</f>
        <v>68%</v>
      </c>
    </row>
    <row r="285" customFormat="false" ht="15" hidden="false" customHeight="false" outlineLevel="0" collapsed="false">
      <c r="A285" s="6" t="s">
        <v>3504</v>
      </c>
      <c r="B285" s="6" t="s">
        <v>464</v>
      </c>
      <c r="C285" s="6" t="s">
        <v>76</v>
      </c>
      <c r="D285" s="6" t="s">
        <v>34</v>
      </c>
      <c r="E285" s="6" t="n">
        <f aca="false">ROUND(5797*1.05,2)</f>
        <v>6086.85</v>
      </c>
      <c r="F285" s="6" t="s">
        <v>35</v>
      </c>
      <c r="G285" s="6" t="s">
        <v>18</v>
      </c>
      <c r="H285" s="6" t="n">
        <f aca="true">ROUND(RAND()*4+6,1)</f>
        <v>6.7</v>
      </c>
      <c r="I285" s="6" t="s">
        <v>36</v>
      </c>
      <c r="J285" s="6" t="str">
        <f aca="false">ROUND(100*1,0)&amp;"%"</f>
        <v>100%</v>
      </c>
    </row>
    <row r="286" customFormat="false" ht="15" hidden="false" customHeight="false" outlineLevel="0" collapsed="false">
      <c r="A286" s="5" t="s">
        <v>3505</v>
      </c>
      <c r="B286" s="5" t="s">
        <v>466</v>
      </c>
      <c r="C286" s="5" t="s">
        <v>76</v>
      </c>
      <c r="D286" s="5" t="s">
        <v>39</v>
      </c>
      <c r="E286" s="5" t="n">
        <f aca="false">ROUND(10843*1.05,2)</f>
        <v>11385.15</v>
      </c>
      <c r="F286" s="5" t="s">
        <v>40</v>
      </c>
      <c r="G286" s="5" t="s">
        <v>24</v>
      </c>
      <c r="H286" s="5" t="n">
        <f aca="true">ROUND(RAND()*4+6,1)</f>
        <v>8.6</v>
      </c>
      <c r="I286" s="5" t="s">
        <v>41</v>
      </c>
      <c r="J286" s="5" t="str">
        <f aca="false">ROUND(86*1,0)&amp;"%"</f>
        <v>86%</v>
      </c>
    </row>
    <row r="287" customFormat="false" ht="15" hidden="false" customHeight="false" outlineLevel="0" collapsed="false">
      <c r="A287" s="6" t="s">
        <v>3506</v>
      </c>
      <c r="B287" s="6" t="s">
        <v>468</v>
      </c>
      <c r="C287" s="6" t="s">
        <v>76</v>
      </c>
      <c r="D287" s="6" t="s">
        <v>44</v>
      </c>
      <c r="E287" s="6" t="n">
        <f aca="false">ROUND(5126*1.05,2)</f>
        <v>5382.3</v>
      </c>
      <c r="F287" s="6" t="s">
        <v>45</v>
      </c>
      <c r="G287" s="6" t="s">
        <v>30</v>
      </c>
      <c r="H287" s="6" t="n">
        <f aca="true">ROUND(RAND()*4+6,1)</f>
        <v>7.5</v>
      </c>
      <c r="I287" s="6" t="s">
        <v>46</v>
      </c>
      <c r="J287" s="6" t="str">
        <f aca="false">ROUND(69*1,0)&amp;"%"</f>
        <v>69%</v>
      </c>
    </row>
    <row r="288" customFormat="false" ht="15" hidden="false" customHeight="false" outlineLevel="0" collapsed="false">
      <c r="A288" s="5" t="s">
        <v>3507</v>
      </c>
      <c r="B288" s="5" t="s">
        <v>470</v>
      </c>
      <c r="C288" s="5" t="s">
        <v>76</v>
      </c>
      <c r="D288" s="5" t="s">
        <v>16</v>
      </c>
      <c r="E288" s="5" t="n">
        <f aca="false">ROUND(16831*1.05,2)</f>
        <v>17672.55</v>
      </c>
      <c r="F288" s="5" t="s">
        <v>49</v>
      </c>
      <c r="G288" s="5" t="s">
        <v>18</v>
      </c>
      <c r="H288" s="5" t="n">
        <f aca="true">ROUND(RAND()*4+6,1)</f>
        <v>8</v>
      </c>
      <c r="I288" s="5" t="s">
        <v>19</v>
      </c>
      <c r="J288" s="5" t="str">
        <f aca="false">ROUND(83*1,0)&amp;"%"</f>
        <v>83%</v>
      </c>
    </row>
    <row r="289" customFormat="false" ht="15" hidden="false" customHeight="false" outlineLevel="0" collapsed="false">
      <c r="A289" s="6" t="s">
        <v>3508</v>
      </c>
      <c r="B289" s="6" t="s">
        <v>472</v>
      </c>
      <c r="C289" s="6" t="s">
        <v>76</v>
      </c>
      <c r="D289" s="6" t="s">
        <v>22</v>
      </c>
      <c r="E289" s="6" t="n">
        <f aca="false">ROUND(9473*1.05,2)</f>
        <v>9946.65</v>
      </c>
      <c r="F289" s="6" t="s">
        <v>52</v>
      </c>
      <c r="G289" s="6" t="s">
        <v>24</v>
      </c>
      <c r="H289" s="6" t="n">
        <f aca="true">ROUND(RAND()*4+6,1)</f>
        <v>6.8</v>
      </c>
      <c r="I289" s="6" t="s">
        <v>25</v>
      </c>
      <c r="J289" s="6" t="str">
        <f aca="false">ROUND(96*1,0)&amp;"%"</f>
        <v>96%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3509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3510</v>
      </c>
      <c r="B294" s="5" t="s">
        <v>476</v>
      </c>
      <c r="C294" s="5" t="s">
        <v>95</v>
      </c>
      <c r="D294" s="5" t="s">
        <v>16</v>
      </c>
      <c r="E294" s="5" t="n">
        <f aca="false">ROUND(7073*1.05,2)</f>
        <v>7426.65</v>
      </c>
      <c r="F294" s="5" t="s">
        <v>17</v>
      </c>
      <c r="G294" s="5" t="s">
        <v>18</v>
      </c>
      <c r="H294" s="5" t="n">
        <f aca="true">ROUND(RAND()*4+6,1)</f>
        <v>9.2</v>
      </c>
      <c r="I294" s="5" t="s">
        <v>19</v>
      </c>
      <c r="J294" s="5" t="str">
        <f aca="false">ROUND(82*1,0)&amp;"%"</f>
        <v>82%</v>
      </c>
    </row>
    <row r="295" customFormat="false" ht="15" hidden="false" customHeight="false" outlineLevel="0" collapsed="false">
      <c r="A295" s="6" t="s">
        <v>3511</v>
      </c>
      <c r="B295" s="6" t="s">
        <v>478</v>
      </c>
      <c r="C295" s="6" t="s">
        <v>95</v>
      </c>
      <c r="D295" s="6" t="s">
        <v>22</v>
      </c>
      <c r="E295" s="6" t="n">
        <f aca="false">ROUND(9086*1.05,2)</f>
        <v>9540.3</v>
      </c>
      <c r="F295" s="6" t="s">
        <v>23</v>
      </c>
      <c r="G295" s="6" t="s">
        <v>24</v>
      </c>
      <c r="H295" s="6" t="n">
        <f aca="true">ROUND(RAND()*4+6,1)</f>
        <v>8.3</v>
      </c>
      <c r="I295" s="6" t="s">
        <v>25</v>
      </c>
      <c r="J295" s="6" t="str">
        <f aca="false">ROUND(69*1,0)&amp;"%"</f>
        <v>69%</v>
      </c>
    </row>
    <row r="296" customFormat="false" ht="15" hidden="false" customHeight="false" outlineLevel="0" collapsed="false">
      <c r="A296" s="5" t="s">
        <v>3512</v>
      </c>
      <c r="B296" s="5" t="s">
        <v>480</v>
      </c>
      <c r="C296" s="5" t="s">
        <v>95</v>
      </c>
      <c r="D296" s="5" t="s">
        <v>28</v>
      </c>
      <c r="E296" s="5" t="n">
        <f aca="false">ROUND(5378*1.05,2)</f>
        <v>5646.9</v>
      </c>
      <c r="F296" s="5" t="s">
        <v>29</v>
      </c>
      <c r="G296" s="5" t="s">
        <v>30</v>
      </c>
      <c r="H296" s="5" t="n">
        <f aca="true">ROUND(RAND()*4+6,1)</f>
        <v>6.9</v>
      </c>
      <c r="I296" s="5" t="s">
        <v>31</v>
      </c>
      <c r="J296" s="5" t="str">
        <f aca="false">ROUND(79*1,0)&amp;"%"</f>
        <v>79%</v>
      </c>
    </row>
    <row r="297" customFormat="false" ht="15" hidden="false" customHeight="false" outlineLevel="0" collapsed="false">
      <c r="A297" s="6" t="s">
        <v>3513</v>
      </c>
      <c r="B297" s="6" t="s">
        <v>482</v>
      </c>
      <c r="C297" s="6" t="s">
        <v>95</v>
      </c>
      <c r="D297" s="6" t="s">
        <v>34</v>
      </c>
      <c r="E297" s="6" t="n">
        <f aca="false">ROUND(10098*1.05,2)</f>
        <v>10602.9</v>
      </c>
      <c r="F297" s="6" t="s">
        <v>35</v>
      </c>
      <c r="G297" s="6" t="s">
        <v>18</v>
      </c>
      <c r="H297" s="6" t="n">
        <f aca="true">ROUND(RAND()*4+6,1)</f>
        <v>7.4</v>
      </c>
      <c r="I297" s="6" t="s">
        <v>36</v>
      </c>
      <c r="J297" s="6" t="str">
        <f aca="false">ROUND(61*1,0)&amp;"%"</f>
        <v>61%</v>
      </c>
    </row>
    <row r="298" customFormat="false" ht="15" hidden="false" customHeight="false" outlineLevel="0" collapsed="false">
      <c r="A298" s="5" t="s">
        <v>3514</v>
      </c>
      <c r="B298" s="5" t="s">
        <v>484</v>
      </c>
      <c r="C298" s="5" t="s">
        <v>95</v>
      </c>
      <c r="D298" s="5" t="s">
        <v>39</v>
      </c>
      <c r="E298" s="5" t="n">
        <f aca="false">ROUND(6318*1.05,2)</f>
        <v>6633.9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ROUND(82*1,0)&amp;"%"</f>
        <v>82%</v>
      </c>
    </row>
    <row r="299" customFormat="false" ht="15" hidden="false" customHeight="false" outlineLevel="0" collapsed="false">
      <c r="A299" s="6" t="s">
        <v>3515</v>
      </c>
      <c r="B299" s="6" t="s">
        <v>486</v>
      </c>
      <c r="C299" s="6" t="s">
        <v>95</v>
      </c>
      <c r="D299" s="6" t="s">
        <v>44</v>
      </c>
      <c r="E299" s="6" t="n">
        <f aca="false">ROUND(8814*1.05,2)</f>
        <v>9254.7</v>
      </c>
      <c r="F299" s="6" t="s">
        <v>45</v>
      </c>
      <c r="G299" s="6" t="s">
        <v>30</v>
      </c>
      <c r="H299" s="6" t="n">
        <f aca="true">ROUND(RAND()*4+6,1)</f>
        <v>7.5</v>
      </c>
      <c r="I299" s="6" t="s">
        <v>46</v>
      </c>
      <c r="J299" s="6" t="str">
        <f aca="false">ROUND(66*1,0)&amp;"%"</f>
        <v>66%</v>
      </c>
    </row>
    <row r="300" customFormat="false" ht="15" hidden="false" customHeight="false" outlineLevel="0" collapsed="false">
      <c r="A300" s="5" t="s">
        <v>3516</v>
      </c>
      <c r="B300" s="5" t="s">
        <v>488</v>
      </c>
      <c r="C300" s="5" t="s">
        <v>95</v>
      </c>
      <c r="D300" s="5" t="s">
        <v>16</v>
      </c>
      <c r="E300" s="5" t="n">
        <f aca="false">ROUND(15261*1.05,2)</f>
        <v>16024.05</v>
      </c>
      <c r="F300" s="5" t="s">
        <v>49</v>
      </c>
      <c r="G300" s="5" t="s">
        <v>18</v>
      </c>
      <c r="H300" s="5" t="n">
        <f aca="true">ROUND(RAND()*4+6,1)</f>
        <v>7.1</v>
      </c>
      <c r="I300" s="5" t="s">
        <v>19</v>
      </c>
      <c r="J300" s="5" t="str">
        <f aca="false">ROUND(67*1,0)&amp;"%"</f>
        <v>67%</v>
      </c>
    </row>
    <row r="301" customFormat="false" ht="15" hidden="false" customHeight="false" outlineLevel="0" collapsed="false">
      <c r="A301" s="6" t="s">
        <v>3517</v>
      </c>
      <c r="B301" s="6" t="s">
        <v>490</v>
      </c>
      <c r="C301" s="6" t="s">
        <v>95</v>
      </c>
      <c r="D301" s="6" t="s">
        <v>22</v>
      </c>
      <c r="E301" s="6" t="n">
        <f aca="false">ROUND(17741*1.05,2)</f>
        <v>18628.05</v>
      </c>
      <c r="F301" s="6" t="s">
        <v>52</v>
      </c>
      <c r="G301" s="6" t="s">
        <v>24</v>
      </c>
      <c r="H301" s="6" t="n">
        <f aca="true">ROUND(RAND()*4+6,1)</f>
        <v>7.6</v>
      </c>
      <c r="I301" s="6" t="s">
        <v>25</v>
      </c>
      <c r="J301" s="6" t="str">
        <f aca="false">ROUND(87*1,0)&amp;"%"</f>
        <v>87%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3518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3519</v>
      </c>
      <c r="B306" s="5" t="s">
        <v>494</v>
      </c>
      <c r="C306" s="5" t="s">
        <v>114</v>
      </c>
      <c r="D306" s="5" t="s">
        <v>16</v>
      </c>
      <c r="E306" s="5" t="n">
        <f aca="false">ROUND(12494*1.05,2)</f>
        <v>13118.7</v>
      </c>
      <c r="F306" s="5" t="s">
        <v>17</v>
      </c>
      <c r="G306" s="5" t="s">
        <v>18</v>
      </c>
      <c r="H306" s="5" t="n">
        <f aca="true">ROUND(RAND()*4+6,1)</f>
        <v>7.6</v>
      </c>
      <c r="I306" s="5" t="s">
        <v>19</v>
      </c>
      <c r="J306" s="5" t="str">
        <f aca="false">ROUND(81*1,0)&amp;"%"</f>
        <v>81%</v>
      </c>
    </row>
    <row r="307" customFormat="false" ht="15" hidden="false" customHeight="false" outlineLevel="0" collapsed="false">
      <c r="A307" s="6" t="s">
        <v>3520</v>
      </c>
      <c r="B307" s="6" t="s">
        <v>496</v>
      </c>
      <c r="C307" s="6" t="s">
        <v>114</v>
      </c>
      <c r="D307" s="6" t="s">
        <v>22</v>
      </c>
      <c r="E307" s="6" t="n">
        <f aca="false">ROUND(7782*1.05,2)</f>
        <v>8171.1</v>
      </c>
      <c r="F307" s="6" t="s">
        <v>23</v>
      </c>
      <c r="G307" s="6" t="s">
        <v>24</v>
      </c>
      <c r="H307" s="6" t="n">
        <f aca="true">ROUND(RAND()*4+6,1)</f>
        <v>7.1</v>
      </c>
      <c r="I307" s="6" t="s">
        <v>25</v>
      </c>
      <c r="J307" s="6" t="str">
        <f aca="false">ROUND(92*1,0)&amp;"%"</f>
        <v>92%</v>
      </c>
    </row>
    <row r="308" customFormat="false" ht="15" hidden="false" customHeight="false" outlineLevel="0" collapsed="false">
      <c r="A308" s="5" t="s">
        <v>3521</v>
      </c>
      <c r="B308" s="5" t="s">
        <v>498</v>
      </c>
      <c r="C308" s="5" t="s">
        <v>114</v>
      </c>
      <c r="D308" s="5" t="s">
        <v>28</v>
      </c>
      <c r="E308" s="5" t="n">
        <f aca="false">ROUND(11698*1.05,2)</f>
        <v>12282.9</v>
      </c>
      <c r="F308" s="5" t="s">
        <v>29</v>
      </c>
      <c r="G308" s="5" t="s">
        <v>30</v>
      </c>
      <c r="H308" s="5" t="n">
        <f aca="true">ROUND(RAND()*4+6,1)</f>
        <v>9.7</v>
      </c>
      <c r="I308" s="5" t="s">
        <v>31</v>
      </c>
      <c r="J308" s="5" t="str">
        <f aca="false">ROUND(68*1,0)&amp;"%"</f>
        <v>68%</v>
      </c>
    </row>
    <row r="309" customFormat="false" ht="15" hidden="false" customHeight="false" outlineLevel="0" collapsed="false">
      <c r="A309" s="6" t="s">
        <v>3522</v>
      </c>
      <c r="B309" s="6" t="s">
        <v>500</v>
      </c>
      <c r="C309" s="6" t="s">
        <v>114</v>
      </c>
      <c r="D309" s="6" t="s">
        <v>34</v>
      </c>
      <c r="E309" s="6" t="n">
        <f aca="false">ROUND(17943*1.05,2)</f>
        <v>18840.15</v>
      </c>
      <c r="F309" s="6" t="s">
        <v>35</v>
      </c>
      <c r="G309" s="6" t="s">
        <v>18</v>
      </c>
      <c r="H309" s="6" t="n">
        <f aca="true">ROUND(RAND()*4+6,1)</f>
        <v>7.1</v>
      </c>
      <c r="I309" s="6" t="s">
        <v>36</v>
      </c>
      <c r="J309" s="6" t="str">
        <f aca="false">ROUND(68*1,0)&amp;"%"</f>
        <v>68%</v>
      </c>
    </row>
    <row r="310" customFormat="false" ht="15" hidden="false" customHeight="false" outlineLevel="0" collapsed="false">
      <c r="A310" s="5" t="s">
        <v>3523</v>
      </c>
      <c r="B310" s="5" t="s">
        <v>502</v>
      </c>
      <c r="C310" s="5" t="s">
        <v>114</v>
      </c>
      <c r="D310" s="5" t="s">
        <v>39</v>
      </c>
      <c r="E310" s="5" t="n">
        <f aca="false">ROUND(14799*1.05,2)</f>
        <v>15538.95</v>
      </c>
      <c r="F310" s="5" t="s">
        <v>40</v>
      </c>
      <c r="G310" s="5" t="s">
        <v>24</v>
      </c>
      <c r="H310" s="5" t="n">
        <f aca="true">ROUND(RAND()*4+6,1)</f>
        <v>9.1</v>
      </c>
      <c r="I310" s="5" t="s">
        <v>41</v>
      </c>
      <c r="J310" s="5" t="str">
        <f aca="false">ROUND(84*1,0)&amp;"%"</f>
        <v>84%</v>
      </c>
    </row>
    <row r="311" customFormat="false" ht="15" hidden="false" customHeight="false" outlineLevel="0" collapsed="false">
      <c r="A311" s="6" t="s">
        <v>3524</v>
      </c>
      <c r="B311" s="6" t="s">
        <v>504</v>
      </c>
      <c r="C311" s="6" t="s">
        <v>114</v>
      </c>
      <c r="D311" s="6" t="s">
        <v>44</v>
      </c>
      <c r="E311" s="6" t="n">
        <f aca="false">ROUND(14816*1.05,2)</f>
        <v>15556.8</v>
      </c>
      <c r="F311" s="6" t="s">
        <v>45</v>
      </c>
      <c r="G311" s="6" t="s">
        <v>30</v>
      </c>
      <c r="H311" s="6" t="n">
        <f aca="true">ROUND(RAND()*4+6,1)</f>
        <v>9.4</v>
      </c>
      <c r="I311" s="6" t="s">
        <v>46</v>
      </c>
      <c r="J311" s="6" t="str">
        <f aca="false">ROUND(84*1,0)&amp;"%"</f>
        <v>84%</v>
      </c>
    </row>
    <row r="312" customFormat="false" ht="15" hidden="false" customHeight="false" outlineLevel="0" collapsed="false">
      <c r="A312" s="5" t="s">
        <v>3525</v>
      </c>
      <c r="B312" s="5" t="s">
        <v>506</v>
      </c>
      <c r="C312" s="5" t="s">
        <v>114</v>
      </c>
      <c r="D312" s="5" t="s">
        <v>16</v>
      </c>
      <c r="E312" s="5" t="n">
        <f aca="false">ROUND(13385*1.05,2)</f>
        <v>14054.25</v>
      </c>
      <c r="F312" s="5" t="s">
        <v>49</v>
      </c>
      <c r="G312" s="5" t="s">
        <v>18</v>
      </c>
      <c r="H312" s="5" t="n">
        <f aca="true">ROUND(RAND()*4+6,1)</f>
        <v>7.7</v>
      </c>
      <c r="I312" s="5" t="s">
        <v>19</v>
      </c>
      <c r="J312" s="5" t="str">
        <f aca="false">ROUND(81*1,0)&amp;"%"</f>
        <v>81%</v>
      </c>
    </row>
    <row r="313" customFormat="false" ht="15" hidden="false" customHeight="false" outlineLevel="0" collapsed="false">
      <c r="A313" s="6" t="s">
        <v>3526</v>
      </c>
      <c r="B313" s="6" t="s">
        <v>508</v>
      </c>
      <c r="C313" s="6" t="s">
        <v>114</v>
      </c>
      <c r="D313" s="6" t="s">
        <v>22</v>
      </c>
      <c r="E313" s="6" t="n">
        <f aca="false">ROUND(16883*1.05,2)</f>
        <v>17727.15</v>
      </c>
      <c r="F313" s="6" t="s">
        <v>52</v>
      </c>
      <c r="G313" s="6" t="s">
        <v>24</v>
      </c>
      <c r="H313" s="6" t="n">
        <f aca="true">ROUND(RAND()*4+6,1)</f>
        <v>7.2</v>
      </c>
      <c r="I313" s="6" t="s">
        <v>25</v>
      </c>
      <c r="J313" s="6" t="str">
        <f aca="false">ROUND(92*1,0)&amp;"%"</f>
        <v>92%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3527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3528</v>
      </c>
      <c r="B318" s="5" t="s">
        <v>512</v>
      </c>
      <c r="C318" s="5" t="s">
        <v>133</v>
      </c>
      <c r="D318" s="5" t="s">
        <v>16</v>
      </c>
      <c r="E318" s="5" t="n">
        <f aca="false">ROUND(6568*1.05,2)</f>
        <v>6896.4</v>
      </c>
      <c r="F318" s="5" t="s">
        <v>17</v>
      </c>
      <c r="G318" s="5" t="s">
        <v>18</v>
      </c>
      <c r="H318" s="5" t="n">
        <f aca="true">ROUND(RAND()*4+6,1)</f>
        <v>7.7</v>
      </c>
      <c r="I318" s="5" t="s">
        <v>19</v>
      </c>
      <c r="J318" s="5" t="str">
        <f aca="false">ROUND(77*1,0)&amp;"%"</f>
        <v>77%</v>
      </c>
    </row>
    <row r="319" customFormat="false" ht="15" hidden="false" customHeight="false" outlineLevel="0" collapsed="false">
      <c r="A319" s="6" t="s">
        <v>3529</v>
      </c>
      <c r="B319" s="6" t="s">
        <v>514</v>
      </c>
      <c r="C319" s="6" t="s">
        <v>133</v>
      </c>
      <c r="D319" s="6" t="s">
        <v>22</v>
      </c>
      <c r="E319" s="6" t="n">
        <f aca="false">ROUND(16947*1.05,2)</f>
        <v>17794.35</v>
      </c>
      <c r="F319" s="6" t="s">
        <v>23</v>
      </c>
      <c r="G319" s="6" t="s">
        <v>24</v>
      </c>
      <c r="H319" s="6" t="n">
        <f aca="true">ROUND(RAND()*4+6,1)</f>
        <v>6.2</v>
      </c>
      <c r="I319" s="6" t="s">
        <v>25</v>
      </c>
      <c r="J319" s="6" t="str">
        <f aca="false">ROUND(66*1,0)&amp;"%"</f>
        <v>66%</v>
      </c>
    </row>
    <row r="320" customFormat="false" ht="15" hidden="false" customHeight="false" outlineLevel="0" collapsed="false">
      <c r="A320" s="5" t="s">
        <v>3530</v>
      </c>
      <c r="B320" s="5" t="s">
        <v>516</v>
      </c>
      <c r="C320" s="5" t="s">
        <v>133</v>
      </c>
      <c r="D320" s="5" t="s">
        <v>28</v>
      </c>
      <c r="E320" s="5" t="n">
        <f aca="false">ROUND(16945*1.05,2)</f>
        <v>17792.25</v>
      </c>
      <c r="F320" s="5" t="s">
        <v>29</v>
      </c>
      <c r="G320" s="5" t="s">
        <v>30</v>
      </c>
      <c r="H320" s="5" t="n">
        <f aca="true">ROUND(RAND()*4+6,1)</f>
        <v>6.3</v>
      </c>
      <c r="I320" s="5" t="s">
        <v>31</v>
      </c>
      <c r="J320" s="5" t="str">
        <f aca="false">ROUND(67*1,0)&amp;"%"</f>
        <v>67%</v>
      </c>
    </row>
    <row r="321" customFormat="false" ht="15" hidden="false" customHeight="false" outlineLevel="0" collapsed="false">
      <c r="A321" s="6" t="s">
        <v>3531</v>
      </c>
      <c r="B321" s="6" t="s">
        <v>518</v>
      </c>
      <c r="C321" s="6" t="s">
        <v>133</v>
      </c>
      <c r="D321" s="6" t="s">
        <v>34</v>
      </c>
      <c r="E321" s="6" t="n">
        <f aca="false">ROUND(9073*1.05,2)</f>
        <v>9526.65</v>
      </c>
      <c r="F321" s="6" t="s">
        <v>35</v>
      </c>
      <c r="G321" s="6" t="s">
        <v>18</v>
      </c>
      <c r="H321" s="6" t="n">
        <f aca="true">ROUND(RAND()*4+6,1)</f>
        <v>9.4</v>
      </c>
      <c r="I321" s="6" t="s">
        <v>36</v>
      </c>
      <c r="J321" s="6" t="str">
        <f aca="false">ROUND(94*1,0)&amp;"%"</f>
        <v>94%</v>
      </c>
    </row>
    <row r="322" customFormat="false" ht="15" hidden="false" customHeight="false" outlineLevel="0" collapsed="false">
      <c r="A322" s="5" t="s">
        <v>3532</v>
      </c>
      <c r="B322" s="5" t="s">
        <v>520</v>
      </c>
      <c r="C322" s="5" t="s">
        <v>133</v>
      </c>
      <c r="D322" s="5" t="s">
        <v>39</v>
      </c>
      <c r="E322" s="5" t="n">
        <f aca="false">ROUND(13248*1.05,2)</f>
        <v>13910.4</v>
      </c>
      <c r="F322" s="5" t="s">
        <v>40</v>
      </c>
      <c r="G322" s="5" t="s">
        <v>24</v>
      </c>
      <c r="H322" s="5" t="n">
        <f aca="true">ROUND(RAND()*4+6,1)</f>
        <v>7.1</v>
      </c>
      <c r="I322" s="5" t="s">
        <v>41</v>
      </c>
      <c r="J322" s="5" t="str">
        <f aca="false">ROUND(64*1,0)&amp;"%"</f>
        <v>64%</v>
      </c>
    </row>
    <row r="323" customFormat="false" ht="15" hidden="false" customHeight="false" outlineLevel="0" collapsed="false">
      <c r="A323" s="6" t="s">
        <v>3533</v>
      </c>
      <c r="B323" s="6" t="s">
        <v>522</v>
      </c>
      <c r="C323" s="6" t="s">
        <v>133</v>
      </c>
      <c r="D323" s="6" t="s">
        <v>44</v>
      </c>
      <c r="E323" s="6" t="n">
        <f aca="false">ROUND(14608*1.05,2)</f>
        <v>15338.4</v>
      </c>
      <c r="F323" s="6" t="s">
        <v>45</v>
      </c>
      <c r="G323" s="6" t="s">
        <v>30</v>
      </c>
      <c r="H323" s="6" t="n">
        <f aca="true">ROUND(RAND()*4+6,1)</f>
        <v>9.1</v>
      </c>
      <c r="I323" s="6" t="s">
        <v>46</v>
      </c>
      <c r="J323" s="6" t="str">
        <f aca="false">ROUND(67*1,0)&amp;"%"</f>
        <v>67%</v>
      </c>
    </row>
    <row r="324" customFormat="false" ht="15" hidden="false" customHeight="false" outlineLevel="0" collapsed="false">
      <c r="A324" s="5" t="s">
        <v>3534</v>
      </c>
      <c r="B324" s="5" t="s">
        <v>524</v>
      </c>
      <c r="C324" s="5" t="s">
        <v>133</v>
      </c>
      <c r="D324" s="5" t="s">
        <v>16</v>
      </c>
      <c r="E324" s="5" t="n">
        <f aca="false">ROUND(11400*1.05,2)</f>
        <v>11970</v>
      </c>
      <c r="F324" s="5" t="s">
        <v>49</v>
      </c>
      <c r="G324" s="5" t="s">
        <v>18</v>
      </c>
      <c r="H324" s="5" t="n">
        <f aca="true">ROUND(RAND()*4+6,1)</f>
        <v>8.2</v>
      </c>
      <c r="I324" s="5" t="s">
        <v>19</v>
      </c>
      <c r="J324" s="5" t="str">
        <f aca="false">ROUND(90*1,0)&amp;"%"</f>
        <v>90%</v>
      </c>
    </row>
    <row r="325" customFormat="false" ht="15" hidden="false" customHeight="false" outlineLevel="0" collapsed="false">
      <c r="A325" s="6" t="s">
        <v>3535</v>
      </c>
      <c r="B325" s="6" t="s">
        <v>526</v>
      </c>
      <c r="C325" s="6" t="s">
        <v>133</v>
      </c>
      <c r="D325" s="6" t="s">
        <v>22</v>
      </c>
      <c r="E325" s="6" t="n">
        <f aca="false">ROUND(6249*1.05,2)</f>
        <v>6561.45</v>
      </c>
      <c r="F325" s="6" t="s">
        <v>52</v>
      </c>
      <c r="G325" s="6" t="s">
        <v>24</v>
      </c>
      <c r="H325" s="6" t="n">
        <f aca="true">ROUND(RAND()*4+6,1)</f>
        <v>6.9</v>
      </c>
      <c r="I325" s="6" t="s">
        <v>25</v>
      </c>
      <c r="J325" s="6" t="str">
        <f aca="false">ROUND(94*1,0)&amp;"%"</f>
        <v>94%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3536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3537</v>
      </c>
      <c r="B330" s="5" t="s">
        <v>530</v>
      </c>
      <c r="C330" s="5" t="s">
        <v>152</v>
      </c>
      <c r="D330" s="5" t="s">
        <v>16</v>
      </c>
      <c r="E330" s="5" t="n">
        <f aca="false">ROUND(11238*1.05,2)</f>
        <v>11799.9</v>
      </c>
      <c r="F330" s="5" t="s">
        <v>17</v>
      </c>
      <c r="G330" s="5" t="s">
        <v>18</v>
      </c>
      <c r="H330" s="5" t="n">
        <f aca="true">ROUND(RAND()*4+6,1)</f>
        <v>8.3</v>
      </c>
      <c r="I330" s="5" t="s">
        <v>19</v>
      </c>
      <c r="J330" s="5" t="str">
        <f aca="false">ROUND(86*1,0)&amp;"%"</f>
        <v>86%</v>
      </c>
    </row>
    <row r="331" customFormat="false" ht="15" hidden="false" customHeight="false" outlineLevel="0" collapsed="false">
      <c r="A331" s="6" t="s">
        <v>3538</v>
      </c>
      <c r="B331" s="6" t="s">
        <v>532</v>
      </c>
      <c r="C331" s="6" t="s">
        <v>152</v>
      </c>
      <c r="D331" s="6" t="s">
        <v>22</v>
      </c>
      <c r="E331" s="6" t="n">
        <f aca="false">ROUND(14380*1.05,2)</f>
        <v>15099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ROUND(82*1,0)&amp;"%"</f>
        <v>82%</v>
      </c>
    </row>
    <row r="332" customFormat="false" ht="15" hidden="false" customHeight="false" outlineLevel="0" collapsed="false">
      <c r="A332" s="5" t="s">
        <v>3539</v>
      </c>
      <c r="B332" s="5" t="s">
        <v>534</v>
      </c>
      <c r="C332" s="5" t="s">
        <v>152</v>
      </c>
      <c r="D332" s="5" t="s">
        <v>28</v>
      </c>
      <c r="E332" s="5" t="n">
        <f aca="false">ROUND(7199*1.05,2)</f>
        <v>7558.95</v>
      </c>
      <c r="F332" s="5" t="s">
        <v>29</v>
      </c>
      <c r="G332" s="5" t="s">
        <v>30</v>
      </c>
      <c r="H332" s="5" t="n">
        <f aca="true">ROUND(RAND()*4+6,1)</f>
        <v>6.6</v>
      </c>
      <c r="I332" s="5" t="s">
        <v>31</v>
      </c>
      <c r="J332" s="5" t="str">
        <f aca="false">ROUND(85*1,0)&amp;"%"</f>
        <v>85%</v>
      </c>
    </row>
    <row r="333" customFormat="false" ht="15" hidden="false" customHeight="false" outlineLevel="0" collapsed="false">
      <c r="A333" s="6" t="s">
        <v>3540</v>
      </c>
      <c r="B333" s="6" t="s">
        <v>536</v>
      </c>
      <c r="C333" s="6" t="s">
        <v>152</v>
      </c>
      <c r="D333" s="6" t="s">
        <v>34</v>
      </c>
      <c r="E333" s="6" t="n">
        <f aca="false">ROUND(12622*1.05,2)</f>
        <v>13253.1</v>
      </c>
      <c r="F333" s="6" t="s">
        <v>35</v>
      </c>
      <c r="G333" s="6" t="s">
        <v>18</v>
      </c>
      <c r="H333" s="6" t="n">
        <f aca="true">ROUND(RAND()*4+6,1)</f>
        <v>6</v>
      </c>
      <c r="I333" s="6" t="s">
        <v>36</v>
      </c>
      <c r="J333" s="6" t="str">
        <f aca="false">ROUND(99*1,0)&amp;"%"</f>
        <v>99%</v>
      </c>
    </row>
    <row r="334" customFormat="false" ht="15" hidden="false" customHeight="false" outlineLevel="0" collapsed="false">
      <c r="A334" s="5" t="s">
        <v>3541</v>
      </c>
      <c r="B334" s="5" t="s">
        <v>538</v>
      </c>
      <c r="C334" s="5" t="s">
        <v>152</v>
      </c>
      <c r="D334" s="5" t="s">
        <v>39</v>
      </c>
      <c r="E334" s="5" t="n">
        <f aca="false">ROUND(16854*1.05,2)</f>
        <v>17696.7</v>
      </c>
      <c r="F334" s="5" t="s">
        <v>40</v>
      </c>
      <c r="G334" s="5" t="s">
        <v>24</v>
      </c>
      <c r="H334" s="5" t="n">
        <f aca="true">ROUND(RAND()*4+6,1)</f>
        <v>7.9</v>
      </c>
      <c r="I334" s="5" t="s">
        <v>41</v>
      </c>
      <c r="J334" s="5" t="str">
        <f aca="false">ROUND(61*1,0)&amp;"%"</f>
        <v>61%</v>
      </c>
    </row>
    <row r="335" customFormat="false" ht="15" hidden="false" customHeight="false" outlineLevel="0" collapsed="false">
      <c r="A335" s="6" t="s">
        <v>3542</v>
      </c>
      <c r="B335" s="6" t="s">
        <v>540</v>
      </c>
      <c r="C335" s="6" t="s">
        <v>152</v>
      </c>
      <c r="D335" s="6" t="s">
        <v>44</v>
      </c>
      <c r="E335" s="6" t="n">
        <f aca="false">ROUND(16693*1.05,2)</f>
        <v>17527.65</v>
      </c>
      <c r="F335" s="6" t="s">
        <v>45</v>
      </c>
      <c r="G335" s="6" t="s">
        <v>30</v>
      </c>
      <c r="H335" s="6" t="n">
        <f aca="true">ROUND(RAND()*4+6,1)</f>
        <v>7.2</v>
      </c>
      <c r="I335" s="6" t="s">
        <v>46</v>
      </c>
      <c r="J335" s="6" t="str">
        <f aca="false">ROUND(65*1,0)&amp;"%"</f>
        <v>65%</v>
      </c>
    </row>
    <row r="336" customFormat="false" ht="15" hidden="false" customHeight="false" outlineLevel="0" collapsed="false">
      <c r="A336" s="5" t="s">
        <v>3543</v>
      </c>
      <c r="B336" s="5" t="s">
        <v>542</v>
      </c>
      <c r="C336" s="5" t="s">
        <v>152</v>
      </c>
      <c r="D336" s="5" t="s">
        <v>16</v>
      </c>
      <c r="E336" s="5" t="n">
        <f aca="false">ROUND(14218*1.05,2)</f>
        <v>14928.9</v>
      </c>
      <c r="F336" s="5" t="s">
        <v>49</v>
      </c>
      <c r="G336" s="5" t="s">
        <v>18</v>
      </c>
      <c r="H336" s="5" t="n">
        <f aca="true">ROUND(RAND()*4+6,1)</f>
        <v>6.3</v>
      </c>
      <c r="I336" s="5" t="s">
        <v>19</v>
      </c>
      <c r="J336" s="5" t="str">
        <f aca="false">ROUND(72*1,0)&amp;"%"</f>
        <v>72%</v>
      </c>
    </row>
    <row r="337" customFormat="false" ht="15" hidden="false" customHeight="false" outlineLevel="0" collapsed="false">
      <c r="A337" s="6" t="s">
        <v>3544</v>
      </c>
      <c r="B337" s="6" t="s">
        <v>544</v>
      </c>
      <c r="C337" s="6" t="s">
        <v>152</v>
      </c>
      <c r="D337" s="6" t="s">
        <v>22</v>
      </c>
      <c r="E337" s="6" t="n">
        <f aca="false">ROUND(16535*1.05,2)</f>
        <v>17361.75</v>
      </c>
      <c r="F337" s="6" t="s">
        <v>52</v>
      </c>
      <c r="G337" s="6" t="s">
        <v>24</v>
      </c>
      <c r="H337" s="6" t="n">
        <f aca="true">ROUND(RAND()*4+6,1)</f>
        <v>6.5</v>
      </c>
      <c r="I337" s="6" t="s">
        <v>25</v>
      </c>
      <c r="J337" s="6" t="str">
        <f aca="false">ROUND(87*1,0)&amp;"%"</f>
        <v>87%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3545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3546</v>
      </c>
      <c r="B342" s="5" t="s">
        <v>548</v>
      </c>
      <c r="C342" s="5" t="s">
        <v>15</v>
      </c>
      <c r="D342" s="5" t="s">
        <v>16</v>
      </c>
      <c r="E342" s="5" t="n">
        <f aca="false">ROUND(6401*1.05,2)</f>
        <v>6721.05</v>
      </c>
      <c r="F342" s="5" t="s">
        <v>17</v>
      </c>
      <c r="G342" s="5" t="s">
        <v>18</v>
      </c>
      <c r="H342" s="5" t="n">
        <f aca="true">ROUND(RAND()*4+6,1)</f>
        <v>6.8</v>
      </c>
      <c r="I342" s="5" t="s">
        <v>19</v>
      </c>
      <c r="J342" s="5" t="str">
        <f aca="false">ROUND(78*1,0)&amp;"%"</f>
        <v>78%</v>
      </c>
    </row>
    <row r="343" customFormat="false" ht="15" hidden="false" customHeight="false" outlineLevel="0" collapsed="false">
      <c r="A343" s="6" t="s">
        <v>3547</v>
      </c>
      <c r="B343" s="6" t="s">
        <v>550</v>
      </c>
      <c r="C343" s="6" t="s">
        <v>15</v>
      </c>
      <c r="D343" s="6" t="s">
        <v>22</v>
      </c>
      <c r="E343" s="6" t="n">
        <f aca="false">ROUND(12114*1.05,2)</f>
        <v>12719.7</v>
      </c>
      <c r="F343" s="6" t="s">
        <v>23</v>
      </c>
      <c r="G343" s="6" t="s">
        <v>24</v>
      </c>
      <c r="H343" s="6" t="n">
        <f aca="true">ROUND(RAND()*4+6,1)</f>
        <v>8</v>
      </c>
      <c r="I343" s="6" t="s">
        <v>25</v>
      </c>
      <c r="J343" s="6" t="str">
        <f aca="false">ROUND(91*1,0)&amp;"%"</f>
        <v>91%</v>
      </c>
    </row>
    <row r="344" customFormat="false" ht="15" hidden="false" customHeight="false" outlineLevel="0" collapsed="false">
      <c r="A344" s="5" t="s">
        <v>3548</v>
      </c>
      <c r="B344" s="5" t="s">
        <v>552</v>
      </c>
      <c r="C344" s="5" t="s">
        <v>15</v>
      </c>
      <c r="D344" s="5" t="s">
        <v>28</v>
      </c>
      <c r="E344" s="5" t="n">
        <f aca="false">ROUND(9072*1.05,2)</f>
        <v>9525.6</v>
      </c>
      <c r="F344" s="5" t="s">
        <v>29</v>
      </c>
      <c r="G344" s="5" t="s">
        <v>30</v>
      </c>
      <c r="H344" s="5" t="n">
        <f aca="true">ROUND(RAND()*4+6,1)</f>
        <v>8.5</v>
      </c>
      <c r="I344" s="5" t="s">
        <v>31</v>
      </c>
      <c r="J344" s="5" t="str">
        <f aca="false">ROUND(84*1,0)&amp;"%"</f>
        <v>84%</v>
      </c>
    </row>
    <row r="345" customFormat="false" ht="15" hidden="false" customHeight="false" outlineLevel="0" collapsed="false">
      <c r="A345" s="6" t="s">
        <v>3549</v>
      </c>
      <c r="B345" s="6" t="s">
        <v>554</v>
      </c>
      <c r="C345" s="6" t="s">
        <v>15</v>
      </c>
      <c r="D345" s="6" t="s">
        <v>34</v>
      </c>
      <c r="E345" s="6" t="n">
        <f aca="false">ROUND(7004*1.05,2)</f>
        <v>7354.2</v>
      </c>
      <c r="F345" s="6" t="s">
        <v>35</v>
      </c>
      <c r="G345" s="6" t="s">
        <v>18</v>
      </c>
      <c r="H345" s="6" t="n">
        <f aca="true">ROUND(RAND()*4+6,1)</f>
        <v>7.4</v>
      </c>
      <c r="I345" s="6" t="s">
        <v>36</v>
      </c>
      <c r="J345" s="6" t="str">
        <f aca="false">ROUND(62*1,0)&amp;"%"</f>
        <v>62%</v>
      </c>
    </row>
    <row r="346" customFormat="false" ht="15" hidden="false" customHeight="false" outlineLevel="0" collapsed="false">
      <c r="A346" s="5" t="s">
        <v>3550</v>
      </c>
      <c r="B346" s="5" t="s">
        <v>556</v>
      </c>
      <c r="C346" s="5" t="s">
        <v>15</v>
      </c>
      <c r="D346" s="5" t="s">
        <v>39</v>
      </c>
      <c r="E346" s="5" t="n">
        <f aca="false">ROUND(9215*1.05,2)</f>
        <v>9675.75</v>
      </c>
      <c r="F346" s="5" t="s">
        <v>40</v>
      </c>
      <c r="G346" s="5" t="s">
        <v>24</v>
      </c>
      <c r="H346" s="5" t="n">
        <f aca="true">ROUND(RAND()*4+6,1)</f>
        <v>6.6</v>
      </c>
      <c r="I346" s="5" t="s">
        <v>41</v>
      </c>
      <c r="J346" s="5" t="str">
        <f aca="false">ROUND(64*1,0)&amp;"%"</f>
        <v>64%</v>
      </c>
    </row>
    <row r="347" customFormat="false" ht="15" hidden="false" customHeight="false" outlineLevel="0" collapsed="false">
      <c r="A347" s="6" t="s">
        <v>3551</v>
      </c>
      <c r="B347" s="6" t="s">
        <v>558</v>
      </c>
      <c r="C347" s="6" t="s">
        <v>15</v>
      </c>
      <c r="D347" s="6" t="s">
        <v>44</v>
      </c>
      <c r="E347" s="6" t="n">
        <f aca="false">ROUND(11011*1.05,2)</f>
        <v>11561.55</v>
      </c>
      <c r="F347" s="6" t="s">
        <v>45</v>
      </c>
      <c r="G347" s="6" t="s">
        <v>30</v>
      </c>
      <c r="H347" s="6" t="n">
        <f aca="true">ROUND(RAND()*4+6,1)</f>
        <v>7.3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3552</v>
      </c>
      <c r="B348" s="5" t="s">
        <v>560</v>
      </c>
      <c r="C348" s="5" t="s">
        <v>15</v>
      </c>
      <c r="D348" s="5" t="s">
        <v>16</v>
      </c>
      <c r="E348" s="5" t="n">
        <f aca="false">ROUND(7707*1.05,2)</f>
        <v>8092.35</v>
      </c>
      <c r="F348" s="5" t="s">
        <v>49</v>
      </c>
      <c r="G348" s="5" t="s">
        <v>18</v>
      </c>
      <c r="H348" s="5" t="n">
        <f aca="true">ROUND(RAND()*4+6,1)</f>
        <v>8.7</v>
      </c>
      <c r="I348" s="5" t="s">
        <v>19</v>
      </c>
      <c r="J348" s="5" t="str">
        <f aca="false">ROUND(66*1,0)&amp;"%"</f>
        <v>66%</v>
      </c>
    </row>
    <row r="349" customFormat="false" ht="15" hidden="false" customHeight="false" outlineLevel="0" collapsed="false">
      <c r="A349" s="6" t="s">
        <v>3553</v>
      </c>
      <c r="B349" s="6" t="s">
        <v>562</v>
      </c>
      <c r="C349" s="6" t="s">
        <v>15</v>
      </c>
      <c r="D349" s="6" t="s">
        <v>22</v>
      </c>
      <c r="E349" s="6" t="n">
        <f aca="false">ROUND(17476*1.05,2)</f>
        <v>18349.8</v>
      </c>
      <c r="F349" s="6" t="s">
        <v>52</v>
      </c>
      <c r="G349" s="6" t="s">
        <v>24</v>
      </c>
      <c r="H349" s="6" t="n">
        <f aca="true">ROUND(RAND()*4+6,1)</f>
        <v>6</v>
      </c>
      <c r="I349" s="6" t="s">
        <v>25</v>
      </c>
      <c r="J349" s="6" t="str">
        <f aca="false">ROUND(81*1,0)&amp;"%"</f>
        <v>81%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3554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3555</v>
      </c>
      <c r="B354" s="5" t="s">
        <v>566</v>
      </c>
      <c r="C354" s="5" t="s">
        <v>57</v>
      </c>
      <c r="D354" s="5" t="s">
        <v>16</v>
      </c>
      <c r="E354" s="5" t="n">
        <f aca="false">ROUND(13555*1.05,2)</f>
        <v>14232.75</v>
      </c>
      <c r="F354" s="5" t="s">
        <v>17</v>
      </c>
      <c r="G354" s="5" t="s">
        <v>18</v>
      </c>
      <c r="H354" s="5" t="n">
        <f aca="true">ROUND(RAND()*4+6,1)</f>
        <v>7.6</v>
      </c>
      <c r="I354" s="5" t="s">
        <v>19</v>
      </c>
      <c r="J354" s="5" t="str">
        <f aca="false">ROUND(84*1,0)&amp;"%"</f>
        <v>84%</v>
      </c>
    </row>
    <row r="355" customFormat="false" ht="15" hidden="false" customHeight="false" outlineLevel="0" collapsed="false">
      <c r="A355" s="6" t="s">
        <v>3556</v>
      </c>
      <c r="B355" s="6" t="s">
        <v>568</v>
      </c>
      <c r="C355" s="6" t="s">
        <v>57</v>
      </c>
      <c r="D355" s="6" t="s">
        <v>22</v>
      </c>
      <c r="E355" s="6" t="n">
        <f aca="false">ROUND(15522*1.05,2)</f>
        <v>16298.1</v>
      </c>
      <c r="F355" s="6" t="s">
        <v>23</v>
      </c>
      <c r="G355" s="6" t="s">
        <v>24</v>
      </c>
      <c r="H355" s="6" t="n">
        <f aca="true">ROUND(RAND()*4+6,1)</f>
        <v>9.4</v>
      </c>
      <c r="I355" s="6" t="s">
        <v>25</v>
      </c>
      <c r="J355" s="6" t="str">
        <f aca="false">ROUND(92*1,0)&amp;"%"</f>
        <v>92%</v>
      </c>
    </row>
    <row r="356" customFormat="false" ht="15" hidden="false" customHeight="false" outlineLevel="0" collapsed="false">
      <c r="A356" s="5" t="s">
        <v>3557</v>
      </c>
      <c r="B356" s="5" t="s">
        <v>570</v>
      </c>
      <c r="C356" s="5" t="s">
        <v>57</v>
      </c>
      <c r="D356" s="5" t="s">
        <v>28</v>
      </c>
      <c r="E356" s="5" t="n">
        <f aca="false">ROUND(9615*1.05,2)</f>
        <v>10095.75</v>
      </c>
      <c r="F356" s="5" t="s">
        <v>29</v>
      </c>
      <c r="G356" s="5" t="s">
        <v>30</v>
      </c>
      <c r="H356" s="5" t="n">
        <f aca="true">ROUND(RAND()*4+6,1)</f>
        <v>6</v>
      </c>
      <c r="I356" s="5" t="s">
        <v>31</v>
      </c>
      <c r="J356" s="5" t="str">
        <f aca="false">ROUND(61*1,0)&amp;"%"</f>
        <v>61%</v>
      </c>
    </row>
    <row r="357" customFormat="false" ht="15" hidden="false" customHeight="false" outlineLevel="0" collapsed="false">
      <c r="A357" s="6" t="s">
        <v>3558</v>
      </c>
      <c r="B357" s="6" t="s">
        <v>572</v>
      </c>
      <c r="C357" s="6" t="s">
        <v>57</v>
      </c>
      <c r="D357" s="6" t="s">
        <v>34</v>
      </c>
      <c r="E357" s="6" t="n">
        <f aca="false">ROUND(9666*1.05,2)</f>
        <v>10149.3</v>
      </c>
      <c r="F357" s="6" t="s">
        <v>35</v>
      </c>
      <c r="G357" s="6" t="s">
        <v>18</v>
      </c>
      <c r="H357" s="6" t="n">
        <f aca="true">ROUND(RAND()*4+6,1)</f>
        <v>9.5</v>
      </c>
      <c r="I357" s="6" t="s">
        <v>36</v>
      </c>
      <c r="J357" s="6" t="str">
        <f aca="false">ROUND(94*1,0)&amp;"%"</f>
        <v>94%</v>
      </c>
    </row>
    <row r="358" customFormat="false" ht="15" hidden="false" customHeight="false" outlineLevel="0" collapsed="false">
      <c r="A358" s="5" t="s">
        <v>3559</v>
      </c>
      <c r="B358" s="5" t="s">
        <v>574</v>
      </c>
      <c r="C358" s="5" t="s">
        <v>57</v>
      </c>
      <c r="D358" s="5" t="s">
        <v>39</v>
      </c>
      <c r="E358" s="5" t="n">
        <f aca="false">ROUND(4881*1.05,2)</f>
        <v>5125.05</v>
      </c>
      <c r="F358" s="5" t="s">
        <v>40</v>
      </c>
      <c r="G358" s="5" t="s">
        <v>24</v>
      </c>
      <c r="H358" s="5" t="n">
        <f aca="true">ROUND(RAND()*4+6,1)</f>
        <v>7.3</v>
      </c>
      <c r="I358" s="5" t="s">
        <v>41</v>
      </c>
      <c r="J358" s="5" t="str">
        <f aca="false">ROUND(69*1,0)&amp;"%"</f>
        <v>69%</v>
      </c>
    </row>
    <row r="359" customFormat="false" ht="15" hidden="false" customHeight="false" outlineLevel="0" collapsed="false">
      <c r="A359" s="6" t="s">
        <v>3560</v>
      </c>
      <c r="B359" s="6" t="s">
        <v>576</v>
      </c>
      <c r="C359" s="6" t="s">
        <v>57</v>
      </c>
      <c r="D359" s="6" t="s">
        <v>44</v>
      </c>
      <c r="E359" s="6" t="n">
        <f aca="false">ROUND(14892*1.05,2)</f>
        <v>15636.6</v>
      </c>
      <c r="F359" s="6" t="s">
        <v>45</v>
      </c>
      <c r="G359" s="6" t="s">
        <v>30</v>
      </c>
      <c r="H359" s="6" t="n">
        <f aca="true">ROUND(RAND()*4+6,1)</f>
        <v>7.7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3561</v>
      </c>
      <c r="B360" s="5" t="s">
        <v>578</v>
      </c>
      <c r="C360" s="5" t="s">
        <v>57</v>
      </c>
      <c r="D360" s="5" t="s">
        <v>16</v>
      </c>
      <c r="E360" s="5" t="n">
        <f aca="false">ROUND(11337*1.05,2)</f>
        <v>11903.85</v>
      </c>
      <c r="F360" s="5" t="s">
        <v>49</v>
      </c>
      <c r="G360" s="5" t="s">
        <v>18</v>
      </c>
      <c r="H360" s="5" t="n">
        <f aca="true">ROUND(RAND()*4+6,1)</f>
        <v>9.2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3562</v>
      </c>
      <c r="B361" s="6" t="s">
        <v>580</v>
      </c>
      <c r="C361" s="6" t="s">
        <v>57</v>
      </c>
      <c r="D361" s="6" t="s">
        <v>22</v>
      </c>
      <c r="E361" s="6" t="n">
        <f aca="false">ROUND(17134*1.05,2)</f>
        <v>17990.7</v>
      </c>
      <c r="F361" s="6" t="s">
        <v>52</v>
      </c>
      <c r="G361" s="6" t="s">
        <v>24</v>
      </c>
      <c r="H361" s="6" t="n">
        <f aca="true">ROUND(RAND()*4+6,1)</f>
        <v>7.7</v>
      </c>
      <c r="I361" s="6" t="s">
        <v>25</v>
      </c>
      <c r="J361" s="6" t="str">
        <f aca="false">ROUND(76*1,0)&amp;"%"</f>
        <v>76%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3563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3564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3565</v>
      </c>
      <c r="B6" s="5" t="s">
        <v>14</v>
      </c>
      <c r="C6" s="5" t="s">
        <v>15</v>
      </c>
      <c r="D6" s="5" t="s">
        <v>16</v>
      </c>
      <c r="E6" s="5" t="n">
        <f aca="false">ROUND(7692*1.05,2)</f>
        <v>8076.6</v>
      </c>
      <c r="F6" s="5" t="s">
        <v>17</v>
      </c>
      <c r="G6" s="5" t="s">
        <v>18</v>
      </c>
      <c r="H6" s="5" t="n">
        <f aca="true">ROUND(RAND()*4+6,1)</f>
        <v>7.8</v>
      </c>
      <c r="I6" s="5" t="s">
        <v>19</v>
      </c>
      <c r="J6" s="5" t="str">
        <f aca="false">ROUND(99*1,0)&amp;"%"</f>
        <v>99%</v>
      </c>
    </row>
    <row r="7" customFormat="false" ht="15" hidden="false" customHeight="false" outlineLevel="0" collapsed="false">
      <c r="A7" s="6" t="s">
        <v>3566</v>
      </c>
      <c r="B7" s="6" t="s">
        <v>21</v>
      </c>
      <c r="C7" s="6" t="s">
        <v>15</v>
      </c>
      <c r="D7" s="6" t="s">
        <v>22</v>
      </c>
      <c r="E7" s="6" t="n">
        <f aca="false">ROUND(5341*1.05,2)</f>
        <v>5608.05</v>
      </c>
      <c r="F7" s="6" t="s">
        <v>23</v>
      </c>
      <c r="G7" s="6" t="s">
        <v>24</v>
      </c>
      <c r="H7" s="6" t="n">
        <f aca="true">ROUND(RAND()*4+6,1)</f>
        <v>8.5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3567</v>
      </c>
      <c r="B8" s="5" t="s">
        <v>27</v>
      </c>
      <c r="C8" s="5" t="s">
        <v>15</v>
      </c>
      <c r="D8" s="5" t="s">
        <v>28</v>
      </c>
      <c r="E8" s="5" t="n">
        <f aca="false">ROUND(17724*1.05,2)</f>
        <v>18610.2</v>
      </c>
      <c r="F8" s="5" t="s">
        <v>29</v>
      </c>
      <c r="G8" s="5" t="s">
        <v>30</v>
      </c>
      <c r="H8" s="5" t="n">
        <f aca="true">ROUND(RAND()*4+6,1)</f>
        <v>8.9</v>
      </c>
      <c r="I8" s="5" t="s">
        <v>31</v>
      </c>
      <c r="J8" s="5" t="str">
        <f aca="false">ROUND(65*1,0)&amp;"%"</f>
        <v>65%</v>
      </c>
    </row>
    <row r="9" customFormat="false" ht="15" hidden="false" customHeight="false" outlineLevel="0" collapsed="false">
      <c r="A9" s="6" t="s">
        <v>3568</v>
      </c>
      <c r="B9" s="6" t="s">
        <v>33</v>
      </c>
      <c r="C9" s="6" t="s">
        <v>15</v>
      </c>
      <c r="D9" s="6" t="s">
        <v>34</v>
      </c>
      <c r="E9" s="6" t="n">
        <f aca="false">ROUND(17601*1.05,2)</f>
        <v>18481.05</v>
      </c>
      <c r="F9" s="6" t="s">
        <v>35</v>
      </c>
      <c r="G9" s="6" t="s">
        <v>18</v>
      </c>
      <c r="H9" s="6" t="n">
        <f aca="true">ROUND(RAND()*4+6,1)</f>
        <v>7.5</v>
      </c>
      <c r="I9" s="6" t="s">
        <v>36</v>
      </c>
      <c r="J9" s="6" t="str">
        <f aca="false">ROUND(84*1,0)&amp;"%"</f>
        <v>84%</v>
      </c>
    </row>
    <row r="10" customFormat="false" ht="15" hidden="false" customHeight="false" outlineLevel="0" collapsed="false">
      <c r="A10" s="5" t="s">
        <v>3569</v>
      </c>
      <c r="B10" s="5" t="s">
        <v>38</v>
      </c>
      <c r="C10" s="5" t="s">
        <v>15</v>
      </c>
      <c r="D10" s="5" t="s">
        <v>39</v>
      </c>
      <c r="E10" s="5" t="n">
        <f aca="false">ROUND(10375*1.05,2)</f>
        <v>10893.75</v>
      </c>
      <c r="F10" s="5" t="s">
        <v>40</v>
      </c>
      <c r="G10" s="5" t="s">
        <v>24</v>
      </c>
      <c r="H10" s="5" t="n">
        <f aca="true">ROUND(RAND()*4+6,1)</f>
        <v>9.6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3570</v>
      </c>
      <c r="B11" s="6" t="s">
        <v>43</v>
      </c>
      <c r="C11" s="6" t="s">
        <v>15</v>
      </c>
      <c r="D11" s="6" t="s">
        <v>44</v>
      </c>
      <c r="E11" s="6" t="n">
        <f aca="false">ROUND(13272*1.05,2)</f>
        <v>13935.6</v>
      </c>
      <c r="F11" s="6" t="s">
        <v>45</v>
      </c>
      <c r="G11" s="6" t="s">
        <v>30</v>
      </c>
      <c r="H11" s="6" t="n">
        <f aca="true">ROUND(RAND()*4+6,1)</f>
        <v>8.4</v>
      </c>
      <c r="I11" s="6" t="s">
        <v>46</v>
      </c>
      <c r="J11" s="6" t="str">
        <f aca="false">ROUND(64*1,0)&amp;"%"</f>
        <v>64%</v>
      </c>
    </row>
    <row r="12" customFormat="false" ht="15" hidden="false" customHeight="false" outlineLevel="0" collapsed="false">
      <c r="A12" s="5" t="s">
        <v>3571</v>
      </c>
      <c r="B12" s="5" t="s">
        <v>48</v>
      </c>
      <c r="C12" s="5" t="s">
        <v>15</v>
      </c>
      <c r="D12" s="5" t="s">
        <v>16</v>
      </c>
      <c r="E12" s="5" t="n">
        <f aca="false">ROUND(6872*1.05,2)</f>
        <v>7215.6</v>
      </c>
      <c r="F12" s="5" t="s">
        <v>49</v>
      </c>
      <c r="G12" s="5" t="s">
        <v>18</v>
      </c>
      <c r="H12" s="5" t="n">
        <f aca="true">ROUND(RAND()*4+6,1)</f>
        <v>8.1</v>
      </c>
      <c r="I12" s="5" t="s">
        <v>19</v>
      </c>
      <c r="J12" s="5" t="str">
        <f aca="false">ROUND(75*1,0)&amp;"%"</f>
        <v>75%</v>
      </c>
    </row>
    <row r="13" customFormat="false" ht="15" hidden="false" customHeight="false" outlineLevel="0" collapsed="false">
      <c r="A13" s="6" t="s">
        <v>3572</v>
      </c>
      <c r="B13" s="6" t="s">
        <v>51</v>
      </c>
      <c r="C13" s="6" t="s">
        <v>15</v>
      </c>
      <c r="D13" s="6" t="s">
        <v>22</v>
      </c>
      <c r="E13" s="6" t="n">
        <f aca="false">ROUND(14304*1.05,2)</f>
        <v>15019.2</v>
      </c>
      <c r="F13" s="6" t="s">
        <v>52</v>
      </c>
      <c r="G13" s="6" t="s">
        <v>24</v>
      </c>
      <c r="H13" s="6" t="n">
        <f aca="true">ROUND(RAND()*4+6,1)</f>
        <v>8.2</v>
      </c>
      <c r="I13" s="6" t="s">
        <v>25</v>
      </c>
      <c r="J13" s="6" t="str">
        <f aca="false">ROUND(90*1,0)&amp;"%"</f>
        <v>90%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3573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3574</v>
      </c>
      <c r="B18" s="5" t="s">
        <v>56</v>
      </c>
      <c r="C18" s="5" t="s">
        <v>57</v>
      </c>
      <c r="D18" s="5" t="s">
        <v>16</v>
      </c>
      <c r="E18" s="5" t="n">
        <f aca="false">ROUND(9237*1.05,2)</f>
        <v>9698.85</v>
      </c>
      <c r="F18" s="5" t="s">
        <v>17</v>
      </c>
      <c r="G18" s="5" t="s">
        <v>18</v>
      </c>
      <c r="H18" s="5" t="n">
        <f aca="true">ROUND(RAND()*4+6,1)</f>
        <v>10</v>
      </c>
      <c r="I18" s="5" t="s">
        <v>19</v>
      </c>
      <c r="J18" s="5" t="str">
        <f aca="false">ROUND(91*1,0)&amp;"%"</f>
        <v>91%</v>
      </c>
    </row>
    <row r="19" customFormat="false" ht="15" hidden="false" customHeight="false" outlineLevel="0" collapsed="false">
      <c r="A19" s="6" t="s">
        <v>3575</v>
      </c>
      <c r="B19" s="6" t="s">
        <v>59</v>
      </c>
      <c r="C19" s="6" t="s">
        <v>57</v>
      </c>
      <c r="D19" s="6" t="s">
        <v>22</v>
      </c>
      <c r="E19" s="6" t="n">
        <f aca="false">ROUND(4572*1.05,2)</f>
        <v>4800.6</v>
      </c>
      <c r="F19" s="6" t="s">
        <v>23</v>
      </c>
      <c r="G19" s="6" t="s">
        <v>24</v>
      </c>
      <c r="H19" s="6" t="n">
        <f aca="true">ROUND(RAND()*4+6,1)</f>
        <v>7.6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3576</v>
      </c>
      <c r="B20" s="5" t="s">
        <v>61</v>
      </c>
      <c r="C20" s="5" t="s">
        <v>57</v>
      </c>
      <c r="D20" s="5" t="s">
        <v>28</v>
      </c>
      <c r="E20" s="5" t="n">
        <f aca="false">ROUND(15292*1.05,2)</f>
        <v>16056.6</v>
      </c>
      <c r="F20" s="5" t="s">
        <v>29</v>
      </c>
      <c r="G20" s="5" t="s">
        <v>30</v>
      </c>
      <c r="H20" s="5" t="n">
        <f aca="true">ROUND(RAND()*4+6,1)</f>
        <v>10</v>
      </c>
      <c r="I20" s="5" t="s">
        <v>31</v>
      </c>
      <c r="J20" s="5" t="str">
        <f aca="false">ROUND(98*1,0)&amp;"%"</f>
        <v>98%</v>
      </c>
    </row>
    <row r="21" customFormat="false" ht="15" hidden="false" customHeight="false" outlineLevel="0" collapsed="false">
      <c r="A21" s="6" t="s">
        <v>3577</v>
      </c>
      <c r="B21" s="6" t="s">
        <v>63</v>
      </c>
      <c r="C21" s="6" t="s">
        <v>57</v>
      </c>
      <c r="D21" s="6" t="s">
        <v>34</v>
      </c>
      <c r="E21" s="6" t="n">
        <f aca="false">ROUND(6925*1.05,2)</f>
        <v>7271.25</v>
      </c>
      <c r="F21" s="6" t="s">
        <v>35</v>
      </c>
      <c r="G21" s="6" t="s">
        <v>18</v>
      </c>
      <c r="H21" s="6" t="n">
        <f aca="true">ROUND(RAND()*4+6,1)</f>
        <v>8.8</v>
      </c>
      <c r="I21" s="6" t="s">
        <v>36</v>
      </c>
      <c r="J21" s="6" t="str">
        <f aca="false">ROUND(97*1,0)&amp;"%"</f>
        <v>97%</v>
      </c>
    </row>
    <row r="22" customFormat="false" ht="15" hidden="false" customHeight="false" outlineLevel="0" collapsed="false">
      <c r="A22" s="5" t="s">
        <v>3578</v>
      </c>
      <c r="B22" s="5" t="s">
        <v>65</v>
      </c>
      <c r="C22" s="5" t="s">
        <v>57</v>
      </c>
      <c r="D22" s="5" t="s">
        <v>39</v>
      </c>
      <c r="E22" s="5" t="n">
        <f aca="false">ROUND(7231*1.05,2)</f>
        <v>7592.55</v>
      </c>
      <c r="F22" s="5" t="s">
        <v>40</v>
      </c>
      <c r="G22" s="5" t="s">
        <v>24</v>
      </c>
      <c r="H22" s="5" t="n">
        <f aca="true">ROUND(RAND()*4+6,1)</f>
        <v>8.7</v>
      </c>
      <c r="I22" s="5" t="s">
        <v>41</v>
      </c>
      <c r="J22" s="5" t="str">
        <f aca="false">ROUND(90*1,0)&amp;"%"</f>
        <v>90%</v>
      </c>
    </row>
    <row r="23" customFormat="false" ht="15" hidden="false" customHeight="false" outlineLevel="0" collapsed="false">
      <c r="A23" s="6" t="s">
        <v>3579</v>
      </c>
      <c r="B23" s="6" t="s">
        <v>67</v>
      </c>
      <c r="C23" s="6" t="s">
        <v>57</v>
      </c>
      <c r="D23" s="6" t="s">
        <v>44</v>
      </c>
      <c r="E23" s="6" t="n">
        <f aca="false">ROUND(7736*1.05,2)</f>
        <v>8122.8</v>
      </c>
      <c r="F23" s="6" t="s">
        <v>45</v>
      </c>
      <c r="G23" s="6" t="s">
        <v>30</v>
      </c>
      <c r="H23" s="6" t="n">
        <f aca="true">ROUND(RAND()*4+6,1)</f>
        <v>6.4</v>
      </c>
      <c r="I23" s="6" t="s">
        <v>46</v>
      </c>
      <c r="J23" s="6" t="str">
        <f aca="false">ROUND(62*1,0)&amp;"%"</f>
        <v>62%</v>
      </c>
    </row>
    <row r="24" customFormat="false" ht="15" hidden="false" customHeight="false" outlineLevel="0" collapsed="false">
      <c r="A24" s="5" t="s">
        <v>3580</v>
      </c>
      <c r="B24" s="5" t="s">
        <v>69</v>
      </c>
      <c r="C24" s="5" t="s">
        <v>57</v>
      </c>
      <c r="D24" s="5" t="s">
        <v>16</v>
      </c>
      <c r="E24" s="5" t="n">
        <f aca="false">ROUND(5447*1.05,2)</f>
        <v>5719.35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ROUND(74*1,0)&amp;"%"</f>
        <v>74%</v>
      </c>
    </row>
    <row r="25" customFormat="false" ht="15" hidden="false" customHeight="false" outlineLevel="0" collapsed="false">
      <c r="A25" s="6" t="s">
        <v>3581</v>
      </c>
      <c r="B25" s="6" t="s">
        <v>71</v>
      </c>
      <c r="C25" s="6" t="s">
        <v>57</v>
      </c>
      <c r="D25" s="6" t="s">
        <v>22</v>
      </c>
      <c r="E25" s="6" t="n">
        <f aca="false">ROUND(14288*1.05,2)</f>
        <v>15002.4</v>
      </c>
      <c r="F25" s="6" t="s">
        <v>52</v>
      </c>
      <c r="G25" s="6" t="s">
        <v>24</v>
      </c>
      <c r="H25" s="6" t="n">
        <f aca="true">ROUND(RAND()*4+6,1)</f>
        <v>6.9</v>
      </c>
      <c r="I25" s="6" t="s">
        <v>25</v>
      </c>
      <c r="J25" s="6" t="str">
        <f aca="false">ROUND(95*1,0)&amp;"%"</f>
        <v>95%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3582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3583</v>
      </c>
      <c r="B30" s="5" t="s">
        <v>75</v>
      </c>
      <c r="C30" s="5" t="s">
        <v>76</v>
      </c>
      <c r="D30" s="5" t="s">
        <v>16</v>
      </c>
      <c r="E30" s="5" t="n">
        <f aca="false">ROUND(10041*1.05,2)</f>
        <v>10543.05</v>
      </c>
      <c r="F30" s="5" t="s">
        <v>17</v>
      </c>
      <c r="G30" s="5" t="s">
        <v>18</v>
      </c>
      <c r="H30" s="5" t="n">
        <f aca="true">ROUND(RAND()*4+6,1)</f>
        <v>8.3</v>
      </c>
      <c r="I30" s="5" t="s">
        <v>19</v>
      </c>
      <c r="J30" s="5" t="str">
        <f aca="false">ROUND(76*1,0)&amp;"%"</f>
        <v>76%</v>
      </c>
    </row>
    <row r="31" customFormat="false" ht="15" hidden="false" customHeight="false" outlineLevel="0" collapsed="false">
      <c r="A31" s="6" t="s">
        <v>3584</v>
      </c>
      <c r="B31" s="6" t="s">
        <v>78</v>
      </c>
      <c r="C31" s="6" t="s">
        <v>76</v>
      </c>
      <c r="D31" s="6" t="s">
        <v>22</v>
      </c>
      <c r="E31" s="6" t="n">
        <f aca="false">ROUND(6235*1.05,2)</f>
        <v>6546.75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ROUND(85*1,0)&amp;"%"</f>
        <v>85%</v>
      </c>
    </row>
    <row r="32" customFormat="false" ht="15" hidden="false" customHeight="false" outlineLevel="0" collapsed="false">
      <c r="A32" s="5" t="s">
        <v>3585</v>
      </c>
      <c r="B32" s="5" t="s">
        <v>80</v>
      </c>
      <c r="C32" s="5" t="s">
        <v>76</v>
      </c>
      <c r="D32" s="5" t="s">
        <v>28</v>
      </c>
      <c r="E32" s="5" t="n">
        <f aca="false">ROUND(17953*1.05,2)</f>
        <v>18850.65</v>
      </c>
      <c r="F32" s="5" t="s">
        <v>29</v>
      </c>
      <c r="G32" s="5" t="s">
        <v>30</v>
      </c>
      <c r="H32" s="5" t="n">
        <f aca="true">ROUND(RAND()*4+6,1)</f>
        <v>8.7</v>
      </c>
      <c r="I32" s="5" t="s">
        <v>31</v>
      </c>
      <c r="J32" s="5" t="str">
        <f aca="false">ROUND(91*1,0)&amp;"%"</f>
        <v>91%</v>
      </c>
    </row>
    <row r="33" customFormat="false" ht="15" hidden="false" customHeight="false" outlineLevel="0" collapsed="false">
      <c r="A33" s="6" t="s">
        <v>3586</v>
      </c>
      <c r="B33" s="6" t="s">
        <v>82</v>
      </c>
      <c r="C33" s="6" t="s">
        <v>76</v>
      </c>
      <c r="D33" s="6" t="s">
        <v>34</v>
      </c>
      <c r="E33" s="6" t="n">
        <f aca="false">ROUND(7816*1.05,2)</f>
        <v>8206.8</v>
      </c>
      <c r="F33" s="6" t="s">
        <v>35</v>
      </c>
      <c r="G33" s="6" t="s">
        <v>18</v>
      </c>
      <c r="H33" s="6" t="n">
        <f aca="true">ROUND(RAND()*4+6,1)</f>
        <v>7.5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3587</v>
      </c>
      <c r="B34" s="5" t="s">
        <v>84</v>
      </c>
      <c r="C34" s="5" t="s">
        <v>76</v>
      </c>
      <c r="D34" s="5" t="s">
        <v>39</v>
      </c>
      <c r="E34" s="5" t="n">
        <f aca="false">ROUND(9493*1.05,2)</f>
        <v>9967.65</v>
      </c>
      <c r="F34" s="5" t="s">
        <v>40</v>
      </c>
      <c r="G34" s="5" t="s">
        <v>24</v>
      </c>
      <c r="H34" s="5" t="n">
        <f aca="true">ROUND(RAND()*4+6,1)</f>
        <v>9.2</v>
      </c>
      <c r="I34" s="5" t="s">
        <v>41</v>
      </c>
      <c r="J34" s="5" t="str">
        <f aca="false">ROUND(93*1,0)&amp;"%"</f>
        <v>93%</v>
      </c>
    </row>
    <row r="35" customFormat="false" ht="15" hidden="false" customHeight="false" outlineLevel="0" collapsed="false">
      <c r="A35" s="6" t="s">
        <v>3588</v>
      </c>
      <c r="B35" s="6" t="s">
        <v>86</v>
      </c>
      <c r="C35" s="6" t="s">
        <v>76</v>
      </c>
      <c r="D35" s="6" t="s">
        <v>44</v>
      </c>
      <c r="E35" s="6" t="n">
        <f aca="false">ROUND(11167*1.05,2)</f>
        <v>11725.35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ROUND(89*1,0)&amp;"%"</f>
        <v>89%</v>
      </c>
    </row>
    <row r="36" customFormat="false" ht="15" hidden="false" customHeight="false" outlineLevel="0" collapsed="false">
      <c r="A36" s="5" t="s">
        <v>3589</v>
      </c>
      <c r="B36" s="5" t="s">
        <v>88</v>
      </c>
      <c r="C36" s="5" t="s">
        <v>76</v>
      </c>
      <c r="D36" s="5" t="s">
        <v>16</v>
      </c>
      <c r="E36" s="5" t="n">
        <f aca="false">ROUND(13758*1.05,2)</f>
        <v>14445.9</v>
      </c>
      <c r="F36" s="5" t="s">
        <v>49</v>
      </c>
      <c r="G36" s="5" t="s">
        <v>18</v>
      </c>
      <c r="H36" s="5" t="n">
        <f aca="true">ROUND(RAND()*4+6,1)</f>
        <v>8.3</v>
      </c>
      <c r="I36" s="5" t="s">
        <v>19</v>
      </c>
      <c r="J36" s="5" t="str">
        <f aca="false">ROUND(60*1,0)&amp;"%"</f>
        <v>60%</v>
      </c>
    </row>
    <row r="37" customFormat="false" ht="15" hidden="false" customHeight="false" outlineLevel="0" collapsed="false">
      <c r="A37" s="6" t="s">
        <v>3590</v>
      </c>
      <c r="B37" s="6" t="s">
        <v>90</v>
      </c>
      <c r="C37" s="6" t="s">
        <v>76</v>
      </c>
      <c r="D37" s="6" t="s">
        <v>22</v>
      </c>
      <c r="E37" s="6" t="n">
        <f aca="false">ROUND(11647*1.05,2)</f>
        <v>12229.35</v>
      </c>
      <c r="F37" s="6" t="s">
        <v>52</v>
      </c>
      <c r="G37" s="6" t="s">
        <v>24</v>
      </c>
      <c r="H37" s="6" t="n">
        <f aca="true">ROUND(RAND()*4+6,1)</f>
        <v>7.1</v>
      </c>
      <c r="I37" s="6" t="s">
        <v>25</v>
      </c>
      <c r="J37" s="6" t="str">
        <f aca="false">ROUND(81*1,0)&amp;"%"</f>
        <v>81%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3591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3592</v>
      </c>
      <c r="B42" s="5" t="s">
        <v>94</v>
      </c>
      <c r="C42" s="5" t="s">
        <v>95</v>
      </c>
      <c r="D42" s="5" t="s">
        <v>16</v>
      </c>
      <c r="E42" s="5" t="n">
        <f aca="false">ROUND(5625*1.05,2)</f>
        <v>5906.25</v>
      </c>
      <c r="F42" s="5" t="s">
        <v>17</v>
      </c>
      <c r="G42" s="5" t="s">
        <v>18</v>
      </c>
      <c r="H42" s="5" t="n">
        <f aca="true">ROUND(RAND()*4+6,1)</f>
        <v>6.1</v>
      </c>
      <c r="I42" s="5" t="s">
        <v>19</v>
      </c>
      <c r="J42" s="5" t="str">
        <f aca="false">ROUND(100*1,0)&amp;"%"</f>
        <v>100%</v>
      </c>
    </row>
    <row r="43" customFormat="false" ht="15" hidden="false" customHeight="false" outlineLevel="0" collapsed="false">
      <c r="A43" s="6" t="s">
        <v>3593</v>
      </c>
      <c r="B43" s="6" t="s">
        <v>97</v>
      </c>
      <c r="C43" s="6" t="s">
        <v>95</v>
      </c>
      <c r="D43" s="6" t="s">
        <v>22</v>
      </c>
      <c r="E43" s="6" t="n">
        <f aca="false">ROUND(4828*1.05,2)</f>
        <v>5069.4</v>
      </c>
      <c r="F43" s="6" t="s">
        <v>23</v>
      </c>
      <c r="G43" s="6" t="s">
        <v>24</v>
      </c>
      <c r="H43" s="6" t="n">
        <f aca="true">ROUND(RAND()*4+6,1)</f>
        <v>9.8</v>
      </c>
      <c r="I43" s="6" t="s">
        <v>25</v>
      </c>
      <c r="J43" s="6" t="str">
        <f aca="false">ROUND(91*1,0)&amp;"%"</f>
        <v>91%</v>
      </c>
    </row>
    <row r="44" customFormat="false" ht="15" hidden="false" customHeight="false" outlineLevel="0" collapsed="false">
      <c r="A44" s="5" t="s">
        <v>3594</v>
      </c>
      <c r="B44" s="5" t="s">
        <v>99</v>
      </c>
      <c r="C44" s="5" t="s">
        <v>95</v>
      </c>
      <c r="D44" s="5" t="s">
        <v>28</v>
      </c>
      <c r="E44" s="5" t="n">
        <f aca="false">ROUND(4099*1.05,2)</f>
        <v>4303.95</v>
      </c>
      <c r="F44" s="5" t="s">
        <v>29</v>
      </c>
      <c r="G44" s="5" t="s">
        <v>30</v>
      </c>
      <c r="H44" s="5" t="n">
        <f aca="true">ROUND(RAND()*4+6,1)</f>
        <v>7.5</v>
      </c>
      <c r="I44" s="5" t="s">
        <v>31</v>
      </c>
      <c r="J44" s="5" t="str">
        <f aca="false">ROUND(96*1,0)&amp;"%"</f>
        <v>96%</v>
      </c>
    </row>
    <row r="45" customFormat="false" ht="15" hidden="false" customHeight="false" outlineLevel="0" collapsed="false">
      <c r="A45" s="6" t="s">
        <v>3595</v>
      </c>
      <c r="B45" s="6" t="s">
        <v>101</v>
      </c>
      <c r="C45" s="6" t="s">
        <v>95</v>
      </c>
      <c r="D45" s="6" t="s">
        <v>34</v>
      </c>
      <c r="E45" s="6" t="n">
        <f aca="false">ROUND(17598*1.05,2)</f>
        <v>18477.9</v>
      </c>
      <c r="F45" s="6" t="s">
        <v>35</v>
      </c>
      <c r="G45" s="6" t="s">
        <v>18</v>
      </c>
      <c r="H45" s="6" t="n">
        <f aca="true">ROUND(RAND()*4+6,1)</f>
        <v>8.1</v>
      </c>
      <c r="I45" s="6" t="s">
        <v>36</v>
      </c>
      <c r="J45" s="6" t="str">
        <f aca="false">ROUND(66*1,0)&amp;"%"</f>
        <v>66%</v>
      </c>
    </row>
    <row r="46" customFormat="false" ht="15" hidden="false" customHeight="false" outlineLevel="0" collapsed="false">
      <c r="A46" s="5" t="s">
        <v>3596</v>
      </c>
      <c r="B46" s="5" t="s">
        <v>103</v>
      </c>
      <c r="C46" s="5" t="s">
        <v>95</v>
      </c>
      <c r="D46" s="5" t="s">
        <v>39</v>
      </c>
      <c r="E46" s="5" t="n">
        <f aca="false">ROUND(7783*1.05,2)</f>
        <v>8172.15</v>
      </c>
      <c r="F46" s="5" t="s">
        <v>40</v>
      </c>
      <c r="G46" s="5" t="s">
        <v>24</v>
      </c>
      <c r="H46" s="5" t="n">
        <f aca="true">ROUND(RAND()*4+6,1)</f>
        <v>6.9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3597</v>
      </c>
      <c r="B47" s="6" t="s">
        <v>105</v>
      </c>
      <c r="C47" s="6" t="s">
        <v>95</v>
      </c>
      <c r="D47" s="6" t="s">
        <v>44</v>
      </c>
      <c r="E47" s="6" t="n">
        <f aca="false">ROUND(6924*1.05,2)</f>
        <v>7270.2</v>
      </c>
      <c r="F47" s="6" t="s">
        <v>45</v>
      </c>
      <c r="G47" s="6" t="s">
        <v>30</v>
      </c>
      <c r="H47" s="6" t="n">
        <f aca="true">ROUND(RAND()*4+6,1)</f>
        <v>7.2</v>
      </c>
      <c r="I47" s="6" t="s">
        <v>46</v>
      </c>
      <c r="J47" s="6" t="str">
        <f aca="false">ROUND(80*1,0)&amp;"%"</f>
        <v>80%</v>
      </c>
    </row>
    <row r="48" customFormat="false" ht="15" hidden="false" customHeight="false" outlineLevel="0" collapsed="false">
      <c r="A48" s="5" t="s">
        <v>3598</v>
      </c>
      <c r="B48" s="5" t="s">
        <v>107</v>
      </c>
      <c r="C48" s="5" t="s">
        <v>95</v>
      </c>
      <c r="D48" s="5" t="s">
        <v>16</v>
      </c>
      <c r="E48" s="5" t="n">
        <f aca="false">ROUND(15911*1.05,2)</f>
        <v>16706.55</v>
      </c>
      <c r="F48" s="5" t="s">
        <v>49</v>
      </c>
      <c r="G48" s="5" t="s">
        <v>18</v>
      </c>
      <c r="H48" s="5" t="n">
        <f aca="true">ROUND(RAND()*4+6,1)</f>
        <v>8.5</v>
      </c>
      <c r="I48" s="5" t="s">
        <v>19</v>
      </c>
      <c r="J48" s="5" t="str">
        <f aca="false">ROUND(86*1,0)&amp;"%"</f>
        <v>86%</v>
      </c>
    </row>
    <row r="49" customFormat="false" ht="15" hidden="false" customHeight="false" outlineLevel="0" collapsed="false">
      <c r="A49" s="6" t="s">
        <v>3599</v>
      </c>
      <c r="B49" s="6" t="s">
        <v>109</v>
      </c>
      <c r="C49" s="6" t="s">
        <v>95</v>
      </c>
      <c r="D49" s="6" t="s">
        <v>22</v>
      </c>
      <c r="E49" s="6" t="n">
        <f aca="false">ROUND(6173*1.05,2)</f>
        <v>6481.65</v>
      </c>
      <c r="F49" s="6" t="s">
        <v>52</v>
      </c>
      <c r="G49" s="6" t="s">
        <v>24</v>
      </c>
      <c r="H49" s="6" t="n">
        <f aca="true">ROUND(RAND()*4+6,1)</f>
        <v>6.4</v>
      </c>
      <c r="I49" s="6" t="s">
        <v>25</v>
      </c>
      <c r="J49" s="6" t="str">
        <f aca="false">ROUND(71*1,0)&amp;"%"</f>
        <v>71%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3600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3601</v>
      </c>
      <c r="B54" s="5" t="s">
        <v>113</v>
      </c>
      <c r="C54" s="5" t="s">
        <v>114</v>
      </c>
      <c r="D54" s="5" t="s">
        <v>16</v>
      </c>
      <c r="E54" s="5" t="n">
        <f aca="false">ROUND(9608*1.05,2)</f>
        <v>10088.4</v>
      </c>
      <c r="F54" s="5" t="s">
        <v>17</v>
      </c>
      <c r="G54" s="5" t="s">
        <v>18</v>
      </c>
      <c r="H54" s="5" t="n">
        <f aca="true">ROUND(RAND()*4+6,1)</f>
        <v>7.8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3602</v>
      </c>
      <c r="B55" s="6" t="s">
        <v>116</v>
      </c>
      <c r="C55" s="6" t="s">
        <v>114</v>
      </c>
      <c r="D55" s="6" t="s">
        <v>22</v>
      </c>
      <c r="E55" s="6" t="n">
        <f aca="false">ROUND(10995*1.05,2)</f>
        <v>11544.75</v>
      </c>
      <c r="F55" s="6" t="s">
        <v>23</v>
      </c>
      <c r="G55" s="6" t="s">
        <v>24</v>
      </c>
      <c r="H55" s="6" t="n">
        <f aca="true">ROUND(RAND()*4+6,1)</f>
        <v>9.2</v>
      </c>
      <c r="I55" s="6" t="s">
        <v>25</v>
      </c>
      <c r="J55" s="6" t="str">
        <f aca="false">ROUND(74*1,0)&amp;"%"</f>
        <v>74%</v>
      </c>
    </row>
    <row r="56" customFormat="false" ht="15" hidden="false" customHeight="false" outlineLevel="0" collapsed="false">
      <c r="A56" s="5" t="s">
        <v>3603</v>
      </c>
      <c r="B56" s="5" t="s">
        <v>118</v>
      </c>
      <c r="C56" s="5" t="s">
        <v>114</v>
      </c>
      <c r="D56" s="5" t="s">
        <v>28</v>
      </c>
      <c r="E56" s="5" t="n">
        <f aca="false">ROUND(9508*1.05,2)</f>
        <v>9983.4</v>
      </c>
      <c r="F56" s="5" t="s">
        <v>29</v>
      </c>
      <c r="G56" s="5" t="s">
        <v>30</v>
      </c>
      <c r="H56" s="5" t="n">
        <f aca="true">ROUND(RAND()*4+6,1)</f>
        <v>9.3</v>
      </c>
      <c r="I56" s="5" t="s">
        <v>31</v>
      </c>
      <c r="J56" s="5" t="str">
        <f aca="false">ROUND(90*1,0)&amp;"%"</f>
        <v>90%</v>
      </c>
    </row>
    <row r="57" customFormat="false" ht="15" hidden="false" customHeight="false" outlineLevel="0" collapsed="false">
      <c r="A57" s="6" t="s">
        <v>3604</v>
      </c>
      <c r="B57" s="6" t="s">
        <v>120</v>
      </c>
      <c r="C57" s="6" t="s">
        <v>114</v>
      </c>
      <c r="D57" s="6" t="s">
        <v>34</v>
      </c>
      <c r="E57" s="6" t="n">
        <f aca="false">ROUND(8275*1.05,2)</f>
        <v>8688.75</v>
      </c>
      <c r="F57" s="6" t="s">
        <v>35</v>
      </c>
      <c r="G57" s="6" t="s">
        <v>18</v>
      </c>
      <c r="H57" s="6" t="n">
        <f aca="true">ROUND(RAND()*4+6,1)</f>
        <v>8.6</v>
      </c>
      <c r="I57" s="6" t="s">
        <v>36</v>
      </c>
      <c r="J57" s="6" t="str">
        <f aca="false">ROUND(64*1,0)&amp;"%"</f>
        <v>64%</v>
      </c>
    </row>
    <row r="58" customFormat="false" ht="15" hidden="false" customHeight="false" outlineLevel="0" collapsed="false">
      <c r="A58" s="5" t="s">
        <v>3605</v>
      </c>
      <c r="B58" s="5" t="s">
        <v>122</v>
      </c>
      <c r="C58" s="5" t="s">
        <v>114</v>
      </c>
      <c r="D58" s="5" t="s">
        <v>39</v>
      </c>
      <c r="E58" s="5" t="n">
        <f aca="false">ROUND(4550*1.05,2)</f>
        <v>4777.5</v>
      </c>
      <c r="F58" s="5" t="s">
        <v>40</v>
      </c>
      <c r="G58" s="5" t="s">
        <v>24</v>
      </c>
      <c r="H58" s="5" t="n">
        <f aca="true">ROUND(RAND()*4+6,1)</f>
        <v>7.3</v>
      </c>
      <c r="I58" s="5" t="s">
        <v>41</v>
      </c>
      <c r="J58" s="5" t="str">
        <f aca="false">ROUND(97*1,0)&amp;"%"</f>
        <v>97%</v>
      </c>
    </row>
    <row r="59" customFormat="false" ht="15" hidden="false" customHeight="false" outlineLevel="0" collapsed="false">
      <c r="A59" s="6" t="s">
        <v>3606</v>
      </c>
      <c r="B59" s="6" t="s">
        <v>124</v>
      </c>
      <c r="C59" s="6" t="s">
        <v>114</v>
      </c>
      <c r="D59" s="6" t="s">
        <v>44</v>
      </c>
      <c r="E59" s="6" t="n">
        <f aca="false">ROUND(9702*1.05,2)</f>
        <v>10187.1</v>
      </c>
      <c r="F59" s="6" t="s">
        <v>45</v>
      </c>
      <c r="G59" s="6" t="s">
        <v>30</v>
      </c>
      <c r="H59" s="6" t="n">
        <f aca="true">ROUND(RAND()*4+6,1)</f>
        <v>9.1</v>
      </c>
      <c r="I59" s="6" t="s">
        <v>46</v>
      </c>
      <c r="J59" s="6" t="str">
        <f aca="false">ROUND(84*1,0)&amp;"%"</f>
        <v>84%</v>
      </c>
    </row>
    <row r="60" customFormat="false" ht="15" hidden="false" customHeight="false" outlineLevel="0" collapsed="false">
      <c r="A60" s="5" t="s">
        <v>3607</v>
      </c>
      <c r="B60" s="5" t="s">
        <v>126</v>
      </c>
      <c r="C60" s="5" t="s">
        <v>114</v>
      </c>
      <c r="D60" s="5" t="s">
        <v>16</v>
      </c>
      <c r="E60" s="5" t="n">
        <f aca="false">ROUND(11573*1.05,2)</f>
        <v>12151.65</v>
      </c>
      <c r="F60" s="5" t="s">
        <v>49</v>
      </c>
      <c r="G60" s="5" t="s">
        <v>18</v>
      </c>
      <c r="H60" s="5" t="n">
        <f aca="true">ROUND(RAND()*4+6,1)</f>
        <v>6.9</v>
      </c>
      <c r="I60" s="5" t="s">
        <v>19</v>
      </c>
      <c r="J60" s="5" t="str">
        <f aca="false">ROUND(99*1,0)&amp;"%"</f>
        <v>99%</v>
      </c>
    </row>
    <row r="61" customFormat="false" ht="15" hidden="false" customHeight="false" outlineLevel="0" collapsed="false">
      <c r="A61" s="6" t="s">
        <v>3608</v>
      </c>
      <c r="B61" s="6" t="s">
        <v>128</v>
      </c>
      <c r="C61" s="6" t="s">
        <v>114</v>
      </c>
      <c r="D61" s="6" t="s">
        <v>22</v>
      </c>
      <c r="E61" s="6" t="n">
        <f aca="false">ROUND(7278*1.05,2)</f>
        <v>7641.9</v>
      </c>
      <c r="F61" s="6" t="s">
        <v>52</v>
      </c>
      <c r="G61" s="6" t="s">
        <v>24</v>
      </c>
      <c r="H61" s="6" t="n">
        <f aca="true">ROUND(RAND()*4+6,1)</f>
        <v>9.1</v>
      </c>
      <c r="I61" s="6" t="s">
        <v>25</v>
      </c>
      <c r="J61" s="6" t="str">
        <f aca="false">ROUND(78*1,0)&amp;"%"</f>
        <v>78%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3609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3610</v>
      </c>
      <c r="B66" s="5" t="s">
        <v>132</v>
      </c>
      <c r="C66" s="5" t="s">
        <v>133</v>
      </c>
      <c r="D66" s="5" t="s">
        <v>16</v>
      </c>
      <c r="E66" s="5" t="n">
        <f aca="false">ROUND(13095*1.05,2)</f>
        <v>13749.75</v>
      </c>
      <c r="F66" s="5" t="s">
        <v>17</v>
      </c>
      <c r="G66" s="5" t="s">
        <v>18</v>
      </c>
      <c r="H66" s="5" t="n">
        <f aca="true">ROUND(RAND()*4+6,1)</f>
        <v>6.1</v>
      </c>
      <c r="I66" s="5" t="s">
        <v>19</v>
      </c>
      <c r="J66" s="5" t="str">
        <f aca="false">ROUND(84*1,0)&amp;"%"</f>
        <v>84%</v>
      </c>
    </row>
    <row r="67" customFormat="false" ht="15" hidden="false" customHeight="false" outlineLevel="0" collapsed="false">
      <c r="A67" s="6" t="s">
        <v>3611</v>
      </c>
      <c r="B67" s="6" t="s">
        <v>135</v>
      </c>
      <c r="C67" s="6" t="s">
        <v>133</v>
      </c>
      <c r="D67" s="6" t="s">
        <v>22</v>
      </c>
      <c r="E67" s="6" t="n">
        <f aca="false">ROUND(8286*1.05,2)</f>
        <v>8700.3</v>
      </c>
      <c r="F67" s="6" t="s">
        <v>23</v>
      </c>
      <c r="G67" s="6" t="s">
        <v>24</v>
      </c>
      <c r="H67" s="6" t="n">
        <f aca="true">ROUND(RAND()*4+6,1)</f>
        <v>9.5</v>
      </c>
      <c r="I67" s="6" t="s">
        <v>25</v>
      </c>
      <c r="J67" s="6" t="str">
        <f aca="false">ROUND(97*1,0)&amp;"%"</f>
        <v>97%</v>
      </c>
    </row>
    <row r="68" customFormat="false" ht="15" hidden="false" customHeight="false" outlineLevel="0" collapsed="false">
      <c r="A68" s="5" t="s">
        <v>3612</v>
      </c>
      <c r="B68" s="5" t="s">
        <v>137</v>
      </c>
      <c r="C68" s="5" t="s">
        <v>133</v>
      </c>
      <c r="D68" s="5" t="s">
        <v>28</v>
      </c>
      <c r="E68" s="5" t="n">
        <f aca="false">ROUND(12882*1.05,2)</f>
        <v>13526.1</v>
      </c>
      <c r="F68" s="5" t="s">
        <v>29</v>
      </c>
      <c r="G68" s="5" t="s">
        <v>30</v>
      </c>
      <c r="H68" s="5" t="n">
        <f aca="true">ROUND(RAND()*4+6,1)</f>
        <v>8.7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3613</v>
      </c>
      <c r="B69" s="6" t="s">
        <v>139</v>
      </c>
      <c r="C69" s="6" t="s">
        <v>133</v>
      </c>
      <c r="D69" s="6" t="s">
        <v>34</v>
      </c>
      <c r="E69" s="6" t="n">
        <f aca="false">ROUND(7918*1.05,2)</f>
        <v>8313.9</v>
      </c>
      <c r="F69" s="6" t="s">
        <v>35</v>
      </c>
      <c r="G69" s="6" t="s">
        <v>18</v>
      </c>
      <c r="H69" s="6" t="n">
        <f aca="true">ROUND(RAND()*4+6,1)</f>
        <v>8.6</v>
      </c>
      <c r="I69" s="6" t="s">
        <v>36</v>
      </c>
      <c r="J69" s="6" t="str">
        <f aca="false">ROUND(92*1,0)&amp;"%"</f>
        <v>92%</v>
      </c>
    </row>
    <row r="70" customFormat="false" ht="15" hidden="false" customHeight="false" outlineLevel="0" collapsed="false">
      <c r="A70" s="5" t="s">
        <v>3614</v>
      </c>
      <c r="B70" s="5" t="s">
        <v>141</v>
      </c>
      <c r="C70" s="5" t="s">
        <v>133</v>
      </c>
      <c r="D70" s="5" t="s">
        <v>39</v>
      </c>
      <c r="E70" s="5" t="n">
        <f aca="false">ROUND(11474*1.05,2)</f>
        <v>12047.7</v>
      </c>
      <c r="F70" s="5" t="s">
        <v>40</v>
      </c>
      <c r="G70" s="5" t="s">
        <v>24</v>
      </c>
      <c r="H70" s="5" t="n">
        <f aca="true">ROUND(RAND()*4+6,1)</f>
        <v>8</v>
      </c>
      <c r="I70" s="5" t="s">
        <v>41</v>
      </c>
      <c r="J70" s="5" t="str">
        <f aca="false">ROUND(93*1,0)&amp;"%"</f>
        <v>93%</v>
      </c>
    </row>
    <row r="71" customFormat="false" ht="15" hidden="false" customHeight="false" outlineLevel="0" collapsed="false">
      <c r="A71" s="6" t="s">
        <v>3615</v>
      </c>
      <c r="B71" s="6" t="s">
        <v>143</v>
      </c>
      <c r="C71" s="6" t="s">
        <v>133</v>
      </c>
      <c r="D71" s="6" t="s">
        <v>44</v>
      </c>
      <c r="E71" s="6" t="n">
        <f aca="false">ROUND(16391*1.05,2)</f>
        <v>17210.55</v>
      </c>
      <c r="F71" s="6" t="s">
        <v>45</v>
      </c>
      <c r="G71" s="6" t="s">
        <v>30</v>
      </c>
      <c r="H71" s="6" t="n">
        <f aca="true">ROUND(RAND()*4+6,1)</f>
        <v>6.6</v>
      </c>
      <c r="I71" s="6" t="s">
        <v>46</v>
      </c>
      <c r="J71" s="6" t="str">
        <f aca="false">ROUND(100*1,0)&amp;"%"</f>
        <v>100%</v>
      </c>
    </row>
    <row r="72" customFormat="false" ht="15" hidden="false" customHeight="false" outlineLevel="0" collapsed="false">
      <c r="A72" s="5" t="s">
        <v>3616</v>
      </c>
      <c r="B72" s="5" t="s">
        <v>145</v>
      </c>
      <c r="C72" s="5" t="s">
        <v>133</v>
      </c>
      <c r="D72" s="5" t="s">
        <v>16</v>
      </c>
      <c r="E72" s="5" t="n">
        <f aca="false">ROUND(13867*1.05,2)</f>
        <v>14560.35</v>
      </c>
      <c r="F72" s="5" t="s">
        <v>49</v>
      </c>
      <c r="G72" s="5" t="s">
        <v>18</v>
      </c>
      <c r="H72" s="5" t="n">
        <f aca="true">ROUND(RAND()*4+6,1)</f>
        <v>8.9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3617</v>
      </c>
      <c r="B73" s="6" t="s">
        <v>147</v>
      </c>
      <c r="C73" s="6" t="s">
        <v>133</v>
      </c>
      <c r="D73" s="6" t="s">
        <v>22</v>
      </c>
      <c r="E73" s="6" t="n">
        <f aca="false">ROUND(14556*1.05,2)</f>
        <v>15283.8</v>
      </c>
      <c r="F73" s="6" t="s">
        <v>52</v>
      </c>
      <c r="G73" s="6" t="s">
        <v>24</v>
      </c>
      <c r="H73" s="6" t="n">
        <f aca="true">ROUND(RAND()*4+6,1)</f>
        <v>9.7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3618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3619</v>
      </c>
      <c r="B78" s="5" t="s">
        <v>151</v>
      </c>
      <c r="C78" s="5" t="s">
        <v>152</v>
      </c>
      <c r="D78" s="5" t="s">
        <v>16</v>
      </c>
      <c r="E78" s="5" t="n">
        <f aca="false">ROUND(13690*1.05,2)</f>
        <v>14374.5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ROUND(99*1,0)&amp;"%"</f>
        <v>99%</v>
      </c>
    </row>
    <row r="79" customFormat="false" ht="15" hidden="false" customHeight="false" outlineLevel="0" collapsed="false">
      <c r="A79" s="6" t="s">
        <v>3620</v>
      </c>
      <c r="B79" s="6" t="s">
        <v>154</v>
      </c>
      <c r="C79" s="6" t="s">
        <v>152</v>
      </c>
      <c r="D79" s="6" t="s">
        <v>22</v>
      </c>
      <c r="E79" s="6" t="n">
        <f aca="false">ROUND(5102*1.05,2)</f>
        <v>5357.1</v>
      </c>
      <c r="F79" s="6" t="s">
        <v>23</v>
      </c>
      <c r="G79" s="6" t="s">
        <v>24</v>
      </c>
      <c r="H79" s="6" t="n">
        <f aca="true">ROUND(RAND()*4+6,1)</f>
        <v>7.8</v>
      </c>
      <c r="I79" s="6" t="s">
        <v>25</v>
      </c>
      <c r="J79" s="6" t="str">
        <f aca="false">ROUND(98*1,0)&amp;"%"</f>
        <v>98%</v>
      </c>
    </row>
    <row r="80" customFormat="false" ht="15" hidden="false" customHeight="false" outlineLevel="0" collapsed="false">
      <c r="A80" s="5" t="s">
        <v>3621</v>
      </c>
      <c r="B80" s="5" t="s">
        <v>156</v>
      </c>
      <c r="C80" s="5" t="s">
        <v>152</v>
      </c>
      <c r="D80" s="5" t="s">
        <v>28</v>
      </c>
      <c r="E80" s="5" t="n">
        <f aca="false">ROUND(5410*1.05,2)</f>
        <v>5680.5</v>
      </c>
      <c r="F80" s="5" t="s">
        <v>29</v>
      </c>
      <c r="G80" s="5" t="s">
        <v>30</v>
      </c>
      <c r="H80" s="5" t="n">
        <f aca="true">ROUND(RAND()*4+6,1)</f>
        <v>7.4</v>
      </c>
      <c r="I80" s="5" t="s">
        <v>31</v>
      </c>
      <c r="J80" s="5" t="str">
        <f aca="false">ROUND(67*1,0)&amp;"%"</f>
        <v>67%</v>
      </c>
    </row>
    <row r="81" customFormat="false" ht="15" hidden="false" customHeight="false" outlineLevel="0" collapsed="false">
      <c r="A81" s="6" t="s">
        <v>3622</v>
      </c>
      <c r="B81" s="6" t="s">
        <v>158</v>
      </c>
      <c r="C81" s="6" t="s">
        <v>152</v>
      </c>
      <c r="D81" s="6" t="s">
        <v>34</v>
      </c>
      <c r="E81" s="6" t="n">
        <f aca="false">ROUND(8096*1.05,2)</f>
        <v>8500.8</v>
      </c>
      <c r="F81" s="6" t="s">
        <v>35</v>
      </c>
      <c r="G81" s="6" t="s">
        <v>18</v>
      </c>
      <c r="H81" s="6" t="n">
        <f aca="true">ROUND(RAND()*4+6,1)</f>
        <v>6.7</v>
      </c>
      <c r="I81" s="6" t="s">
        <v>36</v>
      </c>
      <c r="J81" s="6" t="str">
        <f aca="false">ROUND(98*1,0)&amp;"%"</f>
        <v>98%</v>
      </c>
    </row>
    <row r="82" customFormat="false" ht="15" hidden="false" customHeight="false" outlineLevel="0" collapsed="false">
      <c r="A82" s="5" t="s">
        <v>3623</v>
      </c>
      <c r="B82" s="5" t="s">
        <v>160</v>
      </c>
      <c r="C82" s="5" t="s">
        <v>152</v>
      </c>
      <c r="D82" s="5" t="s">
        <v>39</v>
      </c>
      <c r="E82" s="5" t="n">
        <f aca="false">ROUND(16932*1.05,2)</f>
        <v>17778.6</v>
      </c>
      <c r="F82" s="5" t="s">
        <v>40</v>
      </c>
      <c r="G82" s="5" t="s">
        <v>24</v>
      </c>
      <c r="H82" s="5" t="n">
        <f aca="true">ROUND(RAND()*4+6,1)</f>
        <v>8.5</v>
      </c>
      <c r="I82" s="5" t="s">
        <v>41</v>
      </c>
      <c r="J82" s="5" t="str">
        <f aca="false">ROUND(76*1,0)&amp;"%"</f>
        <v>76%</v>
      </c>
    </row>
    <row r="83" customFormat="false" ht="15" hidden="false" customHeight="false" outlineLevel="0" collapsed="false">
      <c r="A83" s="6" t="s">
        <v>3624</v>
      </c>
      <c r="B83" s="6" t="s">
        <v>162</v>
      </c>
      <c r="C83" s="6" t="s">
        <v>152</v>
      </c>
      <c r="D83" s="6" t="s">
        <v>44</v>
      </c>
      <c r="E83" s="6" t="n">
        <f aca="false">ROUND(16515*1.05,2)</f>
        <v>17340.75</v>
      </c>
      <c r="F83" s="6" t="s">
        <v>45</v>
      </c>
      <c r="G83" s="6" t="s">
        <v>30</v>
      </c>
      <c r="H83" s="6" t="n">
        <f aca="true">ROUND(RAND()*4+6,1)</f>
        <v>6.9</v>
      </c>
      <c r="I83" s="6" t="s">
        <v>46</v>
      </c>
      <c r="J83" s="6" t="str">
        <f aca="false">ROUND(64*1,0)&amp;"%"</f>
        <v>64%</v>
      </c>
    </row>
    <row r="84" customFormat="false" ht="15" hidden="false" customHeight="false" outlineLevel="0" collapsed="false">
      <c r="A84" s="5" t="s">
        <v>3625</v>
      </c>
      <c r="B84" s="5" t="s">
        <v>164</v>
      </c>
      <c r="C84" s="5" t="s">
        <v>152</v>
      </c>
      <c r="D84" s="5" t="s">
        <v>16</v>
      </c>
      <c r="E84" s="5" t="n">
        <f aca="false">ROUND(14913*1.05,2)</f>
        <v>15658.65</v>
      </c>
      <c r="F84" s="5" t="s">
        <v>49</v>
      </c>
      <c r="G84" s="5" t="s">
        <v>18</v>
      </c>
      <c r="H84" s="5" t="n">
        <f aca="true">ROUND(RAND()*4+6,1)</f>
        <v>8.1</v>
      </c>
      <c r="I84" s="5" t="s">
        <v>19</v>
      </c>
      <c r="J84" s="5" t="str">
        <f aca="false">ROUND(73*1,0)&amp;"%"</f>
        <v>73%</v>
      </c>
    </row>
    <row r="85" customFormat="false" ht="15" hidden="false" customHeight="false" outlineLevel="0" collapsed="false">
      <c r="A85" s="6" t="s">
        <v>3626</v>
      </c>
      <c r="B85" s="6" t="s">
        <v>166</v>
      </c>
      <c r="C85" s="6" t="s">
        <v>152</v>
      </c>
      <c r="D85" s="6" t="s">
        <v>22</v>
      </c>
      <c r="E85" s="6" t="n">
        <f aca="false">ROUND(9236*1.05,2)</f>
        <v>9697.8</v>
      </c>
      <c r="F85" s="6" t="s">
        <v>52</v>
      </c>
      <c r="G85" s="6" t="s">
        <v>24</v>
      </c>
      <c r="H85" s="6" t="n">
        <f aca="true">ROUND(RAND()*4+6,1)</f>
        <v>8.7</v>
      </c>
      <c r="I85" s="6" t="s">
        <v>25</v>
      </c>
      <c r="J85" s="6" t="str">
        <f aca="false">ROUND(62*1,0)&amp;"%"</f>
        <v>62%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3627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3628</v>
      </c>
      <c r="B90" s="5" t="s">
        <v>170</v>
      </c>
      <c r="C90" s="5" t="s">
        <v>15</v>
      </c>
      <c r="D90" s="5" t="s">
        <v>16</v>
      </c>
      <c r="E90" s="5" t="n">
        <f aca="false">ROUND(4792*1.05,2)</f>
        <v>5031.6</v>
      </c>
      <c r="F90" s="5" t="s">
        <v>17</v>
      </c>
      <c r="G90" s="5" t="s">
        <v>18</v>
      </c>
      <c r="H90" s="5" t="n">
        <f aca="true">ROUND(RAND()*4+6,1)</f>
        <v>7.1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3629</v>
      </c>
      <c r="B91" s="6" t="s">
        <v>172</v>
      </c>
      <c r="C91" s="6" t="s">
        <v>15</v>
      </c>
      <c r="D91" s="6" t="s">
        <v>22</v>
      </c>
      <c r="E91" s="6" t="n">
        <f aca="false">ROUND(9200*1.05,2)</f>
        <v>9660</v>
      </c>
      <c r="F91" s="6" t="s">
        <v>23</v>
      </c>
      <c r="G91" s="6" t="s">
        <v>24</v>
      </c>
      <c r="H91" s="6" t="n">
        <f aca="true">ROUND(RAND()*4+6,1)</f>
        <v>7.5</v>
      </c>
      <c r="I91" s="6" t="s">
        <v>25</v>
      </c>
      <c r="J91" s="6" t="str">
        <f aca="false">ROUND(79*1,0)&amp;"%"</f>
        <v>79%</v>
      </c>
    </row>
    <row r="92" customFormat="false" ht="15" hidden="false" customHeight="false" outlineLevel="0" collapsed="false">
      <c r="A92" s="5" t="s">
        <v>3630</v>
      </c>
      <c r="B92" s="5" t="s">
        <v>174</v>
      </c>
      <c r="C92" s="5" t="s">
        <v>15</v>
      </c>
      <c r="D92" s="5" t="s">
        <v>28</v>
      </c>
      <c r="E92" s="5" t="n">
        <f aca="false">ROUND(16982*1.05,2)</f>
        <v>17831.1</v>
      </c>
      <c r="F92" s="5" t="s">
        <v>29</v>
      </c>
      <c r="G92" s="5" t="s">
        <v>30</v>
      </c>
      <c r="H92" s="5" t="n">
        <f aca="true">ROUND(RAND()*4+6,1)</f>
        <v>7.4</v>
      </c>
      <c r="I92" s="5" t="s">
        <v>31</v>
      </c>
      <c r="J92" s="5" t="str">
        <f aca="false">ROUND(60*1,0)&amp;"%"</f>
        <v>60%</v>
      </c>
    </row>
    <row r="93" customFormat="false" ht="15" hidden="false" customHeight="false" outlineLevel="0" collapsed="false">
      <c r="A93" s="6" t="s">
        <v>3631</v>
      </c>
      <c r="B93" s="6" t="s">
        <v>176</v>
      </c>
      <c r="C93" s="6" t="s">
        <v>15</v>
      </c>
      <c r="D93" s="6" t="s">
        <v>34</v>
      </c>
      <c r="E93" s="6" t="n">
        <f aca="false">ROUND(7247*1.05,2)</f>
        <v>7609.35</v>
      </c>
      <c r="F93" s="6" t="s">
        <v>35</v>
      </c>
      <c r="G93" s="6" t="s">
        <v>18</v>
      </c>
      <c r="H93" s="6" t="n">
        <f aca="true">ROUND(RAND()*4+6,1)</f>
        <v>6.1</v>
      </c>
      <c r="I93" s="6" t="s">
        <v>36</v>
      </c>
      <c r="J93" s="6" t="str">
        <f aca="false">ROUND(86*1,0)&amp;"%"</f>
        <v>86%</v>
      </c>
    </row>
    <row r="94" customFormat="false" ht="15" hidden="false" customHeight="false" outlineLevel="0" collapsed="false">
      <c r="A94" s="5" t="s">
        <v>3632</v>
      </c>
      <c r="B94" s="5" t="s">
        <v>178</v>
      </c>
      <c r="C94" s="5" t="s">
        <v>15</v>
      </c>
      <c r="D94" s="5" t="s">
        <v>39</v>
      </c>
      <c r="E94" s="5" t="n">
        <f aca="false">ROUND(17247*1.05,2)</f>
        <v>18109.35</v>
      </c>
      <c r="F94" s="5" t="s">
        <v>40</v>
      </c>
      <c r="G94" s="5" t="s">
        <v>24</v>
      </c>
      <c r="H94" s="5" t="n">
        <f aca="true">ROUND(RAND()*4+6,1)</f>
        <v>7.2</v>
      </c>
      <c r="I94" s="5" t="s">
        <v>41</v>
      </c>
      <c r="J94" s="5" t="str">
        <f aca="false">ROUND(72*1,0)&amp;"%"</f>
        <v>72%</v>
      </c>
    </row>
    <row r="95" customFormat="false" ht="15" hidden="false" customHeight="false" outlineLevel="0" collapsed="false">
      <c r="A95" s="6" t="s">
        <v>3633</v>
      </c>
      <c r="B95" s="6" t="s">
        <v>180</v>
      </c>
      <c r="C95" s="6" t="s">
        <v>15</v>
      </c>
      <c r="D95" s="6" t="s">
        <v>44</v>
      </c>
      <c r="E95" s="6" t="n">
        <f aca="false">ROUND(12931*1.05,2)</f>
        <v>13577.55</v>
      </c>
      <c r="F95" s="6" t="s">
        <v>45</v>
      </c>
      <c r="G95" s="6" t="s">
        <v>30</v>
      </c>
      <c r="H95" s="6" t="n">
        <f aca="true">ROUND(RAND()*4+6,1)</f>
        <v>6.6</v>
      </c>
      <c r="I95" s="6" t="s">
        <v>46</v>
      </c>
      <c r="J95" s="6" t="str">
        <f aca="false">ROUND(97*1,0)&amp;"%"</f>
        <v>97%</v>
      </c>
    </row>
    <row r="96" customFormat="false" ht="15" hidden="false" customHeight="false" outlineLevel="0" collapsed="false">
      <c r="A96" s="5" t="s">
        <v>3634</v>
      </c>
      <c r="B96" s="5" t="s">
        <v>182</v>
      </c>
      <c r="C96" s="5" t="s">
        <v>15</v>
      </c>
      <c r="D96" s="5" t="s">
        <v>16</v>
      </c>
      <c r="E96" s="5" t="n">
        <f aca="false">ROUND(12033*1.05,2)</f>
        <v>12634.65</v>
      </c>
      <c r="F96" s="5" t="s">
        <v>49</v>
      </c>
      <c r="G96" s="5" t="s">
        <v>18</v>
      </c>
      <c r="H96" s="5" t="n">
        <f aca="true">ROUND(RAND()*4+6,1)</f>
        <v>8.8</v>
      </c>
      <c r="I96" s="5" t="s">
        <v>19</v>
      </c>
      <c r="J96" s="5" t="str">
        <f aca="false">ROUND(88*1,0)&amp;"%"</f>
        <v>88%</v>
      </c>
    </row>
    <row r="97" customFormat="false" ht="15" hidden="false" customHeight="false" outlineLevel="0" collapsed="false">
      <c r="A97" s="6" t="s">
        <v>3635</v>
      </c>
      <c r="B97" s="6" t="s">
        <v>184</v>
      </c>
      <c r="C97" s="6" t="s">
        <v>15</v>
      </c>
      <c r="D97" s="6" t="s">
        <v>22</v>
      </c>
      <c r="E97" s="6" t="n">
        <f aca="false">ROUND(11688*1.05,2)</f>
        <v>12272.4</v>
      </c>
      <c r="F97" s="6" t="s">
        <v>52</v>
      </c>
      <c r="G97" s="6" t="s">
        <v>24</v>
      </c>
      <c r="H97" s="6" t="n">
        <f aca="true">ROUND(RAND()*4+6,1)</f>
        <v>6.1</v>
      </c>
      <c r="I97" s="6" t="s">
        <v>25</v>
      </c>
      <c r="J97" s="6" t="str">
        <f aca="false">ROUND(63*1,0)&amp;"%"</f>
        <v>63%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3636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3637</v>
      </c>
      <c r="B102" s="5" t="s">
        <v>188</v>
      </c>
      <c r="C102" s="5" t="s">
        <v>57</v>
      </c>
      <c r="D102" s="5" t="s">
        <v>16</v>
      </c>
      <c r="E102" s="5" t="n">
        <f aca="false">ROUND(7277*1.05,2)</f>
        <v>7640.85</v>
      </c>
      <c r="F102" s="5" t="s">
        <v>17</v>
      </c>
      <c r="G102" s="5" t="s">
        <v>18</v>
      </c>
      <c r="H102" s="5" t="n">
        <f aca="true">ROUND(RAND()*4+6,1)</f>
        <v>6</v>
      </c>
      <c r="I102" s="5" t="s">
        <v>19</v>
      </c>
      <c r="J102" s="5" t="str">
        <f aca="false">ROUND(85*1,0)&amp;"%"</f>
        <v>85%</v>
      </c>
    </row>
    <row r="103" customFormat="false" ht="15" hidden="false" customHeight="false" outlineLevel="0" collapsed="false">
      <c r="A103" s="6" t="s">
        <v>3638</v>
      </c>
      <c r="B103" s="6" t="s">
        <v>190</v>
      </c>
      <c r="C103" s="6" t="s">
        <v>57</v>
      </c>
      <c r="D103" s="6" t="s">
        <v>22</v>
      </c>
      <c r="E103" s="6" t="n">
        <f aca="false">ROUND(13698*1.05,2)</f>
        <v>14382.9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ROUND(65*1,0)&amp;"%"</f>
        <v>65%</v>
      </c>
    </row>
    <row r="104" customFormat="false" ht="15" hidden="false" customHeight="false" outlineLevel="0" collapsed="false">
      <c r="A104" s="5" t="s">
        <v>3639</v>
      </c>
      <c r="B104" s="5" t="s">
        <v>192</v>
      </c>
      <c r="C104" s="5" t="s">
        <v>57</v>
      </c>
      <c r="D104" s="5" t="s">
        <v>28</v>
      </c>
      <c r="E104" s="5" t="n">
        <f aca="false">ROUND(16331*1.05,2)</f>
        <v>17147.55</v>
      </c>
      <c r="F104" s="5" t="s">
        <v>29</v>
      </c>
      <c r="G104" s="5" t="s">
        <v>30</v>
      </c>
      <c r="H104" s="5" t="n">
        <f aca="true">ROUND(RAND()*4+6,1)</f>
        <v>6.1</v>
      </c>
      <c r="I104" s="5" t="s">
        <v>31</v>
      </c>
      <c r="J104" s="5" t="str">
        <f aca="false">ROUND(61*1,0)&amp;"%"</f>
        <v>61%</v>
      </c>
    </row>
    <row r="105" customFormat="false" ht="15" hidden="false" customHeight="false" outlineLevel="0" collapsed="false">
      <c r="A105" s="6" t="s">
        <v>3640</v>
      </c>
      <c r="B105" s="6" t="s">
        <v>194</v>
      </c>
      <c r="C105" s="6" t="s">
        <v>57</v>
      </c>
      <c r="D105" s="6" t="s">
        <v>34</v>
      </c>
      <c r="E105" s="6" t="n">
        <f aca="false">ROUND(6693*1.05,2)</f>
        <v>7027.65</v>
      </c>
      <c r="F105" s="6" t="s">
        <v>35</v>
      </c>
      <c r="G105" s="6" t="s">
        <v>18</v>
      </c>
      <c r="H105" s="6" t="n">
        <f aca="true">ROUND(RAND()*4+6,1)</f>
        <v>9.8</v>
      </c>
      <c r="I105" s="6" t="s">
        <v>36</v>
      </c>
      <c r="J105" s="6" t="str">
        <f aca="false">ROUND(74*1,0)&amp;"%"</f>
        <v>74%</v>
      </c>
    </row>
    <row r="106" customFormat="false" ht="15" hidden="false" customHeight="false" outlineLevel="0" collapsed="false">
      <c r="A106" s="5" t="s">
        <v>3641</v>
      </c>
      <c r="B106" s="5" t="s">
        <v>196</v>
      </c>
      <c r="C106" s="5" t="s">
        <v>57</v>
      </c>
      <c r="D106" s="5" t="s">
        <v>39</v>
      </c>
      <c r="E106" s="5" t="n">
        <f aca="false">ROUND(5513*1.05,2)</f>
        <v>5788.65</v>
      </c>
      <c r="F106" s="5" t="s">
        <v>40</v>
      </c>
      <c r="G106" s="5" t="s">
        <v>24</v>
      </c>
      <c r="H106" s="5" t="n">
        <f aca="true">ROUND(RAND()*4+6,1)</f>
        <v>7.3</v>
      </c>
      <c r="I106" s="5" t="s">
        <v>41</v>
      </c>
      <c r="J106" s="5" t="str">
        <f aca="false">ROUND(100*1,0)&amp;"%"</f>
        <v>100%</v>
      </c>
    </row>
    <row r="107" customFormat="false" ht="15" hidden="false" customHeight="false" outlineLevel="0" collapsed="false">
      <c r="A107" s="6" t="s">
        <v>3642</v>
      </c>
      <c r="B107" s="6" t="s">
        <v>198</v>
      </c>
      <c r="C107" s="6" t="s">
        <v>57</v>
      </c>
      <c r="D107" s="6" t="s">
        <v>44</v>
      </c>
      <c r="E107" s="6" t="n">
        <f aca="false">ROUND(8394*1.05,2)</f>
        <v>8813.7</v>
      </c>
      <c r="F107" s="6" t="s">
        <v>45</v>
      </c>
      <c r="G107" s="6" t="s">
        <v>30</v>
      </c>
      <c r="H107" s="6" t="n">
        <f aca="true">ROUND(RAND()*4+6,1)</f>
        <v>9.8</v>
      </c>
      <c r="I107" s="6" t="s">
        <v>46</v>
      </c>
      <c r="J107" s="6" t="str">
        <f aca="false">ROUND(67*1,0)&amp;"%"</f>
        <v>67%</v>
      </c>
    </row>
    <row r="108" customFormat="false" ht="15" hidden="false" customHeight="false" outlineLevel="0" collapsed="false">
      <c r="A108" s="5" t="s">
        <v>3643</v>
      </c>
      <c r="B108" s="5" t="s">
        <v>200</v>
      </c>
      <c r="C108" s="5" t="s">
        <v>57</v>
      </c>
      <c r="D108" s="5" t="s">
        <v>16</v>
      </c>
      <c r="E108" s="5" t="n">
        <f aca="false">ROUND(6605*1.05,2)</f>
        <v>6935.25</v>
      </c>
      <c r="F108" s="5" t="s">
        <v>49</v>
      </c>
      <c r="G108" s="5" t="s">
        <v>18</v>
      </c>
      <c r="H108" s="5" t="n">
        <f aca="true">ROUND(RAND()*4+6,1)</f>
        <v>6.3</v>
      </c>
      <c r="I108" s="5" t="s">
        <v>19</v>
      </c>
      <c r="J108" s="5" t="str">
        <f aca="false">ROUND(65*1,0)&amp;"%"</f>
        <v>65%</v>
      </c>
    </row>
    <row r="109" customFormat="false" ht="15" hidden="false" customHeight="false" outlineLevel="0" collapsed="false">
      <c r="A109" s="6" t="s">
        <v>3644</v>
      </c>
      <c r="B109" s="6" t="s">
        <v>202</v>
      </c>
      <c r="C109" s="6" t="s">
        <v>57</v>
      </c>
      <c r="D109" s="6" t="s">
        <v>22</v>
      </c>
      <c r="E109" s="6" t="n">
        <f aca="false">ROUND(16889*1.05,2)</f>
        <v>17733.45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ROUND(95*1,0)&amp;"%"</f>
        <v>95%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3645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3646</v>
      </c>
      <c r="B114" s="5" t="s">
        <v>206</v>
      </c>
      <c r="C114" s="5" t="s">
        <v>76</v>
      </c>
      <c r="D114" s="5" t="s">
        <v>16</v>
      </c>
      <c r="E114" s="5" t="n">
        <f aca="false">ROUND(4728*1.05,2)</f>
        <v>4964.4</v>
      </c>
      <c r="F114" s="5" t="s">
        <v>17</v>
      </c>
      <c r="G114" s="5" t="s">
        <v>18</v>
      </c>
      <c r="H114" s="5" t="n">
        <f aca="true">ROUND(RAND()*4+6,1)</f>
        <v>7.1</v>
      </c>
      <c r="I114" s="5" t="s">
        <v>19</v>
      </c>
      <c r="J114" s="5" t="str">
        <f aca="false">ROUND(99*1,0)&amp;"%"</f>
        <v>99%</v>
      </c>
    </row>
    <row r="115" customFormat="false" ht="15" hidden="false" customHeight="false" outlineLevel="0" collapsed="false">
      <c r="A115" s="6" t="s">
        <v>3647</v>
      </c>
      <c r="B115" s="6" t="s">
        <v>208</v>
      </c>
      <c r="C115" s="6" t="s">
        <v>76</v>
      </c>
      <c r="D115" s="6" t="s">
        <v>22</v>
      </c>
      <c r="E115" s="6" t="n">
        <f aca="false">ROUND(12585*1.05,2)</f>
        <v>13214.25</v>
      </c>
      <c r="F115" s="6" t="s">
        <v>23</v>
      </c>
      <c r="G115" s="6" t="s">
        <v>24</v>
      </c>
      <c r="H115" s="6" t="n">
        <f aca="true">ROUND(RAND()*4+6,1)</f>
        <v>8.6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3648</v>
      </c>
      <c r="B116" s="5" t="s">
        <v>210</v>
      </c>
      <c r="C116" s="5" t="s">
        <v>76</v>
      </c>
      <c r="D116" s="5" t="s">
        <v>28</v>
      </c>
      <c r="E116" s="5" t="n">
        <f aca="false">ROUND(13367*1.05,2)</f>
        <v>14035.35</v>
      </c>
      <c r="F116" s="5" t="s">
        <v>29</v>
      </c>
      <c r="G116" s="5" t="s">
        <v>30</v>
      </c>
      <c r="H116" s="5" t="n">
        <f aca="true">ROUND(RAND()*4+6,1)</f>
        <v>8.1</v>
      </c>
      <c r="I116" s="5" t="s">
        <v>31</v>
      </c>
      <c r="J116" s="5" t="str">
        <f aca="false">ROUND(97*1,0)&amp;"%"</f>
        <v>97%</v>
      </c>
    </row>
    <row r="117" customFormat="false" ht="15" hidden="false" customHeight="false" outlineLevel="0" collapsed="false">
      <c r="A117" s="6" t="s">
        <v>3649</v>
      </c>
      <c r="B117" s="6" t="s">
        <v>212</v>
      </c>
      <c r="C117" s="6" t="s">
        <v>76</v>
      </c>
      <c r="D117" s="6" t="s">
        <v>34</v>
      </c>
      <c r="E117" s="6" t="n">
        <f aca="false">ROUND(13203*1.05,2)</f>
        <v>13863.15</v>
      </c>
      <c r="F117" s="6" t="s">
        <v>35</v>
      </c>
      <c r="G117" s="6" t="s">
        <v>18</v>
      </c>
      <c r="H117" s="6" t="n">
        <f aca="true">ROUND(RAND()*4+6,1)</f>
        <v>8.6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3650</v>
      </c>
      <c r="B118" s="5" t="s">
        <v>214</v>
      </c>
      <c r="C118" s="5" t="s">
        <v>76</v>
      </c>
      <c r="D118" s="5" t="s">
        <v>39</v>
      </c>
      <c r="E118" s="5" t="n">
        <f aca="false">ROUND(12828*1.05,2)</f>
        <v>13469.4</v>
      </c>
      <c r="F118" s="5" t="s">
        <v>40</v>
      </c>
      <c r="G118" s="5" t="s">
        <v>24</v>
      </c>
      <c r="H118" s="5" t="n">
        <f aca="true">ROUND(RAND()*4+6,1)</f>
        <v>8</v>
      </c>
      <c r="I118" s="5" t="s">
        <v>41</v>
      </c>
      <c r="J118" s="5" t="str">
        <f aca="false">ROUND(64*1,0)&amp;"%"</f>
        <v>64%</v>
      </c>
    </row>
    <row r="119" customFormat="false" ht="15" hidden="false" customHeight="false" outlineLevel="0" collapsed="false">
      <c r="A119" s="6" t="s">
        <v>3651</v>
      </c>
      <c r="B119" s="6" t="s">
        <v>216</v>
      </c>
      <c r="C119" s="6" t="s">
        <v>76</v>
      </c>
      <c r="D119" s="6" t="s">
        <v>44</v>
      </c>
      <c r="E119" s="6" t="n">
        <f aca="false">ROUND(4206*1.05,2)</f>
        <v>4416.3</v>
      </c>
      <c r="F119" s="6" t="s">
        <v>45</v>
      </c>
      <c r="G119" s="6" t="s">
        <v>30</v>
      </c>
      <c r="H119" s="6" t="n">
        <f aca="true">ROUND(RAND()*4+6,1)</f>
        <v>7.6</v>
      </c>
      <c r="I119" s="6" t="s">
        <v>46</v>
      </c>
      <c r="J119" s="6" t="str">
        <f aca="false">ROUND(79*1,0)&amp;"%"</f>
        <v>79%</v>
      </c>
    </row>
    <row r="120" customFormat="false" ht="15" hidden="false" customHeight="false" outlineLevel="0" collapsed="false">
      <c r="A120" s="5" t="s">
        <v>3652</v>
      </c>
      <c r="B120" s="5" t="s">
        <v>218</v>
      </c>
      <c r="C120" s="5" t="s">
        <v>76</v>
      </c>
      <c r="D120" s="5" t="s">
        <v>16</v>
      </c>
      <c r="E120" s="5" t="n">
        <f aca="false">ROUND(5171*1.05,2)</f>
        <v>5429.55</v>
      </c>
      <c r="F120" s="5" t="s">
        <v>49</v>
      </c>
      <c r="G120" s="5" t="s">
        <v>18</v>
      </c>
      <c r="H120" s="5" t="n">
        <f aca="true">ROUND(RAND()*4+6,1)</f>
        <v>9.9</v>
      </c>
      <c r="I120" s="5" t="s">
        <v>19</v>
      </c>
      <c r="J120" s="5" t="str">
        <f aca="false">ROUND(60*1,0)&amp;"%"</f>
        <v>60%</v>
      </c>
    </row>
    <row r="121" customFormat="false" ht="15" hidden="false" customHeight="false" outlineLevel="0" collapsed="false">
      <c r="A121" s="6" t="s">
        <v>3653</v>
      </c>
      <c r="B121" s="6" t="s">
        <v>220</v>
      </c>
      <c r="C121" s="6" t="s">
        <v>76</v>
      </c>
      <c r="D121" s="6" t="s">
        <v>22</v>
      </c>
      <c r="E121" s="6" t="n">
        <f aca="false">ROUND(15648*1.05,2)</f>
        <v>16430.4</v>
      </c>
      <c r="F121" s="6" t="s">
        <v>52</v>
      </c>
      <c r="G121" s="6" t="s">
        <v>24</v>
      </c>
      <c r="H121" s="6" t="n">
        <f aca="true">ROUND(RAND()*4+6,1)</f>
        <v>6.4</v>
      </c>
      <c r="I121" s="6" t="s">
        <v>25</v>
      </c>
      <c r="J121" s="6" t="str">
        <f aca="false">ROUND(84*1,0)&amp;"%"</f>
        <v>84%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3654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3655</v>
      </c>
      <c r="B126" s="5" t="s">
        <v>224</v>
      </c>
      <c r="C126" s="5" t="s">
        <v>95</v>
      </c>
      <c r="D126" s="5" t="s">
        <v>16</v>
      </c>
      <c r="E126" s="5" t="n">
        <f aca="false">ROUND(5366*1.05,2)</f>
        <v>5634.3</v>
      </c>
      <c r="F126" s="5" t="s">
        <v>17</v>
      </c>
      <c r="G126" s="5" t="s">
        <v>18</v>
      </c>
      <c r="H126" s="5" t="n">
        <f aca="true">ROUND(RAND()*4+6,1)</f>
        <v>8.6</v>
      </c>
      <c r="I126" s="5" t="s">
        <v>19</v>
      </c>
      <c r="J126" s="5" t="str">
        <f aca="false">ROUND(93*1,0)&amp;"%"</f>
        <v>93%</v>
      </c>
    </row>
    <row r="127" customFormat="false" ht="15" hidden="false" customHeight="false" outlineLevel="0" collapsed="false">
      <c r="A127" s="6" t="s">
        <v>3656</v>
      </c>
      <c r="B127" s="6" t="s">
        <v>226</v>
      </c>
      <c r="C127" s="6" t="s">
        <v>95</v>
      </c>
      <c r="D127" s="6" t="s">
        <v>22</v>
      </c>
      <c r="E127" s="6" t="n">
        <f aca="false">ROUND(17606*1.05,2)</f>
        <v>18486.3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ROUND(70*1,0)&amp;"%"</f>
        <v>70%</v>
      </c>
    </row>
    <row r="128" customFormat="false" ht="15" hidden="false" customHeight="false" outlineLevel="0" collapsed="false">
      <c r="A128" s="5" t="s">
        <v>3657</v>
      </c>
      <c r="B128" s="5" t="s">
        <v>228</v>
      </c>
      <c r="C128" s="5" t="s">
        <v>95</v>
      </c>
      <c r="D128" s="5" t="s">
        <v>28</v>
      </c>
      <c r="E128" s="5" t="n">
        <f aca="false">ROUND(11173*1.05,2)</f>
        <v>11731.65</v>
      </c>
      <c r="F128" s="5" t="s">
        <v>29</v>
      </c>
      <c r="G128" s="5" t="s">
        <v>30</v>
      </c>
      <c r="H128" s="5" t="n">
        <f aca="true">ROUND(RAND()*4+6,1)</f>
        <v>8.2</v>
      </c>
      <c r="I128" s="5" t="s">
        <v>31</v>
      </c>
      <c r="J128" s="5" t="str">
        <f aca="false">ROUND(73*1,0)&amp;"%"</f>
        <v>73%</v>
      </c>
    </row>
    <row r="129" customFormat="false" ht="15" hidden="false" customHeight="false" outlineLevel="0" collapsed="false">
      <c r="A129" s="6" t="s">
        <v>3658</v>
      </c>
      <c r="B129" s="6" t="s">
        <v>230</v>
      </c>
      <c r="C129" s="6" t="s">
        <v>95</v>
      </c>
      <c r="D129" s="6" t="s">
        <v>34</v>
      </c>
      <c r="E129" s="6" t="n">
        <f aca="false">ROUND(16410*1.05,2)</f>
        <v>17230.5</v>
      </c>
      <c r="F129" s="6" t="s">
        <v>35</v>
      </c>
      <c r="G129" s="6" t="s">
        <v>18</v>
      </c>
      <c r="H129" s="6" t="n">
        <f aca="true">ROUND(RAND()*4+6,1)</f>
        <v>9.9</v>
      </c>
      <c r="I129" s="6" t="s">
        <v>36</v>
      </c>
      <c r="J129" s="6" t="str">
        <f aca="false">ROUND(79*1,0)&amp;"%"</f>
        <v>79%</v>
      </c>
    </row>
    <row r="130" customFormat="false" ht="15" hidden="false" customHeight="false" outlineLevel="0" collapsed="false">
      <c r="A130" s="5" t="s">
        <v>3659</v>
      </c>
      <c r="B130" s="5" t="s">
        <v>232</v>
      </c>
      <c r="C130" s="5" t="s">
        <v>95</v>
      </c>
      <c r="D130" s="5" t="s">
        <v>39</v>
      </c>
      <c r="E130" s="5" t="n">
        <f aca="false">ROUND(5478*1.05,2)</f>
        <v>5751.9</v>
      </c>
      <c r="F130" s="5" t="s">
        <v>40</v>
      </c>
      <c r="G130" s="5" t="s">
        <v>24</v>
      </c>
      <c r="H130" s="5" t="n">
        <f aca="true">ROUND(RAND()*4+6,1)</f>
        <v>8.2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3660</v>
      </c>
      <c r="B131" s="6" t="s">
        <v>234</v>
      </c>
      <c r="C131" s="6" t="s">
        <v>95</v>
      </c>
      <c r="D131" s="6" t="s">
        <v>44</v>
      </c>
      <c r="E131" s="6" t="n">
        <f aca="false">ROUND(5759*1.05,2)</f>
        <v>6046.95</v>
      </c>
      <c r="F131" s="6" t="s">
        <v>45</v>
      </c>
      <c r="G131" s="6" t="s">
        <v>30</v>
      </c>
      <c r="H131" s="6" t="n">
        <f aca="true">ROUND(RAND()*4+6,1)</f>
        <v>8.9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3661</v>
      </c>
      <c r="B132" s="5" t="s">
        <v>236</v>
      </c>
      <c r="C132" s="5" t="s">
        <v>95</v>
      </c>
      <c r="D132" s="5" t="s">
        <v>16</v>
      </c>
      <c r="E132" s="5" t="n">
        <f aca="false">ROUND(16540*1.05,2)</f>
        <v>17367</v>
      </c>
      <c r="F132" s="5" t="s">
        <v>49</v>
      </c>
      <c r="G132" s="5" t="s">
        <v>18</v>
      </c>
      <c r="H132" s="5" t="n">
        <f aca="true">ROUND(RAND()*4+6,1)</f>
        <v>9.3</v>
      </c>
      <c r="I132" s="5" t="s">
        <v>19</v>
      </c>
      <c r="J132" s="5" t="str">
        <f aca="false">ROUND(65*1,0)&amp;"%"</f>
        <v>65%</v>
      </c>
    </row>
    <row r="133" customFormat="false" ht="15" hidden="false" customHeight="false" outlineLevel="0" collapsed="false">
      <c r="A133" s="6" t="s">
        <v>3662</v>
      </c>
      <c r="B133" s="6" t="s">
        <v>238</v>
      </c>
      <c r="C133" s="6" t="s">
        <v>95</v>
      </c>
      <c r="D133" s="6" t="s">
        <v>22</v>
      </c>
      <c r="E133" s="6" t="n">
        <f aca="false">ROUND(4263*1.05,2)</f>
        <v>4476.15</v>
      </c>
      <c r="F133" s="6" t="s">
        <v>52</v>
      </c>
      <c r="G133" s="6" t="s">
        <v>24</v>
      </c>
      <c r="H133" s="6" t="n">
        <f aca="true">ROUND(RAND()*4+6,1)</f>
        <v>6.1</v>
      </c>
      <c r="I133" s="6" t="s">
        <v>25</v>
      </c>
      <c r="J133" s="6" t="str">
        <f aca="false">ROUND(86*1,0)&amp;"%"</f>
        <v>86%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3663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3664</v>
      </c>
      <c r="B138" s="5" t="s">
        <v>242</v>
      </c>
      <c r="C138" s="5" t="s">
        <v>114</v>
      </c>
      <c r="D138" s="5" t="s">
        <v>16</v>
      </c>
      <c r="E138" s="5" t="n">
        <f aca="false">ROUND(6418*1.05,2)</f>
        <v>6738.9</v>
      </c>
      <c r="F138" s="5" t="s">
        <v>17</v>
      </c>
      <c r="G138" s="5" t="s">
        <v>18</v>
      </c>
      <c r="H138" s="5" t="n">
        <f aca="true">ROUND(RAND()*4+6,1)</f>
        <v>7.9</v>
      </c>
      <c r="I138" s="5" t="s">
        <v>19</v>
      </c>
      <c r="J138" s="5" t="str">
        <f aca="false">ROUND(76*1,0)&amp;"%"</f>
        <v>76%</v>
      </c>
    </row>
    <row r="139" customFormat="false" ht="15" hidden="false" customHeight="false" outlineLevel="0" collapsed="false">
      <c r="A139" s="6" t="s">
        <v>3665</v>
      </c>
      <c r="B139" s="6" t="s">
        <v>244</v>
      </c>
      <c r="C139" s="6" t="s">
        <v>114</v>
      </c>
      <c r="D139" s="6" t="s">
        <v>22</v>
      </c>
      <c r="E139" s="6" t="n">
        <f aca="false">ROUND(13914*1.05,2)</f>
        <v>14609.7</v>
      </c>
      <c r="F139" s="6" t="s">
        <v>23</v>
      </c>
      <c r="G139" s="6" t="s">
        <v>24</v>
      </c>
      <c r="H139" s="6" t="n">
        <f aca="true">ROUND(RAND()*4+6,1)</f>
        <v>7.3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3666</v>
      </c>
      <c r="B140" s="5" t="s">
        <v>246</v>
      </c>
      <c r="C140" s="5" t="s">
        <v>114</v>
      </c>
      <c r="D140" s="5" t="s">
        <v>28</v>
      </c>
      <c r="E140" s="5" t="n">
        <f aca="false">ROUND(11360*1.05,2)</f>
        <v>11928</v>
      </c>
      <c r="F140" s="5" t="s">
        <v>29</v>
      </c>
      <c r="G140" s="5" t="s">
        <v>30</v>
      </c>
      <c r="H140" s="5" t="n">
        <f aca="true">ROUND(RAND()*4+6,1)</f>
        <v>7.9</v>
      </c>
      <c r="I140" s="5" t="s">
        <v>31</v>
      </c>
      <c r="J140" s="5" t="str">
        <f aca="false">ROUND(72*1,0)&amp;"%"</f>
        <v>72%</v>
      </c>
    </row>
    <row r="141" customFormat="false" ht="15" hidden="false" customHeight="false" outlineLevel="0" collapsed="false">
      <c r="A141" s="6" t="s">
        <v>3667</v>
      </c>
      <c r="B141" s="6" t="s">
        <v>248</v>
      </c>
      <c r="C141" s="6" t="s">
        <v>114</v>
      </c>
      <c r="D141" s="6" t="s">
        <v>34</v>
      </c>
      <c r="E141" s="6" t="n">
        <f aca="false">ROUND(9009*1.05,2)</f>
        <v>9459.45</v>
      </c>
      <c r="F141" s="6" t="s">
        <v>35</v>
      </c>
      <c r="G141" s="6" t="s">
        <v>18</v>
      </c>
      <c r="H141" s="6" t="n">
        <f aca="true">ROUND(RAND()*4+6,1)</f>
        <v>7.9</v>
      </c>
      <c r="I141" s="6" t="s">
        <v>36</v>
      </c>
      <c r="J141" s="6" t="str">
        <f aca="false">ROUND(78*1,0)&amp;"%"</f>
        <v>78%</v>
      </c>
    </row>
    <row r="142" customFormat="false" ht="15" hidden="false" customHeight="false" outlineLevel="0" collapsed="false">
      <c r="A142" s="5" t="s">
        <v>3668</v>
      </c>
      <c r="B142" s="5" t="s">
        <v>250</v>
      </c>
      <c r="C142" s="5" t="s">
        <v>114</v>
      </c>
      <c r="D142" s="5" t="s">
        <v>39</v>
      </c>
      <c r="E142" s="5" t="n">
        <f aca="false">ROUND(16538*1.05,2)</f>
        <v>17364.9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ROUND(85*1,0)&amp;"%"</f>
        <v>85%</v>
      </c>
    </row>
    <row r="143" customFormat="false" ht="15" hidden="false" customHeight="false" outlineLevel="0" collapsed="false">
      <c r="A143" s="6" t="s">
        <v>3669</v>
      </c>
      <c r="B143" s="6" t="s">
        <v>252</v>
      </c>
      <c r="C143" s="6" t="s">
        <v>114</v>
      </c>
      <c r="D143" s="6" t="s">
        <v>44</v>
      </c>
      <c r="E143" s="6" t="n">
        <f aca="false">ROUND(15386*1.05,2)</f>
        <v>16155.3</v>
      </c>
      <c r="F143" s="6" t="s">
        <v>45</v>
      </c>
      <c r="G143" s="6" t="s">
        <v>30</v>
      </c>
      <c r="H143" s="6" t="n">
        <f aca="true">ROUND(RAND()*4+6,1)</f>
        <v>7.5</v>
      </c>
      <c r="I143" s="6" t="s">
        <v>46</v>
      </c>
      <c r="J143" s="6" t="str">
        <f aca="false">ROUND(82*1,0)&amp;"%"</f>
        <v>82%</v>
      </c>
    </row>
    <row r="144" customFormat="false" ht="15" hidden="false" customHeight="false" outlineLevel="0" collapsed="false">
      <c r="A144" s="5" t="s">
        <v>3670</v>
      </c>
      <c r="B144" s="5" t="s">
        <v>254</v>
      </c>
      <c r="C144" s="5" t="s">
        <v>114</v>
      </c>
      <c r="D144" s="5" t="s">
        <v>16</v>
      </c>
      <c r="E144" s="5" t="n">
        <f aca="false">ROUND(10820*1.05,2)</f>
        <v>11361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ROUND(92*1,0)&amp;"%"</f>
        <v>92%</v>
      </c>
    </row>
    <row r="145" customFormat="false" ht="15" hidden="false" customHeight="false" outlineLevel="0" collapsed="false">
      <c r="A145" s="6" t="s">
        <v>3671</v>
      </c>
      <c r="B145" s="6" t="s">
        <v>256</v>
      </c>
      <c r="C145" s="6" t="s">
        <v>114</v>
      </c>
      <c r="D145" s="6" t="s">
        <v>22</v>
      </c>
      <c r="E145" s="6" t="n">
        <f aca="false">ROUND(11086*1.05,2)</f>
        <v>11640.3</v>
      </c>
      <c r="F145" s="6" t="s">
        <v>52</v>
      </c>
      <c r="G145" s="6" t="s">
        <v>24</v>
      </c>
      <c r="H145" s="6" t="n">
        <f aca="true">ROUND(RAND()*4+6,1)</f>
        <v>8.9</v>
      </c>
      <c r="I145" s="6" t="s">
        <v>25</v>
      </c>
      <c r="J145" s="6" t="str">
        <f aca="false">ROUND(61*1,0)&amp;"%"</f>
        <v>61%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3672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3673</v>
      </c>
      <c r="B150" s="5" t="s">
        <v>260</v>
      </c>
      <c r="C150" s="5" t="s">
        <v>133</v>
      </c>
      <c r="D150" s="5" t="s">
        <v>16</v>
      </c>
      <c r="E150" s="5" t="n">
        <f aca="false">ROUND(17163*1.05,2)</f>
        <v>18021.15</v>
      </c>
      <c r="F150" s="5" t="s">
        <v>17</v>
      </c>
      <c r="G150" s="5" t="s">
        <v>18</v>
      </c>
      <c r="H150" s="5" t="n">
        <f aca="true">ROUND(RAND()*4+6,1)</f>
        <v>7.6</v>
      </c>
      <c r="I150" s="5" t="s">
        <v>19</v>
      </c>
      <c r="J150" s="5" t="str">
        <f aca="false">ROUND(100*1,0)&amp;"%"</f>
        <v>100%</v>
      </c>
    </row>
    <row r="151" customFormat="false" ht="15" hidden="false" customHeight="false" outlineLevel="0" collapsed="false">
      <c r="A151" s="6" t="s">
        <v>3674</v>
      </c>
      <c r="B151" s="6" t="s">
        <v>262</v>
      </c>
      <c r="C151" s="6" t="s">
        <v>133</v>
      </c>
      <c r="D151" s="6" t="s">
        <v>22</v>
      </c>
      <c r="E151" s="6" t="n">
        <f aca="false">ROUND(13337*1.05,2)</f>
        <v>14003.85</v>
      </c>
      <c r="F151" s="6" t="s">
        <v>23</v>
      </c>
      <c r="G151" s="6" t="s">
        <v>24</v>
      </c>
      <c r="H151" s="6" t="n">
        <f aca="true">ROUND(RAND()*4+6,1)</f>
        <v>6.7</v>
      </c>
      <c r="I151" s="6" t="s">
        <v>25</v>
      </c>
      <c r="J151" s="6" t="str">
        <f aca="false">ROUND(87*1,0)&amp;"%"</f>
        <v>87%</v>
      </c>
    </row>
    <row r="152" customFormat="false" ht="15" hidden="false" customHeight="false" outlineLevel="0" collapsed="false">
      <c r="A152" s="5" t="s">
        <v>3675</v>
      </c>
      <c r="B152" s="5" t="s">
        <v>264</v>
      </c>
      <c r="C152" s="5" t="s">
        <v>133</v>
      </c>
      <c r="D152" s="5" t="s">
        <v>28</v>
      </c>
      <c r="E152" s="5" t="n">
        <f aca="false">ROUND(12389*1.05,2)</f>
        <v>13008.45</v>
      </c>
      <c r="F152" s="5" t="s">
        <v>29</v>
      </c>
      <c r="G152" s="5" t="s">
        <v>30</v>
      </c>
      <c r="H152" s="5" t="n">
        <f aca="true">ROUND(RAND()*4+6,1)</f>
        <v>7.5</v>
      </c>
      <c r="I152" s="5" t="s">
        <v>31</v>
      </c>
      <c r="J152" s="5" t="str">
        <f aca="false">ROUND(82*1,0)&amp;"%"</f>
        <v>82%</v>
      </c>
    </row>
    <row r="153" customFormat="false" ht="15" hidden="false" customHeight="false" outlineLevel="0" collapsed="false">
      <c r="A153" s="6" t="s">
        <v>3676</v>
      </c>
      <c r="B153" s="6" t="s">
        <v>266</v>
      </c>
      <c r="C153" s="6" t="s">
        <v>133</v>
      </c>
      <c r="D153" s="6" t="s">
        <v>34</v>
      </c>
      <c r="E153" s="6" t="n">
        <f aca="false">ROUND(10549*1.05,2)</f>
        <v>11076.45</v>
      </c>
      <c r="F153" s="6" t="s">
        <v>35</v>
      </c>
      <c r="G153" s="6" t="s">
        <v>18</v>
      </c>
      <c r="H153" s="6" t="n">
        <f aca="true">ROUND(RAND()*4+6,1)</f>
        <v>9.9</v>
      </c>
      <c r="I153" s="6" t="s">
        <v>36</v>
      </c>
      <c r="J153" s="6" t="str">
        <f aca="false">ROUND(63*1,0)&amp;"%"</f>
        <v>63%</v>
      </c>
    </row>
    <row r="154" customFormat="false" ht="15" hidden="false" customHeight="false" outlineLevel="0" collapsed="false">
      <c r="A154" s="5" t="s">
        <v>3677</v>
      </c>
      <c r="B154" s="5" t="s">
        <v>268</v>
      </c>
      <c r="C154" s="5" t="s">
        <v>133</v>
      </c>
      <c r="D154" s="5" t="s">
        <v>39</v>
      </c>
      <c r="E154" s="5" t="n">
        <f aca="false">ROUND(12541*1.05,2)</f>
        <v>13168.05</v>
      </c>
      <c r="F154" s="5" t="s">
        <v>40</v>
      </c>
      <c r="G154" s="5" t="s">
        <v>24</v>
      </c>
      <c r="H154" s="5" t="n">
        <f aca="true">ROUND(RAND()*4+6,1)</f>
        <v>8.9</v>
      </c>
      <c r="I154" s="5" t="s">
        <v>41</v>
      </c>
      <c r="J154" s="5" t="str">
        <f aca="false">ROUND(73*1,0)&amp;"%"</f>
        <v>73%</v>
      </c>
    </row>
    <row r="155" customFormat="false" ht="15" hidden="false" customHeight="false" outlineLevel="0" collapsed="false">
      <c r="A155" s="6" t="s">
        <v>3678</v>
      </c>
      <c r="B155" s="6" t="s">
        <v>270</v>
      </c>
      <c r="C155" s="6" t="s">
        <v>133</v>
      </c>
      <c r="D155" s="6" t="s">
        <v>44</v>
      </c>
      <c r="E155" s="6" t="n">
        <f aca="false">ROUND(12887*1.05,2)</f>
        <v>13531.35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ROUND(85*1,0)&amp;"%"</f>
        <v>85%</v>
      </c>
    </row>
    <row r="156" customFormat="false" ht="15" hidden="false" customHeight="false" outlineLevel="0" collapsed="false">
      <c r="A156" s="5" t="s">
        <v>3679</v>
      </c>
      <c r="B156" s="5" t="s">
        <v>272</v>
      </c>
      <c r="C156" s="5" t="s">
        <v>133</v>
      </c>
      <c r="D156" s="5" t="s">
        <v>16</v>
      </c>
      <c r="E156" s="5" t="n">
        <f aca="false">ROUND(14273*1.05,2)</f>
        <v>14986.65</v>
      </c>
      <c r="F156" s="5" t="s">
        <v>49</v>
      </c>
      <c r="G156" s="5" t="s">
        <v>18</v>
      </c>
      <c r="H156" s="5" t="n">
        <f aca="true">ROUND(RAND()*4+6,1)</f>
        <v>6.5</v>
      </c>
      <c r="I156" s="5" t="s">
        <v>19</v>
      </c>
      <c r="J156" s="5" t="str">
        <f aca="false">ROUND(96*1,0)&amp;"%"</f>
        <v>96%</v>
      </c>
    </row>
    <row r="157" customFormat="false" ht="15" hidden="false" customHeight="false" outlineLevel="0" collapsed="false">
      <c r="A157" s="6" t="s">
        <v>3680</v>
      </c>
      <c r="B157" s="6" t="s">
        <v>274</v>
      </c>
      <c r="C157" s="6" t="s">
        <v>133</v>
      </c>
      <c r="D157" s="6" t="s">
        <v>22</v>
      </c>
      <c r="E157" s="6" t="n">
        <f aca="false">ROUND(14234*1.05,2)</f>
        <v>14945.7</v>
      </c>
      <c r="F157" s="6" t="s">
        <v>52</v>
      </c>
      <c r="G157" s="6" t="s">
        <v>24</v>
      </c>
      <c r="H157" s="6" t="n">
        <f aca="true">ROUND(RAND()*4+6,1)</f>
        <v>9.4</v>
      </c>
      <c r="I157" s="6" t="s">
        <v>25</v>
      </c>
      <c r="J157" s="6" t="str">
        <f aca="false">ROUND(89*1,0)&amp;"%"</f>
        <v>89%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3681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3682</v>
      </c>
      <c r="B162" s="5" t="s">
        <v>278</v>
      </c>
      <c r="C162" s="5" t="s">
        <v>152</v>
      </c>
      <c r="D162" s="5" t="s">
        <v>16</v>
      </c>
      <c r="E162" s="5" t="n">
        <f aca="false">ROUND(6682*1.05,2)</f>
        <v>7016.1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ROUND(67*1,0)&amp;"%"</f>
        <v>67%</v>
      </c>
    </row>
    <row r="163" customFormat="false" ht="15" hidden="false" customHeight="false" outlineLevel="0" collapsed="false">
      <c r="A163" s="6" t="s">
        <v>3683</v>
      </c>
      <c r="B163" s="6" t="s">
        <v>280</v>
      </c>
      <c r="C163" s="6" t="s">
        <v>152</v>
      </c>
      <c r="D163" s="6" t="s">
        <v>22</v>
      </c>
      <c r="E163" s="6" t="n">
        <f aca="false">ROUND(10881*1.05,2)</f>
        <v>11425.05</v>
      </c>
      <c r="F163" s="6" t="s">
        <v>23</v>
      </c>
      <c r="G163" s="6" t="s">
        <v>24</v>
      </c>
      <c r="H163" s="6" t="n">
        <f aca="true">ROUND(RAND()*4+6,1)</f>
        <v>6.2</v>
      </c>
      <c r="I163" s="6" t="s">
        <v>25</v>
      </c>
      <c r="J163" s="6" t="str">
        <f aca="false">ROUND(66*1,0)&amp;"%"</f>
        <v>66%</v>
      </c>
    </row>
    <row r="164" customFormat="false" ht="15" hidden="false" customHeight="false" outlineLevel="0" collapsed="false">
      <c r="A164" s="5" t="s">
        <v>3684</v>
      </c>
      <c r="B164" s="5" t="s">
        <v>282</v>
      </c>
      <c r="C164" s="5" t="s">
        <v>152</v>
      </c>
      <c r="D164" s="5" t="s">
        <v>28</v>
      </c>
      <c r="E164" s="5" t="n">
        <f aca="false">ROUND(10102*1.05,2)</f>
        <v>10607.1</v>
      </c>
      <c r="F164" s="5" t="s">
        <v>29</v>
      </c>
      <c r="G164" s="5" t="s">
        <v>30</v>
      </c>
      <c r="H164" s="5" t="n">
        <f aca="true">ROUND(RAND()*4+6,1)</f>
        <v>6.2</v>
      </c>
      <c r="I164" s="5" t="s">
        <v>31</v>
      </c>
      <c r="J164" s="5" t="str">
        <f aca="false">ROUND(63*1,0)&amp;"%"</f>
        <v>63%</v>
      </c>
    </row>
    <row r="165" customFormat="false" ht="15" hidden="false" customHeight="false" outlineLevel="0" collapsed="false">
      <c r="A165" s="6" t="s">
        <v>3685</v>
      </c>
      <c r="B165" s="6" t="s">
        <v>284</v>
      </c>
      <c r="C165" s="6" t="s">
        <v>152</v>
      </c>
      <c r="D165" s="6" t="s">
        <v>34</v>
      </c>
      <c r="E165" s="6" t="n">
        <f aca="false">ROUND(6735*1.05,2)</f>
        <v>7071.75</v>
      </c>
      <c r="F165" s="6" t="s">
        <v>35</v>
      </c>
      <c r="G165" s="6" t="s">
        <v>18</v>
      </c>
      <c r="H165" s="6" t="n">
        <f aca="true">ROUND(RAND()*4+6,1)</f>
        <v>8.5</v>
      </c>
      <c r="I165" s="6" t="s">
        <v>36</v>
      </c>
      <c r="J165" s="6" t="str">
        <f aca="false">ROUND(65*1,0)&amp;"%"</f>
        <v>65%</v>
      </c>
    </row>
    <row r="166" customFormat="false" ht="15" hidden="false" customHeight="false" outlineLevel="0" collapsed="false">
      <c r="A166" s="5" t="s">
        <v>3686</v>
      </c>
      <c r="B166" s="5" t="s">
        <v>286</v>
      </c>
      <c r="C166" s="5" t="s">
        <v>152</v>
      </c>
      <c r="D166" s="5" t="s">
        <v>39</v>
      </c>
      <c r="E166" s="5" t="n">
        <f aca="false">ROUND(12908*1.05,2)</f>
        <v>13553.4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ROUND(85*1,0)&amp;"%"</f>
        <v>85%</v>
      </c>
    </row>
    <row r="167" customFormat="false" ht="15" hidden="false" customHeight="false" outlineLevel="0" collapsed="false">
      <c r="A167" s="6" t="s">
        <v>3687</v>
      </c>
      <c r="B167" s="6" t="s">
        <v>288</v>
      </c>
      <c r="C167" s="6" t="s">
        <v>152</v>
      </c>
      <c r="D167" s="6" t="s">
        <v>44</v>
      </c>
      <c r="E167" s="6" t="n">
        <f aca="false">ROUND(16419*1.05,2)</f>
        <v>17239.95</v>
      </c>
      <c r="F167" s="6" t="s">
        <v>45</v>
      </c>
      <c r="G167" s="6" t="s">
        <v>30</v>
      </c>
      <c r="H167" s="6" t="n">
        <f aca="true">ROUND(RAND()*4+6,1)</f>
        <v>7</v>
      </c>
      <c r="I167" s="6" t="s">
        <v>46</v>
      </c>
      <c r="J167" s="6" t="str">
        <f aca="false">ROUND(73*1,0)&amp;"%"</f>
        <v>73%</v>
      </c>
    </row>
    <row r="168" customFormat="false" ht="15" hidden="false" customHeight="false" outlineLevel="0" collapsed="false">
      <c r="A168" s="5" t="s">
        <v>3688</v>
      </c>
      <c r="B168" s="5" t="s">
        <v>290</v>
      </c>
      <c r="C168" s="5" t="s">
        <v>152</v>
      </c>
      <c r="D168" s="5" t="s">
        <v>16</v>
      </c>
      <c r="E168" s="5" t="n">
        <f aca="false">ROUND(7796*1.05,2)</f>
        <v>8185.8</v>
      </c>
      <c r="F168" s="5" t="s">
        <v>49</v>
      </c>
      <c r="G168" s="5" t="s">
        <v>18</v>
      </c>
      <c r="H168" s="5" t="n">
        <f aca="true">ROUND(RAND()*4+6,1)</f>
        <v>9.4</v>
      </c>
      <c r="I168" s="5" t="s">
        <v>19</v>
      </c>
      <c r="J168" s="5" t="str">
        <f aca="false">ROUND(87*1,0)&amp;"%"</f>
        <v>87%</v>
      </c>
    </row>
    <row r="169" customFormat="false" ht="15" hidden="false" customHeight="false" outlineLevel="0" collapsed="false">
      <c r="A169" s="6" t="s">
        <v>3689</v>
      </c>
      <c r="B169" s="6" t="s">
        <v>292</v>
      </c>
      <c r="C169" s="6" t="s">
        <v>152</v>
      </c>
      <c r="D169" s="6" t="s">
        <v>22</v>
      </c>
      <c r="E169" s="6" t="n">
        <f aca="false">ROUND(15115*1.05,2)</f>
        <v>15870.75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ROUND(82*1,0)&amp;"%"</f>
        <v>82%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3690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3691</v>
      </c>
      <c r="B174" s="5" t="s">
        <v>296</v>
      </c>
      <c r="C174" s="5" t="s">
        <v>15</v>
      </c>
      <c r="D174" s="5" t="s">
        <v>16</v>
      </c>
      <c r="E174" s="5" t="n">
        <f aca="false">ROUND(8404*1.05,2)</f>
        <v>8824.2</v>
      </c>
      <c r="F174" s="5" t="s">
        <v>17</v>
      </c>
      <c r="G174" s="5" t="s">
        <v>18</v>
      </c>
      <c r="H174" s="5" t="n">
        <f aca="true">ROUND(RAND()*4+6,1)</f>
        <v>8</v>
      </c>
      <c r="I174" s="5" t="s">
        <v>19</v>
      </c>
      <c r="J174" s="5" t="str">
        <f aca="false">ROUND(91*1,0)&amp;"%"</f>
        <v>91%</v>
      </c>
    </row>
    <row r="175" customFormat="false" ht="15" hidden="false" customHeight="false" outlineLevel="0" collapsed="false">
      <c r="A175" s="6" t="s">
        <v>3692</v>
      </c>
      <c r="B175" s="6" t="s">
        <v>298</v>
      </c>
      <c r="C175" s="6" t="s">
        <v>15</v>
      </c>
      <c r="D175" s="6" t="s">
        <v>22</v>
      </c>
      <c r="E175" s="6" t="n">
        <f aca="false">ROUND(17628*1.05,2)</f>
        <v>18509.4</v>
      </c>
      <c r="F175" s="6" t="s">
        <v>23</v>
      </c>
      <c r="G175" s="6" t="s">
        <v>24</v>
      </c>
      <c r="H175" s="6" t="n">
        <f aca="true">ROUND(RAND()*4+6,1)</f>
        <v>8.5</v>
      </c>
      <c r="I175" s="6" t="s">
        <v>25</v>
      </c>
      <c r="J175" s="6" t="str">
        <f aca="false">ROUND(77*1,0)&amp;"%"</f>
        <v>77%</v>
      </c>
    </row>
    <row r="176" customFormat="false" ht="15" hidden="false" customHeight="false" outlineLevel="0" collapsed="false">
      <c r="A176" s="5" t="s">
        <v>3693</v>
      </c>
      <c r="B176" s="5" t="s">
        <v>300</v>
      </c>
      <c r="C176" s="5" t="s">
        <v>15</v>
      </c>
      <c r="D176" s="5" t="s">
        <v>28</v>
      </c>
      <c r="E176" s="5" t="n">
        <f aca="false">ROUND(12281*1.05,2)</f>
        <v>12895.05</v>
      </c>
      <c r="F176" s="5" t="s">
        <v>29</v>
      </c>
      <c r="G176" s="5" t="s">
        <v>30</v>
      </c>
      <c r="H176" s="5" t="n">
        <f aca="true">ROUND(RAND()*4+6,1)</f>
        <v>7.7</v>
      </c>
      <c r="I176" s="5" t="s">
        <v>31</v>
      </c>
      <c r="J176" s="5" t="str">
        <f aca="false">ROUND(72*1,0)&amp;"%"</f>
        <v>72%</v>
      </c>
    </row>
    <row r="177" customFormat="false" ht="15" hidden="false" customHeight="false" outlineLevel="0" collapsed="false">
      <c r="A177" s="6" t="s">
        <v>3694</v>
      </c>
      <c r="B177" s="6" t="s">
        <v>302</v>
      </c>
      <c r="C177" s="6" t="s">
        <v>15</v>
      </c>
      <c r="D177" s="6" t="s">
        <v>34</v>
      </c>
      <c r="E177" s="6" t="n">
        <f aca="false">ROUND(12367*1.05,2)</f>
        <v>12985.35</v>
      </c>
      <c r="F177" s="6" t="s">
        <v>35</v>
      </c>
      <c r="G177" s="6" t="s">
        <v>18</v>
      </c>
      <c r="H177" s="6" t="n">
        <f aca="true">ROUND(RAND()*4+6,1)</f>
        <v>7.1</v>
      </c>
      <c r="I177" s="6" t="s">
        <v>36</v>
      </c>
      <c r="J177" s="6" t="str">
        <f aca="false">ROUND(97*1,0)&amp;"%"</f>
        <v>97%</v>
      </c>
    </row>
    <row r="178" customFormat="false" ht="15" hidden="false" customHeight="false" outlineLevel="0" collapsed="false">
      <c r="A178" s="5" t="s">
        <v>3695</v>
      </c>
      <c r="B178" s="5" t="s">
        <v>304</v>
      </c>
      <c r="C178" s="5" t="s">
        <v>15</v>
      </c>
      <c r="D178" s="5" t="s">
        <v>39</v>
      </c>
      <c r="E178" s="5" t="n">
        <f aca="false">ROUND(5255*1.05,2)</f>
        <v>5517.75</v>
      </c>
      <c r="F178" s="5" t="s">
        <v>40</v>
      </c>
      <c r="G178" s="5" t="s">
        <v>24</v>
      </c>
      <c r="H178" s="5" t="n">
        <f aca="true">ROUND(RAND()*4+6,1)</f>
        <v>9.4</v>
      </c>
      <c r="I178" s="5" t="s">
        <v>41</v>
      </c>
      <c r="J178" s="5" t="str">
        <f aca="false">ROUND(93*1,0)&amp;"%"</f>
        <v>93%</v>
      </c>
    </row>
    <row r="179" customFormat="false" ht="15" hidden="false" customHeight="false" outlineLevel="0" collapsed="false">
      <c r="A179" s="6" t="s">
        <v>3696</v>
      </c>
      <c r="B179" s="6" t="s">
        <v>306</v>
      </c>
      <c r="C179" s="6" t="s">
        <v>15</v>
      </c>
      <c r="D179" s="6" t="s">
        <v>44</v>
      </c>
      <c r="E179" s="6" t="n">
        <f aca="false">ROUND(15279*1.05,2)</f>
        <v>16042.95</v>
      </c>
      <c r="F179" s="6" t="s">
        <v>45</v>
      </c>
      <c r="G179" s="6" t="s">
        <v>30</v>
      </c>
      <c r="H179" s="6" t="n">
        <f aca="true">ROUND(RAND()*4+6,1)</f>
        <v>8.5</v>
      </c>
      <c r="I179" s="6" t="s">
        <v>46</v>
      </c>
      <c r="J179" s="6" t="str">
        <f aca="false">ROUND(88*1,0)&amp;"%"</f>
        <v>88%</v>
      </c>
    </row>
    <row r="180" customFormat="false" ht="15" hidden="false" customHeight="false" outlineLevel="0" collapsed="false">
      <c r="A180" s="5" t="s">
        <v>3697</v>
      </c>
      <c r="B180" s="5" t="s">
        <v>308</v>
      </c>
      <c r="C180" s="5" t="s">
        <v>15</v>
      </c>
      <c r="D180" s="5" t="s">
        <v>16</v>
      </c>
      <c r="E180" s="5" t="n">
        <f aca="false">ROUND(8474*1.05,2)</f>
        <v>8897.7</v>
      </c>
      <c r="F180" s="5" t="s">
        <v>49</v>
      </c>
      <c r="G180" s="5" t="s">
        <v>18</v>
      </c>
      <c r="H180" s="5" t="n">
        <f aca="true">ROUND(RAND()*4+6,1)</f>
        <v>6.9</v>
      </c>
      <c r="I180" s="5" t="s">
        <v>19</v>
      </c>
      <c r="J180" s="5" t="str">
        <f aca="false">ROUND(75*1,0)&amp;"%"</f>
        <v>75%</v>
      </c>
    </row>
    <row r="181" customFormat="false" ht="15" hidden="false" customHeight="false" outlineLevel="0" collapsed="false">
      <c r="A181" s="6" t="s">
        <v>3698</v>
      </c>
      <c r="B181" s="6" t="s">
        <v>310</v>
      </c>
      <c r="C181" s="6" t="s">
        <v>15</v>
      </c>
      <c r="D181" s="6" t="s">
        <v>22</v>
      </c>
      <c r="E181" s="6" t="n">
        <f aca="false">ROUND(15490*1.05,2)</f>
        <v>16264.5</v>
      </c>
      <c r="F181" s="6" t="s">
        <v>52</v>
      </c>
      <c r="G181" s="6" t="s">
        <v>24</v>
      </c>
      <c r="H181" s="6" t="n">
        <f aca="true">ROUND(RAND()*4+6,1)</f>
        <v>6.3</v>
      </c>
      <c r="I181" s="6" t="s">
        <v>25</v>
      </c>
      <c r="J181" s="6" t="str">
        <f aca="false">ROUND(100*1,0)&amp;"%"</f>
        <v>100%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3699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3700</v>
      </c>
      <c r="B186" s="5" t="s">
        <v>314</v>
      </c>
      <c r="C186" s="5" t="s">
        <v>57</v>
      </c>
      <c r="D186" s="5" t="s">
        <v>16</v>
      </c>
      <c r="E186" s="5" t="n">
        <f aca="false">ROUND(9503*1.05,2)</f>
        <v>9978.15</v>
      </c>
      <c r="F186" s="5" t="s">
        <v>17</v>
      </c>
      <c r="G186" s="5" t="s">
        <v>18</v>
      </c>
      <c r="H186" s="5" t="n">
        <f aca="true">ROUND(RAND()*4+6,1)</f>
        <v>8.3</v>
      </c>
      <c r="I186" s="5" t="s">
        <v>19</v>
      </c>
      <c r="J186" s="5" t="str">
        <f aca="false">ROUND(78*1,0)&amp;"%"</f>
        <v>78%</v>
      </c>
    </row>
    <row r="187" customFormat="false" ht="15" hidden="false" customHeight="false" outlineLevel="0" collapsed="false">
      <c r="A187" s="6" t="s">
        <v>3701</v>
      </c>
      <c r="B187" s="6" t="s">
        <v>316</v>
      </c>
      <c r="C187" s="6" t="s">
        <v>57</v>
      </c>
      <c r="D187" s="6" t="s">
        <v>22</v>
      </c>
      <c r="E187" s="6" t="n">
        <f aca="false">ROUND(14851*1.05,2)</f>
        <v>15593.55</v>
      </c>
      <c r="F187" s="6" t="s">
        <v>23</v>
      </c>
      <c r="G187" s="6" t="s">
        <v>24</v>
      </c>
      <c r="H187" s="6" t="n">
        <f aca="true">ROUND(RAND()*4+6,1)</f>
        <v>7.8</v>
      </c>
      <c r="I187" s="6" t="s">
        <v>25</v>
      </c>
      <c r="J187" s="6" t="str">
        <f aca="false">ROUND(93*1,0)&amp;"%"</f>
        <v>93%</v>
      </c>
    </row>
    <row r="188" customFormat="false" ht="15" hidden="false" customHeight="false" outlineLevel="0" collapsed="false">
      <c r="A188" s="5" t="s">
        <v>3702</v>
      </c>
      <c r="B188" s="5" t="s">
        <v>318</v>
      </c>
      <c r="C188" s="5" t="s">
        <v>57</v>
      </c>
      <c r="D188" s="5" t="s">
        <v>28</v>
      </c>
      <c r="E188" s="5" t="n">
        <f aca="false">ROUND(14689*1.05,2)</f>
        <v>15423.45</v>
      </c>
      <c r="F188" s="5" t="s">
        <v>29</v>
      </c>
      <c r="G188" s="5" t="s">
        <v>30</v>
      </c>
      <c r="H188" s="5" t="n">
        <f aca="true">ROUND(RAND()*4+6,1)</f>
        <v>8.9</v>
      </c>
      <c r="I188" s="5" t="s">
        <v>31</v>
      </c>
      <c r="J188" s="5" t="str">
        <f aca="false">ROUND(72*1,0)&amp;"%"</f>
        <v>72%</v>
      </c>
    </row>
    <row r="189" customFormat="false" ht="15" hidden="false" customHeight="false" outlineLevel="0" collapsed="false">
      <c r="A189" s="6" t="s">
        <v>3703</v>
      </c>
      <c r="B189" s="6" t="s">
        <v>320</v>
      </c>
      <c r="C189" s="6" t="s">
        <v>57</v>
      </c>
      <c r="D189" s="6" t="s">
        <v>34</v>
      </c>
      <c r="E189" s="6" t="n">
        <f aca="false">ROUND(17496*1.05,2)</f>
        <v>18370.8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ROUND(60*1,0)&amp;"%"</f>
        <v>60%</v>
      </c>
    </row>
    <row r="190" customFormat="false" ht="15" hidden="false" customHeight="false" outlineLevel="0" collapsed="false">
      <c r="A190" s="5" t="s">
        <v>3704</v>
      </c>
      <c r="B190" s="5" t="s">
        <v>322</v>
      </c>
      <c r="C190" s="5" t="s">
        <v>57</v>
      </c>
      <c r="D190" s="5" t="s">
        <v>39</v>
      </c>
      <c r="E190" s="5" t="n">
        <f aca="false">ROUND(16639*1.05,2)</f>
        <v>17470.95</v>
      </c>
      <c r="F190" s="5" t="s">
        <v>40</v>
      </c>
      <c r="G190" s="5" t="s">
        <v>24</v>
      </c>
      <c r="H190" s="5" t="n">
        <f aca="true">ROUND(RAND()*4+6,1)</f>
        <v>7.1</v>
      </c>
      <c r="I190" s="5" t="s">
        <v>41</v>
      </c>
      <c r="J190" s="5" t="str">
        <f aca="false">ROUND(95*1,0)&amp;"%"</f>
        <v>95%</v>
      </c>
    </row>
    <row r="191" customFormat="false" ht="15" hidden="false" customHeight="false" outlineLevel="0" collapsed="false">
      <c r="A191" s="6" t="s">
        <v>3705</v>
      </c>
      <c r="B191" s="6" t="s">
        <v>324</v>
      </c>
      <c r="C191" s="6" t="s">
        <v>57</v>
      </c>
      <c r="D191" s="6" t="s">
        <v>44</v>
      </c>
      <c r="E191" s="6" t="n">
        <f aca="false">ROUND(8569*1.05,2)</f>
        <v>8997.45</v>
      </c>
      <c r="F191" s="6" t="s">
        <v>45</v>
      </c>
      <c r="G191" s="6" t="s">
        <v>30</v>
      </c>
      <c r="H191" s="6" t="n">
        <f aca="true">ROUND(RAND()*4+6,1)</f>
        <v>7.9</v>
      </c>
      <c r="I191" s="6" t="s">
        <v>46</v>
      </c>
      <c r="J191" s="6" t="str">
        <f aca="false">ROUND(95*1,0)&amp;"%"</f>
        <v>95%</v>
      </c>
    </row>
    <row r="192" customFormat="false" ht="15" hidden="false" customHeight="false" outlineLevel="0" collapsed="false">
      <c r="A192" s="5" t="s">
        <v>3706</v>
      </c>
      <c r="B192" s="5" t="s">
        <v>326</v>
      </c>
      <c r="C192" s="5" t="s">
        <v>57</v>
      </c>
      <c r="D192" s="5" t="s">
        <v>16</v>
      </c>
      <c r="E192" s="5" t="n">
        <f aca="false">ROUND(8805*1.05,2)</f>
        <v>9245.25</v>
      </c>
      <c r="F192" s="5" t="s">
        <v>49</v>
      </c>
      <c r="G192" s="5" t="s">
        <v>18</v>
      </c>
      <c r="H192" s="5" t="n">
        <f aca="true">ROUND(RAND()*4+6,1)</f>
        <v>7.1</v>
      </c>
      <c r="I192" s="5" t="s">
        <v>19</v>
      </c>
      <c r="J192" s="5" t="str">
        <f aca="false">ROUND(64*1,0)&amp;"%"</f>
        <v>64%</v>
      </c>
    </row>
    <row r="193" customFormat="false" ht="15" hidden="false" customHeight="false" outlineLevel="0" collapsed="false">
      <c r="A193" s="6" t="s">
        <v>3707</v>
      </c>
      <c r="B193" s="6" t="s">
        <v>328</v>
      </c>
      <c r="C193" s="6" t="s">
        <v>57</v>
      </c>
      <c r="D193" s="6" t="s">
        <v>22</v>
      </c>
      <c r="E193" s="6" t="n">
        <f aca="false">ROUND(6982*1.05,2)</f>
        <v>7331.1</v>
      </c>
      <c r="F193" s="6" t="s">
        <v>52</v>
      </c>
      <c r="G193" s="6" t="s">
        <v>24</v>
      </c>
      <c r="H193" s="6" t="n">
        <f aca="true">ROUND(RAND()*4+6,1)</f>
        <v>9.9</v>
      </c>
      <c r="I193" s="6" t="s">
        <v>25</v>
      </c>
      <c r="J193" s="6" t="str">
        <f aca="false">ROUND(75*1,0)&amp;"%"</f>
        <v>75%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3708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3709</v>
      </c>
      <c r="B198" s="5" t="s">
        <v>332</v>
      </c>
      <c r="C198" s="5" t="s">
        <v>76</v>
      </c>
      <c r="D198" s="5" t="s">
        <v>16</v>
      </c>
      <c r="E198" s="5" t="n">
        <f aca="false">ROUND(12557*1.05,2)</f>
        <v>13184.85</v>
      </c>
      <c r="F198" s="5" t="s">
        <v>17</v>
      </c>
      <c r="G198" s="5" t="s">
        <v>18</v>
      </c>
      <c r="H198" s="5" t="n">
        <f aca="true">ROUND(RAND()*4+6,1)</f>
        <v>6.4</v>
      </c>
      <c r="I198" s="5" t="s">
        <v>19</v>
      </c>
      <c r="J198" s="5" t="str">
        <f aca="false">ROUND(65*1,0)&amp;"%"</f>
        <v>65%</v>
      </c>
    </row>
    <row r="199" customFormat="false" ht="15" hidden="false" customHeight="false" outlineLevel="0" collapsed="false">
      <c r="A199" s="6" t="s">
        <v>3710</v>
      </c>
      <c r="B199" s="6" t="s">
        <v>334</v>
      </c>
      <c r="C199" s="6" t="s">
        <v>76</v>
      </c>
      <c r="D199" s="6" t="s">
        <v>22</v>
      </c>
      <c r="E199" s="6" t="n">
        <f aca="false">ROUND(17169*1.05,2)</f>
        <v>18027.45</v>
      </c>
      <c r="F199" s="6" t="s">
        <v>23</v>
      </c>
      <c r="G199" s="6" t="s">
        <v>24</v>
      </c>
      <c r="H199" s="6" t="n">
        <f aca="true">ROUND(RAND()*4+6,1)</f>
        <v>7.6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3711</v>
      </c>
      <c r="B200" s="5" t="s">
        <v>336</v>
      </c>
      <c r="C200" s="5" t="s">
        <v>76</v>
      </c>
      <c r="D200" s="5" t="s">
        <v>28</v>
      </c>
      <c r="E200" s="5" t="n">
        <f aca="false">ROUND(7358*1.05,2)</f>
        <v>7725.9</v>
      </c>
      <c r="F200" s="5" t="s">
        <v>29</v>
      </c>
      <c r="G200" s="5" t="s">
        <v>30</v>
      </c>
      <c r="H200" s="5" t="n">
        <f aca="true">ROUND(RAND()*4+6,1)</f>
        <v>7.9</v>
      </c>
      <c r="I200" s="5" t="s">
        <v>31</v>
      </c>
      <c r="J200" s="5" t="str">
        <f aca="false">ROUND(81*1,0)&amp;"%"</f>
        <v>81%</v>
      </c>
    </row>
    <row r="201" customFormat="false" ht="15" hidden="false" customHeight="false" outlineLevel="0" collapsed="false">
      <c r="A201" s="6" t="s">
        <v>3712</v>
      </c>
      <c r="B201" s="6" t="s">
        <v>338</v>
      </c>
      <c r="C201" s="6" t="s">
        <v>76</v>
      </c>
      <c r="D201" s="6" t="s">
        <v>34</v>
      </c>
      <c r="E201" s="6" t="n">
        <f aca="false">ROUND(5749*1.05,2)</f>
        <v>6036.45</v>
      </c>
      <c r="F201" s="6" t="s">
        <v>35</v>
      </c>
      <c r="G201" s="6" t="s">
        <v>18</v>
      </c>
      <c r="H201" s="6" t="n">
        <f aca="true">ROUND(RAND()*4+6,1)</f>
        <v>9.6</v>
      </c>
      <c r="I201" s="6" t="s">
        <v>36</v>
      </c>
      <c r="J201" s="6" t="str">
        <f aca="false">ROUND(64*1,0)&amp;"%"</f>
        <v>64%</v>
      </c>
    </row>
    <row r="202" customFormat="false" ht="15" hidden="false" customHeight="false" outlineLevel="0" collapsed="false">
      <c r="A202" s="5" t="s">
        <v>3713</v>
      </c>
      <c r="B202" s="5" t="s">
        <v>340</v>
      </c>
      <c r="C202" s="5" t="s">
        <v>76</v>
      </c>
      <c r="D202" s="5" t="s">
        <v>39</v>
      </c>
      <c r="E202" s="5" t="n">
        <f aca="false">ROUND(15000*1.05,2)</f>
        <v>15750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ROUND(84*1,0)&amp;"%"</f>
        <v>84%</v>
      </c>
    </row>
    <row r="203" customFormat="false" ht="15" hidden="false" customHeight="false" outlineLevel="0" collapsed="false">
      <c r="A203" s="6" t="s">
        <v>3714</v>
      </c>
      <c r="B203" s="6" t="s">
        <v>342</v>
      </c>
      <c r="C203" s="6" t="s">
        <v>76</v>
      </c>
      <c r="D203" s="6" t="s">
        <v>44</v>
      </c>
      <c r="E203" s="6" t="n">
        <f aca="false">ROUND(6586*1.05,2)</f>
        <v>6915.3</v>
      </c>
      <c r="F203" s="6" t="s">
        <v>45</v>
      </c>
      <c r="G203" s="6" t="s">
        <v>30</v>
      </c>
      <c r="H203" s="6" t="n">
        <f aca="true">ROUND(RAND()*4+6,1)</f>
        <v>6.5</v>
      </c>
      <c r="I203" s="6" t="s">
        <v>46</v>
      </c>
      <c r="J203" s="6" t="str">
        <f aca="false">ROUND(82*1,0)&amp;"%"</f>
        <v>82%</v>
      </c>
    </row>
    <row r="204" customFormat="false" ht="15" hidden="false" customHeight="false" outlineLevel="0" collapsed="false">
      <c r="A204" s="5" t="s">
        <v>3715</v>
      </c>
      <c r="B204" s="5" t="s">
        <v>344</v>
      </c>
      <c r="C204" s="5" t="s">
        <v>76</v>
      </c>
      <c r="D204" s="5" t="s">
        <v>16</v>
      </c>
      <c r="E204" s="5" t="n">
        <f aca="false">ROUND(10860*1.05,2)</f>
        <v>11403</v>
      </c>
      <c r="F204" s="5" t="s">
        <v>49</v>
      </c>
      <c r="G204" s="5" t="s">
        <v>18</v>
      </c>
      <c r="H204" s="5" t="n">
        <f aca="true">ROUND(RAND()*4+6,1)</f>
        <v>8.7</v>
      </c>
      <c r="I204" s="5" t="s">
        <v>19</v>
      </c>
      <c r="J204" s="5" t="str">
        <f aca="false">ROUND(89*1,0)&amp;"%"</f>
        <v>89%</v>
      </c>
    </row>
    <row r="205" customFormat="false" ht="15" hidden="false" customHeight="false" outlineLevel="0" collapsed="false">
      <c r="A205" s="6" t="s">
        <v>3716</v>
      </c>
      <c r="B205" s="6" t="s">
        <v>346</v>
      </c>
      <c r="C205" s="6" t="s">
        <v>76</v>
      </c>
      <c r="D205" s="6" t="s">
        <v>22</v>
      </c>
      <c r="E205" s="6" t="n">
        <f aca="false">ROUND(13260*1.05,2)</f>
        <v>13923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ROUND(68*1,0)&amp;"%"</f>
        <v>68%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3717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3718</v>
      </c>
      <c r="B210" s="5" t="s">
        <v>350</v>
      </c>
      <c r="C210" s="5" t="s">
        <v>95</v>
      </c>
      <c r="D210" s="5" t="s">
        <v>16</v>
      </c>
      <c r="E210" s="5" t="n">
        <f aca="false">ROUND(10459*1.05,2)</f>
        <v>10981.95</v>
      </c>
      <c r="F210" s="5" t="s">
        <v>17</v>
      </c>
      <c r="G210" s="5" t="s">
        <v>18</v>
      </c>
      <c r="H210" s="5" t="n">
        <f aca="true">ROUND(RAND()*4+6,1)</f>
        <v>7.2</v>
      </c>
      <c r="I210" s="5" t="s">
        <v>19</v>
      </c>
      <c r="J210" s="5" t="str">
        <f aca="false">ROUND(90*1,0)&amp;"%"</f>
        <v>90%</v>
      </c>
    </row>
    <row r="211" customFormat="false" ht="15" hidden="false" customHeight="false" outlineLevel="0" collapsed="false">
      <c r="A211" s="6" t="s">
        <v>3719</v>
      </c>
      <c r="B211" s="6" t="s">
        <v>352</v>
      </c>
      <c r="C211" s="6" t="s">
        <v>95</v>
      </c>
      <c r="D211" s="6" t="s">
        <v>22</v>
      </c>
      <c r="E211" s="6" t="n">
        <f aca="false">ROUND(9708*1.05,2)</f>
        <v>10193.4</v>
      </c>
      <c r="F211" s="6" t="s">
        <v>23</v>
      </c>
      <c r="G211" s="6" t="s">
        <v>24</v>
      </c>
      <c r="H211" s="6" t="n">
        <f aca="true">ROUND(RAND()*4+6,1)</f>
        <v>7.9</v>
      </c>
      <c r="I211" s="6" t="s">
        <v>25</v>
      </c>
      <c r="J211" s="6" t="str">
        <f aca="false">ROUND(77*1,0)&amp;"%"</f>
        <v>77%</v>
      </c>
    </row>
    <row r="212" customFormat="false" ht="15" hidden="false" customHeight="false" outlineLevel="0" collapsed="false">
      <c r="A212" s="5" t="s">
        <v>3720</v>
      </c>
      <c r="B212" s="5" t="s">
        <v>354</v>
      </c>
      <c r="C212" s="5" t="s">
        <v>95</v>
      </c>
      <c r="D212" s="5" t="s">
        <v>28</v>
      </c>
      <c r="E212" s="5" t="n">
        <f aca="false">ROUND(5168*1.05,2)</f>
        <v>5426.4</v>
      </c>
      <c r="F212" s="5" t="s">
        <v>29</v>
      </c>
      <c r="G212" s="5" t="s">
        <v>30</v>
      </c>
      <c r="H212" s="5" t="n">
        <f aca="true">ROUND(RAND()*4+6,1)</f>
        <v>7.5</v>
      </c>
      <c r="I212" s="5" t="s">
        <v>31</v>
      </c>
      <c r="J212" s="5" t="str">
        <f aca="false">ROUND(83*1,0)&amp;"%"</f>
        <v>83%</v>
      </c>
    </row>
    <row r="213" customFormat="false" ht="15" hidden="false" customHeight="false" outlineLevel="0" collapsed="false">
      <c r="A213" s="6" t="s">
        <v>3721</v>
      </c>
      <c r="B213" s="6" t="s">
        <v>356</v>
      </c>
      <c r="C213" s="6" t="s">
        <v>95</v>
      </c>
      <c r="D213" s="6" t="s">
        <v>34</v>
      </c>
      <c r="E213" s="6" t="n">
        <f aca="false">ROUND(14015*1.05,2)</f>
        <v>14715.75</v>
      </c>
      <c r="F213" s="6" t="s">
        <v>35</v>
      </c>
      <c r="G213" s="6" t="s">
        <v>18</v>
      </c>
      <c r="H213" s="6" t="n">
        <f aca="true">ROUND(RAND()*4+6,1)</f>
        <v>10</v>
      </c>
      <c r="I213" s="6" t="s">
        <v>36</v>
      </c>
      <c r="J213" s="6" t="str">
        <f aca="false">ROUND(79*1,0)&amp;"%"</f>
        <v>79%</v>
      </c>
    </row>
    <row r="214" customFormat="false" ht="15" hidden="false" customHeight="false" outlineLevel="0" collapsed="false">
      <c r="A214" s="5" t="s">
        <v>3722</v>
      </c>
      <c r="B214" s="5" t="s">
        <v>358</v>
      </c>
      <c r="C214" s="5" t="s">
        <v>95</v>
      </c>
      <c r="D214" s="5" t="s">
        <v>39</v>
      </c>
      <c r="E214" s="5" t="n">
        <f aca="false">ROUND(9356*1.05,2)</f>
        <v>9823.8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ROUND(67*1,0)&amp;"%"</f>
        <v>67%</v>
      </c>
    </row>
    <row r="215" customFormat="false" ht="15" hidden="false" customHeight="false" outlineLevel="0" collapsed="false">
      <c r="A215" s="6" t="s">
        <v>3723</v>
      </c>
      <c r="B215" s="6" t="s">
        <v>360</v>
      </c>
      <c r="C215" s="6" t="s">
        <v>95</v>
      </c>
      <c r="D215" s="6" t="s">
        <v>44</v>
      </c>
      <c r="E215" s="6" t="n">
        <f aca="false">ROUND(12665*1.05,2)</f>
        <v>13298.25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ROUND(86*1,0)&amp;"%"</f>
        <v>86%</v>
      </c>
    </row>
    <row r="216" customFormat="false" ht="15" hidden="false" customHeight="false" outlineLevel="0" collapsed="false">
      <c r="A216" s="5" t="s">
        <v>3724</v>
      </c>
      <c r="B216" s="5" t="s">
        <v>362</v>
      </c>
      <c r="C216" s="5" t="s">
        <v>95</v>
      </c>
      <c r="D216" s="5" t="s">
        <v>16</v>
      </c>
      <c r="E216" s="5" t="n">
        <f aca="false">ROUND(6065*1.05,2)</f>
        <v>6368.25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ROUND(82*1,0)&amp;"%"</f>
        <v>82%</v>
      </c>
    </row>
    <row r="217" customFormat="false" ht="15" hidden="false" customHeight="false" outlineLevel="0" collapsed="false">
      <c r="A217" s="6" t="s">
        <v>3725</v>
      </c>
      <c r="B217" s="6" t="s">
        <v>364</v>
      </c>
      <c r="C217" s="6" t="s">
        <v>95</v>
      </c>
      <c r="D217" s="6" t="s">
        <v>22</v>
      </c>
      <c r="E217" s="6" t="n">
        <f aca="false">ROUND(7227*1.05,2)</f>
        <v>7588.35</v>
      </c>
      <c r="F217" s="6" t="s">
        <v>52</v>
      </c>
      <c r="G217" s="6" t="s">
        <v>24</v>
      </c>
      <c r="H217" s="6" t="n">
        <f aca="true">ROUND(RAND()*4+6,1)</f>
        <v>8.8</v>
      </c>
      <c r="I217" s="6" t="s">
        <v>25</v>
      </c>
      <c r="J217" s="6" t="str">
        <f aca="false">ROUND(97*1,0)&amp;"%"</f>
        <v>97%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3726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3727</v>
      </c>
      <c r="B222" s="5" t="s">
        <v>368</v>
      </c>
      <c r="C222" s="5" t="s">
        <v>114</v>
      </c>
      <c r="D222" s="5" t="s">
        <v>16</v>
      </c>
      <c r="E222" s="5" t="n">
        <f aca="false">ROUND(10801*1.05,2)</f>
        <v>11341.05</v>
      </c>
      <c r="F222" s="5" t="s">
        <v>17</v>
      </c>
      <c r="G222" s="5" t="s">
        <v>18</v>
      </c>
      <c r="H222" s="5" t="n">
        <f aca="true">ROUND(RAND()*4+6,1)</f>
        <v>6.5</v>
      </c>
      <c r="I222" s="5" t="s">
        <v>19</v>
      </c>
      <c r="J222" s="5" t="str">
        <f aca="false">ROUND(99*1,0)&amp;"%"</f>
        <v>99%</v>
      </c>
    </row>
    <row r="223" customFormat="false" ht="15" hidden="false" customHeight="false" outlineLevel="0" collapsed="false">
      <c r="A223" s="6" t="s">
        <v>3728</v>
      </c>
      <c r="B223" s="6" t="s">
        <v>370</v>
      </c>
      <c r="C223" s="6" t="s">
        <v>114</v>
      </c>
      <c r="D223" s="6" t="s">
        <v>22</v>
      </c>
      <c r="E223" s="6" t="n">
        <f aca="false">ROUND(9290*1.05,2)</f>
        <v>9754.5</v>
      </c>
      <c r="F223" s="6" t="s">
        <v>23</v>
      </c>
      <c r="G223" s="6" t="s">
        <v>24</v>
      </c>
      <c r="H223" s="6" t="n">
        <f aca="true">ROUND(RAND()*4+6,1)</f>
        <v>7.3</v>
      </c>
      <c r="I223" s="6" t="s">
        <v>25</v>
      </c>
      <c r="J223" s="6" t="str">
        <f aca="false">ROUND(83*1,0)&amp;"%"</f>
        <v>83%</v>
      </c>
    </row>
    <row r="224" customFormat="false" ht="15" hidden="false" customHeight="false" outlineLevel="0" collapsed="false">
      <c r="A224" s="5" t="s">
        <v>3729</v>
      </c>
      <c r="B224" s="5" t="s">
        <v>372</v>
      </c>
      <c r="C224" s="5" t="s">
        <v>114</v>
      </c>
      <c r="D224" s="5" t="s">
        <v>28</v>
      </c>
      <c r="E224" s="5" t="n">
        <f aca="false">ROUND(17623*1.05,2)</f>
        <v>18504.15</v>
      </c>
      <c r="F224" s="5" t="s">
        <v>29</v>
      </c>
      <c r="G224" s="5" t="s">
        <v>30</v>
      </c>
      <c r="H224" s="5" t="n">
        <f aca="true">ROUND(RAND()*4+6,1)</f>
        <v>8</v>
      </c>
      <c r="I224" s="5" t="s">
        <v>31</v>
      </c>
      <c r="J224" s="5" t="str">
        <f aca="false">ROUND(77*1,0)&amp;"%"</f>
        <v>77%</v>
      </c>
    </row>
    <row r="225" customFormat="false" ht="15" hidden="false" customHeight="false" outlineLevel="0" collapsed="false">
      <c r="A225" s="6" t="s">
        <v>3730</v>
      </c>
      <c r="B225" s="6" t="s">
        <v>374</v>
      </c>
      <c r="C225" s="6" t="s">
        <v>114</v>
      </c>
      <c r="D225" s="6" t="s">
        <v>34</v>
      </c>
      <c r="E225" s="6" t="n">
        <f aca="false">ROUND(17443*1.05,2)</f>
        <v>18315.15</v>
      </c>
      <c r="F225" s="6" t="s">
        <v>35</v>
      </c>
      <c r="G225" s="6" t="s">
        <v>18</v>
      </c>
      <c r="H225" s="6" t="n">
        <f aca="true">ROUND(RAND()*4+6,1)</f>
        <v>8.5</v>
      </c>
      <c r="I225" s="6" t="s">
        <v>36</v>
      </c>
      <c r="J225" s="6" t="str">
        <f aca="false">ROUND(64*1,0)&amp;"%"</f>
        <v>64%</v>
      </c>
    </row>
    <row r="226" customFormat="false" ht="15" hidden="false" customHeight="false" outlineLevel="0" collapsed="false">
      <c r="A226" s="5" t="s">
        <v>3731</v>
      </c>
      <c r="B226" s="5" t="s">
        <v>376</v>
      </c>
      <c r="C226" s="5" t="s">
        <v>114</v>
      </c>
      <c r="D226" s="5" t="s">
        <v>39</v>
      </c>
      <c r="E226" s="5" t="n">
        <f aca="false">ROUND(7409*1.05,2)</f>
        <v>7779.45</v>
      </c>
      <c r="F226" s="5" t="s">
        <v>40</v>
      </c>
      <c r="G226" s="5" t="s">
        <v>24</v>
      </c>
      <c r="H226" s="5" t="n">
        <f aca="true">ROUND(RAND()*4+6,1)</f>
        <v>6.3</v>
      </c>
      <c r="I226" s="5" t="s">
        <v>41</v>
      </c>
      <c r="J226" s="5" t="str">
        <f aca="false">ROUND(70*1,0)&amp;"%"</f>
        <v>70%</v>
      </c>
    </row>
    <row r="227" customFormat="false" ht="15" hidden="false" customHeight="false" outlineLevel="0" collapsed="false">
      <c r="A227" s="6" t="s">
        <v>3732</v>
      </c>
      <c r="B227" s="6" t="s">
        <v>378</v>
      </c>
      <c r="C227" s="6" t="s">
        <v>114</v>
      </c>
      <c r="D227" s="6" t="s">
        <v>44</v>
      </c>
      <c r="E227" s="6" t="n">
        <f aca="false">ROUND(7973*1.05,2)</f>
        <v>8371.65</v>
      </c>
      <c r="F227" s="6" t="s">
        <v>45</v>
      </c>
      <c r="G227" s="6" t="s">
        <v>30</v>
      </c>
      <c r="H227" s="6" t="n">
        <f aca="true">ROUND(RAND()*4+6,1)</f>
        <v>9.7</v>
      </c>
      <c r="I227" s="6" t="s">
        <v>46</v>
      </c>
      <c r="J227" s="6" t="str">
        <f aca="false">ROUND(60*1,0)&amp;"%"</f>
        <v>60%</v>
      </c>
    </row>
    <row r="228" customFormat="false" ht="15" hidden="false" customHeight="false" outlineLevel="0" collapsed="false">
      <c r="A228" s="5" t="s">
        <v>3733</v>
      </c>
      <c r="B228" s="5" t="s">
        <v>380</v>
      </c>
      <c r="C228" s="5" t="s">
        <v>114</v>
      </c>
      <c r="D228" s="5" t="s">
        <v>16</v>
      </c>
      <c r="E228" s="5" t="n">
        <f aca="false">ROUND(14688*1.05,2)</f>
        <v>15422.4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ROUND(63*1,0)&amp;"%"</f>
        <v>63%</v>
      </c>
    </row>
    <row r="229" customFormat="false" ht="15" hidden="false" customHeight="false" outlineLevel="0" collapsed="false">
      <c r="A229" s="6" t="s">
        <v>3734</v>
      </c>
      <c r="B229" s="6" t="s">
        <v>382</v>
      </c>
      <c r="C229" s="6" t="s">
        <v>114</v>
      </c>
      <c r="D229" s="6" t="s">
        <v>22</v>
      </c>
      <c r="E229" s="6" t="n">
        <f aca="false">ROUND(14857*1.05,2)</f>
        <v>15599.85</v>
      </c>
      <c r="F229" s="6" t="s">
        <v>52</v>
      </c>
      <c r="G229" s="6" t="s">
        <v>24</v>
      </c>
      <c r="H229" s="6" t="n">
        <f aca="true">ROUND(RAND()*4+6,1)</f>
        <v>8.1</v>
      </c>
      <c r="I229" s="6" t="s">
        <v>25</v>
      </c>
      <c r="J229" s="6" t="str">
        <f aca="false">ROUND(97*1,0)&amp;"%"</f>
        <v>97%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3735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3736</v>
      </c>
      <c r="B234" s="5" t="s">
        <v>386</v>
      </c>
      <c r="C234" s="5" t="s">
        <v>133</v>
      </c>
      <c r="D234" s="5" t="s">
        <v>16</v>
      </c>
      <c r="E234" s="5" t="n">
        <f aca="false">ROUND(10673*1.05,2)</f>
        <v>11206.65</v>
      </c>
      <c r="F234" s="5" t="s">
        <v>17</v>
      </c>
      <c r="G234" s="5" t="s">
        <v>18</v>
      </c>
      <c r="H234" s="5" t="n">
        <f aca="true">ROUND(RAND()*4+6,1)</f>
        <v>8.6</v>
      </c>
      <c r="I234" s="5" t="s">
        <v>19</v>
      </c>
      <c r="J234" s="5" t="str">
        <f aca="false">ROUND(80*1,0)&amp;"%"</f>
        <v>80%</v>
      </c>
    </row>
    <row r="235" customFormat="false" ht="15" hidden="false" customHeight="false" outlineLevel="0" collapsed="false">
      <c r="A235" s="6" t="s">
        <v>3737</v>
      </c>
      <c r="B235" s="6" t="s">
        <v>388</v>
      </c>
      <c r="C235" s="6" t="s">
        <v>133</v>
      </c>
      <c r="D235" s="6" t="s">
        <v>22</v>
      </c>
      <c r="E235" s="6" t="n">
        <f aca="false">ROUND(14382*1.05,2)</f>
        <v>15101.1</v>
      </c>
      <c r="F235" s="6" t="s">
        <v>23</v>
      </c>
      <c r="G235" s="6" t="s">
        <v>24</v>
      </c>
      <c r="H235" s="6" t="n">
        <f aca="true">ROUND(RAND()*4+6,1)</f>
        <v>7.4</v>
      </c>
      <c r="I235" s="6" t="s">
        <v>25</v>
      </c>
      <c r="J235" s="6" t="str">
        <f aca="false">ROUND(61*1,0)&amp;"%"</f>
        <v>61%</v>
      </c>
    </row>
    <row r="236" customFormat="false" ht="15" hidden="false" customHeight="false" outlineLevel="0" collapsed="false">
      <c r="A236" s="5" t="s">
        <v>3738</v>
      </c>
      <c r="B236" s="5" t="s">
        <v>390</v>
      </c>
      <c r="C236" s="5" t="s">
        <v>133</v>
      </c>
      <c r="D236" s="5" t="s">
        <v>28</v>
      </c>
      <c r="E236" s="5" t="n">
        <f aca="false">ROUND(11979*1.05,2)</f>
        <v>12577.95</v>
      </c>
      <c r="F236" s="5" t="s">
        <v>29</v>
      </c>
      <c r="G236" s="5" t="s">
        <v>30</v>
      </c>
      <c r="H236" s="5" t="n">
        <f aca="true">ROUND(RAND()*4+6,1)</f>
        <v>9.5</v>
      </c>
      <c r="I236" s="5" t="s">
        <v>31</v>
      </c>
      <c r="J236" s="5" t="str">
        <f aca="false">ROUND(99*1,0)&amp;"%"</f>
        <v>99%</v>
      </c>
    </row>
    <row r="237" customFormat="false" ht="15" hidden="false" customHeight="false" outlineLevel="0" collapsed="false">
      <c r="A237" s="6" t="s">
        <v>3739</v>
      </c>
      <c r="B237" s="6" t="s">
        <v>392</v>
      </c>
      <c r="C237" s="6" t="s">
        <v>133</v>
      </c>
      <c r="D237" s="6" t="s">
        <v>34</v>
      </c>
      <c r="E237" s="6" t="n">
        <f aca="false">ROUND(5899*1.05,2)</f>
        <v>6193.95</v>
      </c>
      <c r="F237" s="6" t="s">
        <v>35</v>
      </c>
      <c r="G237" s="6" t="s">
        <v>18</v>
      </c>
      <c r="H237" s="6" t="n">
        <f aca="true">ROUND(RAND()*4+6,1)</f>
        <v>9.9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3740</v>
      </c>
      <c r="B238" s="5" t="s">
        <v>394</v>
      </c>
      <c r="C238" s="5" t="s">
        <v>133</v>
      </c>
      <c r="D238" s="5" t="s">
        <v>39</v>
      </c>
      <c r="E238" s="5" t="n">
        <f aca="false">ROUND(11544*1.05,2)</f>
        <v>12121.2</v>
      </c>
      <c r="F238" s="5" t="s">
        <v>40</v>
      </c>
      <c r="G238" s="5" t="s">
        <v>24</v>
      </c>
      <c r="H238" s="5" t="n">
        <f aca="true">ROUND(RAND()*4+6,1)</f>
        <v>9.4</v>
      </c>
      <c r="I238" s="5" t="s">
        <v>41</v>
      </c>
      <c r="J238" s="5" t="str">
        <f aca="false">ROUND(82*1,0)&amp;"%"</f>
        <v>82%</v>
      </c>
    </row>
    <row r="239" customFormat="false" ht="15" hidden="false" customHeight="false" outlineLevel="0" collapsed="false">
      <c r="A239" s="6" t="s">
        <v>3741</v>
      </c>
      <c r="B239" s="6" t="s">
        <v>396</v>
      </c>
      <c r="C239" s="6" t="s">
        <v>133</v>
      </c>
      <c r="D239" s="6" t="s">
        <v>44</v>
      </c>
      <c r="E239" s="6" t="n">
        <f aca="false">ROUND(11437*1.05,2)</f>
        <v>12008.85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3742</v>
      </c>
      <c r="B240" s="5" t="s">
        <v>398</v>
      </c>
      <c r="C240" s="5" t="s">
        <v>133</v>
      </c>
      <c r="D240" s="5" t="s">
        <v>16</v>
      </c>
      <c r="E240" s="5" t="n">
        <f aca="false">ROUND(7735*1.05,2)</f>
        <v>8121.75</v>
      </c>
      <c r="F240" s="5" t="s">
        <v>49</v>
      </c>
      <c r="G240" s="5" t="s">
        <v>18</v>
      </c>
      <c r="H240" s="5" t="n">
        <f aca="true">ROUND(RAND()*4+6,1)</f>
        <v>6.5</v>
      </c>
      <c r="I240" s="5" t="s">
        <v>19</v>
      </c>
      <c r="J240" s="5" t="str">
        <f aca="false">ROUND(98*1,0)&amp;"%"</f>
        <v>98%</v>
      </c>
    </row>
    <row r="241" customFormat="false" ht="15" hidden="false" customHeight="false" outlineLevel="0" collapsed="false">
      <c r="A241" s="6" t="s">
        <v>3743</v>
      </c>
      <c r="B241" s="6" t="s">
        <v>400</v>
      </c>
      <c r="C241" s="6" t="s">
        <v>133</v>
      </c>
      <c r="D241" s="6" t="s">
        <v>22</v>
      </c>
      <c r="E241" s="6" t="n">
        <f aca="false">ROUND(6275*1.05,2)</f>
        <v>6588.75</v>
      </c>
      <c r="F241" s="6" t="s">
        <v>52</v>
      </c>
      <c r="G241" s="6" t="s">
        <v>24</v>
      </c>
      <c r="H241" s="6" t="n">
        <f aca="true">ROUND(RAND()*4+6,1)</f>
        <v>7.2</v>
      </c>
      <c r="I241" s="6" t="s">
        <v>25</v>
      </c>
      <c r="J241" s="6" t="str">
        <f aca="false">ROUND(93*1,0)&amp;"%"</f>
        <v>93%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3744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3745</v>
      </c>
      <c r="B246" s="5" t="s">
        <v>404</v>
      </c>
      <c r="C246" s="5" t="s">
        <v>152</v>
      </c>
      <c r="D246" s="5" t="s">
        <v>16</v>
      </c>
      <c r="E246" s="5" t="n">
        <f aca="false">ROUND(14902*1.05,2)</f>
        <v>15647.1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ROUND(85*1,0)&amp;"%"</f>
        <v>85%</v>
      </c>
    </row>
    <row r="247" customFormat="false" ht="15" hidden="false" customHeight="false" outlineLevel="0" collapsed="false">
      <c r="A247" s="6" t="s">
        <v>3746</v>
      </c>
      <c r="B247" s="6" t="s">
        <v>406</v>
      </c>
      <c r="C247" s="6" t="s">
        <v>152</v>
      </c>
      <c r="D247" s="6" t="s">
        <v>22</v>
      </c>
      <c r="E247" s="6" t="n">
        <f aca="false">ROUND(16005*1.05,2)</f>
        <v>16805.25</v>
      </c>
      <c r="F247" s="6" t="s">
        <v>23</v>
      </c>
      <c r="G247" s="6" t="s">
        <v>24</v>
      </c>
      <c r="H247" s="6" t="n">
        <f aca="true">ROUND(RAND()*4+6,1)</f>
        <v>8.5</v>
      </c>
      <c r="I247" s="6" t="s">
        <v>25</v>
      </c>
      <c r="J247" s="6" t="str">
        <f aca="false">ROUND(76*1,0)&amp;"%"</f>
        <v>76%</v>
      </c>
    </row>
    <row r="248" customFormat="false" ht="15" hidden="false" customHeight="false" outlineLevel="0" collapsed="false">
      <c r="A248" s="5" t="s">
        <v>3747</v>
      </c>
      <c r="B248" s="5" t="s">
        <v>408</v>
      </c>
      <c r="C248" s="5" t="s">
        <v>152</v>
      </c>
      <c r="D248" s="5" t="s">
        <v>28</v>
      </c>
      <c r="E248" s="5" t="n">
        <f aca="false">ROUND(14367*1.05,2)</f>
        <v>15085.35</v>
      </c>
      <c r="F248" s="5" t="s">
        <v>29</v>
      </c>
      <c r="G248" s="5" t="s">
        <v>30</v>
      </c>
      <c r="H248" s="5" t="n">
        <f aca="true">ROUND(RAND()*4+6,1)</f>
        <v>9.6</v>
      </c>
      <c r="I248" s="5" t="s">
        <v>31</v>
      </c>
      <c r="J248" s="5" t="str">
        <f aca="false">ROUND(94*1,0)&amp;"%"</f>
        <v>94%</v>
      </c>
    </row>
    <row r="249" customFormat="false" ht="15" hidden="false" customHeight="false" outlineLevel="0" collapsed="false">
      <c r="A249" s="6" t="s">
        <v>3748</v>
      </c>
      <c r="B249" s="6" t="s">
        <v>410</v>
      </c>
      <c r="C249" s="6" t="s">
        <v>152</v>
      </c>
      <c r="D249" s="6" t="s">
        <v>34</v>
      </c>
      <c r="E249" s="6" t="n">
        <f aca="false">ROUND(12048*1.05,2)</f>
        <v>12650.4</v>
      </c>
      <c r="F249" s="6" t="s">
        <v>35</v>
      </c>
      <c r="G249" s="6" t="s">
        <v>18</v>
      </c>
      <c r="H249" s="6" t="n">
        <f aca="true">ROUND(RAND()*4+6,1)</f>
        <v>7.2</v>
      </c>
      <c r="I249" s="6" t="s">
        <v>36</v>
      </c>
      <c r="J249" s="6" t="str">
        <f aca="false">ROUND(65*1,0)&amp;"%"</f>
        <v>65%</v>
      </c>
    </row>
    <row r="250" customFormat="false" ht="15" hidden="false" customHeight="false" outlineLevel="0" collapsed="false">
      <c r="A250" s="5" t="s">
        <v>3749</v>
      </c>
      <c r="B250" s="5" t="s">
        <v>412</v>
      </c>
      <c r="C250" s="5" t="s">
        <v>152</v>
      </c>
      <c r="D250" s="5" t="s">
        <v>39</v>
      </c>
      <c r="E250" s="5" t="n">
        <f aca="false">ROUND(15429*1.05,2)</f>
        <v>16200.45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3750</v>
      </c>
      <c r="B251" s="6" t="s">
        <v>414</v>
      </c>
      <c r="C251" s="6" t="s">
        <v>152</v>
      </c>
      <c r="D251" s="6" t="s">
        <v>44</v>
      </c>
      <c r="E251" s="6" t="n">
        <f aca="false">ROUND(9287*1.05,2)</f>
        <v>9751.35</v>
      </c>
      <c r="F251" s="6" t="s">
        <v>45</v>
      </c>
      <c r="G251" s="6" t="s">
        <v>30</v>
      </c>
      <c r="H251" s="6" t="n">
        <f aca="true">ROUND(RAND()*4+6,1)</f>
        <v>6.5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3751</v>
      </c>
      <c r="B252" s="5" t="s">
        <v>416</v>
      </c>
      <c r="C252" s="5" t="s">
        <v>152</v>
      </c>
      <c r="D252" s="5" t="s">
        <v>16</v>
      </c>
      <c r="E252" s="5" t="n">
        <f aca="false">ROUND(17039*1.05,2)</f>
        <v>17890.95</v>
      </c>
      <c r="F252" s="5" t="s">
        <v>49</v>
      </c>
      <c r="G252" s="5" t="s">
        <v>18</v>
      </c>
      <c r="H252" s="5" t="n">
        <f aca="true">ROUND(RAND()*4+6,1)</f>
        <v>7.6</v>
      </c>
      <c r="I252" s="5" t="s">
        <v>19</v>
      </c>
      <c r="J252" s="5" t="str">
        <f aca="false">ROUND(70*1,0)&amp;"%"</f>
        <v>70%</v>
      </c>
    </row>
    <row r="253" customFormat="false" ht="15" hidden="false" customHeight="false" outlineLevel="0" collapsed="false">
      <c r="A253" s="6" t="s">
        <v>3752</v>
      </c>
      <c r="B253" s="6" t="s">
        <v>418</v>
      </c>
      <c r="C253" s="6" t="s">
        <v>152</v>
      </c>
      <c r="D253" s="6" t="s">
        <v>22</v>
      </c>
      <c r="E253" s="6" t="n">
        <f aca="false">ROUND(5050*1.05,2)</f>
        <v>5302.5</v>
      </c>
      <c r="F253" s="6" t="s">
        <v>52</v>
      </c>
      <c r="G253" s="6" t="s">
        <v>24</v>
      </c>
      <c r="H253" s="6" t="n">
        <f aca="true">ROUND(RAND()*4+6,1)</f>
        <v>7.3</v>
      </c>
      <c r="I253" s="6" t="s">
        <v>25</v>
      </c>
      <c r="J253" s="6" t="str">
        <f aca="false">ROUND(64*1,0)&amp;"%"</f>
        <v>64%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3753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3754</v>
      </c>
      <c r="B258" s="5" t="s">
        <v>422</v>
      </c>
      <c r="C258" s="5" t="s">
        <v>15</v>
      </c>
      <c r="D258" s="5" t="s">
        <v>16</v>
      </c>
      <c r="E258" s="5" t="n">
        <f aca="false">ROUND(7832*1.05,2)</f>
        <v>8223.6</v>
      </c>
      <c r="F258" s="5" t="s">
        <v>17</v>
      </c>
      <c r="G258" s="5" t="s">
        <v>18</v>
      </c>
      <c r="H258" s="5" t="n">
        <f aca="true">ROUND(RAND()*4+6,1)</f>
        <v>9.8</v>
      </c>
      <c r="I258" s="5" t="s">
        <v>19</v>
      </c>
      <c r="J258" s="5" t="str">
        <f aca="false">ROUND(64*1,0)&amp;"%"</f>
        <v>64%</v>
      </c>
    </row>
    <row r="259" customFormat="false" ht="15" hidden="false" customHeight="false" outlineLevel="0" collapsed="false">
      <c r="A259" s="6" t="s">
        <v>3755</v>
      </c>
      <c r="B259" s="6" t="s">
        <v>424</v>
      </c>
      <c r="C259" s="6" t="s">
        <v>15</v>
      </c>
      <c r="D259" s="6" t="s">
        <v>22</v>
      </c>
      <c r="E259" s="6" t="n">
        <f aca="false">ROUND(9908*1.05,2)</f>
        <v>10403.4</v>
      </c>
      <c r="F259" s="6" t="s">
        <v>23</v>
      </c>
      <c r="G259" s="6" t="s">
        <v>24</v>
      </c>
      <c r="H259" s="6" t="n">
        <f aca="true">ROUND(RAND()*4+6,1)</f>
        <v>7.9</v>
      </c>
      <c r="I259" s="6" t="s">
        <v>25</v>
      </c>
      <c r="J259" s="6" t="str">
        <f aca="false">ROUND(77*1,0)&amp;"%"</f>
        <v>77%</v>
      </c>
    </row>
    <row r="260" customFormat="false" ht="15" hidden="false" customHeight="false" outlineLevel="0" collapsed="false">
      <c r="A260" s="5" t="s">
        <v>3756</v>
      </c>
      <c r="B260" s="5" t="s">
        <v>426</v>
      </c>
      <c r="C260" s="5" t="s">
        <v>15</v>
      </c>
      <c r="D260" s="5" t="s">
        <v>28</v>
      </c>
      <c r="E260" s="5" t="n">
        <f aca="false">ROUND(7213*1.05,2)</f>
        <v>7573.65</v>
      </c>
      <c r="F260" s="5" t="s">
        <v>29</v>
      </c>
      <c r="G260" s="5" t="s">
        <v>30</v>
      </c>
      <c r="H260" s="5" t="n">
        <f aca="true">ROUND(RAND()*4+6,1)</f>
        <v>6.1</v>
      </c>
      <c r="I260" s="5" t="s">
        <v>31</v>
      </c>
      <c r="J260" s="5" t="str">
        <f aca="false">ROUND(94*1,0)&amp;"%"</f>
        <v>94%</v>
      </c>
    </row>
    <row r="261" customFormat="false" ht="15" hidden="false" customHeight="false" outlineLevel="0" collapsed="false">
      <c r="A261" s="6" t="s">
        <v>3757</v>
      </c>
      <c r="B261" s="6" t="s">
        <v>428</v>
      </c>
      <c r="C261" s="6" t="s">
        <v>15</v>
      </c>
      <c r="D261" s="6" t="s">
        <v>34</v>
      </c>
      <c r="E261" s="6" t="n">
        <f aca="false">ROUND(7804*1.05,2)</f>
        <v>8194.2</v>
      </c>
      <c r="F261" s="6" t="s">
        <v>35</v>
      </c>
      <c r="G261" s="6" t="s">
        <v>18</v>
      </c>
      <c r="H261" s="6" t="n">
        <f aca="true">ROUND(RAND()*4+6,1)</f>
        <v>7.1</v>
      </c>
      <c r="I261" s="6" t="s">
        <v>36</v>
      </c>
      <c r="J261" s="6" t="str">
        <f aca="false">ROUND(77*1,0)&amp;"%"</f>
        <v>77%</v>
      </c>
    </row>
    <row r="262" customFormat="false" ht="15" hidden="false" customHeight="false" outlineLevel="0" collapsed="false">
      <c r="A262" s="5" t="s">
        <v>3758</v>
      </c>
      <c r="B262" s="5" t="s">
        <v>430</v>
      </c>
      <c r="C262" s="5" t="s">
        <v>15</v>
      </c>
      <c r="D262" s="5" t="s">
        <v>39</v>
      </c>
      <c r="E262" s="5" t="n">
        <f aca="false">ROUND(5489*1.05,2)</f>
        <v>5763.45</v>
      </c>
      <c r="F262" s="5" t="s">
        <v>40</v>
      </c>
      <c r="G262" s="5" t="s">
        <v>24</v>
      </c>
      <c r="H262" s="5" t="n">
        <f aca="true">ROUND(RAND()*4+6,1)</f>
        <v>7.8</v>
      </c>
      <c r="I262" s="5" t="s">
        <v>41</v>
      </c>
      <c r="J262" s="5" t="str">
        <f aca="false">ROUND(93*1,0)&amp;"%"</f>
        <v>93%</v>
      </c>
    </row>
    <row r="263" customFormat="false" ht="15" hidden="false" customHeight="false" outlineLevel="0" collapsed="false">
      <c r="A263" s="6" t="s">
        <v>3759</v>
      </c>
      <c r="B263" s="6" t="s">
        <v>432</v>
      </c>
      <c r="C263" s="6" t="s">
        <v>15</v>
      </c>
      <c r="D263" s="6" t="s">
        <v>44</v>
      </c>
      <c r="E263" s="6" t="n">
        <f aca="false">ROUND(5369*1.05,2)</f>
        <v>5637.45</v>
      </c>
      <c r="F263" s="6" t="s">
        <v>45</v>
      </c>
      <c r="G263" s="6" t="s">
        <v>30</v>
      </c>
      <c r="H263" s="6" t="n">
        <f aca="true">ROUND(RAND()*4+6,1)</f>
        <v>7.9</v>
      </c>
      <c r="I263" s="6" t="s">
        <v>46</v>
      </c>
      <c r="J263" s="6" t="str">
        <f aca="false">ROUND(86*1,0)&amp;"%"</f>
        <v>86%</v>
      </c>
    </row>
    <row r="264" customFormat="false" ht="15" hidden="false" customHeight="false" outlineLevel="0" collapsed="false">
      <c r="A264" s="5" t="s">
        <v>3760</v>
      </c>
      <c r="B264" s="5" t="s">
        <v>434</v>
      </c>
      <c r="C264" s="5" t="s">
        <v>15</v>
      </c>
      <c r="D264" s="5" t="s">
        <v>16</v>
      </c>
      <c r="E264" s="5" t="n">
        <f aca="false">ROUND(8827*1.05,2)</f>
        <v>9268.35</v>
      </c>
      <c r="F264" s="5" t="s">
        <v>49</v>
      </c>
      <c r="G264" s="5" t="s">
        <v>18</v>
      </c>
      <c r="H264" s="5" t="n">
        <f aca="true">ROUND(RAND()*4+6,1)</f>
        <v>9.9</v>
      </c>
      <c r="I264" s="5" t="s">
        <v>19</v>
      </c>
      <c r="J264" s="5" t="str">
        <f aca="false">ROUND(86*1,0)&amp;"%"</f>
        <v>86%</v>
      </c>
    </row>
    <row r="265" customFormat="false" ht="15" hidden="false" customHeight="false" outlineLevel="0" collapsed="false">
      <c r="A265" s="6" t="s">
        <v>3761</v>
      </c>
      <c r="B265" s="6" t="s">
        <v>436</v>
      </c>
      <c r="C265" s="6" t="s">
        <v>15</v>
      </c>
      <c r="D265" s="6" t="s">
        <v>22</v>
      </c>
      <c r="E265" s="6" t="n">
        <f aca="false">ROUND(14788*1.05,2)</f>
        <v>15527.4</v>
      </c>
      <c r="F265" s="6" t="s">
        <v>52</v>
      </c>
      <c r="G265" s="6" t="s">
        <v>24</v>
      </c>
      <c r="H265" s="6" t="n">
        <f aca="true">ROUND(RAND()*4+6,1)</f>
        <v>7</v>
      </c>
      <c r="I265" s="6" t="s">
        <v>25</v>
      </c>
      <c r="J265" s="6" t="str">
        <f aca="false">ROUND(78*1,0)&amp;"%"</f>
        <v>78%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3762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3763</v>
      </c>
      <c r="B270" s="5" t="s">
        <v>440</v>
      </c>
      <c r="C270" s="5" t="s">
        <v>57</v>
      </c>
      <c r="D270" s="5" t="s">
        <v>16</v>
      </c>
      <c r="E270" s="5" t="n">
        <f aca="false">ROUND(8135*1.05,2)</f>
        <v>8541.75</v>
      </c>
      <c r="F270" s="5" t="s">
        <v>17</v>
      </c>
      <c r="G270" s="5" t="s">
        <v>18</v>
      </c>
      <c r="H270" s="5" t="n">
        <f aca="true">ROUND(RAND()*4+6,1)</f>
        <v>9.5</v>
      </c>
      <c r="I270" s="5" t="s">
        <v>19</v>
      </c>
      <c r="J270" s="5" t="str">
        <f aca="false">ROUND(61*1,0)&amp;"%"</f>
        <v>61%</v>
      </c>
    </row>
    <row r="271" customFormat="false" ht="15" hidden="false" customHeight="false" outlineLevel="0" collapsed="false">
      <c r="A271" s="6" t="s">
        <v>3764</v>
      </c>
      <c r="B271" s="6" t="s">
        <v>442</v>
      </c>
      <c r="C271" s="6" t="s">
        <v>57</v>
      </c>
      <c r="D271" s="6" t="s">
        <v>22</v>
      </c>
      <c r="E271" s="6" t="n">
        <f aca="false">ROUND(13139*1.05,2)</f>
        <v>13795.95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ROUND(68*1,0)&amp;"%"</f>
        <v>68%</v>
      </c>
    </row>
    <row r="272" customFormat="false" ht="15" hidden="false" customHeight="false" outlineLevel="0" collapsed="false">
      <c r="A272" s="5" t="s">
        <v>3765</v>
      </c>
      <c r="B272" s="5" t="s">
        <v>444</v>
      </c>
      <c r="C272" s="5" t="s">
        <v>57</v>
      </c>
      <c r="D272" s="5" t="s">
        <v>28</v>
      </c>
      <c r="E272" s="5" t="n">
        <f aca="false">ROUND(14493*1.05,2)</f>
        <v>15217.65</v>
      </c>
      <c r="F272" s="5" t="s">
        <v>29</v>
      </c>
      <c r="G272" s="5" t="s">
        <v>30</v>
      </c>
      <c r="H272" s="5" t="n">
        <f aca="true">ROUND(RAND()*4+6,1)</f>
        <v>10</v>
      </c>
      <c r="I272" s="5" t="s">
        <v>31</v>
      </c>
      <c r="J272" s="5" t="str">
        <f aca="false">ROUND(84*1,0)&amp;"%"</f>
        <v>84%</v>
      </c>
    </row>
    <row r="273" customFormat="false" ht="15" hidden="false" customHeight="false" outlineLevel="0" collapsed="false">
      <c r="A273" s="6" t="s">
        <v>3766</v>
      </c>
      <c r="B273" s="6" t="s">
        <v>446</v>
      </c>
      <c r="C273" s="6" t="s">
        <v>57</v>
      </c>
      <c r="D273" s="6" t="s">
        <v>34</v>
      </c>
      <c r="E273" s="6" t="n">
        <f aca="false">ROUND(12125*1.05,2)</f>
        <v>12731.25</v>
      </c>
      <c r="F273" s="6" t="s">
        <v>35</v>
      </c>
      <c r="G273" s="6" t="s">
        <v>18</v>
      </c>
      <c r="H273" s="6" t="n">
        <f aca="true">ROUND(RAND()*4+6,1)</f>
        <v>8.7</v>
      </c>
      <c r="I273" s="6" t="s">
        <v>36</v>
      </c>
      <c r="J273" s="6" t="str">
        <f aca="false">ROUND(70*1,0)&amp;"%"</f>
        <v>70%</v>
      </c>
    </row>
    <row r="274" customFormat="false" ht="15" hidden="false" customHeight="false" outlineLevel="0" collapsed="false">
      <c r="A274" s="5" t="s">
        <v>3767</v>
      </c>
      <c r="B274" s="5" t="s">
        <v>448</v>
      </c>
      <c r="C274" s="5" t="s">
        <v>57</v>
      </c>
      <c r="D274" s="5" t="s">
        <v>39</v>
      </c>
      <c r="E274" s="5" t="n">
        <f aca="false">ROUND(11322*1.05,2)</f>
        <v>11888.1</v>
      </c>
      <c r="F274" s="5" t="s">
        <v>40</v>
      </c>
      <c r="G274" s="5" t="s">
        <v>24</v>
      </c>
      <c r="H274" s="5" t="n">
        <f aca="true">ROUND(RAND()*4+6,1)</f>
        <v>9</v>
      </c>
      <c r="I274" s="5" t="s">
        <v>41</v>
      </c>
      <c r="J274" s="5" t="str">
        <f aca="false">ROUND(76*1,0)&amp;"%"</f>
        <v>76%</v>
      </c>
    </row>
    <row r="275" customFormat="false" ht="15" hidden="false" customHeight="false" outlineLevel="0" collapsed="false">
      <c r="A275" s="6" t="s">
        <v>3768</v>
      </c>
      <c r="B275" s="6" t="s">
        <v>450</v>
      </c>
      <c r="C275" s="6" t="s">
        <v>57</v>
      </c>
      <c r="D275" s="6" t="s">
        <v>44</v>
      </c>
      <c r="E275" s="6" t="n">
        <f aca="false">ROUND(7223*1.05,2)</f>
        <v>7584.15</v>
      </c>
      <c r="F275" s="6" t="s">
        <v>45</v>
      </c>
      <c r="G275" s="6" t="s">
        <v>30</v>
      </c>
      <c r="H275" s="6" t="n">
        <f aca="true">ROUND(RAND()*4+6,1)</f>
        <v>8.7</v>
      </c>
      <c r="I275" s="6" t="s">
        <v>46</v>
      </c>
      <c r="J275" s="6" t="str">
        <f aca="false">ROUND(71*1,0)&amp;"%"</f>
        <v>71%</v>
      </c>
    </row>
    <row r="276" customFormat="false" ht="15" hidden="false" customHeight="false" outlineLevel="0" collapsed="false">
      <c r="A276" s="5" t="s">
        <v>3769</v>
      </c>
      <c r="B276" s="5" t="s">
        <v>452</v>
      </c>
      <c r="C276" s="5" t="s">
        <v>57</v>
      </c>
      <c r="D276" s="5" t="s">
        <v>16</v>
      </c>
      <c r="E276" s="5" t="n">
        <f aca="false">ROUND(15448*1.05,2)</f>
        <v>16220.4</v>
      </c>
      <c r="F276" s="5" t="s">
        <v>49</v>
      </c>
      <c r="G276" s="5" t="s">
        <v>18</v>
      </c>
      <c r="H276" s="5" t="n">
        <f aca="true">ROUND(RAND()*4+6,1)</f>
        <v>9.8</v>
      </c>
      <c r="I276" s="5" t="s">
        <v>19</v>
      </c>
      <c r="J276" s="5" t="str">
        <f aca="false">ROUND(81*1,0)&amp;"%"</f>
        <v>81%</v>
      </c>
    </row>
    <row r="277" customFormat="false" ht="15" hidden="false" customHeight="false" outlineLevel="0" collapsed="false">
      <c r="A277" s="6" t="s">
        <v>3770</v>
      </c>
      <c r="B277" s="6" t="s">
        <v>454</v>
      </c>
      <c r="C277" s="6" t="s">
        <v>57</v>
      </c>
      <c r="D277" s="6" t="s">
        <v>22</v>
      </c>
      <c r="E277" s="6" t="n">
        <f aca="false">ROUND(8617*1.05,2)</f>
        <v>9047.85</v>
      </c>
      <c r="F277" s="6" t="s">
        <v>52</v>
      </c>
      <c r="G277" s="6" t="s">
        <v>24</v>
      </c>
      <c r="H277" s="6" t="n">
        <f aca="true">ROUND(RAND()*4+6,1)</f>
        <v>6.9</v>
      </c>
      <c r="I277" s="6" t="s">
        <v>25</v>
      </c>
      <c r="J277" s="6" t="str">
        <f aca="false">ROUND(71*1,0)&amp;"%"</f>
        <v>71%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3771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3772</v>
      </c>
      <c r="B282" s="5" t="s">
        <v>458</v>
      </c>
      <c r="C282" s="5" t="s">
        <v>76</v>
      </c>
      <c r="D282" s="5" t="s">
        <v>16</v>
      </c>
      <c r="E282" s="5" t="n">
        <f aca="false">ROUND(14784*1.05,2)</f>
        <v>15523.2</v>
      </c>
      <c r="F282" s="5" t="s">
        <v>17</v>
      </c>
      <c r="G282" s="5" t="s">
        <v>18</v>
      </c>
      <c r="H282" s="5" t="n">
        <f aca="true">ROUND(RAND()*4+6,1)</f>
        <v>6.7</v>
      </c>
      <c r="I282" s="5" t="s">
        <v>19</v>
      </c>
      <c r="J282" s="5" t="str">
        <f aca="false">ROUND(77*1,0)&amp;"%"</f>
        <v>77%</v>
      </c>
    </row>
    <row r="283" customFormat="false" ht="15" hidden="false" customHeight="false" outlineLevel="0" collapsed="false">
      <c r="A283" s="6" t="s">
        <v>3773</v>
      </c>
      <c r="B283" s="6" t="s">
        <v>460</v>
      </c>
      <c r="C283" s="6" t="s">
        <v>76</v>
      </c>
      <c r="D283" s="6" t="s">
        <v>22</v>
      </c>
      <c r="E283" s="6" t="n">
        <f aca="false">ROUND(15463*1.05,2)</f>
        <v>16236.15</v>
      </c>
      <c r="F283" s="6" t="s">
        <v>23</v>
      </c>
      <c r="G283" s="6" t="s">
        <v>24</v>
      </c>
      <c r="H283" s="6" t="n">
        <f aca="true">ROUND(RAND()*4+6,1)</f>
        <v>9.5</v>
      </c>
      <c r="I283" s="6" t="s">
        <v>25</v>
      </c>
      <c r="J283" s="6" t="str">
        <f aca="false">ROUND(88*1,0)&amp;"%"</f>
        <v>88%</v>
      </c>
    </row>
    <row r="284" customFormat="false" ht="15" hidden="false" customHeight="false" outlineLevel="0" collapsed="false">
      <c r="A284" s="5" t="s">
        <v>3774</v>
      </c>
      <c r="B284" s="5" t="s">
        <v>462</v>
      </c>
      <c r="C284" s="5" t="s">
        <v>76</v>
      </c>
      <c r="D284" s="5" t="s">
        <v>28</v>
      </c>
      <c r="E284" s="5" t="n">
        <f aca="false">ROUND(17115*1.05,2)</f>
        <v>17970.75</v>
      </c>
      <c r="F284" s="5" t="s">
        <v>29</v>
      </c>
      <c r="G284" s="5" t="s">
        <v>30</v>
      </c>
      <c r="H284" s="5" t="n">
        <f aca="true">ROUND(RAND()*4+6,1)</f>
        <v>6.9</v>
      </c>
      <c r="I284" s="5" t="s">
        <v>31</v>
      </c>
      <c r="J284" s="5" t="str">
        <f aca="false">ROUND(96*1,0)&amp;"%"</f>
        <v>96%</v>
      </c>
    </row>
    <row r="285" customFormat="false" ht="15" hidden="false" customHeight="false" outlineLevel="0" collapsed="false">
      <c r="A285" s="6" t="s">
        <v>3775</v>
      </c>
      <c r="B285" s="6" t="s">
        <v>464</v>
      </c>
      <c r="C285" s="6" t="s">
        <v>76</v>
      </c>
      <c r="D285" s="6" t="s">
        <v>34</v>
      </c>
      <c r="E285" s="6" t="n">
        <f aca="false">ROUND(7383*1.05,2)</f>
        <v>7752.15</v>
      </c>
      <c r="F285" s="6" t="s">
        <v>35</v>
      </c>
      <c r="G285" s="6" t="s">
        <v>18</v>
      </c>
      <c r="H285" s="6" t="n">
        <f aca="true">ROUND(RAND()*4+6,1)</f>
        <v>9.6</v>
      </c>
      <c r="I285" s="6" t="s">
        <v>36</v>
      </c>
      <c r="J285" s="6" t="str">
        <f aca="false">ROUND(62*1,0)&amp;"%"</f>
        <v>62%</v>
      </c>
    </row>
    <row r="286" customFormat="false" ht="15" hidden="false" customHeight="false" outlineLevel="0" collapsed="false">
      <c r="A286" s="5" t="s">
        <v>3776</v>
      </c>
      <c r="B286" s="5" t="s">
        <v>466</v>
      </c>
      <c r="C286" s="5" t="s">
        <v>76</v>
      </c>
      <c r="D286" s="5" t="s">
        <v>39</v>
      </c>
      <c r="E286" s="5" t="n">
        <f aca="false">ROUND(5000*1.05,2)</f>
        <v>5250</v>
      </c>
      <c r="F286" s="5" t="s">
        <v>40</v>
      </c>
      <c r="G286" s="5" t="s">
        <v>24</v>
      </c>
      <c r="H286" s="5" t="n">
        <f aca="true">ROUND(RAND()*4+6,1)</f>
        <v>9.9</v>
      </c>
      <c r="I286" s="5" t="s">
        <v>41</v>
      </c>
      <c r="J286" s="5" t="str">
        <f aca="false">ROUND(87*1,0)&amp;"%"</f>
        <v>87%</v>
      </c>
    </row>
    <row r="287" customFormat="false" ht="15" hidden="false" customHeight="false" outlineLevel="0" collapsed="false">
      <c r="A287" s="6" t="s">
        <v>3777</v>
      </c>
      <c r="B287" s="6" t="s">
        <v>468</v>
      </c>
      <c r="C287" s="6" t="s">
        <v>76</v>
      </c>
      <c r="D287" s="6" t="s">
        <v>44</v>
      </c>
      <c r="E287" s="6" t="n">
        <f aca="false">ROUND(9628*1.05,2)</f>
        <v>10109.4</v>
      </c>
      <c r="F287" s="6" t="s">
        <v>45</v>
      </c>
      <c r="G287" s="6" t="s">
        <v>30</v>
      </c>
      <c r="H287" s="6" t="n">
        <f aca="true">ROUND(RAND()*4+6,1)</f>
        <v>6.1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3778</v>
      </c>
      <c r="B288" s="5" t="s">
        <v>470</v>
      </c>
      <c r="C288" s="5" t="s">
        <v>76</v>
      </c>
      <c r="D288" s="5" t="s">
        <v>16</v>
      </c>
      <c r="E288" s="5" t="n">
        <f aca="false">ROUND(6994*1.05,2)</f>
        <v>7343.7</v>
      </c>
      <c r="F288" s="5" t="s">
        <v>49</v>
      </c>
      <c r="G288" s="5" t="s">
        <v>18</v>
      </c>
      <c r="H288" s="5" t="n">
        <f aca="true">ROUND(RAND()*4+6,1)</f>
        <v>9.1</v>
      </c>
      <c r="I288" s="5" t="s">
        <v>19</v>
      </c>
      <c r="J288" s="5" t="str">
        <f aca="false">ROUND(89*1,0)&amp;"%"</f>
        <v>89%</v>
      </c>
    </row>
    <row r="289" customFormat="false" ht="15" hidden="false" customHeight="false" outlineLevel="0" collapsed="false">
      <c r="A289" s="6" t="s">
        <v>3779</v>
      </c>
      <c r="B289" s="6" t="s">
        <v>472</v>
      </c>
      <c r="C289" s="6" t="s">
        <v>76</v>
      </c>
      <c r="D289" s="6" t="s">
        <v>22</v>
      </c>
      <c r="E289" s="6" t="n">
        <f aca="false">ROUND(4832*1.05,2)</f>
        <v>5073.6</v>
      </c>
      <c r="F289" s="6" t="s">
        <v>52</v>
      </c>
      <c r="G289" s="6" t="s">
        <v>24</v>
      </c>
      <c r="H289" s="6" t="n">
        <f aca="true">ROUND(RAND()*4+6,1)</f>
        <v>8.8</v>
      </c>
      <c r="I289" s="6" t="s">
        <v>25</v>
      </c>
      <c r="J289" s="6" t="str">
        <f aca="false">ROUND(91*1,0)&amp;"%"</f>
        <v>91%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3780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3781</v>
      </c>
      <c r="B294" s="5" t="s">
        <v>476</v>
      </c>
      <c r="C294" s="5" t="s">
        <v>95</v>
      </c>
      <c r="D294" s="5" t="s">
        <v>16</v>
      </c>
      <c r="E294" s="5" t="n">
        <f aca="false">ROUND(16931*1.05,2)</f>
        <v>17777.55</v>
      </c>
      <c r="F294" s="5" t="s">
        <v>17</v>
      </c>
      <c r="G294" s="5" t="s">
        <v>18</v>
      </c>
      <c r="H294" s="5" t="n">
        <f aca="true">ROUND(RAND()*4+6,1)</f>
        <v>7.5</v>
      </c>
      <c r="I294" s="5" t="s">
        <v>19</v>
      </c>
      <c r="J294" s="5" t="str">
        <f aca="false">ROUND(87*1,0)&amp;"%"</f>
        <v>87%</v>
      </c>
    </row>
    <row r="295" customFormat="false" ht="15" hidden="false" customHeight="false" outlineLevel="0" collapsed="false">
      <c r="A295" s="6" t="s">
        <v>3782</v>
      </c>
      <c r="B295" s="6" t="s">
        <v>478</v>
      </c>
      <c r="C295" s="6" t="s">
        <v>95</v>
      </c>
      <c r="D295" s="6" t="s">
        <v>22</v>
      </c>
      <c r="E295" s="6" t="n">
        <f aca="false">ROUND(6375*1.05,2)</f>
        <v>6693.75</v>
      </c>
      <c r="F295" s="6" t="s">
        <v>23</v>
      </c>
      <c r="G295" s="6" t="s">
        <v>24</v>
      </c>
      <c r="H295" s="6" t="n">
        <f aca="true">ROUND(RAND()*4+6,1)</f>
        <v>8.7</v>
      </c>
      <c r="I295" s="6" t="s">
        <v>25</v>
      </c>
      <c r="J295" s="6" t="str">
        <f aca="false">ROUND(100*1,0)&amp;"%"</f>
        <v>100%</v>
      </c>
    </row>
    <row r="296" customFormat="false" ht="15" hidden="false" customHeight="false" outlineLevel="0" collapsed="false">
      <c r="A296" s="5" t="s">
        <v>3783</v>
      </c>
      <c r="B296" s="5" t="s">
        <v>480</v>
      </c>
      <c r="C296" s="5" t="s">
        <v>95</v>
      </c>
      <c r="D296" s="5" t="s">
        <v>28</v>
      </c>
      <c r="E296" s="5" t="n">
        <f aca="false">ROUND(6410*1.05,2)</f>
        <v>6730.5</v>
      </c>
      <c r="F296" s="5" t="s">
        <v>29</v>
      </c>
      <c r="G296" s="5" t="s">
        <v>30</v>
      </c>
      <c r="H296" s="5" t="n">
        <f aca="true">ROUND(RAND()*4+6,1)</f>
        <v>6.2</v>
      </c>
      <c r="I296" s="5" t="s">
        <v>31</v>
      </c>
      <c r="J296" s="5" t="str">
        <f aca="false">ROUND(82*1,0)&amp;"%"</f>
        <v>82%</v>
      </c>
    </row>
    <row r="297" customFormat="false" ht="15" hidden="false" customHeight="false" outlineLevel="0" collapsed="false">
      <c r="A297" s="6" t="s">
        <v>3784</v>
      </c>
      <c r="B297" s="6" t="s">
        <v>482</v>
      </c>
      <c r="C297" s="6" t="s">
        <v>95</v>
      </c>
      <c r="D297" s="6" t="s">
        <v>34</v>
      </c>
      <c r="E297" s="6" t="n">
        <f aca="false">ROUND(9316*1.05,2)</f>
        <v>9781.8</v>
      </c>
      <c r="F297" s="6" t="s">
        <v>35</v>
      </c>
      <c r="G297" s="6" t="s">
        <v>18</v>
      </c>
      <c r="H297" s="6" t="n">
        <f aca="true">ROUND(RAND()*4+6,1)</f>
        <v>6</v>
      </c>
      <c r="I297" s="6" t="s">
        <v>36</v>
      </c>
      <c r="J297" s="6" t="str">
        <f aca="false">ROUND(80*1,0)&amp;"%"</f>
        <v>80%</v>
      </c>
    </row>
    <row r="298" customFormat="false" ht="15" hidden="false" customHeight="false" outlineLevel="0" collapsed="false">
      <c r="A298" s="5" t="s">
        <v>3785</v>
      </c>
      <c r="B298" s="5" t="s">
        <v>484</v>
      </c>
      <c r="C298" s="5" t="s">
        <v>95</v>
      </c>
      <c r="D298" s="5" t="s">
        <v>39</v>
      </c>
      <c r="E298" s="5" t="n">
        <f aca="false">ROUND(6360*1.05,2)</f>
        <v>6678</v>
      </c>
      <c r="F298" s="5" t="s">
        <v>40</v>
      </c>
      <c r="G298" s="5" t="s">
        <v>24</v>
      </c>
      <c r="H298" s="5" t="n">
        <f aca="true">ROUND(RAND()*4+6,1)</f>
        <v>8.5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3786</v>
      </c>
      <c r="B299" s="6" t="s">
        <v>486</v>
      </c>
      <c r="C299" s="6" t="s">
        <v>95</v>
      </c>
      <c r="D299" s="6" t="s">
        <v>44</v>
      </c>
      <c r="E299" s="6" t="n">
        <f aca="false">ROUND(8894*1.05,2)</f>
        <v>9338.7</v>
      </c>
      <c r="F299" s="6" t="s">
        <v>45</v>
      </c>
      <c r="G299" s="6" t="s">
        <v>30</v>
      </c>
      <c r="H299" s="6" t="n">
        <f aca="true">ROUND(RAND()*4+6,1)</f>
        <v>6.7</v>
      </c>
      <c r="I299" s="6" t="s">
        <v>46</v>
      </c>
      <c r="J299" s="6" t="str">
        <f aca="false">ROUND(60*1,0)&amp;"%"</f>
        <v>60%</v>
      </c>
    </row>
    <row r="300" customFormat="false" ht="15" hidden="false" customHeight="false" outlineLevel="0" collapsed="false">
      <c r="A300" s="5" t="s">
        <v>3787</v>
      </c>
      <c r="B300" s="5" t="s">
        <v>488</v>
      </c>
      <c r="C300" s="5" t="s">
        <v>95</v>
      </c>
      <c r="D300" s="5" t="s">
        <v>16</v>
      </c>
      <c r="E300" s="5" t="n">
        <f aca="false">ROUND(15031*1.05,2)</f>
        <v>15782.55</v>
      </c>
      <c r="F300" s="5" t="s">
        <v>49</v>
      </c>
      <c r="G300" s="5" t="s">
        <v>18</v>
      </c>
      <c r="H300" s="5" t="n">
        <f aca="true">ROUND(RAND()*4+6,1)</f>
        <v>9.3</v>
      </c>
      <c r="I300" s="5" t="s">
        <v>19</v>
      </c>
      <c r="J300" s="5" t="str">
        <f aca="false">ROUND(80*1,0)&amp;"%"</f>
        <v>80%</v>
      </c>
    </row>
    <row r="301" customFormat="false" ht="15" hidden="false" customHeight="false" outlineLevel="0" collapsed="false">
      <c r="A301" s="6" t="s">
        <v>3788</v>
      </c>
      <c r="B301" s="6" t="s">
        <v>490</v>
      </c>
      <c r="C301" s="6" t="s">
        <v>95</v>
      </c>
      <c r="D301" s="6" t="s">
        <v>22</v>
      </c>
      <c r="E301" s="6" t="n">
        <f aca="false">ROUND(13034*1.05,2)</f>
        <v>13685.7</v>
      </c>
      <c r="F301" s="6" t="s">
        <v>52</v>
      </c>
      <c r="G301" s="6" t="s">
        <v>24</v>
      </c>
      <c r="H301" s="6" t="n">
        <f aca="true">ROUND(RAND()*4+6,1)</f>
        <v>7.1</v>
      </c>
      <c r="I301" s="6" t="s">
        <v>25</v>
      </c>
      <c r="J301" s="6" t="str">
        <f aca="false">ROUND(76*1,0)&amp;"%"</f>
        <v>76%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3789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3790</v>
      </c>
      <c r="B306" s="5" t="s">
        <v>494</v>
      </c>
      <c r="C306" s="5" t="s">
        <v>114</v>
      </c>
      <c r="D306" s="5" t="s">
        <v>16</v>
      </c>
      <c r="E306" s="5" t="n">
        <f aca="false">ROUND(13775*1.05,2)</f>
        <v>14463.75</v>
      </c>
      <c r="F306" s="5" t="s">
        <v>17</v>
      </c>
      <c r="G306" s="5" t="s">
        <v>18</v>
      </c>
      <c r="H306" s="5" t="n">
        <f aca="true">ROUND(RAND()*4+6,1)</f>
        <v>9.7</v>
      </c>
      <c r="I306" s="5" t="s">
        <v>19</v>
      </c>
      <c r="J306" s="5" t="str">
        <f aca="false">ROUND(60*1,0)&amp;"%"</f>
        <v>60%</v>
      </c>
    </row>
    <row r="307" customFormat="false" ht="15" hidden="false" customHeight="false" outlineLevel="0" collapsed="false">
      <c r="A307" s="6" t="s">
        <v>3791</v>
      </c>
      <c r="B307" s="6" t="s">
        <v>496</v>
      </c>
      <c r="C307" s="6" t="s">
        <v>114</v>
      </c>
      <c r="D307" s="6" t="s">
        <v>22</v>
      </c>
      <c r="E307" s="6" t="n">
        <f aca="false">ROUND(13551*1.05,2)</f>
        <v>14228.55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ROUND(79*1,0)&amp;"%"</f>
        <v>79%</v>
      </c>
    </row>
    <row r="308" customFormat="false" ht="15" hidden="false" customHeight="false" outlineLevel="0" collapsed="false">
      <c r="A308" s="5" t="s">
        <v>3792</v>
      </c>
      <c r="B308" s="5" t="s">
        <v>498</v>
      </c>
      <c r="C308" s="5" t="s">
        <v>114</v>
      </c>
      <c r="D308" s="5" t="s">
        <v>28</v>
      </c>
      <c r="E308" s="5" t="n">
        <f aca="false">ROUND(8909*1.05,2)</f>
        <v>9354.45</v>
      </c>
      <c r="F308" s="5" t="s">
        <v>29</v>
      </c>
      <c r="G308" s="5" t="s">
        <v>30</v>
      </c>
      <c r="H308" s="5" t="n">
        <f aca="true">ROUND(RAND()*4+6,1)</f>
        <v>6.7</v>
      </c>
      <c r="I308" s="5" t="s">
        <v>31</v>
      </c>
      <c r="J308" s="5" t="str">
        <f aca="false">ROUND(93*1,0)&amp;"%"</f>
        <v>93%</v>
      </c>
    </row>
    <row r="309" customFormat="false" ht="15" hidden="false" customHeight="false" outlineLevel="0" collapsed="false">
      <c r="A309" s="6" t="s">
        <v>3793</v>
      </c>
      <c r="B309" s="6" t="s">
        <v>500</v>
      </c>
      <c r="C309" s="6" t="s">
        <v>114</v>
      </c>
      <c r="D309" s="6" t="s">
        <v>34</v>
      </c>
      <c r="E309" s="6" t="n">
        <f aca="false">ROUND(10680*1.05,2)</f>
        <v>11214</v>
      </c>
      <c r="F309" s="6" t="s">
        <v>35</v>
      </c>
      <c r="G309" s="6" t="s">
        <v>18</v>
      </c>
      <c r="H309" s="6" t="n">
        <f aca="true">ROUND(RAND()*4+6,1)</f>
        <v>6.4</v>
      </c>
      <c r="I309" s="6" t="s">
        <v>36</v>
      </c>
      <c r="J309" s="6" t="str">
        <f aca="false">ROUND(77*1,0)&amp;"%"</f>
        <v>77%</v>
      </c>
    </row>
    <row r="310" customFormat="false" ht="15" hidden="false" customHeight="false" outlineLevel="0" collapsed="false">
      <c r="A310" s="5" t="s">
        <v>3794</v>
      </c>
      <c r="B310" s="5" t="s">
        <v>502</v>
      </c>
      <c r="C310" s="5" t="s">
        <v>114</v>
      </c>
      <c r="D310" s="5" t="s">
        <v>39</v>
      </c>
      <c r="E310" s="5" t="n">
        <f aca="false">ROUND(13706*1.05,2)</f>
        <v>14391.3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ROUND(65*1,0)&amp;"%"</f>
        <v>65%</v>
      </c>
    </row>
    <row r="311" customFormat="false" ht="15" hidden="false" customHeight="false" outlineLevel="0" collapsed="false">
      <c r="A311" s="6" t="s">
        <v>3795</v>
      </c>
      <c r="B311" s="6" t="s">
        <v>504</v>
      </c>
      <c r="C311" s="6" t="s">
        <v>114</v>
      </c>
      <c r="D311" s="6" t="s">
        <v>44</v>
      </c>
      <c r="E311" s="6" t="n">
        <f aca="false">ROUND(11343*1.05,2)</f>
        <v>11910.15</v>
      </c>
      <c r="F311" s="6" t="s">
        <v>45</v>
      </c>
      <c r="G311" s="6" t="s">
        <v>30</v>
      </c>
      <c r="H311" s="6" t="n">
        <f aca="true">ROUND(RAND()*4+6,1)</f>
        <v>7.6</v>
      </c>
      <c r="I311" s="6" t="s">
        <v>46</v>
      </c>
      <c r="J311" s="6" t="str">
        <f aca="false">ROUND(84*1,0)&amp;"%"</f>
        <v>84%</v>
      </c>
    </row>
    <row r="312" customFormat="false" ht="15" hidden="false" customHeight="false" outlineLevel="0" collapsed="false">
      <c r="A312" s="5" t="s">
        <v>3796</v>
      </c>
      <c r="B312" s="5" t="s">
        <v>506</v>
      </c>
      <c r="C312" s="5" t="s">
        <v>114</v>
      </c>
      <c r="D312" s="5" t="s">
        <v>16</v>
      </c>
      <c r="E312" s="5" t="n">
        <f aca="false">ROUND(6291*1.05,2)</f>
        <v>6605.55</v>
      </c>
      <c r="F312" s="5" t="s">
        <v>49</v>
      </c>
      <c r="G312" s="5" t="s">
        <v>18</v>
      </c>
      <c r="H312" s="5" t="n">
        <f aca="true">ROUND(RAND()*4+6,1)</f>
        <v>9.7</v>
      </c>
      <c r="I312" s="5" t="s">
        <v>19</v>
      </c>
      <c r="J312" s="5" t="str">
        <f aca="false">ROUND(68*1,0)&amp;"%"</f>
        <v>68%</v>
      </c>
    </row>
    <row r="313" customFormat="false" ht="15" hidden="false" customHeight="false" outlineLevel="0" collapsed="false">
      <c r="A313" s="6" t="s">
        <v>3797</v>
      </c>
      <c r="B313" s="6" t="s">
        <v>508</v>
      </c>
      <c r="C313" s="6" t="s">
        <v>114</v>
      </c>
      <c r="D313" s="6" t="s">
        <v>22</v>
      </c>
      <c r="E313" s="6" t="n">
        <f aca="false">ROUND(12723*1.05,2)</f>
        <v>13359.15</v>
      </c>
      <c r="F313" s="6" t="s">
        <v>52</v>
      </c>
      <c r="G313" s="6" t="s">
        <v>24</v>
      </c>
      <c r="H313" s="6" t="n">
        <f aca="true">ROUND(RAND()*4+6,1)</f>
        <v>7.8</v>
      </c>
      <c r="I313" s="6" t="s">
        <v>25</v>
      </c>
      <c r="J313" s="6" t="str">
        <f aca="false">ROUND(71*1,0)&amp;"%"</f>
        <v>71%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3798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3799</v>
      </c>
      <c r="B318" s="5" t="s">
        <v>512</v>
      </c>
      <c r="C318" s="5" t="s">
        <v>133</v>
      </c>
      <c r="D318" s="5" t="s">
        <v>16</v>
      </c>
      <c r="E318" s="5" t="n">
        <f aca="false">ROUND(15334*1.05,2)</f>
        <v>16100.7</v>
      </c>
      <c r="F318" s="5" t="s">
        <v>17</v>
      </c>
      <c r="G318" s="5" t="s">
        <v>18</v>
      </c>
      <c r="H318" s="5" t="n">
        <f aca="true">ROUND(RAND()*4+6,1)</f>
        <v>9.8</v>
      </c>
      <c r="I318" s="5" t="s">
        <v>19</v>
      </c>
      <c r="J318" s="5" t="str">
        <f aca="false">ROUND(83*1,0)&amp;"%"</f>
        <v>83%</v>
      </c>
    </row>
    <row r="319" customFormat="false" ht="15" hidden="false" customHeight="false" outlineLevel="0" collapsed="false">
      <c r="A319" s="6" t="s">
        <v>3800</v>
      </c>
      <c r="B319" s="6" t="s">
        <v>514</v>
      </c>
      <c r="C319" s="6" t="s">
        <v>133</v>
      </c>
      <c r="D319" s="6" t="s">
        <v>22</v>
      </c>
      <c r="E319" s="6" t="n">
        <f aca="false">ROUND(11015*1.05,2)</f>
        <v>11565.75</v>
      </c>
      <c r="F319" s="6" t="s">
        <v>23</v>
      </c>
      <c r="G319" s="6" t="s">
        <v>24</v>
      </c>
      <c r="H319" s="6" t="n">
        <f aca="true">ROUND(RAND()*4+6,1)</f>
        <v>7.2</v>
      </c>
      <c r="I319" s="6" t="s">
        <v>25</v>
      </c>
      <c r="J319" s="6" t="str">
        <f aca="false">ROUND(96*1,0)&amp;"%"</f>
        <v>96%</v>
      </c>
    </row>
    <row r="320" customFormat="false" ht="15" hidden="false" customHeight="false" outlineLevel="0" collapsed="false">
      <c r="A320" s="5" t="s">
        <v>3801</v>
      </c>
      <c r="B320" s="5" t="s">
        <v>516</v>
      </c>
      <c r="C320" s="5" t="s">
        <v>133</v>
      </c>
      <c r="D320" s="5" t="s">
        <v>28</v>
      </c>
      <c r="E320" s="5" t="n">
        <f aca="false">ROUND(7186*1.05,2)</f>
        <v>7545.3</v>
      </c>
      <c r="F320" s="5" t="s">
        <v>29</v>
      </c>
      <c r="G320" s="5" t="s">
        <v>30</v>
      </c>
      <c r="H320" s="5" t="n">
        <f aca="true">ROUND(RAND()*4+6,1)</f>
        <v>7.2</v>
      </c>
      <c r="I320" s="5" t="s">
        <v>31</v>
      </c>
      <c r="J320" s="5" t="str">
        <f aca="false">ROUND(82*1,0)&amp;"%"</f>
        <v>82%</v>
      </c>
    </row>
    <row r="321" customFormat="false" ht="15" hidden="false" customHeight="false" outlineLevel="0" collapsed="false">
      <c r="A321" s="6" t="s">
        <v>3802</v>
      </c>
      <c r="B321" s="6" t="s">
        <v>518</v>
      </c>
      <c r="C321" s="6" t="s">
        <v>133</v>
      </c>
      <c r="D321" s="6" t="s">
        <v>34</v>
      </c>
      <c r="E321" s="6" t="n">
        <f aca="false">ROUND(7380*1.05,2)</f>
        <v>7749</v>
      </c>
      <c r="F321" s="6" t="s">
        <v>35</v>
      </c>
      <c r="G321" s="6" t="s">
        <v>18</v>
      </c>
      <c r="H321" s="6" t="n">
        <f aca="true">ROUND(RAND()*4+6,1)</f>
        <v>7.9</v>
      </c>
      <c r="I321" s="6" t="s">
        <v>36</v>
      </c>
      <c r="J321" s="6" t="str">
        <f aca="false">ROUND(89*1,0)&amp;"%"</f>
        <v>89%</v>
      </c>
    </row>
    <row r="322" customFormat="false" ht="15" hidden="false" customHeight="false" outlineLevel="0" collapsed="false">
      <c r="A322" s="5" t="s">
        <v>3803</v>
      </c>
      <c r="B322" s="5" t="s">
        <v>520</v>
      </c>
      <c r="C322" s="5" t="s">
        <v>133</v>
      </c>
      <c r="D322" s="5" t="s">
        <v>39</v>
      </c>
      <c r="E322" s="5" t="n">
        <f aca="false">ROUND(4049*1.05,2)</f>
        <v>4251.45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ROUND(69*1,0)&amp;"%"</f>
        <v>69%</v>
      </c>
    </row>
    <row r="323" customFormat="false" ht="15" hidden="false" customHeight="false" outlineLevel="0" collapsed="false">
      <c r="A323" s="6" t="s">
        <v>3804</v>
      </c>
      <c r="B323" s="6" t="s">
        <v>522</v>
      </c>
      <c r="C323" s="6" t="s">
        <v>133</v>
      </c>
      <c r="D323" s="6" t="s">
        <v>44</v>
      </c>
      <c r="E323" s="6" t="n">
        <f aca="false">ROUND(8389*1.05,2)</f>
        <v>8808.45</v>
      </c>
      <c r="F323" s="6" t="s">
        <v>45</v>
      </c>
      <c r="G323" s="6" t="s">
        <v>30</v>
      </c>
      <c r="H323" s="6" t="n">
        <f aca="true">ROUND(RAND()*4+6,1)</f>
        <v>8.2</v>
      </c>
      <c r="I323" s="6" t="s">
        <v>46</v>
      </c>
      <c r="J323" s="6" t="str">
        <f aca="false">ROUND(84*1,0)&amp;"%"</f>
        <v>84%</v>
      </c>
    </row>
    <row r="324" customFormat="false" ht="15" hidden="false" customHeight="false" outlineLevel="0" collapsed="false">
      <c r="A324" s="5" t="s">
        <v>3805</v>
      </c>
      <c r="B324" s="5" t="s">
        <v>524</v>
      </c>
      <c r="C324" s="5" t="s">
        <v>133</v>
      </c>
      <c r="D324" s="5" t="s">
        <v>16</v>
      </c>
      <c r="E324" s="5" t="n">
        <f aca="false">ROUND(16493*1.05,2)</f>
        <v>17317.65</v>
      </c>
      <c r="F324" s="5" t="s">
        <v>49</v>
      </c>
      <c r="G324" s="5" t="s">
        <v>18</v>
      </c>
      <c r="H324" s="5" t="n">
        <f aca="true">ROUND(RAND()*4+6,1)</f>
        <v>8.7</v>
      </c>
      <c r="I324" s="5" t="s">
        <v>19</v>
      </c>
      <c r="J324" s="5" t="str">
        <f aca="false">ROUND(89*1,0)&amp;"%"</f>
        <v>89%</v>
      </c>
    </row>
    <row r="325" customFormat="false" ht="15" hidden="false" customHeight="false" outlineLevel="0" collapsed="false">
      <c r="A325" s="6" t="s">
        <v>3806</v>
      </c>
      <c r="B325" s="6" t="s">
        <v>526</v>
      </c>
      <c r="C325" s="6" t="s">
        <v>133</v>
      </c>
      <c r="D325" s="6" t="s">
        <v>22</v>
      </c>
      <c r="E325" s="6" t="n">
        <f aca="false">ROUND(13767*1.05,2)</f>
        <v>14455.35</v>
      </c>
      <c r="F325" s="6" t="s">
        <v>52</v>
      </c>
      <c r="G325" s="6" t="s">
        <v>24</v>
      </c>
      <c r="H325" s="6" t="n">
        <f aca="true">ROUND(RAND()*4+6,1)</f>
        <v>8.6</v>
      </c>
      <c r="I325" s="6" t="s">
        <v>25</v>
      </c>
      <c r="J325" s="6" t="str">
        <f aca="false">ROUND(91*1,0)&amp;"%"</f>
        <v>91%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3807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3808</v>
      </c>
      <c r="B330" s="5" t="s">
        <v>530</v>
      </c>
      <c r="C330" s="5" t="s">
        <v>152</v>
      </c>
      <c r="D330" s="5" t="s">
        <v>16</v>
      </c>
      <c r="E330" s="5" t="n">
        <f aca="false">ROUND(13796*1.05,2)</f>
        <v>14485.8</v>
      </c>
      <c r="F330" s="5" t="s">
        <v>17</v>
      </c>
      <c r="G330" s="5" t="s">
        <v>18</v>
      </c>
      <c r="H330" s="5" t="n">
        <f aca="true">ROUND(RAND()*4+6,1)</f>
        <v>8</v>
      </c>
      <c r="I330" s="5" t="s">
        <v>19</v>
      </c>
      <c r="J330" s="5" t="str">
        <f aca="false">ROUND(90*1,0)&amp;"%"</f>
        <v>90%</v>
      </c>
    </row>
    <row r="331" customFormat="false" ht="15" hidden="false" customHeight="false" outlineLevel="0" collapsed="false">
      <c r="A331" s="6" t="s">
        <v>3809</v>
      </c>
      <c r="B331" s="6" t="s">
        <v>532</v>
      </c>
      <c r="C331" s="6" t="s">
        <v>152</v>
      </c>
      <c r="D331" s="6" t="s">
        <v>22</v>
      </c>
      <c r="E331" s="6" t="n">
        <f aca="false">ROUND(15197*1.05,2)</f>
        <v>15956.85</v>
      </c>
      <c r="F331" s="6" t="s">
        <v>23</v>
      </c>
      <c r="G331" s="6" t="s">
        <v>24</v>
      </c>
      <c r="H331" s="6" t="n">
        <f aca="true">ROUND(RAND()*4+6,1)</f>
        <v>7.9</v>
      </c>
      <c r="I331" s="6" t="s">
        <v>25</v>
      </c>
      <c r="J331" s="6" t="str">
        <f aca="false">ROUND(63*1,0)&amp;"%"</f>
        <v>63%</v>
      </c>
    </row>
    <row r="332" customFormat="false" ht="15" hidden="false" customHeight="false" outlineLevel="0" collapsed="false">
      <c r="A332" s="5" t="s">
        <v>3810</v>
      </c>
      <c r="B332" s="5" t="s">
        <v>534</v>
      </c>
      <c r="C332" s="5" t="s">
        <v>152</v>
      </c>
      <c r="D332" s="5" t="s">
        <v>28</v>
      </c>
      <c r="E332" s="5" t="n">
        <f aca="false">ROUND(14071*1.05,2)</f>
        <v>14774.55</v>
      </c>
      <c r="F332" s="5" t="s">
        <v>29</v>
      </c>
      <c r="G332" s="5" t="s">
        <v>30</v>
      </c>
      <c r="H332" s="5" t="n">
        <f aca="true">ROUND(RAND()*4+6,1)</f>
        <v>9.3</v>
      </c>
      <c r="I332" s="5" t="s">
        <v>31</v>
      </c>
      <c r="J332" s="5" t="str">
        <f aca="false">ROUND(82*1,0)&amp;"%"</f>
        <v>82%</v>
      </c>
    </row>
    <row r="333" customFormat="false" ht="15" hidden="false" customHeight="false" outlineLevel="0" collapsed="false">
      <c r="A333" s="6" t="s">
        <v>3811</v>
      </c>
      <c r="B333" s="6" t="s">
        <v>536</v>
      </c>
      <c r="C333" s="6" t="s">
        <v>152</v>
      </c>
      <c r="D333" s="6" t="s">
        <v>34</v>
      </c>
      <c r="E333" s="6" t="n">
        <f aca="false">ROUND(11703*1.05,2)</f>
        <v>12288.15</v>
      </c>
      <c r="F333" s="6" t="s">
        <v>35</v>
      </c>
      <c r="G333" s="6" t="s">
        <v>18</v>
      </c>
      <c r="H333" s="6" t="n">
        <f aca="true">ROUND(RAND()*4+6,1)</f>
        <v>8.8</v>
      </c>
      <c r="I333" s="6" t="s">
        <v>36</v>
      </c>
      <c r="J333" s="6" t="str">
        <f aca="false">ROUND(96*1,0)&amp;"%"</f>
        <v>96%</v>
      </c>
    </row>
    <row r="334" customFormat="false" ht="15" hidden="false" customHeight="false" outlineLevel="0" collapsed="false">
      <c r="A334" s="5" t="s">
        <v>3812</v>
      </c>
      <c r="B334" s="5" t="s">
        <v>538</v>
      </c>
      <c r="C334" s="5" t="s">
        <v>152</v>
      </c>
      <c r="D334" s="5" t="s">
        <v>39</v>
      </c>
      <c r="E334" s="5" t="n">
        <f aca="false">ROUND(5767*1.05,2)</f>
        <v>6055.35</v>
      </c>
      <c r="F334" s="5" t="s">
        <v>40</v>
      </c>
      <c r="G334" s="5" t="s">
        <v>24</v>
      </c>
      <c r="H334" s="5" t="n">
        <f aca="true">ROUND(RAND()*4+6,1)</f>
        <v>9.2</v>
      </c>
      <c r="I334" s="5" t="s">
        <v>41</v>
      </c>
      <c r="J334" s="5" t="str">
        <f aca="false">ROUND(70*1,0)&amp;"%"</f>
        <v>70%</v>
      </c>
    </row>
    <row r="335" customFormat="false" ht="15" hidden="false" customHeight="false" outlineLevel="0" collapsed="false">
      <c r="A335" s="6" t="s">
        <v>3813</v>
      </c>
      <c r="B335" s="6" t="s">
        <v>540</v>
      </c>
      <c r="C335" s="6" t="s">
        <v>152</v>
      </c>
      <c r="D335" s="6" t="s">
        <v>44</v>
      </c>
      <c r="E335" s="6" t="n">
        <f aca="false">ROUND(10903*1.05,2)</f>
        <v>11448.15</v>
      </c>
      <c r="F335" s="6" t="s">
        <v>45</v>
      </c>
      <c r="G335" s="6" t="s">
        <v>30</v>
      </c>
      <c r="H335" s="6" t="n">
        <f aca="true">ROUND(RAND()*4+6,1)</f>
        <v>9.7</v>
      </c>
      <c r="I335" s="6" t="s">
        <v>46</v>
      </c>
      <c r="J335" s="6" t="str">
        <f aca="false">ROUND(86*1,0)&amp;"%"</f>
        <v>86%</v>
      </c>
    </row>
    <row r="336" customFormat="false" ht="15" hidden="false" customHeight="false" outlineLevel="0" collapsed="false">
      <c r="A336" s="5" t="s">
        <v>3814</v>
      </c>
      <c r="B336" s="5" t="s">
        <v>542</v>
      </c>
      <c r="C336" s="5" t="s">
        <v>152</v>
      </c>
      <c r="D336" s="5" t="s">
        <v>16</v>
      </c>
      <c r="E336" s="5" t="n">
        <f aca="false">ROUND(11185*1.05,2)</f>
        <v>11744.25</v>
      </c>
      <c r="F336" s="5" t="s">
        <v>49</v>
      </c>
      <c r="G336" s="5" t="s">
        <v>18</v>
      </c>
      <c r="H336" s="5" t="n">
        <f aca="true">ROUND(RAND()*4+6,1)</f>
        <v>6.3</v>
      </c>
      <c r="I336" s="5" t="s">
        <v>19</v>
      </c>
      <c r="J336" s="5" t="str">
        <f aca="false">ROUND(75*1,0)&amp;"%"</f>
        <v>75%</v>
      </c>
    </row>
    <row r="337" customFormat="false" ht="15" hidden="false" customHeight="false" outlineLevel="0" collapsed="false">
      <c r="A337" s="6" t="s">
        <v>3815</v>
      </c>
      <c r="B337" s="6" t="s">
        <v>544</v>
      </c>
      <c r="C337" s="6" t="s">
        <v>152</v>
      </c>
      <c r="D337" s="6" t="s">
        <v>22</v>
      </c>
      <c r="E337" s="6" t="n">
        <f aca="false">ROUND(7843*1.05,2)</f>
        <v>8235.15</v>
      </c>
      <c r="F337" s="6" t="s">
        <v>52</v>
      </c>
      <c r="G337" s="6" t="s">
        <v>24</v>
      </c>
      <c r="H337" s="6" t="n">
        <f aca="true">ROUND(RAND()*4+6,1)</f>
        <v>7.5</v>
      </c>
      <c r="I337" s="6" t="s">
        <v>25</v>
      </c>
      <c r="J337" s="6" t="str">
        <f aca="false">ROUND(90*1,0)&amp;"%"</f>
        <v>90%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3816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3817</v>
      </c>
      <c r="B342" s="5" t="s">
        <v>548</v>
      </c>
      <c r="C342" s="5" t="s">
        <v>15</v>
      </c>
      <c r="D342" s="5" t="s">
        <v>16</v>
      </c>
      <c r="E342" s="5" t="n">
        <f aca="false">ROUND(8766*1.05,2)</f>
        <v>9204.3</v>
      </c>
      <c r="F342" s="5" t="s">
        <v>17</v>
      </c>
      <c r="G342" s="5" t="s">
        <v>18</v>
      </c>
      <c r="H342" s="5" t="n">
        <f aca="true">ROUND(RAND()*4+6,1)</f>
        <v>9.6</v>
      </c>
      <c r="I342" s="5" t="s">
        <v>19</v>
      </c>
      <c r="J342" s="5" t="str">
        <f aca="false">ROUND(77*1,0)&amp;"%"</f>
        <v>77%</v>
      </c>
    </row>
    <row r="343" customFormat="false" ht="15" hidden="false" customHeight="false" outlineLevel="0" collapsed="false">
      <c r="A343" s="6" t="s">
        <v>3818</v>
      </c>
      <c r="B343" s="6" t="s">
        <v>550</v>
      </c>
      <c r="C343" s="6" t="s">
        <v>15</v>
      </c>
      <c r="D343" s="6" t="s">
        <v>22</v>
      </c>
      <c r="E343" s="6" t="n">
        <f aca="false">ROUND(5578*1.05,2)</f>
        <v>5856.9</v>
      </c>
      <c r="F343" s="6" t="s">
        <v>23</v>
      </c>
      <c r="G343" s="6" t="s">
        <v>24</v>
      </c>
      <c r="H343" s="6" t="n">
        <f aca="true">ROUND(RAND()*4+6,1)</f>
        <v>8.9</v>
      </c>
      <c r="I343" s="6" t="s">
        <v>25</v>
      </c>
      <c r="J343" s="6" t="str">
        <f aca="false">ROUND(84*1,0)&amp;"%"</f>
        <v>84%</v>
      </c>
    </row>
    <row r="344" customFormat="false" ht="15" hidden="false" customHeight="false" outlineLevel="0" collapsed="false">
      <c r="A344" s="5" t="s">
        <v>3819</v>
      </c>
      <c r="B344" s="5" t="s">
        <v>552</v>
      </c>
      <c r="C344" s="5" t="s">
        <v>15</v>
      </c>
      <c r="D344" s="5" t="s">
        <v>28</v>
      </c>
      <c r="E344" s="5" t="n">
        <f aca="false">ROUND(10289*1.05,2)</f>
        <v>10803.45</v>
      </c>
      <c r="F344" s="5" t="s">
        <v>29</v>
      </c>
      <c r="G344" s="5" t="s">
        <v>30</v>
      </c>
      <c r="H344" s="5" t="n">
        <f aca="true">ROUND(RAND()*4+6,1)</f>
        <v>9.9</v>
      </c>
      <c r="I344" s="5" t="s">
        <v>31</v>
      </c>
      <c r="J344" s="5" t="str">
        <f aca="false">ROUND(67*1,0)&amp;"%"</f>
        <v>67%</v>
      </c>
    </row>
    <row r="345" customFormat="false" ht="15" hidden="false" customHeight="false" outlineLevel="0" collapsed="false">
      <c r="A345" s="6" t="s">
        <v>3820</v>
      </c>
      <c r="B345" s="6" t="s">
        <v>554</v>
      </c>
      <c r="C345" s="6" t="s">
        <v>15</v>
      </c>
      <c r="D345" s="6" t="s">
        <v>34</v>
      </c>
      <c r="E345" s="6" t="n">
        <f aca="false">ROUND(6649*1.05,2)</f>
        <v>6981.45</v>
      </c>
      <c r="F345" s="6" t="s">
        <v>35</v>
      </c>
      <c r="G345" s="6" t="s">
        <v>18</v>
      </c>
      <c r="H345" s="6" t="n">
        <f aca="true">ROUND(RAND()*4+6,1)</f>
        <v>8.6</v>
      </c>
      <c r="I345" s="6" t="s">
        <v>36</v>
      </c>
      <c r="J345" s="6" t="str">
        <f aca="false">ROUND(95*1,0)&amp;"%"</f>
        <v>95%</v>
      </c>
    </row>
    <row r="346" customFormat="false" ht="15" hidden="false" customHeight="false" outlineLevel="0" collapsed="false">
      <c r="A346" s="5" t="s">
        <v>3821</v>
      </c>
      <c r="B346" s="5" t="s">
        <v>556</v>
      </c>
      <c r="C346" s="5" t="s">
        <v>15</v>
      </c>
      <c r="D346" s="5" t="s">
        <v>39</v>
      </c>
      <c r="E346" s="5" t="n">
        <f aca="false">ROUND(12925*1.05,2)</f>
        <v>13571.25</v>
      </c>
      <c r="F346" s="5" t="s">
        <v>40</v>
      </c>
      <c r="G346" s="5" t="s">
        <v>24</v>
      </c>
      <c r="H346" s="5" t="n">
        <f aca="true">ROUND(RAND()*4+6,1)</f>
        <v>9.1</v>
      </c>
      <c r="I346" s="5" t="s">
        <v>41</v>
      </c>
      <c r="J346" s="5" t="str">
        <f aca="false">ROUND(61*1,0)&amp;"%"</f>
        <v>61%</v>
      </c>
    </row>
    <row r="347" customFormat="false" ht="15" hidden="false" customHeight="false" outlineLevel="0" collapsed="false">
      <c r="A347" s="6" t="s">
        <v>3822</v>
      </c>
      <c r="B347" s="6" t="s">
        <v>558</v>
      </c>
      <c r="C347" s="6" t="s">
        <v>15</v>
      </c>
      <c r="D347" s="6" t="s">
        <v>44</v>
      </c>
      <c r="E347" s="6" t="n">
        <f aca="false">ROUND(5349*1.05,2)</f>
        <v>5616.45</v>
      </c>
      <c r="F347" s="6" t="s">
        <v>45</v>
      </c>
      <c r="G347" s="6" t="s">
        <v>30</v>
      </c>
      <c r="H347" s="6" t="n">
        <f aca="true">ROUND(RAND()*4+6,1)</f>
        <v>9.9</v>
      </c>
      <c r="I347" s="6" t="s">
        <v>46</v>
      </c>
      <c r="J347" s="6" t="str">
        <f aca="false">ROUND(67*1,0)&amp;"%"</f>
        <v>67%</v>
      </c>
    </row>
    <row r="348" customFormat="false" ht="15" hidden="false" customHeight="false" outlineLevel="0" collapsed="false">
      <c r="A348" s="5" t="s">
        <v>3823</v>
      </c>
      <c r="B348" s="5" t="s">
        <v>560</v>
      </c>
      <c r="C348" s="5" t="s">
        <v>15</v>
      </c>
      <c r="D348" s="5" t="s">
        <v>16</v>
      </c>
      <c r="E348" s="5" t="n">
        <f aca="false">ROUND(10119*1.05,2)</f>
        <v>10624.95</v>
      </c>
      <c r="F348" s="5" t="s">
        <v>49</v>
      </c>
      <c r="G348" s="5" t="s">
        <v>18</v>
      </c>
      <c r="H348" s="5" t="n">
        <f aca="true">ROUND(RAND()*4+6,1)</f>
        <v>9.8</v>
      </c>
      <c r="I348" s="5" t="s">
        <v>19</v>
      </c>
      <c r="J348" s="5" t="str">
        <f aca="false">ROUND(76*1,0)&amp;"%"</f>
        <v>76%</v>
      </c>
    </row>
    <row r="349" customFormat="false" ht="15" hidden="false" customHeight="false" outlineLevel="0" collapsed="false">
      <c r="A349" s="6" t="s">
        <v>3824</v>
      </c>
      <c r="B349" s="6" t="s">
        <v>562</v>
      </c>
      <c r="C349" s="6" t="s">
        <v>15</v>
      </c>
      <c r="D349" s="6" t="s">
        <v>22</v>
      </c>
      <c r="E349" s="6" t="n">
        <f aca="false">ROUND(17065*1.05,2)</f>
        <v>17918.25</v>
      </c>
      <c r="F349" s="6" t="s">
        <v>52</v>
      </c>
      <c r="G349" s="6" t="s">
        <v>24</v>
      </c>
      <c r="H349" s="6" t="n">
        <f aca="true">ROUND(RAND()*4+6,1)</f>
        <v>8.3</v>
      </c>
      <c r="I349" s="6" t="s">
        <v>25</v>
      </c>
      <c r="J349" s="6" t="str">
        <f aca="false">ROUND(78*1,0)&amp;"%"</f>
        <v>78%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3825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3826</v>
      </c>
      <c r="B354" s="5" t="s">
        <v>566</v>
      </c>
      <c r="C354" s="5" t="s">
        <v>57</v>
      </c>
      <c r="D354" s="5" t="s">
        <v>16</v>
      </c>
      <c r="E354" s="5" t="n">
        <f aca="false">ROUND(9057*1.05,2)</f>
        <v>9509.85</v>
      </c>
      <c r="F354" s="5" t="s">
        <v>17</v>
      </c>
      <c r="G354" s="5" t="s">
        <v>18</v>
      </c>
      <c r="H354" s="5" t="n">
        <f aca="true">ROUND(RAND()*4+6,1)</f>
        <v>6.2</v>
      </c>
      <c r="I354" s="5" t="s">
        <v>19</v>
      </c>
      <c r="J354" s="5" t="str">
        <f aca="false">ROUND(67*1,0)&amp;"%"</f>
        <v>67%</v>
      </c>
    </row>
    <row r="355" customFormat="false" ht="15" hidden="false" customHeight="false" outlineLevel="0" collapsed="false">
      <c r="A355" s="6" t="s">
        <v>3827</v>
      </c>
      <c r="B355" s="6" t="s">
        <v>568</v>
      </c>
      <c r="C355" s="6" t="s">
        <v>57</v>
      </c>
      <c r="D355" s="6" t="s">
        <v>22</v>
      </c>
      <c r="E355" s="6" t="n">
        <f aca="false">ROUND(17505*1.05,2)</f>
        <v>18380.25</v>
      </c>
      <c r="F355" s="6" t="s">
        <v>23</v>
      </c>
      <c r="G355" s="6" t="s">
        <v>24</v>
      </c>
      <c r="H355" s="6" t="n">
        <f aca="true">ROUND(RAND()*4+6,1)</f>
        <v>8.4</v>
      </c>
      <c r="I355" s="6" t="s">
        <v>25</v>
      </c>
      <c r="J355" s="6" t="str">
        <f aca="false">ROUND(84*1,0)&amp;"%"</f>
        <v>84%</v>
      </c>
    </row>
    <row r="356" customFormat="false" ht="15" hidden="false" customHeight="false" outlineLevel="0" collapsed="false">
      <c r="A356" s="5" t="s">
        <v>3828</v>
      </c>
      <c r="B356" s="5" t="s">
        <v>570</v>
      </c>
      <c r="C356" s="5" t="s">
        <v>57</v>
      </c>
      <c r="D356" s="5" t="s">
        <v>28</v>
      </c>
      <c r="E356" s="5" t="n">
        <f aca="false">ROUND(5353*1.05,2)</f>
        <v>5620.65</v>
      </c>
      <c r="F356" s="5" t="s">
        <v>29</v>
      </c>
      <c r="G356" s="5" t="s">
        <v>30</v>
      </c>
      <c r="H356" s="5" t="n">
        <f aca="true">ROUND(RAND()*4+6,1)</f>
        <v>8.8</v>
      </c>
      <c r="I356" s="5" t="s">
        <v>31</v>
      </c>
      <c r="J356" s="5" t="str">
        <f aca="false">ROUND(72*1,0)&amp;"%"</f>
        <v>72%</v>
      </c>
    </row>
    <row r="357" customFormat="false" ht="15" hidden="false" customHeight="false" outlineLevel="0" collapsed="false">
      <c r="A357" s="6" t="s">
        <v>3829</v>
      </c>
      <c r="B357" s="6" t="s">
        <v>572</v>
      </c>
      <c r="C357" s="6" t="s">
        <v>57</v>
      </c>
      <c r="D357" s="6" t="s">
        <v>34</v>
      </c>
      <c r="E357" s="6" t="n">
        <f aca="false">ROUND(11952*1.05,2)</f>
        <v>12549.6</v>
      </c>
      <c r="F357" s="6" t="s">
        <v>35</v>
      </c>
      <c r="G357" s="6" t="s">
        <v>18</v>
      </c>
      <c r="H357" s="6" t="n">
        <f aca="true">ROUND(RAND()*4+6,1)</f>
        <v>6.1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3830</v>
      </c>
      <c r="B358" s="5" t="s">
        <v>574</v>
      </c>
      <c r="C358" s="5" t="s">
        <v>57</v>
      </c>
      <c r="D358" s="5" t="s">
        <v>39</v>
      </c>
      <c r="E358" s="5" t="n">
        <f aca="false">ROUND(11061*1.05,2)</f>
        <v>11614.05</v>
      </c>
      <c r="F358" s="5" t="s">
        <v>40</v>
      </c>
      <c r="G358" s="5" t="s">
        <v>24</v>
      </c>
      <c r="H358" s="5" t="n">
        <f aca="true">ROUND(RAND()*4+6,1)</f>
        <v>9.8</v>
      </c>
      <c r="I358" s="5" t="s">
        <v>41</v>
      </c>
      <c r="J358" s="5" t="str">
        <f aca="false">ROUND(71*1,0)&amp;"%"</f>
        <v>71%</v>
      </c>
    </row>
    <row r="359" customFormat="false" ht="15" hidden="false" customHeight="false" outlineLevel="0" collapsed="false">
      <c r="A359" s="6" t="s">
        <v>3831</v>
      </c>
      <c r="B359" s="6" t="s">
        <v>576</v>
      </c>
      <c r="C359" s="6" t="s">
        <v>57</v>
      </c>
      <c r="D359" s="6" t="s">
        <v>44</v>
      </c>
      <c r="E359" s="6" t="n">
        <f aca="false">ROUND(17304*1.05,2)</f>
        <v>18169.2</v>
      </c>
      <c r="F359" s="6" t="s">
        <v>45</v>
      </c>
      <c r="G359" s="6" t="s">
        <v>30</v>
      </c>
      <c r="H359" s="6" t="n">
        <f aca="true">ROUND(RAND()*4+6,1)</f>
        <v>6.7</v>
      </c>
      <c r="I359" s="6" t="s">
        <v>46</v>
      </c>
      <c r="J359" s="6" t="str">
        <f aca="false">ROUND(71*1,0)&amp;"%"</f>
        <v>71%</v>
      </c>
    </row>
    <row r="360" customFormat="false" ht="15" hidden="false" customHeight="false" outlineLevel="0" collapsed="false">
      <c r="A360" s="5" t="s">
        <v>3832</v>
      </c>
      <c r="B360" s="5" t="s">
        <v>578</v>
      </c>
      <c r="C360" s="5" t="s">
        <v>57</v>
      </c>
      <c r="D360" s="5" t="s">
        <v>16</v>
      </c>
      <c r="E360" s="5" t="n">
        <f aca="false">ROUND(11516*1.05,2)</f>
        <v>12091.8</v>
      </c>
      <c r="F360" s="5" t="s">
        <v>49</v>
      </c>
      <c r="G360" s="5" t="s">
        <v>18</v>
      </c>
      <c r="H360" s="5" t="n">
        <f aca="true">ROUND(RAND()*4+6,1)</f>
        <v>6.1</v>
      </c>
      <c r="I360" s="5" t="s">
        <v>19</v>
      </c>
      <c r="J360" s="5" t="str">
        <f aca="false">ROUND(79*1,0)&amp;"%"</f>
        <v>79%</v>
      </c>
    </row>
    <row r="361" customFormat="false" ht="15" hidden="false" customHeight="false" outlineLevel="0" collapsed="false">
      <c r="A361" s="6" t="s">
        <v>3833</v>
      </c>
      <c r="B361" s="6" t="s">
        <v>580</v>
      </c>
      <c r="C361" s="6" t="s">
        <v>57</v>
      </c>
      <c r="D361" s="6" t="s">
        <v>22</v>
      </c>
      <c r="E361" s="6" t="n">
        <f aca="false">ROUND(9429*1.05,2)</f>
        <v>9900.45</v>
      </c>
      <c r="F361" s="6" t="s">
        <v>52</v>
      </c>
      <c r="G361" s="6" t="s">
        <v>24</v>
      </c>
      <c r="H361" s="6" t="n">
        <f aca="true">ROUND(RAND()*4+6,1)</f>
        <v>7.8</v>
      </c>
      <c r="I361" s="6" t="s">
        <v>25</v>
      </c>
      <c r="J361" s="6" t="str">
        <f aca="false">ROUND(78*1,0)&amp;"%"</f>
        <v>78%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3834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3835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3836</v>
      </c>
      <c r="B6" s="5" t="s">
        <v>14</v>
      </c>
      <c r="C6" s="5" t="s">
        <v>15</v>
      </c>
      <c r="D6" s="5" t="s">
        <v>16</v>
      </c>
      <c r="E6" s="5" t="n">
        <f aca="false">ROUND(15988*1.05,2)</f>
        <v>16787.4</v>
      </c>
      <c r="F6" s="5" t="s">
        <v>17</v>
      </c>
      <c r="G6" s="5" t="s">
        <v>18</v>
      </c>
      <c r="H6" s="5" t="n">
        <f aca="true">ROUND(RAND()*4+6,1)</f>
        <v>6.2</v>
      </c>
      <c r="I6" s="5" t="s">
        <v>19</v>
      </c>
      <c r="J6" s="5" t="str">
        <f aca="false">ROUND(76*1,0)&amp;"%"</f>
        <v>76%</v>
      </c>
    </row>
    <row r="7" customFormat="false" ht="15" hidden="false" customHeight="false" outlineLevel="0" collapsed="false">
      <c r="A7" s="6" t="s">
        <v>3837</v>
      </c>
      <c r="B7" s="6" t="s">
        <v>21</v>
      </c>
      <c r="C7" s="6" t="s">
        <v>15</v>
      </c>
      <c r="D7" s="6" t="s">
        <v>22</v>
      </c>
      <c r="E7" s="6" t="n">
        <f aca="false">ROUND(7049*1.05,2)</f>
        <v>7401.45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ROUND(88*1,0)&amp;"%"</f>
        <v>88%</v>
      </c>
    </row>
    <row r="8" customFormat="false" ht="15" hidden="false" customHeight="false" outlineLevel="0" collapsed="false">
      <c r="A8" s="5" t="s">
        <v>3838</v>
      </c>
      <c r="B8" s="5" t="s">
        <v>27</v>
      </c>
      <c r="C8" s="5" t="s">
        <v>15</v>
      </c>
      <c r="D8" s="5" t="s">
        <v>28</v>
      </c>
      <c r="E8" s="5" t="n">
        <f aca="false">ROUND(15135*1.05,2)</f>
        <v>15891.75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ROUND(66*1,0)&amp;"%"</f>
        <v>66%</v>
      </c>
    </row>
    <row r="9" customFormat="false" ht="15" hidden="false" customHeight="false" outlineLevel="0" collapsed="false">
      <c r="A9" s="6" t="s">
        <v>3839</v>
      </c>
      <c r="B9" s="6" t="s">
        <v>33</v>
      </c>
      <c r="C9" s="6" t="s">
        <v>15</v>
      </c>
      <c r="D9" s="6" t="s">
        <v>34</v>
      </c>
      <c r="E9" s="6" t="n">
        <f aca="false">ROUND(7845*1.05,2)</f>
        <v>8237.25</v>
      </c>
      <c r="F9" s="6" t="s">
        <v>35</v>
      </c>
      <c r="G9" s="6" t="s">
        <v>18</v>
      </c>
      <c r="H9" s="6" t="n">
        <f aca="true">ROUND(RAND()*4+6,1)</f>
        <v>6.3</v>
      </c>
      <c r="I9" s="6" t="s">
        <v>36</v>
      </c>
      <c r="J9" s="6" t="str">
        <f aca="false">ROUND(69*1,0)&amp;"%"</f>
        <v>69%</v>
      </c>
    </row>
    <row r="10" customFormat="false" ht="15" hidden="false" customHeight="false" outlineLevel="0" collapsed="false">
      <c r="A10" s="5" t="s">
        <v>3840</v>
      </c>
      <c r="B10" s="5" t="s">
        <v>38</v>
      </c>
      <c r="C10" s="5" t="s">
        <v>15</v>
      </c>
      <c r="D10" s="5" t="s">
        <v>39</v>
      </c>
      <c r="E10" s="5" t="n">
        <f aca="false">ROUND(17247*1.05,2)</f>
        <v>18109.35</v>
      </c>
      <c r="F10" s="5" t="s">
        <v>40</v>
      </c>
      <c r="G10" s="5" t="s">
        <v>24</v>
      </c>
      <c r="H10" s="5" t="n">
        <f aca="true">ROUND(RAND()*4+6,1)</f>
        <v>9.6</v>
      </c>
      <c r="I10" s="5" t="s">
        <v>41</v>
      </c>
      <c r="J10" s="5" t="str">
        <f aca="false">ROUND(92*1,0)&amp;"%"</f>
        <v>92%</v>
      </c>
    </row>
    <row r="11" customFormat="false" ht="15" hidden="false" customHeight="false" outlineLevel="0" collapsed="false">
      <c r="A11" s="6" t="s">
        <v>3841</v>
      </c>
      <c r="B11" s="6" t="s">
        <v>43</v>
      </c>
      <c r="C11" s="6" t="s">
        <v>15</v>
      </c>
      <c r="D11" s="6" t="s">
        <v>44</v>
      </c>
      <c r="E11" s="6" t="n">
        <f aca="false">ROUND(6384*1.05,2)</f>
        <v>6703.2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ROUND(95*1,0)&amp;"%"</f>
        <v>95%</v>
      </c>
    </row>
    <row r="12" customFormat="false" ht="15" hidden="false" customHeight="false" outlineLevel="0" collapsed="false">
      <c r="A12" s="5" t="s">
        <v>3842</v>
      </c>
      <c r="B12" s="5" t="s">
        <v>48</v>
      </c>
      <c r="C12" s="5" t="s">
        <v>15</v>
      </c>
      <c r="D12" s="5" t="s">
        <v>16</v>
      </c>
      <c r="E12" s="5" t="n">
        <f aca="false">ROUND(16764*1.05,2)</f>
        <v>17602.2</v>
      </c>
      <c r="F12" s="5" t="s">
        <v>49</v>
      </c>
      <c r="G12" s="5" t="s">
        <v>18</v>
      </c>
      <c r="H12" s="5" t="n">
        <f aca="true">ROUND(RAND()*4+6,1)</f>
        <v>8.1</v>
      </c>
      <c r="I12" s="5" t="s">
        <v>19</v>
      </c>
      <c r="J12" s="5" t="str">
        <f aca="false">ROUND(97*1,0)&amp;"%"</f>
        <v>97%</v>
      </c>
    </row>
    <row r="13" customFormat="false" ht="15" hidden="false" customHeight="false" outlineLevel="0" collapsed="false">
      <c r="A13" s="6" t="s">
        <v>3843</v>
      </c>
      <c r="B13" s="6" t="s">
        <v>51</v>
      </c>
      <c r="C13" s="6" t="s">
        <v>15</v>
      </c>
      <c r="D13" s="6" t="s">
        <v>22</v>
      </c>
      <c r="E13" s="6" t="n">
        <f aca="false">ROUND(12599*1.05,2)</f>
        <v>13228.95</v>
      </c>
      <c r="F13" s="6" t="s">
        <v>52</v>
      </c>
      <c r="G13" s="6" t="s">
        <v>24</v>
      </c>
      <c r="H13" s="6" t="n">
        <f aca="true">ROUND(RAND()*4+6,1)</f>
        <v>7</v>
      </c>
      <c r="I13" s="6" t="s">
        <v>25</v>
      </c>
      <c r="J13" s="6" t="str">
        <f aca="false">ROUND(75*1,0)&amp;"%"</f>
        <v>75%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3844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3845</v>
      </c>
      <c r="B18" s="5" t="s">
        <v>56</v>
      </c>
      <c r="C18" s="5" t="s">
        <v>57</v>
      </c>
      <c r="D18" s="5" t="s">
        <v>16</v>
      </c>
      <c r="E18" s="5" t="n">
        <f aca="false">ROUND(4399*1.05,2)</f>
        <v>4618.95</v>
      </c>
      <c r="F18" s="5" t="s">
        <v>17</v>
      </c>
      <c r="G18" s="5" t="s">
        <v>18</v>
      </c>
      <c r="H18" s="5" t="n">
        <f aca="true">ROUND(RAND()*4+6,1)</f>
        <v>6.6</v>
      </c>
      <c r="I18" s="5" t="s">
        <v>19</v>
      </c>
      <c r="J18" s="5" t="str">
        <f aca="false">ROUND(82*1,0)&amp;"%"</f>
        <v>82%</v>
      </c>
    </row>
    <row r="19" customFormat="false" ht="15" hidden="false" customHeight="false" outlineLevel="0" collapsed="false">
      <c r="A19" s="6" t="s">
        <v>3846</v>
      </c>
      <c r="B19" s="6" t="s">
        <v>59</v>
      </c>
      <c r="C19" s="6" t="s">
        <v>57</v>
      </c>
      <c r="D19" s="6" t="s">
        <v>22</v>
      </c>
      <c r="E19" s="6" t="n">
        <f aca="false">ROUND(9208*1.05,2)</f>
        <v>9668.4</v>
      </c>
      <c r="F19" s="6" t="s">
        <v>23</v>
      </c>
      <c r="G19" s="6" t="s">
        <v>24</v>
      </c>
      <c r="H19" s="6" t="n">
        <f aca="true">ROUND(RAND()*4+6,1)</f>
        <v>7.9</v>
      </c>
      <c r="I19" s="6" t="s">
        <v>25</v>
      </c>
      <c r="J19" s="6" t="str">
        <f aca="false">ROUND(94*1,0)&amp;"%"</f>
        <v>94%</v>
      </c>
    </row>
    <row r="20" customFormat="false" ht="15" hidden="false" customHeight="false" outlineLevel="0" collapsed="false">
      <c r="A20" s="5" t="s">
        <v>3847</v>
      </c>
      <c r="B20" s="5" t="s">
        <v>61</v>
      </c>
      <c r="C20" s="5" t="s">
        <v>57</v>
      </c>
      <c r="D20" s="5" t="s">
        <v>28</v>
      </c>
      <c r="E20" s="5" t="n">
        <f aca="false">ROUND(4754*1.05,2)</f>
        <v>4991.7</v>
      </c>
      <c r="F20" s="5" t="s">
        <v>29</v>
      </c>
      <c r="G20" s="5" t="s">
        <v>30</v>
      </c>
      <c r="H20" s="5" t="n">
        <f aca="true">ROUND(RAND()*4+6,1)</f>
        <v>8.1</v>
      </c>
      <c r="I20" s="5" t="s">
        <v>31</v>
      </c>
      <c r="J20" s="5" t="str">
        <f aca="false">ROUND(63*1,0)&amp;"%"</f>
        <v>63%</v>
      </c>
    </row>
    <row r="21" customFormat="false" ht="15" hidden="false" customHeight="false" outlineLevel="0" collapsed="false">
      <c r="A21" s="6" t="s">
        <v>3848</v>
      </c>
      <c r="B21" s="6" t="s">
        <v>63</v>
      </c>
      <c r="C21" s="6" t="s">
        <v>57</v>
      </c>
      <c r="D21" s="6" t="s">
        <v>34</v>
      </c>
      <c r="E21" s="6" t="n">
        <f aca="false">ROUND(17559*1.05,2)</f>
        <v>18436.95</v>
      </c>
      <c r="F21" s="6" t="s">
        <v>35</v>
      </c>
      <c r="G21" s="6" t="s">
        <v>18</v>
      </c>
      <c r="H21" s="6" t="n">
        <f aca="true">ROUND(RAND()*4+6,1)</f>
        <v>7.5</v>
      </c>
      <c r="I21" s="6" t="s">
        <v>36</v>
      </c>
      <c r="J21" s="6" t="str">
        <f aca="false">ROUND(93*1,0)&amp;"%"</f>
        <v>93%</v>
      </c>
    </row>
    <row r="22" customFormat="false" ht="15" hidden="false" customHeight="false" outlineLevel="0" collapsed="false">
      <c r="A22" s="5" t="s">
        <v>3849</v>
      </c>
      <c r="B22" s="5" t="s">
        <v>65</v>
      </c>
      <c r="C22" s="5" t="s">
        <v>57</v>
      </c>
      <c r="D22" s="5" t="s">
        <v>39</v>
      </c>
      <c r="E22" s="5" t="n">
        <f aca="false">ROUND(15695*1.05,2)</f>
        <v>16479.75</v>
      </c>
      <c r="F22" s="5" t="s">
        <v>40</v>
      </c>
      <c r="G22" s="5" t="s">
        <v>24</v>
      </c>
      <c r="H22" s="5" t="n">
        <f aca="true">ROUND(RAND()*4+6,1)</f>
        <v>8.8</v>
      </c>
      <c r="I22" s="5" t="s">
        <v>41</v>
      </c>
      <c r="J22" s="5" t="str">
        <f aca="false">ROUND(93*1,0)&amp;"%"</f>
        <v>93%</v>
      </c>
    </row>
    <row r="23" customFormat="false" ht="15" hidden="false" customHeight="false" outlineLevel="0" collapsed="false">
      <c r="A23" s="6" t="s">
        <v>3850</v>
      </c>
      <c r="B23" s="6" t="s">
        <v>67</v>
      </c>
      <c r="C23" s="6" t="s">
        <v>57</v>
      </c>
      <c r="D23" s="6" t="s">
        <v>44</v>
      </c>
      <c r="E23" s="6" t="n">
        <f aca="false">ROUND(11487*1.05,2)</f>
        <v>12061.35</v>
      </c>
      <c r="F23" s="6" t="s">
        <v>45</v>
      </c>
      <c r="G23" s="6" t="s">
        <v>30</v>
      </c>
      <c r="H23" s="6" t="n">
        <f aca="true">ROUND(RAND()*4+6,1)</f>
        <v>7.8</v>
      </c>
      <c r="I23" s="6" t="s">
        <v>46</v>
      </c>
      <c r="J23" s="6" t="str">
        <f aca="false">ROUND(82*1,0)&amp;"%"</f>
        <v>82%</v>
      </c>
    </row>
    <row r="24" customFormat="false" ht="15" hidden="false" customHeight="false" outlineLevel="0" collapsed="false">
      <c r="A24" s="5" t="s">
        <v>3851</v>
      </c>
      <c r="B24" s="5" t="s">
        <v>69</v>
      </c>
      <c r="C24" s="5" t="s">
        <v>57</v>
      </c>
      <c r="D24" s="5" t="s">
        <v>16</v>
      </c>
      <c r="E24" s="5" t="n">
        <f aca="false">ROUND(7936*1.05,2)</f>
        <v>8332.8</v>
      </c>
      <c r="F24" s="5" t="s">
        <v>49</v>
      </c>
      <c r="G24" s="5" t="s">
        <v>18</v>
      </c>
      <c r="H24" s="5" t="n">
        <f aca="true">ROUND(RAND()*4+6,1)</f>
        <v>9.3</v>
      </c>
      <c r="I24" s="5" t="s">
        <v>19</v>
      </c>
      <c r="J24" s="5" t="str">
        <f aca="false">ROUND(72*1,0)&amp;"%"</f>
        <v>72%</v>
      </c>
    </row>
    <row r="25" customFormat="false" ht="15" hidden="false" customHeight="false" outlineLevel="0" collapsed="false">
      <c r="A25" s="6" t="s">
        <v>3852</v>
      </c>
      <c r="B25" s="6" t="s">
        <v>71</v>
      </c>
      <c r="C25" s="6" t="s">
        <v>57</v>
      </c>
      <c r="D25" s="6" t="s">
        <v>22</v>
      </c>
      <c r="E25" s="6" t="n">
        <f aca="false">ROUND(5516*1.05,2)</f>
        <v>5791.8</v>
      </c>
      <c r="F25" s="6" t="s">
        <v>52</v>
      </c>
      <c r="G25" s="6" t="s">
        <v>24</v>
      </c>
      <c r="H25" s="6" t="n">
        <f aca="true">ROUND(RAND()*4+6,1)</f>
        <v>6.3</v>
      </c>
      <c r="I25" s="6" t="s">
        <v>25</v>
      </c>
      <c r="J25" s="6" t="str">
        <f aca="false">ROUND(96*1,0)&amp;"%"</f>
        <v>96%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3853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3854</v>
      </c>
      <c r="B30" s="5" t="s">
        <v>75</v>
      </c>
      <c r="C30" s="5" t="s">
        <v>76</v>
      </c>
      <c r="D30" s="5" t="s">
        <v>16</v>
      </c>
      <c r="E30" s="5" t="n">
        <f aca="false">ROUND(15608*1.05,2)</f>
        <v>16388.4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ROUND(65*1,0)&amp;"%"</f>
        <v>65%</v>
      </c>
    </row>
    <row r="31" customFormat="false" ht="15" hidden="false" customHeight="false" outlineLevel="0" collapsed="false">
      <c r="A31" s="6" t="s">
        <v>3855</v>
      </c>
      <c r="B31" s="6" t="s">
        <v>78</v>
      </c>
      <c r="C31" s="6" t="s">
        <v>76</v>
      </c>
      <c r="D31" s="6" t="s">
        <v>22</v>
      </c>
      <c r="E31" s="6" t="n">
        <f aca="false">ROUND(4840*1.05,2)</f>
        <v>5082</v>
      </c>
      <c r="F31" s="6" t="s">
        <v>23</v>
      </c>
      <c r="G31" s="6" t="s">
        <v>24</v>
      </c>
      <c r="H31" s="6" t="n">
        <f aca="true">ROUND(RAND()*4+6,1)</f>
        <v>7.9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3856</v>
      </c>
      <c r="B32" s="5" t="s">
        <v>80</v>
      </c>
      <c r="C32" s="5" t="s">
        <v>76</v>
      </c>
      <c r="D32" s="5" t="s">
        <v>28</v>
      </c>
      <c r="E32" s="5" t="n">
        <f aca="false">ROUND(12225*1.05,2)</f>
        <v>12836.25</v>
      </c>
      <c r="F32" s="5" t="s">
        <v>29</v>
      </c>
      <c r="G32" s="5" t="s">
        <v>30</v>
      </c>
      <c r="H32" s="5" t="n">
        <f aca="true">ROUND(RAND()*4+6,1)</f>
        <v>9.2</v>
      </c>
      <c r="I32" s="5" t="s">
        <v>31</v>
      </c>
      <c r="J32" s="5" t="str">
        <f aca="false">ROUND(77*1,0)&amp;"%"</f>
        <v>77%</v>
      </c>
    </row>
    <row r="33" customFormat="false" ht="15" hidden="false" customHeight="false" outlineLevel="0" collapsed="false">
      <c r="A33" s="6" t="s">
        <v>3857</v>
      </c>
      <c r="B33" s="6" t="s">
        <v>82</v>
      </c>
      <c r="C33" s="6" t="s">
        <v>76</v>
      </c>
      <c r="D33" s="6" t="s">
        <v>34</v>
      </c>
      <c r="E33" s="6" t="n">
        <f aca="false">ROUND(16617*1.05,2)</f>
        <v>17447.85</v>
      </c>
      <c r="F33" s="6" t="s">
        <v>35</v>
      </c>
      <c r="G33" s="6" t="s">
        <v>18</v>
      </c>
      <c r="H33" s="6" t="n">
        <f aca="true">ROUND(RAND()*4+6,1)</f>
        <v>9.6</v>
      </c>
      <c r="I33" s="6" t="s">
        <v>36</v>
      </c>
      <c r="J33" s="6" t="str">
        <f aca="false">ROUND(73*1,0)&amp;"%"</f>
        <v>73%</v>
      </c>
    </row>
    <row r="34" customFormat="false" ht="15" hidden="false" customHeight="false" outlineLevel="0" collapsed="false">
      <c r="A34" s="5" t="s">
        <v>3858</v>
      </c>
      <c r="B34" s="5" t="s">
        <v>84</v>
      </c>
      <c r="C34" s="5" t="s">
        <v>76</v>
      </c>
      <c r="D34" s="5" t="s">
        <v>39</v>
      </c>
      <c r="E34" s="5" t="n">
        <f aca="false">ROUND(6320*1.05,2)</f>
        <v>6636</v>
      </c>
      <c r="F34" s="5" t="s">
        <v>40</v>
      </c>
      <c r="G34" s="5" t="s">
        <v>24</v>
      </c>
      <c r="H34" s="5" t="n">
        <f aca="true">ROUND(RAND()*4+6,1)</f>
        <v>8.5</v>
      </c>
      <c r="I34" s="5" t="s">
        <v>41</v>
      </c>
      <c r="J34" s="5" t="str">
        <f aca="false">ROUND(88*1,0)&amp;"%"</f>
        <v>88%</v>
      </c>
    </row>
    <row r="35" customFormat="false" ht="15" hidden="false" customHeight="false" outlineLevel="0" collapsed="false">
      <c r="A35" s="6" t="s">
        <v>3859</v>
      </c>
      <c r="B35" s="6" t="s">
        <v>86</v>
      </c>
      <c r="C35" s="6" t="s">
        <v>76</v>
      </c>
      <c r="D35" s="6" t="s">
        <v>44</v>
      </c>
      <c r="E35" s="6" t="n">
        <f aca="false">ROUND(13116*1.05,2)</f>
        <v>13771.8</v>
      </c>
      <c r="F35" s="6" t="s">
        <v>45</v>
      </c>
      <c r="G35" s="6" t="s">
        <v>30</v>
      </c>
      <c r="H35" s="6" t="n">
        <f aca="true">ROUND(RAND()*4+6,1)</f>
        <v>8.5</v>
      </c>
      <c r="I35" s="6" t="s">
        <v>46</v>
      </c>
      <c r="J35" s="6" t="str">
        <f aca="false">ROUND(68*1,0)&amp;"%"</f>
        <v>68%</v>
      </c>
    </row>
    <row r="36" customFormat="false" ht="15" hidden="false" customHeight="false" outlineLevel="0" collapsed="false">
      <c r="A36" s="5" t="s">
        <v>3860</v>
      </c>
      <c r="B36" s="5" t="s">
        <v>88</v>
      </c>
      <c r="C36" s="5" t="s">
        <v>76</v>
      </c>
      <c r="D36" s="5" t="s">
        <v>16</v>
      </c>
      <c r="E36" s="5" t="n">
        <f aca="false">ROUND(15554*1.05,2)</f>
        <v>16331.7</v>
      </c>
      <c r="F36" s="5" t="s">
        <v>49</v>
      </c>
      <c r="G36" s="5" t="s">
        <v>18</v>
      </c>
      <c r="H36" s="5" t="n">
        <f aca="true">ROUND(RAND()*4+6,1)</f>
        <v>7.2</v>
      </c>
      <c r="I36" s="5" t="s">
        <v>19</v>
      </c>
      <c r="J36" s="5" t="str">
        <f aca="false">ROUND(86*1,0)&amp;"%"</f>
        <v>86%</v>
      </c>
    </row>
    <row r="37" customFormat="false" ht="15" hidden="false" customHeight="false" outlineLevel="0" collapsed="false">
      <c r="A37" s="6" t="s">
        <v>3861</v>
      </c>
      <c r="B37" s="6" t="s">
        <v>90</v>
      </c>
      <c r="C37" s="6" t="s">
        <v>76</v>
      </c>
      <c r="D37" s="6" t="s">
        <v>22</v>
      </c>
      <c r="E37" s="6" t="n">
        <f aca="false">ROUND(15005*1.05,2)</f>
        <v>15755.25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ROUND(80*1,0)&amp;"%"</f>
        <v>80%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3862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3863</v>
      </c>
      <c r="B42" s="5" t="s">
        <v>94</v>
      </c>
      <c r="C42" s="5" t="s">
        <v>95</v>
      </c>
      <c r="D42" s="5" t="s">
        <v>16</v>
      </c>
      <c r="E42" s="5" t="n">
        <f aca="false">ROUND(9465*1.05,2)</f>
        <v>9938.25</v>
      </c>
      <c r="F42" s="5" t="s">
        <v>17</v>
      </c>
      <c r="G42" s="5" t="s">
        <v>18</v>
      </c>
      <c r="H42" s="5" t="n">
        <f aca="true">ROUND(RAND()*4+6,1)</f>
        <v>7.1</v>
      </c>
      <c r="I42" s="5" t="s">
        <v>19</v>
      </c>
      <c r="J42" s="5" t="str">
        <f aca="false">ROUND(76*1,0)&amp;"%"</f>
        <v>76%</v>
      </c>
    </row>
    <row r="43" customFormat="false" ht="15" hidden="false" customHeight="false" outlineLevel="0" collapsed="false">
      <c r="A43" s="6" t="s">
        <v>3864</v>
      </c>
      <c r="B43" s="6" t="s">
        <v>97</v>
      </c>
      <c r="C43" s="6" t="s">
        <v>95</v>
      </c>
      <c r="D43" s="6" t="s">
        <v>22</v>
      </c>
      <c r="E43" s="6" t="n">
        <f aca="false">ROUND(6539*1.05,2)</f>
        <v>6865.95</v>
      </c>
      <c r="F43" s="6" t="s">
        <v>23</v>
      </c>
      <c r="G43" s="6" t="s">
        <v>24</v>
      </c>
      <c r="H43" s="6" t="n">
        <f aca="true">ROUND(RAND()*4+6,1)</f>
        <v>7.6</v>
      </c>
      <c r="I43" s="6" t="s">
        <v>25</v>
      </c>
      <c r="J43" s="6" t="str">
        <f aca="false">ROUND(61*1,0)&amp;"%"</f>
        <v>61%</v>
      </c>
    </row>
    <row r="44" customFormat="false" ht="15" hidden="false" customHeight="false" outlineLevel="0" collapsed="false">
      <c r="A44" s="5" t="s">
        <v>3865</v>
      </c>
      <c r="B44" s="5" t="s">
        <v>99</v>
      </c>
      <c r="C44" s="5" t="s">
        <v>95</v>
      </c>
      <c r="D44" s="5" t="s">
        <v>28</v>
      </c>
      <c r="E44" s="5" t="n">
        <f aca="false">ROUND(10503*1.05,2)</f>
        <v>11028.15</v>
      </c>
      <c r="F44" s="5" t="s">
        <v>29</v>
      </c>
      <c r="G44" s="5" t="s">
        <v>30</v>
      </c>
      <c r="H44" s="5" t="n">
        <f aca="true">ROUND(RAND()*4+6,1)</f>
        <v>6.1</v>
      </c>
      <c r="I44" s="5" t="s">
        <v>31</v>
      </c>
      <c r="J44" s="5" t="str">
        <f aca="false">ROUND(93*1,0)&amp;"%"</f>
        <v>93%</v>
      </c>
    </row>
    <row r="45" customFormat="false" ht="15" hidden="false" customHeight="false" outlineLevel="0" collapsed="false">
      <c r="A45" s="6" t="s">
        <v>3866</v>
      </c>
      <c r="B45" s="6" t="s">
        <v>101</v>
      </c>
      <c r="C45" s="6" t="s">
        <v>95</v>
      </c>
      <c r="D45" s="6" t="s">
        <v>34</v>
      </c>
      <c r="E45" s="6" t="n">
        <f aca="false">ROUND(4296*1.05,2)</f>
        <v>4510.8</v>
      </c>
      <c r="F45" s="6" t="s">
        <v>35</v>
      </c>
      <c r="G45" s="6" t="s">
        <v>18</v>
      </c>
      <c r="H45" s="6" t="n">
        <f aca="true">ROUND(RAND()*4+6,1)</f>
        <v>6.4</v>
      </c>
      <c r="I45" s="6" t="s">
        <v>36</v>
      </c>
      <c r="J45" s="6" t="str">
        <f aca="false">ROUND(75*1,0)&amp;"%"</f>
        <v>75%</v>
      </c>
    </row>
    <row r="46" customFormat="false" ht="15" hidden="false" customHeight="false" outlineLevel="0" collapsed="false">
      <c r="A46" s="5" t="s">
        <v>3867</v>
      </c>
      <c r="B46" s="5" t="s">
        <v>103</v>
      </c>
      <c r="C46" s="5" t="s">
        <v>95</v>
      </c>
      <c r="D46" s="5" t="s">
        <v>39</v>
      </c>
      <c r="E46" s="5" t="n">
        <f aca="false">ROUND(4682*1.05,2)</f>
        <v>4916.1</v>
      </c>
      <c r="F46" s="5" t="s">
        <v>40</v>
      </c>
      <c r="G46" s="5" t="s">
        <v>24</v>
      </c>
      <c r="H46" s="5" t="n">
        <f aca="true">ROUND(RAND()*4+6,1)</f>
        <v>7</v>
      </c>
      <c r="I46" s="5" t="s">
        <v>41</v>
      </c>
      <c r="J46" s="5" t="str">
        <f aca="false">ROUND(81*1,0)&amp;"%"</f>
        <v>81%</v>
      </c>
    </row>
    <row r="47" customFormat="false" ht="15" hidden="false" customHeight="false" outlineLevel="0" collapsed="false">
      <c r="A47" s="6" t="s">
        <v>3868</v>
      </c>
      <c r="B47" s="6" t="s">
        <v>105</v>
      </c>
      <c r="C47" s="6" t="s">
        <v>95</v>
      </c>
      <c r="D47" s="6" t="s">
        <v>44</v>
      </c>
      <c r="E47" s="6" t="n">
        <f aca="false">ROUND(10220*1.05,2)</f>
        <v>10731</v>
      </c>
      <c r="F47" s="6" t="s">
        <v>45</v>
      </c>
      <c r="G47" s="6" t="s">
        <v>30</v>
      </c>
      <c r="H47" s="6" t="n">
        <f aca="true">ROUND(RAND()*4+6,1)</f>
        <v>7.5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3869</v>
      </c>
      <c r="B48" s="5" t="s">
        <v>107</v>
      </c>
      <c r="C48" s="5" t="s">
        <v>95</v>
      </c>
      <c r="D48" s="5" t="s">
        <v>16</v>
      </c>
      <c r="E48" s="5" t="n">
        <f aca="false">ROUND(4715*1.05,2)</f>
        <v>4950.75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ROUND(62*1,0)&amp;"%"</f>
        <v>62%</v>
      </c>
    </row>
    <row r="49" customFormat="false" ht="15" hidden="false" customHeight="false" outlineLevel="0" collapsed="false">
      <c r="A49" s="6" t="s">
        <v>3870</v>
      </c>
      <c r="B49" s="6" t="s">
        <v>109</v>
      </c>
      <c r="C49" s="6" t="s">
        <v>95</v>
      </c>
      <c r="D49" s="6" t="s">
        <v>22</v>
      </c>
      <c r="E49" s="6" t="n">
        <f aca="false">ROUND(13298*1.05,2)</f>
        <v>13962.9</v>
      </c>
      <c r="F49" s="6" t="s">
        <v>52</v>
      </c>
      <c r="G49" s="6" t="s">
        <v>24</v>
      </c>
      <c r="H49" s="6" t="n">
        <f aca="true">ROUND(RAND()*4+6,1)</f>
        <v>9.8</v>
      </c>
      <c r="I49" s="6" t="s">
        <v>25</v>
      </c>
      <c r="J49" s="6" t="str">
        <f aca="false">ROUND(77*1,0)&amp;"%"</f>
        <v>77%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3871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3872</v>
      </c>
      <c r="B54" s="5" t="s">
        <v>113</v>
      </c>
      <c r="C54" s="5" t="s">
        <v>114</v>
      </c>
      <c r="D54" s="5" t="s">
        <v>16</v>
      </c>
      <c r="E54" s="5" t="n">
        <f aca="false">ROUND(8465*1.05,2)</f>
        <v>8888.25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ROUND(79*1,0)&amp;"%"</f>
        <v>79%</v>
      </c>
    </row>
    <row r="55" customFormat="false" ht="15" hidden="false" customHeight="false" outlineLevel="0" collapsed="false">
      <c r="A55" s="6" t="s">
        <v>3873</v>
      </c>
      <c r="B55" s="6" t="s">
        <v>116</v>
      </c>
      <c r="C55" s="6" t="s">
        <v>114</v>
      </c>
      <c r="D55" s="6" t="s">
        <v>22</v>
      </c>
      <c r="E55" s="6" t="n">
        <f aca="false">ROUND(6074*1.05,2)</f>
        <v>6377.7</v>
      </c>
      <c r="F55" s="6" t="s">
        <v>23</v>
      </c>
      <c r="G55" s="6" t="s">
        <v>24</v>
      </c>
      <c r="H55" s="6" t="n">
        <f aca="true">ROUND(RAND()*4+6,1)</f>
        <v>9.8</v>
      </c>
      <c r="I55" s="6" t="s">
        <v>25</v>
      </c>
      <c r="J55" s="6" t="str">
        <f aca="false">ROUND(96*1,0)&amp;"%"</f>
        <v>96%</v>
      </c>
    </row>
    <row r="56" customFormat="false" ht="15" hidden="false" customHeight="false" outlineLevel="0" collapsed="false">
      <c r="A56" s="5" t="s">
        <v>3874</v>
      </c>
      <c r="B56" s="5" t="s">
        <v>118</v>
      </c>
      <c r="C56" s="5" t="s">
        <v>114</v>
      </c>
      <c r="D56" s="5" t="s">
        <v>28</v>
      </c>
      <c r="E56" s="5" t="n">
        <f aca="false">ROUND(8262*1.05,2)</f>
        <v>8675.1</v>
      </c>
      <c r="F56" s="5" t="s">
        <v>29</v>
      </c>
      <c r="G56" s="5" t="s">
        <v>30</v>
      </c>
      <c r="H56" s="5" t="n">
        <f aca="true">ROUND(RAND()*4+6,1)</f>
        <v>7.4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3875</v>
      </c>
      <c r="B57" s="6" t="s">
        <v>120</v>
      </c>
      <c r="C57" s="6" t="s">
        <v>114</v>
      </c>
      <c r="D57" s="6" t="s">
        <v>34</v>
      </c>
      <c r="E57" s="6" t="n">
        <f aca="false">ROUND(4821*1.05,2)</f>
        <v>5062.05</v>
      </c>
      <c r="F57" s="6" t="s">
        <v>35</v>
      </c>
      <c r="G57" s="6" t="s">
        <v>18</v>
      </c>
      <c r="H57" s="6" t="n">
        <f aca="true">ROUND(RAND()*4+6,1)</f>
        <v>6.1</v>
      </c>
      <c r="I57" s="6" t="s">
        <v>36</v>
      </c>
      <c r="J57" s="6" t="str">
        <f aca="false">ROUND(87*1,0)&amp;"%"</f>
        <v>87%</v>
      </c>
    </row>
    <row r="58" customFormat="false" ht="15" hidden="false" customHeight="false" outlineLevel="0" collapsed="false">
      <c r="A58" s="5" t="s">
        <v>3876</v>
      </c>
      <c r="B58" s="5" t="s">
        <v>122</v>
      </c>
      <c r="C58" s="5" t="s">
        <v>114</v>
      </c>
      <c r="D58" s="5" t="s">
        <v>39</v>
      </c>
      <c r="E58" s="5" t="n">
        <f aca="false">ROUND(9781*1.05,2)</f>
        <v>10270.05</v>
      </c>
      <c r="F58" s="5" t="s">
        <v>40</v>
      </c>
      <c r="G58" s="5" t="s">
        <v>24</v>
      </c>
      <c r="H58" s="5" t="n">
        <f aca="true">ROUND(RAND()*4+6,1)</f>
        <v>6.2</v>
      </c>
      <c r="I58" s="5" t="s">
        <v>41</v>
      </c>
      <c r="J58" s="5" t="str">
        <f aca="false">ROUND(84*1,0)&amp;"%"</f>
        <v>84%</v>
      </c>
    </row>
    <row r="59" customFormat="false" ht="15" hidden="false" customHeight="false" outlineLevel="0" collapsed="false">
      <c r="A59" s="6" t="s">
        <v>3877</v>
      </c>
      <c r="B59" s="6" t="s">
        <v>124</v>
      </c>
      <c r="C59" s="6" t="s">
        <v>114</v>
      </c>
      <c r="D59" s="6" t="s">
        <v>44</v>
      </c>
      <c r="E59" s="6" t="n">
        <f aca="false">ROUND(12678*1.05,2)</f>
        <v>13311.9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ROUND(86*1,0)&amp;"%"</f>
        <v>86%</v>
      </c>
    </row>
    <row r="60" customFormat="false" ht="15" hidden="false" customHeight="false" outlineLevel="0" collapsed="false">
      <c r="A60" s="5" t="s">
        <v>3878</v>
      </c>
      <c r="B60" s="5" t="s">
        <v>126</v>
      </c>
      <c r="C60" s="5" t="s">
        <v>114</v>
      </c>
      <c r="D60" s="5" t="s">
        <v>16</v>
      </c>
      <c r="E60" s="5" t="n">
        <f aca="false">ROUND(8680*1.05,2)</f>
        <v>9114</v>
      </c>
      <c r="F60" s="5" t="s">
        <v>49</v>
      </c>
      <c r="G60" s="5" t="s">
        <v>18</v>
      </c>
      <c r="H60" s="5" t="n">
        <f aca="true">ROUND(RAND()*4+6,1)</f>
        <v>7.1</v>
      </c>
      <c r="I60" s="5" t="s">
        <v>19</v>
      </c>
      <c r="J60" s="5" t="str">
        <f aca="false">ROUND(77*1,0)&amp;"%"</f>
        <v>77%</v>
      </c>
    </row>
    <row r="61" customFormat="false" ht="15" hidden="false" customHeight="false" outlineLevel="0" collapsed="false">
      <c r="A61" s="6" t="s">
        <v>3879</v>
      </c>
      <c r="B61" s="6" t="s">
        <v>128</v>
      </c>
      <c r="C61" s="6" t="s">
        <v>114</v>
      </c>
      <c r="D61" s="6" t="s">
        <v>22</v>
      </c>
      <c r="E61" s="6" t="n">
        <f aca="false">ROUND(7270*1.05,2)</f>
        <v>7633.5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ROUND(80*1,0)&amp;"%"</f>
        <v>80%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3880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3881</v>
      </c>
      <c r="B66" s="5" t="s">
        <v>132</v>
      </c>
      <c r="C66" s="5" t="s">
        <v>133</v>
      </c>
      <c r="D66" s="5" t="s">
        <v>16</v>
      </c>
      <c r="E66" s="5" t="n">
        <f aca="false">ROUND(10380*1.05,2)</f>
        <v>10899</v>
      </c>
      <c r="F66" s="5" t="s">
        <v>17</v>
      </c>
      <c r="G66" s="5" t="s">
        <v>18</v>
      </c>
      <c r="H66" s="5" t="n">
        <f aca="true">ROUND(RAND()*4+6,1)</f>
        <v>8.9</v>
      </c>
      <c r="I66" s="5" t="s">
        <v>19</v>
      </c>
      <c r="J66" s="5" t="str">
        <f aca="false">ROUND(81*1,0)&amp;"%"</f>
        <v>81%</v>
      </c>
    </row>
    <row r="67" customFormat="false" ht="15" hidden="false" customHeight="false" outlineLevel="0" collapsed="false">
      <c r="A67" s="6" t="s">
        <v>3882</v>
      </c>
      <c r="B67" s="6" t="s">
        <v>135</v>
      </c>
      <c r="C67" s="6" t="s">
        <v>133</v>
      </c>
      <c r="D67" s="6" t="s">
        <v>22</v>
      </c>
      <c r="E67" s="6" t="n">
        <f aca="false">ROUND(8448*1.05,2)</f>
        <v>8870.4</v>
      </c>
      <c r="F67" s="6" t="s">
        <v>23</v>
      </c>
      <c r="G67" s="6" t="s">
        <v>24</v>
      </c>
      <c r="H67" s="6" t="n">
        <f aca="true">ROUND(RAND()*4+6,1)</f>
        <v>7.3</v>
      </c>
      <c r="I67" s="6" t="s">
        <v>25</v>
      </c>
      <c r="J67" s="6" t="str">
        <f aca="false">ROUND(76*1,0)&amp;"%"</f>
        <v>76%</v>
      </c>
    </row>
    <row r="68" customFormat="false" ht="15" hidden="false" customHeight="false" outlineLevel="0" collapsed="false">
      <c r="A68" s="5" t="s">
        <v>3883</v>
      </c>
      <c r="B68" s="5" t="s">
        <v>137</v>
      </c>
      <c r="C68" s="5" t="s">
        <v>133</v>
      </c>
      <c r="D68" s="5" t="s">
        <v>28</v>
      </c>
      <c r="E68" s="5" t="n">
        <f aca="false">ROUND(11928*1.05,2)</f>
        <v>12524.4</v>
      </c>
      <c r="F68" s="5" t="s">
        <v>29</v>
      </c>
      <c r="G68" s="5" t="s">
        <v>30</v>
      </c>
      <c r="H68" s="5" t="n">
        <f aca="true">ROUND(RAND()*4+6,1)</f>
        <v>9.1</v>
      </c>
      <c r="I68" s="5" t="s">
        <v>31</v>
      </c>
      <c r="J68" s="5" t="str">
        <f aca="false">ROUND(98*1,0)&amp;"%"</f>
        <v>98%</v>
      </c>
    </row>
    <row r="69" customFormat="false" ht="15" hidden="false" customHeight="false" outlineLevel="0" collapsed="false">
      <c r="A69" s="6" t="s">
        <v>3884</v>
      </c>
      <c r="B69" s="6" t="s">
        <v>139</v>
      </c>
      <c r="C69" s="6" t="s">
        <v>133</v>
      </c>
      <c r="D69" s="6" t="s">
        <v>34</v>
      </c>
      <c r="E69" s="6" t="n">
        <f aca="false">ROUND(4730*1.05,2)</f>
        <v>4966.5</v>
      </c>
      <c r="F69" s="6" t="s">
        <v>35</v>
      </c>
      <c r="G69" s="6" t="s">
        <v>18</v>
      </c>
      <c r="H69" s="6" t="n">
        <f aca="true">ROUND(RAND()*4+6,1)</f>
        <v>9.3</v>
      </c>
      <c r="I69" s="6" t="s">
        <v>36</v>
      </c>
      <c r="J69" s="6" t="str">
        <f aca="false">ROUND(86*1,0)&amp;"%"</f>
        <v>86%</v>
      </c>
    </row>
    <row r="70" customFormat="false" ht="15" hidden="false" customHeight="false" outlineLevel="0" collapsed="false">
      <c r="A70" s="5" t="s">
        <v>3885</v>
      </c>
      <c r="B70" s="5" t="s">
        <v>141</v>
      </c>
      <c r="C70" s="5" t="s">
        <v>133</v>
      </c>
      <c r="D70" s="5" t="s">
        <v>39</v>
      </c>
      <c r="E70" s="5" t="n">
        <f aca="false">ROUND(5565*1.05,2)</f>
        <v>5843.25</v>
      </c>
      <c r="F70" s="5" t="s">
        <v>40</v>
      </c>
      <c r="G70" s="5" t="s">
        <v>24</v>
      </c>
      <c r="H70" s="5" t="n">
        <f aca="true">ROUND(RAND()*4+6,1)</f>
        <v>6.8</v>
      </c>
      <c r="I70" s="5" t="s">
        <v>41</v>
      </c>
      <c r="J70" s="5" t="str">
        <f aca="false">ROUND(61*1,0)&amp;"%"</f>
        <v>61%</v>
      </c>
    </row>
    <row r="71" customFormat="false" ht="15" hidden="false" customHeight="false" outlineLevel="0" collapsed="false">
      <c r="A71" s="6" t="s">
        <v>3886</v>
      </c>
      <c r="B71" s="6" t="s">
        <v>143</v>
      </c>
      <c r="C71" s="6" t="s">
        <v>133</v>
      </c>
      <c r="D71" s="6" t="s">
        <v>44</v>
      </c>
      <c r="E71" s="6" t="n">
        <f aca="false">ROUND(11024*1.05,2)</f>
        <v>11575.2</v>
      </c>
      <c r="F71" s="6" t="s">
        <v>45</v>
      </c>
      <c r="G71" s="6" t="s">
        <v>30</v>
      </c>
      <c r="H71" s="6" t="n">
        <f aca="true">ROUND(RAND()*4+6,1)</f>
        <v>9.5</v>
      </c>
      <c r="I71" s="6" t="s">
        <v>46</v>
      </c>
      <c r="J71" s="6" t="str">
        <f aca="false">ROUND(75*1,0)&amp;"%"</f>
        <v>75%</v>
      </c>
    </row>
    <row r="72" customFormat="false" ht="15" hidden="false" customHeight="false" outlineLevel="0" collapsed="false">
      <c r="A72" s="5" t="s">
        <v>3887</v>
      </c>
      <c r="B72" s="5" t="s">
        <v>145</v>
      </c>
      <c r="C72" s="5" t="s">
        <v>133</v>
      </c>
      <c r="D72" s="5" t="s">
        <v>16</v>
      </c>
      <c r="E72" s="5" t="n">
        <f aca="false">ROUND(14892*1.05,2)</f>
        <v>15636.6</v>
      </c>
      <c r="F72" s="5" t="s">
        <v>49</v>
      </c>
      <c r="G72" s="5" t="s">
        <v>18</v>
      </c>
      <c r="H72" s="5" t="n">
        <f aca="true">ROUND(RAND()*4+6,1)</f>
        <v>8</v>
      </c>
      <c r="I72" s="5" t="s">
        <v>19</v>
      </c>
      <c r="J72" s="5" t="str">
        <f aca="false">ROUND(76*1,0)&amp;"%"</f>
        <v>76%</v>
      </c>
    </row>
    <row r="73" customFormat="false" ht="15" hidden="false" customHeight="false" outlineLevel="0" collapsed="false">
      <c r="A73" s="6" t="s">
        <v>3888</v>
      </c>
      <c r="B73" s="6" t="s">
        <v>147</v>
      </c>
      <c r="C73" s="6" t="s">
        <v>133</v>
      </c>
      <c r="D73" s="6" t="s">
        <v>22</v>
      </c>
      <c r="E73" s="6" t="n">
        <f aca="false">ROUND(7010*1.05,2)</f>
        <v>7360.5</v>
      </c>
      <c r="F73" s="6" t="s">
        <v>52</v>
      </c>
      <c r="G73" s="6" t="s">
        <v>24</v>
      </c>
      <c r="H73" s="6" t="n">
        <f aca="true">ROUND(RAND()*4+6,1)</f>
        <v>9.1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3889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3890</v>
      </c>
      <c r="B78" s="5" t="s">
        <v>151</v>
      </c>
      <c r="C78" s="5" t="s">
        <v>152</v>
      </c>
      <c r="D78" s="5" t="s">
        <v>16</v>
      </c>
      <c r="E78" s="5" t="n">
        <f aca="false">ROUND(8203*1.05,2)</f>
        <v>8613.15</v>
      </c>
      <c r="F78" s="5" t="s">
        <v>17</v>
      </c>
      <c r="G78" s="5" t="s">
        <v>18</v>
      </c>
      <c r="H78" s="5" t="n">
        <f aca="true">ROUND(RAND()*4+6,1)</f>
        <v>6.5</v>
      </c>
      <c r="I78" s="5" t="s">
        <v>19</v>
      </c>
      <c r="J78" s="5" t="str">
        <f aca="false">ROUND(77*1,0)&amp;"%"</f>
        <v>77%</v>
      </c>
    </row>
    <row r="79" customFormat="false" ht="15" hidden="false" customHeight="false" outlineLevel="0" collapsed="false">
      <c r="A79" s="6" t="s">
        <v>3891</v>
      </c>
      <c r="B79" s="6" t="s">
        <v>154</v>
      </c>
      <c r="C79" s="6" t="s">
        <v>152</v>
      </c>
      <c r="D79" s="6" t="s">
        <v>22</v>
      </c>
      <c r="E79" s="6" t="n">
        <f aca="false">ROUND(8396*1.05,2)</f>
        <v>8815.8</v>
      </c>
      <c r="F79" s="6" t="s">
        <v>23</v>
      </c>
      <c r="G79" s="6" t="s">
        <v>24</v>
      </c>
      <c r="H79" s="6" t="n">
        <f aca="true">ROUND(RAND()*4+6,1)</f>
        <v>7.4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3892</v>
      </c>
      <c r="B80" s="5" t="s">
        <v>156</v>
      </c>
      <c r="C80" s="5" t="s">
        <v>152</v>
      </c>
      <c r="D80" s="5" t="s">
        <v>28</v>
      </c>
      <c r="E80" s="5" t="n">
        <f aca="false">ROUND(11570*1.05,2)</f>
        <v>12148.5</v>
      </c>
      <c r="F80" s="5" t="s">
        <v>29</v>
      </c>
      <c r="G80" s="5" t="s">
        <v>30</v>
      </c>
      <c r="H80" s="5" t="n">
        <f aca="true">ROUND(RAND()*4+6,1)</f>
        <v>7.6</v>
      </c>
      <c r="I80" s="5" t="s">
        <v>31</v>
      </c>
      <c r="J80" s="5" t="str">
        <f aca="false">ROUND(98*1,0)&amp;"%"</f>
        <v>98%</v>
      </c>
    </row>
    <row r="81" customFormat="false" ht="15" hidden="false" customHeight="false" outlineLevel="0" collapsed="false">
      <c r="A81" s="6" t="s">
        <v>3893</v>
      </c>
      <c r="B81" s="6" t="s">
        <v>158</v>
      </c>
      <c r="C81" s="6" t="s">
        <v>152</v>
      </c>
      <c r="D81" s="6" t="s">
        <v>34</v>
      </c>
      <c r="E81" s="6" t="n">
        <f aca="false">ROUND(12864*1.05,2)</f>
        <v>13507.2</v>
      </c>
      <c r="F81" s="6" t="s">
        <v>35</v>
      </c>
      <c r="G81" s="6" t="s">
        <v>18</v>
      </c>
      <c r="H81" s="6" t="n">
        <f aca="true">ROUND(RAND()*4+6,1)</f>
        <v>9.4</v>
      </c>
      <c r="I81" s="6" t="s">
        <v>36</v>
      </c>
      <c r="J81" s="6" t="str">
        <f aca="false">ROUND(74*1,0)&amp;"%"</f>
        <v>74%</v>
      </c>
    </row>
    <row r="82" customFormat="false" ht="15" hidden="false" customHeight="false" outlineLevel="0" collapsed="false">
      <c r="A82" s="5" t="s">
        <v>3894</v>
      </c>
      <c r="B82" s="5" t="s">
        <v>160</v>
      </c>
      <c r="C82" s="5" t="s">
        <v>152</v>
      </c>
      <c r="D82" s="5" t="s">
        <v>39</v>
      </c>
      <c r="E82" s="5" t="n">
        <f aca="false">ROUND(4870*1.05,2)</f>
        <v>5113.5</v>
      </c>
      <c r="F82" s="5" t="s">
        <v>40</v>
      </c>
      <c r="G82" s="5" t="s">
        <v>24</v>
      </c>
      <c r="H82" s="5" t="n">
        <f aca="true">ROUND(RAND()*4+6,1)</f>
        <v>9.1</v>
      </c>
      <c r="I82" s="5" t="s">
        <v>41</v>
      </c>
      <c r="J82" s="5" t="str">
        <f aca="false">ROUND(87*1,0)&amp;"%"</f>
        <v>87%</v>
      </c>
    </row>
    <row r="83" customFormat="false" ht="15" hidden="false" customHeight="false" outlineLevel="0" collapsed="false">
      <c r="A83" s="6" t="s">
        <v>3895</v>
      </c>
      <c r="B83" s="6" t="s">
        <v>162</v>
      </c>
      <c r="C83" s="6" t="s">
        <v>152</v>
      </c>
      <c r="D83" s="6" t="s">
        <v>44</v>
      </c>
      <c r="E83" s="6" t="n">
        <f aca="false">ROUND(12265*1.05,2)</f>
        <v>12878.25</v>
      </c>
      <c r="F83" s="6" t="s">
        <v>45</v>
      </c>
      <c r="G83" s="6" t="s">
        <v>30</v>
      </c>
      <c r="H83" s="6" t="n">
        <f aca="true">ROUND(RAND()*4+6,1)</f>
        <v>8.3</v>
      </c>
      <c r="I83" s="6" t="s">
        <v>46</v>
      </c>
      <c r="J83" s="6" t="str">
        <f aca="false">ROUND(82*1,0)&amp;"%"</f>
        <v>82%</v>
      </c>
    </row>
    <row r="84" customFormat="false" ht="15" hidden="false" customHeight="false" outlineLevel="0" collapsed="false">
      <c r="A84" s="5" t="s">
        <v>3896</v>
      </c>
      <c r="B84" s="5" t="s">
        <v>164</v>
      </c>
      <c r="C84" s="5" t="s">
        <v>152</v>
      </c>
      <c r="D84" s="5" t="s">
        <v>16</v>
      </c>
      <c r="E84" s="5" t="n">
        <f aca="false">ROUND(6562*1.05,2)</f>
        <v>6890.1</v>
      </c>
      <c r="F84" s="5" t="s">
        <v>49</v>
      </c>
      <c r="G84" s="5" t="s">
        <v>18</v>
      </c>
      <c r="H84" s="5" t="n">
        <f aca="true">ROUND(RAND()*4+6,1)</f>
        <v>9.1</v>
      </c>
      <c r="I84" s="5" t="s">
        <v>19</v>
      </c>
      <c r="J84" s="5" t="str">
        <f aca="false">ROUND(62*1,0)&amp;"%"</f>
        <v>62%</v>
      </c>
    </row>
    <row r="85" customFormat="false" ht="15" hidden="false" customHeight="false" outlineLevel="0" collapsed="false">
      <c r="A85" s="6" t="s">
        <v>3897</v>
      </c>
      <c r="B85" s="6" t="s">
        <v>166</v>
      </c>
      <c r="C85" s="6" t="s">
        <v>152</v>
      </c>
      <c r="D85" s="6" t="s">
        <v>22</v>
      </c>
      <c r="E85" s="6" t="n">
        <f aca="false">ROUND(8723*1.05,2)</f>
        <v>9159.15</v>
      </c>
      <c r="F85" s="6" t="s">
        <v>52</v>
      </c>
      <c r="G85" s="6" t="s">
        <v>24</v>
      </c>
      <c r="H85" s="6" t="n">
        <f aca="true">ROUND(RAND()*4+6,1)</f>
        <v>6.1</v>
      </c>
      <c r="I85" s="6" t="s">
        <v>25</v>
      </c>
      <c r="J85" s="6" t="str">
        <f aca="false">ROUND(67*1,0)&amp;"%"</f>
        <v>67%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3898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3899</v>
      </c>
      <c r="B90" s="5" t="s">
        <v>170</v>
      </c>
      <c r="C90" s="5" t="s">
        <v>15</v>
      </c>
      <c r="D90" s="5" t="s">
        <v>16</v>
      </c>
      <c r="E90" s="5" t="n">
        <f aca="false">ROUND(12146*1.05,2)</f>
        <v>12753.3</v>
      </c>
      <c r="F90" s="5" t="s">
        <v>17</v>
      </c>
      <c r="G90" s="5" t="s">
        <v>18</v>
      </c>
      <c r="H90" s="5" t="n">
        <f aca="true">ROUND(RAND()*4+6,1)</f>
        <v>6.4</v>
      </c>
      <c r="I90" s="5" t="s">
        <v>19</v>
      </c>
      <c r="J90" s="5" t="str">
        <f aca="false">ROUND(82*1,0)&amp;"%"</f>
        <v>82%</v>
      </c>
    </row>
    <row r="91" customFormat="false" ht="15" hidden="false" customHeight="false" outlineLevel="0" collapsed="false">
      <c r="A91" s="6" t="s">
        <v>3900</v>
      </c>
      <c r="B91" s="6" t="s">
        <v>172</v>
      </c>
      <c r="C91" s="6" t="s">
        <v>15</v>
      </c>
      <c r="D91" s="6" t="s">
        <v>22</v>
      </c>
      <c r="E91" s="6" t="n">
        <f aca="false">ROUND(11968*1.05,2)</f>
        <v>12566.4</v>
      </c>
      <c r="F91" s="6" t="s">
        <v>23</v>
      </c>
      <c r="G91" s="6" t="s">
        <v>24</v>
      </c>
      <c r="H91" s="6" t="n">
        <f aca="true">ROUND(RAND()*4+6,1)</f>
        <v>8.7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3901</v>
      </c>
      <c r="B92" s="5" t="s">
        <v>174</v>
      </c>
      <c r="C92" s="5" t="s">
        <v>15</v>
      </c>
      <c r="D92" s="5" t="s">
        <v>28</v>
      </c>
      <c r="E92" s="5" t="n">
        <f aca="false">ROUND(17896*1.05,2)</f>
        <v>18790.8</v>
      </c>
      <c r="F92" s="5" t="s">
        <v>29</v>
      </c>
      <c r="G92" s="5" t="s">
        <v>30</v>
      </c>
      <c r="H92" s="5" t="n">
        <f aca="true">ROUND(RAND()*4+6,1)</f>
        <v>6.4</v>
      </c>
      <c r="I92" s="5" t="s">
        <v>31</v>
      </c>
      <c r="J92" s="5" t="str">
        <f aca="false">ROUND(77*1,0)&amp;"%"</f>
        <v>77%</v>
      </c>
    </row>
    <row r="93" customFormat="false" ht="15" hidden="false" customHeight="false" outlineLevel="0" collapsed="false">
      <c r="A93" s="6" t="s">
        <v>3902</v>
      </c>
      <c r="B93" s="6" t="s">
        <v>176</v>
      </c>
      <c r="C93" s="6" t="s">
        <v>15</v>
      </c>
      <c r="D93" s="6" t="s">
        <v>34</v>
      </c>
      <c r="E93" s="6" t="n">
        <f aca="false">ROUND(8298*1.05,2)</f>
        <v>8712.9</v>
      </c>
      <c r="F93" s="6" t="s">
        <v>35</v>
      </c>
      <c r="G93" s="6" t="s">
        <v>18</v>
      </c>
      <c r="H93" s="6" t="n">
        <f aca="true">ROUND(RAND()*4+6,1)</f>
        <v>6.4</v>
      </c>
      <c r="I93" s="6" t="s">
        <v>36</v>
      </c>
      <c r="J93" s="6" t="str">
        <f aca="false">ROUND(67*1,0)&amp;"%"</f>
        <v>67%</v>
      </c>
    </row>
    <row r="94" customFormat="false" ht="15" hidden="false" customHeight="false" outlineLevel="0" collapsed="false">
      <c r="A94" s="5" t="s">
        <v>3903</v>
      </c>
      <c r="B94" s="5" t="s">
        <v>178</v>
      </c>
      <c r="C94" s="5" t="s">
        <v>15</v>
      </c>
      <c r="D94" s="5" t="s">
        <v>39</v>
      </c>
      <c r="E94" s="5" t="n">
        <f aca="false">ROUND(10434*1.05,2)</f>
        <v>10955.7</v>
      </c>
      <c r="F94" s="5" t="s">
        <v>40</v>
      </c>
      <c r="G94" s="5" t="s">
        <v>24</v>
      </c>
      <c r="H94" s="5" t="n">
        <f aca="true">ROUND(RAND()*4+6,1)</f>
        <v>7.3</v>
      </c>
      <c r="I94" s="5" t="s">
        <v>41</v>
      </c>
      <c r="J94" s="5" t="str">
        <f aca="false">ROUND(78*1,0)&amp;"%"</f>
        <v>78%</v>
      </c>
    </row>
    <row r="95" customFormat="false" ht="15" hidden="false" customHeight="false" outlineLevel="0" collapsed="false">
      <c r="A95" s="6" t="s">
        <v>3904</v>
      </c>
      <c r="B95" s="6" t="s">
        <v>180</v>
      </c>
      <c r="C95" s="6" t="s">
        <v>15</v>
      </c>
      <c r="D95" s="6" t="s">
        <v>44</v>
      </c>
      <c r="E95" s="6" t="n">
        <f aca="false">ROUND(12462*1.05,2)</f>
        <v>13085.1</v>
      </c>
      <c r="F95" s="6" t="s">
        <v>45</v>
      </c>
      <c r="G95" s="6" t="s">
        <v>30</v>
      </c>
      <c r="H95" s="6" t="n">
        <f aca="true">ROUND(RAND()*4+6,1)</f>
        <v>6.7</v>
      </c>
      <c r="I95" s="6" t="s">
        <v>46</v>
      </c>
      <c r="J95" s="6" t="str">
        <f aca="false">ROUND(63*1,0)&amp;"%"</f>
        <v>63%</v>
      </c>
    </row>
    <row r="96" customFormat="false" ht="15" hidden="false" customHeight="false" outlineLevel="0" collapsed="false">
      <c r="A96" s="5" t="s">
        <v>3905</v>
      </c>
      <c r="B96" s="5" t="s">
        <v>182</v>
      </c>
      <c r="C96" s="5" t="s">
        <v>15</v>
      </c>
      <c r="D96" s="5" t="s">
        <v>16</v>
      </c>
      <c r="E96" s="5" t="n">
        <f aca="false">ROUND(8392*1.05,2)</f>
        <v>8811.6</v>
      </c>
      <c r="F96" s="5" t="s">
        <v>49</v>
      </c>
      <c r="G96" s="5" t="s">
        <v>18</v>
      </c>
      <c r="H96" s="5" t="n">
        <f aca="true">ROUND(RAND()*4+6,1)</f>
        <v>7.5</v>
      </c>
      <c r="I96" s="5" t="s">
        <v>19</v>
      </c>
      <c r="J96" s="5" t="str">
        <f aca="false">ROUND(68*1,0)&amp;"%"</f>
        <v>68%</v>
      </c>
    </row>
    <row r="97" customFormat="false" ht="15" hidden="false" customHeight="false" outlineLevel="0" collapsed="false">
      <c r="A97" s="6" t="s">
        <v>3906</v>
      </c>
      <c r="B97" s="6" t="s">
        <v>184</v>
      </c>
      <c r="C97" s="6" t="s">
        <v>15</v>
      </c>
      <c r="D97" s="6" t="s">
        <v>22</v>
      </c>
      <c r="E97" s="6" t="n">
        <f aca="false">ROUND(6559*1.05,2)</f>
        <v>6886.95</v>
      </c>
      <c r="F97" s="6" t="s">
        <v>52</v>
      </c>
      <c r="G97" s="6" t="s">
        <v>24</v>
      </c>
      <c r="H97" s="6" t="n">
        <f aca="true">ROUND(RAND()*4+6,1)</f>
        <v>6.8</v>
      </c>
      <c r="I97" s="6" t="s">
        <v>25</v>
      </c>
      <c r="J97" s="6" t="str">
        <f aca="false">ROUND(61*1,0)&amp;"%"</f>
        <v>61%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3907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3908</v>
      </c>
      <c r="B102" s="5" t="s">
        <v>188</v>
      </c>
      <c r="C102" s="5" t="s">
        <v>57</v>
      </c>
      <c r="D102" s="5" t="s">
        <v>16</v>
      </c>
      <c r="E102" s="5" t="n">
        <f aca="false">ROUND(8560*1.05,2)</f>
        <v>8988</v>
      </c>
      <c r="F102" s="5" t="s">
        <v>17</v>
      </c>
      <c r="G102" s="5" t="s">
        <v>18</v>
      </c>
      <c r="H102" s="5" t="n">
        <f aca="true">ROUND(RAND()*4+6,1)</f>
        <v>8.7</v>
      </c>
      <c r="I102" s="5" t="s">
        <v>19</v>
      </c>
      <c r="J102" s="5" t="str">
        <f aca="false">ROUND(75*1,0)&amp;"%"</f>
        <v>75%</v>
      </c>
    </row>
    <row r="103" customFormat="false" ht="15" hidden="false" customHeight="false" outlineLevel="0" collapsed="false">
      <c r="A103" s="6" t="s">
        <v>3909</v>
      </c>
      <c r="B103" s="6" t="s">
        <v>190</v>
      </c>
      <c r="C103" s="6" t="s">
        <v>57</v>
      </c>
      <c r="D103" s="6" t="s">
        <v>22</v>
      </c>
      <c r="E103" s="6" t="n">
        <f aca="false">ROUND(8987*1.05,2)</f>
        <v>9436.35</v>
      </c>
      <c r="F103" s="6" t="s">
        <v>23</v>
      </c>
      <c r="G103" s="6" t="s">
        <v>24</v>
      </c>
      <c r="H103" s="6" t="n">
        <f aca="true">ROUND(RAND()*4+6,1)</f>
        <v>9</v>
      </c>
      <c r="I103" s="6" t="s">
        <v>25</v>
      </c>
      <c r="J103" s="6" t="str">
        <f aca="false">ROUND(96*1,0)&amp;"%"</f>
        <v>96%</v>
      </c>
    </row>
    <row r="104" customFormat="false" ht="15" hidden="false" customHeight="false" outlineLevel="0" collapsed="false">
      <c r="A104" s="5" t="s">
        <v>3910</v>
      </c>
      <c r="B104" s="5" t="s">
        <v>192</v>
      </c>
      <c r="C104" s="5" t="s">
        <v>57</v>
      </c>
      <c r="D104" s="5" t="s">
        <v>28</v>
      </c>
      <c r="E104" s="5" t="n">
        <f aca="false">ROUND(12178*1.05,2)</f>
        <v>12786.9</v>
      </c>
      <c r="F104" s="5" t="s">
        <v>29</v>
      </c>
      <c r="G104" s="5" t="s">
        <v>30</v>
      </c>
      <c r="H104" s="5" t="n">
        <f aca="true">ROUND(RAND()*4+6,1)</f>
        <v>8.3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3911</v>
      </c>
      <c r="B105" s="6" t="s">
        <v>194</v>
      </c>
      <c r="C105" s="6" t="s">
        <v>57</v>
      </c>
      <c r="D105" s="6" t="s">
        <v>34</v>
      </c>
      <c r="E105" s="6" t="n">
        <f aca="false">ROUND(6470*1.05,2)</f>
        <v>6793.5</v>
      </c>
      <c r="F105" s="6" t="s">
        <v>35</v>
      </c>
      <c r="G105" s="6" t="s">
        <v>18</v>
      </c>
      <c r="H105" s="6" t="n">
        <f aca="true">ROUND(RAND()*4+6,1)</f>
        <v>6.1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3912</v>
      </c>
      <c r="B106" s="5" t="s">
        <v>196</v>
      </c>
      <c r="C106" s="5" t="s">
        <v>57</v>
      </c>
      <c r="D106" s="5" t="s">
        <v>39</v>
      </c>
      <c r="E106" s="5" t="n">
        <f aca="false">ROUND(16727*1.05,2)</f>
        <v>17563.35</v>
      </c>
      <c r="F106" s="5" t="s">
        <v>40</v>
      </c>
      <c r="G106" s="5" t="s">
        <v>24</v>
      </c>
      <c r="H106" s="5" t="n">
        <f aca="true">ROUND(RAND()*4+6,1)</f>
        <v>8.9</v>
      </c>
      <c r="I106" s="5" t="s">
        <v>41</v>
      </c>
      <c r="J106" s="5" t="str">
        <f aca="false">ROUND(88*1,0)&amp;"%"</f>
        <v>88%</v>
      </c>
    </row>
    <row r="107" customFormat="false" ht="15" hidden="false" customHeight="false" outlineLevel="0" collapsed="false">
      <c r="A107" s="6" t="s">
        <v>3913</v>
      </c>
      <c r="B107" s="6" t="s">
        <v>198</v>
      </c>
      <c r="C107" s="6" t="s">
        <v>57</v>
      </c>
      <c r="D107" s="6" t="s">
        <v>44</v>
      </c>
      <c r="E107" s="6" t="n">
        <f aca="false">ROUND(9262*1.05,2)</f>
        <v>9725.1</v>
      </c>
      <c r="F107" s="6" t="s">
        <v>45</v>
      </c>
      <c r="G107" s="6" t="s">
        <v>30</v>
      </c>
      <c r="H107" s="6" t="n">
        <f aca="true">ROUND(RAND()*4+6,1)</f>
        <v>8.2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3914</v>
      </c>
      <c r="B108" s="5" t="s">
        <v>200</v>
      </c>
      <c r="C108" s="5" t="s">
        <v>57</v>
      </c>
      <c r="D108" s="5" t="s">
        <v>16</v>
      </c>
      <c r="E108" s="5" t="n">
        <f aca="false">ROUND(9043*1.05,2)</f>
        <v>9495.15</v>
      </c>
      <c r="F108" s="5" t="s">
        <v>49</v>
      </c>
      <c r="G108" s="5" t="s">
        <v>18</v>
      </c>
      <c r="H108" s="5" t="n">
        <f aca="true">ROUND(RAND()*4+6,1)</f>
        <v>8.2</v>
      </c>
      <c r="I108" s="5" t="s">
        <v>19</v>
      </c>
      <c r="J108" s="5" t="str">
        <f aca="false">ROUND(78*1,0)&amp;"%"</f>
        <v>78%</v>
      </c>
    </row>
    <row r="109" customFormat="false" ht="15" hidden="false" customHeight="false" outlineLevel="0" collapsed="false">
      <c r="A109" s="6" t="s">
        <v>3915</v>
      </c>
      <c r="B109" s="6" t="s">
        <v>202</v>
      </c>
      <c r="C109" s="6" t="s">
        <v>57</v>
      </c>
      <c r="D109" s="6" t="s">
        <v>22</v>
      </c>
      <c r="E109" s="6" t="n">
        <f aca="false">ROUND(16906*1.05,2)</f>
        <v>17751.3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3916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3917</v>
      </c>
      <c r="B114" s="5" t="s">
        <v>206</v>
      </c>
      <c r="C114" s="5" t="s">
        <v>76</v>
      </c>
      <c r="D114" s="5" t="s">
        <v>16</v>
      </c>
      <c r="E114" s="5" t="n">
        <f aca="false">ROUND(11668*1.05,2)</f>
        <v>12251.4</v>
      </c>
      <c r="F114" s="5" t="s">
        <v>17</v>
      </c>
      <c r="G114" s="5" t="s">
        <v>18</v>
      </c>
      <c r="H114" s="5" t="n">
        <f aca="true">ROUND(RAND()*4+6,1)</f>
        <v>8.7</v>
      </c>
      <c r="I114" s="5" t="s">
        <v>19</v>
      </c>
      <c r="J114" s="5" t="str">
        <f aca="false">ROUND(95*1,0)&amp;"%"</f>
        <v>95%</v>
      </c>
    </row>
    <row r="115" customFormat="false" ht="15" hidden="false" customHeight="false" outlineLevel="0" collapsed="false">
      <c r="A115" s="6" t="s">
        <v>3918</v>
      </c>
      <c r="B115" s="6" t="s">
        <v>208</v>
      </c>
      <c r="C115" s="6" t="s">
        <v>76</v>
      </c>
      <c r="D115" s="6" t="s">
        <v>22</v>
      </c>
      <c r="E115" s="6" t="n">
        <f aca="false">ROUND(17056*1.05,2)</f>
        <v>17908.8</v>
      </c>
      <c r="F115" s="6" t="s">
        <v>23</v>
      </c>
      <c r="G115" s="6" t="s">
        <v>24</v>
      </c>
      <c r="H115" s="6" t="n">
        <f aca="true">ROUND(RAND()*4+6,1)</f>
        <v>8.7</v>
      </c>
      <c r="I115" s="6" t="s">
        <v>25</v>
      </c>
      <c r="J115" s="6" t="str">
        <f aca="false">ROUND(77*1,0)&amp;"%"</f>
        <v>77%</v>
      </c>
    </row>
    <row r="116" customFormat="false" ht="15" hidden="false" customHeight="false" outlineLevel="0" collapsed="false">
      <c r="A116" s="5" t="s">
        <v>3919</v>
      </c>
      <c r="B116" s="5" t="s">
        <v>210</v>
      </c>
      <c r="C116" s="5" t="s">
        <v>76</v>
      </c>
      <c r="D116" s="5" t="s">
        <v>28</v>
      </c>
      <c r="E116" s="5" t="n">
        <f aca="false">ROUND(8169*1.05,2)</f>
        <v>8577.45</v>
      </c>
      <c r="F116" s="5" t="s">
        <v>29</v>
      </c>
      <c r="G116" s="5" t="s">
        <v>30</v>
      </c>
      <c r="H116" s="5" t="n">
        <f aca="true">ROUND(RAND()*4+6,1)</f>
        <v>9.6</v>
      </c>
      <c r="I116" s="5" t="s">
        <v>31</v>
      </c>
      <c r="J116" s="5" t="str">
        <f aca="false">ROUND(69*1,0)&amp;"%"</f>
        <v>69%</v>
      </c>
    </row>
    <row r="117" customFormat="false" ht="15" hidden="false" customHeight="false" outlineLevel="0" collapsed="false">
      <c r="A117" s="6" t="s">
        <v>3920</v>
      </c>
      <c r="B117" s="6" t="s">
        <v>212</v>
      </c>
      <c r="C117" s="6" t="s">
        <v>76</v>
      </c>
      <c r="D117" s="6" t="s">
        <v>34</v>
      </c>
      <c r="E117" s="6" t="n">
        <f aca="false">ROUND(15689*1.05,2)</f>
        <v>16473.45</v>
      </c>
      <c r="F117" s="6" t="s">
        <v>35</v>
      </c>
      <c r="G117" s="6" t="s">
        <v>18</v>
      </c>
      <c r="H117" s="6" t="n">
        <f aca="true">ROUND(RAND()*4+6,1)</f>
        <v>9.7</v>
      </c>
      <c r="I117" s="6" t="s">
        <v>36</v>
      </c>
      <c r="J117" s="6" t="str">
        <f aca="false">ROUND(79*1,0)&amp;"%"</f>
        <v>79%</v>
      </c>
    </row>
    <row r="118" customFormat="false" ht="15" hidden="false" customHeight="false" outlineLevel="0" collapsed="false">
      <c r="A118" s="5" t="s">
        <v>3921</v>
      </c>
      <c r="B118" s="5" t="s">
        <v>214</v>
      </c>
      <c r="C118" s="5" t="s">
        <v>76</v>
      </c>
      <c r="D118" s="5" t="s">
        <v>39</v>
      </c>
      <c r="E118" s="5" t="n">
        <f aca="false">ROUND(4377*1.05,2)</f>
        <v>4595.85</v>
      </c>
      <c r="F118" s="5" t="s">
        <v>40</v>
      </c>
      <c r="G118" s="5" t="s">
        <v>24</v>
      </c>
      <c r="H118" s="5" t="n">
        <f aca="true">ROUND(RAND()*4+6,1)</f>
        <v>9.2</v>
      </c>
      <c r="I118" s="5" t="s">
        <v>41</v>
      </c>
      <c r="J118" s="5" t="str">
        <f aca="false">ROUND(63*1,0)&amp;"%"</f>
        <v>63%</v>
      </c>
    </row>
    <row r="119" customFormat="false" ht="15" hidden="false" customHeight="false" outlineLevel="0" collapsed="false">
      <c r="A119" s="6" t="s">
        <v>3922</v>
      </c>
      <c r="B119" s="6" t="s">
        <v>216</v>
      </c>
      <c r="C119" s="6" t="s">
        <v>76</v>
      </c>
      <c r="D119" s="6" t="s">
        <v>44</v>
      </c>
      <c r="E119" s="6" t="n">
        <f aca="false">ROUND(8497*1.05,2)</f>
        <v>8921.85</v>
      </c>
      <c r="F119" s="6" t="s">
        <v>45</v>
      </c>
      <c r="G119" s="6" t="s">
        <v>30</v>
      </c>
      <c r="H119" s="6" t="n">
        <f aca="true">ROUND(RAND()*4+6,1)</f>
        <v>7.5</v>
      </c>
      <c r="I119" s="6" t="s">
        <v>46</v>
      </c>
      <c r="J119" s="6" t="str">
        <f aca="false">ROUND(89*1,0)&amp;"%"</f>
        <v>89%</v>
      </c>
    </row>
    <row r="120" customFormat="false" ht="15" hidden="false" customHeight="false" outlineLevel="0" collapsed="false">
      <c r="A120" s="5" t="s">
        <v>3923</v>
      </c>
      <c r="B120" s="5" t="s">
        <v>218</v>
      </c>
      <c r="C120" s="5" t="s">
        <v>76</v>
      </c>
      <c r="D120" s="5" t="s">
        <v>16</v>
      </c>
      <c r="E120" s="5" t="n">
        <f aca="false">ROUND(11835*1.05,2)</f>
        <v>12426.75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ROUND(82*1,0)&amp;"%"</f>
        <v>82%</v>
      </c>
    </row>
    <row r="121" customFormat="false" ht="15" hidden="false" customHeight="false" outlineLevel="0" collapsed="false">
      <c r="A121" s="6" t="s">
        <v>3924</v>
      </c>
      <c r="B121" s="6" t="s">
        <v>220</v>
      </c>
      <c r="C121" s="6" t="s">
        <v>76</v>
      </c>
      <c r="D121" s="6" t="s">
        <v>22</v>
      </c>
      <c r="E121" s="6" t="n">
        <f aca="false">ROUND(14038*1.05,2)</f>
        <v>14739.9</v>
      </c>
      <c r="F121" s="6" t="s">
        <v>52</v>
      </c>
      <c r="G121" s="6" t="s">
        <v>24</v>
      </c>
      <c r="H121" s="6" t="n">
        <f aca="true">ROUND(RAND()*4+6,1)</f>
        <v>8.4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3925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3926</v>
      </c>
      <c r="B126" s="5" t="s">
        <v>224</v>
      </c>
      <c r="C126" s="5" t="s">
        <v>95</v>
      </c>
      <c r="D126" s="5" t="s">
        <v>16</v>
      </c>
      <c r="E126" s="5" t="n">
        <f aca="false">ROUND(15189*1.05,2)</f>
        <v>15948.45</v>
      </c>
      <c r="F126" s="5" t="s">
        <v>17</v>
      </c>
      <c r="G126" s="5" t="s">
        <v>18</v>
      </c>
      <c r="H126" s="5" t="n">
        <f aca="true">ROUND(RAND()*4+6,1)</f>
        <v>6.6</v>
      </c>
      <c r="I126" s="5" t="s">
        <v>19</v>
      </c>
      <c r="J126" s="5" t="str">
        <f aca="false">ROUND(92*1,0)&amp;"%"</f>
        <v>92%</v>
      </c>
    </row>
    <row r="127" customFormat="false" ht="15" hidden="false" customHeight="false" outlineLevel="0" collapsed="false">
      <c r="A127" s="6" t="s">
        <v>3927</v>
      </c>
      <c r="B127" s="6" t="s">
        <v>226</v>
      </c>
      <c r="C127" s="6" t="s">
        <v>95</v>
      </c>
      <c r="D127" s="6" t="s">
        <v>22</v>
      </c>
      <c r="E127" s="6" t="n">
        <f aca="false">ROUND(10137*1.05,2)</f>
        <v>10643.85</v>
      </c>
      <c r="F127" s="6" t="s">
        <v>23</v>
      </c>
      <c r="G127" s="6" t="s">
        <v>24</v>
      </c>
      <c r="H127" s="6" t="n">
        <f aca="true">ROUND(RAND()*4+6,1)</f>
        <v>7.2</v>
      </c>
      <c r="I127" s="6" t="s">
        <v>25</v>
      </c>
      <c r="J127" s="6" t="str">
        <f aca="false">ROUND(96*1,0)&amp;"%"</f>
        <v>96%</v>
      </c>
    </row>
    <row r="128" customFormat="false" ht="15" hidden="false" customHeight="false" outlineLevel="0" collapsed="false">
      <c r="A128" s="5" t="s">
        <v>3928</v>
      </c>
      <c r="B128" s="5" t="s">
        <v>228</v>
      </c>
      <c r="C128" s="5" t="s">
        <v>95</v>
      </c>
      <c r="D128" s="5" t="s">
        <v>28</v>
      </c>
      <c r="E128" s="5" t="n">
        <f aca="false">ROUND(17423*1.05,2)</f>
        <v>18294.15</v>
      </c>
      <c r="F128" s="5" t="s">
        <v>29</v>
      </c>
      <c r="G128" s="5" t="s">
        <v>30</v>
      </c>
      <c r="H128" s="5" t="n">
        <f aca="true">ROUND(RAND()*4+6,1)</f>
        <v>9.9</v>
      </c>
      <c r="I128" s="5" t="s">
        <v>31</v>
      </c>
      <c r="J128" s="5" t="str">
        <f aca="false">ROUND(88*1,0)&amp;"%"</f>
        <v>88%</v>
      </c>
    </row>
    <row r="129" customFormat="false" ht="15" hidden="false" customHeight="false" outlineLevel="0" collapsed="false">
      <c r="A129" s="6" t="s">
        <v>3929</v>
      </c>
      <c r="B129" s="6" t="s">
        <v>230</v>
      </c>
      <c r="C129" s="6" t="s">
        <v>95</v>
      </c>
      <c r="D129" s="6" t="s">
        <v>34</v>
      </c>
      <c r="E129" s="6" t="n">
        <f aca="false">ROUND(16659*1.05,2)</f>
        <v>17491.95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ROUND(77*1,0)&amp;"%"</f>
        <v>77%</v>
      </c>
    </row>
    <row r="130" customFormat="false" ht="15" hidden="false" customHeight="false" outlineLevel="0" collapsed="false">
      <c r="A130" s="5" t="s">
        <v>3930</v>
      </c>
      <c r="B130" s="5" t="s">
        <v>232</v>
      </c>
      <c r="C130" s="5" t="s">
        <v>95</v>
      </c>
      <c r="D130" s="5" t="s">
        <v>39</v>
      </c>
      <c r="E130" s="5" t="n">
        <f aca="false">ROUND(15503*1.05,2)</f>
        <v>16278.15</v>
      </c>
      <c r="F130" s="5" t="s">
        <v>40</v>
      </c>
      <c r="G130" s="5" t="s">
        <v>24</v>
      </c>
      <c r="H130" s="5" t="n">
        <f aca="true">ROUND(RAND()*4+6,1)</f>
        <v>7.9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3931</v>
      </c>
      <c r="B131" s="6" t="s">
        <v>234</v>
      </c>
      <c r="C131" s="6" t="s">
        <v>95</v>
      </c>
      <c r="D131" s="6" t="s">
        <v>44</v>
      </c>
      <c r="E131" s="6" t="n">
        <f aca="false">ROUND(7036*1.05,2)</f>
        <v>7387.8</v>
      </c>
      <c r="F131" s="6" t="s">
        <v>45</v>
      </c>
      <c r="G131" s="6" t="s">
        <v>30</v>
      </c>
      <c r="H131" s="6" t="n">
        <f aca="true">ROUND(RAND()*4+6,1)</f>
        <v>7.1</v>
      </c>
      <c r="I131" s="6" t="s">
        <v>46</v>
      </c>
      <c r="J131" s="6" t="str">
        <f aca="false">ROUND(99*1,0)&amp;"%"</f>
        <v>99%</v>
      </c>
    </row>
    <row r="132" customFormat="false" ht="15" hidden="false" customHeight="false" outlineLevel="0" collapsed="false">
      <c r="A132" s="5" t="s">
        <v>3932</v>
      </c>
      <c r="B132" s="5" t="s">
        <v>236</v>
      </c>
      <c r="C132" s="5" t="s">
        <v>95</v>
      </c>
      <c r="D132" s="5" t="s">
        <v>16</v>
      </c>
      <c r="E132" s="5" t="n">
        <f aca="false">ROUND(16962*1.05,2)</f>
        <v>17810.1</v>
      </c>
      <c r="F132" s="5" t="s">
        <v>49</v>
      </c>
      <c r="G132" s="5" t="s">
        <v>18</v>
      </c>
      <c r="H132" s="5" t="n">
        <f aca="true">ROUND(RAND()*4+6,1)</f>
        <v>6.1</v>
      </c>
      <c r="I132" s="5" t="s">
        <v>19</v>
      </c>
      <c r="J132" s="5" t="str">
        <f aca="false">ROUND(100*1,0)&amp;"%"</f>
        <v>100%</v>
      </c>
    </row>
    <row r="133" customFormat="false" ht="15" hidden="false" customHeight="false" outlineLevel="0" collapsed="false">
      <c r="A133" s="6" t="s">
        <v>3933</v>
      </c>
      <c r="B133" s="6" t="s">
        <v>238</v>
      </c>
      <c r="C133" s="6" t="s">
        <v>95</v>
      </c>
      <c r="D133" s="6" t="s">
        <v>22</v>
      </c>
      <c r="E133" s="6" t="n">
        <f aca="false">ROUND(17987*1.05,2)</f>
        <v>18886.35</v>
      </c>
      <c r="F133" s="6" t="s">
        <v>52</v>
      </c>
      <c r="G133" s="6" t="s">
        <v>24</v>
      </c>
      <c r="H133" s="6" t="n">
        <f aca="true">ROUND(RAND()*4+6,1)</f>
        <v>6.4</v>
      </c>
      <c r="I133" s="6" t="s">
        <v>25</v>
      </c>
      <c r="J133" s="6" t="str">
        <f aca="false">ROUND(64*1,0)&amp;"%"</f>
        <v>64%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3934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3935</v>
      </c>
      <c r="B138" s="5" t="s">
        <v>242</v>
      </c>
      <c r="C138" s="5" t="s">
        <v>114</v>
      </c>
      <c r="D138" s="5" t="s">
        <v>16</v>
      </c>
      <c r="E138" s="5" t="n">
        <f aca="false">ROUND(9160*1.05,2)</f>
        <v>9618</v>
      </c>
      <c r="F138" s="5" t="s">
        <v>17</v>
      </c>
      <c r="G138" s="5" t="s">
        <v>18</v>
      </c>
      <c r="H138" s="5" t="n">
        <f aca="true">ROUND(RAND()*4+6,1)</f>
        <v>8.8</v>
      </c>
      <c r="I138" s="5" t="s">
        <v>19</v>
      </c>
      <c r="J138" s="5" t="str">
        <f aca="false">ROUND(94*1,0)&amp;"%"</f>
        <v>94%</v>
      </c>
    </row>
    <row r="139" customFormat="false" ht="15" hidden="false" customHeight="false" outlineLevel="0" collapsed="false">
      <c r="A139" s="6" t="s">
        <v>3936</v>
      </c>
      <c r="B139" s="6" t="s">
        <v>244</v>
      </c>
      <c r="C139" s="6" t="s">
        <v>114</v>
      </c>
      <c r="D139" s="6" t="s">
        <v>22</v>
      </c>
      <c r="E139" s="6" t="n">
        <f aca="false">ROUND(7124*1.05,2)</f>
        <v>7480.2</v>
      </c>
      <c r="F139" s="6" t="s">
        <v>23</v>
      </c>
      <c r="G139" s="6" t="s">
        <v>24</v>
      </c>
      <c r="H139" s="6" t="n">
        <f aca="true">ROUND(RAND()*4+6,1)</f>
        <v>6</v>
      </c>
      <c r="I139" s="6" t="s">
        <v>25</v>
      </c>
      <c r="J139" s="6" t="str">
        <f aca="false">ROUND(89*1,0)&amp;"%"</f>
        <v>89%</v>
      </c>
    </row>
    <row r="140" customFormat="false" ht="15" hidden="false" customHeight="false" outlineLevel="0" collapsed="false">
      <c r="A140" s="5" t="s">
        <v>3937</v>
      </c>
      <c r="B140" s="5" t="s">
        <v>246</v>
      </c>
      <c r="C140" s="5" t="s">
        <v>114</v>
      </c>
      <c r="D140" s="5" t="s">
        <v>28</v>
      </c>
      <c r="E140" s="5" t="n">
        <f aca="false">ROUND(16423*1.05,2)</f>
        <v>17244.15</v>
      </c>
      <c r="F140" s="5" t="s">
        <v>29</v>
      </c>
      <c r="G140" s="5" t="s">
        <v>30</v>
      </c>
      <c r="H140" s="5" t="n">
        <f aca="true">ROUND(RAND()*4+6,1)</f>
        <v>8.5</v>
      </c>
      <c r="I140" s="5" t="s">
        <v>31</v>
      </c>
      <c r="J140" s="5" t="str">
        <f aca="false">ROUND(85*1,0)&amp;"%"</f>
        <v>85%</v>
      </c>
    </row>
    <row r="141" customFormat="false" ht="15" hidden="false" customHeight="false" outlineLevel="0" collapsed="false">
      <c r="A141" s="6" t="s">
        <v>3938</v>
      </c>
      <c r="B141" s="6" t="s">
        <v>248</v>
      </c>
      <c r="C141" s="6" t="s">
        <v>114</v>
      </c>
      <c r="D141" s="6" t="s">
        <v>34</v>
      </c>
      <c r="E141" s="6" t="n">
        <f aca="false">ROUND(17881*1.05,2)</f>
        <v>18775.05</v>
      </c>
      <c r="F141" s="6" t="s">
        <v>35</v>
      </c>
      <c r="G141" s="6" t="s">
        <v>18</v>
      </c>
      <c r="H141" s="6" t="n">
        <f aca="true">ROUND(RAND()*4+6,1)</f>
        <v>6.6</v>
      </c>
      <c r="I141" s="6" t="s">
        <v>36</v>
      </c>
      <c r="J141" s="6" t="str">
        <f aca="false">ROUND(82*1,0)&amp;"%"</f>
        <v>82%</v>
      </c>
    </row>
    <row r="142" customFormat="false" ht="15" hidden="false" customHeight="false" outlineLevel="0" collapsed="false">
      <c r="A142" s="5" t="s">
        <v>3939</v>
      </c>
      <c r="B142" s="5" t="s">
        <v>250</v>
      </c>
      <c r="C142" s="5" t="s">
        <v>114</v>
      </c>
      <c r="D142" s="5" t="s">
        <v>39</v>
      </c>
      <c r="E142" s="5" t="n">
        <f aca="false">ROUND(13374*1.05,2)</f>
        <v>14042.7</v>
      </c>
      <c r="F142" s="5" t="s">
        <v>40</v>
      </c>
      <c r="G142" s="5" t="s">
        <v>24</v>
      </c>
      <c r="H142" s="5" t="n">
        <f aca="true">ROUND(RAND()*4+6,1)</f>
        <v>6.9</v>
      </c>
      <c r="I142" s="5" t="s">
        <v>41</v>
      </c>
      <c r="J142" s="5" t="str">
        <f aca="false">ROUND(73*1,0)&amp;"%"</f>
        <v>73%</v>
      </c>
    </row>
    <row r="143" customFormat="false" ht="15" hidden="false" customHeight="false" outlineLevel="0" collapsed="false">
      <c r="A143" s="6" t="s">
        <v>3940</v>
      </c>
      <c r="B143" s="6" t="s">
        <v>252</v>
      </c>
      <c r="C143" s="6" t="s">
        <v>114</v>
      </c>
      <c r="D143" s="6" t="s">
        <v>44</v>
      </c>
      <c r="E143" s="6" t="n">
        <f aca="false">ROUND(9072*1.05,2)</f>
        <v>9525.6</v>
      </c>
      <c r="F143" s="6" t="s">
        <v>45</v>
      </c>
      <c r="G143" s="6" t="s">
        <v>30</v>
      </c>
      <c r="H143" s="6" t="n">
        <f aca="true">ROUND(RAND()*4+6,1)</f>
        <v>9.4</v>
      </c>
      <c r="I143" s="6" t="s">
        <v>46</v>
      </c>
      <c r="J143" s="6" t="str">
        <f aca="false">ROUND(75*1,0)&amp;"%"</f>
        <v>75%</v>
      </c>
    </row>
    <row r="144" customFormat="false" ht="15" hidden="false" customHeight="false" outlineLevel="0" collapsed="false">
      <c r="A144" s="5" t="s">
        <v>3941</v>
      </c>
      <c r="B144" s="5" t="s">
        <v>254</v>
      </c>
      <c r="C144" s="5" t="s">
        <v>114</v>
      </c>
      <c r="D144" s="5" t="s">
        <v>16</v>
      </c>
      <c r="E144" s="5" t="n">
        <f aca="false">ROUND(9070*1.05,2)</f>
        <v>9523.5</v>
      </c>
      <c r="F144" s="5" t="s">
        <v>49</v>
      </c>
      <c r="G144" s="5" t="s">
        <v>18</v>
      </c>
      <c r="H144" s="5" t="n">
        <f aca="true">ROUND(RAND()*4+6,1)</f>
        <v>8.3</v>
      </c>
      <c r="I144" s="5" t="s">
        <v>19</v>
      </c>
      <c r="J144" s="5" t="str">
        <f aca="false">ROUND(67*1,0)&amp;"%"</f>
        <v>67%</v>
      </c>
    </row>
    <row r="145" customFormat="false" ht="15" hidden="false" customHeight="false" outlineLevel="0" collapsed="false">
      <c r="A145" s="6" t="s">
        <v>3942</v>
      </c>
      <c r="B145" s="6" t="s">
        <v>256</v>
      </c>
      <c r="C145" s="6" t="s">
        <v>114</v>
      </c>
      <c r="D145" s="6" t="s">
        <v>22</v>
      </c>
      <c r="E145" s="6" t="n">
        <f aca="false">ROUND(16830*1.05,2)</f>
        <v>17671.5</v>
      </c>
      <c r="F145" s="6" t="s">
        <v>52</v>
      </c>
      <c r="G145" s="6" t="s">
        <v>24</v>
      </c>
      <c r="H145" s="6" t="n">
        <f aca="true">ROUND(RAND()*4+6,1)</f>
        <v>8.9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3943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3944</v>
      </c>
      <c r="B150" s="5" t="s">
        <v>260</v>
      </c>
      <c r="C150" s="5" t="s">
        <v>133</v>
      </c>
      <c r="D150" s="5" t="s">
        <v>16</v>
      </c>
      <c r="E150" s="5" t="n">
        <f aca="false">ROUND(6923*1.05,2)</f>
        <v>7269.15</v>
      </c>
      <c r="F150" s="5" t="s">
        <v>17</v>
      </c>
      <c r="G150" s="5" t="s">
        <v>18</v>
      </c>
      <c r="H150" s="5" t="n">
        <f aca="true">ROUND(RAND()*4+6,1)</f>
        <v>6.1</v>
      </c>
      <c r="I150" s="5" t="s">
        <v>19</v>
      </c>
      <c r="J150" s="5" t="str">
        <f aca="false">ROUND(88*1,0)&amp;"%"</f>
        <v>88%</v>
      </c>
    </row>
    <row r="151" customFormat="false" ht="15" hidden="false" customHeight="false" outlineLevel="0" collapsed="false">
      <c r="A151" s="6" t="s">
        <v>3945</v>
      </c>
      <c r="B151" s="6" t="s">
        <v>262</v>
      </c>
      <c r="C151" s="6" t="s">
        <v>133</v>
      </c>
      <c r="D151" s="6" t="s">
        <v>22</v>
      </c>
      <c r="E151" s="6" t="n">
        <f aca="false">ROUND(5002*1.05,2)</f>
        <v>5252.1</v>
      </c>
      <c r="F151" s="6" t="s">
        <v>23</v>
      </c>
      <c r="G151" s="6" t="s">
        <v>24</v>
      </c>
      <c r="H151" s="6" t="n">
        <f aca="true">ROUND(RAND()*4+6,1)</f>
        <v>9.6</v>
      </c>
      <c r="I151" s="6" t="s">
        <v>25</v>
      </c>
      <c r="J151" s="6" t="str">
        <f aca="false">ROUND(69*1,0)&amp;"%"</f>
        <v>69%</v>
      </c>
    </row>
    <row r="152" customFormat="false" ht="15" hidden="false" customHeight="false" outlineLevel="0" collapsed="false">
      <c r="A152" s="5" t="s">
        <v>3946</v>
      </c>
      <c r="B152" s="5" t="s">
        <v>264</v>
      </c>
      <c r="C152" s="5" t="s">
        <v>133</v>
      </c>
      <c r="D152" s="5" t="s">
        <v>28</v>
      </c>
      <c r="E152" s="5" t="n">
        <f aca="false">ROUND(8161*1.05,2)</f>
        <v>8569.05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ROUND(100*1,0)&amp;"%"</f>
        <v>100%</v>
      </c>
    </row>
    <row r="153" customFormat="false" ht="15" hidden="false" customHeight="false" outlineLevel="0" collapsed="false">
      <c r="A153" s="6" t="s">
        <v>3947</v>
      </c>
      <c r="B153" s="6" t="s">
        <v>266</v>
      </c>
      <c r="C153" s="6" t="s">
        <v>133</v>
      </c>
      <c r="D153" s="6" t="s">
        <v>34</v>
      </c>
      <c r="E153" s="6" t="n">
        <f aca="false">ROUND(11310*1.05,2)</f>
        <v>11875.5</v>
      </c>
      <c r="F153" s="6" t="s">
        <v>35</v>
      </c>
      <c r="G153" s="6" t="s">
        <v>18</v>
      </c>
      <c r="H153" s="6" t="n">
        <f aca="true">ROUND(RAND()*4+6,1)</f>
        <v>7.2</v>
      </c>
      <c r="I153" s="6" t="s">
        <v>36</v>
      </c>
      <c r="J153" s="6" t="str">
        <f aca="false">ROUND(64*1,0)&amp;"%"</f>
        <v>64%</v>
      </c>
    </row>
    <row r="154" customFormat="false" ht="15" hidden="false" customHeight="false" outlineLevel="0" collapsed="false">
      <c r="A154" s="5" t="s">
        <v>3948</v>
      </c>
      <c r="B154" s="5" t="s">
        <v>268</v>
      </c>
      <c r="C154" s="5" t="s">
        <v>133</v>
      </c>
      <c r="D154" s="5" t="s">
        <v>39</v>
      </c>
      <c r="E154" s="5" t="n">
        <f aca="false">ROUND(10722*1.05,2)</f>
        <v>11258.1</v>
      </c>
      <c r="F154" s="5" t="s">
        <v>40</v>
      </c>
      <c r="G154" s="5" t="s">
        <v>24</v>
      </c>
      <c r="H154" s="5" t="n">
        <f aca="true">ROUND(RAND()*4+6,1)</f>
        <v>8.7</v>
      </c>
      <c r="I154" s="5" t="s">
        <v>41</v>
      </c>
      <c r="J154" s="5" t="str">
        <f aca="false">ROUND(65*1,0)&amp;"%"</f>
        <v>65%</v>
      </c>
    </row>
    <row r="155" customFormat="false" ht="15" hidden="false" customHeight="false" outlineLevel="0" collapsed="false">
      <c r="A155" s="6" t="s">
        <v>3949</v>
      </c>
      <c r="B155" s="6" t="s">
        <v>270</v>
      </c>
      <c r="C155" s="6" t="s">
        <v>133</v>
      </c>
      <c r="D155" s="6" t="s">
        <v>44</v>
      </c>
      <c r="E155" s="6" t="n">
        <f aca="false">ROUND(4017*1.05,2)</f>
        <v>4217.85</v>
      </c>
      <c r="F155" s="6" t="s">
        <v>45</v>
      </c>
      <c r="G155" s="6" t="s">
        <v>30</v>
      </c>
      <c r="H155" s="6" t="n">
        <f aca="true">ROUND(RAND()*4+6,1)</f>
        <v>8.5</v>
      </c>
      <c r="I155" s="6" t="s">
        <v>46</v>
      </c>
      <c r="J155" s="6" t="str">
        <f aca="false">ROUND(83*1,0)&amp;"%"</f>
        <v>83%</v>
      </c>
    </row>
    <row r="156" customFormat="false" ht="15" hidden="false" customHeight="false" outlineLevel="0" collapsed="false">
      <c r="A156" s="5" t="s">
        <v>3950</v>
      </c>
      <c r="B156" s="5" t="s">
        <v>272</v>
      </c>
      <c r="C156" s="5" t="s">
        <v>133</v>
      </c>
      <c r="D156" s="5" t="s">
        <v>16</v>
      </c>
      <c r="E156" s="5" t="n">
        <f aca="false">ROUND(6547*1.05,2)</f>
        <v>6874.35</v>
      </c>
      <c r="F156" s="5" t="s">
        <v>49</v>
      </c>
      <c r="G156" s="5" t="s">
        <v>18</v>
      </c>
      <c r="H156" s="5" t="n">
        <f aca="true">ROUND(RAND()*4+6,1)</f>
        <v>6.4</v>
      </c>
      <c r="I156" s="5" t="s">
        <v>19</v>
      </c>
      <c r="J156" s="5" t="str">
        <f aca="false">ROUND(95*1,0)&amp;"%"</f>
        <v>95%</v>
      </c>
    </row>
    <row r="157" customFormat="false" ht="15" hidden="false" customHeight="false" outlineLevel="0" collapsed="false">
      <c r="A157" s="6" t="s">
        <v>3951</v>
      </c>
      <c r="B157" s="6" t="s">
        <v>274</v>
      </c>
      <c r="C157" s="6" t="s">
        <v>133</v>
      </c>
      <c r="D157" s="6" t="s">
        <v>22</v>
      </c>
      <c r="E157" s="6" t="n">
        <f aca="false">ROUND(10619*1.05,2)</f>
        <v>11149.95</v>
      </c>
      <c r="F157" s="6" t="s">
        <v>52</v>
      </c>
      <c r="G157" s="6" t="s">
        <v>24</v>
      </c>
      <c r="H157" s="6" t="n">
        <f aca="true">ROUND(RAND()*4+6,1)</f>
        <v>6.3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3952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3953</v>
      </c>
      <c r="B162" s="5" t="s">
        <v>278</v>
      </c>
      <c r="C162" s="5" t="s">
        <v>152</v>
      </c>
      <c r="D162" s="5" t="s">
        <v>16</v>
      </c>
      <c r="E162" s="5" t="n">
        <f aca="false">ROUND(14877*1.05,2)</f>
        <v>15620.85</v>
      </c>
      <c r="F162" s="5" t="s">
        <v>17</v>
      </c>
      <c r="G162" s="5" t="s">
        <v>18</v>
      </c>
      <c r="H162" s="5" t="n">
        <f aca="true">ROUND(RAND()*4+6,1)</f>
        <v>9.1</v>
      </c>
      <c r="I162" s="5" t="s">
        <v>19</v>
      </c>
      <c r="J162" s="5" t="str">
        <f aca="false">ROUND(62*1,0)&amp;"%"</f>
        <v>62%</v>
      </c>
    </row>
    <row r="163" customFormat="false" ht="15" hidden="false" customHeight="false" outlineLevel="0" collapsed="false">
      <c r="A163" s="6" t="s">
        <v>3954</v>
      </c>
      <c r="B163" s="6" t="s">
        <v>280</v>
      </c>
      <c r="C163" s="6" t="s">
        <v>152</v>
      </c>
      <c r="D163" s="6" t="s">
        <v>22</v>
      </c>
      <c r="E163" s="6" t="n">
        <f aca="false">ROUND(4139*1.05,2)</f>
        <v>4345.95</v>
      </c>
      <c r="F163" s="6" t="s">
        <v>23</v>
      </c>
      <c r="G163" s="6" t="s">
        <v>24</v>
      </c>
      <c r="H163" s="6" t="n">
        <f aca="true">ROUND(RAND()*4+6,1)</f>
        <v>8</v>
      </c>
      <c r="I163" s="6" t="s">
        <v>25</v>
      </c>
      <c r="J163" s="6" t="str">
        <f aca="false">ROUND(96*1,0)&amp;"%"</f>
        <v>96%</v>
      </c>
    </row>
    <row r="164" customFormat="false" ht="15" hidden="false" customHeight="false" outlineLevel="0" collapsed="false">
      <c r="A164" s="5" t="s">
        <v>3955</v>
      </c>
      <c r="B164" s="5" t="s">
        <v>282</v>
      </c>
      <c r="C164" s="5" t="s">
        <v>152</v>
      </c>
      <c r="D164" s="5" t="s">
        <v>28</v>
      </c>
      <c r="E164" s="5" t="n">
        <f aca="false">ROUND(14948*1.05,2)</f>
        <v>15695.4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ROUND(68*1,0)&amp;"%"</f>
        <v>68%</v>
      </c>
    </row>
    <row r="165" customFormat="false" ht="15" hidden="false" customHeight="false" outlineLevel="0" collapsed="false">
      <c r="A165" s="6" t="s">
        <v>3956</v>
      </c>
      <c r="B165" s="6" t="s">
        <v>284</v>
      </c>
      <c r="C165" s="6" t="s">
        <v>152</v>
      </c>
      <c r="D165" s="6" t="s">
        <v>34</v>
      </c>
      <c r="E165" s="6" t="n">
        <f aca="false">ROUND(17283*1.05,2)</f>
        <v>18147.15</v>
      </c>
      <c r="F165" s="6" t="s">
        <v>35</v>
      </c>
      <c r="G165" s="6" t="s">
        <v>18</v>
      </c>
      <c r="H165" s="6" t="n">
        <f aca="true">ROUND(RAND()*4+6,1)</f>
        <v>6.9</v>
      </c>
      <c r="I165" s="6" t="s">
        <v>36</v>
      </c>
      <c r="J165" s="6" t="str">
        <f aca="false">ROUND(83*1,0)&amp;"%"</f>
        <v>83%</v>
      </c>
    </row>
    <row r="166" customFormat="false" ht="15" hidden="false" customHeight="false" outlineLevel="0" collapsed="false">
      <c r="A166" s="5" t="s">
        <v>3957</v>
      </c>
      <c r="B166" s="5" t="s">
        <v>286</v>
      </c>
      <c r="C166" s="5" t="s">
        <v>152</v>
      </c>
      <c r="D166" s="5" t="s">
        <v>39</v>
      </c>
      <c r="E166" s="5" t="n">
        <f aca="false">ROUND(7755*1.05,2)</f>
        <v>8142.75</v>
      </c>
      <c r="F166" s="5" t="s">
        <v>40</v>
      </c>
      <c r="G166" s="5" t="s">
        <v>24</v>
      </c>
      <c r="H166" s="5" t="n">
        <f aca="true">ROUND(RAND()*4+6,1)</f>
        <v>7.1</v>
      </c>
      <c r="I166" s="5" t="s">
        <v>41</v>
      </c>
      <c r="J166" s="5" t="str">
        <f aca="false">ROUND(65*1,0)&amp;"%"</f>
        <v>65%</v>
      </c>
    </row>
    <row r="167" customFormat="false" ht="15" hidden="false" customHeight="false" outlineLevel="0" collapsed="false">
      <c r="A167" s="6" t="s">
        <v>3958</v>
      </c>
      <c r="B167" s="6" t="s">
        <v>288</v>
      </c>
      <c r="C167" s="6" t="s">
        <v>152</v>
      </c>
      <c r="D167" s="6" t="s">
        <v>44</v>
      </c>
      <c r="E167" s="6" t="n">
        <f aca="false">ROUND(8995*1.05,2)</f>
        <v>9444.75</v>
      </c>
      <c r="F167" s="6" t="s">
        <v>45</v>
      </c>
      <c r="G167" s="6" t="s">
        <v>30</v>
      </c>
      <c r="H167" s="6" t="n">
        <f aca="true">ROUND(RAND()*4+6,1)</f>
        <v>7.7</v>
      </c>
      <c r="I167" s="6" t="s">
        <v>46</v>
      </c>
      <c r="J167" s="6" t="str">
        <f aca="false">ROUND(79*1,0)&amp;"%"</f>
        <v>79%</v>
      </c>
    </row>
    <row r="168" customFormat="false" ht="15" hidden="false" customHeight="false" outlineLevel="0" collapsed="false">
      <c r="A168" s="5" t="s">
        <v>3959</v>
      </c>
      <c r="B168" s="5" t="s">
        <v>290</v>
      </c>
      <c r="C168" s="5" t="s">
        <v>152</v>
      </c>
      <c r="D168" s="5" t="s">
        <v>16</v>
      </c>
      <c r="E168" s="5" t="n">
        <f aca="false">ROUND(7701*1.05,2)</f>
        <v>8086.05</v>
      </c>
      <c r="F168" s="5" t="s">
        <v>49</v>
      </c>
      <c r="G168" s="5" t="s">
        <v>18</v>
      </c>
      <c r="H168" s="5" t="n">
        <f aca="true">ROUND(RAND()*4+6,1)</f>
        <v>7.6</v>
      </c>
      <c r="I168" s="5" t="s">
        <v>19</v>
      </c>
      <c r="J168" s="5" t="str">
        <f aca="false">ROUND(83*1,0)&amp;"%"</f>
        <v>83%</v>
      </c>
    </row>
    <row r="169" customFormat="false" ht="15" hidden="false" customHeight="false" outlineLevel="0" collapsed="false">
      <c r="A169" s="6" t="s">
        <v>3960</v>
      </c>
      <c r="B169" s="6" t="s">
        <v>292</v>
      </c>
      <c r="C169" s="6" t="s">
        <v>152</v>
      </c>
      <c r="D169" s="6" t="s">
        <v>22</v>
      </c>
      <c r="E169" s="6" t="n">
        <f aca="false">ROUND(5240*1.05,2)</f>
        <v>5502</v>
      </c>
      <c r="F169" s="6" t="s">
        <v>52</v>
      </c>
      <c r="G169" s="6" t="s">
        <v>24</v>
      </c>
      <c r="H169" s="6" t="n">
        <f aca="true">ROUND(RAND()*4+6,1)</f>
        <v>9.5</v>
      </c>
      <c r="I169" s="6" t="s">
        <v>25</v>
      </c>
      <c r="J169" s="6" t="str">
        <f aca="false">ROUND(100*1,0)&amp;"%"</f>
        <v>100%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3961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3962</v>
      </c>
      <c r="B174" s="5" t="s">
        <v>296</v>
      </c>
      <c r="C174" s="5" t="s">
        <v>15</v>
      </c>
      <c r="D174" s="5" t="s">
        <v>16</v>
      </c>
      <c r="E174" s="5" t="n">
        <f aca="false">ROUND(17783*1.05,2)</f>
        <v>18672.15</v>
      </c>
      <c r="F174" s="5" t="s">
        <v>17</v>
      </c>
      <c r="G174" s="5" t="s">
        <v>18</v>
      </c>
      <c r="H174" s="5" t="n">
        <f aca="true">ROUND(RAND()*4+6,1)</f>
        <v>9.7</v>
      </c>
      <c r="I174" s="5" t="s">
        <v>19</v>
      </c>
      <c r="J174" s="5" t="str">
        <f aca="false">ROUND(82*1,0)&amp;"%"</f>
        <v>82%</v>
      </c>
    </row>
    <row r="175" customFormat="false" ht="15" hidden="false" customHeight="false" outlineLevel="0" collapsed="false">
      <c r="A175" s="6" t="s">
        <v>3963</v>
      </c>
      <c r="B175" s="6" t="s">
        <v>298</v>
      </c>
      <c r="C175" s="6" t="s">
        <v>15</v>
      </c>
      <c r="D175" s="6" t="s">
        <v>22</v>
      </c>
      <c r="E175" s="6" t="n">
        <f aca="false">ROUND(12998*1.05,2)</f>
        <v>13647.9</v>
      </c>
      <c r="F175" s="6" t="s">
        <v>23</v>
      </c>
      <c r="G175" s="6" t="s">
        <v>24</v>
      </c>
      <c r="H175" s="6" t="n">
        <f aca="true">ROUND(RAND()*4+6,1)</f>
        <v>8.8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3964</v>
      </c>
      <c r="B176" s="5" t="s">
        <v>300</v>
      </c>
      <c r="C176" s="5" t="s">
        <v>15</v>
      </c>
      <c r="D176" s="5" t="s">
        <v>28</v>
      </c>
      <c r="E176" s="5" t="n">
        <f aca="false">ROUND(5915*1.05,2)</f>
        <v>6210.75</v>
      </c>
      <c r="F176" s="5" t="s">
        <v>29</v>
      </c>
      <c r="G176" s="5" t="s">
        <v>30</v>
      </c>
      <c r="H176" s="5" t="n">
        <f aca="true">ROUND(RAND()*4+6,1)</f>
        <v>9.9</v>
      </c>
      <c r="I176" s="5" t="s">
        <v>31</v>
      </c>
      <c r="J176" s="5" t="str">
        <f aca="false">ROUND(68*1,0)&amp;"%"</f>
        <v>68%</v>
      </c>
    </row>
    <row r="177" customFormat="false" ht="15" hidden="false" customHeight="false" outlineLevel="0" collapsed="false">
      <c r="A177" s="6" t="s">
        <v>3965</v>
      </c>
      <c r="B177" s="6" t="s">
        <v>302</v>
      </c>
      <c r="C177" s="6" t="s">
        <v>15</v>
      </c>
      <c r="D177" s="6" t="s">
        <v>34</v>
      </c>
      <c r="E177" s="6" t="n">
        <f aca="false">ROUND(17679*1.05,2)</f>
        <v>18562.95</v>
      </c>
      <c r="F177" s="6" t="s">
        <v>35</v>
      </c>
      <c r="G177" s="6" t="s">
        <v>18</v>
      </c>
      <c r="H177" s="6" t="n">
        <f aca="true">ROUND(RAND()*4+6,1)</f>
        <v>7.3</v>
      </c>
      <c r="I177" s="6" t="s">
        <v>36</v>
      </c>
      <c r="J177" s="6" t="str">
        <f aca="false">ROUND(82*1,0)&amp;"%"</f>
        <v>82%</v>
      </c>
    </row>
    <row r="178" customFormat="false" ht="15" hidden="false" customHeight="false" outlineLevel="0" collapsed="false">
      <c r="A178" s="5" t="s">
        <v>3966</v>
      </c>
      <c r="B178" s="5" t="s">
        <v>304</v>
      </c>
      <c r="C178" s="5" t="s">
        <v>15</v>
      </c>
      <c r="D178" s="5" t="s">
        <v>39</v>
      </c>
      <c r="E178" s="5" t="n">
        <f aca="false">ROUND(12127*1.05,2)</f>
        <v>12733.35</v>
      </c>
      <c r="F178" s="5" t="s">
        <v>40</v>
      </c>
      <c r="G178" s="5" t="s">
        <v>24</v>
      </c>
      <c r="H178" s="5" t="n">
        <f aca="true">ROUND(RAND()*4+6,1)</f>
        <v>8.4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3967</v>
      </c>
      <c r="B179" s="6" t="s">
        <v>306</v>
      </c>
      <c r="C179" s="6" t="s">
        <v>15</v>
      </c>
      <c r="D179" s="6" t="s">
        <v>44</v>
      </c>
      <c r="E179" s="6" t="n">
        <f aca="false">ROUND(12391*1.05,2)</f>
        <v>13010.55</v>
      </c>
      <c r="F179" s="6" t="s">
        <v>45</v>
      </c>
      <c r="G179" s="6" t="s">
        <v>30</v>
      </c>
      <c r="H179" s="6" t="n">
        <f aca="true">ROUND(RAND()*4+6,1)</f>
        <v>6.8</v>
      </c>
      <c r="I179" s="6" t="s">
        <v>46</v>
      </c>
      <c r="J179" s="6" t="str">
        <f aca="false">ROUND(67*1,0)&amp;"%"</f>
        <v>67%</v>
      </c>
    </row>
    <row r="180" customFormat="false" ht="15" hidden="false" customHeight="false" outlineLevel="0" collapsed="false">
      <c r="A180" s="5" t="s">
        <v>3968</v>
      </c>
      <c r="B180" s="5" t="s">
        <v>308</v>
      </c>
      <c r="C180" s="5" t="s">
        <v>15</v>
      </c>
      <c r="D180" s="5" t="s">
        <v>16</v>
      </c>
      <c r="E180" s="5" t="n">
        <f aca="false">ROUND(15935*1.05,2)</f>
        <v>16731.75</v>
      </c>
      <c r="F180" s="5" t="s">
        <v>49</v>
      </c>
      <c r="G180" s="5" t="s">
        <v>18</v>
      </c>
      <c r="H180" s="5" t="n">
        <f aca="true">ROUND(RAND()*4+6,1)</f>
        <v>9.2</v>
      </c>
      <c r="I180" s="5" t="s">
        <v>19</v>
      </c>
      <c r="J180" s="5" t="str">
        <f aca="false">ROUND(85*1,0)&amp;"%"</f>
        <v>85%</v>
      </c>
    </row>
    <row r="181" customFormat="false" ht="15" hidden="false" customHeight="false" outlineLevel="0" collapsed="false">
      <c r="A181" s="6" t="s">
        <v>3969</v>
      </c>
      <c r="B181" s="6" t="s">
        <v>310</v>
      </c>
      <c r="C181" s="6" t="s">
        <v>15</v>
      </c>
      <c r="D181" s="6" t="s">
        <v>22</v>
      </c>
      <c r="E181" s="6" t="n">
        <f aca="false">ROUND(8762*1.05,2)</f>
        <v>9200.1</v>
      </c>
      <c r="F181" s="6" t="s">
        <v>52</v>
      </c>
      <c r="G181" s="6" t="s">
        <v>24</v>
      </c>
      <c r="H181" s="6" t="n">
        <f aca="true">ROUND(RAND()*4+6,1)</f>
        <v>7.5</v>
      </c>
      <c r="I181" s="6" t="s">
        <v>25</v>
      </c>
      <c r="J181" s="6" t="str">
        <f aca="false">ROUND(83*1,0)&amp;"%"</f>
        <v>83%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3970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3971</v>
      </c>
      <c r="B186" s="5" t="s">
        <v>314</v>
      </c>
      <c r="C186" s="5" t="s">
        <v>57</v>
      </c>
      <c r="D186" s="5" t="s">
        <v>16</v>
      </c>
      <c r="E186" s="5" t="n">
        <f aca="false">ROUND(14353*1.05,2)</f>
        <v>15070.65</v>
      </c>
      <c r="F186" s="5" t="s">
        <v>17</v>
      </c>
      <c r="G186" s="5" t="s">
        <v>18</v>
      </c>
      <c r="H186" s="5" t="n">
        <f aca="true">ROUND(RAND()*4+6,1)</f>
        <v>7.1</v>
      </c>
      <c r="I186" s="5" t="s">
        <v>19</v>
      </c>
      <c r="J186" s="5" t="str">
        <f aca="false">ROUND(89*1,0)&amp;"%"</f>
        <v>89%</v>
      </c>
    </row>
    <row r="187" customFormat="false" ht="15" hidden="false" customHeight="false" outlineLevel="0" collapsed="false">
      <c r="A187" s="6" t="s">
        <v>3972</v>
      </c>
      <c r="B187" s="6" t="s">
        <v>316</v>
      </c>
      <c r="C187" s="6" t="s">
        <v>57</v>
      </c>
      <c r="D187" s="6" t="s">
        <v>22</v>
      </c>
      <c r="E187" s="6" t="n">
        <f aca="false">ROUND(15884*1.05,2)</f>
        <v>16678.2</v>
      </c>
      <c r="F187" s="6" t="s">
        <v>23</v>
      </c>
      <c r="G187" s="6" t="s">
        <v>24</v>
      </c>
      <c r="H187" s="6" t="n">
        <f aca="true">ROUND(RAND()*4+6,1)</f>
        <v>6.7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3973</v>
      </c>
      <c r="B188" s="5" t="s">
        <v>318</v>
      </c>
      <c r="C188" s="5" t="s">
        <v>57</v>
      </c>
      <c r="D188" s="5" t="s">
        <v>28</v>
      </c>
      <c r="E188" s="5" t="n">
        <f aca="false">ROUND(9179*1.05,2)</f>
        <v>9637.95</v>
      </c>
      <c r="F188" s="5" t="s">
        <v>29</v>
      </c>
      <c r="G188" s="5" t="s">
        <v>30</v>
      </c>
      <c r="H188" s="5" t="n">
        <f aca="true">ROUND(RAND()*4+6,1)</f>
        <v>9.6</v>
      </c>
      <c r="I188" s="5" t="s">
        <v>31</v>
      </c>
      <c r="J188" s="5" t="str">
        <f aca="false">ROUND(79*1,0)&amp;"%"</f>
        <v>79%</v>
      </c>
    </row>
    <row r="189" customFormat="false" ht="15" hidden="false" customHeight="false" outlineLevel="0" collapsed="false">
      <c r="A189" s="6" t="s">
        <v>3974</v>
      </c>
      <c r="B189" s="6" t="s">
        <v>320</v>
      </c>
      <c r="C189" s="6" t="s">
        <v>57</v>
      </c>
      <c r="D189" s="6" t="s">
        <v>34</v>
      </c>
      <c r="E189" s="6" t="n">
        <f aca="false">ROUND(4717*1.05,2)</f>
        <v>4952.85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ROUND(89*1,0)&amp;"%"</f>
        <v>89%</v>
      </c>
    </row>
    <row r="190" customFormat="false" ht="15" hidden="false" customHeight="false" outlineLevel="0" collapsed="false">
      <c r="A190" s="5" t="s">
        <v>3975</v>
      </c>
      <c r="B190" s="5" t="s">
        <v>322</v>
      </c>
      <c r="C190" s="5" t="s">
        <v>57</v>
      </c>
      <c r="D190" s="5" t="s">
        <v>39</v>
      </c>
      <c r="E190" s="5" t="n">
        <f aca="false">ROUND(5443*1.05,2)</f>
        <v>5715.15</v>
      </c>
      <c r="F190" s="5" t="s">
        <v>40</v>
      </c>
      <c r="G190" s="5" t="s">
        <v>24</v>
      </c>
      <c r="H190" s="5" t="n">
        <f aca="true">ROUND(RAND()*4+6,1)</f>
        <v>8</v>
      </c>
      <c r="I190" s="5" t="s">
        <v>41</v>
      </c>
      <c r="J190" s="5" t="str">
        <f aca="false">ROUND(68*1,0)&amp;"%"</f>
        <v>68%</v>
      </c>
    </row>
    <row r="191" customFormat="false" ht="15" hidden="false" customHeight="false" outlineLevel="0" collapsed="false">
      <c r="A191" s="6" t="s">
        <v>3976</v>
      </c>
      <c r="B191" s="6" t="s">
        <v>324</v>
      </c>
      <c r="C191" s="6" t="s">
        <v>57</v>
      </c>
      <c r="D191" s="6" t="s">
        <v>44</v>
      </c>
      <c r="E191" s="6" t="n">
        <f aca="false">ROUND(6165*1.05,2)</f>
        <v>6473.25</v>
      </c>
      <c r="F191" s="6" t="s">
        <v>45</v>
      </c>
      <c r="G191" s="6" t="s">
        <v>30</v>
      </c>
      <c r="H191" s="6" t="n">
        <f aca="true">ROUND(RAND()*4+6,1)</f>
        <v>6</v>
      </c>
      <c r="I191" s="6" t="s">
        <v>46</v>
      </c>
      <c r="J191" s="6" t="str">
        <f aca="false">ROUND(63*1,0)&amp;"%"</f>
        <v>63%</v>
      </c>
    </row>
    <row r="192" customFormat="false" ht="15" hidden="false" customHeight="false" outlineLevel="0" collapsed="false">
      <c r="A192" s="5" t="s">
        <v>3977</v>
      </c>
      <c r="B192" s="5" t="s">
        <v>326</v>
      </c>
      <c r="C192" s="5" t="s">
        <v>57</v>
      </c>
      <c r="D192" s="5" t="s">
        <v>16</v>
      </c>
      <c r="E192" s="5" t="n">
        <f aca="false">ROUND(17799*1.05,2)</f>
        <v>18688.95</v>
      </c>
      <c r="F192" s="5" t="s">
        <v>49</v>
      </c>
      <c r="G192" s="5" t="s">
        <v>18</v>
      </c>
      <c r="H192" s="5" t="n">
        <f aca="true">ROUND(RAND()*4+6,1)</f>
        <v>6.6</v>
      </c>
      <c r="I192" s="5" t="s">
        <v>19</v>
      </c>
      <c r="J192" s="5" t="str">
        <f aca="false">ROUND(95*1,0)&amp;"%"</f>
        <v>95%</v>
      </c>
    </row>
    <row r="193" customFormat="false" ht="15" hidden="false" customHeight="false" outlineLevel="0" collapsed="false">
      <c r="A193" s="6" t="s">
        <v>3978</v>
      </c>
      <c r="B193" s="6" t="s">
        <v>328</v>
      </c>
      <c r="C193" s="6" t="s">
        <v>57</v>
      </c>
      <c r="D193" s="6" t="s">
        <v>22</v>
      </c>
      <c r="E193" s="6" t="n">
        <f aca="false">ROUND(5751*1.05,2)</f>
        <v>6038.55</v>
      </c>
      <c r="F193" s="6" t="s">
        <v>52</v>
      </c>
      <c r="G193" s="6" t="s">
        <v>24</v>
      </c>
      <c r="H193" s="6" t="n">
        <f aca="true">ROUND(RAND()*4+6,1)</f>
        <v>9.4</v>
      </c>
      <c r="I193" s="6" t="s">
        <v>25</v>
      </c>
      <c r="J193" s="6" t="str">
        <f aca="false">ROUND(61*1,0)&amp;"%"</f>
        <v>61%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3979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3980</v>
      </c>
      <c r="B198" s="5" t="s">
        <v>332</v>
      </c>
      <c r="C198" s="5" t="s">
        <v>76</v>
      </c>
      <c r="D198" s="5" t="s">
        <v>16</v>
      </c>
      <c r="E198" s="5" t="n">
        <f aca="false">ROUND(7234*1.05,2)</f>
        <v>7595.7</v>
      </c>
      <c r="F198" s="5" t="s">
        <v>17</v>
      </c>
      <c r="G198" s="5" t="s">
        <v>18</v>
      </c>
      <c r="H198" s="5" t="n">
        <f aca="true">ROUND(RAND()*4+6,1)</f>
        <v>9.1</v>
      </c>
      <c r="I198" s="5" t="s">
        <v>19</v>
      </c>
      <c r="J198" s="5" t="str">
        <f aca="false">ROUND(81*1,0)&amp;"%"</f>
        <v>81%</v>
      </c>
    </row>
    <row r="199" customFormat="false" ht="15" hidden="false" customHeight="false" outlineLevel="0" collapsed="false">
      <c r="A199" s="6" t="s">
        <v>3981</v>
      </c>
      <c r="B199" s="6" t="s">
        <v>334</v>
      </c>
      <c r="C199" s="6" t="s">
        <v>76</v>
      </c>
      <c r="D199" s="6" t="s">
        <v>22</v>
      </c>
      <c r="E199" s="6" t="n">
        <f aca="false">ROUND(12824*1.05,2)</f>
        <v>13465.2</v>
      </c>
      <c r="F199" s="6" t="s">
        <v>23</v>
      </c>
      <c r="G199" s="6" t="s">
        <v>24</v>
      </c>
      <c r="H199" s="6" t="n">
        <f aca="true">ROUND(RAND()*4+6,1)</f>
        <v>6.1</v>
      </c>
      <c r="I199" s="6" t="s">
        <v>25</v>
      </c>
      <c r="J199" s="6" t="str">
        <f aca="false">ROUND(68*1,0)&amp;"%"</f>
        <v>68%</v>
      </c>
    </row>
    <row r="200" customFormat="false" ht="15" hidden="false" customHeight="false" outlineLevel="0" collapsed="false">
      <c r="A200" s="5" t="s">
        <v>3982</v>
      </c>
      <c r="B200" s="5" t="s">
        <v>336</v>
      </c>
      <c r="C200" s="5" t="s">
        <v>76</v>
      </c>
      <c r="D200" s="5" t="s">
        <v>28</v>
      </c>
      <c r="E200" s="5" t="n">
        <f aca="false">ROUND(10538*1.05,2)</f>
        <v>11064.9</v>
      </c>
      <c r="F200" s="5" t="s">
        <v>29</v>
      </c>
      <c r="G200" s="5" t="s">
        <v>30</v>
      </c>
      <c r="H200" s="5" t="n">
        <f aca="true">ROUND(RAND()*4+6,1)</f>
        <v>7.7</v>
      </c>
      <c r="I200" s="5" t="s">
        <v>31</v>
      </c>
      <c r="J200" s="5" t="str">
        <f aca="false">ROUND(75*1,0)&amp;"%"</f>
        <v>75%</v>
      </c>
    </row>
    <row r="201" customFormat="false" ht="15" hidden="false" customHeight="false" outlineLevel="0" collapsed="false">
      <c r="A201" s="6" t="s">
        <v>3983</v>
      </c>
      <c r="B201" s="6" t="s">
        <v>338</v>
      </c>
      <c r="C201" s="6" t="s">
        <v>76</v>
      </c>
      <c r="D201" s="6" t="s">
        <v>34</v>
      </c>
      <c r="E201" s="6" t="n">
        <f aca="false">ROUND(12516*1.05,2)</f>
        <v>13141.8</v>
      </c>
      <c r="F201" s="6" t="s">
        <v>35</v>
      </c>
      <c r="G201" s="6" t="s">
        <v>18</v>
      </c>
      <c r="H201" s="6" t="n">
        <f aca="true">ROUND(RAND()*4+6,1)</f>
        <v>8.5</v>
      </c>
      <c r="I201" s="6" t="s">
        <v>36</v>
      </c>
      <c r="J201" s="6" t="str">
        <f aca="false">ROUND(90*1,0)&amp;"%"</f>
        <v>90%</v>
      </c>
    </row>
    <row r="202" customFormat="false" ht="15" hidden="false" customHeight="false" outlineLevel="0" collapsed="false">
      <c r="A202" s="5" t="s">
        <v>3984</v>
      </c>
      <c r="B202" s="5" t="s">
        <v>340</v>
      </c>
      <c r="C202" s="5" t="s">
        <v>76</v>
      </c>
      <c r="D202" s="5" t="s">
        <v>39</v>
      </c>
      <c r="E202" s="5" t="n">
        <f aca="false">ROUND(12231*1.05,2)</f>
        <v>12842.55</v>
      </c>
      <c r="F202" s="5" t="s">
        <v>40</v>
      </c>
      <c r="G202" s="5" t="s">
        <v>24</v>
      </c>
      <c r="H202" s="5" t="n">
        <f aca="true">ROUND(RAND()*4+6,1)</f>
        <v>9.8</v>
      </c>
      <c r="I202" s="5" t="s">
        <v>41</v>
      </c>
      <c r="J202" s="5" t="str">
        <f aca="false">ROUND(86*1,0)&amp;"%"</f>
        <v>86%</v>
      </c>
    </row>
    <row r="203" customFormat="false" ht="15" hidden="false" customHeight="false" outlineLevel="0" collapsed="false">
      <c r="A203" s="6" t="s">
        <v>3985</v>
      </c>
      <c r="B203" s="6" t="s">
        <v>342</v>
      </c>
      <c r="C203" s="6" t="s">
        <v>76</v>
      </c>
      <c r="D203" s="6" t="s">
        <v>44</v>
      </c>
      <c r="E203" s="6" t="n">
        <f aca="false">ROUND(14957*1.05,2)</f>
        <v>15704.85</v>
      </c>
      <c r="F203" s="6" t="s">
        <v>45</v>
      </c>
      <c r="G203" s="6" t="s">
        <v>30</v>
      </c>
      <c r="H203" s="6" t="n">
        <f aca="true">ROUND(RAND()*4+6,1)</f>
        <v>9.8</v>
      </c>
      <c r="I203" s="6" t="s">
        <v>46</v>
      </c>
      <c r="J203" s="6" t="str">
        <f aca="false">ROUND(98*1,0)&amp;"%"</f>
        <v>98%</v>
      </c>
    </row>
    <row r="204" customFormat="false" ht="15" hidden="false" customHeight="false" outlineLevel="0" collapsed="false">
      <c r="A204" s="5" t="s">
        <v>3986</v>
      </c>
      <c r="B204" s="5" t="s">
        <v>344</v>
      </c>
      <c r="C204" s="5" t="s">
        <v>76</v>
      </c>
      <c r="D204" s="5" t="s">
        <v>16</v>
      </c>
      <c r="E204" s="5" t="n">
        <f aca="false">ROUND(7390*1.05,2)</f>
        <v>7759.5</v>
      </c>
      <c r="F204" s="5" t="s">
        <v>49</v>
      </c>
      <c r="G204" s="5" t="s">
        <v>18</v>
      </c>
      <c r="H204" s="5" t="n">
        <f aca="true">ROUND(RAND()*4+6,1)</f>
        <v>6.3</v>
      </c>
      <c r="I204" s="5" t="s">
        <v>19</v>
      </c>
      <c r="J204" s="5" t="str">
        <f aca="false">ROUND(82*1,0)&amp;"%"</f>
        <v>82%</v>
      </c>
    </row>
    <row r="205" customFormat="false" ht="15" hidden="false" customHeight="false" outlineLevel="0" collapsed="false">
      <c r="A205" s="6" t="s">
        <v>3987</v>
      </c>
      <c r="B205" s="6" t="s">
        <v>346</v>
      </c>
      <c r="C205" s="6" t="s">
        <v>76</v>
      </c>
      <c r="D205" s="6" t="s">
        <v>22</v>
      </c>
      <c r="E205" s="6" t="n">
        <f aca="false">ROUND(12256*1.05,2)</f>
        <v>12868.8</v>
      </c>
      <c r="F205" s="6" t="s">
        <v>52</v>
      </c>
      <c r="G205" s="6" t="s">
        <v>24</v>
      </c>
      <c r="H205" s="6" t="n">
        <f aca="true">ROUND(RAND()*4+6,1)</f>
        <v>7.9</v>
      </c>
      <c r="I205" s="6" t="s">
        <v>25</v>
      </c>
      <c r="J205" s="6" t="str">
        <f aca="false">ROUND(70*1,0)&amp;"%"</f>
        <v>70%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3988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3989</v>
      </c>
      <c r="B210" s="5" t="s">
        <v>350</v>
      </c>
      <c r="C210" s="5" t="s">
        <v>95</v>
      </c>
      <c r="D210" s="5" t="s">
        <v>16</v>
      </c>
      <c r="E210" s="5" t="n">
        <f aca="false">ROUND(5354*1.05,2)</f>
        <v>5621.7</v>
      </c>
      <c r="F210" s="5" t="s">
        <v>17</v>
      </c>
      <c r="G210" s="5" t="s">
        <v>18</v>
      </c>
      <c r="H210" s="5" t="n">
        <f aca="true">ROUND(RAND()*4+6,1)</f>
        <v>6.7</v>
      </c>
      <c r="I210" s="5" t="s">
        <v>19</v>
      </c>
      <c r="J210" s="5" t="str">
        <f aca="false">ROUND(98*1,0)&amp;"%"</f>
        <v>98%</v>
      </c>
    </row>
    <row r="211" customFormat="false" ht="15" hidden="false" customHeight="false" outlineLevel="0" collapsed="false">
      <c r="A211" s="6" t="s">
        <v>3990</v>
      </c>
      <c r="B211" s="6" t="s">
        <v>352</v>
      </c>
      <c r="C211" s="6" t="s">
        <v>95</v>
      </c>
      <c r="D211" s="6" t="s">
        <v>22</v>
      </c>
      <c r="E211" s="6" t="n">
        <f aca="false">ROUND(5534*1.05,2)</f>
        <v>5810.7</v>
      </c>
      <c r="F211" s="6" t="s">
        <v>23</v>
      </c>
      <c r="G211" s="6" t="s">
        <v>24</v>
      </c>
      <c r="H211" s="6" t="n">
        <f aca="true">ROUND(RAND()*4+6,1)</f>
        <v>9.6</v>
      </c>
      <c r="I211" s="6" t="s">
        <v>25</v>
      </c>
      <c r="J211" s="6" t="str">
        <f aca="false">ROUND(61*1,0)&amp;"%"</f>
        <v>61%</v>
      </c>
    </row>
    <row r="212" customFormat="false" ht="15" hidden="false" customHeight="false" outlineLevel="0" collapsed="false">
      <c r="A212" s="5" t="s">
        <v>3991</v>
      </c>
      <c r="B212" s="5" t="s">
        <v>354</v>
      </c>
      <c r="C212" s="5" t="s">
        <v>95</v>
      </c>
      <c r="D212" s="5" t="s">
        <v>28</v>
      </c>
      <c r="E212" s="5" t="n">
        <f aca="false">ROUND(12994*1.05,2)</f>
        <v>13643.7</v>
      </c>
      <c r="F212" s="5" t="s">
        <v>29</v>
      </c>
      <c r="G212" s="5" t="s">
        <v>30</v>
      </c>
      <c r="H212" s="5" t="n">
        <f aca="true">ROUND(RAND()*4+6,1)</f>
        <v>7.9</v>
      </c>
      <c r="I212" s="5" t="s">
        <v>31</v>
      </c>
      <c r="J212" s="5" t="str">
        <f aca="false">ROUND(89*1,0)&amp;"%"</f>
        <v>89%</v>
      </c>
    </row>
    <row r="213" customFormat="false" ht="15" hidden="false" customHeight="false" outlineLevel="0" collapsed="false">
      <c r="A213" s="6" t="s">
        <v>3992</v>
      </c>
      <c r="B213" s="6" t="s">
        <v>356</v>
      </c>
      <c r="C213" s="6" t="s">
        <v>95</v>
      </c>
      <c r="D213" s="6" t="s">
        <v>34</v>
      </c>
      <c r="E213" s="6" t="n">
        <f aca="false">ROUND(11762*1.05,2)</f>
        <v>12350.1</v>
      </c>
      <c r="F213" s="6" t="s">
        <v>35</v>
      </c>
      <c r="G213" s="6" t="s">
        <v>18</v>
      </c>
      <c r="H213" s="6" t="n">
        <f aca="true">ROUND(RAND()*4+6,1)</f>
        <v>9.1</v>
      </c>
      <c r="I213" s="6" t="s">
        <v>36</v>
      </c>
      <c r="J213" s="6" t="str">
        <f aca="false">ROUND(64*1,0)&amp;"%"</f>
        <v>64%</v>
      </c>
    </row>
    <row r="214" customFormat="false" ht="15" hidden="false" customHeight="false" outlineLevel="0" collapsed="false">
      <c r="A214" s="5" t="s">
        <v>3993</v>
      </c>
      <c r="B214" s="5" t="s">
        <v>358</v>
      </c>
      <c r="C214" s="5" t="s">
        <v>95</v>
      </c>
      <c r="D214" s="5" t="s">
        <v>39</v>
      </c>
      <c r="E214" s="5" t="n">
        <f aca="false">ROUND(8557*1.05,2)</f>
        <v>8984.85</v>
      </c>
      <c r="F214" s="5" t="s">
        <v>40</v>
      </c>
      <c r="G214" s="5" t="s">
        <v>24</v>
      </c>
      <c r="H214" s="5" t="n">
        <f aca="true">ROUND(RAND()*4+6,1)</f>
        <v>10</v>
      </c>
      <c r="I214" s="5" t="s">
        <v>41</v>
      </c>
      <c r="J214" s="5" t="str">
        <f aca="false">ROUND(73*1,0)&amp;"%"</f>
        <v>73%</v>
      </c>
    </row>
    <row r="215" customFormat="false" ht="15" hidden="false" customHeight="false" outlineLevel="0" collapsed="false">
      <c r="A215" s="6" t="s">
        <v>3994</v>
      </c>
      <c r="B215" s="6" t="s">
        <v>360</v>
      </c>
      <c r="C215" s="6" t="s">
        <v>95</v>
      </c>
      <c r="D215" s="6" t="s">
        <v>44</v>
      </c>
      <c r="E215" s="6" t="n">
        <f aca="false">ROUND(14864*1.05,2)</f>
        <v>15607.2</v>
      </c>
      <c r="F215" s="6" t="s">
        <v>45</v>
      </c>
      <c r="G215" s="6" t="s">
        <v>30</v>
      </c>
      <c r="H215" s="6" t="n">
        <f aca="true">ROUND(RAND()*4+6,1)</f>
        <v>7.1</v>
      </c>
      <c r="I215" s="6" t="s">
        <v>46</v>
      </c>
      <c r="J215" s="6" t="str">
        <f aca="false">ROUND(77*1,0)&amp;"%"</f>
        <v>77%</v>
      </c>
    </row>
    <row r="216" customFormat="false" ht="15" hidden="false" customHeight="false" outlineLevel="0" collapsed="false">
      <c r="A216" s="5" t="s">
        <v>3995</v>
      </c>
      <c r="B216" s="5" t="s">
        <v>362</v>
      </c>
      <c r="C216" s="5" t="s">
        <v>95</v>
      </c>
      <c r="D216" s="5" t="s">
        <v>16</v>
      </c>
      <c r="E216" s="5" t="n">
        <f aca="false">ROUND(17878*1.05,2)</f>
        <v>18771.9</v>
      </c>
      <c r="F216" s="5" t="s">
        <v>49</v>
      </c>
      <c r="G216" s="5" t="s">
        <v>18</v>
      </c>
      <c r="H216" s="5" t="n">
        <f aca="true">ROUND(RAND()*4+6,1)</f>
        <v>7.3</v>
      </c>
      <c r="I216" s="5" t="s">
        <v>19</v>
      </c>
      <c r="J216" s="5" t="str">
        <f aca="false">ROUND(92*1,0)&amp;"%"</f>
        <v>92%</v>
      </c>
    </row>
    <row r="217" customFormat="false" ht="15" hidden="false" customHeight="false" outlineLevel="0" collapsed="false">
      <c r="A217" s="6" t="s">
        <v>3996</v>
      </c>
      <c r="B217" s="6" t="s">
        <v>364</v>
      </c>
      <c r="C217" s="6" t="s">
        <v>95</v>
      </c>
      <c r="D217" s="6" t="s">
        <v>22</v>
      </c>
      <c r="E217" s="6" t="n">
        <f aca="false">ROUND(17574*1.05,2)</f>
        <v>18452.7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ROUND(73*1,0)&amp;"%"</f>
        <v>73%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3997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3998</v>
      </c>
      <c r="B222" s="5" t="s">
        <v>368</v>
      </c>
      <c r="C222" s="5" t="s">
        <v>114</v>
      </c>
      <c r="D222" s="5" t="s">
        <v>16</v>
      </c>
      <c r="E222" s="5" t="n">
        <f aca="false">ROUND(14154*1.05,2)</f>
        <v>14861.7</v>
      </c>
      <c r="F222" s="5" t="s">
        <v>17</v>
      </c>
      <c r="G222" s="5" t="s">
        <v>18</v>
      </c>
      <c r="H222" s="5" t="n">
        <f aca="true">ROUND(RAND()*4+6,1)</f>
        <v>9.1</v>
      </c>
      <c r="I222" s="5" t="s">
        <v>19</v>
      </c>
      <c r="J222" s="5" t="str">
        <f aca="false">ROUND(95*1,0)&amp;"%"</f>
        <v>95%</v>
      </c>
    </row>
    <row r="223" customFormat="false" ht="15" hidden="false" customHeight="false" outlineLevel="0" collapsed="false">
      <c r="A223" s="6" t="s">
        <v>3999</v>
      </c>
      <c r="B223" s="6" t="s">
        <v>370</v>
      </c>
      <c r="C223" s="6" t="s">
        <v>114</v>
      </c>
      <c r="D223" s="6" t="s">
        <v>22</v>
      </c>
      <c r="E223" s="6" t="n">
        <f aca="false">ROUND(14411*1.05,2)</f>
        <v>15131.55</v>
      </c>
      <c r="F223" s="6" t="s">
        <v>23</v>
      </c>
      <c r="G223" s="6" t="s">
        <v>24</v>
      </c>
      <c r="H223" s="6" t="n">
        <f aca="true">ROUND(RAND()*4+6,1)</f>
        <v>6.8</v>
      </c>
      <c r="I223" s="6" t="s">
        <v>25</v>
      </c>
      <c r="J223" s="6" t="str">
        <f aca="false">ROUND(97*1,0)&amp;"%"</f>
        <v>97%</v>
      </c>
    </row>
    <row r="224" customFormat="false" ht="15" hidden="false" customHeight="false" outlineLevel="0" collapsed="false">
      <c r="A224" s="5" t="s">
        <v>4000</v>
      </c>
      <c r="B224" s="5" t="s">
        <v>372</v>
      </c>
      <c r="C224" s="5" t="s">
        <v>114</v>
      </c>
      <c r="D224" s="5" t="s">
        <v>28</v>
      </c>
      <c r="E224" s="5" t="n">
        <f aca="false">ROUND(16539*1.05,2)</f>
        <v>17365.95</v>
      </c>
      <c r="F224" s="5" t="s">
        <v>29</v>
      </c>
      <c r="G224" s="5" t="s">
        <v>30</v>
      </c>
      <c r="H224" s="5" t="n">
        <f aca="true">ROUND(RAND()*4+6,1)</f>
        <v>6.8</v>
      </c>
      <c r="I224" s="5" t="s">
        <v>31</v>
      </c>
      <c r="J224" s="5" t="str">
        <f aca="false">ROUND(79*1,0)&amp;"%"</f>
        <v>79%</v>
      </c>
    </row>
    <row r="225" customFormat="false" ht="15" hidden="false" customHeight="false" outlineLevel="0" collapsed="false">
      <c r="A225" s="6" t="s">
        <v>4001</v>
      </c>
      <c r="B225" s="6" t="s">
        <v>374</v>
      </c>
      <c r="C225" s="6" t="s">
        <v>114</v>
      </c>
      <c r="D225" s="6" t="s">
        <v>34</v>
      </c>
      <c r="E225" s="6" t="n">
        <f aca="false">ROUND(4406*1.05,2)</f>
        <v>4626.3</v>
      </c>
      <c r="F225" s="6" t="s">
        <v>35</v>
      </c>
      <c r="G225" s="6" t="s">
        <v>18</v>
      </c>
      <c r="H225" s="6" t="n">
        <f aca="true">ROUND(RAND()*4+6,1)</f>
        <v>8.7</v>
      </c>
      <c r="I225" s="6" t="s">
        <v>36</v>
      </c>
      <c r="J225" s="6" t="str">
        <f aca="false">ROUND(95*1,0)&amp;"%"</f>
        <v>95%</v>
      </c>
    </row>
    <row r="226" customFormat="false" ht="15" hidden="false" customHeight="false" outlineLevel="0" collapsed="false">
      <c r="A226" s="5" t="s">
        <v>4002</v>
      </c>
      <c r="B226" s="5" t="s">
        <v>376</v>
      </c>
      <c r="C226" s="5" t="s">
        <v>114</v>
      </c>
      <c r="D226" s="5" t="s">
        <v>39</v>
      </c>
      <c r="E226" s="5" t="n">
        <f aca="false">ROUND(5985*1.05,2)</f>
        <v>6284.25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ROUND(84*1,0)&amp;"%"</f>
        <v>84%</v>
      </c>
    </row>
    <row r="227" customFormat="false" ht="15" hidden="false" customHeight="false" outlineLevel="0" collapsed="false">
      <c r="A227" s="6" t="s">
        <v>4003</v>
      </c>
      <c r="B227" s="6" t="s">
        <v>378</v>
      </c>
      <c r="C227" s="6" t="s">
        <v>114</v>
      </c>
      <c r="D227" s="6" t="s">
        <v>44</v>
      </c>
      <c r="E227" s="6" t="n">
        <f aca="false">ROUND(9317*1.05,2)</f>
        <v>9782.85</v>
      </c>
      <c r="F227" s="6" t="s">
        <v>45</v>
      </c>
      <c r="G227" s="6" t="s">
        <v>30</v>
      </c>
      <c r="H227" s="6" t="n">
        <f aca="true">ROUND(RAND()*4+6,1)</f>
        <v>7.6</v>
      </c>
      <c r="I227" s="6" t="s">
        <v>46</v>
      </c>
      <c r="J227" s="6" t="str">
        <f aca="false">ROUND(100*1,0)&amp;"%"</f>
        <v>100%</v>
      </c>
    </row>
    <row r="228" customFormat="false" ht="15" hidden="false" customHeight="false" outlineLevel="0" collapsed="false">
      <c r="A228" s="5" t="s">
        <v>4004</v>
      </c>
      <c r="B228" s="5" t="s">
        <v>380</v>
      </c>
      <c r="C228" s="5" t="s">
        <v>114</v>
      </c>
      <c r="D228" s="5" t="s">
        <v>16</v>
      </c>
      <c r="E228" s="5" t="n">
        <f aca="false">ROUND(11086*1.05,2)</f>
        <v>11640.3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ROUND(100*1,0)&amp;"%"</f>
        <v>100%</v>
      </c>
    </row>
    <row r="229" customFormat="false" ht="15" hidden="false" customHeight="false" outlineLevel="0" collapsed="false">
      <c r="A229" s="6" t="s">
        <v>4005</v>
      </c>
      <c r="B229" s="6" t="s">
        <v>382</v>
      </c>
      <c r="C229" s="6" t="s">
        <v>114</v>
      </c>
      <c r="D229" s="6" t="s">
        <v>22</v>
      </c>
      <c r="E229" s="6" t="n">
        <f aca="false">ROUND(10758*1.05,2)</f>
        <v>11295.9</v>
      </c>
      <c r="F229" s="6" t="s">
        <v>52</v>
      </c>
      <c r="G229" s="6" t="s">
        <v>24</v>
      </c>
      <c r="H229" s="6" t="n">
        <f aca="true">ROUND(RAND()*4+6,1)</f>
        <v>8.6</v>
      </c>
      <c r="I229" s="6" t="s">
        <v>25</v>
      </c>
      <c r="J229" s="6" t="str">
        <f aca="false">ROUND(74*1,0)&amp;"%"</f>
        <v>74%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4006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4007</v>
      </c>
      <c r="B234" s="5" t="s">
        <v>386</v>
      </c>
      <c r="C234" s="5" t="s">
        <v>133</v>
      </c>
      <c r="D234" s="5" t="s">
        <v>16</v>
      </c>
      <c r="E234" s="5" t="n">
        <f aca="false">ROUND(13557*1.05,2)</f>
        <v>14234.85</v>
      </c>
      <c r="F234" s="5" t="s">
        <v>17</v>
      </c>
      <c r="G234" s="5" t="s">
        <v>18</v>
      </c>
      <c r="H234" s="5" t="n">
        <f aca="true">ROUND(RAND()*4+6,1)</f>
        <v>7.3</v>
      </c>
      <c r="I234" s="5" t="s">
        <v>19</v>
      </c>
      <c r="J234" s="5" t="str">
        <f aca="false">ROUND(92*1,0)&amp;"%"</f>
        <v>92%</v>
      </c>
    </row>
    <row r="235" customFormat="false" ht="15" hidden="false" customHeight="false" outlineLevel="0" collapsed="false">
      <c r="A235" s="6" t="s">
        <v>4008</v>
      </c>
      <c r="B235" s="6" t="s">
        <v>388</v>
      </c>
      <c r="C235" s="6" t="s">
        <v>133</v>
      </c>
      <c r="D235" s="6" t="s">
        <v>22</v>
      </c>
      <c r="E235" s="6" t="n">
        <f aca="false">ROUND(7553*1.05,2)</f>
        <v>7930.65</v>
      </c>
      <c r="F235" s="6" t="s">
        <v>23</v>
      </c>
      <c r="G235" s="6" t="s">
        <v>24</v>
      </c>
      <c r="H235" s="6" t="n">
        <f aca="true">ROUND(RAND()*4+6,1)</f>
        <v>7.4</v>
      </c>
      <c r="I235" s="6" t="s">
        <v>25</v>
      </c>
      <c r="J235" s="6" t="str">
        <f aca="false">ROUND(84*1,0)&amp;"%"</f>
        <v>84%</v>
      </c>
    </row>
    <row r="236" customFormat="false" ht="15" hidden="false" customHeight="false" outlineLevel="0" collapsed="false">
      <c r="A236" s="5" t="s">
        <v>4009</v>
      </c>
      <c r="B236" s="5" t="s">
        <v>390</v>
      </c>
      <c r="C236" s="5" t="s">
        <v>133</v>
      </c>
      <c r="D236" s="5" t="s">
        <v>28</v>
      </c>
      <c r="E236" s="5" t="n">
        <f aca="false">ROUND(16955*1.05,2)</f>
        <v>17802.75</v>
      </c>
      <c r="F236" s="5" t="s">
        <v>29</v>
      </c>
      <c r="G236" s="5" t="s">
        <v>30</v>
      </c>
      <c r="H236" s="5" t="n">
        <f aca="true">ROUND(RAND()*4+6,1)</f>
        <v>8.6</v>
      </c>
      <c r="I236" s="5" t="s">
        <v>31</v>
      </c>
      <c r="J236" s="5" t="str">
        <f aca="false">ROUND(62*1,0)&amp;"%"</f>
        <v>62%</v>
      </c>
    </row>
    <row r="237" customFormat="false" ht="15" hidden="false" customHeight="false" outlineLevel="0" collapsed="false">
      <c r="A237" s="6" t="s">
        <v>4010</v>
      </c>
      <c r="B237" s="6" t="s">
        <v>392</v>
      </c>
      <c r="C237" s="6" t="s">
        <v>133</v>
      </c>
      <c r="D237" s="6" t="s">
        <v>34</v>
      </c>
      <c r="E237" s="6" t="n">
        <f aca="false">ROUND(14385*1.05,2)</f>
        <v>15104.25</v>
      </c>
      <c r="F237" s="6" t="s">
        <v>35</v>
      </c>
      <c r="G237" s="6" t="s">
        <v>18</v>
      </c>
      <c r="H237" s="6" t="n">
        <f aca="true">ROUND(RAND()*4+6,1)</f>
        <v>7.6</v>
      </c>
      <c r="I237" s="6" t="s">
        <v>36</v>
      </c>
      <c r="J237" s="6" t="str">
        <f aca="false">ROUND(73*1,0)&amp;"%"</f>
        <v>73%</v>
      </c>
    </row>
    <row r="238" customFormat="false" ht="15" hidden="false" customHeight="false" outlineLevel="0" collapsed="false">
      <c r="A238" s="5" t="s">
        <v>4011</v>
      </c>
      <c r="B238" s="5" t="s">
        <v>394</v>
      </c>
      <c r="C238" s="5" t="s">
        <v>133</v>
      </c>
      <c r="D238" s="5" t="s">
        <v>39</v>
      </c>
      <c r="E238" s="5" t="n">
        <f aca="false">ROUND(15804*1.05,2)</f>
        <v>16594.2</v>
      </c>
      <c r="F238" s="5" t="s">
        <v>40</v>
      </c>
      <c r="G238" s="5" t="s">
        <v>24</v>
      </c>
      <c r="H238" s="5" t="n">
        <f aca="true">ROUND(RAND()*4+6,1)</f>
        <v>9.5</v>
      </c>
      <c r="I238" s="5" t="s">
        <v>41</v>
      </c>
      <c r="J238" s="5" t="str">
        <f aca="false">ROUND(83*1,0)&amp;"%"</f>
        <v>83%</v>
      </c>
    </row>
    <row r="239" customFormat="false" ht="15" hidden="false" customHeight="false" outlineLevel="0" collapsed="false">
      <c r="A239" s="6" t="s">
        <v>4012</v>
      </c>
      <c r="B239" s="6" t="s">
        <v>396</v>
      </c>
      <c r="C239" s="6" t="s">
        <v>133</v>
      </c>
      <c r="D239" s="6" t="s">
        <v>44</v>
      </c>
      <c r="E239" s="6" t="n">
        <f aca="false">ROUND(9224*1.05,2)</f>
        <v>9685.2</v>
      </c>
      <c r="F239" s="6" t="s">
        <v>45</v>
      </c>
      <c r="G239" s="6" t="s">
        <v>30</v>
      </c>
      <c r="H239" s="6" t="n">
        <f aca="true">ROUND(RAND()*4+6,1)</f>
        <v>8.3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4013</v>
      </c>
      <c r="B240" s="5" t="s">
        <v>398</v>
      </c>
      <c r="C240" s="5" t="s">
        <v>133</v>
      </c>
      <c r="D240" s="5" t="s">
        <v>16</v>
      </c>
      <c r="E240" s="5" t="n">
        <f aca="false">ROUND(10547*1.05,2)</f>
        <v>11074.35</v>
      </c>
      <c r="F240" s="5" t="s">
        <v>49</v>
      </c>
      <c r="G240" s="5" t="s">
        <v>18</v>
      </c>
      <c r="H240" s="5" t="n">
        <f aca="true">ROUND(RAND()*4+6,1)</f>
        <v>7.7</v>
      </c>
      <c r="I240" s="5" t="s">
        <v>19</v>
      </c>
      <c r="J240" s="5" t="str">
        <f aca="false">ROUND(97*1,0)&amp;"%"</f>
        <v>97%</v>
      </c>
    </row>
    <row r="241" customFormat="false" ht="15" hidden="false" customHeight="false" outlineLevel="0" collapsed="false">
      <c r="A241" s="6" t="s">
        <v>4014</v>
      </c>
      <c r="B241" s="6" t="s">
        <v>400</v>
      </c>
      <c r="C241" s="6" t="s">
        <v>133</v>
      </c>
      <c r="D241" s="6" t="s">
        <v>22</v>
      </c>
      <c r="E241" s="6" t="n">
        <f aca="false">ROUND(10628*1.05,2)</f>
        <v>11159.4</v>
      </c>
      <c r="F241" s="6" t="s">
        <v>52</v>
      </c>
      <c r="G241" s="6" t="s">
        <v>24</v>
      </c>
      <c r="H241" s="6" t="n">
        <f aca="true">ROUND(RAND()*4+6,1)</f>
        <v>8.8</v>
      </c>
      <c r="I241" s="6" t="s">
        <v>25</v>
      </c>
      <c r="J241" s="6" t="str">
        <f aca="false">ROUND(65*1,0)&amp;"%"</f>
        <v>65%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4015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4016</v>
      </c>
      <c r="B246" s="5" t="s">
        <v>404</v>
      </c>
      <c r="C246" s="5" t="s">
        <v>152</v>
      </c>
      <c r="D246" s="5" t="s">
        <v>16</v>
      </c>
      <c r="E246" s="5" t="n">
        <f aca="false">ROUND(12003*1.05,2)</f>
        <v>12603.15</v>
      </c>
      <c r="F246" s="5" t="s">
        <v>17</v>
      </c>
      <c r="G246" s="5" t="s">
        <v>18</v>
      </c>
      <c r="H246" s="5" t="n">
        <f aca="true">ROUND(RAND()*4+6,1)</f>
        <v>9.8</v>
      </c>
      <c r="I246" s="5" t="s">
        <v>19</v>
      </c>
      <c r="J246" s="5" t="str">
        <f aca="false">ROUND(81*1,0)&amp;"%"</f>
        <v>81%</v>
      </c>
    </row>
    <row r="247" customFormat="false" ht="15" hidden="false" customHeight="false" outlineLevel="0" collapsed="false">
      <c r="A247" s="6" t="s">
        <v>4017</v>
      </c>
      <c r="B247" s="6" t="s">
        <v>406</v>
      </c>
      <c r="C247" s="6" t="s">
        <v>152</v>
      </c>
      <c r="D247" s="6" t="s">
        <v>22</v>
      </c>
      <c r="E247" s="6" t="n">
        <f aca="false">ROUND(10758*1.05,2)</f>
        <v>11295.9</v>
      </c>
      <c r="F247" s="6" t="s">
        <v>23</v>
      </c>
      <c r="G247" s="6" t="s">
        <v>24</v>
      </c>
      <c r="H247" s="6" t="n">
        <f aca="true">ROUND(RAND()*4+6,1)</f>
        <v>7.8</v>
      </c>
      <c r="I247" s="6" t="s">
        <v>25</v>
      </c>
      <c r="J247" s="6" t="str">
        <f aca="false">ROUND(91*1,0)&amp;"%"</f>
        <v>91%</v>
      </c>
    </row>
    <row r="248" customFormat="false" ht="15" hidden="false" customHeight="false" outlineLevel="0" collapsed="false">
      <c r="A248" s="5" t="s">
        <v>4018</v>
      </c>
      <c r="B248" s="5" t="s">
        <v>408</v>
      </c>
      <c r="C248" s="5" t="s">
        <v>152</v>
      </c>
      <c r="D248" s="5" t="s">
        <v>28</v>
      </c>
      <c r="E248" s="5" t="n">
        <f aca="false">ROUND(16724*1.05,2)</f>
        <v>17560.2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ROUND(83*1,0)&amp;"%"</f>
        <v>83%</v>
      </c>
    </row>
    <row r="249" customFormat="false" ht="15" hidden="false" customHeight="false" outlineLevel="0" collapsed="false">
      <c r="A249" s="6" t="s">
        <v>4019</v>
      </c>
      <c r="B249" s="6" t="s">
        <v>410</v>
      </c>
      <c r="C249" s="6" t="s">
        <v>152</v>
      </c>
      <c r="D249" s="6" t="s">
        <v>34</v>
      </c>
      <c r="E249" s="6" t="n">
        <f aca="false">ROUND(12592*1.05,2)</f>
        <v>13221.6</v>
      </c>
      <c r="F249" s="6" t="s">
        <v>35</v>
      </c>
      <c r="G249" s="6" t="s">
        <v>18</v>
      </c>
      <c r="H249" s="6" t="n">
        <f aca="true">ROUND(RAND()*4+6,1)</f>
        <v>6.7</v>
      </c>
      <c r="I249" s="6" t="s">
        <v>36</v>
      </c>
      <c r="J249" s="6" t="str">
        <f aca="false">ROUND(88*1,0)&amp;"%"</f>
        <v>88%</v>
      </c>
    </row>
    <row r="250" customFormat="false" ht="15" hidden="false" customHeight="false" outlineLevel="0" collapsed="false">
      <c r="A250" s="5" t="s">
        <v>4020</v>
      </c>
      <c r="B250" s="5" t="s">
        <v>412</v>
      </c>
      <c r="C250" s="5" t="s">
        <v>152</v>
      </c>
      <c r="D250" s="5" t="s">
        <v>39</v>
      </c>
      <c r="E250" s="5" t="n">
        <f aca="false">ROUND(14845*1.05,2)</f>
        <v>15587.25</v>
      </c>
      <c r="F250" s="5" t="s">
        <v>40</v>
      </c>
      <c r="G250" s="5" t="s">
        <v>24</v>
      </c>
      <c r="H250" s="5" t="n">
        <f aca="true">ROUND(RAND()*4+6,1)</f>
        <v>7.7</v>
      </c>
      <c r="I250" s="5" t="s">
        <v>41</v>
      </c>
      <c r="J250" s="5" t="str">
        <f aca="false">ROUND(66*1,0)&amp;"%"</f>
        <v>66%</v>
      </c>
    </row>
    <row r="251" customFormat="false" ht="15" hidden="false" customHeight="false" outlineLevel="0" collapsed="false">
      <c r="A251" s="6" t="s">
        <v>4021</v>
      </c>
      <c r="B251" s="6" t="s">
        <v>414</v>
      </c>
      <c r="C251" s="6" t="s">
        <v>152</v>
      </c>
      <c r="D251" s="6" t="s">
        <v>44</v>
      </c>
      <c r="E251" s="6" t="n">
        <f aca="false">ROUND(6795*1.05,2)</f>
        <v>7134.75</v>
      </c>
      <c r="F251" s="6" t="s">
        <v>45</v>
      </c>
      <c r="G251" s="6" t="s">
        <v>30</v>
      </c>
      <c r="H251" s="6" t="n">
        <f aca="true">ROUND(RAND()*4+6,1)</f>
        <v>6.2</v>
      </c>
      <c r="I251" s="6" t="s">
        <v>46</v>
      </c>
      <c r="J251" s="6" t="str">
        <f aca="false">ROUND(100*1,0)&amp;"%"</f>
        <v>100%</v>
      </c>
    </row>
    <row r="252" customFormat="false" ht="15" hidden="false" customHeight="false" outlineLevel="0" collapsed="false">
      <c r="A252" s="5" t="s">
        <v>4022</v>
      </c>
      <c r="B252" s="5" t="s">
        <v>416</v>
      </c>
      <c r="C252" s="5" t="s">
        <v>152</v>
      </c>
      <c r="D252" s="5" t="s">
        <v>16</v>
      </c>
      <c r="E252" s="5" t="n">
        <f aca="false">ROUND(8621*1.05,2)</f>
        <v>9052.05</v>
      </c>
      <c r="F252" s="5" t="s">
        <v>49</v>
      </c>
      <c r="G252" s="5" t="s">
        <v>18</v>
      </c>
      <c r="H252" s="5" t="n">
        <f aca="true">ROUND(RAND()*4+6,1)</f>
        <v>6.7</v>
      </c>
      <c r="I252" s="5" t="s">
        <v>19</v>
      </c>
      <c r="J252" s="5" t="str">
        <f aca="false">ROUND(89*1,0)&amp;"%"</f>
        <v>89%</v>
      </c>
    </row>
    <row r="253" customFormat="false" ht="15" hidden="false" customHeight="false" outlineLevel="0" collapsed="false">
      <c r="A253" s="6" t="s">
        <v>4023</v>
      </c>
      <c r="B253" s="6" t="s">
        <v>418</v>
      </c>
      <c r="C253" s="6" t="s">
        <v>152</v>
      </c>
      <c r="D253" s="6" t="s">
        <v>22</v>
      </c>
      <c r="E253" s="6" t="n">
        <f aca="false">ROUND(12866*1.05,2)</f>
        <v>13509.3</v>
      </c>
      <c r="F253" s="6" t="s">
        <v>52</v>
      </c>
      <c r="G253" s="6" t="s">
        <v>24</v>
      </c>
      <c r="H253" s="6" t="n">
        <f aca="true">ROUND(RAND()*4+6,1)</f>
        <v>8.2</v>
      </c>
      <c r="I253" s="6" t="s">
        <v>25</v>
      </c>
      <c r="J253" s="6" t="str">
        <f aca="false">ROUND(82*1,0)&amp;"%"</f>
        <v>82%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4024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4025</v>
      </c>
      <c r="B258" s="5" t="s">
        <v>422</v>
      </c>
      <c r="C258" s="5" t="s">
        <v>15</v>
      </c>
      <c r="D258" s="5" t="s">
        <v>16</v>
      </c>
      <c r="E258" s="5" t="n">
        <f aca="false">ROUND(14965*1.05,2)</f>
        <v>15713.25</v>
      </c>
      <c r="F258" s="5" t="s">
        <v>17</v>
      </c>
      <c r="G258" s="5" t="s">
        <v>18</v>
      </c>
      <c r="H258" s="5" t="n">
        <f aca="true">ROUND(RAND()*4+6,1)</f>
        <v>8.2</v>
      </c>
      <c r="I258" s="5" t="s">
        <v>19</v>
      </c>
      <c r="J258" s="5" t="str">
        <f aca="false">ROUND(79*1,0)&amp;"%"</f>
        <v>79%</v>
      </c>
    </row>
    <row r="259" customFormat="false" ht="15" hidden="false" customHeight="false" outlineLevel="0" collapsed="false">
      <c r="A259" s="6" t="s">
        <v>4026</v>
      </c>
      <c r="B259" s="6" t="s">
        <v>424</v>
      </c>
      <c r="C259" s="6" t="s">
        <v>15</v>
      </c>
      <c r="D259" s="6" t="s">
        <v>22</v>
      </c>
      <c r="E259" s="6" t="n">
        <f aca="false">ROUND(11379*1.05,2)</f>
        <v>11947.95</v>
      </c>
      <c r="F259" s="6" t="s">
        <v>23</v>
      </c>
      <c r="G259" s="6" t="s">
        <v>24</v>
      </c>
      <c r="H259" s="6" t="n">
        <f aca="true">ROUND(RAND()*4+6,1)</f>
        <v>9.1</v>
      </c>
      <c r="I259" s="6" t="s">
        <v>25</v>
      </c>
      <c r="J259" s="6" t="str">
        <f aca="false">ROUND(73*1,0)&amp;"%"</f>
        <v>73%</v>
      </c>
    </row>
    <row r="260" customFormat="false" ht="15" hidden="false" customHeight="false" outlineLevel="0" collapsed="false">
      <c r="A260" s="5" t="s">
        <v>4027</v>
      </c>
      <c r="B260" s="5" t="s">
        <v>426</v>
      </c>
      <c r="C260" s="5" t="s">
        <v>15</v>
      </c>
      <c r="D260" s="5" t="s">
        <v>28</v>
      </c>
      <c r="E260" s="5" t="n">
        <f aca="false">ROUND(16070*1.05,2)</f>
        <v>16873.5</v>
      </c>
      <c r="F260" s="5" t="s">
        <v>29</v>
      </c>
      <c r="G260" s="5" t="s">
        <v>30</v>
      </c>
      <c r="H260" s="5" t="n">
        <f aca="true">ROUND(RAND()*4+6,1)</f>
        <v>6.1</v>
      </c>
      <c r="I260" s="5" t="s">
        <v>31</v>
      </c>
      <c r="J260" s="5" t="str">
        <f aca="false">ROUND(92*1,0)&amp;"%"</f>
        <v>92%</v>
      </c>
    </row>
    <row r="261" customFormat="false" ht="15" hidden="false" customHeight="false" outlineLevel="0" collapsed="false">
      <c r="A261" s="6" t="s">
        <v>4028</v>
      </c>
      <c r="B261" s="6" t="s">
        <v>428</v>
      </c>
      <c r="C261" s="6" t="s">
        <v>15</v>
      </c>
      <c r="D261" s="6" t="s">
        <v>34</v>
      </c>
      <c r="E261" s="6" t="n">
        <f aca="false">ROUND(7968*1.05,2)</f>
        <v>8366.4</v>
      </c>
      <c r="F261" s="6" t="s">
        <v>35</v>
      </c>
      <c r="G261" s="6" t="s">
        <v>18</v>
      </c>
      <c r="H261" s="6" t="n">
        <f aca="true">ROUND(RAND()*4+6,1)</f>
        <v>8.4</v>
      </c>
      <c r="I261" s="6" t="s">
        <v>36</v>
      </c>
      <c r="J261" s="6" t="str">
        <f aca="false">ROUND(96*1,0)&amp;"%"</f>
        <v>96%</v>
      </c>
    </row>
    <row r="262" customFormat="false" ht="15" hidden="false" customHeight="false" outlineLevel="0" collapsed="false">
      <c r="A262" s="5" t="s">
        <v>4029</v>
      </c>
      <c r="B262" s="5" t="s">
        <v>430</v>
      </c>
      <c r="C262" s="5" t="s">
        <v>15</v>
      </c>
      <c r="D262" s="5" t="s">
        <v>39</v>
      </c>
      <c r="E262" s="5" t="n">
        <f aca="false">ROUND(8573*1.05,2)</f>
        <v>9001.65</v>
      </c>
      <c r="F262" s="5" t="s">
        <v>40</v>
      </c>
      <c r="G262" s="5" t="s">
        <v>24</v>
      </c>
      <c r="H262" s="5" t="n">
        <f aca="true">ROUND(RAND()*4+6,1)</f>
        <v>9.1</v>
      </c>
      <c r="I262" s="5" t="s">
        <v>41</v>
      </c>
      <c r="J262" s="5" t="str">
        <f aca="false">ROUND(97*1,0)&amp;"%"</f>
        <v>97%</v>
      </c>
    </row>
    <row r="263" customFormat="false" ht="15" hidden="false" customHeight="false" outlineLevel="0" collapsed="false">
      <c r="A263" s="6" t="s">
        <v>4030</v>
      </c>
      <c r="B263" s="6" t="s">
        <v>432</v>
      </c>
      <c r="C263" s="6" t="s">
        <v>15</v>
      </c>
      <c r="D263" s="6" t="s">
        <v>44</v>
      </c>
      <c r="E263" s="6" t="n">
        <f aca="false">ROUND(8119*1.05,2)</f>
        <v>8524.95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ROUND(82*1,0)&amp;"%"</f>
        <v>82%</v>
      </c>
    </row>
    <row r="264" customFormat="false" ht="15" hidden="false" customHeight="false" outlineLevel="0" collapsed="false">
      <c r="A264" s="5" t="s">
        <v>4031</v>
      </c>
      <c r="B264" s="5" t="s">
        <v>434</v>
      </c>
      <c r="C264" s="5" t="s">
        <v>15</v>
      </c>
      <c r="D264" s="5" t="s">
        <v>16</v>
      </c>
      <c r="E264" s="5" t="n">
        <f aca="false">ROUND(12900*1.05,2)</f>
        <v>13545</v>
      </c>
      <c r="F264" s="5" t="s">
        <v>49</v>
      </c>
      <c r="G264" s="5" t="s">
        <v>18</v>
      </c>
      <c r="H264" s="5" t="n">
        <f aca="true">ROUND(RAND()*4+6,1)</f>
        <v>8</v>
      </c>
      <c r="I264" s="5" t="s">
        <v>19</v>
      </c>
      <c r="J264" s="5" t="str">
        <f aca="false">ROUND(78*1,0)&amp;"%"</f>
        <v>78%</v>
      </c>
    </row>
    <row r="265" customFormat="false" ht="15" hidden="false" customHeight="false" outlineLevel="0" collapsed="false">
      <c r="A265" s="6" t="s">
        <v>4032</v>
      </c>
      <c r="B265" s="6" t="s">
        <v>436</v>
      </c>
      <c r="C265" s="6" t="s">
        <v>15</v>
      </c>
      <c r="D265" s="6" t="s">
        <v>22</v>
      </c>
      <c r="E265" s="6" t="n">
        <f aca="false">ROUND(16963*1.05,2)</f>
        <v>17811.15</v>
      </c>
      <c r="F265" s="6" t="s">
        <v>52</v>
      </c>
      <c r="G265" s="6" t="s">
        <v>24</v>
      </c>
      <c r="H265" s="6" t="n">
        <f aca="true">ROUND(RAND()*4+6,1)</f>
        <v>8.5</v>
      </c>
      <c r="I265" s="6" t="s">
        <v>25</v>
      </c>
      <c r="J265" s="6" t="str">
        <f aca="false">ROUND(73*1,0)&amp;"%"</f>
        <v>73%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4033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4034</v>
      </c>
      <c r="B270" s="5" t="s">
        <v>440</v>
      </c>
      <c r="C270" s="5" t="s">
        <v>57</v>
      </c>
      <c r="D270" s="5" t="s">
        <v>16</v>
      </c>
      <c r="E270" s="5" t="n">
        <f aca="false">ROUND(14355*1.05,2)</f>
        <v>15072.75</v>
      </c>
      <c r="F270" s="5" t="s">
        <v>17</v>
      </c>
      <c r="G270" s="5" t="s">
        <v>18</v>
      </c>
      <c r="H270" s="5" t="n">
        <f aca="true">ROUND(RAND()*4+6,1)</f>
        <v>9.7</v>
      </c>
      <c r="I270" s="5" t="s">
        <v>19</v>
      </c>
      <c r="J270" s="5" t="str">
        <f aca="false">ROUND(79*1,0)&amp;"%"</f>
        <v>79%</v>
      </c>
    </row>
    <row r="271" customFormat="false" ht="15" hidden="false" customHeight="false" outlineLevel="0" collapsed="false">
      <c r="A271" s="6" t="s">
        <v>4035</v>
      </c>
      <c r="B271" s="6" t="s">
        <v>442</v>
      </c>
      <c r="C271" s="6" t="s">
        <v>57</v>
      </c>
      <c r="D271" s="6" t="s">
        <v>22</v>
      </c>
      <c r="E271" s="6" t="n">
        <f aca="false">ROUND(14060*1.05,2)</f>
        <v>14763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ROUND(84*1,0)&amp;"%"</f>
        <v>84%</v>
      </c>
    </row>
    <row r="272" customFormat="false" ht="15" hidden="false" customHeight="false" outlineLevel="0" collapsed="false">
      <c r="A272" s="5" t="s">
        <v>4036</v>
      </c>
      <c r="B272" s="5" t="s">
        <v>444</v>
      </c>
      <c r="C272" s="5" t="s">
        <v>57</v>
      </c>
      <c r="D272" s="5" t="s">
        <v>28</v>
      </c>
      <c r="E272" s="5" t="n">
        <f aca="false">ROUND(9862*1.05,2)</f>
        <v>10355.1</v>
      </c>
      <c r="F272" s="5" t="s">
        <v>29</v>
      </c>
      <c r="G272" s="5" t="s">
        <v>30</v>
      </c>
      <c r="H272" s="5" t="n">
        <f aca="true">ROUND(RAND()*4+6,1)</f>
        <v>8.9</v>
      </c>
      <c r="I272" s="5" t="s">
        <v>31</v>
      </c>
      <c r="J272" s="5" t="str">
        <f aca="false">ROUND(70*1,0)&amp;"%"</f>
        <v>70%</v>
      </c>
    </row>
    <row r="273" customFormat="false" ht="15" hidden="false" customHeight="false" outlineLevel="0" collapsed="false">
      <c r="A273" s="6" t="s">
        <v>4037</v>
      </c>
      <c r="B273" s="6" t="s">
        <v>446</v>
      </c>
      <c r="C273" s="6" t="s">
        <v>57</v>
      </c>
      <c r="D273" s="6" t="s">
        <v>34</v>
      </c>
      <c r="E273" s="6" t="n">
        <f aca="false">ROUND(13929*1.05,2)</f>
        <v>14625.45</v>
      </c>
      <c r="F273" s="6" t="s">
        <v>35</v>
      </c>
      <c r="G273" s="6" t="s">
        <v>18</v>
      </c>
      <c r="H273" s="6" t="n">
        <f aca="true">ROUND(RAND()*4+6,1)</f>
        <v>7.1</v>
      </c>
      <c r="I273" s="6" t="s">
        <v>36</v>
      </c>
      <c r="J273" s="6" t="str">
        <f aca="false">ROUND(61*1,0)&amp;"%"</f>
        <v>61%</v>
      </c>
    </row>
    <row r="274" customFormat="false" ht="15" hidden="false" customHeight="false" outlineLevel="0" collapsed="false">
      <c r="A274" s="5" t="s">
        <v>4038</v>
      </c>
      <c r="B274" s="5" t="s">
        <v>448</v>
      </c>
      <c r="C274" s="5" t="s">
        <v>57</v>
      </c>
      <c r="D274" s="5" t="s">
        <v>39</v>
      </c>
      <c r="E274" s="5" t="n">
        <f aca="false">ROUND(8902*1.05,2)</f>
        <v>9347.1</v>
      </c>
      <c r="F274" s="5" t="s">
        <v>40</v>
      </c>
      <c r="G274" s="5" t="s">
        <v>24</v>
      </c>
      <c r="H274" s="5" t="n">
        <f aca="true">ROUND(RAND()*4+6,1)</f>
        <v>7.3</v>
      </c>
      <c r="I274" s="5" t="s">
        <v>41</v>
      </c>
      <c r="J274" s="5" t="str">
        <f aca="false">ROUND(74*1,0)&amp;"%"</f>
        <v>74%</v>
      </c>
    </row>
    <row r="275" customFormat="false" ht="15" hidden="false" customHeight="false" outlineLevel="0" collapsed="false">
      <c r="A275" s="6" t="s">
        <v>4039</v>
      </c>
      <c r="B275" s="6" t="s">
        <v>450</v>
      </c>
      <c r="C275" s="6" t="s">
        <v>57</v>
      </c>
      <c r="D275" s="6" t="s">
        <v>44</v>
      </c>
      <c r="E275" s="6" t="n">
        <f aca="false">ROUND(15258*1.05,2)</f>
        <v>16020.9</v>
      </c>
      <c r="F275" s="6" t="s">
        <v>45</v>
      </c>
      <c r="G275" s="6" t="s">
        <v>30</v>
      </c>
      <c r="H275" s="6" t="n">
        <f aca="true">ROUND(RAND()*4+6,1)</f>
        <v>8.4</v>
      </c>
      <c r="I275" s="6" t="s">
        <v>46</v>
      </c>
      <c r="J275" s="6" t="str">
        <f aca="false">ROUND(99*1,0)&amp;"%"</f>
        <v>99%</v>
      </c>
    </row>
    <row r="276" customFormat="false" ht="15" hidden="false" customHeight="false" outlineLevel="0" collapsed="false">
      <c r="A276" s="5" t="s">
        <v>4040</v>
      </c>
      <c r="B276" s="5" t="s">
        <v>452</v>
      </c>
      <c r="C276" s="5" t="s">
        <v>57</v>
      </c>
      <c r="D276" s="5" t="s">
        <v>16</v>
      </c>
      <c r="E276" s="5" t="n">
        <f aca="false">ROUND(16224*1.05,2)</f>
        <v>17035.2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ROUND(100*1,0)&amp;"%"</f>
        <v>100%</v>
      </c>
    </row>
    <row r="277" customFormat="false" ht="15" hidden="false" customHeight="false" outlineLevel="0" collapsed="false">
      <c r="A277" s="6" t="s">
        <v>4041</v>
      </c>
      <c r="B277" s="6" t="s">
        <v>454</v>
      </c>
      <c r="C277" s="6" t="s">
        <v>57</v>
      </c>
      <c r="D277" s="6" t="s">
        <v>22</v>
      </c>
      <c r="E277" s="6" t="n">
        <f aca="false">ROUND(13272*1.05,2)</f>
        <v>13935.6</v>
      </c>
      <c r="F277" s="6" t="s">
        <v>52</v>
      </c>
      <c r="G277" s="6" t="s">
        <v>24</v>
      </c>
      <c r="H277" s="6" t="n">
        <f aca="true">ROUND(RAND()*4+6,1)</f>
        <v>9.5</v>
      </c>
      <c r="I277" s="6" t="s">
        <v>25</v>
      </c>
      <c r="J277" s="6" t="str">
        <f aca="false">ROUND(79*1,0)&amp;"%"</f>
        <v>79%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4042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4043</v>
      </c>
      <c r="B282" s="5" t="s">
        <v>458</v>
      </c>
      <c r="C282" s="5" t="s">
        <v>76</v>
      </c>
      <c r="D282" s="5" t="s">
        <v>16</v>
      </c>
      <c r="E282" s="5" t="n">
        <f aca="false">ROUND(12574*1.05,2)</f>
        <v>13202.7</v>
      </c>
      <c r="F282" s="5" t="s">
        <v>17</v>
      </c>
      <c r="G282" s="5" t="s">
        <v>18</v>
      </c>
      <c r="H282" s="5" t="n">
        <f aca="true">ROUND(RAND()*4+6,1)</f>
        <v>9.7</v>
      </c>
      <c r="I282" s="5" t="s">
        <v>19</v>
      </c>
      <c r="J282" s="5" t="str">
        <f aca="false">ROUND(77*1,0)&amp;"%"</f>
        <v>77%</v>
      </c>
    </row>
    <row r="283" customFormat="false" ht="15" hidden="false" customHeight="false" outlineLevel="0" collapsed="false">
      <c r="A283" s="6" t="s">
        <v>4044</v>
      </c>
      <c r="B283" s="6" t="s">
        <v>460</v>
      </c>
      <c r="C283" s="6" t="s">
        <v>76</v>
      </c>
      <c r="D283" s="6" t="s">
        <v>22</v>
      </c>
      <c r="E283" s="6" t="n">
        <f aca="false">ROUND(14291*1.05,2)</f>
        <v>15005.55</v>
      </c>
      <c r="F283" s="6" t="s">
        <v>23</v>
      </c>
      <c r="G283" s="6" t="s">
        <v>24</v>
      </c>
      <c r="H283" s="6" t="n">
        <f aca="true">ROUND(RAND()*4+6,1)</f>
        <v>7.4</v>
      </c>
      <c r="I283" s="6" t="s">
        <v>25</v>
      </c>
      <c r="J283" s="6" t="str">
        <f aca="false">ROUND(82*1,0)&amp;"%"</f>
        <v>82%</v>
      </c>
    </row>
    <row r="284" customFormat="false" ht="15" hidden="false" customHeight="false" outlineLevel="0" collapsed="false">
      <c r="A284" s="5" t="s">
        <v>4045</v>
      </c>
      <c r="B284" s="5" t="s">
        <v>462</v>
      </c>
      <c r="C284" s="5" t="s">
        <v>76</v>
      </c>
      <c r="D284" s="5" t="s">
        <v>28</v>
      </c>
      <c r="E284" s="5" t="n">
        <f aca="false">ROUND(6039*1.05,2)</f>
        <v>6340.95</v>
      </c>
      <c r="F284" s="5" t="s">
        <v>29</v>
      </c>
      <c r="G284" s="5" t="s">
        <v>30</v>
      </c>
      <c r="H284" s="5" t="n">
        <f aca="true">ROUND(RAND()*4+6,1)</f>
        <v>6.5</v>
      </c>
      <c r="I284" s="5" t="s">
        <v>31</v>
      </c>
      <c r="J284" s="5" t="str">
        <f aca="false">ROUND(79*1,0)&amp;"%"</f>
        <v>79%</v>
      </c>
    </row>
    <row r="285" customFormat="false" ht="15" hidden="false" customHeight="false" outlineLevel="0" collapsed="false">
      <c r="A285" s="6" t="s">
        <v>4046</v>
      </c>
      <c r="B285" s="6" t="s">
        <v>464</v>
      </c>
      <c r="C285" s="6" t="s">
        <v>76</v>
      </c>
      <c r="D285" s="6" t="s">
        <v>34</v>
      </c>
      <c r="E285" s="6" t="n">
        <f aca="false">ROUND(9944*1.05,2)</f>
        <v>10441.2</v>
      </c>
      <c r="F285" s="6" t="s">
        <v>35</v>
      </c>
      <c r="G285" s="6" t="s">
        <v>18</v>
      </c>
      <c r="H285" s="6" t="n">
        <f aca="true">ROUND(RAND()*4+6,1)</f>
        <v>8</v>
      </c>
      <c r="I285" s="6" t="s">
        <v>36</v>
      </c>
      <c r="J285" s="6" t="str">
        <f aca="false">ROUND(67*1,0)&amp;"%"</f>
        <v>67%</v>
      </c>
    </row>
    <row r="286" customFormat="false" ht="15" hidden="false" customHeight="false" outlineLevel="0" collapsed="false">
      <c r="A286" s="5" t="s">
        <v>4047</v>
      </c>
      <c r="B286" s="5" t="s">
        <v>466</v>
      </c>
      <c r="C286" s="5" t="s">
        <v>76</v>
      </c>
      <c r="D286" s="5" t="s">
        <v>39</v>
      </c>
      <c r="E286" s="5" t="n">
        <f aca="false">ROUND(14862*1.05,2)</f>
        <v>15605.1</v>
      </c>
      <c r="F286" s="5" t="s">
        <v>40</v>
      </c>
      <c r="G286" s="5" t="s">
        <v>24</v>
      </c>
      <c r="H286" s="5" t="n">
        <f aca="true">ROUND(RAND()*4+6,1)</f>
        <v>7.5</v>
      </c>
      <c r="I286" s="5" t="s">
        <v>41</v>
      </c>
      <c r="J286" s="5" t="str">
        <f aca="false">ROUND(81*1,0)&amp;"%"</f>
        <v>81%</v>
      </c>
    </row>
    <row r="287" customFormat="false" ht="15" hidden="false" customHeight="false" outlineLevel="0" collapsed="false">
      <c r="A287" s="6" t="s">
        <v>4048</v>
      </c>
      <c r="B287" s="6" t="s">
        <v>468</v>
      </c>
      <c r="C287" s="6" t="s">
        <v>76</v>
      </c>
      <c r="D287" s="6" t="s">
        <v>44</v>
      </c>
      <c r="E287" s="6" t="n">
        <f aca="false">ROUND(16431*1.05,2)</f>
        <v>17252.55</v>
      </c>
      <c r="F287" s="6" t="s">
        <v>45</v>
      </c>
      <c r="G287" s="6" t="s">
        <v>30</v>
      </c>
      <c r="H287" s="6" t="n">
        <f aca="true">ROUND(RAND()*4+6,1)</f>
        <v>8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4049</v>
      </c>
      <c r="B288" s="5" t="s">
        <v>470</v>
      </c>
      <c r="C288" s="5" t="s">
        <v>76</v>
      </c>
      <c r="D288" s="5" t="s">
        <v>16</v>
      </c>
      <c r="E288" s="5" t="n">
        <f aca="false">ROUND(17487*1.05,2)</f>
        <v>18361.35</v>
      </c>
      <c r="F288" s="5" t="s">
        <v>49</v>
      </c>
      <c r="G288" s="5" t="s">
        <v>18</v>
      </c>
      <c r="H288" s="5" t="n">
        <f aca="true">ROUND(RAND()*4+6,1)</f>
        <v>7.7</v>
      </c>
      <c r="I288" s="5" t="s">
        <v>19</v>
      </c>
      <c r="J288" s="5" t="str">
        <f aca="false">ROUND(72*1,0)&amp;"%"</f>
        <v>72%</v>
      </c>
    </row>
    <row r="289" customFormat="false" ht="15" hidden="false" customHeight="false" outlineLevel="0" collapsed="false">
      <c r="A289" s="6" t="s">
        <v>4050</v>
      </c>
      <c r="B289" s="6" t="s">
        <v>472</v>
      </c>
      <c r="C289" s="6" t="s">
        <v>76</v>
      </c>
      <c r="D289" s="6" t="s">
        <v>22</v>
      </c>
      <c r="E289" s="6" t="n">
        <f aca="false">ROUND(8781*1.05,2)</f>
        <v>9220.05</v>
      </c>
      <c r="F289" s="6" t="s">
        <v>52</v>
      </c>
      <c r="G289" s="6" t="s">
        <v>24</v>
      </c>
      <c r="H289" s="6" t="n">
        <f aca="true">ROUND(RAND()*4+6,1)</f>
        <v>8.9</v>
      </c>
      <c r="I289" s="6" t="s">
        <v>25</v>
      </c>
      <c r="J289" s="6" t="str">
        <f aca="false">ROUND(86*1,0)&amp;"%"</f>
        <v>86%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4051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4052</v>
      </c>
      <c r="B294" s="5" t="s">
        <v>476</v>
      </c>
      <c r="C294" s="5" t="s">
        <v>95</v>
      </c>
      <c r="D294" s="5" t="s">
        <v>16</v>
      </c>
      <c r="E294" s="5" t="n">
        <f aca="false">ROUND(14351*1.05,2)</f>
        <v>15068.55</v>
      </c>
      <c r="F294" s="5" t="s">
        <v>17</v>
      </c>
      <c r="G294" s="5" t="s">
        <v>18</v>
      </c>
      <c r="H294" s="5" t="n">
        <f aca="true">ROUND(RAND()*4+6,1)</f>
        <v>6.4</v>
      </c>
      <c r="I294" s="5" t="s">
        <v>19</v>
      </c>
      <c r="J294" s="5" t="str">
        <f aca="false">ROUND(84*1,0)&amp;"%"</f>
        <v>84%</v>
      </c>
    </row>
    <row r="295" customFormat="false" ht="15" hidden="false" customHeight="false" outlineLevel="0" collapsed="false">
      <c r="A295" s="6" t="s">
        <v>4053</v>
      </c>
      <c r="B295" s="6" t="s">
        <v>478</v>
      </c>
      <c r="C295" s="6" t="s">
        <v>95</v>
      </c>
      <c r="D295" s="6" t="s">
        <v>22</v>
      </c>
      <c r="E295" s="6" t="n">
        <f aca="false">ROUND(6714*1.05,2)</f>
        <v>7049.7</v>
      </c>
      <c r="F295" s="6" t="s">
        <v>23</v>
      </c>
      <c r="G295" s="6" t="s">
        <v>24</v>
      </c>
      <c r="H295" s="6" t="n">
        <f aca="true">ROUND(RAND()*4+6,1)</f>
        <v>7.6</v>
      </c>
      <c r="I295" s="6" t="s">
        <v>25</v>
      </c>
      <c r="J295" s="6" t="str">
        <f aca="false">ROUND(81*1,0)&amp;"%"</f>
        <v>81%</v>
      </c>
    </row>
    <row r="296" customFormat="false" ht="15" hidden="false" customHeight="false" outlineLevel="0" collapsed="false">
      <c r="A296" s="5" t="s">
        <v>4054</v>
      </c>
      <c r="B296" s="5" t="s">
        <v>480</v>
      </c>
      <c r="C296" s="5" t="s">
        <v>95</v>
      </c>
      <c r="D296" s="5" t="s">
        <v>28</v>
      </c>
      <c r="E296" s="5" t="n">
        <f aca="false">ROUND(12976*1.05,2)</f>
        <v>13624.8</v>
      </c>
      <c r="F296" s="5" t="s">
        <v>29</v>
      </c>
      <c r="G296" s="5" t="s">
        <v>30</v>
      </c>
      <c r="H296" s="5" t="n">
        <f aca="true">ROUND(RAND()*4+6,1)</f>
        <v>7.3</v>
      </c>
      <c r="I296" s="5" t="s">
        <v>31</v>
      </c>
      <c r="J296" s="5" t="str">
        <f aca="false">ROUND(98*1,0)&amp;"%"</f>
        <v>98%</v>
      </c>
    </row>
    <row r="297" customFormat="false" ht="15" hidden="false" customHeight="false" outlineLevel="0" collapsed="false">
      <c r="A297" s="6" t="s">
        <v>4055</v>
      </c>
      <c r="B297" s="6" t="s">
        <v>482</v>
      </c>
      <c r="C297" s="6" t="s">
        <v>95</v>
      </c>
      <c r="D297" s="6" t="s">
        <v>34</v>
      </c>
      <c r="E297" s="6" t="n">
        <f aca="false">ROUND(14738*1.05,2)</f>
        <v>15474.9</v>
      </c>
      <c r="F297" s="6" t="s">
        <v>35</v>
      </c>
      <c r="G297" s="6" t="s">
        <v>18</v>
      </c>
      <c r="H297" s="6" t="n">
        <f aca="true">ROUND(RAND()*4+6,1)</f>
        <v>8.6</v>
      </c>
      <c r="I297" s="6" t="s">
        <v>36</v>
      </c>
      <c r="J297" s="6" t="str">
        <f aca="false">ROUND(61*1,0)&amp;"%"</f>
        <v>61%</v>
      </c>
    </row>
    <row r="298" customFormat="false" ht="15" hidden="false" customHeight="false" outlineLevel="0" collapsed="false">
      <c r="A298" s="5" t="s">
        <v>4056</v>
      </c>
      <c r="B298" s="5" t="s">
        <v>484</v>
      </c>
      <c r="C298" s="5" t="s">
        <v>95</v>
      </c>
      <c r="D298" s="5" t="s">
        <v>39</v>
      </c>
      <c r="E298" s="5" t="n">
        <f aca="false">ROUND(11367*1.05,2)</f>
        <v>11935.35</v>
      </c>
      <c r="F298" s="5" t="s">
        <v>40</v>
      </c>
      <c r="G298" s="5" t="s">
        <v>24</v>
      </c>
      <c r="H298" s="5" t="n">
        <f aca="true">ROUND(RAND()*4+6,1)</f>
        <v>7.3</v>
      </c>
      <c r="I298" s="5" t="s">
        <v>41</v>
      </c>
      <c r="J298" s="5" t="str">
        <f aca="false">ROUND(96*1,0)&amp;"%"</f>
        <v>96%</v>
      </c>
    </row>
    <row r="299" customFormat="false" ht="15" hidden="false" customHeight="false" outlineLevel="0" collapsed="false">
      <c r="A299" s="6" t="s">
        <v>4057</v>
      </c>
      <c r="B299" s="6" t="s">
        <v>486</v>
      </c>
      <c r="C299" s="6" t="s">
        <v>95</v>
      </c>
      <c r="D299" s="6" t="s">
        <v>44</v>
      </c>
      <c r="E299" s="6" t="n">
        <f aca="false">ROUND(13121*1.05,2)</f>
        <v>13777.05</v>
      </c>
      <c r="F299" s="6" t="s">
        <v>45</v>
      </c>
      <c r="G299" s="6" t="s">
        <v>30</v>
      </c>
      <c r="H299" s="6" t="n">
        <f aca="true">ROUND(RAND()*4+6,1)</f>
        <v>6.1</v>
      </c>
      <c r="I299" s="6" t="s">
        <v>46</v>
      </c>
      <c r="J299" s="6" t="str">
        <f aca="false">ROUND(89*1,0)&amp;"%"</f>
        <v>89%</v>
      </c>
    </row>
    <row r="300" customFormat="false" ht="15" hidden="false" customHeight="false" outlineLevel="0" collapsed="false">
      <c r="A300" s="5" t="s">
        <v>4058</v>
      </c>
      <c r="B300" s="5" t="s">
        <v>488</v>
      </c>
      <c r="C300" s="5" t="s">
        <v>95</v>
      </c>
      <c r="D300" s="5" t="s">
        <v>16</v>
      </c>
      <c r="E300" s="5" t="n">
        <f aca="false">ROUND(11986*1.05,2)</f>
        <v>12585.3</v>
      </c>
      <c r="F300" s="5" t="s">
        <v>49</v>
      </c>
      <c r="G300" s="5" t="s">
        <v>18</v>
      </c>
      <c r="H300" s="5" t="n">
        <f aca="true">ROUND(RAND()*4+6,1)</f>
        <v>8.4</v>
      </c>
      <c r="I300" s="5" t="s">
        <v>19</v>
      </c>
      <c r="J300" s="5" t="str">
        <f aca="false">ROUND(83*1,0)&amp;"%"</f>
        <v>83%</v>
      </c>
    </row>
    <row r="301" customFormat="false" ht="15" hidden="false" customHeight="false" outlineLevel="0" collapsed="false">
      <c r="A301" s="6" t="s">
        <v>4059</v>
      </c>
      <c r="B301" s="6" t="s">
        <v>490</v>
      </c>
      <c r="C301" s="6" t="s">
        <v>95</v>
      </c>
      <c r="D301" s="6" t="s">
        <v>22</v>
      </c>
      <c r="E301" s="6" t="n">
        <f aca="false">ROUND(15097*1.05,2)</f>
        <v>15851.85</v>
      </c>
      <c r="F301" s="6" t="s">
        <v>52</v>
      </c>
      <c r="G301" s="6" t="s">
        <v>24</v>
      </c>
      <c r="H301" s="6" t="n">
        <f aca="true">ROUND(RAND()*4+6,1)</f>
        <v>6.3</v>
      </c>
      <c r="I301" s="6" t="s">
        <v>25</v>
      </c>
      <c r="J301" s="6" t="str">
        <f aca="false">ROUND(72*1,0)&amp;"%"</f>
        <v>72%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4060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4061</v>
      </c>
      <c r="B306" s="5" t="s">
        <v>494</v>
      </c>
      <c r="C306" s="5" t="s">
        <v>114</v>
      </c>
      <c r="D306" s="5" t="s">
        <v>16</v>
      </c>
      <c r="E306" s="5" t="n">
        <f aca="false">ROUND(8344*1.05,2)</f>
        <v>8761.2</v>
      </c>
      <c r="F306" s="5" t="s">
        <v>17</v>
      </c>
      <c r="G306" s="5" t="s">
        <v>18</v>
      </c>
      <c r="H306" s="5" t="n">
        <f aca="true">ROUND(RAND()*4+6,1)</f>
        <v>8.9</v>
      </c>
      <c r="I306" s="5" t="s">
        <v>19</v>
      </c>
      <c r="J306" s="5" t="str">
        <f aca="false">ROUND(64*1,0)&amp;"%"</f>
        <v>64%</v>
      </c>
    </row>
    <row r="307" customFormat="false" ht="15" hidden="false" customHeight="false" outlineLevel="0" collapsed="false">
      <c r="A307" s="6" t="s">
        <v>4062</v>
      </c>
      <c r="B307" s="6" t="s">
        <v>496</v>
      </c>
      <c r="C307" s="6" t="s">
        <v>114</v>
      </c>
      <c r="D307" s="6" t="s">
        <v>22</v>
      </c>
      <c r="E307" s="6" t="n">
        <f aca="false">ROUND(11056*1.05,2)</f>
        <v>11608.8</v>
      </c>
      <c r="F307" s="6" t="s">
        <v>23</v>
      </c>
      <c r="G307" s="6" t="s">
        <v>24</v>
      </c>
      <c r="H307" s="6" t="n">
        <f aca="true">ROUND(RAND()*4+6,1)</f>
        <v>6.4</v>
      </c>
      <c r="I307" s="6" t="s">
        <v>25</v>
      </c>
      <c r="J307" s="6" t="str">
        <f aca="false">ROUND(96*1,0)&amp;"%"</f>
        <v>96%</v>
      </c>
    </row>
    <row r="308" customFormat="false" ht="15" hidden="false" customHeight="false" outlineLevel="0" collapsed="false">
      <c r="A308" s="5" t="s">
        <v>4063</v>
      </c>
      <c r="B308" s="5" t="s">
        <v>498</v>
      </c>
      <c r="C308" s="5" t="s">
        <v>114</v>
      </c>
      <c r="D308" s="5" t="s">
        <v>28</v>
      </c>
      <c r="E308" s="5" t="n">
        <f aca="false">ROUND(4941*1.05,2)</f>
        <v>5188.05</v>
      </c>
      <c r="F308" s="5" t="s">
        <v>29</v>
      </c>
      <c r="G308" s="5" t="s">
        <v>30</v>
      </c>
      <c r="H308" s="5" t="n">
        <f aca="true">ROUND(RAND()*4+6,1)</f>
        <v>7.5</v>
      </c>
      <c r="I308" s="5" t="s">
        <v>31</v>
      </c>
      <c r="J308" s="5" t="str">
        <f aca="false">ROUND(97*1,0)&amp;"%"</f>
        <v>97%</v>
      </c>
    </row>
    <row r="309" customFormat="false" ht="15" hidden="false" customHeight="false" outlineLevel="0" collapsed="false">
      <c r="A309" s="6" t="s">
        <v>4064</v>
      </c>
      <c r="B309" s="6" t="s">
        <v>500</v>
      </c>
      <c r="C309" s="6" t="s">
        <v>114</v>
      </c>
      <c r="D309" s="6" t="s">
        <v>34</v>
      </c>
      <c r="E309" s="6" t="n">
        <f aca="false">ROUND(8210*1.05,2)</f>
        <v>8620.5</v>
      </c>
      <c r="F309" s="6" t="s">
        <v>35</v>
      </c>
      <c r="G309" s="6" t="s">
        <v>18</v>
      </c>
      <c r="H309" s="6" t="n">
        <f aca="true">ROUND(RAND()*4+6,1)</f>
        <v>9</v>
      </c>
      <c r="I309" s="6" t="s">
        <v>36</v>
      </c>
      <c r="J309" s="6" t="str">
        <f aca="false">ROUND(79*1,0)&amp;"%"</f>
        <v>79%</v>
      </c>
    </row>
    <row r="310" customFormat="false" ht="15" hidden="false" customHeight="false" outlineLevel="0" collapsed="false">
      <c r="A310" s="5" t="s">
        <v>4065</v>
      </c>
      <c r="B310" s="5" t="s">
        <v>502</v>
      </c>
      <c r="C310" s="5" t="s">
        <v>114</v>
      </c>
      <c r="D310" s="5" t="s">
        <v>39</v>
      </c>
      <c r="E310" s="5" t="n">
        <f aca="false">ROUND(6804*1.05,2)</f>
        <v>7144.2</v>
      </c>
      <c r="F310" s="5" t="s">
        <v>40</v>
      </c>
      <c r="G310" s="5" t="s">
        <v>24</v>
      </c>
      <c r="H310" s="5" t="n">
        <f aca="true">ROUND(RAND()*4+6,1)</f>
        <v>6.2</v>
      </c>
      <c r="I310" s="5" t="s">
        <v>41</v>
      </c>
      <c r="J310" s="5" t="str">
        <f aca="false">ROUND(94*1,0)&amp;"%"</f>
        <v>94%</v>
      </c>
    </row>
    <row r="311" customFormat="false" ht="15" hidden="false" customHeight="false" outlineLevel="0" collapsed="false">
      <c r="A311" s="6" t="s">
        <v>4066</v>
      </c>
      <c r="B311" s="6" t="s">
        <v>504</v>
      </c>
      <c r="C311" s="6" t="s">
        <v>114</v>
      </c>
      <c r="D311" s="6" t="s">
        <v>44</v>
      </c>
      <c r="E311" s="6" t="n">
        <f aca="false">ROUND(8312*1.05,2)</f>
        <v>8727.6</v>
      </c>
      <c r="F311" s="6" t="s">
        <v>45</v>
      </c>
      <c r="G311" s="6" t="s">
        <v>30</v>
      </c>
      <c r="H311" s="6" t="n">
        <f aca="true">ROUND(RAND()*4+6,1)</f>
        <v>7.9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4067</v>
      </c>
      <c r="B312" s="5" t="s">
        <v>506</v>
      </c>
      <c r="C312" s="5" t="s">
        <v>114</v>
      </c>
      <c r="D312" s="5" t="s">
        <v>16</v>
      </c>
      <c r="E312" s="5" t="n">
        <f aca="false">ROUND(13388*1.05,2)</f>
        <v>14057.4</v>
      </c>
      <c r="F312" s="5" t="s">
        <v>49</v>
      </c>
      <c r="G312" s="5" t="s">
        <v>18</v>
      </c>
      <c r="H312" s="5" t="n">
        <f aca="true">ROUND(RAND()*4+6,1)</f>
        <v>9.1</v>
      </c>
      <c r="I312" s="5" t="s">
        <v>19</v>
      </c>
      <c r="J312" s="5" t="str">
        <f aca="false">ROUND(73*1,0)&amp;"%"</f>
        <v>73%</v>
      </c>
    </row>
    <row r="313" customFormat="false" ht="15" hidden="false" customHeight="false" outlineLevel="0" collapsed="false">
      <c r="A313" s="6" t="s">
        <v>4068</v>
      </c>
      <c r="B313" s="6" t="s">
        <v>508</v>
      </c>
      <c r="C313" s="6" t="s">
        <v>114</v>
      </c>
      <c r="D313" s="6" t="s">
        <v>22</v>
      </c>
      <c r="E313" s="6" t="n">
        <f aca="false">ROUND(10742*1.05,2)</f>
        <v>11279.1</v>
      </c>
      <c r="F313" s="6" t="s">
        <v>52</v>
      </c>
      <c r="G313" s="6" t="s">
        <v>24</v>
      </c>
      <c r="H313" s="6" t="n">
        <f aca="true">ROUND(RAND()*4+6,1)</f>
        <v>6.9</v>
      </c>
      <c r="I313" s="6" t="s">
        <v>25</v>
      </c>
      <c r="J313" s="6" t="str">
        <f aca="false">ROUND(97*1,0)&amp;"%"</f>
        <v>97%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4069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4070</v>
      </c>
      <c r="B318" s="5" t="s">
        <v>512</v>
      </c>
      <c r="C318" s="5" t="s">
        <v>133</v>
      </c>
      <c r="D318" s="5" t="s">
        <v>16</v>
      </c>
      <c r="E318" s="5" t="n">
        <f aca="false">ROUND(6511*1.05,2)</f>
        <v>6836.55</v>
      </c>
      <c r="F318" s="5" t="s">
        <v>17</v>
      </c>
      <c r="G318" s="5" t="s">
        <v>18</v>
      </c>
      <c r="H318" s="5" t="n">
        <f aca="true">ROUND(RAND()*4+6,1)</f>
        <v>7.5</v>
      </c>
      <c r="I318" s="5" t="s">
        <v>19</v>
      </c>
      <c r="J318" s="5" t="str">
        <f aca="false">ROUND(99*1,0)&amp;"%"</f>
        <v>99%</v>
      </c>
    </row>
    <row r="319" customFormat="false" ht="15" hidden="false" customHeight="false" outlineLevel="0" collapsed="false">
      <c r="A319" s="6" t="s">
        <v>4071</v>
      </c>
      <c r="B319" s="6" t="s">
        <v>514</v>
      </c>
      <c r="C319" s="6" t="s">
        <v>133</v>
      </c>
      <c r="D319" s="6" t="s">
        <v>22</v>
      </c>
      <c r="E319" s="6" t="n">
        <f aca="false">ROUND(12809*1.05,2)</f>
        <v>13449.45</v>
      </c>
      <c r="F319" s="6" t="s">
        <v>23</v>
      </c>
      <c r="G319" s="6" t="s">
        <v>24</v>
      </c>
      <c r="H319" s="6" t="n">
        <f aca="true">ROUND(RAND()*4+6,1)</f>
        <v>9.4</v>
      </c>
      <c r="I319" s="6" t="s">
        <v>25</v>
      </c>
      <c r="J319" s="6" t="str">
        <f aca="false">ROUND(60*1,0)&amp;"%"</f>
        <v>60%</v>
      </c>
    </row>
    <row r="320" customFormat="false" ht="15" hidden="false" customHeight="false" outlineLevel="0" collapsed="false">
      <c r="A320" s="5" t="s">
        <v>4072</v>
      </c>
      <c r="B320" s="5" t="s">
        <v>516</v>
      </c>
      <c r="C320" s="5" t="s">
        <v>133</v>
      </c>
      <c r="D320" s="5" t="s">
        <v>28</v>
      </c>
      <c r="E320" s="5" t="n">
        <f aca="false">ROUND(10124*1.05,2)</f>
        <v>10630.2</v>
      </c>
      <c r="F320" s="5" t="s">
        <v>29</v>
      </c>
      <c r="G320" s="5" t="s">
        <v>30</v>
      </c>
      <c r="H320" s="5" t="n">
        <f aca="true">ROUND(RAND()*4+6,1)</f>
        <v>9.1</v>
      </c>
      <c r="I320" s="5" t="s">
        <v>31</v>
      </c>
      <c r="J320" s="5" t="str">
        <f aca="false">ROUND(61*1,0)&amp;"%"</f>
        <v>61%</v>
      </c>
    </row>
    <row r="321" customFormat="false" ht="15" hidden="false" customHeight="false" outlineLevel="0" collapsed="false">
      <c r="A321" s="6" t="s">
        <v>4073</v>
      </c>
      <c r="B321" s="6" t="s">
        <v>518</v>
      </c>
      <c r="C321" s="6" t="s">
        <v>133</v>
      </c>
      <c r="D321" s="6" t="s">
        <v>34</v>
      </c>
      <c r="E321" s="6" t="n">
        <f aca="false">ROUND(4676*1.05,2)</f>
        <v>4909.8</v>
      </c>
      <c r="F321" s="6" t="s">
        <v>35</v>
      </c>
      <c r="G321" s="6" t="s">
        <v>18</v>
      </c>
      <c r="H321" s="6" t="n">
        <f aca="true">ROUND(RAND()*4+6,1)</f>
        <v>7</v>
      </c>
      <c r="I321" s="6" t="s">
        <v>36</v>
      </c>
      <c r="J321" s="6" t="str">
        <f aca="false">ROUND(76*1,0)&amp;"%"</f>
        <v>76%</v>
      </c>
    </row>
    <row r="322" customFormat="false" ht="15" hidden="false" customHeight="false" outlineLevel="0" collapsed="false">
      <c r="A322" s="5" t="s">
        <v>4074</v>
      </c>
      <c r="B322" s="5" t="s">
        <v>520</v>
      </c>
      <c r="C322" s="5" t="s">
        <v>133</v>
      </c>
      <c r="D322" s="5" t="s">
        <v>39</v>
      </c>
      <c r="E322" s="5" t="n">
        <f aca="false">ROUND(9590*1.05,2)</f>
        <v>10069.5</v>
      </c>
      <c r="F322" s="5" t="s">
        <v>40</v>
      </c>
      <c r="G322" s="5" t="s">
        <v>24</v>
      </c>
      <c r="H322" s="5" t="n">
        <f aca="true">ROUND(RAND()*4+6,1)</f>
        <v>6.9</v>
      </c>
      <c r="I322" s="5" t="s">
        <v>41</v>
      </c>
      <c r="J322" s="5" t="str">
        <f aca="false">ROUND(97*1,0)&amp;"%"</f>
        <v>97%</v>
      </c>
    </row>
    <row r="323" customFormat="false" ht="15" hidden="false" customHeight="false" outlineLevel="0" collapsed="false">
      <c r="A323" s="6" t="s">
        <v>4075</v>
      </c>
      <c r="B323" s="6" t="s">
        <v>522</v>
      </c>
      <c r="C323" s="6" t="s">
        <v>133</v>
      </c>
      <c r="D323" s="6" t="s">
        <v>44</v>
      </c>
      <c r="E323" s="6" t="n">
        <f aca="false">ROUND(15049*1.05,2)</f>
        <v>15801.45</v>
      </c>
      <c r="F323" s="6" t="s">
        <v>45</v>
      </c>
      <c r="G323" s="6" t="s">
        <v>30</v>
      </c>
      <c r="H323" s="6" t="n">
        <f aca="true">ROUND(RAND()*4+6,1)</f>
        <v>7.1</v>
      </c>
      <c r="I323" s="6" t="s">
        <v>46</v>
      </c>
      <c r="J323" s="6" t="str">
        <f aca="false">ROUND(68*1,0)&amp;"%"</f>
        <v>68%</v>
      </c>
    </row>
    <row r="324" customFormat="false" ht="15" hidden="false" customHeight="false" outlineLevel="0" collapsed="false">
      <c r="A324" s="5" t="s">
        <v>4076</v>
      </c>
      <c r="B324" s="5" t="s">
        <v>524</v>
      </c>
      <c r="C324" s="5" t="s">
        <v>133</v>
      </c>
      <c r="D324" s="5" t="s">
        <v>16</v>
      </c>
      <c r="E324" s="5" t="n">
        <f aca="false">ROUND(8448*1.05,2)</f>
        <v>8870.4</v>
      </c>
      <c r="F324" s="5" t="s">
        <v>49</v>
      </c>
      <c r="G324" s="5" t="s">
        <v>18</v>
      </c>
      <c r="H324" s="5" t="n">
        <f aca="true">ROUND(RAND()*4+6,1)</f>
        <v>9.6</v>
      </c>
      <c r="I324" s="5" t="s">
        <v>19</v>
      </c>
      <c r="J324" s="5" t="str">
        <f aca="false">ROUND(92*1,0)&amp;"%"</f>
        <v>92%</v>
      </c>
    </row>
    <row r="325" customFormat="false" ht="15" hidden="false" customHeight="false" outlineLevel="0" collapsed="false">
      <c r="A325" s="6" t="s">
        <v>4077</v>
      </c>
      <c r="B325" s="6" t="s">
        <v>526</v>
      </c>
      <c r="C325" s="6" t="s">
        <v>133</v>
      </c>
      <c r="D325" s="6" t="s">
        <v>22</v>
      </c>
      <c r="E325" s="6" t="n">
        <f aca="false">ROUND(8335*1.05,2)</f>
        <v>8751.75</v>
      </c>
      <c r="F325" s="6" t="s">
        <v>52</v>
      </c>
      <c r="G325" s="6" t="s">
        <v>24</v>
      </c>
      <c r="H325" s="6" t="n">
        <f aca="true">ROUND(RAND()*4+6,1)</f>
        <v>9.4</v>
      </c>
      <c r="I325" s="6" t="s">
        <v>25</v>
      </c>
      <c r="J325" s="6" t="str">
        <f aca="false">ROUND(76*1,0)&amp;"%"</f>
        <v>76%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4078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4079</v>
      </c>
      <c r="B330" s="5" t="s">
        <v>530</v>
      </c>
      <c r="C330" s="5" t="s">
        <v>152</v>
      </c>
      <c r="D330" s="5" t="s">
        <v>16</v>
      </c>
      <c r="E330" s="5" t="n">
        <f aca="false">ROUND(12377*1.05,2)</f>
        <v>12995.85</v>
      </c>
      <c r="F330" s="5" t="s">
        <v>17</v>
      </c>
      <c r="G330" s="5" t="s">
        <v>18</v>
      </c>
      <c r="H330" s="5" t="n">
        <f aca="true">ROUND(RAND()*4+6,1)</f>
        <v>6.8</v>
      </c>
      <c r="I330" s="5" t="s">
        <v>19</v>
      </c>
      <c r="J330" s="5" t="str">
        <f aca="false">ROUND(96*1,0)&amp;"%"</f>
        <v>96%</v>
      </c>
    </row>
    <row r="331" customFormat="false" ht="15" hidden="false" customHeight="false" outlineLevel="0" collapsed="false">
      <c r="A331" s="6" t="s">
        <v>4080</v>
      </c>
      <c r="B331" s="6" t="s">
        <v>532</v>
      </c>
      <c r="C331" s="6" t="s">
        <v>152</v>
      </c>
      <c r="D331" s="6" t="s">
        <v>22</v>
      </c>
      <c r="E331" s="6" t="n">
        <f aca="false">ROUND(17442*1.05,2)</f>
        <v>18314.1</v>
      </c>
      <c r="F331" s="6" t="s">
        <v>23</v>
      </c>
      <c r="G331" s="6" t="s">
        <v>24</v>
      </c>
      <c r="H331" s="6" t="n">
        <f aca="true">ROUND(RAND()*4+6,1)</f>
        <v>7.1</v>
      </c>
      <c r="I331" s="6" t="s">
        <v>25</v>
      </c>
      <c r="J331" s="6" t="str">
        <f aca="false">ROUND(63*1,0)&amp;"%"</f>
        <v>63%</v>
      </c>
    </row>
    <row r="332" customFormat="false" ht="15" hidden="false" customHeight="false" outlineLevel="0" collapsed="false">
      <c r="A332" s="5" t="s">
        <v>4081</v>
      </c>
      <c r="B332" s="5" t="s">
        <v>534</v>
      </c>
      <c r="C332" s="5" t="s">
        <v>152</v>
      </c>
      <c r="D332" s="5" t="s">
        <v>28</v>
      </c>
      <c r="E332" s="5" t="n">
        <f aca="false">ROUND(8849*1.05,2)</f>
        <v>9291.45</v>
      </c>
      <c r="F332" s="5" t="s">
        <v>29</v>
      </c>
      <c r="G332" s="5" t="s">
        <v>30</v>
      </c>
      <c r="H332" s="5" t="n">
        <f aca="true">ROUND(RAND()*4+6,1)</f>
        <v>7.7</v>
      </c>
      <c r="I332" s="5" t="s">
        <v>31</v>
      </c>
      <c r="J332" s="5" t="str">
        <f aca="false">ROUND(93*1,0)&amp;"%"</f>
        <v>93%</v>
      </c>
    </row>
    <row r="333" customFormat="false" ht="15" hidden="false" customHeight="false" outlineLevel="0" collapsed="false">
      <c r="A333" s="6" t="s">
        <v>4082</v>
      </c>
      <c r="B333" s="6" t="s">
        <v>536</v>
      </c>
      <c r="C333" s="6" t="s">
        <v>152</v>
      </c>
      <c r="D333" s="6" t="s">
        <v>34</v>
      </c>
      <c r="E333" s="6" t="n">
        <f aca="false">ROUND(4147*1.05,2)</f>
        <v>4354.35</v>
      </c>
      <c r="F333" s="6" t="s">
        <v>35</v>
      </c>
      <c r="G333" s="6" t="s">
        <v>18</v>
      </c>
      <c r="H333" s="6" t="n">
        <f aca="true">ROUND(RAND()*4+6,1)</f>
        <v>8.4</v>
      </c>
      <c r="I333" s="6" t="s">
        <v>36</v>
      </c>
      <c r="J333" s="6" t="str">
        <f aca="false">ROUND(93*1,0)&amp;"%"</f>
        <v>93%</v>
      </c>
    </row>
    <row r="334" customFormat="false" ht="15" hidden="false" customHeight="false" outlineLevel="0" collapsed="false">
      <c r="A334" s="5" t="s">
        <v>4083</v>
      </c>
      <c r="B334" s="5" t="s">
        <v>538</v>
      </c>
      <c r="C334" s="5" t="s">
        <v>152</v>
      </c>
      <c r="D334" s="5" t="s">
        <v>39</v>
      </c>
      <c r="E334" s="5" t="n">
        <f aca="false">ROUND(12463*1.05,2)</f>
        <v>13086.15</v>
      </c>
      <c r="F334" s="5" t="s">
        <v>40</v>
      </c>
      <c r="G334" s="5" t="s">
        <v>24</v>
      </c>
      <c r="H334" s="5" t="n">
        <f aca="true">ROUND(RAND()*4+6,1)</f>
        <v>9.4</v>
      </c>
      <c r="I334" s="5" t="s">
        <v>41</v>
      </c>
      <c r="J334" s="5" t="str">
        <f aca="false">ROUND(67*1,0)&amp;"%"</f>
        <v>67%</v>
      </c>
    </row>
    <row r="335" customFormat="false" ht="15" hidden="false" customHeight="false" outlineLevel="0" collapsed="false">
      <c r="A335" s="6" t="s">
        <v>4084</v>
      </c>
      <c r="B335" s="6" t="s">
        <v>540</v>
      </c>
      <c r="C335" s="6" t="s">
        <v>152</v>
      </c>
      <c r="D335" s="6" t="s">
        <v>44</v>
      </c>
      <c r="E335" s="6" t="n">
        <f aca="false">ROUND(9275*1.05,2)</f>
        <v>9738.75</v>
      </c>
      <c r="F335" s="6" t="s">
        <v>45</v>
      </c>
      <c r="G335" s="6" t="s">
        <v>30</v>
      </c>
      <c r="H335" s="6" t="n">
        <f aca="true">ROUND(RAND()*4+6,1)</f>
        <v>7.8</v>
      </c>
      <c r="I335" s="6" t="s">
        <v>46</v>
      </c>
      <c r="J335" s="6" t="str">
        <f aca="false">ROUND(87*1,0)&amp;"%"</f>
        <v>87%</v>
      </c>
    </row>
    <row r="336" customFormat="false" ht="15" hidden="false" customHeight="false" outlineLevel="0" collapsed="false">
      <c r="A336" s="5" t="s">
        <v>4085</v>
      </c>
      <c r="B336" s="5" t="s">
        <v>542</v>
      </c>
      <c r="C336" s="5" t="s">
        <v>152</v>
      </c>
      <c r="D336" s="5" t="s">
        <v>16</v>
      </c>
      <c r="E336" s="5" t="n">
        <f aca="false">ROUND(9678*1.05,2)</f>
        <v>10161.9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ROUND(66*1,0)&amp;"%"</f>
        <v>66%</v>
      </c>
    </row>
    <row r="337" customFormat="false" ht="15" hidden="false" customHeight="false" outlineLevel="0" collapsed="false">
      <c r="A337" s="6" t="s">
        <v>4086</v>
      </c>
      <c r="B337" s="6" t="s">
        <v>544</v>
      </c>
      <c r="C337" s="6" t="s">
        <v>152</v>
      </c>
      <c r="D337" s="6" t="s">
        <v>22</v>
      </c>
      <c r="E337" s="6" t="n">
        <f aca="false">ROUND(12301*1.05,2)</f>
        <v>12916.05</v>
      </c>
      <c r="F337" s="6" t="s">
        <v>52</v>
      </c>
      <c r="G337" s="6" t="s">
        <v>24</v>
      </c>
      <c r="H337" s="6" t="n">
        <f aca="true">ROUND(RAND()*4+6,1)</f>
        <v>9.4</v>
      </c>
      <c r="I337" s="6" t="s">
        <v>25</v>
      </c>
      <c r="J337" s="6" t="str">
        <f aca="false">ROUND(67*1,0)&amp;"%"</f>
        <v>67%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4087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4088</v>
      </c>
      <c r="B342" s="5" t="s">
        <v>548</v>
      </c>
      <c r="C342" s="5" t="s">
        <v>15</v>
      </c>
      <c r="D342" s="5" t="s">
        <v>16</v>
      </c>
      <c r="E342" s="5" t="n">
        <f aca="false">ROUND(16310*1.05,2)</f>
        <v>17125.5</v>
      </c>
      <c r="F342" s="5" t="s">
        <v>17</v>
      </c>
      <c r="G342" s="5" t="s">
        <v>18</v>
      </c>
      <c r="H342" s="5" t="n">
        <f aca="true">ROUND(RAND()*4+6,1)</f>
        <v>7.3</v>
      </c>
      <c r="I342" s="5" t="s">
        <v>19</v>
      </c>
      <c r="J342" s="5" t="str">
        <f aca="false">ROUND(99*1,0)&amp;"%"</f>
        <v>99%</v>
      </c>
    </row>
    <row r="343" customFormat="false" ht="15" hidden="false" customHeight="false" outlineLevel="0" collapsed="false">
      <c r="A343" s="6" t="s">
        <v>4089</v>
      </c>
      <c r="B343" s="6" t="s">
        <v>550</v>
      </c>
      <c r="C343" s="6" t="s">
        <v>15</v>
      </c>
      <c r="D343" s="6" t="s">
        <v>22</v>
      </c>
      <c r="E343" s="6" t="n">
        <f aca="false">ROUND(11456*1.05,2)</f>
        <v>12028.8</v>
      </c>
      <c r="F343" s="6" t="s">
        <v>23</v>
      </c>
      <c r="G343" s="6" t="s">
        <v>24</v>
      </c>
      <c r="H343" s="6" t="n">
        <f aca="true">ROUND(RAND()*4+6,1)</f>
        <v>7</v>
      </c>
      <c r="I343" s="6" t="s">
        <v>25</v>
      </c>
      <c r="J343" s="6" t="str">
        <f aca="false">ROUND(68*1,0)&amp;"%"</f>
        <v>68%</v>
      </c>
    </row>
    <row r="344" customFormat="false" ht="15" hidden="false" customHeight="false" outlineLevel="0" collapsed="false">
      <c r="A344" s="5" t="s">
        <v>4090</v>
      </c>
      <c r="B344" s="5" t="s">
        <v>552</v>
      </c>
      <c r="C344" s="5" t="s">
        <v>15</v>
      </c>
      <c r="D344" s="5" t="s">
        <v>28</v>
      </c>
      <c r="E344" s="5" t="n">
        <f aca="false">ROUND(7296*1.05,2)</f>
        <v>7660.8</v>
      </c>
      <c r="F344" s="5" t="s">
        <v>29</v>
      </c>
      <c r="G344" s="5" t="s">
        <v>30</v>
      </c>
      <c r="H344" s="5" t="n">
        <f aca="true">ROUND(RAND()*4+6,1)</f>
        <v>6.6</v>
      </c>
      <c r="I344" s="5" t="s">
        <v>31</v>
      </c>
      <c r="J344" s="5" t="str">
        <f aca="false">ROUND(61*1,0)&amp;"%"</f>
        <v>61%</v>
      </c>
    </row>
    <row r="345" customFormat="false" ht="15" hidden="false" customHeight="false" outlineLevel="0" collapsed="false">
      <c r="A345" s="6" t="s">
        <v>4091</v>
      </c>
      <c r="B345" s="6" t="s">
        <v>554</v>
      </c>
      <c r="C345" s="6" t="s">
        <v>15</v>
      </c>
      <c r="D345" s="6" t="s">
        <v>34</v>
      </c>
      <c r="E345" s="6" t="n">
        <f aca="false">ROUND(8452*1.05,2)</f>
        <v>8874.6</v>
      </c>
      <c r="F345" s="6" t="s">
        <v>35</v>
      </c>
      <c r="G345" s="6" t="s">
        <v>18</v>
      </c>
      <c r="H345" s="6" t="n">
        <f aca="true">ROUND(RAND()*4+6,1)</f>
        <v>6.7</v>
      </c>
      <c r="I345" s="6" t="s">
        <v>36</v>
      </c>
      <c r="J345" s="6" t="str">
        <f aca="false">ROUND(69*1,0)&amp;"%"</f>
        <v>69%</v>
      </c>
    </row>
    <row r="346" customFormat="false" ht="15" hidden="false" customHeight="false" outlineLevel="0" collapsed="false">
      <c r="A346" s="5" t="s">
        <v>4092</v>
      </c>
      <c r="B346" s="5" t="s">
        <v>556</v>
      </c>
      <c r="C346" s="5" t="s">
        <v>15</v>
      </c>
      <c r="D346" s="5" t="s">
        <v>39</v>
      </c>
      <c r="E346" s="5" t="n">
        <f aca="false">ROUND(7601*1.05,2)</f>
        <v>7981.05</v>
      </c>
      <c r="F346" s="5" t="s">
        <v>40</v>
      </c>
      <c r="G346" s="5" t="s">
        <v>24</v>
      </c>
      <c r="H346" s="5" t="n">
        <f aca="true">ROUND(RAND()*4+6,1)</f>
        <v>8</v>
      </c>
      <c r="I346" s="5" t="s">
        <v>41</v>
      </c>
      <c r="J346" s="5" t="str">
        <f aca="false">ROUND(86*1,0)&amp;"%"</f>
        <v>86%</v>
      </c>
    </row>
    <row r="347" customFormat="false" ht="15" hidden="false" customHeight="false" outlineLevel="0" collapsed="false">
      <c r="A347" s="6" t="s">
        <v>4093</v>
      </c>
      <c r="B347" s="6" t="s">
        <v>558</v>
      </c>
      <c r="C347" s="6" t="s">
        <v>15</v>
      </c>
      <c r="D347" s="6" t="s">
        <v>44</v>
      </c>
      <c r="E347" s="6" t="n">
        <f aca="false">ROUND(11766*1.05,2)</f>
        <v>12354.3</v>
      </c>
      <c r="F347" s="6" t="s">
        <v>45</v>
      </c>
      <c r="G347" s="6" t="s">
        <v>30</v>
      </c>
      <c r="H347" s="6" t="n">
        <f aca="true">ROUND(RAND()*4+6,1)</f>
        <v>7.8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4094</v>
      </c>
      <c r="B348" s="5" t="s">
        <v>560</v>
      </c>
      <c r="C348" s="5" t="s">
        <v>15</v>
      </c>
      <c r="D348" s="5" t="s">
        <v>16</v>
      </c>
      <c r="E348" s="5" t="n">
        <f aca="false">ROUND(11971*1.05,2)</f>
        <v>12569.55</v>
      </c>
      <c r="F348" s="5" t="s">
        <v>49</v>
      </c>
      <c r="G348" s="5" t="s">
        <v>18</v>
      </c>
      <c r="H348" s="5" t="n">
        <f aca="true">ROUND(RAND()*4+6,1)</f>
        <v>7.5</v>
      </c>
      <c r="I348" s="5" t="s">
        <v>19</v>
      </c>
      <c r="J348" s="5" t="str">
        <f aca="false">ROUND(69*1,0)&amp;"%"</f>
        <v>69%</v>
      </c>
    </row>
    <row r="349" customFormat="false" ht="15" hidden="false" customHeight="false" outlineLevel="0" collapsed="false">
      <c r="A349" s="6" t="s">
        <v>4095</v>
      </c>
      <c r="B349" s="6" t="s">
        <v>562</v>
      </c>
      <c r="C349" s="6" t="s">
        <v>15</v>
      </c>
      <c r="D349" s="6" t="s">
        <v>22</v>
      </c>
      <c r="E349" s="6" t="n">
        <f aca="false">ROUND(11936*1.05,2)</f>
        <v>12532.8</v>
      </c>
      <c r="F349" s="6" t="s">
        <v>52</v>
      </c>
      <c r="G349" s="6" t="s">
        <v>24</v>
      </c>
      <c r="H349" s="6" t="n">
        <f aca="true">ROUND(RAND()*4+6,1)</f>
        <v>9.1</v>
      </c>
      <c r="I349" s="6" t="s">
        <v>25</v>
      </c>
      <c r="J349" s="6" t="str">
        <f aca="false">ROUND(85*1,0)&amp;"%"</f>
        <v>85%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4096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4097</v>
      </c>
      <c r="B354" s="5" t="s">
        <v>566</v>
      </c>
      <c r="C354" s="5" t="s">
        <v>57</v>
      </c>
      <c r="D354" s="5" t="s">
        <v>16</v>
      </c>
      <c r="E354" s="5" t="n">
        <f aca="false">ROUND(9928*1.05,2)</f>
        <v>10424.4</v>
      </c>
      <c r="F354" s="5" t="s">
        <v>17</v>
      </c>
      <c r="G354" s="5" t="s">
        <v>18</v>
      </c>
      <c r="H354" s="5" t="n">
        <f aca="true">ROUND(RAND()*4+6,1)</f>
        <v>9.4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4098</v>
      </c>
      <c r="B355" s="6" t="s">
        <v>568</v>
      </c>
      <c r="C355" s="6" t="s">
        <v>57</v>
      </c>
      <c r="D355" s="6" t="s">
        <v>22</v>
      </c>
      <c r="E355" s="6" t="n">
        <f aca="false">ROUND(4876*1.05,2)</f>
        <v>5119.8</v>
      </c>
      <c r="F355" s="6" t="s">
        <v>23</v>
      </c>
      <c r="G355" s="6" t="s">
        <v>24</v>
      </c>
      <c r="H355" s="6" t="n">
        <f aca="true">ROUND(RAND()*4+6,1)</f>
        <v>8.6</v>
      </c>
      <c r="I355" s="6" t="s">
        <v>25</v>
      </c>
      <c r="J355" s="6" t="str">
        <f aca="false">ROUND(89*1,0)&amp;"%"</f>
        <v>89%</v>
      </c>
    </row>
    <row r="356" customFormat="false" ht="15" hidden="false" customHeight="false" outlineLevel="0" collapsed="false">
      <c r="A356" s="5" t="s">
        <v>4099</v>
      </c>
      <c r="B356" s="5" t="s">
        <v>570</v>
      </c>
      <c r="C356" s="5" t="s">
        <v>57</v>
      </c>
      <c r="D356" s="5" t="s">
        <v>28</v>
      </c>
      <c r="E356" s="5" t="n">
        <f aca="false">ROUND(9951*1.05,2)</f>
        <v>10448.55</v>
      </c>
      <c r="F356" s="5" t="s">
        <v>29</v>
      </c>
      <c r="G356" s="5" t="s">
        <v>30</v>
      </c>
      <c r="H356" s="5" t="n">
        <f aca="true">ROUND(RAND()*4+6,1)</f>
        <v>7.9</v>
      </c>
      <c r="I356" s="5" t="s">
        <v>31</v>
      </c>
      <c r="J356" s="5" t="str">
        <f aca="false">ROUND(96*1,0)&amp;"%"</f>
        <v>96%</v>
      </c>
    </row>
    <row r="357" customFormat="false" ht="15" hidden="false" customHeight="false" outlineLevel="0" collapsed="false">
      <c r="A357" s="6" t="s">
        <v>4100</v>
      </c>
      <c r="B357" s="6" t="s">
        <v>572</v>
      </c>
      <c r="C357" s="6" t="s">
        <v>57</v>
      </c>
      <c r="D357" s="6" t="s">
        <v>34</v>
      </c>
      <c r="E357" s="6" t="n">
        <f aca="false">ROUND(5889*1.05,2)</f>
        <v>6183.45</v>
      </c>
      <c r="F357" s="6" t="s">
        <v>35</v>
      </c>
      <c r="G357" s="6" t="s">
        <v>18</v>
      </c>
      <c r="H357" s="6" t="n">
        <f aca="true">ROUND(RAND()*4+6,1)</f>
        <v>9.4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4101</v>
      </c>
      <c r="B358" s="5" t="s">
        <v>574</v>
      </c>
      <c r="C358" s="5" t="s">
        <v>57</v>
      </c>
      <c r="D358" s="5" t="s">
        <v>39</v>
      </c>
      <c r="E358" s="5" t="n">
        <f aca="false">ROUND(11877*1.05,2)</f>
        <v>12470.85</v>
      </c>
      <c r="F358" s="5" t="s">
        <v>40</v>
      </c>
      <c r="G358" s="5" t="s">
        <v>24</v>
      </c>
      <c r="H358" s="5" t="n">
        <f aca="true">ROUND(RAND()*4+6,1)</f>
        <v>9.2</v>
      </c>
      <c r="I358" s="5" t="s">
        <v>41</v>
      </c>
      <c r="J358" s="5" t="str">
        <f aca="false">ROUND(63*1,0)&amp;"%"</f>
        <v>63%</v>
      </c>
    </row>
    <row r="359" customFormat="false" ht="15" hidden="false" customHeight="false" outlineLevel="0" collapsed="false">
      <c r="A359" s="6" t="s">
        <v>4102</v>
      </c>
      <c r="B359" s="6" t="s">
        <v>576</v>
      </c>
      <c r="C359" s="6" t="s">
        <v>57</v>
      </c>
      <c r="D359" s="6" t="s">
        <v>44</v>
      </c>
      <c r="E359" s="6" t="n">
        <f aca="false">ROUND(5803*1.05,2)</f>
        <v>6093.15</v>
      </c>
      <c r="F359" s="6" t="s">
        <v>45</v>
      </c>
      <c r="G359" s="6" t="s">
        <v>30</v>
      </c>
      <c r="H359" s="6" t="n">
        <f aca="true">ROUND(RAND()*4+6,1)</f>
        <v>6.6</v>
      </c>
      <c r="I359" s="6" t="s">
        <v>46</v>
      </c>
      <c r="J359" s="6" t="str">
        <f aca="false">ROUND(93*1,0)&amp;"%"</f>
        <v>93%</v>
      </c>
    </row>
    <row r="360" customFormat="false" ht="15" hidden="false" customHeight="false" outlineLevel="0" collapsed="false">
      <c r="A360" s="5" t="s">
        <v>4103</v>
      </c>
      <c r="B360" s="5" t="s">
        <v>578</v>
      </c>
      <c r="C360" s="5" t="s">
        <v>57</v>
      </c>
      <c r="D360" s="5" t="s">
        <v>16</v>
      </c>
      <c r="E360" s="5" t="n">
        <f aca="false">ROUND(6637*1.05,2)</f>
        <v>6968.85</v>
      </c>
      <c r="F360" s="5" t="s">
        <v>49</v>
      </c>
      <c r="G360" s="5" t="s">
        <v>18</v>
      </c>
      <c r="H360" s="5" t="n">
        <f aca="true">ROUND(RAND()*4+6,1)</f>
        <v>7.7</v>
      </c>
      <c r="I360" s="5" t="s">
        <v>19</v>
      </c>
      <c r="J360" s="5" t="str">
        <f aca="false">ROUND(76*1,0)&amp;"%"</f>
        <v>76%</v>
      </c>
    </row>
    <row r="361" customFormat="false" ht="15" hidden="false" customHeight="false" outlineLevel="0" collapsed="false">
      <c r="A361" s="6" t="s">
        <v>4104</v>
      </c>
      <c r="B361" s="6" t="s">
        <v>580</v>
      </c>
      <c r="C361" s="6" t="s">
        <v>57</v>
      </c>
      <c r="D361" s="6" t="s">
        <v>22</v>
      </c>
      <c r="E361" s="6" t="n">
        <f aca="false">ROUND(6152*1.05,2)</f>
        <v>6459.6</v>
      </c>
      <c r="F361" s="6" t="s">
        <v>52</v>
      </c>
      <c r="G361" s="6" t="s">
        <v>24</v>
      </c>
      <c r="H361" s="6" t="n">
        <f aca="true">ROUND(RAND()*4+6,1)</f>
        <v>8.6</v>
      </c>
      <c r="I361" s="6" t="s">
        <v>25</v>
      </c>
      <c r="J361" s="6" t="str">
        <f aca="false">ROUND(66*1,0)&amp;"%"</f>
        <v>66%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4105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4106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4107</v>
      </c>
      <c r="B6" s="5" t="s">
        <v>14</v>
      </c>
      <c r="C6" s="5" t="s">
        <v>15</v>
      </c>
      <c r="D6" s="5" t="s">
        <v>16</v>
      </c>
      <c r="E6" s="5" t="n">
        <f aca="false">ROUND(12816*1.05,2)</f>
        <v>13456.8</v>
      </c>
      <c r="F6" s="5" t="s">
        <v>17</v>
      </c>
      <c r="G6" s="5" t="s">
        <v>18</v>
      </c>
      <c r="H6" s="5" t="n">
        <f aca="true">ROUND(RAND()*4+6,1)</f>
        <v>6.7</v>
      </c>
      <c r="I6" s="5" t="s">
        <v>19</v>
      </c>
      <c r="J6" s="5" t="str">
        <f aca="false">ROUND(80*1,0)&amp;"%"</f>
        <v>80%</v>
      </c>
    </row>
    <row r="7" customFormat="false" ht="15" hidden="false" customHeight="false" outlineLevel="0" collapsed="false">
      <c r="A7" s="6" t="s">
        <v>4108</v>
      </c>
      <c r="B7" s="6" t="s">
        <v>21</v>
      </c>
      <c r="C7" s="6" t="s">
        <v>15</v>
      </c>
      <c r="D7" s="6" t="s">
        <v>22</v>
      </c>
      <c r="E7" s="6" t="n">
        <f aca="false">ROUND(17920*1.05,2)</f>
        <v>18816</v>
      </c>
      <c r="F7" s="6" t="s">
        <v>23</v>
      </c>
      <c r="G7" s="6" t="s">
        <v>24</v>
      </c>
      <c r="H7" s="6" t="n">
        <f aca="true">ROUND(RAND()*4+6,1)</f>
        <v>6.6</v>
      </c>
      <c r="I7" s="6" t="s">
        <v>25</v>
      </c>
      <c r="J7" s="6" t="str">
        <f aca="false">ROUND(96*1,0)&amp;"%"</f>
        <v>96%</v>
      </c>
    </row>
    <row r="8" customFormat="false" ht="15" hidden="false" customHeight="false" outlineLevel="0" collapsed="false">
      <c r="A8" s="5" t="s">
        <v>4109</v>
      </c>
      <c r="B8" s="5" t="s">
        <v>27</v>
      </c>
      <c r="C8" s="5" t="s">
        <v>15</v>
      </c>
      <c r="D8" s="5" t="s">
        <v>28</v>
      </c>
      <c r="E8" s="5" t="n">
        <f aca="false">ROUND(4722*1.05,2)</f>
        <v>4958.1</v>
      </c>
      <c r="F8" s="5" t="s">
        <v>29</v>
      </c>
      <c r="G8" s="5" t="s">
        <v>30</v>
      </c>
      <c r="H8" s="5" t="n">
        <f aca="true">ROUND(RAND()*4+6,1)</f>
        <v>6.5</v>
      </c>
      <c r="I8" s="5" t="s">
        <v>31</v>
      </c>
      <c r="J8" s="5" t="str">
        <f aca="false">ROUND(72*1,0)&amp;"%"</f>
        <v>72%</v>
      </c>
    </row>
    <row r="9" customFormat="false" ht="15" hidden="false" customHeight="false" outlineLevel="0" collapsed="false">
      <c r="A9" s="6" t="s">
        <v>4110</v>
      </c>
      <c r="B9" s="6" t="s">
        <v>33</v>
      </c>
      <c r="C9" s="6" t="s">
        <v>15</v>
      </c>
      <c r="D9" s="6" t="s">
        <v>34</v>
      </c>
      <c r="E9" s="6" t="n">
        <f aca="false">ROUND(8153*1.05,2)</f>
        <v>8560.65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ROUND(84*1,0)&amp;"%"</f>
        <v>84%</v>
      </c>
    </row>
    <row r="10" customFormat="false" ht="15" hidden="false" customHeight="false" outlineLevel="0" collapsed="false">
      <c r="A10" s="5" t="s">
        <v>4111</v>
      </c>
      <c r="B10" s="5" t="s">
        <v>38</v>
      </c>
      <c r="C10" s="5" t="s">
        <v>15</v>
      </c>
      <c r="D10" s="5" t="s">
        <v>39</v>
      </c>
      <c r="E10" s="5" t="n">
        <f aca="false">ROUND(17009*1.05,2)</f>
        <v>17859.45</v>
      </c>
      <c r="F10" s="5" t="s">
        <v>40</v>
      </c>
      <c r="G10" s="5" t="s">
        <v>24</v>
      </c>
      <c r="H10" s="5" t="n">
        <f aca="true">ROUND(RAND()*4+6,1)</f>
        <v>7.5</v>
      </c>
      <c r="I10" s="5" t="s">
        <v>41</v>
      </c>
      <c r="J10" s="5" t="str">
        <f aca="false">ROUND(92*1,0)&amp;"%"</f>
        <v>92%</v>
      </c>
    </row>
    <row r="11" customFormat="false" ht="15" hidden="false" customHeight="false" outlineLevel="0" collapsed="false">
      <c r="A11" s="6" t="s">
        <v>4112</v>
      </c>
      <c r="B11" s="6" t="s">
        <v>43</v>
      </c>
      <c r="C11" s="6" t="s">
        <v>15</v>
      </c>
      <c r="D11" s="6" t="s">
        <v>44</v>
      </c>
      <c r="E11" s="6" t="n">
        <f aca="false">ROUND(8342*1.05,2)</f>
        <v>8759.1</v>
      </c>
      <c r="F11" s="6" t="s">
        <v>45</v>
      </c>
      <c r="G11" s="6" t="s">
        <v>30</v>
      </c>
      <c r="H11" s="6" t="n">
        <f aca="true">ROUND(RAND()*4+6,1)</f>
        <v>9.3</v>
      </c>
      <c r="I11" s="6" t="s">
        <v>46</v>
      </c>
      <c r="J11" s="6" t="str">
        <f aca="false">ROUND(97*1,0)&amp;"%"</f>
        <v>97%</v>
      </c>
    </row>
    <row r="12" customFormat="false" ht="15" hidden="false" customHeight="false" outlineLevel="0" collapsed="false">
      <c r="A12" s="5" t="s">
        <v>4113</v>
      </c>
      <c r="B12" s="5" t="s">
        <v>48</v>
      </c>
      <c r="C12" s="5" t="s">
        <v>15</v>
      </c>
      <c r="D12" s="5" t="s">
        <v>16</v>
      </c>
      <c r="E12" s="5" t="n">
        <f aca="false">ROUND(4646*1.05,2)</f>
        <v>4878.3</v>
      </c>
      <c r="F12" s="5" t="s">
        <v>49</v>
      </c>
      <c r="G12" s="5" t="s">
        <v>18</v>
      </c>
      <c r="H12" s="5" t="n">
        <f aca="true">ROUND(RAND()*4+6,1)</f>
        <v>9.8</v>
      </c>
      <c r="I12" s="5" t="s">
        <v>19</v>
      </c>
      <c r="J12" s="5" t="str">
        <f aca="false">ROUND(66*1,0)&amp;"%"</f>
        <v>66%</v>
      </c>
    </row>
    <row r="13" customFormat="false" ht="15" hidden="false" customHeight="false" outlineLevel="0" collapsed="false">
      <c r="A13" s="6" t="s">
        <v>4114</v>
      </c>
      <c r="B13" s="6" t="s">
        <v>51</v>
      </c>
      <c r="C13" s="6" t="s">
        <v>15</v>
      </c>
      <c r="D13" s="6" t="s">
        <v>22</v>
      </c>
      <c r="E13" s="6" t="n">
        <f aca="false">ROUND(15657*1.05,2)</f>
        <v>16439.85</v>
      </c>
      <c r="F13" s="6" t="s">
        <v>52</v>
      </c>
      <c r="G13" s="6" t="s">
        <v>24</v>
      </c>
      <c r="H13" s="6" t="n">
        <f aca="true">ROUND(RAND()*4+6,1)</f>
        <v>9.5</v>
      </c>
      <c r="I13" s="6" t="s">
        <v>25</v>
      </c>
      <c r="J13" s="6" t="str">
        <f aca="false">ROUND(80*1,0)&amp;"%"</f>
        <v>80%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4115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4116</v>
      </c>
      <c r="B18" s="5" t="s">
        <v>56</v>
      </c>
      <c r="C18" s="5" t="s">
        <v>57</v>
      </c>
      <c r="D18" s="5" t="s">
        <v>16</v>
      </c>
      <c r="E18" s="5" t="n">
        <f aca="false">ROUND(11879*1.05,2)</f>
        <v>12472.95</v>
      </c>
      <c r="F18" s="5" t="s">
        <v>17</v>
      </c>
      <c r="G18" s="5" t="s">
        <v>18</v>
      </c>
      <c r="H18" s="5" t="n">
        <f aca="true">ROUND(RAND()*4+6,1)</f>
        <v>9.2</v>
      </c>
      <c r="I18" s="5" t="s">
        <v>19</v>
      </c>
      <c r="J18" s="5" t="str">
        <f aca="false">ROUND(91*1,0)&amp;"%"</f>
        <v>91%</v>
      </c>
    </row>
    <row r="19" customFormat="false" ht="15" hidden="false" customHeight="false" outlineLevel="0" collapsed="false">
      <c r="A19" s="6" t="s">
        <v>4117</v>
      </c>
      <c r="B19" s="6" t="s">
        <v>59</v>
      </c>
      <c r="C19" s="6" t="s">
        <v>57</v>
      </c>
      <c r="D19" s="6" t="s">
        <v>22</v>
      </c>
      <c r="E19" s="6" t="n">
        <f aca="false">ROUND(9347*1.05,2)</f>
        <v>9814.35</v>
      </c>
      <c r="F19" s="6" t="s">
        <v>23</v>
      </c>
      <c r="G19" s="6" t="s">
        <v>24</v>
      </c>
      <c r="H19" s="6" t="n">
        <f aca="true">ROUND(RAND()*4+6,1)</f>
        <v>7</v>
      </c>
      <c r="I19" s="6" t="s">
        <v>25</v>
      </c>
      <c r="J19" s="6" t="str">
        <f aca="false">ROUND(62*1,0)&amp;"%"</f>
        <v>62%</v>
      </c>
    </row>
    <row r="20" customFormat="false" ht="15" hidden="false" customHeight="false" outlineLevel="0" collapsed="false">
      <c r="A20" s="5" t="s">
        <v>4118</v>
      </c>
      <c r="B20" s="5" t="s">
        <v>61</v>
      </c>
      <c r="C20" s="5" t="s">
        <v>57</v>
      </c>
      <c r="D20" s="5" t="s">
        <v>28</v>
      </c>
      <c r="E20" s="5" t="n">
        <f aca="false">ROUND(11447*1.05,2)</f>
        <v>12019.35</v>
      </c>
      <c r="F20" s="5" t="s">
        <v>29</v>
      </c>
      <c r="G20" s="5" t="s">
        <v>30</v>
      </c>
      <c r="H20" s="5" t="n">
        <f aca="true">ROUND(RAND()*4+6,1)</f>
        <v>9.6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4119</v>
      </c>
      <c r="B21" s="6" t="s">
        <v>63</v>
      </c>
      <c r="C21" s="6" t="s">
        <v>57</v>
      </c>
      <c r="D21" s="6" t="s">
        <v>34</v>
      </c>
      <c r="E21" s="6" t="n">
        <f aca="false">ROUND(16711*1.05,2)</f>
        <v>17546.55</v>
      </c>
      <c r="F21" s="6" t="s">
        <v>35</v>
      </c>
      <c r="G21" s="6" t="s">
        <v>18</v>
      </c>
      <c r="H21" s="6" t="n">
        <f aca="true">ROUND(RAND()*4+6,1)</f>
        <v>7.8</v>
      </c>
      <c r="I21" s="6" t="s">
        <v>36</v>
      </c>
      <c r="J21" s="6" t="str">
        <f aca="false">ROUND(63*1,0)&amp;"%"</f>
        <v>63%</v>
      </c>
    </row>
    <row r="22" customFormat="false" ht="15" hidden="false" customHeight="false" outlineLevel="0" collapsed="false">
      <c r="A22" s="5" t="s">
        <v>4120</v>
      </c>
      <c r="B22" s="5" t="s">
        <v>65</v>
      </c>
      <c r="C22" s="5" t="s">
        <v>57</v>
      </c>
      <c r="D22" s="5" t="s">
        <v>39</v>
      </c>
      <c r="E22" s="5" t="n">
        <f aca="false">ROUND(12931*1.05,2)</f>
        <v>13577.55</v>
      </c>
      <c r="F22" s="5" t="s">
        <v>40</v>
      </c>
      <c r="G22" s="5" t="s">
        <v>24</v>
      </c>
      <c r="H22" s="5" t="n">
        <f aca="true">ROUND(RAND()*4+6,1)</f>
        <v>8.9</v>
      </c>
      <c r="I22" s="5" t="s">
        <v>41</v>
      </c>
      <c r="J22" s="5" t="str">
        <f aca="false">ROUND(81*1,0)&amp;"%"</f>
        <v>81%</v>
      </c>
    </row>
    <row r="23" customFormat="false" ht="15" hidden="false" customHeight="false" outlineLevel="0" collapsed="false">
      <c r="A23" s="6" t="s">
        <v>4121</v>
      </c>
      <c r="B23" s="6" t="s">
        <v>67</v>
      </c>
      <c r="C23" s="6" t="s">
        <v>57</v>
      </c>
      <c r="D23" s="6" t="s">
        <v>44</v>
      </c>
      <c r="E23" s="6" t="n">
        <f aca="false">ROUND(13993*1.05,2)</f>
        <v>14692.65</v>
      </c>
      <c r="F23" s="6" t="s">
        <v>45</v>
      </c>
      <c r="G23" s="6" t="s">
        <v>30</v>
      </c>
      <c r="H23" s="6" t="n">
        <f aca="true">ROUND(RAND()*4+6,1)</f>
        <v>6.4</v>
      </c>
      <c r="I23" s="6" t="s">
        <v>46</v>
      </c>
      <c r="J23" s="6" t="str">
        <f aca="false">ROUND(61*1,0)&amp;"%"</f>
        <v>61%</v>
      </c>
    </row>
    <row r="24" customFormat="false" ht="15" hidden="false" customHeight="false" outlineLevel="0" collapsed="false">
      <c r="A24" s="5" t="s">
        <v>4122</v>
      </c>
      <c r="B24" s="5" t="s">
        <v>69</v>
      </c>
      <c r="C24" s="5" t="s">
        <v>57</v>
      </c>
      <c r="D24" s="5" t="s">
        <v>16</v>
      </c>
      <c r="E24" s="5" t="n">
        <f aca="false">ROUND(9337*1.05,2)</f>
        <v>9803.85</v>
      </c>
      <c r="F24" s="5" t="s">
        <v>49</v>
      </c>
      <c r="G24" s="5" t="s">
        <v>18</v>
      </c>
      <c r="H24" s="5" t="n">
        <f aca="true">ROUND(RAND()*4+6,1)</f>
        <v>8.5</v>
      </c>
      <c r="I24" s="5" t="s">
        <v>19</v>
      </c>
      <c r="J24" s="5" t="str">
        <f aca="false">ROUND(66*1,0)&amp;"%"</f>
        <v>66%</v>
      </c>
    </row>
    <row r="25" customFormat="false" ht="15" hidden="false" customHeight="false" outlineLevel="0" collapsed="false">
      <c r="A25" s="6" t="s">
        <v>4123</v>
      </c>
      <c r="B25" s="6" t="s">
        <v>71</v>
      </c>
      <c r="C25" s="6" t="s">
        <v>57</v>
      </c>
      <c r="D25" s="6" t="s">
        <v>22</v>
      </c>
      <c r="E25" s="6" t="n">
        <f aca="false">ROUND(17369*1.05,2)</f>
        <v>18237.45</v>
      </c>
      <c r="F25" s="6" t="s">
        <v>52</v>
      </c>
      <c r="G25" s="6" t="s">
        <v>24</v>
      </c>
      <c r="H25" s="6" t="n">
        <f aca="true">ROUND(RAND()*4+6,1)</f>
        <v>7.5</v>
      </c>
      <c r="I25" s="6" t="s">
        <v>25</v>
      </c>
      <c r="J25" s="6" t="str">
        <f aca="false">ROUND(71*1,0)&amp;"%"</f>
        <v>71%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4124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4125</v>
      </c>
      <c r="B30" s="5" t="s">
        <v>75</v>
      </c>
      <c r="C30" s="5" t="s">
        <v>76</v>
      </c>
      <c r="D30" s="5" t="s">
        <v>16</v>
      </c>
      <c r="E30" s="5" t="n">
        <f aca="false">ROUND(6774*1.05,2)</f>
        <v>7112.7</v>
      </c>
      <c r="F30" s="5" t="s">
        <v>17</v>
      </c>
      <c r="G30" s="5" t="s">
        <v>18</v>
      </c>
      <c r="H30" s="5" t="n">
        <f aca="true">ROUND(RAND()*4+6,1)</f>
        <v>6.2</v>
      </c>
      <c r="I30" s="5" t="s">
        <v>19</v>
      </c>
      <c r="J30" s="5" t="str">
        <f aca="false">ROUND(71*1,0)&amp;"%"</f>
        <v>71%</v>
      </c>
    </row>
    <row r="31" customFormat="false" ht="15" hidden="false" customHeight="false" outlineLevel="0" collapsed="false">
      <c r="A31" s="6" t="s">
        <v>4126</v>
      </c>
      <c r="B31" s="6" t="s">
        <v>78</v>
      </c>
      <c r="C31" s="6" t="s">
        <v>76</v>
      </c>
      <c r="D31" s="6" t="s">
        <v>22</v>
      </c>
      <c r="E31" s="6" t="n">
        <f aca="false">ROUND(15444*1.05,2)</f>
        <v>16216.2</v>
      </c>
      <c r="F31" s="6" t="s">
        <v>23</v>
      </c>
      <c r="G31" s="6" t="s">
        <v>24</v>
      </c>
      <c r="H31" s="6" t="n">
        <f aca="true">ROUND(RAND()*4+6,1)</f>
        <v>8.1</v>
      </c>
      <c r="I31" s="6" t="s">
        <v>25</v>
      </c>
      <c r="J31" s="6" t="str">
        <f aca="false">ROUND(62*1,0)&amp;"%"</f>
        <v>62%</v>
      </c>
    </row>
    <row r="32" customFormat="false" ht="15" hidden="false" customHeight="false" outlineLevel="0" collapsed="false">
      <c r="A32" s="5" t="s">
        <v>4127</v>
      </c>
      <c r="B32" s="5" t="s">
        <v>80</v>
      </c>
      <c r="C32" s="5" t="s">
        <v>76</v>
      </c>
      <c r="D32" s="5" t="s">
        <v>28</v>
      </c>
      <c r="E32" s="5" t="n">
        <f aca="false">ROUND(6761*1.05,2)</f>
        <v>7099.05</v>
      </c>
      <c r="F32" s="5" t="s">
        <v>29</v>
      </c>
      <c r="G32" s="5" t="s">
        <v>30</v>
      </c>
      <c r="H32" s="5" t="n">
        <f aca="true">ROUND(RAND()*4+6,1)</f>
        <v>6.6</v>
      </c>
      <c r="I32" s="5" t="s">
        <v>31</v>
      </c>
      <c r="J32" s="5" t="str">
        <f aca="false">ROUND(93*1,0)&amp;"%"</f>
        <v>93%</v>
      </c>
    </row>
    <row r="33" customFormat="false" ht="15" hidden="false" customHeight="false" outlineLevel="0" collapsed="false">
      <c r="A33" s="6" t="s">
        <v>4128</v>
      </c>
      <c r="B33" s="6" t="s">
        <v>82</v>
      </c>
      <c r="C33" s="6" t="s">
        <v>76</v>
      </c>
      <c r="D33" s="6" t="s">
        <v>34</v>
      </c>
      <c r="E33" s="6" t="n">
        <f aca="false">ROUND(11971*1.05,2)</f>
        <v>12569.55</v>
      </c>
      <c r="F33" s="6" t="s">
        <v>35</v>
      </c>
      <c r="G33" s="6" t="s">
        <v>18</v>
      </c>
      <c r="H33" s="6" t="n">
        <f aca="true">ROUND(RAND()*4+6,1)</f>
        <v>9.4</v>
      </c>
      <c r="I33" s="6" t="s">
        <v>36</v>
      </c>
      <c r="J33" s="6" t="str">
        <f aca="false">ROUND(80*1,0)&amp;"%"</f>
        <v>80%</v>
      </c>
    </row>
    <row r="34" customFormat="false" ht="15" hidden="false" customHeight="false" outlineLevel="0" collapsed="false">
      <c r="A34" s="5" t="s">
        <v>4129</v>
      </c>
      <c r="B34" s="5" t="s">
        <v>84</v>
      </c>
      <c r="C34" s="5" t="s">
        <v>76</v>
      </c>
      <c r="D34" s="5" t="s">
        <v>39</v>
      </c>
      <c r="E34" s="5" t="n">
        <f aca="false">ROUND(16620*1.05,2)</f>
        <v>17451</v>
      </c>
      <c r="F34" s="5" t="s">
        <v>40</v>
      </c>
      <c r="G34" s="5" t="s">
        <v>24</v>
      </c>
      <c r="H34" s="5" t="n">
        <f aca="true">ROUND(RAND()*4+6,1)</f>
        <v>8.6</v>
      </c>
      <c r="I34" s="5" t="s">
        <v>41</v>
      </c>
      <c r="J34" s="5" t="str">
        <f aca="false">ROUND(60*1,0)&amp;"%"</f>
        <v>60%</v>
      </c>
    </row>
    <row r="35" customFormat="false" ht="15" hidden="false" customHeight="false" outlineLevel="0" collapsed="false">
      <c r="A35" s="6" t="s">
        <v>4130</v>
      </c>
      <c r="B35" s="6" t="s">
        <v>86</v>
      </c>
      <c r="C35" s="6" t="s">
        <v>76</v>
      </c>
      <c r="D35" s="6" t="s">
        <v>44</v>
      </c>
      <c r="E35" s="6" t="n">
        <f aca="false">ROUND(4346*1.05,2)</f>
        <v>4563.3</v>
      </c>
      <c r="F35" s="6" t="s">
        <v>45</v>
      </c>
      <c r="G35" s="6" t="s">
        <v>30</v>
      </c>
      <c r="H35" s="6" t="n">
        <f aca="true">ROUND(RAND()*4+6,1)</f>
        <v>8.8</v>
      </c>
      <c r="I35" s="6" t="s">
        <v>46</v>
      </c>
      <c r="J35" s="6" t="str">
        <f aca="false">ROUND(84*1,0)&amp;"%"</f>
        <v>84%</v>
      </c>
    </row>
    <row r="36" customFormat="false" ht="15" hidden="false" customHeight="false" outlineLevel="0" collapsed="false">
      <c r="A36" s="5" t="s">
        <v>4131</v>
      </c>
      <c r="B36" s="5" t="s">
        <v>88</v>
      </c>
      <c r="C36" s="5" t="s">
        <v>76</v>
      </c>
      <c r="D36" s="5" t="s">
        <v>16</v>
      </c>
      <c r="E36" s="5" t="n">
        <f aca="false">ROUND(12550*1.05,2)</f>
        <v>13177.5</v>
      </c>
      <c r="F36" s="5" t="s">
        <v>49</v>
      </c>
      <c r="G36" s="5" t="s">
        <v>18</v>
      </c>
      <c r="H36" s="5" t="n">
        <f aca="true">ROUND(RAND()*4+6,1)</f>
        <v>7.8</v>
      </c>
      <c r="I36" s="5" t="s">
        <v>19</v>
      </c>
      <c r="J36" s="5" t="str">
        <f aca="false">ROUND(86*1,0)&amp;"%"</f>
        <v>86%</v>
      </c>
    </row>
    <row r="37" customFormat="false" ht="15" hidden="false" customHeight="false" outlineLevel="0" collapsed="false">
      <c r="A37" s="6" t="s">
        <v>4132</v>
      </c>
      <c r="B37" s="6" t="s">
        <v>90</v>
      </c>
      <c r="C37" s="6" t="s">
        <v>76</v>
      </c>
      <c r="D37" s="6" t="s">
        <v>22</v>
      </c>
      <c r="E37" s="6" t="n">
        <f aca="false">ROUND(6725*1.05,2)</f>
        <v>7061.25</v>
      </c>
      <c r="F37" s="6" t="s">
        <v>52</v>
      </c>
      <c r="G37" s="6" t="s">
        <v>24</v>
      </c>
      <c r="H37" s="6" t="n">
        <f aca="true">ROUND(RAND()*4+6,1)</f>
        <v>9.4</v>
      </c>
      <c r="I37" s="6" t="s">
        <v>25</v>
      </c>
      <c r="J37" s="6" t="str">
        <f aca="false">ROUND(89*1,0)&amp;"%"</f>
        <v>89%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4133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4134</v>
      </c>
      <c r="B42" s="5" t="s">
        <v>94</v>
      </c>
      <c r="C42" s="5" t="s">
        <v>95</v>
      </c>
      <c r="D42" s="5" t="s">
        <v>16</v>
      </c>
      <c r="E42" s="5" t="n">
        <f aca="false">ROUND(9083*1.05,2)</f>
        <v>9537.15</v>
      </c>
      <c r="F42" s="5" t="s">
        <v>17</v>
      </c>
      <c r="G42" s="5" t="s">
        <v>18</v>
      </c>
      <c r="H42" s="5" t="n">
        <f aca="true">ROUND(RAND()*4+6,1)</f>
        <v>9.7</v>
      </c>
      <c r="I42" s="5" t="s">
        <v>19</v>
      </c>
      <c r="J42" s="5" t="str">
        <f aca="false">ROUND(63*1,0)&amp;"%"</f>
        <v>63%</v>
      </c>
    </row>
    <row r="43" customFormat="false" ht="15" hidden="false" customHeight="false" outlineLevel="0" collapsed="false">
      <c r="A43" s="6" t="s">
        <v>4135</v>
      </c>
      <c r="B43" s="6" t="s">
        <v>97</v>
      </c>
      <c r="C43" s="6" t="s">
        <v>95</v>
      </c>
      <c r="D43" s="6" t="s">
        <v>22</v>
      </c>
      <c r="E43" s="6" t="n">
        <f aca="false">ROUND(16464*1.05,2)</f>
        <v>17287.2</v>
      </c>
      <c r="F43" s="6" t="s">
        <v>23</v>
      </c>
      <c r="G43" s="6" t="s">
        <v>24</v>
      </c>
      <c r="H43" s="6" t="n">
        <f aca="true">ROUND(RAND()*4+6,1)</f>
        <v>7</v>
      </c>
      <c r="I43" s="6" t="s">
        <v>25</v>
      </c>
      <c r="J43" s="6" t="str">
        <f aca="false">ROUND(65*1,0)&amp;"%"</f>
        <v>65%</v>
      </c>
    </row>
    <row r="44" customFormat="false" ht="15" hidden="false" customHeight="false" outlineLevel="0" collapsed="false">
      <c r="A44" s="5" t="s">
        <v>4136</v>
      </c>
      <c r="B44" s="5" t="s">
        <v>99</v>
      </c>
      <c r="C44" s="5" t="s">
        <v>95</v>
      </c>
      <c r="D44" s="5" t="s">
        <v>28</v>
      </c>
      <c r="E44" s="5" t="n">
        <f aca="false">ROUND(10274*1.05,2)</f>
        <v>10787.7</v>
      </c>
      <c r="F44" s="5" t="s">
        <v>29</v>
      </c>
      <c r="G44" s="5" t="s">
        <v>30</v>
      </c>
      <c r="H44" s="5" t="n">
        <f aca="true">ROUND(RAND()*4+6,1)</f>
        <v>6.2</v>
      </c>
      <c r="I44" s="5" t="s">
        <v>31</v>
      </c>
      <c r="J44" s="5" t="str">
        <f aca="false">ROUND(68*1,0)&amp;"%"</f>
        <v>68%</v>
      </c>
    </row>
    <row r="45" customFormat="false" ht="15" hidden="false" customHeight="false" outlineLevel="0" collapsed="false">
      <c r="A45" s="6" t="s">
        <v>4137</v>
      </c>
      <c r="B45" s="6" t="s">
        <v>101</v>
      </c>
      <c r="C45" s="6" t="s">
        <v>95</v>
      </c>
      <c r="D45" s="6" t="s">
        <v>34</v>
      </c>
      <c r="E45" s="6" t="n">
        <f aca="false">ROUND(10121*1.05,2)</f>
        <v>10627.05</v>
      </c>
      <c r="F45" s="6" t="s">
        <v>35</v>
      </c>
      <c r="G45" s="6" t="s">
        <v>18</v>
      </c>
      <c r="H45" s="6" t="n">
        <f aca="true">ROUND(RAND()*4+6,1)</f>
        <v>6.3</v>
      </c>
      <c r="I45" s="6" t="s">
        <v>36</v>
      </c>
      <c r="J45" s="6" t="str">
        <f aca="false">ROUND(87*1,0)&amp;"%"</f>
        <v>87%</v>
      </c>
    </row>
    <row r="46" customFormat="false" ht="15" hidden="false" customHeight="false" outlineLevel="0" collapsed="false">
      <c r="A46" s="5" t="s">
        <v>4138</v>
      </c>
      <c r="B46" s="5" t="s">
        <v>103</v>
      </c>
      <c r="C46" s="5" t="s">
        <v>95</v>
      </c>
      <c r="D46" s="5" t="s">
        <v>39</v>
      </c>
      <c r="E46" s="5" t="n">
        <f aca="false">ROUND(11745*1.05,2)</f>
        <v>12332.25</v>
      </c>
      <c r="F46" s="5" t="s">
        <v>40</v>
      </c>
      <c r="G46" s="5" t="s">
        <v>24</v>
      </c>
      <c r="H46" s="5" t="n">
        <f aca="true">ROUND(RAND()*4+6,1)</f>
        <v>8.5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4139</v>
      </c>
      <c r="B47" s="6" t="s">
        <v>105</v>
      </c>
      <c r="C47" s="6" t="s">
        <v>95</v>
      </c>
      <c r="D47" s="6" t="s">
        <v>44</v>
      </c>
      <c r="E47" s="6" t="n">
        <f aca="false">ROUND(5689*1.05,2)</f>
        <v>5973.45</v>
      </c>
      <c r="F47" s="6" t="s">
        <v>45</v>
      </c>
      <c r="G47" s="6" t="s">
        <v>30</v>
      </c>
      <c r="H47" s="6" t="n">
        <f aca="true">ROUND(RAND()*4+6,1)</f>
        <v>8.8</v>
      </c>
      <c r="I47" s="6" t="s">
        <v>46</v>
      </c>
      <c r="J47" s="6" t="str">
        <f aca="false">ROUND(84*1,0)&amp;"%"</f>
        <v>84%</v>
      </c>
    </row>
    <row r="48" customFormat="false" ht="15" hidden="false" customHeight="false" outlineLevel="0" collapsed="false">
      <c r="A48" s="5" t="s">
        <v>4140</v>
      </c>
      <c r="B48" s="5" t="s">
        <v>107</v>
      </c>
      <c r="C48" s="5" t="s">
        <v>95</v>
      </c>
      <c r="D48" s="5" t="s">
        <v>16</v>
      </c>
      <c r="E48" s="5" t="n">
        <f aca="false">ROUND(16778*1.05,2)</f>
        <v>17616.9</v>
      </c>
      <c r="F48" s="5" t="s">
        <v>49</v>
      </c>
      <c r="G48" s="5" t="s">
        <v>18</v>
      </c>
      <c r="H48" s="5" t="n">
        <f aca="true">ROUND(RAND()*4+6,1)</f>
        <v>6.1</v>
      </c>
      <c r="I48" s="5" t="s">
        <v>19</v>
      </c>
      <c r="J48" s="5" t="str">
        <f aca="false">ROUND(83*1,0)&amp;"%"</f>
        <v>83%</v>
      </c>
    </row>
    <row r="49" customFormat="false" ht="15" hidden="false" customHeight="false" outlineLevel="0" collapsed="false">
      <c r="A49" s="6" t="s">
        <v>4141</v>
      </c>
      <c r="B49" s="6" t="s">
        <v>109</v>
      </c>
      <c r="C49" s="6" t="s">
        <v>95</v>
      </c>
      <c r="D49" s="6" t="s">
        <v>22</v>
      </c>
      <c r="E49" s="6" t="n">
        <f aca="false">ROUND(16572*1.05,2)</f>
        <v>17400.6</v>
      </c>
      <c r="F49" s="6" t="s">
        <v>52</v>
      </c>
      <c r="G49" s="6" t="s">
        <v>24</v>
      </c>
      <c r="H49" s="6" t="n">
        <f aca="true">ROUND(RAND()*4+6,1)</f>
        <v>6.1</v>
      </c>
      <c r="I49" s="6" t="s">
        <v>25</v>
      </c>
      <c r="J49" s="6" t="str">
        <f aca="false">ROUND(96*1,0)&amp;"%"</f>
        <v>96%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4142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4143</v>
      </c>
      <c r="B54" s="5" t="s">
        <v>113</v>
      </c>
      <c r="C54" s="5" t="s">
        <v>114</v>
      </c>
      <c r="D54" s="5" t="s">
        <v>16</v>
      </c>
      <c r="E54" s="5" t="n">
        <f aca="false">ROUND(11325*1.05,2)</f>
        <v>11891.25</v>
      </c>
      <c r="F54" s="5" t="s">
        <v>17</v>
      </c>
      <c r="G54" s="5" t="s">
        <v>18</v>
      </c>
      <c r="H54" s="5" t="n">
        <f aca="true">ROUND(RAND()*4+6,1)</f>
        <v>9.4</v>
      </c>
      <c r="I54" s="5" t="s">
        <v>19</v>
      </c>
      <c r="J54" s="5" t="str">
        <f aca="false">ROUND(81*1,0)&amp;"%"</f>
        <v>81%</v>
      </c>
    </row>
    <row r="55" customFormat="false" ht="15" hidden="false" customHeight="false" outlineLevel="0" collapsed="false">
      <c r="A55" s="6" t="s">
        <v>4144</v>
      </c>
      <c r="B55" s="6" t="s">
        <v>116</v>
      </c>
      <c r="C55" s="6" t="s">
        <v>114</v>
      </c>
      <c r="D55" s="6" t="s">
        <v>22</v>
      </c>
      <c r="E55" s="6" t="n">
        <f aca="false">ROUND(13502*1.05,2)</f>
        <v>14177.1</v>
      </c>
      <c r="F55" s="6" t="s">
        <v>23</v>
      </c>
      <c r="G55" s="6" t="s">
        <v>24</v>
      </c>
      <c r="H55" s="6" t="n">
        <f aca="true">ROUND(RAND()*4+6,1)</f>
        <v>9.2</v>
      </c>
      <c r="I55" s="6" t="s">
        <v>25</v>
      </c>
      <c r="J55" s="6" t="str">
        <f aca="false">ROUND(93*1,0)&amp;"%"</f>
        <v>93%</v>
      </c>
    </row>
    <row r="56" customFormat="false" ht="15" hidden="false" customHeight="false" outlineLevel="0" collapsed="false">
      <c r="A56" s="5" t="s">
        <v>4145</v>
      </c>
      <c r="B56" s="5" t="s">
        <v>118</v>
      </c>
      <c r="C56" s="5" t="s">
        <v>114</v>
      </c>
      <c r="D56" s="5" t="s">
        <v>28</v>
      </c>
      <c r="E56" s="5" t="n">
        <f aca="false">ROUND(11942*1.05,2)</f>
        <v>12539.1</v>
      </c>
      <c r="F56" s="5" t="s">
        <v>29</v>
      </c>
      <c r="G56" s="5" t="s">
        <v>30</v>
      </c>
      <c r="H56" s="5" t="n">
        <f aca="true">ROUND(RAND()*4+6,1)</f>
        <v>7.5</v>
      </c>
      <c r="I56" s="5" t="s">
        <v>31</v>
      </c>
      <c r="J56" s="5" t="str">
        <f aca="false">ROUND(75*1,0)&amp;"%"</f>
        <v>75%</v>
      </c>
    </row>
    <row r="57" customFormat="false" ht="15" hidden="false" customHeight="false" outlineLevel="0" collapsed="false">
      <c r="A57" s="6" t="s">
        <v>4146</v>
      </c>
      <c r="B57" s="6" t="s">
        <v>120</v>
      </c>
      <c r="C57" s="6" t="s">
        <v>114</v>
      </c>
      <c r="D57" s="6" t="s">
        <v>34</v>
      </c>
      <c r="E57" s="6" t="n">
        <f aca="false">ROUND(7527*1.05,2)</f>
        <v>7903.35</v>
      </c>
      <c r="F57" s="6" t="s">
        <v>35</v>
      </c>
      <c r="G57" s="6" t="s">
        <v>18</v>
      </c>
      <c r="H57" s="6" t="n">
        <f aca="true">ROUND(RAND()*4+6,1)</f>
        <v>8.6</v>
      </c>
      <c r="I57" s="6" t="s">
        <v>36</v>
      </c>
      <c r="J57" s="6" t="str">
        <f aca="false">ROUND(73*1,0)&amp;"%"</f>
        <v>73%</v>
      </c>
    </row>
    <row r="58" customFormat="false" ht="15" hidden="false" customHeight="false" outlineLevel="0" collapsed="false">
      <c r="A58" s="5" t="s">
        <v>4147</v>
      </c>
      <c r="B58" s="5" t="s">
        <v>122</v>
      </c>
      <c r="C58" s="5" t="s">
        <v>114</v>
      </c>
      <c r="D58" s="5" t="s">
        <v>39</v>
      </c>
      <c r="E58" s="5" t="n">
        <f aca="false">ROUND(12352*1.05,2)</f>
        <v>12969.6</v>
      </c>
      <c r="F58" s="5" t="s">
        <v>40</v>
      </c>
      <c r="G58" s="5" t="s">
        <v>24</v>
      </c>
      <c r="H58" s="5" t="n">
        <f aca="true">ROUND(RAND()*4+6,1)</f>
        <v>8.7</v>
      </c>
      <c r="I58" s="5" t="s">
        <v>41</v>
      </c>
      <c r="J58" s="5" t="str">
        <f aca="false">ROUND(60*1,0)&amp;"%"</f>
        <v>60%</v>
      </c>
    </row>
    <row r="59" customFormat="false" ht="15" hidden="false" customHeight="false" outlineLevel="0" collapsed="false">
      <c r="A59" s="6" t="s">
        <v>4148</v>
      </c>
      <c r="B59" s="6" t="s">
        <v>124</v>
      </c>
      <c r="C59" s="6" t="s">
        <v>114</v>
      </c>
      <c r="D59" s="6" t="s">
        <v>44</v>
      </c>
      <c r="E59" s="6" t="n">
        <f aca="false">ROUND(4677*1.05,2)</f>
        <v>4910.85</v>
      </c>
      <c r="F59" s="6" t="s">
        <v>45</v>
      </c>
      <c r="G59" s="6" t="s">
        <v>30</v>
      </c>
      <c r="H59" s="6" t="n">
        <f aca="true">ROUND(RAND()*4+6,1)</f>
        <v>6.1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4149</v>
      </c>
      <c r="B60" s="5" t="s">
        <v>126</v>
      </c>
      <c r="C60" s="5" t="s">
        <v>114</v>
      </c>
      <c r="D60" s="5" t="s">
        <v>16</v>
      </c>
      <c r="E60" s="5" t="n">
        <f aca="false">ROUND(14462*1.05,2)</f>
        <v>15185.1</v>
      </c>
      <c r="F60" s="5" t="s">
        <v>49</v>
      </c>
      <c r="G60" s="5" t="s">
        <v>18</v>
      </c>
      <c r="H60" s="5" t="n">
        <f aca="true">ROUND(RAND()*4+6,1)</f>
        <v>7</v>
      </c>
      <c r="I60" s="5" t="s">
        <v>19</v>
      </c>
      <c r="J60" s="5" t="str">
        <f aca="false">ROUND(80*1,0)&amp;"%"</f>
        <v>80%</v>
      </c>
    </row>
    <row r="61" customFormat="false" ht="15" hidden="false" customHeight="false" outlineLevel="0" collapsed="false">
      <c r="A61" s="6" t="s">
        <v>4150</v>
      </c>
      <c r="B61" s="6" t="s">
        <v>128</v>
      </c>
      <c r="C61" s="6" t="s">
        <v>114</v>
      </c>
      <c r="D61" s="6" t="s">
        <v>22</v>
      </c>
      <c r="E61" s="6" t="n">
        <f aca="false">ROUND(17664*1.05,2)</f>
        <v>18547.2</v>
      </c>
      <c r="F61" s="6" t="s">
        <v>52</v>
      </c>
      <c r="G61" s="6" t="s">
        <v>24</v>
      </c>
      <c r="H61" s="6" t="n">
        <f aca="true">ROUND(RAND()*4+6,1)</f>
        <v>9.9</v>
      </c>
      <c r="I61" s="6" t="s">
        <v>25</v>
      </c>
      <c r="J61" s="6" t="str">
        <f aca="false">ROUND(85*1,0)&amp;"%"</f>
        <v>85%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4151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4152</v>
      </c>
      <c r="B66" s="5" t="s">
        <v>132</v>
      </c>
      <c r="C66" s="5" t="s">
        <v>133</v>
      </c>
      <c r="D66" s="5" t="s">
        <v>16</v>
      </c>
      <c r="E66" s="5" t="n">
        <f aca="false">ROUND(7602*1.05,2)</f>
        <v>7982.1</v>
      </c>
      <c r="F66" s="5" t="s">
        <v>17</v>
      </c>
      <c r="G66" s="5" t="s">
        <v>18</v>
      </c>
      <c r="H66" s="5" t="n">
        <f aca="true">ROUND(RAND()*4+6,1)</f>
        <v>6.6</v>
      </c>
      <c r="I66" s="5" t="s">
        <v>19</v>
      </c>
      <c r="J66" s="5" t="str">
        <f aca="false">ROUND(69*1,0)&amp;"%"</f>
        <v>69%</v>
      </c>
    </row>
    <row r="67" customFormat="false" ht="15" hidden="false" customHeight="false" outlineLevel="0" collapsed="false">
      <c r="A67" s="6" t="s">
        <v>4153</v>
      </c>
      <c r="B67" s="6" t="s">
        <v>135</v>
      </c>
      <c r="C67" s="6" t="s">
        <v>133</v>
      </c>
      <c r="D67" s="6" t="s">
        <v>22</v>
      </c>
      <c r="E67" s="6" t="n">
        <f aca="false">ROUND(15445*1.05,2)</f>
        <v>16217.25</v>
      </c>
      <c r="F67" s="6" t="s">
        <v>23</v>
      </c>
      <c r="G67" s="6" t="s">
        <v>24</v>
      </c>
      <c r="H67" s="6" t="n">
        <f aca="true">ROUND(RAND()*4+6,1)</f>
        <v>7.8</v>
      </c>
      <c r="I67" s="6" t="s">
        <v>25</v>
      </c>
      <c r="J67" s="6" t="str">
        <f aca="false">ROUND(87*1,0)&amp;"%"</f>
        <v>87%</v>
      </c>
    </row>
    <row r="68" customFormat="false" ht="15" hidden="false" customHeight="false" outlineLevel="0" collapsed="false">
      <c r="A68" s="5" t="s">
        <v>4154</v>
      </c>
      <c r="B68" s="5" t="s">
        <v>137</v>
      </c>
      <c r="C68" s="5" t="s">
        <v>133</v>
      </c>
      <c r="D68" s="5" t="s">
        <v>28</v>
      </c>
      <c r="E68" s="5" t="n">
        <f aca="false">ROUND(5209*1.05,2)</f>
        <v>5469.45</v>
      </c>
      <c r="F68" s="5" t="s">
        <v>29</v>
      </c>
      <c r="G68" s="5" t="s">
        <v>30</v>
      </c>
      <c r="H68" s="5" t="n">
        <f aca="true">ROUND(RAND()*4+6,1)</f>
        <v>8.6</v>
      </c>
      <c r="I68" s="5" t="s">
        <v>31</v>
      </c>
      <c r="J68" s="5" t="str">
        <f aca="false">ROUND(66*1,0)&amp;"%"</f>
        <v>66%</v>
      </c>
    </row>
    <row r="69" customFormat="false" ht="15" hidden="false" customHeight="false" outlineLevel="0" collapsed="false">
      <c r="A69" s="6" t="s">
        <v>4155</v>
      </c>
      <c r="B69" s="6" t="s">
        <v>139</v>
      </c>
      <c r="C69" s="6" t="s">
        <v>133</v>
      </c>
      <c r="D69" s="6" t="s">
        <v>34</v>
      </c>
      <c r="E69" s="6" t="n">
        <f aca="false">ROUND(17776*1.05,2)</f>
        <v>18664.8</v>
      </c>
      <c r="F69" s="6" t="s">
        <v>35</v>
      </c>
      <c r="G69" s="6" t="s">
        <v>18</v>
      </c>
      <c r="H69" s="6" t="n">
        <f aca="true">ROUND(RAND()*4+6,1)</f>
        <v>9.6</v>
      </c>
      <c r="I69" s="6" t="s">
        <v>36</v>
      </c>
      <c r="J69" s="6" t="str">
        <f aca="false">ROUND(88*1,0)&amp;"%"</f>
        <v>88%</v>
      </c>
    </row>
    <row r="70" customFormat="false" ht="15" hidden="false" customHeight="false" outlineLevel="0" collapsed="false">
      <c r="A70" s="5" t="s">
        <v>4156</v>
      </c>
      <c r="B70" s="5" t="s">
        <v>141</v>
      </c>
      <c r="C70" s="5" t="s">
        <v>133</v>
      </c>
      <c r="D70" s="5" t="s">
        <v>39</v>
      </c>
      <c r="E70" s="5" t="n">
        <f aca="false">ROUND(14364*1.05,2)</f>
        <v>15082.2</v>
      </c>
      <c r="F70" s="5" t="s">
        <v>40</v>
      </c>
      <c r="G70" s="5" t="s">
        <v>24</v>
      </c>
      <c r="H70" s="5" t="n">
        <f aca="true">ROUND(RAND()*4+6,1)</f>
        <v>8.7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4157</v>
      </c>
      <c r="B71" s="6" t="s">
        <v>143</v>
      </c>
      <c r="C71" s="6" t="s">
        <v>133</v>
      </c>
      <c r="D71" s="6" t="s">
        <v>44</v>
      </c>
      <c r="E71" s="6" t="n">
        <f aca="false">ROUND(4530*1.05,2)</f>
        <v>4756.5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ROUND(69*1,0)&amp;"%"</f>
        <v>69%</v>
      </c>
    </row>
    <row r="72" customFormat="false" ht="15" hidden="false" customHeight="false" outlineLevel="0" collapsed="false">
      <c r="A72" s="5" t="s">
        <v>4158</v>
      </c>
      <c r="B72" s="5" t="s">
        <v>145</v>
      </c>
      <c r="C72" s="5" t="s">
        <v>133</v>
      </c>
      <c r="D72" s="5" t="s">
        <v>16</v>
      </c>
      <c r="E72" s="5" t="n">
        <f aca="false">ROUND(5213*1.05,2)</f>
        <v>5473.65</v>
      </c>
      <c r="F72" s="5" t="s">
        <v>49</v>
      </c>
      <c r="G72" s="5" t="s">
        <v>18</v>
      </c>
      <c r="H72" s="5" t="n">
        <f aca="true">ROUND(RAND()*4+6,1)</f>
        <v>8.3</v>
      </c>
      <c r="I72" s="5" t="s">
        <v>19</v>
      </c>
      <c r="J72" s="5" t="str">
        <f aca="false">ROUND(71*1,0)&amp;"%"</f>
        <v>71%</v>
      </c>
    </row>
    <row r="73" customFormat="false" ht="15" hidden="false" customHeight="false" outlineLevel="0" collapsed="false">
      <c r="A73" s="6" t="s">
        <v>4159</v>
      </c>
      <c r="B73" s="6" t="s">
        <v>147</v>
      </c>
      <c r="C73" s="6" t="s">
        <v>133</v>
      </c>
      <c r="D73" s="6" t="s">
        <v>22</v>
      </c>
      <c r="E73" s="6" t="n">
        <f aca="false">ROUND(12241*1.05,2)</f>
        <v>12853.05</v>
      </c>
      <c r="F73" s="6" t="s">
        <v>52</v>
      </c>
      <c r="G73" s="6" t="s">
        <v>24</v>
      </c>
      <c r="H73" s="6" t="n">
        <f aca="true">ROUND(RAND()*4+6,1)</f>
        <v>7.8</v>
      </c>
      <c r="I73" s="6" t="s">
        <v>25</v>
      </c>
      <c r="J73" s="6" t="str">
        <f aca="false">ROUND(66*1,0)&amp;"%"</f>
        <v>66%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4160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4161</v>
      </c>
      <c r="B78" s="5" t="s">
        <v>151</v>
      </c>
      <c r="C78" s="5" t="s">
        <v>152</v>
      </c>
      <c r="D78" s="5" t="s">
        <v>16</v>
      </c>
      <c r="E78" s="5" t="n">
        <f aca="false">ROUND(5019*1.05,2)</f>
        <v>5269.95</v>
      </c>
      <c r="F78" s="5" t="s">
        <v>17</v>
      </c>
      <c r="G78" s="5" t="s">
        <v>18</v>
      </c>
      <c r="H78" s="5" t="n">
        <f aca="true">ROUND(RAND()*4+6,1)</f>
        <v>7.8</v>
      </c>
      <c r="I78" s="5" t="s">
        <v>19</v>
      </c>
      <c r="J78" s="5" t="str">
        <f aca="false">ROUND(77*1,0)&amp;"%"</f>
        <v>77%</v>
      </c>
    </row>
    <row r="79" customFormat="false" ht="15" hidden="false" customHeight="false" outlineLevel="0" collapsed="false">
      <c r="A79" s="6" t="s">
        <v>4162</v>
      </c>
      <c r="B79" s="6" t="s">
        <v>154</v>
      </c>
      <c r="C79" s="6" t="s">
        <v>152</v>
      </c>
      <c r="D79" s="6" t="s">
        <v>22</v>
      </c>
      <c r="E79" s="6" t="n">
        <f aca="false">ROUND(10774*1.05,2)</f>
        <v>11312.7</v>
      </c>
      <c r="F79" s="6" t="s">
        <v>23</v>
      </c>
      <c r="G79" s="6" t="s">
        <v>24</v>
      </c>
      <c r="H79" s="6" t="n">
        <f aca="true">ROUND(RAND()*4+6,1)</f>
        <v>6.1</v>
      </c>
      <c r="I79" s="6" t="s">
        <v>25</v>
      </c>
      <c r="J79" s="6" t="str">
        <f aca="false">ROUND(71*1,0)&amp;"%"</f>
        <v>71%</v>
      </c>
    </row>
    <row r="80" customFormat="false" ht="15" hidden="false" customHeight="false" outlineLevel="0" collapsed="false">
      <c r="A80" s="5" t="s">
        <v>4163</v>
      </c>
      <c r="B80" s="5" t="s">
        <v>156</v>
      </c>
      <c r="C80" s="5" t="s">
        <v>152</v>
      </c>
      <c r="D80" s="5" t="s">
        <v>28</v>
      </c>
      <c r="E80" s="5" t="n">
        <f aca="false">ROUND(4321*1.05,2)</f>
        <v>4537.05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ROUND(88*1,0)&amp;"%"</f>
        <v>88%</v>
      </c>
    </row>
    <row r="81" customFormat="false" ht="15" hidden="false" customHeight="false" outlineLevel="0" collapsed="false">
      <c r="A81" s="6" t="s">
        <v>4164</v>
      </c>
      <c r="B81" s="6" t="s">
        <v>158</v>
      </c>
      <c r="C81" s="6" t="s">
        <v>152</v>
      </c>
      <c r="D81" s="6" t="s">
        <v>34</v>
      </c>
      <c r="E81" s="6" t="n">
        <f aca="false">ROUND(12684*1.05,2)</f>
        <v>13318.2</v>
      </c>
      <c r="F81" s="6" t="s">
        <v>35</v>
      </c>
      <c r="G81" s="6" t="s">
        <v>18</v>
      </c>
      <c r="H81" s="6" t="n">
        <f aca="true">ROUND(RAND()*4+6,1)</f>
        <v>9.3</v>
      </c>
      <c r="I81" s="6" t="s">
        <v>36</v>
      </c>
      <c r="J81" s="6" t="str">
        <f aca="false">ROUND(93*1,0)&amp;"%"</f>
        <v>93%</v>
      </c>
    </row>
    <row r="82" customFormat="false" ht="15" hidden="false" customHeight="false" outlineLevel="0" collapsed="false">
      <c r="A82" s="5" t="s">
        <v>4165</v>
      </c>
      <c r="B82" s="5" t="s">
        <v>160</v>
      </c>
      <c r="C82" s="5" t="s">
        <v>152</v>
      </c>
      <c r="D82" s="5" t="s">
        <v>39</v>
      </c>
      <c r="E82" s="5" t="n">
        <f aca="false">ROUND(7691*1.05,2)</f>
        <v>8075.55</v>
      </c>
      <c r="F82" s="5" t="s">
        <v>40</v>
      </c>
      <c r="G82" s="5" t="s">
        <v>24</v>
      </c>
      <c r="H82" s="5" t="n">
        <f aca="true">ROUND(RAND()*4+6,1)</f>
        <v>9</v>
      </c>
      <c r="I82" s="5" t="s">
        <v>41</v>
      </c>
      <c r="J82" s="5" t="str">
        <f aca="false">ROUND(99*1,0)&amp;"%"</f>
        <v>99%</v>
      </c>
    </row>
    <row r="83" customFormat="false" ht="15" hidden="false" customHeight="false" outlineLevel="0" collapsed="false">
      <c r="A83" s="6" t="s">
        <v>4166</v>
      </c>
      <c r="B83" s="6" t="s">
        <v>162</v>
      </c>
      <c r="C83" s="6" t="s">
        <v>152</v>
      </c>
      <c r="D83" s="6" t="s">
        <v>44</v>
      </c>
      <c r="E83" s="6" t="n">
        <f aca="false">ROUND(10863*1.05,2)</f>
        <v>11406.15</v>
      </c>
      <c r="F83" s="6" t="s">
        <v>45</v>
      </c>
      <c r="G83" s="6" t="s">
        <v>30</v>
      </c>
      <c r="H83" s="6" t="n">
        <f aca="true">ROUND(RAND()*4+6,1)</f>
        <v>7.4</v>
      </c>
      <c r="I83" s="6" t="s">
        <v>46</v>
      </c>
      <c r="J83" s="6" t="str">
        <f aca="false">ROUND(67*1,0)&amp;"%"</f>
        <v>67%</v>
      </c>
    </row>
    <row r="84" customFormat="false" ht="15" hidden="false" customHeight="false" outlineLevel="0" collapsed="false">
      <c r="A84" s="5" t="s">
        <v>4167</v>
      </c>
      <c r="B84" s="5" t="s">
        <v>164</v>
      </c>
      <c r="C84" s="5" t="s">
        <v>152</v>
      </c>
      <c r="D84" s="5" t="s">
        <v>16</v>
      </c>
      <c r="E84" s="5" t="n">
        <f aca="false">ROUND(9806*1.05,2)</f>
        <v>10296.3</v>
      </c>
      <c r="F84" s="5" t="s">
        <v>49</v>
      </c>
      <c r="G84" s="5" t="s">
        <v>18</v>
      </c>
      <c r="H84" s="5" t="n">
        <f aca="true">ROUND(RAND()*4+6,1)</f>
        <v>6.6</v>
      </c>
      <c r="I84" s="5" t="s">
        <v>19</v>
      </c>
      <c r="J84" s="5" t="str">
        <f aca="false">ROUND(96*1,0)&amp;"%"</f>
        <v>96%</v>
      </c>
    </row>
    <row r="85" customFormat="false" ht="15" hidden="false" customHeight="false" outlineLevel="0" collapsed="false">
      <c r="A85" s="6" t="s">
        <v>4168</v>
      </c>
      <c r="B85" s="6" t="s">
        <v>166</v>
      </c>
      <c r="C85" s="6" t="s">
        <v>152</v>
      </c>
      <c r="D85" s="6" t="s">
        <v>22</v>
      </c>
      <c r="E85" s="6" t="n">
        <f aca="false">ROUND(16346*1.05,2)</f>
        <v>17163.3</v>
      </c>
      <c r="F85" s="6" t="s">
        <v>52</v>
      </c>
      <c r="G85" s="6" t="s">
        <v>24</v>
      </c>
      <c r="H85" s="6" t="n">
        <f aca="true">ROUND(RAND()*4+6,1)</f>
        <v>6.1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4169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4170</v>
      </c>
      <c r="B90" s="5" t="s">
        <v>170</v>
      </c>
      <c r="C90" s="5" t="s">
        <v>15</v>
      </c>
      <c r="D90" s="5" t="s">
        <v>16</v>
      </c>
      <c r="E90" s="5" t="n">
        <f aca="false">ROUND(16926*1.05,2)</f>
        <v>17772.3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ROUND(60*1,0)&amp;"%"</f>
        <v>60%</v>
      </c>
    </row>
    <row r="91" customFormat="false" ht="15" hidden="false" customHeight="false" outlineLevel="0" collapsed="false">
      <c r="A91" s="6" t="s">
        <v>4171</v>
      </c>
      <c r="B91" s="6" t="s">
        <v>172</v>
      </c>
      <c r="C91" s="6" t="s">
        <v>15</v>
      </c>
      <c r="D91" s="6" t="s">
        <v>22</v>
      </c>
      <c r="E91" s="6" t="n">
        <f aca="false">ROUND(4985*1.05,2)</f>
        <v>5234.25</v>
      </c>
      <c r="F91" s="6" t="s">
        <v>23</v>
      </c>
      <c r="G91" s="6" t="s">
        <v>24</v>
      </c>
      <c r="H91" s="6" t="n">
        <f aca="true">ROUND(RAND()*4+6,1)</f>
        <v>7.1</v>
      </c>
      <c r="I91" s="6" t="s">
        <v>25</v>
      </c>
      <c r="J91" s="6" t="str">
        <f aca="false">ROUND(63*1,0)&amp;"%"</f>
        <v>63%</v>
      </c>
    </row>
    <row r="92" customFormat="false" ht="15" hidden="false" customHeight="false" outlineLevel="0" collapsed="false">
      <c r="A92" s="5" t="s">
        <v>4172</v>
      </c>
      <c r="B92" s="5" t="s">
        <v>174</v>
      </c>
      <c r="C92" s="5" t="s">
        <v>15</v>
      </c>
      <c r="D92" s="5" t="s">
        <v>28</v>
      </c>
      <c r="E92" s="5" t="n">
        <f aca="false">ROUND(16244*1.05,2)</f>
        <v>17056.2</v>
      </c>
      <c r="F92" s="5" t="s">
        <v>29</v>
      </c>
      <c r="G92" s="5" t="s">
        <v>30</v>
      </c>
      <c r="H92" s="5" t="n">
        <f aca="true">ROUND(RAND()*4+6,1)</f>
        <v>9.1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4173</v>
      </c>
      <c r="B93" s="6" t="s">
        <v>176</v>
      </c>
      <c r="C93" s="6" t="s">
        <v>15</v>
      </c>
      <c r="D93" s="6" t="s">
        <v>34</v>
      </c>
      <c r="E93" s="6" t="n">
        <f aca="false">ROUND(14744*1.05,2)</f>
        <v>15481.2</v>
      </c>
      <c r="F93" s="6" t="s">
        <v>35</v>
      </c>
      <c r="G93" s="6" t="s">
        <v>18</v>
      </c>
      <c r="H93" s="6" t="n">
        <f aca="true">ROUND(RAND()*4+6,1)</f>
        <v>8.1</v>
      </c>
      <c r="I93" s="6" t="s">
        <v>36</v>
      </c>
      <c r="J93" s="6" t="str">
        <f aca="false">ROUND(70*1,0)&amp;"%"</f>
        <v>70%</v>
      </c>
    </row>
    <row r="94" customFormat="false" ht="15" hidden="false" customHeight="false" outlineLevel="0" collapsed="false">
      <c r="A94" s="5" t="s">
        <v>4174</v>
      </c>
      <c r="B94" s="5" t="s">
        <v>178</v>
      </c>
      <c r="C94" s="5" t="s">
        <v>15</v>
      </c>
      <c r="D94" s="5" t="s">
        <v>39</v>
      </c>
      <c r="E94" s="5" t="n">
        <f aca="false">ROUND(7214*1.05,2)</f>
        <v>7574.7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4175</v>
      </c>
      <c r="B95" s="6" t="s">
        <v>180</v>
      </c>
      <c r="C95" s="6" t="s">
        <v>15</v>
      </c>
      <c r="D95" s="6" t="s">
        <v>44</v>
      </c>
      <c r="E95" s="6" t="n">
        <f aca="false">ROUND(15998*1.05,2)</f>
        <v>16797.9</v>
      </c>
      <c r="F95" s="6" t="s">
        <v>45</v>
      </c>
      <c r="G95" s="6" t="s">
        <v>30</v>
      </c>
      <c r="H95" s="6" t="n">
        <f aca="true">ROUND(RAND()*4+6,1)</f>
        <v>6.9</v>
      </c>
      <c r="I95" s="6" t="s">
        <v>46</v>
      </c>
      <c r="J95" s="6" t="str">
        <f aca="false">ROUND(67*1,0)&amp;"%"</f>
        <v>67%</v>
      </c>
    </row>
    <row r="96" customFormat="false" ht="15" hidden="false" customHeight="false" outlineLevel="0" collapsed="false">
      <c r="A96" s="5" t="s">
        <v>4176</v>
      </c>
      <c r="B96" s="5" t="s">
        <v>182</v>
      </c>
      <c r="C96" s="5" t="s">
        <v>15</v>
      </c>
      <c r="D96" s="5" t="s">
        <v>16</v>
      </c>
      <c r="E96" s="5" t="n">
        <f aca="false">ROUND(13297*1.05,2)</f>
        <v>13961.85</v>
      </c>
      <c r="F96" s="5" t="s">
        <v>49</v>
      </c>
      <c r="G96" s="5" t="s">
        <v>18</v>
      </c>
      <c r="H96" s="5" t="n">
        <f aca="true">ROUND(RAND()*4+6,1)</f>
        <v>8.7</v>
      </c>
      <c r="I96" s="5" t="s">
        <v>19</v>
      </c>
      <c r="J96" s="5" t="str">
        <f aca="false">ROUND(97*1,0)&amp;"%"</f>
        <v>97%</v>
      </c>
    </row>
    <row r="97" customFormat="false" ht="15" hidden="false" customHeight="false" outlineLevel="0" collapsed="false">
      <c r="A97" s="6" t="s">
        <v>4177</v>
      </c>
      <c r="B97" s="6" t="s">
        <v>184</v>
      </c>
      <c r="C97" s="6" t="s">
        <v>15</v>
      </c>
      <c r="D97" s="6" t="s">
        <v>22</v>
      </c>
      <c r="E97" s="6" t="n">
        <f aca="false">ROUND(14822*1.05,2)</f>
        <v>15563.1</v>
      </c>
      <c r="F97" s="6" t="s">
        <v>52</v>
      </c>
      <c r="G97" s="6" t="s">
        <v>24</v>
      </c>
      <c r="H97" s="6" t="n">
        <f aca="true">ROUND(RAND()*4+6,1)</f>
        <v>6.4</v>
      </c>
      <c r="I97" s="6" t="s">
        <v>25</v>
      </c>
      <c r="J97" s="6" t="str">
        <f aca="false">ROUND(94*1,0)&amp;"%"</f>
        <v>94%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4178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4179</v>
      </c>
      <c r="B102" s="5" t="s">
        <v>188</v>
      </c>
      <c r="C102" s="5" t="s">
        <v>57</v>
      </c>
      <c r="D102" s="5" t="s">
        <v>16</v>
      </c>
      <c r="E102" s="5" t="n">
        <f aca="false">ROUND(7423*1.05,2)</f>
        <v>7794.15</v>
      </c>
      <c r="F102" s="5" t="s">
        <v>17</v>
      </c>
      <c r="G102" s="5" t="s">
        <v>18</v>
      </c>
      <c r="H102" s="5" t="n">
        <f aca="true">ROUND(RAND()*4+6,1)</f>
        <v>6.8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4180</v>
      </c>
      <c r="B103" s="6" t="s">
        <v>190</v>
      </c>
      <c r="C103" s="6" t="s">
        <v>57</v>
      </c>
      <c r="D103" s="6" t="s">
        <v>22</v>
      </c>
      <c r="E103" s="6" t="n">
        <f aca="false">ROUND(12117*1.05,2)</f>
        <v>12722.85</v>
      </c>
      <c r="F103" s="6" t="s">
        <v>23</v>
      </c>
      <c r="G103" s="6" t="s">
        <v>24</v>
      </c>
      <c r="H103" s="6" t="n">
        <f aca="true">ROUND(RAND()*4+6,1)</f>
        <v>6.5</v>
      </c>
      <c r="I103" s="6" t="s">
        <v>25</v>
      </c>
      <c r="J103" s="6" t="str">
        <f aca="false">ROUND(94*1,0)&amp;"%"</f>
        <v>94%</v>
      </c>
    </row>
    <row r="104" customFormat="false" ht="15" hidden="false" customHeight="false" outlineLevel="0" collapsed="false">
      <c r="A104" s="5" t="s">
        <v>4181</v>
      </c>
      <c r="B104" s="5" t="s">
        <v>192</v>
      </c>
      <c r="C104" s="5" t="s">
        <v>57</v>
      </c>
      <c r="D104" s="5" t="s">
        <v>28</v>
      </c>
      <c r="E104" s="5" t="n">
        <f aca="false">ROUND(13043*1.05,2)</f>
        <v>13695.15</v>
      </c>
      <c r="F104" s="5" t="s">
        <v>29</v>
      </c>
      <c r="G104" s="5" t="s">
        <v>30</v>
      </c>
      <c r="H104" s="5" t="n">
        <f aca="true">ROUND(RAND()*4+6,1)</f>
        <v>10</v>
      </c>
      <c r="I104" s="5" t="s">
        <v>31</v>
      </c>
      <c r="J104" s="5" t="str">
        <f aca="false">ROUND(96*1,0)&amp;"%"</f>
        <v>96%</v>
      </c>
    </row>
    <row r="105" customFormat="false" ht="15" hidden="false" customHeight="false" outlineLevel="0" collapsed="false">
      <c r="A105" s="6" t="s">
        <v>4182</v>
      </c>
      <c r="B105" s="6" t="s">
        <v>194</v>
      </c>
      <c r="C105" s="6" t="s">
        <v>57</v>
      </c>
      <c r="D105" s="6" t="s">
        <v>34</v>
      </c>
      <c r="E105" s="6" t="n">
        <f aca="false">ROUND(7046*1.05,2)</f>
        <v>7398.3</v>
      </c>
      <c r="F105" s="6" t="s">
        <v>35</v>
      </c>
      <c r="G105" s="6" t="s">
        <v>18</v>
      </c>
      <c r="H105" s="6" t="n">
        <f aca="true">ROUND(RAND()*4+6,1)</f>
        <v>9.5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4183</v>
      </c>
      <c r="B106" s="5" t="s">
        <v>196</v>
      </c>
      <c r="C106" s="5" t="s">
        <v>57</v>
      </c>
      <c r="D106" s="5" t="s">
        <v>39</v>
      </c>
      <c r="E106" s="5" t="n">
        <f aca="false">ROUND(4122*1.05,2)</f>
        <v>4328.1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ROUND(69*1,0)&amp;"%"</f>
        <v>69%</v>
      </c>
    </row>
    <row r="107" customFormat="false" ht="15" hidden="false" customHeight="false" outlineLevel="0" collapsed="false">
      <c r="A107" s="6" t="s">
        <v>4184</v>
      </c>
      <c r="B107" s="6" t="s">
        <v>198</v>
      </c>
      <c r="C107" s="6" t="s">
        <v>57</v>
      </c>
      <c r="D107" s="6" t="s">
        <v>44</v>
      </c>
      <c r="E107" s="6" t="n">
        <f aca="false">ROUND(7524*1.05,2)</f>
        <v>7900.2</v>
      </c>
      <c r="F107" s="6" t="s">
        <v>45</v>
      </c>
      <c r="G107" s="6" t="s">
        <v>30</v>
      </c>
      <c r="H107" s="6" t="n">
        <f aca="true">ROUND(RAND()*4+6,1)</f>
        <v>8.2</v>
      </c>
      <c r="I107" s="6" t="s">
        <v>46</v>
      </c>
      <c r="J107" s="6" t="str">
        <f aca="false">ROUND(70*1,0)&amp;"%"</f>
        <v>70%</v>
      </c>
    </row>
    <row r="108" customFormat="false" ht="15" hidden="false" customHeight="false" outlineLevel="0" collapsed="false">
      <c r="A108" s="5" t="s">
        <v>4185</v>
      </c>
      <c r="B108" s="5" t="s">
        <v>200</v>
      </c>
      <c r="C108" s="5" t="s">
        <v>57</v>
      </c>
      <c r="D108" s="5" t="s">
        <v>16</v>
      </c>
      <c r="E108" s="5" t="n">
        <f aca="false">ROUND(10987*1.05,2)</f>
        <v>11536.35</v>
      </c>
      <c r="F108" s="5" t="s">
        <v>49</v>
      </c>
      <c r="G108" s="5" t="s">
        <v>18</v>
      </c>
      <c r="H108" s="5" t="n">
        <f aca="true">ROUND(RAND()*4+6,1)</f>
        <v>9.9</v>
      </c>
      <c r="I108" s="5" t="s">
        <v>19</v>
      </c>
      <c r="J108" s="5" t="str">
        <f aca="false">ROUND(99*1,0)&amp;"%"</f>
        <v>99%</v>
      </c>
    </row>
    <row r="109" customFormat="false" ht="15" hidden="false" customHeight="false" outlineLevel="0" collapsed="false">
      <c r="A109" s="6" t="s">
        <v>4186</v>
      </c>
      <c r="B109" s="6" t="s">
        <v>202</v>
      </c>
      <c r="C109" s="6" t="s">
        <v>57</v>
      </c>
      <c r="D109" s="6" t="s">
        <v>22</v>
      </c>
      <c r="E109" s="6" t="n">
        <f aca="false">ROUND(9995*1.05,2)</f>
        <v>10494.75</v>
      </c>
      <c r="F109" s="6" t="s">
        <v>52</v>
      </c>
      <c r="G109" s="6" t="s">
        <v>24</v>
      </c>
      <c r="H109" s="6" t="n">
        <f aca="true">ROUND(RAND()*4+6,1)</f>
        <v>6.3</v>
      </c>
      <c r="I109" s="6" t="s">
        <v>25</v>
      </c>
      <c r="J109" s="6" t="str">
        <f aca="false">ROUND(99*1,0)&amp;"%"</f>
        <v>99%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4187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4188</v>
      </c>
      <c r="B114" s="5" t="s">
        <v>206</v>
      </c>
      <c r="C114" s="5" t="s">
        <v>76</v>
      </c>
      <c r="D114" s="5" t="s">
        <v>16</v>
      </c>
      <c r="E114" s="5" t="n">
        <f aca="false">ROUND(14981*1.05,2)</f>
        <v>15730.05</v>
      </c>
      <c r="F114" s="5" t="s">
        <v>17</v>
      </c>
      <c r="G114" s="5" t="s">
        <v>18</v>
      </c>
      <c r="H114" s="5" t="n">
        <f aca="true">ROUND(RAND()*4+6,1)</f>
        <v>7.1</v>
      </c>
      <c r="I114" s="5" t="s">
        <v>19</v>
      </c>
      <c r="J114" s="5" t="str">
        <f aca="false">ROUND(94*1,0)&amp;"%"</f>
        <v>94%</v>
      </c>
    </row>
    <row r="115" customFormat="false" ht="15" hidden="false" customHeight="false" outlineLevel="0" collapsed="false">
      <c r="A115" s="6" t="s">
        <v>4189</v>
      </c>
      <c r="B115" s="6" t="s">
        <v>208</v>
      </c>
      <c r="C115" s="6" t="s">
        <v>76</v>
      </c>
      <c r="D115" s="6" t="s">
        <v>22</v>
      </c>
      <c r="E115" s="6" t="n">
        <f aca="false">ROUND(14537*1.05,2)</f>
        <v>15263.85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ROUND(88*1,0)&amp;"%"</f>
        <v>88%</v>
      </c>
    </row>
    <row r="116" customFormat="false" ht="15" hidden="false" customHeight="false" outlineLevel="0" collapsed="false">
      <c r="A116" s="5" t="s">
        <v>4190</v>
      </c>
      <c r="B116" s="5" t="s">
        <v>210</v>
      </c>
      <c r="C116" s="5" t="s">
        <v>76</v>
      </c>
      <c r="D116" s="5" t="s">
        <v>28</v>
      </c>
      <c r="E116" s="5" t="n">
        <f aca="false">ROUND(10878*1.05,2)</f>
        <v>11421.9</v>
      </c>
      <c r="F116" s="5" t="s">
        <v>29</v>
      </c>
      <c r="G116" s="5" t="s">
        <v>30</v>
      </c>
      <c r="H116" s="5" t="n">
        <f aca="true">ROUND(RAND()*4+6,1)</f>
        <v>7.9</v>
      </c>
      <c r="I116" s="5" t="s">
        <v>31</v>
      </c>
      <c r="J116" s="5" t="str">
        <f aca="false">ROUND(99*1,0)&amp;"%"</f>
        <v>99%</v>
      </c>
    </row>
    <row r="117" customFormat="false" ht="15" hidden="false" customHeight="false" outlineLevel="0" collapsed="false">
      <c r="A117" s="6" t="s">
        <v>4191</v>
      </c>
      <c r="B117" s="6" t="s">
        <v>212</v>
      </c>
      <c r="C117" s="6" t="s">
        <v>76</v>
      </c>
      <c r="D117" s="6" t="s">
        <v>34</v>
      </c>
      <c r="E117" s="6" t="n">
        <f aca="false">ROUND(10266*1.05,2)</f>
        <v>10779.3</v>
      </c>
      <c r="F117" s="6" t="s">
        <v>35</v>
      </c>
      <c r="G117" s="6" t="s">
        <v>18</v>
      </c>
      <c r="H117" s="6" t="n">
        <f aca="true">ROUND(RAND()*4+6,1)</f>
        <v>6.2</v>
      </c>
      <c r="I117" s="6" t="s">
        <v>36</v>
      </c>
      <c r="J117" s="6" t="str">
        <f aca="false">ROUND(88*1,0)&amp;"%"</f>
        <v>88%</v>
      </c>
    </row>
    <row r="118" customFormat="false" ht="15" hidden="false" customHeight="false" outlineLevel="0" collapsed="false">
      <c r="A118" s="5" t="s">
        <v>4192</v>
      </c>
      <c r="B118" s="5" t="s">
        <v>214</v>
      </c>
      <c r="C118" s="5" t="s">
        <v>76</v>
      </c>
      <c r="D118" s="5" t="s">
        <v>39</v>
      </c>
      <c r="E118" s="5" t="n">
        <f aca="false">ROUND(13966*1.05,2)</f>
        <v>14664.3</v>
      </c>
      <c r="F118" s="5" t="s">
        <v>40</v>
      </c>
      <c r="G118" s="5" t="s">
        <v>24</v>
      </c>
      <c r="H118" s="5" t="n">
        <f aca="true">ROUND(RAND()*4+6,1)</f>
        <v>8</v>
      </c>
      <c r="I118" s="5" t="s">
        <v>41</v>
      </c>
      <c r="J118" s="5" t="str">
        <f aca="false">ROUND(84*1,0)&amp;"%"</f>
        <v>84%</v>
      </c>
    </row>
    <row r="119" customFormat="false" ht="15" hidden="false" customHeight="false" outlineLevel="0" collapsed="false">
      <c r="A119" s="6" t="s">
        <v>4193</v>
      </c>
      <c r="B119" s="6" t="s">
        <v>216</v>
      </c>
      <c r="C119" s="6" t="s">
        <v>76</v>
      </c>
      <c r="D119" s="6" t="s">
        <v>44</v>
      </c>
      <c r="E119" s="6" t="n">
        <f aca="false">ROUND(15439*1.05,2)</f>
        <v>16210.95</v>
      </c>
      <c r="F119" s="6" t="s">
        <v>45</v>
      </c>
      <c r="G119" s="6" t="s">
        <v>30</v>
      </c>
      <c r="H119" s="6" t="n">
        <f aca="true">ROUND(RAND()*4+6,1)</f>
        <v>9.1</v>
      </c>
      <c r="I119" s="6" t="s">
        <v>46</v>
      </c>
      <c r="J119" s="6" t="str">
        <f aca="false">ROUND(69*1,0)&amp;"%"</f>
        <v>69%</v>
      </c>
    </row>
    <row r="120" customFormat="false" ht="15" hidden="false" customHeight="false" outlineLevel="0" collapsed="false">
      <c r="A120" s="5" t="s">
        <v>4194</v>
      </c>
      <c r="B120" s="5" t="s">
        <v>218</v>
      </c>
      <c r="C120" s="5" t="s">
        <v>76</v>
      </c>
      <c r="D120" s="5" t="s">
        <v>16</v>
      </c>
      <c r="E120" s="5" t="n">
        <f aca="false">ROUND(16167*1.05,2)</f>
        <v>16975.35</v>
      </c>
      <c r="F120" s="5" t="s">
        <v>49</v>
      </c>
      <c r="G120" s="5" t="s">
        <v>18</v>
      </c>
      <c r="H120" s="5" t="n">
        <f aca="true">ROUND(RAND()*4+6,1)</f>
        <v>8.7</v>
      </c>
      <c r="I120" s="5" t="s">
        <v>19</v>
      </c>
      <c r="J120" s="5" t="str">
        <f aca="false">ROUND(84*1,0)&amp;"%"</f>
        <v>84%</v>
      </c>
    </row>
    <row r="121" customFormat="false" ht="15" hidden="false" customHeight="false" outlineLevel="0" collapsed="false">
      <c r="A121" s="6" t="s">
        <v>4195</v>
      </c>
      <c r="B121" s="6" t="s">
        <v>220</v>
      </c>
      <c r="C121" s="6" t="s">
        <v>76</v>
      </c>
      <c r="D121" s="6" t="s">
        <v>22</v>
      </c>
      <c r="E121" s="6" t="n">
        <f aca="false">ROUND(16522*1.05,2)</f>
        <v>17348.1</v>
      </c>
      <c r="F121" s="6" t="s">
        <v>52</v>
      </c>
      <c r="G121" s="6" t="s">
        <v>24</v>
      </c>
      <c r="H121" s="6" t="n">
        <f aca="true">ROUND(RAND()*4+6,1)</f>
        <v>9.3</v>
      </c>
      <c r="I121" s="6" t="s">
        <v>25</v>
      </c>
      <c r="J121" s="6" t="str">
        <f aca="false">ROUND(100*1,0)&amp;"%"</f>
        <v>100%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4196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4197</v>
      </c>
      <c r="B126" s="5" t="s">
        <v>224</v>
      </c>
      <c r="C126" s="5" t="s">
        <v>95</v>
      </c>
      <c r="D126" s="5" t="s">
        <v>16</v>
      </c>
      <c r="E126" s="5" t="n">
        <f aca="false">ROUND(17588*1.05,2)</f>
        <v>18467.4</v>
      </c>
      <c r="F126" s="5" t="s">
        <v>17</v>
      </c>
      <c r="G126" s="5" t="s">
        <v>18</v>
      </c>
      <c r="H126" s="5" t="n">
        <f aca="true">ROUND(RAND()*4+6,1)</f>
        <v>8.9</v>
      </c>
      <c r="I126" s="5" t="s">
        <v>19</v>
      </c>
      <c r="J126" s="5" t="str">
        <f aca="false">ROUND(71*1,0)&amp;"%"</f>
        <v>71%</v>
      </c>
    </row>
    <row r="127" customFormat="false" ht="15" hidden="false" customHeight="false" outlineLevel="0" collapsed="false">
      <c r="A127" s="6" t="s">
        <v>4198</v>
      </c>
      <c r="B127" s="6" t="s">
        <v>226</v>
      </c>
      <c r="C127" s="6" t="s">
        <v>95</v>
      </c>
      <c r="D127" s="6" t="s">
        <v>22</v>
      </c>
      <c r="E127" s="6" t="n">
        <f aca="false">ROUND(9795*1.05,2)</f>
        <v>10284.75</v>
      </c>
      <c r="F127" s="6" t="s">
        <v>23</v>
      </c>
      <c r="G127" s="6" t="s">
        <v>24</v>
      </c>
      <c r="H127" s="6" t="n">
        <f aca="true">ROUND(RAND()*4+6,1)</f>
        <v>6.5</v>
      </c>
      <c r="I127" s="6" t="s">
        <v>25</v>
      </c>
      <c r="J127" s="6" t="str">
        <f aca="false">ROUND(79*1,0)&amp;"%"</f>
        <v>79%</v>
      </c>
    </row>
    <row r="128" customFormat="false" ht="15" hidden="false" customHeight="false" outlineLevel="0" collapsed="false">
      <c r="A128" s="5" t="s">
        <v>4199</v>
      </c>
      <c r="B128" s="5" t="s">
        <v>228</v>
      </c>
      <c r="C128" s="5" t="s">
        <v>95</v>
      </c>
      <c r="D128" s="5" t="s">
        <v>28</v>
      </c>
      <c r="E128" s="5" t="n">
        <f aca="false">ROUND(16740*1.05,2)</f>
        <v>17577</v>
      </c>
      <c r="F128" s="5" t="s">
        <v>29</v>
      </c>
      <c r="G128" s="5" t="s">
        <v>30</v>
      </c>
      <c r="H128" s="5" t="n">
        <f aca="true">ROUND(RAND()*4+6,1)</f>
        <v>9.6</v>
      </c>
      <c r="I128" s="5" t="s">
        <v>31</v>
      </c>
      <c r="J128" s="5" t="str">
        <f aca="false">ROUND(63*1,0)&amp;"%"</f>
        <v>63%</v>
      </c>
    </row>
    <row r="129" customFormat="false" ht="15" hidden="false" customHeight="false" outlineLevel="0" collapsed="false">
      <c r="A129" s="6" t="s">
        <v>4200</v>
      </c>
      <c r="B129" s="6" t="s">
        <v>230</v>
      </c>
      <c r="C129" s="6" t="s">
        <v>95</v>
      </c>
      <c r="D129" s="6" t="s">
        <v>34</v>
      </c>
      <c r="E129" s="6" t="n">
        <f aca="false">ROUND(5922*1.05,2)</f>
        <v>6218.1</v>
      </c>
      <c r="F129" s="6" t="s">
        <v>35</v>
      </c>
      <c r="G129" s="6" t="s">
        <v>18</v>
      </c>
      <c r="H129" s="6" t="n">
        <f aca="true">ROUND(RAND()*4+6,1)</f>
        <v>6.5</v>
      </c>
      <c r="I129" s="6" t="s">
        <v>36</v>
      </c>
      <c r="J129" s="6" t="str">
        <f aca="false">ROUND(79*1,0)&amp;"%"</f>
        <v>79%</v>
      </c>
    </row>
    <row r="130" customFormat="false" ht="15" hidden="false" customHeight="false" outlineLevel="0" collapsed="false">
      <c r="A130" s="5" t="s">
        <v>4201</v>
      </c>
      <c r="B130" s="5" t="s">
        <v>232</v>
      </c>
      <c r="C130" s="5" t="s">
        <v>95</v>
      </c>
      <c r="D130" s="5" t="s">
        <v>39</v>
      </c>
      <c r="E130" s="5" t="n">
        <f aca="false">ROUND(12657*1.05,2)</f>
        <v>13289.85</v>
      </c>
      <c r="F130" s="5" t="s">
        <v>40</v>
      </c>
      <c r="G130" s="5" t="s">
        <v>24</v>
      </c>
      <c r="H130" s="5" t="n">
        <f aca="true">ROUND(RAND()*4+6,1)</f>
        <v>9.3</v>
      </c>
      <c r="I130" s="5" t="s">
        <v>41</v>
      </c>
      <c r="J130" s="5" t="str">
        <f aca="false">ROUND(82*1,0)&amp;"%"</f>
        <v>82%</v>
      </c>
    </row>
    <row r="131" customFormat="false" ht="15" hidden="false" customHeight="false" outlineLevel="0" collapsed="false">
      <c r="A131" s="6" t="s">
        <v>4202</v>
      </c>
      <c r="B131" s="6" t="s">
        <v>234</v>
      </c>
      <c r="C131" s="6" t="s">
        <v>95</v>
      </c>
      <c r="D131" s="6" t="s">
        <v>44</v>
      </c>
      <c r="E131" s="6" t="n">
        <f aca="false">ROUND(16751*1.05,2)</f>
        <v>17588.55</v>
      </c>
      <c r="F131" s="6" t="s">
        <v>45</v>
      </c>
      <c r="G131" s="6" t="s">
        <v>30</v>
      </c>
      <c r="H131" s="6" t="n">
        <f aca="true">ROUND(RAND()*4+6,1)</f>
        <v>9.3</v>
      </c>
      <c r="I131" s="6" t="s">
        <v>46</v>
      </c>
      <c r="J131" s="6" t="str">
        <f aca="false">ROUND(84*1,0)&amp;"%"</f>
        <v>84%</v>
      </c>
    </row>
    <row r="132" customFormat="false" ht="15" hidden="false" customHeight="false" outlineLevel="0" collapsed="false">
      <c r="A132" s="5" t="s">
        <v>4203</v>
      </c>
      <c r="B132" s="5" t="s">
        <v>236</v>
      </c>
      <c r="C132" s="5" t="s">
        <v>95</v>
      </c>
      <c r="D132" s="5" t="s">
        <v>16</v>
      </c>
      <c r="E132" s="5" t="n">
        <f aca="false">ROUND(6614*1.05,2)</f>
        <v>6944.7</v>
      </c>
      <c r="F132" s="5" t="s">
        <v>49</v>
      </c>
      <c r="G132" s="5" t="s">
        <v>18</v>
      </c>
      <c r="H132" s="5" t="n">
        <f aca="true">ROUND(RAND()*4+6,1)</f>
        <v>8.4</v>
      </c>
      <c r="I132" s="5" t="s">
        <v>19</v>
      </c>
      <c r="J132" s="5" t="str">
        <f aca="false">ROUND(62*1,0)&amp;"%"</f>
        <v>62%</v>
      </c>
    </row>
    <row r="133" customFormat="false" ht="15" hidden="false" customHeight="false" outlineLevel="0" collapsed="false">
      <c r="A133" s="6" t="s">
        <v>4204</v>
      </c>
      <c r="B133" s="6" t="s">
        <v>238</v>
      </c>
      <c r="C133" s="6" t="s">
        <v>95</v>
      </c>
      <c r="D133" s="6" t="s">
        <v>22</v>
      </c>
      <c r="E133" s="6" t="n">
        <f aca="false">ROUND(13221*1.05,2)</f>
        <v>13882.05</v>
      </c>
      <c r="F133" s="6" t="s">
        <v>52</v>
      </c>
      <c r="G133" s="6" t="s">
        <v>24</v>
      </c>
      <c r="H133" s="6" t="n">
        <f aca="true">ROUND(RAND()*4+6,1)</f>
        <v>7.2</v>
      </c>
      <c r="I133" s="6" t="s">
        <v>25</v>
      </c>
      <c r="J133" s="6" t="str">
        <f aca="false">ROUND(98*1,0)&amp;"%"</f>
        <v>98%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4205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4206</v>
      </c>
      <c r="B138" s="5" t="s">
        <v>242</v>
      </c>
      <c r="C138" s="5" t="s">
        <v>114</v>
      </c>
      <c r="D138" s="5" t="s">
        <v>16</v>
      </c>
      <c r="E138" s="5" t="n">
        <f aca="false">ROUND(11649*1.05,2)</f>
        <v>12231.45</v>
      </c>
      <c r="F138" s="5" t="s">
        <v>17</v>
      </c>
      <c r="G138" s="5" t="s">
        <v>18</v>
      </c>
      <c r="H138" s="5" t="n">
        <f aca="true">ROUND(RAND()*4+6,1)</f>
        <v>6.2</v>
      </c>
      <c r="I138" s="5" t="s">
        <v>19</v>
      </c>
      <c r="J138" s="5" t="str">
        <f aca="false">ROUND(65*1,0)&amp;"%"</f>
        <v>65%</v>
      </c>
    </row>
    <row r="139" customFormat="false" ht="15" hidden="false" customHeight="false" outlineLevel="0" collapsed="false">
      <c r="A139" s="6" t="s">
        <v>4207</v>
      </c>
      <c r="B139" s="6" t="s">
        <v>244</v>
      </c>
      <c r="C139" s="6" t="s">
        <v>114</v>
      </c>
      <c r="D139" s="6" t="s">
        <v>22</v>
      </c>
      <c r="E139" s="6" t="n">
        <f aca="false">ROUND(16082*1.05,2)</f>
        <v>16886.1</v>
      </c>
      <c r="F139" s="6" t="s">
        <v>23</v>
      </c>
      <c r="G139" s="6" t="s">
        <v>24</v>
      </c>
      <c r="H139" s="6" t="n">
        <f aca="true">ROUND(RAND()*4+6,1)</f>
        <v>7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4208</v>
      </c>
      <c r="B140" s="5" t="s">
        <v>246</v>
      </c>
      <c r="C140" s="5" t="s">
        <v>114</v>
      </c>
      <c r="D140" s="5" t="s">
        <v>28</v>
      </c>
      <c r="E140" s="5" t="n">
        <f aca="false">ROUND(10000*1.05,2)</f>
        <v>10500</v>
      </c>
      <c r="F140" s="5" t="s">
        <v>29</v>
      </c>
      <c r="G140" s="5" t="s">
        <v>30</v>
      </c>
      <c r="H140" s="5" t="n">
        <f aca="true">ROUND(RAND()*4+6,1)</f>
        <v>6.3</v>
      </c>
      <c r="I140" s="5" t="s">
        <v>31</v>
      </c>
      <c r="J140" s="5" t="str">
        <f aca="false">ROUND(80*1,0)&amp;"%"</f>
        <v>80%</v>
      </c>
    </row>
    <row r="141" customFormat="false" ht="15" hidden="false" customHeight="false" outlineLevel="0" collapsed="false">
      <c r="A141" s="6" t="s">
        <v>4209</v>
      </c>
      <c r="B141" s="6" t="s">
        <v>248</v>
      </c>
      <c r="C141" s="6" t="s">
        <v>114</v>
      </c>
      <c r="D141" s="6" t="s">
        <v>34</v>
      </c>
      <c r="E141" s="6" t="n">
        <f aca="false">ROUND(6507*1.05,2)</f>
        <v>6832.35</v>
      </c>
      <c r="F141" s="6" t="s">
        <v>35</v>
      </c>
      <c r="G141" s="6" t="s">
        <v>18</v>
      </c>
      <c r="H141" s="6" t="n">
        <f aca="true">ROUND(RAND()*4+6,1)</f>
        <v>8.7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4210</v>
      </c>
      <c r="B142" s="5" t="s">
        <v>250</v>
      </c>
      <c r="C142" s="5" t="s">
        <v>114</v>
      </c>
      <c r="D142" s="5" t="s">
        <v>39</v>
      </c>
      <c r="E142" s="5" t="n">
        <f aca="false">ROUND(6557*1.05,2)</f>
        <v>6884.85</v>
      </c>
      <c r="F142" s="5" t="s">
        <v>40</v>
      </c>
      <c r="G142" s="5" t="s">
        <v>24</v>
      </c>
      <c r="H142" s="5" t="n">
        <f aca="true">ROUND(RAND()*4+6,1)</f>
        <v>6.7</v>
      </c>
      <c r="I142" s="5" t="s">
        <v>41</v>
      </c>
      <c r="J142" s="5" t="str">
        <f aca="false">ROUND(86*1,0)&amp;"%"</f>
        <v>86%</v>
      </c>
    </row>
    <row r="143" customFormat="false" ht="15" hidden="false" customHeight="false" outlineLevel="0" collapsed="false">
      <c r="A143" s="6" t="s">
        <v>4211</v>
      </c>
      <c r="B143" s="6" t="s">
        <v>252</v>
      </c>
      <c r="C143" s="6" t="s">
        <v>114</v>
      </c>
      <c r="D143" s="6" t="s">
        <v>44</v>
      </c>
      <c r="E143" s="6" t="n">
        <f aca="false">ROUND(16409*1.05,2)</f>
        <v>17229.45</v>
      </c>
      <c r="F143" s="6" t="s">
        <v>45</v>
      </c>
      <c r="G143" s="6" t="s">
        <v>30</v>
      </c>
      <c r="H143" s="6" t="n">
        <f aca="true">ROUND(RAND()*4+6,1)</f>
        <v>7.7</v>
      </c>
      <c r="I143" s="6" t="s">
        <v>46</v>
      </c>
      <c r="J143" s="6" t="str">
        <f aca="false">ROUND(75*1,0)&amp;"%"</f>
        <v>75%</v>
      </c>
    </row>
    <row r="144" customFormat="false" ht="15" hidden="false" customHeight="false" outlineLevel="0" collapsed="false">
      <c r="A144" s="5" t="s">
        <v>4212</v>
      </c>
      <c r="B144" s="5" t="s">
        <v>254</v>
      </c>
      <c r="C144" s="5" t="s">
        <v>114</v>
      </c>
      <c r="D144" s="5" t="s">
        <v>16</v>
      </c>
      <c r="E144" s="5" t="n">
        <f aca="false">ROUND(11440*1.05,2)</f>
        <v>12012</v>
      </c>
      <c r="F144" s="5" t="s">
        <v>49</v>
      </c>
      <c r="G144" s="5" t="s">
        <v>18</v>
      </c>
      <c r="H144" s="5" t="n">
        <f aca="true">ROUND(RAND()*4+6,1)</f>
        <v>9.2</v>
      </c>
      <c r="I144" s="5" t="s">
        <v>19</v>
      </c>
      <c r="J144" s="5" t="str">
        <f aca="false">ROUND(86*1,0)&amp;"%"</f>
        <v>86%</v>
      </c>
    </row>
    <row r="145" customFormat="false" ht="15" hidden="false" customHeight="false" outlineLevel="0" collapsed="false">
      <c r="A145" s="6" t="s">
        <v>4213</v>
      </c>
      <c r="B145" s="6" t="s">
        <v>256</v>
      </c>
      <c r="C145" s="6" t="s">
        <v>114</v>
      </c>
      <c r="D145" s="6" t="s">
        <v>22</v>
      </c>
      <c r="E145" s="6" t="n">
        <f aca="false">ROUND(7171*1.05,2)</f>
        <v>7529.55</v>
      </c>
      <c r="F145" s="6" t="s">
        <v>52</v>
      </c>
      <c r="G145" s="6" t="s">
        <v>24</v>
      </c>
      <c r="H145" s="6" t="n">
        <f aca="true">ROUND(RAND()*4+6,1)</f>
        <v>7</v>
      </c>
      <c r="I145" s="6" t="s">
        <v>25</v>
      </c>
      <c r="J145" s="6" t="str">
        <f aca="false">ROUND(63*1,0)&amp;"%"</f>
        <v>63%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4214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4215</v>
      </c>
      <c r="B150" s="5" t="s">
        <v>260</v>
      </c>
      <c r="C150" s="5" t="s">
        <v>133</v>
      </c>
      <c r="D150" s="5" t="s">
        <v>16</v>
      </c>
      <c r="E150" s="5" t="n">
        <f aca="false">ROUND(7826*1.05,2)</f>
        <v>8217.3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ROUND(62*1,0)&amp;"%"</f>
        <v>62%</v>
      </c>
    </row>
    <row r="151" customFormat="false" ht="15" hidden="false" customHeight="false" outlineLevel="0" collapsed="false">
      <c r="A151" s="6" t="s">
        <v>4216</v>
      </c>
      <c r="B151" s="6" t="s">
        <v>262</v>
      </c>
      <c r="C151" s="6" t="s">
        <v>133</v>
      </c>
      <c r="D151" s="6" t="s">
        <v>22</v>
      </c>
      <c r="E151" s="6" t="n">
        <f aca="false">ROUND(16321*1.05,2)</f>
        <v>17137.05</v>
      </c>
      <c r="F151" s="6" t="s">
        <v>23</v>
      </c>
      <c r="G151" s="6" t="s">
        <v>24</v>
      </c>
      <c r="H151" s="6" t="n">
        <f aca="true">ROUND(RAND()*4+6,1)</f>
        <v>6.5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4217</v>
      </c>
      <c r="B152" s="5" t="s">
        <v>264</v>
      </c>
      <c r="C152" s="5" t="s">
        <v>133</v>
      </c>
      <c r="D152" s="5" t="s">
        <v>28</v>
      </c>
      <c r="E152" s="5" t="n">
        <f aca="false">ROUND(16988*1.05,2)</f>
        <v>17837.4</v>
      </c>
      <c r="F152" s="5" t="s">
        <v>29</v>
      </c>
      <c r="G152" s="5" t="s">
        <v>30</v>
      </c>
      <c r="H152" s="5" t="n">
        <f aca="true">ROUND(RAND()*4+6,1)</f>
        <v>6.2</v>
      </c>
      <c r="I152" s="5" t="s">
        <v>31</v>
      </c>
      <c r="J152" s="5" t="str">
        <f aca="false">ROUND(92*1,0)&amp;"%"</f>
        <v>92%</v>
      </c>
    </row>
    <row r="153" customFormat="false" ht="15" hidden="false" customHeight="false" outlineLevel="0" collapsed="false">
      <c r="A153" s="6" t="s">
        <v>4218</v>
      </c>
      <c r="B153" s="6" t="s">
        <v>266</v>
      </c>
      <c r="C153" s="6" t="s">
        <v>133</v>
      </c>
      <c r="D153" s="6" t="s">
        <v>34</v>
      </c>
      <c r="E153" s="6" t="n">
        <f aca="false">ROUND(6156*1.05,2)</f>
        <v>6463.8</v>
      </c>
      <c r="F153" s="6" t="s">
        <v>35</v>
      </c>
      <c r="G153" s="6" t="s">
        <v>18</v>
      </c>
      <c r="H153" s="6" t="n">
        <f aca="true">ROUND(RAND()*4+6,1)</f>
        <v>9.3</v>
      </c>
      <c r="I153" s="6" t="s">
        <v>36</v>
      </c>
      <c r="J153" s="6" t="str">
        <f aca="false">ROUND(100*1,0)&amp;"%"</f>
        <v>100%</v>
      </c>
    </row>
    <row r="154" customFormat="false" ht="15" hidden="false" customHeight="false" outlineLevel="0" collapsed="false">
      <c r="A154" s="5" t="s">
        <v>4219</v>
      </c>
      <c r="B154" s="5" t="s">
        <v>268</v>
      </c>
      <c r="C154" s="5" t="s">
        <v>133</v>
      </c>
      <c r="D154" s="5" t="s">
        <v>39</v>
      </c>
      <c r="E154" s="5" t="n">
        <f aca="false">ROUND(9746*1.05,2)</f>
        <v>10233.3</v>
      </c>
      <c r="F154" s="5" t="s">
        <v>40</v>
      </c>
      <c r="G154" s="5" t="s">
        <v>24</v>
      </c>
      <c r="H154" s="5" t="n">
        <f aca="true">ROUND(RAND()*4+6,1)</f>
        <v>9.5</v>
      </c>
      <c r="I154" s="5" t="s">
        <v>41</v>
      </c>
      <c r="J154" s="5" t="str">
        <f aca="false">ROUND(90*1,0)&amp;"%"</f>
        <v>90%</v>
      </c>
    </row>
    <row r="155" customFormat="false" ht="15" hidden="false" customHeight="false" outlineLevel="0" collapsed="false">
      <c r="A155" s="6" t="s">
        <v>4220</v>
      </c>
      <c r="B155" s="6" t="s">
        <v>270</v>
      </c>
      <c r="C155" s="6" t="s">
        <v>133</v>
      </c>
      <c r="D155" s="6" t="s">
        <v>44</v>
      </c>
      <c r="E155" s="6" t="n">
        <f aca="false">ROUND(8290*1.05,2)</f>
        <v>8704.5</v>
      </c>
      <c r="F155" s="6" t="s">
        <v>45</v>
      </c>
      <c r="G155" s="6" t="s">
        <v>30</v>
      </c>
      <c r="H155" s="6" t="n">
        <f aca="true">ROUND(RAND()*4+6,1)</f>
        <v>7.7</v>
      </c>
      <c r="I155" s="6" t="s">
        <v>46</v>
      </c>
      <c r="J155" s="6" t="str">
        <f aca="false">ROUND(60*1,0)&amp;"%"</f>
        <v>60%</v>
      </c>
    </row>
    <row r="156" customFormat="false" ht="15" hidden="false" customHeight="false" outlineLevel="0" collapsed="false">
      <c r="A156" s="5" t="s">
        <v>4221</v>
      </c>
      <c r="B156" s="5" t="s">
        <v>272</v>
      </c>
      <c r="C156" s="5" t="s">
        <v>133</v>
      </c>
      <c r="D156" s="5" t="s">
        <v>16</v>
      </c>
      <c r="E156" s="5" t="n">
        <f aca="false">ROUND(11334*1.05,2)</f>
        <v>11900.7</v>
      </c>
      <c r="F156" s="5" t="s">
        <v>49</v>
      </c>
      <c r="G156" s="5" t="s">
        <v>18</v>
      </c>
      <c r="H156" s="5" t="n">
        <f aca="true">ROUND(RAND()*4+6,1)</f>
        <v>6.8</v>
      </c>
      <c r="I156" s="5" t="s">
        <v>19</v>
      </c>
      <c r="J156" s="5" t="str">
        <f aca="false">ROUND(89*1,0)&amp;"%"</f>
        <v>89%</v>
      </c>
    </row>
    <row r="157" customFormat="false" ht="15" hidden="false" customHeight="false" outlineLevel="0" collapsed="false">
      <c r="A157" s="6" t="s">
        <v>4222</v>
      </c>
      <c r="B157" s="6" t="s">
        <v>274</v>
      </c>
      <c r="C157" s="6" t="s">
        <v>133</v>
      </c>
      <c r="D157" s="6" t="s">
        <v>22</v>
      </c>
      <c r="E157" s="6" t="n">
        <f aca="false">ROUND(12008*1.05,2)</f>
        <v>12608.4</v>
      </c>
      <c r="F157" s="6" t="s">
        <v>52</v>
      </c>
      <c r="G157" s="6" t="s">
        <v>24</v>
      </c>
      <c r="H157" s="6" t="n">
        <f aca="true">ROUND(RAND()*4+6,1)</f>
        <v>8.6</v>
      </c>
      <c r="I157" s="6" t="s">
        <v>25</v>
      </c>
      <c r="J157" s="6" t="str">
        <f aca="false">ROUND(100*1,0)&amp;"%"</f>
        <v>100%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4223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4224</v>
      </c>
      <c r="B162" s="5" t="s">
        <v>278</v>
      </c>
      <c r="C162" s="5" t="s">
        <v>152</v>
      </c>
      <c r="D162" s="5" t="s">
        <v>16</v>
      </c>
      <c r="E162" s="5" t="n">
        <f aca="false">ROUND(6400*1.05,2)</f>
        <v>6720</v>
      </c>
      <c r="F162" s="5" t="s">
        <v>17</v>
      </c>
      <c r="G162" s="5" t="s">
        <v>18</v>
      </c>
      <c r="H162" s="5" t="n">
        <f aca="true">ROUND(RAND()*4+6,1)</f>
        <v>8.4</v>
      </c>
      <c r="I162" s="5" t="s">
        <v>19</v>
      </c>
      <c r="J162" s="5" t="str">
        <f aca="false">ROUND(63*1,0)&amp;"%"</f>
        <v>63%</v>
      </c>
    </row>
    <row r="163" customFormat="false" ht="15" hidden="false" customHeight="false" outlineLevel="0" collapsed="false">
      <c r="A163" s="6" t="s">
        <v>4225</v>
      </c>
      <c r="B163" s="6" t="s">
        <v>280</v>
      </c>
      <c r="C163" s="6" t="s">
        <v>152</v>
      </c>
      <c r="D163" s="6" t="s">
        <v>22</v>
      </c>
      <c r="E163" s="6" t="n">
        <f aca="false">ROUND(12192*1.05,2)</f>
        <v>12801.6</v>
      </c>
      <c r="F163" s="6" t="s">
        <v>23</v>
      </c>
      <c r="G163" s="6" t="s">
        <v>24</v>
      </c>
      <c r="H163" s="6" t="n">
        <f aca="true">ROUND(RAND()*4+6,1)</f>
        <v>7.2</v>
      </c>
      <c r="I163" s="6" t="s">
        <v>25</v>
      </c>
      <c r="J163" s="6" t="str">
        <f aca="false">ROUND(83*1,0)&amp;"%"</f>
        <v>83%</v>
      </c>
    </row>
    <row r="164" customFormat="false" ht="15" hidden="false" customHeight="false" outlineLevel="0" collapsed="false">
      <c r="A164" s="5" t="s">
        <v>4226</v>
      </c>
      <c r="B164" s="5" t="s">
        <v>282</v>
      </c>
      <c r="C164" s="5" t="s">
        <v>152</v>
      </c>
      <c r="D164" s="5" t="s">
        <v>28</v>
      </c>
      <c r="E164" s="5" t="n">
        <f aca="false">ROUND(4717*1.05,2)</f>
        <v>4952.85</v>
      </c>
      <c r="F164" s="5" t="s">
        <v>29</v>
      </c>
      <c r="G164" s="5" t="s">
        <v>30</v>
      </c>
      <c r="H164" s="5" t="n">
        <f aca="true">ROUND(RAND()*4+6,1)</f>
        <v>9</v>
      </c>
      <c r="I164" s="5" t="s">
        <v>31</v>
      </c>
      <c r="J164" s="5" t="str">
        <f aca="false">ROUND(92*1,0)&amp;"%"</f>
        <v>92%</v>
      </c>
    </row>
    <row r="165" customFormat="false" ht="15" hidden="false" customHeight="false" outlineLevel="0" collapsed="false">
      <c r="A165" s="6" t="s">
        <v>4227</v>
      </c>
      <c r="B165" s="6" t="s">
        <v>284</v>
      </c>
      <c r="C165" s="6" t="s">
        <v>152</v>
      </c>
      <c r="D165" s="6" t="s">
        <v>34</v>
      </c>
      <c r="E165" s="6" t="n">
        <f aca="false">ROUND(5690*1.05,2)</f>
        <v>5974.5</v>
      </c>
      <c r="F165" s="6" t="s">
        <v>35</v>
      </c>
      <c r="G165" s="6" t="s">
        <v>18</v>
      </c>
      <c r="H165" s="6" t="n">
        <f aca="true">ROUND(RAND()*4+6,1)</f>
        <v>8.9</v>
      </c>
      <c r="I165" s="6" t="s">
        <v>36</v>
      </c>
      <c r="J165" s="6" t="str">
        <f aca="false">ROUND(80*1,0)&amp;"%"</f>
        <v>80%</v>
      </c>
    </row>
    <row r="166" customFormat="false" ht="15" hidden="false" customHeight="false" outlineLevel="0" collapsed="false">
      <c r="A166" s="5" t="s">
        <v>4228</v>
      </c>
      <c r="B166" s="5" t="s">
        <v>286</v>
      </c>
      <c r="C166" s="5" t="s">
        <v>152</v>
      </c>
      <c r="D166" s="5" t="s">
        <v>39</v>
      </c>
      <c r="E166" s="5" t="n">
        <f aca="false">ROUND(7177*1.05,2)</f>
        <v>7535.85</v>
      </c>
      <c r="F166" s="5" t="s">
        <v>40</v>
      </c>
      <c r="G166" s="5" t="s">
        <v>24</v>
      </c>
      <c r="H166" s="5" t="n">
        <f aca="true">ROUND(RAND()*4+6,1)</f>
        <v>9.1</v>
      </c>
      <c r="I166" s="5" t="s">
        <v>41</v>
      </c>
      <c r="J166" s="5" t="str">
        <f aca="false">ROUND(71*1,0)&amp;"%"</f>
        <v>71%</v>
      </c>
    </row>
    <row r="167" customFormat="false" ht="15" hidden="false" customHeight="false" outlineLevel="0" collapsed="false">
      <c r="A167" s="6" t="s">
        <v>4229</v>
      </c>
      <c r="B167" s="6" t="s">
        <v>288</v>
      </c>
      <c r="C167" s="6" t="s">
        <v>152</v>
      </c>
      <c r="D167" s="6" t="s">
        <v>44</v>
      </c>
      <c r="E167" s="6" t="n">
        <f aca="false">ROUND(7113*1.05,2)</f>
        <v>7468.65</v>
      </c>
      <c r="F167" s="6" t="s">
        <v>45</v>
      </c>
      <c r="G167" s="6" t="s">
        <v>30</v>
      </c>
      <c r="H167" s="6" t="n">
        <f aca="true">ROUND(RAND()*4+6,1)</f>
        <v>7.5</v>
      </c>
      <c r="I167" s="6" t="s">
        <v>46</v>
      </c>
      <c r="J167" s="6" t="str">
        <f aca="false">ROUND(92*1,0)&amp;"%"</f>
        <v>92%</v>
      </c>
    </row>
    <row r="168" customFormat="false" ht="15" hidden="false" customHeight="false" outlineLevel="0" collapsed="false">
      <c r="A168" s="5" t="s">
        <v>4230</v>
      </c>
      <c r="B168" s="5" t="s">
        <v>290</v>
      </c>
      <c r="C168" s="5" t="s">
        <v>152</v>
      </c>
      <c r="D168" s="5" t="s">
        <v>16</v>
      </c>
      <c r="E168" s="5" t="n">
        <f aca="false">ROUND(5230*1.05,2)</f>
        <v>5491.5</v>
      </c>
      <c r="F168" s="5" t="s">
        <v>49</v>
      </c>
      <c r="G168" s="5" t="s">
        <v>18</v>
      </c>
      <c r="H168" s="5" t="n">
        <f aca="true">ROUND(RAND()*4+6,1)</f>
        <v>7.8</v>
      </c>
      <c r="I168" s="5" t="s">
        <v>19</v>
      </c>
      <c r="J168" s="5" t="str">
        <f aca="false">ROUND(78*1,0)&amp;"%"</f>
        <v>78%</v>
      </c>
    </row>
    <row r="169" customFormat="false" ht="15" hidden="false" customHeight="false" outlineLevel="0" collapsed="false">
      <c r="A169" s="6" t="s">
        <v>4231</v>
      </c>
      <c r="B169" s="6" t="s">
        <v>292</v>
      </c>
      <c r="C169" s="6" t="s">
        <v>152</v>
      </c>
      <c r="D169" s="6" t="s">
        <v>22</v>
      </c>
      <c r="E169" s="6" t="n">
        <f aca="false">ROUND(4375*1.05,2)</f>
        <v>4593.75</v>
      </c>
      <c r="F169" s="6" t="s">
        <v>52</v>
      </c>
      <c r="G169" s="6" t="s">
        <v>24</v>
      </c>
      <c r="H169" s="6" t="n">
        <f aca="true">ROUND(RAND()*4+6,1)</f>
        <v>6.4</v>
      </c>
      <c r="I169" s="6" t="s">
        <v>25</v>
      </c>
      <c r="J169" s="6" t="str">
        <f aca="false">ROUND(86*1,0)&amp;"%"</f>
        <v>86%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4232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4233</v>
      </c>
      <c r="B174" s="5" t="s">
        <v>296</v>
      </c>
      <c r="C174" s="5" t="s">
        <v>15</v>
      </c>
      <c r="D174" s="5" t="s">
        <v>16</v>
      </c>
      <c r="E174" s="5" t="n">
        <f aca="false">ROUND(12449*1.05,2)</f>
        <v>13071.45</v>
      </c>
      <c r="F174" s="5" t="s">
        <v>17</v>
      </c>
      <c r="G174" s="5" t="s">
        <v>18</v>
      </c>
      <c r="H174" s="5" t="n">
        <f aca="true">ROUND(RAND()*4+6,1)</f>
        <v>8.1</v>
      </c>
      <c r="I174" s="5" t="s">
        <v>19</v>
      </c>
      <c r="J174" s="5" t="str">
        <f aca="false">ROUND(79*1,0)&amp;"%"</f>
        <v>79%</v>
      </c>
    </row>
    <row r="175" customFormat="false" ht="15" hidden="false" customHeight="false" outlineLevel="0" collapsed="false">
      <c r="A175" s="6" t="s">
        <v>4234</v>
      </c>
      <c r="B175" s="6" t="s">
        <v>298</v>
      </c>
      <c r="C175" s="6" t="s">
        <v>15</v>
      </c>
      <c r="D175" s="6" t="s">
        <v>22</v>
      </c>
      <c r="E175" s="6" t="n">
        <f aca="false">ROUND(15390*1.05,2)</f>
        <v>16159.5</v>
      </c>
      <c r="F175" s="6" t="s">
        <v>23</v>
      </c>
      <c r="G175" s="6" t="s">
        <v>24</v>
      </c>
      <c r="H175" s="6" t="n">
        <f aca="true">ROUND(RAND()*4+6,1)</f>
        <v>7</v>
      </c>
      <c r="I175" s="6" t="s">
        <v>25</v>
      </c>
      <c r="J175" s="6" t="str">
        <f aca="false">ROUND(96*1,0)&amp;"%"</f>
        <v>96%</v>
      </c>
    </row>
    <row r="176" customFormat="false" ht="15" hidden="false" customHeight="false" outlineLevel="0" collapsed="false">
      <c r="A176" s="5" t="s">
        <v>4235</v>
      </c>
      <c r="B176" s="5" t="s">
        <v>300</v>
      </c>
      <c r="C176" s="5" t="s">
        <v>15</v>
      </c>
      <c r="D176" s="5" t="s">
        <v>28</v>
      </c>
      <c r="E176" s="5" t="n">
        <f aca="false">ROUND(7195*1.05,2)</f>
        <v>7554.75</v>
      </c>
      <c r="F176" s="5" t="s">
        <v>29</v>
      </c>
      <c r="G176" s="5" t="s">
        <v>30</v>
      </c>
      <c r="H176" s="5" t="n">
        <f aca="true">ROUND(RAND()*4+6,1)</f>
        <v>8.7</v>
      </c>
      <c r="I176" s="5" t="s">
        <v>31</v>
      </c>
      <c r="J176" s="5" t="str">
        <f aca="false">ROUND(85*1,0)&amp;"%"</f>
        <v>85%</v>
      </c>
    </row>
    <row r="177" customFormat="false" ht="15" hidden="false" customHeight="false" outlineLevel="0" collapsed="false">
      <c r="A177" s="6" t="s">
        <v>4236</v>
      </c>
      <c r="B177" s="6" t="s">
        <v>302</v>
      </c>
      <c r="C177" s="6" t="s">
        <v>15</v>
      </c>
      <c r="D177" s="6" t="s">
        <v>34</v>
      </c>
      <c r="E177" s="6" t="n">
        <f aca="false">ROUND(15516*1.05,2)</f>
        <v>16291.8</v>
      </c>
      <c r="F177" s="6" t="s">
        <v>35</v>
      </c>
      <c r="G177" s="6" t="s">
        <v>18</v>
      </c>
      <c r="H177" s="6" t="n">
        <f aca="true">ROUND(RAND()*4+6,1)</f>
        <v>9.1</v>
      </c>
      <c r="I177" s="6" t="s">
        <v>36</v>
      </c>
      <c r="J177" s="6" t="str">
        <f aca="false">ROUND(93*1,0)&amp;"%"</f>
        <v>93%</v>
      </c>
    </row>
    <row r="178" customFormat="false" ht="15" hidden="false" customHeight="false" outlineLevel="0" collapsed="false">
      <c r="A178" s="5" t="s">
        <v>4237</v>
      </c>
      <c r="B178" s="5" t="s">
        <v>304</v>
      </c>
      <c r="C178" s="5" t="s">
        <v>15</v>
      </c>
      <c r="D178" s="5" t="s">
        <v>39</v>
      </c>
      <c r="E178" s="5" t="n">
        <f aca="false">ROUND(14735*1.05,2)</f>
        <v>15471.75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ROUND(99*1,0)&amp;"%"</f>
        <v>99%</v>
      </c>
    </row>
    <row r="179" customFormat="false" ht="15" hidden="false" customHeight="false" outlineLevel="0" collapsed="false">
      <c r="A179" s="6" t="s">
        <v>4238</v>
      </c>
      <c r="B179" s="6" t="s">
        <v>306</v>
      </c>
      <c r="C179" s="6" t="s">
        <v>15</v>
      </c>
      <c r="D179" s="6" t="s">
        <v>44</v>
      </c>
      <c r="E179" s="6" t="n">
        <f aca="false">ROUND(14846*1.05,2)</f>
        <v>15588.3</v>
      </c>
      <c r="F179" s="6" t="s">
        <v>45</v>
      </c>
      <c r="G179" s="6" t="s">
        <v>30</v>
      </c>
      <c r="H179" s="6" t="n">
        <f aca="true">ROUND(RAND()*4+6,1)</f>
        <v>8</v>
      </c>
      <c r="I179" s="6" t="s">
        <v>46</v>
      </c>
      <c r="J179" s="6" t="str">
        <f aca="false">ROUND(98*1,0)&amp;"%"</f>
        <v>98%</v>
      </c>
    </row>
    <row r="180" customFormat="false" ht="15" hidden="false" customHeight="false" outlineLevel="0" collapsed="false">
      <c r="A180" s="5" t="s">
        <v>4239</v>
      </c>
      <c r="B180" s="5" t="s">
        <v>308</v>
      </c>
      <c r="C180" s="5" t="s">
        <v>15</v>
      </c>
      <c r="D180" s="5" t="s">
        <v>16</v>
      </c>
      <c r="E180" s="5" t="n">
        <f aca="false">ROUND(7486*1.05,2)</f>
        <v>7860.3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ROUND(87*1,0)&amp;"%"</f>
        <v>87%</v>
      </c>
    </row>
    <row r="181" customFormat="false" ht="15" hidden="false" customHeight="false" outlineLevel="0" collapsed="false">
      <c r="A181" s="6" t="s">
        <v>4240</v>
      </c>
      <c r="B181" s="6" t="s">
        <v>310</v>
      </c>
      <c r="C181" s="6" t="s">
        <v>15</v>
      </c>
      <c r="D181" s="6" t="s">
        <v>22</v>
      </c>
      <c r="E181" s="6" t="n">
        <f aca="false">ROUND(16230*1.05,2)</f>
        <v>17041.5</v>
      </c>
      <c r="F181" s="6" t="s">
        <v>52</v>
      </c>
      <c r="G181" s="6" t="s">
        <v>24</v>
      </c>
      <c r="H181" s="6" t="n">
        <f aca="true">ROUND(RAND()*4+6,1)</f>
        <v>6.8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4241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4242</v>
      </c>
      <c r="B186" s="5" t="s">
        <v>314</v>
      </c>
      <c r="C186" s="5" t="s">
        <v>57</v>
      </c>
      <c r="D186" s="5" t="s">
        <v>16</v>
      </c>
      <c r="E186" s="5" t="n">
        <f aca="false">ROUND(8529*1.05,2)</f>
        <v>8955.45</v>
      </c>
      <c r="F186" s="5" t="s">
        <v>17</v>
      </c>
      <c r="G186" s="5" t="s">
        <v>18</v>
      </c>
      <c r="H186" s="5" t="n">
        <f aca="true">ROUND(RAND()*4+6,1)</f>
        <v>8.6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4243</v>
      </c>
      <c r="B187" s="6" t="s">
        <v>316</v>
      </c>
      <c r="C187" s="6" t="s">
        <v>57</v>
      </c>
      <c r="D187" s="6" t="s">
        <v>22</v>
      </c>
      <c r="E187" s="6" t="n">
        <f aca="false">ROUND(16360*1.05,2)</f>
        <v>17178</v>
      </c>
      <c r="F187" s="6" t="s">
        <v>23</v>
      </c>
      <c r="G187" s="6" t="s">
        <v>24</v>
      </c>
      <c r="H187" s="6" t="n">
        <f aca="true">ROUND(RAND()*4+6,1)</f>
        <v>7</v>
      </c>
      <c r="I187" s="6" t="s">
        <v>25</v>
      </c>
      <c r="J187" s="6" t="str">
        <f aca="false">ROUND(89*1,0)&amp;"%"</f>
        <v>89%</v>
      </c>
    </row>
    <row r="188" customFormat="false" ht="15" hidden="false" customHeight="false" outlineLevel="0" collapsed="false">
      <c r="A188" s="5" t="s">
        <v>4244</v>
      </c>
      <c r="B188" s="5" t="s">
        <v>318</v>
      </c>
      <c r="C188" s="5" t="s">
        <v>57</v>
      </c>
      <c r="D188" s="5" t="s">
        <v>28</v>
      </c>
      <c r="E188" s="5" t="n">
        <f aca="false">ROUND(13010*1.05,2)</f>
        <v>13660.5</v>
      </c>
      <c r="F188" s="5" t="s">
        <v>29</v>
      </c>
      <c r="G188" s="5" t="s">
        <v>30</v>
      </c>
      <c r="H188" s="5" t="n">
        <f aca="true">ROUND(RAND()*4+6,1)</f>
        <v>8.9</v>
      </c>
      <c r="I188" s="5" t="s">
        <v>31</v>
      </c>
      <c r="J188" s="5" t="str">
        <f aca="false">ROUND(69*1,0)&amp;"%"</f>
        <v>69%</v>
      </c>
    </row>
    <row r="189" customFormat="false" ht="15" hidden="false" customHeight="false" outlineLevel="0" collapsed="false">
      <c r="A189" s="6" t="s">
        <v>4245</v>
      </c>
      <c r="B189" s="6" t="s">
        <v>320</v>
      </c>
      <c r="C189" s="6" t="s">
        <v>57</v>
      </c>
      <c r="D189" s="6" t="s">
        <v>34</v>
      </c>
      <c r="E189" s="6" t="n">
        <f aca="false">ROUND(15700*1.05,2)</f>
        <v>16485</v>
      </c>
      <c r="F189" s="6" t="s">
        <v>35</v>
      </c>
      <c r="G189" s="6" t="s">
        <v>18</v>
      </c>
      <c r="H189" s="6" t="n">
        <f aca="true">ROUND(RAND()*4+6,1)</f>
        <v>7.3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4246</v>
      </c>
      <c r="B190" s="5" t="s">
        <v>322</v>
      </c>
      <c r="C190" s="5" t="s">
        <v>57</v>
      </c>
      <c r="D190" s="5" t="s">
        <v>39</v>
      </c>
      <c r="E190" s="5" t="n">
        <f aca="false">ROUND(11127*1.05,2)</f>
        <v>11683.35</v>
      </c>
      <c r="F190" s="5" t="s">
        <v>40</v>
      </c>
      <c r="G190" s="5" t="s">
        <v>24</v>
      </c>
      <c r="H190" s="5" t="n">
        <f aca="true">ROUND(RAND()*4+6,1)</f>
        <v>9</v>
      </c>
      <c r="I190" s="5" t="s">
        <v>41</v>
      </c>
      <c r="J190" s="5" t="str">
        <f aca="false">ROUND(70*1,0)&amp;"%"</f>
        <v>70%</v>
      </c>
    </row>
    <row r="191" customFormat="false" ht="15" hidden="false" customHeight="false" outlineLevel="0" collapsed="false">
      <c r="A191" s="6" t="s">
        <v>4247</v>
      </c>
      <c r="B191" s="6" t="s">
        <v>324</v>
      </c>
      <c r="C191" s="6" t="s">
        <v>57</v>
      </c>
      <c r="D191" s="6" t="s">
        <v>44</v>
      </c>
      <c r="E191" s="6" t="n">
        <f aca="false">ROUND(4058*1.05,2)</f>
        <v>4260.9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ROUND(99*1,0)&amp;"%"</f>
        <v>99%</v>
      </c>
    </row>
    <row r="192" customFormat="false" ht="15" hidden="false" customHeight="false" outlineLevel="0" collapsed="false">
      <c r="A192" s="5" t="s">
        <v>4248</v>
      </c>
      <c r="B192" s="5" t="s">
        <v>326</v>
      </c>
      <c r="C192" s="5" t="s">
        <v>57</v>
      </c>
      <c r="D192" s="5" t="s">
        <v>16</v>
      </c>
      <c r="E192" s="5" t="n">
        <f aca="false">ROUND(9543*1.05,2)</f>
        <v>10020.15</v>
      </c>
      <c r="F192" s="5" t="s">
        <v>49</v>
      </c>
      <c r="G192" s="5" t="s">
        <v>18</v>
      </c>
      <c r="H192" s="5" t="n">
        <f aca="true">ROUND(RAND()*4+6,1)</f>
        <v>7.3</v>
      </c>
      <c r="I192" s="5" t="s">
        <v>19</v>
      </c>
      <c r="J192" s="5" t="str">
        <f aca="false">ROUND(89*1,0)&amp;"%"</f>
        <v>89%</v>
      </c>
    </row>
    <row r="193" customFormat="false" ht="15" hidden="false" customHeight="false" outlineLevel="0" collapsed="false">
      <c r="A193" s="6" t="s">
        <v>4249</v>
      </c>
      <c r="B193" s="6" t="s">
        <v>328</v>
      </c>
      <c r="C193" s="6" t="s">
        <v>57</v>
      </c>
      <c r="D193" s="6" t="s">
        <v>22</v>
      </c>
      <c r="E193" s="6" t="n">
        <f aca="false">ROUND(14170*1.05,2)</f>
        <v>14878.5</v>
      </c>
      <c r="F193" s="6" t="s">
        <v>52</v>
      </c>
      <c r="G193" s="6" t="s">
        <v>24</v>
      </c>
      <c r="H193" s="6" t="n">
        <f aca="true">ROUND(RAND()*4+6,1)</f>
        <v>9.8</v>
      </c>
      <c r="I193" s="6" t="s">
        <v>25</v>
      </c>
      <c r="J193" s="6" t="str">
        <f aca="false">ROUND(67*1,0)&amp;"%"</f>
        <v>67%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4250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4251</v>
      </c>
      <c r="B198" s="5" t="s">
        <v>332</v>
      </c>
      <c r="C198" s="5" t="s">
        <v>76</v>
      </c>
      <c r="D198" s="5" t="s">
        <v>16</v>
      </c>
      <c r="E198" s="5" t="n">
        <f aca="false">ROUND(9576*1.05,2)</f>
        <v>10054.8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ROUND(64*1,0)&amp;"%"</f>
        <v>64%</v>
      </c>
    </row>
    <row r="199" customFormat="false" ht="15" hidden="false" customHeight="false" outlineLevel="0" collapsed="false">
      <c r="A199" s="6" t="s">
        <v>4252</v>
      </c>
      <c r="B199" s="6" t="s">
        <v>334</v>
      </c>
      <c r="C199" s="6" t="s">
        <v>76</v>
      </c>
      <c r="D199" s="6" t="s">
        <v>22</v>
      </c>
      <c r="E199" s="6" t="n">
        <f aca="false">ROUND(15427*1.05,2)</f>
        <v>16198.35</v>
      </c>
      <c r="F199" s="6" t="s">
        <v>23</v>
      </c>
      <c r="G199" s="6" t="s">
        <v>24</v>
      </c>
      <c r="H199" s="6" t="n">
        <f aca="true">ROUND(RAND()*4+6,1)</f>
        <v>8.1</v>
      </c>
      <c r="I199" s="6" t="s">
        <v>25</v>
      </c>
      <c r="J199" s="6" t="str">
        <f aca="false">ROUND(64*1,0)&amp;"%"</f>
        <v>64%</v>
      </c>
    </row>
    <row r="200" customFormat="false" ht="15" hidden="false" customHeight="false" outlineLevel="0" collapsed="false">
      <c r="A200" s="5" t="s">
        <v>4253</v>
      </c>
      <c r="B200" s="5" t="s">
        <v>336</v>
      </c>
      <c r="C200" s="5" t="s">
        <v>76</v>
      </c>
      <c r="D200" s="5" t="s">
        <v>28</v>
      </c>
      <c r="E200" s="5" t="n">
        <f aca="false">ROUND(5078*1.05,2)</f>
        <v>5331.9</v>
      </c>
      <c r="F200" s="5" t="s">
        <v>29</v>
      </c>
      <c r="G200" s="5" t="s">
        <v>30</v>
      </c>
      <c r="H200" s="5" t="n">
        <f aca="true">ROUND(RAND()*4+6,1)</f>
        <v>7.8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4254</v>
      </c>
      <c r="B201" s="6" t="s">
        <v>338</v>
      </c>
      <c r="C201" s="6" t="s">
        <v>76</v>
      </c>
      <c r="D201" s="6" t="s">
        <v>34</v>
      </c>
      <c r="E201" s="6" t="n">
        <f aca="false">ROUND(8009*1.05,2)</f>
        <v>8409.45</v>
      </c>
      <c r="F201" s="6" t="s">
        <v>35</v>
      </c>
      <c r="G201" s="6" t="s">
        <v>18</v>
      </c>
      <c r="H201" s="6" t="n">
        <f aca="true">ROUND(RAND()*4+6,1)</f>
        <v>8.4</v>
      </c>
      <c r="I201" s="6" t="s">
        <v>36</v>
      </c>
      <c r="J201" s="6" t="str">
        <f aca="false">ROUND(66*1,0)&amp;"%"</f>
        <v>66%</v>
      </c>
    </row>
    <row r="202" customFormat="false" ht="15" hidden="false" customHeight="false" outlineLevel="0" collapsed="false">
      <c r="A202" s="5" t="s">
        <v>4255</v>
      </c>
      <c r="B202" s="5" t="s">
        <v>340</v>
      </c>
      <c r="C202" s="5" t="s">
        <v>76</v>
      </c>
      <c r="D202" s="5" t="s">
        <v>39</v>
      </c>
      <c r="E202" s="5" t="n">
        <f aca="false">ROUND(11218*1.05,2)</f>
        <v>11778.9</v>
      </c>
      <c r="F202" s="5" t="s">
        <v>40</v>
      </c>
      <c r="G202" s="5" t="s">
        <v>24</v>
      </c>
      <c r="H202" s="5" t="n">
        <f aca="true">ROUND(RAND()*4+6,1)</f>
        <v>9.2</v>
      </c>
      <c r="I202" s="5" t="s">
        <v>41</v>
      </c>
      <c r="J202" s="5" t="str">
        <f aca="false">ROUND(60*1,0)&amp;"%"</f>
        <v>60%</v>
      </c>
    </row>
    <row r="203" customFormat="false" ht="15" hidden="false" customHeight="false" outlineLevel="0" collapsed="false">
      <c r="A203" s="6" t="s">
        <v>4256</v>
      </c>
      <c r="B203" s="6" t="s">
        <v>342</v>
      </c>
      <c r="C203" s="6" t="s">
        <v>76</v>
      </c>
      <c r="D203" s="6" t="s">
        <v>44</v>
      </c>
      <c r="E203" s="6" t="n">
        <f aca="false">ROUND(7915*1.05,2)</f>
        <v>8310.75</v>
      </c>
      <c r="F203" s="6" t="s">
        <v>45</v>
      </c>
      <c r="G203" s="6" t="s">
        <v>30</v>
      </c>
      <c r="H203" s="6" t="n">
        <f aca="true">ROUND(RAND()*4+6,1)</f>
        <v>9.4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4257</v>
      </c>
      <c r="B204" s="5" t="s">
        <v>344</v>
      </c>
      <c r="C204" s="5" t="s">
        <v>76</v>
      </c>
      <c r="D204" s="5" t="s">
        <v>16</v>
      </c>
      <c r="E204" s="5" t="n">
        <f aca="false">ROUND(8681*1.05,2)</f>
        <v>9115.05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ROUND(65*1,0)&amp;"%"</f>
        <v>65%</v>
      </c>
    </row>
    <row r="205" customFormat="false" ht="15" hidden="false" customHeight="false" outlineLevel="0" collapsed="false">
      <c r="A205" s="6" t="s">
        <v>4258</v>
      </c>
      <c r="B205" s="6" t="s">
        <v>346</v>
      </c>
      <c r="C205" s="6" t="s">
        <v>76</v>
      </c>
      <c r="D205" s="6" t="s">
        <v>22</v>
      </c>
      <c r="E205" s="6" t="n">
        <f aca="false">ROUND(11006*1.05,2)</f>
        <v>11556.3</v>
      </c>
      <c r="F205" s="6" t="s">
        <v>52</v>
      </c>
      <c r="G205" s="6" t="s">
        <v>24</v>
      </c>
      <c r="H205" s="6" t="n">
        <f aca="true">ROUND(RAND()*4+6,1)</f>
        <v>9.3</v>
      </c>
      <c r="I205" s="6" t="s">
        <v>25</v>
      </c>
      <c r="J205" s="6" t="str">
        <f aca="false">ROUND(61*1,0)&amp;"%"</f>
        <v>61%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4259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4260</v>
      </c>
      <c r="B210" s="5" t="s">
        <v>350</v>
      </c>
      <c r="C210" s="5" t="s">
        <v>95</v>
      </c>
      <c r="D210" s="5" t="s">
        <v>16</v>
      </c>
      <c r="E210" s="5" t="n">
        <f aca="false">ROUND(7141*1.05,2)</f>
        <v>7498.05</v>
      </c>
      <c r="F210" s="5" t="s">
        <v>17</v>
      </c>
      <c r="G210" s="5" t="s">
        <v>18</v>
      </c>
      <c r="H210" s="5" t="n">
        <f aca="true">ROUND(RAND()*4+6,1)</f>
        <v>7.2</v>
      </c>
      <c r="I210" s="5" t="s">
        <v>19</v>
      </c>
      <c r="J210" s="5" t="str">
        <f aca="false">ROUND(92*1,0)&amp;"%"</f>
        <v>92%</v>
      </c>
    </row>
    <row r="211" customFormat="false" ht="15" hidden="false" customHeight="false" outlineLevel="0" collapsed="false">
      <c r="A211" s="6" t="s">
        <v>4261</v>
      </c>
      <c r="B211" s="6" t="s">
        <v>352</v>
      </c>
      <c r="C211" s="6" t="s">
        <v>95</v>
      </c>
      <c r="D211" s="6" t="s">
        <v>22</v>
      </c>
      <c r="E211" s="6" t="n">
        <f aca="false">ROUND(10407*1.05,2)</f>
        <v>10927.35</v>
      </c>
      <c r="F211" s="6" t="s">
        <v>23</v>
      </c>
      <c r="G211" s="6" t="s">
        <v>24</v>
      </c>
      <c r="H211" s="6" t="n">
        <f aca="true">ROUND(RAND()*4+6,1)</f>
        <v>9.8</v>
      </c>
      <c r="I211" s="6" t="s">
        <v>25</v>
      </c>
      <c r="J211" s="6" t="str">
        <f aca="false">ROUND(73*1,0)&amp;"%"</f>
        <v>73%</v>
      </c>
    </row>
    <row r="212" customFormat="false" ht="15" hidden="false" customHeight="false" outlineLevel="0" collapsed="false">
      <c r="A212" s="5" t="s">
        <v>4262</v>
      </c>
      <c r="B212" s="5" t="s">
        <v>354</v>
      </c>
      <c r="C212" s="5" t="s">
        <v>95</v>
      </c>
      <c r="D212" s="5" t="s">
        <v>28</v>
      </c>
      <c r="E212" s="5" t="n">
        <f aca="false">ROUND(4569*1.05,2)</f>
        <v>4797.45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ROUND(71*1,0)&amp;"%"</f>
        <v>71%</v>
      </c>
    </row>
    <row r="213" customFormat="false" ht="15" hidden="false" customHeight="false" outlineLevel="0" collapsed="false">
      <c r="A213" s="6" t="s">
        <v>4263</v>
      </c>
      <c r="B213" s="6" t="s">
        <v>356</v>
      </c>
      <c r="C213" s="6" t="s">
        <v>95</v>
      </c>
      <c r="D213" s="6" t="s">
        <v>34</v>
      </c>
      <c r="E213" s="6" t="n">
        <f aca="false">ROUND(10682*1.05,2)</f>
        <v>11216.1</v>
      </c>
      <c r="F213" s="6" t="s">
        <v>35</v>
      </c>
      <c r="G213" s="6" t="s">
        <v>18</v>
      </c>
      <c r="H213" s="6" t="n">
        <f aca="true">ROUND(RAND()*4+6,1)</f>
        <v>6.6</v>
      </c>
      <c r="I213" s="6" t="s">
        <v>36</v>
      </c>
      <c r="J213" s="6" t="str">
        <f aca="false">ROUND(66*1,0)&amp;"%"</f>
        <v>66%</v>
      </c>
    </row>
    <row r="214" customFormat="false" ht="15" hidden="false" customHeight="false" outlineLevel="0" collapsed="false">
      <c r="A214" s="5" t="s">
        <v>4264</v>
      </c>
      <c r="B214" s="5" t="s">
        <v>358</v>
      </c>
      <c r="C214" s="5" t="s">
        <v>95</v>
      </c>
      <c r="D214" s="5" t="s">
        <v>39</v>
      </c>
      <c r="E214" s="5" t="n">
        <f aca="false">ROUND(15897*1.05,2)</f>
        <v>16691.85</v>
      </c>
      <c r="F214" s="5" t="s">
        <v>40</v>
      </c>
      <c r="G214" s="5" t="s">
        <v>24</v>
      </c>
      <c r="H214" s="5" t="n">
        <f aca="true">ROUND(RAND()*4+6,1)</f>
        <v>7.3</v>
      </c>
      <c r="I214" s="5" t="s">
        <v>41</v>
      </c>
      <c r="J214" s="5" t="str">
        <f aca="false">ROUND(89*1,0)&amp;"%"</f>
        <v>89%</v>
      </c>
    </row>
    <row r="215" customFormat="false" ht="15" hidden="false" customHeight="false" outlineLevel="0" collapsed="false">
      <c r="A215" s="6" t="s">
        <v>4265</v>
      </c>
      <c r="B215" s="6" t="s">
        <v>360</v>
      </c>
      <c r="C215" s="6" t="s">
        <v>95</v>
      </c>
      <c r="D215" s="6" t="s">
        <v>44</v>
      </c>
      <c r="E215" s="6" t="n">
        <f aca="false">ROUND(15171*1.05,2)</f>
        <v>15929.55</v>
      </c>
      <c r="F215" s="6" t="s">
        <v>45</v>
      </c>
      <c r="G215" s="6" t="s">
        <v>30</v>
      </c>
      <c r="H215" s="6" t="n">
        <f aca="true">ROUND(RAND()*4+6,1)</f>
        <v>9.3</v>
      </c>
      <c r="I215" s="6" t="s">
        <v>46</v>
      </c>
      <c r="J215" s="6" t="str">
        <f aca="false">ROUND(75*1,0)&amp;"%"</f>
        <v>75%</v>
      </c>
    </row>
    <row r="216" customFormat="false" ht="15" hidden="false" customHeight="false" outlineLevel="0" collapsed="false">
      <c r="A216" s="5" t="s">
        <v>4266</v>
      </c>
      <c r="B216" s="5" t="s">
        <v>362</v>
      </c>
      <c r="C216" s="5" t="s">
        <v>95</v>
      </c>
      <c r="D216" s="5" t="s">
        <v>16</v>
      </c>
      <c r="E216" s="5" t="n">
        <f aca="false">ROUND(16877*1.05,2)</f>
        <v>17720.85</v>
      </c>
      <c r="F216" s="5" t="s">
        <v>49</v>
      </c>
      <c r="G216" s="5" t="s">
        <v>18</v>
      </c>
      <c r="H216" s="5" t="n">
        <f aca="true">ROUND(RAND()*4+6,1)</f>
        <v>7.7</v>
      </c>
      <c r="I216" s="5" t="s">
        <v>19</v>
      </c>
      <c r="J216" s="5" t="str">
        <f aca="false">ROUND(86*1,0)&amp;"%"</f>
        <v>86%</v>
      </c>
    </row>
    <row r="217" customFormat="false" ht="15" hidden="false" customHeight="false" outlineLevel="0" collapsed="false">
      <c r="A217" s="6" t="s">
        <v>4267</v>
      </c>
      <c r="B217" s="6" t="s">
        <v>364</v>
      </c>
      <c r="C217" s="6" t="s">
        <v>95</v>
      </c>
      <c r="D217" s="6" t="s">
        <v>22</v>
      </c>
      <c r="E217" s="6" t="n">
        <f aca="false">ROUND(4290*1.05,2)</f>
        <v>4504.5</v>
      </c>
      <c r="F217" s="6" t="s">
        <v>52</v>
      </c>
      <c r="G217" s="6" t="s">
        <v>24</v>
      </c>
      <c r="H217" s="6" t="n">
        <f aca="true">ROUND(RAND()*4+6,1)</f>
        <v>7.1</v>
      </c>
      <c r="I217" s="6" t="s">
        <v>25</v>
      </c>
      <c r="J217" s="6" t="str">
        <f aca="false">ROUND(90*1,0)&amp;"%"</f>
        <v>90%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4268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4269</v>
      </c>
      <c r="B222" s="5" t="s">
        <v>368</v>
      </c>
      <c r="C222" s="5" t="s">
        <v>114</v>
      </c>
      <c r="D222" s="5" t="s">
        <v>16</v>
      </c>
      <c r="E222" s="5" t="n">
        <f aca="false">ROUND(10152*1.05,2)</f>
        <v>10659.6</v>
      </c>
      <c r="F222" s="5" t="s">
        <v>17</v>
      </c>
      <c r="G222" s="5" t="s">
        <v>18</v>
      </c>
      <c r="H222" s="5" t="n">
        <f aca="true">ROUND(RAND()*4+6,1)</f>
        <v>8.7</v>
      </c>
      <c r="I222" s="5" t="s">
        <v>19</v>
      </c>
      <c r="J222" s="5" t="str">
        <f aca="false">ROUND(75*1,0)&amp;"%"</f>
        <v>75%</v>
      </c>
    </row>
    <row r="223" customFormat="false" ht="15" hidden="false" customHeight="false" outlineLevel="0" collapsed="false">
      <c r="A223" s="6" t="s">
        <v>4270</v>
      </c>
      <c r="B223" s="6" t="s">
        <v>370</v>
      </c>
      <c r="C223" s="6" t="s">
        <v>114</v>
      </c>
      <c r="D223" s="6" t="s">
        <v>22</v>
      </c>
      <c r="E223" s="6" t="n">
        <f aca="false">ROUND(9192*1.05,2)</f>
        <v>9651.6</v>
      </c>
      <c r="F223" s="6" t="s">
        <v>23</v>
      </c>
      <c r="G223" s="6" t="s">
        <v>24</v>
      </c>
      <c r="H223" s="6" t="n">
        <f aca="true">ROUND(RAND()*4+6,1)</f>
        <v>8.3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4271</v>
      </c>
      <c r="B224" s="5" t="s">
        <v>372</v>
      </c>
      <c r="C224" s="5" t="s">
        <v>114</v>
      </c>
      <c r="D224" s="5" t="s">
        <v>28</v>
      </c>
      <c r="E224" s="5" t="n">
        <f aca="false">ROUND(11466*1.05,2)</f>
        <v>12039.3</v>
      </c>
      <c r="F224" s="5" t="s">
        <v>29</v>
      </c>
      <c r="G224" s="5" t="s">
        <v>30</v>
      </c>
      <c r="H224" s="5" t="n">
        <f aca="true">ROUND(RAND()*4+6,1)</f>
        <v>9.4</v>
      </c>
      <c r="I224" s="5" t="s">
        <v>31</v>
      </c>
      <c r="J224" s="5" t="str">
        <f aca="false">ROUND(79*1,0)&amp;"%"</f>
        <v>79%</v>
      </c>
    </row>
    <row r="225" customFormat="false" ht="15" hidden="false" customHeight="false" outlineLevel="0" collapsed="false">
      <c r="A225" s="6" t="s">
        <v>4272</v>
      </c>
      <c r="B225" s="6" t="s">
        <v>374</v>
      </c>
      <c r="C225" s="6" t="s">
        <v>114</v>
      </c>
      <c r="D225" s="6" t="s">
        <v>34</v>
      </c>
      <c r="E225" s="6" t="n">
        <f aca="false">ROUND(14713*1.05,2)</f>
        <v>15448.65</v>
      </c>
      <c r="F225" s="6" t="s">
        <v>35</v>
      </c>
      <c r="G225" s="6" t="s">
        <v>18</v>
      </c>
      <c r="H225" s="6" t="n">
        <f aca="true">ROUND(RAND()*4+6,1)</f>
        <v>9.9</v>
      </c>
      <c r="I225" s="6" t="s">
        <v>36</v>
      </c>
      <c r="J225" s="6" t="str">
        <f aca="false">ROUND(80*1,0)&amp;"%"</f>
        <v>80%</v>
      </c>
    </row>
    <row r="226" customFormat="false" ht="15" hidden="false" customHeight="false" outlineLevel="0" collapsed="false">
      <c r="A226" s="5" t="s">
        <v>4273</v>
      </c>
      <c r="B226" s="5" t="s">
        <v>376</v>
      </c>
      <c r="C226" s="5" t="s">
        <v>114</v>
      </c>
      <c r="D226" s="5" t="s">
        <v>39</v>
      </c>
      <c r="E226" s="5" t="n">
        <f aca="false">ROUND(15139*1.05,2)</f>
        <v>15895.95</v>
      </c>
      <c r="F226" s="5" t="s">
        <v>40</v>
      </c>
      <c r="G226" s="5" t="s">
        <v>24</v>
      </c>
      <c r="H226" s="5" t="n">
        <f aca="true">ROUND(RAND()*4+6,1)</f>
        <v>9.4</v>
      </c>
      <c r="I226" s="5" t="s">
        <v>41</v>
      </c>
      <c r="J226" s="5" t="str">
        <f aca="false">ROUND(99*1,0)&amp;"%"</f>
        <v>99%</v>
      </c>
    </row>
    <row r="227" customFormat="false" ht="15" hidden="false" customHeight="false" outlineLevel="0" collapsed="false">
      <c r="A227" s="6" t="s">
        <v>4274</v>
      </c>
      <c r="B227" s="6" t="s">
        <v>378</v>
      </c>
      <c r="C227" s="6" t="s">
        <v>114</v>
      </c>
      <c r="D227" s="6" t="s">
        <v>44</v>
      </c>
      <c r="E227" s="6" t="n">
        <f aca="false">ROUND(7155*1.05,2)</f>
        <v>7512.75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ROUND(98*1,0)&amp;"%"</f>
        <v>98%</v>
      </c>
    </row>
    <row r="228" customFormat="false" ht="15" hidden="false" customHeight="false" outlineLevel="0" collapsed="false">
      <c r="A228" s="5" t="s">
        <v>4275</v>
      </c>
      <c r="B228" s="5" t="s">
        <v>380</v>
      </c>
      <c r="C228" s="5" t="s">
        <v>114</v>
      </c>
      <c r="D228" s="5" t="s">
        <v>16</v>
      </c>
      <c r="E228" s="5" t="n">
        <f aca="false">ROUND(8618*1.05,2)</f>
        <v>9048.9</v>
      </c>
      <c r="F228" s="5" t="s">
        <v>49</v>
      </c>
      <c r="G228" s="5" t="s">
        <v>18</v>
      </c>
      <c r="H228" s="5" t="n">
        <f aca="true">ROUND(RAND()*4+6,1)</f>
        <v>8.3</v>
      </c>
      <c r="I228" s="5" t="s">
        <v>19</v>
      </c>
      <c r="J228" s="5" t="str">
        <f aca="false">ROUND(83*1,0)&amp;"%"</f>
        <v>83%</v>
      </c>
    </row>
    <row r="229" customFormat="false" ht="15" hidden="false" customHeight="false" outlineLevel="0" collapsed="false">
      <c r="A229" s="6" t="s">
        <v>4276</v>
      </c>
      <c r="B229" s="6" t="s">
        <v>382</v>
      </c>
      <c r="C229" s="6" t="s">
        <v>114</v>
      </c>
      <c r="D229" s="6" t="s">
        <v>22</v>
      </c>
      <c r="E229" s="6" t="n">
        <f aca="false">ROUND(10203*1.05,2)</f>
        <v>10713.15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ROUND(60*1,0)&amp;"%"</f>
        <v>60%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4277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4278</v>
      </c>
      <c r="B234" s="5" t="s">
        <v>386</v>
      </c>
      <c r="C234" s="5" t="s">
        <v>133</v>
      </c>
      <c r="D234" s="5" t="s">
        <v>16</v>
      </c>
      <c r="E234" s="5" t="n">
        <f aca="false">ROUND(10591*1.05,2)</f>
        <v>11120.55</v>
      </c>
      <c r="F234" s="5" t="s">
        <v>17</v>
      </c>
      <c r="G234" s="5" t="s">
        <v>18</v>
      </c>
      <c r="H234" s="5" t="n">
        <f aca="true">ROUND(RAND()*4+6,1)</f>
        <v>8.9</v>
      </c>
      <c r="I234" s="5" t="s">
        <v>19</v>
      </c>
      <c r="J234" s="5" t="str">
        <f aca="false">ROUND(78*1,0)&amp;"%"</f>
        <v>78%</v>
      </c>
    </row>
    <row r="235" customFormat="false" ht="15" hidden="false" customHeight="false" outlineLevel="0" collapsed="false">
      <c r="A235" s="6" t="s">
        <v>4279</v>
      </c>
      <c r="B235" s="6" t="s">
        <v>388</v>
      </c>
      <c r="C235" s="6" t="s">
        <v>133</v>
      </c>
      <c r="D235" s="6" t="s">
        <v>22</v>
      </c>
      <c r="E235" s="6" t="n">
        <f aca="false">ROUND(15620*1.05,2)</f>
        <v>16401</v>
      </c>
      <c r="F235" s="6" t="s">
        <v>23</v>
      </c>
      <c r="G235" s="6" t="s">
        <v>24</v>
      </c>
      <c r="H235" s="6" t="n">
        <f aca="true">ROUND(RAND()*4+6,1)</f>
        <v>9.9</v>
      </c>
      <c r="I235" s="6" t="s">
        <v>25</v>
      </c>
      <c r="J235" s="6" t="str">
        <f aca="false">ROUND(78*1,0)&amp;"%"</f>
        <v>78%</v>
      </c>
    </row>
    <row r="236" customFormat="false" ht="15" hidden="false" customHeight="false" outlineLevel="0" collapsed="false">
      <c r="A236" s="5" t="s">
        <v>4280</v>
      </c>
      <c r="B236" s="5" t="s">
        <v>390</v>
      </c>
      <c r="C236" s="5" t="s">
        <v>133</v>
      </c>
      <c r="D236" s="5" t="s">
        <v>28</v>
      </c>
      <c r="E236" s="5" t="n">
        <f aca="false">ROUND(14981*1.05,2)</f>
        <v>15730.05</v>
      </c>
      <c r="F236" s="5" t="s">
        <v>29</v>
      </c>
      <c r="G236" s="5" t="s">
        <v>30</v>
      </c>
      <c r="H236" s="5" t="n">
        <f aca="true">ROUND(RAND()*4+6,1)</f>
        <v>6.7</v>
      </c>
      <c r="I236" s="5" t="s">
        <v>31</v>
      </c>
      <c r="J236" s="5" t="str">
        <f aca="false">ROUND(77*1,0)&amp;"%"</f>
        <v>77%</v>
      </c>
    </row>
    <row r="237" customFormat="false" ht="15" hidden="false" customHeight="false" outlineLevel="0" collapsed="false">
      <c r="A237" s="6" t="s">
        <v>4281</v>
      </c>
      <c r="B237" s="6" t="s">
        <v>392</v>
      </c>
      <c r="C237" s="6" t="s">
        <v>133</v>
      </c>
      <c r="D237" s="6" t="s">
        <v>34</v>
      </c>
      <c r="E237" s="6" t="n">
        <f aca="false">ROUND(15123*1.05,2)</f>
        <v>15879.15</v>
      </c>
      <c r="F237" s="6" t="s">
        <v>35</v>
      </c>
      <c r="G237" s="6" t="s">
        <v>18</v>
      </c>
      <c r="H237" s="6" t="n">
        <f aca="true">ROUND(RAND()*4+6,1)</f>
        <v>7.3</v>
      </c>
      <c r="I237" s="6" t="s">
        <v>36</v>
      </c>
      <c r="J237" s="6" t="str">
        <f aca="false">ROUND(72*1,0)&amp;"%"</f>
        <v>72%</v>
      </c>
    </row>
    <row r="238" customFormat="false" ht="15" hidden="false" customHeight="false" outlineLevel="0" collapsed="false">
      <c r="A238" s="5" t="s">
        <v>4282</v>
      </c>
      <c r="B238" s="5" t="s">
        <v>394</v>
      </c>
      <c r="C238" s="5" t="s">
        <v>133</v>
      </c>
      <c r="D238" s="5" t="s">
        <v>39</v>
      </c>
      <c r="E238" s="5" t="n">
        <f aca="false">ROUND(7554*1.05,2)</f>
        <v>7931.7</v>
      </c>
      <c r="F238" s="5" t="s">
        <v>40</v>
      </c>
      <c r="G238" s="5" t="s">
        <v>24</v>
      </c>
      <c r="H238" s="5" t="n">
        <f aca="true">ROUND(RAND()*4+6,1)</f>
        <v>9.5</v>
      </c>
      <c r="I238" s="5" t="s">
        <v>41</v>
      </c>
      <c r="J238" s="5" t="str">
        <f aca="false">ROUND(65*1,0)&amp;"%"</f>
        <v>65%</v>
      </c>
    </row>
    <row r="239" customFormat="false" ht="15" hidden="false" customHeight="false" outlineLevel="0" collapsed="false">
      <c r="A239" s="6" t="s">
        <v>4283</v>
      </c>
      <c r="B239" s="6" t="s">
        <v>396</v>
      </c>
      <c r="C239" s="6" t="s">
        <v>133</v>
      </c>
      <c r="D239" s="6" t="s">
        <v>44</v>
      </c>
      <c r="E239" s="6" t="n">
        <f aca="false">ROUND(12005*1.05,2)</f>
        <v>12605.25</v>
      </c>
      <c r="F239" s="6" t="s">
        <v>45</v>
      </c>
      <c r="G239" s="6" t="s">
        <v>30</v>
      </c>
      <c r="H239" s="6" t="n">
        <f aca="true">ROUND(RAND()*4+6,1)</f>
        <v>9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4284</v>
      </c>
      <c r="B240" s="5" t="s">
        <v>398</v>
      </c>
      <c r="C240" s="5" t="s">
        <v>133</v>
      </c>
      <c r="D240" s="5" t="s">
        <v>16</v>
      </c>
      <c r="E240" s="5" t="n">
        <f aca="false">ROUND(15997*1.05,2)</f>
        <v>16796.85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ROUND(98*1,0)&amp;"%"</f>
        <v>98%</v>
      </c>
    </row>
    <row r="241" customFormat="false" ht="15" hidden="false" customHeight="false" outlineLevel="0" collapsed="false">
      <c r="A241" s="6" t="s">
        <v>4285</v>
      </c>
      <c r="B241" s="6" t="s">
        <v>400</v>
      </c>
      <c r="C241" s="6" t="s">
        <v>133</v>
      </c>
      <c r="D241" s="6" t="s">
        <v>22</v>
      </c>
      <c r="E241" s="6" t="n">
        <f aca="false">ROUND(7800*1.05,2)</f>
        <v>8190</v>
      </c>
      <c r="F241" s="6" t="s">
        <v>52</v>
      </c>
      <c r="G241" s="6" t="s">
        <v>24</v>
      </c>
      <c r="H241" s="6" t="n">
        <f aca="true">ROUND(RAND()*4+6,1)</f>
        <v>9.7</v>
      </c>
      <c r="I241" s="6" t="s">
        <v>25</v>
      </c>
      <c r="J241" s="6" t="str">
        <f aca="false">ROUND(82*1,0)&amp;"%"</f>
        <v>82%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4286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4287</v>
      </c>
      <c r="B246" s="5" t="s">
        <v>404</v>
      </c>
      <c r="C246" s="5" t="s">
        <v>152</v>
      </c>
      <c r="D246" s="5" t="s">
        <v>16</v>
      </c>
      <c r="E246" s="5" t="n">
        <f aca="false">ROUND(10777*1.05,2)</f>
        <v>11315.85</v>
      </c>
      <c r="F246" s="5" t="s">
        <v>17</v>
      </c>
      <c r="G246" s="5" t="s">
        <v>18</v>
      </c>
      <c r="H246" s="5" t="n">
        <f aca="true">ROUND(RAND()*4+6,1)</f>
        <v>6.4</v>
      </c>
      <c r="I246" s="5" t="s">
        <v>19</v>
      </c>
      <c r="J246" s="5" t="str">
        <f aca="false">ROUND(83*1,0)&amp;"%"</f>
        <v>83%</v>
      </c>
    </row>
    <row r="247" customFormat="false" ht="15" hidden="false" customHeight="false" outlineLevel="0" collapsed="false">
      <c r="A247" s="6" t="s">
        <v>4288</v>
      </c>
      <c r="B247" s="6" t="s">
        <v>406</v>
      </c>
      <c r="C247" s="6" t="s">
        <v>152</v>
      </c>
      <c r="D247" s="6" t="s">
        <v>22</v>
      </c>
      <c r="E247" s="6" t="n">
        <f aca="false">ROUND(6176*1.05,2)</f>
        <v>6484.8</v>
      </c>
      <c r="F247" s="6" t="s">
        <v>23</v>
      </c>
      <c r="G247" s="6" t="s">
        <v>24</v>
      </c>
      <c r="H247" s="6" t="n">
        <f aca="true">ROUND(RAND()*4+6,1)</f>
        <v>9.3</v>
      </c>
      <c r="I247" s="6" t="s">
        <v>25</v>
      </c>
      <c r="J247" s="6" t="str">
        <f aca="false">ROUND(96*1,0)&amp;"%"</f>
        <v>96%</v>
      </c>
    </row>
    <row r="248" customFormat="false" ht="15" hidden="false" customHeight="false" outlineLevel="0" collapsed="false">
      <c r="A248" s="5" t="s">
        <v>4289</v>
      </c>
      <c r="B248" s="5" t="s">
        <v>408</v>
      </c>
      <c r="C248" s="5" t="s">
        <v>152</v>
      </c>
      <c r="D248" s="5" t="s">
        <v>28</v>
      </c>
      <c r="E248" s="5" t="n">
        <f aca="false">ROUND(17696*1.05,2)</f>
        <v>18580.8</v>
      </c>
      <c r="F248" s="5" t="s">
        <v>29</v>
      </c>
      <c r="G248" s="5" t="s">
        <v>30</v>
      </c>
      <c r="H248" s="5" t="n">
        <f aca="true">ROUND(RAND()*4+6,1)</f>
        <v>6.7</v>
      </c>
      <c r="I248" s="5" t="s">
        <v>31</v>
      </c>
      <c r="J248" s="5" t="str">
        <f aca="false">ROUND(63*1,0)&amp;"%"</f>
        <v>63%</v>
      </c>
    </row>
    <row r="249" customFormat="false" ht="15" hidden="false" customHeight="false" outlineLevel="0" collapsed="false">
      <c r="A249" s="6" t="s">
        <v>4290</v>
      </c>
      <c r="B249" s="6" t="s">
        <v>410</v>
      </c>
      <c r="C249" s="6" t="s">
        <v>152</v>
      </c>
      <c r="D249" s="6" t="s">
        <v>34</v>
      </c>
      <c r="E249" s="6" t="n">
        <f aca="false">ROUND(10660*1.05,2)</f>
        <v>11193</v>
      </c>
      <c r="F249" s="6" t="s">
        <v>35</v>
      </c>
      <c r="G249" s="6" t="s">
        <v>18</v>
      </c>
      <c r="H249" s="6" t="n">
        <f aca="true">ROUND(RAND()*4+6,1)</f>
        <v>9.7</v>
      </c>
      <c r="I249" s="6" t="s">
        <v>36</v>
      </c>
      <c r="J249" s="6" t="str">
        <f aca="false">ROUND(76*1,0)&amp;"%"</f>
        <v>76%</v>
      </c>
    </row>
    <row r="250" customFormat="false" ht="15" hidden="false" customHeight="false" outlineLevel="0" collapsed="false">
      <c r="A250" s="5" t="s">
        <v>4291</v>
      </c>
      <c r="B250" s="5" t="s">
        <v>412</v>
      </c>
      <c r="C250" s="5" t="s">
        <v>152</v>
      </c>
      <c r="D250" s="5" t="s">
        <v>39</v>
      </c>
      <c r="E250" s="5" t="n">
        <f aca="false">ROUND(16692*1.05,2)</f>
        <v>17526.6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4292</v>
      </c>
      <c r="B251" s="6" t="s">
        <v>414</v>
      </c>
      <c r="C251" s="6" t="s">
        <v>152</v>
      </c>
      <c r="D251" s="6" t="s">
        <v>44</v>
      </c>
      <c r="E251" s="6" t="n">
        <f aca="false">ROUND(8989*1.05,2)</f>
        <v>9438.45</v>
      </c>
      <c r="F251" s="6" t="s">
        <v>45</v>
      </c>
      <c r="G251" s="6" t="s">
        <v>30</v>
      </c>
      <c r="H251" s="6" t="n">
        <f aca="true">ROUND(RAND()*4+6,1)</f>
        <v>7.5</v>
      </c>
      <c r="I251" s="6" t="s">
        <v>46</v>
      </c>
      <c r="J251" s="6" t="str">
        <f aca="false">ROUND(63*1,0)&amp;"%"</f>
        <v>63%</v>
      </c>
    </row>
    <row r="252" customFormat="false" ht="15" hidden="false" customHeight="false" outlineLevel="0" collapsed="false">
      <c r="A252" s="5" t="s">
        <v>4293</v>
      </c>
      <c r="B252" s="5" t="s">
        <v>416</v>
      </c>
      <c r="C252" s="5" t="s">
        <v>152</v>
      </c>
      <c r="D252" s="5" t="s">
        <v>16</v>
      </c>
      <c r="E252" s="5" t="n">
        <f aca="false">ROUND(9396*1.05,2)</f>
        <v>9865.8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ROUND(82*1,0)&amp;"%"</f>
        <v>82%</v>
      </c>
    </row>
    <row r="253" customFormat="false" ht="15" hidden="false" customHeight="false" outlineLevel="0" collapsed="false">
      <c r="A253" s="6" t="s">
        <v>4294</v>
      </c>
      <c r="B253" s="6" t="s">
        <v>418</v>
      </c>
      <c r="C253" s="6" t="s">
        <v>152</v>
      </c>
      <c r="D253" s="6" t="s">
        <v>22</v>
      </c>
      <c r="E253" s="6" t="n">
        <f aca="false">ROUND(8521*1.05,2)</f>
        <v>8947.05</v>
      </c>
      <c r="F253" s="6" t="s">
        <v>52</v>
      </c>
      <c r="G253" s="6" t="s">
        <v>24</v>
      </c>
      <c r="H253" s="6" t="n">
        <f aca="true">ROUND(RAND()*4+6,1)</f>
        <v>6.5</v>
      </c>
      <c r="I253" s="6" t="s">
        <v>25</v>
      </c>
      <c r="J253" s="6" t="str">
        <f aca="false">ROUND(63*1,0)&amp;"%"</f>
        <v>63%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4295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4296</v>
      </c>
      <c r="B258" s="5" t="s">
        <v>422</v>
      </c>
      <c r="C258" s="5" t="s">
        <v>15</v>
      </c>
      <c r="D258" s="5" t="s">
        <v>16</v>
      </c>
      <c r="E258" s="5" t="n">
        <f aca="false">ROUND(8285*1.05,2)</f>
        <v>8699.25</v>
      </c>
      <c r="F258" s="5" t="s">
        <v>17</v>
      </c>
      <c r="G258" s="5" t="s">
        <v>18</v>
      </c>
      <c r="H258" s="5" t="n">
        <f aca="true">ROUND(RAND()*4+6,1)</f>
        <v>9.6</v>
      </c>
      <c r="I258" s="5" t="s">
        <v>19</v>
      </c>
      <c r="J258" s="5" t="str">
        <f aca="false">ROUND(73*1,0)&amp;"%"</f>
        <v>73%</v>
      </c>
    </row>
    <row r="259" customFormat="false" ht="15" hidden="false" customHeight="false" outlineLevel="0" collapsed="false">
      <c r="A259" s="6" t="s">
        <v>4297</v>
      </c>
      <c r="B259" s="6" t="s">
        <v>424</v>
      </c>
      <c r="C259" s="6" t="s">
        <v>15</v>
      </c>
      <c r="D259" s="6" t="s">
        <v>22</v>
      </c>
      <c r="E259" s="6" t="n">
        <f aca="false">ROUND(12588*1.05,2)</f>
        <v>13217.4</v>
      </c>
      <c r="F259" s="6" t="s">
        <v>23</v>
      </c>
      <c r="G259" s="6" t="s">
        <v>24</v>
      </c>
      <c r="H259" s="6" t="n">
        <f aca="true">ROUND(RAND()*4+6,1)</f>
        <v>8.4</v>
      </c>
      <c r="I259" s="6" t="s">
        <v>25</v>
      </c>
      <c r="J259" s="6" t="str">
        <f aca="false">ROUND(72*1,0)&amp;"%"</f>
        <v>72%</v>
      </c>
    </row>
    <row r="260" customFormat="false" ht="15" hidden="false" customHeight="false" outlineLevel="0" collapsed="false">
      <c r="A260" s="5" t="s">
        <v>4298</v>
      </c>
      <c r="B260" s="5" t="s">
        <v>426</v>
      </c>
      <c r="C260" s="5" t="s">
        <v>15</v>
      </c>
      <c r="D260" s="5" t="s">
        <v>28</v>
      </c>
      <c r="E260" s="5" t="n">
        <f aca="false">ROUND(8770*1.05,2)</f>
        <v>9208.5</v>
      </c>
      <c r="F260" s="5" t="s">
        <v>29</v>
      </c>
      <c r="G260" s="5" t="s">
        <v>30</v>
      </c>
      <c r="H260" s="5" t="n">
        <f aca="true">ROUND(RAND()*4+6,1)</f>
        <v>7.1</v>
      </c>
      <c r="I260" s="5" t="s">
        <v>31</v>
      </c>
      <c r="J260" s="5" t="str">
        <f aca="false">ROUND(100*1,0)&amp;"%"</f>
        <v>100%</v>
      </c>
    </row>
    <row r="261" customFormat="false" ht="15" hidden="false" customHeight="false" outlineLevel="0" collapsed="false">
      <c r="A261" s="6" t="s">
        <v>4299</v>
      </c>
      <c r="B261" s="6" t="s">
        <v>428</v>
      </c>
      <c r="C261" s="6" t="s">
        <v>15</v>
      </c>
      <c r="D261" s="6" t="s">
        <v>34</v>
      </c>
      <c r="E261" s="6" t="n">
        <f aca="false">ROUND(17162*1.05,2)</f>
        <v>18020.1</v>
      </c>
      <c r="F261" s="6" t="s">
        <v>35</v>
      </c>
      <c r="G261" s="6" t="s">
        <v>18</v>
      </c>
      <c r="H261" s="6" t="n">
        <f aca="true">ROUND(RAND()*4+6,1)</f>
        <v>8.1</v>
      </c>
      <c r="I261" s="6" t="s">
        <v>36</v>
      </c>
      <c r="J261" s="6" t="str">
        <f aca="false">ROUND(92*1,0)&amp;"%"</f>
        <v>92%</v>
      </c>
    </row>
    <row r="262" customFormat="false" ht="15" hidden="false" customHeight="false" outlineLevel="0" collapsed="false">
      <c r="A262" s="5" t="s">
        <v>4300</v>
      </c>
      <c r="B262" s="5" t="s">
        <v>430</v>
      </c>
      <c r="C262" s="5" t="s">
        <v>15</v>
      </c>
      <c r="D262" s="5" t="s">
        <v>39</v>
      </c>
      <c r="E262" s="5" t="n">
        <f aca="false">ROUND(16867*1.05,2)</f>
        <v>17710.35</v>
      </c>
      <c r="F262" s="5" t="s">
        <v>40</v>
      </c>
      <c r="G262" s="5" t="s">
        <v>24</v>
      </c>
      <c r="H262" s="5" t="n">
        <f aca="true">ROUND(RAND()*4+6,1)</f>
        <v>9</v>
      </c>
      <c r="I262" s="5" t="s">
        <v>41</v>
      </c>
      <c r="J262" s="5" t="str">
        <f aca="false">ROUND(67*1,0)&amp;"%"</f>
        <v>67%</v>
      </c>
    </row>
    <row r="263" customFormat="false" ht="15" hidden="false" customHeight="false" outlineLevel="0" collapsed="false">
      <c r="A263" s="6" t="s">
        <v>4301</v>
      </c>
      <c r="B263" s="6" t="s">
        <v>432</v>
      </c>
      <c r="C263" s="6" t="s">
        <v>15</v>
      </c>
      <c r="D263" s="6" t="s">
        <v>44</v>
      </c>
      <c r="E263" s="6" t="n">
        <f aca="false">ROUND(13799*1.05,2)</f>
        <v>14488.95</v>
      </c>
      <c r="F263" s="6" t="s">
        <v>45</v>
      </c>
      <c r="G263" s="6" t="s">
        <v>30</v>
      </c>
      <c r="H263" s="6" t="n">
        <f aca="true">ROUND(RAND()*4+6,1)</f>
        <v>6.2</v>
      </c>
      <c r="I263" s="6" t="s">
        <v>46</v>
      </c>
      <c r="J263" s="6" t="str">
        <f aca="false">ROUND(95*1,0)&amp;"%"</f>
        <v>95%</v>
      </c>
    </row>
    <row r="264" customFormat="false" ht="15" hidden="false" customHeight="false" outlineLevel="0" collapsed="false">
      <c r="A264" s="5" t="s">
        <v>4302</v>
      </c>
      <c r="B264" s="5" t="s">
        <v>434</v>
      </c>
      <c r="C264" s="5" t="s">
        <v>15</v>
      </c>
      <c r="D264" s="5" t="s">
        <v>16</v>
      </c>
      <c r="E264" s="5" t="n">
        <f aca="false">ROUND(4055*1.05,2)</f>
        <v>4257.75</v>
      </c>
      <c r="F264" s="5" t="s">
        <v>49</v>
      </c>
      <c r="G264" s="5" t="s">
        <v>18</v>
      </c>
      <c r="H264" s="5" t="n">
        <f aca="true">ROUND(RAND()*4+6,1)</f>
        <v>6.6</v>
      </c>
      <c r="I264" s="5" t="s">
        <v>19</v>
      </c>
      <c r="J264" s="5" t="str">
        <f aca="false">ROUND(83*1,0)&amp;"%"</f>
        <v>83%</v>
      </c>
    </row>
    <row r="265" customFormat="false" ht="15" hidden="false" customHeight="false" outlineLevel="0" collapsed="false">
      <c r="A265" s="6" t="s">
        <v>4303</v>
      </c>
      <c r="B265" s="6" t="s">
        <v>436</v>
      </c>
      <c r="C265" s="6" t="s">
        <v>15</v>
      </c>
      <c r="D265" s="6" t="s">
        <v>22</v>
      </c>
      <c r="E265" s="6" t="n">
        <f aca="false">ROUND(14106*1.05,2)</f>
        <v>14811.3</v>
      </c>
      <c r="F265" s="6" t="s">
        <v>52</v>
      </c>
      <c r="G265" s="6" t="s">
        <v>24</v>
      </c>
      <c r="H265" s="6" t="n">
        <f aca="true">ROUND(RAND()*4+6,1)</f>
        <v>9.6</v>
      </c>
      <c r="I265" s="6" t="s">
        <v>25</v>
      </c>
      <c r="J265" s="6" t="str">
        <f aca="false">ROUND(95*1,0)&amp;"%"</f>
        <v>95%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4304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4305</v>
      </c>
      <c r="B270" s="5" t="s">
        <v>440</v>
      </c>
      <c r="C270" s="5" t="s">
        <v>57</v>
      </c>
      <c r="D270" s="5" t="s">
        <v>16</v>
      </c>
      <c r="E270" s="5" t="n">
        <f aca="false">ROUND(13981*1.05,2)</f>
        <v>14680.05</v>
      </c>
      <c r="F270" s="5" t="s">
        <v>17</v>
      </c>
      <c r="G270" s="5" t="s">
        <v>18</v>
      </c>
      <c r="H270" s="5" t="n">
        <f aca="true">ROUND(RAND()*4+6,1)</f>
        <v>9.6</v>
      </c>
      <c r="I270" s="5" t="s">
        <v>19</v>
      </c>
      <c r="J270" s="5" t="str">
        <f aca="false">ROUND(74*1,0)&amp;"%"</f>
        <v>74%</v>
      </c>
    </row>
    <row r="271" customFormat="false" ht="15" hidden="false" customHeight="false" outlineLevel="0" collapsed="false">
      <c r="A271" s="6" t="s">
        <v>4306</v>
      </c>
      <c r="B271" s="6" t="s">
        <v>442</v>
      </c>
      <c r="C271" s="6" t="s">
        <v>57</v>
      </c>
      <c r="D271" s="6" t="s">
        <v>22</v>
      </c>
      <c r="E271" s="6" t="n">
        <f aca="false">ROUND(13065*1.05,2)</f>
        <v>13718.25</v>
      </c>
      <c r="F271" s="6" t="s">
        <v>23</v>
      </c>
      <c r="G271" s="6" t="s">
        <v>24</v>
      </c>
      <c r="H271" s="6" t="n">
        <f aca="true">ROUND(RAND()*4+6,1)</f>
        <v>8.2</v>
      </c>
      <c r="I271" s="6" t="s">
        <v>25</v>
      </c>
      <c r="J271" s="6" t="str">
        <f aca="false">ROUND(99*1,0)&amp;"%"</f>
        <v>99%</v>
      </c>
    </row>
    <row r="272" customFormat="false" ht="15" hidden="false" customHeight="false" outlineLevel="0" collapsed="false">
      <c r="A272" s="5" t="s">
        <v>4307</v>
      </c>
      <c r="B272" s="5" t="s">
        <v>444</v>
      </c>
      <c r="C272" s="5" t="s">
        <v>57</v>
      </c>
      <c r="D272" s="5" t="s">
        <v>28</v>
      </c>
      <c r="E272" s="5" t="n">
        <f aca="false">ROUND(16621*1.05,2)</f>
        <v>17452.05</v>
      </c>
      <c r="F272" s="5" t="s">
        <v>29</v>
      </c>
      <c r="G272" s="5" t="s">
        <v>30</v>
      </c>
      <c r="H272" s="5" t="n">
        <f aca="true">ROUND(RAND()*4+6,1)</f>
        <v>9.9</v>
      </c>
      <c r="I272" s="5" t="s">
        <v>31</v>
      </c>
      <c r="J272" s="5" t="str">
        <f aca="false">ROUND(79*1,0)&amp;"%"</f>
        <v>79%</v>
      </c>
    </row>
    <row r="273" customFormat="false" ht="15" hidden="false" customHeight="false" outlineLevel="0" collapsed="false">
      <c r="A273" s="6" t="s">
        <v>4308</v>
      </c>
      <c r="B273" s="6" t="s">
        <v>446</v>
      </c>
      <c r="C273" s="6" t="s">
        <v>57</v>
      </c>
      <c r="D273" s="6" t="s">
        <v>34</v>
      </c>
      <c r="E273" s="6" t="n">
        <f aca="false">ROUND(12821*1.05,2)</f>
        <v>13462.05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ROUND(82*1,0)&amp;"%"</f>
        <v>82%</v>
      </c>
    </row>
    <row r="274" customFormat="false" ht="15" hidden="false" customHeight="false" outlineLevel="0" collapsed="false">
      <c r="A274" s="5" t="s">
        <v>4309</v>
      </c>
      <c r="B274" s="5" t="s">
        <v>448</v>
      </c>
      <c r="C274" s="5" t="s">
        <v>57</v>
      </c>
      <c r="D274" s="5" t="s">
        <v>39</v>
      </c>
      <c r="E274" s="5" t="n">
        <f aca="false">ROUND(5161*1.05,2)</f>
        <v>5419.05</v>
      </c>
      <c r="F274" s="5" t="s">
        <v>40</v>
      </c>
      <c r="G274" s="5" t="s">
        <v>24</v>
      </c>
      <c r="H274" s="5" t="n">
        <f aca="true">ROUND(RAND()*4+6,1)</f>
        <v>7.9</v>
      </c>
      <c r="I274" s="5" t="s">
        <v>41</v>
      </c>
      <c r="J274" s="5" t="str">
        <f aca="false">ROUND(72*1,0)&amp;"%"</f>
        <v>72%</v>
      </c>
    </row>
    <row r="275" customFormat="false" ht="15" hidden="false" customHeight="false" outlineLevel="0" collapsed="false">
      <c r="A275" s="6" t="s">
        <v>4310</v>
      </c>
      <c r="B275" s="6" t="s">
        <v>450</v>
      </c>
      <c r="C275" s="6" t="s">
        <v>57</v>
      </c>
      <c r="D275" s="6" t="s">
        <v>44</v>
      </c>
      <c r="E275" s="6" t="n">
        <f aca="false">ROUND(6804*1.05,2)</f>
        <v>7144.2</v>
      </c>
      <c r="F275" s="6" t="s">
        <v>45</v>
      </c>
      <c r="G275" s="6" t="s">
        <v>30</v>
      </c>
      <c r="H275" s="6" t="n">
        <f aca="true">ROUND(RAND()*4+6,1)</f>
        <v>9</v>
      </c>
      <c r="I275" s="6" t="s">
        <v>46</v>
      </c>
      <c r="J275" s="6" t="str">
        <f aca="false">ROUND(71*1,0)&amp;"%"</f>
        <v>71%</v>
      </c>
    </row>
    <row r="276" customFormat="false" ht="15" hidden="false" customHeight="false" outlineLevel="0" collapsed="false">
      <c r="A276" s="5" t="s">
        <v>4311</v>
      </c>
      <c r="B276" s="5" t="s">
        <v>452</v>
      </c>
      <c r="C276" s="5" t="s">
        <v>57</v>
      </c>
      <c r="D276" s="5" t="s">
        <v>16</v>
      </c>
      <c r="E276" s="5" t="n">
        <f aca="false">ROUND(12960*1.05,2)</f>
        <v>13608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ROUND(99*1,0)&amp;"%"</f>
        <v>99%</v>
      </c>
    </row>
    <row r="277" customFormat="false" ht="15" hidden="false" customHeight="false" outlineLevel="0" collapsed="false">
      <c r="A277" s="6" t="s">
        <v>4312</v>
      </c>
      <c r="B277" s="6" t="s">
        <v>454</v>
      </c>
      <c r="C277" s="6" t="s">
        <v>57</v>
      </c>
      <c r="D277" s="6" t="s">
        <v>22</v>
      </c>
      <c r="E277" s="6" t="n">
        <f aca="false">ROUND(9977*1.05,2)</f>
        <v>10475.85</v>
      </c>
      <c r="F277" s="6" t="s">
        <v>52</v>
      </c>
      <c r="G277" s="6" t="s">
        <v>24</v>
      </c>
      <c r="H277" s="6" t="n">
        <f aca="true">ROUND(RAND()*4+6,1)</f>
        <v>9.1</v>
      </c>
      <c r="I277" s="6" t="s">
        <v>25</v>
      </c>
      <c r="J277" s="6" t="str">
        <f aca="false">ROUND(84*1,0)&amp;"%"</f>
        <v>84%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4313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4314</v>
      </c>
      <c r="B282" s="5" t="s">
        <v>458</v>
      </c>
      <c r="C282" s="5" t="s">
        <v>76</v>
      </c>
      <c r="D282" s="5" t="s">
        <v>16</v>
      </c>
      <c r="E282" s="5" t="n">
        <f aca="false">ROUND(11952*1.05,2)</f>
        <v>12549.6</v>
      </c>
      <c r="F282" s="5" t="s">
        <v>17</v>
      </c>
      <c r="G282" s="5" t="s">
        <v>18</v>
      </c>
      <c r="H282" s="5" t="n">
        <f aca="true">ROUND(RAND()*4+6,1)</f>
        <v>9.4</v>
      </c>
      <c r="I282" s="5" t="s">
        <v>19</v>
      </c>
      <c r="J282" s="5" t="str">
        <f aca="false">ROUND(87*1,0)&amp;"%"</f>
        <v>87%</v>
      </c>
    </row>
    <row r="283" customFormat="false" ht="15" hidden="false" customHeight="false" outlineLevel="0" collapsed="false">
      <c r="A283" s="6" t="s">
        <v>4315</v>
      </c>
      <c r="B283" s="6" t="s">
        <v>460</v>
      </c>
      <c r="C283" s="6" t="s">
        <v>76</v>
      </c>
      <c r="D283" s="6" t="s">
        <v>22</v>
      </c>
      <c r="E283" s="6" t="n">
        <f aca="false">ROUND(6822*1.05,2)</f>
        <v>7163.1</v>
      </c>
      <c r="F283" s="6" t="s">
        <v>23</v>
      </c>
      <c r="G283" s="6" t="s">
        <v>24</v>
      </c>
      <c r="H283" s="6" t="n">
        <f aca="true">ROUND(RAND()*4+6,1)</f>
        <v>9.5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4316</v>
      </c>
      <c r="B284" s="5" t="s">
        <v>462</v>
      </c>
      <c r="C284" s="5" t="s">
        <v>76</v>
      </c>
      <c r="D284" s="5" t="s">
        <v>28</v>
      </c>
      <c r="E284" s="5" t="n">
        <f aca="false">ROUND(13765*1.05,2)</f>
        <v>14453.25</v>
      </c>
      <c r="F284" s="5" t="s">
        <v>29</v>
      </c>
      <c r="G284" s="5" t="s">
        <v>30</v>
      </c>
      <c r="H284" s="5" t="n">
        <f aca="true">ROUND(RAND()*4+6,1)</f>
        <v>6.2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4317</v>
      </c>
      <c r="B285" s="6" t="s">
        <v>464</v>
      </c>
      <c r="C285" s="6" t="s">
        <v>76</v>
      </c>
      <c r="D285" s="6" t="s">
        <v>34</v>
      </c>
      <c r="E285" s="6" t="n">
        <f aca="false">ROUND(11679*1.05,2)</f>
        <v>12262.95</v>
      </c>
      <c r="F285" s="6" t="s">
        <v>35</v>
      </c>
      <c r="G285" s="6" t="s">
        <v>18</v>
      </c>
      <c r="H285" s="6" t="n">
        <f aca="true">ROUND(RAND()*4+6,1)</f>
        <v>9.5</v>
      </c>
      <c r="I285" s="6" t="s">
        <v>36</v>
      </c>
      <c r="J285" s="6" t="str">
        <f aca="false">ROUND(76*1,0)&amp;"%"</f>
        <v>76%</v>
      </c>
    </row>
    <row r="286" customFormat="false" ht="15" hidden="false" customHeight="false" outlineLevel="0" collapsed="false">
      <c r="A286" s="5" t="s">
        <v>4318</v>
      </c>
      <c r="B286" s="5" t="s">
        <v>466</v>
      </c>
      <c r="C286" s="5" t="s">
        <v>76</v>
      </c>
      <c r="D286" s="5" t="s">
        <v>39</v>
      </c>
      <c r="E286" s="5" t="n">
        <f aca="false">ROUND(5739*1.05,2)</f>
        <v>6025.95</v>
      </c>
      <c r="F286" s="5" t="s">
        <v>40</v>
      </c>
      <c r="G286" s="5" t="s">
        <v>24</v>
      </c>
      <c r="H286" s="5" t="n">
        <f aca="true">ROUND(RAND()*4+6,1)</f>
        <v>7.6</v>
      </c>
      <c r="I286" s="5" t="s">
        <v>41</v>
      </c>
      <c r="J286" s="5" t="str">
        <f aca="false">ROUND(71*1,0)&amp;"%"</f>
        <v>71%</v>
      </c>
    </row>
    <row r="287" customFormat="false" ht="15" hidden="false" customHeight="false" outlineLevel="0" collapsed="false">
      <c r="A287" s="6" t="s">
        <v>4319</v>
      </c>
      <c r="B287" s="6" t="s">
        <v>468</v>
      </c>
      <c r="C287" s="6" t="s">
        <v>76</v>
      </c>
      <c r="D287" s="6" t="s">
        <v>44</v>
      </c>
      <c r="E287" s="6" t="n">
        <f aca="false">ROUND(8868*1.05,2)</f>
        <v>9311.4</v>
      </c>
      <c r="F287" s="6" t="s">
        <v>45</v>
      </c>
      <c r="G287" s="6" t="s">
        <v>30</v>
      </c>
      <c r="H287" s="6" t="n">
        <f aca="true">ROUND(RAND()*4+6,1)</f>
        <v>8.7</v>
      </c>
      <c r="I287" s="6" t="s">
        <v>46</v>
      </c>
      <c r="J287" s="6" t="str">
        <f aca="false">ROUND(90*1,0)&amp;"%"</f>
        <v>90%</v>
      </c>
    </row>
    <row r="288" customFormat="false" ht="15" hidden="false" customHeight="false" outlineLevel="0" collapsed="false">
      <c r="A288" s="5" t="s">
        <v>4320</v>
      </c>
      <c r="B288" s="5" t="s">
        <v>470</v>
      </c>
      <c r="C288" s="5" t="s">
        <v>76</v>
      </c>
      <c r="D288" s="5" t="s">
        <v>16</v>
      </c>
      <c r="E288" s="5" t="n">
        <f aca="false">ROUND(4355*1.05,2)</f>
        <v>4572.75</v>
      </c>
      <c r="F288" s="5" t="s">
        <v>49</v>
      </c>
      <c r="G288" s="5" t="s">
        <v>18</v>
      </c>
      <c r="H288" s="5" t="n">
        <f aca="true">ROUND(RAND()*4+6,1)</f>
        <v>8.4</v>
      </c>
      <c r="I288" s="5" t="s">
        <v>19</v>
      </c>
      <c r="J288" s="5" t="str">
        <f aca="false">ROUND(71*1,0)&amp;"%"</f>
        <v>71%</v>
      </c>
    </row>
    <row r="289" customFormat="false" ht="15" hidden="false" customHeight="false" outlineLevel="0" collapsed="false">
      <c r="A289" s="6" t="s">
        <v>4321</v>
      </c>
      <c r="B289" s="6" t="s">
        <v>472</v>
      </c>
      <c r="C289" s="6" t="s">
        <v>76</v>
      </c>
      <c r="D289" s="6" t="s">
        <v>22</v>
      </c>
      <c r="E289" s="6" t="n">
        <f aca="false">ROUND(12777*1.05,2)</f>
        <v>13415.85</v>
      </c>
      <c r="F289" s="6" t="s">
        <v>52</v>
      </c>
      <c r="G289" s="6" t="s">
        <v>24</v>
      </c>
      <c r="H289" s="6" t="n">
        <f aca="true">ROUND(RAND()*4+6,1)</f>
        <v>6.5</v>
      </c>
      <c r="I289" s="6" t="s">
        <v>25</v>
      </c>
      <c r="J289" s="6" t="str">
        <f aca="false">ROUND(81*1,0)&amp;"%"</f>
        <v>81%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4322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4323</v>
      </c>
      <c r="B294" s="5" t="s">
        <v>476</v>
      </c>
      <c r="C294" s="5" t="s">
        <v>95</v>
      </c>
      <c r="D294" s="5" t="s">
        <v>16</v>
      </c>
      <c r="E294" s="5" t="n">
        <f aca="false">ROUND(7764*1.05,2)</f>
        <v>8152.2</v>
      </c>
      <c r="F294" s="5" t="s">
        <v>17</v>
      </c>
      <c r="G294" s="5" t="s">
        <v>18</v>
      </c>
      <c r="H294" s="5" t="n">
        <f aca="true">ROUND(RAND()*4+6,1)</f>
        <v>8.5</v>
      </c>
      <c r="I294" s="5" t="s">
        <v>19</v>
      </c>
      <c r="J294" s="5" t="str">
        <f aca="false">ROUND(65*1,0)&amp;"%"</f>
        <v>65%</v>
      </c>
    </row>
    <row r="295" customFormat="false" ht="15" hidden="false" customHeight="false" outlineLevel="0" collapsed="false">
      <c r="A295" s="6" t="s">
        <v>4324</v>
      </c>
      <c r="B295" s="6" t="s">
        <v>478</v>
      </c>
      <c r="C295" s="6" t="s">
        <v>95</v>
      </c>
      <c r="D295" s="6" t="s">
        <v>22</v>
      </c>
      <c r="E295" s="6" t="n">
        <f aca="false">ROUND(17779*1.05,2)</f>
        <v>18667.95</v>
      </c>
      <c r="F295" s="6" t="s">
        <v>23</v>
      </c>
      <c r="G295" s="6" t="s">
        <v>24</v>
      </c>
      <c r="H295" s="6" t="n">
        <f aca="true">ROUND(RAND()*4+6,1)</f>
        <v>9.4</v>
      </c>
      <c r="I295" s="6" t="s">
        <v>25</v>
      </c>
      <c r="J295" s="6" t="str">
        <f aca="false">ROUND(86*1,0)&amp;"%"</f>
        <v>86%</v>
      </c>
    </row>
    <row r="296" customFormat="false" ht="15" hidden="false" customHeight="false" outlineLevel="0" collapsed="false">
      <c r="A296" s="5" t="s">
        <v>4325</v>
      </c>
      <c r="B296" s="5" t="s">
        <v>480</v>
      </c>
      <c r="C296" s="5" t="s">
        <v>95</v>
      </c>
      <c r="D296" s="5" t="s">
        <v>28</v>
      </c>
      <c r="E296" s="5" t="n">
        <f aca="false">ROUND(11879*1.05,2)</f>
        <v>12472.95</v>
      </c>
      <c r="F296" s="5" t="s">
        <v>29</v>
      </c>
      <c r="G296" s="5" t="s">
        <v>30</v>
      </c>
      <c r="H296" s="5" t="n">
        <f aca="true">ROUND(RAND()*4+6,1)</f>
        <v>9.2</v>
      </c>
      <c r="I296" s="5" t="s">
        <v>31</v>
      </c>
      <c r="J296" s="5" t="str">
        <f aca="false">ROUND(97*1,0)&amp;"%"</f>
        <v>97%</v>
      </c>
    </row>
    <row r="297" customFormat="false" ht="15" hidden="false" customHeight="false" outlineLevel="0" collapsed="false">
      <c r="A297" s="6" t="s">
        <v>4326</v>
      </c>
      <c r="B297" s="6" t="s">
        <v>482</v>
      </c>
      <c r="C297" s="6" t="s">
        <v>95</v>
      </c>
      <c r="D297" s="6" t="s">
        <v>34</v>
      </c>
      <c r="E297" s="6" t="n">
        <f aca="false">ROUND(6971*1.05,2)</f>
        <v>7319.55</v>
      </c>
      <c r="F297" s="6" t="s">
        <v>35</v>
      </c>
      <c r="G297" s="6" t="s">
        <v>18</v>
      </c>
      <c r="H297" s="6" t="n">
        <f aca="true">ROUND(RAND()*4+6,1)</f>
        <v>7.7</v>
      </c>
      <c r="I297" s="6" t="s">
        <v>36</v>
      </c>
      <c r="J297" s="6" t="str">
        <f aca="false">ROUND(94*1,0)&amp;"%"</f>
        <v>94%</v>
      </c>
    </row>
    <row r="298" customFormat="false" ht="15" hidden="false" customHeight="false" outlineLevel="0" collapsed="false">
      <c r="A298" s="5" t="s">
        <v>4327</v>
      </c>
      <c r="B298" s="5" t="s">
        <v>484</v>
      </c>
      <c r="C298" s="5" t="s">
        <v>95</v>
      </c>
      <c r="D298" s="5" t="s">
        <v>39</v>
      </c>
      <c r="E298" s="5" t="n">
        <f aca="false">ROUND(10746*1.05,2)</f>
        <v>11283.3</v>
      </c>
      <c r="F298" s="5" t="s">
        <v>40</v>
      </c>
      <c r="G298" s="5" t="s">
        <v>24</v>
      </c>
      <c r="H298" s="5" t="n">
        <f aca="true">ROUND(RAND()*4+6,1)</f>
        <v>8</v>
      </c>
      <c r="I298" s="5" t="s">
        <v>41</v>
      </c>
      <c r="J298" s="5" t="str">
        <f aca="false">ROUND(60*1,0)&amp;"%"</f>
        <v>60%</v>
      </c>
    </row>
    <row r="299" customFormat="false" ht="15" hidden="false" customHeight="false" outlineLevel="0" collapsed="false">
      <c r="A299" s="6" t="s">
        <v>4328</v>
      </c>
      <c r="B299" s="6" t="s">
        <v>486</v>
      </c>
      <c r="C299" s="6" t="s">
        <v>95</v>
      </c>
      <c r="D299" s="6" t="s">
        <v>44</v>
      </c>
      <c r="E299" s="6" t="n">
        <f aca="false">ROUND(7878*1.05,2)</f>
        <v>8271.9</v>
      </c>
      <c r="F299" s="6" t="s">
        <v>45</v>
      </c>
      <c r="G299" s="6" t="s">
        <v>30</v>
      </c>
      <c r="H299" s="6" t="n">
        <f aca="true">ROUND(RAND()*4+6,1)</f>
        <v>9</v>
      </c>
      <c r="I299" s="6" t="s">
        <v>46</v>
      </c>
      <c r="J299" s="6" t="str">
        <f aca="false">ROUND(89*1,0)&amp;"%"</f>
        <v>89%</v>
      </c>
    </row>
    <row r="300" customFormat="false" ht="15" hidden="false" customHeight="false" outlineLevel="0" collapsed="false">
      <c r="A300" s="5" t="s">
        <v>4329</v>
      </c>
      <c r="B300" s="5" t="s">
        <v>488</v>
      </c>
      <c r="C300" s="5" t="s">
        <v>95</v>
      </c>
      <c r="D300" s="5" t="s">
        <v>16</v>
      </c>
      <c r="E300" s="5" t="n">
        <f aca="false">ROUND(15235*1.05,2)</f>
        <v>15996.75</v>
      </c>
      <c r="F300" s="5" t="s">
        <v>49</v>
      </c>
      <c r="G300" s="5" t="s">
        <v>18</v>
      </c>
      <c r="H300" s="5" t="n">
        <f aca="true">ROUND(RAND()*4+6,1)</f>
        <v>9.5</v>
      </c>
      <c r="I300" s="5" t="s">
        <v>19</v>
      </c>
      <c r="J300" s="5" t="str">
        <f aca="false">ROUND(92*1,0)&amp;"%"</f>
        <v>92%</v>
      </c>
    </row>
    <row r="301" customFormat="false" ht="15" hidden="false" customHeight="false" outlineLevel="0" collapsed="false">
      <c r="A301" s="6" t="s">
        <v>4330</v>
      </c>
      <c r="B301" s="6" t="s">
        <v>490</v>
      </c>
      <c r="C301" s="6" t="s">
        <v>95</v>
      </c>
      <c r="D301" s="6" t="s">
        <v>22</v>
      </c>
      <c r="E301" s="6" t="n">
        <f aca="false">ROUND(5449*1.05,2)</f>
        <v>5721.45</v>
      </c>
      <c r="F301" s="6" t="s">
        <v>52</v>
      </c>
      <c r="G301" s="6" t="s">
        <v>24</v>
      </c>
      <c r="H301" s="6" t="n">
        <f aca="true">ROUND(RAND()*4+6,1)</f>
        <v>6.2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4331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4332</v>
      </c>
      <c r="B306" s="5" t="s">
        <v>494</v>
      </c>
      <c r="C306" s="5" t="s">
        <v>114</v>
      </c>
      <c r="D306" s="5" t="s">
        <v>16</v>
      </c>
      <c r="E306" s="5" t="n">
        <f aca="false">ROUND(12309*1.05,2)</f>
        <v>12924.45</v>
      </c>
      <c r="F306" s="5" t="s">
        <v>17</v>
      </c>
      <c r="G306" s="5" t="s">
        <v>18</v>
      </c>
      <c r="H306" s="5" t="n">
        <f aca="true">ROUND(RAND()*4+6,1)</f>
        <v>9.6</v>
      </c>
      <c r="I306" s="5" t="s">
        <v>19</v>
      </c>
      <c r="J306" s="5" t="str">
        <f aca="false">ROUND(62*1,0)&amp;"%"</f>
        <v>62%</v>
      </c>
    </row>
    <row r="307" customFormat="false" ht="15" hidden="false" customHeight="false" outlineLevel="0" collapsed="false">
      <c r="A307" s="6" t="s">
        <v>4333</v>
      </c>
      <c r="B307" s="6" t="s">
        <v>496</v>
      </c>
      <c r="C307" s="6" t="s">
        <v>114</v>
      </c>
      <c r="D307" s="6" t="s">
        <v>22</v>
      </c>
      <c r="E307" s="6" t="n">
        <f aca="false">ROUND(6203*1.05,2)</f>
        <v>6513.15</v>
      </c>
      <c r="F307" s="6" t="s">
        <v>23</v>
      </c>
      <c r="G307" s="6" t="s">
        <v>24</v>
      </c>
      <c r="H307" s="6" t="n">
        <f aca="true">ROUND(RAND()*4+6,1)</f>
        <v>7</v>
      </c>
      <c r="I307" s="6" t="s">
        <v>25</v>
      </c>
      <c r="J307" s="6" t="str">
        <f aca="false">ROUND(78*1,0)&amp;"%"</f>
        <v>78%</v>
      </c>
    </row>
    <row r="308" customFormat="false" ht="15" hidden="false" customHeight="false" outlineLevel="0" collapsed="false">
      <c r="A308" s="5" t="s">
        <v>4334</v>
      </c>
      <c r="B308" s="5" t="s">
        <v>498</v>
      </c>
      <c r="C308" s="5" t="s">
        <v>114</v>
      </c>
      <c r="D308" s="5" t="s">
        <v>28</v>
      </c>
      <c r="E308" s="5" t="n">
        <f aca="false">ROUND(5446*1.05,2)</f>
        <v>5718.3</v>
      </c>
      <c r="F308" s="5" t="s">
        <v>29</v>
      </c>
      <c r="G308" s="5" t="s">
        <v>30</v>
      </c>
      <c r="H308" s="5" t="n">
        <f aca="true">ROUND(RAND()*4+6,1)</f>
        <v>9.9</v>
      </c>
      <c r="I308" s="5" t="s">
        <v>31</v>
      </c>
      <c r="J308" s="5" t="str">
        <f aca="false">ROUND(99*1,0)&amp;"%"</f>
        <v>99%</v>
      </c>
    </row>
    <row r="309" customFormat="false" ht="15" hidden="false" customHeight="false" outlineLevel="0" collapsed="false">
      <c r="A309" s="6" t="s">
        <v>4335</v>
      </c>
      <c r="B309" s="6" t="s">
        <v>500</v>
      </c>
      <c r="C309" s="6" t="s">
        <v>114</v>
      </c>
      <c r="D309" s="6" t="s">
        <v>34</v>
      </c>
      <c r="E309" s="6" t="n">
        <f aca="false">ROUND(8548*1.05,2)</f>
        <v>8975.4</v>
      </c>
      <c r="F309" s="6" t="s">
        <v>35</v>
      </c>
      <c r="G309" s="6" t="s">
        <v>18</v>
      </c>
      <c r="H309" s="6" t="n">
        <f aca="true">ROUND(RAND()*4+6,1)</f>
        <v>6.8</v>
      </c>
      <c r="I309" s="6" t="s">
        <v>36</v>
      </c>
      <c r="J309" s="6" t="str">
        <f aca="false">ROUND(69*1,0)&amp;"%"</f>
        <v>69%</v>
      </c>
    </row>
    <row r="310" customFormat="false" ht="15" hidden="false" customHeight="false" outlineLevel="0" collapsed="false">
      <c r="A310" s="5" t="s">
        <v>4336</v>
      </c>
      <c r="B310" s="5" t="s">
        <v>502</v>
      </c>
      <c r="C310" s="5" t="s">
        <v>114</v>
      </c>
      <c r="D310" s="5" t="s">
        <v>39</v>
      </c>
      <c r="E310" s="5" t="n">
        <f aca="false">ROUND(9016*1.05,2)</f>
        <v>9466.8</v>
      </c>
      <c r="F310" s="5" t="s">
        <v>40</v>
      </c>
      <c r="G310" s="5" t="s">
        <v>24</v>
      </c>
      <c r="H310" s="5" t="n">
        <f aca="true">ROUND(RAND()*4+6,1)</f>
        <v>9.5</v>
      </c>
      <c r="I310" s="5" t="s">
        <v>41</v>
      </c>
      <c r="J310" s="5" t="str">
        <f aca="false">ROUND(87*1,0)&amp;"%"</f>
        <v>87%</v>
      </c>
    </row>
    <row r="311" customFormat="false" ht="15" hidden="false" customHeight="false" outlineLevel="0" collapsed="false">
      <c r="A311" s="6" t="s">
        <v>4337</v>
      </c>
      <c r="B311" s="6" t="s">
        <v>504</v>
      </c>
      <c r="C311" s="6" t="s">
        <v>114</v>
      </c>
      <c r="D311" s="6" t="s">
        <v>44</v>
      </c>
      <c r="E311" s="6" t="n">
        <f aca="false">ROUND(7217*1.05,2)</f>
        <v>7577.85</v>
      </c>
      <c r="F311" s="6" t="s">
        <v>45</v>
      </c>
      <c r="G311" s="6" t="s">
        <v>30</v>
      </c>
      <c r="H311" s="6" t="n">
        <f aca="true">ROUND(RAND()*4+6,1)</f>
        <v>8.3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4338</v>
      </c>
      <c r="B312" s="5" t="s">
        <v>506</v>
      </c>
      <c r="C312" s="5" t="s">
        <v>114</v>
      </c>
      <c r="D312" s="5" t="s">
        <v>16</v>
      </c>
      <c r="E312" s="5" t="n">
        <f aca="false">ROUND(13581*1.05,2)</f>
        <v>14260.05</v>
      </c>
      <c r="F312" s="5" t="s">
        <v>49</v>
      </c>
      <c r="G312" s="5" t="s">
        <v>18</v>
      </c>
      <c r="H312" s="5" t="n">
        <f aca="true">ROUND(RAND()*4+6,1)</f>
        <v>6.3</v>
      </c>
      <c r="I312" s="5" t="s">
        <v>19</v>
      </c>
      <c r="J312" s="5" t="str">
        <f aca="false">ROUND(74*1,0)&amp;"%"</f>
        <v>74%</v>
      </c>
    </row>
    <row r="313" customFormat="false" ht="15" hidden="false" customHeight="false" outlineLevel="0" collapsed="false">
      <c r="A313" s="6" t="s">
        <v>4339</v>
      </c>
      <c r="B313" s="6" t="s">
        <v>508</v>
      </c>
      <c r="C313" s="6" t="s">
        <v>114</v>
      </c>
      <c r="D313" s="6" t="s">
        <v>22</v>
      </c>
      <c r="E313" s="6" t="n">
        <f aca="false">ROUND(11870*1.05,2)</f>
        <v>12463.5</v>
      </c>
      <c r="F313" s="6" t="s">
        <v>52</v>
      </c>
      <c r="G313" s="6" t="s">
        <v>24</v>
      </c>
      <c r="H313" s="6" t="n">
        <f aca="true">ROUND(RAND()*4+6,1)</f>
        <v>7.3</v>
      </c>
      <c r="I313" s="6" t="s">
        <v>25</v>
      </c>
      <c r="J313" s="6" t="str">
        <f aca="false">ROUND(68*1,0)&amp;"%"</f>
        <v>68%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4340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4341</v>
      </c>
      <c r="B318" s="5" t="s">
        <v>512</v>
      </c>
      <c r="C318" s="5" t="s">
        <v>133</v>
      </c>
      <c r="D318" s="5" t="s">
        <v>16</v>
      </c>
      <c r="E318" s="5" t="n">
        <f aca="false">ROUND(16744*1.05,2)</f>
        <v>17581.2</v>
      </c>
      <c r="F318" s="5" t="s">
        <v>17</v>
      </c>
      <c r="G318" s="5" t="s">
        <v>18</v>
      </c>
      <c r="H318" s="5" t="n">
        <f aca="true">ROUND(RAND()*4+6,1)</f>
        <v>8.3</v>
      </c>
      <c r="I318" s="5" t="s">
        <v>19</v>
      </c>
      <c r="J318" s="5" t="str">
        <f aca="false">ROUND(75*1,0)&amp;"%"</f>
        <v>75%</v>
      </c>
    </row>
    <row r="319" customFormat="false" ht="15" hidden="false" customHeight="false" outlineLevel="0" collapsed="false">
      <c r="A319" s="6" t="s">
        <v>4342</v>
      </c>
      <c r="B319" s="6" t="s">
        <v>514</v>
      </c>
      <c r="C319" s="6" t="s">
        <v>133</v>
      </c>
      <c r="D319" s="6" t="s">
        <v>22</v>
      </c>
      <c r="E319" s="6" t="n">
        <f aca="false">ROUND(15525*1.05,2)</f>
        <v>16301.25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ROUND(81*1,0)&amp;"%"</f>
        <v>81%</v>
      </c>
    </row>
    <row r="320" customFormat="false" ht="15" hidden="false" customHeight="false" outlineLevel="0" collapsed="false">
      <c r="A320" s="5" t="s">
        <v>4343</v>
      </c>
      <c r="B320" s="5" t="s">
        <v>516</v>
      </c>
      <c r="C320" s="5" t="s">
        <v>133</v>
      </c>
      <c r="D320" s="5" t="s">
        <v>28</v>
      </c>
      <c r="E320" s="5" t="n">
        <f aca="false">ROUND(5908*1.05,2)</f>
        <v>6203.4</v>
      </c>
      <c r="F320" s="5" t="s">
        <v>29</v>
      </c>
      <c r="G320" s="5" t="s">
        <v>30</v>
      </c>
      <c r="H320" s="5" t="n">
        <f aca="true">ROUND(RAND()*4+6,1)</f>
        <v>9.3</v>
      </c>
      <c r="I320" s="5" t="s">
        <v>31</v>
      </c>
      <c r="J320" s="5" t="str">
        <f aca="false">ROUND(63*1,0)&amp;"%"</f>
        <v>63%</v>
      </c>
    </row>
    <row r="321" customFormat="false" ht="15" hidden="false" customHeight="false" outlineLevel="0" collapsed="false">
      <c r="A321" s="6" t="s">
        <v>4344</v>
      </c>
      <c r="B321" s="6" t="s">
        <v>518</v>
      </c>
      <c r="C321" s="6" t="s">
        <v>133</v>
      </c>
      <c r="D321" s="6" t="s">
        <v>34</v>
      </c>
      <c r="E321" s="6" t="n">
        <f aca="false">ROUND(17990*1.05,2)</f>
        <v>18889.5</v>
      </c>
      <c r="F321" s="6" t="s">
        <v>35</v>
      </c>
      <c r="G321" s="6" t="s">
        <v>18</v>
      </c>
      <c r="H321" s="6" t="n">
        <f aca="true">ROUND(RAND()*4+6,1)</f>
        <v>6.4</v>
      </c>
      <c r="I321" s="6" t="s">
        <v>36</v>
      </c>
      <c r="J321" s="6" t="str">
        <f aca="false">ROUND(76*1,0)&amp;"%"</f>
        <v>76%</v>
      </c>
    </row>
    <row r="322" customFormat="false" ht="15" hidden="false" customHeight="false" outlineLevel="0" collapsed="false">
      <c r="A322" s="5" t="s">
        <v>4345</v>
      </c>
      <c r="B322" s="5" t="s">
        <v>520</v>
      </c>
      <c r="C322" s="5" t="s">
        <v>133</v>
      </c>
      <c r="D322" s="5" t="s">
        <v>39</v>
      </c>
      <c r="E322" s="5" t="n">
        <f aca="false">ROUND(7856*1.05,2)</f>
        <v>8248.8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ROUND(83*1,0)&amp;"%"</f>
        <v>83%</v>
      </c>
    </row>
    <row r="323" customFormat="false" ht="15" hidden="false" customHeight="false" outlineLevel="0" collapsed="false">
      <c r="A323" s="6" t="s">
        <v>4346</v>
      </c>
      <c r="B323" s="6" t="s">
        <v>522</v>
      </c>
      <c r="C323" s="6" t="s">
        <v>133</v>
      </c>
      <c r="D323" s="6" t="s">
        <v>44</v>
      </c>
      <c r="E323" s="6" t="n">
        <f aca="false">ROUND(5174*1.05,2)</f>
        <v>5432.7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ROUND(99*1,0)&amp;"%"</f>
        <v>99%</v>
      </c>
    </row>
    <row r="324" customFormat="false" ht="15" hidden="false" customHeight="false" outlineLevel="0" collapsed="false">
      <c r="A324" s="5" t="s">
        <v>4347</v>
      </c>
      <c r="B324" s="5" t="s">
        <v>524</v>
      </c>
      <c r="C324" s="5" t="s">
        <v>133</v>
      </c>
      <c r="D324" s="5" t="s">
        <v>16</v>
      </c>
      <c r="E324" s="5" t="n">
        <f aca="false">ROUND(15657*1.05,2)</f>
        <v>16439.85</v>
      </c>
      <c r="F324" s="5" t="s">
        <v>49</v>
      </c>
      <c r="G324" s="5" t="s">
        <v>18</v>
      </c>
      <c r="H324" s="5" t="n">
        <f aca="true">ROUND(RAND()*4+6,1)</f>
        <v>7.6</v>
      </c>
      <c r="I324" s="5" t="s">
        <v>19</v>
      </c>
      <c r="J324" s="5" t="str">
        <f aca="false">ROUND(93*1,0)&amp;"%"</f>
        <v>93%</v>
      </c>
    </row>
    <row r="325" customFormat="false" ht="15" hidden="false" customHeight="false" outlineLevel="0" collapsed="false">
      <c r="A325" s="6" t="s">
        <v>4348</v>
      </c>
      <c r="B325" s="6" t="s">
        <v>526</v>
      </c>
      <c r="C325" s="6" t="s">
        <v>133</v>
      </c>
      <c r="D325" s="6" t="s">
        <v>22</v>
      </c>
      <c r="E325" s="6" t="n">
        <f aca="false">ROUND(7840*1.05,2)</f>
        <v>8232</v>
      </c>
      <c r="F325" s="6" t="s">
        <v>52</v>
      </c>
      <c r="G325" s="6" t="s">
        <v>24</v>
      </c>
      <c r="H325" s="6" t="n">
        <f aca="true">ROUND(RAND()*4+6,1)</f>
        <v>8.3</v>
      </c>
      <c r="I325" s="6" t="s">
        <v>25</v>
      </c>
      <c r="J325" s="6" t="str">
        <f aca="false">ROUND(70*1,0)&amp;"%"</f>
        <v>70%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4349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4350</v>
      </c>
      <c r="B330" s="5" t="s">
        <v>530</v>
      </c>
      <c r="C330" s="5" t="s">
        <v>152</v>
      </c>
      <c r="D330" s="5" t="s">
        <v>16</v>
      </c>
      <c r="E330" s="5" t="n">
        <f aca="false">ROUND(10088*1.05,2)</f>
        <v>10592.4</v>
      </c>
      <c r="F330" s="5" t="s">
        <v>17</v>
      </c>
      <c r="G330" s="5" t="s">
        <v>18</v>
      </c>
      <c r="H330" s="5" t="n">
        <f aca="true">ROUND(RAND()*4+6,1)</f>
        <v>6.2</v>
      </c>
      <c r="I330" s="5" t="s">
        <v>19</v>
      </c>
      <c r="J330" s="5" t="str">
        <f aca="false">ROUND(79*1,0)&amp;"%"</f>
        <v>79%</v>
      </c>
    </row>
    <row r="331" customFormat="false" ht="15" hidden="false" customHeight="false" outlineLevel="0" collapsed="false">
      <c r="A331" s="6" t="s">
        <v>4351</v>
      </c>
      <c r="B331" s="6" t="s">
        <v>532</v>
      </c>
      <c r="C331" s="6" t="s">
        <v>152</v>
      </c>
      <c r="D331" s="6" t="s">
        <v>22</v>
      </c>
      <c r="E331" s="6" t="n">
        <f aca="false">ROUND(11047*1.05,2)</f>
        <v>11599.35</v>
      </c>
      <c r="F331" s="6" t="s">
        <v>23</v>
      </c>
      <c r="G331" s="6" t="s">
        <v>24</v>
      </c>
      <c r="H331" s="6" t="n">
        <f aca="true">ROUND(RAND()*4+6,1)</f>
        <v>6.8</v>
      </c>
      <c r="I331" s="6" t="s">
        <v>25</v>
      </c>
      <c r="J331" s="6" t="str">
        <f aca="false">ROUND(64*1,0)&amp;"%"</f>
        <v>64%</v>
      </c>
    </row>
    <row r="332" customFormat="false" ht="15" hidden="false" customHeight="false" outlineLevel="0" collapsed="false">
      <c r="A332" s="5" t="s">
        <v>4352</v>
      </c>
      <c r="B332" s="5" t="s">
        <v>534</v>
      </c>
      <c r="C332" s="5" t="s">
        <v>152</v>
      </c>
      <c r="D332" s="5" t="s">
        <v>28</v>
      </c>
      <c r="E332" s="5" t="n">
        <f aca="false">ROUND(8201*1.05,2)</f>
        <v>8611.05</v>
      </c>
      <c r="F332" s="5" t="s">
        <v>29</v>
      </c>
      <c r="G332" s="5" t="s">
        <v>30</v>
      </c>
      <c r="H332" s="5" t="n">
        <f aca="true">ROUND(RAND()*4+6,1)</f>
        <v>7.6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4353</v>
      </c>
      <c r="B333" s="6" t="s">
        <v>536</v>
      </c>
      <c r="C333" s="6" t="s">
        <v>152</v>
      </c>
      <c r="D333" s="6" t="s">
        <v>34</v>
      </c>
      <c r="E333" s="6" t="n">
        <f aca="false">ROUND(8515*1.05,2)</f>
        <v>8940.75</v>
      </c>
      <c r="F333" s="6" t="s">
        <v>35</v>
      </c>
      <c r="G333" s="6" t="s">
        <v>18</v>
      </c>
      <c r="H333" s="6" t="n">
        <f aca="true">ROUND(RAND()*4+6,1)</f>
        <v>6.6</v>
      </c>
      <c r="I333" s="6" t="s">
        <v>36</v>
      </c>
      <c r="J333" s="6" t="str">
        <f aca="false">ROUND(96*1,0)&amp;"%"</f>
        <v>96%</v>
      </c>
    </row>
    <row r="334" customFormat="false" ht="15" hidden="false" customHeight="false" outlineLevel="0" collapsed="false">
      <c r="A334" s="5" t="s">
        <v>4354</v>
      </c>
      <c r="B334" s="5" t="s">
        <v>538</v>
      </c>
      <c r="C334" s="5" t="s">
        <v>152</v>
      </c>
      <c r="D334" s="5" t="s">
        <v>39</v>
      </c>
      <c r="E334" s="5" t="n">
        <f aca="false">ROUND(5350*1.05,2)</f>
        <v>5617.5</v>
      </c>
      <c r="F334" s="5" t="s">
        <v>40</v>
      </c>
      <c r="G334" s="5" t="s">
        <v>24</v>
      </c>
      <c r="H334" s="5" t="n">
        <f aca="true">ROUND(RAND()*4+6,1)</f>
        <v>6.5</v>
      </c>
      <c r="I334" s="5" t="s">
        <v>41</v>
      </c>
      <c r="J334" s="5" t="str">
        <f aca="false">ROUND(96*1,0)&amp;"%"</f>
        <v>96%</v>
      </c>
    </row>
    <row r="335" customFormat="false" ht="15" hidden="false" customHeight="false" outlineLevel="0" collapsed="false">
      <c r="A335" s="6" t="s">
        <v>4355</v>
      </c>
      <c r="B335" s="6" t="s">
        <v>540</v>
      </c>
      <c r="C335" s="6" t="s">
        <v>152</v>
      </c>
      <c r="D335" s="6" t="s">
        <v>44</v>
      </c>
      <c r="E335" s="6" t="n">
        <f aca="false">ROUND(16485*1.05,2)</f>
        <v>17309.25</v>
      </c>
      <c r="F335" s="6" t="s">
        <v>45</v>
      </c>
      <c r="G335" s="6" t="s">
        <v>30</v>
      </c>
      <c r="H335" s="6" t="n">
        <f aca="true">ROUND(RAND()*4+6,1)</f>
        <v>6.6</v>
      </c>
      <c r="I335" s="6" t="s">
        <v>46</v>
      </c>
      <c r="J335" s="6" t="str">
        <f aca="false">ROUND(70*1,0)&amp;"%"</f>
        <v>70%</v>
      </c>
    </row>
    <row r="336" customFormat="false" ht="15" hidden="false" customHeight="false" outlineLevel="0" collapsed="false">
      <c r="A336" s="5" t="s">
        <v>4356</v>
      </c>
      <c r="B336" s="5" t="s">
        <v>542</v>
      </c>
      <c r="C336" s="5" t="s">
        <v>152</v>
      </c>
      <c r="D336" s="5" t="s">
        <v>16</v>
      </c>
      <c r="E336" s="5" t="n">
        <f aca="false">ROUND(7405*1.05,2)</f>
        <v>7775.25</v>
      </c>
      <c r="F336" s="5" t="s">
        <v>49</v>
      </c>
      <c r="G336" s="5" t="s">
        <v>18</v>
      </c>
      <c r="H336" s="5" t="n">
        <f aca="true">ROUND(RAND()*4+6,1)</f>
        <v>10</v>
      </c>
      <c r="I336" s="5" t="s">
        <v>19</v>
      </c>
      <c r="J336" s="5" t="str">
        <f aca="false">ROUND(84*1,0)&amp;"%"</f>
        <v>84%</v>
      </c>
    </row>
    <row r="337" customFormat="false" ht="15" hidden="false" customHeight="false" outlineLevel="0" collapsed="false">
      <c r="A337" s="6" t="s">
        <v>4357</v>
      </c>
      <c r="B337" s="6" t="s">
        <v>544</v>
      </c>
      <c r="C337" s="6" t="s">
        <v>152</v>
      </c>
      <c r="D337" s="6" t="s">
        <v>22</v>
      </c>
      <c r="E337" s="6" t="n">
        <f aca="false">ROUND(9530*1.05,2)</f>
        <v>10006.5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ROUND(84*1,0)&amp;"%"</f>
        <v>84%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4358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4359</v>
      </c>
      <c r="B342" s="5" t="s">
        <v>548</v>
      </c>
      <c r="C342" s="5" t="s">
        <v>15</v>
      </c>
      <c r="D342" s="5" t="s">
        <v>16</v>
      </c>
      <c r="E342" s="5" t="n">
        <f aca="false">ROUND(13738*1.05,2)</f>
        <v>14424.9</v>
      </c>
      <c r="F342" s="5" t="s">
        <v>17</v>
      </c>
      <c r="G342" s="5" t="s">
        <v>18</v>
      </c>
      <c r="H342" s="5" t="n">
        <f aca="true">ROUND(RAND()*4+6,1)</f>
        <v>7.2</v>
      </c>
      <c r="I342" s="5" t="s">
        <v>19</v>
      </c>
      <c r="J342" s="5" t="str">
        <f aca="false">ROUND(84*1,0)&amp;"%"</f>
        <v>84%</v>
      </c>
    </row>
    <row r="343" customFormat="false" ht="15" hidden="false" customHeight="false" outlineLevel="0" collapsed="false">
      <c r="A343" s="6" t="s">
        <v>4360</v>
      </c>
      <c r="B343" s="6" t="s">
        <v>550</v>
      </c>
      <c r="C343" s="6" t="s">
        <v>15</v>
      </c>
      <c r="D343" s="6" t="s">
        <v>22</v>
      </c>
      <c r="E343" s="6" t="n">
        <f aca="false">ROUND(6522*1.05,2)</f>
        <v>6848.1</v>
      </c>
      <c r="F343" s="6" t="s">
        <v>23</v>
      </c>
      <c r="G343" s="6" t="s">
        <v>24</v>
      </c>
      <c r="H343" s="6" t="n">
        <f aca="true">ROUND(RAND()*4+6,1)</f>
        <v>8.7</v>
      </c>
      <c r="I343" s="6" t="s">
        <v>25</v>
      </c>
      <c r="J343" s="6" t="str">
        <f aca="false">ROUND(64*1,0)&amp;"%"</f>
        <v>64%</v>
      </c>
    </row>
    <row r="344" customFormat="false" ht="15" hidden="false" customHeight="false" outlineLevel="0" collapsed="false">
      <c r="A344" s="5" t="s">
        <v>4361</v>
      </c>
      <c r="B344" s="5" t="s">
        <v>552</v>
      </c>
      <c r="C344" s="5" t="s">
        <v>15</v>
      </c>
      <c r="D344" s="5" t="s">
        <v>28</v>
      </c>
      <c r="E344" s="5" t="n">
        <f aca="false">ROUND(13740*1.05,2)</f>
        <v>14427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ROUND(72*1,0)&amp;"%"</f>
        <v>72%</v>
      </c>
    </row>
    <row r="345" customFormat="false" ht="15" hidden="false" customHeight="false" outlineLevel="0" collapsed="false">
      <c r="A345" s="6" t="s">
        <v>4362</v>
      </c>
      <c r="B345" s="6" t="s">
        <v>554</v>
      </c>
      <c r="C345" s="6" t="s">
        <v>15</v>
      </c>
      <c r="D345" s="6" t="s">
        <v>34</v>
      </c>
      <c r="E345" s="6" t="n">
        <f aca="false">ROUND(12487*1.05,2)</f>
        <v>13111.35</v>
      </c>
      <c r="F345" s="6" t="s">
        <v>35</v>
      </c>
      <c r="G345" s="6" t="s">
        <v>18</v>
      </c>
      <c r="H345" s="6" t="n">
        <f aca="true">ROUND(RAND()*4+6,1)</f>
        <v>8.1</v>
      </c>
      <c r="I345" s="6" t="s">
        <v>36</v>
      </c>
      <c r="J345" s="6" t="str">
        <f aca="false">ROUND(87*1,0)&amp;"%"</f>
        <v>87%</v>
      </c>
    </row>
    <row r="346" customFormat="false" ht="15" hidden="false" customHeight="false" outlineLevel="0" collapsed="false">
      <c r="A346" s="5" t="s">
        <v>4363</v>
      </c>
      <c r="B346" s="5" t="s">
        <v>556</v>
      </c>
      <c r="C346" s="5" t="s">
        <v>15</v>
      </c>
      <c r="D346" s="5" t="s">
        <v>39</v>
      </c>
      <c r="E346" s="5" t="n">
        <f aca="false">ROUND(7858*1.05,2)</f>
        <v>8250.9</v>
      </c>
      <c r="F346" s="5" t="s">
        <v>40</v>
      </c>
      <c r="G346" s="5" t="s">
        <v>24</v>
      </c>
      <c r="H346" s="5" t="n">
        <f aca="true">ROUND(RAND()*4+6,1)</f>
        <v>6.1</v>
      </c>
      <c r="I346" s="5" t="s">
        <v>41</v>
      </c>
      <c r="J346" s="5" t="str">
        <f aca="false">ROUND(68*1,0)&amp;"%"</f>
        <v>68%</v>
      </c>
    </row>
    <row r="347" customFormat="false" ht="15" hidden="false" customHeight="false" outlineLevel="0" collapsed="false">
      <c r="A347" s="6" t="s">
        <v>4364</v>
      </c>
      <c r="B347" s="6" t="s">
        <v>558</v>
      </c>
      <c r="C347" s="6" t="s">
        <v>15</v>
      </c>
      <c r="D347" s="6" t="s">
        <v>44</v>
      </c>
      <c r="E347" s="6" t="n">
        <f aca="false">ROUND(5398*1.05,2)</f>
        <v>5667.9</v>
      </c>
      <c r="F347" s="6" t="s">
        <v>45</v>
      </c>
      <c r="G347" s="6" t="s">
        <v>30</v>
      </c>
      <c r="H347" s="6" t="n">
        <f aca="true">ROUND(RAND()*4+6,1)</f>
        <v>7.7</v>
      </c>
      <c r="I347" s="6" t="s">
        <v>46</v>
      </c>
      <c r="J347" s="6" t="str">
        <f aca="false">ROUND(78*1,0)&amp;"%"</f>
        <v>78%</v>
      </c>
    </row>
    <row r="348" customFormat="false" ht="15" hidden="false" customHeight="false" outlineLevel="0" collapsed="false">
      <c r="A348" s="5" t="s">
        <v>4365</v>
      </c>
      <c r="B348" s="5" t="s">
        <v>560</v>
      </c>
      <c r="C348" s="5" t="s">
        <v>15</v>
      </c>
      <c r="D348" s="5" t="s">
        <v>16</v>
      </c>
      <c r="E348" s="5" t="n">
        <f aca="false">ROUND(14887*1.05,2)</f>
        <v>15631.35</v>
      </c>
      <c r="F348" s="5" t="s">
        <v>49</v>
      </c>
      <c r="G348" s="5" t="s">
        <v>18</v>
      </c>
      <c r="H348" s="5" t="n">
        <f aca="true">ROUND(RAND()*4+6,1)</f>
        <v>8.1</v>
      </c>
      <c r="I348" s="5" t="s">
        <v>19</v>
      </c>
      <c r="J348" s="5" t="str">
        <f aca="false">ROUND(72*1,0)&amp;"%"</f>
        <v>72%</v>
      </c>
    </row>
    <row r="349" customFormat="false" ht="15" hidden="false" customHeight="false" outlineLevel="0" collapsed="false">
      <c r="A349" s="6" t="s">
        <v>4366</v>
      </c>
      <c r="B349" s="6" t="s">
        <v>562</v>
      </c>
      <c r="C349" s="6" t="s">
        <v>15</v>
      </c>
      <c r="D349" s="6" t="s">
        <v>22</v>
      </c>
      <c r="E349" s="6" t="n">
        <f aca="false">ROUND(13083*1.05,2)</f>
        <v>13737.15</v>
      </c>
      <c r="F349" s="6" t="s">
        <v>52</v>
      </c>
      <c r="G349" s="6" t="s">
        <v>24</v>
      </c>
      <c r="H349" s="6" t="n">
        <f aca="true">ROUND(RAND()*4+6,1)</f>
        <v>9</v>
      </c>
      <c r="I349" s="6" t="s">
        <v>25</v>
      </c>
      <c r="J349" s="6" t="str">
        <f aca="false">ROUND(77*1,0)&amp;"%"</f>
        <v>77%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4367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4368</v>
      </c>
      <c r="B354" s="5" t="s">
        <v>566</v>
      </c>
      <c r="C354" s="5" t="s">
        <v>57</v>
      </c>
      <c r="D354" s="5" t="s">
        <v>16</v>
      </c>
      <c r="E354" s="5" t="n">
        <f aca="false">ROUND(10264*1.05,2)</f>
        <v>10777.2</v>
      </c>
      <c r="F354" s="5" t="s">
        <v>17</v>
      </c>
      <c r="G354" s="5" t="s">
        <v>18</v>
      </c>
      <c r="H354" s="5" t="n">
        <f aca="true">ROUND(RAND()*4+6,1)</f>
        <v>8.2</v>
      </c>
      <c r="I354" s="5" t="s">
        <v>19</v>
      </c>
      <c r="J354" s="5" t="str">
        <f aca="false">ROUND(82*1,0)&amp;"%"</f>
        <v>82%</v>
      </c>
    </row>
    <row r="355" customFormat="false" ht="15" hidden="false" customHeight="false" outlineLevel="0" collapsed="false">
      <c r="A355" s="6" t="s">
        <v>4369</v>
      </c>
      <c r="B355" s="6" t="s">
        <v>568</v>
      </c>
      <c r="C355" s="6" t="s">
        <v>57</v>
      </c>
      <c r="D355" s="6" t="s">
        <v>22</v>
      </c>
      <c r="E355" s="6" t="n">
        <f aca="false">ROUND(6633*1.05,2)</f>
        <v>6964.65</v>
      </c>
      <c r="F355" s="6" t="s">
        <v>23</v>
      </c>
      <c r="G355" s="6" t="s">
        <v>24</v>
      </c>
      <c r="H355" s="6" t="n">
        <f aca="true">ROUND(RAND()*4+6,1)</f>
        <v>9.1</v>
      </c>
      <c r="I355" s="6" t="s">
        <v>25</v>
      </c>
      <c r="J355" s="6" t="str">
        <f aca="false">ROUND(76*1,0)&amp;"%"</f>
        <v>76%</v>
      </c>
    </row>
    <row r="356" customFormat="false" ht="15" hidden="false" customHeight="false" outlineLevel="0" collapsed="false">
      <c r="A356" s="5" t="s">
        <v>4370</v>
      </c>
      <c r="B356" s="5" t="s">
        <v>570</v>
      </c>
      <c r="C356" s="5" t="s">
        <v>57</v>
      </c>
      <c r="D356" s="5" t="s">
        <v>28</v>
      </c>
      <c r="E356" s="5" t="n">
        <f aca="false">ROUND(6486*1.05,2)</f>
        <v>6810.3</v>
      </c>
      <c r="F356" s="5" t="s">
        <v>29</v>
      </c>
      <c r="G356" s="5" t="s">
        <v>30</v>
      </c>
      <c r="H356" s="5" t="n">
        <f aca="true">ROUND(RAND()*4+6,1)</f>
        <v>6.8</v>
      </c>
      <c r="I356" s="5" t="s">
        <v>31</v>
      </c>
      <c r="J356" s="5" t="str">
        <f aca="false">ROUND(77*1,0)&amp;"%"</f>
        <v>77%</v>
      </c>
    </row>
    <row r="357" customFormat="false" ht="15" hidden="false" customHeight="false" outlineLevel="0" collapsed="false">
      <c r="A357" s="6" t="s">
        <v>4371</v>
      </c>
      <c r="B357" s="6" t="s">
        <v>572</v>
      </c>
      <c r="C357" s="6" t="s">
        <v>57</v>
      </c>
      <c r="D357" s="6" t="s">
        <v>34</v>
      </c>
      <c r="E357" s="6" t="n">
        <f aca="false">ROUND(15271*1.05,2)</f>
        <v>16034.55</v>
      </c>
      <c r="F357" s="6" t="s">
        <v>35</v>
      </c>
      <c r="G357" s="6" t="s">
        <v>18</v>
      </c>
      <c r="H357" s="6" t="n">
        <f aca="true">ROUND(RAND()*4+6,1)</f>
        <v>7.2</v>
      </c>
      <c r="I357" s="6" t="s">
        <v>36</v>
      </c>
      <c r="J357" s="6" t="str">
        <f aca="false">ROUND(71*1,0)&amp;"%"</f>
        <v>71%</v>
      </c>
    </row>
    <row r="358" customFormat="false" ht="15" hidden="false" customHeight="false" outlineLevel="0" collapsed="false">
      <c r="A358" s="5" t="s">
        <v>4372</v>
      </c>
      <c r="B358" s="5" t="s">
        <v>574</v>
      </c>
      <c r="C358" s="5" t="s">
        <v>57</v>
      </c>
      <c r="D358" s="5" t="s">
        <v>39</v>
      </c>
      <c r="E358" s="5" t="n">
        <f aca="false">ROUND(16795*1.05,2)</f>
        <v>17634.75</v>
      </c>
      <c r="F358" s="5" t="s">
        <v>40</v>
      </c>
      <c r="G358" s="5" t="s">
        <v>24</v>
      </c>
      <c r="H358" s="5" t="n">
        <f aca="true">ROUND(RAND()*4+6,1)</f>
        <v>7</v>
      </c>
      <c r="I358" s="5" t="s">
        <v>41</v>
      </c>
      <c r="J358" s="5" t="str">
        <f aca="false">ROUND(76*1,0)&amp;"%"</f>
        <v>76%</v>
      </c>
    </row>
    <row r="359" customFormat="false" ht="15" hidden="false" customHeight="false" outlineLevel="0" collapsed="false">
      <c r="A359" s="6" t="s">
        <v>4373</v>
      </c>
      <c r="B359" s="6" t="s">
        <v>576</v>
      </c>
      <c r="C359" s="6" t="s">
        <v>57</v>
      </c>
      <c r="D359" s="6" t="s">
        <v>44</v>
      </c>
      <c r="E359" s="6" t="n">
        <f aca="false">ROUND(7408*1.05,2)</f>
        <v>7778.4</v>
      </c>
      <c r="F359" s="6" t="s">
        <v>45</v>
      </c>
      <c r="G359" s="6" t="s">
        <v>30</v>
      </c>
      <c r="H359" s="6" t="n">
        <f aca="true">ROUND(RAND()*4+6,1)</f>
        <v>8.6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4374</v>
      </c>
      <c r="B360" s="5" t="s">
        <v>578</v>
      </c>
      <c r="C360" s="5" t="s">
        <v>57</v>
      </c>
      <c r="D360" s="5" t="s">
        <v>16</v>
      </c>
      <c r="E360" s="5" t="n">
        <f aca="false">ROUND(5244*1.05,2)</f>
        <v>5506.2</v>
      </c>
      <c r="F360" s="5" t="s">
        <v>49</v>
      </c>
      <c r="G360" s="5" t="s">
        <v>18</v>
      </c>
      <c r="H360" s="5" t="n">
        <f aca="true">ROUND(RAND()*4+6,1)</f>
        <v>9.1</v>
      </c>
      <c r="I360" s="5" t="s">
        <v>19</v>
      </c>
      <c r="J360" s="5" t="str">
        <f aca="false">ROUND(67*1,0)&amp;"%"</f>
        <v>67%</v>
      </c>
    </row>
    <row r="361" customFormat="false" ht="15" hidden="false" customHeight="false" outlineLevel="0" collapsed="false">
      <c r="A361" s="6" t="s">
        <v>4375</v>
      </c>
      <c r="B361" s="6" t="s">
        <v>580</v>
      </c>
      <c r="C361" s="6" t="s">
        <v>57</v>
      </c>
      <c r="D361" s="6" t="s">
        <v>22</v>
      </c>
      <c r="E361" s="6" t="n">
        <f aca="false">ROUND(14830*1.05,2)</f>
        <v>15571.5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ROUND(90*1,0)&amp;"%"</f>
        <v>90%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4376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4377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4378</v>
      </c>
      <c r="B6" s="5" t="s">
        <v>14</v>
      </c>
      <c r="C6" s="5" t="s">
        <v>15</v>
      </c>
      <c r="D6" s="5" t="s">
        <v>16</v>
      </c>
      <c r="E6" s="5" t="n">
        <f aca="false">ROUND(16441*1.05,2)</f>
        <v>17263.05</v>
      </c>
      <c r="F6" s="5" t="s">
        <v>17</v>
      </c>
      <c r="G6" s="5" t="s">
        <v>18</v>
      </c>
      <c r="H6" s="5" t="n">
        <f aca="true">ROUND(RAND()*4+6,1)</f>
        <v>8.8</v>
      </c>
      <c r="I6" s="5" t="s">
        <v>19</v>
      </c>
      <c r="J6" s="5" t="str">
        <f aca="false">ROUND(90*1,0)&amp;"%"</f>
        <v>90%</v>
      </c>
    </row>
    <row r="7" customFormat="false" ht="15" hidden="false" customHeight="false" outlineLevel="0" collapsed="false">
      <c r="A7" s="6" t="s">
        <v>4379</v>
      </c>
      <c r="B7" s="6" t="s">
        <v>21</v>
      </c>
      <c r="C7" s="6" t="s">
        <v>15</v>
      </c>
      <c r="D7" s="6" t="s">
        <v>22</v>
      </c>
      <c r="E7" s="6" t="n">
        <f aca="false">ROUND(7551*1.05,2)</f>
        <v>7928.55</v>
      </c>
      <c r="F7" s="6" t="s">
        <v>23</v>
      </c>
      <c r="G7" s="6" t="s">
        <v>24</v>
      </c>
      <c r="H7" s="6" t="n">
        <f aca="true">ROUND(RAND()*4+6,1)</f>
        <v>8.6</v>
      </c>
      <c r="I7" s="6" t="s">
        <v>25</v>
      </c>
      <c r="J7" s="6" t="str">
        <f aca="false">ROUND(89*1,0)&amp;"%"</f>
        <v>89%</v>
      </c>
    </row>
    <row r="8" customFormat="false" ht="15" hidden="false" customHeight="false" outlineLevel="0" collapsed="false">
      <c r="A8" s="5" t="s">
        <v>4380</v>
      </c>
      <c r="B8" s="5" t="s">
        <v>27</v>
      </c>
      <c r="C8" s="5" t="s">
        <v>15</v>
      </c>
      <c r="D8" s="5" t="s">
        <v>28</v>
      </c>
      <c r="E8" s="5" t="n">
        <f aca="false">ROUND(6699*1.05,2)</f>
        <v>7033.95</v>
      </c>
      <c r="F8" s="5" t="s">
        <v>29</v>
      </c>
      <c r="G8" s="5" t="s">
        <v>30</v>
      </c>
      <c r="H8" s="5" t="n">
        <f aca="true">ROUND(RAND()*4+6,1)</f>
        <v>7.9</v>
      </c>
      <c r="I8" s="5" t="s">
        <v>31</v>
      </c>
      <c r="J8" s="5" t="str">
        <f aca="false">ROUND(73*1,0)&amp;"%"</f>
        <v>73%</v>
      </c>
    </row>
    <row r="9" customFormat="false" ht="15" hidden="false" customHeight="false" outlineLevel="0" collapsed="false">
      <c r="A9" s="6" t="s">
        <v>4381</v>
      </c>
      <c r="B9" s="6" t="s">
        <v>33</v>
      </c>
      <c r="C9" s="6" t="s">
        <v>15</v>
      </c>
      <c r="D9" s="6" t="s">
        <v>34</v>
      </c>
      <c r="E9" s="6" t="n">
        <f aca="false">ROUND(17968*1.05,2)</f>
        <v>18866.4</v>
      </c>
      <c r="F9" s="6" t="s">
        <v>35</v>
      </c>
      <c r="G9" s="6" t="s">
        <v>18</v>
      </c>
      <c r="H9" s="6" t="n">
        <f aca="true">ROUND(RAND()*4+6,1)</f>
        <v>8.8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4382</v>
      </c>
      <c r="B10" s="5" t="s">
        <v>38</v>
      </c>
      <c r="C10" s="5" t="s">
        <v>15</v>
      </c>
      <c r="D10" s="5" t="s">
        <v>39</v>
      </c>
      <c r="E10" s="5" t="n">
        <f aca="false">ROUND(9621*1.05,2)</f>
        <v>10102.05</v>
      </c>
      <c r="F10" s="5" t="s">
        <v>40</v>
      </c>
      <c r="G10" s="5" t="s">
        <v>24</v>
      </c>
      <c r="H10" s="5" t="n">
        <f aca="true">ROUND(RAND()*4+6,1)</f>
        <v>9.4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4383</v>
      </c>
      <c r="B11" s="6" t="s">
        <v>43</v>
      </c>
      <c r="C11" s="6" t="s">
        <v>15</v>
      </c>
      <c r="D11" s="6" t="s">
        <v>44</v>
      </c>
      <c r="E11" s="6" t="n">
        <f aca="false">ROUND(10752*1.05,2)</f>
        <v>11289.6</v>
      </c>
      <c r="F11" s="6" t="s">
        <v>45</v>
      </c>
      <c r="G11" s="6" t="s">
        <v>30</v>
      </c>
      <c r="H11" s="6" t="n">
        <f aca="true">ROUND(RAND()*4+6,1)</f>
        <v>8.5</v>
      </c>
      <c r="I11" s="6" t="s">
        <v>46</v>
      </c>
      <c r="J11" s="6" t="str">
        <f aca="false">ROUND(95*1,0)&amp;"%"</f>
        <v>95%</v>
      </c>
    </row>
    <row r="12" customFormat="false" ht="15" hidden="false" customHeight="false" outlineLevel="0" collapsed="false">
      <c r="A12" s="5" t="s">
        <v>4384</v>
      </c>
      <c r="B12" s="5" t="s">
        <v>48</v>
      </c>
      <c r="C12" s="5" t="s">
        <v>15</v>
      </c>
      <c r="D12" s="5" t="s">
        <v>16</v>
      </c>
      <c r="E12" s="5" t="n">
        <f aca="false">ROUND(4613*1.05,2)</f>
        <v>4843.65</v>
      </c>
      <c r="F12" s="5" t="s">
        <v>49</v>
      </c>
      <c r="G12" s="5" t="s">
        <v>18</v>
      </c>
      <c r="H12" s="5" t="n">
        <f aca="true">ROUND(RAND()*4+6,1)</f>
        <v>9.3</v>
      </c>
      <c r="I12" s="5" t="s">
        <v>19</v>
      </c>
      <c r="J12" s="5" t="str">
        <f aca="false">ROUND(77*1,0)&amp;"%"</f>
        <v>77%</v>
      </c>
    </row>
    <row r="13" customFormat="false" ht="15" hidden="false" customHeight="false" outlineLevel="0" collapsed="false">
      <c r="A13" s="6" t="s">
        <v>4385</v>
      </c>
      <c r="B13" s="6" t="s">
        <v>51</v>
      </c>
      <c r="C13" s="6" t="s">
        <v>15</v>
      </c>
      <c r="D13" s="6" t="s">
        <v>22</v>
      </c>
      <c r="E13" s="6" t="n">
        <f aca="false">ROUND(13279*1.05,2)</f>
        <v>13942.95</v>
      </c>
      <c r="F13" s="6" t="s">
        <v>52</v>
      </c>
      <c r="G13" s="6" t="s">
        <v>24</v>
      </c>
      <c r="H13" s="6" t="n">
        <f aca="true">ROUND(RAND()*4+6,1)</f>
        <v>9.6</v>
      </c>
      <c r="I13" s="6" t="s">
        <v>25</v>
      </c>
      <c r="J13" s="6" t="str">
        <f aca="false">ROUND(100*1,0)&amp;"%"</f>
        <v>100%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4386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4387</v>
      </c>
      <c r="B18" s="5" t="s">
        <v>56</v>
      </c>
      <c r="C18" s="5" t="s">
        <v>57</v>
      </c>
      <c r="D18" s="5" t="s">
        <v>16</v>
      </c>
      <c r="E18" s="5" t="n">
        <f aca="false">ROUND(12631*1.05,2)</f>
        <v>13262.55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ROUND(94*1,0)&amp;"%"</f>
        <v>94%</v>
      </c>
    </row>
    <row r="19" customFormat="false" ht="15" hidden="false" customHeight="false" outlineLevel="0" collapsed="false">
      <c r="A19" s="6" t="s">
        <v>4388</v>
      </c>
      <c r="B19" s="6" t="s">
        <v>59</v>
      </c>
      <c r="C19" s="6" t="s">
        <v>57</v>
      </c>
      <c r="D19" s="6" t="s">
        <v>22</v>
      </c>
      <c r="E19" s="6" t="n">
        <f aca="false">ROUND(6728*1.05,2)</f>
        <v>7064.4</v>
      </c>
      <c r="F19" s="6" t="s">
        <v>23</v>
      </c>
      <c r="G19" s="6" t="s">
        <v>24</v>
      </c>
      <c r="H19" s="6" t="n">
        <f aca="true">ROUND(RAND()*4+6,1)</f>
        <v>7.6</v>
      </c>
      <c r="I19" s="6" t="s">
        <v>25</v>
      </c>
      <c r="J19" s="6" t="str">
        <f aca="false">ROUND(82*1,0)&amp;"%"</f>
        <v>82%</v>
      </c>
    </row>
    <row r="20" customFormat="false" ht="15" hidden="false" customHeight="false" outlineLevel="0" collapsed="false">
      <c r="A20" s="5" t="s">
        <v>4389</v>
      </c>
      <c r="B20" s="5" t="s">
        <v>61</v>
      </c>
      <c r="C20" s="5" t="s">
        <v>57</v>
      </c>
      <c r="D20" s="5" t="s">
        <v>28</v>
      </c>
      <c r="E20" s="5" t="n">
        <f aca="false">ROUND(17119*1.05,2)</f>
        <v>17974.95</v>
      </c>
      <c r="F20" s="5" t="s">
        <v>29</v>
      </c>
      <c r="G20" s="5" t="s">
        <v>30</v>
      </c>
      <c r="H20" s="5" t="n">
        <f aca="true">ROUND(RAND()*4+6,1)</f>
        <v>9.3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4390</v>
      </c>
      <c r="B21" s="6" t="s">
        <v>63</v>
      </c>
      <c r="C21" s="6" t="s">
        <v>57</v>
      </c>
      <c r="D21" s="6" t="s">
        <v>34</v>
      </c>
      <c r="E21" s="6" t="n">
        <f aca="false">ROUND(13062*1.05,2)</f>
        <v>13715.1</v>
      </c>
      <c r="F21" s="6" t="s">
        <v>35</v>
      </c>
      <c r="G21" s="6" t="s">
        <v>18</v>
      </c>
      <c r="H21" s="6" t="n">
        <f aca="true">ROUND(RAND()*4+6,1)</f>
        <v>7.5</v>
      </c>
      <c r="I21" s="6" t="s">
        <v>36</v>
      </c>
      <c r="J21" s="6" t="str">
        <f aca="false">ROUND(64*1,0)&amp;"%"</f>
        <v>64%</v>
      </c>
    </row>
    <row r="22" customFormat="false" ht="15" hidden="false" customHeight="false" outlineLevel="0" collapsed="false">
      <c r="A22" s="5" t="s">
        <v>4391</v>
      </c>
      <c r="B22" s="5" t="s">
        <v>65</v>
      </c>
      <c r="C22" s="5" t="s">
        <v>57</v>
      </c>
      <c r="D22" s="5" t="s">
        <v>39</v>
      </c>
      <c r="E22" s="5" t="n">
        <f aca="false">ROUND(8871*1.05,2)</f>
        <v>9314.55</v>
      </c>
      <c r="F22" s="5" t="s">
        <v>40</v>
      </c>
      <c r="G22" s="5" t="s">
        <v>24</v>
      </c>
      <c r="H22" s="5" t="n">
        <f aca="true">ROUND(RAND()*4+6,1)</f>
        <v>9.8</v>
      </c>
      <c r="I22" s="5" t="s">
        <v>41</v>
      </c>
      <c r="J22" s="5" t="str">
        <f aca="false">ROUND(61*1,0)&amp;"%"</f>
        <v>61%</v>
      </c>
    </row>
    <row r="23" customFormat="false" ht="15" hidden="false" customHeight="false" outlineLevel="0" collapsed="false">
      <c r="A23" s="6" t="s">
        <v>4392</v>
      </c>
      <c r="B23" s="6" t="s">
        <v>67</v>
      </c>
      <c r="C23" s="6" t="s">
        <v>57</v>
      </c>
      <c r="D23" s="6" t="s">
        <v>44</v>
      </c>
      <c r="E23" s="6" t="n">
        <f aca="false">ROUND(5164*1.05,2)</f>
        <v>5422.2</v>
      </c>
      <c r="F23" s="6" t="s">
        <v>45</v>
      </c>
      <c r="G23" s="6" t="s">
        <v>30</v>
      </c>
      <c r="H23" s="6" t="n">
        <f aca="true">ROUND(RAND()*4+6,1)</f>
        <v>8.1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4393</v>
      </c>
      <c r="B24" s="5" t="s">
        <v>69</v>
      </c>
      <c r="C24" s="5" t="s">
        <v>57</v>
      </c>
      <c r="D24" s="5" t="s">
        <v>16</v>
      </c>
      <c r="E24" s="5" t="n">
        <f aca="false">ROUND(8194*1.05,2)</f>
        <v>8603.7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ROUND(72*1,0)&amp;"%"</f>
        <v>72%</v>
      </c>
    </row>
    <row r="25" customFormat="false" ht="15" hidden="false" customHeight="false" outlineLevel="0" collapsed="false">
      <c r="A25" s="6" t="s">
        <v>4394</v>
      </c>
      <c r="B25" s="6" t="s">
        <v>71</v>
      </c>
      <c r="C25" s="6" t="s">
        <v>57</v>
      </c>
      <c r="D25" s="6" t="s">
        <v>22</v>
      </c>
      <c r="E25" s="6" t="n">
        <f aca="false">ROUND(11038*1.05,2)</f>
        <v>11589.9</v>
      </c>
      <c r="F25" s="6" t="s">
        <v>52</v>
      </c>
      <c r="G25" s="6" t="s">
        <v>24</v>
      </c>
      <c r="H25" s="6" t="n">
        <f aca="true">ROUND(RAND()*4+6,1)</f>
        <v>8.3</v>
      </c>
      <c r="I25" s="6" t="s">
        <v>25</v>
      </c>
      <c r="J25" s="6" t="str">
        <f aca="false">ROUND(63*1,0)&amp;"%"</f>
        <v>63%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4395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4396</v>
      </c>
      <c r="B30" s="5" t="s">
        <v>75</v>
      </c>
      <c r="C30" s="5" t="s">
        <v>76</v>
      </c>
      <c r="D30" s="5" t="s">
        <v>16</v>
      </c>
      <c r="E30" s="5" t="n">
        <f aca="false">ROUND(17065*1.05,2)</f>
        <v>17918.25</v>
      </c>
      <c r="F30" s="5" t="s">
        <v>17</v>
      </c>
      <c r="G30" s="5" t="s">
        <v>18</v>
      </c>
      <c r="H30" s="5" t="n">
        <f aca="true">ROUND(RAND()*4+6,1)</f>
        <v>6.2</v>
      </c>
      <c r="I30" s="5" t="s">
        <v>19</v>
      </c>
      <c r="J30" s="5" t="str">
        <f aca="false">ROUND(60*1,0)&amp;"%"</f>
        <v>60%</v>
      </c>
    </row>
    <row r="31" customFormat="false" ht="15" hidden="false" customHeight="false" outlineLevel="0" collapsed="false">
      <c r="A31" s="6" t="s">
        <v>4397</v>
      </c>
      <c r="B31" s="6" t="s">
        <v>78</v>
      </c>
      <c r="C31" s="6" t="s">
        <v>76</v>
      </c>
      <c r="D31" s="6" t="s">
        <v>22</v>
      </c>
      <c r="E31" s="6" t="n">
        <f aca="false">ROUND(14249*1.05,2)</f>
        <v>14961.45</v>
      </c>
      <c r="F31" s="6" t="s">
        <v>23</v>
      </c>
      <c r="G31" s="6" t="s">
        <v>24</v>
      </c>
      <c r="H31" s="6" t="n">
        <f aca="true">ROUND(RAND()*4+6,1)</f>
        <v>7.6</v>
      </c>
      <c r="I31" s="6" t="s">
        <v>25</v>
      </c>
      <c r="J31" s="6" t="str">
        <f aca="false">ROUND(88*1,0)&amp;"%"</f>
        <v>88%</v>
      </c>
    </row>
    <row r="32" customFormat="false" ht="15" hidden="false" customHeight="false" outlineLevel="0" collapsed="false">
      <c r="A32" s="5" t="s">
        <v>4398</v>
      </c>
      <c r="B32" s="5" t="s">
        <v>80</v>
      </c>
      <c r="C32" s="5" t="s">
        <v>76</v>
      </c>
      <c r="D32" s="5" t="s">
        <v>28</v>
      </c>
      <c r="E32" s="5" t="n">
        <f aca="false">ROUND(15723*1.05,2)</f>
        <v>16509.15</v>
      </c>
      <c r="F32" s="5" t="s">
        <v>29</v>
      </c>
      <c r="G32" s="5" t="s">
        <v>30</v>
      </c>
      <c r="H32" s="5" t="n">
        <f aca="true">ROUND(RAND()*4+6,1)</f>
        <v>6.1</v>
      </c>
      <c r="I32" s="5" t="s">
        <v>31</v>
      </c>
      <c r="J32" s="5" t="str">
        <f aca="false">ROUND(96*1,0)&amp;"%"</f>
        <v>96%</v>
      </c>
    </row>
    <row r="33" customFormat="false" ht="15" hidden="false" customHeight="false" outlineLevel="0" collapsed="false">
      <c r="A33" s="6" t="s">
        <v>4399</v>
      </c>
      <c r="B33" s="6" t="s">
        <v>82</v>
      </c>
      <c r="C33" s="6" t="s">
        <v>76</v>
      </c>
      <c r="D33" s="6" t="s">
        <v>34</v>
      </c>
      <c r="E33" s="6" t="n">
        <f aca="false">ROUND(4538*1.05,2)</f>
        <v>4764.9</v>
      </c>
      <c r="F33" s="6" t="s">
        <v>35</v>
      </c>
      <c r="G33" s="6" t="s">
        <v>18</v>
      </c>
      <c r="H33" s="6" t="n">
        <f aca="true">ROUND(RAND()*4+6,1)</f>
        <v>6.5</v>
      </c>
      <c r="I33" s="6" t="s">
        <v>36</v>
      </c>
      <c r="J33" s="6" t="str">
        <f aca="false">ROUND(92*1,0)&amp;"%"</f>
        <v>92%</v>
      </c>
    </row>
    <row r="34" customFormat="false" ht="15" hidden="false" customHeight="false" outlineLevel="0" collapsed="false">
      <c r="A34" s="5" t="s">
        <v>4400</v>
      </c>
      <c r="B34" s="5" t="s">
        <v>84</v>
      </c>
      <c r="C34" s="5" t="s">
        <v>76</v>
      </c>
      <c r="D34" s="5" t="s">
        <v>39</v>
      </c>
      <c r="E34" s="5" t="n">
        <f aca="false">ROUND(10502*1.05,2)</f>
        <v>11027.1</v>
      </c>
      <c r="F34" s="5" t="s">
        <v>40</v>
      </c>
      <c r="G34" s="5" t="s">
        <v>24</v>
      </c>
      <c r="H34" s="5" t="n">
        <f aca="true">ROUND(RAND()*4+6,1)</f>
        <v>8.7</v>
      </c>
      <c r="I34" s="5" t="s">
        <v>41</v>
      </c>
      <c r="J34" s="5" t="str">
        <f aca="false">ROUND(65*1,0)&amp;"%"</f>
        <v>65%</v>
      </c>
    </row>
    <row r="35" customFormat="false" ht="15" hidden="false" customHeight="false" outlineLevel="0" collapsed="false">
      <c r="A35" s="6" t="s">
        <v>4401</v>
      </c>
      <c r="B35" s="6" t="s">
        <v>86</v>
      </c>
      <c r="C35" s="6" t="s">
        <v>76</v>
      </c>
      <c r="D35" s="6" t="s">
        <v>44</v>
      </c>
      <c r="E35" s="6" t="n">
        <f aca="false">ROUND(10513*1.05,2)</f>
        <v>11038.65</v>
      </c>
      <c r="F35" s="6" t="s">
        <v>45</v>
      </c>
      <c r="G35" s="6" t="s">
        <v>30</v>
      </c>
      <c r="H35" s="6" t="n">
        <f aca="true">ROUND(RAND()*4+6,1)</f>
        <v>9.6</v>
      </c>
      <c r="I35" s="6" t="s">
        <v>46</v>
      </c>
      <c r="J35" s="6" t="str">
        <f aca="false">ROUND(90*1,0)&amp;"%"</f>
        <v>90%</v>
      </c>
    </row>
    <row r="36" customFormat="false" ht="15" hidden="false" customHeight="false" outlineLevel="0" collapsed="false">
      <c r="A36" s="5" t="s">
        <v>4402</v>
      </c>
      <c r="B36" s="5" t="s">
        <v>88</v>
      </c>
      <c r="C36" s="5" t="s">
        <v>76</v>
      </c>
      <c r="D36" s="5" t="s">
        <v>16</v>
      </c>
      <c r="E36" s="5" t="n">
        <f aca="false">ROUND(15258*1.05,2)</f>
        <v>16020.9</v>
      </c>
      <c r="F36" s="5" t="s">
        <v>49</v>
      </c>
      <c r="G36" s="5" t="s">
        <v>18</v>
      </c>
      <c r="H36" s="5" t="n">
        <f aca="true">ROUND(RAND()*4+6,1)</f>
        <v>6</v>
      </c>
      <c r="I36" s="5" t="s">
        <v>19</v>
      </c>
      <c r="J36" s="5" t="str">
        <f aca="false">ROUND(85*1,0)&amp;"%"</f>
        <v>85%</v>
      </c>
    </row>
    <row r="37" customFormat="false" ht="15" hidden="false" customHeight="false" outlineLevel="0" collapsed="false">
      <c r="A37" s="6" t="s">
        <v>4403</v>
      </c>
      <c r="B37" s="6" t="s">
        <v>90</v>
      </c>
      <c r="C37" s="6" t="s">
        <v>76</v>
      </c>
      <c r="D37" s="6" t="s">
        <v>22</v>
      </c>
      <c r="E37" s="6" t="n">
        <f aca="false">ROUND(17876*1.05,2)</f>
        <v>18769.8</v>
      </c>
      <c r="F37" s="6" t="s">
        <v>52</v>
      </c>
      <c r="G37" s="6" t="s">
        <v>24</v>
      </c>
      <c r="H37" s="6" t="n">
        <f aca="true">ROUND(RAND()*4+6,1)</f>
        <v>8.9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4404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4405</v>
      </c>
      <c r="B42" s="5" t="s">
        <v>94</v>
      </c>
      <c r="C42" s="5" t="s">
        <v>95</v>
      </c>
      <c r="D42" s="5" t="s">
        <v>16</v>
      </c>
      <c r="E42" s="5" t="n">
        <f aca="false">ROUND(11100*1.05,2)</f>
        <v>11655</v>
      </c>
      <c r="F42" s="5" t="s">
        <v>17</v>
      </c>
      <c r="G42" s="5" t="s">
        <v>18</v>
      </c>
      <c r="H42" s="5" t="n">
        <f aca="true">ROUND(RAND()*4+6,1)</f>
        <v>8.4</v>
      </c>
      <c r="I42" s="5" t="s">
        <v>19</v>
      </c>
      <c r="J42" s="5" t="str">
        <f aca="false">ROUND(72*1,0)&amp;"%"</f>
        <v>72%</v>
      </c>
    </row>
    <row r="43" customFormat="false" ht="15" hidden="false" customHeight="false" outlineLevel="0" collapsed="false">
      <c r="A43" s="6" t="s">
        <v>4406</v>
      </c>
      <c r="B43" s="6" t="s">
        <v>97</v>
      </c>
      <c r="C43" s="6" t="s">
        <v>95</v>
      </c>
      <c r="D43" s="6" t="s">
        <v>22</v>
      </c>
      <c r="E43" s="6" t="n">
        <f aca="false">ROUND(12227*1.05,2)</f>
        <v>12838.35</v>
      </c>
      <c r="F43" s="6" t="s">
        <v>23</v>
      </c>
      <c r="G43" s="6" t="s">
        <v>24</v>
      </c>
      <c r="H43" s="6" t="n">
        <f aca="true">ROUND(RAND()*4+6,1)</f>
        <v>9.6</v>
      </c>
      <c r="I43" s="6" t="s">
        <v>25</v>
      </c>
      <c r="J43" s="6" t="str">
        <f aca="false">ROUND(76*1,0)&amp;"%"</f>
        <v>76%</v>
      </c>
    </row>
    <row r="44" customFormat="false" ht="15" hidden="false" customHeight="false" outlineLevel="0" collapsed="false">
      <c r="A44" s="5" t="s">
        <v>4407</v>
      </c>
      <c r="B44" s="5" t="s">
        <v>99</v>
      </c>
      <c r="C44" s="5" t="s">
        <v>95</v>
      </c>
      <c r="D44" s="5" t="s">
        <v>28</v>
      </c>
      <c r="E44" s="5" t="n">
        <f aca="false">ROUND(7889*1.05,2)</f>
        <v>8283.45</v>
      </c>
      <c r="F44" s="5" t="s">
        <v>29</v>
      </c>
      <c r="G44" s="5" t="s">
        <v>30</v>
      </c>
      <c r="H44" s="5" t="n">
        <f aca="true">ROUND(RAND()*4+6,1)</f>
        <v>9.6</v>
      </c>
      <c r="I44" s="5" t="s">
        <v>31</v>
      </c>
      <c r="J44" s="5" t="str">
        <f aca="false">ROUND(82*1,0)&amp;"%"</f>
        <v>82%</v>
      </c>
    </row>
    <row r="45" customFormat="false" ht="15" hidden="false" customHeight="false" outlineLevel="0" collapsed="false">
      <c r="A45" s="6" t="s">
        <v>4408</v>
      </c>
      <c r="B45" s="6" t="s">
        <v>101</v>
      </c>
      <c r="C45" s="6" t="s">
        <v>95</v>
      </c>
      <c r="D45" s="6" t="s">
        <v>34</v>
      </c>
      <c r="E45" s="6" t="n">
        <f aca="false">ROUND(13037*1.05,2)</f>
        <v>13688.85</v>
      </c>
      <c r="F45" s="6" t="s">
        <v>35</v>
      </c>
      <c r="G45" s="6" t="s">
        <v>18</v>
      </c>
      <c r="H45" s="6" t="n">
        <f aca="true">ROUND(RAND()*4+6,1)</f>
        <v>7.6</v>
      </c>
      <c r="I45" s="6" t="s">
        <v>36</v>
      </c>
      <c r="J45" s="6" t="str">
        <f aca="false">ROUND(60*1,0)&amp;"%"</f>
        <v>60%</v>
      </c>
    </row>
    <row r="46" customFormat="false" ht="15" hidden="false" customHeight="false" outlineLevel="0" collapsed="false">
      <c r="A46" s="5" t="s">
        <v>4409</v>
      </c>
      <c r="B46" s="5" t="s">
        <v>103</v>
      </c>
      <c r="C46" s="5" t="s">
        <v>95</v>
      </c>
      <c r="D46" s="5" t="s">
        <v>39</v>
      </c>
      <c r="E46" s="5" t="n">
        <f aca="false">ROUND(9112*1.05,2)</f>
        <v>9567.6</v>
      </c>
      <c r="F46" s="5" t="s">
        <v>40</v>
      </c>
      <c r="G46" s="5" t="s">
        <v>24</v>
      </c>
      <c r="H46" s="5" t="n">
        <f aca="true">ROUND(RAND()*4+6,1)</f>
        <v>9.6</v>
      </c>
      <c r="I46" s="5" t="s">
        <v>41</v>
      </c>
      <c r="J46" s="5" t="str">
        <f aca="false">ROUND(99*1,0)&amp;"%"</f>
        <v>99%</v>
      </c>
    </row>
    <row r="47" customFormat="false" ht="15" hidden="false" customHeight="false" outlineLevel="0" collapsed="false">
      <c r="A47" s="6" t="s">
        <v>4410</v>
      </c>
      <c r="B47" s="6" t="s">
        <v>105</v>
      </c>
      <c r="C47" s="6" t="s">
        <v>95</v>
      </c>
      <c r="D47" s="6" t="s">
        <v>44</v>
      </c>
      <c r="E47" s="6" t="n">
        <f aca="false">ROUND(10986*1.05,2)</f>
        <v>11535.3</v>
      </c>
      <c r="F47" s="6" t="s">
        <v>45</v>
      </c>
      <c r="G47" s="6" t="s">
        <v>30</v>
      </c>
      <c r="H47" s="6" t="n">
        <f aca="true">ROUND(RAND()*4+6,1)</f>
        <v>8.9</v>
      </c>
      <c r="I47" s="6" t="s">
        <v>46</v>
      </c>
      <c r="J47" s="6" t="str">
        <f aca="false">ROUND(64*1,0)&amp;"%"</f>
        <v>64%</v>
      </c>
    </row>
    <row r="48" customFormat="false" ht="15" hidden="false" customHeight="false" outlineLevel="0" collapsed="false">
      <c r="A48" s="5" t="s">
        <v>4411</v>
      </c>
      <c r="B48" s="5" t="s">
        <v>107</v>
      </c>
      <c r="C48" s="5" t="s">
        <v>95</v>
      </c>
      <c r="D48" s="5" t="s">
        <v>16</v>
      </c>
      <c r="E48" s="5" t="n">
        <f aca="false">ROUND(4325*1.05,2)</f>
        <v>4541.25</v>
      </c>
      <c r="F48" s="5" t="s">
        <v>49</v>
      </c>
      <c r="G48" s="5" t="s">
        <v>18</v>
      </c>
      <c r="H48" s="5" t="n">
        <f aca="true">ROUND(RAND()*4+6,1)</f>
        <v>8.3</v>
      </c>
      <c r="I48" s="5" t="s">
        <v>19</v>
      </c>
      <c r="J48" s="5" t="str">
        <f aca="false">ROUND(64*1,0)&amp;"%"</f>
        <v>64%</v>
      </c>
    </row>
    <row r="49" customFormat="false" ht="15" hidden="false" customHeight="false" outlineLevel="0" collapsed="false">
      <c r="A49" s="6" t="s">
        <v>4412</v>
      </c>
      <c r="B49" s="6" t="s">
        <v>109</v>
      </c>
      <c r="C49" s="6" t="s">
        <v>95</v>
      </c>
      <c r="D49" s="6" t="s">
        <v>22</v>
      </c>
      <c r="E49" s="6" t="n">
        <f aca="false">ROUND(5842*1.05,2)</f>
        <v>6134.1</v>
      </c>
      <c r="F49" s="6" t="s">
        <v>52</v>
      </c>
      <c r="G49" s="6" t="s">
        <v>24</v>
      </c>
      <c r="H49" s="6" t="n">
        <f aca="true">ROUND(RAND()*4+6,1)</f>
        <v>7.8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4413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4414</v>
      </c>
      <c r="B54" s="5" t="s">
        <v>113</v>
      </c>
      <c r="C54" s="5" t="s">
        <v>114</v>
      </c>
      <c r="D54" s="5" t="s">
        <v>16</v>
      </c>
      <c r="E54" s="5" t="n">
        <f aca="false">ROUND(11394*1.05,2)</f>
        <v>11963.7</v>
      </c>
      <c r="F54" s="5" t="s">
        <v>17</v>
      </c>
      <c r="G54" s="5" t="s">
        <v>18</v>
      </c>
      <c r="H54" s="5" t="n">
        <f aca="true">ROUND(RAND()*4+6,1)</f>
        <v>6.3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4415</v>
      </c>
      <c r="B55" s="6" t="s">
        <v>116</v>
      </c>
      <c r="C55" s="6" t="s">
        <v>114</v>
      </c>
      <c r="D55" s="6" t="s">
        <v>22</v>
      </c>
      <c r="E55" s="6" t="n">
        <f aca="false">ROUND(16337*1.05,2)</f>
        <v>17153.85</v>
      </c>
      <c r="F55" s="6" t="s">
        <v>23</v>
      </c>
      <c r="G55" s="6" t="s">
        <v>24</v>
      </c>
      <c r="H55" s="6" t="n">
        <f aca="true">ROUND(RAND()*4+6,1)</f>
        <v>9.8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4416</v>
      </c>
      <c r="B56" s="5" t="s">
        <v>118</v>
      </c>
      <c r="C56" s="5" t="s">
        <v>114</v>
      </c>
      <c r="D56" s="5" t="s">
        <v>28</v>
      </c>
      <c r="E56" s="5" t="n">
        <f aca="false">ROUND(4685*1.05,2)</f>
        <v>4919.25</v>
      </c>
      <c r="F56" s="5" t="s">
        <v>29</v>
      </c>
      <c r="G56" s="5" t="s">
        <v>30</v>
      </c>
      <c r="H56" s="5" t="n">
        <f aca="true">ROUND(RAND()*4+6,1)</f>
        <v>9.5</v>
      </c>
      <c r="I56" s="5" t="s">
        <v>31</v>
      </c>
      <c r="J56" s="5" t="str">
        <f aca="false">ROUND(85*1,0)&amp;"%"</f>
        <v>85%</v>
      </c>
    </row>
    <row r="57" customFormat="false" ht="15" hidden="false" customHeight="false" outlineLevel="0" collapsed="false">
      <c r="A57" s="6" t="s">
        <v>4417</v>
      </c>
      <c r="B57" s="6" t="s">
        <v>120</v>
      </c>
      <c r="C57" s="6" t="s">
        <v>114</v>
      </c>
      <c r="D57" s="6" t="s">
        <v>34</v>
      </c>
      <c r="E57" s="6" t="n">
        <f aca="false">ROUND(10718*1.05,2)</f>
        <v>11253.9</v>
      </c>
      <c r="F57" s="6" t="s">
        <v>35</v>
      </c>
      <c r="G57" s="6" t="s">
        <v>18</v>
      </c>
      <c r="H57" s="6" t="n">
        <f aca="true">ROUND(RAND()*4+6,1)</f>
        <v>9</v>
      </c>
      <c r="I57" s="6" t="s">
        <v>36</v>
      </c>
      <c r="J57" s="6" t="str">
        <f aca="false">ROUND(93*1,0)&amp;"%"</f>
        <v>93%</v>
      </c>
    </row>
    <row r="58" customFormat="false" ht="15" hidden="false" customHeight="false" outlineLevel="0" collapsed="false">
      <c r="A58" s="5" t="s">
        <v>4418</v>
      </c>
      <c r="B58" s="5" t="s">
        <v>122</v>
      </c>
      <c r="C58" s="5" t="s">
        <v>114</v>
      </c>
      <c r="D58" s="5" t="s">
        <v>39</v>
      </c>
      <c r="E58" s="5" t="n">
        <f aca="false">ROUND(5067*1.05,2)</f>
        <v>5320.35</v>
      </c>
      <c r="F58" s="5" t="s">
        <v>40</v>
      </c>
      <c r="G58" s="5" t="s">
        <v>24</v>
      </c>
      <c r="H58" s="5" t="n">
        <f aca="true">ROUND(RAND()*4+6,1)</f>
        <v>6.5</v>
      </c>
      <c r="I58" s="5" t="s">
        <v>41</v>
      </c>
      <c r="J58" s="5" t="str">
        <f aca="false">ROUND(70*1,0)&amp;"%"</f>
        <v>70%</v>
      </c>
    </row>
    <row r="59" customFormat="false" ht="15" hidden="false" customHeight="false" outlineLevel="0" collapsed="false">
      <c r="A59" s="6" t="s">
        <v>4419</v>
      </c>
      <c r="B59" s="6" t="s">
        <v>124</v>
      </c>
      <c r="C59" s="6" t="s">
        <v>114</v>
      </c>
      <c r="D59" s="6" t="s">
        <v>44</v>
      </c>
      <c r="E59" s="6" t="n">
        <f aca="false">ROUND(10878*1.05,2)</f>
        <v>11421.9</v>
      </c>
      <c r="F59" s="6" t="s">
        <v>45</v>
      </c>
      <c r="G59" s="6" t="s">
        <v>30</v>
      </c>
      <c r="H59" s="6" t="n">
        <f aca="true">ROUND(RAND()*4+6,1)</f>
        <v>7.7</v>
      </c>
      <c r="I59" s="6" t="s">
        <v>46</v>
      </c>
      <c r="J59" s="6" t="str">
        <f aca="false">ROUND(83*1,0)&amp;"%"</f>
        <v>83%</v>
      </c>
    </row>
    <row r="60" customFormat="false" ht="15" hidden="false" customHeight="false" outlineLevel="0" collapsed="false">
      <c r="A60" s="5" t="s">
        <v>4420</v>
      </c>
      <c r="B60" s="5" t="s">
        <v>126</v>
      </c>
      <c r="C60" s="5" t="s">
        <v>114</v>
      </c>
      <c r="D60" s="5" t="s">
        <v>16</v>
      </c>
      <c r="E60" s="5" t="n">
        <f aca="false">ROUND(17783*1.05,2)</f>
        <v>18672.15</v>
      </c>
      <c r="F60" s="5" t="s">
        <v>49</v>
      </c>
      <c r="G60" s="5" t="s">
        <v>18</v>
      </c>
      <c r="H60" s="5" t="n">
        <f aca="true">ROUND(RAND()*4+6,1)</f>
        <v>8.2</v>
      </c>
      <c r="I60" s="5" t="s">
        <v>19</v>
      </c>
      <c r="J60" s="5" t="str">
        <f aca="false">ROUND(94*1,0)&amp;"%"</f>
        <v>94%</v>
      </c>
    </row>
    <row r="61" customFormat="false" ht="15" hidden="false" customHeight="false" outlineLevel="0" collapsed="false">
      <c r="A61" s="6" t="s">
        <v>4421</v>
      </c>
      <c r="B61" s="6" t="s">
        <v>128</v>
      </c>
      <c r="C61" s="6" t="s">
        <v>114</v>
      </c>
      <c r="D61" s="6" t="s">
        <v>22</v>
      </c>
      <c r="E61" s="6" t="n">
        <f aca="false">ROUND(15137*1.05,2)</f>
        <v>15893.85</v>
      </c>
      <c r="F61" s="6" t="s">
        <v>52</v>
      </c>
      <c r="G61" s="6" t="s">
        <v>24</v>
      </c>
      <c r="H61" s="6" t="n">
        <f aca="true">ROUND(RAND()*4+6,1)</f>
        <v>7.4</v>
      </c>
      <c r="I61" s="6" t="s">
        <v>25</v>
      </c>
      <c r="J61" s="6" t="str">
        <f aca="false">ROUND(62*1,0)&amp;"%"</f>
        <v>62%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4422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4423</v>
      </c>
      <c r="B66" s="5" t="s">
        <v>132</v>
      </c>
      <c r="C66" s="5" t="s">
        <v>133</v>
      </c>
      <c r="D66" s="5" t="s">
        <v>16</v>
      </c>
      <c r="E66" s="5" t="n">
        <f aca="false">ROUND(17690*1.05,2)</f>
        <v>18574.5</v>
      </c>
      <c r="F66" s="5" t="s">
        <v>17</v>
      </c>
      <c r="G66" s="5" t="s">
        <v>18</v>
      </c>
      <c r="H66" s="5" t="n">
        <f aca="true">ROUND(RAND()*4+6,1)</f>
        <v>8.4</v>
      </c>
      <c r="I66" s="5" t="s">
        <v>19</v>
      </c>
      <c r="J66" s="5" t="str">
        <f aca="false">ROUND(91*1,0)&amp;"%"</f>
        <v>91%</v>
      </c>
    </row>
    <row r="67" customFormat="false" ht="15" hidden="false" customHeight="false" outlineLevel="0" collapsed="false">
      <c r="A67" s="6" t="s">
        <v>4424</v>
      </c>
      <c r="B67" s="6" t="s">
        <v>135</v>
      </c>
      <c r="C67" s="6" t="s">
        <v>133</v>
      </c>
      <c r="D67" s="6" t="s">
        <v>22</v>
      </c>
      <c r="E67" s="6" t="n">
        <f aca="false">ROUND(9930*1.05,2)</f>
        <v>10426.5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ROUND(73*1,0)&amp;"%"</f>
        <v>73%</v>
      </c>
    </row>
    <row r="68" customFormat="false" ht="15" hidden="false" customHeight="false" outlineLevel="0" collapsed="false">
      <c r="A68" s="5" t="s">
        <v>4425</v>
      </c>
      <c r="B68" s="5" t="s">
        <v>137</v>
      </c>
      <c r="C68" s="5" t="s">
        <v>133</v>
      </c>
      <c r="D68" s="5" t="s">
        <v>28</v>
      </c>
      <c r="E68" s="5" t="n">
        <f aca="false">ROUND(12333*1.05,2)</f>
        <v>12949.65</v>
      </c>
      <c r="F68" s="5" t="s">
        <v>29</v>
      </c>
      <c r="G68" s="5" t="s">
        <v>30</v>
      </c>
      <c r="H68" s="5" t="n">
        <f aca="true">ROUND(RAND()*4+6,1)</f>
        <v>7.4</v>
      </c>
      <c r="I68" s="5" t="s">
        <v>31</v>
      </c>
      <c r="J68" s="5" t="str">
        <f aca="false">ROUND(67*1,0)&amp;"%"</f>
        <v>67%</v>
      </c>
    </row>
    <row r="69" customFormat="false" ht="15" hidden="false" customHeight="false" outlineLevel="0" collapsed="false">
      <c r="A69" s="6" t="s">
        <v>4426</v>
      </c>
      <c r="B69" s="6" t="s">
        <v>139</v>
      </c>
      <c r="C69" s="6" t="s">
        <v>133</v>
      </c>
      <c r="D69" s="6" t="s">
        <v>34</v>
      </c>
      <c r="E69" s="6" t="n">
        <f aca="false">ROUND(6001*1.05,2)</f>
        <v>6301.05</v>
      </c>
      <c r="F69" s="6" t="s">
        <v>35</v>
      </c>
      <c r="G69" s="6" t="s">
        <v>18</v>
      </c>
      <c r="H69" s="6" t="n">
        <f aca="true">ROUND(RAND()*4+6,1)</f>
        <v>9.5</v>
      </c>
      <c r="I69" s="6" t="s">
        <v>36</v>
      </c>
      <c r="J69" s="6" t="str">
        <f aca="false">ROUND(78*1,0)&amp;"%"</f>
        <v>78%</v>
      </c>
    </row>
    <row r="70" customFormat="false" ht="15" hidden="false" customHeight="false" outlineLevel="0" collapsed="false">
      <c r="A70" s="5" t="s">
        <v>4427</v>
      </c>
      <c r="B70" s="5" t="s">
        <v>141</v>
      </c>
      <c r="C70" s="5" t="s">
        <v>133</v>
      </c>
      <c r="D70" s="5" t="s">
        <v>39</v>
      </c>
      <c r="E70" s="5" t="n">
        <f aca="false">ROUND(10233*1.05,2)</f>
        <v>10744.65</v>
      </c>
      <c r="F70" s="5" t="s">
        <v>40</v>
      </c>
      <c r="G70" s="5" t="s">
        <v>24</v>
      </c>
      <c r="H70" s="5" t="n">
        <f aca="true">ROUND(RAND()*4+6,1)</f>
        <v>9</v>
      </c>
      <c r="I70" s="5" t="s">
        <v>41</v>
      </c>
      <c r="J70" s="5" t="str">
        <f aca="false">ROUND(96*1,0)&amp;"%"</f>
        <v>96%</v>
      </c>
    </row>
    <row r="71" customFormat="false" ht="15" hidden="false" customHeight="false" outlineLevel="0" collapsed="false">
      <c r="A71" s="6" t="s">
        <v>4428</v>
      </c>
      <c r="B71" s="6" t="s">
        <v>143</v>
      </c>
      <c r="C71" s="6" t="s">
        <v>133</v>
      </c>
      <c r="D71" s="6" t="s">
        <v>44</v>
      </c>
      <c r="E71" s="6" t="n">
        <f aca="false">ROUND(6988*1.05,2)</f>
        <v>7337.4</v>
      </c>
      <c r="F71" s="6" t="s">
        <v>45</v>
      </c>
      <c r="G71" s="6" t="s">
        <v>30</v>
      </c>
      <c r="H71" s="6" t="n">
        <f aca="true">ROUND(RAND()*4+6,1)</f>
        <v>8.5</v>
      </c>
      <c r="I71" s="6" t="s">
        <v>46</v>
      </c>
      <c r="J71" s="6" t="str">
        <f aca="false">ROUND(93*1,0)&amp;"%"</f>
        <v>93%</v>
      </c>
    </row>
    <row r="72" customFormat="false" ht="15" hidden="false" customHeight="false" outlineLevel="0" collapsed="false">
      <c r="A72" s="5" t="s">
        <v>4429</v>
      </c>
      <c r="B72" s="5" t="s">
        <v>145</v>
      </c>
      <c r="C72" s="5" t="s">
        <v>133</v>
      </c>
      <c r="D72" s="5" t="s">
        <v>16</v>
      </c>
      <c r="E72" s="5" t="n">
        <f aca="false">ROUND(15764*1.05,2)</f>
        <v>16552.2</v>
      </c>
      <c r="F72" s="5" t="s">
        <v>49</v>
      </c>
      <c r="G72" s="5" t="s">
        <v>18</v>
      </c>
      <c r="H72" s="5" t="n">
        <f aca="true">ROUND(RAND()*4+6,1)</f>
        <v>6.2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4430</v>
      </c>
      <c r="B73" s="6" t="s">
        <v>147</v>
      </c>
      <c r="C73" s="6" t="s">
        <v>133</v>
      </c>
      <c r="D73" s="6" t="s">
        <v>22</v>
      </c>
      <c r="E73" s="6" t="n">
        <f aca="false">ROUND(16570*1.05,2)</f>
        <v>17398.5</v>
      </c>
      <c r="F73" s="6" t="s">
        <v>52</v>
      </c>
      <c r="G73" s="6" t="s">
        <v>24</v>
      </c>
      <c r="H73" s="6" t="n">
        <f aca="true">ROUND(RAND()*4+6,1)</f>
        <v>6.5</v>
      </c>
      <c r="I73" s="6" t="s">
        <v>25</v>
      </c>
      <c r="J73" s="6" t="str">
        <f aca="false">ROUND(80*1,0)&amp;"%"</f>
        <v>80%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4431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4432</v>
      </c>
      <c r="B78" s="5" t="s">
        <v>151</v>
      </c>
      <c r="C78" s="5" t="s">
        <v>152</v>
      </c>
      <c r="D78" s="5" t="s">
        <v>16</v>
      </c>
      <c r="E78" s="5" t="n">
        <f aca="false">ROUND(10037*1.05,2)</f>
        <v>10538.85</v>
      </c>
      <c r="F78" s="5" t="s">
        <v>17</v>
      </c>
      <c r="G78" s="5" t="s">
        <v>18</v>
      </c>
      <c r="H78" s="5" t="n">
        <f aca="true">ROUND(RAND()*4+6,1)</f>
        <v>9.7</v>
      </c>
      <c r="I78" s="5" t="s">
        <v>19</v>
      </c>
      <c r="J78" s="5" t="str">
        <f aca="false">ROUND(100*1,0)&amp;"%"</f>
        <v>100%</v>
      </c>
    </row>
    <row r="79" customFormat="false" ht="15" hidden="false" customHeight="false" outlineLevel="0" collapsed="false">
      <c r="A79" s="6" t="s">
        <v>4433</v>
      </c>
      <c r="B79" s="6" t="s">
        <v>154</v>
      </c>
      <c r="C79" s="6" t="s">
        <v>152</v>
      </c>
      <c r="D79" s="6" t="s">
        <v>22</v>
      </c>
      <c r="E79" s="6" t="n">
        <f aca="false">ROUND(7496*1.05,2)</f>
        <v>7870.8</v>
      </c>
      <c r="F79" s="6" t="s">
        <v>23</v>
      </c>
      <c r="G79" s="6" t="s">
        <v>24</v>
      </c>
      <c r="H79" s="6" t="n">
        <f aca="true">ROUND(RAND()*4+6,1)</f>
        <v>8.1</v>
      </c>
      <c r="I79" s="6" t="s">
        <v>25</v>
      </c>
      <c r="J79" s="6" t="str">
        <f aca="false">ROUND(68*1,0)&amp;"%"</f>
        <v>68%</v>
      </c>
    </row>
    <row r="80" customFormat="false" ht="15" hidden="false" customHeight="false" outlineLevel="0" collapsed="false">
      <c r="A80" s="5" t="s">
        <v>4434</v>
      </c>
      <c r="B80" s="5" t="s">
        <v>156</v>
      </c>
      <c r="C80" s="5" t="s">
        <v>152</v>
      </c>
      <c r="D80" s="5" t="s">
        <v>28</v>
      </c>
      <c r="E80" s="5" t="n">
        <f aca="false">ROUND(17260*1.05,2)</f>
        <v>18123</v>
      </c>
      <c r="F80" s="5" t="s">
        <v>29</v>
      </c>
      <c r="G80" s="5" t="s">
        <v>30</v>
      </c>
      <c r="H80" s="5" t="n">
        <f aca="true">ROUND(RAND()*4+6,1)</f>
        <v>8.3</v>
      </c>
      <c r="I80" s="5" t="s">
        <v>31</v>
      </c>
      <c r="J80" s="5" t="str">
        <f aca="false">ROUND(99*1,0)&amp;"%"</f>
        <v>99%</v>
      </c>
    </row>
    <row r="81" customFormat="false" ht="15" hidden="false" customHeight="false" outlineLevel="0" collapsed="false">
      <c r="A81" s="6" t="s">
        <v>4435</v>
      </c>
      <c r="B81" s="6" t="s">
        <v>158</v>
      </c>
      <c r="C81" s="6" t="s">
        <v>152</v>
      </c>
      <c r="D81" s="6" t="s">
        <v>34</v>
      </c>
      <c r="E81" s="6" t="n">
        <f aca="false">ROUND(14642*1.05,2)</f>
        <v>15374.1</v>
      </c>
      <c r="F81" s="6" t="s">
        <v>35</v>
      </c>
      <c r="G81" s="6" t="s">
        <v>18</v>
      </c>
      <c r="H81" s="6" t="n">
        <f aca="true">ROUND(RAND()*4+6,1)</f>
        <v>6.7</v>
      </c>
      <c r="I81" s="6" t="s">
        <v>36</v>
      </c>
      <c r="J81" s="6" t="str">
        <f aca="false">ROUND(76*1,0)&amp;"%"</f>
        <v>76%</v>
      </c>
    </row>
    <row r="82" customFormat="false" ht="15" hidden="false" customHeight="false" outlineLevel="0" collapsed="false">
      <c r="A82" s="5" t="s">
        <v>4436</v>
      </c>
      <c r="B82" s="5" t="s">
        <v>160</v>
      </c>
      <c r="C82" s="5" t="s">
        <v>152</v>
      </c>
      <c r="D82" s="5" t="s">
        <v>39</v>
      </c>
      <c r="E82" s="5" t="n">
        <f aca="false">ROUND(17201*1.05,2)</f>
        <v>18061.05</v>
      </c>
      <c r="F82" s="5" t="s">
        <v>40</v>
      </c>
      <c r="G82" s="5" t="s">
        <v>24</v>
      </c>
      <c r="H82" s="5" t="n">
        <f aca="true">ROUND(RAND()*4+6,1)</f>
        <v>6.4</v>
      </c>
      <c r="I82" s="5" t="s">
        <v>41</v>
      </c>
      <c r="J82" s="5" t="str">
        <f aca="false">ROUND(81*1,0)&amp;"%"</f>
        <v>81%</v>
      </c>
    </row>
    <row r="83" customFormat="false" ht="15" hidden="false" customHeight="false" outlineLevel="0" collapsed="false">
      <c r="A83" s="6" t="s">
        <v>4437</v>
      </c>
      <c r="B83" s="6" t="s">
        <v>162</v>
      </c>
      <c r="C83" s="6" t="s">
        <v>152</v>
      </c>
      <c r="D83" s="6" t="s">
        <v>44</v>
      </c>
      <c r="E83" s="6" t="n">
        <f aca="false">ROUND(15133*1.05,2)</f>
        <v>15889.65</v>
      </c>
      <c r="F83" s="6" t="s">
        <v>45</v>
      </c>
      <c r="G83" s="6" t="s">
        <v>30</v>
      </c>
      <c r="H83" s="6" t="n">
        <f aca="true">ROUND(RAND()*4+6,1)</f>
        <v>6.3</v>
      </c>
      <c r="I83" s="6" t="s">
        <v>46</v>
      </c>
      <c r="J83" s="6" t="str">
        <f aca="false">ROUND(61*1,0)&amp;"%"</f>
        <v>61%</v>
      </c>
    </row>
    <row r="84" customFormat="false" ht="15" hidden="false" customHeight="false" outlineLevel="0" collapsed="false">
      <c r="A84" s="5" t="s">
        <v>4438</v>
      </c>
      <c r="B84" s="5" t="s">
        <v>164</v>
      </c>
      <c r="C84" s="5" t="s">
        <v>152</v>
      </c>
      <c r="D84" s="5" t="s">
        <v>16</v>
      </c>
      <c r="E84" s="5" t="n">
        <f aca="false">ROUND(8090*1.05,2)</f>
        <v>8494.5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ROUND(75*1,0)&amp;"%"</f>
        <v>75%</v>
      </c>
    </row>
    <row r="85" customFormat="false" ht="15" hidden="false" customHeight="false" outlineLevel="0" collapsed="false">
      <c r="A85" s="6" t="s">
        <v>4439</v>
      </c>
      <c r="B85" s="6" t="s">
        <v>166</v>
      </c>
      <c r="C85" s="6" t="s">
        <v>152</v>
      </c>
      <c r="D85" s="6" t="s">
        <v>22</v>
      </c>
      <c r="E85" s="6" t="n">
        <f aca="false">ROUND(14092*1.05,2)</f>
        <v>14796.6</v>
      </c>
      <c r="F85" s="6" t="s">
        <v>52</v>
      </c>
      <c r="G85" s="6" t="s">
        <v>24</v>
      </c>
      <c r="H85" s="6" t="n">
        <f aca="true">ROUND(RAND()*4+6,1)</f>
        <v>9.7</v>
      </c>
      <c r="I85" s="6" t="s">
        <v>25</v>
      </c>
      <c r="J85" s="6" t="str">
        <f aca="false">ROUND(79*1,0)&amp;"%"</f>
        <v>79%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4440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4441</v>
      </c>
      <c r="B90" s="5" t="s">
        <v>170</v>
      </c>
      <c r="C90" s="5" t="s">
        <v>15</v>
      </c>
      <c r="D90" s="5" t="s">
        <v>16</v>
      </c>
      <c r="E90" s="5" t="n">
        <f aca="false">ROUND(5248*1.05,2)</f>
        <v>5510.4</v>
      </c>
      <c r="F90" s="5" t="s">
        <v>17</v>
      </c>
      <c r="G90" s="5" t="s">
        <v>18</v>
      </c>
      <c r="H90" s="5" t="n">
        <f aca="true">ROUND(RAND()*4+6,1)</f>
        <v>7.4</v>
      </c>
      <c r="I90" s="5" t="s">
        <v>19</v>
      </c>
      <c r="J90" s="5" t="str">
        <f aca="false">ROUND(92*1,0)&amp;"%"</f>
        <v>92%</v>
      </c>
    </row>
    <row r="91" customFormat="false" ht="15" hidden="false" customHeight="false" outlineLevel="0" collapsed="false">
      <c r="A91" s="6" t="s">
        <v>4442</v>
      </c>
      <c r="B91" s="6" t="s">
        <v>172</v>
      </c>
      <c r="C91" s="6" t="s">
        <v>15</v>
      </c>
      <c r="D91" s="6" t="s">
        <v>22</v>
      </c>
      <c r="E91" s="6" t="n">
        <f aca="false">ROUND(17898*1.05,2)</f>
        <v>18792.9</v>
      </c>
      <c r="F91" s="6" t="s">
        <v>23</v>
      </c>
      <c r="G91" s="6" t="s">
        <v>24</v>
      </c>
      <c r="H91" s="6" t="n">
        <f aca="true">ROUND(RAND()*4+6,1)</f>
        <v>6.8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4443</v>
      </c>
      <c r="B92" s="5" t="s">
        <v>174</v>
      </c>
      <c r="C92" s="5" t="s">
        <v>15</v>
      </c>
      <c r="D92" s="5" t="s">
        <v>28</v>
      </c>
      <c r="E92" s="5" t="n">
        <f aca="false">ROUND(11982*1.05,2)</f>
        <v>12581.1</v>
      </c>
      <c r="F92" s="5" t="s">
        <v>29</v>
      </c>
      <c r="G92" s="5" t="s">
        <v>30</v>
      </c>
      <c r="H92" s="5" t="n">
        <f aca="true">ROUND(RAND()*4+6,1)</f>
        <v>6.4</v>
      </c>
      <c r="I92" s="5" t="s">
        <v>31</v>
      </c>
      <c r="J92" s="5" t="str">
        <f aca="false">ROUND(86*1,0)&amp;"%"</f>
        <v>86%</v>
      </c>
    </row>
    <row r="93" customFormat="false" ht="15" hidden="false" customHeight="false" outlineLevel="0" collapsed="false">
      <c r="A93" s="6" t="s">
        <v>4444</v>
      </c>
      <c r="B93" s="6" t="s">
        <v>176</v>
      </c>
      <c r="C93" s="6" t="s">
        <v>15</v>
      </c>
      <c r="D93" s="6" t="s">
        <v>34</v>
      </c>
      <c r="E93" s="6" t="n">
        <f aca="false">ROUND(12195*1.05,2)</f>
        <v>12804.75</v>
      </c>
      <c r="F93" s="6" t="s">
        <v>35</v>
      </c>
      <c r="G93" s="6" t="s">
        <v>18</v>
      </c>
      <c r="H93" s="6" t="n">
        <f aca="true">ROUND(RAND()*4+6,1)</f>
        <v>8.5</v>
      </c>
      <c r="I93" s="6" t="s">
        <v>36</v>
      </c>
      <c r="J93" s="6" t="str">
        <f aca="false">ROUND(75*1,0)&amp;"%"</f>
        <v>75%</v>
      </c>
    </row>
    <row r="94" customFormat="false" ht="15" hidden="false" customHeight="false" outlineLevel="0" collapsed="false">
      <c r="A94" s="5" t="s">
        <v>4445</v>
      </c>
      <c r="B94" s="5" t="s">
        <v>178</v>
      </c>
      <c r="C94" s="5" t="s">
        <v>15</v>
      </c>
      <c r="D94" s="5" t="s">
        <v>39</v>
      </c>
      <c r="E94" s="5" t="n">
        <f aca="false">ROUND(8949*1.05,2)</f>
        <v>9396.45</v>
      </c>
      <c r="F94" s="5" t="s">
        <v>40</v>
      </c>
      <c r="G94" s="5" t="s">
        <v>24</v>
      </c>
      <c r="H94" s="5" t="n">
        <f aca="true">ROUND(RAND()*4+6,1)</f>
        <v>7.4</v>
      </c>
      <c r="I94" s="5" t="s">
        <v>41</v>
      </c>
      <c r="J94" s="5" t="str">
        <f aca="false">ROUND(77*1,0)&amp;"%"</f>
        <v>77%</v>
      </c>
    </row>
    <row r="95" customFormat="false" ht="15" hidden="false" customHeight="false" outlineLevel="0" collapsed="false">
      <c r="A95" s="6" t="s">
        <v>4446</v>
      </c>
      <c r="B95" s="6" t="s">
        <v>180</v>
      </c>
      <c r="C95" s="6" t="s">
        <v>15</v>
      </c>
      <c r="D95" s="6" t="s">
        <v>44</v>
      </c>
      <c r="E95" s="6" t="n">
        <f aca="false">ROUND(7158*1.05,2)</f>
        <v>7515.9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ROUND(91*1,0)&amp;"%"</f>
        <v>91%</v>
      </c>
    </row>
    <row r="96" customFormat="false" ht="15" hidden="false" customHeight="false" outlineLevel="0" collapsed="false">
      <c r="A96" s="5" t="s">
        <v>4447</v>
      </c>
      <c r="B96" s="5" t="s">
        <v>182</v>
      </c>
      <c r="C96" s="5" t="s">
        <v>15</v>
      </c>
      <c r="D96" s="5" t="s">
        <v>16</v>
      </c>
      <c r="E96" s="5" t="n">
        <f aca="false">ROUND(10697*1.05,2)</f>
        <v>11231.85</v>
      </c>
      <c r="F96" s="5" t="s">
        <v>49</v>
      </c>
      <c r="G96" s="5" t="s">
        <v>18</v>
      </c>
      <c r="H96" s="5" t="n">
        <f aca="true">ROUND(RAND()*4+6,1)</f>
        <v>8.7</v>
      </c>
      <c r="I96" s="5" t="s">
        <v>19</v>
      </c>
      <c r="J96" s="5" t="str">
        <f aca="false">ROUND(63*1,0)&amp;"%"</f>
        <v>63%</v>
      </c>
    </row>
    <row r="97" customFormat="false" ht="15" hidden="false" customHeight="false" outlineLevel="0" collapsed="false">
      <c r="A97" s="6" t="s">
        <v>4448</v>
      </c>
      <c r="B97" s="6" t="s">
        <v>184</v>
      </c>
      <c r="C97" s="6" t="s">
        <v>15</v>
      </c>
      <c r="D97" s="6" t="s">
        <v>22</v>
      </c>
      <c r="E97" s="6" t="n">
        <f aca="false">ROUND(4167*1.05,2)</f>
        <v>4375.35</v>
      </c>
      <c r="F97" s="6" t="s">
        <v>52</v>
      </c>
      <c r="G97" s="6" t="s">
        <v>24</v>
      </c>
      <c r="H97" s="6" t="n">
        <f aca="true">ROUND(RAND()*4+6,1)</f>
        <v>9.1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4449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4450</v>
      </c>
      <c r="B102" s="5" t="s">
        <v>188</v>
      </c>
      <c r="C102" s="5" t="s">
        <v>57</v>
      </c>
      <c r="D102" s="5" t="s">
        <v>16</v>
      </c>
      <c r="E102" s="5" t="n">
        <f aca="false">ROUND(12480*1.05,2)</f>
        <v>13104</v>
      </c>
      <c r="F102" s="5" t="s">
        <v>17</v>
      </c>
      <c r="G102" s="5" t="s">
        <v>18</v>
      </c>
      <c r="H102" s="5" t="n">
        <f aca="true">ROUND(RAND()*4+6,1)</f>
        <v>6</v>
      </c>
      <c r="I102" s="5" t="s">
        <v>19</v>
      </c>
      <c r="J102" s="5" t="str">
        <f aca="false">ROUND(100*1,0)&amp;"%"</f>
        <v>100%</v>
      </c>
    </row>
    <row r="103" customFormat="false" ht="15" hidden="false" customHeight="false" outlineLevel="0" collapsed="false">
      <c r="A103" s="6" t="s">
        <v>4451</v>
      </c>
      <c r="B103" s="6" t="s">
        <v>190</v>
      </c>
      <c r="C103" s="6" t="s">
        <v>57</v>
      </c>
      <c r="D103" s="6" t="s">
        <v>22</v>
      </c>
      <c r="E103" s="6" t="n">
        <f aca="false">ROUND(10687*1.05,2)</f>
        <v>11221.35</v>
      </c>
      <c r="F103" s="6" t="s">
        <v>23</v>
      </c>
      <c r="G103" s="6" t="s">
        <v>24</v>
      </c>
      <c r="H103" s="6" t="n">
        <f aca="true">ROUND(RAND()*4+6,1)</f>
        <v>8.1</v>
      </c>
      <c r="I103" s="6" t="s">
        <v>25</v>
      </c>
      <c r="J103" s="6" t="str">
        <f aca="false">ROUND(89*1,0)&amp;"%"</f>
        <v>89%</v>
      </c>
    </row>
    <row r="104" customFormat="false" ht="15" hidden="false" customHeight="false" outlineLevel="0" collapsed="false">
      <c r="A104" s="5" t="s">
        <v>4452</v>
      </c>
      <c r="B104" s="5" t="s">
        <v>192</v>
      </c>
      <c r="C104" s="5" t="s">
        <v>57</v>
      </c>
      <c r="D104" s="5" t="s">
        <v>28</v>
      </c>
      <c r="E104" s="5" t="n">
        <f aca="false">ROUND(17040*1.05,2)</f>
        <v>17892</v>
      </c>
      <c r="F104" s="5" t="s">
        <v>29</v>
      </c>
      <c r="G104" s="5" t="s">
        <v>30</v>
      </c>
      <c r="H104" s="5" t="n">
        <f aca="true">ROUND(RAND()*4+6,1)</f>
        <v>7.1</v>
      </c>
      <c r="I104" s="5" t="s">
        <v>31</v>
      </c>
      <c r="J104" s="5" t="str">
        <f aca="false">ROUND(94*1,0)&amp;"%"</f>
        <v>94%</v>
      </c>
    </row>
    <row r="105" customFormat="false" ht="15" hidden="false" customHeight="false" outlineLevel="0" collapsed="false">
      <c r="A105" s="6" t="s">
        <v>4453</v>
      </c>
      <c r="B105" s="6" t="s">
        <v>194</v>
      </c>
      <c r="C105" s="6" t="s">
        <v>57</v>
      </c>
      <c r="D105" s="6" t="s">
        <v>34</v>
      </c>
      <c r="E105" s="6" t="n">
        <f aca="false">ROUND(14273*1.05,2)</f>
        <v>14986.65</v>
      </c>
      <c r="F105" s="6" t="s">
        <v>35</v>
      </c>
      <c r="G105" s="6" t="s">
        <v>18</v>
      </c>
      <c r="H105" s="6" t="n">
        <f aca="true">ROUND(RAND()*4+6,1)</f>
        <v>6.3</v>
      </c>
      <c r="I105" s="6" t="s">
        <v>36</v>
      </c>
      <c r="J105" s="6" t="str">
        <f aca="false">ROUND(68*1,0)&amp;"%"</f>
        <v>68%</v>
      </c>
    </row>
    <row r="106" customFormat="false" ht="15" hidden="false" customHeight="false" outlineLevel="0" collapsed="false">
      <c r="A106" s="5" t="s">
        <v>4454</v>
      </c>
      <c r="B106" s="5" t="s">
        <v>196</v>
      </c>
      <c r="C106" s="5" t="s">
        <v>57</v>
      </c>
      <c r="D106" s="5" t="s">
        <v>39</v>
      </c>
      <c r="E106" s="5" t="n">
        <f aca="false">ROUND(6238*1.05,2)</f>
        <v>6549.9</v>
      </c>
      <c r="F106" s="5" t="s">
        <v>40</v>
      </c>
      <c r="G106" s="5" t="s">
        <v>24</v>
      </c>
      <c r="H106" s="5" t="n">
        <f aca="true">ROUND(RAND()*4+6,1)</f>
        <v>9.8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4455</v>
      </c>
      <c r="B107" s="6" t="s">
        <v>198</v>
      </c>
      <c r="C107" s="6" t="s">
        <v>57</v>
      </c>
      <c r="D107" s="6" t="s">
        <v>44</v>
      </c>
      <c r="E107" s="6" t="n">
        <f aca="false">ROUND(12084*1.05,2)</f>
        <v>12688.2</v>
      </c>
      <c r="F107" s="6" t="s">
        <v>45</v>
      </c>
      <c r="G107" s="6" t="s">
        <v>30</v>
      </c>
      <c r="H107" s="6" t="n">
        <f aca="true">ROUND(RAND()*4+6,1)</f>
        <v>8.2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4456</v>
      </c>
      <c r="B108" s="5" t="s">
        <v>200</v>
      </c>
      <c r="C108" s="5" t="s">
        <v>57</v>
      </c>
      <c r="D108" s="5" t="s">
        <v>16</v>
      </c>
      <c r="E108" s="5" t="n">
        <f aca="false">ROUND(6036*1.05,2)</f>
        <v>6337.8</v>
      </c>
      <c r="F108" s="5" t="s">
        <v>49</v>
      </c>
      <c r="G108" s="5" t="s">
        <v>18</v>
      </c>
      <c r="H108" s="5" t="n">
        <f aca="true">ROUND(RAND()*4+6,1)</f>
        <v>7.7</v>
      </c>
      <c r="I108" s="5" t="s">
        <v>19</v>
      </c>
      <c r="J108" s="5" t="str">
        <f aca="false">ROUND(62*1,0)&amp;"%"</f>
        <v>62%</v>
      </c>
    </row>
    <row r="109" customFormat="false" ht="15" hidden="false" customHeight="false" outlineLevel="0" collapsed="false">
      <c r="A109" s="6" t="s">
        <v>4457</v>
      </c>
      <c r="B109" s="6" t="s">
        <v>202</v>
      </c>
      <c r="C109" s="6" t="s">
        <v>57</v>
      </c>
      <c r="D109" s="6" t="s">
        <v>22</v>
      </c>
      <c r="E109" s="6" t="n">
        <f aca="false">ROUND(14853*1.05,2)</f>
        <v>15595.65</v>
      </c>
      <c r="F109" s="6" t="s">
        <v>52</v>
      </c>
      <c r="G109" s="6" t="s">
        <v>24</v>
      </c>
      <c r="H109" s="6" t="n">
        <f aca="true">ROUND(RAND()*4+6,1)</f>
        <v>8.8</v>
      </c>
      <c r="I109" s="6" t="s">
        <v>25</v>
      </c>
      <c r="J109" s="6" t="str">
        <f aca="false">ROUND(82*1,0)&amp;"%"</f>
        <v>82%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4458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4459</v>
      </c>
      <c r="B114" s="5" t="s">
        <v>206</v>
      </c>
      <c r="C114" s="5" t="s">
        <v>76</v>
      </c>
      <c r="D114" s="5" t="s">
        <v>16</v>
      </c>
      <c r="E114" s="5" t="n">
        <f aca="false">ROUND(11490*1.05,2)</f>
        <v>12064.5</v>
      </c>
      <c r="F114" s="5" t="s">
        <v>17</v>
      </c>
      <c r="G114" s="5" t="s">
        <v>18</v>
      </c>
      <c r="H114" s="5" t="n">
        <f aca="true">ROUND(RAND()*4+6,1)</f>
        <v>7</v>
      </c>
      <c r="I114" s="5" t="s">
        <v>19</v>
      </c>
      <c r="J114" s="5" t="str">
        <f aca="false">ROUND(61*1,0)&amp;"%"</f>
        <v>61%</v>
      </c>
    </row>
    <row r="115" customFormat="false" ht="15" hidden="false" customHeight="false" outlineLevel="0" collapsed="false">
      <c r="A115" s="6" t="s">
        <v>4460</v>
      </c>
      <c r="B115" s="6" t="s">
        <v>208</v>
      </c>
      <c r="C115" s="6" t="s">
        <v>76</v>
      </c>
      <c r="D115" s="6" t="s">
        <v>22</v>
      </c>
      <c r="E115" s="6" t="n">
        <f aca="false">ROUND(9078*1.05,2)</f>
        <v>9531.9</v>
      </c>
      <c r="F115" s="6" t="s">
        <v>23</v>
      </c>
      <c r="G115" s="6" t="s">
        <v>24</v>
      </c>
      <c r="H115" s="6" t="n">
        <f aca="true">ROUND(RAND()*4+6,1)</f>
        <v>8.1</v>
      </c>
      <c r="I115" s="6" t="s">
        <v>25</v>
      </c>
      <c r="J115" s="6" t="str">
        <f aca="false">ROUND(71*1,0)&amp;"%"</f>
        <v>71%</v>
      </c>
    </row>
    <row r="116" customFormat="false" ht="15" hidden="false" customHeight="false" outlineLevel="0" collapsed="false">
      <c r="A116" s="5" t="s">
        <v>4461</v>
      </c>
      <c r="B116" s="5" t="s">
        <v>210</v>
      </c>
      <c r="C116" s="5" t="s">
        <v>76</v>
      </c>
      <c r="D116" s="5" t="s">
        <v>28</v>
      </c>
      <c r="E116" s="5" t="n">
        <f aca="false">ROUND(16836*1.05,2)</f>
        <v>17677.8</v>
      </c>
      <c r="F116" s="5" t="s">
        <v>29</v>
      </c>
      <c r="G116" s="5" t="s">
        <v>30</v>
      </c>
      <c r="H116" s="5" t="n">
        <f aca="true">ROUND(RAND()*4+6,1)</f>
        <v>6.7</v>
      </c>
      <c r="I116" s="5" t="s">
        <v>31</v>
      </c>
      <c r="J116" s="5" t="str">
        <f aca="false">ROUND(63*1,0)&amp;"%"</f>
        <v>63%</v>
      </c>
    </row>
    <row r="117" customFormat="false" ht="15" hidden="false" customHeight="false" outlineLevel="0" collapsed="false">
      <c r="A117" s="6" t="s">
        <v>4462</v>
      </c>
      <c r="B117" s="6" t="s">
        <v>212</v>
      </c>
      <c r="C117" s="6" t="s">
        <v>76</v>
      </c>
      <c r="D117" s="6" t="s">
        <v>34</v>
      </c>
      <c r="E117" s="6" t="n">
        <f aca="false">ROUND(13920*1.05,2)</f>
        <v>14616</v>
      </c>
      <c r="F117" s="6" t="s">
        <v>35</v>
      </c>
      <c r="G117" s="6" t="s">
        <v>18</v>
      </c>
      <c r="H117" s="6" t="n">
        <f aca="true">ROUND(RAND()*4+6,1)</f>
        <v>8.7</v>
      </c>
      <c r="I117" s="6" t="s">
        <v>36</v>
      </c>
      <c r="J117" s="6" t="str">
        <f aca="false">ROUND(92*1,0)&amp;"%"</f>
        <v>92%</v>
      </c>
    </row>
    <row r="118" customFormat="false" ht="15" hidden="false" customHeight="false" outlineLevel="0" collapsed="false">
      <c r="A118" s="5" t="s">
        <v>4463</v>
      </c>
      <c r="B118" s="5" t="s">
        <v>214</v>
      </c>
      <c r="C118" s="5" t="s">
        <v>76</v>
      </c>
      <c r="D118" s="5" t="s">
        <v>39</v>
      </c>
      <c r="E118" s="5" t="n">
        <f aca="false">ROUND(8895*1.05,2)</f>
        <v>9339.75</v>
      </c>
      <c r="F118" s="5" t="s">
        <v>40</v>
      </c>
      <c r="G118" s="5" t="s">
        <v>24</v>
      </c>
      <c r="H118" s="5" t="n">
        <f aca="true">ROUND(RAND()*4+6,1)</f>
        <v>9.1</v>
      </c>
      <c r="I118" s="5" t="s">
        <v>41</v>
      </c>
      <c r="J118" s="5" t="str">
        <f aca="false">ROUND(76*1,0)&amp;"%"</f>
        <v>76%</v>
      </c>
    </row>
    <row r="119" customFormat="false" ht="15" hidden="false" customHeight="false" outlineLevel="0" collapsed="false">
      <c r="A119" s="6" t="s">
        <v>4464</v>
      </c>
      <c r="B119" s="6" t="s">
        <v>216</v>
      </c>
      <c r="C119" s="6" t="s">
        <v>76</v>
      </c>
      <c r="D119" s="6" t="s">
        <v>44</v>
      </c>
      <c r="E119" s="6" t="n">
        <f aca="false">ROUND(15101*1.05,2)</f>
        <v>15856.05</v>
      </c>
      <c r="F119" s="6" t="s">
        <v>45</v>
      </c>
      <c r="G119" s="6" t="s">
        <v>30</v>
      </c>
      <c r="H119" s="6" t="n">
        <f aca="true">ROUND(RAND()*4+6,1)</f>
        <v>9.6</v>
      </c>
      <c r="I119" s="6" t="s">
        <v>46</v>
      </c>
      <c r="J119" s="6" t="str">
        <f aca="false">ROUND(77*1,0)&amp;"%"</f>
        <v>77%</v>
      </c>
    </row>
    <row r="120" customFormat="false" ht="15" hidden="false" customHeight="false" outlineLevel="0" collapsed="false">
      <c r="A120" s="5" t="s">
        <v>4465</v>
      </c>
      <c r="B120" s="5" t="s">
        <v>218</v>
      </c>
      <c r="C120" s="5" t="s">
        <v>76</v>
      </c>
      <c r="D120" s="5" t="s">
        <v>16</v>
      </c>
      <c r="E120" s="5" t="n">
        <f aca="false">ROUND(12369*1.05,2)</f>
        <v>12987.45</v>
      </c>
      <c r="F120" s="5" t="s">
        <v>49</v>
      </c>
      <c r="G120" s="5" t="s">
        <v>18</v>
      </c>
      <c r="H120" s="5" t="n">
        <f aca="true">ROUND(RAND()*4+6,1)</f>
        <v>9</v>
      </c>
      <c r="I120" s="5" t="s">
        <v>19</v>
      </c>
      <c r="J120" s="5" t="str">
        <f aca="false">ROUND(80*1,0)&amp;"%"</f>
        <v>80%</v>
      </c>
    </row>
    <row r="121" customFormat="false" ht="15" hidden="false" customHeight="false" outlineLevel="0" collapsed="false">
      <c r="A121" s="6" t="s">
        <v>4466</v>
      </c>
      <c r="B121" s="6" t="s">
        <v>220</v>
      </c>
      <c r="C121" s="6" t="s">
        <v>76</v>
      </c>
      <c r="D121" s="6" t="s">
        <v>22</v>
      </c>
      <c r="E121" s="6" t="n">
        <f aca="false">ROUND(17025*1.05,2)</f>
        <v>17876.25</v>
      </c>
      <c r="F121" s="6" t="s">
        <v>52</v>
      </c>
      <c r="G121" s="6" t="s">
        <v>24</v>
      </c>
      <c r="H121" s="6" t="n">
        <f aca="true">ROUND(RAND()*4+6,1)</f>
        <v>7.3</v>
      </c>
      <c r="I121" s="6" t="s">
        <v>25</v>
      </c>
      <c r="J121" s="6" t="str">
        <f aca="false">ROUND(93*1,0)&amp;"%"</f>
        <v>93%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4467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4468</v>
      </c>
      <c r="B126" s="5" t="s">
        <v>224</v>
      </c>
      <c r="C126" s="5" t="s">
        <v>95</v>
      </c>
      <c r="D126" s="5" t="s">
        <v>16</v>
      </c>
      <c r="E126" s="5" t="n">
        <f aca="false">ROUND(16137*1.05,2)</f>
        <v>16943.85</v>
      </c>
      <c r="F126" s="5" t="s">
        <v>17</v>
      </c>
      <c r="G126" s="5" t="s">
        <v>18</v>
      </c>
      <c r="H126" s="5" t="n">
        <f aca="true">ROUND(RAND()*4+6,1)</f>
        <v>9.1</v>
      </c>
      <c r="I126" s="5" t="s">
        <v>19</v>
      </c>
      <c r="J126" s="5" t="str">
        <f aca="false">ROUND(96*1,0)&amp;"%"</f>
        <v>96%</v>
      </c>
    </row>
    <row r="127" customFormat="false" ht="15" hidden="false" customHeight="false" outlineLevel="0" collapsed="false">
      <c r="A127" s="6" t="s">
        <v>4469</v>
      </c>
      <c r="B127" s="6" t="s">
        <v>226</v>
      </c>
      <c r="C127" s="6" t="s">
        <v>95</v>
      </c>
      <c r="D127" s="6" t="s">
        <v>22</v>
      </c>
      <c r="E127" s="6" t="n">
        <f aca="false">ROUND(8477*1.05,2)</f>
        <v>8900.85</v>
      </c>
      <c r="F127" s="6" t="s">
        <v>23</v>
      </c>
      <c r="G127" s="6" t="s">
        <v>24</v>
      </c>
      <c r="H127" s="6" t="n">
        <f aca="true">ROUND(RAND()*4+6,1)</f>
        <v>8.4</v>
      </c>
      <c r="I127" s="6" t="s">
        <v>25</v>
      </c>
      <c r="J127" s="6" t="str">
        <f aca="false">ROUND(91*1,0)&amp;"%"</f>
        <v>91%</v>
      </c>
    </row>
    <row r="128" customFormat="false" ht="15" hidden="false" customHeight="false" outlineLevel="0" collapsed="false">
      <c r="A128" s="5" t="s">
        <v>4470</v>
      </c>
      <c r="B128" s="5" t="s">
        <v>228</v>
      </c>
      <c r="C128" s="5" t="s">
        <v>95</v>
      </c>
      <c r="D128" s="5" t="s">
        <v>28</v>
      </c>
      <c r="E128" s="5" t="n">
        <f aca="false">ROUND(6666*1.05,2)</f>
        <v>6999.3</v>
      </c>
      <c r="F128" s="5" t="s">
        <v>29</v>
      </c>
      <c r="G128" s="5" t="s">
        <v>30</v>
      </c>
      <c r="H128" s="5" t="n">
        <f aca="true">ROUND(RAND()*4+6,1)</f>
        <v>7.6</v>
      </c>
      <c r="I128" s="5" t="s">
        <v>31</v>
      </c>
      <c r="J128" s="5" t="str">
        <f aca="false">ROUND(71*1,0)&amp;"%"</f>
        <v>71%</v>
      </c>
    </row>
    <row r="129" customFormat="false" ht="15" hidden="false" customHeight="false" outlineLevel="0" collapsed="false">
      <c r="A129" s="6" t="s">
        <v>4471</v>
      </c>
      <c r="B129" s="6" t="s">
        <v>230</v>
      </c>
      <c r="C129" s="6" t="s">
        <v>95</v>
      </c>
      <c r="D129" s="6" t="s">
        <v>34</v>
      </c>
      <c r="E129" s="6" t="n">
        <f aca="false">ROUND(8345*1.05,2)</f>
        <v>8762.25</v>
      </c>
      <c r="F129" s="6" t="s">
        <v>35</v>
      </c>
      <c r="G129" s="6" t="s">
        <v>18</v>
      </c>
      <c r="H129" s="6" t="n">
        <f aca="true">ROUND(RAND()*4+6,1)</f>
        <v>9.9</v>
      </c>
      <c r="I129" s="6" t="s">
        <v>36</v>
      </c>
      <c r="J129" s="6" t="str">
        <f aca="false">ROUND(93*1,0)&amp;"%"</f>
        <v>93%</v>
      </c>
    </row>
    <row r="130" customFormat="false" ht="15" hidden="false" customHeight="false" outlineLevel="0" collapsed="false">
      <c r="A130" s="5" t="s">
        <v>4472</v>
      </c>
      <c r="B130" s="5" t="s">
        <v>232</v>
      </c>
      <c r="C130" s="5" t="s">
        <v>95</v>
      </c>
      <c r="D130" s="5" t="s">
        <v>39</v>
      </c>
      <c r="E130" s="5" t="n">
        <f aca="false">ROUND(13319*1.05,2)</f>
        <v>13984.95</v>
      </c>
      <c r="F130" s="5" t="s">
        <v>40</v>
      </c>
      <c r="G130" s="5" t="s">
        <v>24</v>
      </c>
      <c r="H130" s="5" t="n">
        <f aca="true">ROUND(RAND()*4+6,1)</f>
        <v>6.6</v>
      </c>
      <c r="I130" s="5" t="s">
        <v>41</v>
      </c>
      <c r="J130" s="5" t="str">
        <f aca="false">ROUND(89*1,0)&amp;"%"</f>
        <v>89%</v>
      </c>
    </row>
    <row r="131" customFormat="false" ht="15" hidden="false" customHeight="false" outlineLevel="0" collapsed="false">
      <c r="A131" s="6" t="s">
        <v>4473</v>
      </c>
      <c r="B131" s="6" t="s">
        <v>234</v>
      </c>
      <c r="C131" s="6" t="s">
        <v>95</v>
      </c>
      <c r="D131" s="6" t="s">
        <v>44</v>
      </c>
      <c r="E131" s="6" t="n">
        <f aca="false">ROUND(12715*1.05,2)</f>
        <v>13350.75</v>
      </c>
      <c r="F131" s="6" t="s">
        <v>45</v>
      </c>
      <c r="G131" s="6" t="s">
        <v>30</v>
      </c>
      <c r="H131" s="6" t="n">
        <f aca="true">ROUND(RAND()*4+6,1)</f>
        <v>7.2</v>
      </c>
      <c r="I131" s="6" t="s">
        <v>46</v>
      </c>
      <c r="J131" s="6" t="str">
        <f aca="false">ROUND(86*1,0)&amp;"%"</f>
        <v>86%</v>
      </c>
    </row>
    <row r="132" customFormat="false" ht="15" hidden="false" customHeight="false" outlineLevel="0" collapsed="false">
      <c r="A132" s="5" t="s">
        <v>4474</v>
      </c>
      <c r="B132" s="5" t="s">
        <v>236</v>
      </c>
      <c r="C132" s="5" t="s">
        <v>95</v>
      </c>
      <c r="D132" s="5" t="s">
        <v>16</v>
      </c>
      <c r="E132" s="5" t="n">
        <f aca="false">ROUND(8775*1.05,2)</f>
        <v>9213.75</v>
      </c>
      <c r="F132" s="5" t="s">
        <v>49</v>
      </c>
      <c r="G132" s="5" t="s">
        <v>18</v>
      </c>
      <c r="H132" s="5" t="n">
        <f aca="true">ROUND(RAND()*4+6,1)</f>
        <v>9.7</v>
      </c>
      <c r="I132" s="5" t="s">
        <v>19</v>
      </c>
      <c r="J132" s="5" t="str">
        <f aca="false">ROUND(73*1,0)&amp;"%"</f>
        <v>73%</v>
      </c>
    </row>
    <row r="133" customFormat="false" ht="15" hidden="false" customHeight="false" outlineLevel="0" collapsed="false">
      <c r="A133" s="6" t="s">
        <v>4475</v>
      </c>
      <c r="B133" s="6" t="s">
        <v>238</v>
      </c>
      <c r="C133" s="6" t="s">
        <v>95</v>
      </c>
      <c r="D133" s="6" t="s">
        <v>22</v>
      </c>
      <c r="E133" s="6" t="n">
        <f aca="false">ROUND(4061*1.05,2)</f>
        <v>4264.05</v>
      </c>
      <c r="F133" s="6" t="s">
        <v>52</v>
      </c>
      <c r="G133" s="6" t="s">
        <v>24</v>
      </c>
      <c r="H133" s="6" t="n">
        <f aca="true">ROUND(RAND()*4+6,1)</f>
        <v>8.5</v>
      </c>
      <c r="I133" s="6" t="s">
        <v>25</v>
      </c>
      <c r="J133" s="6" t="str">
        <f aca="false">ROUND(93*1,0)&amp;"%"</f>
        <v>93%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4476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4477</v>
      </c>
      <c r="B138" s="5" t="s">
        <v>242</v>
      </c>
      <c r="C138" s="5" t="s">
        <v>114</v>
      </c>
      <c r="D138" s="5" t="s">
        <v>16</v>
      </c>
      <c r="E138" s="5" t="n">
        <f aca="false">ROUND(13879*1.05,2)</f>
        <v>14572.95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ROUND(68*1,0)&amp;"%"</f>
        <v>68%</v>
      </c>
    </row>
    <row r="139" customFormat="false" ht="15" hidden="false" customHeight="false" outlineLevel="0" collapsed="false">
      <c r="A139" s="6" t="s">
        <v>4478</v>
      </c>
      <c r="B139" s="6" t="s">
        <v>244</v>
      </c>
      <c r="C139" s="6" t="s">
        <v>114</v>
      </c>
      <c r="D139" s="6" t="s">
        <v>22</v>
      </c>
      <c r="E139" s="6" t="n">
        <f aca="false">ROUND(16546*1.05,2)</f>
        <v>17373.3</v>
      </c>
      <c r="F139" s="6" t="s">
        <v>23</v>
      </c>
      <c r="G139" s="6" t="s">
        <v>24</v>
      </c>
      <c r="H139" s="6" t="n">
        <f aca="true">ROUND(RAND()*4+6,1)</f>
        <v>7</v>
      </c>
      <c r="I139" s="6" t="s">
        <v>25</v>
      </c>
      <c r="J139" s="6" t="str">
        <f aca="false">ROUND(61*1,0)&amp;"%"</f>
        <v>61%</v>
      </c>
    </row>
    <row r="140" customFormat="false" ht="15" hidden="false" customHeight="false" outlineLevel="0" collapsed="false">
      <c r="A140" s="5" t="s">
        <v>4479</v>
      </c>
      <c r="B140" s="5" t="s">
        <v>246</v>
      </c>
      <c r="C140" s="5" t="s">
        <v>114</v>
      </c>
      <c r="D140" s="5" t="s">
        <v>28</v>
      </c>
      <c r="E140" s="5" t="n">
        <f aca="false">ROUND(17862*1.05,2)</f>
        <v>18755.1</v>
      </c>
      <c r="F140" s="5" t="s">
        <v>29</v>
      </c>
      <c r="G140" s="5" t="s">
        <v>30</v>
      </c>
      <c r="H140" s="5" t="n">
        <f aca="true">ROUND(RAND()*4+6,1)</f>
        <v>6.1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4480</v>
      </c>
      <c r="B141" s="6" t="s">
        <v>248</v>
      </c>
      <c r="C141" s="6" t="s">
        <v>114</v>
      </c>
      <c r="D141" s="6" t="s">
        <v>34</v>
      </c>
      <c r="E141" s="6" t="n">
        <f aca="false">ROUND(6522*1.05,2)</f>
        <v>6848.1</v>
      </c>
      <c r="F141" s="6" t="s">
        <v>35</v>
      </c>
      <c r="G141" s="6" t="s">
        <v>18</v>
      </c>
      <c r="H141" s="6" t="n">
        <f aca="true">ROUND(RAND()*4+6,1)</f>
        <v>9</v>
      </c>
      <c r="I141" s="6" t="s">
        <v>36</v>
      </c>
      <c r="J141" s="6" t="str">
        <f aca="false">ROUND(65*1,0)&amp;"%"</f>
        <v>65%</v>
      </c>
    </row>
    <row r="142" customFormat="false" ht="15" hidden="false" customHeight="false" outlineLevel="0" collapsed="false">
      <c r="A142" s="5" t="s">
        <v>4481</v>
      </c>
      <c r="B142" s="5" t="s">
        <v>250</v>
      </c>
      <c r="C142" s="5" t="s">
        <v>114</v>
      </c>
      <c r="D142" s="5" t="s">
        <v>39</v>
      </c>
      <c r="E142" s="5" t="n">
        <f aca="false">ROUND(16005*1.05,2)</f>
        <v>16805.25</v>
      </c>
      <c r="F142" s="5" t="s">
        <v>40</v>
      </c>
      <c r="G142" s="5" t="s">
        <v>24</v>
      </c>
      <c r="H142" s="5" t="n">
        <f aca="true">ROUND(RAND()*4+6,1)</f>
        <v>7.9</v>
      </c>
      <c r="I142" s="5" t="s">
        <v>41</v>
      </c>
      <c r="J142" s="5" t="str">
        <f aca="false">ROUND(62*1,0)&amp;"%"</f>
        <v>62%</v>
      </c>
    </row>
    <row r="143" customFormat="false" ht="15" hidden="false" customHeight="false" outlineLevel="0" collapsed="false">
      <c r="A143" s="6" t="s">
        <v>4482</v>
      </c>
      <c r="B143" s="6" t="s">
        <v>252</v>
      </c>
      <c r="C143" s="6" t="s">
        <v>114</v>
      </c>
      <c r="D143" s="6" t="s">
        <v>44</v>
      </c>
      <c r="E143" s="6" t="n">
        <f aca="false">ROUND(15734*1.05,2)</f>
        <v>16520.7</v>
      </c>
      <c r="F143" s="6" t="s">
        <v>45</v>
      </c>
      <c r="G143" s="6" t="s">
        <v>30</v>
      </c>
      <c r="H143" s="6" t="n">
        <f aca="true">ROUND(RAND()*4+6,1)</f>
        <v>8.2</v>
      </c>
      <c r="I143" s="6" t="s">
        <v>46</v>
      </c>
      <c r="J143" s="6" t="str">
        <f aca="false">ROUND(70*1,0)&amp;"%"</f>
        <v>70%</v>
      </c>
    </row>
    <row r="144" customFormat="false" ht="15" hidden="false" customHeight="false" outlineLevel="0" collapsed="false">
      <c r="A144" s="5" t="s">
        <v>4483</v>
      </c>
      <c r="B144" s="5" t="s">
        <v>254</v>
      </c>
      <c r="C144" s="5" t="s">
        <v>114</v>
      </c>
      <c r="D144" s="5" t="s">
        <v>16</v>
      </c>
      <c r="E144" s="5" t="n">
        <f aca="false">ROUND(5431*1.05,2)</f>
        <v>5702.55</v>
      </c>
      <c r="F144" s="5" t="s">
        <v>49</v>
      </c>
      <c r="G144" s="5" t="s">
        <v>18</v>
      </c>
      <c r="H144" s="5" t="n">
        <f aca="true">ROUND(RAND()*4+6,1)</f>
        <v>9.4</v>
      </c>
      <c r="I144" s="5" t="s">
        <v>19</v>
      </c>
      <c r="J144" s="5" t="str">
        <f aca="false">ROUND(98*1,0)&amp;"%"</f>
        <v>98%</v>
      </c>
    </row>
    <row r="145" customFormat="false" ht="15" hidden="false" customHeight="false" outlineLevel="0" collapsed="false">
      <c r="A145" s="6" t="s">
        <v>4484</v>
      </c>
      <c r="B145" s="6" t="s">
        <v>256</v>
      </c>
      <c r="C145" s="6" t="s">
        <v>114</v>
      </c>
      <c r="D145" s="6" t="s">
        <v>22</v>
      </c>
      <c r="E145" s="6" t="n">
        <f aca="false">ROUND(12949*1.05,2)</f>
        <v>13596.45</v>
      </c>
      <c r="F145" s="6" t="s">
        <v>52</v>
      </c>
      <c r="G145" s="6" t="s">
        <v>24</v>
      </c>
      <c r="H145" s="6" t="n">
        <f aca="true">ROUND(RAND()*4+6,1)</f>
        <v>8.3</v>
      </c>
      <c r="I145" s="6" t="s">
        <v>25</v>
      </c>
      <c r="J145" s="6" t="str">
        <f aca="false">ROUND(70*1,0)&amp;"%"</f>
        <v>70%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4485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4486</v>
      </c>
      <c r="B150" s="5" t="s">
        <v>260</v>
      </c>
      <c r="C150" s="5" t="s">
        <v>133</v>
      </c>
      <c r="D150" s="5" t="s">
        <v>16</v>
      </c>
      <c r="E150" s="5" t="n">
        <f aca="false">ROUND(10490*1.05,2)</f>
        <v>11014.5</v>
      </c>
      <c r="F150" s="5" t="s">
        <v>17</v>
      </c>
      <c r="G150" s="5" t="s">
        <v>18</v>
      </c>
      <c r="H150" s="5" t="n">
        <f aca="true">ROUND(RAND()*4+6,1)</f>
        <v>9.6</v>
      </c>
      <c r="I150" s="5" t="s">
        <v>19</v>
      </c>
      <c r="J150" s="5" t="str">
        <f aca="false">ROUND(62*1,0)&amp;"%"</f>
        <v>62%</v>
      </c>
    </row>
    <row r="151" customFormat="false" ht="15" hidden="false" customHeight="false" outlineLevel="0" collapsed="false">
      <c r="A151" s="6" t="s">
        <v>4487</v>
      </c>
      <c r="B151" s="6" t="s">
        <v>262</v>
      </c>
      <c r="C151" s="6" t="s">
        <v>133</v>
      </c>
      <c r="D151" s="6" t="s">
        <v>22</v>
      </c>
      <c r="E151" s="6" t="n">
        <f aca="false">ROUND(15539*1.05,2)</f>
        <v>16315.95</v>
      </c>
      <c r="F151" s="6" t="s">
        <v>23</v>
      </c>
      <c r="G151" s="6" t="s">
        <v>24</v>
      </c>
      <c r="H151" s="6" t="n">
        <f aca="true">ROUND(RAND()*4+6,1)</f>
        <v>6.3</v>
      </c>
      <c r="I151" s="6" t="s">
        <v>25</v>
      </c>
      <c r="J151" s="6" t="str">
        <f aca="false">ROUND(89*1,0)&amp;"%"</f>
        <v>89%</v>
      </c>
    </row>
    <row r="152" customFormat="false" ht="15" hidden="false" customHeight="false" outlineLevel="0" collapsed="false">
      <c r="A152" s="5" t="s">
        <v>4488</v>
      </c>
      <c r="B152" s="5" t="s">
        <v>264</v>
      </c>
      <c r="C152" s="5" t="s">
        <v>133</v>
      </c>
      <c r="D152" s="5" t="s">
        <v>28</v>
      </c>
      <c r="E152" s="5" t="n">
        <f aca="false">ROUND(16518*1.05,2)</f>
        <v>17343.9</v>
      </c>
      <c r="F152" s="5" t="s">
        <v>29</v>
      </c>
      <c r="G152" s="5" t="s">
        <v>30</v>
      </c>
      <c r="H152" s="5" t="n">
        <f aca="true">ROUND(RAND()*4+6,1)</f>
        <v>6.2</v>
      </c>
      <c r="I152" s="5" t="s">
        <v>31</v>
      </c>
      <c r="J152" s="5" t="str">
        <f aca="false">ROUND(83*1,0)&amp;"%"</f>
        <v>83%</v>
      </c>
    </row>
    <row r="153" customFormat="false" ht="15" hidden="false" customHeight="false" outlineLevel="0" collapsed="false">
      <c r="A153" s="6" t="s">
        <v>4489</v>
      </c>
      <c r="B153" s="6" t="s">
        <v>266</v>
      </c>
      <c r="C153" s="6" t="s">
        <v>133</v>
      </c>
      <c r="D153" s="6" t="s">
        <v>34</v>
      </c>
      <c r="E153" s="6" t="n">
        <f aca="false">ROUND(12173*1.05,2)</f>
        <v>12781.65</v>
      </c>
      <c r="F153" s="6" t="s">
        <v>35</v>
      </c>
      <c r="G153" s="6" t="s">
        <v>18</v>
      </c>
      <c r="H153" s="6" t="n">
        <f aca="true">ROUND(RAND()*4+6,1)</f>
        <v>8.4</v>
      </c>
      <c r="I153" s="6" t="s">
        <v>36</v>
      </c>
      <c r="J153" s="6" t="str">
        <f aca="false">ROUND(81*1,0)&amp;"%"</f>
        <v>81%</v>
      </c>
    </row>
    <row r="154" customFormat="false" ht="15" hidden="false" customHeight="false" outlineLevel="0" collapsed="false">
      <c r="A154" s="5" t="s">
        <v>4490</v>
      </c>
      <c r="B154" s="5" t="s">
        <v>268</v>
      </c>
      <c r="C154" s="5" t="s">
        <v>133</v>
      </c>
      <c r="D154" s="5" t="s">
        <v>39</v>
      </c>
      <c r="E154" s="5" t="n">
        <f aca="false">ROUND(5728*1.05,2)</f>
        <v>6014.4</v>
      </c>
      <c r="F154" s="5" t="s">
        <v>40</v>
      </c>
      <c r="G154" s="5" t="s">
        <v>24</v>
      </c>
      <c r="H154" s="5" t="n">
        <f aca="true">ROUND(RAND()*4+6,1)</f>
        <v>10</v>
      </c>
      <c r="I154" s="5" t="s">
        <v>41</v>
      </c>
      <c r="J154" s="5" t="str">
        <f aca="false">ROUND(63*1,0)&amp;"%"</f>
        <v>63%</v>
      </c>
    </row>
    <row r="155" customFormat="false" ht="15" hidden="false" customHeight="false" outlineLevel="0" collapsed="false">
      <c r="A155" s="6" t="s">
        <v>4491</v>
      </c>
      <c r="B155" s="6" t="s">
        <v>270</v>
      </c>
      <c r="C155" s="6" t="s">
        <v>133</v>
      </c>
      <c r="D155" s="6" t="s">
        <v>44</v>
      </c>
      <c r="E155" s="6" t="n">
        <f aca="false">ROUND(4290*1.05,2)</f>
        <v>4504.5</v>
      </c>
      <c r="F155" s="6" t="s">
        <v>45</v>
      </c>
      <c r="G155" s="6" t="s">
        <v>30</v>
      </c>
      <c r="H155" s="6" t="n">
        <f aca="true">ROUND(RAND()*4+6,1)</f>
        <v>7</v>
      </c>
      <c r="I155" s="6" t="s">
        <v>46</v>
      </c>
      <c r="J155" s="6" t="str">
        <f aca="false">ROUND(93*1,0)&amp;"%"</f>
        <v>93%</v>
      </c>
    </row>
    <row r="156" customFormat="false" ht="15" hidden="false" customHeight="false" outlineLevel="0" collapsed="false">
      <c r="A156" s="5" t="s">
        <v>4492</v>
      </c>
      <c r="B156" s="5" t="s">
        <v>272</v>
      </c>
      <c r="C156" s="5" t="s">
        <v>133</v>
      </c>
      <c r="D156" s="5" t="s">
        <v>16</v>
      </c>
      <c r="E156" s="5" t="n">
        <f aca="false">ROUND(15161*1.05,2)</f>
        <v>15919.05</v>
      </c>
      <c r="F156" s="5" t="s">
        <v>49</v>
      </c>
      <c r="G156" s="5" t="s">
        <v>18</v>
      </c>
      <c r="H156" s="5" t="n">
        <f aca="true">ROUND(RAND()*4+6,1)</f>
        <v>7.8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4493</v>
      </c>
      <c r="B157" s="6" t="s">
        <v>274</v>
      </c>
      <c r="C157" s="6" t="s">
        <v>133</v>
      </c>
      <c r="D157" s="6" t="s">
        <v>22</v>
      </c>
      <c r="E157" s="6" t="n">
        <f aca="false">ROUND(6153*1.05,2)</f>
        <v>6460.65</v>
      </c>
      <c r="F157" s="6" t="s">
        <v>52</v>
      </c>
      <c r="G157" s="6" t="s">
        <v>24</v>
      </c>
      <c r="H157" s="6" t="n">
        <f aca="true">ROUND(RAND()*4+6,1)</f>
        <v>8.9</v>
      </c>
      <c r="I157" s="6" t="s">
        <v>25</v>
      </c>
      <c r="J157" s="6" t="str">
        <f aca="false">ROUND(90*1,0)&amp;"%"</f>
        <v>90%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4494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4495</v>
      </c>
      <c r="B162" s="5" t="s">
        <v>278</v>
      </c>
      <c r="C162" s="5" t="s">
        <v>152</v>
      </c>
      <c r="D162" s="5" t="s">
        <v>16</v>
      </c>
      <c r="E162" s="5" t="n">
        <f aca="false">ROUND(15469*1.05,2)</f>
        <v>16242.45</v>
      </c>
      <c r="F162" s="5" t="s">
        <v>17</v>
      </c>
      <c r="G162" s="5" t="s">
        <v>18</v>
      </c>
      <c r="H162" s="5" t="n">
        <f aca="true">ROUND(RAND()*4+6,1)</f>
        <v>8.2</v>
      </c>
      <c r="I162" s="5" t="s">
        <v>19</v>
      </c>
      <c r="J162" s="5" t="str">
        <f aca="false">ROUND(99*1,0)&amp;"%"</f>
        <v>99%</v>
      </c>
    </row>
    <row r="163" customFormat="false" ht="15" hidden="false" customHeight="false" outlineLevel="0" collapsed="false">
      <c r="A163" s="6" t="s">
        <v>4496</v>
      </c>
      <c r="B163" s="6" t="s">
        <v>280</v>
      </c>
      <c r="C163" s="6" t="s">
        <v>152</v>
      </c>
      <c r="D163" s="6" t="s">
        <v>22</v>
      </c>
      <c r="E163" s="6" t="n">
        <f aca="false">ROUND(10083*1.05,2)</f>
        <v>10587.15</v>
      </c>
      <c r="F163" s="6" t="s">
        <v>23</v>
      </c>
      <c r="G163" s="6" t="s">
        <v>24</v>
      </c>
      <c r="H163" s="6" t="n">
        <f aca="true">ROUND(RAND()*4+6,1)</f>
        <v>8</v>
      </c>
      <c r="I163" s="6" t="s">
        <v>25</v>
      </c>
      <c r="J163" s="6" t="str">
        <f aca="false">ROUND(90*1,0)&amp;"%"</f>
        <v>90%</v>
      </c>
    </row>
    <row r="164" customFormat="false" ht="15" hidden="false" customHeight="false" outlineLevel="0" collapsed="false">
      <c r="A164" s="5" t="s">
        <v>4497</v>
      </c>
      <c r="B164" s="5" t="s">
        <v>282</v>
      </c>
      <c r="C164" s="5" t="s">
        <v>152</v>
      </c>
      <c r="D164" s="5" t="s">
        <v>28</v>
      </c>
      <c r="E164" s="5" t="n">
        <f aca="false">ROUND(13443*1.05,2)</f>
        <v>14115.15</v>
      </c>
      <c r="F164" s="5" t="s">
        <v>29</v>
      </c>
      <c r="G164" s="5" t="s">
        <v>30</v>
      </c>
      <c r="H164" s="5" t="n">
        <f aca="true">ROUND(RAND()*4+6,1)</f>
        <v>7.9</v>
      </c>
      <c r="I164" s="5" t="s">
        <v>31</v>
      </c>
      <c r="J164" s="5" t="str">
        <f aca="false">ROUND(63*1,0)&amp;"%"</f>
        <v>63%</v>
      </c>
    </row>
    <row r="165" customFormat="false" ht="15" hidden="false" customHeight="false" outlineLevel="0" collapsed="false">
      <c r="A165" s="6" t="s">
        <v>4498</v>
      </c>
      <c r="B165" s="6" t="s">
        <v>284</v>
      </c>
      <c r="C165" s="6" t="s">
        <v>152</v>
      </c>
      <c r="D165" s="6" t="s">
        <v>34</v>
      </c>
      <c r="E165" s="6" t="n">
        <f aca="false">ROUND(8266*1.05,2)</f>
        <v>8679.3</v>
      </c>
      <c r="F165" s="6" t="s">
        <v>35</v>
      </c>
      <c r="G165" s="6" t="s">
        <v>18</v>
      </c>
      <c r="H165" s="6" t="n">
        <f aca="true">ROUND(RAND()*4+6,1)</f>
        <v>6.5</v>
      </c>
      <c r="I165" s="6" t="s">
        <v>36</v>
      </c>
      <c r="J165" s="6" t="str">
        <f aca="false">ROUND(70*1,0)&amp;"%"</f>
        <v>70%</v>
      </c>
    </row>
    <row r="166" customFormat="false" ht="15" hidden="false" customHeight="false" outlineLevel="0" collapsed="false">
      <c r="A166" s="5" t="s">
        <v>4499</v>
      </c>
      <c r="B166" s="5" t="s">
        <v>286</v>
      </c>
      <c r="C166" s="5" t="s">
        <v>152</v>
      </c>
      <c r="D166" s="5" t="s">
        <v>39</v>
      </c>
      <c r="E166" s="5" t="n">
        <f aca="false">ROUND(10987*1.05,2)</f>
        <v>11536.35</v>
      </c>
      <c r="F166" s="5" t="s">
        <v>40</v>
      </c>
      <c r="G166" s="5" t="s">
        <v>24</v>
      </c>
      <c r="H166" s="5" t="n">
        <f aca="true">ROUND(RAND()*4+6,1)</f>
        <v>7.8</v>
      </c>
      <c r="I166" s="5" t="s">
        <v>41</v>
      </c>
      <c r="J166" s="5" t="str">
        <f aca="false">ROUND(91*1,0)&amp;"%"</f>
        <v>91%</v>
      </c>
    </row>
    <row r="167" customFormat="false" ht="15" hidden="false" customHeight="false" outlineLevel="0" collapsed="false">
      <c r="A167" s="6" t="s">
        <v>4500</v>
      </c>
      <c r="B167" s="6" t="s">
        <v>288</v>
      </c>
      <c r="C167" s="6" t="s">
        <v>152</v>
      </c>
      <c r="D167" s="6" t="s">
        <v>44</v>
      </c>
      <c r="E167" s="6" t="n">
        <f aca="false">ROUND(10911*1.05,2)</f>
        <v>11456.55</v>
      </c>
      <c r="F167" s="6" t="s">
        <v>45</v>
      </c>
      <c r="G167" s="6" t="s">
        <v>30</v>
      </c>
      <c r="H167" s="6" t="n">
        <f aca="true">ROUND(RAND()*4+6,1)</f>
        <v>6</v>
      </c>
      <c r="I167" s="6" t="s">
        <v>46</v>
      </c>
      <c r="J167" s="6" t="str">
        <f aca="false">ROUND(64*1,0)&amp;"%"</f>
        <v>64%</v>
      </c>
    </row>
    <row r="168" customFormat="false" ht="15" hidden="false" customHeight="false" outlineLevel="0" collapsed="false">
      <c r="A168" s="5" t="s">
        <v>4501</v>
      </c>
      <c r="B168" s="5" t="s">
        <v>290</v>
      </c>
      <c r="C168" s="5" t="s">
        <v>152</v>
      </c>
      <c r="D168" s="5" t="s">
        <v>16</v>
      </c>
      <c r="E168" s="5" t="n">
        <f aca="false">ROUND(16580*1.05,2)</f>
        <v>17409</v>
      </c>
      <c r="F168" s="5" t="s">
        <v>49</v>
      </c>
      <c r="G168" s="5" t="s">
        <v>18</v>
      </c>
      <c r="H168" s="5" t="n">
        <f aca="true">ROUND(RAND()*4+6,1)</f>
        <v>8.6</v>
      </c>
      <c r="I168" s="5" t="s">
        <v>19</v>
      </c>
      <c r="J168" s="5" t="str">
        <f aca="false">ROUND(100*1,0)&amp;"%"</f>
        <v>100%</v>
      </c>
    </row>
    <row r="169" customFormat="false" ht="15" hidden="false" customHeight="false" outlineLevel="0" collapsed="false">
      <c r="A169" s="6" t="s">
        <v>4502</v>
      </c>
      <c r="B169" s="6" t="s">
        <v>292</v>
      </c>
      <c r="C169" s="6" t="s">
        <v>152</v>
      </c>
      <c r="D169" s="6" t="s">
        <v>22</v>
      </c>
      <c r="E169" s="6" t="n">
        <f aca="false">ROUND(15923*1.05,2)</f>
        <v>16719.15</v>
      </c>
      <c r="F169" s="6" t="s">
        <v>52</v>
      </c>
      <c r="G169" s="6" t="s">
        <v>24</v>
      </c>
      <c r="H169" s="6" t="n">
        <f aca="true">ROUND(RAND()*4+6,1)</f>
        <v>6.8</v>
      </c>
      <c r="I169" s="6" t="s">
        <v>25</v>
      </c>
      <c r="J169" s="6" t="str">
        <f aca="false">ROUND(73*1,0)&amp;"%"</f>
        <v>73%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4503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4504</v>
      </c>
      <c r="B174" s="5" t="s">
        <v>296</v>
      </c>
      <c r="C174" s="5" t="s">
        <v>15</v>
      </c>
      <c r="D174" s="5" t="s">
        <v>16</v>
      </c>
      <c r="E174" s="5" t="n">
        <f aca="false">ROUND(11647*1.05,2)</f>
        <v>12229.35</v>
      </c>
      <c r="F174" s="5" t="s">
        <v>17</v>
      </c>
      <c r="G174" s="5" t="s">
        <v>18</v>
      </c>
      <c r="H174" s="5" t="n">
        <f aca="true">ROUND(RAND()*4+6,1)</f>
        <v>6.2</v>
      </c>
      <c r="I174" s="5" t="s">
        <v>19</v>
      </c>
      <c r="J174" s="5" t="str">
        <f aca="false">ROUND(85*1,0)&amp;"%"</f>
        <v>85%</v>
      </c>
    </row>
    <row r="175" customFormat="false" ht="15" hidden="false" customHeight="false" outlineLevel="0" collapsed="false">
      <c r="A175" s="6" t="s">
        <v>4505</v>
      </c>
      <c r="B175" s="6" t="s">
        <v>298</v>
      </c>
      <c r="C175" s="6" t="s">
        <v>15</v>
      </c>
      <c r="D175" s="6" t="s">
        <v>22</v>
      </c>
      <c r="E175" s="6" t="n">
        <f aca="false">ROUND(9214*1.05,2)</f>
        <v>9674.7</v>
      </c>
      <c r="F175" s="6" t="s">
        <v>23</v>
      </c>
      <c r="G175" s="6" t="s">
        <v>24</v>
      </c>
      <c r="H175" s="6" t="n">
        <f aca="true">ROUND(RAND()*4+6,1)</f>
        <v>7.9</v>
      </c>
      <c r="I175" s="6" t="s">
        <v>25</v>
      </c>
      <c r="J175" s="6" t="str">
        <f aca="false">ROUND(86*1,0)&amp;"%"</f>
        <v>86%</v>
      </c>
    </row>
    <row r="176" customFormat="false" ht="15" hidden="false" customHeight="false" outlineLevel="0" collapsed="false">
      <c r="A176" s="5" t="s">
        <v>4506</v>
      </c>
      <c r="B176" s="5" t="s">
        <v>300</v>
      </c>
      <c r="C176" s="5" t="s">
        <v>15</v>
      </c>
      <c r="D176" s="5" t="s">
        <v>28</v>
      </c>
      <c r="E176" s="5" t="n">
        <f aca="false">ROUND(15097*1.05,2)</f>
        <v>15851.85</v>
      </c>
      <c r="F176" s="5" t="s">
        <v>29</v>
      </c>
      <c r="G176" s="5" t="s">
        <v>30</v>
      </c>
      <c r="H176" s="5" t="n">
        <f aca="true">ROUND(RAND()*4+6,1)</f>
        <v>6.7</v>
      </c>
      <c r="I176" s="5" t="s">
        <v>31</v>
      </c>
      <c r="J176" s="5" t="str">
        <f aca="false">ROUND(73*1,0)&amp;"%"</f>
        <v>73%</v>
      </c>
    </row>
    <row r="177" customFormat="false" ht="15" hidden="false" customHeight="false" outlineLevel="0" collapsed="false">
      <c r="A177" s="6" t="s">
        <v>4507</v>
      </c>
      <c r="B177" s="6" t="s">
        <v>302</v>
      </c>
      <c r="C177" s="6" t="s">
        <v>15</v>
      </c>
      <c r="D177" s="6" t="s">
        <v>34</v>
      </c>
      <c r="E177" s="6" t="n">
        <f aca="false">ROUND(17157*1.05,2)</f>
        <v>18014.85</v>
      </c>
      <c r="F177" s="6" t="s">
        <v>35</v>
      </c>
      <c r="G177" s="6" t="s">
        <v>18</v>
      </c>
      <c r="H177" s="6" t="n">
        <f aca="true">ROUND(RAND()*4+6,1)</f>
        <v>7.2</v>
      </c>
      <c r="I177" s="6" t="s">
        <v>36</v>
      </c>
      <c r="J177" s="6" t="str">
        <f aca="false">ROUND(89*1,0)&amp;"%"</f>
        <v>89%</v>
      </c>
    </row>
    <row r="178" customFormat="false" ht="15" hidden="false" customHeight="false" outlineLevel="0" collapsed="false">
      <c r="A178" s="5" t="s">
        <v>4508</v>
      </c>
      <c r="B178" s="5" t="s">
        <v>304</v>
      </c>
      <c r="C178" s="5" t="s">
        <v>15</v>
      </c>
      <c r="D178" s="5" t="s">
        <v>39</v>
      </c>
      <c r="E178" s="5" t="n">
        <f aca="false">ROUND(15320*1.05,2)</f>
        <v>16086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ROUND(64*1,0)&amp;"%"</f>
        <v>64%</v>
      </c>
    </row>
    <row r="179" customFormat="false" ht="15" hidden="false" customHeight="false" outlineLevel="0" collapsed="false">
      <c r="A179" s="6" t="s">
        <v>4509</v>
      </c>
      <c r="B179" s="6" t="s">
        <v>306</v>
      </c>
      <c r="C179" s="6" t="s">
        <v>15</v>
      </c>
      <c r="D179" s="6" t="s">
        <v>44</v>
      </c>
      <c r="E179" s="6" t="n">
        <f aca="false">ROUND(15842*1.05,2)</f>
        <v>16634.1</v>
      </c>
      <c r="F179" s="6" t="s">
        <v>45</v>
      </c>
      <c r="G179" s="6" t="s">
        <v>30</v>
      </c>
      <c r="H179" s="6" t="n">
        <f aca="true">ROUND(RAND()*4+6,1)</f>
        <v>6.8</v>
      </c>
      <c r="I179" s="6" t="s">
        <v>46</v>
      </c>
      <c r="J179" s="6" t="str">
        <f aca="false">ROUND(75*1,0)&amp;"%"</f>
        <v>75%</v>
      </c>
    </row>
    <row r="180" customFormat="false" ht="15" hidden="false" customHeight="false" outlineLevel="0" collapsed="false">
      <c r="A180" s="5" t="s">
        <v>4510</v>
      </c>
      <c r="B180" s="5" t="s">
        <v>308</v>
      </c>
      <c r="C180" s="5" t="s">
        <v>15</v>
      </c>
      <c r="D180" s="5" t="s">
        <v>16</v>
      </c>
      <c r="E180" s="5" t="n">
        <f aca="false">ROUND(13608*1.05,2)</f>
        <v>14288.4</v>
      </c>
      <c r="F180" s="5" t="s">
        <v>49</v>
      </c>
      <c r="G180" s="5" t="s">
        <v>18</v>
      </c>
      <c r="H180" s="5" t="n">
        <f aca="true">ROUND(RAND()*4+6,1)</f>
        <v>9.7</v>
      </c>
      <c r="I180" s="5" t="s">
        <v>19</v>
      </c>
      <c r="J180" s="5" t="str">
        <f aca="false">ROUND(65*1,0)&amp;"%"</f>
        <v>65%</v>
      </c>
    </row>
    <row r="181" customFormat="false" ht="15" hidden="false" customHeight="false" outlineLevel="0" collapsed="false">
      <c r="A181" s="6" t="s">
        <v>4511</v>
      </c>
      <c r="B181" s="6" t="s">
        <v>310</v>
      </c>
      <c r="C181" s="6" t="s">
        <v>15</v>
      </c>
      <c r="D181" s="6" t="s">
        <v>22</v>
      </c>
      <c r="E181" s="6" t="n">
        <f aca="false">ROUND(8017*1.05,2)</f>
        <v>8417.85</v>
      </c>
      <c r="F181" s="6" t="s">
        <v>52</v>
      </c>
      <c r="G181" s="6" t="s">
        <v>24</v>
      </c>
      <c r="H181" s="6" t="n">
        <f aca="true">ROUND(RAND()*4+6,1)</f>
        <v>6.6</v>
      </c>
      <c r="I181" s="6" t="s">
        <v>25</v>
      </c>
      <c r="J181" s="6" t="str">
        <f aca="false">ROUND(83*1,0)&amp;"%"</f>
        <v>83%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4512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4513</v>
      </c>
      <c r="B186" s="5" t="s">
        <v>314</v>
      </c>
      <c r="C186" s="5" t="s">
        <v>57</v>
      </c>
      <c r="D186" s="5" t="s">
        <v>16</v>
      </c>
      <c r="E186" s="5" t="n">
        <f aca="false">ROUND(9070*1.05,2)</f>
        <v>9523.5</v>
      </c>
      <c r="F186" s="5" t="s">
        <v>17</v>
      </c>
      <c r="G186" s="5" t="s">
        <v>18</v>
      </c>
      <c r="H186" s="5" t="n">
        <f aca="true">ROUND(RAND()*4+6,1)</f>
        <v>7.5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4514</v>
      </c>
      <c r="B187" s="6" t="s">
        <v>316</v>
      </c>
      <c r="C187" s="6" t="s">
        <v>57</v>
      </c>
      <c r="D187" s="6" t="s">
        <v>22</v>
      </c>
      <c r="E187" s="6" t="n">
        <f aca="false">ROUND(13819*1.05,2)</f>
        <v>14509.95</v>
      </c>
      <c r="F187" s="6" t="s">
        <v>23</v>
      </c>
      <c r="G187" s="6" t="s">
        <v>24</v>
      </c>
      <c r="H187" s="6" t="n">
        <f aca="true">ROUND(RAND()*4+6,1)</f>
        <v>9.1</v>
      </c>
      <c r="I187" s="6" t="s">
        <v>25</v>
      </c>
      <c r="J187" s="6" t="str">
        <f aca="false">ROUND(73*1,0)&amp;"%"</f>
        <v>73%</v>
      </c>
    </row>
    <row r="188" customFormat="false" ht="15" hidden="false" customHeight="false" outlineLevel="0" collapsed="false">
      <c r="A188" s="5" t="s">
        <v>4515</v>
      </c>
      <c r="B188" s="5" t="s">
        <v>318</v>
      </c>
      <c r="C188" s="5" t="s">
        <v>57</v>
      </c>
      <c r="D188" s="5" t="s">
        <v>28</v>
      </c>
      <c r="E188" s="5" t="n">
        <f aca="false">ROUND(16582*1.05,2)</f>
        <v>17411.1</v>
      </c>
      <c r="F188" s="5" t="s">
        <v>29</v>
      </c>
      <c r="G188" s="5" t="s">
        <v>30</v>
      </c>
      <c r="H188" s="5" t="n">
        <f aca="true">ROUND(RAND()*4+6,1)</f>
        <v>6.9</v>
      </c>
      <c r="I188" s="5" t="s">
        <v>31</v>
      </c>
      <c r="J188" s="5" t="str">
        <f aca="false">ROUND(87*1,0)&amp;"%"</f>
        <v>87%</v>
      </c>
    </row>
    <row r="189" customFormat="false" ht="15" hidden="false" customHeight="false" outlineLevel="0" collapsed="false">
      <c r="A189" s="6" t="s">
        <v>4516</v>
      </c>
      <c r="B189" s="6" t="s">
        <v>320</v>
      </c>
      <c r="C189" s="6" t="s">
        <v>57</v>
      </c>
      <c r="D189" s="6" t="s">
        <v>34</v>
      </c>
      <c r="E189" s="6" t="n">
        <f aca="false">ROUND(17527*1.05,2)</f>
        <v>18403.35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ROUND(99*1,0)&amp;"%"</f>
        <v>99%</v>
      </c>
    </row>
    <row r="190" customFormat="false" ht="15" hidden="false" customHeight="false" outlineLevel="0" collapsed="false">
      <c r="A190" s="5" t="s">
        <v>4517</v>
      </c>
      <c r="B190" s="5" t="s">
        <v>322</v>
      </c>
      <c r="C190" s="5" t="s">
        <v>57</v>
      </c>
      <c r="D190" s="5" t="s">
        <v>39</v>
      </c>
      <c r="E190" s="5" t="n">
        <f aca="false">ROUND(16083*1.05,2)</f>
        <v>16887.15</v>
      </c>
      <c r="F190" s="5" t="s">
        <v>40</v>
      </c>
      <c r="G190" s="5" t="s">
        <v>24</v>
      </c>
      <c r="H190" s="5" t="n">
        <f aca="true">ROUND(RAND()*4+6,1)</f>
        <v>7.4</v>
      </c>
      <c r="I190" s="5" t="s">
        <v>41</v>
      </c>
      <c r="J190" s="5" t="str">
        <f aca="false">ROUND(91*1,0)&amp;"%"</f>
        <v>91%</v>
      </c>
    </row>
    <row r="191" customFormat="false" ht="15" hidden="false" customHeight="false" outlineLevel="0" collapsed="false">
      <c r="A191" s="6" t="s">
        <v>4518</v>
      </c>
      <c r="B191" s="6" t="s">
        <v>324</v>
      </c>
      <c r="C191" s="6" t="s">
        <v>57</v>
      </c>
      <c r="D191" s="6" t="s">
        <v>44</v>
      </c>
      <c r="E191" s="6" t="n">
        <f aca="false">ROUND(9474*1.05,2)</f>
        <v>9947.7</v>
      </c>
      <c r="F191" s="6" t="s">
        <v>45</v>
      </c>
      <c r="G191" s="6" t="s">
        <v>30</v>
      </c>
      <c r="H191" s="6" t="n">
        <f aca="true">ROUND(RAND()*4+6,1)</f>
        <v>9.1</v>
      </c>
      <c r="I191" s="6" t="s">
        <v>46</v>
      </c>
      <c r="J191" s="6" t="str">
        <f aca="false">ROUND(91*1,0)&amp;"%"</f>
        <v>91%</v>
      </c>
    </row>
    <row r="192" customFormat="false" ht="15" hidden="false" customHeight="false" outlineLevel="0" collapsed="false">
      <c r="A192" s="5" t="s">
        <v>4519</v>
      </c>
      <c r="B192" s="5" t="s">
        <v>326</v>
      </c>
      <c r="C192" s="5" t="s">
        <v>57</v>
      </c>
      <c r="D192" s="5" t="s">
        <v>16</v>
      </c>
      <c r="E192" s="5" t="n">
        <f aca="false">ROUND(10272*1.05,2)</f>
        <v>10785.6</v>
      </c>
      <c r="F192" s="5" t="s">
        <v>49</v>
      </c>
      <c r="G192" s="5" t="s">
        <v>18</v>
      </c>
      <c r="H192" s="5" t="n">
        <f aca="true">ROUND(RAND()*4+6,1)</f>
        <v>6.2</v>
      </c>
      <c r="I192" s="5" t="s">
        <v>19</v>
      </c>
      <c r="J192" s="5" t="str">
        <f aca="false">ROUND(66*1,0)&amp;"%"</f>
        <v>66%</v>
      </c>
    </row>
    <row r="193" customFormat="false" ht="15" hidden="false" customHeight="false" outlineLevel="0" collapsed="false">
      <c r="A193" s="6" t="s">
        <v>4520</v>
      </c>
      <c r="B193" s="6" t="s">
        <v>328</v>
      </c>
      <c r="C193" s="6" t="s">
        <v>57</v>
      </c>
      <c r="D193" s="6" t="s">
        <v>22</v>
      </c>
      <c r="E193" s="6" t="n">
        <f aca="false">ROUND(11269*1.05,2)</f>
        <v>11832.45</v>
      </c>
      <c r="F193" s="6" t="s">
        <v>52</v>
      </c>
      <c r="G193" s="6" t="s">
        <v>24</v>
      </c>
      <c r="H193" s="6" t="n">
        <f aca="true">ROUND(RAND()*4+6,1)</f>
        <v>7.3</v>
      </c>
      <c r="I193" s="6" t="s">
        <v>25</v>
      </c>
      <c r="J193" s="6" t="str">
        <f aca="false">ROUND(72*1,0)&amp;"%"</f>
        <v>72%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4521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4522</v>
      </c>
      <c r="B198" s="5" t="s">
        <v>332</v>
      </c>
      <c r="C198" s="5" t="s">
        <v>76</v>
      </c>
      <c r="D198" s="5" t="s">
        <v>16</v>
      </c>
      <c r="E198" s="5" t="n">
        <f aca="false">ROUND(10344*1.05,2)</f>
        <v>10861.2</v>
      </c>
      <c r="F198" s="5" t="s">
        <v>17</v>
      </c>
      <c r="G198" s="5" t="s">
        <v>18</v>
      </c>
      <c r="H198" s="5" t="n">
        <f aca="true">ROUND(RAND()*4+6,1)</f>
        <v>6.4</v>
      </c>
      <c r="I198" s="5" t="s">
        <v>19</v>
      </c>
      <c r="J198" s="5" t="str">
        <f aca="false">ROUND(100*1,0)&amp;"%"</f>
        <v>100%</v>
      </c>
    </row>
    <row r="199" customFormat="false" ht="15" hidden="false" customHeight="false" outlineLevel="0" collapsed="false">
      <c r="A199" s="6" t="s">
        <v>4523</v>
      </c>
      <c r="B199" s="6" t="s">
        <v>334</v>
      </c>
      <c r="C199" s="6" t="s">
        <v>76</v>
      </c>
      <c r="D199" s="6" t="s">
        <v>22</v>
      </c>
      <c r="E199" s="6" t="n">
        <f aca="false">ROUND(17638*1.05,2)</f>
        <v>18519.9</v>
      </c>
      <c r="F199" s="6" t="s">
        <v>23</v>
      </c>
      <c r="G199" s="6" t="s">
        <v>24</v>
      </c>
      <c r="H199" s="6" t="n">
        <f aca="true">ROUND(RAND()*4+6,1)</f>
        <v>6.6</v>
      </c>
      <c r="I199" s="6" t="s">
        <v>25</v>
      </c>
      <c r="J199" s="6" t="str">
        <f aca="false">ROUND(81*1,0)&amp;"%"</f>
        <v>81%</v>
      </c>
    </row>
    <row r="200" customFormat="false" ht="15" hidden="false" customHeight="false" outlineLevel="0" collapsed="false">
      <c r="A200" s="5" t="s">
        <v>4524</v>
      </c>
      <c r="B200" s="5" t="s">
        <v>336</v>
      </c>
      <c r="C200" s="5" t="s">
        <v>76</v>
      </c>
      <c r="D200" s="5" t="s">
        <v>28</v>
      </c>
      <c r="E200" s="5" t="n">
        <f aca="false">ROUND(16397*1.05,2)</f>
        <v>17216.85</v>
      </c>
      <c r="F200" s="5" t="s">
        <v>29</v>
      </c>
      <c r="G200" s="5" t="s">
        <v>30</v>
      </c>
      <c r="H200" s="5" t="n">
        <f aca="true">ROUND(RAND()*4+6,1)</f>
        <v>6.8</v>
      </c>
      <c r="I200" s="5" t="s">
        <v>31</v>
      </c>
      <c r="J200" s="5" t="str">
        <f aca="false">ROUND(69*1,0)&amp;"%"</f>
        <v>69%</v>
      </c>
    </row>
    <row r="201" customFormat="false" ht="15" hidden="false" customHeight="false" outlineLevel="0" collapsed="false">
      <c r="A201" s="6" t="s">
        <v>4525</v>
      </c>
      <c r="B201" s="6" t="s">
        <v>338</v>
      </c>
      <c r="C201" s="6" t="s">
        <v>76</v>
      </c>
      <c r="D201" s="6" t="s">
        <v>34</v>
      </c>
      <c r="E201" s="6" t="n">
        <f aca="false">ROUND(8911*1.05,2)</f>
        <v>9356.55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ROUND(83*1,0)&amp;"%"</f>
        <v>83%</v>
      </c>
    </row>
    <row r="202" customFormat="false" ht="15" hidden="false" customHeight="false" outlineLevel="0" collapsed="false">
      <c r="A202" s="5" t="s">
        <v>4526</v>
      </c>
      <c r="B202" s="5" t="s">
        <v>340</v>
      </c>
      <c r="C202" s="5" t="s">
        <v>76</v>
      </c>
      <c r="D202" s="5" t="s">
        <v>39</v>
      </c>
      <c r="E202" s="5" t="n">
        <f aca="false">ROUND(6191*1.05,2)</f>
        <v>6500.55</v>
      </c>
      <c r="F202" s="5" t="s">
        <v>40</v>
      </c>
      <c r="G202" s="5" t="s">
        <v>24</v>
      </c>
      <c r="H202" s="5" t="n">
        <f aca="true">ROUND(RAND()*4+6,1)</f>
        <v>8.6</v>
      </c>
      <c r="I202" s="5" t="s">
        <v>41</v>
      </c>
      <c r="J202" s="5" t="str">
        <f aca="false">ROUND(88*1,0)&amp;"%"</f>
        <v>88%</v>
      </c>
    </row>
    <row r="203" customFormat="false" ht="15" hidden="false" customHeight="false" outlineLevel="0" collapsed="false">
      <c r="A203" s="6" t="s">
        <v>4527</v>
      </c>
      <c r="B203" s="6" t="s">
        <v>342</v>
      </c>
      <c r="C203" s="6" t="s">
        <v>76</v>
      </c>
      <c r="D203" s="6" t="s">
        <v>44</v>
      </c>
      <c r="E203" s="6" t="n">
        <f aca="false">ROUND(7175*1.05,2)</f>
        <v>7533.75</v>
      </c>
      <c r="F203" s="6" t="s">
        <v>45</v>
      </c>
      <c r="G203" s="6" t="s">
        <v>30</v>
      </c>
      <c r="H203" s="6" t="n">
        <f aca="true">ROUND(RAND()*4+6,1)</f>
        <v>8.5</v>
      </c>
      <c r="I203" s="6" t="s">
        <v>46</v>
      </c>
      <c r="J203" s="6" t="str">
        <f aca="false">ROUND(84*1,0)&amp;"%"</f>
        <v>84%</v>
      </c>
    </row>
    <row r="204" customFormat="false" ht="15" hidden="false" customHeight="false" outlineLevel="0" collapsed="false">
      <c r="A204" s="5" t="s">
        <v>4528</v>
      </c>
      <c r="B204" s="5" t="s">
        <v>344</v>
      </c>
      <c r="C204" s="5" t="s">
        <v>76</v>
      </c>
      <c r="D204" s="5" t="s">
        <v>16</v>
      </c>
      <c r="E204" s="5" t="n">
        <f aca="false">ROUND(6715*1.05,2)</f>
        <v>7050.75</v>
      </c>
      <c r="F204" s="5" t="s">
        <v>49</v>
      </c>
      <c r="G204" s="5" t="s">
        <v>18</v>
      </c>
      <c r="H204" s="5" t="n">
        <f aca="true">ROUND(RAND()*4+6,1)</f>
        <v>9.1</v>
      </c>
      <c r="I204" s="5" t="s">
        <v>19</v>
      </c>
      <c r="J204" s="5" t="str">
        <f aca="false">ROUND(67*1,0)&amp;"%"</f>
        <v>67%</v>
      </c>
    </row>
    <row r="205" customFormat="false" ht="15" hidden="false" customHeight="false" outlineLevel="0" collapsed="false">
      <c r="A205" s="6" t="s">
        <v>4529</v>
      </c>
      <c r="B205" s="6" t="s">
        <v>346</v>
      </c>
      <c r="C205" s="6" t="s">
        <v>76</v>
      </c>
      <c r="D205" s="6" t="s">
        <v>22</v>
      </c>
      <c r="E205" s="6" t="n">
        <f aca="false">ROUND(4879*1.05,2)</f>
        <v>5122.95</v>
      </c>
      <c r="F205" s="6" t="s">
        <v>52</v>
      </c>
      <c r="G205" s="6" t="s">
        <v>24</v>
      </c>
      <c r="H205" s="6" t="n">
        <f aca="true">ROUND(RAND()*4+6,1)</f>
        <v>8.2</v>
      </c>
      <c r="I205" s="6" t="s">
        <v>25</v>
      </c>
      <c r="J205" s="6" t="str">
        <f aca="false">ROUND(98*1,0)&amp;"%"</f>
        <v>98%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4530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4531</v>
      </c>
      <c r="B210" s="5" t="s">
        <v>350</v>
      </c>
      <c r="C210" s="5" t="s">
        <v>95</v>
      </c>
      <c r="D210" s="5" t="s">
        <v>16</v>
      </c>
      <c r="E210" s="5" t="n">
        <f aca="false">ROUND(14890*1.05,2)</f>
        <v>15634.5</v>
      </c>
      <c r="F210" s="5" t="s">
        <v>17</v>
      </c>
      <c r="G210" s="5" t="s">
        <v>18</v>
      </c>
      <c r="H210" s="5" t="n">
        <f aca="true">ROUND(RAND()*4+6,1)</f>
        <v>8.4</v>
      </c>
      <c r="I210" s="5" t="s">
        <v>19</v>
      </c>
      <c r="J210" s="5" t="str">
        <f aca="false">ROUND(81*1,0)&amp;"%"</f>
        <v>81%</v>
      </c>
    </row>
    <row r="211" customFormat="false" ht="15" hidden="false" customHeight="false" outlineLevel="0" collapsed="false">
      <c r="A211" s="6" t="s">
        <v>4532</v>
      </c>
      <c r="B211" s="6" t="s">
        <v>352</v>
      </c>
      <c r="C211" s="6" t="s">
        <v>95</v>
      </c>
      <c r="D211" s="6" t="s">
        <v>22</v>
      </c>
      <c r="E211" s="6" t="n">
        <f aca="false">ROUND(6498*1.05,2)</f>
        <v>6822.9</v>
      </c>
      <c r="F211" s="6" t="s">
        <v>23</v>
      </c>
      <c r="G211" s="6" t="s">
        <v>24</v>
      </c>
      <c r="H211" s="6" t="n">
        <f aca="true">ROUND(RAND()*4+6,1)</f>
        <v>9</v>
      </c>
      <c r="I211" s="6" t="s">
        <v>25</v>
      </c>
      <c r="J211" s="6" t="str">
        <f aca="false">ROUND(92*1,0)&amp;"%"</f>
        <v>92%</v>
      </c>
    </row>
    <row r="212" customFormat="false" ht="15" hidden="false" customHeight="false" outlineLevel="0" collapsed="false">
      <c r="A212" s="5" t="s">
        <v>4533</v>
      </c>
      <c r="B212" s="5" t="s">
        <v>354</v>
      </c>
      <c r="C212" s="5" t="s">
        <v>95</v>
      </c>
      <c r="D212" s="5" t="s">
        <v>28</v>
      </c>
      <c r="E212" s="5" t="n">
        <f aca="false">ROUND(10269*1.05,2)</f>
        <v>10782.45</v>
      </c>
      <c r="F212" s="5" t="s">
        <v>29</v>
      </c>
      <c r="G212" s="5" t="s">
        <v>30</v>
      </c>
      <c r="H212" s="5" t="n">
        <f aca="true">ROUND(RAND()*4+6,1)</f>
        <v>9.5</v>
      </c>
      <c r="I212" s="5" t="s">
        <v>31</v>
      </c>
      <c r="J212" s="5" t="str">
        <f aca="false">ROUND(72*1,0)&amp;"%"</f>
        <v>72%</v>
      </c>
    </row>
    <row r="213" customFormat="false" ht="15" hidden="false" customHeight="false" outlineLevel="0" collapsed="false">
      <c r="A213" s="6" t="s">
        <v>4534</v>
      </c>
      <c r="B213" s="6" t="s">
        <v>356</v>
      </c>
      <c r="C213" s="6" t="s">
        <v>95</v>
      </c>
      <c r="D213" s="6" t="s">
        <v>34</v>
      </c>
      <c r="E213" s="6" t="n">
        <f aca="false">ROUND(16362*1.05,2)</f>
        <v>17180.1</v>
      </c>
      <c r="F213" s="6" t="s">
        <v>35</v>
      </c>
      <c r="G213" s="6" t="s">
        <v>18</v>
      </c>
      <c r="H213" s="6" t="n">
        <f aca="true">ROUND(RAND()*4+6,1)</f>
        <v>8.2</v>
      </c>
      <c r="I213" s="6" t="s">
        <v>36</v>
      </c>
      <c r="J213" s="6" t="str">
        <f aca="false">ROUND(100*1,0)&amp;"%"</f>
        <v>100%</v>
      </c>
    </row>
    <row r="214" customFormat="false" ht="15" hidden="false" customHeight="false" outlineLevel="0" collapsed="false">
      <c r="A214" s="5" t="s">
        <v>4535</v>
      </c>
      <c r="B214" s="5" t="s">
        <v>358</v>
      </c>
      <c r="C214" s="5" t="s">
        <v>95</v>
      </c>
      <c r="D214" s="5" t="s">
        <v>39</v>
      </c>
      <c r="E214" s="5" t="n">
        <f aca="false">ROUND(6079*1.05,2)</f>
        <v>6382.95</v>
      </c>
      <c r="F214" s="5" t="s">
        <v>40</v>
      </c>
      <c r="G214" s="5" t="s">
        <v>24</v>
      </c>
      <c r="H214" s="5" t="n">
        <f aca="true">ROUND(RAND()*4+6,1)</f>
        <v>9.8</v>
      </c>
      <c r="I214" s="5" t="s">
        <v>41</v>
      </c>
      <c r="J214" s="5" t="str">
        <f aca="false">ROUND(85*1,0)&amp;"%"</f>
        <v>85%</v>
      </c>
    </row>
    <row r="215" customFormat="false" ht="15" hidden="false" customHeight="false" outlineLevel="0" collapsed="false">
      <c r="A215" s="6" t="s">
        <v>4536</v>
      </c>
      <c r="B215" s="6" t="s">
        <v>360</v>
      </c>
      <c r="C215" s="6" t="s">
        <v>95</v>
      </c>
      <c r="D215" s="6" t="s">
        <v>44</v>
      </c>
      <c r="E215" s="6" t="n">
        <f aca="false">ROUND(6609*1.05,2)</f>
        <v>6939.45</v>
      </c>
      <c r="F215" s="6" t="s">
        <v>45</v>
      </c>
      <c r="G215" s="6" t="s">
        <v>30</v>
      </c>
      <c r="H215" s="6" t="n">
        <f aca="true">ROUND(RAND()*4+6,1)</f>
        <v>6.4</v>
      </c>
      <c r="I215" s="6" t="s">
        <v>46</v>
      </c>
      <c r="J215" s="6" t="str">
        <f aca="false">ROUND(69*1,0)&amp;"%"</f>
        <v>69%</v>
      </c>
    </row>
    <row r="216" customFormat="false" ht="15" hidden="false" customHeight="false" outlineLevel="0" collapsed="false">
      <c r="A216" s="5" t="s">
        <v>4537</v>
      </c>
      <c r="B216" s="5" t="s">
        <v>362</v>
      </c>
      <c r="C216" s="5" t="s">
        <v>95</v>
      </c>
      <c r="D216" s="5" t="s">
        <v>16</v>
      </c>
      <c r="E216" s="5" t="n">
        <f aca="false">ROUND(4376*1.05,2)</f>
        <v>4594.8</v>
      </c>
      <c r="F216" s="5" t="s">
        <v>49</v>
      </c>
      <c r="G216" s="5" t="s">
        <v>18</v>
      </c>
      <c r="H216" s="5" t="n">
        <f aca="true">ROUND(RAND()*4+6,1)</f>
        <v>7.6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4538</v>
      </c>
      <c r="B217" s="6" t="s">
        <v>364</v>
      </c>
      <c r="C217" s="6" t="s">
        <v>95</v>
      </c>
      <c r="D217" s="6" t="s">
        <v>22</v>
      </c>
      <c r="E217" s="6" t="n">
        <f aca="false">ROUND(12818*1.05,2)</f>
        <v>13458.9</v>
      </c>
      <c r="F217" s="6" t="s">
        <v>52</v>
      </c>
      <c r="G217" s="6" t="s">
        <v>24</v>
      </c>
      <c r="H217" s="6" t="n">
        <f aca="true">ROUND(RAND()*4+6,1)</f>
        <v>9.6</v>
      </c>
      <c r="I217" s="6" t="s">
        <v>25</v>
      </c>
      <c r="J217" s="6" t="str">
        <f aca="false">ROUND(66*1,0)&amp;"%"</f>
        <v>66%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4539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4540</v>
      </c>
      <c r="B222" s="5" t="s">
        <v>368</v>
      </c>
      <c r="C222" s="5" t="s">
        <v>114</v>
      </c>
      <c r="D222" s="5" t="s">
        <v>16</v>
      </c>
      <c r="E222" s="5" t="n">
        <f aca="false">ROUND(8416*1.05,2)</f>
        <v>8836.8</v>
      </c>
      <c r="F222" s="5" t="s">
        <v>17</v>
      </c>
      <c r="G222" s="5" t="s">
        <v>18</v>
      </c>
      <c r="H222" s="5" t="n">
        <f aca="true">ROUND(RAND()*4+6,1)</f>
        <v>9.9</v>
      </c>
      <c r="I222" s="5" t="s">
        <v>19</v>
      </c>
      <c r="J222" s="5" t="str">
        <f aca="false">ROUND(87*1,0)&amp;"%"</f>
        <v>87%</v>
      </c>
    </row>
    <row r="223" customFormat="false" ht="15" hidden="false" customHeight="false" outlineLevel="0" collapsed="false">
      <c r="A223" s="6" t="s">
        <v>4541</v>
      </c>
      <c r="B223" s="6" t="s">
        <v>370</v>
      </c>
      <c r="C223" s="6" t="s">
        <v>114</v>
      </c>
      <c r="D223" s="6" t="s">
        <v>22</v>
      </c>
      <c r="E223" s="6" t="n">
        <f aca="false">ROUND(15311*1.05,2)</f>
        <v>16076.55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ROUND(83*1,0)&amp;"%"</f>
        <v>83%</v>
      </c>
    </row>
    <row r="224" customFormat="false" ht="15" hidden="false" customHeight="false" outlineLevel="0" collapsed="false">
      <c r="A224" s="5" t="s">
        <v>4542</v>
      </c>
      <c r="B224" s="5" t="s">
        <v>372</v>
      </c>
      <c r="C224" s="5" t="s">
        <v>114</v>
      </c>
      <c r="D224" s="5" t="s">
        <v>28</v>
      </c>
      <c r="E224" s="5" t="n">
        <f aca="false">ROUND(7596*1.05,2)</f>
        <v>7975.8</v>
      </c>
      <c r="F224" s="5" t="s">
        <v>29</v>
      </c>
      <c r="G224" s="5" t="s">
        <v>30</v>
      </c>
      <c r="H224" s="5" t="n">
        <f aca="true">ROUND(RAND()*4+6,1)</f>
        <v>7.5</v>
      </c>
      <c r="I224" s="5" t="s">
        <v>31</v>
      </c>
      <c r="J224" s="5" t="str">
        <f aca="false">ROUND(69*1,0)&amp;"%"</f>
        <v>69%</v>
      </c>
    </row>
    <row r="225" customFormat="false" ht="15" hidden="false" customHeight="false" outlineLevel="0" collapsed="false">
      <c r="A225" s="6" t="s">
        <v>4543</v>
      </c>
      <c r="B225" s="6" t="s">
        <v>374</v>
      </c>
      <c r="C225" s="6" t="s">
        <v>114</v>
      </c>
      <c r="D225" s="6" t="s">
        <v>34</v>
      </c>
      <c r="E225" s="6" t="n">
        <f aca="false">ROUND(16640*1.05,2)</f>
        <v>17472</v>
      </c>
      <c r="F225" s="6" t="s">
        <v>35</v>
      </c>
      <c r="G225" s="6" t="s">
        <v>18</v>
      </c>
      <c r="H225" s="6" t="n">
        <f aca="true">ROUND(RAND()*4+6,1)</f>
        <v>8.4</v>
      </c>
      <c r="I225" s="6" t="s">
        <v>36</v>
      </c>
      <c r="J225" s="6" t="str">
        <f aca="false">ROUND(64*1,0)&amp;"%"</f>
        <v>64%</v>
      </c>
    </row>
    <row r="226" customFormat="false" ht="15" hidden="false" customHeight="false" outlineLevel="0" collapsed="false">
      <c r="A226" s="5" t="s">
        <v>4544</v>
      </c>
      <c r="B226" s="5" t="s">
        <v>376</v>
      </c>
      <c r="C226" s="5" t="s">
        <v>114</v>
      </c>
      <c r="D226" s="5" t="s">
        <v>39</v>
      </c>
      <c r="E226" s="5" t="n">
        <f aca="false">ROUND(11959*1.05,2)</f>
        <v>12556.95</v>
      </c>
      <c r="F226" s="5" t="s">
        <v>40</v>
      </c>
      <c r="G226" s="5" t="s">
        <v>24</v>
      </c>
      <c r="H226" s="5" t="n">
        <f aca="true">ROUND(RAND()*4+6,1)</f>
        <v>6.4</v>
      </c>
      <c r="I226" s="5" t="s">
        <v>41</v>
      </c>
      <c r="J226" s="5" t="str">
        <f aca="false">ROUND(83*1,0)&amp;"%"</f>
        <v>83%</v>
      </c>
    </row>
    <row r="227" customFormat="false" ht="15" hidden="false" customHeight="false" outlineLevel="0" collapsed="false">
      <c r="A227" s="6" t="s">
        <v>4545</v>
      </c>
      <c r="B227" s="6" t="s">
        <v>378</v>
      </c>
      <c r="C227" s="6" t="s">
        <v>114</v>
      </c>
      <c r="D227" s="6" t="s">
        <v>44</v>
      </c>
      <c r="E227" s="6" t="n">
        <f aca="false">ROUND(7760*1.05,2)</f>
        <v>8148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ROUND(92*1,0)&amp;"%"</f>
        <v>92%</v>
      </c>
    </row>
    <row r="228" customFormat="false" ht="15" hidden="false" customHeight="false" outlineLevel="0" collapsed="false">
      <c r="A228" s="5" t="s">
        <v>4546</v>
      </c>
      <c r="B228" s="5" t="s">
        <v>380</v>
      </c>
      <c r="C228" s="5" t="s">
        <v>114</v>
      </c>
      <c r="D228" s="5" t="s">
        <v>16</v>
      </c>
      <c r="E228" s="5" t="n">
        <f aca="false">ROUND(12499*1.05,2)</f>
        <v>13123.95</v>
      </c>
      <c r="F228" s="5" t="s">
        <v>49</v>
      </c>
      <c r="G228" s="5" t="s">
        <v>18</v>
      </c>
      <c r="H228" s="5" t="n">
        <f aca="true">ROUND(RAND()*4+6,1)</f>
        <v>8.3</v>
      </c>
      <c r="I228" s="5" t="s">
        <v>19</v>
      </c>
      <c r="J228" s="5" t="str">
        <f aca="false">ROUND(99*1,0)&amp;"%"</f>
        <v>99%</v>
      </c>
    </row>
    <row r="229" customFormat="false" ht="15" hidden="false" customHeight="false" outlineLevel="0" collapsed="false">
      <c r="A229" s="6" t="s">
        <v>4547</v>
      </c>
      <c r="B229" s="6" t="s">
        <v>382</v>
      </c>
      <c r="C229" s="6" t="s">
        <v>114</v>
      </c>
      <c r="D229" s="6" t="s">
        <v>22</v>
      </c>
      <c r="E229" s="6" t="n">
        <f aca="false">ROUND(7279*1.05,2)</f>
        <v>7642.95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ROUND(82*1,0)&amp;"%"</f>
        <v>82%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4548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4549</v>
      </c>
      <c r="B234" s="5" t="s">
        <v>386</v>
      </c>
      <c r="C234" s="5" t="s">
        <v>133</v>
      </c>
      <c r="D234" s="5" t="s">
        <v>16</v>
      </c>
      <c r="E234" s="5" t="n">
        <f aca="false">ROUND(9640*1.05,2)</f>
        <v>10122</v>
      </c>
      <c r="F234" s="5" t="s">
        <v>17</v>
      </c>
      <c r="G234" s="5" t="s">
        <v>18</v>
      </c>
      <c r="H234" s="5" t="n">
        <f aca="true">ROUND(RAND()*4+6,1)</f>
        <v>8.9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4550</v>
      </c>
      <c r="B235" s="6" t="s">
        <v>388</v>
      </c>
      <c r="C235" s="6" t="s">
        <v>133</v>
      </c>
      <c r="D235" s="6" t="s">
        <v>22</v>
      </c>
      <c r="E235" s="6" t="n">
        <f aca="false">ROUND(14888*1.05,2)</f>
        <v>15632.4</v>
      </c>
      <c r="F235" s="6" t="s">
        <v>23</v>
      </c>
      <c r="G235" s="6" t="s">
        <v>24</v>
      </c>
      <c r="H235" s="6" t="n">
        <f aca="true">ROUND(RAND()*4+6,1)</f>
        <v>9.4</v>
      </c>
      <c r="I235" s="6" t="s">
        <v>25</v>
      </c>
      <c r="J235" s="6" t="str">
        <f aca="false">ROUND(95*1,0)&amp;"%"</f>
        <v>95%</v>
      </c>
    </row>
    <row r="236" customFormat="false" ht="15" hidden="false" customHeight="false" outlineLevel="0" collapsed="false">
      <c r="A236" s="5" t="s">
        <v>4551</v>
      </c>
      <c r="B236" s="5" t="s">
        <v>390</v>
      </c>
      <c r="C236" s="5" t="s">
        <v>133</v>
      </c>
      <c r="D236" s="5" t="s">
        <v>28</v>
      </c>
      <c r="E236" s="5" t="n">
        <f aca="false">ROUND(15193*1.05,2)</f>
        <v>15952.65</v>
      </c>
      <c r="F236" s="5" t="s">
        <v>29</v>
      </c>
      <c r="G236" s="5" t="s">
        <v>30</v>
      </c>
      <c r="H236" s="5" t="n">
        <f aca="true">ROUND(RAND()*4+6,1)</f>
        <v>9.7</v>
      </c>
      <c r="I236" s="5" t="s">
        <v>31</v>
      </c>
      <c r="J236" s="5" t="str">
        <f aca="false">ROUND(64*1,0)&amp;"%"</f>
        <v>64%</v>
      </c>
    </row>
    <row r="237" customFormat="false" ht="15" hidden="false" customHeight="false" outlineLevel="0" collapsed="false">
      <c r="A237" s="6" t="s">
        <v>4552</v>
      </c>
      <c r="B237" s="6" t="s">
        <v>392</v>
      </c>
      <c r="C237" s="6" t="s">
        <v>133</v>
      </c>
      <c r="D237" s="6" t="s">
        <v>34</v>
      </c>
      <c r="E237" s="6" t="n">
        <f aca="false">ROUND(4443*1.05,2)</f>
        <v>4665.15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ROUND(94*1,0)&amp;"%"</f>
        <v>94%</v>
      </c>
    </row>
    <row r="238" customFormat="false" ht="15" hidden="false" customHeight="false" outlineLevel="0" collapsed="false">
      <c r="A238" s="5" t="s">
        <v>4553</v>
      </c>
      <c r="B238" s="5" t="s">
        <v>394</v>
      </c>
      <c r="C238" s="5" t="s">
        <v>133</v>
      </c>
      <c r="D238" s="5" t="s">
        <v>39</v>
      </c>
      <c r="E238" s="5" t="n">
        <f aca="false">ROUND(11390*1.05,2)</f>
        <v>11959.5</v>
      </c>
      <c r="F238" s="5" t="s">
        <v>40</v>
      </c>
      <c r="G238" s="5" t="s">
        <v>24</v>
      </c>
      <c r="H238" s="5" t="n">
        <f aca="true">ROUND(RAND()*4+6,1)</f>
        <v>6.1</v>
      </c>
      <c r="I238" s="5" t="s">
        <v>41</v>
      </c>
      <c r="J238" s="5" t="str">
        <f aca="false">ROUND(73*1,0)&amp;"%"</f>
        <v>73%</v>
      </c>
    </row>
    <row r="239" customFormat="false" ht="15" hidden="false" customHeight="false" outlineLevel="0" collapsed="false">
      <c r="A239" s="6" t="s">
        <v>4554</v>
      </c>
      <c r="B239" s="6" t="s">
        <v>396</v>
      </c>
      <c r="C239" s="6" t="s">
        <v>133</v>
      </c>
      <c r="D239" s="6" t="s">
        <v>44</v>
      </c>
      <c r="E239" s="6" t="n">
        <f aca="false">ROUND(7658*1.05,2)</f>
        <v>8040.9</v>
      </c>
      <c r="F239" s="6" t="s">
        <v>45</v>
      </c>
      <c r="G239" s="6" t="s">
        <v>30</v>
      </c>
      <c r="H239" s="6" t="n">
        <f aca="true">ROUND(RAND()*4+6,1)</f>
        <v>7.6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4555</v>
      </c>
      <c r="B240" s="5" t="s">
        <v>398</v>
      </c>
      <c r="C240" s="5" t="s">
        <v>133</v>
      </c>
      <c r="D240" s="5" t="s">
        <v>16</v>
      </c>
      <c r="E240" s="5" t="n">
        <f aca="false">ROUND(13576*1.05,2)</f>
        <v>14254.8</v>
      </c>
      <c r="F240" s="5" t="s">
        <v>49</v>
      </c>
      <c r="G240" s="5" t="s">
        <v>18</v>
      </c>
      <c r="H240" s="5" t="n">
        <f aca="true">ROUND(RAND()*4+6,1)</f>
        <v>8.2</v>
      </c>
      <c r="I240" s="5" t="s">
        <v>19</v>
      </c>
      <c r="J240" s="5" t="str">
        <f aca="false">ROUND(75*1,0)&amp;"%"</f>
        <v>75%</v>
      </c>
    </row>
    <row r="241" customFormat="false" ht="15" hidden="false" customHeight="false" outlineLevel="0" collapsed="false">
      <c r="A241" s="6" t="s">
        <v>4556</v>
      </c>
      <c r="B241" s="6" t="s">
        <v>400</v>
      </c>
      <c r="C241" s="6" t="s">
        <v>133</v>
      </c>
      <c r="D241" s="6" t="s">
        <v>22</v>
      </c>
      <c r="E241" s="6" t="n">
        <f aca="false">ROUND(6834*1.05,2)</f>
        <v>7175.7</v>
      </c>
      <c r="F241" s="6" t="s">
        <v>52</v>
      </c>
      <c r="G241" s="6" t="s">
        <v>24</v>
      </c>
      <c r="H241" s="6" t="n">
        <f aca="true">ROUND(RAND()*4+6,1)</f>
        <v>8.1</v>
      </c>
      <c r="I241" s="6" t="s">
        <v>25</v>
      </c>
      <c r="J241" s="6" t="str">
        <f aca="false">ROUND(72*1,0)&amp;"%"</f>
        <v>72%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4557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4558</v>
      </c>
      <c r="B246" s="5" t="s">
        <v>404</v>
      </c>
      <c r="C246" s="5" t="s">
        <v>152</v>
      </c>
      <c r="D246" s="5" t="s">
        <v>16</v>
      </c>
      <c r="E246" s="5" t="n">
        <f aca="false">ROUND(4174*1.05,2)</f>
        <v>4382.7</v>
      </c>
      <c r="F246" s="5" t="s">
        <v>17</v>
      </c>
      <c r="G246" s="5" t="s">
        <v>18</v>
      </c>
      <c r="H246" s="5" t="n">
        <f aca="true">ROUND(RAND()*4+6,1)</f>
        <v>8.7</v>
      </c>
      <c r="I246" s="5" t="s">
        <v>19</v>
      </c>
      <c r="J246" s="5" t="str">
        <f aca="false">ROUND(99*1,0)&amp;"%"</f>
        <v>99%</v>
      </c>
    </row>
    <row r="247" customFormat="false" ht="15" hidden="false" customHeight="false" outlineLevel="0" collapsed="false">
      <c r="A247" s="6" t="s">
        <v>4559</v>
      </c>
      <c r="B247" s="6" t="s">
        <v>406</v>
      </c>
      <c r="C247" s="6" t="s">
        <v>152</v>
      </c>
      <c r="D247" s="6" t="s">
        <v>22</v>
      </c>
      <c r="E247" s="6" t="n">
        <f aca="false">ROUND(7614*1.05,2)</f>
        <v>7994.7</v>
      </c>
      <c r="F247" s="6" t="s">
        <v>23</v>
      </c>
      <c r="G247" s="6" t="s">
        <v>24</v>
      </c>
      <c r="H247" s="6" t="n">
        <f aca="true">ROUND(RAND()*4+6,1)</f>
        <v>8.3</v>
      </c>
      <c r="I247" s="6" t="s">
        <v>25</v>
      </c>
      <c r="J247" s="6" t="str">
        <f aca="false">ROUND(93*1,0)&amp;"%"</f>
        <v>93%</v>
      </c>
    </row>
    <row r="248" customFormat="false" ht="15" hidden="false" customHeight="false" outlineLevel="0" collapsed="false">
      <c r="A248" s="5" t="s">
        <v>4560</v>
      </c>
      <c r="B248" s="5" t="s">
        <v>408</v>
      </c>
      <c r="C248" s="5" t="s">
        <v>152</v>
      </c>
      <c r="D248" s="5" t="s">
        <v>28</v>
      </c>
      <c r="E248" s="5" t="n">
        <f aca="false">ROUND(8779*1.05,2)</f>
        <v>9217.95</v>
      </c>
      <c r="F248" s="5" t="s">
        <v>29</v>
      </c>
      <c r="G248" s="5" t="s">
        <v>30</v>
      </c>
      <c r="H248" s="5" t="n">
        <f aca="true">ROUND(RAND()*4+6,1)</f>
        <v>8.5</v>
      </c>
      <c r="I248" s="5" t="s">
        <v>31</v>
      </c>
      <c r="J248" s="5" t="str">
        <f aca="false">ROUND(69*1,0)&amp;"%"</f>
        <v>69%</v>
      </c>
    </row>
    <row r="249" customFormat="false" ht="15" hidden="false" customHeight="false" outlineLevel="0" collapsed="false">
      <c r="A249" s="6" t="s">
        <v>4561</v>
      </c>
      <c r="B249" s="6" t="s">
        <v>410</v>
      </c>
      <c r="C249" s="6" t="s">
        <v>152</v>
      </c>
      <c r="D249" s="6" t="s">
        <v>34</v>
      </c>
      <c r="E249" s="6" t="n">
        <f aca="false">ROUND(15190*1.05,2)</f>
        <v>15949.5</v>
      </c>
      <c r="F249" s="6" t="s">
        <v>35</v>
      </c>
      <c r="G249" s="6" t="s">
        <v>18</v>
      </c>
      <c r="H249" s="6" t="n">
        <f aca="true">ROUND(RAND()*4+6,1)</f>
        <v>7.1</v>
      </c>
      <c r="I249" s="6" t="s">
        <v>36</v>
      </c>
      <c r="J249" s="6" t="str">
        <f aca="false">ROUND(60*1,0)&amp;"%"</f>
        <v>60%</v>
      </c>
    </row>
    <row r="250" customFormat="false" ht="15" hidden="false" customHeight="false" outlineLevel="0" collapsed="false">
      <c r="A250" s="5" t="s">
        <v>4562</v>
      </c>
      <c r="B250" s="5" t="s">
        <v>412</v>
      </c>
      <c r="C250" s="5" t="s">
        <v>152</v>
      </c>
      <c r="D250" s="5" t="s">
        <v>39</v>
      </c>
      <c r="E250" s="5" t="n">
        <f aca="false">ROUND(4336*1.05,2)</f>
        <v>4552.8</v>
      </c>
      <c r="F250" s="5" t="s">
        <v>40</v>
      </c>
      <c r="G250" s="5" t="s">
        <v>24</v>
      </c>
      <c r="H250" s="5" t="n">
        <f aca="true">ROUND(RAND()*4+6,1)</f>
        <v>8.7</v>
      </c>
      <c r="I250" s="5" t="s">
        <v>41</v>
      </c>
      <c r="J250" s="5" t="str">
        <f aca="false">ROUND(83*1,0)&amp;"%"</f>
        <v>83%</v>
      </c>
    </row>
    <row r="251" customFormat="false" ht="15" hidden="false" customHeight="false" outlineLevel="0" collapsed="false">
      <c r="A251" s="6" t="s">
        <v>4563</v>
      </c>
      <c r="B251" s="6" t="s">
        <v>414</v>
      </c>
      <c r="C251" s="6" t="s">
        <v>152</v>
      </c>
      <c r="D251" s="6" t="s">
        <v>44</v>
      </c>
      <c r="E251" s="6" t="n">
        <f aca="false">ROUND(7415*1.05,2)</f>
        <v>7785.75</v>
      </c>
      <c r="F251" s="6" t="s">
        <v>45</v>
      </c>
      <c r="G251" s="6" t="s">
        <v>30</v>
      </c>
      <c r="H251" s="6" t="n">
        <f aca="true">ROUND(RAND()*4+6,1)</f>
        <v>9.1</v>
      </c>
      <c r="I251" s="6" t="s">
        <v>46</v>
      </c>
      <c r="J251" s="6" t="str">
        <f aca="false">ROUND(73*1,0)&amp;"%"</f>
        <v>73%</v>
      </c>
    </row>
    <row r="252" customFormat="false" ht="15" hidden="false" customHeight="false" outlineLevel="0" collapsed="false">
      <c r="A252" s="5" t="s">
        <v>4564</v>
      </c>
      <c r="B252" s="5" t="s">
        <v>416</v>
      </c>
      <c r="C252" s="5" t="s">
        <v>152</v>
      </c>
      <c r="D252" s="5" t="s">
        <v>16</v>
      </c>
      <c r="E252" s="5" t="n">
        <f aca="false">ROUND(14419*1.05,2)</f>
        <v>15139.95</v>
      </c>
      <c r="F252" s="5" t="s">
        <v>49</v>
      </c>
      <c r="G252" s="5" t="s">
        <v>18</v>
      </c>
      <c r="H252" s="5" t="n">
        <f aca="true">ROUND(RAND()*4+6,1)</f>
        <v>9</v>
      </c>
      <c r="I252" s="5" t="s">
        <v>19</v>
      </c>
      <c r="J252" s="5" t="str">
        <f aca="false">ROUND(81*1,0)&amp;"%"</f>
        <v>81%</v>
      </c>
    </row>
    <row r="253" customFormat="false" ht="15" hidden="false" customHeight="false" outlineLevel="0" collapsed="false">
      <c r="A253" s="6" t="s">
        <v>4565</v>
      </c>
      <c r="B253" s="6" t="s">
        <v>418</v>
      </c>
      <c r="C253" s="6" t="s">
        <v>152</v>
      </c>
      <c r="D253" s="6" t="s">
        <v>22</v>
      </c>
      <c r="E253" s="6" t="n">
        <f aca="false">ROUND(15099*1.05,2)</f>
        <v>15853.95</v>
      </c>
      <c r="F253" s="6" t="s">
        <v>52</v>
      </c>
      <c r="G253" s="6" t="s">
        <v>24</v>
      </c>
      <c r="H253" s="6" t="n">
        <f aca="true">ROUND(RAND()*4+6,1)</f>
        <v>9.7</v>
      </c>
      <c r="I253" s="6" t="s">
        <v>25</v>
      </c>
      <c r="J253" s="6" t="str">
        <f aca="false">ROUND(97*1,0)&amp;"%"</f>
        <v>97%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4566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4567</v>
      </c>
      <c r="B258" s="5" t="s">
        <v>422</v>
      </c>
      <c r="C258" s="5" t="s">
        <v>15</v>
      </c>
      <c r="D258" s="5" t="s">
        <v>16</v>
      </c>
      <c r="E258" s="5" t="n">
        <f aca="false">ROUND(13996*1.05,2)</f>
        <v>14695.8</v>
      </c>
      <c r="F258" s="5" t="s">
        <v>17</v>
      </c>
      <c r="G258" s="5" t="s">
        <v>18</v>
      </c>
      <c r="H258" s="5" t="n">
        <f aca="true">ROUND(RAND()*4+6,1)</f>
        <v>7</v>
      </c>
      <c r="I258" s="5" t="s">
        <v>19</v>
      </c>
      <c r="J258" s="5" t="str">
        <f aca="false">ROUND(65*1,0)&amp;"%"</f>
        <v>65%</v>
      </c>
    </row>
    <row r="259" customFormat="false" ht="15" hidden="false" customHeight="false" outlineLevel="0" collapsed="false">
      <c r="A259" s="6" t="s">
        <v>4568</v>
      </c>
      <c r="B259" s="6" t="s">
        <v>424</v>
      </c>
      <c r="C259" s="6" t="s">
        <v>15</v>
      </c>
      <c r="D259" s="6" t="s">
        <v>22</v>
      </c>
      <c r="E259" s="6" t="n">
        <f aca="false">ROUND(17234*1.05,2)</f>
        <v>18095.7</v>
      </c>
      <c r="F259" s="6" t="s">
        <v>23</v>
      </c>
      <c r="G259" s="6" t="s">
        <v>24</v>
      </c>
      <c r="H259" s="6" t="n">
        <f aca="true">ROUND(RAND()*4+6,1)</f>
        <v>6.5</v>
      </c>
      <c r="I259" s="6" t="s">
        <v>25</v>
      </c>
      <c r="J259" s="6" t="str">
        <f aca="false">ROUND(97*1,0)&amp;"%"</f>
        <v>97%</v>
      </c>
    </row>
    <row r="260" customFormat="false" ht="15" hidden="false" customHeight="false" outlineLevel="0" collapsed="false">
      <c r="A260" s="5" t="s">
        <v>4569</v>
      </c>
      <c r="B260" s="5" t="s">
        <v>426</v>
      </c>
      <c r="C260" s="5" t="s">
        <v>15</v>
      </c>
      <c r="D260" s="5" t="s">
        <v>28</v>
      </c>
      <c r="E260" s="5" t="n">
        <f aca="false">ROUND(5314*1.05,2)</f>
        <v>5579.7</v>
      </c>
      <c r="F260" s="5" t="s">
        <v>29</v>
      </c>
      <c r="G260" s="5" t="s">
        <v>30</v>
      </c>
      <c r="H260" s="5" t="n">
        <f aca="true">ROUND(RAND()*4+6,1)</f>
        <v>7.3</v>
      </c>
      <c r="I260" s="5" t="s">
        <v>31</v>
      </c>
      <c r="J260" s="5" t="str">
        <f aca="false">ROUND(94*1,0)&amp;"%"</f>
        <v>94%</v>
      </c>
    </row>
    <row r="261" customFormat="false" ht="15" hidden="false" customHeight="false" outlineLevel="0" collapsed="false">
      <c r="A261" s="6" t="s">
        <v>4570</v>
      </c>
      <c r="B261" s="6" t="s">
        <v>428</v>
      </c>
      <c r="C261" s="6" t="s">
        <v>15</v>
      </c>
      <c r="D261" s="6" t="s">
        <v>34</v>
      </c>
      <c r="E261" s="6" t="n">
        <f aca="false">ROUND(16307*1.05,2)</f>
        <v>17122.35</v>
      </c>
      <c r="F261" s="6" t="s">
        <v>35</v>
      </c>
      <c r="G261" s="6" t="s">
        <v>18</v>
      </c>
      <c r="H261" s="6" t="n">
        <f aca="true">ROUND(RAND()*4+6,1)</f>
        <v>8.7</v>
      </c>
      <c r="I261" s="6" t="s">
        <v>36</v>
      </c>
      <c r="J261" s="6" t="str">
        <f aca="false">ROUND(72*1,0)&amp;"%"</f>
        <v>72%</v>
      </c>
    </row>
    <row r="262" customFormat="false" ht="15" hidden="false" customHeight="false" outlineLevel="0" collapsed="false">
      <c r="A262" s="5" t="s">
        <v>4571</v>
      </c>
      <c r="B262" s="5" t="s">
        <v>430</v>
      </c>
      <c r="C262" s="5" t="s">
        <v>15</v>
      </c>
      <c r="D262" s="5" t="s">
        <v>39</v>
      </c>
      <c r="E262" s="5" t="n">
        <f aca="false">ROUND(9528*1.05,2)</f>
        <v>10004.4</v>
      </c>
      <c r="F262" s="5" t="s">
        <v>40</v>
      </c>
      <c r="G262" s="5" t="s">
        <v>24</v>
      </c>
      <c r="H262" s="5" t="n">
        <f aca="true">ROUND(RAND()*4+6,1)</f>
        <v>8.5</v>
      </c>
      <c r="I262" s="5" t="s">
        <v>41</v>
      </c>
      <c r="J262" s="5" t="str">
        <f aca="false">ROUND(96*1,0)&amp;"%"</f>
        <v>96%</v>
      </c>
    </row>
    <row r="263" customFormat="false" ht="15" hidden="false" customHeight="false" outlineLevel="0" collapsed="false">
      <c r="A263" s="6" t="s">
        <v>4572</v>
      </c>
      <c r="B263" s="6" t="s">
        <v>432</v>
      </c>
      <c r="C263" s="6" t="s">
        <v>15</v>
      </c>
      <c r="D263" s="6" t="s">
        <v>44</v>
      </c>
      <c r="E263" s="6" t="n">
        <f aca="false">ROUND(8331*1.05,2)</f>
        <v>8747.55</v>
      </c>
      <c r="F263" s="6" t="s">
        <v>45</v>
      </c>
      <c r="G263" s="6" t="s">
        <v>30</v>
      </c>
      <c r="H263" s="6" t="n">
        <f aca="true">ROUND(RAND()*4+6,1)</f>
        <v>8.4</v>
      </c>
      <c r="I263" s="6" t="s">
        <v>46</v>
      </c>
      <c r="J263" s="6" t="str">
        <f aca="false">ROUND(64*1,0)&amp;"%"</f>
        <v>64%</v>
      </c>
    </row>
    <row r="264" customFormat="false" ht="15" hidden="false" customHeight="false" outlineLevel="0" collapsed="false">
      <c r="A264" s="5" t="s">
        <v>4573</v>
      </c>
      <c r="B264" s="5" t="s">
        <v>434</v>
      </c>
      <c r="C264" s="5" t="s">
        <v>15</v>
      </c>
      <c r="D264" s="5" t="s">
        <v>16</v>
      </c>
      <c r="E264" s="5" t="n">
        <f aca="false">ROUND(9914*1.05,2)</f>
        <v>10409.7</v>
      </c>
      <c r="F264" s="5" t="s">
        <v>49</v>
      </c>
      <c r="G264" s="5" t="s">
        <v>18</v>
      </c>
      <c r="H264" s="5" t="n">
        <f aca="true">ROUND(RAND()*4+6,1)</f>
        <v>10</v>
      </c>
      <c r="I264" s="5" t="s">
        <v>19</v>
      </c>
      <c r="J264" s="5" t="str">
        <f aca="false">ROUND(96*1,0)&amp;"%"</f>
        <v>96%</v>
      </c>
    </row>
    <row r="265" customFormat="false" ht="15" hidden="false" customHeight="false" outlineLevel="0" collapsed="false">
      <c r="A265" s="6" t="s">
        <v>4574</v>
      </c>
      <c r="B265" s="6" t="s">
        <v>436</v>
      </c>
      <c r="C265" s="6" t="s">
        <v>15</v>
      </c>
      <c r="D265" s="6" t="s">
        <v>22</v>
      </c>
      <c r="E265" s="6" t="n">
        <f aca="false">ROUND(15105*1.05,2)</f>
        <v>15860.25</v>
      </c>
      <c r="F265" s="6" t="s">
        <v>52</v>
      </c>
      <c r="G265" s="6" t="s">
        <v>24</v>
      </c>
      <c r="H265" s="6" t="n">
        <f aca="true">ROUND(RAND()*4+6,1)</f>
        <v>7.2</v>
      </c>
      <c r="I265" s="6" t="s">
        <v>25</v>
      </c>
      <c r="J265" s="6" t="str">
        <f aca="false">ROUND(100*1,0)&amp;"%"</f>
        <v>100%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4575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4576</v>
      </c>
      <c r="B270" s="5" t="s">
        <v>440</v>
      </c>
      <c r="C270" s="5" t="s">
        <v>57</v>
      </c>
      <c r="D270" s="5" t="s">
        <v>16</v>
      </c>
      <c r="E270" s="5" t="n">
        <f aca="false">ROUND(5754*1.05,2)</f>
        <v>6041.7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ROUND(74*1,0)&amp;"%"</f>
        <v>74%</v>
      </c>
    </row>
    <row r="271" customFormat="false" ht="15" hidden="false" customHeight="false" outlineLevel="0" collapsed="false">
      <c r="A271" s="6" t="s">
        <v>4577</v>
      </c>
      <c r="B271" s="6" t="s">
        <v>442</v>
      </c>
      <c r="C271" s="6" t="s">
        <v>57</v>
      </c>
      <c r="D271" s="6" t="s">
        <v>22</v>
      </c>
      <c r="E271" s="6" t="n">
        <f aca="false">ROUND(7233*1.05,2)</f>
        <v>7594.65</v>
      </c>
      <c r="F271" s="6" t="s">
        <v>23</v>
      </c>
      <c r="G271" s="6" t="s">
        <v>24</v>
      </c>
      <c r="H271" s="6" t="n">
        <f aca="true">ROUND(RAND()*4+6,1)</f>
        <v>7</v>
      </c>
      <c r="I271" s="6" t="s">
        <v>25</v>
      </c>
      <c r="J271" s="6" t="str">
        <f aca="false">ROUND(93*1,0)&amp;"%"</f>
        <v>93%</v>
      </c>
    </row>
    <row r="272" customFormat="false" ht="15" hidden="false" customHeight="false" outlineLevel="0" collapsed="false">
      <c r="A272" s="5" t="s">
        <v>4578</v>
      </c>
      <c r="B272" s="5" t="s">
        <v>444</v>
      </c>
      <c r="C272" s="5" t="s">
        <v>57</v>
      </c>
      <c r="D272" s="5" t="s">
        <v>28</v>
      </c>
      <c r="E272" s="5" t="n">
        <f aca="false">ROUND(8494*1.05,2)</f>
        <v>8918.7</v>
      </c>
      <c r="F272" s="5" t="s">
        <v>29</v>
      </c>
      <c r="G272" s="5" t="s">
        <v>30</v>
      </c>
      <c r="H272" s="5" t="n">
        <f aca="true">ROUND(RAND()*4+6,1)</f>
        <v>9.8</v>
      </c>
      <c r="I272" s="5" t="s">
        <v>31</v>
      </c>
      <c r="J272" s="5" t="str">
        <f aca="false">ROUND(91*1,0)&amp;"%"</f>
        <v>91%</v>
      </c>
    </row>
    <row r="273" customFormat="false" ht="15" hidden="false" customHeight="false" outlineLevel="0" collapsed="false">
      <c r="A273" s="6" t="s">
        <v>4579</v>
      </c>
      <c r="B273" s="6" t="s">
        <v>446</v>
      </c>
      <c r="C273" s="6" t="s">
        <v>57</v>
      </c>
      <c r="D273" s="6" t="s">
        <v>34</v>
      </c>
      <c r="E273" s="6" t="n">
        <f aca="false">ROUND(10330*1.05,2)</f>
        <v>10846.5</v>
      </c>
      <c r="F273" s="6" t="s">
        <v>35</v>
      </c>
      <c r="G273" s="6" t="s">
        <v>18</v>
      </c>
      <c r="H273" s="6" t="n">
        <f aca="true">ROUND(RAND()*4+6,1)</f>
        <v>10</v>
      </c>
      <c r="I273" s="6" t="s">
        <v>36</v>
      </c>
      <c r="J273" s="6" t="str">
        <f aca="false">ROUND(60*1,0)&amp;"%"</f>
        <v>60%</v>
      </c>
    </row>
    <row r="274" customFormat="false" ht="15" hidden="false" customHeight="false" outlineLevel="0" collapsed="false">
      <c r="A274" s="5" t="s">
        <v>4580</v>
      </c>
      <c r="B274" s="5" t="s">
        <v>448</v>
      </c>
      <c r="C274" s="5" t="s">
        <v>57</v>
      </c>
      <c r="D274" s="5" t="s">
        <v>39</v>
      </c>
      <c r="E274" s="5" t="n">
        <f aca="false">ROUND(15726*1.05,2)</f>
        <v>16512.3</v>
      </c>
      <c r="F274" s="5" t="s">
        <v>40</v>
      </c>
      <c r="G274" s="5" t="s">
        <v>24</v>
      </c>
      <c r="H274" s="5" t="n">
        <f aca="true">ROUND(RAND()*4+6,1)</f>
        <v>9.5</v>
      </c>
      <c r="I274" s="5" t="s">
        <v>41</v>
      </c>
      <c r="J274" s="5" t="str">
        <f aca="false">ROUND(73*1,0)&amp;"%"</f>
        <v>73%</v>
      </c>
    </row>
    <row r="275" customFormat="false" ht="15" hidden="false" customHeight="false" outlineLevel="0" collapsed="false">
      <c r="A275" s="6" t="s">
        <v>4581</v>
      </c>
      <c r="B275" s="6" t="s">
        <v>450</v>
      </c>
      <c r="C275" s="6" t="s">
        <v>57</v>
      </c>
      <c r="D275" s="6" t="s">
        <v>44</v>
      </c>
      <c r="E275" s="6" t="n">
        <f aca="false">ROUND(11242*1.05,2)</f>
        <v>11804.1</v>
      </c>
      <c r="F275" s="6" t="s">
        <v>45</v>
      </c>
      <c r="G275" s="6" t="s">
        <v>30</v>
      </c>
      <c r="H275" s="6" t="n">
        <f aca="true">ROUND(RAND()*4+6,1)</f>
        <v>9.3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4582</v>
      </c>
      <c r="B276" s="5" t="s">
        <v>452</v>
      </c>
      <c r="C276" s="5" t="s">
        <v>57</v>
      </c>
      <c r="D276" s="5" t="s">
        <v>16</v>
      </c>
      <c r="E276" s="5" t="n">
        <f aca="false">ROUND(9571*1.05,2)</f>
        <v>10049.55</v>
      </c>
      <c r="F276" s="5" t="s">
        <v>49</v>
      </c>
      <c r="G276" s="5" t="s">
        <v>18</v>
      </c>
      <c r="H276" s="5" t="n">
        <f aca="true">ROUND(RAND()*4+6,1)</f>
        <v>8.7</v>
      </c>
      <c r="I276" s="5" t="s">
        <v>19</v>
      </c>
      <c r="J276" s="5" t="str">
        <f aca="false">ROUND(63*1,0)&amp;"%"</f>
        <v>63%</v>
      </c>
    </row>
    <row r="277" customFormat="false" ht="15" hidden="false" customHeight="false" outlineLevel="0" collapsed="false">
      <c r="A277" s="6" t="s">
        <v>4583</v>
      </c>
      <c r="B277" s="6" t="s">
        <v>454</v>
      </c>
      <c r="C277" s="6" t="s">
        <v>57</v>
      </c>
      <c r="D277" s="6" t="s">
        <v>22</v>
      </c>
      <c r="E277" s="6" t="n">
        <f aca="false">ROUND(8010*1.05,2)</f>
        <v>8410.5</v>
      </c>
      <c r="F277" s="6" t="s">
        <v>52</v>
      </c>
      <c r="G277" s="6" t="s">
        <v>24</v>
      </c>
      <c r="H277" s="6" t="n">
        <f aca="true">ROUND(RAND()*4+6,1)</f>
        <v>6.2</v>
      </c>
      <c r="I277" s="6" t="s">
        <v>25</v>
      </c>
      <c r="J277" s="6" t="str">
        <f aca="false">ROUND(68*1,0)&amp;"%"</f>
        <v>68%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4584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4585</v>
      </c>
      <c r="B282" s="5" t="s">
        <v>458</v>
      </c>
      <c r="C282" s="5" t="s">
        <v>76</v>
      </c>
      <c r="D282" s="5" t="s">
        <v>16</v>
      </c>
      <c r="E282" s="5" t="n">
        <f aca="false">ROUND(15254*1.05,2)</f>
        <v>16016.7</v>
      </c>
      <c r="F282" s="5" t="s">
        <v>17</v>
      </c>
      <c r="G282" s="5" t="s">
        <v>18</v>
      </c>
      <c r="H282" s="5" t="n">
        <f aca="true">ROUND(RAND()*4+6,1)</f>
        <v>8.5</v>
      </c>
      <c r="I282" s="5" t="s">
        <v>19</v>
      </c>
      <c r="J282" s="5" t="str">
        <f aca="false">ROUND(97*1,0)&amp;"%"</f>
        <v>97%</v>
      </c>
    </row>
    <row r="283" customFormat="false" ht="15" hidden="false" customHeight="false" outlineLevel="0" collapsed="false">
      <c r="A283" s="6" t="s">
        <v>4586</v>
      </c>
      <c r="B283" s="6" t="s">
        <v>460</v>
      </c>
      <c r="C283" s="6" t="s">
        <v>76</v>
      </c>
      <c r="D283" s="6" t="s">
        <v>22</v>
      </c>
      <c r="E283" s="6" t="n">
        <f aca="false">ROUND(9502*1.05,2)</f>
        <v>9977.1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ROUND(74*1,0)&amp;"%"</f>
        <v>74%</v>
      </c>
    </row>
    <row r="284" customFormat="false" ht="15" hidden="false" customHeight="false" outlineLevel="0" collapsed="false">
      <c r="A284" s="5" t="s">
        <v>4587</v>
      </c>
      <c r="B284" s="5" t="s">
        <v>462</v>
      </c>
      <c r="C284" s="5" t="s">
        <v>76</v>
      </c>
      <c r="D284" s="5" t="s">
        <v>28</v>
      </c>
      <c r="E284" s="5" t="n">
        <f aca="false">ROUND(16672*1.05,2)</f>
        <v>17505.6</v>
      </c>
      <c r="F284" s="5" t="s">
        <v>29</v>
      </c>
      <c r="G284" s="5" t="s">
        <v>30</v>
      </c>
      <c r="H284" s="5" t="n">
        <f aca="true">ROUND(RAND()*4+6,1)</f>
        <v>9.5</v>
      </c>
      <c r="I284" s="5" t="s">
        <v>31</v>
      </c>
      <c r="J284" s="5" t="str">
        <f aca="false">ROUND(63*1,0)&amp;"%"</f>
        <v>63%</v>
      </c>
    </row>
    <row r="285" customFormat="false" ht="15" hidden="false" customHeight="false" outlineLevel="0" collapsed="false">
      <c r="A285" s="6" t="s">
        <v>4588</v>
      </c>
      <c r="B285" s="6" t="s">
        <v>464</v>
      </c>
      <c r="C285" s="6" t="s">
        <v>76</v>
      </c>
      <c r="D285" s="6" t="s">
        <v>34</v>
      </c>
      <c r="E285" s="6" t="n">
        <f aca="false">ROUND(12804*1.05,2)</f>
        <v>13444.2</v>
      </c>
      <c r="F285" s="6" t="s">
        <v>35</v>
      </c>
      <c r="G285" s="6" t="s">
        <v>18</v>
      </c>
      <c r="H285" s="6" t="n">
        <f aca="true">ROUND(RAND()*4+6,1)</f>
        <v>8.5</v>
      </c>
      <c r="I285" s="6" t="s">
        <v>36</v>
      </c>
      <c r="J285" s="6" t="str">
        <f aca="false">ROUND(64*1,0)&amp;"%"</f>
        <v>64%</v>
      </c>
    </row>
    <row r="286" customFormat="false" ht="15" hidden="false" customHeight="false" outlineLevel="0" collapsed="false">
      <c r="A286" s="5" t="s">
        <v>4589</v>
      </c>
      <c r="B286" s="5" t="s">
        <v>466</v>
      </c>
      <c r="C286" s="5" t="s">
        <v>76</v>
      </c>
      <c r="D286" s="5" t="s">
        <v>39</v>
      </c>
      <c r="E286" s="5" t="n">
        <f aca="false">ROUND(8513*1.05,2)</f>
        <v>8938.65</v>
      </c>
      <c r="F286" s="5" t="s">
        <v>40</v>
      </c>
      <c r="G286" s="5" t="s">
        <v>24</v>
      </c>
      <c r="H286" s="5" t="n">
        <f aca="true">ROUND(RAND()*4+6,1)</f>
        <v>7.8</v>
      </c>
      <c r="I286" s="5" t="s">
        <v>41</v>
      </c>
      <c r="J286" s="5" t="str">
        <f aca="false">ROUND(63*1,0)&amp;"%"</f>
        <v>63%</v>
      </c>
    </row>
    <row r="287" customFormat="false" ht="15" hidden="false" customHeight="false" outlineLevel="0" collapsed="false">
      <c r="A287" s="6" t="s">
        <v>4590</v>
      </c>
      <c r="B287" s="6" t="s">
        <v>468</v>
      </c>
      <c r="C287" s="6" t="s">
        <v>76</v>
      </c>
      <c r="D287" s="6" t="s">
        <v>44</v>
      </c>
      <c r="E287" s="6" t="n">
        <f aca="false">ROUND(4087*1.05,2)</f>
        <v>4291.35</v>
      </c>
      <c r="F287" s="6" t="s">
        <v>45</v>
      </c>
      <c r="G287" s="6" t="s">
        <v>30</v>
      </c>
      <c r="H287" s="6" t="n">
        <f aca="true">ROUND(RAND()*4+6,1)</f>
        <v>7.1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4591</v>
      </c>
      <c r="B288" s="5" t="s">
        <v>470</v>
      </c>
      <c r="C288" s="5" t="s">
        <v>76</v>
      </c>
      <c r="D288" s="5" t="s">
        <v>16</v>
      </c>
      <c r="E288" s="5" t="n">
        <f aca="false">ROUND(7236*1.05,2)</f>
        <v>7597.8</v>
      </c>
      <c r="F288" s="5" t="s">
        <v>49</v>
      </c>
      <c r="G288" s="5" t="s">
        <v>18</v>
      </c>
      <c r="H288" s="5" t="n">
        <f aca="true">ROUND(RAND()*4+6,1)</f>
        <v>9.3</v>
      </c>
      <c r="I288" s="5" t="s">
        <v>19</v>
      </c>
      <c r="J288" s="5" t="str">
        <f aca="false">ROUND(94*1,0)&amp;"%"</f>
        <v>94%</v>
      </c>
    </row>
    <row r="289" customFormat="false" ht="15" hidden="false" customHeight="false" outlineLevel="0" collapsed="false">
      <c r="A289" s="6" t="s">
        <v>4592</v>
      </c>
      <c r="B289" s="6" t="s">
        <v>472</v>
      </c>
      <c r="C289" s="6" t="s">
        <v>76</v>
      </c>
      <c r="D289" s="6" t="s">
        <v>22</v>
      </c>
      <c r="E289" s="6" t="n">
        <f aca="false">ROUND(15071*1.05,2)</f>
        <v>15824.55</v>
      </c>
      <c r="F289" s="6" t="s">
        <v>52</v>
      </c>
      <c r="G289" s="6" t="s">
        <v>24</v>
      </c>
      <c r="H289" s="6" t="n">
        <f aca="true">ROUND(RAND()*4+6,1)</f>
        <v>6.9</v>
      </c>
      <c r="I289" s="6" t="s">
        <v>25</v>
      </c>
      <c r="J289" s="6" t="str">
        <f aca="false">ROUND(97*1,0)&amp;"%"</f>
        <v>97%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4593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4594</v>
      </c>
      <c r="B294" s="5" t="s">
        <v>476</v>
      </c>
      <c r="C294" s="5" t="s">
        <v>95</v>
      </c>
      <c r="D294" s="5" t="s">
        <v>16</v>
      </c>
      <c r="E294" s="5" t="n">
        <f aca="false">ROUND(17512*1.05,2)</f>
        <v>18387.6</v>
      </c>
      <c r="F294" s="5" t="s">
        <v>17</v>
      </c>
      <c r="G294" s="5" t="s">
        <v>18</v>
      </c>
      <c r="H294" s="5" t="n">
        <f aca="true">ROUND(RAND()*4+6,1)</f>
        <v>6.3</v>
      </c>
      <c r="I294" s="5" t="s">
        <v>19</v>
      </c>
      <c r="J294" s="5" t="str">
        <f aca="false">ROUND(80*1,0)&amp;"%"</f>
        <v>80%</v>
      </c>
    </row>
    <row r="295" customFormat="false" ht="15" hidden="false" customHeight="false" outlineLevel="0" collapsed="false">
      <c r="A295" s="6" t="s">
        <v>4595</v>
      </c>
      <c r="B295" s="6" t="s">
        <v>478</v>
      </c>
      <c r="C295" s="6" t="s">
        <v>95</v>
      </c>
      <c r="D295" s="6" t="s">
        <v>22</v>
      </c>
      <c r="E295" s="6" t="n">
        <f aca="false">ROUND(7411*1.05,2)</f>
        <v>7781.55</v>
      </c>
      <c r="F295" s="6" t="s">
        <v>23</v>
      </c>
      <c r="G295" s="6" t="s">
        <v>24</v>
      </c>
      <c r="H295" s="6" t="n">
        <f aca="true">ROUND(RAND()*4+6,1)</f>
        <v>6</v>
      </c>
      <c r="I295" s="6" t="s">
        <v>25</v>
      </c>
      <c r="J295" s="6" t="str">
        <f aca="false">ROUND(75*1,0)&amp;"%"</f>
        <v>75%</v>
      </c>
    </row>
    <row r="296" customFormat="false" ht="15" hidden="false" customHeight="false" outlineLevel="0" collapsed="false">
      <c r="A296" s="5" t="s">
        <v>4596</v>
      </c>
      <c r="B296" s="5" t="s">
        <v>480</v>
      </c>
      <c r="C296" s="5" t="s">
        <v>95</v>
      </c>
      <c r="D296" s="5" t="s">
        <v>28</v>
      </c>
      <c r="E296" s="5" t="n">
        <f aca="false">ROUND(13775*1.05,2)</f>
        <v>14463.75</v>
      </c>
      <c r="F296" s="5" t="s">
        <v>29</v>
      </c>
      <c r="G296" s="5" t="s">
        <v>30</v>
      </c>
      <c r="H296" s="5" t="n">
        <f aca="true">ROUND(RAND()*4+6,1)</f>
        <v>9.3</v>
      </c>
      <c r="I296" s="5" t="s">
        <v>31</v>
      </c>
      <c r="J296" s="5" t="str">
        <f aca="false">ROUND(80*1,0)&amp;"%"</f>
        <v>80%</v>
      </c>
    </row>
    <row r="297" customFormat="false" ht="15" hidden="false" customHeight="false" outlineLevel="0" collapsed="false">
      <c r="A297" s="6" t="s">
        <v>4597</v>
      </c>
      <c r="B297" s="6" t="s">
        <v>482</v>
      </c>
      <c r="C297" s="6" t="s">
        <v>95</v>
      </c>
      <c r="D297" s="6" t="s">
        <v>34</v>
      </c>
      <c r="E297" s="6" t="n">
        <f aca="false">ROUND(4191*1.05,2)</f>
        <v>4400.55</v>
      </c>
      <c r="F297" s="6" t="s">
        <v>35</v>
      </c>
      <c r="G297" s="6" t="s">
        <v>18</v>
      </c>
      <c r="H297" s="6" t="n">
        <f aca="true">ROUND(RAND()*4+6,1)</f>
        <v>8.6</v>
      </c>
      <c r="I297" s="6" t="s">
        <v>36</v>
      </c>
      <c r="J297" s="6" t="str">
        <f aca="false">ROUND(95*1,0)&amp;"%"</f>
        <v>95%</v>
      </c>
    </row>
    <row r="298" customFormat="false" ht="15" hidden="false" customHeight="false" outlineLevel="0" collapsed="false">
      <c r="A298" s="5" t="s">
        <v>4598</v>
      </c>
      <c r="B298" s="5" t="s">
        <v>484</v>
      </c>
      <c r="C298" s="5" t="s">
        <v>95</v>
      </c>
      <c r="D298" s="5" t="s">
        <v>39</v>
      </c>
      <c r="E298" s="5" t="n">
        <f aca="false">ROUND(13195*1.05,2)</f>
        <v>13854.75</v>
      </c>
      <c r="F298" s="5" t="s">
        <v>40</v>
      </c>
      <c r="G298" s="5" t="s">
        <v>24</v>
      </c>
      <c r="H298" s="5" t="n">
        <f aca="true">ROUND(RAND()*4+6,1)</f>
        <v>9.2</v>
      </c>
      <c r="I298" s="5" t="s">
        <v>41</v>
      </c>
      <c r="J298" s="5" t="str">
        <f aca="false">ROUND(61*1,0)&amp;"%"</f>
        <v>61%</v>
      </c>
    </row>
    <row r="299" customFormat="false" ht="15" hidden="false" customHeight="false" outlineLevel="0" collapsed="false">
      <c r="A299" s="6" t="s">
        <v>4599</v>
      </c>
      <c r="B299" s="6" t="s">
        <v>486</v>
      </c>
      <c r="C299" s="6" t="s">
        <v>95</v>
      </c>
      <c r="D299" s="6" t="s">
        <v>44</v>
      </c>
      <c r="E299" s="6" t="n">
        <f aca="false">ROUND(16889*1.05,2)</f>
        <v>17733.45</v>
      </c>
      <c r="F299" s="6" t="s">
        <v>45</v>
      </c>
      <c r="G299" s="6" t="s">
        <v>30</v>
      </c>
      <c r="H299" s="6" t="n">
        <f aca="true">ROUND(RAND()*4+6,1)</f>
        <v>9.7</v>
      </c>
      <c r="I299" s="6" t="s">
        <v>46</v>
      </c>
      <c r="J299" s="6" t="str">
        <f aca="false">ROUND(66*1,0)&amp;"%"</f>
        <v>66%</v>
      </c>
    </row>
    <row r="300" customFormat="false" ht="15" hidden="false" customHeight="false" outlineLevel="0" collapsed="false">
      <c r="A300" s="5" t="s">
        <v>4600</v>
      </c>
      <c r="B300" s="5" t="s">
        <v>488</v>
      </c>
      <c r="C300" s="5" t="s">
        <v>95</v>
      </c>
      <c r="D300" s="5" t="s">
        <v>16</v>
      </c>
      <c r="E300" s="5" t="n">
        <f aca="false">ROUND(15139*1.05,2)</f>
        <v>15895.95</v>
      </c>
      <c r="F300" s="5" t="s">
        <v>49</v>
      </c>
      <c r="G300" s="5" t="s">
        <v>18</v>
      </c>
      <c r="H300" s="5" t="n">
        <f aca="true">ROUND(RAND()*4+6,1)</f>
        <v>7.5</v>
      </c>
      <c r="I300" s="5" t="s">
        <v>19</v>
      </c>
      <c r="J300" s="5" t="str">
        <f aca="false">ROUND(83*1,0)&amp;"%"</f>
        <v>83%</v>
      </c>
    </row>
    <row r="301" customFormat="false" ht="15" hidden="false" customHeight="false" outlineLevel="0" collapsed="false">
      <c r="A301" s="6" t="s">
        <v>4601</v>
      </c>
      <c r="B301" s="6" t="s">
        <v>490</v>
      </c>
      <c r="C301" s="6" t="s">
        <v>95</v>
      </c>
      <c r="D301" s="6" t="s">
        <v>22</v>
      </c>
      <c r="E301" s="6" t="n">
        <f aca="false">ROUND(16551*1.05,2)</f>
        <v>17378.55</v>
      </c>
      <c r="F301" s="6" t="s">
        <v>52</v>
      </c>
      <c r="G301" s="6" t="s">
        <v>24</v>
      </c>
      <c r="H301" s="6" t="n">
        <f aca="true">ROUND(RAND()*4+6,1)</f>
        <v>8.1</v>
      </c>
      <c r="I301" s="6" t="s">
        <v>25</v>
      </c>
      <c r="J301" s="6" t="str">
        <f aca="false">ROUND(94*1,0)&amp;"%"</f>
        <v>94%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4602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4603</v>
      </c>
      <c r="B306" s="5" t="s">
        <v>494</v>
      </c>
      <c r="C306" s="5" t="s">
        <v>114</v>
      </c>
      <c r="D306" s="5" t="s">
        <v>16</v>
      </c>
      <c r="E306" s="5" t="n">
        <f aca="false">ROUND(6303*1.05,2)</f>
        <v>6618.15</v>
      </c>
      <c r="F306" s="5" t="s">
        <v>17</v>
      </c>
      <c r="G306" s="5" t="s">
        <v>18</v>
      </c>
      <c r="H306" s="5" t="n">
        <f aca="true">ROUND(RAND()*4+6,1)</f>
        <v>8.5</v>
      </c>
      <c r="I306" s="5" t="s">
        <v>19</v>
      </c>
      <c r="J306" s="5" t="str">
        <f aca="false">ROUND(87*1,0)&amp;"%"</f>
        <v>87%</v>
      </c>
    </row>
    <row r="307" customFormat="false" ht="15" hidden="false" customHeight="false" outlineLevel="0" collapsed="false">
      <c r="A307" s="6" t="s">
        <v>4604</v>
      </c>
      <c r="B307" s="6" t="s">
        <v>496</v>
      </c>
      <c r="C307" s="6" t="s">
        <v>114</v>
      </c>
      <c r="D307" s="6" t="s">
        <v>22</v>
      </c>
      <c r="E307" s="6" t="n">
        <f aca="false">ROUND(7240*1.05,2)</f>
        <v>7602</v>
      </c>
      <c r="F307" s="6" t="s">
        <v>23</v>
      </c>
      <c r="G307" s="6" t="s">
        <v>24</v>
      </c>
      <c r="H307" s="6" t="n">
        <f aca="true">ROUND(RAND()*4+6,1)</f>
        <v>8.4</v>
      </c>
      <c r="I307" s="6" t="s">
        <v>25</v>
      </c>
      <c r="J307" s="6" t="str">
        <f aca="false">ROUND(76*1,0)&amp;"%"</f>
        <v>76%</v>
      </c>
    </row>
    <row r="308" customFormat="false" ht="15" hidden="false" customHeight="false" outlineLevel="0" collapsed="false">
      <c r="A308" s="5" t="s">
        <v>4605</v>
      </c>
      <c r="B308" s="5" t="s">
        <v>498</v>
      </c>
      <c r="C308" s="5" t="s">
        <v>114</v>
      </c>
      <c r="D308" s="5" t="s">
        <v>28</v>
      </c>
      <c r="E308" s="5" t="n">
        <f aca="false">ROUND(11995*1.05,2)</f>
        <v>12594.75</v>
      </c>
      <c r="F308" s="5" t="s">
        <v>29</v>
      </c>
      <c r="G308" s="5" t="s">
        <v>30</v>
      </c>
      <c r="H308" s="5" t="n">
        <f aca="true">ROUND(RAND()*4+6,1)</f>
        <v>7.9</v>
      </c>
      <c r="I308" s="5" t="s">
        <v>31</v>
      </c>
      <c r="J308" s="5" t="str">
        <f aca="false">ROUND(74*1,0)&amp;"%"</f>
        <v>74%</v>
      </c>
    </row>
    <row r="309" customFormat="false" ht="15" hidden="false" customHeight="false" outlineLevel="0" collapsed="false">
      <c r="A309" s="6" t="s">
        <v>4606</v>
      </c>
      <c r="B309" s="6" t="s">
        <v>500</v>
      </c>
      <c r="C309" s="6" t="s">
        <v>114</v>
      </c>
      <c r="D309" s="6" t="s">
        <v>34</v>
      </c>
      <c r="E309" s="6" t="n">
        <f aca="false">ROUND(10667*1.05,2)</f>
        <v>11200.35</v>
      </c>
      <c r="F309" s="6" t="s">
        <v>35</v>
      </c>
      <c r="G309" s="6" t="s">
        <v>18</v>
      </c>
      <c r="H309" s="6" t="n">
        <f aca="true">ROUND(RAND()*4+6,1)</f>
        <v>8.1</v>
      </c>
      <c r="I309" s="6" t="s">
        <v>36</v>
      </c>
      <c r="J309" s="6" t="str">
        <f aca="false">ROUND(68*1,0)&amp;"%"</f>
        <v>68%</v>
      </c>
    </row>
    <row r="310" customFormat="false" ht="15" hidden="false" customHeight="false" outlineLevel="0" collapsed="false">
      <c r="A310" s="5" t="s">
        <v>4607</v>
      </c>
      <c r="B310" s="5" t="s">
        <v>502</v>
      </c>
      <c r="C310" s="5" t="s">
        <v>114</v>
      </c>
      <c r="D310" s="5" t="s">
        <v>39</v>
      </c>
      <c r="E310" s="5" t="n">
        <f aca="false">ROUND(16752*1.05,2)</f>
        <v>17589.6</v>
      </c>
      <c r="F310" s="5" t="s">
        <v>40</v>
      </c>
      <c r="G310" s="5" t="s">
        <v>24</v>
      </c>
      <c r="H310" s="5" t="n">
        <f aca="true">ROUND(RAND()*4+6,1)</f>
        <v>8.1</v>
      </c>
      <c r="I310" s="5" t="s">
        <v>41</v>
      </c>
      <c r="J310" s="5" t="str">
        <f aca="false">ROUND(77*1,0)&amp;"%"</f>
        <v>77%</v>
      </c>
    </row>
    <row r="311" customFormat="false" ht="15" hidden="false" customHeight="false" outlineLevel="0" collapsed="false">
      <c r="A311" s="6" t="s">
        <v>4608</v>
      </c>
      <c r="B311" s="6" t="s">
        <v>504</v>
      </c>
      <c r="C311" s="6" t="s">
        <v>114</v>
      </c>
      <c r="D311" s="6" t="s">
        <v>44</v>
      </c>
      <c r="E311" s="6" t="n">
        <f aca="false">ROUND(5913*1.05,2)</f>
        <v>6208.65</v>
      </c>
      <c r="F311" s="6" t="s">
        <v>45</v>
      </c>
      <c r="G311" s="6" t="s">
        <v>30</v>
      </c>
      <c r="H311" s="6" t="n">
        <f aca="true">ROUND(RAND()*4+6,1)</f>
        <v>8.8</v>
      </c>
      <c r="I311" s="6" t="s">
        <v>46</v>
      </c>
      <c r="J311" s="6" t="str">
        <f aca="false">ROUND(78*1,0)&amp;"%"</f>
        <v>78%</v>
      </c>
    </row>
    <row r="312" customFormat="false" ht="15" hidden="false" customHeight="false" outlineLevel="0" collapsed="false">
      <c r="A312" s="5" t="s">
        <v>4609</v>
      </c>
      <c r="B312" s="5" t="s">
        <v>506</v>
      </c>
      <c r="C312" s="5" t="s">
        <v>114</v>
      </c>
      <c r="D312" s="5" t="s">
        <v>16</v>
      </c>
      <c r="E312" s="5" t="n">
        <f aca="false">ROUND(12584*1.05,2)</f>
        <v>13213.2</v>
      </c>
      <c r="F312" s="5" t="s">
        <v>49</v>
      </c>
      <c r="G312" s="5" t="s">
        <v>18</v>
      </c>
      <c r="H312" s="5" t="n">
        <f aca="true">ROUND(RAND()*4+6,1)</f>
        <v>6.4</v>
      </c>
      <c r="I312" s="5" t="s">
        <v>19</v>
      </c>
      <c r="J312" s="5" t="str">
        <f aca="false">ROUND(90*1,0)&amp;"%"</f>
        <v>90%</v>
      </c>
    </row>
    <row r="313" customFormat="false" ht="15" hidden="false" customHeight="false" outlineLevel="0" collapsed="false">
      <c r="A313" s="6" t="s">
        <v>4610</v>
      </c>
      <c r="B313" s="6" t="s">
        <v>508</v>
      </c>
      <c r="C313" s="6" t="s">
        <v>114</v>
      </c>
      <c r="D313" s="6" t="s">
        <v>22</v>
      </c>
      <c r="E313" s="6" t="n">
        <f aca="false">ROUND(17242*1.05,2)</f>
        <v>18104.1</v>
      </c>
      <c r="F313" s="6" t="s">
        <v>52</v>
      </c>
      <c r="G313" s="6" t="s">
        <v>24</v>
      </c>
      <c r="H313" s="6" t="n">
        <f aca="true">ROUND(RAND()*4+6,1)</f>
        <v>7.8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4611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4612</v>
      </c>
      <c r="B318" s="5" t="s">
        <v>512</v>
      </c>
      <c r="C318" s="5" t="s">
        <v>133</v>
      </c>
      <c r="D318" s="5" t="s">
        <v>16</v>
      </c>
      <c r="E318" s="5" t="n">
        <f aca="false">ROUND(13547*1.05,2)</f>
        <v>14224.35</v>
      </c>
      <c r="F318" s="5" t="s">
        <v>17</v>
      </c>
      <c r="G318" s="5" t="s">
        <v>18</v>
      </c>
      <c r="H318" s="5" t="n">
        <f aca="true">ROUND(RAND()*4+6,1)</f>
        <v>9.5</v>
      </c>
      <c r="I318" s="5" t="s">
        <v>19</v>
      </c>
      <c r="J318" s="5" t="str">
        <f aca="false">ROUND(68*1,0)&amp;"%"</f>
        <v>68%</v>
      </c>
    </row>
    <row r="319" customFormat="false" ht="15" hidden="false" customHeight="false" outlineLevel="0" collapsed="false">
      <c r="A319" s="6" t="s">
        <v>4613</v>
      </c>
      <c r="B319" s="6" t="s">
        <v>514</v>
      </c>
      <c r="C319" s="6" t="s">
        <v>133</v>
      </c>
      <c r="D319" s="6" t="s">
        <v>22</v>
      </c>
      <c r="E319" s="6" t="n">
        <f aca="false">ROUND(12509*1.05,2)</f>
        <v>13134.45</v>
      </c>
      <c r="F319" s="6" t="s">
        <v>23</v>
      </c>
      <c r="G319" s="6" t="s">
        <v>24</v>
      </c>
      <c r="H319" s="6" t="n">
        <f aca="true">ROUND(RAND()*4+6,1)</f>
        <v>8.3</v>
      </c>
      <c r="I319" s="6" t="s">
        <v>25</v>
      </c>
      <c r="J319" s="6" t="str">
        <f aca="false">ROUND(95*1,0)&amp;"%"</f>
        <v>95%</v>
      </c>
    </row>
    <row r="320" customFormat="false" ht="15" hidden="false" customHeight="false" outlineLevel="0" collapsed="false">
      <c r="A320" s="5" t="s">
        <v>4614</v>
      </c>
      <c r="B320" s="5" t="s">
        <v>516</v>
      </c>
      <c r="C320" s="5" t="s">
        <v>133</v>
      </c>
      <c r="D320" s="5" t="s">
        <v>28</v>
      </c>
      <c r="E320" s="5" t="n">
        <f aca="false">ROUND(17886*1.05,2)</f>
        <v>18780.3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ROUND(94*1,0)&amp;"%"</f>
        <v>94%</v>
      </c>
    </row>
    <row r="321" customFormat="false" ht="15" hidden="false" customHeight="false" outlineLevel="0" collapsed="false">
      <c r="A321" s="6" t="s">
        <v>4615</v>
      </c>
      <c r="B321" s="6" t="s">
        <v>518</v>
      </c>
      <c r="C321" s="6" t="s">
        <v>133</v>
      </c>
      <c r="D321" s="6" t="s">
        <v>34</v>
      </c>
      <c r="E321" s="6" t="n">
        <f aca="false">ROUND(13754*1.05,2)</f>
        <v>14441.7</v>
      </c>
      <c r="F321" s="6" t="s">
        <v>35</v>
      </c>
      <c r="G321" s="6" t="s">
        <v>18</v>
      </c>
      <c r="H321" s="6" t="n">
        <f aca="true">ROUND(RAND()*4+6,1)</f>
        <v>9</v>
      </c>
      <c r="I321" s="6" t="s">
        <v>36</v>
      </c>
      <c r="J321" s="6" t="str">
        <f aca="false">ROUND(68*1,0)&amp;"%"</f>
        <v>68%</v>
      </c>
    </row>
    <row r="322" customFormat="false" ht="15" hidden="false" customHeight="false" outlineLevel="0" collapsed="false">
      <c r="A322" s="5" t="s">
        <v>4616</v>
      </c>
      <c r="B322" s="5" t="s">
        <v>520</v>
      </c>
      <c r="C322" s="5" t="s">
        <v>133</v>
      </c>
      <c r="D322" s="5" t="s">
        <v>39</v>
      </c>
      <c r="E322" s="5" t="n">
        <f aca="false">ROUND(12173*1.05,2)</f>
        <v>12781.65</v>
      </c>
      <c r="F322" s="5" t="s">
        <v>40</v>
      </c>
      <c r="G322" s="5" t="s">
        <v>24</v>
      </c>
      <c r="H322" s="5" t="n">
        <f aca="true">ROUND(RAND()*4+6,1)</f>
        <v>6.4</v>
      </c>
      <c r="I322" s="5" t="s">
        <v>41</v>
      </c>
      <c r="J322" s="5" t="str">
        <f aca="false">ROUND(84*1,0)&amp;"%"</f>
        <v>84%</v>
      </c>
    </row>
    <row r="323" customFormat="false" ht="15" hidden="false" customHeight="false" outlineLevel="0" collapsed="false">
      <c r="A323" s="6" t="s">
        <v>4617</v>
      </c>
      <c r="B323" s="6" t="s">
        <v>522</v>
      </c>
      <c r="C323" s="6" t="s">
        <v>133</v>
      </c>
      <c r="D323" s="6" t="s">
        <v>44</v>
      </c>
      <c r="E323" s="6" t="n">
        <f aca="false">ROUND(14976*1.05,2)</f>
        <v>15724.8</v>
      </c>
      <c r="F323" s="6" t="s">
        <v>45</v>
      </c>
      <c r="G323" s="6" t="s">
        <v>30</v>
      </c>
      <c r="H323" s="6" t="n">
        <f aca="true">ROUND(RAND()*4+6,1)</f>
        <v>8.9</v>
      </c>
      <c r="I323" s="6" t="s">
        <v>46</v>
      </c>
      <c r="J323" s="6" t="str">
        <f aca="false">ROUND(73*1,0)&amp;"%"</f>
        <v>73%</v>
      </c>
    </row>
    <row r="324" customFormat="false" ht="15" hidden="false" customHeight="false" outlineLevel="0" collapsed="false">
      <c r="A324" s="5" t="s">
        <v>4618</v>
      </c>
      <c r="B324" s="5" t="s">
        <v>524</v>
      </c>
      <c r="C324" s="5" t="s">
        <v>133</v>
      </c>
      <c r="D324" s="5" t="s">
        <v>16</v>
      </c>
      <c r="E324" s="5" t="n">
        <f aca="false">ROUND(6839*1.05,2)</f>
        <v>7180.95</v>
      </c>
      <c r="F324" s="5" t="s">
        <v>49</v>
      </c>
      <c r="G324" s="5" t="s">
        <v>18</v>
      </c>
      <c r="H324" s="5" t="n">
        <f aca="true">ROUND(RAND()*4+6,1)</f>
        <v>6.3</v>
      </c>
      <c r="I324" s="5" t="s">
        <v>19</v>
      </c>
      <c r="J324" s="5" t="str">
        <f aca="false">ROUND(89*1,0)&amp;"%"</f>
        <v>89%</v>
      </c>
    </row>
    <row r="325" customFormat="false" ht="15" hidden="false" customHeight="false" outlineLevel="0" collapsed="false">
      <c r="A325" s="6" t="s">
        <v>4619</v>
      </c>
      <c r="B325" s="6" t="s">
        <v>526</v>
      </c>
      <c r="C325" s="6" t="s">
        <v>133</v>
      </c>
      <c r="D325" s="6" t="s">
        <v>22</v>
      </c>
      <c r="E325" s="6" t="n">
        <f aca="false">ROUND(6806*1.05,2)</f>
        <v>7146.3</v>
      </c>
      <c r="F325" s="6" t="s">
        <v>52</v>
      </c>
      <c r="G325" s="6" t="s">
        <v>24</v>
      </c>
      <c r="H325" s="6" t="n">
        <f aca="true">ROUND(RAND()*4+6,1)</f>
        <v>9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4620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4621</v>
      </c>
      <c r="B330" s="5" t="s">
        <v>530</v>
      </c>
      <c r="C330" s="5" t="s">
        <v>152</v>
      </c>
      <c r="D330" s="5" t="s">
        <v>16</v>
      </c>
      <c r="E330" s="5" t="n">
        <f aca="false">ROUND(16895*1.05,2)</f>
        <v>17739.75</v>
      </c>
      <c r="F330" s="5" t="s">
        <v>17</v>
      </c>
      <c r="G330" s="5" t="s">
        <v>18</v>
      </c>
      <c r="H330" s="5" t="n">
        <f aca="true">ROUND(RAND()*4+6,1)</f>
        <v>7.7</v>
      </c>
      <c r="I330" s="5" t="s">
        <v>19</v>
      </c>
      <c r="J330" s="5" t="str">
        <f aca="false">ROUND(95*1,0)&amp;"%"</f>
        <v>95%</v>
      </c>
    </row>
    <row r="331" customFormat="false" ht="15" hidden="false" customHeight="false" outlineLevel="0" collapsed="false">
      <c r="A331" s="6" t="s">
        <v>4622</v>
      </c>
      <c r="B331" s="6" t="s">
        <v>532</v>
      </c>
      <c r="C331" s="6" t="s">
        <v>152</v>
      </c>
      <c r="D331" s="6" t="s">
        <v>22</v>
      </c>
      <c r="E331" s="6" t="n">
        <f aca="false">ROUND(8736*1.05,2)</f>
        <v>9172.8</v>
      </c>
      <c r="F331" s="6" t="s">
        <v>23</v>
      </c>
      <c r="G331" s="6" t="s">
        <v>24</v>
      </c>
      <c r="H331" s="6" t="n">
        <f aca="true">ROUND(RAND()*4+6,1)</f>
        <v>6.8</v>
      </c>
      <c r="I331" s="6" t="s">
        <v>25</v>
      </c>
      <c r="J331" s="6" t="str">
        <f aca="false">ROUND(94*1,0)&amp;"%"</f>
        <v>94%</v>
      </c>
    </row>
    <row r="332" customFormat="false" ht="15" hidden="false" customHeight="false" outlineLevel="0" collapsed="false">
      <c r="A332" s="5" t="s">
        <v>4623</v>
      </c>
      <c r="B332" s="5" t="s">
        <v>534</v>
      </c>
      <c r="C332" s="5" t="s">
        <v>152</v>
      </c>
      <c r="D332" s="5" t="s">
        <v>28</v>
      </c>
      <c r="E332" s="5" t="n">
        <f aca="false">ROUND(15727*1.05,2)</f>
        <v>16513.35</v>
      </c>
      <c r="F332" s="5" t="s">
        <v>29</v>
      </c>
      <c r="G332" s="5" t="s">
        <v>30</v>
      </c>
      <c r="H332" s="5" t="n">
        <f aca="true">ROUND(RAND()*4+6,1)</f>
        <v>8.2</v>
      </c>
      <c r="I332" s="5" t="s">
        <v>31</v>
      </c>
      <c r="J332" s="5" t="str">
        <f aca="false">ROUND(94*1,0)&amp;"%"</f>
        <v>94%</v>
      </c>
    </row>
    <row r="333" customFormat="false" ht="15" hidden="false" customHeight="false" outlineLevel="0" collapsed="false">
      <c r="A333" s="6" t="s">
        <v>4624</v>
      </c>
      <c r="B333" s="6" t="s">
        <v>536</v>
      </c>
      <c r="C333" s="6" t="s">
        <v>152</v>
      </c>
      <c r="D333" s="6" t="s">
        <v>34</v>
      </c>
      <c r="E333" s="6" t="n">
        <f aca="false">ROUND(5711*1.05,2)</f>
        <v>5996.55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ROUND(78*1,0)&amp;"%"</f>
        <v>78%</v>
      </c>
    </row>
    <row r="334" customFormat="false" ht="15" hidden="false" customHeight="false" outlineLevel="0" collapsed="false">
      <c r="A334" s="5" t="s">
        <v>4625</v>
      </c>
      <c r="B334" s="5" t="s">
        <v>538</v>
      </c>
      <c r="C334" s="5" t="s">
        <v>152</v>
      </c>
      <c r="D334" s="5" t="s">
        <v>39</v>
      </c>
      <c r="E334" s="5" t="n">
        <f aca="false">ROUND(12873*1.05,2)</f>
        <v>13516.65</v>
      </c>
      <c r="F334" s="5" t="s">
        <v>40</v>
      </c>
      <c r="G334" s="5" t="s">
        <v>24</v>
      </c>
      <c r="H334" s="5" t="n">
        <f aca="true">ROUND(RAND()*4+6,1)</f>
        <v>8.6</v>
      </c>
      <c r="I334" s="5" t="s">
        <v>41</v>
      </c>
      <c r="J334" s="5" t="str">
        <f aca="false">ROUND(71*1,0)&amp;"%"</f>
        <v>71%</v>
      </c>
    </row>
    <row r="335" customFormat="false" ht="15" hidden="false" customHeight="false" outlineLevel="0" collapsed="false">
      <c r="A335" s="6" t="s">
        <v>4626</v>
      </c>
      <c r="B335" s="6" t="s">
        <v>540</v>
      </c>
      <c r="C335" s="6" t="s">
        <v>152</v>
      </c>
      <c r="D335" s="6" t="s">
        <v>44</v>
      </c>
      <c r="E335" s="6" t="n">
        <f aca="false">ROUND(8110*1.05,2)</f>
        <v>8515.5</v>
      </c>
      <c r="F335" s="6" t="s">
        <v>45</v>
      </c>
      <c r="G335" s="6" t="s">
        <v>30</v>
      </c>
      <c r="H335" s="6" t="n">
        <f aca="true">ROUND(RAND()*4+6,1)</f>
        <v>9.4</v>
      </c>
      <c r="I335" s="6" t="s">
        <v>46</v>
      </c>
      <c r="J335" s="6" t="str">
        <f aca="false">ROUND(68*1,0)&amp;"%"</f>
        <v>68%</v>
      </c>
    </row>
    <row r="336" customFormat="false" ht="15" hidden="false" customHeight="false" outlineLevel="0" collapsed="false">
      <c r="A336" s="5" t="s">
        <v>4627</v>
      </c>
      <c r="B336" s="5" t="s">
        <v>542</v>
      </c>
      <c r="C336" s="5" t="s">
        <v>152</v>
      </c>
      <c r="D336" s="5" t="s">
        <v>16</v>
      </c>
      <c r="E336" s="5" t="n">
        <f aca="false">ROUND(13620*1.05,2)</f>
        <v>14301</v>
      </c>
      <c r="F336" s="5" t="s">
        <v>49</v>
      </c>
      <c r="G336" s="5" t="s">
        <v>18</v>
      </c>
      <c r="H336" s="5" t="n">
        <f aca="true">ROUND(RAND()*4+6,1)</f>
        <v>6.7</v>
      </c>
      <c r="I336" s="5" t="s">
        <v>19</v>
      </c>
      <c r="J336" s="5" t="str">
        <f aca="false">ROUND(83*1,0)&amp;"%"</f>
        <v>83%</v>
      </c>
    </row>
    <row r="337" customFormat="false" ht="15" hidden="false" customHeight="false" outlineLevel="0" collapsed="false">
      <c r="A337" s="6" t="s">
        <v>4628</v>
      </c>
      <c r="B337" s="6" t="s">
        <v>544</v>
      </c>
      <c r="C337" s="6" t="s">
        <v>152</v>
      </c>
      <c r="D337" s="6" t="s">
        <v>22</v>
      </c>
      <c r="E337" s="6" t="n">
        <f aca="false">ROUND(10019*1.05,2)</f>
        <v>10519.95</v>
      </c>
      <c r="F337" s="6" t="s">
        <v>52</v>
      </c>
      <c r="G337" s="6" t="s">
        <v>24</v>
      </c>
      <c r="H337" s="6" t="n">
        <f aca="true">ROUND(RAND()*4+6,1)</f>
        <v>7.7</v>
      </c>
      <c r="I337" s="6" t="s">
        <v>25</v>
      </c>
      <c r="J337" s="6" t="str">
        <f aca="false">ROUND(72*1,0)&amp;"%"</f>
        <v>72%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4629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4630</v>
      </c>
      <c r="B342" s="5" t="s">
        <v>548</v>
      </c>
      <c r="C342" s="5" t="s">
        <v>15</v>
      </c>
      <c r="D342" s="5" t="s">
        <v>16</v>
      </c>
      <c r="E342" s="5" t="n">
        <f aca="false">ROUND(7854*1.05,2)</f>
        <v>8246.7</v>
      </c>
      <c r="F342" s="5" t="s">
        <v>17</v>
      </c>
      <c r="G342" s="5" t="s">
        <v>18</v>
      </c>
      <c r="H342" s="5" t="n">
        <f aca="true">ROUND(RAND()*4+6,1)</f>
        <v>8.2</v>
      </c>
      <c r="I342" s="5" t="s">
        <v>19</v>
      </c>
      <c r="J342" s="5" t="str">
        <f aca="false">ROUND(67*1,0)&amp;"%"</f>
        <v>67%</v>
      </c>
    </row>
    <row r="343" customFormat="false" ht="15" hidden="false" customHeight="false" outlineLevel="0" collapsed="false">
      <c r="A343" s="6" t="s">
        <v>4631</v>
      </c>
      <c r="B343" s="6" t="s">
        <v>550</v>
      </c>
      <c r="C343" s="6" t="s">
        <v>15</v>
      </c>
      <c r="D343" s="6" t="s">
        <v>22</v>
      </c>
      <c r="E343" s="6" t="n">
        <f aca="false">ROUND(17784*1.05,2)</f>
        <v>18673.2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ROUND(63*1,0)&amp;"%"</f>
        <v>63%</v>
      </c>
    </row>
    <row r="344" customFormat="false" ht="15" hidden="false" customHeight="false" outlineLevel="0" collapsed="false">
      <c r="A344" s="5" t="s">
        <v>4632</v>
      </c>
      <c r="B344" s="5" t="s">
        <v>552</v>
      </c>
      <c r="C344" s="5" t="s">
        <v>15</v>
      </c>
      <c r="D344" s="5" t="s">
        <v>28</v>
      </c>
      <c r="E344" s="5" t="n">
        <f aca="false">ROUND(14298*1.05,2)</f>
        <v>15012.9</v>
      </c>
      <c r="F344" s="5" t="s">
        <v>29</v>
      </c>
      <c r="G344" s="5" t="s">
        <v>30</v>
      </c>
      <c r="H344" s="5" t="n">
        <f aca="true">ROUND(RAND()*4+6,1)</f>
        <v>8.2</v>
      </c>
      <c r="I344" s="5" t="s">
        <v>31</v>
      </c>
      <c r="J344" s="5" t="str">
        <f aca="false">ROUND(61*1,0)&amp;"%"</f>
        <v>61%</v>
      </c>
    </row>
    <row r="345" customFormat="false" ht="15" hidden="false" customHeight="false" outlineLevel="0" collapsed="false">
      <c r="A345" s="6" t="s">
        <v>4633</v>
      </c>
      <c r="B345" s="6" t="s">
        <v>554</v>
      </c>
      <c r="C345" s="6" t="s">
        <v>15</v>
      </c>
      <c r="D345" s="6" t="s">
        <v>34</v>
      </c>
      <c r="E345" s="6" t="n">
        <f aca="false">ROUND(6072*1.05,2)</f>
        <v>6375.6</v>
      </c>
      <c r="F345" s="6" t="s">
        <v>35</v>
      </c>
      <c r="G345" s="6" t="s">
        <v>18</v>
      </c>
      <c r="H345" s="6" t="n">
        <f aca="true">ROUND(RAND()*4+6,1)</f>
        <v>7.8</v>
      </c>
      <c r="I345" s="6" t="s">
        <v>36</v>
      </c>
      <c r="J345" s="6" t="str">
        <f aca="false">ROUND(100*1,0)&amp;"%"</f>
        <v>100%</v>
      </c>
    </row>
    <row r="346" customFormat="false" ht="15" hidden="false" customHeight="false" outlineLevel="0" collapsed="false">
      <c r="A346" s="5" t="s">
        <v>4634</v>
      </c>
      <c r="B346" s="5" t="s">
        <v>556</v>
      </c>
      <c r="C346" s="5" t="s">
        <v>15</v>
      </c>
      <c r="D346" s="5" t="s">
        <v>39</v>
      </c>
      <c r="E346" s="5" t="n">
        <f aca="false">ROUND(13747*1.05,2)</f>
        <v>14434.35</v>
      </c>
      <c r="F346" s="5" t="s">
        <v>40</v>
      </c>
      <c r="G346" s="5" t="s">
        <v>24</v>
      </c>
      <c r="H346" s="5" t="n">
        <f aca="true">ROUND(RAND()*4+6,1)</f>
        <v>8.1</v>
      </c>
      <c r="I346" s="5" t="s">
        <v>41</v>
      </c>
      <c r="J346" s="5" t="str">
        <f aca="false">ROUND(68*1,0)&amp;"%"</f>
        <v>68%</v>
      </c>
    </row>
    <row r="347" customFormat="false" ht="15" hidden="false" customHeight="false" outlineLevel="0" collapsed="false">
      <c r="A347" s="6" t="s">
        <v>4635</v>
      </c>
      <c r="B347" s="6" t="s">
        <v>558</v>
      </c>
      <c r="C347" s="6" t="s">
        <v>15</v>
      </c>
      <c r="D347" s="6" t="s">
        <v>44</v>
      </c>
      <c r="E347" s="6" t="n">
        <f aca="false">ROUND(14209*1.05,2)</f>
        <v>14919.45</v>
      </c>
      <c r="F347" s="6" t="s">
        <v>45</v>
      </c>
      <c r="G347" s="6" t="s">
        <v>30</v>
      </c>
      <c r="H347" s="6" t="n">
        <f aca="true">ROUND(RAND()*4+6,1)</f>
        <v>7.7</v>
      </c>
      <c r="I347" s="6" t="s">
        <v>46</v>
      </c>
      <c r="J347" s="6" t="str">
        <f aca="false">ROUND(82*1,0)&amp;"%"</f>
        <v>82%</v>
      </c>
    </row>
    <row r="348" customFormat="false" ht="15" hidden="false" customHeight="false" outlineLevel="0" collapsed="false">
      <c r="A348" s="5" t="s">
        <v>4636</v>
      </c>
      <c r="B348" s="5" t="s">
        <v>560</v>
      </c>
      <c r="C348" s="5" t="s">
        <v>15</v>
      </c>
      <c r="D348" s="5" t="s">
        <v>16</v>
      </c>
      <c r="E348" s="5" t="n">
        <f aca="false">ROUND(5426*1.05,2)</f>
        <v>5697.3</v>
      </c>
      <c r="F348" s="5" t="s">
        <v>49</v>
      </c>
      <c r="G348" s="5" t="s">
        <v>18</v>
      </c>
      <c r="H348" s="5" t="n">
        <f aca="true">ROUND(RAND()*4+6,1)</f>
        <v>9.4</v>
      </c>
      <c r="I348" s="5" t="s">
        <v>19</v>
      </c>
      <c r="J348" s="5" t="str">
        <f aca="false">ROUND(74*1,0)&amp;"%"</f>
        <v>74%</v>
      </c>
    </row>
    <row r="349" customFormat="false" ht="15" hidden="false" customHeight="false" outlineLevel="0" collapsed="false">
      <c r="A349" s="6" t="s">
        <v>4637</v>
      </c>
      <c r="B349" s="6" t="s">
        <v>562</v>
      </c>
      <c r="C349" s="6" t="s">
        <v>15</v>
      </c>
      <c r="D349" s="6" t="s">
        <v>22</v>
      </c>
      <c r="E349" s="6" t="n">
        <f aca="false">ROUND(10162*1.05,2)</f>
        <v>10670.1</v>
      </c>
      <c r="F349" s="6" t="s">
        <v>52</v>
      </c>
      <c r="G349" s="6" t="s">
        <v>24</v>
      </c>
      <c r="H349" s="6" t="n">
        <f aca="true">ROUND(RAND()*4+6,1)</f>
        <v>6.5</v>
      </c>
      <c r="I349" s="6" t="s">
        <v>25</v>
      </c>
      <c r="J349" s="6" t="str">
        <f aca="false">ROUND(86*1,0)&amp;"%"</f>
        <v>86%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4638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4639</v>
      </c>
      <c r="B354" s="5" t="s">
        <v>566</v>
      </c>
      <c r="C354" s="5" t="s">
        <v>57</v>
      </c>
      <c r="D354" s="5" t="s">
        <v>16</v>
      </c>
      <c r="E354" s="5" t="n">
        <f aca="false">ROUND(14053*1.05,2)</f>
        <v>14755.65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ROUND(64*1,0)&amp;"%"</f>
        <v>64%</v>
      </c>
    </row>
    <row r="355" customFormat="false" ht="15" hidden="false" customHeight="false" outlineLevel="0" collapsed="false">
      <c r="A355" s="6" t="s">
        <v>4640</v>
      </c>
      <c r="B355" s="6" t="s">
        <v>568</v>
      </c>
      <c r="C355" s="6" t="s">
        <v>57</v>
      </c>
      <c r="D355" s="6" t="s">
        <v>22</v>
      </c>
      <c r="E355" s="6" t="n">
        <f aca="false">ROUND(16866*1.05,2)</f>
        <v>17709.3</v>
      </c>
      <c r="F355" s="6" t="s">
        <v>23</v>
      </c>
      <c r="G355" s="6" t="s">
        <v>24</v>
      </c>
      <c r="H355" s="6" t="n">
        <f aca="true">ROUND(RAND()*4+6,1)</f>
        <v>6.6</v>
      </c>
      <c r="I355" s="6" t="s">
        <v>25</v>
      </c>
      <c r="J355" s="6" t="str">
        <f aca="false">ROUND(67*1,0)&amp;"%"</f>
        <v>67%</v>
      </c>
    </row>
    <row r="356" customFormat="false" ht="15" hidden="false" customHeight="false" outlineLevel="0" collapsed="false">
      <c r="A356" s="5" t="s">
        <v>4641</v>
      </c>
      <c r="B356" s="5" t="s">
        <v>570</v>
      </c>
      <c r="C356" s="5" t="s">
        <v>57</v>
      </c>
      <c r="D356" s="5" t="s">
        <v>28</v>
      </c>
      <c r="E356" s="5" t="n">
        <f aca="false">ROUND(12448*1.05,2)</f>
        <v>13070.4</v>
      </c>
      <c r="F356" s="5" t="s">
        <v>29</v>
      </c>
      <c r="G356" s="5" t="s">
        <v>30</v>
      </c>
      <c r="H356" s="5" t="n">
        <f aca="true">ROUND(RAND()*4+6,1)</f>
        <v>7.8</v>
      </c>
      <c r="I356" s="5" t="s">
        <v>31</v>
      </c>
      <c r="J356" s="5" t="str">
        <f aca="false">ROUND(82*1,0)&amp;"%"</f>
        <v>82%</v>
      </c>
    </row>
    <row r="357" customFormat="false" ht="15" hidden="false" customHeight="false" outlineLevel="0" collapsed="false">
      <c r="A357" s="6" t="s">
        <v>4642</v>
      </c>
      <c r="B357" s="6" t="s">
        <v>572</v>
      </c>
      <c r="C357" s="6" t="s">
        <v>57</v>
      </c>
      <c r="D357" s="6" t="s">
        <v>34</v>
      </c>
      <c r="E357" s="6" t="n">
        <f aca="false">ROUND(6650*1.05,2)</f>
        <v>6982.5</v>
      </c>
      <c r="F357" s="6" t="s">
        <v>35</v>
      </c>
      <c r="G357" s="6" t="s">
        <v>18</v>
      </c>
      <c r="H357" s="6" t="n">
        <f aca="true">ROUND(RAND()*4+6,1)</f>
        <v>8.6</v>
      </c>
      <c r="I357" s="6" t="s">
        <v>36</v>
      </c>
      <c r="J357" s="6" t="str">
        <f aca="false">ROUND(91*1,0)&amp;"%"</f>
        <v>91%</v>
      </c>
    </row>
    <row r="358" customFormat="false" ht="15" hidden="false" customHeight="false" outlineLevel="0" collapsed="false">
      <c r="A358" s="5" t="s">
        <v>4643</v>
      </c>
      <c r="B358" s="5" t="s">
        <v>574</v>
      </c>
      <c r="C358" s="5" t="s">
        <v>57</v>
      </c>
      <c r="D358" s="5" t="s">
        <v>39</v>
      </c>
      <c r="E358" s="5" t="n">
        <f aca="false">ROUND(14623*1.05,2)</f>
        <v>15354.15</v>
      </c>
      <c r="F358" s="5" t="s">
        <v>40</v>
      </c>
      <c r="G358" s="5" t="s">
        <v>24</v>
      </c>
      <c r="H358" s="5" t="n">
        <f aca="true">ROUND(RAND()*4+6,1)</f>
        <v>7.4</v>
      </c>
      <c r="I358" s="5" t="s">
        <v>41</v>
      </c>
      <c r="J358" s="5" t="str">
        <f aca="false">ROUND(64*1,0)&amp;"%"</f>
        <v>64%</v>
      </c>
    </row>
    <row r="359" customFormat="false" ht="15" hidden="false" customHeight="false" outlineLevel="0" collapsed="false">
      <c r="A359" s="6" t="s">
        <v>4644</v>
      </c>
      <c r="B359" s="6" t="s">
        <v>576</v>
      </c>
      <c r="C359" s="6" t="s">
        <v>57</v>
      </c>
      <c r="D359" s="6" t="s">
        <v>44</v>
      </c>
      <c r="E359" s="6" t="n">
        <f aca="false">ROUND(4037*1.05,2)</f>
        <v>4238.85</v>
      </c>
      <c r="F359" s="6" t="s">
        <v>45</v>
      </c>
      <c r="G359" s="6" t="s">
        <v>30</v>
      </c>
      <c r="H359" s="6" t="n">
        <f aca="true">ROUND(RAND()*4+6,1)</f>
        <v>6.6</v>
      </c>
      <c r="I359" s="6" t="s">
        <v>46</v>
      </c>
      <c r="J359" s="6" t="str">
        <f aca="false">ROUND(74*1,0)&amp;"%"</f>
        <v>74%</v>
      </c>
    </row>
    <row r="360" customFormat="false" ht="15" hidden="false" customHeight="false" outlineLevel="0" collapsed="false">
      <c r="A360" s="5" t="s">
        <v>4645</v>
      </c>
      <c r="B360" s="5" t="s">
        <v>578</v>
      </c>
      <c r="C360" s="5" t="s">
        <v>57</v>
      </c>
      <c r="D360" s="5" t="s">
        <v>16</v>
      </c>
      <c r="E360" s="5" t="n">
        <f aca="false">ROUND(4542*1.05,2)</f>
        <v>4769.1</v>
      </c>
      <c r="F360" s="5" t="s">
        <v>49</v>
      </c>
      <c r="G360" s="5" t="s">
        <v>18</v>
      </c>
      <c r="H360" s="5" t="n">
        <f aca="true">ROUND(RAND()*4+6,1)</f>
        <v>8.4</v>
      </c>
      <c r="I360" s="5" t="s">
        <v>19</v>
      </c>
      <c r="J360" s="5" t="str">
        <f aca="false">ROUND(97*1,0)&amp;"%"</f>
        <v>97%</v>
      </c>
    </row>
    <row r="361" customFormat="false" ht="15" hidden="false" customHeight="false" outlineLevel="0" collapsed="false">
      <c r="A361" s="6" t="s">
        <v>4646</v>
      </c>
      <c r="B361" s="6" t="s">
        <v>580</v>
      </c>
      <c r="C361" s="6" t="s">
        <v>57</v>
      </c>
      <c r="D361" s="6" t="s">
        <v>22</v>
      </c>
      <c r="E361" s="6" t="n">
        <f aca="false">ROUND(11625*1.05,2)</f>
        <v>12206.25</v>
      </c>
      <c r="F361" s="6" t="s">
        <v>52</v>
      </c>
      <c r="G361" s="6" t="s">
        <v>24</v>
      </c>
      <c r="H361" s="6" t="n">
        <f aca="true">ROUND(RAND()*4+6,1)</f>
        <v>9.1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4647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4648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4649</v>
      </c>
      <c r="B6" s="5" t="s">
        <v>14</v>
      </c>
      <c r="C6" s="5" t="s">
        <v>15</v>
      </c>
      <c r="D6" s="5" t="s">
        <v>16</v>
      </c>
      <c r="E6" s="5" t="n">
        <f aca="false">ROUND(13000*1.05,2)</f>
        <v>13650</v>
      </c>
      <c r="F6" s="5" t="s">
        <v>17</v>
      </c>
      <c r="G6" s="5" t="s">
        <v>18</v>
      </c>
      <c r="H6" s="5" t="n">
        <f aca="true">ROUND(RAND()*4+6,1)</f>
        <v>7.3</v>
      </c>
      <c r="I6" s="5" t="s">
        <v>19</v>
      </c>
      <c r="J6" s="5" t="str">
        <f aca="false">ROUND(86*1,0)&amp;"%"</f>
        <v>86%</v>
      </c>
    </row>
    <row r="7" customFormat="false" ht="15" hidden="false" customHeight="false" outlineLevel="0" collapsed="false">
      <c r="A7" s="6" t="s">
        <v>4650</v>
      </c>
      <c r="B7" s="6" t="s">
        <v>21</v>
      </c>
      <c r="C7" s="6" t="s">
        <v>15</v>
      </c>
      <c r="D7" s="6" t="s">
        <v>22</v>
      </c>
      <c r="E7" s="6" t="n">
        <f aca="false">ROUND(14294*1.05,2)</f>
        <v>15008.7</v>
      </c>
      <c r="F7" s="6" t="s">
        <v>23</v>
      </c>
      <c r="G7" s="6" t="s">
        <v>24</v>
      </c>
      <c r="H7" s="6" t="n">
        <f aca="true">ROUND(RAND()*4+6,1)</f>
        <v>7.2</v>
      </c>
      <c r="I7" s="6" t="s">
        <v>25</v>
      </c>
      <c r="J7" s="6" t="str">
        <f aca="false">ROUND(83*1,0)&amp;"%"</f>
        <v>83%</v>
      </c>
    </row>
    <row r="8" customFormat="false" ht="15" hidden="false" customHeight="false" outlineLevel="0" collapsed="false">
      <c r="A8" s="5" t="s">
        <v>4651</v>
      </c>
      <c r="B8" s="5" t="s">
        <v>27</v>
      </c>
      <c r="C8" s="5" t="s">
        <v>15</v>
      </c>
      <c r="D8" s="5" t="s">
        <v>28</v>
      </c>
      <c r="E8" s="5" t="n">
        <f aca="false">ROUND(11666*1.05,2)</f>
        <v>12249.3</v>
      </c>
      <c r="F8" s="5" t="s">
        <v>29</v>
      </c>
      <c r="G8" s="5" t="s">
        <v>30</v>
      </c>
      <c r="H8" s="5" t="n">
        <f aca="true">ROUND(RAND()*4+6,1)</f>
        <v>7.7</v>
      </c>
      <c r="I8" s="5" t="s">
        <v>31</v>
      </c>
      <c r="J8" s="5" t="str">
        <f aca="false">ROUND(94*1,0)&amp;"%"</f>
        <v>94%</v>
      </c>
    </row>
    <row r="9" customFormat="false" ht="15" hidden="false" customHeight="false" outlineLevel="0" collapsed="false">
      <c r="A9" s="6" t="s">
        <v>4652</v>
      </c>
      <c r="B9" s="6" t="s">
        <v>33</v>
      </c>
      <c r="C9" s="6" t="s">
        <v>15</v>
      </c>
      <c r="D9" s="6" t="s">
        <v>34</v>
      </c>
      <c r="E9" s="6" t="n">
        <f aca="false">ROUND(8408*1.05,2)</f>
        <v>8828.4</v>
      </c>
      <c r="F9" s="6" t="s">
        <v>35</v>
      </c>
      <c r="G9" s="6" t="s">
        <v>18</v>
      </c>
      <c r="H9" s="6" t="n">
        <f aca="true">ROUND(RAND()*4+6,1)</f>
        <v>6.1</v>
      </c>
      <c r="I9" s="6" t="s">
        <v>36</v>
      </c>
      <c r="J9" s="6" t="str">
        <f aca="false">ROUND(79*1,0)&amp;"%"</f>
        <v>79%</v>
      </c>
    </row>
    <row r="10" customFormat="false" ht="15" hidden="false" customHeight="false" outlineLevel="0" collapsed="false">
      <c r="A10" s="5" t="s">
        <v>4653</v>
      </c>
      <c r="B10" s="5" t="s">
        <v>38</v>
      </c>
      <c r="C10" s="5" t="s">
        <v>15</v>
      </c>
      <c r="D10" s="5" t="s">
        <v>39</v>
      </c>
      <c r="E10" s="5" t="n">
        <f aca="false">ROUND(15168*1.05,2)</f>
        <v>15926.4</v>
      </c>
      <c r="F10" s="5" t="s">
        <v>40</v>
      </c>
      <c r="G10" s="5" t="s">
        <v>24</v>
      </c>
      <c r="H10" s="5" t="n">
        <f aca="true">ROUND(RAND()*4+6,1)</f>
        <v>8.9</v>
      </c>
      <c r="I10" s="5" t="s">
        <v>41</v>
      </c>
      <c r="J10" s="5" t="str">
        <f aca="false">ROUND(91*1,0)&amp;"%"</f>
        <v>91%</v>
      </c>
    </row>
    <row r="11" customFormat="false" ht="15" hidden="false" customHeight="false" outlineLevel="0" collapsed="false">
      <c r="A11" s="6" t="s">
        <v>4654</v>
      </c>
      <c r="B11" s="6" t="s">
        <v>43</v>
      </c>
      <c r="C11" s="6" t="s">
        <v>15</v>
      </c>
      <c r="D11" s="6" t="s">
        <v>44</v>
      </c>
      <c r="E11" s="6" t="n">
        <f aca="false">ROUND(6518*1.05,2)</f>
        <v>6843.9</v>
      </c>
      <c r="F11" s="6" t="s">
        <v>45</v>
      </c>
      <c r="G11" s="6" t="s">
        <v>30</v>
      </c>
      <c r="H11" s="6" t="n">
        <f aca="true">ROUND(RAND()*4+6,1)</f>
        <v>9.1</v>
      </c>
      <c r="I11" s="6" t="s">
        <v>46</v>
      </c>
      <c r="J11" s="6" t="str">
        <f aca="false">ROUND(94*1,0)&amp;"%"</f>
        <v>94%</v>
      </c>
    </row>
    <row r="12" customFormat="false" ht="15" hidden="false" customHeight="false" outlineLevel="0" collapsed="false">
      <c r="A12" s="5" t="s">
        <v>4655</v>
      </c>
      <c r="B12" s="5" t="s">
        <v>48</v>
      </c>
      <c r="C12" s="5" t="s">
        <v>15</v>
      </c>
      <c r="D12" s="5" t="s">
        <v>16</v>
      </c>
      <c r="E12" s="5" t="n">
        <f aca="false">ROUND(14413*1.05,2)</f>
        <v>15133.65</v>
      </c>
      <c r="F12" s="5" t="s">
        <v>49</v>
      </c>
      <c r="G12" s="5" t="s">
        <v>18</v>
      </c>
      <c r="H12" s="5" t="n">
        <f aca="true">ROUND(RAND()*4+6,1)</f>
        <v>6.8</v>
      </c>
      <c r="I12" s="5" t="s">
        <v>19</v>
      </c>
      <c r="J12" s="5" t="str">
        <f aca="false">ROUND(68*1,0)&amp;"%"</f>
        <v>68%</v>
      </c>
    </row>
    <row r="13" customFormat="false" ht="15" hidden="false" customHeight="false" outlineLevel="0" collapsed="false">
      <c r="A13" s="6" t="s">
        <v>4656</v>
      </c>
      <c r="B13" s="6" t="s">
        <v>51</v>
      </c>
      <c r="C13" s="6" t="s">
        <v>15</v>
      </c>
      <c r="D13" s="6" t="s">
        <v>22</v>
      </c>
      <c r="E13" s="6" t="n">
        <f aca="false">ROUND(14455*1.05,2)</f>
        <v>15177.75</v>
      </c>
      <c r="F13" s="6" t="s">
        <v>52</v>
      </c>
      <c r="G13" s="6" t="s">
        <v>24</v>
      </c>
      <c r="H13" s="6" t="n">
        <f aca="true">ROUND(RAND()*4+6,1)</f>
        <v>9.7</v>
      </c>
      <c r="I13" s="6" t="s">
        <v>25</v>
      </c>
      <c r="J13" s="6" t="str">
        <f aca="false">ROUND(92*1,0)&amp;"%"</f>
        <v>92%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4657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4658</v>
      </c>
      <c r="B18" s="5" t="s">
        <v>56</v>
      </c>
      <c r="C18" s="5" t="s">
        <v>57</v>
      </c>
      <c r="D18" s="5" t="s">
        <v>16</v>
      </c>
      <c r="E18" s="5" t="n">
        <f aca="false">ROUND(4439*1.05,2)</f>
        <v>4660.95</v>
      </c>
      <c r="F18" s="5" t="s">
        <v>17</v>
      </c>
      <c r="G18" s="5" t="s">
        <v>18</v>
      </c>
      <c r="H18" s="5" t="n">
        <f aca="true">ROUND(RAND()*4+6,1)</f>
        <v>9.2</v>
      </c>
      <c r="I18" s="5" t="s">
        <v>19</v>
      </c>
      <c r="J18" s="5" t="str">
        <f aca="false">ROUND(68*1,0)&amp;"%"</f>
        <v>68%</v>
      </c>
    </row>
    <row r="19" customFormat="false" ht="15" hidden="false" customHeight="false" outlineLevel="0" collapsed="false">
      <c r="A19" s="6" t="s">
        <v>4659</v>
      </c>
      <c r="B19" s="6" t="s">
        <v>59</v>
      </c>
      <c r="C19" s="6" t="s">
        <v>57</v>
      </c>
      <c r="D19" s="6" t="s">
        <v>22</v>
      </c>
      <c r="E19" s="6" t="n">
        <f aca="false">ROUND(17028*1.05,2)</f>
        <v>17879.4</v>
      </c>
      <c r="F19" s="6" t="s">
        <v>23</v>
      </c>
      <c r="G19" s="6" t="s">
        <v>24</v>
      </c>
      <c r="H19" s="6" t="n">
        <f aca="true">ROUND(RAND()*4+6,1)</f>
        <v>6.9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4660</v>
      </c>
      <c r="B20" s="5" t="s">
        <v>61</v>
      </c>
      <c r="C20" s="5" t="s">
        <v>57</v>
      </c>
      <c r="D20" s="5" t="s">
        <v>28</v>
      </c>
      <c r="E20" s="5" t="n">
        <f aca="false">ROUND(17829*1.05,2)</f>
        <v>18720.45</v>
      </c>
      <c r="F20" s="5" t="s">
        <v>29</v>
      </c>
      <c r="G20" s="5" t="s">
        <v>30</v>
      </c>
      <c r="H20" s="5" t="n">
        <f aca="true">ROUND(RAND()*4+6,1)</f>
        <v>7.5</v>
      </c>
      <c r="I20" s="5" t="s">
        <v>31</v>
      </c>
      <c r="J20" s="5" t="str">
        <f aca="false">ROUND(99*1,0)&amp;"%"</f>
        <v>99%</v>
      </c>
    </row>
    <row r="21" customFormat="false" ht="15" hidden="false" customHeight="false" outlineLevel="0" collapsed="false">
      <c r="A21" s="6" t="s">
        <v>4661</v>
      </c>
      <c r="B21" s="6" t="s">
        <v>63</v>
      </c>
      <c r="C21" s="6" t="s">
        <v>57</v>
      </c>
      <c r="D21" s="6" t="s">
        <v>34</v>
      </c>
      <c r="E21" s="6" t="n">
        <f aca="false">ROUND(17222*1.05,2)</f>
        <v>18083.1</v>
      </c>
      <c r="F21" s="6" t="s">
        <v>35</v>
      </c>
      <c r="G21" s="6" t="s">
        <v>18</v>
      </c>
      <c r="H21" s="6" t="n">
        <f aca="true">ROUND(RAND()*4+6,1)</f>
        <v>7.5</v>
      </c>
      <c r="I21" s="6" t="s">
        <v>36</v>
      </c>
      <c r="J21" s="6" t="str">
        <f aca="false">ROUND(75*1,0)&amp;"%"</f>
        <v>75%</v>
      </c>
    </row>
    <row r="22" customFormat="false" ht="15" hidden="false" customHeight="false" outlineLevel="0" collapsed="false">
      <c r="A22" s="5" t="s">
        <v>4662</v>
      </c>
      <c r="B22" s="5" t="s">
        <v>65</v>
      </c>
      <c r="C22" s="5" t="s">
        <v>57</v>
      </c>
      <c r="D22" s="5" t="s">
        <v>39</v>
      </c>
      <c r="E22" s="5" t="n">
        <f aca="false">ROUND(5363*1.05,2)</f>
        <v>5631.15</v>
      </c>
      <c r="F22" s="5" t="s">
        <v>40</v>
      </c>
      <c r="G22" s="5" t="s">
        <v>24</v>
      </c>
      <c r="H22" s="5" t="n">
        <f aca="true">ROUND(RAND()*4+6,1)</f>
        <v>6</v>
      </c>
      <c r="I22" s="5" t="s">
        <v>41</v>
      </c>
      <c r="J22" s="5" t="str">
        <f aca="false">ROUND(66*1,0)&amp;"%"</f>
        <v>66%</v>
      </c>
    </row>
    <row r="23" customFormat="false" ht="15" hidden="false" customHeight="false" outlineLevel="0" collapsed="false">
      <c r="A23" s="6" t="s">
        <v>4663</v>
      </c>
      <c r="B23" s="6" t="s">
        <v>67</v>
      </c>
      <c r="C23" s="6" t="s">
        <v>57</v>
      </c>
      <c r="D23" s="6" t="s">
        <v>44</v>
      </c>
      <c r="E23" s="6" t="n">
        <f aca="false">ROUND(8024*1.05,2)</f>
        <v>8425.2</v>
      </c>
      <c r="F23" s="6" t="s">
        <v>45</v>
      </c>
      <c r="G23" s="6" t="s">
        <v>30</v>
      </c>
      <c r="H23" s="6" t="n">
        <f aca="true">ROUND(RAND()*4+6,1)</f>
        <v>6.3</v>
      </c>
      <c r="I23" s="6" t="s">
        <v>46</v>
      </c>
      <c r="J23" s="6" t="str">
        <f aca="false">ROUND(100*1,0)&amp;"%"</f>
        <v>100%</v>
      </c>
    </row>
    <row r="24" customFormat="false" ht="15" hidden="false" customHeight="false" outlineLevel="0" collapsed="false">
      <c r="A24" s="5" t="s">
        <v>4664</v>
      </c>
      <c r="B24" s="5" t="s">
        <v>69</v>
      </c>
      <c r="C24" s="5" t="s">
        <v>57</v>
      </c>
      <c r="D24" s="5" t="s">
        <v>16</v>
      </c>
      <c r="E24" s="5" t="n">
        <f aca="false">ROUND(7881*1.05,2)</f>
        <v>8275.05</v>
      </c>
      <c r="F24" s="5" t="s">
        <v>49</v>
      </c>
      <c r="G24" s="5" t="s">
        <v>18</v>
      </c>
      <c r="H24" s="5" t="n">
        <f aca="true">ROUND(RAND()*4+6,1)</f>
        <v>8.8</v>
      </c>
      <c r="I24" s="5" t="s">
        <v>19</v>
      </c>
      <c r="J24" s="5" t="str">
        <f aca="false">ROUND(95*1,0)&amp;"%"</f>
        <v>95%</v>
      </c>
    </row>
    <row r="25" customFormat="false" ht="15" hidden="false" customHeight="false" outlineLevel="0" collapsed="false">
      <c r="A25" s="6" t="s">
        <v>4665</v>
      </c>
      <c r="B25" s="6" t="s">
        <v>71</v>
      </c>
      <c r="C25" s="6" t="s">
        <v>57</v>
      </c>
      <c r="D25" s="6" t="s">
        <v>22</v>
      </c>
      <c r="E25" s="6" t="n">
        <f aca="false">ROUND(6989*1.05,2)</f>
        <v>7338.45</v>
      </c>
      <c r="F25" s="6" t="s">
        <v>52</v>
      </c>
      <c r="G25" s="6" t="s">
        <v>24</v>
      </c>
      <c r="H25" s="6" t="n">
        <f aca="true">ROUND(RAND()*4+6,1)</f>
        <v>6.1</v>
      </c>
      <c r="I25" s="6" t="s">
        <v>25</v>
      </c>
      <c r="J25" s="6" t="str">
        <f aca="false">ROUND(85*1,0)&amp;"%"</f>
        <v>85%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4666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4667</v>
      </c>
      <c r="B30" s="5" t="s">
        <v>75</v>
      </c>
      <c r="C30" s="5" t="s">
        <v>76</v>
      </c>
      <c r="D30" s="5" t="s">
        <v>16</v>
      </c>
      <c r="E30" s="5" t="n">
        <f aca="false">ROUND(14588*1.05,2)</f>
        <v>15317.4</v>
      </c>
      <c r="F30" s="5" t="s">
        <v>17</v>
      </c>
      <c r="G30" s="5" t="s">
        <v>18</v>
      </c>
      <c r="H30" s="5" t="n">
        <f aca="true">ROUND(RAND()*4+6,1)</f>
        <v>10</v>
      </c>
      <c r="I30" s="5" t="s">
        <v>19</v>
      </c>
      <c r="J30" s="5" t="str">
        <f aca="false">ROUND(85*1,0)&amp;"%"</f>
        <v>85%</v>
      </c>
    </row>
    <row r="31" customFormat="false" ht="15" hidden="false" customHeight="false" outlineLevel="0" collapsed="false">
      <c r="A31" s="6" t="s">
        <v>4668</v>
      </c>
      <c r="B31" s="6" t="s">
        <v>78</v>
      </c>
      <c r="C31" s="6" t="s">
        <v>76</v>
      </c>
      <c r="D31" s="6" t="s">
        <v>22</v>
      </c>
      <c r="E31" s="6" t="n">
        <f aca="false">ROUND(5962*1.05,2)</f>
        <v>6260.1</v>
      </c>
      <c r="F31" s="6" t="s">
        <v>23</v>
      </c>
      <c r="G31" s="6" t="s">
        <v>24</v>
      </c>
      <c r="H31" s="6" t="n">
        <f aca="true">ROUND(RAND()*4+6,1)</f>
        <v>9.3</v>
      </c>
      <c r="I31" s="6" t="s">
        <v>25</v>
      </c>
      <c r="J31" s="6" t="str">
        <f aca="false">ROUND(94*1,0)&amp;"%"</f>
        <v>94%</v>
      </c>
    </row>
    <row r="32" customFormat="false" ht="15" hidden="false" customHeight="false" outlineLevel="0" collapsed="false">
      <c r="A32" s="5" t="s">
        <v>4669</v>
      </c>
      <c r="B32" s="5" t="s">
        <v>80</v>
      </c>
      <c r="C32" s="5" t="s">
        <v>76</v>
      </c>
      <c r="D32" s="5" t="s">
        <v>28</v>
      </c>
      <c r="E32" s="5" t="n">
        <f aca="false">ROUND(10457*1.05,2)</f>
        <v>10979.85</v>
      </c>
      <c r="F32" s="5" t="s">
        <v>29</v>
      </c>
      <c r="G32" s="5" t="s">
        <v>30</v>
      </c>
      <c r="H32" s="5" t="n">
        <f aca="true">ROUND(RAND()*4+6,1)</f>
        <v>9.3</v>
      </c>
      <c r="I32" s="5" t="s">
        <v>31</v>
      </c>
      <c r="J32" s="5" t="str">
        <f aca="false">ROUND(68*1,0)&amp;"%"</f>
        <v>68%</v>
      </c>
    </row>
    <row r="33" customFormat="false" ht="15" hidden="false" customHeight="false" outlineLevel="0" collapsed="false">
      <c r="A33" s="6" t="s">
        <v>4670</v>
      </c>
      <c r="B33" s="6" t="s">
        <v>82</v>
      </c>
      <c r="C33" s="6" t="s">
        <v>76</v>
      </c>
      <c r="D33" s="6" t="s">
        <v>34</v>
      </c>
      <c r="E33" s="6" t="n">
        <f aca="false">ROUND(9911*1.05,2)</f>
        <v>10406.55</v>
      </c>
      <c r="F33" s="6" t="s">
        <v>35</v>
      </c>
      <c r="G33" s="6" t="s">
        <v>18</v>
      </c>
      <c r="H33" s="6" t="n">
        <f aca="true">ROUND(RAND()*4+6,1)</f>
        <v>10</v>
      </c>
      <c r="I33" s="6" t="s">
        <v>36</v>
      </c>
      <c r="J33" s="6" t="str">
        <f aca="false">ROUND(73*1,0)&amp;"%"</f>
        <v>73%</v>
      </c>
    </row>
    <row r="34" customFormat="false" ht="15" hidden="false" customHeight="false" outlineLevel="0" collapsed="false">
      <c r="A34" s="5" t="s">
        <v>4671</v>
      </c>
      <c r="B34" s="5" t="s">
        <v>84</v>
      </c>
      <c r="C34" s="5" t="s">
        <v>76</v>
      </c>
      <c r="D34" s="5" t="s">
        <v>39</v>
      </c>
      <c r="E34" s="5" t="n">
        <f aca="false">ROUND(13294*1.05,2)</f>
        <v>13958.7</v>
      </c>
      <c r="F34" s="5" t="s">
        <v>40</v>
      </c>
      <c r="G34" s="5" t="s">
        <v>24</v>
      </c>
      <c r="H34" s="5" t="n">
        <f aca="true">ROUND(RAND()*4+6,1)</f>
        <v>8.5</v>
      </c>
      <c r="I34" s="5" t="s">
        <v>41</v>
      </c>
      <c r="J34" s="5" t="str">
        <f aca="false">ROUND(78*1,0)&amp;"%"</f>
        <v>78%</v>
      </c>
    </row>
    <row r="35" customFormat="false" ht="15" hidden="false" customHeight="false" outlineLevel="0" collapsed="false">
      <c r="A35" s="6" t="s">
        <v>4672</v>
      </c>
      <c r="B35" s="6" t="s">
        <v>86</v>
      </c>
      <c r="C35" s="6" t="s">
        <v>76</v>
      </c>
      <c r="D35" s="6" t="s">
        <v>44</v>
      </c>
      <c r="E35" s="6" t="n">
        <f aca="false">ROUND(5445*1.05,2)</f>
        <v>5717.25</v>
      </c>
      <c r="F35" s="6" t="s">
        <v>45</v>
      </c>
      <c r="G35" s="6" t="s">
        <v>30</v>
      </c>
      <c r="H35" s="6" t="n">
        <f aca="true">ROUND(RAND()*4+6,1)</f>
        <v>8</v>
      </c>
      <c r="I35" s="6" t="s">
        <v>46</v>
      </c>
      <c r="J35" s="6" t="str">
        <f aca="false">ROUND(71*1,0)&amp;"%"</f>
        <v>71%</v>
      </c>
    </row>
    <row r="36" customFormat="false" ht="15" hidden="false" customHeight="false" outlineLevel="0" collapsed="false">
      <c r="A36" s="5" t="s">
        <v>4673</v>
      </c>
      <c r="B36" s="5" t="s">
        <v>88</v>
      </c>
      <c r="C36" s="5" t="s">
        <v>76</v>
      </c>
      <c r="D36" s="5" t="s">
        <v>16</v>
      </c>
      <c r="E36" s="5" t="n">
        <f aca="false">ROUND(16822*1.05,2)</f>
        <v>17663.1</v>
      </c>
      <c r="F36" s="5" t="s">
        <v>49</v>
      </c>
      <c r="G36" s="5" t="s">
        <v>18</v>
      </c>
      <c r="H36" s="5" t="n">
        <f aca="true">ROUND(RAND()*4+6,1)</f>
        <v>9.5</v>
      </c>
      <c r="I36" s="5" t="s">
        <v>19</v>
      </c>
      <c r="J36" s="5" t="str">
        <f aca="false">ROUND(80*1,0)&amp;"%"</f>
        <v>80%</v>
      </c>
    </row>
    <row r="37" customFormat="false" ht="15" hidden="false" customHeight="false" outlineLevel="0" collapsed="false">
      <c r="A37" s="6" t="s">
        <v>4674</v>
      </c>
      <c r="B37" s="6" t="s">
        <v>90</v>
      </c>
      <c r="C37" s="6" t="s">
        <v>76</v>
      </c>
      <c r="D37" s="6" t="s">
        <v>22</v>
      </c>
      <c r="E37" s="6" t="n">
        <f aca="false">ROUND(10907*1.05,2)</f>
        <v>11452.35</v>
      </c>
      <c r="F37" s="6" t="s">
        <v>52</v>
      </c>
      <c r="G37" s="6" t="s">
        <v>24</v>
      </c>
      <c r="H37" s="6" t="n">
        <f aca="true">ROUND(RAND()*4+6,1)</f>
        <v>9.5</v>
      </c>
      <c r="I37" s="6" t="s">
        <v>25</v>
      </c>
      <c r="J37" s="6" t="str">
        <f aca="false">ROUND(68*1,0)&amp;"%"</f>
        <v>68%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4675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4676</v>
      </c>
      <c r="B42" s="5" t="s">
        <v>94</v>
      </c>
      <c r="C42" s="5" t="s">
        <v>95</v>
      </c>
      <c r="D42" s="5" t="s">
        <v>16</v>
      </c>
      <c r="E42" s="5" t="n">
        <f aca="false">ROUND(6324*1.05,2)</f>
        <v>6640.2</v>
      </c>
      <c r="F42" s="5" t="s">
        <v>17</v>
      </c>
      <c r="G42" s="5" t="s">
        <v>18</v>
      </c>
      <c r="H42" s="5" t="n">
        <f aca="true">ROUND(RAND()*4+6,1)</f>
        <v>9.9</v>
      </c>
      <c r="I42" s="5" t="s">
        <v>19</v>
      </c>
      <c r="J42" s="5" t="str">
        <f aca="false">ROUND(89*1,0)&amp;"%"</f>
        <v>89%</v>
      </c>
    </row>
    <row r="43" customFormat="false" ht="15" hidden="false" customHeight="false" outlineLevel="0" collapsed="false">
      <c r="A43" s="6" t="s">
        <v>4677</v>
      </c>
      <c r="B43" s="6" t="s">
        <v>97</v>
      </c>
      <c r="C43" s="6" t="s">
        <v>95</v>
      </c>
      <c r="D43" s="6" t="s">
        <v>22</v>
      </c>
      <c r="E43" s="6" t="n">
        <f aca="false">ROUND(4904*1.05,2)</f>
        <v>5149.2</v>
      </c>
      <c r="F43" s="6" t="s">
        <v>23</v>
      </c>
      <c r="G43" s="6" t="s">
        <v>24</v>
      </c>
      <c r="H43" s="6" t="n">
        <f aca="true">ROUND(RAND()*4+6,1)</f>
        <v>9.5</v>
      </c>
      <c r="I43" s="6" t="s">
        <v>25</v>
      </c>
      <c r="J43" s="6" t="str">
        <f aca="false">ROUND(84*1,0)&amp;"%"</f>
        <v>84%</v>
      </c>
    </row>
    <row r="44" customFormat="false" ht="15" hidden="false" customHeight="false" outlineLevel="0" collapsed="false">
      <c r="A44" s="5" t="s">
        <v>4678</v>
      </c>
      <c r="B44" s="5" t="s">
        <v>99</v>
      </c>
      <c r="C44" s="5" t="s">
        <v>95</v>
      </c>
      <c r="D44" s="5" t="s">
        <v>28</v>
      </c>
      <c r="E44" s="5" t="n">
        <f aca="false">ROUND(4495*1.05,2)</f>
        <v>4719.75</v>
      </c>
      <c r="F44" s="5" t="s">
        <v>29</v>
      </c>
      <c r="G44" s="5" t="s">
        <v>30</v>
      </c>
      <c r="H44" s="5" t="n">
        <f aca="true">ROUND(RAND()*4+6,1)</f>
        <v>9.3</v>
      </c>
      <c r="I44" s="5" t="s">
        <v>31</v>
      </c>
      <c r="J44" s="5" t="str">
        <f aca="false">ROUND(66*1,0)&amp;"%"</f>
        <v>66%</v>
      </c>
    </row>
    <row r="45" customFormat="false" ht="15" hidden="false" customHeight="false" outlineLevel="0" collapsed="false">
      <c r="A45" s="6" t="s">
        <v>4679</v>
      </c>
      <c r="B45" s="6" t="s">
        <v>101</v>
      </c>
      <c r="C45" s="6" t="s">
        <v>95</v>
      </c>
      <c r="D45" s="6" t="s">
        <v>34</v>
      </c>
      <c r="E45" s="6" t="n">
        <f aca="false">ROUND(5642*1.05,2)</f>
        <v>5924.1</v>
      </c>
      <c r="F45" s="6" t="s">
        <v>35</v>
      </c>
      <c r="G45" s="6" t="s">
        <v>18</v>
      </c>
      <c r="H45" s="6" t="n">
        <f aca="true">ROUND(RAND()*4+6,1)</f>
        <v>6.4</v>
      </c>
      <c r="I45" s="6" t="s">
        <v>36</v>
      </c>
      <c r="J45" s="6" t="str">
        <f aca="false">ROUND(81*1,0)&amp;"%"</f>
        <v>81%</v>
      </c>
    </row>
    <row r="46" customFormat="false" ht="15" hidden="false" customHeight="false" outlineLevel="0" collapsed="false">
      <c r="A46" s="5" t="s">
        <v>4680</v>
      </c>
      <c r="B46" s="5" t="s">
        <v>103</v>
      </c>
      <c r="C46" s="5" t="s">
        <v>95</v>
      </c>
      <c r="D46" s="5" t="s">
        <v>39</v>
      </c>
      <c r="E46" s="5" t="n">
        <f aca="false">ROUND(12611*1.05,2)</f>
        <v>13241.55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ROUND(83*1,0)&amp;"%"</f>
        <v>83%</v>
      </c>
    </row>
    <row r="47" customFormat="false" ht="15" hidden="false" customHeight="false" outlineLevel="0" collapsed="false">
      <c r="A47" s="6" t="s">
        <v>4681</v>
      </c>
      <c r="B47" s="6" t="s">
        <v>105</v>
      </c>
      <c r="C47" s="6" t="s">
        <v>95</v>
      </c>
      <c r="D47" s="6" t="s">
        <v>44</v>
      </c>
      <c r="E47" s="6" t="n">
        <f aca="false">ROUND(7723*1.05,2)</f>
        <v>8109.15</v>
      </c>
      <c r="F47" s="6" t="s">
        <v>45</v>
      </c>
      <c r="G47" s="6" t="s">
        <v>30</v>
      </c>
      <c r="H47" s="6" t="n">
        <f aca="true">ROUND(RAND()*4+6,1)</f>
        <v>9.3</v>
      </c>
      <c r="I47" s="6" t="s">
        <v>46</v>
      </c>
      <c r="J47" s="6" t="str">
        <f aca="false">ROUND(66*1,0)&amp;"%"</f>
        <v>66%</v>
      </c>
    </row>
    <row r="48" customFormat="false" ht="15" hidden="false" customHeight="false" outlineLevel="0" collapsed="false">
      <c r="A48" s="5" t="s">
        <v>4682</v>
      </c>
      <c r="B48" s="5" t="s">
        <v>107</v>
      </c>
      <c r="C48" s="5" t="s">
        <v>95</v>
      </c>
      <c r="D48" s="5" t="s">
        <v>16</v>
      </c>
      <c r="E48" s="5" t="n">
        <f aca="false">ROUND(11492*1.05,2)</f>
        <v>12066.6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ROUND(87*1,0)&amp;"%"</f>
        <v>87%</v>
      </c>
    </row>
    <row r="49" customFormat="false" ht="15" hidden="false" customHeight="false" outlineLevel="0" collapsed="false">
      <c r="A49" s="6" t="s">
        <v>4683</v>
      </c>
      <c r="B49" s="6" t="s">
        <v>109</v>
      </c>
      <c r="C49" s="6" t="s">
        <v>95</v>
      </c>
      <c r="D49" s="6" t="s">
        <v>22</v>
      </c>
      <c r="E49" s="6" t="n">
        <f aca="false">ROUND(7997*1.05,2)</f>
        <v>8396.85</v>
      </c>
      <c r="F49" s="6" t="s">
        <v>52</v>
      </c>
      <c r="G49" s="6" t="s">
        <v>24</v>
      </c>
      <c r="H49" s="6" t="n">
        <f aca="true">ROUND(RAND()*4+6,1)</f>
        <v>8.8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4684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4685</v>
      </c>
      <c r="B54" s="5" t="s">
        <v>113</v>
      </c>
      <c r="C54" s="5" t="s">
        <v>114</v>
      </c>
      <c r="D54" s="5" t="s">
        <v>16</v>
      </c>
      <c r="E54" s="5" t="n">
        <f aca="false">ROUND(16976*1.05,2)</f>
        <v>17824.8</v>
      </c>
      <c r="F54" s="5" t="s">
        <v>17</v>
      </c>
      <c r="G54" s="5" t="s">
        <v>18</v>
      </c>
      <c r="H54" s="5" t="n">
        <f aca="true">ROUND(RAND()*4+6,1)</f>
        <v>9.1</v>
      </c>
      <c r="I54" s="5" t="s">
        <v>19</v>
      </c>
      <c r="J54" s="5" t="str">
        <f aca="false">ROUND(86*1,0)&amp;"%"</f>
        <v>86%</v>
      </c>
    </row>
    <row r="55" customFormat="false" ht="15" hidden="false" customHeight="false" outlineLevel="0" collapsed="false">
      <c r="A55" s="6" t="s">
        <v>4686</v>
      </c>
      <c r="B55" s="6" t="s">
        <v>116</v>
      </c>
      <c r="C55" s="6" t="s">
        <v>114</v>
      </c>
      <c r="D55" s="6" t="s">
        <v>22</v>
      </c>
      <c r="E55" s="6" t="n">
        <f aca="false">ROUND(5493*1.05,2)</f>
        <v>5767.65</v>
      </c>
      <c r="F55" s="6" t="s">
        <v>23</v>
      </c>
      <c r="G55" s="6" t="s">
        <v>24</v>
      </c>
      <c r="H55" s="6" t="n">
        <f aca="true">ROUND(RAND()*4+6,1)</f>
        <v>9</v>
      </c>
      <c r="I55" s="6" t="s">
        <v>25</v>
      </c>
      <c r="J55" s="6" t="str">
        <f aca="false">ROUND(60*1,0)&amp;"%"</f>
        <v>60%</v>
      </c>
    </row>
    <row r="56" customFormat="false" ht="15" hidden="false" customHeight="false" outlineLevel="0" collapsed="false">
      <c r="A56" s="5" t="s">
        <v>4687</v>
      </c>
      <c r="B56" s="5" t="s">
        <v>118</v>
      </c>
      <c r="C56" s="5" t="s">
        <v>114</v>
      </c>
      <c r="D56" s="5" t="s">
        <v>28</v>
      </c>
      <c r="E56" s="5" t="n">
        <f aca="false">ROUND(16402*1.05,2)</f>
        <v>17222.1</v>
      </c>
      <c r="F56" s="5" t="s">
        <v>29</v>
      </c>
      <c r="G56" s="5" t="s">
        <v>30</v>
      </c>
      <c r="H56" s="5" t="n">
        <f aca="true">ROUND(RAND()*4+6,1)</f>
        <v>9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4688</v>
      </c>
      <c r="B57" s="6" t="s">
        <v>120</v>
      </c>
      <c r="C57" s="6" t="s">
        <v>114</v>
      </c>
      <c r="D57" s="6" t="s">
        <v>34</v>
      </c>
      <c r="E57" s="6" t="n">
        <f aca="false">ROUND(10428*1.05,2)</f>
        <v>10949.4</v>
      </c>
      <c r="F57" s="6" t="s">
        <v>35</v>
      </c>
      <c r="G57" s="6" t="s">
        <v>18</v>
      </c>
      <c r="H57" s="6" t="n">
        <f aca="true">ROUND(RAND()*4+6,1)</f>
        <v>8.5</v>
      </c>
      <c r="I57" s="6" t="s">
        <v>36</v>
      </c>
      <c r="J57" s="6" t="str">
        <f aca="false">ROUND(93*1,0)&amp;"%"</f>
        <v>93%</v>
      </c>
    </row>
    <row r="58" customFormat="false" ht="15" hidden="false" customHeight="false" outlineLevel="0" collapsed="false">
      <c r="A58" s="5" t="s">
        <v>4689</v>
      </c>
      <c r="B58" s="5" t="s">
        <v>122</v>
      </c>
      <c r="C58" s="5" t="s">
        <v>114</v>
      </c>
      <c r="D58" s="5" t="s">
        <v>39</v>
      </c>
      <c r="E58" s="5" t="n">
        <f aca="false">ROUND(7175*1.05,2)</f>
        <v>7533.75</v>
      </c>
      <c r="F58" s="5" t="s">
        <v>40</v>
      </c>
      <c r="G58" s="5" t="s">
        <v>24</v>
      </c>
      <c r="H58" s="5" t="n">
        <f aca="true">ROUND(RAND()*4+6,1)</f>
        <v>8.6</v>
      </c>
      <c r="I58" s="5" t="s">
        <v>41</v>
      </c>
      <c r="J58" s="5" t="str">
        <f aca="false">ROUND(66*1,0)&amp;"%"</f>
        <v>66%</v>
      </c>
    </row>
    <row r="59" customFormat="false" ht="15" hidden="false" customHeight="false" outlineLevel="0" collapsed="false">
      <c r="A59" s="6" t="s">
        <v>4690</v>
      </c>
      <c r="B59" s="6" t="s">
        <v>124</v>
      </c>
      <c r="C59" s="6" t="s">
        <v>114</v>
      </c>
      <c r="D59" s="6" t="s">
        <v>44</v>
      </c>
      <c r="E59" s="6" t="n">
        <f aca="false">ROUND(13761*1.05,2)</f>
        <v>14449.05</v>
      </c>
      <c r="F59" s="6" t="s">
        <v>45</v>
      </c>
      <c r="G59" s="6" t="s">
        <v>30</v>
      </c>
      <c r="H59" s="6" t="n">
        <f aca="true">ROUND(RAND()*4+6,1)</f>
        <v>7.1</v>
      </c>
      <c r="I59" s="6" t="s">
        <v>46</v>
      </c>
      <c r="J59" s="6" t="str">
        <f aca="false">ROUND(67*1,0)&amp;"%"</f>
        <v>67%</v>
      </c>
    </row>
    <row r="60" customFormat="false" ht="15" hidden="false" customHeight="false" outlineLevel="0" collapsed="false">
      <c r="A60" s="5" t="s">
        <v>4691</v>
      </c>
      <c r="B60" s="5" t="s">
        <v>126</v>
      </c>
      <c r="C60" s="5" t="s">
        <v>114</v>
      </c>
      <c r="D60" s="5" t="s">
        <v>16</v>
      </c>
      <c r="E60" s="5" t="n">
        <f aca="false">ROUND(7440*1.05,2)</f>
        <v>7812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ROUND(86*1,0)&amp;"%"</f>
        <v>86%</v>
      </c>
    </row>
    <row r="61" customFormat="false" ht="15" hidden="false" customHeight="false" outlineLevel="0" collapsed="false">
      <c r="A61" s="6" t="s">
        <v>4692</v>
      </c>
      <c r="B61" s="6" t="s">
        <v>128</v>
      </c>
      <c r="C61" s="6" t="s">
        <v>114</v>
      </c>
      <c r="D61" s="6" t="s">
        <v>22</v>
      </c>
      <c r="E61" s="6" t="n">
        <f aca="false">ROUND(12217*1.05,2)</f>
        <v>12827.85</v>
      </c>
      <c r="F61" s="6" t="s">
        <v>52</v>
      </c>
      <c r="G61" s="6" t="s">
        <v>24</v>
      </c>
      <c r="H61" s="6" t="n">
        <f aca="true">ROUND(RAND()*4+6,1)</f>
        <v>8.5</v>
      </c>
      <c r="I61" s="6" t="s">
        <v>25</v>
      </c>
      <c r="J61" s="6" t="str">
        <f aca="false">ROUND(80*1,0)&amp;"%"</f>
        <v>80%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4693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4694</v>
      </c>
      <c r="B66" s="5" t="s">
        <v>132</v>
      </c>
      <c r="C66" s="5" t="s">
        <v>133</v>
      </c>
      <c r="D66" s="5" t="s">
        <v>16</v>
      </c>
      <c r="E66" s="5" t="n">
        <f aca="false">ROUND(17369*1.05,2)</f>
        <v>18237.45</v>
      </c>
      <c r="F66" s="5" t="s">
        <v>17</v>
      </c>
      <c r="G66" s="5" t="s">
        <v>18</v>
      </c>
      <c r="H66" s="5" t="n">
        <f aca="true">ROUND(RAND()*4+6,1)</f>
        <v>8.7</v>
      </c>
      <c r="I66" s="5" t="s">
        <v>19</v>
      </c>
      <c r="J66" s="5" t="str">
        <f aca="false">ROUND(85*1,0)&amp;"%"</f>
        <v>85%</v>
      </c>
    </row>
    <row r="67" customFormat="false" ht="15" hidden="false" customHeight="false" outlineLevel="0" collapsed="false">
      <c r="A67" s="6" t="s">
        <v>4695</v>
      </c>
      <c r="B67" s="6" t="s">
        <v>135</v>
      </c>
      <c r="C67" s="6" t="s">
        <v>133</v>
      </c>
      <c r="D67" s="6" t="s">
        <v>22</v>
      </c>
      <c r="E67" s="6" t="n">
        <f aca="false">ROUND(9453*1.05,2)</f>
        <v>9925.65</v>
      </c>
      <c r="F67" s="6" t="s">
        <v>23</v>
      </c>
      <c r="G67" s="6" t="s">
        <v>24</v>
      </c>
      <c r="H67" s="6" t="n">
        <f aca="true">ROUND(RAND()*4+6,1)</f>
        <v>6.5</v>
      </c>
      <c r="I67" s="6" t="s">
        <v>25</v>
      </c>
      <c r="J67" s="6" t="str">
        <f aca="false">ROUND(94*1,0)&amp;"%"</f>
        <v>94%</v>
      </c>
    </row>
    <row r="68" customFormat="false" ht="15" hidden="false" customHeight="false" outlineLevel="0" collapsed="false">
      <c r="A68" s="5" t="s">
        <v>4696</v>
      </c>
      <c r="B68" s="5" t="s">
        <v>137</v>
      </c>
      <c r="C68" s="5" t="s">
        <v>133</v>
      </c>
      <c r="D68" s="5" t="s">
        <v>28</v>
      </c>
      <c r="E68" s="5" t="n">
        <f aca="false">ROUND(15464*1.05,2)</f>
        <v>16237.2</v>
      </c>
      <c r="F68" s="5" t="s">
        <v>29</v>
      </c>
      <c r="G68" s="5" t="s">
        <v>30</v>
      </c>
      <c r="H68" s="5" t="n">
        <f aca="true">ROUND(RAND()*4+6,1)</f>
        <v>7.2</v>
      </c>
      <c r="I68" s="5" t="s">
        <v>31</v>
      </c>
      <c r="J68" s="5" t="str">
        <f aca="false">ROUND(76*1,0)&amp;"%"</f>
        <v>76%</v>
      </c>
    </row>
    <row r="69" customFormat="false" ht="15" hidden="false" customHeight="false" outlineLevel="0" collapsed="false">
      <c r="A69" s="6" t="s">
        <v>4697</v>
      </c>
      <c r="B69" s="6" t="s">
        <v>139</v>
      </c>
      <c r="C69" s="6" t="s">
        <v>133</v>
      </c>
      <c r="D69" s="6" t="s">
        <v>34</v>
      </c>
      <c r="E69" s="6" t="n">
        <f aca="false">ROUND(11500*1.05,2)</f>
        <v>12075</v>
      </c>
      <c r="F69" s="6" t="s">
        <v>35</v>
      </c>
      <c r="G69" s="6" t="s">
        <v>18</v>
      </c>
      <c r="H69" s="6" t="n">
        <f aca="true">ROUND(RAND()*4+6,1)</f>
        <v>7.9</v>
      </c>
      <c r="I69" s="6" t="s">
        <v>36</v>
      </c>
      <c r="J69" s="6" t="str">
        <f aca="false">ROUND(87*1,0)&amp;"%"</f>
        <v>87%</v>
      </c>
    </row>
    <row r="70" customFormat="false" ht="15" hidden="false" customHeight="false" outlineLevel="0" collapsed="false">
      <c r="A70" s="5" t="s">
        <v>4698</v>
      </c>
      <c r="B70" s="5" t="s">
        <v>141</v>
      </c>
      <c r="C70" s="5" t="s">
        <v>133</v>
      </c>
      <c r="D70" s="5" t="s">
        <v>39</v>
      </c>
      <c r="E70" s="5" t="n">
        <f aca="false">ROUND(7231*1.05,2)</f>
        <v>7592.55</v>
      </c>
      <c r="F70" s="5" t="s">
        <v>40</v>
      </c>
      <c r="G70" s="5" t="s">
        <v>24</v>
      </c>
      <c r="H70" s="5" t="n">
        <f aca="true">ROUND(RAND()*4+6,1)</f>
        <v>6.7</v>
      </c>
      <c r="I70" s="5" t="s">
        <v>41</v>
      </c>
      <c r="J70" s="5" t="str">
        <f aca="false">ROUND(98*1,0)&amp;"%"</f>
        <v>98%</v>
      </c>
    </row>
    <row r="71" customFormat="false" ht="15" hidden="false" customHeight="false" outlineLevel="0" collapsed="false">
      <c r="A71" s="6" t="s">
        <v>4699</v>
      </c>
      <c r="B71" s="6" t="s">
        <v>143</v>
      </c>
      <c r="C71" s="6" t="s">
        <v>133</v>
      </c>
      <c r="D71" s="6" t="s">
        <v>44</v>
      </c>
      <c r="E71" s="6" t="n">
        <f aca="false">ROUND(13910*1.05,2)</f>
        <v>14605.5</v>
      </c>
      <c r="F71" s="6" t="s">
        <v>45</v>
      </c>
      <c r="G71" s="6" t="s">
        <v>30</v>
      </c>
      <c r="H71" s="6" t="n">
        <f aca="true">ROUND(RAND()*4+6,1)</f>
        <v>8.6</v>
      </c>
      <c r="I71" s="6" t="s">
        <v>46</v>
      </c>
      <c r="J71" s="6" t="str">
        <f aca="false">ROUND(74*1,0)&amp;"%"</f>
        <v>74%</v>
      </c>
    </row>
    <row r="72" customFormat="false" ht="15" hidden="false" customHeight="false" outlineLevel="0" collapsed="false">
      <c r="A72" s="5" t="s">
        <v>4700</v>
      </c>
      <c r="B72" s="5" t="s">
        <v>145</v>
      </c>
      <c r="C72" s="5" t="s">
        <v>133</v>
      </c>
      <c r="D72" s="5" t="s">
        <v>16</v>
      </c>
      <c r="E72" s="5" t="n">
        <f aca="false">ROUND(6627*1.05,2)</f>
        <v>6958.35</v>
      </c>
      <c r="F72" s="5" t="s">
        <v>49</v>
      </c>
      <c r="G72" s="5" t="s">
        <v>18</v>
      </c>
      <c r="H72" s="5" t="n">
        <f aca="true">ROUND(RAND()*4+6,1)</f>
        <v>6.8</v>
      </c>
      <c r="I72" s="5" t="s">
        <v>19</v>
      </c>
      <c r="J72" s="5" t="str">
        <f aca="false">ROUND(69*1,0)&amp;"%"</f>
        <v>69%</v>
      </c>
    </row>
    <row r="73" customFormat="false" ht="15" hidden="false" customHeight="false" outlineLevel="0" collapsed="false">
      <c r="A73" s="6" t="s">
        <v>4701</v>
      </c>
      <c r="B73" s="6" t="s">
        <v>147</v>
      </c>
      <c r="C73" s="6" t="s">
        <v>133</v>
      </c>
      <c r="D73" s="6" t="s">
        <v>22</v>
      </c>
      <c r="E73" s="6" t="n">
        <f aca="false">ROUND(5587*1.05,2)</f>
        <v>5866.35</v>
      </c>
      <c r="F73" s="6" t="s">
        <v>52</v>
      </c>
      <c r="G73" s="6" t="s">
        <v>24</v>
      </c>
      <c r="H73" s="6" t="n">
        <f aca="true">ROUND(RAND()*4+6,1)</f>
        <v>9.3</v>
      </c>
      <c r="I73" s="6" t="s">
        <v>25</v>
      </c>
      <c r="J73" s="6" t="str">
        <f aca="false">ROUND(94*1,0)&amp;"%"</f>
        <v>94%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4702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4703</v>
      </c>
      <c r="B78" s="5" t="s">
        <v>151</v>
      </c>
      <c r="C78" s="5" t="s">
        <v>152</v>
      </c>
      <c r="D78" s="5" t="s">
        <v>16</v>
      </c>
      <c r="E78" s="5" t="n">
        <f aca="false">ROUND(11600*1.05,2)</f>
        <v>12180</v>
      </c>
      <c r="F78" s="5" t="s">
        <v>17</v>
      </c>
      <c r="G78" s="5" t="s">
        <v>18</v>
      </c>
      <c r="H78" s="5" t="n">
        <f aca="true">ROUND(RAND()*4+6,1)</f>
        <v>9.3</v>
      </c>
      <c r="I78" s="5" t="s">
        <v>19</v>
      </c>
      <c r="J78" s="5" t="str">
        <f aca="false">ROUND(86*1,0)&amp;"%"</f>
        <v>86%</v>
      </c>
    </row>
    <row r="79" customFormat="false" ht="15" hidden="false" customHeight="false" outlineLevel="0" collapsed="false">
      <c r="A79" s="6" t="s">
        <v>4704</v>
      </c>
      <c r="B79" s="6" t="s">
        <v>154</v>
      </c>
      <c r="C79" s="6" t="s">
        <v>152</v>
      </c>
      <c r="D79" s="6" t="s">
        <v>22</v>
      </c>
      <c r="E79" s="6" t="n">
        <f aca="false">ROUND(12786*1.05,2)</f>
        <v>13425.3</v>
      </c>
      <c r="F79" s="6" t="s">
        <v>23</v>
      </c>
      <c r="G79" s="6" t="s">
        <v>24</v>
      </c>
      <c r="H79" s="6" t="n">
        <f aca="true">ROUND(RAND()*4+6,1)</f>
        <v>7.6</v>
      </c>
      <c r="I79" s="6" t="s">
        <v>25</v>
      </c>
      <c r="J79" s="6" t="str">
        <f aca="false">ROUND(68*1,0)&amp;"%"</f>
        <v>68%</v>
      </c>
    </row>
    <row r="80" customFormat="false" ht="15" hidden="false" customHeight="false" outlineLevel="0" collapsed="false">
      <c r="A80" s="5" t="s">
        <v>4705</v>
      </c>
      <c r="B80" s="5" t="s">
        <v>156</v>
      </c>
      <c r="C80" s="5" t="s">
        <v>152</v>
      </c>
      <c r="D80" s="5" t="s">
        <v>28</v>
      </c>
      <c r="E80" s="5" t="n">
        <f aca="false">ROUND(4524*1.05,2)</f>
        <v>4750.2</v>
      </c>
      <c r="F80" s="5" t="s">
        <v>29</v>
      </c>
      <c r="G80" s="5" t="s">
        <v>30</v>
      </c>
      <c r="H80" s="5" t="n">
        <f aca="true">ROUND(RAND()*4+6,1)</f>
        <v>8.6</v>
      </c>
      <c r="I80" s="5" t="s">
        <v>31</v>
      </c>
      <c r="J80" s="5" t="str">
        <f aca="false">ROUND(97*1,0)&amp;"%"</f>
        <v>97%</v>
      </c>
    </row>
    <row r="81" customFormat="false" ht="15" hidden="false" customHeight="false" outlineLevel="0" collapsed="false">
      <c r="A81" s="6" t="s">
        <v>4706</v>
      </c>
      <c r="B81" s="6" t="s">
        <v>158</v>
      </c>
      <c r="C81" s="6" t="s">
        <v>152</v>
      </c>
      <c r="D81" s="6" t="s">
        <v>34</v>
      </c>
      <c r="E81" s="6" t="n">
        <f aca="false">ROUND(9737*1.05,2)</f>
        <v>10223.85</v>
      </c>
      <c r="F81" s="6" t="s">
        <v>35</v>
      </c>
      <c r="G81" s="6" t="s">
        <v>18</v>
      </c>
      <c r="H81" s="6" t="n">
        <f aca="true">ROUND(RAND()*4+6,1)</f>
        <v>7.3</v>
      </c>
      <c r="I81" s="6" t="s">
        <v>36</v>
      </c>
      <c r="J81" s="6" t="str">
        <f aca="false">ROUND(71*1,0)&amp;"%"</f>
        <v>71%</v>
      </c>
    </row>
    <row r="82" customFormat="false" ht="15" hidden="false" customHeight="false" outlineLevel="0" collapsed="false">
      <c r="A82" s="5" t="s">
        <v>4707</v>
      </c>
      <c r="B82" s="5" t="s">
        <v>160</v>
      </c>
      <c r="C82" s="5" t="s">
        <v>152</v>
      </c>
      <c r="D82" s="5" t="s">
        <v>39</v>
      </c>
      <c r="E82" s="5" t="n">
        <f aca="false">ROUND(6837*1.05,2)</f>
        <v>7178.85</v>
      </c>
      <c r="F82" s="5" t="s">
        <v>40</v>
      </c>
      <c r="G82" s="5" t="s">
        <v>24</v>
      </c>
      <c r="H82" s="5" t="n">
        <f aca="true">ROUND(RAND()*4+6,1)</f>
        <v>9.7</v>
      </c>
      <c r="I82" s="5" t="s">
        <v>41</v>
      </c>
      <c r="J82" s="5" t="str">
        <f aca="false">ROUND(67*1,0)&amp;"%"</f>
        <v>67%</v>
      </c>
    </row>
    <row r="83" customFormat="false" ht="15" hidden="false" customHeight="false" outlineLevel="0" collapsed="false">
      <c r="A83" s="6" t="s">
        <v>4708</v>
      </c>
      <c r="B83" s="6" t="s">
        <v>162</v>
      </c>
      <c r="C83" s="6" t="s">
        <v>152</v>
      </c>
      <c r="D83" s="6" t="s">
        <v>44</v>
      </c>
      <c r="E83" s="6" t="n">
        <f aca="false">ROUND(11244*1.05,2)</f>
        <v>11806.2</v>
      </c>
      <c r="F83" s="6" t="s">
        <v>45</v>
      </c>
      <c r="G83" s="6" t="s">
        <v>30</v>
      </c>
      <c r="H83" s="6" t="n">
        <f aca="true">ROUND(RAND()*4+6,1)</f>
        <v>9.9</v>
      </c>
      <c r="I83" s="6" t="s">
        <v>46</v>
      </c>
      <c r="J83" s="6" t="str">
        <f aca="false">ROUND(75*1,0)&amp;"%"</f>
        <v>75%</v>
      </c>
    </row>
    <row r="84" customFormat="false" ht="15" hidden="false" customHeight="false" outlineLevel="0" collapsed="false">
      <c r="A84" s="5" t="s">
        <v>4709</v>
      </c>
      <c r="B84" s="5" t="s">
        <v>164</v>
      </c>
      <c r="C84" s="5" t="s">
        <v>152</v>
      </c>
      <c r="D84" s="5" t="s">
        <v>16</v>
      </c>
      <c r="E84" s="5" t="n">
        <f aca="false">ROUND(16956*1.05,2)</f>
        <v>17803.8</v>
      </c>
      <c r="F84" s="5" t="s">
        <v>49</v>
      </c>
      <c r="G84" s="5" t="s">
        <v>18</v>
      </c>
      <c r="H84" s="5" t="n">
        <f aca="true">ROUND(RAND()*4+6,1)</f>
        <v>6</v>
      </c>
      <c r="I84" s="5" t="s">
        <v>19</v>
      </c>
      <c r="J84" s="5" t="str">
        <f aca="false">ROUND(97*1,0)&amp;"%"</f>
        <v>97%</v>
      </c>
    </row>
    <row r="85" customFormat="false" ht="15" hidden="false" customHeight="false" outlineLevel="0" collapsed="false">
      <c r="A85" s="6" t="s">
        <v>4710</v>
      </c>
      <c r="B85" s="6" t="s">
        <v>166</v>
      </c>
      <c r="C85" s="6" t="s">
        <v>152</v>
      </c>
      <c r="D85" s="6" t="s">
        <v>22</v>
      </c>
      <c r="E85" s="6" t="n">
        <f aca="false">ROUND(10094*1.05,2)</f>
        <v>10598.7</v>
      </c>
      <c r="F85" s="6" t="s">
        <v>52</v>
      </c>
      <c r="G85" s="6" t="s">
        <v>24</v>
      </c>
      <c r="H85" s="6" t="n">
        <f aca="true">ROUND(RAND()*4+6,1)</f>
        <v>7.9</v>
      </c>
      <c r="I85" s="6" t="s">
        <v>25</v>
      </c>
      <c r="J85" s="6" t="str">
        <f aca="false">ROUND(61*1,0)&amp;"%"</f>
        <v>61%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4711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4712</v>
      </c>
      <c r="B90" s="5" t="s">
        <v>170</v>
      </c>
      <c r="C90" s="5" t="s">
        <v>15</v>
      </c>
      <c r="D90" s="5" t="s">
        <v>16</v>
      </c>
      <c r="E90" s="5" t="n">
        <f aca="false">ROUND(6433*1.05,2)</f>
        <v>6754.65</v>
      </c>
      <c r="F90" s="5" t="s">
        <v>17</v>
      </c>
      <c r="G90" s="5" t="s">
        <v>18</v>
      </c>
      <c r="H90" s="5" t="n">
        <f aca="true">ROUND(RAND()*4+6,1)</f>
        <v>7.8</v>
      </c>
      <c r="I90" s="5" t="s">
        <v>19</v>
      </c>
      <c r="J90" s="5" t="str">
        <f aca="false">ROUND(95*1,0)&amp;"%"</f>
        <v>95%</v>
      </c>
    </row>
    <row r="91" customFormat="false" ht="15" hidden="false" customHeight="false" outlineLevel="0" collapsed="false">
      <c r="A91" s="6" t="s">
        <v>4713</v>
      </c>
      <c r="B91" s="6" t="s">
        <v>172</v>
      </c>
      <c r="C91" s="6" t="s">
        <v>15</v>
      </c>
      <c r="D91" s="6" t="s">
        <v>22</v>
      </c>
      <c r="E91" s="6" t="n">
        <f aca="false">ROUND(16182*1.05,2)</f>
        <v>16991.1</v>
      </c>
      <c r="F91" s="6" t="s">
        <v>23</v>
      </c>
      <c r="G91" s="6" t="s">
        <v>24</v>
      </c>
      <c r="H91" s="6" t="n">
        <f aca="true">ROUND(RAND()*4+6,1)</f>
        <v>6.8</v>
      </c>
      <c r="I91" s="6" t="s">
        <v>25</v>
      </c>
      <c r="J91" s="6" t="str">
        <f aca="false">ROUND(64*1,0)&amp;"%"</f>
        <v>64%</v>
      </c>
    </row>
    <row r="92" customFormat="false" ht="15" hidden="false" customHeight="false" outlineLevel="0" collapsed="false">
      <c r="A92" s="5" t="s">
        <v>4714</v>
      </c>
      <c r="B92" s="5" t="s">
        <v>174</v>
      </c>
      <c r="C92" s="5" t="s">
        <v>15</v>
      </c>
      <c r="D92" s="5" t="s">
        <v>28</v>
      </c>
      <c r="E92" s="5" t="n">
        <f aca="false">ROUND(17131*1.05,2)</f>
        <v>17987.55</v>
      </c>
      <c r="F92" s="5" t="s">
        <v>29</v>
      </c>
      <c r="G92" s="5" t="s">
        <v>30</v>
      </c>
      <c r="H92" s="5" t="n">
        <f aca="true">ROUND(RAND()*4+6,1)</f>
        <v>9.8</v>
      </c>
      <c r="I92" s="5" t="s">
        <v>31</v>
      </c>
      <c r="J92" s="5" t="str">
        <f aca="false">ROUND(69*1,0)&amp;"%"</f>
        <v>69%</v>
      </c>
    </row>
    <row r="93" customFormat="false" ht="15" hidden="false" customHeight="false" outlineLevel="0" collapsed="false">
      <c r="A93" s="6" t="s">
        <v>4715</v>
      </c>
      <c r="B93" s="6" t="s">
        <v>176</v>
      </c>
      <c r="C93" s="6" t="s">
        <v>15</v>
      </c>
      <c r="D93" s="6" t="s">
        <v>34</v>
      </c>
      <c r="E93" s="6" t="n">
        <f aca="false">ROUND(12455*1.05,2)</f>
        <v>13077.75</v>
      </c>
      <c r="F93" s="6" t="s">
        <v>35</v>
      </c>
      <c r="G93" s="6" t="s">
        <v>18</v>
      </c>
      <c r="H93" s="6" t="n">
        <f aca="true">ROUND(RAND()*4+6,1)</f>
        <v>7.6</v>
      </c>
      <c r="I93" s="6" t="s">
        <v>36</v>
      </c>
      <c r="J93" s="6" t="str">
        <f aca="false">ROUND(96*1,0)&amp;"%"</f>
        <v>96%</v>
      </c>
    </row>
    <row r="94" customFormat="false" ht="15" hidden="false" customHeight="false" outlineLevel="0" collapsed="false">
      <c r="A94" s="5" t="s">
        <v>4716</v>
      </c>
      <c r="B94" s="5" t="s">
        <v>178</v>
      </c>
      <c r="C94" s="5" t="s">
        <v>15</v>
      </c>
      <c r="D94" s="5" t="s">
        <v>39</v>
      </c>
      <c r="E94" s="5" t="n">
        <f aca="false">ROUND(11523*1.05,2)</f>
        <v>12099.15</v>
      </c>
      <c r="F94" s="5" t="s">
        <v>40</v>
      </c>
      <c r="G94" s="5" t="s">
        <v>24</v>
      </c>
      <c r="H94" s="5" t="n">
        <f aca="true">ROUND(RAND()*4+6,1)</f>
        <v>8.8</v>
      </c>
      <c r="I94" s="5" t="s">
        <v>41</v>
      </c>
      <c r="J94" s="5" t="str">
        <f aca="false">ROUND(80*1,0)&amp;"%"</f>
        <v>80%</v>
      </c>
    </row>
    <row r="95" customFormat="false" ht="15" hidden="false" customHeight="false" outlineLevel="0" collapsed="false">
      <c r="A95" s="6" t="s">
        <v>4717</v>
      </c>
      <c r="B95" s="6" t="s">
        <v>180</v>
      </c>
      <c r="C95" s="6" t="s">
        <v>15</v>
      </c>
      <c r="D95" s="6" t="s">
        <v>44</v>
      </c>
      <c r="E95" s="6" t="n">
        <f aca="false">ROUND(16930*1.05,2)</f>
        <v>17776.5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ROUND(85*1,0)&amp;"%"</f>
        <v>85%</v>
      </c>
    </row>
    <row r="96" customFormat="false" ht="15" hidden="false" customHeight="false" outlineLevel="0" collapsed="false">
      <c r="A96" s="5" t="s">
        <v>4718</v>
      </c>
      <c r="B96" s="5" t="s">
        <v>182</v>
      </c>
      <c r="C96" s="5" t="s">
        <v>15</v>
      </c>
      <c r="D96" s="5" t="s">
        <v>16</v>
      </c>
      <c r="E96" s="5" t="n">
        <f aca="false">ROUND(16183*1.05,2)</f>
        <v>16992.15</v>
      </c>
      <c r="F96" s="5" t="s">
        <v>49</v>
      </c>
      <c r="G96" s="5" t="s">
        <v>18</v>
      </c>
      <c r="H96" s="5" t="n">
        <f aca="true">ROUND(RAND()*4+6,1)</f>
        <v>8.4</v>
      </c>
      <c r="I96" s="5" t="s">
        <v>19</v>
      </c>
      <c r="J96" s="5" t="str">
        <f aca="false">ROUND(67*1,0)&amp;"%"</f>
        <v>67%</v>
      </c>
    </row>
    <row r="97" customFormat="false" ht="15" hidden="false" customHeight="false" outlineLevel="0" collapsed="false">
      <c r="A97" s="6" t="s">
        <v>4719</v>
      </c>
      <c r="B97" s="6" t="s">
        <v>184</v>
      </c>
      <c r="C97" s="6" t="s">
        <v>15</v>
      </c>
      <c r="D97" s="6" t="s">
        <v>22</v>
      </c>
      <c r="E97" s="6" t="n">
        <f aca="false">ROUND(11639*1.05,2)</f>
        <v>12220.95</v>
      </c>
      <c r="F97" s="6" t="s">
        <v>52</v>
      </c>
      <c r="G97" s="6" t="s">
        <v>24</v>
      </c>
      <c r="H97" s="6" t="n">
        <f aca="true">ROUND(RAND()*4+6,1)</f>
        <v>6.8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4720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4721</v>
      </c>
      <c r="B102" s="5" t="s">
        <v>188</v>
      </c>
      <c r="C102" s="5" t="s">
        <v>57</v>
      </c>
      <c r="D102" s="5" t="s">
        <v>16</v>
      </c>
      <c r="E102" s="5" t="n">
        <f aca="false">ROUND(11080*1.05,2)</f>
        <v>11634</v>
      </c>
      <c r="F102" s="5" t="s">
        <v>17</v>
      </c>
      <c r="G102" s="5" t="s">
        <v>18</v>
      </c>
      <c r="H102" s="5" t="n">
        <f aca="true">ROUND(RAND()*4+6,1)</f>
        <v>7</v>
      </c>
      <c r="I102" s="5" t="s">
        <v>19</v>
      </c>
      <c r="J102" s="5" t="str">
        <f aca="false">ROUND(76*1,0)&amp;"%"</f>
        <v>76%</v>
      </c>
    </row>
    <row r="103" customFormat="false" ht="15" hidden="false" customHeight="false" outlineLevel="0" collapsed="false">
      <c r="A103" s="6" t="s">
        <v>4722</v>
      </c>
      <c r="B103" s="6" t="s">
        <v>190</v>
      </c>
      <c r="C103" s="6" t="s">
        <v>57</v>
      </c>
      <c r="D103" s="6" t="s">
        <v>22</v>
      </c>
      <c r="E103" s="6" t="n">
        <f aca="false">ROUND(17025*1.05,2)</f>
        <v>17876.25</v>
      </c>
      <c r="F103" s="6" t="s">
        <v>23</v>
      </c>
      <c r="G103" s="6" t="s">
        <v>24</v>
      </c>
      <c r="H103" s="6" t="n">
        <f aca="true">ROUND(RAND()*4+6,1)</f>
        <v>9</v>
      </c>
      <c r="I103" s="6" t="s">
        <v>25</v>
      </c>
      <c r="J103" s="6" t="str">
        <f aca="false">ROUND(77*1,0)&amp;"%"</f>
        <v>77%</v>
      </c>
    </row>
    <row r="104" customFormat="false" ht="15" hidden="false" customHeight="false" outlineLevel="0" collapsed="false">
      <c r="A104" s="5" t="s">
        <v>4723</v>
      </c>
      <c r="B104" s="5" t="s">
        <v>192</v>
      </c>
      <c r="C104" s="5" t="s">
        <v>57</v>
      </c>
      <c r="D104" s="5" t="s">
        <v>28</v>
      </c>
      <c r="E104" s="5" t="n">
        <f aca="false">ROUND(10359*1.05,2)</f>
        <v>10876.95</v>
      </c>
      <c r="F104" s="5" t="s">
        <v>29</v>
      </c>
      <c r="G104" s="5" t="s">
        <v>30</v>
      </c>
      <c r="H104" s="5" t="n">
        <f aca="true">ROUND(RAND()*4+6,1)</f>
        <v>8.2</v>
      </c>
      <c r="I104" s="5" t="s">
        <v>31</v>
      </c>
      <c r="J104" s="5" t="str">
        <f aca="false">ROUND(76*1,0)&amp;"%"</f>
        <v>76%</v>
      </c>
    </row>
    <row r="105" customFormat="false" ht="15" hidden="false" customHeight="false" outlineLevel="0" collapsed="false">
      <c r="A105" s="6" t="s">
        <v>4724</v>
      </c>
      <c r="B105" s="6" t="s">
        <v>194</v>
      </c>
      <c r="C105" s="6" t="s">
        <v>57</v>
      </c>
      <c r="D105" s="6" t="s">
        <v>34</v>
      </c>
      <c r="E105" s="6" t="n">
        <f aca="false">ROUND(4861*1.05,2)</f>
        <v>5104.05</v>
      </c>
      <c r="F105" s="6" t="s">
        <v>35</v>
      </c>
      <c r="G105" s="6" t="s">
        <v>18</v>
      </c>
      <c r="H105" s="6" t="n">
        <f aca="true">ROUND(RAND()*4+6,1)</f>
        <v>8.9</v>
      </c>
      <c r="I105" s="6" t="s">
        <v>36</v>
      </c>
      <c r="J105" s="6" t="str">
        <f aca="false">ROUND(100*1,0)&amp;"%"</f>
        <v>100%</v>
      </c>
    </row>
    <row r="106" customFormat="false" ht="15" hidden="false" customHeight="false" outlineLevel="0" collapsed="false">
      <c r="A106" s="5" t="s">
        <v>4725</v>
      </c>
      <c r="B106" s="5" t="s">
        <v>196</v>
      </c>
      <c r="C106" s="5" t="s">
        <v>57</v>
      </c>
      <c r="D106" s="5" t="s">
        <v>39</v>
      </c>
      <c r="E106" s="5" t="n">
        <f aca="false">ROUND(17214*1.05,2)</f>
        <v>18074.7</v>
      </c>
      <c r="F106" s="5" t="s">
        <v>40</v>
      </c>
      <c r="G106" s="5" t="s">
        <v>24</v>
      </c>
      <c r="H106" s="5" t="n">
        <f aca="true">ROUND(RAND()*4+6,1)</f>
        <v>8.1</v>
      </c>
      <c r="I106" s="5" t="s">
        <v>41</v>
      </c>
      <c r="J106" s="5" t="str">
        <f aca="false">ROUND(71*1,0)&amp;"%"</f>
        <v>71%</v>
      </c>
    </row>
    <row r="107" customFormat="false" ht="15" hidden="false" customHeight="false" outlineLevel="0" collapsed="false">
      <c r="A107" s="6" t="s">
        <v>4726</v>
      </c>
      <c r="B107" s="6" t="s">
        <v>198</v>
      </c>
      <c r="C107" s="6" t="s">
        <v>57</v>
      </c>
      <c r="D107" s="6" t="s">
        <v>44</v>
      </c>
      <c r="E107" s="6" t="n">
        <f aca="false">ROUND(9391*1.05,2)</f>
        <v>9860.55</v>
      </c>
      <c r="F107" s="6" t="s">
        <v>45</v>
      </c>
      <c r="G107" s="6" t="s">
        <v>30</v>
      </c>
      <c r="H107" s="6" t="n">
        <f aca="true">ROUND(RAND()*4+6,1)</f>
        <v>7.6</v>
      </c>
      <c r="I107" s="6" t="s">
        <v>46</v>
      </c>
      <c r="J107" s="6" t="str">
        <f aca="false">ROUND(75*1,0)&amp;"%"</f>
        <v>75%</v>
      </c>
    </row>
    <row r="108" customFormat="false" ht="15" hidden="false" customHeight="false" outlineLevel="0" collapsed="false">
      <c r="A108" s="5" t="s">
        <v>4727</v>
      </c>
      <c r="B108" s="5" t="s">
        <v>200</v>
      </c>
      <c r="C108" s="5" t="s">
        <v>57</v>
      </c>
      <c r="D108" s="5" t="s">
        <v>16</v>
      </c>
      <c r="E108" s="5" t="n">
        <f aca="false">ROUND(6423*1.05,2)</f>
        <v>6744.15</v>
      </c>
      <c r="F108" s="5" t="s">
        <v>49</v>
      </c>
      <c r="G108" s="5" t="s">
        <v>18</v>
      </c>
      <c r="H108" s="5" t="n">
        <f aca="true">ROUND(RAND()*4+6,1)</f>
        <v>9.9</v>
      </c>
      <c r="I108" s="5" t="s">
        <v>19</v>
      </c>
      <c r="J108" s="5" t="str">
        <f aca="false">ROUND(89*1,0)&amp;"%"</f>
        <v>89%</v>
      </c>
    </row>
    <row r="109" customFormat="false" ht="15" hidden="false" customHeight="false" outlineLevel="0" collapsed="false">
      <c r="A109" s="6" t="s">
        <v>4728</v>
      </c>
      <c r="B109" s="6" t="s">
        <v>202</v>
      </c>
      <c r="C109" s="6" t="s">
        <v>57</v>
      </c>
      <c r="D109" s="6" t="s">
        <v>22</v>
      </c>
      <c r="E109" s="6" t="n">
        <f aca="false">ROUND(16509*1.05,2)</f>
        <v>17334.45</v>
      </c>
      <c r="F109" s="6" t="s">
        <v>52</v>
      </c>
      <c r="G109" s="6" t="s">
        <v>24</v>
      </c>
      <c r="H109" s="6" t="n">
        <f aca="true">ROUND(RAND()*4+6,1)</f>
        <v>7.9</v>
      </c>
      <c r="I109" s="6" t="s">
        <v>25</v>
      </c>
      <c r="J109" s="6" t="str">
        <f aca="false">ROUND(91*1,0)&amp;"%"</f>
        <v>91%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4729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4730</v>
      </c>
      <c r="B114" s="5" t="s">
        <v>206</v>
      </c>
      <c r="C114" s="5" t="s">
        <v>76</v>
      </c>
      <c r="D114" s="5" t="s">
        <v>16</v>
      </c>
      <c r="E114" s="5" t="n">
        <f aca="false">ROUND(8294*1.05,2)</f>
        <v>8708.7</v>
      </c>
      <c r="F114" s="5" t="s">
        <v>17</v>
      </c>
      <c r="G114" s="5" t="s">
        <v>18</v>
      </c>
      <c r="H114" s="5" t="n">
        <f aca="true">ROUND(RAND()*4+6,1)</f>
        <v>7.7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4731</v>
      </c>
      <c r="B115" s="6" t="s">
        <v>208</v>
      </c>
      <c r="C115" s="6" t="s">
        <v>76</v>
      </c>
      <c r="D115" s="6" t="s">
        <v>22</v>
      </c>
      <c r="E115" s="6" t="n">
        <f aca="false">ROUND(6374*1.05,2)</f>
        <v>6692.7</v>
      </c>
      <c r="F115" s="6" t="s">
        <v>23</v>
      </c>
      <c r="G115" s="6" t="s">
        <v>24</v>
      </c>
      <c r="H115" s="6" t="n">
        <f aca="true">ROUND(RAND()*4+6,1)</f>
        <v>6.2</v>
      </c>
      <c r="I115" s="6" t="s">
        <v>25</v>
      </c>
      <c r="J115" s="6" t="str">
        <f aca="false">ROUND(70*1,0)&amp;"%"</f>
        <v>70%</v>
      </c>
    </row>
    <row r="116" customFormat="false" ht="15" hidden="false" customHeight="false" outlineLevel="0" collapsed="false">
      <c r="A116" s="5" t="s">
        <v>4732</v>
      </c>
      <c r="B116" s="5" t="s">
        <v>210</v>
      </c>
      <c r="C116" s="5" t="s">
        <v>76</v>
      </c>
      <c r="D116" s="5" t="s">
        <v>28</v>
      </c>
      <c r="E116" s="5" t="n">
        <f aca="false">ROUND(7266*1.05,2)</f>
        <v>7629.3</v>
      </c>
      <c r="F116" s="5" t="s">
        <v>29</v>
      </c>
      <c r="G116" s="5" t="s">
        <v>30</v>
      </c>
      <c r="H116" s="5" t="n">
        <f aca="true">ROUND(RAND()*4+6,1)</f>
        <v>7</v>
      </c>
      <c r="I116" s="5" t="s">
        <v>31</v>
      </c>
      <c r="J116" s="5" t="str">
        <f aca="false">ROUND(92*1,0)&amp;"%"</f>
        <v>92%</v>
      </c>
    </row>
    <row r="117" customFormat="false" ht="15" hidden="false" customHeight="false" outlineLevel="0" collapsed="false">
      <c r="A117" s="6" t="s">
        <v>4733</v>
      </c>
      <c r="B117" s="6" t="s">
        <v>212</v>
      </c>
      <c r="C117" s="6" t="s">
        <v>76</v>
      </c>
      <c r="D117" s="6" t="s">
        <v>34</v>
      </c>
      <c r="E117" s="6" t="n">
        <f aca="false">ROUND(10120*1.05,2)</f>
        <v>10626</v>
      </c>
      <c r="F117" s="6" t="s">
        <v>35</v>
      </c>
      <c r="G117" s="6" t="s">
        <v>18</v>
      </c>
      <c r="H117" s="6" t="n">
        <f aca="true">ROUND(RAND()*4+6,1)</f>
        <v>8.2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4734</v>
      </c>
      <c r="B118" s="5" t="s">
        <v>214</v>
      </c>
      <c r="C118" s="5" t="s">
        <v>76</v>
      </c>
      <c r="D118" s="5" t="s">
        <v>39</v>
      </c>
      <c r="E118" s="5" t="n">
        <f aca="false">ROUND(9717*1.05,2)</f>
        <v>10202.85</v>
      </c>
      <c r="F118" s="5" t="s">
        <v>40</v>
      </c>
      <c r="G118" s="5" t="s">
        <v>24</v>
      </c>
      <c r="H118" s="5" t="n">
        <f aca="true">ROUND(RAND()*4+6,1)</f>
        <v>9.2</v>
      </c>
      <c r="I118" s="5" t="s">
        <v>41</v>
      </c>
      <c r="J118" s="5" t="str">
        <f aca="false">ROUND(76*1,0)&amp;"%"</f>
        <v>76%</v>
      </c>
    </row>
    <row r="119" customFormat="false" ht="15" hidden="false" customHeight="false" outlineLevel="0" collapsed="false">
      <c r="A119" s="6" t="s">
        <v>4735</v>
      </c>
      <c r="B119" s="6" t="s">
        <v>216</v>
      </c>
      <c r="C119" s="6" t="s">
        <v>76</v>
      </c>
      <c r="D119" s="6" t="s">
        <v>44</v>
      </c>
      <c r="E119" s="6" t="n">
        <f aca="false">ROUND(5270*1.05,2)</f>
        <v>5533.5</v>
      </c>
      <c r="F119" s="6" t="s">
        <v>45</v>
      </c>
      <c r="G119" s="6" t="s">
        <v>30</v>
      </c>
      <c r="H119" s="6" t="n">
        <f aca="true">ROUND(RAND()*4+6,1)</f>
        <v>7.7</v>
      </c>
      <c r="I119" s="6" t="s">
        <v>46</v>
      </c>
      <c r="J119" s="6" t="str">
        <f aca="false">ROUND(79*1,0)&amp;"%"</f>
        <v>79%</v>
      </c>
    </row>
    <row r="120" customFormat="false" ht="15" hidden="false" customHeight="false" outlineLevel="0" collapsed="false">
      <c r="A120" s="5" t="s">
        <v>4736</v>
      </c>
      <c r="B120" s="5" t="s">
        <v>218</v>
      </c>
      <c r="C120" s="5" t="s">
        <v>76</v>
      </c>
      <c r="D120" s="5" t="s">
        <v>16</v>
      </c>
      <c r="E120" s="5" t="n">
        <f aca="false">ROUND(16142*1.05,2)</f>
        <v>16949.1</v>
      </c>
      <c r="F120" s="5" t="s">
        <v>49</v>
      </c>
      <c r="G120" s="5" t="s">
        <v>18</v>
      </c>
      <c r="H120" s="5" t="n">
        <f aca="true">ROUND(RAND()*4+6,1)</f>
        <v>6.5</v>
      </c>
      <c r="I120" s="5" t="s">
        <v>19</v>
      </c>
      <c r="J120" s="5" t="str">
        <f aca="false">ROUND(70*1,0)&amp;"%"</f>
        <v>70%</v>
      </c>
    </row>
    <row r="121" customFormat="false" ht="15" hidden="false" customHeight="false" outlineLevel="0" collapsed="false">
      <c r="A121" s="6" t="s">
        <v>4737</v>
      </c>
      <c r="B121" s="6" t="s">
        <v>220</v>
      </c>
      <c r="C121" s="6" t="s">
        <v>76</v>
      </c>
      <c r="D121" s="6" t="s">
        <v>22</v>
      </c>
      <c r="E121" s="6" t="n">
        <f aca="false">ROUND(13395*1.05,2)</f>
        <v>14064.75</v>
      </c>
      <c r="F121" s="6" t="s">
        <v>52</v>
      </c>
      <c r="G121" s="6" t="s">
        <v>24</v>
      </c>
      <c r="H121" s="6" t="n">
        <f aca="true">ROUND(RAND()*4+6,1)</f>
        <v>9.8</v>
      </c>
      <c r="I121" s="6" t="s">
        <v>25</v>
      </c>
      <c r="J121" s="6" t="str">
        <f aca="false">ROUND(67*1,0)&amp;"%"</f>
        <v>67%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4738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4739</v>
      </c>
      <c r="B126" s="5" t="s">
        <v>224</v>
      </c>
      <c r="C126" s="5" t="s">
        <v>95</v>
      </c>
      <c r="D126" s="5" t="s">
        <v>16</v>
      </c>
      <c r="E126" s="5" t="n">
        <f aca="false">ROUND(13478*1.05,2)</f>
        <v>14151.9</v>
      </c>
      <c r="F126" s="5" t="s">
        <v>17</v>
      </c>
      <c r="G126" s="5" t="s">
        <v>18</v>
      </c>
      <c r="H126" s="5" t="n">
        <f aca="true">ROUND(RAND()*4+6,1)</f>
        <v>8.4</v>
      </c>
      <c r="I126" s="5" t="s">
        <v>19</v>
      </c>
      <c r="J126" s="5" t="str">
        <f aca="false">ROUND(90*1,0)&amp;"%"</f>
        <v>90%</v>
      </c>
    </row>
    <row r="127" customFormat="false" ht="15" hidden="false" customHeight="false" outlineLevel="0" collapsed="false">
      <c r="A127" s="6" t="s">
        <v>4740</v>
      </c>
      <c r="B127" s="6" t="s">
        <v>226</v>
      </c>
      <c r="C127" s="6" t="s">
        <v>95</v>
      </c>
      <c r="D127" s="6" t="s">
        <v>22</v>
      </c>
      <c r="E127" s="6" t="n">
        <f aca="false">ROUND(12731*1.05,2)</f>
        <v>13367.55</v>
      </c>
      <c r="F127" s="6" t="s">
        <v>23</v>
      </c>
      <c r="G127" s="6" t="s">
        <v>24</v>
      </c>
      <c r="H127" s="6" t="n">
        <f aca="true">ROUND(RAND()*4+6,1)</f>
        <v>7.7</v>
      </c>
      <c r="I127" s="6" t="s">
        <v>25</v>
      </c>
      <c r="J127" s="6" t="str">
        <f aca="false">ROUND(85*1,0)&amp;"%"</f>
        <v>85%</v>
      </c>
    </row>
    <row r="128" customFormat="false" ht="15" hidden="false" customHeight="false" outlineLevel="0" collapsed="false">
      <c r="A128" s="5" t="s">
        <v>4741</v>
      </c>
      <c r="B128" s="5" t="s">
        <v>228</v>
      </c>
      <c r="C128" s="5" t="s">
        <v>95</v>
      </c>
      <c r="D128" s="5" t="s">
        <v>28</v>
      </c>
      <c r="E128" s="5" t="n">
        <f aca="false">ROUND(16886*1.05,2)</f>
        <v>17730.3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ROUND(95*1,0)&amp;"%"</f>
        <v>95%</v>
      </c>
    </row>
    <row r="129" customFormat="false" ht="15" hidden="false" customHeight="false" outlineLevel="0" collapsed="false">
      <c r="A129" s="6" t="s">
        <v>4742</v>
      </c>
      <c r="B129" s="6" t="s">
        <v>230</v>
      </c>
      <c r="C129" s="6" t="s">
        <v>95</v>
      </c>
      <c r="D129" s="6" t="s">
        <v>34</v>
      </c>
      <c r="E129" s="6" t="n">
        <f aca="false">ROUND(16503*1.05,2)</f>
        <v>17328.15</v>
      </c>
      <c r="F129" s="6" t="s">
        <v>35</v>
      </c>
      <c r="G129" s="6" t="s">
        <v>18</v>
      </c>
      <c r="H129" s="6" t="n">
        <f aca="true">ROUND(RAND()*4+6,1)</f>
        <v>8.8</v>
      </c>
      <c r="I129" s="6" t="s">
        <v>36</v>
      </c>
      <c r="J129" s="6" t="str">
        <f aca="false">ROUND(86*1,0)&amp;"%"</f>
        <v>86%</v>
      </c>
    </row>
    <row r="130" customFormat="false" ht="15" hidden="false" customHeight="false" outlineLevel="0" collapsed="false">
      <c r="A130" s="5" t="s">
        <v>4743</v>
      </c>
      <c r="B130" s="5" t="s">
        <v>232</v>
      </c>
      <c r="C130" s="5" t="s">
        <v>95</v>
      </c>
      <c r="D130" s="5" t="s">
        <v>39</v>
      </c>
      <c r="E130" s="5" t="n">
        <f aca="false">ROUND(15506*1.05,2)</f>
        <v>16281.3</v>
      </c>
      <c r="F130" s="5" t="s">
        <v>40</v>
      </c>
      <c r="G130" s="5" t="s">
        <v>24</v>
      </c>
      <c r="H130" s="5" t="n">
        <f aca="true">ROUND(RAND()*4+6,1)</f>
        <v>8.1</v>
      </c>
      <c r="I130" s="5" t="s">
        <v>41</v>
      </c>
      <c r="J130" s="5" t="str">
        <f aca="false">ROUND(89*1,0)&amp;"%"</f>
        <v>89%</v>
      </c>
    </row>
    <row r="131" customFormat="false" ht="15" hidden="false" customHeight="false" outlineLevel="0" collapsed="false">
      <c r="A131" s="6" t="s">
        <v>4744</v>
      </c>
      <c r="B131" s="6" t="s">
        <v>234</v>
      </c>
      <c r="C131" s="6" t="s">
        <v>95</v>
      </c>
      <c r="D131" s="6" t="s">
        <v>44</v>
      </c>
      <c r="E131" s="6" t="n">
        <f aca="false">ROUND(16327*1.05,2)</f>
        <v>17143.35</v>
      </c>
      <c r="F131" s="6" t="s">
        <v>45</v>
      </c>
      <c r="G131" s="6" t="s">
        <v>30</v>
      </c>
      <c r="H131" s="6" t="n">
        <f aca="true">ROUND(RAND()*4+6,1)</f>
        <v>9.9</v>
      </c>
      <c r="I131" s="6" t="s">
        <v>46</v>
      </c>
      <c r="J131" s="6" t="str">
        <f aca="false">ROUND(83*1,0)&amp;"%"</f>
        <v>83%</v>
      </c>
    </row>
    <row r="132" customFormat="false" ht="15" hidden="false" customHeight="false" outlineLevel="0" collapsed="false">
      <c r="A132" s="5" t="s">
        <v>4745</v>
      </c>
      <c r="B132" s="5" t="s">
        <v>236</v>
      </c>
      <c r="C132" s="5" t="s">
        <v>95</v>
      </c>
      <c r="D132" s="5" t="s">
        <v>16</v>
      </c>
      <c r="E132" s="5" t="n">
        <f aca="false">ROUND(6567*1.05,2)</f>
        <v>6895.35</v>
      </c>
      <c r="F132" s="5" t="s">
        <v>49</v>
      </c>
      <c r="G132" s="5" t="s">
        <v>18</v>
      </c>
      <c r="H132" s="5" t="n">
        <f aca="true">ROUND(RAND()*4+6,1)</f>
        <v>8.2</v>
      </c>
      <c r="I132" s="5" t="s">
        <v>19</v>
      </c>
      <c r="J132" s="5" t="str">
        <f aca="false">ROUND(88*1,0)&amp;"%"</f>
        <v>88%</v>
      </c>
    </row>
    <row r="133" customFormat="false" ht="15" hidden="false" customHeight="false" outlineLevel="0" collapsed="false">
      <c r="A133" s="6" t="s">
        <v>4746</v>
      </c>
      <c r="B133" s="6" t="s">
        <v>238</v>
      </c>
      <c r="C133" s="6" t="s">
        <v>95</v>
      </c>
      <c r="D133" s="6" t="s">
        <v>22</v>
      </c>
      <c r="E133" s="6" t="n">
        <f aca="false">ROUND(10878*1.05,2)</f>
        <v>11421.9</v>
      </c>
      <c r="F133" s="6" t="s">
        <v>52</v>
      </c>
      <c r="G133" s="6" t="s">
        <v>24</v>
      </c>
      <c r="H133" s="6" t="n">
        <f aca="true">ROUND(RAND()*4+6,1)</f>
        <v>7.4</v>
      </c>
      <c r="I133" s="6" t="s">
        <v>25</v>
      </c>
      <c r="J133" s="6" t="str">
        <f aca="false">ROUND(75*1,0)&amp;"%"</f>
        <v>75%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4747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4748</v>
      </c>
      <c r="B138" s="5" t="s">
        <v>242</v>
      </c>
      <c r="C138" s="5" t="s">
        <v>114</v>
      </c>
      <c r="D138" s="5" t="s">
        <v>16</v>
      </c>
      <c r="E138" s="5" t="n">
        <f aca="false">ROUND(10837*1.05,2)</f>
        <v>11378.85</v>
      </c>
      <c r="F138" s="5" t="s">
        <v>17</v>
      </c>
      <c r="G138" s="5" t="s">
        <v>18</v>
      </c>
      <c r="H138" s="5" t="n">
        <f aca="true">ROUND(RAND()*4+6,1)</f>
        <v>9.5</v>
      </c>
      <c r="I138" s="5" t="s">
        <v>19</v>
      </c>
      <c r="J138" s="5" t="str">
        <f aca="false">ROUND(77*1,0)&amp;"%"</f>
        <v>77%</v>
      </c>
    </row>
    <row r="139" customFormat="false" ht="15" hidden="false" customHeight="false" outlineLevel="0" collapsed="false">
      <c r="A139" s="6" t="s">
        <v>4749</v>
      </c>
      <c r="B139" s="6" t="s">
        <v>244</v>
      </c>
      <c r="C139" s="6" t="s">
        <v>114</v>
      </c>
      <c r="D139" s="6" t="s">
        <v>22</v>
      </c>
      <c r="E139" s="6" t="n">
        <f aca="false">ROUND(16728*1.05,2)</f>
        <v>17564.4</v>
      </c>
      <c r="F139" s="6" t="s">
        <v>23</v>
      </c>
      <c r="G139" s="6" t="s">
        <v>24</v>
      </c>
      <c r="H139" s="6" t="n">
        <f aca="true">ROUND(RAND()*4+6,1)</f>
        <v>9.3</v>
      </c>
      <c r="I139" s="6" t="s">
        <v>25</v>
      </c>
      <c r="J139" s="6" t="str">
        <f aca="false">ROUND(76*1,0)&amp;"%"</f>
        <v>76%</v>
      </c>
    </row>
    <row r="140" customFormat="false" ht="15" hidden="false" customHeight="false" outlineLevel="0" collapsed="false">
      <c r="A140" s="5" t="s">
        <v>4750</v>
      </c>
      <c r="B140" s="5" t="s">
        <v>246</v>
      </c>
      <c r="C140" s="5" t="s">
        <v>114</v>
      </c>
      <c r="D140" s="5" t="s">
        <v>28</v>
      </c>
      <c r="E140" s="5" t="n">
        <f aca="false">ROUND(16192*1.05,2)</f>
        <v>17001.6</v>
      </c>
      <c r="F140" s="5" t="s">
        <v>29</v>
      </c>
      <c r="G140" s="5" t="s">
        <v>30</v>
      </c>
      <c r="H140" s="5" t="n">
        <f aca="true">ROUND(RAND()*4+6,1)</f>
        <v>8.7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4751</v>
      </c>
      <c r="B141" s="6" t="s">
        <v>248</v>
      </c>
      <c r="C141" s="6" t="s">
        <v>114</v>
      </c>
      <c r="D141" s="6" t="s">
        <v>34</v>
      </c>
      <c r="E141" s="6" t="n">
        <f aca="false">ROUND(10649*1.05,2)</f>
        <v>11181.45</v>
      </c>
      <c r="F141" s="6" t="s">
        <v>35</v>
      </c>
      <c r="G141" s="6" t="s">
        <v>18</v>
      </c>
      <c r="H141" s="6" t="n">
        <f aca="true">ROUND(RAND()*4+6,1)</f>
        <v>8.7</v>
      </c>
      <c r="I141" s="6" t="s">
        <v>36</v>
      </c>
      <c r="J141" s="6" t="str">
        <f aca="false">ROUND(89*1,0)&amp;"%"</f>
        <v>89%</v>
      </c>
    </row>
    <row r="142" customFormat="false" ht="15" hidden="false" customHeight="false" outlineLevel="0" collapsed="false">
      <c r="A142" s="5" t="s">
        <v>4752</v>
      </c>
      <c r="B142" s="5" t="s">
        <v>250</v>
      </c>
      <c r="C142" s="5" t="s">
        <v>114</v>
      </c>
      <c r="D142" s="5" t="s">
        <v>39</v>
      </c>
      <c r="E142" s="5" t="n">
        <f aca="false">ROUND(15799*1.05,2)</f>
        <v>16588.95</v>
      </c>
      <c r="F142" s="5" t="s">
        <v>40</v>
      </c>
      <c r="G142" s="5" t="s">
        <v>24</v>
      </c>
      <c r="H142" s="5" t="n">
        <f aca="true">ROUND(RAND()*4+6,1)</f>
        <v>8.5</v>
      </c>
      <c r="I142" s="5" t="s">
        <v>41</v>
      </c>
      <c r="J142" s="5" t="str">
        <f aca="false">ROUND(68*1,0)&amp;"%"</f>
        <v>68%</v>
      </c>
    </row>
    <row r="143" customFormat="false" ht="15" hidden="false" customHeight="false" outlineLevel="0" collapsed="false">
      <c r="A143" s="6" t="s">
        <v>4753</v>
      </c>
      <c r="B143" s="6" t="s">
        <v>252</v>
      </c>
      <c r="C143" s="6" t="s">
        <v>114</v>
      </c>
      <c r="D143" s="6" t="s">
        <v>44</v>
      </c>
      <c r="E143" s="6" t="n">
        <f aca="false">ROUND(12744*1.05,2)</f>
        <v>13381.2</v>
      </c>
      <c r="F143" s="6" t="s">
        <v>45</v>
      </c>
      <c r="G143" s="6" t="s">
        <v>30</v>
      </c>
      <c r="H143" s="6" t="n">
        <f aca="true">ROUND(RAND()*4+6,1)</f>
        <v>7.4</v>
      </c>
      <c r="I143" s="6" t="s">
        <v>46</v>
      </c>
      <c r="J143" s="6" t="str">
        <f aca="false">ROUND(73*1,0)&amp;"%"</f>
        <v>73%</v>
      </c>
    </row>
    <row r="144" customFormat="false" ht="15" hidden="false" customHeight="false" outlineLevel="0" collapsed="false">
      <c r="A144" s="5" t="s">
        <v>4754</v>
      </c>
      <c r="B144" s="5" t="s">
        <v>254</v>
      </c>
      <c r="C144" s="5" t="s">
        <v>114</v>
      </c>
      <c r="D144" s="5" t="s">
        <v>16</v>
      </c>
      <c r="E144" s="5" t="n">
        <f aca="false">ROUND(4477*1.05,2)</f>
        <v>4700.85</v>
      </c>
      <c r="F144" s="5" t="s">
        <v>49</v>
      </c>
      <c r="G144" s="5" t="s">
        <v>18</v>
      </c>
      <c r="H144" s="5" t="n">
        <f aca="true">ROUND(RAND()*4+6,1)</f>
        <v>8.6</v>
      </c>
      <c r="I144" s="5" t="s">
        <v>19</v>
      </c>
      <c r="J144" s="5" t="str">
        <f aca="false">ROUND(76*1,0)&amp;"%"</f>
        <v>76%</v>
      </c>
    </row>
    <row r="145" customFormat="false" ht="15" hidden="false" customHeight="false" outlineLevel="0" collapsed="false">
      <c r="A145" s="6" t="s">
        <v>4755</v>
      </c>
      <c r="B145" s="6" t="s">
        <v>256</v>
      </c>
      <c r="C145" s="6" t="s">
        <v>114</v>
      </c>
      <c r="D145" s="6" t="s">
        <v>22</v>
      </c>
      <c r="E145" s="6" t="n">
        <f aca="false">ROUND(4221*1.05,2)</f>
        <v>4432.05</v>
      </c>
      <c r="F145" s="6" t="s">
        <v>52</v>
      </c>
      <c r="G145" s="6" t="s">
        <v>24</v>
      </c>
      <c r="H145" s="6" t="n">
        <f aca="true">ROUND(RAND()*4+6,1)</f>
        <v>9.3</v>
      </c>
      <c r="I145" s="6" t="s">
        <v>25</v>
      </c>
      <c r="J145" s="6" t="str">
        <f aca="false">ROUND(64*1,0)&amp;"%"</f>
        <v>64%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4756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4757</v>
      </c>
      <c r="B150" s="5" t="s">
        <v>260</v>
      </c>
      <c r="C150" s="5" t="s">
        <v>133</v>
      </c>
      <c r="D150" s="5" t="s">
        <v>16</v>
      </c>
      <c r="E150" s="5" t="n">
        <f aca="false">ROUND(9674*1.05,2)</f>
        <v>10157.7</v>
      </c>
      <c r="F150" s="5" t="s">
        <v>17</v>
      </c>
      <c r="G150" s="5" t="s">
        <v>18</v>
      </c>
      <c r="H150" s="5" t="n">
        <f aca="true">ROUND(RAND()*4+6,1)</f>
        <v>6.3</v>
      </c>
      <c r="I150" s="5" t="s">
        <v>19</v>
      </c>
      <c r="J150" s="5" t="str">
        <f aca="false">ROUND(96*1,0)&amp;"%"</f>
        <v>96%</v>
      </c>
    </row>
    <row r="151" customFormat="false" ht="15" hidden="false" customHeight="false" outlineLevel="0" collapsed="false">
      <c r="A151" s="6" t="s">
        <v>4758</v>
      </c>
      <c r="B151" s="6" t="s">
        <v>262</v>
      </c>
      <c r="C151" s="6" t="s">
        <v>133</v>
      </c>
      <c r="D151" s="6" t="s">
        <v>22</v>
      </c>
      <c r="E151" s="6" t="n">
        <f aca="false">ROUND(8800*1.05,2)</f>
        <v>9240</v>
      </c>
      <c r="F151" s="6" t="s">
        <v>23</v>
      </c>
      <c r="G151" s="6" t="s">
        <v>24</v>
      </c>
      <c r="H151" s="6" t="n">
        <f aca="true">ROUND(RAND()*4+6,1)</f>
        <v>6.4</v>
      </c>
      <c r="I151" s="6" t="s">
        <v>25</v>
      </c>
      <c r="J151" s="6" t="str">
        <f aca="false">ROUND(63*1,0)&amp;"%"</f>
        <v>63%</v>
      </c>
    </row>
    <row r="152" customFormat="false" ht="15" hidden="false" customHeight="false" outlineLevel="0" collapsed="false">
      <c r="A152" s="5" t="s">
        <v>4759</v>
      </c>
      <c r="B152" s="5" t="s">
        <v>264</v>
      </c>
      <c r="C152" s="5" t="s">
        <v>133</v>
      </c>
      <c r="D152" s="5" t="s">
        <v>28</v>
      </c>
      <c r="E152" s="5" t="n">
        <f aca="false">ROUND(14541*1.05,2)</f>
        <v>15268.05</v>
      </c>
      <c r="F152" s="5" t="s">
        <v>29</v>
      </c>
      <c r="G152" s="5" t="s">
        <v>30</v>
      </c>
      <c r="H152" s="5" t="n">
        <f aca="true">ROUND(RAND()*4+6,1)</f>
        <v>7.6</v>
      </c>
      <c r="I152" s="5" t="s">
        <v>31</v>
      </c>
      <c r="J152" s="5" t="str">
        <f aca="false">ROUND(73*1,0)&amp;"%"</f>
        <v>73%</v>
      </c>
    </row>
    <row r="153" customFormat="false" ht="15" hidden="false" customHeight="false" outlineLevel="0" collapsed="false">
      <c r="A153" s="6" t="s">
        <v>4760</v>
      </c>
      <c r="B153" s="6" t="s">
        <v>266</v>
      </c>
      <c r="C153" s="6" t="s">
        <v>133</v>
      </c>
      <c r="D153" s="6" t="s">
        <v>34</v>
      </c>
      <c r="E153" s="6" t="n">
        <f aca="false">ROUND(15040*1.05,2)</f>
        <v>15792</v>
      </c>
      <c r="F153" s="6" t="s">
        <v>35</v>
      </c>
      <c r="G153" s="6" t="s">
        <v>18</v>
      </c>
      <c r="H153" s="6" t="n">
        <f aca="true">ROUND(RAND()*4+6,1)</f>
        <v>8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4761</v>
      </c>
      <c r="B154" s="5" t="s">
        <v>268</v>
      </c>
      <c r="C154" s="5" t="s">
        <v>133</v>
      </c>
      <c r="D154" s="5" t="s">
        <v>39</v>
      </c>
      <c r="E154" s="5" t="n">
        <f aca="false">ROUND(9612*1.05,2)</f>
        <v>10092.6</v>
      </c>
      <c r="F154" s="5" t="s">
        <v>40</v>
      </c>
      <c r="G154" s="5" t="s">
        <v>24</v>
      </c>
      <c r="H154" s="5" t="n">
        <f aca="true">ROUND(RAND()*4+6,1)</f>
        <v>7.3</v>
      </c>
      <c r="I154" s="5" t="s">
        <v>41</v>
      </c>
      <c r="J154" s="5" t="str">
        <f aca="false">ROUND(61*1,0)&amp;"%"</f>
        <v>61%</v>
      </c>
    </row>
    <row r="155" customFormat="false" ht="15" hidden="false" customHeight="false" outlineLevel="0" collapsed="false">
      <c r="A155" s="6" t="s">
        <v>4762</v>
      </c>
      <c r="B155" s="6" t="s">
        <v>270</v>
      </c>
      <c r="C155" s="6" t="s">
        <v>133</v>
      </c>
      <c r="D155" s="6" t="s">
        <v>44</v>
      </c>
      <c r="E155" s="6" t="n">
        <f aca="false">ROUND(5830*1.05,2)</f>
        <v>6121.5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ROUND(95*1,0)&amp;"%"</f>
        <v>95%</v>
      </c>
    </row>
    <row r="156" customFormat="false" ht="15" hidden="false" customHeight="false" outlineLevel="0" collapsed="false">
      <c r="A156" s="5" t="s">
        <v>4763</v>
      </c>
      <c r="B156" s="5" t="s">
        <v>272</v>
      </c>
      <c r="C156" s="5" t="s">
        <v>133</v>
      </c>
      <c r="D156" s="5" t="s">
        <v>16</v>
      </c>
      <c r="E156" s="5" t="n">
        <f aca="false">ROUND(5528*1.05,2)</f>
        <v>5804.4</v>
      </c>
      <c r="F156" s="5" t="s">
        <v>49</v>
      </c>
      <c r="G156" s="5" t="s">
        <v>18</v>
      </c>
      <c r="H156" s="5" t="n">
        <f aca="true">ROUND(RAND()*4+6,1)</f>
        <v>8.5</v>
      </c>
      <c r="I156" s="5" t="s">
        <v>19</v>
      </c>
      <c r="J156" s="5" t="str">
        <f aca="false">ROUND(63*1,0)&amp;"%"</f>
        <v>63%</v>
      </c>
    </row>
    <row r="157" customFormat="false" ht="15" hidden="false" customHeight="false" outlineLevel="0" collapsed="false">
      <c r="A157" s="6" t="s">
        <v>4764</v>
      </c>
      <c r="B157" s="6" t="s">
        <v>274</v>
      </c>
      <c r="C157" s="6" t="s">
        <v>133</v>
      </c>
      <c r="D157" s="6" t="s">
        <v>22</v>
      </c>
      <c r="E157" s="6" t="n">
        <f aca="false">ROUND(9208*1.05,2)</f>
        <v>9668.4</v>
      </c>
      <c r="F157" s="6" t="s">
        <v>52</v>
      </c>
      <c r="G157" s="6" t="s">
        <v>24</v>
      </c>
      <c r="H157" s="6" t="n">
        <f aca="true">ROUND(RAND()*4+6,1)</f>
        <v>7.6</v>
      </c>
      <c r="I157" s="6" t="s">
        <v>25</v>
      </c>
      <c r="J157" s="6" t="str">
        <f aca="false">ROUND(66*1,0)&amp;"%"</f>
        <v>66%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4765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4766</v>
      </c>
      <c r="B162" s="5" t="s">
        <v>278</v>
      </c>
      <c r="C162" s="5" t="s">
        <v>152</v>
      </c>
      <c r="D162" s="5" t="s">
        <v>16</v>
      </c>
      <c r="E162" s="5" t="n">
        <f aca="false">ROUND(15029*1.05,2)</f>
        <v>15780.45</v>
      </c>
      <c r="F162" s="5" t="s">
        <v>17</v>
      </c>
      <c r="G162" s="5" t="s">
        <v>18</v>
      </c>
      <c r="H162" s="5" t="n">
        <f aca="true">ROUND(RAND()*4+6,1)</f>
        <v>6.3</v>
      </c>
      <c r="I162" s="5" t="s">
        <v>19</v>
      </c>
      <c r="J162" s="5" t="str">
        <f aca="false">ROUND(75*1,0)&amp;"%"</f>
        <v>75%</v>
      </c>
    </row>
    <row r="163" customFormat="false" ht="15" hidden="false" customHeight="false" outlineLevel="0" collapsed="false">
      <c r="A163" s="6" t="s">
        <v>4767</v>
      </c>
      <c r="B163" s="6" t="s">
        <v>280</v>
      </c>
      <c r="C163" s="6" t="s">
        <v>152</v>
      </c>
      <c r="D163" s="6" t="s">
        <v>22</v>
      </c>
      <c r="E163" s="6" t="n">
        <f aca="false">ROUND(14426*1.05,2)</f>
        <v>15147.3</v>
      </c>
      <c r="F163" s="6" t="s">
        <v>23</v>
      </c>
      <c r="G163" s="6" t="s">
        <v>24</v>
      </c>
      <c r="H163" s="6" t="n">
        <f aca="true">ROUND(RAND()*4+6,1)</f>
        <v>7.6</v>
      </c>
      <c r="I163" s="6" t="s">
        <v>25</v>
      </c>
      <c r="J163" s="6" t="str">
        <f aca="false">ROUND(97*1,0)&amp;"%"</f>
        <v>97%</v>
      </c>
    </row>
    <row r="164" customFormat="false" ht="15" hidden="false" customHeight="false" outlineLevel="0" collapsed="false">
      <c r="A164" s="5" t="s">
        <v>4768</v>
      </c>
      <c r="B164" s="5" t="s">
        <v>282</v>
      </c>
      <c r="C164" s="5" t="s">
        <v>152</v>
      </c>
      <c r="D164" s="5" t="s">
        <v>28</v>
      </c>
      <c r="E164" s="5" t="n">
        <f aca="false">ROUND(17798*1.05,2)</f>
        <v>18687.9</v>
      </c>
      <c r="F164" s="5" t="s">
        <v>29</v>
      </c>
      <c r="G164" s="5" t="s">
        <v>30</v>
      </c>
      <c r="H164" s="5" t="n">
        <f aca="true">ROUND(RAND()*4+6,1)</f>
        <v>9.3</v>
      </c>
      <c r="I164" s="5" t="s">
        <v>31</v>
      </c>
      <c r="J164" s="5" t="str">
        <f aca="false">ROUND(79*1,0)&amp;"%"</f>
        <v>79%</v>
      </c>
    </row>
    <row r="165" customFormat="false" ht="15" hidden="false" customHeight="false" outlineLevel="0" collapsed="false">
      <c r="A165" s="6" t="s">
        <v>4769</v>
      </c>
      <c r="B165" s="6" t="s">
        <v>284</v>
      </c>
      <c r="C165" s="6" t="s">
        <v>152</v>
      </c>
      <c r="D165" s="6" t="s">
        <v>34</v>
      </c>
      <c r="E165" s="6" t="n">
        <f aca="false">ROUND(4041*1.05,2)</f>
        <v>4243.05</v>
      </c>
      <c r="F165" s="6" t="s">
        <v>35</v>
      </c>
      <c r="G165" s="6" t="s">
        <v>18</v>
      </c>
      <c r="H165" s="6" t="n">
        <f aca="true">ROUND(RAND()*4+6,1)</f>
        <v>8.6</v>
      </c>
      <c r="I165" s="6" t="s">
        <v>36</v>
      </c>
      <c r="J165" s="6" t="str">
        <f aca="false">ROUND(71*1,0)&amp;"%"</f>
        <v>71%</v>
      </c>
    </row>
    <row r="166" customFormat="false" ht="15" hidden="false" customHeight="false" outlineLevel="0" collapsed="false">
      <c r="A166" s="5" t="s">
        <v>4770</v>
      </c>
      <c r="B166" s="5" t="s">
        <v>286</v>
      </c>
      <c r="C166" s="5" t="s">
        <v>152</v>
      </c>
      <c r="D166" s="5" t="s">
        <v>39</v>
      </c>
      <c r="E166" s="5" t="n">
        <f aca="false">ROUND(17456*1.05,2)</f>
        <v>18328.8</v>
      </c>
      <c r="F166" s="5" t="s">
        <v>40</v>
      </c>
      <c r="G166" s="5" t="s">
        <v>24</v>
      </c>
      <c r="H166" s="5" t="n">
        <f aca="true">ROUND(RAND()*4+6,1)</f>
        <v>8.5</v>
      </c>
      <c r="I166" s="5" t="s">
        <v>41</v>
      </c>
      <c r="J166" s="5" t="str">
        <f aca="false">ROUND(64*1,0)&amp;"%"</f>
        <v>64%</v>
      </c>
    </row>
    <row r="167" customFormat="false" ht="15" hidden="false" customHeight="false" outlineLevel="0" collapsed="false">
      <c r="A167" s="6" t="s">
        <v>4771</v>
      </c>
      <c r="B167" s="6" t="s">
        <v>288</v>
      </c>
      <c r="C167" s="6" t="s">
        <v>152</v>
      </c>
      <c r="D167" s="6" t="s">
        <v>44</v>
      </c>
      <c r="E167" s="6" t="n">
        <f aca="false">ROUND(4595*1.05,2)</f>
        <v>4824.75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ROUND(99*1,0)&amp;"%"</f>
        <v>99%</v>
      </c>
    </row>
    <row r="168" customFormat="false" ht="15" hidden="false" customHeight="false" outlineLevel="0" collapsed="false">
      <c r="A168" s="5" t="s">
        <v>4772</v>
      </c>
      <c r="B168" s="5" t="s">
        <v>290</v>
      </c>
      <c r="C168" s="5" t="s">
        <v>152</v>
      </c>
      <c r="D168" s="5" t="s">
        <v>16</v>
      </c>
      <c r="E168" s="5" t="n">
        <f aca="false">ROUND(16606*1.05,2)</f>
        <v>17436.3</v>
      </c>
      <c r="F168" s="5" t="s">
        <v>49</v>
      </c>
      <c r="G168" s="5" t="s">
        <v>18</v>
      </c>
      <c r="H168" s="5" t="n">
        <f aca="true">ROUND(RAND()*4+6,1)</f>
        <v>8.7</v>
      </c>
      <c r="I168" s="5" t="s">
        <v>19</v>
      </c>
      <c r="J168" s="5" t="str">
        <f aca="false">ROUND(62*1,0)&amp;"%"</f>
        <v>62%</v>
      </c>
    </row>
    <row r="169" customFormat="false" ht="15" hidden="false" customHeight="false" outlineLevel="0" collapsed="false">
      <c r="A169" s="6" t="s">
        <v>4773</v>
      </c>
      <c r="B169" s="6" t="s">
        <v>292</v>
      </c>
      <c r="C169" s="6" t="s">
        <v>152</v>
      </c>
      <c r="D169" s="6" t="s">
        <v>22</v>
      </c>
      <c r="E169" s="6" t="n">
        <f aca="false">ROUND(13420*1.05,2)</f>
        <v>14091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ROUND(61*1,0)&amp;"%"</f>
        <v>61%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4774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4775</v>
      </c>
      <c r="B174" s="5" t="s">
        <v>296</v>
      </c>
      <c r="C174" s="5" t="s">
        <v>15</v>
      </c>
      <c r="D174" s="5" t="s">
        <v>16</v>
      </c>
      <c r="E174" s="5" t="n">
        <f aca="false">ROUND(16975*1.05,2)</f>
        <v>17823.75</v>
      </c>
      <c r="F174" s="5" t="s">
        <v>17</v>
      </c>
      <c r="G174" s="5" t="s">
        <v>18</v>
      </c>
      <c r="H174" s="5" t="n">
        <f aca="true">ROUND(RAND()*4+6,1)</f>
        <v>9.2</v>
      </c>
      <c r="I174" s="5" t="s">
        <v>19</v>
      </c>
      <c r="J174" s="5" t="str">
        <f aca="false">ROUND(90*1,0)&amp;"%"</f>
        <v>90%</v>
      </c>
    </row>
    <row r="175" customFormat="false" ht="15" hidden="false" customHeight="false" outlineLevel="0" collapsed="false">
      <c r="A175" s="6" t="s">
        <v>4776</v>
      </c>
      <c r="B175" s="6" t="s">
        <v>298</v>
      </c>
      <c r="C175" s="6" t="s">
        <v>15</v>
      </c>
      <c r="D175" s="6" t="s">
        <v>22</v>
      </c>
      <c r="E175" s="6" t="n">
        <f aca="false">ROUND(12953*1.05,2)</f>
        <v>13600.65</v>
      </c>
      <c r="F175" s="6" t="s">
        <v>23</v>
      </c>
      <c r="G175" s="6" t="s">
        <v>24</v>
      </c>
      <c r="H175" s="6" t="n">
        <f aca="true">ROUND(RAND()*4+6,1)</f>
        <v>9.3</v>
      </c>
      <c r="I175" s="6" t="s">
        <v>25</v>
      </c>
      <c r="J175" s="6" t="str">
        <f aca="false">ROUND(60*1,0)&amp;"%"</f>
        <v>60%</v>
      </c>
    </row>
    <row r="176" customFormat="false" ht="15" hidden="false" customHeight="false" outlineLevel="0" collapsed="false">
      <c r="A176" s="5" t="s">
        <v>4777</v>
      </c>
      <c r="B176" s="5" t="s">
        <v>300</v>
      </c>
      <c r="C176" s="5" t="s">
        <v>15</v>
      </c>
      <c r="D176" s="5" t="s">
        <v>28</v>
      </c>
      <c r="E176" s="5" t="n">
        <f aca="false">ROUND(15177*1.05,2)</f>
        <v>15935.85</v>
      </c>
      <c r="F176" s="5" t="s">
        <v>29</v>
      </c>
      <c r="G176" s="5" t="s">
        <v>30</v>
      </c>
      <c r="H176" s="5" t="n">
        <f aca="true">ROUND(RAND()*4+6,1)</f>
        <v>9.2</v>
      </c>
      <c r="I176" s="5" t="s">
        <v>31</v>
      </c>
      <c r="J176" s="5" t="str">
        <f aca="false">ROUND(89*1,0)&amp;"%"</f>
        <v>89%</v>
      </c>
    </row>
    <row r="177" customFormat="false" ht="15" hidden="false" customHeight="false" outlineLevel="0" collapsed="false">
      <c r="A177" s="6" t="s">
        <v>4778</v>
      </c>
      <c r="B177" s="6" t="s">
        <v>302</v>
      </c>
      <c r="C177" s="6" t="s">
        <v>15</v>
      </c>
      <c r="D177" s="6" t="s">
        <v>34</v>
      </c>
      <c r="E177" s="6" t="n">
        <f aca="false">ROUND(11946*1.05,2)</f>
        <v>12543.3</v>
      </c>
      <c r="F177" s="6" t="s">
        <v>35</v>
      </c>
      <c r="G177" s="6" t="s">
        <v>18</v>
      </c>
      <c r="H177" s="6" t="n">
        <f aca="true">ROUND(RAND()*4+6,1)</f>
        <v>6.9</v>
      </c>
      <c r="I177" s="6" t="s">
        <v>36</v>
      </c>
      <c r="J177" s="6" t="str">
        <f aca="false">ROUND(91*1,0)&amp;"%"</f>
        <v>91%</v>
      </c>
    </row>
    <row r="178" customFormat="false" ht="15" hidden="false" customHeight="false" outlineLevel="0" collapsed="false">
      <c r="A178" s="5" t="s">
        <v>4779</v>
      </c>
      <c r="B178" s="5" t="s">
        <v>304</v>
      </c>
      <c r="C178" s="5" t="s">
        <v>15</v>
      </c>
      <c r="D178" s="5" t="s">
        <v>39</v>
      </c>
      <c r="E178" s="5" t="n">
        <f aca="false">ROUND(6060*1.05,2)</f>
        <v>6363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ROUND(83*1,0)&amp;"%"</f>
        <v>83%</v>
      </c>
    </row>
    <row r="179" customFormat="false" ht="15" hidden="false" customHeight="false" outlineLevel="0" collapsed="false">
      <c r="A179" s="6" t="s">
        <v>4780</v>
      </c>
      <c r="B179" s="6" t="s">
        <v>306</v>
      </c>
      <c r="C179" s="6" t="s">
        <v>15</v>
      </c>
      <c r="D179" s="6" t="s">
        <v>44</v>
      </c>
      <c r="E179" s="6" t="n">
        <f aca="false">ROUND(7017*1.05,2)</f>
        <v>7367.85</v>
      </c>
      <c r="F179" s="6" t="s">
        <v>45</v>
      </c>
      <c r="G179" s="6" t="s">
        <v>30</v>
      </c>
      <c r="H179" s="6" t="n">
        <f aca="true">ROUND(RAND()*4+6,1)</f>
        <v>7.6</v>
      </c>
      <c r="I179" s="6" t="s">
        <v>46</v>
      </c>
      <c r="J179" s="6" t="str">
        <f aca="false">ROUND(73*1,0)&amp;"%"</f>
        <v>73%</v>
      </c>
    </row>
    <row r="180" customFormat="false" ht="15" hidden="false" customHeight="false" outlineLevel="0" collapsed="false">
      <c r="A180" s="5" t="s">
        <v>4781</v>
      </c>
      <c r="B180" s="5" t="s">
        <v>308</v>
      </c>
      <c r="C180" s="5" t="s">
        <v>15</v>
      </c>
      <c r="D180" s="5" t="s">
        <v>16</v>
      </c>
      <c r="E180" s="5" t="n">
        <f aca="false">ROUND(4950*1.05,2)</f>
        <v>5197.5</v>
      </c>
      <c r="F180" s="5" t="s">
        <v>49</v>
      </c>
      <c r="G180" s="5" t="s">
        <v>18</v>
      </c>
      <c r="H180" s="5" t="n">
        <f aca="true">ROUND(RAND()*4+6,1)</f>
        <v>7.3</v>
      </c>
      <c r="I180" s="5" t="s">
        <v>19</v>
      </c>
      <c r="J180" s="5" t="str">
        <f aca="false">ROUND(93*1,0)&amp;"%"</f>
        <v>93%</v>
      </c>
    </row>
    <row r="181" customFormat="false" ht="15" hidden="false" customHeight="false" outlineLevel="0" collapsed="false">
      <c r="A181" s="6" t="s">
        <v>4782</v>
      </c>
      <c r="B181" s="6" t="s">
        <v>310</v>
      </c>
      <c r="C181" s="6" t="s">
        <v>15</v>
      </c>
      <c r="D181" s="6" t="s">
        <v>22</v>
      </c>
      <c r="E181" s="6" t="n">
        <f aca="false">ROUND(4543*1.05,2)</f>
        <v>4770.15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ROUND(66*1,0)&amp;"%"</f>
        <v>66%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4783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4784</v>
      </c>
      <c r="B186" s="5" t="s">
        <v>314</v>
      </c>
      <c r="C186" s="5" t="s">
        <v>57</v>
      </c>
      <c r="D186" s="5" t="s">
        <v>16</v>
      </c>
      <c r="E186" s="5" t="n">
        <f aca="false">ROUND(8764*1.05,2)</f>
        <v>9202.2</v>
      </c>
      <c r="F186" s="5" t="s">
        <v>17</v>
      </c>
      <c r="G186" s="5" t="s">
        <v>18</v>
      </c>
      <c r="H186" s="5" t="n">
        <f aca="true">ROUND(RAND()*4+6,1)</f>
        <v>7.9</v>
      </c>
      <c r="I186" s="5" t="s">
        <v>19</v>
      </c>
      <c r="J186" s="5" t="str">
        <f aca="false">ROUND(66*1,0)&amp;"%"</f>
        <v>66%</v>
      </c>
    </row>
    <row r="187" customFormat="false" ht="15" hidden="false" customHeight="false" outlineLevel="0" collapsed="false">
      <c r="A187" s="6" t="s">
        <v>4785</v>
      </c>
      <c r="B187" s="6" t="s">
        <v>316</v>
      </c>
      <c r="C187" s="6" t="s">
        <v>57</v>
      </c>
      <c r="D187" s="6" t="s">
        <v>22</v>
      </c>
      <c r="E187" s="6" t="n">
        <f aca="false">ROUND(6245*1.05,2)</f>
        <v>6557.25</v>
      </c>
      <c r="F187" s="6" t="s">
        <v>23</v>
      </c>
      <c r="G187" s="6" t="s">
        <v>24</v>
      </c>
      <c r="H187" s="6" t="n">
        <f aca="true">ROUND(RAND()*4+6,1)</f>
        <v>6.3</v>
      </c>
      <c r="I187" s="6" t="s">
        <v>25</v>
      </c>
      <c r="J187" s="6" t="str">
        <f aca="false">ROUND(78*1,0)&amp;"%"</f>
        <v>78%</v>
      </c>
    </row>
    <row r="188" customFormat="false" ht="15" hidden="false" customHeight="false" outlineLevel="0" collapsed="false">
      <c r="A188" s="5" t="s">
        <v>4786</v>
      </c>
      <c r="B188" s="5" t="s">
        <v>318</v>
      </c>
      <c r="C188" s="5" t="s">
        <v>57</v>
      </c>
      <c r="D188" s="5" t="s">
        <v>28</v>
      </c>
      <c r="E188" s="5" t="n">
        <f aca="false">ROUND(14569*1.05,2)</f>
        <v>15297.45</v>
      </c>
      <c r="F188" s="5" t="s">
        <v>29</v>
      </c>
      <c r="G188" s="5" t="s">
        <v>30</v>
      </c>
      <c r="H188" s="5" t="n">
        <f aca="true">ROUND(RAND()*4+6,1)</f>
        <v>7.7</v>
      </c>
      <c r="I188" s="5" t="s">
        <v>31</v>
      </c>
      <c r="J188" s="5" t="str">
        <f aca="false">ROUND(81*1,0)&amp;"%"</f>
        <v>81%</v>
      </c>
    </row>
    <row r="189" customFormat="false" ht="15" hidden="false" customHeight="false" outlineLevel="0" collapsed="false">
      <c r="A189" s="6" t="s">
        <v>4787</v>
      </c>
      <c r="B189" s="6" t="s">
        <v>320</v>
      </c>
      <c r="C189" s="6" t="s">
        <v>57</v>
      </c>
      <c r="D189" s="6" t="s">
        <v>34</v>
      </c>
      <c r="E189" s="6" t="n">
        <f aca="false">ROUND(11636*1.05,2)</f>
        <v>12217.8</v>
      </c>
      <c r="F189" s="6" t="s">
        <v>35</v>
      </c>
      <c r="G189" s="6" t="s">
        <v>18</v>
      </c>
      <c r="H189" s="6" t="n">
        <f aca="true">ROUND(RAND()*4+6,1)</f>
        <v>9</v>
      </c>
      <c r="I189" s="6" t="s">
        <v>36</v>
      </c>
      <c r="J189" s="6" t="str">
        <f aca="false">ROUND(60*1,0)&amp;"%"</f>
        <v>60%</v>
      </c>
    </row>
    <row r="190" customFormat="false" ht="15" hidden="false" customHeight="false" outlineLevel="0" collapsed="false">
      <c r="A190" s="5" t="s">
        <v>4788</v>
      </c>
      <c r="B190" s="5" t="s">
        <v>322</v>
      </c>
      <c r="C190" s="5" t="s">
        <v>57</v>
      </c>
      <c r="D190" s="5" t="s">
        <v>39</v>
      </c>
      <c r="E190" s="5" t="n">
        <f aca="false">ROUND(14160*1.05,2)</f>
        <v>14868</v>
      </c>
      <c r="F190" s="5" t="s">
        <v>40</v>
      </c>
      <c r="G190" s="5" t="s">
        <v>24</v>
      </c>
      <c r="H190" s="5" t="n">
        <f aca="true">ROUND(RAND()*4+6,1)</f>
        <v>6.2</v>
      </c>
      <c r="I190" s="5" t="s">
        <v>41</v>
      </c>
      <c r="J190" s="5" t="str">
        <f aca="false">ROUND(91*1,0)&amp;"%"</f>
        <v>91%</v>
      </c>
    </row>
    <row r="191" customFormat="false" ht="15" hidden="false" customHeight="false" outlineLevel="0" collapsed="false">
      <c r="A191" s="6" t="s">
        <v>4789</v>
      </c>
      <c r="B191" s="6" t="s">
        <v>324</v>
      </c>
      <c r="C191" s="6" t="s">
        <v>57</v>
      </c>
      <c r="D191" s="6" t="s">
        <v>44</v>
      </c>
      <c r="E191" s="6" t="n">
        <f aca="false">ROUND(17803*1.05,2)</f>
        <v>18693.15</v>
      </c>
      <c r="F191" s="6" t="s">
        <v>45</v>
      </c>
      <c r="G191" s="6" t="s">
        <v>30</v>
      </c>
      <c r="H191" s="6" t="n">
        <f aca="true">ROUND(RAND()*4+6,1)</f>
        <v>10</v>
      </c>
      <c r="I191" s="6" t="s">
        <v>46</v>
      </c>
      <c r="J191" s="6" t="str">
        <f aca="false">ROUND(70*1,0)&amp;"%"</f>
        <v>70%</v>
      </c>
    </row>
    <row r="192" customFormat="false" ht="15" hidden="false" customHeight="false" outlineLevel="0" collapsed="false">
      <c r="A192" s="5" t="s">
        <v>4790</v>
      </c>
      <c r="B192" s="5" t="s">
        <v>326</v>
      </c>
      <c r="C192" s="5" t="s">
        <v>57</v>
      </c>
      <c r="D192" s="5" t="s">
        <v>16</v>
      </c>
      <c r="E192" s="5" t="n">
        <f aca="false">ROUND(15582*1.05,2)</f>
        <v>16361.1</v>
      </c>
      <c r="F192" s="5" t="s">
        <v>49</v>
      </c>
      <c r="G192" s="5" t="s">
        <v>18</v>
      </c>
      <c r="H192" s="5" t="n">
        <f aca="true">ROUND(RAND()*4+6,1)</f>
        <v>9</v>
      </c>
      <c r="I192" s="5" t="s">
        <v>19</v>
      </c>
      <c r="J192" s="5" t="str">
        <f aca="false">ROUND(77*1,0)&amp;"%"</f>
        <v>77%</v>
      </c>
    </row>
    <row r="193" customFormat="false" ht="15" hidden="false" customHeight="false" outlineLevel="0" collapsed="false">
      <c r="A193" s="6" t="s">
        <v>4791</v>
      </c>
      <c r="B193" s="6" t="s">
        <v>328</v>
      </c>
      <c r="C193" s="6" t="s">
        <v>57</v>
      </c>
      <c r="D193" s="6" t="s">
        <v>22</v>
      </c>
      <c r="E193" s="6" t="n">
        <f aca="false">ROUND(5933*1.05,2)</f>
        <v>6229.65</v>
      </c>
      <c r="F193" s="6" t="s">
        <v>52</v>
      </c>
      <c r="G193" s="6" t="s">
        <v>24</v>
      </c>
      <c r="H193" s="6" t="n">
        <f aca="true">ROUND(RAND()*4+6,1)</f>
        <v>7.4</v>
      </c>
      <c r="I193" s="6" t="s">
        <v>25</v>
      </c>
      <c r="J193" s="6" t="str">
        <f aca="false">ROUND(67*1,0)&amp;"%"</f>
        <v>67%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4792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4793</v>
      </c>
      <c r="B198" s="5" t="s">
        <v>332</v>
      </c>
      <c r="C198" s="5" t="s">
        <v>76</v>
      </c>
      <c r="D198" s="5" t="s">
        <v>16</v>
      </c>
      <c r="E198" s="5" t="n">
        <f aca="false">ROUND(11665*1.05,2)</f>
        <v>12248.25</v>
      </c>
      <c r="F198" s="5" t="s">
        <v>17</v>
      </c>
      <c r="G198" s="5" t="s">
        <v>18</v>
      </c>
      <c r="H198" s="5" t="n">
        <f aca="true">ROUND(RAND()*4+6,1)</f>
        <v>8.9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4794</v>
      </c>
      <c r="B199" s="6" t="s">
        <v>334</v>
      </c>
      <c r="C199" s="6" t="s">
        <v>76</v>
      </c>
      <c r="D199" s="6" t="s">
        <v>22</v>
      </c>
      <c r="E199" s="6" t="n">
        <f aca="false">ROUND(14214*1.05,2)</f>
        <v>14924.7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ROUND(87*1,0)&amp;"%"</f>
        <v>87%</v>
      </c>
    </row>
    <row r="200" customFormat="false" ht="15" hidden="false" customHeight="false" outlineLevel="0" collapsed="false">
      <c r="A200" s="5" t="s">
        <v>4795</v>
      </c>
      <c r="B200" s="5" t="s">
        <v>336</v>
      </c>
      <c r="C200" s="5" t="s">
        <v>76</v>
      </c>
      <c r="D200" s="5" t="s">
        <v>28</v>
      </c>
      <c r="E200" s="5" t="n">
        <f aca="false">ROUND(15364*1.05,2)</f>
        <v>16132.2</v>
      </c>
      <c r="F200" s="5" t="s">
        <v>29</v>
      </c>
      <c r="G200" s="5" t="s">
        <v>30</v>
      </c>
      <c r="H200" s="5" t="n">
        <f aca="true">ROUND(RAND()*4+6,1)</f>
        <v>8.1</v>
      </c>
      <c r="I200" s="5" t="s">
        <v>31</v>
      </c>
      <c r="J200" s="5" t="str">
        <f aca="false">ROUND(74*1,0)&amp;"%"</f>
        <v>74%</v>
      </c>
    </row>
    <row r="201" customFormat="false" ht="15" hidden="false" customHeight="false" outlineLevel="0" collapsed="false">
      <c r="A201" s="6" t="s">
        <v>4796</v>
      </c>
      <c r="B201" s="6" t="s">
        <v>338</v>
      </c>
      <c r="C201" s="6" t="s">
        <v>76</v>
      </c>
      <c r="D201" s="6" t="s">
        <v>34</v>
      </c>
      <c r="E201" s="6" t="n">
        <f aca="false">ROUND(14245*1.05,2)</f>
        <v>14957.25</v>
      </c>
      <c r="F201" s="6" t="s">
        <v>35</v>
      </c>
      <c r="G201" s="6" t="s">
        <v>18</v>
      </c>
      <c r="H201" s="6" t="n">
        <f aca="true">ROUND(RAND()*4+6,1)</f>
        <v>8.4</v>
      </c>
      <c r="I201" s="6" t="s">
        <v>36</v>
      </c>
      <c r="J201" s="6" t="str">
        <f aca="false">ROUND(68*1,0)&amp;"%"</f>
        <v>68%</v>
      </c>
    </row>
    <row r="202" customFormat="false" ht="15" hidden="false" customHeight="false" outlineLevel="0" collapsed="false">
      <c r="A202" s="5" t="s">
        <v>4797</v>
      </c>
      <c r="B202" s="5" t="s">
        <v>340</v>
      </c>
      <c r="C202" s="5" t="s">
        <v>76</v>
      </c>
      <c r="D202" s="5" t="s">
        <v>39</v>
      </c>
      <c r="E202" s="5" t="n">
        <f aca="false">ROUND(5717*1.05,2)</f>
        <v>6002.85</v>
      </c>
      <c r="F202" s="5" t="s">
        <v>40</v>
      </c>
      <c r="G202" s="5" t="s">
        <v>24</v>
      </c>
      <c r="H202" s="5" t="n">
        <f aca="true">ROUND(RAND()*4+6,1)</f>
        <v>9.8</v>
      </c>
      <c r="I202" s="5" t="s">
        <v>41</v>
      </c>
      <c r="J202" s="5" t="str">
        <f aca="false">ROUND(73*1,0)&amp;"%"</f>
        <v>73%</v>
      </c>
    </row>
    <row r="203" customFormat="false" ht="15" hidden="false" customHeight="false" outlineLevel="0" collapsed="false">
      <c r="A203" s="6" t="s">
        <v>4798</v>
      </c>
      <c r="B203" s="6" t="s">
        <v>342</v>
      </c>
      <c r="C203" s="6" t="s">
        <v>76</v>
      </c>
      <c r="D203" s="6" t="s">
        <v>44</v>
      </c>
      <c r="E203" s="6" t="n">
        <f aca="false">ROUND(4936*1.05,2)</f>
        <v>5182.8</v>
      </c>
      <c r="F203" s="6" t="s">
        <v>45</v>
      </c>
      <c r="G203" s="6" t="s">
        <v>30</v>
      </c>
      <c r="H203" s="6" t="n">
        <f aca="true">ROUND(RAND()*4+6,1)</f>
        <v>8.5</v>
      </c>
      <c r="I203" s="6" t="s">
        <v>46</v>
      </c>
      <c r="J203" s="6" t="str">
        <f aca="false">ROUND(73*1,0)&amp;"%"</f>
        <v>73%</v>
      </c>
    </row>
    <row r="204" customFormat="false" ht="15" hidden="false" customHeight="false" outlineLevel="0" collapsed="false">
      <c r="A204" s="5" t="s">
        <v>4799</v>
      </c>
      <c r="B204" s="5" t="s">
        <v>344</v>
      </c>
      <c r="C204" s="5" t="s">
        <v>76</v>
      </c>
      <c r="D204" s="5" t="s">
        <v>16</v>
      </c>
      <c r="E204" s="5" t="n">
        <f aca="false">ROUND(8304*1.05,2)</f>
        <v>8719.2</v>
      </c>
      <c r="F204" s="5" t="s">
        <v>49</v>
      </c>
      <c r="G204" s="5" t="s">
        <v>18</v>
      </c>
      <c r="H204" s="5" t="n">
        <f aca="true">ROUND(RAND()*4+6,1)</f>
        <v>8.4</v>
      </c>
      <c r="I204" s="5" t="s">
        <v>19</v>
      </c>
      <c r="J204" s="5" t="str">
        <f aca="false">ROUND(93*1,0)&amp;"%"</f>
        <v>93%</v>
      </c>
    </row>
    <row r="205" customFormat="false" ht="15" hidden="false" customHeight="false" outlineLevel="0" collapsed="false">
      <c r="A205" s="6" t="s">
        <v>4800</v>
      </c>
      <c r="B205" s="6" t="s">
        <v>346</v>
      </c>
      <c r="C205" s="6" t="s">
        <v>76</v>
      </c>
      <c r="D205" s="6" t="s">
        <v>22</v>
      </c>
      <c r="E205" s="6" t="n">
        <f aca="false">ROUND(7330*1.05,2)</f>
        <v>7696.5</v>
      </c>
      <c r="F205" s="6" t="s">
        <v>52</v>
      </c>
      <c r="G205" s="6" t="s">
        <v>24</v>
      </c>
      <c r="H205" s="6" t="n">
        <f aca="true">ROUND(RAND()*4+6,1)</f>
        <v>9.6</v>
      </c>
      <c r="I205" s="6" t="s">
        <v>25</v>
      </c>
      <c r="J205" s="6" t="str">
        <f aca="false">ROUND(61*1,0)&amp;"%"</f>
        <v>61%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4801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4802</v>
      </c>
      <c r="B210" s="5" t="s">
        <v>350</v>
      </c>
      <c r="C210" s="5" t="s">
        <v>95</v>
      </c>
      <c r="D210" s="5" t="s">
        <v>16</v>
      </c>
      <c r="E210" s="5" t="n">
        <f aca="false">ROUND(7888*1.05,2)</f>
        <v>8282.4</v>
      </c>
      <c r="F210" s="5" t="s">
        <v>17</v>
      </c>
      <c r="G210" s="5" t="s">
        <v>18</v>
      </c>
      <c r="H210" s="5" t="n">
        <f aca="true">ROUND(RAND()*4+6,1)</f>
        <v>6.8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4803</v>
      </c>
      <c r="B211" s="6" t="s">
        <v>352</v>
      </c>
      <c r="C211" s="6" t="s">
        <v>95</v>
      </c>
      <c r="D211" s="6" t="s">
        <v>22</v>
      </c>
      <c r="E211" s="6" t="n">
        <f aca="false">ROUND(15653*1.05,2)</f>
        <v>16435.65</v>
      </c>
      <c r="F211" s="6" t="s">
        <v>23</v>
      </c>
      <c r="G211" s="6" t="s">
        <v>24</v>
      </c>
      <c r="H211" s="6" t="n">
        <f aca="true">ROUND(RAND()*4+6,1)</f>
        <v>8.5</v>
      </c>
      <c r="I211" s="6" t="s">
        <v>25</v>
      </c>
      <c r="J211" s="6" t="str">
        <f aca="false">ROUND(77*1,0)&amp;"%"</f>
        <v>77%</v>
      </c>
    </row>
    <row r="212" customFormat="false" ht="15" hidden="false" customHeight="false" outlineLevel="0" collapsed="false">
      <c r="A212" s="5" t="s">
        <v>4804</v>
      </c>
      <c r="B212" s="5" t="s">
        <v>354</v>
      </c>
      <c r="C212" s="5" t="s">
        <v>95</v>
      </c>
      <c r="D212" s="5" t="s">
        <v>28</v>
      </c>
      <c r="E212" s="5" t="n">
        <f aca="false">ROUND(5348*1.05,2)</f>
        <v>5615.4</v>
      </c>
      <c r="F212" s="5" t="s">
        <v>29</v>
      </c>
      <c r="G212" s="5" t="s">
        <v>30</v>
      </c>
      <c r="H212" s="5" t="n">
        <f aca="true">ROUND(RAND()*4+6,1)</f>
        <v>9.4</v>
      </c>
      <c r="I212" s="5" t="s">
        <v>31</v>
      </c>
      <c r="J212" s="5" t="str">
        <f aca="false">ROUND(65*1,0)&amp;"%"</f>
        <v>65%</v>
      </c>
    </row>
    <row r="213" customFormat="false" ht="15" hidden="false" customHeight="false" outlineLevel="0" collapsed="false">
      <c r="A213" s="6" t="s">
        <v>4805</v>
      </c>
      <c r="B213" s="6" t="s">
        <v>356</v>
      </c>
      <c r="C213" s="6" t="s">
        <v>95</v>
      </c>
      <c r="D213" s="6" t="s">
        <v>34</v>
      </c>
      <c r="E213" s="6" t="n">
        <f aca="false">ROUND(5840*1.05,2)</f>
        <v>6132</v>
      </c>
      <c r="F213" s="6" t="s">
        <v>35</v>
      </c>
      <c r="G213" s="6" t="s">
        <v>18</v>
      </c>
      <c r="H213" s="6" t="n">
        <f aca="true">ROUND(RAND()*4+6,1)</f>
        <v>9.4</v>
      </c>
      <c r="I213" s="6" t="s">
        <v>36</v>
      </c>
      <c r="J213" s="6" t="str">
        <f aca="false">ROUND(99*1,0)&amp;"%"</f>
        <v>99%</v>
      </c>
    </row>
    <row r="214" customFormat="false" ht="15" hidden="false" customHeight="false" outlineLevel="0" collapsed="false">
      <c r="A214" s="5" t="s">
        <v>4806</v>
      </c>
      <c r="B214" s="5" t="s">
        <v>358</v>
      </c>
      <c r="C214" s="5" t="s">
        <v>95</v>
      </c>
      <c r="D214" s="5" t="s">
        <v>39</v>
      </c>
      <c r="E214" s="5" t="n">
        <f aca="false">ROUND(13066*1.05,2)</f>
        <v>13719.3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ROUND(97*1,0)&amp;"%"</f>
        <v>97%</v>
      </c>
    </row>
    <row r="215" customFormat="false" ht="15" hidden="false" customHeight="false" outlineLevel="0" collapsed="false">
      <c r="A215" s="6" t="s">
        <v>4807</v>
      </c>
      <c r="B215" s="6" t="s">
        <v>360</v>
      </c>
      <c r="C215" s="6" t="s">
        <v>95</v>
      </c>
      <c r="D215" s="6" t="s">
        <v>44</v>
      </c>
      <c r="E215" s="6" t="n">
        <f aca="false">ROUND(14134*1.05,2)</f>
        <v>14840.7</v>
      </c>
      <c r="F215" s="6" t="s">
        <v>45</v>
      </c>
      <c r="G215" s="6" t="s">
        <v>30</v>
      </c>
      <c r="H215" s="6" t="n">
        <f aca="true">ROUND(RAND()*4+6,1)</f>
        <v>9.8</v>
      </c>
      <c r="I215" s="6" t="s">
        <v>46</v>
      </c>
      <c r="J215" s="6" t="str">
        <f aca="false">ROUND(70*1,0)&amp;"%"</f>
        <v>70%</v>
      </c>
    </row>
    <row r="216" customFormat="false" ht="15" hidden="false" customHeight="false" outlineLevel="0" collapsed="false">
      <c r="A216" s="5" t="s">
        <v>4808</v>
      </c>
      <c r="B216" s="5" t="s">
        <v>362</v>
      </c>
      <c r="C216" s="5" t="s">
        <v>95</v>
      </c>
      <c r="D216" s="5" t="s">
        <v>16</v>
      </c>
      <c r="E216" s="5" t="n">
        <f aca="false">ROUND(10199*1.05,2)</f>
        <v>10708.95</v>
      </c>
      <c r="F216" s="5" t="s">
        <v>49</v>
      </c>
      <c r="G216" s="5" t="s">
        <v>18</v>
      </c>
      <c r="H216" s="5" t="n">
        <f aca="true">ROUND(RAND()*4+6,1)</f>
        <v>7.3</v>
      </c>
      <c r="I216" s="5" t="s">
        <v>19</v>
      </c>
      <c r="J216" s="5" t="str">
        <f aca="false">ROUND(85*1,0)&amp;"%"</f>
        <v>85%</v>
      </c>
    </row>
    <row r="217" customFormat="false" ht="15" hidden="false" customHeight="false" outlineLevel="0" collapsed="false">
      <c r="A217" s="6" t="s">
        <v>4809</v>
      </c>
      <c r="B217" s="6" t="s">
        <v>364</v>
      </c>
      <c r="C217" s="6" t="s">
        <v>95</v>
      </c>
      <c r="D217" s="6" t="s">
        <v>22</v>
      </c>
      <c r="E217" s="6" t="n">
        <f aca="false">ROUND(8077*1.05,2)</f>
        <v>8480.85</v>
      </c>
      <c r="F217" s="6" t="s">
        <v>52</v>
      </c>
      <c r="G217" s="6" t="s">
        <v>24</v>
      </c>
      <c r="H217" s="6" t="n">
        <f aca="true">ROUND(RAND()*4+6,1)</f>
        <v>8.8</v>
      </c>
      <c r="I217" s="6" t="s">
        <v>25</v>
      </c>
      <c r="J217" s="6" t="str">
        <f aca="false">ROUND(91*1,0)&amp;"%"</f>
        <v>91%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4810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4811</v>
      </c>
      <c r="B222" s="5" t="s">
        <v>368</v>
      </c>
      <c r="C222" s="5" t="s">
        <v>114</v>
      </c>
      <c r="D222" s="5" t="s">
        <v>16</v>
      </c>
      <c r="E222" s="5" t="n">
        <f aca="false">ROUND(14215*1.05,2)</f>
        <v>14925.75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ROUND(87*1,0)&amp;"%"</f>
        <v>87%</v>
      </c>
    </row>
    <row r="223" customFormat="false" ht="15" hidden="false" customHeight="false" outlineLevel="0" collapsed="false">
      <c r="A223" s="6" t="s">
        <v>4812</v>
      </c>
      <c r="B223" s="6" t="s">
        <v>370</v>
      </c>
      <c r="C223" s="6" t="s">
        <v>114</v>
      </c>
      <c r="D223" s="6" t="s">
        <v>22</v>
      </c>
      <c r="E223" s="6" t="n">
        <f aca="false">ROUND(10202*1.05,2)</f>
        <v>10712.1</v>
      </c>
      <c r="F223" s="6" t="s">
        <v>23</v>
      </c>
      <c r="G223" s="6" t="s">
        <v>24</v>
      </c>
      <c r="H223" s="6" t="n">
        <f aca="true">ROUND(RAND()*4+6,1)</f>
        <v>9.3</v>
      </c>
      <c r="I223" s="6" t="s">
        <v>25</v>
      </c>
      <c r="J223" s="6" t="str">
        <f aca="false">ROUND(97*1,0)&amp;"%"</f>
        <v>97%</v>
      </c>
    </row>
    <row r="224" customFormat="false" ht="15" hidden="false" customHeight="false" outlineLevel="0" collapsed="false">
      <c r="A224" s="5" t="s">
        <v>4813</v>
      </c>
      <c r="B224" s="5" t="s">
        <v>372</v>
      </c>
      <c r="C224" s="5" t="s">
        <v>114</v>
      </c>
      <c r="D224" s="5" t="s">
        <v>28</v>
      </c>
      <c r="E224" s="5" t="n">
        <f aca="false">ROUND(17268*1.05,2)</f>
        <v>18131.4</v>
      </c>
      <c r="F224" s="5" t="s">
        <v>29</v>
      </c>
      <c r="G224" s="5" t="s">
        <v>30</v>
      </c>
      <c r="H224" s="5" t="n">
        <f aca="true">ROUND(RAND()*4+6,1)</f>
        <v>9.7</v>
      </c>
      <c r="I224" s="5" t="s">
        <v>31</v>
      </c>
      <c r="J224" s="5" t="str">
        <f aca="false">ROUND(79*1,0)&amp;"%"</f>
        <v>79%</v>
      </c>
    </row>
    <row r="225" customFormat="false" ht="15" hidden="false" customHeight="false" outlineLevel="0" collapsed="false">
      <c r="A225" s="6" t="s">
        <v>4814</v>
      </c>
      <c r="B225" s="6" t="s">
        <v>374</v>
      </c>
      <c r="C225" s="6" t="s">
        <v>114</v>
      </c>
      <c r="D225" s="6" t="s">
        <v>34</v>
      </c>
      <c r="E225" s="6" t="n">
        <f aca="false">ROUND(5789*1.05,2)</f>
        <v>6078.45</v>
      </c>
      <c r="F225" s="6" t="s">
        <v>35</v>
      </c>
      <c r="G225" s="6" t="s">
        <v>18</v>
      </c>
      <c r="H225" s="6" t="n">
        <f aca="true">ROUND(RAND()*4+6,1)</f>
        <v>9</v>
      </c>
      <c r="I225" s="6" t="s">
        <v>36</v>
      </c>
      <c r="J225" s="6" t="str">
        <f aca="false">ROUND(85*1,0)&amp;"%"</f>
        <v>85%</v>
      </c>
    </row>
    <row r="226" customFormat="false" ht="15" hidden="false" customHeight="false" outlineLevel="0" collapsed="false">
      <c r="A226" s="5" t="s">
        <v>4815</v>
      </c>
      <c r="B226" s="5" t="s">
        <v>376</v>
      </c>
      <c r="C226" s="5" t="s">
        <v>114</v>
      </c>
      <c r="D226" s="5" t="s">
        <v>39</v>
      </c>
      <c r="E226" s="5" t="n">
        <f aca="false">ROUND(9792*1.05,2)</f>
        <v>10281.6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ROUND(73*1,0)&amp;"%"</f>
        <v>73%</v>
      </c>
    </row>
    <row r="227" customFormat="false" ht="15" hidden="false" customHeight="false" outlineLevel="0" collapsed="false">
      <c r="A227" s="6" t="s">
        <v>4816</v>
      </c>
      <c r="B227" s="6" t="s">
        <v>378</v>
      </c>
      <c r="C227" s="6" t="s">
        <v>114</v>
      </c>
      <c r="D227" s="6" t="s">
        <v>44</v>
      </c>
      <c r="E227" s="6" t="n">
        <f aca="false">ROUND(11938*1.05,2)</f>
        <v>12534.9</v>
      </c>
      <c r="F227" s="6" t="s">
        <v>45</v>
      </c>
      <c r="G227" s="6" t="s">
        <v>30</v>
      </c>
      <c r="H227" s="6" t="n">
        <f aca="true">ROUND(RAND()*4+6,1)</f>
        <v>6</v>
      </c>
      <c r="I227" s="6" t="s">
        <v>46</v>
      </c>
      <c r="J227" s="6" t="str">
        <f aca="false">ROUND(61*1,0)&amp;"%"</f>
        <v>61%</v>
      </c>
    </row>
    <row r="228" customFormat="false" ht="15" hidden="false" customHeight="false" outlineLevel="0" collapsed="false">
      <c r="A228" s="5" t="s">
        <v>4817</v>
      </c>
      <c r="B228" s="5" t="s">
        <v>380</v>
      </c>
      <c r="C228" s="5" t="s">
        <v>114</v>
      </c>
      <c r="D228" s="5" t="s">
        <v>16</v>
      </c>
      <c r="E228" s="5" t="n">
        <f aca="false">ROUND(17377*1.05,2)</f>
        <v>18245.85</v>
      </c>
      <c r="F228" s="5" t="s">
        <v>49</v>
      </c>
      <c r="G228" s="5" t="s">
        <v>18</v>
      </c>
      <c r="H228" s="5" t="n">
        <f aca="true">ROUND(RAND()*4+6,1)</f>
        <v>7.4</v>
      </c>
      <c r="I228" s="5" t="s">
        <v>19</v>
      </c>
      <c r="J228" s="5" t="str">
        <f aca="false">ROUND(60*1,0)&amp;"%"</f>
        <v>60%</v>
      </c>
    </row>
    <row r="229" customFormat="false" ht="15" hidden="false" customHeight="false" outlineLevel="0" collapsed="false">
      <c r="A229" s="6" t="s">
        <v>4818</v>
      </c>
      <c r="B229" s="6" t="s">
        <v>382</v>
      </c>
      <c r="C229" s="6" t="s">
        <v>114</v>
      </c>
      <c r="D229" s="6" t="s">
        <v>22</v>
      </c>
      <c r="E229" s="6" t="n">
        <f aca="false">ROUND(9777*1.05,2)</f>
        <v>10265.85</v>
      </c>
      <c r="F229" s="6" t="s">
        <v>52</v>
      </c>
      <c r="G229" s="6" t="s">
        <v>24</v>
      </c>
      <c r="H229" s="6" t="n">
        <f aca="true">ROUND(RAND()*4+6,1)</f>
        <v>6.5</v>
      </c>
      <c r="I229" s="6" t="s">
        <v>25</v>
      </c>
      <c r="J229" s="6" t="str">
        <f aca="false">ROUND(68*1,0)&amp;"%"</f>
        <v>68%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4819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4820</v>
      </c>
      <c r="B234" s="5" t="s">
        <v>386</v>
      </c>
      <c r="C234" s="5" t="s">
        <v>133</v>
      </c>
      <c r="D234" s="5" t="s">
        <v>16</v>
      </c>
      <c r="E234" s="5" t="n">
        <f aca="false">ROUND(6042*1.05,2)</f>
        <v>6344.1</v>
      </c>
      <c r="F234" s="5" t="s">
        <v>17</v>
      </c>
      <c r="G234" s="5" t="s">
        <v>18</v>
      </c>
      <c r="H234" s="5" t="n">
        <f aca="true">ROUND(RAND()*4+6,1)</f>
        <v>8.1</v>
      </c>
      <c r="I234" s="5" t="s">
        <v>19</v>
      </c>
      <c r="J234" s="5" t="str">
        <f aca="false">ROUND(72*1,0)&amp;"%"</f>
        <v>72%</v>
      </c>
    </row>
    <row r="235" customFormat="false" ht="15" hidden="false" customHeight="false" outlineLevel="0" collapsed="false">
      <c r="A235" s="6" t="s">
        <v>4821</v>
      </c>
      <c r="B235" s="6" t="s">
        <v>388</v>
      </c>
      <c r="C235" s="6" t="s">
        <v>133</v>
      </c>
      <c r="D235" s="6" t="s">
        <v>22</v>
      </c>
      <c r="E235" s="6" t="n">
        <f aca="false">ROUND(11595*1.05,2)</f>
        <v>12174.75</v>
      </c>
      <c r="F235" s="6" t="s">
        <v>23</v>
      </c>
      <c r="G235" s="6" t="s">
        <v>24</v>
      </c>
      <c r="H235" s="6" t="n">
        <f aca="true">ROUND(RAND()*4+6,1)</f>
        <v>8.2</v>
      </c>
      <c r="I235" s="6" t="s">
        <v>25</v>
      </c>
      <c r="J235" s="6" t="str">
        <f aca="false">ROUND(94*1,0)&amp;"%"</f>
        <v>94%</v>
      </c>
    </row>
    <row r="236" customFormat="false" ht="15" hidden="false" customHeight="false" outlineLevel="0" collapsed="false">
      <c r="A236" s="5" t="s">
        <v>4822</v>
      </c>
      <c r="B236" s="5" t="s">
        <v>390</v>
      </c>
      <c r="C236" s="5" t="s">
        <v>133</v>
      </c>
      <c r="D236" s="5" t="s">
        <v>28</v>
      </c>
      <c r="E236" s="5" t="n">
        <f aca="false">ROUND(8677*1.05,2)</f>
        <v>9110.85</v>
      </c>
      <c r="F236" s="5" t="s">
        <v>29</v>
      </c>
      <c r="G236" s="5" t="s">
        <v>30</v>
      </c>
      <c r="H236" s="5" t="n">
        <f aca="true">ROUND(RAND()*4+6,1)</f>
        <v>9.5</v>
      </c>
      <c r="I236" s="5" t="s">
        <v>31</v>
      </c>
      <c r="J236" s="5" t="str">
        <f aca="false">ROUND(84*1,0)&amp;"%"</f>
        <v>84%</v>
      </c>
    </row>
    <row r="237" customFormat="false" ht="15" hidden="false" customHeight="false" outlineLevel="0" collapsed="false">
      <c r="A237" s="6" t="s">
        <v>4823</v>
      </c>
      <c r="B237" s="6" t="s">
        <v>392</v>
      </c>
      <c r="C237" s="6" t="s">
        <v>133</v>
      </c>
      <c r="D237" s="6" t="s">
        <v>34</v>
      </c>
      <c r="E237" s="6" t="n">
        <f aca="false">ROUND(6577*1.05,2)</f>
        <v>6905.85</v>
      </c>
      <c r="F237" s="6" t="s">
        <v>35</v>
      </c>
      <c r="G237" s="6" t="s">
        <v>18</v>
      </c>
      <c r="H237" s="6" t="n">
        <f aca="true">ROUND(RAND()*4+6,1)</f>
        <v>8.3</v>
      </c>
      <c r="I237" s="6" t="s">
        <v>36</v>
      </c>
      <c r="J237" s="6" t="str">
        <f aca="false">ROUND(86*1,0)&amp;"%"</f>
        <v>86%</v>
      </c>
    </row>
    <row r="238" customFormat="false" ht="15" hidden="false" customHeight="false" outlineLevel="0" collapsed="false">
      <c r="A238" s="5" t="s">
        <v>4824</v>
      </c>
      <c r="B238" s="5" t="s">
        <v>394</v>
      </c>
      <c r="C238" s="5" t="s">
        <v>133</v>
      </c>
      <c r="D238" s="5" t="s">
        <v>39</v>
      </c>
      <c r="E238" s="5" t="n">
        <f aca="false">ROUND(11992*1.05,2)</f>
        <v>12591.6</v>
      </c>
      <c r="F238" s="5" t="s">
        <v>40</v>
      </c>
      <c r="G238" s="5" t="s">
        <v>24</v>
      </c>
      <c r="H238" s="5" t="n">
        <f aca="true">ROUND(RAND()*4+6,1)</f>
        <v>8.2</v>
      </c>
      <c r="I238" s="5" t="s">
        <v>41</v>
      </c>
      <c r="J238" s="5" t="str">
        <f aca="false">ROUND(82*1,0)&amp;"%"</f>
        <v>82%</v>
      </c>
    </row>
    <row r="239" customFormat="false" ht="15" hidden="false" customHeight="false" outlineLevel="0" collapsed="false">
      <c r="A239" s="6" t="s">
        <v>4825</v>
      </c>
      <c r="B239" s="6" t="s">
        <v>396</v>
      </c>
      <c r="C239" s="6" t="s">
        <v>133</v>
      </c>
      <c r="D239" s="6" t="s">
        <v>44</v>
      </c>
      <c r="E239" s="6" t="n">
        <f aca="false">ROUND(17390*1.05,2)</f>
        <v>18259.5</v>
      </c>
      <c r="F239" s="6" t="s">
        <v>45</v>
      </c>
      <c r="G239" s="6" t="s">
        <v>30</v>
      </c>
      <c r="H239" s="6" t="n">
        <f aca="true">ROUND(RAND()*4+6,1)</f>
        <v>7.4</v>
      </c>
      <c r="I239" s="6" t="s">
        <v>46</v>
      </c>
      <c r="J239" s="6" t="str">
        <f aca="false">ROUND(64*1,0)&amp;"%"</f>
        <v>64%</v>
      </c>
    </row>
    <row r="240" customFormat="false" ht="15" hidden="false" customHeight="false" outlineLevel="0" collapsed="false">
      <c r="A240" s="5" t="s">
        <v>4826</v>
      </c>
      <c r="B240" s="5" t="s">
        <v>398</v>
      </c>
      <c r="C240" s="5" t="s">
        <v>133</v>
      </c>
      <c r="D240" s="5" t="s">
        <v>16</v>
      </c>
      <c r="E240" s="5" t="n">
        <f aca="false">ROUND(8561*1.05,2)</f>
        <v>8989.05</v>
      </c>
      <c r="F240" s="5" t="s">
        <v>49</v>
      </c>
      <c r="G240" s="5" t="s">
        <v>18</v>
      </c>
      <c r="H240" s="5" t="n">
        <f aca="true">ROUND(RAND()*4+6,1)</f>
        <v>6.2</v>
      </c>
      <c r="I240" s="5" t="s">
        <v>19</v>
      </c>
      <c r="J240" s="5" t="str">
        <f aca="false">ROUND(61*1,0)&amp;"%"</f>
        <v>61%</v>
      </c>
    </row>
    <row r="241" customFormat="false" ht="15" hidden="false" customHeight="false" outlineLevel="0" collapsed="false">
      <c r="A241" s="6" t="s">
        <v>4827</v>
      </c>
      <c r="B241" s="6" t="s">
        <v>400</v>
      </c>
      <c r="C241" s="6" t="s">
        <v>133</v>
      </c>
      <c r="D241" s="6" t="s">
        <v>22</v>
      </c>
      <c r="E241" s="6" t="n">
        <f aca="false">ROUND(11732*1.05,2)</f>
        <v>12318.6</v>
      </c>
      <c r="F241" s="6" t="s">
        <v>52</v>
      </c>
      <c r="G241" s="6" t="s">
        <v>24</v>
      </c>
      <c r="H241" s="6" t="n">
        <f aca="true">ROUND(RAND()*4+6,1)</f>
        <v>8.8</v>
      </c>
      <c r="I241" s="6" t="s">
        <v>25</v>
      </c>
      <c r="J241" s="6" t="str">
        <f aca="false">ROUND(65*1,0)&amp;"%"</f>
        <v>65%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4828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4829</v>
      </c>
      <c r="B246" s="5" t="s">
        <v>404</v>
      </c>
      <c r="C246" s="5" t="s">
        <v>152</v>
      </c>
      <c r="D246" s="5" t="s">
        <v>16</v>
      </c>
      <c r="E246" s="5" t="n">
        <f aca="false">ROUND(17706*1.05,2)</f>
        <v>18591.3</v>
      </c>
      <c r="F246" s="5" t="s">
        <v>17</v>
      </c>
      <c r="G246" s="5" t="s">
        <v>18</v>
      </c>
      <c r="H246" s="5" t="n">
        <f aca="true">ROUND(RAND()*4+6,1)</f>
        <v>8.8</v>
      </c>
      <c r="I246" s="5" t="s">
        <v>19</v>
      </c>
      <c r="J246" s="5" t="str">
        <f aca="false">ROUND(69*1,0)&amp;"%"</f>
        <v>69%</v>
      </c>
    </row>
    <row r="247" customFormat="false" ht="15" hidden="false" customHeight="false" outlineLevel="0" collapsed="false">
      <c r="A247" s="6" t="s">
        <v>4830</v>
      </c>
      <c r="B247" s="6" t="s">
        <v>406</v>
      </c>
      <c r="C247" s="6" t="s">
        <v>152</v>
      </c>
      <c r="D247" s="6" t="s">
        <v>22</v>
      </c>
      <c r="E247" s="6" t="n">
        <f aca="false">ROUND(16020*1.05,2)</f>
        <v>16821</v>
      </c>
      <c r="F247" s="6" t="s">
        <v>23</v>
      </c>
      <c r="G247" s="6" t="s">
        <v>24</v>
      </c>
      <c r="H247" s="6" t="n">
        <f aca="true">ROUND(RAND()*4+6,1)</f>
        <v>7.4</v>
      </c>
      <c r="I247" s="6" t="s">
        <v>25</v>
      </c>
      <c r="J247" s="6" t="str">
        <f aca="false">ROUND(63*1,0)&amp;"%"</f>
        <v>63%</v>
      </c>
    </row>
    <row r="248" customFormat="false" ht="15" hidden="false" customHeight="false" outlineLevel="0" collapsed="false">
      <c r="A248" s="5" t="s">
        <v>4831</v>
      </c>
      <c r="B248" s="5" t="s">
        <v>408</v>
      </c>
      <c r="C248" s="5" t="s">
        <v>152</v>
      </c>
      <c r="D248" s="5" t="s">
        <v>28</v>
      </c>
      <c r="E248" s="5" t="n">
        <f aca="false">ROUND(12663*1.05,2)</f>
        <v>13296.15</v>
      </c>
      <c r="F248" s="5" t="s">
        <v>29</v>
      </c>
      <c r="G248" s="5" t="s">
        <v>30</v>
      </c>
      <c r="H248" s="5" t="n">
        <f aca="true">ROUND(RAND()*4+6,1)</f>
        <v>6.9</v>
      </c>
      <c r="I248" s="5" t="s">
        <v>31</v>
      </c>
      <c r="J248" s="5" t="str">
        <f aca="false">ROUND(75*1,0)&amp;"%"</f>
        <v>75%</v>
      </c>
    </row>
    <row r="249" customFormat="false" ht="15" hidden="false" customHeight="false" outlineLevel="0" collapsed="false">
      <c r="A249" s="6" t="s">
        <v>4832</v>
      </c>
      <c r="B249" s="6" t="s">
        <v>410</v>
      </c>
      <c r="C249" s="6" t="s">
        <v>152</v>
      </c>
      <c r="D249" s="6" t="s">
        <v>34</v>
      </c>
      <c r="E249" s="6" t="n">
        <f aca="false">ROUND(17449*1.05,2)</f>
        <v>18321.45</v>
      </c>
      <c r="F249" s="6" t="s">
        <v>35</v>
      </c>
      <c r="G249" s="6" t="s">
        <v>18</v>
      </c>
      <c r="H249" s="6" t="n">
        <f aca="true">ROUND(RAND()*4+6,1)</f>
        <v>8.2</v>
      </c>
      <c r="I249" s="6" t="s">
        <v>36</v>
      </c>
      <c r="J249" s="6" t="str">
        <f aca="false">ROUND(66*1,0)&amp;"%"</f>
        <v>66%</v>
      </c>
    </row>
    <row r="250" customFormat="false" ht="15" hidden="false" customHeight="false" outlineLevel="0" collapsed="false">
      <c r="A250" s="5" t="s">
        <v>4833</v>
      </c>
      <c r="B250" s="5" t="s">
        <v>412</v>
      </c>
      <c r="C250" s="5" t="s">
        <v>152</v>
      </c>
      <c r="D250" s="5" t="s">
        <v>39</v>
      </c>
      <c r="E250" s="5" t="n">
        <f aca="false">ROUND(6748*1.05,2)</f>
        <v>7085.4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4834</v>
      </c>
      <c r="B251" s="6" t="s">
        <v>414</v>
      </c>
      <c r="C251" s="6" t="s">
        <v>152</v>
      </c>
      <c r="D251" s="6" t="s">
        <v>44</v>
      </c>
      <c r="E251" s="6" t="n">
        <f aca="false">ROUND(16928*1.05,2)</f>
        <v>17774.4</v>
      </c>
      <c r="F251" s="6" t="s">
        <v>45</v>
      </c>
      <c r="G251" s="6" t="s">
        <v>30</v>
      </c>
      <c r="H251" s="6" t="n">
        <f aca="true">ROUND(RAND()*4+6,1)</f>
        <v>9.6</v>
      </c>
      <c r="I251" s="6" t="s">
        <v>46</v>
      </c>
      <c r="J251" s="6" t="str">
        <f aca="false">ROUND(72*1,0)&amp;"%"</f>
        <v>72%</v>
      </c>
    </row>
    <row r="252" customFormat="false" ht="15" hidden="false" customHeight="false" outlineLevel="0" collapsed="false">
      <c r="A252" s="5" t="s">
        <v>4835</v>
      </c>
      <c r="B252" s="5" t="s">
        <v>416</v>
      </c>
      <c r="C252" s="5" t="s">
        <v>152</v>
      </c>
      <c r="D252" s="5" t="s">
        <v>16</v>
      </c>
      <c r="E252" s="5" t="n">
        <f aca="false">ROUND(13271*1.05,2)</f>
        <v>13934.55</v>
      </c>
      <c r="F252" s="5" t="s">
        <v>49</v>
      </c>
      <c r="G252" s="5" t="s">
        <v>18</v>
      </c>
      <c r="H252" s="5" t="n">
        <f aca="true">ROUND(RAND()*4+6,1)</f>
        <v>6.8</v>
      </c>
      <c r="I252" s="5" t="s">
        <v>19</v>
      </c>
      <c r="J252" s="5" t="str">
        <f aca="false">ROUND(93*1,0)&amp;"%"</f>
        <v>93%</v>
      </c>
    </row>
    <row r="253" customFormat="false" ht="15" hidden="false" customHeight="false" outlineLevel="0" collapsed="false">
      <c r="A253" s="6" t="s">
        <v>4836</v>
      </c>
      <c r="B253" s="6" t="s">
        <v>418</v>
      </c>
      <c r="C253" s="6" t="s">
        <v>152</v>
      </c>
      <c r="D253" s="6" t="s">
        <v>22</v>
      </c>
      <c r="E253" s="6" t="n">
        <f aca="false">ROUND(14889*1.05,2)</f>
        <v>15633.45</v>
      </c>
      <c r="F253" s="6" t="s">
        <v>52</v>
      </c>
      <c r="G253" s="6" t="s">
        <v>24</v>
      </c>
      <c r="H253" s="6" t="n">
        <f aca="true">ROUND(RAND()*4+6,1)</f>
        <v>9.4</v>
      </c>
      <c r="I253" s="6" t="s">
        <v>25</v>
      </c>
      <c r="J253" s="6" t="str">
        <f aca="false">ROUND(87*1,0)&amp;"%"</f>
        <v>87%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4837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4838</v>
      </c>
      <c r="B258" s="5" t="s">
        <v>422</v>
      </c>
      <c r="C258" s="5" t="s">
        <v>15</v>
      </c>
      <c r="D258" s="5" t="s">
        <v>16</v>
      </c>
      <c r="E258" s="5" t="n">
        <f aca="false">ROUND(10954*1.05,2)</f>
        <v>11501.7</v>
      </c>
      <c r="F258" s="5" t="s">
        <v>17</v>
      </c>
      <c r="G258" s="5" t="s">
        <v>18</v>
      </c>
      <c r="H258" s="5" t="n">
        <f aca="true">ROUND(RAND()*4+6,1)</f>
        <v>9.5</v>
      </c>
      <c r="I258" s="5" t="s">
        <v>19</v>
      </c>
      <c r="J258" s="5" t="str">
        <f aca="false">ROUND(96*1,0)&amp;"%"</f>
        <v>96%</v>
      </c>
    </row>
    <row r="259" customFormat="false" ht="15" hidden="false" customHeight="false" outlineLevel="0" collapsed="false">
      <c r="A259" s="6" t="s">
        <v>4839</v>
      </c>
      <c r="B259" s="6" t="s">
        <v>424</v>
      </c>
      <c r="C259" s="6" t="s">
        <v>15</v>
      </c>
      <c r="D259" s="6" t="s">
        <v>22</v>
      </c>
      <c r="E259" s="6" t="n">
        <f aca="false">ROUND(16851*1.05,2)</f>
        <v>17693.55</v>
      </c>
      <c r="F259" s="6" t="s">
        <v>23</v>
      </c>
      <c r="G259" s="6" t="s">
        <v>24</v>
      </c>
      <c r="H259" s="6" t="n">
        <f aca="true">ROUND(RAND()*4+6,1)</f>
        <v>6.5</v>
      </c>
      <c r="I259" s="6" t="s">
        <v>25</v>
      </c>
      <c r="J259" s="6" t="str">
        <f aca="false">ROUND(96*1,0)&amp;"%"</f>
        <v>96%</v>
      </c>
    </row>
    <row r="260" customFormat="false" ht="15" hidden="false" customHeight="false" outlineLevel="0" collapsed="false">
      <c r="A260" s="5" t="s">
        <v>4840</v>
      </c>
      <c r="B260" s="5" t="s">
        <v>426</v>
      </c>
      <c r="C260" s="5" t="s">
        <v>15</v>
      </c>
      <c r="D260" s="5" t="s">
        <v>28</v>
      </c>
      <c r="E260" s="5" t="n">
        <f aca="false">ROUND(5212*1.05,2)</f>
        <v>5472.6</v>
      </c>
      <c r="F260" s="5" t="s">
        <v>29</v>
      </c>
      <c r="G260" s="5" t="s">
        <v>30</v>
      </c>
      <c r="H260" s="5" t="n">
        <f aca="true">ROUND(RAND()*4+6,1)</f>
        <v>9.6</v>
      </c>
      <c r="I260" s="5" t="s">
        <v>31</v>
      </c>
      <c r="J260" s="5" t="str">
        <f aca="false">ROUND(93*1,0)&amp;"%"</f>
        <v>93%</v>
      </c>
    </row>
    <row r="261" customFormat="false" ht="15" hidden="false" customHeight="false" outlineLevel="0" collapsed="false">
      <c r="A261" s="6" t="s">
        <v>4841</v>
      </c>
      <c r="B261" s="6" t="s">
        <v>428</v>
      </c>
      <c r="C261" s="6" t="s">
        <v>15</v>
      </c>
      <c r="D261" s="6" t="s">
        <v>34</v>
      </c>
      <c r="E261" s="6" t="n">
        <f aca="false">ROUND(6837*1.05,2)</f>
        <v>7178.85</v>
      </c>
      <c r="F261" s="6" t="s">
        <v>35</v>
      </c>
      <c r="G261" s="6" t="s">
        <v>18</v>
      </c>
      <c r="H261" s="6" t="n">
        <f aca="true">ROUND(RAND()*4+6,1)</f>
        <v>6.2</v>
      </c>
      <c r="I261" s="6" t="s">
        <v>36</v>
      </c>
      <c r="J261" s="6" t="str">
        <f aca="false">ROUND(90*1,0)&amp;"%"</f>
        <v>90%</v>
      </c>
    </row>
    <row r="262" customFormat="false" ht="15" hidden="false" customHeight="false" outlineLevel="0" collapsed="false">
      <c r="A262" s="5" t="s">
        <v>4842</v>
      </c>
      <c r="B262" s="5" t="s">
        <v>430</v>
      </c>
      <c r="C262" s="5" t="s">
        <v>15</v>
      </c>
      <c r="D262" s="5" t="s">
        <v>39</v>
      </c>
      <c r="E262" s="5" t="n">
        <f aca="false">ROUND(14289*1.05,2)</f>
        <v>15003.45</v>
      </c>
      <c r="F262" s="5" t="s">
        <v>40</v>
      </c>
      <c r="G262" s="5" t="s">
        <v>24</v>
      </c>
      <c r="H262" s="5" t="n">
        <f aca="true">ROUND(RAND()*4+6,1)</f>
        <v>6.6</v>
      </c>
      <c r="I262" s="5" t="s">
        <v>41</v>
      </c>
      <c r="J262" s="5" t="str">
        <f aca="false">ROUND(95*1,0)&amp;"%"</f>
        <v>95%</v>
      </c>
    </row>
    <row r="263" customFormat="false" ht="15" hidden="false" customHeight="false" outlineLevel="0" collapsed="false">
      <c r="A263" s="6" t="s">
        <v>4843</v>
      </c>
      <c r="B263" s="6" t="s">
        <v>432</v>
      </c>
      <c r="C263" s="6" t="s">
        <v>15</v>
      </c>
      <c r="D263" s="6" t="s">
        <v>44</v>
      </c>
      <c r="E263" s="6" t="n">
        <f aca="false">ROUND(14885*1.05,2)</f>
        <v>15629.25</v>
      </c>
      <c r="F263" s="6" t="s">
        <v>45</v>
      </c>
      <c r="G263" s="6" t="s">
        <v>30</v>
      </c>
      <c r="H263" s="6" t="n">
        <f aca="true">ROUND(RAND()*4+6,1)</f>
        <v>6.4</v>
      </c>
      <c r="I263" s="6" t="s">
        <v>46</v>
      </c>
      <c r="J263" s="6" t="str">
        <f aca="false">ROUND(94*1,0)&amp;"%"</f>
        <v>94%</v>
      </c>
    </row>
    <row r="264" customFormat="false" ht="15" hidden="false" customHeight="false" outlineLevel="0" collapsed="false">
      <c r="A264" s="5" t="s">
        <v>4844</v>
      </c>
      <c r="B264" s="5" t="s">
        <v>434</v>
      </c>
      <c r="C264" s="5" t="s">
        <v>15</v>
      </c>
      <c r="D264" s="5" t="s">
        <v>16</v>
      </c>
      <c r="E264" s="5" t="n">
        <f aca="false">ROUND(15845*1.05,2)</f>
        <v>16637.25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ROUND(68*1,0)&amp;"%"</f>
        <v>68%</v>
      </c>
    </row>
    <row r="265" customFormat="false" ht="15" hidden="false" customHeight="false" outlineLevel="0" collapsed="false">
      <c r="A265" s="6" t="s">
        <v>4845</v>
      </c>
      <c r="B265" s="6" t="s">
        <v>436</v>
      </c>
      <c r="C265" s="6" t="s">
        <v>15</v>
      </c>
      <c r="D265" s="6" t="s">
        <v>22</v>
      </c>
      <c r="E265" s="6" t="n">
        <f aca="false">ROUND(14558*1.05,2)</f>
        <v>15285.9</v>
      </c>
      <c r="F265" s="6" t="s">
        <v>52</v>
      </c>
      <c r="G265" s="6" t="s">
        <v>24</v>
      </c>
      <c r="H265" s="6" t="n">
        <f aca="true">ROUND(RAND()*4+6,1)</f>
        <v>7.5</v>
      </c>
      <c r="I265" s="6" t="s">
        <v>25</v>
      </c>
      <c r="J265" s="6" t="str">
        <f aca="false">ROUND(72*1,0)&amp;"%"</f>
        <v>72%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4846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4847</v>
      </c>
      <c r="B270" s="5" t="s">
        <v>440</v>
      </c>
      <c r="C270" s="5" t="s">
        <v>57</v>
      </c>
      <c r="D270" s="5" t="s">
        <v>16</v>
      </c>
      <c r="E270" s="5" t="n">
        <f aca="false">ROUND(6925*1.05,2)</f>
        <v>7271.25</v>
      </c>
      <c r="F270" s="5" t="s">
        <v>17</v>
      </c>
      <c r="G270" s="5" t="s">
        <v>18</v>
      </c>
      <c r="H270" s="5" t="n">
        <f aca="true">ROUND(RAND()*4+6,1)</f>
        <v>6.3</v>
      </c>
      <c r="I270" s="5" t="s">
        <v>19</v>
      </c>
      <c r="J270" s="5" t="str">
        <f aca="false">ROUND(97*1,0)&amp;"%"</f>
        <v>97%</v>
      </c>
    </row>
    <row r="271" customFormat="false" ht="15" hidden="false" customHeight="false" outlineLevel="0" collapsed="false">
      <c r="A271" s="6" t="s">
        <v>4848</v>
      </c>
      <c r="B271" s="6" t="s">
        <v>442</v>
      </c>
      <c r="C271" s="6" t="s">
        <v>57</v>
      </c>
      <c r="D271" s="6" t="s">
        <v>22</v>
      </c>
      <c r="E271" s="6" t="n">
        <f aca="false">ROUND(9058*1.05,2)</f>
        <v>9510.9</v>
      </c>
      <c r="F271" s="6" t="s">
        <v>23</v>
      </c>
      <c r="G271" s="6" t="s">
        <v>24</v>
      </c>
      <c r="H271" s="6" t="n">
        <f aca="true">ROUND(RAND()*4+6,1)</f>
        <v>6.1</v>
      </c>
      <c r="I271" s="6" t="s">
        <v>25</v>
      </c>
      <c r="J271" s="6" t="str">
        <f aca="false">ROUND(77*1,0)&amp;"%"</f>
        <v>77%</v>
      </c>
    </row>
    <row r="272" customFormat="false" ht="15" hidden="false" customHeight="false" outlineLevel="0" collapsed="false">
      <c r="A272" s="5" t="s">
        <v>4849</v>
      </c>
      <c r="B272" s="5" t="s">
        <v>444</v>
      </c>
      <c r="C272" s="5" t="s">
        <v>57</v>
      </c>
      <c r="D272" s="5" t="s">
        <v>28</v>
      </c>
      <c r="E272" s="5" t="n">
        <f aca="false">ROUND(4696*1.05,2)</f>
        <v>4930.8</v>
      </c>
      <c r="F272" s="5" t="s">
        <v>29</v>
      </c>
      <c r="G272" s="5" t="s">
        <v>30</v>
      </c>
      <c r="H272" s="5" t="n">
        <f aca="true">ROUND(RAND()*4+6,1)</f>
        <v>7.3</v>
      </c>
      <c r="I272" s="5" t="s">
        <v>31</v>
      </c>
      <c r="J272" s="5" t="str">
        <f aca="false">ROUND(88*1,0)&amp;"%"</f>
        <v>88%</v>
      </c>
    </row>
    <row r="273" customFormat="false" ht="15" hidden="false" customHeight="false" outlineLevel="0" collapsed="false">
      <c r="A273" s="6" t="s">
        <v>4850</v>
      </c>
      <c r="B273" s="6" t="s">
        <v>446</v>
      </c>
      <c r="C273" s="6" t="s">
        <v>57</v>
      </c>
      <c r="D273" s="6" t="s">
        <v>34</v>
      </c>
      <c r="E273" s="6" t="n">
        <f aca="false">ROUND(5740*1.05,2)</f>
        <v>6027</v>
      </c>
      <c r="F273" s="6" t="s">
        <v>35</v>
      </c>
      <c r="G273" s="6" t="s">
        <v>18</v>
      </c>
      <c r="H273" s="6" t="n">
        <f aca="true">ROUND(RAND()*4+6,1)</f>
        <v>9.5</v>
      </c>
      <c r="I273" s="6" t="s">
        <v>36</v>
      </c>
      <c r="J273" s="6" t="str">
        <f aca="false">ROUND(79*1,0)&amp;"%"</f>
        <v>79%</v>
      </c>
    </row>
    <row r="274" customFormat="false" ht="15" hidden="false" customHeight="false" outlineLevel="0" collapsed="false">
      <c r="A274" s="5" t="s">
        <v>4851</v>
      </c>
      <c r="B274" s="5" t="s">
        <v>448</v>
      </c>
      <c r="C274" s="5" t="s">
        <v>57</v>
      </c>
      <c r="D274" s="5" t="s">
        <v>39</v>
      </c>
      <c r="E274" s="5" t="n">
        <f aca="false">ROUND(4170*1.05,2)</f>
        <v>4378.5</v>
      </c>
      <c r="F274" s="5" t="s">
        <v>40</v>
      </c>
      <c r="G274" s="5" t="s">
        <v>24</v>
      </c>
      <c r="H274" s="5" t="n">
        <f aca="true">ROUND(RAND()*4+6,1)</f>
        <v>7.9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4852</v>
      </c>
      <c r="B275" s="6" t="s">
        <v>450</v>
      </c>
      <c r="C275" s="6" t="s">
        <v>57</v>
      </c>
      <c r="D275" s="6" t="s">
        <v>44</v>
      </c>
      <c r="E275" s="6" t="n">
        <f aca="false">ROUND(11885*1.05,2)</f>
        <v>12479.25</v>
      </c>
      <c r="F275" s="6" t="s">
        <v>45</v>
      </c>
      <c r="G275" s="6" t="s">
        <v>30</v>
      </c>
      <c r="H275" s="6" t="n">
        <f aca="true">ROUND(RAND()*4+6,1)</f>
        <v>9.5</v>
      </c>
      <c r="I275" s="6" t="s">
        <v>46</v>
      </c>
      <c r="J275" s="6" t="str">
        <f aca="false">ROUND(94*1,0)&amp;"%"</f>
        <v>94%</v>
      </c>
    </row>
    <row r="276" customFormat="false" ht="15" hidden="false" customHeight="false" outlineLevel="0" collapsed="false">
      <c r="A276" s="5" t="s">
        <v>4853</v>
      </c>
      <c r="B276" s="5" t="s">
        <v>452</v>
      </c>
      <c r="C276" s="5" t="s">
        <v>57</v>
      </c>
      <c r="D276" s="5" t="s">
        <v>16</v>
      </c>
      <c r="E276" s="5" t="n">
        <f aca="false">ROUND(12585*1.05,2)</f>
        <v>13214.25</v>
      </c>
      <c r="F276" s="5" t="s">
        <v>49</v>
      </c>
      <c r="G276" s="5" t="s">
        <v>18</v>
      </c>
      <c r="H276" s="5" t="n">
        <f aca="true">ROUND(RAND()*4+6,1)</f>
        <v>6.5</v>
      </c>
      <c r="I276" s="5" t="s">
        <v>19</v>
      </c>
      <c r="J276" s="5" t="str">
        <f aca="false">ROUND(78*1,0)&amp;"%"</f>
        <v>78%</v>
      </c>
    </row>
    <row r="277" customFormat="false" ht="15" hidden="false" customHeight="false" outlineLevel="0" collapsed="false">
      <c r="A277" s="6" t="s">
        <v>4854</v>
      </c>
      <c r="B277" s="6" t="s">
        <v>454</v>
      </c>
      <c r="C277" s="6" t="s">
        <v>57</v>
      </c>
      <c r="D277" s="6" t="s">
        <v>22</v>
      </c>
      <c r="E277" s="6" t="n">
        <f aca="false">ROUND(7166*1.05,2)</f>
        <v>7524.3</v>
      </c>
      <c r="F277" s="6" t="s">
        <v>52</v>
      </c>
      <c r="G277" s="6" t="s">
        <v>24</v>
      </c>
      <c r="H277" s="6" t="n">
        <f aca="true">ROUND(RAND()*4+6,1)</f>
        <v>8</v>
      </c>
      <c r="I277" s="6" t="s">
        <v>25</v>
      </c>
      <c r="J277" s="6" t="str">
        <f aca="false">ROUND(90*1,0)&amp;"%"</f>
        <v>90%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4855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4856</v>
      </c>
      <c r="B282" s="5" t="s">
        <v>458</v>
      </c>
      <c r="C282" s="5" t="s">
        <v>76</v>
      </c>
      <c r="D282" s="5" t="s">
        <v>16</v>
      </c>
      <c r="E282" s="5" t="n">
        <f aca="false">ROUND(6386*1.05,2)</f>
        <v>6705.3</v>
      </c>
      <c r="F282" s="5" t="s">
        <v>17</v>
      </c>
      <c r="G282" s="5" t="s">
        <v>18</v>
      </c>
      <c r="H282" s="5" t="n">
        <f aca="true">ROUND(RAND()*4+6,1)</f>
        <v>8</v>
      </c>
      <c r="I282" s="5" t="s">
        <v>19</v>
      </c>
      <c r="J282" s="5" t="str">
        <f aca="false">ROUND(85*1,0)&amp;"%"</f>
        <v>85%</v>
      </c>
    </row>
    <row r="283" customFormat="false" ht="15" hidden="false" customHeight="false" outlineLevel="0" collapsed="false">
      <c r="A283" s="6" t="s">
        <v>4857</v>
      </c>
      <c r="B283" s="6" t="s">
        <v>460</v>
      </c>
      <c r="C283" s="6" t="s">
        <v>76</v>
      </c>
      <c r="D283" s="6" t="s">
        <v>22</v>
      </c>
      <c r="E283" s="6" t="n">
        <f aca="false">ROUND(10801*1.05,2)</f>
        <v>11341.05</v>
      </c>
      <c r="F283" s="6" t="s">
        <v>23</v>
      </c>
      <c r="G283" s="6" t="s">
        <v>24</v>
      </c>
      <c r="H283" s="6" t="n">
        <f aca="true">ROUND(RAND()*4+6,1)</f>
        <v>9.3</v>
      </c>
      <c r="I283" s="6" t="s">
        <v>25</v>
      </c>
      <c r="J283" s="6" t="str">
        <f aca="false">ROUND(73*1,0)&amp;"%"</f>
        <v>73%</v>
      </c>
    </row>
    <row r="284" customFormat="false" ht="15" hidden="false" customHeight="false" outlineLevel="0" collapsed="false">
      <c r="A284" s="5" t="s">
        <v>4858</v>
      </c>
      <c r="B284" s="5" t="s">
        <v>462</v>
      </c>
      <c r="C284" s="5" t="s">
        <v>76</v>
      </c>
      <c r="D284" s="5" t="s">
        <v>28</v>
      </c>
      <c r="E284" s="5" t="n">
        <f aca="false">ROUND(10693*1.05,2)</f>
        <v>11227.65</v>
      </c>
      <c r="F284" s="5" t="s">
        <v>29</v>
      </c>
      <c r="G284" s="5" t="s">
        <v>30</v>
      </c>
      <c r="H284" s="5" t="n">
        <f aca="true">ROUND(RAND()*4+6,1)</f>
        <v>6.8</v>
      </c>
      <c r="I284" s="5" t="s">
        <v>31</v>
      </c>
      <c r="J284" s="5" t="str">
        <f aca="false">ROUND(99*1,0)&amp;"%"</f>
        <v>99%</v>
      </c>
    </row>
    <row r="285" customFormat="false" ht="15" hidden="false" customHeight="false" outlineLevel="0" collapsed="false">
      <c r="A285" s="6" t="s">
        <v>4859</v>
      </c>
      <c r="B285" s="6" t="s">
        <v>464</v>
      </c>
      <c r="C285" s="6" t="s">
        <v>76</v>
      </c>
      <c r="D285" s="6" t="s">
        <v>34</v>
      </c>
      <c r="E285" s="6" t="n">
        <f aca="false">ROUND(8742*1.05,2)</f>
        <v>9179.1</v>
      </c>
      <c r="F285" s="6" t="s">
        <v>35</v>
      </c>
      <c r="G285" s="6" t="s">
        <v>18</v>
      </c>
      <c r="H285" s="6" t="n">
        <f aca="true">ROUND(RAND()*4+6,1)</f>
        <v>9.6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4860</v>
      </c>
      <c r="B286" s="5" t="s">
        <v>466</v>
      </c>
      <c r="C286" s="5" t="s">
        <v>76</v>
      </c>
      <c r="D286" s="5" t="s">
        <v>39</v>
      </c>
      <c r="E286" s="5" t="n">
        <f aca="false">ROUND(8945*1.05,2)</f>
        <v>9392.25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ROUND(99*1,0)&amp;"%"</f>
        <v>99%</v>
      </c>
    </row>
    <row r="287" customFormat="false" ht="15" hidden="false" customHeight="false" outlineLevel="0" collapsed="false">
      <c r="A287" s="6" t="s">
        <v>4861</v>
      </c>
      <c r="B287" s="6" t="s">
        <v>468</v>
      </c>
      <c r="C287" s="6" t="s">
        <v>76</v>
      </c>
      <c r="D287" s="6" t="s">
        <v>44</v>
      </c>
      <c r="E287" s="6" t="n">
        <f aca="false">ROUND(6929*1.05,2)</f>
        <v>7275.45</v>
      </c>
      <c r="F287" s="6" t="s">
        <v>45</v>
      </c>
      <c r="G287" s="6" t="s">
        <v>30</v>
      </c>
      <c r="H287" s="6" t="n">
        <f aca="true">ROUND(RAND()*4+6,1)</f>
        <v>9.9</v>
      </c>
      <c r="I287" s="6" t="s">
        <v>46</v>
      </c>
      <c r="J287" s="6" t="str">
        <f aca="false">ROUND(89*1,0)&amp;"%"</f>
        <v>89%</v>
      </c>
    </row>
    <row r="288" customFormat="false" ht="15" hidden="false" customHeight="false" outlineLevel="0" collapsed="false">
      <c r="A288" s="5" t="s">
        <v>4862</v>
      </c>
      <c r="B288" s="5" t="s">
        <v>470</v>
      </c>
      <c r="C288" s="5" t="s">
        <v>76</v>
      </c>
      <c r="D288" s="5" t="s">
        <v>16</v>
      </c>
      <c r="E288" s="5" t="n">
        <f aca="false">ROUND(17331*1.05,2)</f>
        <v>18197.55</v>
      </c>
      <c r="F288" s="5" t="s">
        <v>49</v>
      </c>
      <c r="G288" s="5" t="s">
        <v>18</v>
      </c>
      <c r="H288" s="5" t="n">
        <f aca="true">ROUND(RAND()*4+6,1)</f>
        <v>7.5</v>
      </c>
      <c r="I288" s="5" t="s">
        <v>19</v>
      </c>
      <c r="J288" s="5" t="str">
        <f aca="false">ROUND(86*1,0)&amp;"%"</f>
        <v>86%</v>
      </c>
    </row>
    <row r="289" customFormat="false" ht="15" hidden="false" customHeight="false" outlineLevel="0" collapsed="false">
      <c r="A289" s="6" t="s">
        <v>4863</v>
      </c>
      <c r="B289" s="6" t="s">
        <v>472</v>
      </c>
      <c r="C289" s="6" t="s">
        <v>76</v>
      </c>
      <c r="D289" s="6" t="s">
        <v>22</v>
      </c>
      <c r="E289" s="6" t="n">
        <f aca="false">ROUND(13177*1.05,2)</f>
        <v>13835.85</v>
      </c>
      <c r="F289" s="6" t="s">
        <v>52</v>
      </c>
      <c r="G289" s="6" t="s">
        <v>24</v>
      </c>
      <c r="H289" s="6" t="n">
        <f aca="true">ROUND(RAND()*4+6,1)</f>
        <v>9.8</v>
      </c>
      <c r="I289" s="6" t="s">
        <v>25</v>
      </c>
      <c r="J289" s="6" t="str">
        <f aca="false">ROUND(68*1,0)&amp;"%"</f>
        <v>68%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4864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4865</v>
      </c>
      <c r="B294" s="5" t="s">
        <v>476</v>
      </c>
      <c r="C294" s="5" t="s">
        <v>95</v>
      </c>
      <c r="D294" s="5" t="s">
        <v>16</v>
      </c>
      <c r="E294" s="5" t="n">
        <f aca="false">ROUND(14987*1.05,2)</f>
        <v>15736.35</v>
      </c>
      <c r="F294" s="5" t="s">
        <v>17</v>
      </c>
      <c r="G294" s="5" t="s">
        <v>18</v>
      </c>
      <c r="H294" s="5" t="n">
        <f aca="true">ROUND(RAND()*4+6,1)</f>
        <v>8.5</v>
      </c>
      <c r="I294" s="5" t="s">
        <v>19</v>
      </c>
      <c r="J294" s="5" t="str">
        <f aca="false">ROUND(75*1,0)&amp;"%"</f>
        <v>75%</v>
      </c>
    </row>
    <row r="295" customFormat="false" ht="15" hidden="false" customHeight="false" outlineLevel="0" collapsed="false">
      <c r="A295" s="6" t="s">
        <v>4866</v>
      </c>
      <c r="B295" s="6" t="s">
        <v>478</v>
      </c>
      <c r="C295" s="6" t="s">
        <v>95</v>
      </c>
      <c r="D295" s="6" t="s">
        <v>22</v>
      </c>
      <c r="E295" s="6" t="n">
        <f aca="false">ROUND(5750*1.05,2)</f>
        <v>6037.5</v>
      </c>
      <c r="F295" s="6" t="s">
        <v>23</v>
      </c>
      <c r="G295" s="6" t="s">
        <v>24</v>
      </c>
      <c r="H295" s="6" t="n">
        <f aca="true">ROUND(RAND()*4+6,1)</f>
        <v>7.9</v>
      </c>
      <c r="I295" s="6" t="s">
        <v>25</v>
      </c>
      <c r="J295" s="6" t="str">
        <f aca="false">ROUND(91*1,0)&amp;"%"</f>
        <v>91%</v>
      </c>
    </row>
    <row r="296" customFormat="false" ht="15" hidden="false" customHeight="false" outlineLevel="0" collapsed="false">
      <c r="A296" s="5" t="s">
        <v>4867</v>
      </c>
      <c r="B296" s="5" t="s">
        <v>480</v>
      </c>
      <c r="C296" s="5" t="s">
        <v>95</v>
      </c>
      <c r="D296" s="5" t="s">
        <v>28</v>
      </c>
      <c r="E296" s="5" t="n">
        <f aca="false">ROUND(17316*1.05,2)</f>
        <v>18181.8</v>
      </c>
      <c r="F296" s="5" t="s">
        <v>29</v>
      </c>
      <c r="G296" s="5" t="s">
        <v>30</v>
      </c>
      <c r="H296" s="5" t="n">
        <f aca="true">ROUND(RAND()*4+6,1)</f>
        <v>8.6</v>
      </c>
      <c r="I296" s="5" t="s">
        <v>31</v>
      </c>
      <c r="J296" s="5" t="str">
        <f aca="false">ROUND(88*1,0)&amp;"%"</f>
        <v>88%</v>
      </c>
    </row>
    <row r="297" customFormat="false" ht="15" hidden="false" customHeight="false" outlineLevel="0" collapsed="false">
      <c r="A297" s="6" t="s">
        <v>4868</v>
      </c>
      <c r="B297" s="6" t="s">
        <v>482</v>
      </c>
      <c r="C297" s="6" t="s">
        <v>95</v>
      </c>
      <c r="D297" s="6" t="s">
        <v>34</v>
      </c>
      <c r="E297" s="6" t="n">
        <f aca="false">ROUND(4178*1.05,2)</f>
        <v>4386.9</v>
      </c>
      <c r="F297" s="6" t="s">
        <v>35</v>
      </c>
      <c r="G297" s="6" t="s">
        <v>18</v>
      </c>
      <c r="H297" s="6" t="n">
        <f aca="true">ROUND(RAND()*4+6,1)</f>
        <v>6.6</v>
      </c>
      <c r="I297" s="6" t="s">
        <v>36</v>
      </c>
      <c r="J297" s="6" t="str">
        <f aca="false">ROUND(60*1,0)&amp;"%"</f>
        <v>60%</v>
      </c>
    </row>
    <row r="298" customFormat="false" ht="15" hidden="false" customHeight="false" outlineLevel="0" collapsed="false">
      <c r="A298" s="5" t="s">
        <v>4869</v>
      </c>
      <c r="B298" s="5" t="s">
        <v>484</v>
      </c>
      <c r="C298" s="5" t="s">
        <v>95</v>
      </c>
      <c r="D298" s="5" t="s">
        <v>39</v>
      </c>
      <c r="E298" s="5" t="n">
        <f aca="false">ROUND(14966*1.05,2)</f>
        <v>15714.3</v>
      </c>
      <c r="F298" s="5" t="s">
        <v>40</v>
      </c>
      <c r="G298" s="5" t="s">
        <v>24</v>
      </c>
      <c r="H298" s="5" t="n">
        <f aca="true">ROUND(RAND()*4+6,1)</f>
        <v>8.4</v>
      </c>
      <c r="I298" s="5" t="s">
        <v>41</v>
      </c>
      <c r="J298" s="5" t="str">
        <f aca="false">ROUND(96*1,0)&amp;"%"</f>
        <v>96%</v>
      </c>
    </row>
    <row r="299" customFormat="false" ht="15" hidden="false" customHeight="false" outlineLevel="0" collapsed="false">
      <c r="A299" s="6" t="s">
        <v>4870</v>
      </c>
      <c r="B299" s="6" t="s">
        <v>486</v>
      </c>
      <c r="C299" s="6" t="s">
        <v>95</v>
      </c>
      <c r="D299" s="6" t="s">
        <v>44</v>
      </c>
      <c r="E299" s="6" t="n">
        <f aca="false">ROUND(4015*1.05,2)</f>
        <v>4215.75</v>
      </c>
      <c r="F299" s="6" t="s">
        <v>45</v>
      </c>
      <c r="G299" s="6" t="s">
        <v>30</v>
      </c>
      <c r="H299" s="6" t="n">
        <f aca="true">ROUND(RAND()*4+6,1)</f>
        <v>6.2</v>
      </c>
      <c r="I299" s="6" t="s">
        <v>46</v>
      </c>
      <c r="J299" s="6" t="str">
        <f aca="false">ROUND(83*1,0)&amp;"%"</f>
        <v>83%</v>
      </c>
    </row>
    <row r="300" customFormat="false" ht="15" hidden="false" customHeight="false" outlineLevel="0" collapsed="false">
      <c r="A300" s="5" t="s">
        <v>4871</v>
      </c>
      <c r="B300" s="5" t="s">
        <v>488</v>
      </c>
      <c r="C300" s="5" t="s">
        <v>95</v>
      </c>
      <c r="D300" s="5" t="s">
        <v>16</v>
      </c>
      <c r="E300" s="5" t="n">
        <f aca="false">ROUND(8678*1.05,2)</f>
        <v>9111.9</v>
      </c>
      <c r="F300" s="5" t="s">
        <v>49</v>
      </c>
      <c r="G300" s="5" t="s">
        <v>18</v>
      </c>
      <c r="H300" s="5" t="n">
        <f aca="true">ROUND(RAND()*4+6,1)</f>
        <v>7.4</v>
      </c>
      <c r="I300" s="5" t="s">
        <v>19</v>
      </c>
      <c r="J300" s="5" t="str">
        <f aca="false">ROUND(66*1,0)&amp;"%"</f>
        <v>66%</v>
      </c>
    </row>
    <row r="301" customFormat="false" ht="15" hidden="false" customHeight="false" outlineLevel="0" collapsed="false">
      <c r="A301" s="6" t="s">
        <v>4872</v>
      </c>
      <c r="B301" s="6" t="s">
        <v>490</v>
      </c>
      <c r="C301" s="6" t="s">
        <v>95</v>
      </c>
      <c r="D301" s="6" t="s">
        <v>22</v>
      </c>
      <c r="E301" s="6" t="n">
        <f aca="false">ROUND(13289*1.05,2)</f>
        <v>13953.45</v>
      </c>
      <c r="F301" s="6" t="s">
        <v>52</v>
      </c>
      <c r="G301" s="6" t="s">
        <v>24</v>
      </c>
      <c r="H301" s="6" t="n">
        <f aca="true">ROUND(RAND()*4+6,1)</f>
        <v>8.2</v>
      </c>
      <c r="I301" s="6" t="s">
        <v>25</v>
      </c>
      <c r="J301" s="6" t="str">
        <f aca="false">ROUND(85*1,0)&amp;"%"</f>
        <v>85%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4873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4874</v>
      </c>
      <c r="B306" s="5" t="s">
        <v>494</v>
      </c>
      <c r="C306" s="5" t="s">
        <v>114</v>
      </c>
      <c r="D306" s="5" t="s">
        <v>16</v>
      </c>
      <c r="E306" s="5" t="n">
        <f aca="false">ROUND(17362*1.05,2)</f>
        <v>18230.1</v>
      </c>
      <c r="F306" s="5" t="s">
        <v>17</v>
      </c>
      <c r="G306" s="5" t="s">
        <v>18</v>
      </c>
      <c r="H306" s="5" t="n">
        <f aca="true">ROUND(RAND()*4+6,1)</f>
        <v>6.5</v>
      </c>
      <c r="I306" s="5" t="s">
        <v>19</v>
      </c>
      <c r="J306" s="5" t="str">
        <f aca="false">ROUND(93*1,0)&amp;"%"</f>
        <v>93%</v>
      </c>
    </row>
    <row r="307" customFormat="false" ht="15" hidden="false" customHeight="false" outlineLevel="0" collapsed="false">
      <c r="A307" s="6" t="s">
        <v>4875</v>
      </c>
      <c r="B307" s="6" t="s">
        <v>496</v>
      </c>
      <c r="C307" s="6" t="s">
        <v>114</v>
      </c>
      <c r="D307" s="6" t="s">
        <v>22</v>
      </c>
      <c r="E307" s="6" t="n">
        <f aca="false">ROUND(11497*1.05,2)</f>
        <v>12071.85</v>
      </c>
      <c r="F307" s="6" t="s">
        <v>23</v>
      </c>
      <c r="G307" s="6" t="s">
        <v>24</v>
      </c>
      <c r="H307" s="6" t="n">
        <f aca="true">ROUND(RAND()*4+6,1)</f>
        <v>8.9</v>
      </c>
      <c r="I307" s="6" t="s">
        <v>25</v>
      </c>
      <c r="J307" s="6" t="str">
        <f aca="false">ROUND(72*1,0)&amp;"%"</f>
        <v>72%</v>
      </c>
    </row>
    <row r="308" customFormat="false" ht="15" hidden="false" customHeight="false" outlineLevel="0" collapsed="false">
      <c r="A308" s="5" t="s">
        <v>4876</v>
      </c>
      <c r="B308" s="5" t="s">
        <v>498</v>
      </c>
      <c r="C308" s="5" t="s">
        <v>114</v>
      </c>
      <c r="D308" s="5" t="s">
        <v>28</v>
      </c>
      <c r="E308" s="5" t="n">
        <f aca="false">ROUND(15077*1.05,2)</f>
        <v>15830.85</v>
      </c>
      <c r="F308" s="5" t="s">
        <v>29</v>
      </c>
      <c r="G308" s="5" t="s">
        <v>30</v>
      </c>
      <c r="H308" s="5" t="n">
        <f aca="true">ROUND(RAND()*4+6,1)</f>
        <v>6.5</v>
      </c>
      <c r="I308" s="5" t="s">
        <v>31</v>
      </c>
      <c r="J308" s="5" t="str">
        <f aca="false">ROUND(81*1,0)&amp;"%"</f>
        <v>81%</v>
      </c>
    </row>
    <row r="309" customFormat="false" ht="15" hidden="false" customHeight="false" outlineLevel="0" collapsed="false">
      <c r="A309" s="6" t="s">
        <v>4877</v>
      </c>
      <c r="B309" s="6" t="s">
        <v>500</v>
      </c>
      <c r="C309" s="6" t="s">
        <v>114</v>
      </c>
      <c r="D309" s="6" t="s">
        <v>34</v>
      </c>
      <c r="E309" s="6" t="n">
        <f aca="false">ROUND(4097*1.05,2)</f>
        <v>4301.85</v>
      </c>
      <c r="F309" s="6" t="s">
        <v>35</v>
      </c>
      <c r="G309" s="6" t="s">
        <v>18</v>
      </c>
      <c r="H309" s="6" t="n">
        <f aca="true">ROUND(RAND()*4+6,1)</f>
        <v>8.4</v>
      </c>
      <c r="I309" s="6" t="s">
        <v>36</v>
      </c>
      <c r="J309" s="6" t="str">
        <f aca="false">ROUND(72*1,0)&amp;"%"</f>
        <v>72%</v>
      </c>
    </row>
    <row r="310" customFormat="false" ht="15" hidden="false" customHeight="false" outlineLevel="0" collapsed="false">
      <c r="A310" s="5" t="s">
        <v>4878</v>
      </c>
      <c r="B310" s="5" t="s">
        <v>502</v>
      </c>
      <c r="C310" s="5" t="s">
        <v>114</v>
      </c>
      <c r="D310" s="5" t="s">
        <v>39</v>
      </c>
      <c r="E310" s="5" t="n">
        <f aca="false">ROUND(12967*1.05,2)</f>
        <v>13615.35</v>
      </c>
      <c r="F310" s="5" t="s">
        <v>40</v>
      </c>
      <c r="G310" s="5" t="s">
        <v>24</v>
      </c>
      <c r="H310" s="5" t="n">
        <f aca="true">ROUND(RAND()*4+6,1)</f>
        <v>8</v>
      </c>
      <c r="I310" s="5" t="s">
        <v>41</v>
      </c>
      <c r="J310" s="5" t="str">
        <f aca="false">ROUND(80*1,0)&amp;"%"</f>
        <v>80%</v>
      </c>
    </row>
    <row r="311" customFormat="false" ht="15" hidden="false" customHeight="false" outlineLevel="0" collapsed="false">
      <c r="A311" s="6" t="s">
        <v>4879</v>
      </c>
      <c r="B311" s="6" t="s">
        <v>504</v>
      </c>
      <c r="C311" s="6" t="s">
        <v>114</v>
      </c>
      <c r="D311" s="6" t="s">
        <v>44</v>
      </c>
      <c r="E311" s="6" t="n">
        <f aca="false">ROUND(15105*1.05,2)</f>
        <v>15860.25</v>
      </c>
      <c r="F311" s="6" t="s">
        <v>45</v>
      </c>
      <c r="G311" s="6" t="s">
        <v>30</v>
      </c>
      <c r="H311" s="6" t="n">
        <f aca="true">ROUND(RAND()*4+6,1)</f>
        <v>9.2</v>
      </c>
      <c r="I311" s="6" t="s">
        <v>46</v>
      </c>
      <c r="J311" s="6" t="str">
        <f aca="false">ROUND(89*1,0)&amp;"%"</f>
        <v>89%</v>
      </c>
    </row>
    <row r="312" customFormat="false" ht="15" hidden="false" customHeight="false" outlineLevel="0" collapsed="false">
      <c r="A312" s="5" t="s">
        <v>4880</v>
      </c>
      <c r="B312" s="5" t="s">
        <v>506</v>
      </c>
      <c r="C312" s="5" t="s">
        <v>114</v>
      </c>
      <c r="D312" s="5" t="s">
        <v>16</v>
      </c>
      <c r="E312" s="5" t="n">
        <f aca="false">ROUND(13757*1.05,2)</f>
        <v>14444.85</v>
      </c>
      <c r="F312" s="5" t="s">
        <v>49</v>
      </c>
      <c r="G312" s="5" t="s">
        <v>18</v>
      </c>
      <c r="H312" s="5" t="n">
        <f aca="true">ROUND(RAND()*4+6,1)</f>
        <v>9.7</v>
      </c>
      <c r="I312" s="5" t="s">
        <v>19</v>
      </c>
      <c r="J312" s="5" t="str">
        <f aca="false">ROUND(98*1,0)&amp;"%"</f>
        <v>98%</v>
      </c>
    </row>
    <row r="313" customFormat="false" ht="15" hidden="false" customHeight="false" outlineLevel="0" collapsed="false">
      <c r="A313" s="6" t="s">
        <v>4881</v>
      </c>
      <c r="B313" s="6" t="s">
        <v>508</v>
      </c>
      <c r="C313" s="6" t="s">
        <v>114</v>
      </c>
      <c r="D313" s="6" t="s">
        <v>22</v>
      </c>
      <c r="E313" s="6" t="n">
        <f aca="false">ROUND(12592*1.05,2)</f>
        <v>13221.6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ROUND(61*1,0)&amp;"%"</f>
        <v>61%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4882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4883</v>
      </c>
      <c r="B318" s="5" t="s">
        <v>512</v>
      </c>
      <c r="C318" s="5" t="s">
        <v>133</v>
      </c>
      <c r="D318" s="5" t="s">
        <v>16</v>
      </c>
      <c r="E318" s="5" t="n">
        <f aca="false">ROUND(6334*1.05,2)</f>
        <v>6650.7</v>
      </c>
      <c r="F318" s="5" t="s">
        <v>17</v>
      </c>
      <c r="G318" s="5" t="s">
        <v>18</v>
      </c>
      <c r="H318" s="5" t="n">
        <f aca="true">ROUND(RAND()*4+6,1)</f>
        <v>8.9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4884</v>
      </c>
      <c r="B319" s="6" t="s">
        <v>514</v>
      </c>
      <c r="C319" s="6" t="s">
        <v>133</v>
      </c>
      <c r="D319" s="6" t="s">
        <v>22</v>
      </c>
      <c r="E319" s="6" t="n">
        <f aca="false">ROUND(4411*1.05,2)</f>
        <v>4631.55</v>
      </c>
      <c r="F319" s="6" t="s">
        <v>23</v>
      </c>
      <c r="G319" s="6" t="s">
        <v>24</v>
      </c>
      <c r="H319" s="6" t="n">
        <f aca="true">ROUND(RAND()*4+6,1)</f>
        <v>7.4</v>
      </c>
      <c r="I319" s="6" t="s">
        <v>25</v>
      </c>
      <c r="J319" s="6" t="str">
        <f aca="false">ROUND(86*1,0)&amp;"%"</f>
        <v>86%</v>
      </c>
    </row>
    <row r="320" customFormat="false" ht="15" hidden="false" customHeight="false" outlineLevel="0" collapsed="false">
      <c r="A320" s="5" t="s">
        <v>4885</v>
      </c>
      <c r="B320" s="5" t="s">
        <v>516</v>
      </c>
      <c r="C320" s="5" t="s">
        <v>133</v>
      </c>
      <c r="D320" s="5" t="s">
        <v>28</v>
      </c>
      <c r="E320" s="5" t="n">
        <f aca="false">ROUND(16716*1.05,2)</f>
        <v>17551.8</v>
      </c>
      <c r="F320" s="5" t="s">
        <v>29</v>
      </c>
      <c r="G320" s="5" t="s">
        <v>30</v>
      </c>
      <c r="H320" s="5" t="n">
        <f aca="true">ROUND(RAND()*4+6,1)</f>
        <v>6.5</v>
      </c>
      <c r="I320" s="5" t="s">
        <v>31</v>
      </c>
      <c r="J320" s="5" t="str">
        <f aca="false">ROUND(69*1,0)&amp;"%"</f>
        <v>69%</v>
      </c>
    </row>
    <row r="321" customFormat="false" ht="15" hidden="false" customHeight="false" outlineLevel="0" collapsed="false">
      <c r="A321" s="6" t="s">
        <v>4886</v>
      </c>
      <c r="B321" s="6" t="s">
        <v>518</v>
      </c>
      <c r="C321" s="6" t="s">
        <v>133</v>
      </c>
      <c r="D321" s="6" t="s">
        <v>34</v>
      </c>
      <c r="E321" s="6" t="n">
        <f aca="false">ROUND(6344*1.05,2)</f>
        <v>6661.2</v>
      </c>
      <c r="F321" s="6" t="s">
        <v>35</v>
      </c>
      <c r="G321" s="6" t="s">
        <v>18</v>
      </c>
      <c r="H321" s="6" t="n">
        <f aca="true">ROUND(RAND()*4+6,1)</f>
        <v>8</v>
      </c>
      <c r="I321" s="6" t="s">
        <v>36</v>
      </c>
      <c r="J321" s="6" t="str">
        <f aca="false">ROUND(89*1,0)&amp;"%"</f>
        <v>89%</v>
      </c>
    </row>
    <row r="322" customFormat="false" ht="15" hidden="false" customHeight="false" outlineLevel="0" collapsed="false">
      <c r="A322" s="5" t="s">
        <v>4887</v>
      </c>
      <c r="B322" s="5" t="s">
        <v>520</v>
      </c>
      <c r="C322" s="5" t="s">
        <v>133</v>
      </c>
      <c r="D322" s="5" t="s">
        <v>39</v>
      </c>
      <c r="E322" s="5" t="n">
        <f aca="false">ROUND(6109*1.05,2)</f>
        <v>6414.45</v>
      </c>
      <c r="F322" s="5" t="s">
        <v>40</v>
      </c>
      <c r="G322" s="5" t="s">
        <v>24</v>
      </c>
      <c r="H322" s="5" t="n">
        <f aca="true">ROUND(RAND()*4+6,1)</f>
        <v>8.8</v>
      </c>
      <c r="I322" s="5" t="s">
        <v>41</v>
      </c>
      <c r="J322" s="5" t="str">
        <f aca="false">ROUND(93*1,0)&amp;"%"</f>
        <v>93%</v>
      </c>
    </row>
    <row r="323" customFormat="false" ht="15" hidden="false" customHeight="false" outlineLevel="0" collapsed="false">
      <c r="A323" s="6" t="s">
        <v>4888</v>
      </c>
      <c r="B323" s="6" t="s">
        <v>522</v>
      </c>
      <c r="C323" s="6" t="s">
        <v>133</v>
      </c>
      <c r="D323" s="6" t="s">
        <v>44</v>
      </c>
      <c r="E323" s="6" t="n">
        <f aca="false">ROUND(16961*1.05,2)</f>
        <v>17809.05</v>
      </c>
      <c r="F323" s="6" t="s">
        <v>45</v>
      </c>
      <c r="G323" s="6" t="s">
        <v>30</v>
      </c>
      <c r="H323" s="6" t="n">
        <f aca="true">ROUND(RAND()*4+6,1)</f>
        <v>6.2</v>
      </c>
      <c r="I323" s="6" t="s">
        <v>46</v>
      </c>
      <c r="J323" s="6" t="str">
        <f aca="false">ROUND(77*1,0)&amp;"%"</f>
        <v>77%</v>
      </c>
    </row>
    <row r="324" customFormat="false" ht="15" hidden="false" customHeight="false" outlineLevel="0" collapsed="false">
      <c r="A324" s="5" t="s">
        <v>4889</v>
      </c>
      <c r="B324" s="5" t="s">
        <v>524</v>
      </c>
      <c r="C324" s="5" t="s">
        <v>133</v>
      </c>
      <c r="D324" s="5" t="s">
        <v>16</v>
      </c>
      <c r="E324" s="5" t="n">
        <f aca="false">ROUND(5230*1.05,2)</f>
        <v>5491.5</v>
      </c>
      <c r="F324" s="5" t="s">
        <v>49</v>
      </c>
      <c r="G324" s="5" t="s">
        <v>18</v>
      </c>
      <c r="H324" s="5" t="n">
        <f aca="true">ROUND(RAND()*4+6,1)</f>
        <v>8.4</v>
      </c>
      <c r="I324" s="5" t="s">
        <v>19</v>
      </c>
      <c r="J324" s="5" t="str">
        <f aca="false">ROUND(69*1,0)&amp;"%"</f>
        <v>69%</v>
      </c>
    </row>
    <row r="325" customFormat="false" ht="15" hidden="false" customHeight="false" outlineLevel="0" collapsed="false">
      <c r="A325" s="6" t="s">
        <v>4890</v>
      </c>
      <c r="B325" s="6" t="s">
        <v>526</v>
      </c>
      <c r="C325" s="6" t="s">
        <v>133</v>
      </c>
      <c r="D325" s="6" t="s">
        <v>22</v>
      </c>
      <c r="E325" s="6" t="n">
        <f aca="false">ROUND(7531*1.05,2)</f>
        <v>7907.55</v>
      </c>
      <c r="F325" s="6" t="s">
        <v>52</v>
      </c>
      <c r="G325" s="6" t="s">
        <v>24</v>
      </c>
      <c r="H325" s="6" t="n">
        <f aca="true">ROUND(RAND()*4+6,1)</f>
        <v>7.5</v>
      </c>
      <c r="I325" s="6" t="s">
        <v>25</v>
      </c>
      <c r="J325" s="6" t="str">
        <f aca="false">ROUND(81*1,0)&amp;"%"</f>
        <v>81%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4891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4892</v>
      </c>
      <c r="B330" s="5" t="s">
        <v>530</v>
      </c>
      <c r="C330" s="5" t="s">
        <v>152</v>
      </c>
      <c r="D330" s="5" t="s">
        <v>16</v>
      </c>
      <c r="E330" s="5" t="n">
        <f aca="false">ROUND(9927*1.05,2)</f>
        <v>10423.35</v>
      </c>
      <c r="F330" s="5" t="s">
        <v>17</v>
      </c>
      <c r="G330" s="5" t="s">
        <v>18</v>
      </c>
      <c r="H330" s="5" t="n">
        <f aca="true">ROUND(RAND()*4+6,1)</f>
        <v>7.8</v>
      </c>
      <c r="I330" s="5" t="s">
        <v>19</v>
      </c>
      <c r="J330" s="5" t="str">
        <f aca="false">ROUND(92*1,0)&amp;"%"</f>
        <v>92%</v>
      </c>
    </row>
    <row r="331" customFormat="false" ht="15" hidden="false" customHeight="false" outlineLevel="0" collapsed="false">
      <c r="A331" s="6" t="s">
        <v>4893</v>
      </c>
      <c r="B331" s="6" t="s">
        <v>532</v>
      </c>
      <c r="C331" s="6" t="s">
        <v>152</v>
      </c>
      <c r="D331" s="6" t="s">
        <v>22</v>
      </c>
      <c r="E331" s="6" t="n">
        <f aca="false">ROUND(12954*1.05,2)</f>
        <v>13601.7</v>
      </c>
      <c r="F331" s="6" t="s">
        <v>23</v>
      </c>
      <c r="G331" s="6" t="s">
        <v>24</v>
      </c>
      <c r="H331" s="6" t="n">
        <f aca="true">ROUND(RAND()*4+6,1)</f>
        <v>9.1</v>
      </c>
      <c r="I331" s="6" t="s">
        <v>25</v>
      </c>
      <c r="J331" s="6" t="str">
        <f aca="false">ROUND(100*1,0)&amp;"%"</f>
        <v>100%</v>
      </c>
    </row>
    <row r="332" customFormat="false" ht="15" hidden="false" customHeight="false" outlineLevel="0" collapsed="false">
      <c r="A332" s="5" t="s">
        <v>4894</v>
      </c>
      <c r="B332" s="5" t="s">
        <v>534</v>
      </c>
      <c r="C332" s="5" t="s">
        <v>152</v>
      </c>
      <c r="D332" s="5" t="s">
        <v>28</v>
      </c>
      <c r="E332" s="5" t="n">
        <f aca="false">ROUND(11544*1.05,2)</f>
        <v>12121.2</v>
      </c>
      <c r="F332" s="5" t="s">
        <v>29</v>
      </c>
      <c r="G332" s="5" t="s">
        <v>30</v>
      </c>
      <c r="H332" s="5" t="n">
        <f aca="true">ROUND(RAND()*4+6,1)</f>
        <v>9.4</v>
      </c>
      <c r="I332" s="5" t="s">
        <v>31</v>
      </c>
      <c r="J332" s="5" t="str">
        <f aca="false">ROUND(70*1,0)&amp;"%"</f>
        <v>70%</v>
      </c>
    </row>
    <row r="333" customFormat="false" ht="15" hidden="false" customHeight="false" outlineLevel="0" collapsed="false">
      <c r="A333" s="6" t="s">
        <v>4895</v>
      </c>
      <c r="B333" s="6" t="s">
        <v>536</v>
      </c>
      <c r="C333" s="6" t="s">
        <v>152</v>
      </c>
      <c r="D333" s="6" t="s">
        <v>34</v>
      </c>
      <c r="E333" s="6" t="n">
        <f aca="false">ROUND(6191*1.05,2)</f>
        <v>6500.55</v>
      </c>
      <c r="F333" s="6" t="s">
        <v>35</v>
      </c>
      <c r="G333" s="6" t="s">
        <v>18</v>
      </c>
      <c r="H333" s="6" t="n">
        <f aca="true">ROUND(RAND()*4+6,1)</f>
        <v>6.7</v>
      </c>
      <c r="I333" s="6" t="s">
        <v>36</v>
      </c>
      <c r="J333" s="6" t="str">
        <f aca="false">ROUND(70*1,0)&amp;"%"</f>
        <v>70%</v>
      </c>
    </row>
    <row r="334" customFormat="false" ht="15" hidden="false" customHeight="false" outlineLevel="0" collapsed="false">
      <c r="A334" s="5" t="s">
        <v>4896</v>
      </c>
      <c r="B334" s="5" t="s">
        <v>538</v>
      </c>
      <c r="C334" s="5" t="s">
        <v>152</v>
      </c>
      <c r="D334" s="5" t="s">
        <v>39</v>
      </c>
      <c r="E334" s="5" t="n">
        <f aca="false">ROUND(5608*1.05,2)</f>
        <v>5888.4</v>
      </c>
      <c r="F334" s="5" t="s">
        <v>40</v>
      </c>
      <c r="G334" s="5" t="s">
        <v>24</v>
      </c>
      <c r="H334" s="5" t="n">
        <f aca="true">ROUND(RAND()*4+6,1)</f>
        <v>7.7</v>
      </c>
      <c r="I334" s="5" t="s">
        <v>41</v>
      </c>
      <c r="J334" s="5" t="str">
        <f aca="false">ROUND(74*1,0)&amp;"%"</f>
        <v>74%</v>
      </c>
    </row>
    <row r="335" customFormat="false" ht="15" hidden="false" customHeight="false" outlineLevel="0" collapsed="false">
      <c r="A335" s="6" t="s">
        <v>4897</v>
      </c>
      <c r="B335" s="6" t="s">
        <v>540</v>
      </c>
      <c r="C335" s="6" t="s">
        <v>152</v>
      </c>
      <c r="D335" s="6" t="s">
        <v>44</v>
      </c>
      <c r="E335" s="6" t="n">
        <f aca="false">ROUND(4331*1.05,2)</f>
        <v>4547.55</v>
      </c>
      <c r="F335" s="6" t="s">
        <v>45</v>
      </c>
      <c r="G335" s="6" t="s">
        <v>30</v>
      </c>
      <c r="H335" s="6" t="n">
        <f aca="true">ROUND(RAND()*4+6,1)</f>
        <v>9.1</v>
      </c>
      <c r="I335" s="6" t="s">
        <v>46</v>
      </c>
      <c r="J335" s="6" t="str">
        <f aca="false">ROUND(76*1,0)&amp;"%"</f>
        <v>76%</v>
      </c>
    </row>
    <row r="336" customFormat="false" ht="15" hidden="false" customHeight="false" outlineLevel="0" collapsed="false">
      <c r="A336" s="5" t="s">
        <v>4898</v>
      </c>
      <c r="B336" s="5" t="s">
        <v>542</v>
      </c>
      <c r="C336" s="5" t="s">
        <v>152</v>
      </c>
      <c r="D336" s="5" t="s">
        <v>16</v>
      </c>
      <c r="E336" s="5" t="n">
        <f aca="false">ROUND(8338*1.05,2)</f>
        <v>8754.9</v>
      </c>
      <c r="F336" s="5" t="s">
        <v>49</v>
      </c>
      <c r="G336" s="5" t="s">
        <v>18</v>
      </c>
      <c r="H336" s="5" t="n">
        <f aca="true">ROUND(RAND()*4+6,1)</f>
        <v>7.5</v>
      </c>
      <c r="I336" s="5" t="s">
        <v>19</v>
      </c>
      <c r="J336" s="5" t="str">
        <f aca="false">ROUND(63*1,0)&amp;"%"</f>
        <v>63%</v>
      </c>
    </row>
    <row r="337" customFormat="false" ht="15" hidden="false" customHeight="false" outlineLevel="0" collapsed="false">
      <c r="A337" s="6" t="s">
        <v>4899</v>
      </c>
      <c r="B337" s="6" t="s">
        <v>544</v>
      </c>
      <c r="C337" s="6" t="s">
        <v>152</v>
      </c>
      <c r="D337" s="6" t="s">
        <v>22</v>
      </c>
      <c r="E337" s="6" t="n">
        <f aca="false">ROUND(9447*1.05,2)</f>
        <v>9919.35</v>
      </c>
      <c r="F337" s="6" t="s">
        <v>52</v>
      </c>
      <c r="G337" s="6" t="s">
        <v>24</v>
      </c>
      <c r="H337" s="6" t="n">
        <f aca="true">ROUND(RAND()*4+6,1)</f>
        <v>9.4</v>
      </c>
      <c r="I337" s="6" t="s">
        <v>25</v>
      </c>
      <c r="J337" s="6" t="str">
        <f aca="false">ROUND(95*1,0)&amp;"%"</f>
        <v>95%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4900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4901</v>
      </c>
      <c r="B342" s="5" t="s">
        <v>548</v>
      </c>
      <c r="C342" s="5" t="s">
        <v>15</v>
      </c>
      <c r="D342" s="5" t="s">
        <v>16</v>
      </c>
      <c r="E342" s="5" t="n">
        <f aca="false">ROUND(7214*1.05,2)</f>
        <v>7574.7</v>
      </c>
      <c r="F342" s="5" t="s">
        <v>17</v>
      </c>
      <c r="G342" s="5" t="s">
        <v>18</v>
      </c>
      <c r="H342" s="5" t="n">
        <f aca="true">ROUND(RAND()*4+6,1)</f>
        <v>7.7</v>
      </c>
      <c r="I342" s="5" t="s">
        <v>19</v>
      </c>
      <c r="J342" s="5" t="str">
        <f aca="false">ROUND(61*1,0)&amp;"%"</f>
        <v>61%</v>
      </c>
    </row>
    <row r="343" customFormat="false" ht="15" hidden="false" customHeight="false" outlineLevel="0" collapsed="false">
      <c r="A343" s="6" t="s">
        <v>4902</v>
      </c>
      <c r="B343" s="6" t="s">
        <v>550</v>
      </c>
      <c r="C343" s="6" t="s">
        <v>15</v>
      </c>
      <c r="D343" s="6" t="s">
        <v>22</v>
      </c>
      <c r="E343" s="6" t="n">
        <f aca="false">ROUND(12044*1.05,2)</f>
        <v>12646.2</v>
      </c>
      <c r="F343" s="6" t="s">
        <v>23</v>
      </c>
      <c r="G343" s="6" t="s">
        <v>24</v>
      </c>
      <c r="H343" s="6" t="n">
        <f aca="true">ROUND(RAND()*4+6,1)</f>
        <v>7</v>
      </c>
      <c r="I343" s="6" t="s">
        <v>25</v>
      </c>
      <c r="J343" s="6" t="str">
        <f aca="false">ROUND(73*1,0)&amp;"%"</f>
        <v>73%</v>
      </c>
    </row>
    <row r="344" customFormat="false" ht="15" hidden="false" customHeight="false" outlineLevel="0" collapsed="false">
      <c r="A344" s="5" t="s">
        <v>4903</v>
      </c>
      <c r="B344" s="5" t="s">
        <v>552</v>
      </c>
      <c r="C344" s="5" t="s">
        <v>15</v>
      </c>
      <c r="D344" s="5" t="s">
        <v>28</v>
      </c>
      <c r="E344" s="5" t="n">
        <f aca="false">ROUND(9990*1.05,2)</f>
        <v>10489.5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4904</v>
      </c>
      <c r="B345" s="6" t="s">
        <v>554</v>
      </c>
      <c r="C345" s="6" t="s">
        <v>15</v>
      </c>
      <c r="D345" s="6" t="s">
        <v>34</v>
      </c>
      <c r="E345" s="6" t="n">
        <f aca="false">ROUND(12052*1.05,2)</f>
        <v>12654.6</v>
      </c>
      <c r="F345" s="6" t="s">
        <v>35</v>
      </c>
      <c r="G345" s="6" t="s">
        <v>18</v>
      </c>
      <c r="H345" s="6" t="n">
        <f aca="true">ROUND(RAND()*4+6,1)</f>
        <v>6.1</v>
      </c>
      <c r="I345" s="6" t="s">
        <v>36</v>
      </c>
      <c r="J345" s="6" t="str">
        <f aca="false">ROUND(85*1,0)&amp;"%"</f>
        <v>85%</v>
      </c>
    </row>
    <row r="346" customFormat="false" ht="15" hidden="false" customHeight="false" outlineLevel="0" collapsed="false">
      <c r="A346" s="5" t="s">
        <v>4905</v>
      </c>
      <c r="B346" s="5" t="s">
        <v>556</v>
      </c>
      <c r="C346" s="5" t="s">
        <v>15</v>
      </c>
      <c r="D346" s="5" t="s">
        <v>39</v>
      </c>
      <c r="E346" s="5" t="n">
        <f aca="false">ROUND(7827*1.05,2)</f>
        <v>8218.35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ROUND(72*1,0)&amp;"%"</f>
        <v>72%</v>
      </c>
    </row>
    <row r="347" customFormat="false" ht="15" hidden="false" customHeight="false" outlineLevel="0" collapsed="false">
      <c r="A347" s="6" t="s">
        <v>4906</v>
      </c>
      <c r="B347" s="6" t="s">
        <v>558</v>
      </c>
      <c r="C347" s="6" t="s">
        <v>15</v>
      </c>
      <c r="D347" s="6" t="s">
        <v>44</v>
      </c>
      <c r="E347" s="6" t="n">
        <f aca="false">ROUND(12922*1.05,2)</f>
        <v>13568.1</v>
      </c>
      <c r="F347" s="6" t="s">
        <v>45</v>
      </c>
      <c r="G347" s="6" t="s">
        <v>30</v>
      </c>
      <c r="H347" s="6" t="n">
        <f aca="true">ROUND(RAND()*4+6,1)</f>
        <v>6.6</v>
      </c>
      <c r="I347" s="6" t="s">
        <v>46</v>
      </c>
      <c r="J347" s="6" t="str">
        <f aca="false">ROUND(93*1,0)&amp;"%"</f>
        <v>93%</v>
      </c>
    </row>
    <row r="348" customFormat="false" ht="15" hidden="false" customHeight="false" outlineLevel="0" collapsed="false">
      <c r="A348" s="5" t="s">
        <v>4907</v>
      </c>
      <c r="B348" s="5" t="s">
        <v>560</v>
      </c>
      <c r="C348" s="5" t="s">
        <v>15</v>
      </c>
      <c r="D348" s="5" t="s">
        <v>16</v>
      </c>
      <c r="E348" s="5" t="n">
        <f aca="false">ROUND(4149*1.05,2)</f>
        <v>4356.45</v>
      </c>
      <c r="F348" s="5" t="s">
        <v>49</v>
      </c>
      <c r="G348" s="5" t="s">
        <v>18</v>
      </c>
      <c r="H348" s="5" t="n">
        <f aca="true">ROUND(RAND()*4+6,1)</f>
        <v>6.3</v>
      </c>
      <c r="I348" s="5" t="s">
        <v>19</v>
      </c>
      <c r="J348" s="5" t="str">
        <f aca="false">ROUND(91*1,0)&amp;"%"</f>
        <v>91%</v>
      </c>
    </row>
    <row r="349" customFormat="false" ht="15" hidden="false" customHeight="false" outlineLevel="0" collapsed="false">
      <c r="A349" s="6" t="s">
        <v>4908</v>
      </c>
      <c r="B349" s="6" t="s">
        <v>562</v>
      </c>
      <c r="C349" s="6" t="s">
        <v>15</v>
      </c>
      <c r="D349" s="6" t="s">
        <v>22</v>
      </c>
      <c r="E349" s="6" t="n">
        <f aca="false">ROUND(17539*1.05,2)</f>
        <v>18415.95</v>
      </c>
      <c r="F349" s="6" t="s">
        <v>52</v>
      </c>
      <c r="G349" s="6" t="s">
        <v>24</v>
      </c>
      <c r="H349" s="6" t="n">
        <f aca="true">ROUND(RAND()*4+6,1)</f>
        <v>7.5</v>
      </c>
      <c r="I349" s="6" t="s">
        <v>25</v>
      </c>
      <c r="J349" s="6" t="str">
        <f aca="false">ROUND(77*1,0)&amp;"%"</f>
        <v>77%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4909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4910</v>
      </c>
      <c r="B354" s="5" t="s">
        <v>566</v>
      </c>
      <c r="C354" s="5" t="s">
        <v>57</v>
      </c>
      <c r="D354" s="5" t="s">
        <v>16</v>
      </c>
      <c r="E354" s="5" t="n">
        <f aca="false">ROUND(10117*1.05,2)</f>
        <v>10622.85</v>
      </c>
      <c r="F354" s="5" t="s">
        <v>17</v>
      </c>
      <c r="G354" s="5" t="s">
        <v>18</v>
      </c>
      <c r="H354" s="5" t="n">
        <f aca="true">ROUND(RAND()*4+6,1)</f>
        <v>6.1</v>
      </c>
      <c r="I354" s="5" t="s">
        <v>19</v>
      </c>
      <c r="J354" s="5" t="str">
        <f aca="false">ROUND(86*1,0)&amp;"%"</f>
        <v>86%</v>
      </c>
    </row>
    <row r="355" customFormat="false" ht="15" hidden="false" customHeight="false" outlineLevel="0" collapsed="false">
      <c r="A355" s="6" t="s">
        <v>4911</v>
      </c>
      <c r="B355" s="6" t="s">
        <v>568</v>
      </c>
      <c r="C355" s="6" t="s">
        <v>57</v>
      </c>
      <c r="D355" s="6" t="s">
        <v>22</v>
      </c>
      <c r="E355" s="6" t="n">
        <f aca="false">ROUND(4457*1.05,2)</f>
        <v>4679.85</v>
      </c>
      <c r="F355" s="6" t="s">
        <v>23</v>
      </c>
      <c r="G355" s="6" t="s">
        <v>24</v>
      </c>
      <c r="H355" s="6" t="n">
        <f aca="true">ROUND(RAND()*4+6,1)</f>
        <v>8.5</v>
      </c>
      <c r="I355" s="6" t="s">
        <v>25</v>
      </c>
      <c r="J355" s="6" t="str">
        <f aca="false">ROUND(65*1,0)&amp;"%"</f>
        <v>65%</v>
      </c>
    </row>
    <row r="356" customFormat="false" ht="15" hidden="false" customHeight="false" outlineLevel="0" collapsed="false">
      <c r="A356" s="5" t="s">
        <v>4912</v>
      </c>
      <c r="B356" s="5" t="s">
        <v>570</v>
      </c>
      <c r="C356" s="5" t="s">
        <v>57</v>
      </c>
      <c r="D356" s="5" t="s">
        <v>28</v>
      </c>
      <c r="E356" s="5" t="n">
        <f aca="false">ROUND(4802*1.05,2)</f>
        <v>5042.1</v>
      </c>
      <c r="F356" s="5" t="s">
        <v>29</v>
      </c>
      <c r="G356" s="5" t="s">
        <v>30</v>
      </c>
      <c r="H356" s="5" t="n">
        <f aca="true">ROUND(RAND()*4+6,1)</f>
        <v>8.9</v>
      </c>
      <c r="I356" s="5" t="s">
        <v>31</v>
      </c>
      <c r="J356" s="5" t="str">
        <f aca="false">ROUND(97*1,0)&amp;"%"</f>
        <v>97%</v>
      </c>
    </row>
    <row r="357" customFormat="false" ht="15" hidden="false" customHeight="false" outlineLevel="0" collapsed="false">
      <c r="A357" s="6" t="s">
        <v>4913</v>
      </c>
      <c r="B357" s="6" t="s">
        <v>572</v>
      </c>
      <c r="C357" s="6" t="s">
        <v>57</v>
      </c>
      <c r="D357" s="6" t="s">
        <v>34</v>
      </c>
      <c r="E357" s="6" t="n">
        <f aca="false">ROUND(16236*1.05,2)</f>
        <v>17047.8</v>
      </c>
      <c r="F357" s="6" t="s">
        <v>35</v>
      </c>
      <c r="G357" s="6" t="s">
        <v>18</v>
      </c>
      <c r="H357" s="6" t="n">
        <f aca="true">ROUND(RAND()*4+6,1)</f>
        <v>7.4</v>
      </c>
      <c r="I357" s="6" t="s">
        <v>36</v>
      </c>
      <c r="J357" s="6" t="str">
        <f aca="false">ROUND(70*1,0)&amp;"%"</f>
        <v>70%</v>
      </c>
    </row>
    <row r="358" customFormat="false" ht="15" hidden="false" customHeight="false" outlineLevel="0" collapsed="false">
      <c r="A358" s="5" t="s">
        <v>4914</v>
      </c>
      <c r="B358" s="5" t="s">
        <v>574</v>
      </c>
      <c r="C358" s="5" t="s">
        <v>57</v>
      </c>
      <c r="D358" s="5" t="s">
        <v>39</v>
      </c>
      <c r="E358" s="5" t="n">
        <f aca="false">ROUND(9209*1.05,2)</f>
        <v>9669.45</v>
      </c>
      <c r="F358" s="5" t="s">
        <v>40</v>
      </c>
      <c r="G358" s="5" t="s">
        <v>24</v>
      </c>
      <c r="H358" s="5" t="n">
        <f aca="true">ROUND(RAND()*4+6,1)</f>
        <v>9.8</v>
      </c>
      <c r="I358" s="5" t="s">
        <v>41</v>
      </c>
      <c r="J358" s="5" t="str">
        <f aca="false">ROUND(86*1,0)&amp;"%"</f>
        <v>86%</v>
      </c>
    </row>
    <row r="359" customFormat="false" ht="15" hidden="false" customHeight="false" outlineLevel="0" collapsed="false">
      <c r="A359" s="6" t="s">
        <v>4915</v>
      </c>
      <c r="B359" s="6" t="s">
        <v>576</v>
      </c>
      <c r="C359" s="6" t="s">
        <v>57</v>
      </c>
      <c r="D359" s="6" t="s">
        <v>44</v>
      </c>
      <c r="E359" s="6" t="n">
        <f aca="false">ROUND(17663*1.05,2)</f>
        <v>18546.15</v>
      </c>
      <c r="F359" s="6" t="s">
        <v>45</v>
      </c>
      <c r="G359" s="6" t="s">
        <v>30</v>
      </c>
      <c r="H359" s="6" t="n">
        <f aca="true">ROUND(RAND()*4+6,1)</f>
        <v>8.3</v>
      </c>
      <c r="I359" s="6" t="s">
        <v>46</v>
      </c>
      <c r="J359" s="6" t="str">
        <f aca="false">ROUND(71*1,0)&amp;"%"</f>
        <v>71%</v>
      </c>
    </row>
    <row r="360" customFormat="false" ht="15" hidden="false" customHeight="false" outlineLevel="0" collapsed="false">
      <c r="A360" s="5" t="s">
        <v>4916</v>
      </c>
      <c r="B360" s="5" t="s">
        <v>578</v>
      </c>
      <c r="C360" s="5" t="s">
        <v>57</v>
      </c>
      <c r="D360" s="5" t="s">
        <v>16</v>
      </c>
      <c r="E360" s="5" t="n">
        <f aca="false">ROUND(9209*1.05,2)</f>
        <v>9669.45</v>
      </c>
      <c r="F360" s="5" t="s">
        <v>49</v>
      </c>
      <c r="G360" s="5" t="s">
        <v>18</v>
      </c>
      <c r="H360" s="5" t="n">
        <f aca="true">ROUND(RAND()*4+6,1)</f>
        <v>9.6</v>
      </c>
      <c r="I360" s="5" t="s">
        <v>19</v>
      </c>
      <c r="J360" s="5" t="str">
        <f aca="false">ROUND(63*1,0)&amp;"%"</f>
        <v>63%</v>
      </c>
    </row>
    <row r="361" customFormat="false" ht="15" hidden="false" customHeight="false" outlineLevel="0" collapsed="false">
      <c r="A361" s="6" t="s">
        <v>4917</v>
      </c>
      <c r="B361" s="6" t="s">
        <v>580</v>
      </c>
      <c r="C361" s="6" t="s">
        <v>57</v>
      </c>
      <c r="D361" s="6" t="s">
        <v>22</v>
      </c>
      <c r="E361" s="6" t="n">
        <f aca="false">ROUND(11228*1.05,2)</f>
        <v>11789.4</v>
      </c>
      <c r="F361" s="6" t="s">
        <v>52</v>
      </c>
      <c r="G361" s="6" t="s">
        <v>24</v>
      </c>
      <c r="H361" s="6" t="n">
        <f aca="true">ROUND(RAND()*4+6,1)</f>
        <v>9.6</v>
      </c>
      <c r="I361" s="6" t="s">
        <v>25</v>
      </c>
      <c r="J361" s="6" t="str">
        <f aca="false">ROUND(100*1,0)&amp;"%"</f>
        <v>100%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4918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4919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4920</v>
      </c>
      <c r="B6" s="5" t="s">
        <v>14</v>
      </c>
      <c r="C6" s="5" t="s">
        <v>15</v>
      </c>
      <c r="D6" s="5" t="s">
        <v>16</v>
      </c>
      <c r="E6" s="5" t="n">
        <f aca="false">ROUND(14767*1.05,2)</f>
        <v>15505.35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ROUND(70*1,0)&amp;"%"</f>
        <v>70%</v>
      </c>
    </row>
    <row r="7" customFormat="false" ht="15" hidden="false" customHeight="false" outlineLevel="0" collapsed="false">
      <c r="A7" s="6" t="s">
        <v>4921</v>
      </c>
      <c r="B7" s="6" t="s">
        <v>21</v>
      </c>
      <c r="C7" s="6" t="s">
        <v>15</v>
      </c>
      <c r="D7" s="6" t="s">
        <v>22</v>
      </c>
      <c r="E7" s="6" t="n">
        <f aca="false">ROUND(11460*1.05,2)</f>
        <v>12033</v>
      </c>
      <c r="F7" s="6" t="s">
        <v>23</v>
      </c>
      <c r="G7" s="6" t="s">
        <v>24</v>
      </c>
      <c r="H7" s="6" t="n">
        <f aca="true">ROUND(RAND()*4+6,1)</f>
        <v>9.7</v>
      </c>
      <c r="I7" s="6" t="s">
        <v>25</v>
      </c>
      <c r="J7" s="6" t="str">
        <f aca="false">ROUND(80*1,0)&amp;"%"</f>
        <v>80%</v>
      </c>
    </row>
    <row r="8" customFormat="false" ht="15" hidden="false" customHeight="false" outlineLevel="0" collapsed="false">
      <c r="A8" s="5" t="s">
        <v>4922</v>
      </c>
      <c r="B8" s="5" t="s">
        <v>27</v>
      </c>
      <c r="C8" s="5" t="s">
        <v>15</v>
      </c>
      <c r="D8" s="5" t="s">
        <v>28</v>
      </c>
      <c r="E8" s="5" t="n">
        <f aca="false">ROUND(10339*1.05,2)</f>
        <v>10855.95</v>
      </c>
      <c r="F8" s="5" t="s">
        <v>29</v>
      </c>
      <c r="G8" s="5" t="s">
        <v>30</v>
      </c>
      <c r="H8" s="5" t="n">
        <f aca="true">ROUND(RAND()*4+6,1)</f>
        <v>6.9</v>
      </c>
      <c r="I8" s="5" t="s">
        <v>31</v>
      </c>
      <c r="J8" s="5" t="str">
        <f aca="false">ROUND(62*1,0)&amp;"%"</f>
        <v>62%</v>
      </c>
    </row>
    <row r="9" customFormat="false" ht="15" hidden="false" customHeight="false" outlineLevel="0" collapsed="false">
      <c r="A9" s="6" t="s">
        <v>4923</v>
      </c>
      <c r="B9" s="6" t="s">
        <v>33</v>
      </c>
      <c r="C9" s="6" t="s">
        <v>15</v>
      </c>
      <c r="D9" s="6" t="s">
        <v>34</v>
      </c>
      <c r="E9" s="6" t="n">
        <f aca="false">ROUND(16843*1.05,2)</f>
        <v>17685.15</v>
      </c>
      <c r="F9" s="6" t="s">
        <v>35</v>
      </c>
      <c r="G9" s="6" t="s">
        <v>18</v>
      </c>
      <c r="H9" s="6" t="n">
        <f aca="true">ROUND(RAND()*4+6,1)</f>
        <v>6.1</v>
      </c>
      <c r="I9" s="6" t="s">
        <v>36</v>
      </c>
      <c r="J9" s="6" t="str">
        <f aca="false">ROUND(95*1,0)&amp;"%"</f>
        <v>95%</v>
      </c>
    </row>
    <row r="10" customFormat="false" ht="15" hidden="false" customHeight="false" outlineLevel="0" collapsed="false">
      <c r="A10" s="5" t="s">
        <v>4924</v>
      </c>
      <c r="B10" s="5" t="s">
        <v>38</v>
      </c>
      <c r="C10" s="5" t="s">
        <v>15</v>
      </c>
      <c r="D10" s="5" t="s">
        <v>39</v>
      </c>
      <c r="E10" s="5" t="n">
        <f aca="false">ROUND(5656*1.05,2)</f>
        <v>5938.8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ROUND(99*1,0)&amp;"%"</f>
        <v>99%</v>
      </c>
    </row>
    <row r="11" customFormat="false" ht="15" hidden="false" customHeight="false" outlineLevel="0" collapsed="false">
      <c r="A11" s="6" t="s">
        <v>4925</v>
      </c>
      <c r="B11" s="6" t="s">
        <v>43</v>
      </c>
      <c r="C11" s="6" t="s">
        <v>15</v>
      </c>
      <c r="D11" s="6" t="s">
        <v>44</v>
      </c>
      <c r="E11" s="6" t="n">
        <f aca="false">ROUND(5225*1.05,2)</f>
        <v>5486.25</v>
      </c>
      <c r="F11" s="6" t="s">
        <v>45</v>
      </c>
      <c r="G11" s="6" t="s">
        <v>30</v>
      </c>
      <c r="H11" s="6" t="n">
        <f aca="true">ROUND(RAND()*4+6,1)</f>
        <v>7</v>
      </c>
      <c r="I11" s="6" t="s">
        <v>46</v>
      </c>
      <c r="J11" s="6" t="str">
        <f aca="false">ROUND(69*1,0)&amp;"%"</f>
        <v>69%</v>
      </c>
    </row>
    <row r="12" customFormat="false" ht="15" hidden="false" customHeight="false" outlineLevel="0" collapsed="false">
      <c r="A12" s="5" t="s">
        <v>4926</v>
      </c>
      <c r="B12" s="5" t="s">
        <v>48</v>
      </c>
      <c r="C12" s="5" t="s">
        <v>15</v>
      </c>
      <c r="D12" s="5" t="s">
        <v>16</v>
      </c>
      <c r="E12" s="5" t="n">
        <f aca="false">ROUND(15954*1.05,2)</f>
        <v>16751.7</v>
      </c>
      <c r="F12" s="5" t="s">
        <v>49</v>
      </c>
      <c r="G12" s="5" t="s">
        <v>18</v>
      </c>
      <c r="H12" s="5" t="n">
        <f aca="true">ROUND(RAND()*4+6,1)</f>
        <v>8.1</v>
      </c>
      <c r="I12" s="5" t="s">
        <v>19</v>
      </c>
      <c r="J12" s="5" t="str">
        <f aca="false">ROUND(71*1,0)&amp;"%"</f>
        <v>71%</v>
      </c>
    </row>
    <row r="13" customFormat="false" ht="15" hidden="false" customHeight="false" outlineLevel="0" collapsed="false">
      <c r="A13" s="6" t="s">
        <v>4927</v>
      </c>
      <c r="B13" s="6" t="s">
        <v>51</v>
      </c>
      <c r="C13" s="6" t="s">
        <v>15</v>
      </c>
      <c r="D13" s="6" t="s">
        <v>22</v>
      </c>
      <c r="E13" s="6" t="n">
        <f aca="false">ROUND(16344*1.05,2)</f>
        <v>17161.2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ROUND(75*1,0)&amp;"%"</f>
        <v>75%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4928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4929</v>
      </c>
      <c r="B18" s="5" t="s">
        <v>56</v>
      </c>
      <c r="C18" s="5" t="s">
        <v>57</v>
      </c>
      <c r="D18" s="5" t="s">
        <v>16</v>
      </c>
      <c r="E18" s="5" t="n">
        <f aca="false">ROUND(9505*1.05,2)</f>
        <v>9980.25</v>
      </c>
      <c r="F18" s="5" t="s">
        <v>17</v>
      </c>
      <c r="G18" s="5" t="s">
        <v>18</v>
      </c>
      <c r="H18" s="5" t="n">
        <f aca="true">ROUND(RAND()*4+6,1)</f>
        <v>9.7</v>
      </c>
      <c r="I18" s="5" t="s">
        <v>19</v>
      </c>
      <c r="J18" s="5" t="str">
        <f aca="false">ROUND(82*1,0)&amp;"%"</f>
        <v>82%</v>
      </c>
    </row>
    <row r="19" customFormat="false" ht="15" hidden="false" customHeight="false" outlineLevel="0" collapsed="false">
      <c r="A19" s="6" t="s">
        <v>4930</v>
      </c>
      <c r="B19" s="6" t="s">
        <v>59</v>
      </c>
      <c r="C19" s="6" t="s">
        <v>57</v>
      </c>
      <c r="D19" s="6" t="s">
        <v>22</v>
      </c>
      <c r="E19" s="6" t="n">
        <f aca="false">ROUND(10641*1.05,2)</f>
        <v>11173.05</v>
      </c>
      <c r="F19" s="6" t="s">
        <v>23</v>
      </c>
      <c r="G19" s="6" t="s">
        <v>24</v>
      </c>
      <c r="H19" s="6" t="n">
        <f aca="true">ROUND(RAND()*4+6,1)</f>
        <v>6.5</v>
      </c>
      <c r="I19" s="6" t="s">
        <v>25</v>
      </c>
      <c r="J19" s="6" t="str">
        <f aca="false">ROUND(73*1,0)&amp;"%"</f>
        <v>73%</v>
      </c>
    </row>
    <row r="20" customFormat="false" ht="15" hidden="false" customHeight="false" outlineLevel="0" collapsed="false">
      <c r="A20" s="5" t="s">
        <v>4931</v>
      </c>
      <c r="B20" s="5" t="s">
        <v>61</v>
      </c>
      <c r="C20" s="5" t="s">
        <v>57</v>
      </c>
      <c r="D20" s="5" t="s">
        <v>28</v>
      </c>
      <c r="E20" s="5" t="n">
        <f aca="false">ROUND(8018*1.05,2)</f>
        <v>8418.9</v>
      </c>
      <c r="F20" s="5" t="s">
        <v>29</v>
      </c>
      <c r="G20" s="5" t="s">
        <v>30</v>
      </c>
      <c r="H20" s="5" t="n">
        <f aca="true">ROUND(RAND()*4+6,1)</f>
        <v>6.6</v>
      </c>
      <c r="I20" s="5" t="s">
        <v>31</v>
      </c>
      <c r="J20" s="5" t="str">
        <f aca="false">ROUND(71*1,0)&amp;"%"</f>
        <v>71%</v>
      </c>
    </row>
    <row r="21" customFormat="false" ht="15" hidden="false" customHeight="false" outlineLevel="0" collapsed="false">
      <c r="A21" s="6" t="s">
        <v>4932</v>
      </c>
      <c r="B21" s="6" t="s">
        <v>63</v>
      </c>
      <c r="C21" s="6" t="s">
        <v>57</v>
      </c>
      <c r="D21" s="6" t="s">
        <v>34</v>
      </c>
      <c r="E21" s="6" t="n">
        <f aca="false">ROUND(11893*1.05,2)</f>
        <v>12487.65</v>
      </c>
      <c r="F21" s="6" t="s">
        <v>35</v>
      </c>
      <c r="G21" s="6" t="s">
        <v>18</v>
      </c>
      <c r="H21" s="6" t="n">
        <f aca="true">ROUND(RAND()*4+6,1)</f>
        <v>7.6</v>
      </c>
      <c r="I21" s="6" t="s">
        <v>36</v>
      </c>
      <c r="J21" s="6" t="str">
        <f aca="false">ROUND(84*1,0)&amp;"%"</f>
        <v>84%</v>
      </c>
    </row>
    <row r="22" customFormat="false" ht="15" hidden="false" customHeight="false" outlineLevel="0" collapsed="false">
      <c r="A22" s="5" t="s">
        <v>4933</v>
      </c>
      <c r="B22" s="5" t="s">
        <v>65</v>
      </c>
      <c r="C22" s="5" t="s">
        <v>57</v>
      </c>
      <c r="D22" s="5" t="s">
        <v>39</v>
      </c>
      <c r="E22" s="5" t="n">
        <f aca="false">ROUND(5212*1.05,2)</f>
        <v>5472.6</v>
      </c>
      <c r="F22" s="5" t="s">
        <v>40</v>
      </c>
      <c r="G22" s="5" t="s">
        <v>24</v>
      </c>
      <c r="H22" s="5" t="n">
        <f aca="true">ROUND(RAND()*4+6,1)</f>
        <v>8.5</v>
      </c>
      <c r="I22" s="5" t="s">
        <v>41</v>
      </c>
      <c r="J22" s="5" t="str">
        <f aca="false">ROUND(74*1,0)&amp;"%"</f>
        <v>74%</v>
      </c>
    </row>
    <row r="23" customFormat="false" ht="15" hidden="false" customHeight="false" outlineLevel="0" collapsed="false">
      <c r="A23" s="6" t="s">
        <v>4934</v>
      </c>
      <c r="B23" s="6" t="s">
        <v>67</v>
      </c>
      <c r="C23" s="6" t="s">
        <v>57</v>
      </c>
      <c r="D23" s="6" t="s">
        <v>44</v>
      </c>
      <c r="E23" s="6" t="n">
        <f aca="false">ROUND(13450*1.05,2)</f>
        <v>14122.5</v>
      </c>
      <c r="F23" s="6" t="s">
        <v>45</v>
      </c>
      <c r="G23" s="6" t="s">
        <v>30</v>
      </c>
      <c r="H23" s="6" t="n">
        <f aca="true">ROUND(RAND()*4+6,1)</f>
        <v>6.9</v>
      </c>
      <c r="I23" s="6" t="s">
        <v>46</v>
      </c>
      <c r="J23" s="6" t="str">
        <f aca="false">ROUND(69*1,0)&amp;"%"</f>
        <v>69%</v>
      </c>
    </row>
    <row r="24" customFormat="false" ht="15" hidden="false" customHeight="false" outlineLevel="0" collapsed="false">
      <c r="A24" s="5" t="s">
        <v>4935</v>
      </c>
      <c r="B24" s="5" t="s">
        <v>69</v>
      </c>
      <c r="C24" s="5" t="s">
        <v>57</v>
      </c>
      <c r="D24" s="5" t="s">
        <v>16</v>
      </c>
      <c r="E24" s="5" t="n">
        <f aca="false">ROUND(5998*1.05,2)</f>
        <v>6297.9</v>
      </c>
      <c r="F24" s="5" t="s">
        <v>49</v>
      </c>
      <c r="G24" s="5" t="s">
        <v>18</v>
      </c>
      <c r="H24" s="5" t="n">
        <f aca="true">ROUND(RAND()*4+6,1)</f>
        <v>10</v>
      </c>
      <c r="I24" s="5" t="s">
        <v>19</v>
      </c>
      <c r="J24" s="5" t="str">
        <f aca="false">ROUND(87*1,0)&amp;"%"</f>
        <v>87%</v>
      </c>
    </row>
    <row r="25" customFormat="false" ht="15" hidden="false" customHeight="false" outlineLevel="0" collapsed="false">
      <c r="A25" s="6" t="s">
        <v>4936</v>
      </c>
      <c r="B25" s="6" t="s">
        <v>71</v>
      </c>
      <c r="C25" s="6" t="s">
        <v>57</v>
      </c>
      <c r="D25" s="6" t="s">
        <v>22</v>
      </c>
      <c r="E25" s="6" t="n">
        <f aca="false">ROUND(17486*1.05,2)</f>
        <v>18360.3</v>
      </c>
      <c r="F25" s="6" t="s">
        <v>52</v>
      </c>
      <c r="G25" s="6" t="s">
        <v>24</v>
      </c>
      <c r="H25" s="6" t="n">
        <f aca="true">ROUND(RAND()*4+6,1)</f>
        <v>9.3</v>
      </c>
      <c r="I25" s="6" t="s">
        <v>25</v>
      </c>
      <c r="J25" s="6" t="str">
        <f aca="false">ROUND(88*1,0)&amp;"%"</f>
        <v>88%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4937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4938</v>
      </c>
      <c r="B30" s="5" t="s">
        <v>75</v>
      </c>
      <c r="C30" s="5" t="s">
        <v>76</v>
      </c>
      <c r="D30" s="5" t="s">
        <v>16</v>
      </c>
      <c r="E30" s="5" t="n">
        <f aca="false">ROUND(17690*1.05,2)</f>
        <v>18574.5</v>
      </c>
      <c r="F30" s="5" t="s">
        <v>17</v>
      </c>
      <c r="G30" s="5" t="s">
        <v>18</v>
      </c>
      <c r="H30" s="5" t="n">
        <f aca="true">ROUND(RAND()*4+6,1)</f>
        <v>6.6</v>
      </c>
      <c r="I30" s="5" t="s">
        <v>19</v>
      </c>
      <c r="J30" s="5" t="str">
        <f aca="false">ROUND(81*1,0)&amp;"%"</f>
        <v>81%</v>
      </c>
    </row>
    <row r="31" customFormat="false" ht="15" hidden="false" customHeight="false" outlineLevel="0" collapsed="false">
      <c r="A31" s="6" t="s">
        <v>4939</v>
      </c>
      <c r="B31" s="6" t="s">
        <v>78</v>
      </c>
      <c r="C31" s="6" t="s">
        <v>76</v>
      </c>
      <c r="D31" s="6" t="s">
        <v>22</v>
      </c>
      <c r="E31" s="6" t="n">
        <f aca="false">ROUND(9977*1.05,2)</f>
        <v>10475.85</v>
      </c>
      <c r="F31" s="6" t="s">
        <v>23</v>
      </c>
      <c r="G31" s="6" t="s">
        <v>24</v>
      </c>
      <c r="H31" s="6" t="n">
        <f aca="true">ROUND(RAND()*4+6,1)</f>
        <v>7.6</v>
      </c>
      <c r="I31" s="6" t="s">
        <v>25</v>
      </c>
      <c r="J31" s="6" t="str">
        <f aca="false">ROUND(88*1,0)&amp;"%"</f>
        <v>88%</v>
      </c>
    </row>
    <row r="32" customFormat="false" ht="15" hidden="false" customHeight="false" outlineLevel="0" collapsed="false">
      <c r="A32" s="5" t="s">
        <v>4940</v>
      </c>
      <c r="B32" s="5" t="s">
        <v>80</v>
      </c>
      <c r="C32" s="5" t="s">
        <v>76</v>
      </c>
      <c r="D32" s="5" t="s">
        <v>28</v>
      </c>
      <c r="E32" s="5" t="n">
        <f aca="false">ROUND(6522*1.05,2)</f>
        <v>6848.1</v>
      </c>
      <c r="F32" s="5" t="s">
        <v>29</v>
      </c>
      <c r="G32" s="5" t="s">
        <v>30</v>
      </c>
      <c r="H32" s="5" t="n">
        <f aca="true">ROUND(RAND()*4+6,1)</f>
        <v>7.3</v>
      </c>
      <c r="I32" s="5" t="s">
        <v>31</v>
      </c>
      <c r="J32" s="5" t="str">
        <f aca="false">ROUND(66*1,0)&amp;"%"</f>
        <v>66%</v>
      </c>
    </row>
    <row r="33" customFormat="false" ht="15" hidden="false" customHeight="false" outlineLevel="0" collapsed="false">
      <c r="A33" s="6" t="s">
        <v>4941</v>
      </c>
      <c r="B33" s="6" t="s">
        <v>82</v>
      </c>
      <c r="C33" s="6" t="s">
        <v>76</v>
      </c>
      <c r="D33" s="6" t="s">
        <v>34</v>
      </c>
      <c r="E33" s="6" t="n">
        <f aca="false">ROUND(14023*1.05,2)</f>
        <v>14724.15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ROUND(90*1,0)&amp;"%"</f>
        <v>90%</v>
      </c>
    </row>
    <row r="34" customFormat="false" ht="15" hidden="false" customHeight="false" outlineLevel="0" collapsed="false">
      <c r="A34" s="5" t="s">
        <v>4942</v>
      </c>
      <c r="B34" s="5" t="s">
        <v>84</v>
      </c>
      <c r="C34" s="5" t="s">
        <v>76</v>
      </c>
      <c r="D34" s="5" t="s">
        <v>39</v>
      </c>
      <c r="E34" s="5" t="n">
        <f aca="false">ROUND(10832*1.05,2)</f>
        <v>11373.6</v>
      </c>
      <c r="F34" s="5" t="s">
        <v>40</v>
      </c>
      <c r="G34" s="5" t="s">
        <v>24</v>
      </c>
      <c r="H34" s="5" t="n">
        <f aca="true">ROUND(RAND()*4+6,1)</f>
        <v>8.8</v>
      </c>
      <c r="I34" s="5" t="s">
        <v>41</v>
      </c>
      <c r="J34" s="5" t="str">
        <f aca="false">ROUND(76*1,0)&amp;"%"</f>
        <v>76%</v>
      </c>
    </row>
    <row r="35" customFormat="false" ht="15" hidden="false" customHeight="false" outlineLevel="0" collapsed="false">
      <c r="A35" s="6" t="s">
        <v>4943</v>
      </c>
      <c r="B35" s="6" t="s">
        <v>86</v>
      </c>
      <c r="C35" s="6" t="s">
        <v>76</v>
      </c>
      <c r="D35" s="6" t="s">
        <v>44</v>
      </c>
      <c r="E35" s="6" t="n">
        <f aca="false">ROUND(13494*1.05,2)</f>
        <v>14168.7</v>
      </c>
      <c r="F35" s="6" t="s">
        <v>45</v>
      </c>
      <c r="G35" s="6" t="s">
        <v>30</v>
      </c>
      <c r="H35" s="6" t="n">
        <f aca="true">ROUND(RAND()*4+6,1)</f>
        <v>7.9</v>
      </c>
      <c r="I35" s="6" t="s">
        <v>46</v>
      </c>
      <c r="J35" s="6" t="str">
        <f aca="false">ROUND(70*1,0)&amp;"%"</f>
        <v>70%</v>
      </c>
    </row>
    <row r="36" customFormat="false" ht="15" hidden="false" customHeight="false" outlineLevel="0" collapsed="false">
      <c r="A36" s="5" t="s">
        <v>4944</v>
      </c>
      <c r="B36" s="5" t="s">
        <v>88</v>
      </c>
      <c r="C36" s="5" t="s">
        <v>76</v>
      </c>
      <c r="D36" s="5" t="s">
        <v>16</v>
      </c>
      <c r="E36" s="5" t="n">
        <f aca="false">ROUND(9771*1.05,2)</f>
        <v>10259.55</v>
      </c>
      <c r="F36" s="5" t="s">
        <v>49</v>
      </c>
      <c r="G36" s="5" t="s">
        <v>18</v>
      </c>
      <c r="H36" s="5" t="n">
        <f aca="true">ROUND(RAND()*4+6,1)</f>
        <v>8.4</v>
      </c>
      <c r="I36" s="5" t="s">
        <v>19</v>
      </c>
      <c r="J36" s="5" t="str">
        <f aca="false">ROUND(65*1,0)&amp;"%"</f>
        <v>65%</v>
      </c>
    </row>
    <row r="37" customFormat="false" ht="15" hidden="false" customHeight="false" outlineLevel="0" collapsed="false">
      <c r="A37" s="6" t="s">
        <v>4945</v>
      </c>
      <c r="B37" s="6" t="s">
        <v>90</v>
      </c>
      <c r="C37" s="6" t="s">
        <v>76</v>
      </c>
      <c r="D37" s="6" t="s">
        <v>22</v>
      </c>
      <c r="E37" s="6" t="n">
        <f aca="false">ROUND(13983*1.05,2)</f>
        <v>14682.15</v>
      </c>
      <c r="F37" s="6" t="s">
        <v>52</v>
      </c>
      <c r="G37" s="6" t="s">
        <v>24</v>
      </c>
      <c r="H37" s="6" t="n">
        <f aca="true">ROUND(RAND()*4+6,1)</f>
        <v>6.2</v>
      </c>
      <c r="I37" s="6" t="s">
        <v>25</v>
      </c>
      <c r="J37" s="6" t="str">
        <f aca="false">ROUND(77*1,0)&amp;"%"</f>
        <v>77%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4946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4947</v>
      </c>
      <c r="B42" s="5" t="s">
        <v>94</v>
      </c>
      <c r="C42" s="5" t="s">
        <v>95</v>
      </c>
      <c r="D42" s="5" t="s">
        <v>16</v>
      </c>
      <c r="E42" s="5" t="n">
        <f aca="false">ROUND(6598*1.05,2)</f>
        <v>6927.9</v>
      </c>
      <c r="F42" s="5" t="s">
        <v>17</v>
      </c>
      <c r="G42" s="5" t="s">
        <v>18</v>
      </c>
      <c r="H42" s="5" t="n">
        <f aca="true">ROUND(RAND()*4+6,1)</f>
        <v>6.7</v>
      </c>
      <c r="I42" s="5" t="s">
        <v>19</v>
      </c>
      <c r="J42" s="5" t="str">
        <f aca="false">ROUND(68*1,0)&amp;"%"</f>
        <v>68%</v>
      </c>
    </row>
    <row r="43" customFormat="false" ht="15" hidden="false" customHeight="false" outlineLevel="0" collapsed="false">
      <c r="A43" s="6" t="s">
        <v>4948</v>
      </c>
      <c r="B43" s="6" t="s">
        <v>97</v>
      </c>
      <c r="C43" s="6" t="s">
        <v>95</v>
      </c>
      <c r="D43" s="6" t="s">
        <v>22</v>
      </c>
      <c r="E43" s="6" t="n">
        <f aca="false">ROUND(10071*1.05,2)</f>
        <v>10574.55</v>
      </c>
      <c r="F43" s="6" t="s">
        <v>23</v>
      </c>
      <c r="G43" s="6" t="s">
        <v>24</v>
      </c>
      <c r="H43" s="6" t="n">
        <f aca="true">ROUND(RAND()*4+6,1)</f>
        <v>9.1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4949</v>
      </c>
      <c r="B44" s="5" t="s">
        <v>99</v>
      </c>
      <c r="C44" s="5" t="s">
        <v>95</v>
      </c>
      <c r="D44" s="5" t="s">
        <v>28</v>
      </c>
      <c r="E44" s="5" t="n">
        <f aca="false">ROUND(4052*1.05,2)</f>
        <v>4254.6</v>
      </c>
      <c r="F44" s="5" t="s">
        <v>29</v>
      </c>
      <c r="G44" s="5" t="s">
        <v>30</v>
      </c>
      <c r="H44" s="5" t="n">
        <f aca="true">ROUND(RAND()*4+6,1)</f>
        <v>6.9</v>
      </c>
      <c r="I44" s="5" t="s">
        <v>31</v>
      </c>
      <c r="J44" s="5" t="str">
        <f aca="false">ROUND(68*1,0)&amp;"%"</f>
        <v>68%</v>
      </c>
    </row>
    <row r="45" customFormat="false" ht="15" hidden="false" customHeight="false" outlineLevel="0" collapsed="false">
      <c r="A45" s="6" t="s">
        <v>4950</v>
      </c>
      <c r="B45" s="6" t="s">
        <v>101</v>
      </c>
      <c r="C45" s="6" t="s">
        <v>95</v>
      </c>
      <c r="D45" s="6" t="s">
        <v>34</v>
      </c>
      <c r="E45" s="6" t="n">
        <f aca="false">ROUND(7835*1.05,2)</f>
        <v>8226.75</v>
      </c>
      <c r="F45" s="6" t="s">
        <v>35</v>
      </c>
      <c r="G45" s="6" t="s">
        <v>18</v>
      </c>
      <c r="H45" s="6" t="n">
        <f aca="true">ROUND(RAND()*4+6,1)</f>
        <v>7</v>
      </c>
      <c r="I45" s="6" t="s">
        <v>36</v>
      </c>
      <c r="J45" s="6" t="str">
        <f aca="false">ROUND(83*1,0)&amp;"%"</f>
        <v>83%</v>
      </c>
    </row>
    <row r="46" customFormat="false" ht="15" hidden="false" customHeight="false" outlineLevel="0" collapsed="false">
      <c r="A46" s="5" t="s">
        <v>4951</v>
      </c>
      <c r="B46" s="5" t="s">
        <v>103</v>
      </c>
      <c r="C46" s="5" t="s">
        <v>95</v>
      </c>
      <c r="D46" s="5" t="s">
        <v>39</v>
      </c>
      <c r="E46" s="5" t="n">
        <f aca="false">ROUND(17142*1.05,2)</f>
        <v>17999.1</v>
      </c>
      <c r="F46" s="5" t="s">
        <v>40</v>
      </c>
      <c r="G46" s="5" t="s">
        <v>24</v>
      </c>
      <c r="H46" s="5" t="n">
        <f aca="true">ROUND(RAND()*4+6,1)</f>
        <v>8.5</v>
      </c>
      <c r="I46" s="5" t="s">
        <v>41</v>
      </c>
      <c r="J46" s="5" t="str">
        <f aca="false">ROUND(97*1,0)&amp;"%"</f>
        <v>97%</v>
      </c>
    </row>
    <row r="47" customFormat="false" ht="15" hidden="false" customHeight="false" outlineLevel="0" collapsed="false">
      <c r="A47" s="6" t="s">
        <v>4952</v>
      </c>
      <c r="B47" s="6" t="s">
        <v>105</v>
      </c>
      <c r="C47" s="6" t="s">
        <v>95</v>
      </c>
      <c r="D47" s="6" t="s">
        <v>44</v>
      </c>
      <c r="E47" s="6" t="n">
        <f aca="false">ROUND(17703*1.05,2)</f>
        <v>18588.15</v>
      </c>
      <c r="F47" s="6" t="s">
        <v>45</v>
      </c>
      <c r="G47" s="6" t="s">
        <v>30</v>
      </c>
      <c r="H47" s="6" t="n">
        <f aca="true">ROUND(RAND()*4+6,1)</f>
        <v>6.1</v>
      </c>
      <c r="I47" s="6" t="s">
        <v>46</v>
      </c>
      <c r="J47" s="6" t="str">
        <f aca="false">ROUND(87*1,0)&amp;"%"</f>
        <v>87%</v>
      </c>
    </row>
    <row r="48" customFormat="false" ht="15" hidden="false" customHeight="false" outlineLevel="0" collapsed="false">
      <c r="A48" s="5" t="s">
        <v>4953</v>
      </c>
      <c r="B48" s="5" t="s">
        <v>107</v>
      </c>
      <c r="C48" s="5" t="s">
        <v>95</v>
      </c>
      <c r="D48" s="5" t="s">
        <v>16</v>
      </c>
      <c r="E48" s="5" t="n">
        <f aca="false">ROUND(10416*1.05,2)</f>
        <v>10936.8</v>
      </c>
      <c r="F48" s="5" t="s">
        <v>49</v>
      </c>
      <c r="G48" s="5" t="s">
        <v>18</v>
      </c>
      <c r="H48" s="5" t="n">
        <f aca="true">ROUND(RAND()*4+6,1)</f>
        <v>7.7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4954</v>
      </c>
      <c r="B49" s="6" t="s">
        <v>109</v>
      </c>
      <c r="C49" s="6" t="s">
        <v>95</v>
      </c>
      <c r="D49" s="6" t="s">
        <v>22</v>
      </c>
      <c r="E49" s="6" t="n">
        <f aca="false">ROUND(15674*1.05,2)</f>
        <v>16457.7</v>
      </c>
      <c r="F49" s="6" t="s">
        <v>52</v>
      </c>
      <c r="G49" s="6" t="s">
        <v>24</v>
      </c>
      <c r="H49" s="6" t="n">
        <f aca="true">ROUND(RAND()*4+6,1)</f>
        <v>9.5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4955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4956</v>
      </c>
      <c r="B54" s="5" t="s">
        <v>113</v>
      </c>
      <c r="C54" s="5" t="s">
        <v>114</v>
      </c>
      <c r="D54" s="5" t="s">
        <v>16</v>
      </c>
      <c r="E54" s="5" t="n">
        <f aca="false">ROUND(11709*1.05,2)</f>
        <v>12294.45</v>
      </c>
      <c r="F54" s="5" t="s">
        <v>17</v>
      </c>
      <c r="G54" s="5" t="s">
        <v>18</v>
      </c>
      <c r="H54" s="5" t="n">
        <f aca="true">ROUND(RAND()*4+6,1)</f>
        <v>9.8</v>
      </c>
      <c r="I54" s="5" t="s">
        <v>19</v>
      </c>
      <c r="J54" s="5" t="str">
        <f aca="false">ROUND(93*1,0)&amp;"%"</f>
        <v>93%</v>
      </c>
    </row>
    <row r="55" customFormat="false" ht="15" hidden="false" customHeight="false" outlineLevel="0" collapsed="false">
      <c r="A55" s="6" t="s">
        <v>4957</v>
      </c>
      <c r="B55" s="6" t="s">
        <v>116</v>
      </c>
      <c r="C55" s="6" t="s">
        <v>114</v>
      </c>
      <c r="D55" s="6" t="s">
        <v>22</v>
      </c>
      <c r="E55" s="6" t="n">
        <f aca="false">ROUND(6177*1.05,2)</f>
        <v>6485.85</v>
      </c>
      <c r="F55" s="6" t="s">
        <v>23</v>
      </c>
      <c r="G55" s="6" t="s">
        <v>24</v>
      </c>
      <c r="H55" s="6" t="n">
        <f aca="true">ROUND(RAND()*4+6,1)</f>
        <v>7.7</v>
      </c>
      <c r="I55" s="6" t="s">
        <v>25</v>
      </c>
      <c r="J55" s="6" t="str">
        <f aca="false">ROUND(87*1,0)&amp;"%"</f>
        <v>87%</v>
      </c>
    </row>
    <row r="56" customFormat="false" ht="15" hidden="false" customHeight="false" outlineLevel="0" collapsed="false">
      <c r="A56" s="5" t="s">
        <v>4958</v>
      </c>
      <c r="B56" s="5" t="s">
        <v>118</v>
      </c>
      <c r="C56" s="5" t="s">
        <v>114</v>
      </c>
      <c r="D56" s="5" t="s">
        <v>28</v>
      </c>
      <c r="E56" s="5" t="n">
        <f aca="false">ROUND(17749*1.05,2)</f>
        <v>18636.45</v>
      </c>
      <c r="F56" s="5" t="s">
        <v>29</v>
      </c>
      <c r="G56" s="5" t="s">
        <v>30</v>
      </c>
      <c r="H56" s="5" t="n">
        <f aca="true">ROUND(RAND()*4+6,1)</f>
        <v>9.3</v>
      </c>
      <c r="I56" s="5" t="s">
        <v>31</v>
      </c>
      <c r="J56" s="5" t="str">
        <f aca="false">ROUND(72*1,0)&amp;"%"</f>
        <v>72%</v>
      </c>
    </row>
    <row r="57" customFormat="false" ht="15" hidden="false" customHeight="false" outlineLevel="0" collapsed="false">
      <c r="A57" s="6" t="s">
        <v>4959</v>
      </c>
      <c r="B57" s="6" t="s">
        <v>120</v>
      </c>
      <c r="C57" s="6" t="s">
        <v>114</v>
      </c>
      <c r="D57" s="6" t="s">
        <v>34</v>
      </c>
      <c r="E57" s="6" t="n">
        <f aca="false">ROUND(16829*1.05,2)</f>
        <v>17670.45</v>
      </c>
      <c r="F57" s="6" t="s">
        <v>35</v>
      </c>
      <c r="G57" s="6" t="s">
        <v>18</v>
      </c>
      <c r="H57" s="6" t="n">
        <f aca="true">ROUND(RAND()*4+6,1)</f>
        <v>6.9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4960</v>
      </c>
      <c r="B58" s="5" t="s">
        <v>122</v>
      </c>
      <c r="C58" s="5" t="s">
        <v>114</v>
      </c>
      <c r="D58" s="5" t="s">
        <v>39</v>
      </c>
      <c r="E58" s="5" t="n">
        <f aca="false">ROUND(11780*1.05,2)</f>
        <v>12369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ROUND(69*1,0)&amp;"%"</f>
        <v>69%</v>
      </c>
    </row>
    <row r="59" customFormat="false" ht="15" hidden="false" customHeight="false" outlineLevel="0" collapsed="false">
      <c r="A59" s="6" t="s">
        <v>4961</v>
      </c>
      <c r="B59" s="6" t="s">
        <v>124</v>
      </c>
      <c r="C59" s="6" t="s">
        <v>114</v>
      </c>
      <c r="D59" s="6" t="s">
        <v>44</v>
      </c>
      <c r="E59" s="6" t="n">
        <f aca="false">ROUND(8760*1.05,2)</f>
        <v>9198</v>
      </c>
      <c r="F59" s="6" t="s">
        <v>45</v>
      </c>
      <c r="G59" s="6" t="s">
        <v>30</v>
      </c>
      <c r="H59" s="6" t="n">
        <f aca="true">ROUND(RAND()*4+6,1)</f>
        <v>8.6</v>
      </c>
      <c r="I59" s="6" t="s">
        <v>46</v>
      </c>
      <c r="J59" s="6" t="str">
        <f aca="false">ROUND(61*1,0)&amp;"%"</f>
        <v>61%</v>
      </c>
    </row>
    <row r="60" customFormat="false" ht="15" hidden="false" customHeight="false" outlineLevel="0" collapsed="false">
      <c r="A60" s="5" t="s">
        <v>4962</v>
      </c>
      <c r="B60" s="5" t="s">
        <v>126</v>
      </c>
      <c r="C60" s="5" t="s">
        <v>114</v>
      </c>
      <c r="D60" s="5" t="s">
        <v>16</v>
      </c>
      <c r="E60" s="5" t="n">
        <f aca="false">ROUND(12017*1.05,2)</f>
        <v>12617.85</v>
      </c>
      <c r="F60" s="5" t="s">
        <v>49</v>
      </c>
      <c r="G60" s="5" t="s">
        <v>18</v>
      </c>
      <c r="H60" s="5" t="n">
        <f aca="true">ROUND(RAND()*4+6,1)</f>
        <v>9</v>
      </c>
      <c r="I60" s="5" t="s">
        <v>19</v>
      </c>
      <c r="J60" s="5" t="str">
        <f aca="false">ROUND(80*1,0)&amp;"%"</f>
        <v>80%</v>
      </c>
    </row>
    <row r="61" customFormat="false" ht="15" hidden="false" customHeight="false" outlineLevel="0" collapsed="false">
      <c r="A61" s="6" t="s">
        <v>4963</v>
      </c>
      <c r="B61" s="6" t="s">
        <v>128</v>
      </c>
      <c r="C61" s="6" t="s">
        <v>114</v>
      </c>
      <c r="D61" s="6" t="s">
        <v>22</v>
      </c>
      <c r="E61" s="6" t="n">
        <f aca="false">ROUND(11464*1.05,2)</f>
        <v>12037.2</v>
      </c>
      <c r="F61" s="6" t="s">
        <v>52</v>
      </c>
      <c r="G61" s="6" t="s">
        <v>24</v>
      </c>
      <c r="H61" s="6" t="n">
        <f aca="true">ROUND(RAND()*4+6,1)</f>
        <v>9.5</v>
      </c>
      <c r="I61" s="6" t="s">
        <v>25</v>
      </c>
      <c r="J61" s="6" t="str">
        <f aca="false">ROUND(80*1,0)&amp;"%"</f>
        <v>80%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4964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4965</v>
      </c>
      <c r="B66" s="5" t="s">
        <v>132</v>
      </c>
      <c r="C66" s="5" t="s">
        <v>133</v>
      </c>
      <c r="D66" s="5" t="s">
        <v>16</v>
      </c>
      <c r="E66" s="5" t="n">
        <f aca="false">ROUND(7727*1.05,2)</f>
        <v>8113.35</v>
      </c>
      <c r="F66" s="5" t="s">
        <v>17</v>
      </c>
      <c r="G66" s="5" t="s">
        <v>18</v>
      </c>
      <c r="H66" s="5" t="n">
        <f aca="true">ROUND(RAND()*4+6,1)</f>
        <v>7.6</v>
      </c>
      <c r="I66" s="5" t="s">
        <v>19</v>
      </c>
      <c r="J66" s="5" t="str">
        <f aca="false">ROUND(76*1,0)&amp;"%"</f>
        <v>76%</v>
      </c>
    </row>
    <row r="67" customFormat="false" ht="15" hidden="false" customHeight="false" outlineLevel="0" collapsed="false">
      <c r="A67" s="6" t="s">
        <v>4966</v>
      </c>
      <c r="B67" s="6" t="s">
        <v>135</v>
      </c>
      <c r="C67" s="6" t="s">
        <v>133</v>
      </c>
      <c r="D67" s="6" t="s">
        <v>22</v>
      </c>
      <c r="E67" s="6" t="n">
        <f aca="false">ROUND(11660*1.05,2)</f>
        <v>12243</v>
      </c>
      <c r="F67" s="6" t="s">
        <v>23</v>
      </c>
      <c r="G67" s="6" t="s">
        <v>24</v>
      </c>
      <c r="H67" s="6" t="n">
        <f aca="true">ROUND(RAND()*4+6,1)</f>
        <v>6.9</v>
      </c>
      <c r="I67" s="6" t="s">
        <v>25</v>
      </c>
      <c r="J67" s="6" t="str">
        <f aca="false">ROUND(95*1,0)&amp;"%"</f>
        <v>95%</v>
      </c>
    </row>
    <row r="68" customFormat="false" ht="15" hidden="false" customHeight="false" outlineLevel="0" collapsed="false">
      <c r="A68" s="5" t="s">
        <v>4967</v>
      </c>
      <c r="B68" s="5" t="s">
        <v>137</v>
      </c>
      <c r="C68" s="5" t="s">
        <v>133</v>
      </c>
      <c r="D68" s="5" t="s">
        <v>28</v>
      </c>
      <c r="E68" s="5" t="n">
        <f aca="false">ROUND(8018*1.05,2)</f>
        <v>8418.9</v>
      </c>
      <c r="F68" s="5" t="s">
        <v>29</v>
      </c>
      <c r="G68" s="5" t="s">
        <v>30</v>
      </c>
      <c r="H68" s="5" t="n">
        <f aca="true">ROUND(RAND()*4+6,1)</f>
        <v>6.8</v>
      </c>
      <c r="I68" s="5" t="s">
        <v>31</v>
      </c>
      <c r="J68" s="5" t="str">
        <f aca="false">ROUND(73*1,0)&amp;"%"</f>
        <v>73%</v>
      </c>
    </row>
    <row r="69" customFormat="false" ht="15" hidden="false" customHeight="false" outlineLevel="0" collapsed="false">
      <c r="A69" s="6" t="s">
        <v>4968</v>
      </c>
      <c r="B69" s="6" t="s">
        <v>139</v>
      </c>
      <c r="C69" s="6" t="s">
        <v>133</v>
      </c>
      <c r="D69" s="6" t="s">
        <v>34</v>
      </c>
      <c r="E69" s="6" t="n">
        <f aca="false">ROUND(9166*1.05,2)</f>
        <v>9624.3</v>
      </c>
      <c r="F69" s="6" t="s">
        <v>35</v>
      </c>
      <c r="G69" s="6" t="s">
        <v>18</v>
      </c>
      <c r="H69" s="6" t="n">
        <f aca="true">ROUND(RAND()*4+6,1)</f>
        <v>8.3</v>
      </c>
      <c r="I69" s="6" t="s">
        <v>36</v>
      </c>
      <c r="J69" s="6" t="str">
        <f aca="false">ROUND(75*1,0)&amp;"%"</f>
        <v>75%</v>
      </c>
    </row>
    <row r="70" customFormat="false" ht="15" hidden="false" customHeight="false" outlineLevel="0" collapsed="false">
      <c r="A70" s="5" t="s">
        <v>4969</v>
      </c>
      <c r="B70" s="5" t="s">
        <v>141</v>
      </c>
      <c r="C70" s="5" t="s">
        <v>133</v>
      </c>
      <c r="D70" s="5" t="s">
        <v>39</v>
      </c>
      <c r="E70" s="5" t="n">
        <f aca="false">ROUND(8901*1.05,2)</f>
        <v>9346.05</v>
      </c>
      <c r="F70" s="5" t="s">
        <v>40</v>
      </c>
      <c r="G70" s="5" t="s">
        <v>24</v>
      </c>
      <c r="H70" s="5" t="n">
        <f aca="true">ROUND(RAND()*4+6,1)</f>
        <v>8.8</v>
      </c>
      <c r="I70" s="5" t="s">
        <v>41</v>
      </c>
      <c r="J70" s="5" t="str">
        <f aca="false">ROUND(89*1,0)&amp;"%"</f>
        <v>89%</v>
      </c>
    </row>
    <row r="71" customFormat="false" ht="15" hidden="false" customHeight="false" outlineLevel="0" collapsed="false">
      <c r="A71" s="6" t="s">
        <v>4970</v>
      </c>
      <c r="B71" s="6" t="s">
        <v>143</v>
      </c>
      <c r="C71" s="6" t="s">
        <v>133</v>
      </c>
      <c r="D71" s="6" t="s">
        <v>44</v>
      </c>
      <c r="E71" s="6" t="n">
        <f aca="false">ROUND(12247*1.05,2)</f>
        <v>12859.35</v>
      </c>
      <c r="F71" s="6" t="s">
        <v>45</v>
      </c>
      <c r="G71" s="6" t="s">
        <v>30</v>
      </c>
      <c r="H71" s="6" t="n">
        <f aca="true">ROUND(RAND()*4+6,1)</f>
        <v>9.9</v>
      </c>
      <c r="I71" s="6" t="s">
        <v>46</v>
      </c>
      <c r="J71" s="6" t="str">
        <f aca="false">ROUND(60*1,0)&amp;"%"</f>
        <v>60%</v>
      </c>
    </row>
    <row r="72" customFormat="false" ht="15" hidden="false" customHeight="false" outlineLevel="0" collapsed="false">
      <c r="A72" s="5" t="s">
        <v>4971</v>
      </c>
      <c r="B72" s="5" t="s">
        <v>145</v>
      </c>
      <c r="C72" s="5" t="s">
        <v>133</v>
      </c>
      <c r="D72" s="5" t="s">
        <v>16</v>
      </c>
      <c r="E72" s="5" t="n">
        <f aca="false">ROUND(15597*1.05,2)</f>
        <v>16376.85</v>
      </c>
      <c r="F72" s="5" t="s">
        <v>49</v>
      </c>
      <c r="G72" s="5" t="s">
        <v>18</v>
      </c>
      <c r="H72" s="5" t="n">
        <f aca="true">ROUND(RAND()*4+6,1)</f>
        <v>7.5</v>
      </c>
      <c r="I72" s="5" t="s">
        <v>19</v>
      </c>
      <c r="J72" s="5" t="str">
        <f aca="false">ROUND(64*1,0)&amp;"%"</f>
        <v>64%</v>
      </c>
    </row>
    <row r="73" customFormat="false" ht="15" hidden="false" customHeight="false" outlineLevel="0" collapsed="false">
      <c r="A73" s="6" t="s">
        <v>4972</v>
      </c>
      <c r="B73" s="6" t="s">
        <v>147</v>
      </c>
      <c r="C73" s="6" t="s">
        <v>133</v>
      </c>
      <c r="D73" s="6" t="s">
        <v>22</v>
      </c>
      <c r="E73" s="6" t="n">
        <f aca="false">ROUND(13967*1.05,2)</f>
        <v>14665.35</v>
      </c>
      <c r="F73" s="6" t="s">
        <v>52</v>
      </c>
      <c r="G73" s="6" t="s">
        <v>24</v>
      </c>
      <c r="H73" s="6" t="n">
        <f aca="true">ROUND(RAND()*4+6,1)</f>
        <v>6.5</v>
      </c>
      <c r="I73" s="6" t="s">
        <v>25</v>
      </c>
      <c r="J73" s="6" t="str">
        <f aca="false">ROUND(82*1,0)&amp;"%"</f>
        <v>82%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4973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4974</v>
      </c>
      <c r="B78" s="5" t="s">
        <v>151</v>
      </c>
      <c r="C78" s="5" t="s">
        <v>152</v>
      </c>
      <c r="D78" s="5" t="s">
        <v>16</v>
      </c>
      <c r="E78" s="5" t="n">
        <f aca="false">ROUND(11369*1.05,2)</f>
        <v>11937.45</v>
      </c>
      <c r="F78" s="5" t="s">
        <v>17</v>
      </c>
      <c r="G78" s="5" t="s">
        <v>18</v>
      </c>
      <c r="H78" s="5" t="n">
        <f aca="true">ROUND(RAND()*4+6,1)</f>
        <v>7.5</v>
      </c>
      <c r="I78" s="5" t="s">
        <v>19</v>
      </c>
      <c r="J78" s="5" t="str">
        <f aca="false">ROUND(98*1,0)&amp;"%"</f>
        <v>98%</v>
      </c>
    </row>
    <row r="79" customFormat="false" ht="15" hidden="false" customHeight="false" outlineLevel="0" collapsed="false">
      <c r="A79" s="6" t="s">
        <v>4975</v>
      </c>
      <c r="B79" s="6" t="s">
        <v>154</v>
      </c>
      <c r="C79" s="6" t="s">
        <v>152</v>
      </c>
      <c r="D79" s="6" t="s">
        <v>22</v>
      </c>
      <c r="E79" s="6" t="n">
        <f aca="false">ROUND(11842*1.05,2)</f>
        <v>12434.1</v>
      </c>
      <c r="F79" s="6" t="s">
        <v>23</v>
      </c>
      <c r="G79" s="6" t="s">
        <v>24</v>
      </c>
      <c r="H79" s="6" t="n">
        <f aca="true">ROUND(RAND()*4+6,1)</f>
        <v>7.9</v>
      </c>
      <c r="I79" s="6" t="s">
        <v>25</v>
      </c>
      <c r="J79" s="6" t="str">
        <f aca="false">ROUND(60*1,0)&amp;"%"</f>
        <v>60%</v>
      </c>
    </row>
    <row r="80" customFormat="false" ht="15" hidden="false" customHeight="false" outlineLevel="0" collapsed="false">
      <c r="A80" s="5" t="s">
        <v>4976</v>
      </c>
      <c r="B80" s="5" t="s">
        <v>156</v>
      </c>
      <c r="C80" s="5" t="s">
        <v>152</v>
      </c>
      <c r="D80" s="5" t="s">
        <v>28</v>
      </c>
      <c r="E80" s="5" t="n">
        <f aca="false">ROUND(14856*1.05,2)</f>
        <v>15598.8</v>
      </c>
      <c r="F80" s="5" t="s">
        <v>29</v>
      </c>
      <c r="G80" s="5" t="s">
        <v>30</v>
      </c>
      <c r="H80" s="5" t="n">
        <f aca="true">ROUND(RAND()*4+6,1)</f>
        <v>6.8</v>
      </c>
      <c r="I80" s="5" t="s">
        <v>31</v>
      </c>
      <c r="J80" s="5" t="str">
        <f aca="false">ROUND(82*1,0)&amp;"%"</f>
        <v>82%</v>
      </c>
    </row>
    <row r="81" customFormat="false" ht="15" hidden="false" customHeight="false" outlineLevel="0" collapsed="false">
      <c r="A81" s="6" t="s">
        <v>4977</v>
      </c>
      <c r="B81" s="6" t="s">
        <v>158</v>
      </c>
      <c r="C81" s="6" t="s">
        <v>152</v>
      </c>
      <c r="D81" s="6" t="s">
        <v>34</v>
      </c>
      <c r="E81" s="6" t="n">
        <f aca="false">ROUND(14679*1.05,2)</f>
        <v>15412.95</v>
      </c>
      <c r="F81" s="6" t="s">
        <v>35</v>
      </c>
      <c r="G81" s="6" t="s">
        <v>18</v>
      </c>
      <c r="H81" s="6" t="n">
        <f aca="true">ROUND(RAND()*4+6,1)</f>
        <v>6.4</v>
      </c>
      <c r="I81" s="6" t="s">
        <v>36</v>
      </c>
      <c r="J81" s="6" t="str">
        <f aca="false">ROUND(98*1,0)&amp;"%"</f>
        <v>98%</v>
      </c>
    </row>
    <row r="82" customFormat="false" ht="15" hidden="false" customHeight="false" outlineLevel="0" collapsed="false">
      <c r="A82" s="5" t="s">
        <v>4978</v>
      </c>
      <c r="B82" s="5" t="s">
        <v>160</v>
      </c>
      <c r="C82" s="5" t="s">
        <v>152</v>
      </c>
      <c r="D82" s="5" t="s">
        <v>39</v>
      </c>
      <c r="E82" s="5" t="n">
        <f aca="false">ROUND(12918*1.05,2)</f>
        <v>13563.9</v>
      </c>
      <c r="F82" s="5" t="s">
        <v>40</v>
      </c>
      <c r="G82" s="5" t="s">
        <v>24</v>
      </c>
      <c r="H82" s="5" t="n">
        <f aca="true">ROUND(RAND()*4+6,1)</f>
        <v>9.1</v>
      </c>
      <c r="I82" s="5" t="s">
        <v>41</v>
      </c>
      <c r="J82" s="5" t="str">
        <f aca="false">ROUND(81*1,0)&amp;"%"</f>
        <v>81%</v>
      </c>
    </row>
    <row r="83" customFormat="false" ht="15" hidden="false" customHeight="false" outlineLevel="0" collapsed="false">
      <c r="A83" s="6" t="s">
        <v>4979</v>
      </c>
      <c r="B83" s="6" t="s">
        <v>162</v>
      </c>
      <c r="C83" s="6" t="s">
        <v>152</v>
      </c>
      <c r="D83" s="6" t="s">
        <v>44</v>
      </c>
      <c r="E83" s="6" t="n">
        <f aca="false">ROUND(11419*1.05,2)</f>
        <v>11989.95</v>
      </c>
      <c r="F83" s="6" t="s">
        <v>45</v>
      </c>
      <c r="G83" s="6" t="s">
        <v>30</v>
      </c>
      <c r="H83" s="6" t="n">
        <f aca="true">ROUND(RAND()*4+6,1)</f>
        <v>8.9</v>
      </c>
      <c r="I83" s="6" t="s">
        <v>46</v>
      </c>
      <c r="J83" s="6" t="str">
        <f aca="false">ROUND(74*1,0)&amp;"%"</f>
        <v>74%</v>
      </c>
    </row>
    <row r="84" customFormat="false" ht="15" hidden="false" customHeight="false" outlineLevel="0" collapsed="false">
      <c r="A84" s="5" t="s">
        <v>4980</v>
      </c>
      <c r="B84" s="5" t="s">
        <v>164</v>
      </c>
      <c r="C84" s="5" t="s">
        <v>152</v>
      </c>
      <c r="D84" s="5" t="s">
        <v>16</v>
      </c>
      <c r="E84" s="5" t="n">
        <f aca="false">ROUND(11443*1.05,2)</f>
        <v>12015.15</v>
      </c>
      <c r="F84" s="5" t="s">
        <v>49</v>
      </c>
      <c r="G84" s="5" t="s">
        <v>18</v>
      </c>
      <c r="H84" s="5" t="n">
        <f aca="true">ROUND(RAND()*4+6,1)</f>
        <v>6</v>
      </c>
      <c r="I84" s="5" t="s">
        <v>19</v>
      </c>
      <c r="J84" s="5" t="str">
        <f aca="false">ROUND(79*1,0)&amp;"%"</f>
        <v>79%</v>
      </c>
    </row>
    <row r="85" customFormat="false" ht="15" hidden="false" customHeight="false" outlineLevel="0" collapsed="false">
      <c r="A85" s="6" t="s">
        <v>4981</v>
      </c>
      <c r="B85" s="6" t="s">
        <v>166</v>
      </c>
      <c r="C85" s="6" t="s">
        <v>152</v>
      </c>
      <c r="D85" s="6" t="s">
        <v>22</v>
      </c>
      <c r="E85" s="6" t="n">
        <f aca="false">ROUND(11372*1.05,2)</f>
        <v>11940.6</v>
      </c>
      <c r="F85" s="6" t="s">
        <v>52</v>
      </c>
      <c r="G85" s="6" t="s">
        <v>24</v>
      </c>
      <c r="H85" s="6" t="n">
        <f aca="true">ROUND(RAND()*4+6,1)</f>
        <v>7.4</v>
      </c>
      <c r="I85" s="6" t="s">
        <v>25</v>
      </c>
      <c r="J85" s="6" t="str">
        <f aca="false">ROUND(80*1,0)&amp;"%"</f>
        <v>80%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4982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4983</v>
      </c>
      <c r="B90" s="5" t="s">
        <v>170</v>
      </c>
      <c r="C90" s="5" t="s">
        <v>15</v>
      </c>
      <c r="D90" s="5" t="s">
        <v>16</v>
      </c>
      <c r="E90" s="5" t="n">
        <f aca="false">ROUND(15051*1.05,2)</f>
        <v>15803.55</v>
      </c>
      <c r="F90" s="5" t="s">
        <v>17</v>
      </c>
      <c r="G90" s="5" t="s">
        <v>18</v>
      </c>
      <c r="H90" s="5" t="n">
        <f aca="true">ROUND(RAND()*4+6,1)</f>
        <v>6.5</v>
      </c>
      <c r="I90" s="5" t="s">
        <v>19</v>
      </c>
      <c r="J90" s="5" t="str">
        <f aca="false">ROUND(78*1,0)&amp;"%"</f>
        <v>78%</v>
      </c>
    </row>
    <row r="91" customFormat="false" ht="15" hidden="false" customHeight="false" outlineLevel="0" collapsed="false">
      <c r="A91" s="6" t="s">
        <v>4984</v>
      </c>
      <c r="B91" s="6" t="s">
        <v>172</v>
      </c>
      <c r="C91" s="6" t="s">
        <v>15</v>
      </c>
      <c r="D91" s="6" t="s">
        <v>22</v>
      </c>
      <c r="E91" s="6" t="n">
        <f aca="false">ROUND(8525*1.05,2)</f>
        <v>8951.25</v>
      </c>
      <c r="F91" s="6" t="s">
        <v>23</v>
      </c>
      <c r="G91" s="6" t="s">
        <v>24</v>
      </c>
      <c r="H91" s="6" t="n">
        <f aca="true">ROUND(RAND()*4+6,1)</f>
        <v>7.6</v>
      </c>
      <c r="I91" s="6" t="s">
        <v>25</v>
      </c>
      <c r="J91" s="6" t="str">
        <f aca="false">ROUND(78*1,0)&amp;"%"</f>
        <v>78%</v>
      </c>
    </row>
    <row r="92" customFormat="false" ht="15" hidden="false" customHeight="false" outlineLevel="0" collapsed="false">
      <c r="A92" s="5" t="s">
        <v>4985</v>
      </c>
      <c r="B92" s="5" t="s">
        <v>174</v>
      </c>
      <c r="C92" s="5" t="s">
        <v>15</v>
      </c>
      <c r="D92" s="5" t="s">
        <v>28</v>
      </c>
      <c r="E92" s="5" t="n">
        <f aca="false">ROUND(16929*1.05,2)</f>
        <v>17775.45</v>
      </c>
      <c r="F92" s="5" t="s">
        <v>29</v>
      </c>
      <c r="G92" s="5" t="s">
        <v>30</v>
      </c>
      <c r="H92" s="5" t="n">
        <f aca="true">ROUND(RAND()*4+6,1)</f>
        <v>8.7</v>
      </c>
      <c r="I92" s="5" t="s">
        <v>31</v>
      </c>
      <c r="J92" s="5" t="str">
        <f aca="false">ROUND(65*1,0)&amp;"%"</f>
        <v>65%</v>
      </c>
    </row>
    <row r="93" customFormat="false" ht="15" hidden="false" customHeight="false" outlineLevel="0" collapsed="false">
      <c r="A93" s="6" t="s">
        <v>4986</v>
      </c>
      <c r="B93" s="6" t="s">
        <v>176</v>
      </c>
      <c r="C93" s="6" t="s">
        <v>15</v>
      </c>
      <c r="D93" s="6" t="s">
        <v>34</v>
      </c>
      <c r="E93" s="6" t="n">
        <f aca="false">ROUND(12328*1.05,2)</f>
        <v>12944.4</v>
      </c>
      <c r="F93" s="6" t="s">
        <v>35</v>
      </c>
      <c r="G93" s="6" t="s">
        <v>18</v>
      </c>
      <c r="H93" s="6" t="n">
        <f aca="true">ROUND(RAND()*4+6,1)</f>
        <v>9</v>
      </c>
      <c r="I93" s="6" t="s">
        <v>36</v>
      </c>
      <c r="J93" s="6" t="str">
        <f aca="false">ROUND(79*1,0)&amp;"%"</f>
        <v>79%</v>
      </c>
    </row>
    <row r="94" customFormat="false" ht="15" hidden="false" customHeight="false" outlineLevel="0" collapsed="false">
      <c r="A94" s="5" t="s">
        <v>4987</v>
      </c>
      <c r="B94" s="5" t="s">
        <v>178</v>
      </c>
      <c r="C94" s="5" t="s">
        <v>15</v>
      </c>
      <c r="D94" s="5" t="s">
        <v>39</v>
      </c>
      <c r="E94" s="5" t="n">
        <f aca="false">ROUND(6688*1.05,2)</f>
        <v>7022.4</v>
      </c>
      <c r="F94" s="5" t="s">
        <v>40</v>
      </c>
      <c r="G94" s="5" t="s">
        <v>24</v>
      </c>
      <c r="H94" s="5" t="n">
        <f aca="true">ROUND(RAND()*4+6,1)</f>
        <v>9.8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4988</v>
      </c>
      <c r="B95" s="6" t="s">
        <v>180</v>
      </c>
      <c r="C95" s="6" t="s">
        <v>15</v>
      </c>
      <c r="D95" s="6" t="s">
        <v>44</v>
      </c>
      <c r="E95" s="6" t="n">
        <f aca="false">ROUND(12731*1.05,2)</f>
        <v>13367.55</v>
      </c>
      <c r="F95" s="6" t="s">
        <v>45</v>
      </c>
      <c r="G95" s="6" t="s">
        <v>30</v>
      </c>
      <c r="H95" s="6" t="n">
        <f aca="true">ROUND(RAND()*4+6,1)</f>
        <v>6.7</v>
      </c>
      <c r="I95" s="6" t="s">
        <v>46</v>
      </c>
      <c r="J95" s="6" t="str">
        <f aca="false">ROUND(74*1,0)&amp;"%"</f>
        <v>74%</v>
      </c>
    </row>
    <row r="96" customFormat="false" ht="15" hidden="false" customHeight="false" outlineLevel="0" collapsed="false">
      <c r="A96" s="5" t="s">
        <v>4989</v>
      </c>
      <c r="B96" s="5" t="s">
        <v>182</v>
      </c>
      <c r="C96" s="5" t="s">
        <v>15</v>
      </c>
      <c r="D96" s="5" t="s">
        <v>16</v>
      </c>
      <c r="E96" s="5" t="n">
        <f aca="false">ROUND(6646*1.05,2)</f>
        <v>6978.3</v>
      </c>
      <c r="F96" s="5" t="s">
        <v>49</v>
      </c>
      <c r="G96" s="5" t="s">
        <v>18</v>
      </c>
      <c r="H96" s="5" t="n">
        <f aca="true">ROUND(RAND()*4+6,1)</f>
        <v>9.7</v>
      </c>
      <c r="I96" s="5" t="s">
        <v>19</v>
      </c>
      <c r="J96" s="5" t="str">
        <f aca="false">ROUND(87*1,0)&amp;"%"</f>
        <v>87%</v>
      </c>
    </row>
    <row r="97" customFormat="false" ht="15" hidden="false" customHeight="false" outlineLevel="0" collapsed="false">
      <c r="A97" s="6" t="s">
        <v>4990</v>
      </c>
      <c r="B97" s="6" t="s">
        <v>184</v>
      </c>
      <c r="C97" s="6" t="s">
        <v>15</v>
      </c>
      <c r="D97" s="6" t="s">
        <v>22</v>
      </c>
      <c r="E97" s="6" t="n">
        <f aca="false">ROUND(13278*1.05,2)</f>
        <v>13941.9</v>
      </c>
      <c r="F97" s="6" t="s">
        <v>52</v>
      </c>
      <c r="G97" s="6" t="s">
        <v>24</v>
      </c>
      <c r="H97" s="6" t="n">
        <f aca="true">ROUND(RAND()*4+6,1)</f>
        <v>8</v>
      </c>
      <c r="I97" s="6" t="s">
        <v>25</v>
      </c>
      <c r="J97" s="6" t="str">
        <f aca="false">ROUND(94*1,0)&amp;"%"</f>
        <v>94%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4991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4992</v>
      </c>
      <c r="B102" s="5" t="s">
        <v>188</v>
      </c>
      <c r="C102" s="5" t="s">
        <v>57</v>
      </c>
      <c r="D102" s="5" t="s">
        <v>16</v>
      </c>
      <c r="E102" s="5" t="n">
        <f aca="false">ROUND(15075*1.05,2)</f>
        <v>15828.75</v>
      </c>
      <c r="F102" s="5" t="s">
        <v>17</v>
      </c>
      <c r="G102" s="5" t="s">
        <v>18</v>
      </c>
      <c r="H102" s="5" t="n">
        <f aca="true">ROUND(RAND()*4+6,1)</f>
        <v>6.6</v>
      </c>
      <c r="I102" s="5" t="s">
        <v>19</v>
      </c>
      <c r="J102" s="5" t="str">
        <f aca="false">ROUND(88*1,0)&amp;"%"</f>
        <v>88%</v>
      </c>
    </row>
    <row r="103" customFormat="false" ht="15" hidden="false" customHeight="false" outlineLevel="0" collapsed="false">
      <c r="A103" s="6" t="s">
        <v>4993</v>
      </c>
      <c r="B103" s="6" t="s">
        <v>190</v>
      </c>
      <c r="C103" s="6" t="s">
        <v>57</v>
      </c>
      <c r="D103" s="6" t="s">
        <v>22</v>
      </c>
      <c r="E103" s="6" t="n">
        <f aca="false">ROUND(13336*1.05,2)</f>
        <v>14002.8</v>
      </c>
      <c r="F103" s="6" t="s">
        <v>23</v>
      </c>
      <c r="G103" s="6" t="s">
        <v>24</v>
      </c>
      <c r="H103" s="6" t="n">
        <f aca="true">ROUND(RAND()*4+6,1)</f>
        <v>8.4</v>
      </c>
      <c r="I103" s="6" t="s">
        <v>25</v>
      </c>
      <c r="J103" s="6" t="str">
        <f aca="false">ROUND(92*1,0)&amp;"%"</f>
        <v>92%</v>
      </c>
    </row>
    <row r="104" customFormat="false" ht="15" hidden="false" customHeight="false" outlineLevel="0" collapsed="false">
      <c r="A104" s="5" t="s">
        <v>4994</v>
      </c>
      <c r="B104" s="5" t="s">
        <v>192</v>
      </c>
      <c r="C104" s="5" t="s">
        <v>57</v>
      </c>
      <c r="D104" s="5" t="s">
        <v>28</v>
      </c>
      <c r="E104" s="5" t="n">
        <f aca="false">ROUND(7588*1.05,2)</f>
        <v>7967.4</v>
      </c>
      <c r="F104" s="5" t="s">
        <v>29</v>
      </c>
      <c r="G104" s="5" t="s">
        <v>30</v>
      </c>
      <c r="H104" s="5" t="n">
        <f aca="true">ROUND(RAND()*4+6,1)</f>
        <v>8.1</v>
      </c>
      <c r="I104" s="5" t="s">
        <v>31</v>
      </c>
      <c r="J104" s="5" t="str">
        <f aca="false">ROUND(65*1,0)&amp;"%"</f>
        <v>65%</v>
      </c>
    </row>
    <row r="105" customFormat="false" ht="15" hidden="false" customHeight="false" outlineLevel="0" collapsed="false">
      <c r="A105" s="6" t="s">
        <v>4995</v>
      </c>
      <c r="B105" s="6" t="s">
        <v>194</v>
      </c>
      <c r="C105" s="6" t="s">
        <v>57</v>
      </c>
      <c r="D105" s="6" t="s">
        <v>34</v>
      </c>
      <c r="E105" s="6" t="n">
        <f aca="false">ROUND(12512*1.05,2)</f>
        <v>13137.6</v>
      </c>
      <c r="F105" s="6" t="s">
        <v>35</v>
      </c>
      <c r="G105" s="6" t="s">
        <v>18</v>
      </c>
      <c r="H105" s="6" t="n">
        <f aca="true">ROUND(RAND()*4+6,1)</f>
        <v>6.6</v>
      </c>
      <c r="I105" s="6" t="s">
        <v>36</v>
      </c>
      <c r="J105" s="6" t="str">
        <f aca="false">ROUND(91*1,0)&amp;"%"</f>
        <v>91%</v>
      </c>
    </row>
    <row r="106" customFormat="false" ht="15" hidden="false" customHeight="false" outlineLevel="0" collapsed="false">
      <c r="A106" s="5" t="s">
        <v>4996</v>
      </c>
      <c r="B106" s="5" t="s">
        <v>196</v>
      </c>
      <c r="C106" s="5" t="s">
        <v>57</v>
      </c>
      <c r="D106" s="5" t="s">
        <v>39</v>
      </c>
      <c r="E106" s="5" t="n">
        <f aca="false">ROUND(9976*1.05,2)</f>
        <v>10474.8</v>
      </c>
      <c r="F106" s="5" t="s">
        <v>40</v>
      </c>
      <c r="G106" s="5" t="s">
        <v>24</v>
      </c>
      <c r="H106" s="5" t="n">
        <f aca="true">ROUND(RAND()*4+6,1)</f>
        <v>6.2</v>
      </c>
      <c r="I106" s="5" t="s">
        <v>41</v>
      </c>
      <c r="J106" s="5" t="str">
        <f aca="false">ROUND(77*1,0)&amp;"%"</f>
        <v>77%</v>
      </c>
    </row>
    <row r="107" customFormat="false" ht="15" hidden="false" customHeight="false" outlineLevel="0" collapsed="false">
      <c r="A107" s="6" t="s">
        <v>4997</v>
      </c>
      <c r="B107" s="6" t="s">
        <v>198</v>
      </c>
      <c r="C107" s="6" t="s">
        <v>57</v>
      </c>
      <c r="D107" s="6" t="s">
        <v>44</v>
      </c>
      <c r="E107" s="6" t="n">
        <f aca="false">ROUND(14172*1.05,2)</f>
        <v>14880.6</v>
      </c>
      <c r="F107" s="6" t="s">
        <v>45</v>
      </c>
      <c r="G107" s="6" t="s">
        <v>30</v>
      </c>
      <c r="H107" s="6" t="n">
        <f aca="true">ROUND(RAND()*4+6,1)</f>
        <v>9.5</v>
      </c>
      <c r="I107" s="6" t="s">
        <v>46</v>
      </c>
      <c r="J107" s="6" t="str">
        <f aca="false">ROUND(93*1,0)&amp;"%"</f>
        <v>93%</v>
      </c>
    </row>
    <row r="108" customFormat="false" ht="15" hidden="false" customHeight="false" outlineLevel="0" collapsed="false">
      <c r="A108" s="5" t="s">
        <v>4998</v>
      </c>
      <c r="B108" s="5" t="s">
        <v>200</v>
      </c>
      <c r="C108" s="5" t="s">
        <v>57</v>
      </c>
      <c r="D108" s="5" t="s">
        <v>16</v>
      </c>
      <c r="E108" s="5" t="n">
        <f aca="false">ROUND(16264*1.05,2)</f>
        <v>17077.2</v>
      </c>
      <c r="F108" s="5" t="s">
        <v>49</v>
      </c>
      <c r="G108" s="5" t="s">
        <v>18</v>
      </c>
      <c r="H108" s="5" t="n">
        <f aca="true">ROUND(RAND()*4+6,1)</f>
        <v>7.6</v>
      </c>
      <c r="I108" s="5" t="s">
        <v>19</v>
      </c>
      <c r="J108" s="5" t="str">
        <f aca="false">ROUND(69*1,0)&amp;"%"</f>
        <v>69%</v>
      </c>
    </row>
    <row r="109" customFormat="false" ht="15" hidden="false" customHeight="false" outlineLevel="0" collapsed="false">
      <c r="A109" s="6" t="s">
        <v>4999</v>
      </c>
      <c r="B109" s="6" t="s">
        <v>202</v>
      </c>
      <c r="C109" s="6" t="s">
        <v>57</v>
      </c>
      <c r="D109" s="6" t="s">
        <v>22</v>
      </c>
      <c r="E109" s="6" t="n">
        <f aca="false">ROUND(16405*1.05,2)</f>
        <v>17225.25</v>
      </c>
      <c r="F109" s="6" t="s">
        <v>52</v>
      </c>
      <c r="G109" s="6" t="s">
        <v>24</v>
      </c>
      <c r="H109" s="6" t="n">
        <f aca="true">ROUND(RAND()*4+6,1)</f>
        <v>7.4</v>
      </c>
      <c r="I109" s="6" t="s">
        <v>25</v>
      </c>
      <c r="J109" s="6" t="str">
        <f aca="false">ROUND(75*1,0)&amp;"%"</f>
        <v>75%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5000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5001</v>
      </c>
      <c r="B114" s="5" t="s">
        <v>206</v>
      </c>
      <c r="C114" s="5" t="s">
        <v>76</v>
      </c>
      <c r="D114" s="5" t="s">
        <v>16</v>
      </c>
      <c r="E114" s="5" t="n">
        <f aca="false">ROUND(13681*1.05,2)</f>
        <v>14365.05</v>
      </c>
      <c r="F114" s="5" t="s">
        <v>17</v>
      </c>
      <c r="G114" s="5" t="s">
        <v>18</v>
      </c>
      <c r="H114" s="5" t="n">
        <f aca="true">ROUND(RAND()*4+6,1)</f>
        <v>9.3</v>
      </c>
      <c r="I114" s="5" t="s">
        <v>19</v>
      </c>
      <c r="J114" s="5" t="str">
        <f aca="false">ROUND(77*1,0)&amp;"%"</f>
        <v>77%</v>
      </c>
    </row>
    <row r="115" customFormat="false" ht="15" hidden="false" customHeight="false" outlineLevel="0" collapsed="false">
      <c r="A115" s="6" t="s">
        <v>5002</v>
      </c>
      <c r="B115" s="6" t="s">
        <v>208</v>
      </c>
      <c r="C115" s="6" t="s">
        <v>76</v>
      </c>
      <c r="D115" s="6" t="s">
        <v>22</v>
      </c>
      <c r="E115" s="6" t="n">
        <f aca="false">ROUND(15494*1.05,2)</f>
        <v>16268.7</v>
      </c>
      <c r="F115" s="6" t="s">
        <v>23</v>
      </c>
      <c r="G115" s="6" t="s">
        <v>24</v>
      </c>
      <c r="H115" s="6" t="n">
        <f aca="true">ROUND(RAND()*4+6,1)</f>
        <v>9.8</v>
      </c>
      <c r="I115" s="6" t="s">
        <v>25</v>
      </c>
      <c r="J115" s="6" t="str">
        <f aca="false">ROUND(77*1,0)&amp;"%"</f>
        <v>77%</v>
      </c>
    </row>
    <row r="116" customFormat="false" ht="15" hidden="false" customHeight="false" outlineLevel="0" collapsed="false">
      <c r="A116" s="5" t="s">
        <v>5003</v>
      </c>
      <c r="B116" s="5" t="s">
        <v>210</v>
      </c>
      <c r="C116" s="5" t="s">
        <v>76</v>
      </c>
      <c r="D116" s="5" t="s">
        <v>28</v>
      </c>
      <c r="E116" s="5" t="n">
        <f aca="false">ROUND(9393*1.05,2)</f>
        <v>9862.65</v>
      </c>
      <c r="F116" s="5" t="s">
        <v>29</v>
      </c>
      <c r="G116" s="5" t="s">
        <v>30</v>
      </c>
      <c r="H116" s="5" t="n">
        <f aca="true">ROUND(RAND()*4+6,1)</f>
        <v>6.7</v>
      </c>
      <c r="I116" s="5" t="s">
        <v>31</v>
      </c>
      <c r="J116" s="5" t="str">
        <f aca="false">ROUND(75*1,0)&amp;"%"</f>
        <v>75%</v>
      </c>
    </row>
    <row r="117" customFormat="false" ht="15" hidden="false" customHeight="false" outlineLevel="0" collapsed="false">
      <c r="A117" s="6" t="s">
        <v>5004</v>
      </c>
      <c r="B117" s="6" t="s">
        <v>212</v>
      </c>
      <c r="C117" s="6" t="s">
        <v>76</v>
      </c>
      <c r="D117" s="6" t="s">
        <v>34</v>
      </c>
      <c r="E117" s="6" t="n">
        <f aca="false">ROUND(16206*1.05,2)</f>
        <v>17016.3</v>
      </c>
      <c r="F117" s="6" t="s">
        <v>35</v>
      </c>
      <c r="G117" s="6" t="s">
        <v>18</v>
      </c>
      <c r="H117" s="6" t="n">
        <f aca="true">ROUND(RAND()*4+6,1)</f>
        <v>8.4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5005</v>
      </c>
      <c r="B118" s="5" t="s">
        <v>214</v>
      </c>
      <c r="C118" s="5" t="s">
        <v>76</v>
      </c>
      <c r="D118" s="5" t="s">
        <v>39</v>
      </c>
      <c r="E118" s="5" t="n">
        <f aca="false">ROUND(10034*1.05,2)</f>
        <v>10535.7</v>
      </c>
      <c r="F118" s="5" t="s">
        <v>40</v>
      </c>
      <c r="G118" s="5" t="s">
        <v>24</v>
      </c>
      <c r="H118" s="5" t="n">
        <f aca="true">ROUND(RAND()*4+6,1)</f>
        <v>6.7</v>
      </c>
      <c r="I118" s="5" t="s">
        <v>41</v>
      </c>
      <c r="J118" s="5" t="str">
        <f aca="false">ROUND(81*1,0)&amp;"%"</f>
        <v>81%</v>
      </c>
    </row>
    <row r="119" customFormat="false" ht="15" hidden="false" customHeight="false" outlineLevel="0" collapsed="false">
      <c r="A119" s="6" t="s">
        <v>5006</v>
      </c>
      <c r="B119" s="6" t="s">
        <v>216</v>
      </c>
      <c r="C119" s="6" t="s">
        <v>76</v>
      </c>
      <c r="D119" s="6" t="s">
        <v>44</v>
      </c>
      <c r="E119" s="6" t="n">
        <f aca="false">ROUND(10128*1.05,2)</f>
        <v>10634.4</v>
      </c>
      <c r="F119" s="6" t="s">
        <v>45</v>
      </c>
      <c r="G119" s="6" t="s">
        <v>30</v>
      </c>
      <c r="H119" s="6" t="n">
        <f aca="true">ROUND(RAND()*4+6,1)</f>
        <v>9.2</v>
      </c>
      <c r="I119" s="6" t="s">
        <v>46</v>
      </c>
      <c r="J119" s="6" t="str">
        <f aca="false">ROUND(99*1,0)&amp;"%"</f>
        <v>99%</v>
      </c>
    </row>
    <row r="120" customFormat="false" ht="15" hidden="false" customHeight="false" outlineLevel="0" collapsed="false">
      <c r="A120" s="5" t="s">
        <v>5007</v>
      </c>
      <c r="B120" s="5" t="s">
        <v>218</v>
      </c>
      <c r="C120" s="5" t="s">
        <v>76</v>
      </c>
      <c r="D120" s="5" t="s">
        <v>16</v>
      </c>
      <c r="E120" s="5" t="n">
        <f aca="false">ROUND(7126*1.05,2)</f>
        <v>7482.3</v>
      </c>
      <c r="F120" s="5" t="s">
        <v>49</v>
      </c>
      <c r="G120" s="5" t="s">
        <v>18</v>
      </c>
      <c r="H120" s="5" t="n">
        <f aca="true">ROUND(RAND()*4+6,1)</f>
        <v>9.2</v>
      </c>
      <c r="I120" s="5" t="s">
        <v>19</v>
      </c>
      <c r="J120" s="5" t="str">
        <f aca="false">ROUND(83*1,0)&amp;"%"</f>
        <v>83%</v>
      </c>
    </row>
    <row r="121" customFormat="false" ht="15" hidden="false" customHeight="false" outlineLevel="0" collapsed="false">
      <c r="A121" s="6" t="s">
        <v>5008</v>
      </c>
      <c r="B121" s="6" t="s">
        <v>220</v>
      </c>
      <c r="C121" s="6" t="s">
        <v>76</v>
      </c>
      <c r="D121" s="6" t="s">
        <v>22</v>
      </c>
      <c r="E121" s="6" t="n">
        <f aca="false">ROUND(16250*1.05,2)</f>
        <v>17062.5</v>
      </c>
      <c r="F121" s="6" t="s">
        <v>52</v>
      </c>
      <c r="G121" s="6" t="s">
        <v>24</v>
      </c>
      <c r="H121" s="6" t="n">
        <f aca="true">ROUND(RAND()*4+6,1)</f>
        <v>9.7</v>
      </c>
      <c r="I121" s="6" t="s">
        <v>25</v>
      </c>
      <c r="J121" s="6" t="str">
        <f aca="false">ROUND(87*1,0)&amp;"%"</f>
        <v>87%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5009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5010</v>
      </c>
      <c r="B126" s="5" t="s">
        <v>224</v>
      </c>
      <c r="C126" s="5" t="s">
        <v>95</v>
      </c>
      <c r="D126" s="5" t="s">
        <v>16</v>
      </c>
      <c r="E126" s="5" t="n">
        <f aca="false">ROUND(5875*1.05,2)</f>
        <v>6168.75</v>
      </c>
      <c r="F126" s="5" t="s">
        <v>17</v>
      </c>
      <c r="G126" s="5" t="s">
        <v>18</v>
      </c>
      <c r="H126" s="5" t="n">
        <f aca="true">ROUND(RAND()*4+6,1)</f>
        <v>8.3</v>
      </c>
      <c r="I126" s="5" t="s">
        <v>19</v>
      </c>
      <c r="J126" s="5" t="str">
        <f aca="false">ROUND(64*1,0)&amp;"%"</f>
        <v>64%</v>
      </c>
    </row>
    <row r="127" customFormat="false" ht="15" hidden="false" customHeight="false" outlineLevel="0" collapsed="false">
      <c r="A127" s="6" t="s">
        <v>5011</v>
      </c>
      <c r="B127" s="6" t="s">
        <v>226</v>
      </c>
      <c r="C127" s="6" t="s">
        <v>95</v>
      </c>
      <c r="D127" s="6" t="s">
        <v>22</v>
      </c>
      <c r="E127" s="6" t="n">
        <f aca="false">ROUND(13574*1.05,2)</f>
        <v>14252.7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ROUND(67*1,0)&amp;"%"</f>
        <v>67%</v>
      </c>
    </row>
    <row r="128" customFormat="false" ht="15" hidden="false" customHeight="false" outlineLevel="0" collapsed="false">
      <c r="A128" s="5" t="s">
        <v>5012</v>
      </c>
      <c r="B128" s="5" t="s">
        <v>228</v>
      </c>
      <c r="C128" s="5" t="s">
        <v>95</v>
      </c>
      <c r="D128" s="5" t="s">
        <v>28</v>
      </c>
      <c r="E128" s="5" t="n">
        <f aca="false">ROUND(12568*1.05,2)</f>
        <v>13196.4</v>
      </c>
      <c r="F128" s="5" t="s">
        <v>29</v>
      </c>
      <c r="G128" s="5" t="s">
        <v>30</v>
      </c>
      <c r="H128" s="5" t="n">
        <f aca="true">ROUND(RAND()*4+6,1)</f>
        <v>7.5</v>
      </c>
      <c r="I128" s="5" t="s">
        <v>31</v>
      </c>
      <c r="J128" s="5" t="str">
        <f aca="false">ROUND(87*1,0)&amp;"%"</f>
        <v>87%</v>
      </c>
    </row>
    <row r="129" customFormat="false" ht="15" hidden="false" customHeight="false" outlineLevel="0" collapsed="false">
      <c r="A129" s="6" t="s">
        <v>5013</v>
      </c>
      <c r="B129" s="6" t="s">
        <v>230</v>
      </c>
      <c r="C129" s="6" t="s">
        <v>95</v>
      </c>
      <c r="D129" s="6" t="s">
        <v>34</v>
      </c>
      <c r="E129" s="6" t="n">
        <f aca="false">ROUND(10454*1.05,2)</f>
        <v>10976.7</v>
      </c>
      <c r="F129" s="6" t="s">
        <v>35</v>
      </c>
      <c r="G129" s="6" t="s">
        <v>18</v>
      </c>
      <c r="H129" s="6" t="n">
        <f aca="true">ROUND(RAND()*4+6,1)</f>
        <v>6.5</v>
      </c>
      <c r="I129" s="6" t="s">
        <v>36</v>
      </c>
      <c r="J129" s="6" t="str">
        <f aca="false">ROUND(100*1,0)&amp;"%"</f>
        <v>100%</v>
      </c>
    </row>
    <row r="130" customFormat="false" ht="15" hidden="false" customHeight="false" outlineLevel="0" collapsed="false">
      <c r="A130" s="5" t="s">
        <v>5014</v>
      </c>
      <c r="B130" s="5" t="s">
        <v>232</v>
      </c>
      <c r="C130" s="5" t="s">
        <v>95</v>
      </c>
      <c r="D130" s="5" t="s">
        <v>39</v>
      </c>
      <c r="E130" s="5" t="n">
        <f aca="false">ROUND(5875*1.05,2)</f>
        <v>6168.75</v>
      </c>
      <c r="F130" s="5" t="s">
        <v>40</v>
      </c>
      <c r="G130" s="5" t="s">
        <v>24</v>
      </c>
      <c r="H130" s="5" t="n">
        <f aca="true">ROUND(RAND()*4+6,1)</f>
        <v>7.4</v>
      </c>
      <c r="I130" s="5" t="s">
        <v>41</v>
      </c>
      <c r="J130" s="5" t="str">
        <f aca="false">ROUND(87*1,0)&amp;"%"</f>
        <v>87%</v>
      </c>
    </row>
    <row r="131" customFormat="false" ht="15" hidden="false" customHeight="false" outlineLevel="0" collapsed="false">
      <c r="A131" s="6" t="s">
        <v>5015</v>
      </c>
      <c r="B131" s="6" t="s">
        <v>234</v>
      </c>
      <c r="C131" s="6" t="s">
        <v>95</v>
      </c>
      <c r="D131" s="6" t="s">
        <v>44</v>
      </c>
      <c r="E131" s="6" t="n">
        <f aca="false">ROUND(4862*1.05,2)</f>
        <v>5105.1</v>
      </c>
      <c r="F131" s="6" t="s">
        <v>45</v>
      </c>
      <c r="G131" s="6" t="s">
        <v>30</v>
      </c>
      <c r="H131" s="6" t="n">
        <f aca="true">ROUND(RAND()*4+6,1)</f>
        <v>9.4</v>
      </c>
      <c r="I131" s="6" t="s">
        <v>46</v>
      </c>
      <c r="J131" s="6" t="str">
        <f aca="false">ROUND(64*1,0)&amp;"%"</f>
        <v>64%</v>
      </c>
    </row>
    <row r="132" customFormat="false" ht="15" hidden="false" customHeight="false" outlineLevel="0" collapsed="false">
      <c r="A132" s="5" t="s">
        <v>5016</v>
      </c>
      <c r="B132" s="5" t="s">
        <v>236</v>
      </c>
      <c r="C132" s="5" t="s">
        <v>95</v>
      </c>
      <c r="D132" s="5" t="s">
        <v>16</v>
      </c>
      <c r="E132" s="5" t="n">
        <f aca="false">ROUND(9241*1.05,2)</f>
        <v>9703.05</v>
      </c>
      <c r="F132" s="5" t="s">
        <v>49</v>
      </c>
      <c r="G132" s="5" t="s">
        <v>18</v>
      </c>
      <c r="H132" s="5" t="n">
        <f aca="true">ROUND(RAND()*4+6,1)</f>
        <v>6.2</v>
      </c>
      <c r="I132" s="5" t="s">
        <v>19</v>
      </c>
      <c r="J132" s="5" t="str">
        <f aca="false">ROUND(69*1,0)&amp;"%"</f>
        <v>69%</v>
      </c>
    </row>
    <row r="133" customFormat="false" ht="15" hidden="false" customHeight="false" outlineLevel="0" collapsed="false">
      <c r="A133" s="6" t="s">
        <v>5017</v>
      </c>
      <c r="B133" s="6" t="s">
        <v>238</v>
      </c>
      <c r="C133" s="6" t="s">
        <v>95</v>
      </c>
      <c r="D133" s="6" t="s">
        <v>22</v>
      </c>
      <c r="E133" s="6" t="n">
        <f aca="false">ROUND(9870*1.05,2)</f>
        <v>10363.5</v>
      </c>
      <c r="F133" s="6" t="s">
        <v>52</v>
      </c>
      <c r="G133" s="6" t="s">
        <v>24</v>
      </c>
      <c r="H133" s="6" t="n">
        <f aca="true">ROUND(RAND()*4+6,1)</f>
        <v>9.8</v>
      </c>
      <c r="I133" s="6" t="s">
        <v>25</v>
      </c>
      <c r="J133" s="6" t="str">
        <f aca="false">ROUND(77*1,0)&amp;"%"</f>
        <v>77%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5018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5019</v>
      </c>
      <c r="B138" s="5" t="s">
        <v>242</v>
      </c>
      <c r="C138" s="5" t="s">
        <v>114</v>
      </c>
      <c r="D138" s="5" t="s">
        <v>16</v>
      </c>
      <c r="E138" s="5" t="n">
        <f aca="false">ROUND(7623*1.05,2)</f>
        <v>8004.15</v>
      </c>
      <c r="F138" s="5" t="s">
        <v>17</v>
      </c>
      <c r="G138" s="5" t="s">
        <v>18</v>
      </c>
      <c r="H138" s="5" t="n">
        <f aca="true">ROUND(RAND()*4+6,1)</f>
        <v>6.3</v>
      </c>
      <c r="I138" s="5" t="s">
        <v>19</v>
      </c>
      <c r="J138" s="5" t="str">
        <f aca="false">ROUND(87*1,0)&amp;"%"</f>
        <v>87%</v>
      </c>
    </row>
    <row r="139" customFormat="false" ht="15" hidden="false" customHeight="false" outlineLevel="0" collapsed="false">
      <c r="A139" s="6" t="s">
        <v>5020</v>
      </c>
      <c r="B139" s="6" t="s">
        <v>244</v>
      </c>
      <c r="C139" s="6" t="s">
        <v>114</v>
      </c>
      <c r="D139" s="6" t="s">
        <v>22</v>
      </c>
      <c r="E139" s="6" t="n">
        <f aca="false">ROUND(17988*1.05,2)</f>
        <v>18887.4</v>
      </c>
      <c r="F139" s="6" t="s">
        <v>23</v>
      </c>
      <c r="G139" s="6" t="s">
        <v>24</v>
      </c>
      <c r="H139" s="6" t="n">
        <f aca="true">ROUND(RAND()*4+6,1)</f>
        <v>9.1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5021</v>
      </c>
      <c r="B140" s="5" t="s">
        <v>246</v>
      </c>
      <c r="C140" s="5" t="s">
        <v>114</v>
      </c>
      <c r="D140" s="5" t="s">
        <v>28</v>
      </c>
      <c r="E140" s="5" t="n">
        <f aca="false">ROUND(9585*1.05,2)</f>
        <v>10064.25</v>
      </c>
      <c r="F140" s="5" t="s">
        <v>29</v>
      </c>
      <c r="G140" s="5" t="s">
        <v>30</v>
      </c>
      <c r="H140" s="5" t="n">
        <f aca="true">ROUND(RAND()*4+6,1)</f>
        <v>9.2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5022</v>
      </c>
      <c r="B141" s="6" t="s">
        <v>248</v>
      </c>
      <c r="C141" s="6" t="s">
        <v>114</v>
      </c>
      <c r="D141" s="6" t="s">
        <v>34</v>
      </c>
      <c r="E141" s="6" t="n">
        <f aca="false">ROUND(16071*1.05,2)</f>
        <v>16874.55</v>
      </c>
      <c r="F141" s="6" t="s">
        <v>35</v>
      </c>
      <c r="G141" s="6" t="s">
        <v>18</v>
      </c>
      <c r="H141" s="6" t="n">
        <f aca="true">ROUND(RAND()*4+6,1)</f>
        <v>6.1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5023</v>
      </c>
      <c r="B142" s="5" t="s">
        <v>250</v>
      </c>
      <c r="C142" s="5" t="s">
        <v>114</v>
      </c>
      <c r="D142" s="5" t="s">
        <v>39</v>
      </c>
      <c r="E142" s="5" t="n">
        <f aca="false">ROUND(9695*1.05,2)</f>
        <v>10179.75</v>
      </c>
      <c r="F142" s="5" t="s">
        <v>40</v>
      </c>
      <c r="G142" s="5" t="s">
        <v>24</v>
      </c>
      <c r="H142" s="5" t="n">
        <f aca="true">ROUND(RAND()*4+6,1)</f>
        <v>8.3</v>
      </c>
      <c r="I142" s="5" t="s">
        <v>41</v>
      </c>
      <c r="J142" s="5" t="str">
        <f aca="false">ROUND(67*1,0)&amp;"%"</f>
        <v>67%</v>
      </c>
    </row>
    <row r="143" customFormat="false" ht="15" hidden="false" customHeight="false" outlineLevel="0" collapsed="false">
      <c r="A143" s="6" t="s">
        <v>5024</v>
      </c>
      <c r="B143" s="6" t="s">
        <v>252</v>
      </c>
      <c r="C143" s="6" t="s">
        <v>114</v>
      </c>
      <c r="D143" s="6" t="s">
        <v>44</v>
      </c>
      <c r="E143" s="6" t="n">
        <f aca="false">ROUND(7298*1.05,2)</f>
        <v>7662.9</v>
      </c>
      <c r="F143" s="6" t="s">
        <v>45</v>
      </c>
      <c r="G143" s="6" t="s">
        <v>30</v>
      </c>
      <c r="H143" s="6" t="n">
        <f aca="true">ROUND(RAND()*4+6,1)</f>
        <v>10</v>
      </c>
      <c r="I143" s="6" t="s">
        <v>46</v>
      </c>
      <c r="J143" s="6" t="str">
        <f aca="false">ROUND(66*1,0)&amp;"%"</f>
        <v>66%</v>
      </c>
    </row>
    <row r="144" customFormat="false" ht="15" hidden="false" customHeight="false" outlineLevel="0" collapsed="false">
      <c r="A144" s="5" t="s">
        <v>5025</v>
      </c>
      <c r="B144" s="5" t="s">
        <v>254</v>
      </c>
      <c r="C144" s="5" t="s">
        <v>114</v>
      </c>
      <c r="D144" s="5" t="s">
        <v>16</v>
      </c>
      <c r="E144" s="5" t="n">
        <f aca="false">ROUND(11954*1.05,2)</f>
        <v>12551.7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5026</v>
      </c>
      <c r="B145" s="6" t="s">
        <v>256</v>
      </c>
      <c r="C145" s="6" t="s">
        <v>114</v>
      </c>
      <c r="D145" s="6" t="s">
        <v>22</v>
      </c>
      <c r="E145" s="6" t="n">
        <f aca="false">ROUND(7188*1.05,2)</f>
        <v>7547.4</v>
      </c>
      <c r="F145" s="6" t="s">
        <v>52</v>
      </c>
      <c r="G145" s="6" t="s">
        <v>24</v>
      </c>
      <c r="H145" s="6" t="n">
        <f aca="true">ROUND(RAND()*4+6,1)</f>
        <v>9</v>
      </c>
      <c r="I145" s="6" t="s">
        <v>25</v>
      </c>
      <c r="J145" s="6" t="str">
        <f aca="false">ROUND(91*1,0)&amp;"%"</f>
        <v>91%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5027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5028</v>
      </c>
      <c r="B150" s="5" t="s">
        <v>260</v>
      </c>
      <c r="C150" s="5" t="s">
        <v>133</v>
      </c>
      <c r="D150" s="5" t="s">
        <v>16</v>
      </c>
      <c r="E150" s="5" t="n">
        <f aca="false">ROUND(8682*1.05,2)</f>
        <v>9116.1</v>
      </c>
      <c r="F150" s="5" t="s">
        <v>17</v>
      </c>
      <c r="G150" s="5" t="s">
        <v>18</v>
      </c>
      <c r="H150" s="5" t="n">
        <f aca="true">ROUND(RAND()*4+6,1)</f>
        <v>6.1</v>
      </c>
      <c r="I150" s="5" t="s">
        <v>19</v>
      </c>
      <c r="J150" s="5" t="str">
        <f aca="false">ROUND(91*1,0)&amp;"%"</f>
        <v>91%</v>
      </c>
    </row>
    <row r="151" customFormat="false" ht="15" hidden="false" customHeight="false" outlineLevel="0" collapsed="false">
      <c r="A151" s="6" t="s">
        <v>5029</v>
      </c>
      <c r="B151" s="6" t="s">
        <v>262</v>
      </c>
      <c r="C151" s="6" t="s">
        <v>133</v>
      </c>
      <c r="D151" s="6" t="s">
        <v>22</v>
      </c>
      <c r="E151" s="6" t="n">
        <f aca="false">ROUND(12589*1.05,2)</f>
        <v>13218.45</v>
      </c>
      <c r="F151" s="6" t="s">
        <v>23</v>
      </c>
      <c r="G151" s="6" t="s">
        <v>24</v>
      </c>
      <c r="H151" s="6" t="n">
        <f aca="true">ROUND(RAND()*4+6,1)</f>
        <v>7</v>
      </c>
      <c r="I151" s="6" t="s">
        <v>25</v>
      </c>
      <c r="J151" s="6" t="str">
        <f aca="false">ROUND(95*1,0)&amp;"%"</f>
        <v>95%</v>
      </c>
    </row>
    <row r="152" customFormat="false" ht="15" hidden="false" customHeight="false" outlineLevel="0" collapsed="false">
      <c r="A152" s="5" t="s">
        <v>5030</v>
      </c>
      <c r="B152" s="5" t="s">
        <v>264</v>
      </c>
      <c r="C152" s="5" t="s">
        <v>133</v>
      </c>
      <c r="D152" s="5" t="s">
        <v>28</v>
      </c>
      <c r="E152" s="5" t="n">
        <f aca="false">ROUND(4707*1.05,2)</f>
        <v>4942.35</v>
      </c>
      <c r="F152" s="5" t="s">
        <v>29</v>
      </c>
      <c r="G152" s="5" t="s">
        <v>30</v>
      </c>
      <c r="H152" s="5" t="n">
        <f aca="true">ROUND(RAND()*4+6,1)</f>
        <v>9.9</v>
      </c>
      <c r="I152" s="5" t="s">
        <v>31</v>
      </c>
      <c r="J152" s="5" t="str">
        <f aca="false">ROUND(93*1,0)&amp;"%"</f>
        <v>93%</v>
      </c>
    </row>
    <row r="153" customFormat="false" ht="15" hidden="false" customHeight="false" outlineLevel="0" collapsed="false">
      <c r="A153" s="6" t="s">
        <v>5031</v>
      </c>
      <c r="B153" s="6" t="s">
        <v>266</v>
      </c>
      <c r="C153" s="6" t="s">
        <v>133</v>
      </c>
      <c r="D153" s="6" t="s">
        <v>34</v>
      </c>
      <c r="E153" s="6" t="n">
        <f aca="false">ROUND(13192*1.05,2)</f>
        <v>13851.6</v>
      </c>
      <c r="F153" s="6" t="s">
        <v>35</v>
      </c>
      <c r="G153" s="6" t="s">
        <v>18</v>
      </c>
      <c r="H153" s="6" t="n">
        <f aca="true">ROUND(RAND()*4+6,1)</f>
        <v>9.8</v>
      </c>
      <c r="I153" s="6" t="s">
        <v>36</v>
      </c>
      <c r="J153" s="6" t="str">
        <f aca="false">ROUND(61*1,0)&amp;"%"</f>
        <v>61%</v>
      </c>
    </row>
    <row r="154" customFormat="false" ht="15" hidden="false" customHeight="false" outlineLevel="0" collapsed="false">
      <c r="A154" s="5" t="s">
        <v>5032</v>
      </c>
      <c r="B154" s="5" t="s">
        <v>268</v>
      </c>
      <c r="C154" s="5" t="s">
        <v>133</v>
      </c>
      <c r="D154" s="5" t="s">
        <v>39</v>
      </c>
      <c r="E154" s="5" t="n">
        <f aca="false">ROUND(13706*1.05,2)</f>
        <v>14391.3</v>
      </c>
      <c r="F154" s="5" t="s">
        <v>40</v>
      </c>
      <c r="G154" s="5" t="s">
        <v>24</v>
      </c>
      <c r="H154" s="5" t="n">
        <f aca="true">ROUND(RAND()*4+6,1)</f>
        <v>9.6</v>
      </c>
      <c r="I154" s="5" t="s">
        <v>41</v>
      </c>
      <c r="J154" s="5" t="str">
        <f aca="false">ROUND(60*1,0)&amp;"%"</f>
        <v>60%</v>
      </c>
    </row>
    <row r="155" customFormat="false" ht="15" hidden="false" customHeight="false" outlineLevel="0" collapsed="false">
      <c r="A155" s="6" t="s">
        <v>5033</v>
      </c>
      <c r="B155" s="6" t="s">
        <v>270</v>
      </c>
      <c r="C155" s="6" t="s">
        <v>133</v>
      </c>
      <c r="D155" s="6" t="s">
        <v>44</v>
      </c>
      <c r="E155" s="6" t="n">
        <f aca="false">ROUND(6781*1.05,2)</f>
        <v>7120.05</v>
      </c>
      <c r="F155" s="6" t="s">
        <v>45</v>
      </c>
      <c r="G155" s="6" t="s">
        <v>30</v>
      </c>
      <c r="H155" s="6" t="n">
        <f aca="true">ROUND(RAND()*4+6,1)</f>
        <v>7.3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5034</v>
      </c>
      <c r="B156" s="5" t="s">
        <v>272</v>
      </c>
      <c r="C156" s="5" t="s">
        <v>133</v>
      </c>
      <c r="D156" s="5" t="s">
        <v>16</v>
      </c>
      <c r="E156" s="5" t="n">
        <f aca="false">ROUND(14828*1.05,2)</f>
        <v>15569.4</v>
      </c>
      <c r="F156" s="5" t="s">
        <v>49</v>
      </c>
      <c r="G156" s="5" t="s">
        <v>18</v>
      </c>
      <c r="H156" s="5" t="n">
        <f aca="true">ROUND(RAND()*4+6,1)</f>
        <v>6.4</v>
      </c>
      <c r="I156" s="5" t="s">
        <v>19</v>
      </c>
      <c r="J156" s="5" t="str">
        <f aca="false">ROUND(100*1,0)&amp;"%"</f>
        <v>100%</v>
      </c>
    </row>
    <row r="157" customFormat="false" ht="15" hidden="false" customHeight="false" outlineLevel="0" collapsed="false">
      <c r="A157" s="6" t="s">
        <v>5035</v>
      </c>
      <c r="B157" s="6" t="s">
        <v>274</v>
      </c>
      <c r="C157" s="6" t="s">
        <v>133</v>
      </c>
      <c r="D157" s="6" t="s">
        <v>22</v>
      </c>
      <c r="E157" s="6" t="n">
        <f aca="false">ROUND(5127*1.05,2)</f>
        <v>5383.35</v>
      </c>
      <c r="F157" s="6" t="s">
        <v>52</v>
      </c>
      <c r="G157" s="6" t="s">
        <v>24</v>
      </c>
      <c r="H157" s="6" t="n">
        <f aca="true">ROUND(RAND()*4+6,1)</f>
        <v>7.2</v>
      </c>
      <c r="I157" s="6" t="s">
        <v>25</v>
      </c>
      <c r="J157" s="6" t="str">
        <f aca="false">ROUND(69*1,0)&amp;"%"</f>
        <v>69%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5036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5037</v>
      </c>
      <c r="B162" s="5" t="s">
        <v>278</v>
      </c>
      <c r="C162" s="5" t="s">
        <v>152</v>
      </c>
      <c r="D162" s="5" t="s">
        <v>16</v>
      </c>
      <c r="E162" s="5" t="n">
        <f aca="false">ROUND(4372*1.05,2)</f>
        <v>4590.6</v>
      </c>
      <c r="F162" s="5" t="s">
        <v>17</v>
      </c>
      <c r="G162" s="5" t="s">
        <v>18</v>
      </c>
      <c r="H162" s="5" t="n">
        <f aca="true">ROUND(RAND()*4+6,1)</f>
        <v>7.6</v>
      </c>
      <c r="I162" s="5" t="s">
        <v>19</v>
      </c>
      <c r="J162" s="5" t="str">
        <f aca="false">ROUND(78*1,0)&amp;"%"</f>
        <v>78%</v>
      </c>
    </row>
    <row r="163" customFormat="false" ht="15" hidden="false" customHeight="false" outlineLevel="0" collapsed="false">
      <c r="A163" s="6" t="s">
        <v>5038</v>
      </c>
      <c r="B163" s="6" t="s">
        <v>280</v>
      </c>
      <c r="C163" s="6" t="s">
        <v>152</v>
      </c>
      <c r="D163" s="6" t="s">
        <v>22</v>
      </c>
      <c r="E163" s="6" t="n">
        <f aca="false">ROUND(10501*1.05,2)</f>
        <v>11026.05</v>
      </c>
      <c r="F163" s="6" t="s">
        <v>23</v>
      </c>
      <c r="G163" s="6" t="s">
        <v>24</v>
      </c>
      <c r="H163" s="6" t="n">
        <f aca="true">ROUND(RAND()*4+6,1)</f>
        <v>6.8</v>
      </c>
      <c r="I163" s="6" t="s">
        <v>25</v>
      </c>
      <c r="J163" s="6" t="str">
        <f aca="false">ROUND(86*1,0)&amp;"%"</f>
        <v>86%</v>
      </c>
    </row>
    <row r="164" customFormat="false" ht="15" hidden="false" customHeight="false" outlineLevel="0" collapsed="false">
      <c r="A164" s="5" t="s">
        <v>5039</v>
      </c>
      <c r="B164" s="5" t="s">
        <v>282</v>
      </c>
      <c r="C164" s="5" t="s">
        <v>152</v>
      </c>
      <c r="D164" s="5" t="s">
        <v>28</v>
      </c>
      <c r="E164" s="5" t="n">
        <f aca="false">ROUND(5774*1.05,2)</f>
        <v>6062.7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ROUND(87*1,0)&amp;"%"</f>
        <v>87%</v>
      </c>
    </row>
    <row r="165" customFormat="false" ht="15" hidden="false" customHeight="false" outlineLevel="0" collapsed="false">
      <c r="A165" s="6" t="s">
        <v>5040</v>
      </c>
      <c r="B165" s="6" t="s">
        <v>284</v>
      </c>
      <c r="C165" s="6" t="s">
        <v>152</v>
      </c>
      <c r="D165" s="6" t="s">
        <v>34</v>
      </c>
      <c r="E165" s="6" t="n">
        <f aca="false">ROUND(17871*1.05,2)</f>
        <v>18764.55</v>
      </c>
      <c r="F165" s="6" t="s">
        <v>35</v>
      </c>
      <c r="G165" s="6" t="s">
        <v>18</v>
      </c>
      <c r="H165" s="6" t="n">
        <f aca="true">ROUND(RAND()*4+6,1)</f>
        <v>9.2</v>
      </c>
      <c r="I165" s="6" t="s">
        <v>36</v>
      </c>
      <c r="J165" s="6" t="str">
        <f aca="false">ROUND(87*1,0)&amp;"%"</f>
        <v>87%</v>
      </c>
    </row>
    <row r="166" customFormat="false" ht="15" hidden="false" customHeight="false" outlineLevel="0" collapsed="false">
      <c r="A166" s="5" t="s">
        <v>5041</v>
      </c>
      <c r="B166" s="5" t="s">
        <v>286</v>
      </c>
      <c r="C166" s="5" t="s">
        <v>152</v>
      </c>
      <c r="D166" s="5" t="s">
        <v>39</v>
      </c>
      <c r="E166" s="5" t="n">
        <f aca="false">ROUND(6555*1.05,2)</f>
        <v>6882.75</v>
      </c>
      <c r="F166" s="5" t="s">
        <v>40</v>
      </c>
      <c r="G166" s="5" t="s">
        <v>24</v>
      </c>
      <c r="H166" s="5" t="n">
        <f aca="true">ROUND(RAND()*4+6,1)</f>
        <v>9.1</v>
      </c>
      <c r="I166" s="5" t="s">
        <v>41</v>
      </c>
      <c r="J166" s="5" t="str">
        <f aca="false">ROUND(67*1,0)&amp;"%"</f>
        <v>67%</v>
      </c>
    </row>
    <row r="167" customFormat="false" ht="15" hidden="false" customHeight="false" outlineLevel="0" collapsed="false">
      <c r="A167" s="6" t="s">
        <v>5042</v>
      </c>
      <c r="B167" s="6" t="s">
        <v>288</v>
      </c>
      <c r="C167" s="6" t="s">
        <v>152</v>
      </c>
      <c r="D167" s="6" t="s">
        <v>44</v>
      </c>
      <c r="E167" s="6" t="n">
        <f aca="false">ROUND(12573*1.05,2)</f>
        <v>13201.65</v>
      </c>
      <c r="F167" s="6" t="s">
        <v>45</v>
      </c>
      <c r="G167" s="6" t="s">
        <v>30</v>
      </c>
      <c r="H167" s="6" t="n">
        <f aca="true">ROUND(RAND()*4+6,1)</f>
        <v>8.7</v>
      </c>
      <c r="I167" s="6" t="s">
        <v>46</v>
      </c>
      <c r="J167" s="6" t="str">
        <f aca="false">ROUND(97*1,0)&amp;"%"</f>
        <v>97%</v>
      </c>
    </row>
    <row r="168" customFormat="false" ht="15" hidden="false" customHeight="false" outlineLevel="0" collapsed="false">
      <c r="A168" s="5" t="s">
        <v>5043</v>
      </c>
      <c r="B168" s="5" t="s">
        <v>290</v>
      </c>
      <c r="C168" s="5" t="s">
        <v>152</v>
      </c>
      <c r="D168" s="5" t="s">
        <v>16</v>
      </c>
      <c r="E168" s="5" t="n">
        <f aca="false">ROUND(10916*1.05,2)</f>
        <v>11461.8</v>
      </c>
      <c r="F168" s="5" t="s">
        <v>49</v>
      </c>
      <c r="G168" s="5" t="s">
        <v>18</v>
      </c>
      <c r="H168" s="5" t="n">
        <f aca="true">ROUND(RAND()*4+6,1)</f>
        <v>7.9</v>
      </c>
      <c r="I168" s="5" t="s">
        <v>19</v>
      </c>
      <c r="J168" s="5" t="str">
        <f aca="false">ROUND(87*1,0)&amp;"%"</f>
        <v>87%</v>
      </c>
    </row>
    <row r="169" customFormat="false" ht="15" hidden="false" customHeight="false" outlineLevel="0" collapsed="false">
      <c r="A169" s="6" t="s">
        <v>5044</v>
      </c>
      <c r="B169" s="6" t="s">
        <v>292</v>
      </c>
      <c r="C169" s="6" t="s">
        <v>152</v>
      </c>
      <c r="D169" s="6" t="s">
        <v>22</v>
      </c>
      <c r="E169" s="6" t="n">
        <f aca="false">ROUND(10777*1.05,2)</f>
        <v>11315.85</v>
      </c>
      <c r="F169" s="6" t="s">
        <v>52</v>
      </c>
      <c r="G169" s="6" t="s">
        <v>24</v>
      </c>
      <c r="H169" s="6" t="n">
        <f aca="true">ROUND(RAND()*4+6,1)</f>
        <v>8.1</v>
      </c>
      <c r="I169" s="6" t="s">
        <v>25</v>
      </c>
      <c r="J169" s="6" t="str">
        <f aca="false">ROUND(92*1,0)&amp;"%"</f>
        <v>92%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5045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5046</v>
      </c>
      <c r="B174" s="5" t="s">
        <v>296</v>
      </c>
      <c r="C174" s="5" t="s">
        <v>15</v>
      </c>
      <c r="D174" s="5" t="s">
        <v>16</v>
      </c>
      <c r="E174" s="5" t="n">
        <f aca="false">ROUND(5122*1.05,2)</f>
        <v>5378.1</v>
      </c>
      <c r="F174" s="5" t="s">
        <v>17</v>
      </c>
      <c r="G174" s="5" t="s">
        <v>18</v>
      </c>
      <c r="H174" s="5" t="n">
        <f aca="true">ROUND(RAND()*4+6,1)</f>
        <v>8.6</v>
      </c>
      <c r="I174" s="5" t="s">
        <v>19</v>
      </c>
      <c r="J174" s="5" t="str">
        <f aca="false">ROUND(93*1,0)&amp;"%"</f>
        <v>93%</v>
      </c>
    </row>
    <row r="175" customFormat="false" ht="15" hidden="false" customHeight="false" outlineLevel="0" collapsed="false">
      <c r="A175" s="6" t="s">
        <v>5047</v>
      </c>
      <c r="B175" s="6" t="s">
        <v>298</v>
      </c>
      <c r="C175" s="6" t="s">
        <v>15</v>
      </c>
      <c r="D175" s="6" t="s">
        <v>22</v>
      </c>
      <c r="E175" s="6" t="n">
        <f aca="false">ROUND(17071*1.05,2)</f>
        <v>17924.55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ROUND(74*1,0)&amp;"%"</f>
        <v>74%</v>
      </c>
    </row>
    <row r="176" customFormat="false" ht="15" hidden="false" customHeight="false" outlineLevel="0" collapsed="false">
      <c r="A176" s="5" t="s">
        <v>5048</v>
      </c>
      <c r="B176" s="5" t="s">
        <v>300</v>
      </c>
      <c r="C176" s="5" t="s">
        <v>15</v>
      </c>
      <c r="D176" s="5" t="s">
        <v>28</v>
      </c>
      <c r="E176" s="5" t="n">
        <f aca="false">ROUND(8119*1.05,2)</f>
        <v>8524.95</v>
      </c>
      <c r="F176" s="5" t="s">
        <v>29</v>
      </c>
      <c r="G176" s="5" t="s">
        <v>30</v>
      </c>
      <c r="H176" s="5" t="n">
        <f aca="true">ROUND(RAND()*4+6,1)</f>
        <v>7.2</v>
      </c>
      <c r="I176" s="5" t="s">
        <v>31</v>
      </c>
      <c r="J176" s="5" t="str">
        <f aca="false">ROUND(71*1,0)&amp;"%"</f>
        <v>71%</v>
      </c>
    </row>
    <row r="177" customFormat="false" ht="15" hidden="false" customHeight="false" outlineLevel="0" collapsed="false">
      <c r="A177" s="6" t="s">
        <v>5049</v>
      </c>
      <c r="B177" s="6" t="s">
        <v>302</v>
      </c>
      <c r="C177" s="6" t="s">
        <v>15</v>
      </c>
      <c r="D177" s="6" t="s">
        <v>34</v>
      </c>
      <c r="E177" s="6" t="n">
        <f aca="false">ROUND(11019*1.05,2)</f>
        <v>11569.95</v>
      </c>
      <c r="F177" s="6" t="s">
        <v>35</v>
      </c>
      <c r="G177" s="6" t="s">
        <v>18</v>
      </c>
      <c r="H177" s="6" t="n">
        <f aca="true">ROUND(RAND()*4+6,1)</f>
        <v>8</v>
      </c>
      <c r="I177" s="6" t="s">
        <v>36</v>
      </c>
      <c r="J177" s="6" t="str">
        <f aca="false">ROUND(60*1,0)&amp;"%"</f>
        <v>60%</v>
      </c>
    </row>
    <row r="178" customFormat="false" ht="15" hidden="false" customHeight="false" outlineLevel="0" collapsed="false">
      <c r="A178" s="5" t="s">
        <v>5050</v>
      </c>
      <c r="B178" s="5" t="s">
        <v>304</v>
      </c>
      <c r="C178" s="5" t="s">
        <v>15</v>
      </c>
      <c r="D178" s="5" t="s">
        <v>39</v>
      </c>
      <c r="E178" s="5" t="n">
        <f aca="false">ROUND(7106*1.05,2)</f>
        <v>7461.3</v>
      </c>
      <c r="F178" s="5" t="s">
        <v>40</v>
      </c>
      <c r="G178" s="5" t="s">
        <v>24</v>
      </c>
      <c r="H178" s="5" t="n">
        <f aca="true">ROUND(RAND()*4+6,1)</f>
        <v>6.8</v>
      </c>
      <c r="I178" s="5" t="s">
        <v>41</v>
      </c>
      <c r="J178" s="5" t="str">
        <f aca="false">ROUND(93*1,0)&amp;"%"</f>
        <v>93%</v>
      </c>
    </row>
    <row r="179" customFormat="false" ht="15" hidden="false" customHeight="false" outlineLevel="0" collapsed="false">
      <c r="A179" s="6" t="s">
        <v>5051</v>
      </c>
      <c r="B179" s="6" t="s">
        <v>306</v>
      </c>
      <c r="C179" s="6" t="s">
        <v>15</v>
      </c>
      <c r="D179" s="6" t="s">
        <v>44</v>
      </c>
      <c r="E179" s="6" t="n">
        <f aca="false">ROUND(17520*1.05,2)</f>
        <v>18396</v>
      </c>
      <c r="F179" s="6" t="s">
        <v>45</v>
      </c>
      <c r="G179" s="6" t="s">
        <v>30</v>
      </c>
      <c r="H179" s="6" t="n">
        <f aca="true">ROUND(RAND()*4+6,1)</f>
        <v>7.7</v>
      </c>
      <c r="I179" s="6" t="s">
        <v>46</v>
      </c>
      <c r="J179" s="6" t="str">
        <f aca="false">ROUND(63*1,0)&amp;"%"</f>
        <v>63%</v>
      </c>
    </row>
    <row r="180" customFormat="false" ht="15" hidden="false" customHeight="false" outlineLevel="0" collapsed="false">
      <c r="A180" s="5" t="s">
        <v>5052</v>
      </c>
      <c r="B180" s="5" t="s">
        <v>308</v>
      </c>
      <c r="C180" s="5" t="s">
        <v>15</v>
      </c>
      <c r="D180" s="5" t="s">
        <v>16</v>
      </c>
      <c r="E180" s="5" t="n">
        <f aca="false">ROUND(12040*1.05,2)</f>
        <v>12642</v>
      </c>
      <c r="F180" s="5" t="s">
        <v>49</v>
      </c>
      <c r="G180" s="5" t="s">
        <v>18</v>
      </c>
      <c r="H180" s="5" t="n">
        <f aca="true">ROUND(RAND()*4+6,1)</f>
        <v>7</v>
      </c>
      <c r="I180" s="5" t="s">
        <v>19</v>
      </c>
      <c r="J180" s="5" t="str">
        <f aca="false">ROUND(85*1,0)&amp;"%"</f>
        <v>85%</v>
      </c>
    </row>
    <row r="181" customFormat="false" ht="15" hidden="false" customHeight="false" outlineLevel="0" collapsed="false">
      <c r="A181" s="6" t="s">
        <v>5053</v>
      </c>
      <c r="B181" s="6" t="s">
        <v>310</v>
      </c>
      <c r="C181" s="6" t="s">
        <v>15</v>
      </c>
      <c r="D181" s="6" t="s">
        <v>22</v>
      </c>
      <c r="E181" s="6" t="n">
        <f aca="false">ROUND(10288*1.05,2)</f>
        <v>10802.4</v>
      </c>
      <c r="F181" s="6" t="s">
        <v>52</v>
      </c>
      <c r="G181" s="6" t="s">
        <v>24</v>
      </c>
      <c r="H181" s="6" t="n">
        <f aca="true">ROUND(RAND()*4+6,1)</f>
        <v>7.8</v>
      </c>
      <c r="I181" s="6" t="s">
        <v>25</v>
      </c>
      <c r="J181" s="6" t="str">
        <f aca="false">ROUND(68*1,0)&amp;"%"</f>
        <v>68%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5054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5055</v>
      </c>
      <c r="B186" s="5" t="s">
        <v>314</v>
      </c>
      <c r="C186" s="5" t="s">
        <v>57</v>
      </c>
      <c r="D186" s="5" t="s">
        <v>16</v>
      </c>
      <c r="E186" s="5" t="n">
        <f aca="false">ROUND(11235*1.05,2)</f>
        <v>11796.75</v>
      </c>
      <c r="F186" s="5" t="s">
        <v>17</v>
      </c>
      <c r="G186" s="5" t="s">
        <v>18</v>
      </c>
      <c r="H186" s="5" t="n">
        <f aca="true">ROUND(RAND()*4+6,1)</f>
        <v>8.4</v>
      </c>
      <c r="I186" s="5" t="s">
        <v>19</v>
      </c>
      <c r="J186" s="5" t="str">
        <f aca="false">ROUND(66*1,0)&amp;"%"</f>
        <v>66%</v>
      </c>
    </row>
    <row r="187" customFormat="false" ht="15" hidden="false" customHeight="false" outlineLevel="0" collapsed="false">
      <c r="A187" s="6" t="s">
        <v>5056</v>
      </c>
      <c r="B187" s="6" t="s">
        <v>316</v>
      </c>
      <c r="C187" s="6" t="s">
        <v>57</v>
      </c>
      <c r="D187" s="6" t="s">
        <v>22</v>
      </c>
      <c r="E187" s="6" t="n">
        <f aca="false">ROUND(12719*1.05,2)</f>
        <v>13354.95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ROUND(85*1,0)&amp;"%"</f>
        <v>85%</v>
      </c>
    </row>
    <row r="188" customFormat="false" ht="15" hidden="false" customHeight="false" outlineLevel="0" collapsed="false">
      <c r="A188" s="5" t="s">
        <v>5057</v>
      </c>
      <c r="B188" s="5" t="s">
        <v>318</v>
      </c>
      <c r="C188" s="5" t="s">
        <v>57</v>
      </c>
      <c r="D188" s="5" t="s">
        <v>28</v>
      </c>
      <c r="E188" s="5" t="n">
        <f aca="false">ROUND(16189*1.05,2)</f>
        <v>16998.45</v>
      </c>
      <c r="F188" s="5" t="s">
        <v>29</v>
      </c>
      <c r="G188" s="5" t="s">
        <v>30</v>
      </c>
      <c r="H188" s="5" t="n">
        <f aca="true">ROUND(RAND()*4+6,1)</f>
        <v>7.2</v>
      </c>
      <c r="I188" s="5" t="s">
        <v>31</v>
      </c>
      <c r="J188" s="5" t="str">
        <f aca="false">ROUND(82*1,0)&amp;"%"</f>
        <v>82%</v>
      </c>
    </row>
    <row r="189" customFormat="false" ht="15" hidden="false" customHeight="false" outlineLevel="0" collapsed="false">
      <c r="A189" s="6" t="s">
        <v>5058</v>
      </c>
      <c r="B189" s="6" t="s">
        <v>320</v>
      </c>
      <c r="C189" s="6" t="s">
        <v>57</v>
      </c>
      <c r="D189" s="6" t="s">
        <v>34</v>
      </c>
      <c r="E189" s="6" t="n">
        <f aca="false">ROUND(8671*1.05,2)</f>
        <v>9104.55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ROUND(93*1,0)&amp;"%"</f>
        <v>93%</v>
      </c>
    </row>
    <row r="190" customFormat="false" ht="15" hidden="false" customHeight="false" outlineLevel="0" collapsed="false">
      <c r="A190" s="5" t="s">
        <v>5059</v>
      </c>
      <c r="B190" s="5" t="s">
        <v>322</v>
      </c>
      <c r="C190" s="5" t="s">
        <v>57</v>
      </c>
      <c r="D190" s="5" t="s">
        <v>39</v>
      </c>
      <c r="E190" s="5" t="n">
        <f aca="false">ROUND(5559*1.05,2)</f>
        <v>5836.95</v>
      </c>
      <c r="F190" s="5" t="s">
        <v>40</v>
      </c>
      <c r="G190" s="5" t="s">
        <v>24</v>
      </c>
      <c r="H190" s="5" t="n">
        <f aca="true">ROUND(RAND()*4+6,1)</f>
        <v>8.4</v>
      </c>
      <c r="I190" s="5" t="s">
        <v>41</v>
      </c>
      <c r="J190" s="5" t="str">
        <f aca="false">ROUND(92*1,0)&amp;"%"</f>
        <v>92%</v>
      </c>
    </row>
    <row r="191" customFormat="false" ht="15" hidden="false" customHeight="false" outlineLevel="0" collapsed="false">
      <c r="A191" s="6" t="s">
        <v>5060</v>
      </c>
      <c r="B191" s="6" t="s">
        <v>324</v>
      </c>
      <c r="C191" s="6" t="s">
        <v>57</v>
      </c>
      <c r="D191" s="6" t="s">
        <v>44</v>
      </c>
      <c r="E191" s="6" t="n">
        <f aca="false">ROUND(5426*1.05,2)</f>
        <v>5697.3</v>
      </c>
      <c r="F191" s="6" t="s">
        <v>45</v>
      </c>
      <c r="G191" s="6" t="s">
        <v>30</v>
      </c>
      <c r="H191" s="6" t="n">
        <f aca="true">ROUND(RAND()*4+6,1)</f>
        <v>9.2</v>
      </c>
      <c r="I191" s="6" t="s">
        <v>46</v>
      </c>
      <c r="J191" s="6" t="str">
        <f aca="false">ROUND(66*1,0)&amp;"%"</f>
        <v>66%</v>
      </c>
    </row>
    <row r="192" customFormat="false" ht="15" hidden="false" customHeight="false" outlineLevel="0" collapsed="false">
      <c r="A192" s="5" t="s">
        <v>5061</v>
      </c>
      <c r="B192" s="5" t="s">
        <v>326</v>
      </c>
      <c r="C192" s="5" t="s">
        <v>57</v>
      </c>
      <c r="D192" s="5" t="s">
        <v>16</v>
      </c>
      <c r="E192" s="5" t="n">
        <f aca="false">ROUND(12691*1.05,2)</f>
        <v>13325.55</v>
      </c>
      <c r="F192" s="5" t="s">
        <v>49</v>
      </c>
      <c r="G192" s="5" t="s">
        <v>18</v>
      </c>
      <c r="H192" s="5" t="n">
        <f aca="true">ROUND(RAND()*4+6,1)</f>
        <v>7.6</v>
      </c>
      <c r="I192" s="5" t="s">
        <v>19</v>
      </c>
      <c r="J192" s="5" t="str">
        <f aca="false">ROUND(90*1,0)&amp;"%"</f>
        <v>90%</v>
      </c>
    </row>
    <row r="193" customFormat="false" ht="15" hidden="false" customHeight="false" outlineLevel="0" collapsed="false">
      <c r="A193" s="6" t="s">
        <v>5062</v>
      </c>
      <c r="B193" s="6" t="s">
        <v>328</v>
      </c>
      <c r="C193" s="6" t="s">
        <v>57</v>
      </c>
      <c r="D193" s="6" t="s">
        <v>22</v>
      </c>
      <c r="E193" s="6" t="n">
        <f aca="false">ROUND(11031*1.05,2)</f>
        <v>11582.55</v>
      </c>
      <c r="F193" s="6" t="s">
        <v>52</v>
      </c>
      <c r="G193" s="6" t="s">
        <v>24</v>
      </c>
      <c r="H193" s="6" t="n">
        <f aca="true">ROUND(RAND()*4+6,1)</f>
        <v>6.6</v>
      </c>
      <c r="I193" s="6" t="s">
        <v>25</v>
      </c>
      <c r="J193" s="6" t="str">
        <f aca="false">ROUND(74*1,0)&amp;"%"</f>
        <v>74%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5063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5064</v>
      </c>
      <c r="B198" s="5" t="s">
        <v>332</v>
      </c>
      <c r="C198" s="5" t="s">
        <v>76</v>
      </c>
      <c r="D198" s="5" t="s">
        <v>16</v>
      </c>
      <c r="E198" s="5" t="n">
        <f aca="false">ROUND(16895*1.05,2)</f>
        <v>17739.75</v>
      </c>
      <c r="F198" s="5" t="s">
        <v>17</v>
      </c>
      <c r="G198" s="5" t="s">
        <v>18</v>
      </c>
      <c r="H198" s="5" t="n">
        <f aca="true">ROUND(RAND()*4+6,1)</f>
        <v>7.9</v>
      </c>
      <c r="I198" s="5" t="s">
        <v>19</v>
      </c>
      <c r="J198" s="5" t="str">
        <f aca="false">ROUND(97*1,0)&amp;"%"</f>
        <v>97%</v>
      </c>
    </row>
    <row r="199" customFormat="false" ht="15" hidden="false" customHeight="false" outlineLevel="0" collapsed="false">
      <c r="A199" s="6" t="s">
        <v>5065</v>
      </c>
      <c r="B199" s="6" t="s">
        <v>334</v>
      </c>
      <c r="C199" s="6" t="s">
        <v>76</v>
      </c>
      <c r="D199" s="6" t="s">
        <v>22</v>
      </c>
      <c r="E199" s="6" t="n">
        <f aca="false">ROUND(6719*1.05,2)</f>
        <v>7054.95</v>
      </c>
      <c r="F199" s="6" t="s">
        <v>23</v>
      </c>
      <c r="G199" s="6" t="s">
        <v>24</v>
      </c>
      <c r="H199" s="6" t="n">
        <f aca="true">ROUND(RAND()*4+6,1)</f>
        <v>8.5</v>
      </c>
      <c r="I199" s="6" t="s">
        <v>25</v>
      </c>
      <c r="J199" s="6" t="str">
        <f aca="false">ROUND(85*1,0)&amp;"%"</f>
        <v>85%</v>
      </c>
    </row>
    <row r="200" customFormat="false" ht="15" hidden="false" customHeight="false" outlineLevel="0" collapsed="false">
      <c r="A200" s="5" t="s">
        <v>5066</v>
      </c>
      <c r="B200" s="5" t="s">
        <v>336</v>
      </c>
      <c r="C200" s="5" t="s">
        <v>76</v>
      </c>
      <c r="D200" s="5" t="s">
        <v>28</v>
      </c>
      <c r="E200" s="5" t="n">
        <f aca="false">ROUND(12108*1.05,2)</f>
        <v>12713.4</v>
      </c>
      <c r="F200" s="5" t="s">
        <v>29</v>
      </c>
      <c r="G200" s="5" t="s">
        <v>30</v>
      </c>
      <c r="H200" s="5" t="n">
        <f aca="true">ROUND(RAND()*4+6,1)</f>
        <v>7.6</v>
      </c>
      <c r="I200" s="5" t="s">
        <v>31</v>
      </c>
      <c r="J200" s="5" t="str">
        <f aca="false">ROUND(73*1,0)&amp;"%"</f>
        <v>73%</v>
      </c>
    </row>
    <row r="201" customFormat="false" ht="15" hidden="false" customHeight="false" outlineLevel="0" collapsed="false">
      <c r="A201" s="6" t="s">
        <v>5067</v>
      </c>
      <c r="B201" s="6" t="s">
        <v>338</v>
      </c>
      <c r="C201" s="6" t="s">
        <v>76</v>
      </c>
      <c r="D201" s="6" t="s">
        <v>34</v>
      </c>
      <c r="E201" s="6" t="n">
        <f aca="false">ROUND(12043*1.05,2)</f>
        <v>12645.15</v>
      </c>
      <c r="F201" s="6" t="s">
        <v>35</v>
      </c>
      <c r="G201" s="6" t="s">
        <v>18</v>
      </c>
      <c r="H201" s="6" t="n">
        <f aca="true">ROUND(RAND()*4+6,1)</f>
        <v>8.4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5068</v>
      </c>
      <c r="B202" s="5" t="s">
        <v>340</v>
      </c>
      <c r="C202" s="5" t="s">
        <v>76</v>
      </c>
      <c r="D202" s="5" t="s">
        <v>39</v>
      </c>
      <c r="E202" s="5" t="n">
        <f aca="false">ROUND(13999*1.05,2)</f>
        <v>14698.95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ROUND(71*1,0)&amp;"%"</f>
        <v>71%</v>
      </c>
    </row>
    <row r="203" customFormat="false" ht="15" hidden="false" customHeight="false" outlineLevel="0" collapsed="false">
      <c r="A203" s="6" t="s">
        <v>5069</v>
      </c>
      <c r="B203" s="6" t="s">
        <v>342</v>
      </c>
      <c r="C203" s="6" t="s">
        <v>76</v>
      </c>
      <c r="D203" s="6" t="s">
        <v>44</v>
      </c>
      <c r="E203" s="6" t="n">
        <f aca="false">ROUND(5394*1.05,2)</f>
        <v>5663.7</v>
      </c>
      <c r="F203" s="6" t="s">
        <v>45</v>
      </c>
      <c r="G203" s="6" t="s">
        <v>30</v>
      </c>
      <c r="H203" s="6" t="n">
        <f aca="true">ROUND(RAND()*4+6,1)</f>
        <v>9.2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5070</v>
      </c>
      <c r="B204" s="5" t="s">
        <v>344</v>
      </c>
      <c r="C204" s="5" t="s">
        <v>76</v>
      </c>
      <c r="D204" s="5" t="s">
        <v>16</v>
      </c>
      <c r="E204" s="5" t="n">
        <f aca="false">ROUND(7153*1.05,2)</f>
        <v>7510.65</v>
      </c>
      <c r="F204" s="5" t="s">
        <v>49</v>
      </c>
      <c r="G204" s="5" t="s">
        <v>18</v>
      </c>
      <c r="H204" s="5" t="n">
        <f aca="true">ROUND(RAND()*4+6,1)</f>
        <v>7.8</v>
      </c>
      <c r="I204" s="5" t="s">
        <v>19</v>
      </c>
      <c r="J204" s="5" t="str">
        <f aca="false">ROUND(71*1,0)&amp;"%"</f>
        <v>71%</v>
      </c>
    </row>
    <row r="205" customFormat="false" ht="15" hidden="false" customHeight="false" outlineLevel="0" collapsed="false">
      <c r="A205" s="6" t="s">
        <v>5071</v>
      </c>
      <c r="B205" s="6" t="s">
        <v>346</v>
      </c>
      <c r="C205" s="6" t="s">
        <v>76</v>
      </c>
      <c r="D205" s="6" t="s">
        <v>22</v>
      </c>
      <c r="E205" s="6" t="n">
        <f aca="false">ROUND(12746*1.05,2)</f>
        <v>13383.3</v>
      </c>
      <c r="F205" s="6" t="s">
        <v>52</v>
      </c>
      <c r="G205" s="6" t="s">
        <v>24</v>
      </c>
      <c r="H205" s="6" t="n">
        <f aca="true">ROUND(RAND()*4+6,1)</f>
        <v>7</v>
      </c>
      <c r="I205" s="6" t="s">
        <v>25</v>
      </c>
      <c r="J205" s="6" t="str">
        <f aca="false">ROUND(82*1,0)&amp;"%"</f>
        <v>82%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5072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5073</v>
      </c>
      <c r="B210" s="5" t="s">
        <v>350</v>
      </c>
      <c r="C210" s="5" t="s">
        <v>95</v>
      </c>
      <c r="D210" s="5" t="s">
        <v>16</v>
      </c>
      <c r="E210" s="5" t="n">
        <f aca="false">ROUND(5331*1.05,2)</f>
        <v>5597.55</v>
      </c>
      <c r="F210" s="5" t="s">
        <v>17</v>
      </c>
      <c r="G210" s="5" t="s">
        <v>18</v>
      </c>
      <c r="H210" s="5" t="n">
        <f aca="true">ROUND(RAND()*4+6,1)</f>
        <v>9.6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5074</v>
      </c>
      <c r="B211" s="6" t="s">
        <v>352</v>
      </c>
      <c r="C211" s="6" t="s">
        <v>95</v>
      </c>
      <c r="D211" s="6" t="s">
        <v>22</v>
      </c>
      <c r="E211" s="6" t="n">
        <f aca="false">ROUND(15383*1.05,2)</f>
        <v>16152.15</v>
      </c>
      <c r="F211" s="6" t="s">
        <v>23</v>
      </c>
      <c r="G211" s="6" t="s">
        <v>24</v>
      </c>
      <c r="H211" s="6" t="n">
        <f aca="true">ROUND(RAND()*4+6,1)</f>
        <v>9.7</v>
      </c>
      <c r="I211" s="6" t="s">
        <v>25</v>
      </c>
      <c r="J211" s="6" t="str">
        <f aca="false">ROUND(62*1,0)&amp;"%"</f>
        <v>62%</v>
      </c>
    </row>
    <row r="212" customFormat="false" ht="15" hidden="false" customHeight="false" outlineLevel="0" collapsed="false">
      <c r="A212" s="5" t="s">
        <v>5075</v>
      </c>
      <c r="B212" s="5" t="s">
        <v>354</v>
      </c>
      <c r="C212" s="5" t="s">
        <v>95</v>
      </c>
      <c r="D212" s="5" t="s">
        <v>28</v>
      </c>
      <c r="E212" s="5" t="n">
        <f aca="false">ROUND(5084*1.05,2)</f>
        <v>5338.2</v>
      </c>
      <c r="F212" s="5" t="s">
        <v>29</v>
      </c>
      <c r="G212" s="5" t="s">
        <v>30</v>
      </c>
      <c r="H212" s="5" t="n">
        <f aca="true">ROUND(RAND()*4+6,1)</f>
        <v>9.1</v>
      </c>
      <c r="I212" s="5" t="s">
        <v>31</v>
      </c>
      <c r="J212" s="5" t="str">
        <f aca="false">ROUND(86*1,0)&amp;"%"</f>
        <v>86%</v>
      </c>
    </row>
    <row r="213" customFormat="false" ht="15" hidden="false" customHeight="false" outlineLevel="0" collapsed="false">
      <c r="A213" s="6" t="s">
        <v>5076</v>
      </c>
      <c r="B213" s="6" t="s">
        <v>356</v>
      </c>
      <c r="C213" s="6" t="s">
        <v>95</v>
      </c>
      <c r="D213" s="6" t="s">
        <v>34</v>
      </c>
      <c r="E213" s="6" t="n">
        <f aca="false">ROUND(15249*1.05,2)</f>
        <v>16011.45</v>
      </c>
      <c r="F213" s="6" t="s">
        <v>35</v>
      </c>
      <c r="G213" s="6" t="s">
        <v>18</v>
      </c>
      <c r="H213" s="6" t="n">
        <f aca="true">ROUND(RAND()*4+6,1)</f>
        <v>9.8</v>
      </c>
      <c r="I213" s="6" t="s">
        <v>36</v>
      </c>
      <c r="J213" s="6" t="str">
        <f aca="false">ROUND(60*1,0)&amp;"%"</f>
        <v>60%</v>
      </c>
    </row>
    <row r="214" customFormat="false" ht="15" hidden="false" customHeight="false" outlineLevel="0" collapsed="false">
      <c r="A214" s="5" t="s">
        <v>5077</v>
      </c>
      <c r="B214" s="5" t="s">
        <v>358</v>
      </c>
      <c r="C214" s="5" t="s">
        <v>95</v>
      </c>
      <c r="D214" s="5" t="s">
        <v>39</v>
      </c>
      <c r="E214" s="5" t="n">
        <f aca="false">ROUND(14521*1.05,2)</f>
        <v>15247.05</v>
      </c>
      <c r="F214" s="5" t="s">
        <v>40</v>
      </c>
      <c r="G214" s="5" t="s">
        <v>24</v>
      </c>
      <c r="H214" s="5" t="n">
        <f aca="true">ROUND(RAND()*4+6,1)</f>
        <v>7</v>
      </c>
      <c r="I214" s="5" t="s">
        <v>41</v>
      </c>
      <c r="J214" s="5" t="str">
        <f aca="false">ROUND(86*1,0)&amp;"%"</f>
        <v>86%</v>
      </c>
    </row>
    <row r="215" customFormat="false" ht="15" hidden="false" customHeight="false" outlineLevel="0" collapsed="false">
      <c r="A215" s="6" t="s">
        <v>5078</v>
      </c>
      <c r="B215" s="6" t="s">
        <v>360</v>
      </c>
      <c r="C215" s="6" t="s">
        <v>95</v>
      </c>
      <c r="D215" s="6" t="s">
        <v>44</v>
      </c>
      <c r="E215" s="6" t="n">
        <f aca="false">ROUND(10822*1.05,2)</f>
        <v>11363.1</v>
      </c>
      <c r="F215" s="6" t="s">
        <v>45</v>
      </c>
      <c r="G215" s="6" t="s">
        <v>30</v>
      </c>
      <c r="H215" s="6" t="n">
        <f aca="true">ROUND(RAND()*4+6,1)</f>
        <v>9.9</v>
      </c>
      <c r="I215" s="6" t="s">
        <v>46</v>
      </c>
      <c r="J215" s="6" t="str">
        <f aca="false">ROUND(62*1,0)&amp;"%"</f>
        <v>62%</v>
      </c>
    </row>
    <row r="216" customFormat="false" ht="15" hidden="false" customHeight="false" outlineLevel="0" collapsed="false">
      <c r="A216" s="5" t="s">
        <v>5079</v>
      </c>
      <c r="B216" s="5" t="s">
        <v>362</v>
      </c>
      <c r="C216" s="5" t="s">
        <v>95</v>
      </c>
      <c r="D216" s="5" t="s">
        <v>16</v>
      </c>
      <c r="E216" s="5" t="n">
        <f aca="false">ROUND(9888*1.05,2)</f>
        <v>10382.4</v>
      </c>
      <c r="F216" s="5" t="s">
        <v>49</v>
      </c>
      <c r="G216" s="5" t="s">
        <v>18</v>
      </c>
      <c r="H216" s="5" t="n">
        <f aca="true">ROUND(RAND()*4+6,1)</f>
        <v>7.7</v>
      </c>
      <c r="I216" s="5" t="s">
        <v>19</v>
      </c>
      <c r="J216" s="5" t="str">
        <f aca="false">ROUND(97*1,0)&amp;"%"</f>
        <v>97%</v>
      </c>
    </row>
    <row r="217" customFormat="false" ht="15" hidden="false" customHeight="false" outlineLevel="0" collapsed="false">
      <c r="A217" s="6" t="s">
        <v>5080</v>
      </c>
      <c r="B217" s="6" t="s">
        <v>364</v>
      </c>
      <c r="C217" s="6" t="s">
        <v>95</v>
      </c>
      <c r="D217" s="6" t="s">
        <v>22</v>
      </c>
      <c r="E217" s="6" t="n">
        <f aca="false">ROUND(16922*1.05,2)</f>
        <v>17768.1</v>
      </c>
      <c r="F217" s="6" t="s">
        <v>52</v>
      </c>
      <c r="G217" s="6" t="s">
        <v>24</v>
      </c>
      <c r="H217" s="6" t="n">
        <f aca="true">ROUND(RAND()*4+6,1)</f>
        <v>6.4</v>
      </c>
      <c r="I217" s="6" t="s">
        <v>25</v>
      </c>
      <c r="J217" s="6" t="str">
        <f aca="false">ROUND(64*1,0)&amp;"%"</f>
        <v>64%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5081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5082</v>
      </c>
      <c r="B222" s="5" t="s">
        <v>368</v>
      </c>
      <c r="C222" s="5" t="s">
        <v>114</v>
      </c>
      <c r="D222" s="5" t="s">
        <v>16</v>
      </c>
      <c r="E222" s="5" t="n">
        <f aca="false">ROUND(11808*1.05,2)</f>
        <v>12398.4</v>
      </c>
      <c r="F222" s="5" t="s">
        <v>17</v>
      </c>
      <c r="G222" s="5" t="s">
        <v>18</v>
      </c>
      <c r="H222" s="5" t="n">
        <f aca="true">ROUND(RAND()*4+6,1)</f>
        <v>6.1</v>
      </c>
      <c r="I222" s="5" t="s">
        <v>19</v>
      </c>
      <c r="J222" s="5" t="str">
        <f aca="false">ROUND(83*1,0)&amp;"%"</f>
        <v>83%</v>
      </c>
    </row>
    <row r="223" customFormat="false" ht="15" hidden="false" customHeight="false" outlineLevel="0" collapsed="false">
      <c r="A223" s="6" t="s">
        <v>5083</v>
      </c>
      <c r="B223" s="6" t="s">
        <v>370</v>
      </c>
      <c r="C223" s="6" t="s">
        <v>114</v>
      </c>
      <c r="D223" s="6" t="s">
        <v>22</v>
      </c>
      <c r="E223" s="6" t="n">
        <f aca="false">ROUND(16233*1.05,2)</f>
        <v>17044.65</v>
      </c>
      <c r="F223" s="6" t="s">
        <v>23</v>
      </c>
      <c r="G223" s="6" t="s">
        <v>24</v>
      </c>
      <c r="H223" s="6" t="n">
        <f aca="true">ROUND(RAND()*4+6,1)</f>
        <v>9.8</v>
      </c>
      <c r="I223" s="6" t="s">
        <v>25</v>
      </c>
      <c r="J223" s="6" t="str">
        <f aca="false">ROUND(74*1,0)&amp;"%"</f>
        <v>74%</v>
      </c>
    </row>
    <row r="224" customFormat="false" ht="15" hidden="false" customHeight="false" outlineLevel="0" collapsed="false">
      <c r="A224" s="5" t="s">
        <v>5084</v>
      </c>
      <c r="B224" s="5" t="s">
        <v>372</v>
      </c>
      <c r="C224" s="5" t="s">
        <v>114</v>
      </c>
      <c r="D224" s="5" t="s">
        <v>28</v>
      </c>
      <c r="E224" s="5" t="n">
        <f aca="false">ROUND(13953*1.05,2)</f>
        <v>14650.65</v>
      </c>
      <c r="F224" s="5" t="s">
        <v>29</v>
      </c>
      <c r="G224" s="5" t="s">
        <v>30</v>
      </c>
      <c r="H224" s="5" t="n">
        <f aca="true">ROUND(RAND()*4+6,1)</f>
        <v>8.4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5085</v>
      </c>
      <c r="B225" s="6" t="s">
        <v>374</v>
      </c>
      <c r="C225" s="6" t="s">
        <v>114</v>
      </c>
      <c r="D225" s="6" t="s">
        <v>34</v>
      </c>
      <c r="E225" s="6" t="n">
        <f aca="false">ROUND(16989*1.05,2)</f>
        <v>17838.45</v>
      </c>
      <c r="F225" s="6" t="s">
        <v>35</v>
      </c>
      <c r="G225" s="6" t="s">
        <v>18</v>
      </c>
      <c r="H225" s="6" t="n">
        <f aca="true">ROUND(RAND()*4+6,1)</f>
        <v>6.6</v>
      </c>
      <c r="I225" s="6" t="s">
        <v>36</v>
      </c>
      <c r="J225" s="6" t="str">
        <f aca="false">ROUND(95*1,0)&amp;"%"</f>
        <v>95%</v>
      </c>
    </row>
    <row r="226" customFormat="false" ht="15" hidden="false" customHeight="false" outlineLevel="0" collapsed="false">
      <c r="A226" s="5" t="s">
        <v>5086</v>
      </c>
      <c r="B226" s="5" t="s">
        <v>376</v>
      </c>
      <c r="C226" s="5" t="s">
        <v>114</v>
      </c>
      <c r="D226" s="5" t="s">
        <v>39</v>
      </c>
      <c r="E226" s="5" t="n">
        <f aca="false">ROUND(10424*1.05,2)</f>
        <v>10945.2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ROUND(99*1,0)&amp;"%"</f>
        <v>99%</v>
      </c>
    </row>
    <row r="227" customFormat="false" ht="15" hidden="false" customHeight="false" outlineLevel="0" collapsed="false">
      <c r="A227" s="6" t="s">
        <v>5087</v>
      </c>
      <c r="B227" s="6" t="s">
        <v>378</v>
      </c>
      <c r="C227" s="6" t="s">
        <v>114</v>
      </c>
      <c r="D227" s="6" t="s">
        <v>44</v>
      </c>
      <c r="E227" s="6" t="n">
        <f aca="false">ROUND(12092*1.05,2)</f>
        <v>12696.6</v>
      </c>
      <c r="F227" s="6" t="s">
        <v>45</v>
      </c>
      <c r="G227" s="6" t="s">
        <v>30</v>
      </c>
      <c r="H227" s="6" t="n">
        <f aca="true">ROUND(RAND()*4+6,1)</f>
        <v>8.4</v>
      </c>
      <c r="I227" s="6" t="s">
        <v>46</v>
      </c>
      <c r="J227" s="6" t="str">
        <f aca="false">ROUND(96*1,0)&amp;"%"</f>
        <v>96%</v>
      </c>
    </row>
    <row r="228" customFormat="false" ht="15" hidden="false" customHeight="false" outlineLevel="0" collapsed="false">
      <c r="A228" s="5" t="s">
        <v>5088</v>
      </c>
      <c r="B228" s="5" t="s">
        <v>380</v>
      </c>
      <c r="C228" s="5" t="s">
        <v>114</v>
      </c>
      <c r="D228" s="5" t="s">
        <v>16</v>
      </c>
      <c r="E228" s="5" t="n">
        <f aca="false">ROUND(6113*1.05,2)</f>
        <v>6418.65</v>
      </c>
      <c r="F228" s="5" t="s">
        <v>49</v>
      </c>
      <c r="G228" s="5" t="s">
        <v>18</v>
      </c>
      <c r="H228" s="5" t="n">
        <f aca="true">ROUND(RAND()*4+6,1)</f>
        <v>9.5</v>
      </c>
      <c r="I228" s="5" t="s">
        <v>19</v>
      </c>
      <c r="J228" s="5" t="str">
        <f aca="false">ROUND(100*1,0)&amp;"%"</f>
        <v>100%</v>
      </c>
    </row>
    <row r="229" customFormat="false" ht="15" hidden="false" customHeight="false" outlineLevel="0" collapsed="false">
      <c r="A229" s="6" t="s">
        <v>5089</v>
      </c>
      <c r="B229" s="6" t="s">
        <v>382</v>
      </c>
      <c r="C229" s="6" t="s">
        <v>114</v>
      </c>
      <c r="D229" s="6" t="s">
        <v>22</v>
      </c>
      <c r="E229" s="6" t="n">
        <f aca="false">ROUND(7074*1.05,2)</f>
        <v>7427.7</v>
      </c>
      <c r="F229" s="6" t="s">
        <v>52</v>
      </c>
      <c r="G229" s="6" t="s">
        <v>24</v>
      </c>
      <c r="H229" s="6" t="n">
        <f aca="true">ROUND(RAND()*4+6,1)</f>
        <v>7.6</v>
      </c>
      <c r="I229" s="6" t="s">
        <v>25</v>
      </c>
      <c r="J229" s="6" t="str">
        <f aca="false">ROUND(86*1,0)&amp;"%"</f>
        <v>86%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5090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5091</v>
      </c>
      <c r="B234" s="5" t="s">
        <v>386</v>
      </c>
      <c r="C234" s="5" t="s">
        <v>133</v>
      </c>
      <c r="D234" s="5" t="s">
        <v>16</v>
      </c>
      <c r="E234" s="5" t="n">
        <f aca="false">ROUND(7223*1.05,2)</f>
        <v>7584.15</v>
      </c>
      <c r="F234" s="5" t="s">
        <v>17</v>
      </c>
      <c r="G234" s="5" t="s">
        <v>18</v>
      </c>
      <c r="H234" s="5" t="n">
        <f aca="true">ROUND(RAND()*4+6,1)</f>
        <v>10</v>
      </c>
      <c r="I234" s="5" t="s">
        <v>19</v>
      </c>
      <c r="J234" s="5" t="str">
        <f aca="false">ROUND(72*1,0)&amp;"%"</f>
        <v>72%</v>
      </c>
    </row>
    <row r="235" customFormat="false" ht="15" hidden="false" customHeight="false" outlineLevel="0" collapsed="false">
      <c r="A235" s="6" t="s">
        <v>5092</v>
      </c>
      <c r="B235" s="6" t="s">
        <v>388</v>
      </c>
      <c r="C235" s="6" t="s">
        <v>133</v>
      </c>
      <c r="D235" s="6" t="s">
        <v>22</v>
      </c>
      <c r="E235" s="6" t="n">
        <f aca="false">ROUND(5793*1.05,2)</f>
        <v>6082.65</v>
      </c>
      <c r="F235" s="6" t="s">
        <v>23</v>
      </c>
      <c r="G235" s="6" t="s">
        <v>24</v>
      </c>
      <c r="H235" s="6" t="n">
        <f aca="true">ROUND(RAND()*4+6,1)</f>
        <v>8.7</v>
      </c>
      <c r="I235" s="6" t="s">
        <v>25</v>
      </c>
      <c r="J235" s="6" t="str">
        <f aca="false">ROUND(92*1,0)&amp;"%"</f>
        <v>92%</v>
      </c>
    </row>
    <row r="236" customFormat="false" ht="15" hidden="false" customHeight="false" outlineLevel="0" collapsed="false">
      <c r="A236" s="5" t="s">
        <v>5093</v>
      </c>
      <c r="B236" s="5" t="s">
        <v>390</v>
      </c>
      <c r="C236" s="5" t="s">
        <v>133</v>
      </c>
      <c r="D236" s="5" t="s">
        <v>28</v>
      </c>
      <c r="E236" s="5" t="n">
        <f aca="false">ROUND(17008*1.05,2)</f>
        <v>17858.4</v>
      </c>
      <c r="F236" s="5" t="s">
        <v>29</v>
      </c>
      <c r="G236" s="5" t="s">
        <v>30</v>
      </c>
      <c r="H236" s="5" t="n">
        <f aca="true">ROUND(RAND()*4+6,1)</f>
        <v>9.3</v>
      </c>
      <c r="I236" s="5" t="s">
        <v>31</v>
      </c>
      <c r="J236" s="5" t="str">
        <f aca="false">ROUND(72*1,0)&amp;"%"</f>
        <v>72%</v>
      </c>
    </row>
    <row r="237" customFormat="false" ht="15" hidden="false" customHeight="false" outlineLevel="0" collapsed="false">
      <c r="A237" s="6" t="s">
        <v>5094</v>
      </c>
      <c r="B237" s="6" t="s">
        <v>392</v>
      </c>
      <c r="C237" s="6" t="s">
        <v>133</v>
      </c>
      <c r="D237" s="6" t="s">
        <v>34</v>
      </c>
      <c r="E237" s="6" t="n">
        <f aca="false">ROUND(12821*1.05,2)</f>
        <v>13462.05</v>
      </c>
      <c r="F237" s="6" t="s">
        <v>35</v>
      </c>
      <c r="G237" s="6" t="s">
        <v>18</v>
      </c>
      <c r="H237" s="6" t="n">
        <f aca="true">ROUND(RAND()*4+6,1)</f>
        <v>9.3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5095</v>
      </c>
      <c r="B238" s="5" t="s">
        <v>394</v>
      </c>
      <c r="C238" s="5" t="s">
        <v>133</v>
      </c>
      <c r="D238" s="5" t="s">
        <v>39</v>
      </c>
      <c r="E238" s="5" t="n">
        <f aca="false">ROUND(13743*1.05,2)</f>
        <v>14430.15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ROUND(84*1,0)&amp;"%"</f>
        <v>84%</v>
      </c>
    </row>
    <row r="239" customFormat="false" ht="15" hidden="false" customHeight="false" outlineLevel="0" collapsed="false">
      <c r="A239" s="6" t="s">
        <v>5096</v>
      </c>
      <c r="B239" s="6" t="s">
        <v>396</v>
      </c>
      <c r="C239" s="6" t="s">
        <v>133</v>
      </c>
      <c r="D239" s="6" t="s">
        <v>44</v>
      </c>
      <c r="E239" s="6" t="n">
        <f aca="false">ROUND(12230*1.05,2)</f>
        <v>12841.5</v>
      </c>
      <c r="F239" s="6" t="s">
        <v>45</v>
      </c>
      <c r="G239" s="6" t="s">
        <v>30</v>
      </c>
      <c r="H239" s="6" t="n">
        <f aca="true">ROUND(RAND()*4+6,1)</f>
        <v>7.6</v>
      </c>
      <c r="I239" s="6" t="s">
        <v>46</v>
      </c>
      <c r="J239" s="6" t="str">
        <f aca="false">ROUND(87*1,0)&amp;"%"</f>
        <v>87%</v>
      </c>
    </row>
    <row r="240" customFormat="false" ht="15" hidden="false" customHeight="false" outlineLevel="0" collapsed="false">
      <c r="A240" s="5" t="s">
        <v>5097</v>
      </c>
      <c r="B240" s="5" t="s">
        <v>398</v>
      </c>
      <c r="C240" s="5" t="s">
        <v>133</v>
      </c>
      <c r="D240" s="5" t="s">
        <v>16</v>
      </c>
      <c r="E240" s="5" t="n">
        <f aca="false">ROUND(15781*1.05,2)</f>
        <v>16570.05</v>
      </c>
      <c r="F240" s="5" t="s">
        <v>49</v>
      </c>
      <c r="G240" s="5" t="s">
        <v>18</v>
      </c>
      <c r="H240" s="5" t="n">
        <f aca="true">ROUND(RAND()*4+6,1)</f>
        <v>9.8</v>
      </c>
      <c r="I240" s="5" t="s">
        <v>19</v>
      </c>
      <c r="J240" s="5" t="str">
        <f aca="false">ROUND(94*1,0)&amp;"%"</f>
        <v>94%</v>
      </c>
    </row>
    <row r="241" customFormat="false" ht="15" hidden="false" customHeight="false" outlineLevel="0" collapsed="false">
      <c r="A241" s="6" t="s">
        <v>5098</v>
      </c>
      <c r="B241" s="6" t="s">
        <v>400</v>
      </c>
      <c r="C241" s="6" t="s">
        <v>133</v>
      </c>
      <c r="D241" s="6" t="s">
        <v>22</v>
      </c>
      <c r="E241" s="6" t="n">
        <f aca="false">ROUND(4655*1.05,2)</f>
        <v>4887.75</v>
      </c>
      <c r="F241" s="6" t="s">
        <v>52</v>
      </c>
      <c r="G241" s="6" t="s">
        <v>24</v>
      </c>
      <c r="H241" s="6" t="n">
        <f aca="true">ROUND(RAND()*4+6,1)</f>
        <v>8.2</v>
      </c>
      <c r="I241" s="6" t="s">
        <v>25</v>
      </c>
      <c r="J241" s="6" t="str">
        <f aca="false">ROUND(91*1,0)&amp;"%"</f>
        <v>91%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5099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5100</v>
      </c>
      <c r="B246" s="5" t="s">
        <v>404</v>
      </c>
      <c r="C246" s="5" t="s">
        <v>152</v>
      </c>
      <c r="D246" s="5" t="s">
        <v>16</v>
      </c>
      <c r="E246" s="5" t="n">
        <f aca="false">ROUND(13368*1.05,2)</f>
        <v>14036.4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ROUND(75*1,0)&amp;"%"</f>
        <v>75%</v>
      </c>
    </row>
    <row r="247" customFormat="false" ht="15" hidden="false" customHeight="false" outlineLevel="0" collapsed="false">
      <c r="A247" s="6" t="s">
        <v>5101</v>
      </c>
      <c r="B247" s="6" t="s">
        <v>406</v>
      </c>
      <c r="C247" s="6" t="s">
        <v>152</v>
      </c>
      <c r="D247" s="6" t="s">
        <v>22</v>
      </c>
      <c r="E247" s="6" t="n">
        <f aca="false">ROUND(4677*1.05,2)</f>
        <v>4910.85</v>
      </c>
      <c r="F247" s="6" t="s">
        <v>23</v>
      </c>
      <c r="G247" s="6" t="s">
        <v>24</v>
      </c>
      <c r="H247" s="6" t="n">
        <f aca="true">ROUND(RAND()*4+6,1)</f>
        <v>6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5102</v>
      </c>
      <c r="B248" s="5" t="s">
        <v>408</v>
      </c>
      <c r="C248" s="5" t="s">
        <v>152</v>
      </c>
      <c r="D248" s="5" t="s">
        <v>28</v>
      </c>
      <c r="E248" s="5" t="n">
        <f aca="false">ROUND(8480*1.05,2)</f>
        <v>8904</v>
      </c>
      <c r="F248" s="5" t="s">
        <v>29</v>
      </c>
      <c r="G248" s="5" t="s">
        <v>30</v>
      </c>
      <c r="H248" s="5" t="n">
        <f aca="true">ROUND(RAND()*4+6,1)</f>
        <v>9</v>
      </c>
      <c r="I248" s="5" t="s">
        <v>31</v>
      </c>
      <c r="J248" s="5" t="str">
        <f aca="false">ROUND(73*1,0)&amp;"%"</f>
        <v>73%</v>
      </c>
    </row>
    <row r="249" customFormat="false" ht="15" hidden="false" customHeight="false" outlineLevel="0" collapsed="false">
      <c r="A249" s="6" t="s">
        <v>5103</v>
      </c>
      <c r="B249" s="6" t="s">
        <v>410</v>
      </c>
      <c r="C249" s="6" t="s">
        <v>152</v>
      </c>
      <c r="D249" s="6" t="s">
        <v>34</v>
      </c>
      <c r="E249" s="6" t="n">
        <f aca="false">ROUND(8546*1.05,2)</f>
        <v>8973.3</v>
      </c>
      <c r="F249" s="6" t="s">
        <v>35</v>
      </c>
      <c r="G249" s="6" t="s">
        <v>18</v>
      </c>
      <c r="H249" s="6" t="n">
        <f aca="true">ROUND(RAND()*4+6,1)</f>
        <v>9.3</v>
      </c>
      <c r="I249" s="6" t="s">
        <v>36</v>
      </c>
      <c r="J249" s="6" t="str">
        <f aca="false">ROUND(91*1,0)&amp;"%"</f>
        <v>91%</v>
      </c>
    </row>
    <row r="250" customFormat="false" ht="15" hidden="false" customHeight="false" outlineLevel="0" collapsed="false">
      <c r="A250" s="5" t="s">
        <v>5104</v>
      </c>
      <c r="B250" s="5" t="s">
        <v>412</v>
      </c>
      <c r="C250" s="5" t="s">
        <v>152</v>
      </c>
      <c r="D250" s="5" t="s">
        <v>39</v>
      </c>
      <c r="E250" s="5" t="n">
        <f aca="false">ROUND(8302*1.05,2)</f>
        <v>8717.1</v>
      </c>
      <c r="F250" s="5" t="s">
        <v>40</v>
      </c>
      <c r="G250" s="5" t="s">
        <v>24</v>
      </c>
      <c r="H250" s="5" t="n">
        <f aca="true">ROUND(RAND()*4+6,1)</f>
        <v>7</v>
      </c>
      <c r="I250" s="5" t="s">
        <v>41</v>
      </c>
      <c r="J250" s="5" t="str">
        <f aca="false">ROUND(65*1,0)&amp;"%"</f>
        <v>65%</v>
      </c>
    </row>
    <row r="251" customFormat="false" ht="15" hidden="false" customHeight="false" outlineLevel="0" collapsed="false">
      <c r="A251" s="6" t="s">
        <v>5105</v>
      </c>
      <c r="B251" s="6" t="s">
        <v>414</v>
      </c>
      <c r="C251" s="6" t="s">
        <v>152</v>
      </c>
      <c r="D251" s="6" t="s">
        <v>44</v>
      </c>
      <c r="E251" s="6" t="n">
        <f aca="false">ROUND(17728*1.05,2)</f>
        <v>18614.4</v>
      </c>
      <c r="F251" s="6" t="s">
        <v>45</v>
      </c>
      <c r="G251" s="6" t="s">
        <v>30</v>
      </c>
      <c r="H251" s="6" t="n">
        <f aca="true">ROUND(RAND()*4+6,1)</f>
        <v>8.1</v>
      </c>
      <c r="I251" s="6" t="s">
        <v>46</v>
      </c>
      <c r="J251" s="6" t="str">
        <f aca="false">ROUND(85*1,0)&amp;"%"</f>
        <v>85%</v>
      </c>
    </row>
    <row r="252" customFormat="false" ht="15" hidden="false" customHeight="false" outlineLevel="0" collapsed="false">
      <c r="A252" s="5" t="s">
        <v>5106</v>
      </c>
      <c r="B252" s="5" t="s">
        <v>416</v>
      </c>
      <c r="C252" s="5" t="s">
        <v>152</v>
      </c>
      <c r="D252" s="5" t="s">
        <v>16</v>
      </c>
      <c r="E252" s="5" t="n">
        <f aca="false">ROUND(11742*1.05,2)</f>
        <v>12329.1</v>
      </c>
      <c r="F252" s="5" t="s">
        <v>49</v>
      </c>
      <c r="G252" s="5" t="s">
        <v>18</v>
      </c>
      <c r="H252" s="5" t="n">
        <f aca="true">ROUND(RAND()*4+6,1)</f>
        <v>6.6</v>
      </c>
      <c r="I252" s="5" t="s">
        <v>19</v>
      </c>
      <c r="J252" s="5" t="str">
        <f aca="false">ROUND(71*1,0)&amp;"%"</f>
        <v>71%</v>
      </c>
    </row>
    <row r="253" customFormat="false" ht="15" hidden="false" customHeight="false" outlineLevel="0" collapsed="false">
      <c r="A253" s="6" t="s">
        <v>5107</v>
      </c>
      <c r="B253" s="6" t="s">
        <v>418</v>
      </c>
      <c r="C253" s="6" t="s">
        <v>152</v>
      </c>
      <c r="D253" s="6" t="s">
        <v>22</v>
      </c>
      <c r="E253" s="6" t="n">
        <f aca="false">ROUND(7819*1.05,2)</f>
        <v>8209.95</v>
      </c>
      <c r="F253" s="6" t="s">
        <v>52</v>
      </c>
      <c r="G253" s="6" t="s">
        <v>24</v>
      </c>
      <c r="H253" s="6" t="n">
        <f aca="true">ROUND(RAND()*4+6,1)</f>
        <v>7.6</v>
      </c>
      <c r="I253" s="6" t="s">
        <v>25</v>
      </c>
      <c r="J253" s="6" t="str">
        <f aca="false">ROUND(70*1,0)&amp;"%"</f>
        <v>70%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5108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5109</v>
      </c>
      <c r="B258" s="5" t="s">
        <v>422</v>
      </c>
      <c r="C258" s="5" t="s">
        <v>15</v>
      </c>
      <c r="D258" s="5" t="s">
        <v>16</v>
      </c>
      <c r="E258" s="5" t="n">
        <f aca="false">ROUND(14621*1.05,2)</f>
        <v>15352.05</v>
      </c>
      <c r="F258" s="5" t="s">
        <v>17</v>
      </c>
      <c r="G258" s="5" t="s">
        <v>18</v>
      </c>
      <c r="H258" s="5" t="n">
        <f aca="true">ROUND(RAND()*4+6,1)</f>
        <v>6.8</v>
      </c>
      <c r="I258" s="5" t="s">
        <v>19</v>
      </c>
      <c r="J258" s="5" t="str">
        <f aca="false">ROUND(91*1,0)&amp;"%"</f>
        <v>91%</v>
      </c>
    </row>
    <row r="259" customFormat="false" ht="15" hidden="false" customHeight="false" outlineLevel="0" collapsed="false">
      <c r="A259" s="6" t="s">
        <v>5110</v>
      </c>
      <c r="B259" s="6" t="s">
        <v>424</v>
      </c>
      <c r="C259" s="6" t="s">
        <v>15</v>
      </c>
      <c r="D259" s="6" t="s">
        <v>22</v>
      </c>
      <c r="E259" s="6" t="n">
        <f aca="false">ROUND(10242*1.05,2)</f>
        <v>10754.1</v>
      </c>
      <c r="F259" s="6" t="s">
        <v>23</v>
      </c>
      <c r="G259" s="6" t="s">
        <v>24</v>
      </c>
      <c r="H259" s="6" t="n">
        <f aca="true">ROUND(RAND()*4+6,1)</f>
        <v>8.2</v>
      </c>
      <c r="I259" s="6" t="s">
        <v>25</v>
      </c>
      <c r="J259" s="6" t="str">
        <f aca="false">ROUND(85*1,0)&amp;"%"</f>
        <v>85%</v>
      </c>
    </row>
    <row r="260" customFormat="false" ht="15" hidden="false" customHeight="false" outlineLevel="0" collapsed="false">
      <c r="A260" s="5" t="s">
        <v>5111</v>
      </c>
      <c r="B260" s="5" t="s">
        <v>426</v>
      </c>
      <c r="C260" s="5" t="s">
        <v>15</v>
      </c>
      <c r="D260" s="5" t="s">
        <v>28</v>
      </c>
      <c r="E260" s="5" t="n">
        <f aca="false">ROUND(14402*1.05,2)</f>
        <v>15122.1</v>
      </c>
      <c r="F260" s="5" t="s">
        <v>29</v>
      </c>
      <c r="G260" s="5" t="s">
        <v>30</v>
      </c>
      <c r="H260" s="5" t="n">
        <f aca="true">ROUND(RAND()*4+6,1)</f>
        <v>9.5</v>
      </c>
      <c r="I260" s="5" t="s">
        <v>31</v>
      </c>
      <c r="J260" s="5" t="str">
        <f aca="false">ROUND(95*1,0)&amp;"%"</f>
        <v>95%</v>
      </c>
    </row>
    <row r="261" customFormat="false" ht="15" hidden="false" customHeight="false" outlineLevel="0" collapsed="false">
      <c r="A261" s="6" t="s">
        <v>5112</v>
      </c>
      <c r="B261" s="6" t="s">
        <v>428</v>
      </c>
      <c r="C261" s="6" t="s">
        <v>15</v>
      </c>
      <c r="D261" s="6" t="s">
        <v>34</v>
      </c>
      <c r="E261" s="6" t="n">
        <f aca="false">ROUND(16100*1.05,2)</f>
        <v>16905</v>
      </c>
      <c r="F261" s="6" t="s">
        <v>35</v>
      </c>
      <c r="G261" s="6" t="s">
        <v>18</v>
      </c>
      <c r="H261" s="6" t="n">
        <f aca="true">ROUND(RAND()*4+6,1)</f>
        <v>9.2</v>
      </c>
      <c r="I261" s="6" t="s">
        <v>36</v>
      </c>
      <c r="J261" s="6" t="str">
        <f aca="false">ROUND(66*1,0)&amp;"%"</f>
        <v>66%</v>
      </c>
    </row>
    <row r="262" customFormat="false" ht="15" hidden="false" customHeight="false" outlineLevel="0" collapsed="false">
      <c r="A262" s="5" t="s">
        <v>5113</v>
      </c>
      <c r="B262" s="5" t="s">
        <v>430</v>
      </c>
      <c r="C262" s="5" t="s">
        <v>15</v>
      </c>
      <c r="D262" s="5" t="s">
        <v>39</v>
      </c>
      <c r="E262" s="5" t="n">
        <f aca="false">ROUND(11538*1.05,2)</f>
        <v>12114.9</v>
      </c>
      <c r="F262" s="5" t="s">
        <v>40</v>
      </c>
      <c r="G262" s="5" t="s">
        <v>24</v>
      </c>
      <c r="H262" s="5" t="n">
        <f aca="true">ROUND(RAND()*4+6,1)</f>
        <v>7.2</v>
      </c>
      <c r="I262" s="5" t="s">
        <v>41</v>
      </c>
      <c r="J262" s="5" t="str">
        <f aca="false">ROUND(61*1,0)&amp;"%"</f>
        <v>61%</v>
      </c>
    </row>
    <row r="263" customFormat="false" ht="15" hidden="false" customHeight="false" outlineLevel="0" collapsed="false">
      <c r="A263" s="6" t="s">
        <v>5114</v>
      </c>
      <c r="B263" s="6" t="s">
        <v>432</v>
      </c>
      <c r="C263" s="6" t="s">
        <v>15</v>
      </c>
      <c r="D263" s="6" t="s">
        <v>44</v>
      </c>
      <c r="E263" s="6" t="n">
        <f aca="false">ROUND(13955*1.05,2)</f>
        <v>14652.75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ROUND(98*1,0)&amp;"%"</f>
        <v>98%</v>
      </c>
    </row>
    <row r="264" customFormat="false" ht="15" hidden="false" customHeight="false" outlineLevel="0" collapsed="false">
      <c r="A264" s="5" t="s">
        <v>5115</v>
      </c>
      <c r="B264" s="5" t="s">
        <v>434</v>
      </c>
      <c r="C264" s="5" t="s">
        <v>15</v>
      </c>
      <c r="D264" s="5" t="s">
        <v>16</v>
      </c>
      <c r="E264" s="5" t="n">
        <f aca="false">ROUND(12321*1.05,2)</f>
        <v>12937.05</v>
      </c>
      <c r="F264" s="5" t="s">
        <v>49</v>
      </c>
      <c r="G264" s="5" t="s">
        <v>18</v>
      </c>
      <c r="H264" s="5" t="n">
        <f aca="true">ROUND(RAND()*4+6,1)</f>
        <v>9.9</v>
      </c>
      <c r="I264" s="5" t="s">
        <v>19</v>
      </c>
      <c r="J264" s="5" t="str">
        <f aca="false">ROUND(77*1,0)&amp;"%"</f>
        <v>77%</v>
      </c>
    </row>
    <row r="265" customFormat="false" ht="15" hidden="false" customHeight="false" outlineLevel="0" collapsed="false">
      <c r="A265" s="6" t="s">
        <v>5116</v>
      </c>
      <c r="B265" s="6" t="s">
        <v>436</v>
      </c>
      <c r="C265" s="6" t="s">
        <v>15</v>
      </c>
      <c r="D265" s="6" t="s">
        <v>22</v>
      </c>
      <c r="E265" s="6" t="n">
        <f aca="false">ROUND(4238*1.05,2)</f>
        <v>4449.9</v>
      </c>
      <c r="F265" s="6" t="s">
        <v>52</v>
      </c>
      <c r="G265" s="6" t="s">
        <v>24</v>
      </c>
      <c r="H265" s="6" t="n">
        <f aca="true">ROUND(RAND()*4+6,1)</f>
        <v>6</v>
      </c>
      <c r="I265" s="6" t="s">
        <v>25</v>
      </c>
      <c r="J265" s="6" t="str">
        <f aca="false">ROUND(73*1,0)&amp;"%"</f>
        <v>73%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5117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5118</v>
      </c>
      <c r="B270" s="5" t="s">
        <v>440</v>
      </c>
      <c r="C270" s="5" t="s">
        <v>57</v>
      </c>
      <c r="D270" s="5" t="s">
        <v>16</v>
      </c>
      <c r="E270" s="5" t="n">
        <f aca="false">ROUND(11207*1.05,2)</f>
        <v>11767.35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ROUND(98*1,0)&amp;"%"</f>
        <v>98%</v>
      </c>
    </row>
    <row r="271" customFormat="false" ht="15" hidden="false" customHeight="false" outlineLevel="0" collapsed="false">
      <c r="A271" s="6" t="s">
        <v>5119</v>
      </c>
      <c r="B271" s="6" t="s">
        <v>442</v>
      </c>
      <c r="C271" s="6" t="s">
        <v>57</v>
      </c>
      <c r="D271" s="6" t="s">
        <v>22</v>
      </c>
      <c r="E271" s="6" t="n">
        <f aca="false">ROUND(12554*1.05,2)</f>
        <v>13181.7</v>
      </c>
      <c r="F271" s="6" t="s">
        <v>23</v>
      </c>
      <c r="G271" s="6" t="s">
        <v>24</v>
      </c>
      <c r="H271" s="6" t="n">
        <f aca="true">ROUND(RAND()*4+6,1)</f>
        <v>8.8</v>
      </c>
      <c r="I271" s="6" t="s">
        <v>25</v>
      </c>
      <c r="J271" s="6" t="str">
        <f aca="false">ROUND(97*1,0)&amp;"%"</f>
        <v>97%</v>
      </c>
    </row>
    <row r="272" customFormat="false" ht="15" hidden="false" customHeight="false" outlineLevel="0" collapsed="false">
      <c r="A272" s="5" t="s">
        <v>5120</v>
      </c>
      <c r="B272" s="5" t="s">
        <v>444</v>
      </c>
      <c r="C272" s="5" t="s">
        <v>57</v>
      </c>
      <c r="D272" s="5" t="s">
        <v>28</v>
      </c>
      <c r="E272" s="5" t="n">
        <f aca="false">ROUND(6754*1.05,2)</f>
        <v>7091.7</v>
      </c>
      <c r="F272" s="5" t="s">
        <v>29</v>
      </c>
      <c r="G272" s="5" t="s">
        <v>30</v>
      </c>
      <c r="H272" s="5" t="n">
        <f aca="true">ROUND(RAND()*4+6,1)</f>
        <v>8</v>
      </c>
      <c r="I272" s="5" t="s">
        <v>31</v>
      </c>
      <c r="J272" s="5" t="str">
        <f aca="false">ROUND(99*1,0)&amp;"%"</f>
        <v>99%</v>
      </c>
    </row>
    <row r="273" customFormat="false" ht="15" hidden="false" customHeight="false" outlineLevel="0" collapsed="false">
      <c r="A273" s="6" t="s">
        <v>5121</v>
      </c>
      <c r="B273" s="6" t="s">
        <v>446</v>
      </c>
      <c r="C273" s="6" t="s">
        <v>57</v>
      </c>
      <c r="D273" s="6" t="s">
        <v>34</v>
      </c>
      <c r="E273" s="6" t="n">
        <f aca="false">ROUND(5845*1.05,2)</f>
        <v>6137.25</v>
      </c>
      <c r="F273" s="6" t="s">
        <v>35</v>
      </c>
      <c r="G273" s="6" t="s">
        <v>18</v>
      </c>
      <c r="H273" s="6" t="n">
        <f aca="true">ROUND(RAND()*4+6,1)</f>
        <v>7</v>
      </c>
      <c r="I273" s="6" t="s">
        <v>36</v>
      </c>
      <c r="J273" s="6" t="str">
        <f aca="false">ROUND(85*1,0)&amp;"%"</f>
        <v>85%</v>
      </c>
    </row>
    <row r="274" customFormat="false" ht="15" hidden="false" customHeight="false" outlineLevel="0" collapsed="false">
      <c r="A274" s="5" t="s">
        <v>5122</v>
      </c>
      <c r="B274" s="5" t="s">
        <v>448</v>
      </c>
      <c r="C274" s="5" t="s">
        <v>57</v>
      </c>
      <c r="D274" s="5" t="s">
        <v>39</v>
      </c>
      <c r="E274" s="5" t="n">
        <f aca="false">ROUND(9802*1.05,2)</f>
        <v>10292.1</v>
      </c>
      <c r="F274" s="5" t="s">
        <v>40</v>
      </c>
      <c r="G274" s="5" t="s">
        <v>24</v>
      </c>
      <c r="H274" s="5" t="n">
        <f aca="true">ROUND(RAND()*4+6,1)</f>
        <v>7.6</v>
      </c>
      <c r="I274" s="5" t="s">
        <v>41</v>
      </c>
      <c r="J274" s="5" t="str">
        <f aca="false">ROUND(71*1,0)&amp;"%"</f>
        <v>71%</v>
      </c>
    </row>
    <row r="275" customFormat="false" ht="15" hidden="false" customHeight="false" outlineLevel="0" collapsed="false">
      <c r="A275" s="6" t="s">
        <v>5123</v>
      </c>
      <c r="B275" s="6" t="s">
        <v>450</v>
      </c>
      <c r="C275" s="6" t="s">
        <v>57</v>
      </c>
      <c r="D275" s="6" t="s">
        <v>44</v>
      </c>
      <c r="E275" s="6" t="n">
        <f aca="false">ROUND(7663*1.05,2)</f>
        <v>8046.15</v>
      </c>
      <c r="F275" s="6" t="s">
        <v>45</v>
      </c>
      <c r="G275" s="6" t="s">
        <v>30</v>
      </c>
      <c r="H275" s="6" t="n">
        <f aca="true">ROUND(RAND()*4+6,1)</f>
        <v>6.6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5124</v>
      </c>
      <c r="B276" s="5" t="s">
        <v>452</v>
      </c>
      <c r="C276" s="5" t="s">
        <v>57</v>
      </c>
      <c r="D276" s="5" t="s">
        <v>16</v>
      </c>
      <c r="E276" s="5" t="n">
        <f aca="false">ROUND(14489*1.05,2)</f>
        <v>15213.45</v>
      </c>
      <c r="F276" s="5" t="s">
        <v>49</v>
      </c>
      <c r="G276" s="5" t="s">
        <v>18</v>
      </c>
      <c r="H276" s="5" t="n">
        <f aca="true">ROUND(RAND()*4+6,1)</f>
        <v>6.7</v>
      </c>
      <c r="I276" s="5" t="s">
        <v>19</v>
      </c>
      <c r="J276" s="5" t="str">
        <f aca="false">ROUND(98*1,0)&amp;"%"</f>
        <v>98%</v>
      </c>
    </row>
    <row r="277" customFormat="false" ht="15" hidden="false" customHeight="false" outlineLevel="0" collapsed="false">
      <c r="A277" s="6" t="s">
        <v>5125</v>
      </c>
      <c r="B277" s="6" t="s">
        <v>454</v>
      </c>
      <c r="C277" s="6" t="s">
        <v>57</v>
      </c>
      <c r="D277" s="6" t="s">
        <v>22</v>
      </c>
      <c r="E277" s="6" t="n">
        <f aca="false">ROUND(10420*1.05,2)</f>
        <v>10941</v>
      </c>
      <c r="F277" s="6" t="s">
        <v>52</v>
      </c>
      <c r="G277" s="6" t="s">
        <v>24</v>
      </c>
      <c r="H277" s="6" t="n">
        <f aca="true">ROUND(RAND()*4+6,1)</f>
        <v>7.2</v>
      </c>
      <c r="I277" s="6" t="s">
        <v>25</v>
      </c>
      <c r="J277" s="6" t="str">
        <f aca="false">ROUND(96*1,0)&amp;"%"</f>
        <v>96%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5126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5127</v>
      </c>
      <c r="B282" s="5" t="s">
        <v>458</v>
      </c>
      <c r="C282" s="5" t="s">
        <v>76</v>
      </c>
      <c r="D282" s="5" t="s">
        <v>16</v>
      </c>
      <c r="E282" s="5" t="n">
        <f aca="false">ROUND(7607*1.05,2)</f>
        <v>7987.35</v>
      </c>
      <c r="F282" s="5" t="s">
        <v>17</v>
      </c>
      <c r="G282" s="5" t="s">
        <v>18</v>
      </c>
      <c r="H282" s="5" t="n">
        <f aca="true">ROUND(RAND()*4+6,1)</f>
        <v>9.8</v>
      </c>
      <c r="I282" s="5" t="s">
        <v>19</v>
      </c>
      <c r="J282" s="5" t="str">
        <f aca="false">ROUND(74*1,0)&amp;"%"</f>
        <v>74%</v>
      </c>
    </row>
    <row r="283" customFormat="false" ht="15" hidden="false" customHeight="false" outlineLevel="0" collapsed="false">
      <c r="A283" s="6" t="s">
        <v>5128</v>
      </c>
      <c r="B283" s="6" t="s">
        <v>460</v>
      </c>
      <c r="C283" s="6" t="s">
        <v>76</v>
      </c>
      <c r="D283" s="6" t="s">
        <v>22</v>
      </c>
      <c r="E283" s="6" t="n">
        <f aca="false">ROUND(16762*1.05,2)</f>
        <v>17600.1</v>
      </c>
      <c r="F283" s="6" t="s">
        <v>23</v>
      </c>
      <c r="G283" s="6" t="s">
        <v>24</v>
      </c>
      <c r="H283" s="6" t="n">
        <f aca="true">ROUND(RAND()*4+6,1)</f>
        <v>9.5</v>
      </c>
      <c r="I283" s="6" t="s">
        <v>25</v>
      </c>
      <c r="J283" s="6" t="str">
        <f aca="false">ROUND(89*1,0)&amp;"%"</f>
        <v>89%</v>
      </c>
    </row>
    <row r="284" customFormat="false" ht="15" hidden="false" customHeight="false" outlineLevel="0" collapsed="false">
      <c r="A284" s="5" t="s">
        <v>5129</v>
      </c>
      <c r="B284" s="5" t="s">
        <v>462</v>
      </c>
      <c r="C284" s="5" t="s">
        <v>76</v>
      </c>
      <c r="D284" s="5" t="s">
        <v>28</v>
      </c>
      <c r="E284" s="5" t="n">
        <f aca="false">ROUND(15794*1.05,2)</f>
        <v>16583.7</v>
      </c>
      <c r="F284" s="5" t="s">
        <v>29</v>
      </c>
      <c r="G284" s="5" t="s">
        <v>30</v>
      </c>
      <c r="H284" s="5" t="n">
        <f aca="true">ROUND(RAND()*4+6,1)</f>
        <v>6.8</v>
      </c>
      <c r="I284" s="5" t="s">
        <v>31</v>
      </c>
      <c r="J284" s="5" t="str">
        <f aca="false">ROUND(88*1,0)&amp;"%"</f>
        <v>88%</v>
      </c>
    </row>
    <row r="285" customFormat="false" ht="15" hidden="false" customHeight="false" outlineLevel="0" collapsed="false">
      <c r="A285" s="6" t="s">
        <v>5130</v>
      </c>
      <c r="B285" s="6" t="s">
        <v>464</v>
      </c>
      <c r="C285" s="6" t="s">
        <v>76</v>
      </c>
      <c r="D285" s="6" t="s">
        <v>34</v>
      </c>
      <c r="E285" s="6" t="n">
        <f aca="false">ROUND(7143*1.05,2)</f>
        <v>7500.15</v>
      </c>
      <c r="F285" s="6" t="s">
        <v>35</v>
      </c>
      <c r="G285" s="6" t="s">
        <v>18</v>
      </c>
      <c r="H285" s="6" t="n">
        <f aca="true">ROUND(RAND()*4+6,1)</f>
        <v>8.7</v>
      </c>
      <c r="I285" s="6" t="s">
        <v>36</v>
      </c>
      <c r="J285" s="6" t="str">
        <f aca="false">ROUND(81*1,0)&amp;"%"</f>
        <v>81%</v>
      </c>
    </row>
    <row r="286" customFormat="false" ht="15" hidden="false" customHeight="false" outlineLevel="0" collapsed="false">
      <c r="A286" s="5" t="s">
        <v>5131</v>
      </c>
      <c r="B286" s="5" t="s">
        <v>466</v>
      </c>
      <c r="C286" s="5" t="s">
        <v>76</v>
      </c>
      <c r="D286" s="5" t="s">
        <v>39</v>
      </c>
      <c r="E286" s="5" t="n">
        <f aca="false">ROUND(15948*1.05,2)</f>
        <v>16745.4</v>
      </c>
      <c r="F286" s="5" t="s">
        <v>40</v>
      </c>
      <c r="G286" s="5" t="s">
        <v>24</v>
      </c>
      <c r="H286" s="5" t="n">
        <f aca="true">ROUND(RAND()*4+6,1)</f>
        <v>6.6</v>
      </c>
      <c r="I286" s="5" t="s">
        <v>41</v>
      </c>
      <c r="J286" s="5" t="str">
        <f aca="false">ROUND(89*1,0)&amp;"%"</f>
        <v>89%</v>
      </c>
    </row>
    <row r="287" customFormat="false" ht="15" hidden="false" customHeight="false" outlineLevel="0" collapsed="false">
      <c r="A287" s="6" t="s">
        <v>5132</v>
      </c>
      <c r="B287" s="6" t="s">
        <v>468</v>
      </c>
      <c r="C287" s="6" t="s">
        <v>76</v>
      </c>
      <c r="D287" s="6" t="s">
        <v>44</v>
      </c>
      <c r="E287" s="6" t="n">
        <f aca="false">ROUND(4018*1.05,2)</f>
        <v>4218.9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ROUND(69*1,0)&amp;"%"</f>
        <v>69%</v>
      </c>
    </row>
    <row r="288" customFormat="false" ht="15" hidden="false" customHeight="false" outlineLevel="0" collapsed="false">
      <c r="A288" s="5" t="s">
        <v>5133</v>
      </c>
      <c r="B288" s="5" t="s">
        <v>470</v>
      </c>
      <c r="C288" s="5" t="s">
        <v>76</v>
      </c>
      <c r="D288" s="5" t="s">
        <v>16</v>
      </c>
      <c r="E288" s="5" t="n">
        <f aca="false">ROUND(15552*1.05,2)</f>
        <v>16329.6</v>
      </c>
      <c r="F288" s="5" t="s">
        <v>49</v>
      </c>
      <c r="G288" s="5" t="s">
        <v>18</v>
      </c>
      <c r="H288" s="5" t="n">
        <f aca="true">ROUND(RAND()*4+6,1)</f>
        <v>7</v>
      </c>
      <c r="I288" s="5" t="s">
        <v>19</v>
      </c>
      <c r="J288" s="5" t="str">
        <f aca="false">ROUND(73*1,0)&amp;"%"</f>
        <v>73%</v>
      </c>
    </row>
    <row r="289" customFormat="false" ht="15" hidden="false" customHeight="false" outlineLevel="0" collapsed="false">
      <c r="A289" s="6" t="s">
        <v>5134</v>
      </c>
      <c r="B289" s="6" t="s">
        <v>472</v>
      </c>
      <c r="C289" s="6" t="s">
        <v>76</v>
      </c>
      <c r="D289" s="6" t="s">
        <v>22</v>
      </c>
      <c r="E289" s="6" t="n">
        <f aca="false">ROUND(6472*1.05,2)</f>
        <v>6795.6</v>
      </c>
      <c r="F289" s="6" t="s">
        <v>52</v>
      </c>
      <c r="G289" s="6" t="s">
        <v>24</v>
      </c>
      <c r="H289" s="6" t="n">
        <f aca="true">ROUND(RAND()*4+6,1)</f>
        <v>7.6</v>
      </c>
      <c r="I289" s="6" t="s">
        <v>25</v>
      </c>
      <c r="J289" s="6" t="str">
        <f aca="false">ROUND(88*1,0)&amp;"%"</f>
        <v>88%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5135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5136</v>
      </c>
      <c r="B294" s="5" t="s">
        <v>476</v>
      </c>
      <c r="C294" s="5" t="s">
        <v>95</v>
      </c>
      <c r="D294" s="5" t="s">
        <v>16</v>
      </c>
      <c r="E294" s="5" t="n">
        <f aca="false">ROUND(16523*1.05,2)</f>
        <v>17349.15</v>
      </c>
      <c r="F294" s="5" t="s">
        <v>17</v>
      </c>
      <c r="G294" s="5" t="s">
        <v>18</v>
      </c>
      <c r="H294" s="5" t="n">
        <f aca="true">ROUND(RAND()*4+6,1)</f>
        <v>6.6</v>
      </c>
      <c r="I294" s="5" t="s">
        <v>19</v>
      </c>
      <c r="J294" s="5" t="str">
        <f aca="false">ROUND(71*1,0)&amp;"%"</f>
        <v>71%</v>
      </c>
    </row>
    <row r="295" customFormat="false" ht="15" hidden="false" customHeight="false" outlineLevel="0" collapsed="false">
      <c r="A295" s="6" t="s">
        <v>5137</v>
      </c>
      <c r="B295" s="6" t="s">
        <v>478</v>
      </c>
      <c r="C295" s="6" t="s">
        <v>95</v>
      </c>
      <c r="D295" s="6" t="s">
        <v>22</v>
      </c>
      <c r="E295" s="6" t="n">
        <f aca="false">ROUND(16425*1.05,2)</f>
        <v>17246.25</v>
      </c>
      <c r="F295" s="6" t="s">
        <v>23</v>
      </c>
      <c r="G295" s="6" t="s">
        <v>24</v>
      </c>
      <c r="H295" s="6" t="n">
        <f aca="true">ROUND(RAND()*4+6,1)</f>
        <v>6.8</v>
      </c>
      <c r="I295" s="6" t="s">
        <v>25</v>
      </c>
      <c r="J295" s="6" t="str">
        <f aca="false">ROUND(60*1,0)&amp;"%"</f>
        <v>60%</v>
      </c>
    </row>
    <row r="296" customFormat="false" ht="15" hidden="false" customHeight="false" outlineLevel="0" collapsed="false">
      <c r="A296" s="5" t="s">
        <v>5138</v>
      </c>
      <c r="B296" s="5" t="s">
        <v>480</v>
      </c>
      <c r="C296" s="5" t="s">
        <v>95</v>
      </c>
      <c r="D296" s="5" t="s">
        <v>28</v>
      </c>
      <c r="E296" s="5" t="n">
        <f aca="false">ROUND(15871*1.05,2)</f>
        <v>16664.55</v>
      </c>
      <c r="F296" s="5" t="s">
        <v>29</v>
      </c>
      <c r="G296" s="5" t="s">
        <v>30</v>
      </c>
      <c r="H296" s="5" t="n">
        <f aca="true">ROUND(RAND()*4+6,1)</f>
        <v>6.8</v>
      </c>
      <c r="I296" s="5" t="s">
        <v>31</v>
      </c>
      <c r="J296" s="5" t="str">
        <f aca="false">ROUND(80*1,0)&amp;"%"</f>
        <v>80%</v>
      </c>
    </row>
    <row r="297" customFormat="false" ht="15" hidden="false" customHeight="false" outlineLevel="0" collapsed="false">
      <c r="A297" s="6" t="s">
        <v>5139</v>
      </c>
      <c r="B297" s="6" t="s">
        <v>482</v>
      </c>
      <c r="C297" s="6" t="s">
        <v>95</v>
      </c>
      <c r="D297" s="6" t="s">
        <v>34</v>
      </c>
      <c r="E297" s="6" t="n">
        <f aca="false">ROUND(12534*1.05,2)</f>
        <v>13160.7</v>
      </c>
      <c r="F297" s="6" t="s">
        <v>35</v>
      </c>
      <c r="G297" s="6" t="s">
        <v>18</v>
      </c>
      <c r="H297" s="6" t="n">
        <f aca="true">ROUND(RAND()*4+6,1)</f>
        <v>6.6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5140</v>
      </c>
      <c r="B298" s="5" t="s">
        <v>484</v>
      </c>
      <c r="C298" s="5" t="s">
        <v>95</v>
      </c>
      <c r="D298" s="5" t="s">
        <v>39</v>
      </c>
      <c r="E298" s="5" t="n">
        <f aca="false">ROUND(6830*1.05,2)</f>
        <v>7171.5</v>
      </c>
      <c r="F298" s="5" t="s">
        <v>40</v>
      </c>
      <c r="G298" s="5" t="s">
        <v>24</v>
      </c>
      <c r="H298" s="5" t="n">
        <f aca="true">ROUND(RAND()*4+6,1)</f>
        <v>9.2</v>
      </c>
      <c r="I298" s="5" t="s">
        <v>41</v>
      </c>
      <c r="J298" s="5" t="str">
        <f aca="false">ROUND(89*1,0)&amp;"%"</f>
        <v>89%</v>
      </c>
    </row>
    <row r="299" customFormat="false" ht="15" hidden="false" customHeight="false" outlineLevel="0" collapsed="false">
      <c r="A299" s="6" t="s">
        <v>5141</v>
      </c>
      <c r="B299" s="6" t="s">
        <v>486</v>
      </c>
      <c r="C299" s="6" t="s">
        <v>95</v>
      </c>
      <c r="D299" s="6" t="s">
        <v>44</v>
      </c>
      <c r="E299" s="6" t="n">
        <f aca="false">ROUND(16553*1.05,2)</f>
        <v>17380.65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ROUND(76*1,0)&amp;"%"</f>
        <v>76%</v>
      </c>
    </row>
    <row r="300" customFormat="false" ht="15" hidden="false" customHeight="false" outlineLevel="0" collapsed="false">
      <c r="A300" s="5" t="s">
        <v>5142</v>
      </c>
      <c r="B300" s="5" t="s">
        <v>488</v>
      </c>
      <c r="C300" s="5" t="s">
        <v>95</v>
      </c>
      <c r="D300" s="5" t="s">
        <v>16</v>
      </c>
      <c r="E300" s="5" t="n">
        <f aca="false">ROUND(17748*1.05,2)</f>
        <v>18635.4</v>
      </c>
      <c r="F300" s="5" t="s">
        <v>49</v>
      </c>
      <c r="G300" s="5" t="s">
        <v>18</v>
      </c>
      <c r="H300" s="5" t="n">
        <f aca="true">ROUND(RAND()*4+6,1)</f>
        <v>7.4</v>
      </c>
      <c r="I300" s="5" t="s">
        <v>19</v>
      </c>
      <c r="J300" s="5" t="str">
        <f aca="false">ROUND(91*1,0)&amp;"%"</f>
        <v>91%</v>
      </c>
    </row>
    <row r="301" customFormat="false" ht="15" hidden="false" customHeight="false" outlineLevel="0" collapsed="false">
      <c r="A301" s="6" t="s">
        <v>5143</v>
      </c>
      <c r="B301" s="6" t="s">
        <v>490</v>
      </c>
      <c r="C301" s="6" t="s">
        <v>95</v>
      </c>
      <c r="D301" s="6" t="s">
        <v>22</v>
      </c>
      <c r="E301" s="6" t="n">
        <f aca="false">ROUND(12702*1.05,2)</f>
        <v>13337.1</v>
      </c>
      <c r="F301" s="6" t="s">
        <v>52</v>
      </c>
      <c r="G301" s="6" t="s">
        <v>24</v>
      </c>
      <c r="H301" s="6" t="n">
        <f aca="true">ROUND(RAND()*4+6,1)</f>
        <v>6.7</v>
      </c>
      <c r="I301" s="6" t="s">
        <v>25</v>
      </c>
      <c r="J301" s="6" t="str">
        <f aca="false">ROUND(76*1,0)&amp;"%"</f>
        <v>76%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5144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5145</v>
      </c>
      <c r="B306" s="5" t="s">
        <v>494</v>
      </c>
      <c r="C306" s="5" t="s">
        <v>114</v>
      </c>
      <c r="D306" s="5" t="s">
        <v>16</v>
      </c>
      <c r="E306" s="5" t="n">
        <f aca="false">ROUND(5644*1.05,2)</f>
        <v>5926.2</v>
      </c>
      <c r="F306" s="5" t="s">
        <v>17</v>
      </c>
      <c r="G306" s="5" t="s">
        <v>18</v>
      </c>
      <c r="H306" s="5" t="n">
        <f aca="true">ROUND(RAND()*4+6,1)</f>
        <v>9.5</v>
      </c>
      <c r="I306" s="5" t="s">
        <v>19</v>
      </c>
      <c r="J306" s="5" t="str">
        <f aca="false">ROUND(68*1,0)&amp;"%"</f>
        <v>68%</v>
      </c>
    </row>
    <row r="307" customFormat="false" ht="15" hidden="false" customHeight="false" outlineLevel="0" collapsed="false">
      <c r="A307" s="6" t="s">
        <v>5146</v>
      </c>
      <c r="B307" s="6" t="s">
        <v>496</v>
      </c>
      <c r="C307" s="6" t="s">
        <v>114</v>
      </c>
      <c r="D307" s="6" t="s">
        <v>22</v>
      </c>
      <c r="E307" s="6" t="n">
        <f aca="false">ROUND(12468*1.05,2)</f>
        <v>13091.4</v>
      </c>
      <c r="F307" s="6" t="s">
        <v>23</v>
      </c>
      <c r="G307" s="6" t="s">
        <v>24</v>
      </c>
      <c r="H307" s="6" t="n">
        <f aca="true">ROUND(RAND()*4+6,1)</f>
        <v>9</v>
      </c>
      <c r="I307" s="6" t="s">
        <v>25</v>
      </c>
      <c r="J307" s="6" t="str">
        <f aca="false">ROUND(64*1,0)&amp;"%"</f>
        <v>64%</v>
      </c>
    </row>
    <row r="308" customFormat="false" ht="15" hidden="false" customHeight="false" outlineLevel="0" collapsed="false">
      <c r="A308" s="5" t="s">
        <v>5147</v>
      </c>
      <c r="B308" s="5" t="s">
        <v>498</v>
      </c>
      <c r="C308" s="5" t="s">
        <v>114</v>
      </c>
      <c r="D308" s="5" t="s">
        <v>28</v>
      </c>
      <c r="E308" s="5" t="n">
        <f aca="false">ROUND(6248*1.05,2)</f>
        <v>6560.4</v>
      </c>
      <c r="F308" s="5" t="s">
        <v>29</v>
      </c>
      <c r="G308" s="5" t="s">
        <v>30</v>
      </c>
      <c r="H308" s="5" t="n">
        <f aca="true">ROUND(RAND()*4+6,1)</f>
        <v>8.9</v>
      </c>
      <c r="I308" s="5" t="s">
        <v>31</v>
      </c>
      <c r="J308" s="5" t="str">
        <f aca="false">ROUND(85*1,0)&amp;"%"</f>
        <v>85%</v>
      </c>
    </row>
    <row r="309" customFormat="false" ht="15" hidden="false" customHeight="false" outlineLevel="0" collapsed="false">
      <c r="A309" s="6" t="s">
        <v>5148</v>
      </c>
      <c r="B309" s="6" t="s">
        <v>500</v>
      </c>
      <c r="C309" s="6" t="s">
        <v>114</v>
      </c>
      <c r="D309" s="6" t="s">
        <v>34</v>
      </c>
      <c r="E309" s="6" t="n">
        <f aca="false">ROUND(5871*1.05,2)</f>
        <v>6164.55</v>
      </c>
      <c r="F309" s="6" t="s">
        <v>35</v>
      </c>
      <c r="G309" s="6" t="s">
        <v>18</v>
      </c>
      <c r="H309" s="6" t="n">
        <f aca="true">ROUND(RAND()*4+6,1)</f>
        <v>9.2</v>
      </c>
      <c r="I309" s="6" t="s">
        <v>36</v>
      </c>
      <c r="J309" s="6" t="str">
        <f aca="false">ROUND(96*1,0)&amp;"%"</f>
        <v>96%</v>
      </c>
    </row>
    <row r="310" customFormat="false" ht="15" hidden="false" customHeight="false" outlineLevel="0" collapsed="false">
      <c r="A310" s="5" t="s">
        <v>5149</v>
      </c>
      <c r="B310" s="5" t="s">
        <v>502</v>
      </c>
      <c r="C310" s="5" t="s">
        <v>114</v>
      </c>
      <c r="D310" s="5" t="s">
        <v>39</v>
      </c>
      <c r="E310" s="5" t="n">
        <f aca="false">ROUND(14111*1.05,2)</f>
        <v>14816.55</v>
      </c>
      <c r="F310" s="5" t="s">
        <v>40</v>
      </c>
      <c r="G310" s="5" t="s">
        <v>24</v>
      </c>
      <c r="H310" s="5" t="n">
        <f aca="true">ROUND(RAND()*4+6,1)</f>
        <v>7</v>
      </c>
      <c r="I310" s="5" t="s">
        <v>41</v>
      </c>
      <c r="J310" s="5" t="str">
        <f aca="false">ROUND(97*1,0)&amp;"%"</f>
        <v>97%</v>
      </c>
    </row>
    <row r="311" customFormat="false" ht="15" hidden="false" customHeight="false" outlineLevel="0" collapsed="false">
      <c r="A311" s="6" t="s">
        <v>5150</v>
      </c>
      <c r="B311" s="6" t="s">
        <v>504</v>
      </c>
      <c r="C311" s="6" t="s">
        <v>114</v>
      </c>
      <c r="D311" s="6" t="s">
        <v>44</v>
      </c>
      <c r="E311" s="6" t="n">
        <f aca="false">ROUND(10792*1.05,2)</f>
        <v>11331.6</v>
      </c>
      <c r="F311" s="6" t="s">
        <v>45</v>
      </c>
      <c r="G311" s="6" t="s">
        <v>30</v>
      </c>
      <c r="H311" s="6" t="n">
        <f aca="true">ROUND(RAND()*4+6,1)</f>
        <v>9.6</v>
      </c>
      <c r="I311" s="6" t="s">
        <v>46</v>
      </c>
      <c r="J311" s="6" t="str">
        <f aca="false">ROUND(100*1,0)&amp;"%"</f>
        <v>100%</v>
      </c>
    </row>
    <row r="312" customFormat="false" ht="15" hidden="false" customHeight="false" outlineLevel="0" collapsed="false">
      <c r="A312" s="5" t="s">
        <v>5151</v>
      </c>
      <c r="B312" s="5" t="s">
        <v>506</v>
      </c>
      <c r="C312" s="5" t="s">
        <v>114</v>
      </c>
      <c r="D312" s="5" t="s">
        <v>16</v>
      </c>
      <c r="E312" s="5" t="n">
        <f aca="false">ROUND(16258*1.05,2)</f>
        <v>17070.9</v>
      </c>
      <c r="F312" s="5" t="s">
        <v>49</v>
      </c>
      <c r="G312" s="5" t="s">
        <v>18</v>
      </c>
      <c r="H312" s="5" t="n">
        <f aca="true">ROUND(RAND()*4+6,1)</f>
        <v>8.2</v>
      </c>
      <c r="I312" s="5" t="s">
        <v>19</v>
      </c>
      <c r="J312" s="5" t="str">
        <f aca="false">ROUND(86*1,0)&amp;"%"</f>
        <v>86%</v>
      </c>
    </row>
    <row r="313" customFormat="false" ht="15" hidden="false" customHeight="false" outlineLevel="0" collapsed="false">
      <c r="A313" s="6" t="s">
        <v>5152</v>
      </c>
      <c r="B313" s="6" t="s">
        <v>508</v>
      </c>
      <c r="C313" s="6" t="s">
        <v>114</v>
      </c>
      <c r="D313" s="6" t="s">
        <v>22</v>
      </c>
      <c r="E313" s="6" t="n">
        <f aca="false">ROUND(11550*1.05,2)</f>
        <v>12127.5</v>
      </c>
      <c r="F313" s="6" t="s">
        <v>52</v>
      </c>
      <c r="G313" s="6" t="s">
        <v>24</v>
      </c>
      <c r="H313" s="6" t="n">
        <f aca="true">ROUND(RAND()*4+6,1)</f>
        <v>6</v>
      </c>
      <c r="I313" s="6" t="s">
        <v>25</v>
      </c>
      <c r="J313" s="6" t="str">
        <f aca="false">ROUND(78*1,0)&amp;"%"</f>
        <v>78%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5153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5154</v>
      </c>
      <c r="B318" s="5" t="s">
        <v>512</v>
      </c>
      <c r="C318" s="5" t="s">
        <v>133</v>
      </c>
      <c r="D318" s="5" t="s">
        <v>16</v>
      </c>
      <c r="E318" s="5" t="n">
        <f aca="false">ROUND(6352*1.05,2)</f>
        <v>6669.6</v>
      </c>
      <c r="F318" s="5" t="s">
        <v>17</v>
      </c>
      <c r="G318" s="5" t="s">
        <v>18</v>
      </c>
      <c r="H318" s="5" t="n">
        <f aca="true">ROUND(RAND()*4+6,1)</f>
        <v>8.4</v>
      </c>
      <c r="I318" s="5" t="s">
        <v>19</v>
      </c>
      <c r="J318" s="5" t="str">
        <f aca="false">ROUND(80*1,0)&amp;"%"</f>
        <v>80%</v>
      </c>
    </row>
    <row r="319" customFormat="false" ht="15" hidden="false" customHeight="false" outlineLevel="0" collapsed="false">
      <c r="A319" s="6" t="s">
        <v>5155</v>
      </c>
      <c r="B319" s="6" t="s">
        <v>514</v>
      </c>
      <c r="C319" s="6" t="s">
        <v>133</v>
      </c>
      <c r="D319" s="6" t="s">
        <v>22</v>
      </c>
      <c r="E319" s="6" t="n">
        <f aca="false">ROUND(8247*1.05,2)</f>
        <v>8659.35</v>
      </c>
      <c r="F319" s="6" t="s">
        <v>23</v>
      </c>
      <c r="G319" s="6" t="s">
        <v>24</v>
      </c>
      <c r="H319" s="6" t="n">
        <f aca="true">ROUND(RAND()*4+6,1)</f>
        <v>9.1</v>
      </c>
      <c r="I319" s="6" t="s">
        <v>25</v>
      </c>
      <c r="J319" s="6" t="str">
        <f aca="false">ROUND(79*1,0)&amp;"%"</f>
        <v>79%</v>
      </c>
    </row>
    <row r="320" customFormat="false" ht="15" hidden="false" customHeight="false" outlineLevel="0" collapsed="false">
      <c r="A320" s="5" t="s">
        <v>5156</v>
      </c>
      <c r="B320" s="5" t="s">
        <v>516</v>
      </c>
      <c r="C320" s="5" t="s">
        <v>133</v>
      </c>
      <c r="D320" s="5" t="s">
        <v>28</v>
      </c>
      <c r="E320" s="5" t="n">
        <f aca="false">ROUND(13499*1.05,2)</f>
        <v>14173.95</v>
      </c>
      <c r="F320" s="5" t="s">
        <v>29</v>
      </c>
      <c r="G320" s="5" t="s">
        <v>30</v>
      </c>
      <c r="H320" s="5" t="n">
        <f aca="true">ROUND(RAND()*4+6,1)</f>
        <v>7.8</v>
      </c>
      <c r="I320" s="5" t="s">
        <v>31</v>
      </c>
      <c r="J320" s="5" t="str">
        <f aca="false">ROUND(62*1,0)&amp;"%"</f>
        <v>62%</v>
      </c>
    </row>
    <row r="321" customFormat="false" ht="15" hidden="false" customHeight="false" outlineLevel="0" collapsed="false">
      <c r="A321" s="6" t="s">
        <v>5157</v>
      </c>
      <c r="B321" s="6" t="s">
        <v>518</v>
      </c>
      <c r="C321" s="6" t="s">
        <v>133</v>
      </c>
      <c r="D321" s="6" t="s">
        <v>34</v>
      </c>
      <c r="E321" s="6" t="n">
        <f aca="false">ROUND(12286*1.05,2)</f>
        <v>12900.3</v>
      </c>
      <c r="F321" s="6" t="s">
        <v>35</v>
      </c>
      <c r="G321" s="6" t="s">
        <v>18</v>
      </c>
      <c r="H321" s="6" t="n">
        <f aca="true">ROUND(RAND()*4+6,1)</f>
        <v>8.5</v>
      </c>
      <c r="I321" s="6" t="s">
        <v>36</v>
      </c>
      <c r="J321" s="6" t="str">
        <f aca="false">ROUND(98*1,0)&amp;"%"</f>
        <v>98%</v>
      </c>
    </row>
    <row r="322" customFormat="false" ht="15" hidden="false" customHeight="false" outlineLevel="0" collapsed="false">
      <c r="A322" s="5" t="s">
        <v>5158</v>
      </c>
      <c r="B322" s="5" t="s">
        <v>520</v>
      </c>
      <c r="C322" s="5" t="s">
        <v>133</v>
      </c>
      <c r="D322" s="5" t="s">
        <v>39</v>
      </c>
      <c r="E322" s="5" t="n">
        <f aca="false">ROUND(6948*1.05,2)</f>
        <v>7295.4</v>
      </c>
      <c r="F322" s="5" t="s">
        <v>40</v>
      </c>
      <c r="G322" s="5" t="s">
        <v>24</v>
      </c>
      <c r="H322" s="5" t="n">
        <f aca="true">ROUND(RAND()*4+6,1)</f>
        <v>6.7</v>
      </c>
      <c r="I322" s="5" t="s">
        <v>41</v>
      </c>
      <c r="J322" s="5" t="str">
        <f aca="false">ROUND(94*1,0)&amp;"%"</f>
        <v>94%</v>
      </c>
    </row>
    <row r="323" customFormat="false" ht="15" hidden="false" customHeight="false" outlineLevel="0" collapsed="false">
      <c r="A323" s="6" t="s">
        <v>5159</v>
      </c>
      <c r="B323" s="6" t="s">
        <v>522</v>
      </c>
      <c r="C323" s="6" t="s">
        <v>133</v>
      </c>
      <c r="D323" s="6" t="s">
        <v>44</v>
      </c>
      <c r="E323" s="6" t="n">
        <f aca="false">ROUND(7887*1.05,2)</f>
        <v>8281.35</v>
      </c>
      <c r="F323" s="6" t="s">
        <v>45</v>
      </c>
      <c r="G323" s="6" t="s">
        <v>30</v>
      </c>
      <c r="H323" s="6" t="n">
        <f aca="true">ROUND(RAND()*4+6,1)</f>
        <v>7.3</v>
      </c>
      <c r="I323" s="6" t="s">
        <v>46</v>
      </c>
      <c r="J323" s="6" t="str">
        <f aca="false">ROUND(75*1,0)&amp;"%"</f>
        <v>75%</v>
      </c>
    </row>
    <row r="324" customFormat="false" ht="15" hidden="false" customHeight="false" outlineLevel="0" collapsed="false">
      <c r="A324" s="5" t="s">
        <v>5160</v>
      </c>
      <c r="B324" s="5" t="s">
        <v>524</v>
      </c>
      <c r="C324" s="5" t="s">
        <v>133</v>
      </c>
      <c r="D324" s="5" t="s">
        <v>16</v>
      </c>
      <c r="E324" s="5" t="n">
        <f aca="false">ROUND(6756*1.05,2)</f>
        <v>7093.8</v>
      </c>
      <c r="F324" s="5" t="s">
        <v>49</v>
      </c>
      <c r="G324" s="5" t="s">
        <v>18</v>
      </c>
      <c r="H324" s="5" t="n">
        <f aca="true">ROUND(RAND()*4+6,1)</f>
        <v>8.3</v>
      </c>
      <c r="I324" s="5" t="s">
        <v>19</v>
      </c>
      <c r="J324" s="5" t="str">
        <f aca="false">ROUND(66*1,0)&amp;"%"</f>
        <v>66%</v>
      </c>
    </row>
    <row r="325" customFormat="false" ht="15" hidden="false" customHeight="false" outlineLevel="0" collapsed="false">
      <c r="A325" s="6" t="s">
        <v>5161</v>
      </c>
      <c r="B325" s="6" t="s">
        <v>526</v>
      </c>
      <c r="C325" s="6" t="s">
        <v>133</v>
      </c>
      <c r="D325" s="6" t="s">
        <v>22</v>
      </c>
      <c r="E325" s="6" t="n">
        <f aca="false">ROUND(13452*1.05,2)</f>
        <v>14124.6</v>
      </c>
      <c r="F325" s="6" t="s">
        <v>52</v>
      </c>
      <c r="G325" s="6" t="s">
        <v>24</v>
      </c>
      <c r="H325" s="6" t="n">
        <f aca="true">ROUND(RAND()*4+6,1)</f>
        <v>9.1</v>
      </c>
      <c r="I325" s="6" t="s">
        <v>25</v>
      </c>
      <c r="J325" s="6" t="str">
        <f aca="false">ROUND(77*1,0)&amp;"%"</f>
        <v>77%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5162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5163</v>
      </c>
      <c r="B330" s="5" t="s">
        <v>530</v>
      </c>
      <c r="C330" s="5" t="s">
        <v>152</v>
      </c>
      <c r="D330" s="5" t="s">
        <v>16</v>
      </c>
      <c r="E330" s="5" t="n">
        <f aca="false">ROUND(10925*1.05,2)</f>
        <v>11471.25</v>
      </c>
      <c r="F330" s="5" t="s">
        <v>17</v>
      </c>
      <c r="G330" s="5" t="s">
        <v>18</v>
      </c>
      <c r="H330" s="5" t="n">
        <f aca="true">ROUND(RAND()*4+6,1)</f>
        <v>7.3</v>
      </c>
      <c r="I330" s="5" t="s">
        <v>19</v>
      </c>
      <c r="J330" s="5" t="str">
        <f aca="false">ROUND(80*1,0)&amp;"%"</f>
        <v>80%</v>
      </c>
    </row>
    <row r="331" customFormat="false" ht="15" hidden="false" customHeight="false" outlineLevel="0" collapsed="false">
      <c r="A331" s="6" t="s">
        <v>5164</v>
      </c>
      <c r="B331" s="6" t="s">
        <v>532</v>
      </c>
      <c r="C331" s="6" t="s">
        <v>152</v>
      </c>
      <c r="D331" s="6" t="s">
        <v>22</v>
      </c>
      <c r="E331" s="6" t="n">
        <f aca="false">ROUND(13021*1.05,2)</f>
        <v>13672.05</v>
      </c>
      <c r="F331" s="6" t="s">
        <v>23</v>
      </c>
      <c r="G331" s="6" t="s">
        <v>24</v>
      </c>
      <c r="H331" s="6" t="n">
        <f aca="true">ROUND(RAND()*4+6,1)</f>
        <v>9.4</v>
      </c>
      <c r="I331" s="6" t="s">
        <v>25</v>
      </c>
      <c r="J331" s="6" t="str">
        <f aca="false">ROUND(62*1,0)&amp;"%"</f>
        <v>62%</v>
      </c>
    </row>
    <row r="332" customFormat="false" ht="15" hidden="false" customHeight="false" outlineLevel="0" collapsed="false">
      <c r="A332" s="5" t="s">
        <v>5165</v>
      </c>
      <c r="B332" s="5" t="s">
        <v>534</v>
      </c>
      <c r="C332" s="5" t="s">
        <v>152</v>
      </c>
      <c r="D332" s="5" t="s">
        <v>28</v>
      </c>
      <c r="E332" s="5" t="n">
        <f aca="false">ROUND(14961*1.05,2)</f>
        <v>15709.05</v>
      </c>
      <c r="F332" s="5" t="s">
        <v>29</v>
      </c>
      <c r="G332" s="5" t="s">
        <v>30</v>
      </c>
      <c r="H332" s="5" t="n">
        <f aca="true">ROUND(RAND()*4+6,1)</f>
        <v>8.5</v>
      </c>
      <c r="I332" s="5" t="s">
        <v>31</v>
      </c>
      <c r="J332" s="5" t="str">
        <f aca="false">ROUND(73*1,0)&amp;"%"</f>
        <v>73%</v>
      </c>
    </row>
    <row r="333" customFormat="false" ht="15" hidden="false" customHeight="false" outlineLevel="0" collapsed="false">
      <c r="A333" s="6" t="s">
        <v>5166</v>
      </c>
      <c r="B333" s="6" t="s">
        <v>536</v>
      </c>
      <c r="C333" s="6" t="s">
        <v>152</v>
      </c>
      <c r="D333" s="6" t="s">
        <v>34</v>
      </c>
      <c r="E333" s="6" t="n">
        <f aca="false">ROUND(7538*1.05,2)</f>
        <v>7914.9</v>
      </c>
      <c r="F333" s="6" t="s">
        <v>35</v>
      </c>
      <c r="G333" s="6" t="s">
        <v>18</v>
      </c>
      <c r="H333" s="6" t="n">
        <f aca="true">ROUND(RAND()*4+6,1)</f>
        <v>8.2</v>
      </c>
      <c r="I333" s="6" t="s">
        <v>36</v>
      </c>
      <c r="J333" s="6" t="str">
        <f aca="false">ROUND(81*1,0)&amp;"%"</f>
        <v>81%</v>
      </c>
    </row>
    <row r="334" customFormat="false" ht="15" hidden="false" customHeight="false" outlineLevel="0" collapsed="false">
      <c r="A334" s="5" t="s">
        <v>5167</v>
      </c>
      <c r="B334" s="5" t="s">
        <v>538</v>
      </c>
      <c r="C334" s="5" t="s">
        <v>152</v>
      </c>
      <c r="D334" s="5" t="s">
        <v>39</v>
      </c>
      <c r="E334" s="5" t="n">
        <f aca="false">ROUND(12013*1.05,2)</f>
        <v>12613.65</v>
      </c>
      <c r="F334" s="5" t="s">
        <v>40</v>
      </c>
      <c r="G334" s="5" t="s">
        <v>24</v>
      </c>
      <c r="H334" s="5" t="n">
        <f aca="true">ROUND(RAND()*4+6,1)</f>
        <v>8.5</v>
      </c>
      <c r="I334" s="5" t="s">
        <v>41</v>
      </c>
      <c r="J334" s="5" t="str">
        <f aca="false">ROUND(75*1,0)&amp;"%"</f>
        <v>75%</v>
      </c>
    </row>
    <row r="335" customFormat="false" ht="15" hidden="false" customHeight="false" outlineLevel="0" collapsed="false">
      <c r="A335" s="6" t="s">
        <v>5168</v>
      </c>
      <c r="B335" s="6" t="s">
        <v>540</v>
      </c>
      <c r="C335" s="6" t="s">
        <v>152</v>
      </c>
      <c r="D335" s="6" t="s">
        <v>44</v>
      </c>
      <c r="E335" s="6" t="n">
        <f aca="false">ROUND(16104*1.05,2)</f>
        <v>16909.2</v>
      </c>
      <c r="F335" s="6" t="s">
        <v>45</v>
      </c>
      <c r="G335" s="6" t="s">
        <v>30</v>
      </c>
      <c r="H335" s="6" t="n">
        <f aca="true">ROUND(RAND()*4+6,1)</f>
        <v>7.8</v>
      </c>
      <c r="I335" s="6" t="s">
        <v>46</v>
      </c>
      <c r="J335" s="6" t="str">
        <f aca="false">ROUND(97*1,0)&amp;"%"</f>
        <v>97%</v>
      </c>
    </row>
    <row r="336" customFormat="false" ht="15" hidden="false" customHeight="false" outlineLevel="0" collapsed="false">
      <c r="A336" s="5" t="s">
        <v>5169</v>
      </c>
      <c r="B336" s="5" t="s">
        <v>542</v>
      </c>
      <c r="C336" s="5" t="s">
        <v>152</v>
      </c>
      <c r="D336" s="5" t="s">
        <v>16</v>
      </c>
      <c r="E336" s="5" t="n">
        <f aca="false">ROUND(6459*1.05,2)</f>
        <v>6781.95</v>
      </c>
      <c r="F336" s="5" t="s">
        <v>49</v>
      </c>
      <c r="G336" s="5" t="s">
        <v>18</v>
      </c>
      <c r="H336" s="5" t="n">
        <f aca="true">ROUND(RAND()*4+6,1)</f>
        <v>8.7</v>
      </c>
      <c r="I336" s="5" t="s">
        <v>19</v>
      </c>
      <c r="J336" s="5" t="str">
        <f aca="false">ROUND(68*1,0)&amp;"%"</f>
        <v>68%</v>
      </c>
    </row>
    <row r="337" customFormat="false" ht="15" hidden="false" customHeight="false" outlineLevel="0" collapsed="false">
      <c r="A337" s="6" t="s">
        <v>5170</v>
      </c>
      <c r="B337" s="6" t="s">
        <v>544</v>
      </c>
      <c r="C337" s="6" t="s">
        <v>152</v>
      </c>
      <c r="D337" s="6" t="s">
        <v>22</v>
      </c>
      <c r="E337" s="6" t="n">
        <f aca="false">ROUND(17903*1.05,2)</f>
        <v>18798.15</v>
      </c>
      <c r="F337" s="6" t="s">
        <v>52</v>
      </c>
      <c r="G337" s="6" t="s">
        <v>24</v>
      </c>
      <c r="H337" s="6" t="n">
        <f aca="true">ROUND(RAND()*4+6,1)</f>
        <v>6.8</v>
      </c>
      <c r="I337" s="6" t="s">
        <v>25</v>
      </c>
      <c r="J337" s="6" t="str">
        <f aca="false">ROUND(68*1,0)&amp;"%"</f>
        <v>68%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5171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5172</v>
      </c>
      <c r="B342" s="5" t="s">
        <v>548</v>
      </c>
      <c r="C342" s="5" t="s">
        <v>15</v>
      </c>
      <c r="D342" s="5" t="s">
        <v>16</v>
      </c>
      <c r="E342" s="5" t="n">
        <f aca="false">ROUND(16925*1.05,2)</f>
        <v>17771.25</v>
      </c>
      <c r="F342" s="5" t="s">
        <v>17</v>
      </c>
      <c r="G342" s="5" t="s">
        <v>18</v>
      </c>
      <c r="H342" s="5" t="n">
        <f aca="true">ROUND(RAND()*4+6,1)</f>
        <v>6.5</v>
      </c>
      <c r="I342" s="5" t="s">
        <v>19</v>
      </c>
      <c r="J342" s="5" t="str">
        <f aca="false">ROUND(83*1,0)&amp;"%"</f>
        <v>83%</v>
      </c>
    </row>
    <row r="343" customFormat="false" ht="15" hidden="false" customHeight="false" outlineLevel="0" collapsed="false">
      <c r="A343" s="6" t="s">
        <v>5173</v>
      </c>
      <c r="B343" s="6" t="s">
        <v>550</v>
      </c>
      <c r="C343" s="6" t="s">
        <v>15</v>
      </c>
      <c r="D343" s="6" t="s">
        <v>22</v>
      </c>
      <c r="E343" s="6" t="n">
        <f aca="false">ROUND(5170*1.05,2)</f>
        <v>5428.5</v>
      </c>
      <c r="F343" s="6" t="s">
        <v>23</v>
      </c>
      <c r="G343" s="6" t="s">
        <v>24</v>
      </c>
      <c r="H343" s="6" t="n">
        <f aca="true">ROUND(RAND()*4+6,1)</f>
        <v>7.6</v>
      </c>
      <c r="I343" s="6" t="s">
        <v>25</v>
      </c>
      <c r="J343" s="6" t="str">
        <f aca="false">ROUND(68*1,0)&amp;"%"</f>
        <v>68%</v>
      </c>
    </row>
    <row r="344" customFormat="false" ht="15" hidden="false" customHeight="false" outlineLevel="0" collapsed="false">
      <c r="A344" s="5" t="s">
        <v>5174</v>
      </c>
      <c r="B344" s="5" t="s">
        <v>552</v>
      </c>
      <c r="C344" s="5" t="s">
        <v>15</v>
      </c>
      <c r="D344" s="5" t="s">
        <v>28</v>
      </c>
      <c r="E344" s="5" t="n">
        <f aca="false">ROUND(6628*1.05,2)</f>
        <v>6959.4</v>
      </c>
      <c r="F344" s="5" t="s">
        <v>29</v>
      </c>
      <c r="G344" s="5" t="s">
        <v>30</v>
      </c>
      <c r="H344" s="5" t="n">
        <f aca="true">ROUND(RAND()*4+6,1)</f>
        <v>8.9</v>
      </c>
      <c r="I344" s="5" t="s">
        <v>31</v>
      </c>
      <c r="J344" s="5" t="str">
        <f aca="false">ROUND(87*1,0)&amp;"%"</f>
        <v>87%</v>
      </c>
    </row>
    <row r="345" customFormat="false" ht="15" hidden="false" customHeight="false" outlineLevel="0" collapsed="false">
      <c r="A345" s="6" t="s">
        <v>5175</v>
      </c>
      <c r="B345" s="6" t="s">
        <v>554</v>
      </c>
      <c r="C345" s="6" t="s">
        <v>15</v>
      </c>
      <c r="D345" s="6" t="s">
        <v>34</v>
      </c>
      <c r="E345" s="6" t="n">
        <f aca="false">ROUND(17948*1.05,2)</f>
        <v>18845.4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ROUND(88*1,0)&amp;"%"</f>
        <v>88%</v>
      </c>
    </row>
    <row r="346" customFormat="false" ht="15" hidden="false" customHeight="false" outlineLevel="0" collapsed="false">
      <c r="A346" s="5" t="s">
        <v>5176</v>
      </c>
      <c r="B346" s="5" t="s">
        <v>556</v>
      </c>
      <c r="C346" s="5" t="s">
        <v>15</v>
      </c>
      <c r="D346" s="5" t="s">
        <v>39</v>
      </c>
      <c r="E346" s="5" t="n">
        <f aca="false">ROUND(10017*1.05,2)</f>
        <v>10517.85</v>
      </c>
      <c r="F346" s="5" t="s">
        <v>40</v>
      </c>
      <c r="G346" s="5" t="s">
        <v>24</v>
      </c>
      <c r="H346" s="5" t="n">
        <f aca="true">ROUND(RAND()*4+6,1)</f>
        <v>9.1</v>
      </c>
      <c r="I346" s="5" t="s">
        <v>41</v>
      </c>
      <c r="J346" s="5" t="str">
        <f aca="false">ROUND(61*1,0)&amp;"%"</f>
        <v>61%</v>
      </c>
    </row>
    <row r="347" customFormat="false" ht="15" hidden="false" customHeight="false" outlineLevel="0" collapsed="false">
      <c r="A347" s="6" t="s">
        <v>5177</v>
      </c>
      <c r="B347" s="6" t="s">
        <v>558</v>
      </c>
      <c r="C347" s="6" t="s">
        <v>15</v>
      </c>
      <c r="D347" s="6" t="s">
        <v>44</v>
      </c>
      <c r="E347" s="6" t="n">
        <f aca="false">ROUND(13177*1.05,2)</f>
        <v>13835.85</v>
      </c>
      <c r="F347" s="6" t="s">
        <v>45</v>
      </c>
      <c r="G347" s="6" t="s">
        <v>30</v>
      </c>
      <c r="H347" s="6" t="n">
        <f aca="true">ROUND(RAND()*4+6,1)</f>
        <v>7.4</v>
      </c>
      <c r="I347" s="6" t="s">
        <v>46</v>
      </c>
      <c r="J347" s="6" t="str">
        <f aca="false">ROUND(77*1,0)&amp;"%"</f>
        <v>77%</v>
      </c>
    </row>
    <row r="348" customFormat="false" ht="15" hidden="false" customHeight="false" outlineLevel="0" collapsed="false">
      <c r="A348" s="5" t="s">
        <v>5178</v>
      </c>
      <c r="B348" s="5" t="s">
        <v>560</v>
      </c>
      <c r="C348" s="5" t="s">
        <v>15</v>
      </c>
      <c r="D348" s="5" t="s">
        <v>16</v>
      </c>
      <c r="E348" s="5" t="n">
        <f aca="false">ROUND(8547*1.05,2)</f>
        <v>8974.35</v>
      </c>
      <c r="F348" s="5" t="s">
        <v>49</v>
      </c>
      <c r="G348" s="5" t="s">
        <v>18</v>
      </c>
      <c r="H348" s="5" t="n">
        <f aca="true">ROUND(RAND()*4+6,1)</f>
        <v>6</v>
      </c>
      <c r="I348" s="5" t="s">
        <v>19</v>
      </c>
      <c r="J348" s="5" t="str">
        <f aca="false">ROUND(71*1,0)&amp;"%"</f>
        <v>71%</v>
      </c>
    </row>
    <row r="349" customFormat="false" ht="15" hidden="false" customHeight="false" outlineLevel="0" collapsed="false">
      <c r="A349" s="6" t="s">
        <v>5179</v>
      </c>
      <c r="B349" s="6" t="s">
        <v>562</v>
      </c>
      <c r="C349" s="6" t="s">
        <v>15</v>
      </c>
      <c r="D349" s="6" t="s">
        <v>22</v>
      </c>
      <c r="E349" s="6" t="n">
        <f aca="false">ROUND(10677*1.05,2)</f>
        <v>11210.85</v>
      </c>
      <c r="F349" s="6" t="s">
        <v>52</v>
      </c>
      <c r="G349" s="6" t="s">
        <v>24</v>
      </c>
      <c r="H349" s="6" t="n">
        <f aca="true">ROUND(RAND()*4+6,1)</f>
        <v>9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5180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5181</v>
      </c>
      <c r="B354" s="5" t="s">
        <v>566</v>
      </c>
      <c r="C354" s="5" t="s">
        <v>57</v>
      </c>
      <c r="D354" s="5" t="s">
        <v>16</v>
      </c>
      <c r="E354" s="5" t="n">
        <f aca="false">ROUND(4794*1.05,2)</f>
        <v>5033.7</v>
      </c>
      <c r="F354" s="5" t="s">
        <v>17</v>
      </c>
      <c r="G354" s="5" t="s">
        <v>18</v>
      </c>
      <c r="H354" s="5" t="n">
        <f aca="true">ROUND(RAND()*4+6,1)</f>
        <v>7.6</v>
      </c>
      <c r="I354" s="5" t="s">
        <v>19</v>
      </c>
      <c r="J354" s="5" t="str">
        <f aca="false">ROUND(78*1,0)&amp;"%"</f>
        <v>78%</v>
      </c>
    </row>
    <row r="355" customFormat="false" ht="15" hidden="false" customHeight="false" outlineLevel="0" collapsed="false">
      <c r="A355" s="6" t="s">
        <v>5182</v>
      </c>
      <c r="B355" s="6" t="s">
        <v>568</v>
      </c>
      <c r="C355" s="6" t="s">
        <v>57</v>
      </c>
      <c r="D355" s="6" t="s">
        <v>22</v>
      </c>
      <c r="E355" s="6" t="n">
        <f aca="false">ROUND(11967*1.05,2)</f>
        <v>12565.35</v>
      </c>
      <c r="F355" s="6" t="s">
        <v>23</v>
      </c>
      <c r="G355" s="6" t="s">
        <v>24</v>
      </c>
      <c r="H355" s="6" t="n">
        <f aca="true">ROUND(RAND()*4+6,1)</f>
        <v>9.4</v>
      </c>
      <c r="I355" s="6" t="s">
        <v>25</v>
      </c>
      <c r="J355" s="6" t="str">
        <f aca="false">ROUND(87*1,0)&amp;"%"</f>
        <v>87%</v>
      </c>
    </row>
    <row r="356" customFormat="false" ht="15" hidden="false" customHeight="false" outlineLevel="0" collapsed="false">
      <c r="A356" s="5" t="s">
        <v>5183</v>
      </c>
      <c r="B356" s="5" t="s">
        <v>570</v>
      </c>
      <c r="C356" s="5" t="s">
        <v>57</v>
      </c>
      <c r="D356" s="5" t="s">
        <v>28</v>
      </c>
      <c r="E356" s="5" t="n">
        <f aca="false">ROUND(11765*1.05,2)</f>
        <v>12353.25</v>
      </c>
      <c r="F356" s="5" t="s">
        <v>29</v>
      </c>
      <c r="G356" s="5" t="s">
        <v>30</v>
      </c>
      <c r="H356" s="5" t="n">
        <f aca="true">ROUND(RAND()*4+6,1)</f>
        <v>7.3</v>
      </c>
      <c r="I356" s="5" t="s">
        <v>31</v>
      </c>
      <c r="J356" s="5" t="str">
        <f aca="false">ROUND(70*1,0)&amp;"%"</f>
        <v>70%</v>
      </c>
    </row>
    <row r="357" customFormat="false" ht="15" hidden="false" customHeight="false" outlineLevel="0" collapsed="false">
      <c r="A357" s="6" t="s">
        <v>5184</v>
      </c>
      <c r="B357" s="6" t="s">
        <v>572</v>
      </c>
      <c r="C357" s="6" t="s">
        <v>57</v>
      </c>
      <c r="D357" s="6" t="s">
        <v>34</v>
      </c>
      <c r="E357" s="6" t="n">
        <f aca="false">ROUND(13795*1.05,2)</f>
        <v>14484.75</v>
      </c>
      <c r="F357" s="6" t="s">
        <v>35</v>
      </c>
      <c r="G357" s="6" t="s">
        <v>18</v>
      </c>
      <c r="H357" s="6" t="n">
        <f aca="true">ROUND(RAND()*4+6,1)</f>
        <v>9</v>
      </c>
      <c r="I357" s="6" t="s">
        <v>36</v>
      </c>
      <c r="J357" s="6" t="str">
        <f aca="false">ROUND(88*1,0)&amp;"%"</f>
        <v>88%</v>
      </c>
    </row>
    <row r="358" customFormat="false" ht="15" hidden="false" customHeight="false" outlineLevel="0" collapsed="false">
      <c r="A358" s="5" t="s">
        <v>5185</v>
      </c>
      <c r="B358" s="5" t="s">
        <v>574</v>
      </c>
      <c r="C358" s="5" t="s">
        <v>57</v>
      </c>
      <c r="D358" s="5" t="s">
        <v>39</v>
      </c>
      <c r="E358" s="5" t="n">
        <f aca="false">ROUND(10969*1.05,2)</f>
        <v>11517.45</v>
      </c>
      <c r="F358" s="5" t="s">
        <v>40</v>
      </c>
      <c r="G358" s="5" t="s">
        <v>24</v>
      </c>
      <c r="H358" s="5" t="n">
        <f aca="true">ROUND(RAND()*4+6,1)</f>
        <v>8.2</v>
      </c>
      <c r="I358" s="5" t="s">
        <v>41</v>
      </c>
      <c r="J358" s="5" t="str">
        <f aca="false">ROUND(100*1,0)&amp;"%"</f>
        <v>100%</v>
      </c>
    </row>
    <row r="359" customFormat="false" ht="15" hidden="false" customHeight="false" outlineLevel="0" collapsed="false">
      <c r="A359" s="6" t="s">
        <v>5186</v>
      </c>
      <c r="B359" s="6" t="s">
        <v>576</v>
      </c>
      <c r="C359" s="6" t="s">
        <v>57</v>
      </c>
      <c r="D359" s="6" t="s">
        <v>44</v>
      </c>
      <c r="E359" s="6" t="n">
        <f aca="false">ROUND(8758*1.05,2)</f>
        <v>9195.9</v>
      </c>
      <c r="F359" s="6" t="s">
        <v>45</v>
      </c>
      <c r="G359" s="6" t="s">
        <v>30</v>
      </c>
      <c r="H359" s="6" t="n">
        <f aca="true">ROUND(RAND()*4+6,1)</f>
        <v>8.6</v>
      </c>
      <c r="I359" s="6" t="s">
        <v>46</v>
      </c>
      <c r="J359" s="6" t="str">
        <f aca="false">ROUND(66*1,0)&amp;"%"</f>
        <v>66%</v>
      </c>
    </row>
    <row r="360" customFormat="false" ht="15" hidden="false" customHeight="false" outlineLevel="0" collapsed="false">
      <c r="A360" s="5" t="s">
        <v>5187</v>
      </c>
      <c r="B360" s="5" t="s">
        <v>578</v>
      </c>
      <c r="C360" s="5" t="s">
        <v>57</v>
      </c>
      <c r="D360" s="5" t="s">
        <v>16</v>
      </c>
      <c r="E360" s="5" t="n">
        <f aca="false">ROUND(5668*1.05,2)</f>
        <v>5951.4</v>
      </c>
      <c r="F360" s="5" t="s">
        <v>49</v>
      </c>
      <c r="G360" s="5" t="s">
        <v>18</v>
      </c>
      <c r="H360" s="5" t="n">
        <f aca="true">ROUND(RAND()*4+6,1)</f>
        <v>8.3</v>
      </c>
      <c r="I360" s="5" t="s">
        <v>19</v>
      </c>
      <c r="J360" s="5" t="str">
        <f aca="false">ROUND(72*1,0)&amp;"%"</f>
        <v>72%</v>
      </c>
    </row>
    <row r="361" customFormat="false" ht="15" hidden="false" customHeight="false" outlineLevel="0" collapsed="false">
      <c r="A361" s="6" t="s">
        <v>5188</v>
      </c>
      <c r="B361" s="6" t="s">
        <v>580</v>
      </c>
      <c r="C361" s="6" t="s">
        <v>57</v>
      </c>
      <c r="D361" s="6" t="s">
        <v>22</v>
      </c>
      <c r="E361" s="6" t="n">
        <f aca="false">ROUND(17289*1.05,2)</f>
        <v>18153.45</v>
      </c>
      <c r="F361" s="6" t="s">
        <v>52</v>
      </c>
      <c r="G361" s="6" t="s">
        <v>24</v>
      </c>
      <c r="H361" s="6" t="n">
        <f aca="true">ROUND(RAND()*4+6,1)</f>
        <v>6.2</v>
      </c>
      <c r="I361" s="6" t="s">
        <v>25</v>
      </c>
      <c r="J361" s="6" t="str">
        <f aca="false">ROUND(76*1,0)&amp;"%"</f>
        <v>76%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5189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5190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5191</v>
      </c>
      <c r="B6" s="5" t="s">
        <v>14</v>
      </c>
      <c r="C6" s="5" t="s">
        <v>15</v>
      </c>
      <c r="D6" s="5" t="s">
        <v>16</v>
      </c>
      <c r="E6" s="5" t="n">
        <f aca="false">ROUND(6414*1.05,2)</f>
        <v>6734.7</v>
      </c>
      <c r="F6" s="5" t="s">
        <v>17</v>
      </c>
      <c r="G6" s="5" t="s">
        <v>18</v>
      </c>
      <c r="H6" s="5" t="n">
        <f aca="true">ROUND(RAND()*4+6,1)</f>
        <v>7.1</v>
      </c>
      <c r="I6" s="5" t="s">
        <v>19</v>
      </c>
      <c r="J6" s="5" t="str">
        <f aca="false">ROUND(67*1,0)&amp;"%"</f>
        <v>67%</v>
      </c>
    </row>
    <row r="7" customFormat="false" ht="15" hidden="false" customHeight="false" outlineLevel="0" collapsed="false">
      <c r="A7" s="6" t="s">
        <v>5192</v>
      </c>
      <c r="B7" s="6" t="s">
        <v>21</v>
      </c>
      <c r="C7" s="6" t="s">
        <v>15</v>
      </c>
      <c r="D7" s="6" t="s">
        <v>22</v>
      </c>
      <c r="E7" s="6" t="n">
        <f aca="false">ROUND(11600*1.05,2)</f>
        <v>12180</v>
      </c>
      <c r="F7" s="6" t="s">
        <v>23</v>
      </c>
      <c r="G7" s="6" t="s">
        <v>24</v>
      </c>
      <c r="H7" s="6" t="n">
        <f aca="true">ROUND(RAND()*4+6,1)</f>
        <v>6.1</v>
      </c>
      <c r="I7" s="6" t="s">
        <v>25</v>
      </c>
      <c r="J7" s="6" t="str">
        <f aca="false">ROUND(84*1,0)&amp;"%"</f>
        <v>84%</v>
      </c>
    </row>
    <row r="8" customFormat="false" ht="15" hidden="false" customHeight="false" outlineLevel="0" collapsed="false">
      <c r="A8" s="5" t="s">
        <v>5193</v>
      </c>
      <c r="B8" s="5" t="s">
        <v>27</v>
      </c>
      <c r="C8" s="5" t="s">
        <v>15</v>
      </c>
      <c r="D8" s="5" t="s">
        <v>28</v>
      </c>
      <c r="E8" s="5" t="n">
        <f aca="false">ROUND(17428*1.05,2)</f>
        <v>18299.4</v>
      </c>
      <c r="F8" s="5" t="s">
        <v>29</v>
      </c>
      <c r="G8" s="5" t="s">
        <v>30</v>
      </c>
      <c r="H8" s="5" t="n">
        <f aca="true">ROUND(RAND()*4+6,1)</f>
        <v>7.4</v>
      </c>
      <c r="I8" s="5" t="s">
        <v>31</v>
      </c>
      <c r="J8" s="5" t="str">
        <f aca="false">ROUND(72*1,0)&amp;"%"</f>
        <v>72%</v>
      </c>
    </row>
    <row r="9" customFormat="false" ht="15" hidden="false" customHeight="false" outlineLevel="0" collapsed="false">
      <c r="A9" s="6" t="s">
        <v>5194</v>
      </c>
      <c r="B9" s="6" t="s">
        <v>33</v>
      </c>
      <c r="C9" s="6" t="s">
        <v>15</v>
      </c>
      <c r="D9" s="6" t="s">
        <v>34</v>
      </c>
      <c r="E9" s="6" t="n">
        <f aca="false">ROUND(8896*1.05,2)</f>
        <v>9340.8</v>
      </c>
      <c r="F9" s="6" t="s">
        <v>35</v>
      </c>
      <c r="G9" s="6" t="s">
        <v>18</v>
      </c>
      <c r="H9" s="6" t="n">
        <f aca="true">ROUND(RAND()*4+6,1)</f>
        <v>6.3</v>
      </c>
      <c r="I9" s="6" t="s">
        <v>36</v>
      </c>
      <c r="J9" s="6" t="str">
        <f aca="false">ROUND(87*1,0)&amp;"%"</f>
        <v>87%</v>
      </c>
    </row>
    <row r="10" customFormat="false" ht="15" hidden="false" customHeight="false" outlineLevel="0" collapsed="false">
      <c r="A10" s="5" t="s">
        <v>5195</v>
      </c>
      <c r="B10" s="5" t="s">
        <v>38</v>
      </c>
      <c r="C10" s="5" t="s">
        <v>15</v>
      </c>
      <c r="D10" s="5" t="s">
        <v>39</v>
      </c>
      <c r="E10" s="5" t="n">
        <f aca="false">ROUND(6297*1.05,2)</f>
        <v>6611.85</v>
      </c>
      <c r="F10" s="5" t="s">
        <v>40</v>
      </c>
      <c r="G10" s="5" t="s">
        <v>24</v>
      </c>
      <c r="H10" s="5" t="n">
        <f aca="true">ROUND(RAND()*4+6,1)</f>
        <v>8.6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5196</v>
      </c>
      <c r="B11" s="6" t="s">
        <v>43</v>
      </c>
      <c r="C11" s="6" t="s">
        <v>15</v>
      </c>
      <c r="D11" s="6" t="s">
        <v>44</v>
      </c>
      <c r="E11" s="6" t="n">
        <f aca="false">ROUND(4646*1.05,2)</f>
        <v>4878.3</v>
      </c>
      <c r="F11" s="6" t="s">
        <v>45</v>
      </c>
      <c r="G11" s="6" t="s">
        <v>30</v>
      </c>
      <c r="H11" s="6" t="n">
        <f aca="true">ROUND(RAND()*4+6,1)</f>
        <v>6.3</v>
      </c>
      <c r="I11" s="6" t="s">
        <v>46</v>
      </c>
      <c r="J11" s="6" t="str">
        <f aca="false">ROUND(76*1,0)&amp;"%"</f>
        <v>76%</v>
      </c>
    </row>
    <row r="12" customFormat="false" ht="15" hidden="false" customHeight="false" outlineLevel="0" collapsed="false">
      <c r="A12" s="5" t="s">
        <v>5197</v>
      </c>
      <c r="B12" s="5" t="s">
        <v>48</v>
      </c>
      <c r="C12" s="5" t="s">
        <v>15</v>
      </c>
      <c r="D12" s="5" t="s">
        <v>16</v>
      </c>
      <c r="E12" s="5" t="n">
        <f aca="false">ROUND(12805*1.05,2)</f>
        <v>13445.25</v>
      </c>
      <c r="F12" s="5" t="s">
        <v>49</v>
      </c>
      <c r="G12" s="5" t="s">
        <v>18</v>
      </c>
      <c r="H12" s="5" t="n">
        <f aca="true">ROUND(RAND()*4+6,1)</f>
        <v>8.4</v>
      </c>
      <c r="I12" s="5" t="s">
        <v>19</v>
      </c>
      <c r="J12" s="5" t="str">
        <f aca="false">ROUND(69*1,0)&amp;"%"</f>
        <v>69%</v>
      </c>
    </row>
    <row r="13" customFormat="false" ht="15" hidden="false" customHeight="false" outlineLevel="0" collapsed="false">
      <c r="A13" s="6" t="s">
        <v>5198</v>
      </c>
      <c r="B13" s="6" t="s">
        <v>51</v>
      </c>
      <c r="C13" s="6" t="s">
        <v>15</v>
      </c>
      <c r="D13" s="6" t="s">
        <v>22</v>
      </c>
      <c r="E13" s="6" t="n">
        <f aca="false">ROUND(12323*1.05,2)</f>
        <v>12939.15</v>
      </c>
      <c r="F13" s="6" t="s">
        <v>52</v>
      </c>
      <c r="G13" s="6" t="s">
        <v>24</v>
      </c>
      <c r="H13" s="6" t="n">
        <f aca="true">ROUND(RAND()*4+6,1)</f>
        <v>6.6</v>
      </c>
      <c r="I13" s="6" t="s">
        <v>25</v>
      </c>
      <c r="J13" s="6" t="str">
        <f aca="false">ROUND(79*1,0)&amp;"%"</f>
        <v>79%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5199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5200</v>
      </c>
      <c r="B18" s="5" t="s">
        <v>56</v>
      </c>
      <c r="C18" s="5" t="s">
        <v>57</v>
      </c>
      <c r="D18" s="5" t="s">
        <v>16</v>
      </c>
      <c r="E18" s="5" t="n">
        <f aca="false">ROUND(9315*1.05,2)</f>
        <v>9780.75</v>
      </c>
      <c r="F18" s="5" t="s">
        <v>17</v>
      </c>
      <c r="G18" s="5" t="s">
        <v>18</v>
      </c>
      <c r="H18" s="5" t="n">
        <f aca="true">ROUND(RAND()*4+6,1)</f>
        <v>9.9</v>
      </c>
      <c r="I18" s="5" t="s">
        <v>19</v>
      </c>
      <c r="J18" s="5" t="str">
        <f aca="false">ROUND(75*1,0)&amp;"%"</f>
        <v>75%</v>
      </c>
    </row>
    <row r="19" customFormat="false" ht="15" hidden="false" customHeight="false" outlineLevel="0" collapsed="false">
      <c r="A19" s="6" t="s">
        <v>5201</v>
      </c>
      <c r="B19" s="6" t="s">
        <v>59</v>
      </c>
      <c r="C19" s="6" t="s">
        <v>57</v>
      </c>
      <c r="D19" s="6" t="s">
        <v>22</v>
      </c>
      <c r="E19" s="6" t="n">
        <f aca="false">ROUND(4687*1.05,2)</f>
        <v>4921.35</v>
      </c>
      <c r="F19" s="6" t="s">
        <v>23</v>
      </c>
      <c r="G19" s="6" t="s">
        <v>24</v>
      </c>
      <c r="H19" s="6" t="n">
        <f aca="true">ROUND(RAND()*4+6,1)</f>
        <v>8.8</v>
      </c>
      <c r="I19" s="6" t="s">
        <v>25</v>
      </c>
      <c r="J19" s="6" t="str">
        <f aca="false">ROUND(95*1,0)&amp;"%"</f>
        <v>95%</v>
      </c>
    </row>
    <row r="20" customFormat="false" ht="15" hidden="false" customHeight="false" outlineLevel="0" collapsed="false">
      <c r="A20" s="5" t="s">
        <v>5202</v>
      </c>
      <c r="B20" s="5" t="s">
        <v>61</v>
      </c>
      <c r="C20" s="5" t="s">
        <v>57</v>
      </c>
      <c r="D20" s="5" t="s">
        <v>28</v>
      </c>
      <c r="E20" s="5" t="n">
        <f aca="false">ROUND(11142*1.05,2)</f>
        <v>11699.1</v>
      </c>
      <c r="F20" s="5" t="s">
        <v>29</v>
      </c>
      <c r="G20" s="5" t="s">
        <v>30</v>
      </c>
      <c r="H20" s="5" t="n">
        <f aca="true">ROUND(RAND()*4+6,1)</f>
        <v>6.3</v>
      </c>
      <c r="I20" s="5" t="s">
        <v>31</v>
      </c>
      <c r="J20" s="5" t="str">
        <f aca="false">ROUND(72*1,0)&amp;"%"</f>
        <v>72%</v>
      </c>
    </row>
    <row r="21" customFormat="false" ht="15" hidden="false" customHeight="false" outlineLevel="0" collapsed="false">
      <c r="A21" s="6" t="s">
        <v>5203</v>
      </c>
      <c r="B21" s="6" t="s">
        <v>63</v>
      </c>
      <c r="C21" s="6" t="s">
        <v>57</v>
      </c>
      <c r="D21" s="6" t="s">
        <v>34</v>
      </c>
      <c r="E21" s="6" t="n">
        <f aca="false">ROUND(15630*1.05,2)</f>
        <v>16411.5</v>
      </c>
      <c r="F21" s="6" t="s">
        <v>35</v>
      </c>
      <c r="G21" s="6" t="s">
        <v>18</v>
      </c>
      <c r="H21" s="6" t="n">
        <f aca="true">ROUND(RAND()*4+6,1)</f>
        <v>9.5</v>
      </c>
      <c r="I21" s="6" t="s">
        <v>36</v>
      </c>
      <c r="J21" s="6" t="str">
        <f aca="false">ROUND(65*1,0)&amp;"%"</f>
        <v>65%</v>
      </c>
    </row>
    <row r="22" customFormat="false" ht="15" hidden="false" customHeight="false" outlineLevel="0" collapsed="false">
      <c r="A22" s="5" t="s">
        <v>5204</v>
      </c>
      <c r="B22" s="5" t="s">
        <v>65</v>
      </c>
      <c r="C22" s="5" t="s">
        <v>57</v>
      </c>
      <c r="D22" s="5" t="s">
        <v>39</v>
      </c>
      <c r="E22" s="5" t="n">
        <f aca="false">ROUND(5844*1.05,2)</f>
        <v>6136.2</v>
      </c>
      <c r="F22" s="5" t="s">
        <v>40</v>
      </c>
      <c r="G22" s="5" t="s">
        <v>24</v>
      </c>
      <c r="H22" s="5" t="n">
        <f aca="true">ROUND(RAND()*4+6,1)</f>
        <v>9.2</v>
      </c>
      <c r="I22" s="5" t="s">
        <v>41</v>
      </c>
      <c r="J22" s="5" t="str">
        <f aca="false">ROUND(90*1,0)&amp;"%"</f>
        <v>90%</v>
      </c>
    </row>
    <row r="23" customFormat="false" ht="15" hidden="false" customHeight="false" outlineLevel="0" collapsed="false">
      <c r="A23" s="6" t="s">
        <v>5205</v>
      </c>
      <c r="B23" s="6" t="s">
        <v>67</v>
      </c>
      <c r="C23" s="6" t="s">
        <v>57</v>
      </c>
      <c r="D23" s="6" t="s">
        <v>44</v>
      </c>
      <c r="E23" s="6" t="n">
        <f aca="false">ROUND(17205*1.05,2)</f>
        <v>18065.25</v>
      </c>
      <c r="F23" s="6" t="s">
        <v>45</v>
      </c>
      <c r="G23" s="6" t="s">
        <v>30</v>
      </c>
      <c r="H23" s="6" t="n">
        <f aca="true">ROUND(RAND()*4+6,1)</f>
        <v>8</v>
      </c>
      <c r="I23" s="6" t="s">
        <v>46</v>
      </c>
      <c r="J23" s="6" t="str">
        <f aca="false">ROUND(63*1,0)&amp;"%"</f>
        <v>63%</v>
      </c>
    </row>
    <row r="24" customFormat="false" ht="15" hidden="false" customHeight="false" outlineLevel="0" collapsed="false">
      <c r="A24" s="5" t="s">
        <v>5206</v>
      </c>
      <c r="B24" s="5" t="s">
        <v>69</v>
      </c>
      <c r="C24" s="5" t="s">
        <v>57</v>
      </c>
      <c r="D24" s="5" t="s">
        <v>16</v>
      </c>
      <c r="E24" s="5" t="n">
        <f aca="false">ROUND(8941*1.05,2)</f>
        <v>9388.05</v>
      </c>
      <c r="F24" s="5" t="s">
        <v>49</v>
      </c>
      <c r="G24" s="5" t="s">
        <v>18</v>
      </c>
      <c r="H24" s="5" t="n">
        <f aca="true">ROUND(RAND()*4+6,1)</f>
        <v>8.9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5207</v>
      </c>
      <c r="B25" s="6" t="s">
        <v>71</v>
      </c>
      <c r="C25" s="6" t="s">
        <v>57</v>
      </c>
      <c r="D25" s="6" t="s">
        <v>22</v>
      </c>
      <c r="E25" s="6" t="n">
        <f aca="false">ROUND(6690*1.05,2)</f>
        <v>7024.5</v>
      </c>
      <c r="F25" s="6" t="s">
        <v>52</v>
      </c>
      <c r="G25" s="6" t="s">
        <v>24</v>
      </c>
      <c r="H25" s="6" t="n">
        <f aca="true">ROUND(RAND()*4+6,1)</f>
        <v>7.4</v>
      </c>
      <c r="I25" s="6" t="s">
        <v>25</v>
      </c>
      <c r="J25" s="6" t="str">
        <f aca="false">ROUND(100*1,0)&amp;"%"</f>
        <v>100%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5208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5209</v>
      </c>
      <c r="B30" s="5" t="s">
        <v>75</v>
      </c>
      <c r="C30" s="5" t="s">
        <v>76</v>
      </c>
      <c r="D30" s="5" t="s">
        <v>16</v>
      </c>
      <c r="E30" s="5" t="n">
        <f aca="false">ROUND(5629*1.05,2)</f>
        <v>5910.45</v>
      </c>
      <c r="F30" s="5" t="s">
        <v>17</v>
      </c>
      <c r="G30" s="5" t="s">
        <v>18</v>
      </c>
      <c r="H30" s="5" t="n">
        <f aca="true">ROUND(RAND()*4+6,1)</f>
        <v>9.9</v>
      </c>
      <c r="I30" s="5" t="s">
        <v>19</v>
      </c>
      <c r="J30" s="5" t="str">
        <f aca="false">ROUND(73*1,0)&amp;"%"</f>
        <v>73%</v>
      </c>
    </row>
    <row r="31" customFormat="false" ht="15" hidden="false" customHeight="false" outlineLevel="0" collapsed="false">
      <c r="A31" s="6" t="s">
        <v>5210</v>
      </c>
      <c r="B31" s="6" t="s">
        <v>78</v>
      </c>
      <c r="C31" s="6" t="s">
        <v>76</v>
      </c>
      <c r="D31" s="6" t="s">
        <v>22</v>
      </c>
      <c r="E31" s="6" t="n">
        <f aca="false">ROUND(11217*1.05,2)</f>
        <v>11777.85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ROUND(60*1,0)&amp;"%"</f>
        <v>60%</v>
      </c>
    </row>
    <row r="32" customFormat="false" ht="15" hidden="false" customHeight="false" outlineLevel="0" collapsed="false">
      <c r="A32" s="5" t="s">
        <v>5211</v>
      </c>
      <c r="B32" s="5" t="s">
        <v>80</v>
      </c>
      <c r="C32" s="5" t="s">
        <v>76</v>
      </c>
      <c r="D32" s="5" t="s">
        <v>28</v>
      </c>
      <c r="E32" s="5" t="n">
        <f aca="false">ROUND(9232*1.05,2)</f>
        <v>9693.6</v>
      </c>
      <c r="F32" s="5" t="s">
        <v>29</v>
      </c>
      <c r="G32" s="5" t="s">
        <v>30</v>
      </c>
      <c r="H32" s="5" t="n">
        <f aca="true">ROUND(RAND()*4+6,1)</f>
        <v>8.1</v>
      </c>
      <c r="I32" s="5" t="s">
        <v>31</v>
      </c>
      <c r="J32" s="5" t="str">
        <f aca="false">ROUND(92*1,0)&amp;"%"</f>
        <v>92%</v>
      </c>
    </row>
    <row r="33" customFormat="false" ht="15" hidden="false" customHeight="false" outlineLevel="0" collapsed="false">
      <c r="A33" s="6" t="s">
        <v>5212</v>
      </c>
      <c r="B33" s="6" t="s">
        <v>82</v>
      </c>
      <c r="C33" s="6" t="s">
        <v>76</v>
      </c>
      <c r="D33" s="6" t="s">
        <v>34</v>
      </c>
      <c r="E33" s="6" t="n">
        <f aca="false">ROUND(9027*1.05,2)</f>
        <v>9478.35</v>
      </c>
      <c r="F33" s="6" t="s">
        <v>35</v>
      </c>
      <c r="G33" s="6" t="s">
        <v>18</v>
      </c>
      <c r="H33" s="6" t="n">
        <f aca="true">ROUND(RAND()*4+6,1)</f>
        <v>8.5</v>
      </c>
      <c r="I33" s="6" t="s">
        <v>36</v>
      </c>
      <c r="J33" s="6" t="str">
        <f aca="false">ROUND(63*1,0)&amp;"%"</f>
        <v>63%</v>
      </c>
    </row>
    <row r="34" customFormat="false" ht="15" hidden="false" customHeight="false" outlineLevel="0" collapsed="false">
      <c r="A34" s="5" t="s">
        <v>5213</v>
      </c>
      <c r="B34" s="5" t="s">
        <v>84</v>
      </c>
      <c r="C34" s="5" t="s">
        <v>76</v>
      </c>
      <c r="D34" s="5" t="s">
        <v>39</v>
      </c>
      <c r="E34" s="5" t="n">
        <f aca="false">ROUND(10936*1.05,2)</f>
        <v>11482.8</v>
      </c>
      <c r="F34" s="5" t="s">
        <v>40</v>
      </c>
      <c r="G34" s="5" t="s">
        <v>24</v>
      </c>
      <c r="H34" s="5" t="n">
        <f aca="true">ROUND(RAND()*4+6,1)</f>
        <v>8.5</v>
      </c>
      <c r="I34" s="5" t="s">
        <v>41</v>
      </c>
      <c r="J34" s="5" t="str">
        <f aca="false">ROUND(98*1,0)&amp;"%"</f>
        <v>98%</v>
      </c>
    </row>
    <row r="35" customFormat="false" ht="15" hidden="false" customHeight="false" outlineLevel="0" collapsed="false">
      <c r="A35" s="6" t="s">
        <v>5214</v>
      </c>
      <c r="B35" s="6" t="s">
        <v>86</v>
      </c>
      <c r="C35" s="6" t="s">
        <v>76</v>
      </c>
      <c r="D35" s="6" t="s">
        <v>44</v>
      </c>
      <c r="E35" s="6" t="n">
        <f aca="false">ROUND(6146*1.05,2)</f>
        <v>6453.3</v>
      </c>
      <c r="F35" s="6" t="s">
        <v>45</v>
      </c>
      <c r="G35" s="6" t="s">
        <v>30</v>
      </c>
      <c r="H35" s="6" t="n">
        <f aca="true">ROUND(RAND()*4+6,1)</f>
        <v>7.6</v>
      </c>
      <c r="I35" s="6" t="s">
        <v>46</v>
      </c>
      <c r="J35" s="6" t="str">
        <f aca="false">ROUND(100*1,0)&amp;"%"</f>
        <v>100%</v>
      </c>
    </row>
    <row r="36" customFormat="false" ht="15" hidden="false" customHeight="false" outlineLevel="0" collapsed="false">
      <c r="A36" s="5" t="s">
        <v>5215</v>
      </c>
      <c r="B36" s="5" t="s">
        <v>88</v>
      </c>
      <c r="C36" s="5" t="s">
        <v>76</v>
      </c>
      <c r="D36" s="5" t="s">
        <v>16</v>
      </c>
      <c r="E36" s="5" t="n">
        <f aca="false">ROUND(14448*1.05,2)</f>
        <v>15170.4</v>
      </c>
      <c r="F36" s="5" t="s">
        <v>49</v>
      </c>
      <c r="G36" s="5" t="s">
        <v>18</v>
      </c>
      <c r="H36" s="5" t="n">
        <f aca="true">ROUND(RAND()*4+6,1)</f>
        <v>7.6</v>
      </c>
      <c r="I36" s="5" t="s">
        <v>19</v>
      </c>
      <c r="J36" s="5" t="str">
        <f aca="false">ROUND(67*1,0)&amp;"%"</f>
        <v>67%</v>
      </c>
    </row>
    <row r="37" customFormat="false" ht="15" hidden="false" customHeight="false" outlineLevel="0" collapsed="false">
      <c r="A37" s="6" t="s">
        <v>5216</v>
      </c>
      <c r="B37" s="6" t="s">
        <v>90</v>
      </c>
      <c r="C37" s="6" t="s">
        <v>76</v>
      </c>
      <c r="D37" s="6" t="s">
        <v>22</v>
      </c>
      <c r="E37" s="6" t="n">
        <f aca="false">ROUND(14017*1.05,2)</f>
        <v>14717.85</v>
      </c>
      <c r="F37" s="6" t="s">
        <v>52</v>
      </c>
      <c r="G37" s="6" t="s">
        <v>24</v>
      </c>
      <c r="H37" s="6" t="n">
        <f aca="true">ROUND(RAND()*4+6,1)</f>
        <v>6.6</v>
      </c>
      <c r="I37" s="6" t="s">
        <v>25</v>
      </c>
      <c r="J37" s="6" t="str">
        <f aca="false">ROUND(61*1,0)&amp;"%"</f>
        <v>61%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5217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5218</v>
      </c>
      <c r="B42" s="5" t="s">
        <v>94</v>
      </c>
      <c r="C42" s="5" t="s">
        <v>95</v>
      </c>
      <c r="D42" s="5" t="s">
        <v>16</v>
      </c>
      <c r="E42" s="5" t="n">
        <f aca="false">ROUND(5281*1.05,2)</f>
        <v>5545.05</v>
      </c>
      <c r="F42" s="5" t="s">
        <v>17</v>
      </c>
      <c r="G42" s="5" t="s">
        <v>18</v>
      </c>
      <c r="H42" s="5" t="n">
        <f aca="true">ROUND(RAND()*4+6,1)</f>
        <v>9.9</v>
      </c>
      <c r="I42" s="5" t="s">
        <v>19</v>
      </c>
      <c r="J42" s="5" t="str">
        <f aca="false">ROUND(100*1,0)&amp;"%"</f>
        <v>100%</v>
      </c>
    </row>
    <row r="43" customFormat="false" ht="15" hidden="false" customHeight="false" outlineLevel="0" collapsed="false">
      <c r="A43" s="6" t="s">
        <v>5219</v>
      </c>
      <c r="B43" s="6" t="s">
        <v>97</v>
      </c>
      <c r="C43" s="6" t="s">
        <v>95</v>
      </c>
      <c r="D43" s="6" t="s">
        <v>22</v>
      </c>
      <c r="E43" s="6" t="n">
        <f aca="false">ROUND(6205*1.05,2)</f>
        <v>6515.25</v>
      </c>
      <c r="F43" s="6" t="s">
        <v>23</v>
      </c>
      <c r="G43" s="6" t="s">
        <v>24</v>
      </c>
      <c r="H43" s="6" t="n">
        <f aca="true">ROUND(RAND()*4+6,1)</f>
        <v>7.2</v>
      </c>
      <c r="I43" s="6" t="s">
        <v>25</v>
      </c>
      <c r="J43" s="6" t="str">
        <f aca="false">ROUND(91*1,0)&amp;"%"</f>
        <v>91%</v>
      </c>
    </row>
    <row r="44" customFormat="false" ht="15" hidden="false" customHeight="false" outlineLevel="0" collapsed="false">
      <c r="A44" s="5" t="s">
        <v>5220</v>
      </c>
      <c r="B44" s="5" t="s">
        <v>99</v>
      </c>
      <c r="C44" s="5" t="s">
        <v>95</v>
      </c>
      <c r="D44" s="5" t="s">
        <v>28</v>
      </c>
      <c r="E44" s="5" t="n">
        <f aca="false">ROUND(16063*1.05,2)</f>
        <v>16866.15</v>
      </c>
      <c r="F44" s="5" t="s">
        <v>29</v>
      </c>
      <c r="G44" s="5" t="s">
        <v>30</v>
      </c>
      <c r="H44" s="5" t="n">
        <f aca="true">ROUND(RAND()*4+6,1)</f>
        <v>7.3</v>
      </c>
      <c r="I44" s="5" t="s">
        <v>31</v>
      </c>
      <c r="J44" s="5" t="str">
        <f aca="false">ROUND(61*1,0)&amp;"%"</f>
        <v>61%</v>
      </c>
    </row>
    <row r="45" customFormat="false" ht="15" hidden="false" customHeight="false" outlineLevel="0" collapsed="false">
      <c r="A45" s="6" t="s">
        <v>5221</v>
      </c>
      <c r="B45" s="6" t="s">
        <v>101</v>
      </c>
      <c r="C45" s="6" t="s">
        <v>95</v>
      </c>
      <c r="D45" s="6" t="s">
        <v>34</v>
      </c>
      <c r="E45" s="6" t="n">
        <f aca="false">ROUND(7894*1.05,2)</f>
        <v>8288.7</v>
      </c>
      <c r="F45" s="6" t="s">
        <v>35</v>
      </c>
      <c r="G45" s="6" t="s">
        <v>18</v>
      </c>
      <c r="H45" s="6" t="n">
        <f aca="true">ROUND(RAND()*4+6,1)</f>
        <v>6.6</v>
      </c>
      <c r="I45" s="6" t="s">
        <v>36</v>
      </c>
      <c r="J45" s="6" t="str">
        <f aca="false">ROUND(91*1,0)&amp;"%"</f>
        <v>91%</v>
      </c>
    </row>
    <row r="46" customFormat="false" ht="15" hidden="false" customHeight="false" outlineLevel="0" collapsed="false">
      <c r="A46" s="5" t="s">
        <v>5222</v>
      </c>
      <c r="B46" s="5" t="s">
        <v>103</v>
      </c>
      <c r="C46" s="5" t="s">
        <v>95</v>
      </c>
      <c r="D46" s="5" t="s">
        <v>39</v>
      </c>
      <c r="E46" s="5" t="n">
        <f aca="false">ROUND(14884*1.05,2)</f>
        <v>15628.2</v>
      </c>
      <c r="F46" s="5" t="s">
        <v>40</v>
      </c>
      <c r="G46" s="5" t="s">
        <v>24</v>
      </c>
      <c r="H46" s="5" t="n">
        <f aca="true">ROUND(RAND()*4+6,1)</f>
        <v>8.4</v>
      </c>
      <c r="I46" s="5" t="s">
        <v>41</v>
      </c>
      <c r="J46" s="5" t="str">
        <f aca="false">ROUND(76*1,0)&amp;"%"</f>
        <v>76%</v>
      </c>
    </row>
    <row r="47" customFormat="false" ht="15" hidden="false" customHeight="false" outlineLevel="0" collapsed="false">
      <c r="A47" s="6" t="s">
        <v>5223</v>
      </c>
      <c r="B47" s="6" t="s">
        <v>105</v>
      </c>
      <c r="C47" s="6" t="s">
        <v>95</v>
      </c>
      <c r="D47" s="6" t="s">
        <v>44</v>
      </c>
      <c r="E47" s="6" t="n">
        <f aca="false">ROUND(13967*1.05,2)</f>
        <v>14665.35</v>
      </c>
      <c r="F47" s="6" t="s">
        <v>45</v>
      </c>
      <c r="G47" s="6" t="s">
        <v>30</v>
      </c>
      <c r="H47" s="6" t="n">
        <f aca="true">ROUND(RAND()*4+6,1)</f>
        <v>8.6</v>
      </c>
      <c r="I47" s="6" t="s">
        <v>46</v>
      </c>
      <c r="J47" s="6" t="str">
        <f aca="false">ROUND(66*1,0)&amp;"%"</f>
        <v>66%</v>
      </c>
    </row>
    <row r="48" customFormat="false" ht="15" hidden="false" customHeight="false" outlineLevel="0" collapsed="false">
      <c r="A48" s="5" t="s">
        <v>5224</v>
      </c>
      <c r="B48" s="5" t="s">
        <v>107</v>
      </c>
      <c r="C48" s="5" t="s">
        <v>95</v>
      </c>
      <c r="D48" s="5" t="s">
        <v>16</v>
      </c>
      <c r="E48" s="5" t="n">
        <f aca="false">ROUND(6408*1.05,2)</f>
        <v>6728.4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ROUND(95*1,0)&amp;"%"</f>
        <v>95%</v>
      </c>
    </row>
    <row r="49" customFormat="false" ht="15" hidden="false" customHeight="false" outlineLevel="0" collapsed="false">
      <c r="A49" s="6" t="s">
        <v>5225</v>
      </c>
      <c r="B49" s="6" t="s">
        <v>109</v>
      </c>
      <c r="C49" s="6" t="s">
        <v>95</v>
      </c>
      <c r="D49" s="6" t="s">
        <v>22</v>
      </c>
      <c r="E49" s="6" t="n">
        <f aca="false">ROUND(5975*1.05,2)</f>
        <v>6273.75</v>
      </c>
      <c r="F49" s="6" t="s">
        <v>52</v>
      </c>
      <c r="G49" s="6" t="s">
        <v>24</v>
      </c>
      <c r="H49" s="6" t="n">
        <f aca="true">ROUND(RAND()*4+6,1)</f>
        <v>8.5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5226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5227</v>
      </c>
      <c r="B54" s="5" t="s">
        <v>113</v>
      </c>
      <c r="C54" s="5" t="s">
        <v>114</v>
      </c>
      <c r="D54" s="5" t="s">
        <v>16</v>
      </c>
      <c r="E54" s="5" t="n">
        <f aca="false">ROUND(7300*1.05,2)</f>
        <v>7665</v>
      </c>
      <c r="F54" s="5" t="s">
        <v>17</v>
      </c>
      <c r="G54" s="5" t="s">
        <v>18</v>
      </c>
      <c r="H54" s="5" t="n">
        <f aca="true">ROUND(RAND()*4+6,1)</f>
        <v>9.6</v>
      </c>
      <c r="I54" s="5" t="s">
        <v>19</v>
      </c>
      <c r="J54" s="5" t="str">
        <f aca="false">ROUND(89*1,0)&amp;"%"</f>
        <v>89%</v>
      </c>
    </row>
    <row r="55" customFormat="false" ht="15" hidden="false" customHeight="false" outlineLevel="0" collapsed="false">
      <c r="A55" s="6" t="s">
        <v>5228</v>
      </c>
      <c r="B55" s="6" t="s">
        <v>116</v>
      </c>
      <c r="C55" s="6" t="s">
        <v>114</v>
      </c>
      <c r="D55" s="6" t="s">
        <v>22</v>
      </c>
      <c r="E55" s="6" t="n">
        <f aca="false">ROUND(17829*1.05,2)</f>
        <v>18720.45</v>
      </c>
      <c r="F55" s="6" t="s">
        <v>23</v>
      </c>
      <c r="G55" s="6" t="s">
        <v>24</v>
      </c>
      <c r="H55" s="6" t="n">
        <f aca="true">ROUND(RAND()*4+6,1)</f>
        <v>9.1</v>
      </c>
      <c r="I55" s="6" t="s">
        <v>25</v>
      </c>
      <c r="J55" s="6" t="str">
        <f aca="false">ROUND(81*1,0)&amp;"%"</f>
        <v>81%</v>
      </c>
    </row>
    <row r="56" customFormat="false" ht="15" hidden="false" customHeight="false" outlineLevel="0" collapsed="false">
      <c r="A56" s="5" t="s">
        <v>5229</v>
      </c>
      <c r="B56" s="5" t="s">
        <v>118</v>
      </c>
      <c r="C56" s="5" t="s">
        <v>114</v>
      </c>
      <c r="D56" s="5" t="s">
        <v>28</v>
      </c>
      <c r="E56" s="5" t="n">
        <f aca="false">ROUND(7850*1.05,2)</f>
        <v>8242.5</v>
      </c>
      <c r="F56" s="5" t="s">
        <v>29</v>
      </c>
      <c r="G56" s="5" t="s">
        <v>30</v>
      </c>
      <c r="H56" s="5" t="n">
        <f aca="true">ROUND(RAND()*4+6,1)</f>
        <v>9.6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5230</v>
      </c>
      <c r="B57" s="6" t="s">
        <v>120</v>
      </c>
      <c r="C57" s="6" t="s">
        <v>114</v>
      </c>
      <c r="D57" s="6" t="s">
        <v>34</v>
      </c>
      <c r="E57" s="6" t="n">
        <f aca="false">ROUND(14555*1.05,2)</f>
        <v>15282.75</v>
      </c>
      <c r="F57" s="6" t="s">
        <v>35</v>
      </c>
      <c r="G57" s="6" t="s">
        <v>18</v>
      </c>
      <c r="H57" s="6" t="n">
        <f aca="true">ROUND(RAND()*4+6,1)</f>
        <v>9.6</v>
      </c>
      <c r="I57" s="6" t="s">
        <v>36</v>
      </c>
      <c r="J57" s="6" t="str">
        <f aca="false">ROUND(63*1,0)&amp;"%"</f>
        <v>63%</v>
      </c>
    </row>
    <row r="58" customFormat="false" ht="15" hidden="false" customHeight="false" outlineLevel="0" collapsed="false">
      <c r="A58" s="5" t="s">
        <v>5231</v>
      </c>
      <c r="B58" s="5" t="s">
        <v>122</v>
      </c>
      <c r="C58" s="5" t="s">
        <v>114</v>
      </c>
      <c r="D58" s="5" t="s">
        <v>39</v>
      </c>
      <c r="E58" s="5" t="n">
        <f aca="false">ROUND(15833*1.05,2)</f>
        <v>16624.65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ROUND(62*1,0)&amp;"%"</f>
        <v>62%</v>
      </c>
    </row>
    <row r="59" customFormat="false" ht="15" hidden="false" customHeight="false" outlineLevel="0" collapsed="false">
      <c r="A59" s="6" t="s">
        <v>5232</v>
      </c>
      <c r="B59" s="6" t="s">
        <v>124</v>
      </c>
      <c r="C59" s="6" t="s">
        <v>114</v>
      </c>
      <c r="D59" s="6" t="s">
        <v>44</v>
      </c>
      <c r="E59" s="6" t="n">
        <f aca="false">ROUND(11968*1.05,2)</f>
        <v>12566.4</v>
      </c>
      <c r="F59" s="6" t="s">
        <v>45</v>
      </c>
      <c r="G59" s="6" t="s">
        <v>30</v>
      </c>
      <c r="H59" s="6" t="n">
        <f aca="true">ROUND(RAND()*4+6,1)</f>
        <v>7.3</v>
      </c>
      <c r="I59" s="6" t="s">
        <v>46</v>
      </c>
      <c r="J59" s="6" t="str">
        <f aca="false">ROUND(71*1,0)&amp;"%"</f>
        <v>71%</v>
      </c>
    </row>
    <row r="60" customFormat="false" ht="15" hidden="false" customHeight="false" outlineLevel="0" collapsed="false">
      <c r="A60" s="5" t="s">
        <v>5233</v>
      </c>
      <c r="B60" s="5" t="s">
        <v>126</v>
      </c>
      <c r="C60" s="5" t="s">
        <v>114</v>
      </c>
      <c r="D60" s="5" t="s">
        <v>16</v>
      </c>
      <c r="E60" s="5" t="n">
        <f aca="false">ROUND(6231*1.05,2)</f>
        <v>6542.55</v>
      </c>
      <c r="F60" s="5" t="s">
        <v>49</v>
      </c>
      <c r="G60" s="5" t="s">
        <v>18</v>
      </c>
      <c r="H60" s="5" t="n">
        <f aca="true">ROUND(RAND()*4+6,1)</f>
        <v>8.1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5234</v>
      </c>
      <c r="B61" s="6" t="s">
        <v>128</v>
      </c>
      <c r="C61" s="6" t="s">
        <v>114</v>
      </c>
      <c r="D61" s="6" t="s">
        <v>22</v>
      </c>
      <c r="E61" s="6" t="n">
        <f aca="false">ROUND(5911*1.05,2)</f>
        <v>6206.55</v>
      </c>
      <c r="F61" s="6" t="s">
        <v>52</v>
      </c>
      <c r="G61" s="6" t="s">
        <v>24</v>
      </c>
      <c r="H61" s="6" t="n">
        <f aca="true">ROUND(RAND()*4+6,1)</f>
        <v>9.5</v>
      </c>
      <c r="I61" s="6" t="s">
        <v>25</v>
      </c>
      <c r="J61" s="6" t="str">
        <f aca="false">ROUND(100*1,0)&amp;"%"</f>
        <v>100%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5235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5236</v>
      </c>
      <c r="B66" s="5" t="s">
        <v>132</v>
      </c>
      <c r="C66" s="5" t="s">
        <v>133</v>
      </c>
      <c r="D66" s="5" t="s">
        <v>16</v>
      </c>
      <c r="E66" s="5" t="n">
        <f aca="false">ROUND(12083*1.05,2)</f>
        <v>12687.15</v>
      </c>
      <c r="F66" s="5" t="s">
        <v>17</v>
      </c>
      <c r="G66" s="5" t="s">
        <v>18</v>
      </c>
      <c r="H66" s="5" t="n">
        <f aca="true">ROUND(RAND()*4+6,1)</f>
        <v>8</v>
      </c>
      <c r="I66" s="5" t="s">
        <v>19</v>
      </c>
      <c r="J66" s="5" t="str">
        <f aca="false">ROUND(99*1,0)&amp;"%"</f>
        <v>99%</v>
      </c>
    </row>
    <row r="67" customFormat="false" ht="15" hidden="false" customHeight="false" outlineLevel="0" collapsed="false">
      <c r="A67" s="6" t="s">
        <v>5237</v>
      </c>
      <c r="B67" s="6" t="s">
        <v>135</v>
      </c>
      <c r="C67" s="6" t="s">
        <v>133</v>
      </c>
      <c r="D67" s="6" t="s">
        <v>22</v>
      </c>
      <c r="E67" s="6" t="n">
        <f aca="false">ROUND(11366*1.05,2)</f>
        <v>11934.3</v>
      </c>
      <c r="F67" s="6" t="s">
        <v>23</v>
      </c>
      <c r="G67" s="6" t="s">
        <v>24</v>
      </c>
      <c r="H67" s="6" t="n">
        <f aca="true">ROUND(RAND()*4+6,1)</f>
        <v>8.5</v>
      </c>
      <c r="I67" s="6" t="s">
        <v>25</v>
      </c>
      <c r="J67" s="6" t="str">
        <f aca="false">ROUND(85*1,0)&amp;"%"</f>
        <v>85%</v>
      </c>
    </row>
    <row r="68" customFormat="false" ht="15" hidden="false" customHeight="false" outlineLevel="0" collapsed="false">
      <c r="A68" s="5" t="s">
        <v>5238</v>
      </c>
      <c r="B68" s="5" t="s">
        <v>137</v>
      </c>
      <c r="C68" s="5" t="s">
        <v>133</v>
      </c>
      <c r="D68" s="5" t="s">
        <v>28</v>
      </c>
      <c r="E68" s="5" t="n">
        <f aca="false">ROUND(12652*1.05,2)</f>
        <v>13284.6</v>
      </c>
      <c r="F68" s="5" t="s">
        <v>29</v>
      </c>
      <c r="G68" s="5" t="s">
        <v>30</v>
      </c>
      <c r="H68" s="5" t="n">
        <f aca="true">ROUND(RAND()*4+6,1)</f>
        <v>7.4</v>
      </c>
      <c r="I68" s="5" t="s">
        <v>31</v>
      </c>
      <c r="J68" s="5" t="str">
        <f aca="false">ROUND(70*1,0)&amp;"%"</f>
        <v>70%</v>
      </c>
    </row>
    <row r="69" customFormat="false" ht="15" hidden="false" customHeight="false" outlineLevel="0" collapsed="false">
      <c r="A69" s="6" t="s">
        <v>5239</v>
      </c>
      <c r="B69" s="6" t="s">
        <v>139</v>
      </c>
      <c r="C69" s="6" t="s">
        <v>133</v>
      </c>
      <c r="D69" s="6" t="s">
        <v>34</v>
      </c>
      <c r="E69" s="6" t="n">
        <f aca="false">ROUND(8484*1.05,2)</f>
        <v>8908.2</v>
      </c>
      <c r="F69" s="6" t="s">
        <v>35</v>
      </c>
      <c r="G69" s="6" t="s">
        <v>18</v>
      </c>
      <c r="H69" s="6" t="n">
        <f aca="true">ROUND(RAND()*4+6,1)</f>
        <v>8.6</v>
      </c>
      <c r="I69" s="6" t="s">
        <v>36</v>
      </c>
      <c r="J69" s="6" t="str">
        <f aca="false">ROUND(97*1,0)&amp;"%"</f>
        <v>97%</v>
      </c>
    </row>
    <row r="70" customFormat="false" ht="15" hidden="false" customHeight="false" outlineLevel="0" collapsed="false">
      <c r="A70" s="5" t="s">
        <v>5240</v>
      </c>
      <c r="B70" s="5" t="s">
        <v>141</v>
      </c>
      <c r="C70" s="5" t="s">
        <v>133</v>
      </c>
      <c r="D70" s="5" t="s">
        <v>39</v>
      </c>
      <c r="E70" s="5" t="n">
        <f aca="false">ROUND(17812*1.05,2)</f>
        <v>18702.6</v>
      </c>
      <c r="F70" s="5" t="s">
        <v>40</v>
      </c>
      <c r="G70" s="5" t="s">
        <v>24</v>
      </c>
      <c r="H70" s="5" t="n">
        <f aca="true">ROUND(RAND()*4+6,1)</f>
        <v>8.7</v>
      </c>
      <c r="I70" s="5" t="s">
        <v>41</v>
      </c>
      <c r="J70" s="5" t="str">
        <f aca="false">ROUND(84*1,0)&amp;"%"</f>
        <v>84%</v>
      </c>
    </row>
    <row r="71" customFormat="false" ht="15" hidden="false" customHeight="false" outlineLevel="0" collapsed="false">
      <c r="A71" s="6" t="s">
        <v>5241</v>
      </c>
      <c r="B71" s="6" t="s">
        <v>143</v>
      </c>
      <c r="C71" s="6" t="s">
        <v>133</v>
      </c>
      <c r="D71" s="6" t="s">
        <v>44</v>
      </c>
      <c r="E71" s="6" t="n">
        <f aca="false">ROUND(4324*1.05,2)</f>
        <v>4540.2</v>
      </c>
      <c r="F71" s="6" t="s">
        <v>45</v>
      </c>
      <c r="G71" s="6" t="s">
        <v>30</v>
      </c>
      <c r="H71" s="6" t="n">
        <f aca="true">ROUND(RAND()*4+6,1)</f>
        <v>9.1</v>
      </c>
      <c r="I71" s="6" t="s">
        <v>46</v>
      </c>
      <c r="J71" s="6" t="str">
        <f aca="false">ROUND(84*1,0)&amp;"%"</f>
        <v>84%</v>
      </c>
    </row>
    <row r="72" customFormat="false" ht="15" hidden="false" customHeight="false" outlineLevel="0" collapsed="false">
      <c r="A72" s="5" t="s">
        <v>5242</v>
      </c>
      <c r="B72" s="5" t="s">
        <v>145</v>
      </c>
      <c r="C72" s="5" t="s">
        <v>133</v>
      </c>
      <c r="D72" s="5" t="s">
        <v>16</v>
      </c>
      <c r="E72" s="5" t="n">
        <f aca="false">ROUND(17030*1.05,2)</f>
        <v>17881.5</v>
      </c>
      <c r="F72" s="5" t="s">
        <v>49</v>
      </c>
      <c r="G72" s="5" t="s">
        <v>18</v>
      </c>
      <c r="H72" s="5" t="n">
        <f aca="true">ROUND(RAND()*4+6,1)</f>
        <v>8.9</v>
      </c>
      <c r="I72" s="5" t="s">
        <v>19</v>
      </c>
      <c r="J72" s="5" t="str">
        <f aca="false">ROUND(88*1,0)&amp;"%"</f>
        <v>88%</v>
      </c>
    </row>
    <row r="73" customFormat="false" ht="15" hidden="false" customHeight="false" outlineLevel="0" collapsed="false">
      <c r="A73" s="6" t="s">
        <v>5243</v>
      </c>
      <c r="B73" s="6" t="s">
        <v>147</v>
      </c>
      <c r="C73" s="6" t="s">
        <v>133</v>
      </c>
      <c r="D73" s="6" t="s">
        <v>22</v>
      </c>
      <c r="E73" s="6" t="n">
        <f aca="false">ROUND(7114*1.05,2)</f>
        <v>7469.7</v>
      </c>
      <c r="F73" s="6" t="s">
        <v>52</v>
      </c>
      <c r="G73" s="6" t="s">
        <v>24</v>
      </c>
      <c r="H73" s="6" t="n">
        <f aca="true">ROUND(RAND()*4+6,1)</f>
        <v>9.9</v>
      </c>
      <c r="I73" s="6" t="s">
        <v>25</v>
      </c>
      <c r="J73" s="6" t="str">
        <f aca="false">ROUND(99*1,0)&amp;"%"</f>
        <v>99%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5244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5245</v>
      </c>
      <c r="B78" s="5" t="s">
        <v>151</v>
      </c>
      <c r="C78" s="5" t="s">
        <v>152</v>
      </c>
      <c r="D78" s="5" t="s">
        <v>16</v>
      </c>
      <c r="E78" s="5" t="n">
        <f aca="false">ROUND(8822*1.05,2)</f>
        <v>9263.1</v>
      </c>
      <c r="F78" s="5" t="s">
        <v>17</v>
      </c>
      <c r="G78" s="5" t="s">
        <v>18</v>
      </c>
      <c r="H78" s="5" t="n">
        <f aca="true">ROUND(RAND()*4+6,1)</f>
        <v>9.6</v>
      </c>
      <c r="I78" s="5" t="s">
        <v>19</v>
      </c>
      <c r="J78" s="5" t="str">
        <f aca="false">ROUND(66*1,0)&amp;"%"</f>
        <v>66%</v>
      </c>
    </row>
    <row r="79" customFormat="false" ht="15" hidden="false" customHeight="false" outlineLevel="0" collapsed="false">
      <c r="A79" s="6" t="s">
        <v>5246</v>
      </c>
      <c r="B79" s="6" t="s">
        <v>154</v>
      </c>
      <c r="C79" s="6" t="s">
        <v>152</v>
      </c>
      <c r="D79" s="6" t="s">
        <v>22</v>
      </c>
      <c r="E79" s="6" t="n">
        <f aca="false">ROUND(17093*1.05,2)</f>
        <v>17947.65</v>
      </c>
      <c r="F79" s="6" t="s">
        <v>23</v>
      </c>
      <c r="G79" s="6" t="s">
        <v>24</v>
      </c>
      <c r="H79" s="6" t="n">
        <f aca="true">ROUND(RAND()*4+6,1)</f>
        <v>8.5</v>
      </c>
      <c r="I79" s="6" t="s">
        <v>25</v>
      </c>
      <c r="J79" s="6" t="str">
        <f aca="false">ROUND(94*1,0)&amp;"%"</f>
        <v>94%</v>
      </c>
    </row>
    <row r="80" customFormat="false" ht="15" hidden="false" customHeight="false" outlineLevel="0" collapsed="false">
      <c r="A80" s="5" t="s">
        <v>5247</v>
      </c>
      <c r="B80" s="5" t="s">
        <v>156</v>
      </c>
      <c r="C80" s="5" t="s">
        <v>152</v>
      </c>
      <c r="D80" s="5" t="s">
        <v>28</v>
      </c>
      <c r="E80" s="5" t="n">
        <f aca="false">ROUND(5993*1.05,2)</f>
        <v>6292.65</v>
      </c>
      <c r="F80" s="5" t="s">
        <v>29</v>
      </c>
      <c r="G80" s="5" t="s">
        <v>30</v>
      </c>
      <c r="H80" s="5" t="n">
        <f aca="true">ROUND(RAND()*4+6,1)</f>
        <v>6.8</v>
      </c>
      <c r="I80" s="5" t="s">
        <v>31</v>
      </c>
      <c r="J80" s="5" t="str">
        <f aca="false">ROUND(90*1,0)&amp;"%"</f>
        <v>90%</v>
      </c>
    </row>
    <row r="81" customFormat="false" ht="15" hidden="false" customHeight="false" outlineLevel="0" collapsed="false">
      <c r="A81" s="6" t="s">
        <v>5248</v>
      </c>
      <c r="B81" s="6" t="s">
        <v>158</v>
      </c>
      <c r="C81" s="6" t="s">
        <v>152</v>
      </c>
      <c r="D81" s="6" t="s">
        <v>34</v>
      </c>
      <c r="E81" s="6" t="n">
        <f aca="false">ROUND(14321*1.05,2)</f>
        <v>15037.05</v>
      </c>
      <c r="F81" s="6" t="s">
        <v>35</v>
      </c>
      <c r="G81" s="6" t="s">
        <v>18</v>
      </c>
      <c r="H81" s="6" t="n">
        <f aca="true">ROUND(RAND()*4+6,1)</f>
        <v>9.7</v>
      </c>
      <c r="I81" s="6" t="s">
        <v>36</v>
      </c>
      <c r="J81" s="6" t="str">
        <f aca="false">ROUND(63*1,0)&amp;"%"</f>
        <v>63%</v>
      </c>
    </row>
    <row r="82" customFormat="false" ht="15" hidden="false" customHeight="false" outlineLevel="0" collapsed="false">
      <c r="A82" s="5" t="s">
        <v>5249</v>
      </c>
      <c r="B82" s="5" t="s">
        <v>160</v>
      </c>
      <c r="C82" s="5" t="s">
        <v>152</v>
      </c>
      <c r="D82" s="5" t="s">
        <v>39</v>
      </c>
      <c r="E82" s="5" t="n">
        <f aca="false">ROUND(15715*1.05,2)</f>
        <v>16500.75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5250</v>
      </c>
      <c r="B83" s="6" t="s">
        <v>162</v>
      </c>
      <c r="C83" s="6" t="s">
        <v>152</v>
      </c>
      <c r="D83" s="6" t="s">
        <v>44</v>
      </c>
      <c r="E83" s="6" t="n">
        <f aca="false">ROUND(5308*1.05,2)</f>
        <v>5573.4</v>
      </c>
      <c r="F83" s="6" t="s">
        <v>45</v>
      </c>
      <c r="G83" s="6" t="s">
        <v>30</v>
      </c>
      <c r="H83" s="6" t="n">
        <f aca="true">ROUND(RAND()*4+6,1)</f>
        <v>6.3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5251</v>
      </c>
      <c r="B84" s="5" t="s">
        <v>164</v>
      </c>
      <c r="C84" s="5" t="s">
        <v>152</v>
      </c>
      <c r="D84" s="5" t="s">
        <v>16</v>
      </c>
      <c r="E84" s="5" t="n">
        <f aca="false">ROUND(4271*1.05,2)</f>
        <v>4484.55</v>
      </c>
      <c r="F84" s="5" t="s">
        <v>49</v>
      </c>
      <c r="G84" s="5" t="s">
        <v>18</v>
      </c>
      <c r="H84" s="5" t="n">
        <f aca="true">ROUND(RAND()*4+6,1)</f>
        <v>7.7</v>
      </c>
      <c r="I84" s="5" t="s">
        <v>19</v>
      </c>
      <c r="J84" s="5" t="str">
        <f aca="false">ROUND(89*1,0)&amp;"%"</f>
        <v>89%</v>
      </c>
    </row>
    <row r="85" customFormat="false" ht="15" hidden="false" customHeight="false" outlineLevel="0" collapsed="false">
      <c r="A85" s="6" t="s">
        <v>5252</v>
      </c>
      <c r="B85" s="6" t="s">
        <v>166</v>
      </c>
      <c r="C85" s="6" t="s">
        <v>152</v>
      </c>
      <c r="D85" s="6" t="s">
        <v>22</v>
      </c>
      <c r="E85" s="6" t="n">
        <f aca="false">ROUND(6118*1.05,2)</f>
        <v>6423.9</v>
      </c>
      <c r="F85" s="6" t="s">
        <v>52</v>
      </c>
      <c r="G85" s="6" t="s">
        <v>24</v>
      </c>
      <c r="H85" s="6" t="n">
        <f aca="true">ROUND(RAND()*4+6,1)</f>
        <v>9.8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5253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5254</v>
      </c>
      <c r="B90" s="5" t="s">
        <v>170</v>
      </c>
      <c r="C90" s="5" t="s">
        <v>15</v>
      </c>
      <c r="D90" s="5" t="s">
        <v>16</v>
      </c>
      <c r="E90" s="5" t="n">
        <f aca="false">ROUND(12682*1.05,2)</f>
        <v>13316.1</v>
      </c>
      <c r="F90" s="5" t="s">
        <v>17</v>
      </c>
      <c r="G90" s="5" t="s">
        <v>18</v>
      </c>
      <c r="H90" s="5" t="n">
        <f aca="true">ROUND(RAND()*4+6,1)</f>
        <v>7.4</v>
      </c>
      <c r="I90" s="5" t="s">
        <v>19</v>
      </c>
      <c r="J90" s="5" t="str">
        <f aca="false">ROUND(99*1,0)&amp;"%"</f>
        <v>99%</v>
      </c>
    </row>
    <row r="91" customFormat="false" ht="15" hidden="false" customHeight="false" outlineLevel="0" collapsed="false">
      <c r="A91" s="6" t="s">
        <v>5255</v>
      </c>
      <c r="B91" s="6" t="s">
        <v>172</v>
      </c>
      <c r="C91" s="6" t="s">
        <v>15</v>
      </c>
      <c r="D91" s="6" t="s">
        <v>22</v>
      </c>
      <c r="E91" s="6" t="n">
        <f aca="false">ROUND(17744*1.05,2)</f>
        <v>18631.2</v>
      </c>
      <c r="F91" s="6" t="s">
        <v>23</v>
      </c>
      <c r="G91" s="6" t="s">
        <v>24</v>
      </c>
      <c r="H91" s="6" t="n">
        <f aca="true">ROUND(RAND()*4+6,1)</f>
        <v>8</v>
      </c>
      <c r="I91" s="6" t="s">
        <v>25</v>
      </c>
      <c r="J91" s="6" t="str">
        <f aca="false">ROUND(65*1,0)&amp;"%"</f>
        <v>65%</v>
      </c>
    </row>
    <row r="92" customFormat="false" ht="15" hidden="false" customHeight="false" outlineLevel="0" collapsed="false">
      <c r="A92" s="5" t="s">
        <v>5256</v>
      </c>
      <c r="B92" s="5" t="s">
        <v>174</v>
      </c>
      <c r="C92" s="5" t="s">
        <v>15</v>
      </c>
      <c r="D92" s="5" t="s">
        <v>28</v>
      </c>
      <c r="E92" s="5" t="n">
        <f aca="false">ROUND(10817*1.05,2)</f>
        <v>11357.85</v>
      </c>
      <c r="F92" s="5" t="s">
        <v>29</v>
      </c>
      <c r="G92" s="5" t="s">
        <v>30</v>
      </c>
      <c r="H92" s="5" t="n">
        <f aca="true">ROUND(RAND()*4+6,1)</f>
        <v>7.2</v>
      </c>
      <c r="I92" s="5" t="s">
        <v>31</v>
      </c>
      <c r="J92" s="5" t="str">
        <f aca="false">ROUND(87*1,0)&amp;"%"</f>
        <v>87%</v>
      </c>
    </row>
    <row r="93" customFormat="false" ht="15" hidden="false" customHeight="false" outlineLevel="0" collapsed="false">
      <c r="A93" s="6" t="s">
        <v>5257</v>
      </c>
      <c r="B93" s="6" t="s">
        <v>176</v>
      </c>
      <c r="C93" s="6" t="s">
        <v>15</v>
      </c>
      <c r="D93" s="6" t="s">
        <v>34</v>
      </c>
      <c r="E93" s="6" t="n">
        <f aca="false">ROUND(8475*1.05,2)</f>
        <v>8898.75</v>
      </c>
      <c r="F93" s="6" t="s">
        <v>35</v>
      </c>
      <c r="G93" s="6" t="s">
        <v>18</v>
      </c>
      <c r="H93" s="6" t="n">
        <f aca="true">ROUND(RAND()*4+6,1)</f>
        <v>6.1</v>
      </c>
      <c r="I93" s="6" t="s">
        <v>36</v>
      </c>
      <c r="J93" s="6" t="str">
        <f aca="false">ROUND(72*1,0)&amp;"%"</f>
        <v>72%</v>
      </c>
    </row>
    <row r="94" customFormat="false" ht="15" hidden="false" customHeight="false" outlineLevel="0" collapsed="false">
      <c r="A94" s="5" t="s">
        <v>5258</v>
      </c>
      <c r="B94" s="5" t="s">
        <v>178</v>
      </c>
      <c r="C94" s="5" t="s">
        <v>15</v>
      </c>
      <c r="D94" s="5" t="s">
        <v>39</v>
      </c>
      <c r="E94" s="5" t="n">
        <f aca="false">ROUND(5009*1.05,2)</f>
        <v>5259.45</v>
      </c>
      <c r="F94" s="5" t="s">
        <v>40</v>
      </c>
      <c r="G94" s="5" t="s">
        <v>24</v>
      </c>
      <c r="H94" s="5" t="n">
        <f aca="true">ROUND(RAND()*4+6,1)</f>
        <v>6.7</v>
      </c>
      <c r="I94" s="5" t="s">
        <v>41</v>
      </c>
      <c r="J94" s="5" t="str">
        <f aca="false">ROUND(70*1,0)&amp;"%"</f>
        <v>70%</v>
      </c>
    </row>
    <row r="95" customFormat="false" ht="15" hidden="false" customHeight="false" outlineLevel="0" collapsed="false">
      <c r="A95" s="6" t="s">
        <v>5259</v>
      </c>
      <c r="B95" s="6" t="s">
        <v>180</v>
      </c>
      <c r="C95" s="6" t="s">
        <v>15</v>
      </c>
      <c r="D95" s="6" t="s">
        <v>44</v>
      </c>
      <c r="E95" s="6" t="n">
        <f aca="false">ROUND(5252*1.05,2)</f>
        <v>5514.6</v>
      </c>
      <c r="F95" s="6" t="s">
        <v>45</v>
      </c>
      <c r="G95" s="6" t="s">
        <v>30</v>
      </c>
      <c r="H95" s="6" t="n">
        <f aca="true">ROUND(RAND()*4+6,1)</f>
        <v>7.3</v>
      </c>
      <c r="I95" s="6" t="s">
        <v>46</v>
      </c>
      <c r="J95" s="6" t="str">
        <f aca="false">ROUND(96*1,0)&amp;"%"</f>
        <v>96%</v>
      </c>
    </row>
    <row r="96" customFormat="false" ht="15" hidden="false" customHeight="false" outlineLevel="0" collapsed="false">
      <c r="A96" s="5" t="s">
        <v>5260</v>
      </c>
      <c r="B96" s="5" t="s">
        <v>182</v>
      </c>
      <c r="C96" s="5" t="s">
        <v>15</v>
      </c>
      <c r="D96" s="5" t="s">
        <v>16</v>
      </c>
      <c r="E96" s="5" t="n">
        <f aca="false">ROUND(11095*1.05,2)</f>
        <v>11649.75</v>
      </c>
      <c r="F96" s="5" t="s">
        <v>49</v>
      </c>
      <c r="G96" s="5" t="s">
        <v>18</v>
      </c>
      <c r="H96" s="5" t="n">
        <f aca="true">ROUND(RAND()*4+6,1)</f>
        <v>9.8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5261</v>
      </c>
      <c r="B97" s="6" t="s">
        <v>184</v>
      </c>
      <c r="C97" s="6" t="s">
        <v>15</v>
      </c>
      <c r="D97" s="6" t="s">
        <v>22</v>
      </c>
      <c r="E97" s="6" t="n">
        <f aca="false">ROUND(7259*1.05,2)</f>
        <v>7621.95</v>
      </c>
      <c r="F97" s="6" t="s">
        <v>52</v>
      </c>
      <c r="G97" s="6" t="s">
        <v>24</v>
      </c>
      <c r="H97" s="6" t="n">
        <f aca="true">ROUND(RAND()*4+6,1)</f>
        <v>6.2</v>
      </c>
      <c r="I97" s="6" t="s">
        <v>25</v>
      </c>
      <c r="J97" s="6" t="str">
        <f aca="false">ROUND(99*1,0)&amp;"%"</f>
        <v>99%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5262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5263</v>
      </c>
      <c r="B102" s="5" t="s">
        <v>188</v>
      </c>
      <c r="C102" s="5" t="s">
        <v>57</v>
      </c>
      <c r="D102" s="5" t="s">
        <v>16</v>
      </c>
      <c r="E102" s="5" t="n">
        <f aca="false">ROUND(8229*1.05,2)</f>
        <v>8640.45</v>
      </c>
      <c r="F102" s="5" t="s">
        <v>17</v>
      </c>
      <c r="G102" s="5" t="s">
        <v>18</v>
      </c>
      <c r="H102" s="5" t="n">
        <f aca="true">ROUND(RAND()*4+6,1)</f>
        <v>8.4</v>
      </c>
      <c r="I102" s="5" t="s">
        <v>19</v>
      </c>
      <c r="J102" s="5" t="str">
        <f aca="false">ROUND(66*1,0)&amp;"%"</f>
        <v>66%</v>
      </c>
    </row>
    <row r="103" customFormat="false" ht="15" hidden="false" customHeight="false" outlineLevel="0" collapsed="false">
      <c r="A103" s="6" t="s">
        <v>5264</v>
      </c>
      <c r="B103" s="6" t="s">
        <v>190</v>
      </c>
      <c r="C103" s="6" t="s">
        <v>57</v>
      </c>
      <c r="D103" s="6" t="s">
        <v>22</v>
      </c>
      <c r="E103" s="6" t="n">
        <f aca="false">ROUND(8660*1.05,2)</f>
        <v>9093</v>
      </c>
      <c r="F103" s="6" t="s">
        <v>23</v>
      </c>
      <c r="G103" s="6" t="s">
        <v>24</v>
      </c>
      <c r="H103" s="6" t="n">
        <f aca="true">ROUND(RAND()*4+6,1)</f>
        <v>6.8</v>
      </c>
      <c r="I103" s="6" t="s">
        <v>25</v>
      </c>
      <c r="J103" s="6" t="str">
        <f aca="false">ROUND(61*1,0)&amp;"%"</f>
        <v>61%</v>
      </c>
    </row>
    <row r="104" customFormat="false" ht="15" hidden="false" customHeight="false" outlineLevel="0" collapsed="false">
      <c r="A104" s="5" t="s">
        <v>5265</v>
      </c>
      <c r="B104" s="5" t="s">
        <v>192</v>
      </c>
      <c r="C104" s="5" t="s">
        <v>57</v>
      </c>
      <c r="D104" s="5" t="s">
        <v>28</v>
      </c>
      <c r="E104" s="5" t="n">
        <f aca="false">ROUND(8221*1.05,2)</f>
        <v>8632.05</v>
      </c>
      <c r="F104" s="5" t="s">
        <v>29</v>
      </c>
      <c r="G104" s="5" t="s">
        <v>30</v>
      </c>
      <c r="H104" s="5" t="n">
        <f aca="true">ROUND(RAND()*4+6,1)</f>
        <v>7.7</v>
      </c>
      <c r="I104" s="5" t="s">
        <v>31</v>
      </c>
      <c r="J104" s="5" t="str">
        <f aca="false">ROUND(82*1,0)&amp;"%"</f>
        <v>82%</v>
      </c>
    </row>
    <row r="105" customFormat="false" ht="15" hidden="false" customHeight="false" outlineLevel="0" collapsed="false">
      <c r="A105" s="6" t="s">
        <v>5266</v>
      </c>
      <c r="B105" s="6" t="s">
        <v>194</v>
      </c>
      <c r="C105" s="6" t="s">
        <v>57</v>
      </c>
      <c r="D105" s="6" t="s">
        <v>34</v>
      </c>
      <c r="E105" s="6" t="n">
        <f aca="false">ROUND(16419*1.05,2)</f>
        <v>17239.95</v>
      </c>
      <c r="F105" s="6" t="s">
        <v>35</v>
      </c>
      <c r="G105" s="6" t="s">
        <v>18</v>
      </c>
      <c r="H105" s="6" t="n">
        <f aca="true">ROUND(RAND()*4+6,1)</f>
        <v>9</v>
      </c>
      <c r="I105" s="6" t="s">
        <v>36</v>
      </c>
      <c r="J105" s="6" t="str">
        <f aca="false">ROUND(88*1,0)&amp;"%"</f>
        <v>88%</v>
      </c>
    </row>
    <row r="106" customFormat="false" ht="15" hidden="false" customHeight="false" outlineLevel="0" collapsed="false">
      <c r="A106" s="5" t="s">
        <v>5267</v>
      </c>
      <c r="B106" s="5" t="s">
        <v>196</v>
      </c>
      <c r="C106" s="5" t="s">
        <v>57</v>
      </c>
      <c r="D106" s="5" t="s">
        <v>39</v>
      </c>
      <c r="E106" s="5" t="n">
        <f aca="false">ROUND(10605*1.05,2)</f>
        <v>11135.25</v>
      </c>
      <c r="F106" s="5" t="s">
        <v>40</v>
      </c>
      <c r="G106" s="5" t="s">
        <v>24</v>
      </c>
      <c r="H106" s="5" t="n">
        <f aca="true">ROUND(RAND()*4+6,1)</f>
        <v>7.9</v>
      </c>
      <c r="I106" s="5" t="s">
        <v>41</v>
      </c>
      <c r="J106" s="5" t="str">
        <f aca="false">ROUND(74*1,0)&amp;"%"</f>
        <v>74%</v>
      </c>
    </row>
    <row r="107" customFormat="false" ht="15" hidden="false" customHeight="false" outlineLevel="0" collapsed="false">
      <c r="A107" s="6" t="s">
        <v>5268</v>
      </c>
      <c r="B107" s="6" t="s">
        <v>198</v>
      </c>
      <c r="C107" s="6" t="s">
        <v>57</v>
      </c>
      <c r="D107" s="6" t="s">
        <v>44</v>
      </c>
      <c r="E107" s="6" t="n">
        <f aca="false">ROUND(6580*1.05,2)</f>
        <v>6909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ROUND(61*1,0)&amp;"%"</f>
        <v>61%</v>
      </c>
    </row>
    <row r="108" customFormat="false" ht="15" hidden="false" customHeight="false" outlineLevel="0" collapsed="false">
      <c r="A108" s="5" t="s">
        <v>5269</v>
      </c>
      <c r="B108" s="5" t="s">
        <v>200</v>
      </c>
      <c r="C108" s="5" t="s">
        <v>57</v>
      </c>
      <c r="D108" s="5" t="s">
        <v>16</v>
      </c>
      <c r="E108" s="5" t="n">
        <f aca="false">ROUND(6655*1.05,2)</f>
        <v>6987.75</v>
      </c>
      <c r="F108" s="5" t="s">
        <v>49</v>
      </c>
      <c r="G108" s="5" t="s">
        <v>18</v>
      </c>
      <c r="H108" s="5" t="n">
        <f aca="true">ROUND(RAND()*4+6,1)</f>
        <v>6.2</v>
      </c>
      <c r="I108" s="5" t="s">
        <v>19</v>
      </c>
      <c r="J108" s="5" t="str">
        <f aca="false">ROUND(79*1,0)&amp;"%"</f>
        <v>79%</v>
      </c>
    </row>
    <row r="109" customFormat="false" ht="15" hidden="false" customHeight="false" outlineLevel="0" collapsed="false">
      <c r="A109" s="6" t="s">
        <v>5270</v>
      </c>
      <c r="B109" s="6" t="s">
        <v>202</v>
      </c>
      <c r="C109" s="6" t="s">
        <v>57</v>
      </c>
      <c r="D109" s="6" t="s">
        <v>22</v>
      </c>
      <c r="E109" s="6" t="n">
        <f aca="false">ROUND(15676*1.05,2)</f>
        <v>16459.8</v>
      </c>
      <c r="F109" s="6" t="s">
        <v>52</v>
      </c>
      <c r="G109" s="6" t="s">
        <v>24</v>
      </c>
      <c r="H109" s="6" t="n">
        <f aca="true">ROUND(RAND()*4+6,1)</f>
        <v>6.7</v>
      </c>
      <c r="I109" s="6" t="s">
        <v>25</v>
      </c>
      <c r="J109" s="6" t="str">
        <f aca="false">ROUND(70*1,0)&amp;"%"</f>
        <v>70%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5271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5272</v>
      </c>
      <c r="B114" s="5" t="s">
        <v>206</v>
      </c>
      <c r="C114" s="5" t="s">
        <v>76</v>
      </c>
      <c r="D114" s="5" t="s">
        <v>16</v>
      </c>
      <c r="E114" s="5" t="n">
        <f aca="false">ROUND(13221*1.05,2)</f>
        <v>13882.05</v>
      </c>
      <c r="F114" s="5" t="s">
        <v>17</v>
      </c>
      <c r="G114" s="5" t="s">
        <v>18</v>
      </c>
      <c r="H114" s="5" t="n">
        <f aca="true">ROUND(RAND()*4+6,1)</f>
        <v>7.6</v>
      </c>
      <c r="I114" s="5" t="s">
        <v>19</v>
      </c>
      <c r="J114" s="5" t="str">
        <f aca="false">ROUND(98*1,0)&amp;"%"</f>
        <v>98%</v>
      </c>
    </row>
    <row r="115" customFormat="false" ht="15" hidden="false" customHeight="false" outlineLevel="0" collapsed="false">
      <c r="A115" s="6" t="s">
        <v>5273</v>
      </c>
      <c r="B115" s="6" t="s">
        <v>208</v>
      </c>
      <c r="C115" s="6" t="s">
        <v>76</v>
      </c>
      <c r="D115" s="6" t="s">
        <v>22</v>
      </c>
      <c r="E115" s="6" t="n">
        <f aca="false">ROUND(9592*1.05,2)</f>
        <v>10071.6</v>
      </c>
      <c r="F115" s="6" t="s">
        <v>23</v>
      </c>
      <c r="G115" s="6" t="s">
        <v>24</v>
      </c>
      <c r="H115" s="6" t="n">
        <f aca="true">ROUND(RAND()*4+6,1)</f>
        <v>8.2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5274</v>
      </c>
      <c r="B116" s="5" t="s">
        <v>210</v>
      </c>
      <c r="C116" s="5" t="s">
        <v>76</v>
      </c>
      <c r="D116" s="5" t="s">
        <v>28</v>
      </c>
      <c r="E116" s="5" t="n">
        <f aca="false">ROUND(5060*1.05,2)</f>
        <v>5313</v>
      </c>
      <c r="F116" s="5" t="s">
        <v>29</v>
      </c>
      <c r="G116" s="5" t="s">
        <v>30</v>
      </c>
      <c r="H116" s="5" t="n">
        <f aca="true">ROUND(RAND()*4+6,1)</f>
        <v>8.7</v>
      </c>
      <c r="I116" s="5" t="s">
        <v>31</v>
      </c>
      <c r="J116" s="5" t="str">
        <f aca="false">ROUND(75*1,0)&amp;"%"</f>
        <v>75%</v>
      </c>
    </row>
    <row r="117" customFormat="false" ht="15" hidden="false" customHeight="false" outlineLevel="0" collapsed="false">
      <c r="A117" s="6" t="s">
        <v>5275</v>
      </c>
      <c r="B117" s="6" t="s">
        <v>212</v>
      </c>
      <c r="C117" s="6" t="s">
        <v>76</v>
      </c>
      <c r="D117" s="6" t="s">
        <v>34</v>
      </c>
      <c r="E117" s="6" t="n">
        <f aca="false">ROUND(5231*1.05,2)</f>
        <v>5492.55</v>
      </c>
      <c r="F117" s="6" t="s">
        <v>35</v>
      </c>
      <c r="G117" s="6" t="s">
        <v>18</v>
      </c>
      <c r="H117" s="6" t="n">
        <f aca="true">ROUND(RAND()*4+6,1)</f>
        <v>8.9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5276</v>
      </c>
      <c r="B118" s="5" t="s">
        <v>214</v>
      </c>
      <c r="C118" s="5" t="s">
        <v>76</v>
      </c>
      <c r="D118" s="5" t="s">
        <v>39</v>
      </c>
      <c r="E118" s="5" t="n">
        <f aca="false">ROUND(4396*1.05,2)</f>
        <v>4615.8</v>
      </c>
      <c r="F118" s="5" t="s">
        <v>40</v>
      </c>
      <c r="G118" s="5" t="s">
        <v>24</v>
      </c>
      <c r="H118" s="5" t="n">
        <f aca="true">ROUND(RAND()*4+6,1)</f>
        <v>7.4</v>
      </c>
      <c r="I118" s="5" t="s">
        <v>41</v>
      </c>
      <c r="J118" s="5" t="str">
        <f aca="false">ROUND(71*1,0)&amp;"%"</f>
        <v>71%</v>
      </c>
    </row>
    <row r="119" customFormat="false" ht="15" hidden="false" customHeight="false" outlineLevel="0" collapsed="false">
      <c r="A119" s="6" t="s">
        <v>5277</v>
      </c>
      <c r="B119" s="6" t="s">
        <v>216</v>
      </c>
      <c r="C119" s="6" t="s">
        <v>76</v>
      </c>
      <c r="D119" s="6" t="s">
        <v>44</v>
      </c>
      <c r="E119" s="6" t="n">
        <f aca="false">ROUND(5572*1.05,2)</f>
        <v>5850.6</v>
      </c>
      <c r="F119" s="6" t="s">
        <v>45</v>
      </c>
      <c r="G119" s="6" t="s">
        <v>30</v>
      </c>
      <c r="H119" s="6" t="n">
        <f aca="true">ROUND(RAND()*4+6,1)</f>
        <v>8.8</v>
      </c>
      <c r="I119" s="6" t="s">
        <v>46</v>
      </c>
      <c r="J119" s="6" t="str">
        <f aca="false">ROUND(76*1,0)&amp;"%"</f>
        <v>76%</v>
      </c>
    </row>
    <row r="120" customFormat="false" ht="15" hidden="false" customHeight="false" outlineLevel="0" collapsed="false">
      <c r="A120" s="5" t="s">
        <v>5278</v>
      </c>
      <c r="B120" s="5" t="s">
        <v>218</v>
      </c>
      <c r="C120" s="5" t="s">
        <v>76</v>
      </c>
      <c r="D120" s="5" t="s">
        <v>16</v>
      </c>
      <c r="E120" s="5" t="n">
        <f aca="false">ROUND(11884*1.05,2)</f>
        <v>12478.2</v>
      </c>
      <c r="F120" s="5" t="s">
        <v>49</v>
      </c>
      <c r="G120" s="5" t="s">
        <v>18</v>
      </c>
      <c r="H120" s="5" t="n">
        <f aca="true">ROUND(RAND()*4+6,1)</f>
        <v>8.3</v>
      </c>
      <c r="I120" s="5" t="s">
        <v>19</v>
      </c>
      <c r="J120" s="5" t="str">
        <f aca="false">ROUND(69*1,0)&amp;"%"</f>
        <v>69%</v>
      </c>
    </row>
    <row r="121" customFormat="false" ht="15" hidden="false" customHeight="false" outlineLevel="0" collapsed="false">
      <c r="A121" s="6" t="s">
        <v>5279</v>
      </c>
      <c r="B121" s="6" t="s">
        <v>220</v>
      </c>
      <c r="C121" s="6" t="s">
        <v>76</v>
      </c>
      <c r="D121" s="6" t="s">
        <v>22</v>
      </c>
      <c r="E121" s="6" t="n">
        <f aca="false">ROUND(14140*1.05,2)</f>
        <v>14847</v>
      </c>
      <c r="F121" s="6" t="s">
        <v>52</v>
      </c>
      <c r="G121" s="6" t="s">
        <v>24</v>
      </c>
      <c r="H121" s="6" t="n">
        <f aca="true">ROUND(RAND()*4+6,1)</f>
        <v>9.2</v>
      </c>
      <c r="I121" s="6" t="s">
        <v>25</v>
      </c>
      <c r="J121" s="6" t="str">
        <f aca="false">ROUND(63*1,0)&amp;"%"</f>
        <v>63%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5280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5281</v>
      </c>
      <c r="B126" s="5" t="s">
        <v>224</v>
      </c>
      <c r="C126" s="5" t="s">
        <v>95</v>
      </c>
      <c r="D126" s="5" t="s">
        <v>16</v>
      </c>
      <c r="E126" s="5" t="n">
        <f aca="false">ROUND(15674*1.05,2)</f>
        <v>16457.7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ROUND(92*1,0)&amp;"%"</f>
        <v>92%</v>
      </c>
    </row>
    <row r="127" customFormat="false" ht="15" hidden="false" customHeight="false" outlineLevel="0" collapsed="false">
      <c r="A127" s="6" t="s">
        <v>5282</v>
      </c>
      <c r="B127" s="6" t="s">
        <v>226</v>
      </c>
      <c r="C127" s="6" t="s">
        <v>95</v>
      </c>
      <c r="D127" s="6" t="s">
        <v>22</v>
      </c>
      <c r="E127" s="6" t="n">
        <f aca="false">ROUND(9931*1.05,2)</f>
        <v>10427.55</v>
      </c>
      <c r="F127" s="6" t="s">
        <v>23</v>
      </c>
      <c r="G127" s="6" t="s">
        <v>24</v>
      </c>
      <c r="H127" s="6" t="n">
        <f aca="true">ROUND(RAND()*4+6,1)</f>
        <v>8.1</v>
      </c>
      <c r="I127" s="6" t="s">
        <v>25</v>
      </c>
      <c r="J127" s="6" t="str">
        <f aca="false">ROUND(77*1,0)&amp;"%"</f>
        <v>77%</v>
      </c>
    </row>
    <row r="128" customFormat="false" ht="15" hidden="false" customHeight="false" outlineLevel="0" collapsed="false">
      <c r="A128" s="5" t="s">
        <v>5283</v>
      </c>
      <c r="B128" s="5" t="s">
        <v>228</v>
      </c>
      <c r="C128" s="5" t="s">
        <v>95</v>
      </c>
      <c r="D128" s="5" t="s">
        <v>28</v>
      </c>
      <c r="E128" s="5" t="n">
        <f aca="false">ROUND(4505*1.05,2)</f>
        <v>4730.25</v>
      </c>
      <c r="F128" s="5" t="s">
        <v>29</v>
      </c>
      <c r="G128" s="5" t="s">
        <v>30</v>
      </c>
      <c r="H128" s="5" t="n">
        <f aca="true">ROUND(RAND()*4+6,1)</f>
        <v>8.6</v>
      </c>
      <c r="I128" s="5" t="s">
        <v>31</v>
      </c>
      <c r="J128" s="5" t="str">
        <f aca="false">ROUND(69*1,0)&amp;"%"</f>
        <v>69%</v>
      </c>
    </row>
    <row r="129" customFormat="false" ht="15" hidden="false" customHeight="false" outlineLevel="0" collapsed="false">
      <c r="A129" s="6" t="s">
        <v>5284</v>
      </c>
      <c r="B129" s="6" t="s">
        <v>230</v>
      </c>
      <c r="C129" s="6" t="s">
        <v>95</v>
      </c>
      <c r="D129" s="6" t="s">
        <v>34</v>
      </c>
      <c r="E129" s="6" t="n">
        <f aca="false">ROUND(14504*1.05,2)</f>
        <v>15229.2</v>
      </c>
      <c r="F129" s="6" t="s">
        <v>35</v>
      </c>
      <c r="G129" s="6" t="s">
        <v>18</v>
      </c>
      <c r="H129" s="6" t="n">
        <f aca="true">ROUND(RAND()*4+6,1)</f>
        <v>9.4</v>
      </c>
      <c r="I129" s="6" t="s">
        <v>36</v>
      </c>
      <c r="J129" s="6" t="str">
        <f aca="false">ROUND(75*1,0)&amp;"%"</f>
        <v>75%</v>
      </c>
    </row>
    <row r="130" customFormat="false" ht="15" hidden="false" customHeight="false" outlineLevel="0" collapsed="false">
      <c r="A130" s="5" t="s">
        <v>5285</v>
      </c>
      <c r="B130" s="5" t="s">
        <v>232</v>
      </c>
      <c r="C130" s="5" t="s">
        <v>95</v>
      </c>
      <c r="D130" s="5" t="s">
        <v>39</v>
      </c>
      <c r="E130" s="5" t="n">
        <f aca="false">ROUND(10815*1.05,2)</f>
        <v>11355.75</v>
      </c>
      <c r="F130" s="5" t="s">
        <v>40</v>
      </c>
      <c r="G130" s="5" t="s">
        <v>24</v>
      </c>
      <c r="H130" s="5" t="n">
        <f aca="true">ROUND(RAND()*4+6,1)</f>
        <v>8.8</v>
      </c>
      <c r="I130" s="5" t="s">
        <v>41</v>
      </c>
      <c r="J130" s="5" t="str">
        <f aca="false">ROUND(60*1,0)&amp;"%"</f>
        <v>60%</v>
      </c>
    </row>
    <row r="131" customFormat="false" ht="15" hidden="false" customHeight="false" outlineLevel="0" collapsed="false">
      <c r="A131" s="6" t="s">
        <v>5286</v>
      </c>
      <c r="B131" s="6" t="s">
        <v>234</v>
      </c>
      <c r="C131" s="6" t="s">
        <v>95</v>
      </c>
      <c r="D131" s="6" t="s">
        <v>44</v>
      </c>
      <c r="E131" s="6" t="n">
        <f aca="false">ROUND(7208*1.05,2)</f>
        <v>7568.4</v>
      </c>
      <c r="F131" s="6" t="s">
        <v>45</v>
      </c>
      <c r="G131" s="6" t="s">
        <v>30</v>
      </c>
      <c r="H131" s="6" t="n">
        <f aca="true">ROUND(RAND()*4+6,1)</f>
        <v>8.8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5287</v>
      </c>
      <c r="B132" s="5" t="s">
        <v>236</v>
      </c>
      <c r="C132" s="5" t="s">
        <v>95</v>
      </c>
      <c r="D132" s="5" t="s">
        <v>16</v>
      </c>
      <c r="E132" s="5" t="n">
        <f aca="false">ROUND(8867*1.05,2)</f>
        <v>9310.35</v>
      </c>
      <c r="F132" s="5" t="s">
        <v>49</v>
      </c>
      <c r="G132" s="5" t="s">
        <v>18</v>
      </c>
      <c r="H132" s="5" t="n">
        <f aca="true">ROUND(RAND()*4+6,1)</f>
        <v>8.8</v>
      </c>
      <c r="I132" s="5" t="s">
        <v>19</v>
      </c>
      <c r="J132" s="5" t="str">
        <f aca="false">ROUND(88*1,0)&amp;"%"</f>
        <v>88%</v>
      </c>
    </row>
    <row r="133" customFormat="false" ht="15" hidden="false" customHeight="false" outlineLevel="0" collapsed="false">
      <c r="A133" s="6" t="s">
        <v>5288</v>
      </c>
      <c r="B133" s="6" t="s">
        <v>238</v>
      </c>
      <c r="C133" s="6" t="s">
        <v>95</v>
      </c>
      <c r="D133" s="6" t="s">
        <v>22</v>
      </c>
      <c r="E133" s="6" t="n">
        <f aca="false">ROUND(6267*1.05,2)</f>
        <v>6580.35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ROUND(79*1,0)&amp;"%"</f>
        <v>79%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5289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5290</v>
      </c>
      <c r="B138" s="5" t="s">
        <v>242</v>
      </c>
      <c r="C138" s="5" t="s">
        <v>114</v>
      </c>
      <c r="D138" s="5" t="s">
        <v>16</v>
      </c>
      <c r="E138" s="5" t="n">
        <f aca="false">ROUND(6912*1.05,2)</f>
        <v>7257.6</v>
      </c>
      <c r="F138" s="5" t="s">
        <v>17</v>
      </c>
      <c r="G138" s="5" t="s">
        <v>18</v>
      </c>
      <c r="H138" s="5" t="n">
        <f aca="true">ROUND(RAND()*4+6,1)</f>
        <v>7.2</v>
      </c>
      <c r="I138" s="5" t="s">
        <v>19</v>
      </c>
      <c r="J138" s="5" t="str">
        <f aca="false">ROUND(76*1,0)&amp;"%"</f>
        <v>76%</v>
      </c>
    </row>
    <row r="139" customFormat="false" ht="15" hidden="false" customHeight="false" outlineLevel="0" collapsed="false">
      <c r="A139" s="6" t="s">
        <v>5291</v>
      </c>
      <c r="B139" s="6" t="s">
        <v>244</v>
      </c>
      <c r="C139" s="6" t="s">
        <v>114</v>
      </c>
      <c r="D139" s="6" t="s">
        <v>22</v>
      </c>
      <c r="E139" s="6" t="n">
        <f aca="false">ROUND(8790*1.05,2)</f>
        <v>9229.5</v>
      </c>
      <c r="F139" s="6" t="s">
        <v>23</v>
      </c>
      <c r="G139" s="6" t="s">
        <v>24</v>
      </c>
      <c r="H139" s="6" t="n">
        <f aca="true">ROUND(RAND()*4+6,1)</f>
        <v>9.2</v>
      </c>
      <c r="I139" s="6" t="s">
        <v>25</v>
      </c>
      <c r="J139" s="6" t="str">
        <f aca="false">ROUND(66*1,0)&amp;"%"</f>
        <v>66%</v>
      </c>
    </row>
    <row r="140" customFormat="false" ht="15" hidden="false" customHeight="false" outlineLevel="0" collapsed="false">
      <c r="A140" s="5" t="s">
        <v>5292</v>
      </c>
      <c r="B140" s="5" t="s">
        <v>246</v>
      </c>
      <c r="C140" s="5" t="s">
        <v>114</v>
      </c>
      <c r="D140" s="5" t="s">
        <v>28</v>
      </c>
      <c r="E140" s="5" t="n">
        <f aca="false">ROUND(7302*1.05,2)</f>
        <v>7667.1</v>
      </c>
      <c r="F140" s="5" t="s">
        <v>29</v>
      </c>
      <c r="G140" s="5" t="s">
        <v>30</v>
      </c>
      <c r="H140" s="5" t="n">
        <f aca="true">ROUND(RAND()*4+6,1)</f>
        <v>8.8</v>
      </c>
      <c r="I140" s="5" t="s">
        <v>31</v>
      </c>
      <c r="J140" s="5" t="str">
        <f aca="false">ROUND(67*1,0)&amp;"%"</f>
        <v>67%</v>
      </c>
    </row>
    <row r="141" customFormat="false" ht="15" hidden="false" customHeight="false" outlineLevel="0" collapsed="false">
      <c r="A141" s="6" t="s">
        <v>5293</v>
      </c>
      <c r="B141" s="6" t="s">
        <v>248</v>
      </c>
      <c r="C141" s="6" t="s">
        <v>114</v>
      </c>
      <c r="D141" s="6" t="s">
        <v>34</v>
      </c>
      <c r="E141" s="6" t="n">
        <f aca="false">ROUND(8584*1.05,2)</f>
        <v>9013.2</v>
      </c>
      <c r="F141" s="6" t="s">
        <v>35</v>
      </c>
      <c r="G141" s="6" t="s">
        <v>18</v>
      </c>
      <c r="H141" s="6" t="n">
        <f aca="true">ROUND(RAND()*4+6,1)</f>
        <v>9.8</v>
      </c>
      <c r="I141" s="6" t="s">
        <v>36</v>
      </c>
      <c r="J141" s="6" t="str">
        <f aca="false">ROUND(89*1,0)&amp;"%"</f>
        <v>89%</v>
      </c>
    </row>
    <row r="142" customFormat="false" ht="15" hidden="false" customHeight="false" outlineLevel="0" collapsed="false">
      <c r="A142" s="5" t="s">
        <v>5294</v>
      </c>
      <c r="B142" s="5" t="s">
        <v>250</v>
      </c>
      <c r="C142" s="5" t="s">
        <v>114</v>
      </c>
      <c r="D142" s="5" t="s">
        <v>39</v>
      </c>
      <c r="E142" s="5" t="n">
        <f aca="false">ROUND(16551*1.05,2)</f>
        <v>17378.55</v>
      </c>
      <c r="F142" s="5" t="s">
        <v>40</v>
      </c>
      <c r="G142" s="5" t="s">
        <v>24</v>
      </c>
      <c r="H142" s="5" t="n">
        <f aca="true">ROUND(RAND()*4+6,1)</f>
        <v>7</v>
      </c>
      <c r="I142" s="5" t="s">
        <v>41</v>
      </c>
      <c r="J142" s="5" t="str">
        <f aca="false">ROUND(62*1,0)&amp;"%"</f>
        <v>62%</v>
      </c>
    </row>
    <row r="143" customFormat="false" ht="15" hidden="false" customHeight="false" outlineLevel="0" collapsed="false">
      <c r="A143" s="6" t="s">
        <v>5295</v>
      </c>
      <c r="B143" s="6" t="s">
        <v>252</v>
      </c>
      <c r="C143" s="6" t="s">
        <v>114</v>
      </c>
      <c r="D143" s="6" t="s">
        <v>44</v>
      </c>
      <c r="E143" s="6" t="n">
        <f aca="false">ROUND(5793*1.05,2)</f>
        <v>6082.65</v>
      </c>
      <c r="F143" s="6" t="s">
        <v>45</v>
      </c>
      <c r="G143" s="6" t="s">
        <v>30</v>
      </c>
      <c r="H143" s="6" t="n">
        <f aca="true">ROUND(RAND()*4+6,1)</f>
        <v>7.3</v>
      </c>
      <c r="I143" s="6" t="s">
        <v>46</v>
      </c>
      <c r="J143" s="6" t="str">
        <f aca="false">ROUND(84*1,0)&amp;"%"</f>
        <v>84%</v>
      </c>
    </row>
    <row r="144" customFormat="false" ht="15" hidden="false" customHeight="false" outlineLevel="0" collapsed="false">
      <c r="A144" s="5" t="s">
        <v>5296</v>
      </c>
      <c r="B144" s="5" t="s">
        <v>254</v>
      </c>
      <c r="C144" s="5" t="s">
        <v>114</v>
      </c>
      <c r="D144" s="5" t="s">
        <v>16</v>
      </c>
      <c r="E144" s="5" t="n">
        <f aca="false">ROUND(10503*1.05,2)</f>
        <v>11028.15</v>
      </c>
      <c r="F144" s="5" t="s">
        <v>49</v>
      </c>
      <c r="G144" s="5" t="s">
        <v>18</v>
      </c>
      <c r="H144" s="5" t="n">
        <f aca="true">ROUND(RAND()*4+6,1)</f>
        <v>9.7</v>
      </c>
      <c r="I144" s="5" t="s">
        <v>19</v>
      </c>
      <c r="J144" s="5" t="str">
        <f aca="false">ROUND(64*1,0)&amp;"%"</f>
        <v>64%</v>
      </c>
    </row>
    <row r="145" customFormat="false" ht="15" hidden="false" customHeight="false" outlineLevel="0" collapsed="false">
      <c r="A145" s="6" t="s">
        <v>5297</v>
      </c>
      <c r="B145" s="6" t="s">
        <v>256</v>
      </c>
      <c r="C145" s="6" t="s">
        <v>114</v>
      </c>
      <c r="D145" s="6" t="s">
        <v>22</v>
      </c>
      <c r="E145" s="6" t="n">
        <f aca="false">ROUND(14058*1.05,2)</f>
        <v>14760.9</v>
      </c>
      <c r="F145" s="6" t="s">
        <v>52</v>
      </c>
      <c r="G145" s="6" t="s">
        <v>24</v>
      </c>
      <c r="H145" s="6" t="n">
        <f aca="true">ROUND(RAND()*4+6,1)</f>
        <v>7.9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5298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5299</v>
      </c>
      <c r="B150" s="5" t="s">
        <v>260</v>
      </c>
      <c r="C150" s="5" t="s">
        <v>133</v>
      </c>
      <c r="D150" s="5" t="s">
        <v>16</v>
      </c>
      <c r="E150" s="5" t="n">
        <f aca="false">ROUND(8879*1.05,2)</f>
        <v>9322.95</v>
      </c>
      <c r="F150" s="5" t="s">
        <v>17</v>
      </c>
      <c r="G150" s="5" t="s">
        <v>18</v>
      </c>
      <c r="H150" s="5" t="n">
        <f aca="true">ROUND(RAND()*4+6,1)</f>
        <v>9.6</v>
      </c>
      <c r="I150" s="5" t="s">
        <v>19</v>
      </c>
      <c r="J150" s="5" t="str">
        <f aca="false">ROUND(64*1,0)&amp;"%"</f>
        <v>64%</v>
      </c>
    </row>
    <row r="151" customFormat="false" ht="15" hidden="false" customHeight="false" outlineLevel="0" collapsed="false">
      <c r="A151" s="6" t="s">
        <v>5300</v>
      </c>
      <c r="B151" s="6" t="s">
        <v>262</v>
      </c>
      <c r="C151" s="6" t="s">
        <v>133</v>
      </c>
      <c r="D151" s="6" t="s">
        <v>22</v>
      </c>
      <c r="E151" s="6" t="n">
        <f aca="false">ROUND(4123*1.05,2)</f>
        <v>4329.15</v>
      </c>
      <c r="F151" s="6" t="s">
        <v>23</v>
      </c>
      <c r="G151" s="6" t="s">
        <v>24</v>
      </c>
      <c r="H151" s="6" t="n">
        <f aca="true">ROUND(RAND()*4+6,1)</f>
        <v>6.3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5301</v>
      </c>
      <c r="B152" s="5" t="s">
        <v>264</v>
      </c>
      <c r="C152" s="5" t="s">
        <v>133</v>
      </c>
      <c r="D152" s="5" t="s">
        <v>28</v>
      </c>
      <c r="E152" s="5" t="n">
        <f aca="false">ROUND(8762*1.05,2)</f>
        <v>9200.1</v>
      </c>
      <c r="F152" s="5" t="s">
        <v>29</v>
      </c>
      <c r="G152" s="5" t="s">
        <v>30</v>
      </c>
      <c r="H152" s="5" t="n">
        <f aca="true">ROUND(RAND()*4+6,1)</f>
        <v>7.5</v>
      </c>
      <c r="I152" s="5" t="s">
        <v>31</v>
      </c>
      <c r="J152" s="5" t="str">
        <f aca="false">ROUND(65*1,0)&amp;"%"</f>
        <v>65%</v>
      </c>
    </row>
    <row r="153" customFormat="false" ht="15" hidden="false" customHeight="false" outlineLevel="0" collapsed="false">
      <c r="A153" s="6" t="s">
        <v>5302</v>
      </c>
      <c r="B153" s="6" t="s">
        <v>266</v>
      </c>
      <c r="C153" s="6" t="s">
        <v>133</v>
      </c>
      <c r="D153" s="6" t="s">
        <v>34</v>
      </c>
      <c r="E153" s="6" t="n">
        <f aca="false">ROUND(8881*1.05,2)</f>
        <v>9325.05</v>
      </c>
      <c r="F153" s="6" t="s">
        <v>35</v>
      </c>
      <c r="G153" s="6" t="s">
        <v>18</v>
      </c>
      <c r="H153" s="6" t="n">
        <f aca="true">ROUND(RAND()*4+6,1)</f>
        <v>9.4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5303</v>
      </c>
      <c r="B154" s="5" t="s">
        <v>268</v>
      </c>
      <c r="C154" s="5" t="s">
        <v>133</v>
      </c>
      <c r="D154" s="5" t="s">
        <v>39</v>
      </c>
      <c r="E154" s="5" t="n">
        <f aca="false">ROUND(15107*1.05,2)</f>
        <v>15862.35</v>
      </c>
      <c r="F154" s="5" t="s">
        <v>40</v>
      </c>
      <c r="G154" s="5" t="s">
        <v>24</v>
      </c>
      <c r="H154" s="5" t="n">
        <f aca="true">ROUND(RAND()*4+6,1)</f>
        <v>7.1</v>
      </c>
      <c r="I154" s="5" t="s">
        <v>41</v>
      </c>
      <c r="J154" s="5" t="str">
        <f aca="false">ROUND(71*1,0)&amp;"%"</f>
        <v>71%</v>
      </c>
    </row>
    <row r="155" customFormat="false" ht="15" hidden="false" customHeight="false" outlineLevel="0" collapsed="false">
      <c r="A155" s="6" t="s">
        <v>5304</v>
      </c>
      <c r="B155" s="6" t="s">
        <v>270</v>
      </c>
      <c r="C155" s="6" t="s">
        <v>133</v>
      </c>
      <c r="D155" s="6" t="s">
        <v>44</v>
      </c>
      <c r="E155" s="6" t="n">
        <f aca="false">ROUND(11494*1.05,2)</f>
        <v>12068.7</v>
      </c>
      <c r="F155" s="6" t="s">
        <v>45</v>
      </c>
      <c r="G155" s="6" t="s">
        <v>30</v>
      </c>
      <c r="H155" s="6" t="n">
        <f aca="true">ROUND(RAND()*4+6,1)</f>
        <v>7.8</v>
      </c>
      <c r="I155" s="6" t="s">
        <v>46</v>
      </c>
      <c r="J155" s="6" t="str">
        <f aca="false">ROUND(92*1,0)&amp;"%"</f>
        <v>92%</v>
      </c>
    </row>
    <row r="156" customFormat="false" ht="15" hidden="false" customHeight="false" outlineLevel="0" collapsed="false">
      <c r="A156" s="5" t="s">
        <v>5305</v>
      </c>
      <c r="B156" s="5" t="s">
        <v>272</v>
      </c>
      <c r="C156" s="5" t="s">
        <v>133</v>
      </c>
      <c r="D156" s="5" t="s">
        <v>16</v>
      </c>
      <c r="E156" s="5" t="n">
        <f aca="false">ROUND(9162*1.05,2)</f>
        <v>9620.1</v>
      </c>
      <c r="F156" s="5" t="s">
        <v>49</v>
      </c>
      <c r="G156" s="5" t="s">
        <v>18</v>
      </c>
      <c r="H156" s="5" t="n">
        <f aca="true">ROUND(RAND()*4+6,1)</f>
        <v>9.4</v>
      </c>
      <c r="I156" s="5" t="s">
        <v>19</v>
      </c>
      <c r="J156" s="5" t="str">
        <f aca="false">ROUND(62*1,0)&amp;"%"</f>
        <v>62%</v>
      </c>
    </row>
    <row r="157" customFormat="false" ht="15" hidden="false" customHeight="false" outlineLevel="0" collapsed="false">
      <c r="A157" s="6" t="s">
        <v>5306</v>
      </c>
      <c r="B157" s="6" t="s">
        <v>274</v>
      </c>
      <c r="C157" s="6" t="s">
        <v>133</v>
      </c>
      <c r="D157" s="6" t="s">
        <v>22</v>
      </c>
      <c r="E157" s="6" t="n">
        <f aca="false">ROUND(5392*1.05,2)</f>
        <v>5661.6</v>
      </c>
      <c r="F157" s="6" t="s">
        <v>52</v>
      </c>
      <c r="G157" s="6" t="s">
        <v>24</v>
      </c>
      <c r="H157" s="6" t="n">
        <f aca="true">ROUND(RAND()*4+6,1)</f>
        <v>8.9</v>
      </c>
      <c r="I157" s="6" t="s">
        <v>25</v>
      </c>
      <c r="J157" s="6" t="str">
        <f aca="false">ROUND(95*1,0)&amp;"%"</f>
        <v>95%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5307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5308</v>
      </c>
      <c r="B162" s="5" t="s">
        <v>278</v>
      </c>
      <c r="C162" s="5" t="s">
        <v>152</v>
      </c>
      <c r="D162" s="5" t="s">
        <v>16</v>
      </c>
      <c r="E162" s="5" t="n">
        <f aca="false">ROUND(17746*1.05,2)</f>
        <v>18633.3</v>
      </c>
      <c r="F162" s="5" t="s">
        <v>17</v>
      </c>
      <c r="G162" s="5" t="s">
        <v>18</v>
      </c>
      <c r="H162" s="5" t="n">
        <f aca="true">ROUND(RAND()*4+6,1)</f>
        <v>7.7</v>
      </c>
      <c r="I162" s="5" t="s">
        <v>19</v>
      </c>
      <c r="J162" s="5" t="str">
        <f aca="false">ROUND(96*1,0)&amp;"%"</f>
        <v>96%</v>
      </c>
    </row>
    <row r="163" customFormat="false" ht="15" hidden="false" customHeight="false" outlineLevel="0" collapsed="false">
      <c r="A163" s="6" t="s">
        <v>5309</v>
      </c>
      <c r="B163" s="6" t="s">
        <v>280</v>
      </c>
      <c r="C163" s="6" t="s">
        <v>152</v>
      </c>
      <c r="D163" s="6" t="s">
        <v>22</v>
      </c>
      <c r="E163" s="6" t="n">
        <f aca="false">ROUND(8392*1.05,2)</f>
        <v>8811.6</v>
      </c>
      <c r="F163" s="6" t="s">
        <v>23</v>
      </c>
      <c r="G163" s="6" t="s">
        <v>24</v>
      </c>
      <c r="H163" s="6" t="n">
        <f aca="true">ROUND(RAND()*4+6,1)</f>
        <v>7.7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5310</v>
      </c>
      <c r="B164" s="5" t="s">
        <v>282</v>
      </c>
      <c r="C164" s="5" t="s">
        <v>152</v>
      </c>
      <c r="D164" s="5" t="s">
        <v>28</v>
      </c>
      <c r="E164" s="5" t="n">
        <f aca="false">ROUND(15560*1.05,2)</f>
        <v>16338</v>
      </c>
      <c r="F164" s="5" t="s">
        <v>29</v>
      </c>
      <c r="G164" s="5" t="s">
        <v>30</v>
      </c>
      <c r="H164" s="5" t="n">
        <f aca="true">ROUND(RAND()*4+6,1)</f>
        <v>6.7</v>
      </c>
      <c r="I164" s="5" t="s">
        <v>31</v>
      </c>
      <c r="J164" s="5" t="str">
        <f aca="false">ROUND(81*1,0)&amp;"%"</f>
        <v>81%</v>
      </c>
    </row>
    <row r="165" customFormat="false" ht="15" hidden="false" customHeight="false" outlineLevel="0" collapsed="false">
      <c r="A165" s="6" t="s">
        <v>5311</v>
      </c>
      <c r="B165" s="6" t="s">
        <v>284</v>
      </c>
      <c r="C165" s="6" t="s">
        <v>152</v>
      </c>
      <c r="D165" s="6" t="s">
        <v>34</v>
      </c>
      <c r="E165" s="6" t="n">
        <f aca="false">ROUND(8408*1.05,2)</f>
        <v>8828.4</v>
      </c>
      <c r="F165" s="6" t="s">
        <v>35</v>
      </c>
      <c r="G165" s="6" t="s">
        <v>18</v>
      </c>
      <c r="H165" s="6" t="n">
        <f aca="true">ROUND(RAND()*4+6,1)</f>
        <v>6.8</v>
      </c>
      <c r="I165" s="6" t="s">
        <v>36</v>
      </c>
      <c r="J165" s="6" t="str">
        <f aca="false">ROUND(87*1,0)&amp;"%"</f>
        <v>87%</v>
      </c>
    </row>
    <row r="166" customFormat="false" ht="15" hidden="false" customHeight="false" outlineLevel="0" collapsed="false">
      <c r="A166" s="5" t="s">
        <v>5312</v>
      </c>
      <c r="B166" s="5" t="s">
        <v>286</v>
      </c>
      <c r="C166" s="5" t="s">
        <v>152</v>
      </c>
      <c r="D166" s="5" t="s">
        <v>39</v>
      </c>
      <c r="E166" s="5" t="n">
        <f aca="false">ROUND(5827*1.05,2)</f>
        <v>6118.35</v>
      </c>
      <c r="F166" s="5" t="s">
        <v>40</v>
      </c>
      <c r="G166" s="5" t="s">
        <v>24</v>
      </c>
      <c r="H166" s="5" t="n">
        <f aca="true">ROUND(RAND()*4+6,1)</f>
        <v>9.6</v>
      </c>
      <c r="I166" s="5" t="s">
        <v>41</v>
      </c>
      <c r="J166" s="5" t="str">
        <f aca="false">ROUND(76*1,0)&amp;"%"</f>
        <v>76%</v>
      </c>
    </row>
    <row r="167" customFormat="false" ht="15" hidden="false" customHeight="false" outlineLevel="0" collapsed="false">
      <c r="A167" s="6" t="s">
        <v>5313</v>
      </c>
      <c r="B167" s="6" t="s">
        <v>288</v>
      </c>
      <c r="C167" s="6" t="s">
        <v>152</v>
      </c>
      <c r="D167" s="6" t="s">
        <v>44</v>
      </c>
      <c r="E167" s="6" t="n">
        <f aca="false">ROUND(8505*1.05,2)</f>
        <v>8930.25</v>
      </c>
      <c r="F167" s="6" t="s">
        <v>45</v>
      </c>
      <c r="G167" s="6" t="s">
        <v>30</v>
      </c>
      <c r="H167" s="6" t="n">
        <f aca="true">ROUND(RAND()*4+6,1)</f>
        <v>6.2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5314</v>
      </c>
      <c r="B168" s="5" t="s">
        <v>290</v>
      </c>
      <c r="C168" s="5" t="s">
        <v>152</v>
      </c>
      <c r="D168" s="5" t="s">
        <v>16</v>
      </c>
      <c r="E168" s="5" t="n">
        <f aca="false">ROUND(17658*1.05,2)</f>
        <v>18540.9</v>
      </c>
      <c r="F168" s="5" t="s">
        <v>49</v>
      </c>
      <c r="G168" s="5" t="s">
        <v>18</v>
      </c>
      <c r="H168" s="5" t="n">
        <f aca="true">ROUND(RAND()*4+6,1)</f>
        <v>7.8</v>
      </c>
      <c r="I168" s="5" t="s">
        <v>19</v>
      </c>
      <c r="J168" s="5" t="str">
        <f aca="false">ROUND(66*1,0)&amp;"%"</f>
        <v>66%</v>
      </c>
    </row>
    <row r="169" customFormat="false" ht="15" hidden="false" customHeight="false" outlineLevel="0" collapsed="false">
      <c r="A169" s="6" t="s">
        <v>5315</v>
      </c>
      <c r="B169" s="6" t="s">
        <v>292</v>
      </c>
      <c r="C169" s="6" t="s">
        <v>152</v>
      </c>
      <c r="D169" s="6" t="s">
        <v>22</v>
      </c>
      <c r="E169" s="6" t="n">
        <f aca="false">ROUND(15146*1.05,2)</f>
        <v>15903.3</v>
      </c>
      <c r="F169" s="6" t="s">
        <v>52</v>
      </c>
      <c r="G169" s="6" t="s">
        <v>24</v>
      </c>
      <c r="H169" s="6" t="n">
        <f aca="true">ROUND(RAND()*4+6,1)</f>
        <v>9.2</v>
      </c>
      <c r="I169" s="6" t="s">
        <v>25</v>
      </c>
      <c r="J169" s="6" t="str">
        <f aca="false">ROUND(92*1,0)&amp;"%"</f>
        <v>92%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5316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5317</v>
      </c>
      <c r="B174" s="5" t="s">
        <v>296</v>
      </c>
      <c r="C174" s="5" t="s">
        <v>15</v>
      </c>
      <c r="D174" s="5" t="s">
        <v>16</v>
      </c>
      <c r="E174" s="5" t="n">
        <f aca="false">ROUND(13247*1.05,2)</f>
        <v>13909.35</v>
      </c>
      <c r="F174" s="5" t="s">
        <v>17</v>
      </c>
      <c r="G174" s="5" t="s">
        <v>18</v>
      </c>
      <c r="H174" s="5" t="n">
        <f aca="true">ROUND(RAND()*4+6,1)</f>
        <v>7.2</v>
      </c>
      <c r="I174" s="5" t="s">
        <v>19</v>
      </c>
      <c r="J174" s="5" t="str">
        <f aca="false">ROUND(98*1,0)&amp;"%"</f>
        <v>98%</v>
      </c>
    </row>
    <row r="175" customFormat="false" ht="15" hidden="false" customHeight="false" outlineLevel="0" collapsed="false">
      <c r="A175" s="6" t="s">
        <v>5318</v>
      </c>
      <c r="B175" s="6" t="s">
        <v>298</v>
      </c>
      <c r="C175" s="6" t="s">
        <v>15</v>
      </c>
      <c r="D175" s="6" t="s">
        <v>22</v>
      </c>
      <c r="E175" s="6" t="n">
        <f aca="false">ROUND(15307*1.05,2)</f>
        <v>16072.35</v>
      </c>
      <c r="F175" s="6" t="s">
        <v>23</v>
      </c>
      <c r="G175" s="6" t="s">
        <v>24</v>
      </c>
      <c r="H175" s="6" t="n">
        <f aca="true">ROUND(RAND()*4+6,1)</f>
        <v>8.4</v>
      </c>
      <c r="I175" s="6" t="s">
        <v>25</v>
      </c>
      <c r="J175" s="6" t="str">
        <f aca="false">ROUND(90*1,0)&amp;"%"</f>
        <v>90%</v>
      </c>
    </row>
    <row r="176" customFormat="false" ht="15" hidden="false" customHeight="false" outlineLevel="0" collapsed="false">
      <c r="A176" s="5" t="s">
        <v>5319</v>
      </c>
      <c r="B176" s="5" t="s">
        <v>300</v>
      </c>
      <c r="C176" s="5" t="s">
        <v>15</v>
      </c>
      <c r="D176" s="5" t="s">
        <v>28</v>
      </c>
      <c r="E176" s="5" t="n">
        <f aca="false">ROUND(8657*1.05,2)</f>
        <v>9089.85</v>
      </c>
      <c r="F176" s="5" t="s">
        <v>29</v>
      </c>
      <c r="G176" s="5" t="s">
        <v>30</v>
      </c>
      <c r="H176" s="5" t="n">
        <f aca="true">ROUND(RAND()*4+6,1)</f>
        <v>9.5</v>
      </c>
      <c r="I176" s="5" t="s">
        <v>31</v>
      </c>
      <c r="J176" s="5" t="str">
        <f aca="false">ROUND(92*1,0)&amp;"%"</f>
        <v>92%</v>
      </c>
    </row>
    <row r="177" customFormat="false" ht="15" hidden="false" customHeight="false" outlineLevel="0" collapsed="false">
      <c r="A177" s="6" t="s">
        <v>5320</v>
      </c>
      <c r="B177" s="6" t="s">
        <v>302</v>
      </c>
      <c r="C177" s="6" t="s">
        <v>15</v>
      </c>
      <c r="D177" s="6" t="s">
        <v>34</v>
      </c>
      <c r="E177" s="6" t="n">
        <f aca="false">ROUND(15963*1.05,2)</f>
        <v>16761.15</v>
      </c>
      <c r="F177" s="6" t="s">
        <v>35</v>
      </c>
      <c r="G177" s="6" t="s">
        <v>18</v>
      </c>
      <c r="H177" s="6" t="n">
        <f aca="true">ROUND(RAND()*4+6,1)</f>
        <v>7.7</v>
      </c>
      <c r="I177" s="6" t="s">
        <v>36</v>
      </c>
      <c r="J177" s="6" t="str">
        <f aca="false">ROUND(65*1,0)&amp;"%"</f>
        <v>65%</v>
      </c>
    </row>
    <row r="178" customFormat="false" ht="15" hidden="false" customHeight="false" outlineLevel="0" collapsed="false">
      <c r="A178" s="5" t="s">
        <v>5321</v>
      </c>
      <c r="B178" s="5" t="s">
        <v>304</v>
      </c>
      <c r="C178" s="5" t="s">
        <v>15</v>
      </c>
      <c r="D178" s="5" t="s">
        <v>39</v>
      </c>
      <c r="E178" s="5" t="n">
        <f aca="false">ROUND(11398*1.05,2)</f>
        <v>11967.9</v>
      </c>
      <c r="F178" s="5" t="s">
        <v>40</v>
      </c>
      <c r="G178" s="5" t="s">
        <v>24</v>
      </c>
      <c r="H178" s="5" t="n">
        <f aca="true">ROUND(RAND()*4+6,1)</f>
        <v>6.6</v>
      </c>
      <c r="I178" s="5" t="s">
        <v>41</v>
      </c>
      <c r="J178" s="5" t="str">
        <f aca="false">ROUND(68*1,0)&amp;"%"</f>
        <v>68%</v>
      </c>
    </row>
    <row r="179" customFormat="false" ht="15" hidden="false" customHeight="false" outlineLevel="0" collapsed="false">
      <c r="A179" s="6" t="s">
        <v>5322</v>
      </c>
      <c r="B179" s="6" t="s">
        <v>306</v>
      </c>
      <c r="C179" s="6" t="s">
        <v>15</v>
      </c>
      <c r="D179" s="6" t="s">
        <v>44</v>
      </c>
      <c r="E179" s="6" t="n">
        <f aca="false">ROUND(9213*1.05,2)</f>
        <v>9673.65</v>
      </c>
      <c r="F179" s="6" t="s">
        <v>45</v>
      </c>
      <c r="G179" s="6" t="s">
        <v>30</v>
      </c>
      <c r="H179" s="6" t="n">
        <f aca="true">ROUND(RAND()*4+6,1)</f>
        <v>9.8</v>
      </c>
      <c r="I179" s="6" t="s">
        <v>46</v>
      </c>
      <c r="J179" s="6" t="str">
        <f aca="false">ROUND(73*1,0)&amp;"%"</f>
        <v>73%</v>
      </c>
    </row>
    <row r="180" customFormat="false" ht="15" hidden="false" customHeight="false" outlineLevel="0" collapsed="false">
      <c r="A180" s="5" t="s">
        <v>5323</v>
      </c>
      <c r="B180" s="5" t="s">
        <v>308</v>
      </c>
      <c r="C180" s="5" t="s">
        <v>15</v>
      </c>
      <c r="D180" s="5" t="s">
        <v>16</v>
      </c>
      <c r="E180" s="5" t="n">
        <f aca="false">ROUND(17027*1.05,2)</f>
        <v>17878.35</v>
      </c>
      <c r="F180" s="5" t="s">
        <v>49</v>
      </c>
      <c r="G180" s="5" t="s">
        <v>18</v>
      </c>
      <c r="H180" s="5" t="n">
        <f aca="true">ROUND(RAND()*4+6,1)</f>
        <v>7.5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5324</v>
      </c>
      <c r="B181" s="6" t="s">
        <v>310</v>
      </c>
      <c r="C181" s="6" t="s">
        <v>15</v>
      </c>
      <c r="D181" s="6" t="s">
        <v>22</v>
      </c>
      <c r="E181" s="6" t="n">
        <f aca="false">ROUND(5711*1.05,2)</f>
        <v>5996.55</v>
      </c>
      <c r="F181" s="6" t="s">
        <v>52</v>
      </c>
      <c r="G181" s="6" t="s">
        <v>24</v>
      </c>
      <c r="H181" s="6" t="n">
        <f aca="true">ROUND(RAND()*4+6,1)</f>
        <v>6.6</v>
      </c>
      <c r="I181" s="6" t="s">
        <v>25</v>
      </c>
      <c r="J181" s="6" t="str">
        <f aca="false">ROUND(78*1,0)&amp;"%"</f>
        <v>78%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5325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5326</v>
      </c>
      <c r="B186" s="5" t="s">
        <v>314</v>
      </c>
      <c r="C186" s="5" t="s">
        <v>57</v>
      </c>
      <c r="D186" s="5" t="s">
        <v>16</v>
      </c>
      <c r="E186" s="5" t="n">
        <f aca="false">ROUND(14282*1.05,2)</f>
        <v>14996.1</v>
      </c>
      <c r="F186" s="5" t="s">
        <v>17</v>
      </c>
      <c r="G186" s="5" t="s">
        <v>18</v>
      </c>
      <c r="H186" s="5" t="n">
        <f aca="true">ROUND(RAND()*4+6,1)</f>
        <v>9.2</v>
      </c>
      <c r="I186" s="5" t="s">
        <v>19</v>
      </c>
      <c r="J186" s="5" t="str">
        <f aca="false">ROUND(90*1,0)&amp;"%"</f>
        <v>90%</v>
      </c>
    </row>
    <row r="187" customFormat="false" ht="15" hidden="false" customHeight="false" outlineLevel="0" collapsed="false">
      <c r="A187" s="6" t="s">
        <v>5327</v>
      </c>
      <c r="B187" s="6" t="s">
        <v>316</v>
      </c>
      <c r="C187" s="6" t="s">
        <v>57</v>
      </c>
      <c r="D187" s="6" t="s">
        <v>22</v>
      </c>
      <c r="E187" s="6" t="n">
        <f aca="false">ROUND(7091*1.05,2)</f>
        <v>7445.55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ROUND(78*1,0)&amp;"%"</f>
        <v>78%</v>
      </c>
    </row>
    <row r="188" customFormat="false" ht="15" hidden="false" customHeight="false" outlineLevel="0" collapsed="false">
      <c r="A188" s="5" t="s">
        <v>5328</v>
      </c>
      <c r="B188" s="5" t="s">
        <v>318</v>
      </c>
      <c r="C188" s="5" t="s">
        <v>57</v>
      </c>
      <c r="D188" s="5" t="s">
        <v>28</v>
      </c>
      <c r="E188" s="5" t="n">
        <f aca="false">ROUND(14832*1.05,2)</f>
        <v>15573.6</v>
      </c>
      <c r="F188" s="5" t="s">
        <v>29</v>
      </c>
      <c r="G188" s="5" t="s">
        <v>30</v>
      </c>
      <c r="H188" s="5" t="n">
        <f aca="true">ROUND(RAND()*4+6,1)</f>
        <v>7.1</v>
      </c>
      <c r="I188" s="5" t="s">
        <v>31</v>
      </c>
      <c r="J188" s="5" t="str">
        <f aca="false">ROUND(62*1,0)&amp;"%"</f>
        <v>62%</v>
      </c>
    </row>
    <row r="189" customFormat="false" ht="15" hidden="false" customHeight="false" outlineLevel="0" collapsed="false">
      <c r="A189" s="6" t="s">
        <v>5329</v>
      </c>
      <c r="B189" s="6" t="s">
        <v>320</v>
      </c>
      <c r="C189" s="6" t="s">
        <v>57</v>
      </c>
      <c r="D189" s="6" t="s">
        <v>34</v>
      </c>
      <c r="E189" s="6" t="n">
        <f aca="false">ROUND(10468*1.05,2)</f>
        <v>10991.4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5330</v>
      </c>
      <c r="B190" s="5" t="s">
        <v>322</v>
      </c>
      <c r="C190" s="5" t="s">
        <v>57</v>
      </c>
      <c r="D190" s="5" t="s">
        <v>39</v>
      </c>
      <c r="E190" s="5" t="n">
        <f aca="false">ROUND(11553*1.05,2)</f>
        <v>12130.65</v>
      </c>
      <c r="F190" s="5" t="s">
        <v>40</v>
      </c>
      <c r="G190" s="5" t="s">
        <v>24</v>
      </c>
      <c r="H190" s="5" t="n">
        <f aca="true">ROUND(RAND()*4+6,1)</f>
        <v>6.7</v>
      </c>
      <c r="I190" s="5" t="s">
        <v>41</v>
      </c>
      <c r="J190" s="5" t="str">
        <f aca="false">ROUND(95*1,0)&amp;"%"</f>
        <v>95%</v>
      </c>
    </row>
    <row r="191" customFormat="false" ht="15" hidden="false" customHeight="false" outlineLevel="0" collapsed="false">
      <c r="A191" s="6" t="s">
        <v>5331</v>
      </c>
      <c r="B191" s="6" t="s">
        <v>324</v>
      </c>
      <c r="C191" s="6" t="s">
        <v>57</v>
      </c>
      <c r="D191" s="6" t="s">
        <v>44</v>
      </c>
      <c r="E191" s="6" t="n">
        <f aca="false">ROUND(14881*1.05,2)</f>
        <v>15625.05</v>
      </c>
      <c r="F191" s="6" t="s">
        <v>45</v>
      </c>
      <c r="G191" s="6" t="s">
        <v>30</v>
      </c>
      <c r="H191" s="6" t="n">
        <f aca="true">ROUND(RAND()*4+6,1)</f>
        <v>6.3</v>
      </c>
      <c r="I191" s="6" t="s">
        <v>46</v>
      </c>
      <c r="J191" s="6" t="str">
        <f aca="false">ROUND(69*1,0)&amp;"%"</f>
        <v>69%</v>
      </c>
    </row>
    <row r="192" customFormat="false" ht="15" hidden="false" customHeight="false" outlineLevel="0" collapsed="false">
      <c r="A192" s="5" t="s">
        <v>5332</v>
      </c>
      <c r="B192" s="5" t="s">
        <v>326</v>
      </c>
      <c r="C192" s="5" t="s">
        <v>57</v>
      </c>
      <c r="D192" s="5" t="s">
        <v>16</v>
      </c>
      <c r="E192" s="5" t="n">
        <f aca="false">ROUND(9739*1.05,2)</f>
        <v>10225.95</v>
      </c>
      <c r="F192" s="5" t="s">
        <v>49</v>
      </c>
      <c r="G192" s="5" t="s">
        <v>18</v>
      </c>
      <c r="H192" s="5" t="n">
        <f aca="true">ROUND(RAND()*4+6,1)</f>
        <v>7.8</v>
      </c>
      <c r="I192" s="5" t="s">
        <v>19</v>
      </c>
      <c r="J192" s="5" t="str">
        <f aca="false">ROUND(82*1,0)&amp;"%"</f>
        <v>82%</v>
      </c>
    </row>
    <row r="193" customFormat="false" ht="15" hidden="false" customHeight="false" outlineLevel="0" collapsed="false">
      <c r="A193" s="6" t="s">
        <v>5333</v>
      </c>
      <c r="B193" s="6" t="s">
        <v>328</v>
      </c>
      <c r="C193" s="6" t="s">
        <v>57</v>
      </c>
      <c r="D193" s="6" t="s">
        <v>22</v>
      </c>
      <c r="E193" s="6" t="n">
        <f aca="false">ROUND(14940*1.05,2)</f>
        <v>15687</v>
      </c>
      <c r="F193" s="6" t="s">
        <v>52</v>
      </c>
      <c r="G193" s="6" t="s">
        <v>24</v>
      </c>
      <c r="H193" s="6" t="n">
        <f aca="true">ROUND(RAND()*4+6,1)</f>
        <v>9.3</v>
      </c>
      <c r="I193" s="6" t="s">
        <v>25</v>
      </c>
      <c r="J193" s="6" t="str">
        <f aca="false">ROUND(77*1,0)&amp;"%"</f>
        <v>77%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5334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5335</v>
      </c>
      <c r="B198" s="5" t="s">
        <v>332</v>
      </c>
      <c r="C198" s="5" t="s">
        <v>76</v>
      </c>
      <c r="D198" s="5" t="s">
        <v>16</v>
      </c>
      <c r="E198" s="5" t="n">
        <f aca="false">ROUND(8105*1.05,2)</f>
        <v>8510.25</v>
      </c>
      <c r="F198" s="5" t="s">
        <v>17</v>
      </c>
      <c r="G198" s="5" t="s">
        <v>18</v>
      </c>
      <c r="H198" s="5" t="n">
        <f aca="true">ROUND(RAND()*4+6,1)</f>
        <v>9.1</v>
      </c>
      <c r="I198" s="5" t="s">
        <v>19</v>
      </c>
      <c r="J198" s="5" t="str">
        <f aca="false">ROUND(86*1,0)&amp;"%"</f>
        <v>86%</v>
      </c>
    </row>
    <row r="199" customFormat="false" ht="15" hidden="false" customHeight="false" outlineLevel="0" collapsed="false">
      <c r="A199" s="6" t="s">
        <v>5336</v>
      </c>
      <c r="B199" s="6" t="s">
        <v>334</v>
      </c>
      <c r="C199" s="6" t="s">
        <v>76</v>
      </c>
      <c r="D199" s="6" t="s">
        <v>22</v>
      </c>
      <c r="E199" s="6" t="n">
        <f aca="false">ROUND(9603*1.05,2)</f>
        <v>10083.15</v>
      </c>
      <c r="F199" s="6" t="s">
        <v>23</v>
      </c>
      <c r="G199" s="6" t="s">
        <v>24</v>
      </c>
      <c r="H199" s="6" t="n">
        <f aca="true">ROUND(RAND()*4+6,1)</f>
        <v>8</v>
      </c>
      <c r="I199" s="6" t="s">
        <v>25</v>
      </c>
      <c r="J199" s="6" t="str">
        <f aca="false">ROUND(93*1,0)&amp;"%"</f>
        <v>93%</v>
      </c>
    </row>
    <row r="200" customFormat="false" ht="15" hidden="false" customHeight="false" outlineLevel="0" collapsed="false">
      <c r="A200" s="5" t="s">
        <v>5337</v>
      </c>
      <c r="B200" s="5" t="s">
        <v>336</v>
      </c>
      <c r="C200" s="5" t="s">
        <v>76</v>
      </c>
      <c r="D200" s="5" t="s">
        <v>28</v>
      </c>
      <c r="E200" s="5" t="n">
        <f aca="false">ROUND(9992*1.05,2)</f>
        <v>10491.6</v>
      </c>
      <c r="F200" s="5" t="s">
        <v>29</v>
      </c>
      <c r="G200" s="5" t="s">
        <v>30</v>
      </c>
      <c r="H200" s="5" t="n">
        <f aca="true">ROUND(RAND()*4+6,1)</f>
        <v>9.5</v>
      </c>
      <c r="I200" s="5" t="s">
        <v>31</v>
      </c>
      <c r="J200" s="5" t="str">
        <f aca="false">ROUND(95*1,0)&amp;"%"</f>
        <v>95%</v>
      </c>
    </row>
    <row r="201" customFormat="false" ht="15" hidden="false" customHeight="false" outlineLevel="0" collapsed="false">
      <c r="A201" s="6" t="s">
        <v>5338</v>
      </c>
      <c r="B201" s="6" t="s">
        <v>338</v>
      </c>
      <c r="C201" s="6" t="s">
        <v>76</v>
      </c>
      <c r="D201" s="6" t="s">
        <v>34</v>
      </c>
      <c r="E201" s="6" t="n">
        <f aca="false">ROUND(11980*1.05,2)</f>
        <v>12579</v>
      </c>
      <c r="F201" s="6" t="s">
        <v>35</v>
      </c>
      <c r="G201" s="6" t="s">
        <v>18</v>
      </c>
      <c r="H201" s="6" t="n">
        <f aca="true">ROUND(RAND()*4+6,1)</f>
        <v>7.4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5339</v>
      </c>
      <c r="B202" s="5" t="s">
        <v>340</v>
      </c>
      <c r="C202" s="5" t="s">
        <v>76</v>
      </c>
      <c r="D202" s="5" t="s">
        <v>39</v>
      </c>
      <c r="E202" s="5" t="n">
        <f aca="false">ROUND(10864*1.05,2)</f>
        <v>11407.2</v>
      </c>
      <c r="F202" s="5" t="s">
        <v>40</v>
      </c>
      <c r="G202" s="5" t="s">
        <v>24</v>
      </c>
      <c r="H202" s="5" t="n">
        <f aca="true">ROUND(RAND()*4+6,1)</f>
        <v>9.9</v>
      </c>
      <c r="I202" s="5" t="s">
        <v>41</v>
      </c>
      <c r="J202" s="5" t="str">
        <f aca="false">ROUND(92*1,0)&amp;"%"</f>
        <v>92%</v>
      </c>
    </row>
    <row r="203" customFormat="false" ht="15" hidden="false" customHeight="false" outlineLevel="0" collapsed="false">
      <c r="A203" s="6" t="s">
        <v>5340</v>
      </c>
      <c r="B203" s="6" t="s">
        <v>342</v>
      </c>
      <c r="C203" s="6" t="s">
        <v>76</v>
      </c>
      <c r="D203" s="6" t="s">
        <v>44</v>
      </c>
      <c r="E203" s="6" t="n">
        <f aca="false">ROUND(8991*1.05,2)</f>
        <v>9440.55</v>
      </c>
      <c r="F203" s="6" t="s">
        <v>45</v>
      </c>
      <c r="G203" s="6" t="s">
        <v>30</v>
      </c>
      <c r="H203" s="6" t="n">
        <f aca="true">ROUND(RAND()*4+6,1)</f>
        <v>8.4</v>
      </c>
      <c r="I203" s="6" t="s">
        <v>46</v>
      </c>
      <c r="J203" s="6" t="str">
        <f aca="false">ROUND(77*1,0)&amp;"%"</f>
        <v>77%</v>
      </c>
    </row>
    <row r="204" customFormat="false" ht="15" hidden="false" customHeight="false" outlineLevel="0" collapsed="false">
      <c r="A204" s="5" t="s">
        <v>5341</v>
      </c>
      <c r="B204" s="5" t="s">
        <v>344</v>
      </c>
      <c r="C204" s="5" t="s">
        <v>76</v>
      </c>
      <c r="D204" s="5" t="s">
        <v>16</v>
      </c>
      <c r="E204" s="5" t="n">
        <f aca="false">ROUND(13847*1.05,2)</f>
        <v>14539.35</v>
      </c>
      <c r="F204" s="5" t="s">
        <v>49</v>
      </c>
      <c r="G204" s="5" t="s">
        <v>18</v>
      </c>
      <c r="H204" s="5" t="n">
        <f aca="true">ROUND(RAND()*4+6,1)</f>
        <v>9.5</v>
      </c>
      <c r="I204" s="5" t="s">
        <v>19</v>
      </c>
      <c r="J204" s="5" t="str">
        <f aca="false">ROUND(99*1,0)&amp;"%"</f>
        <v>99%</v>
      </c>
    </row>
    <row r="205" customFormat="false" ht="15" hidden="false" customHeight="false" outlineLevel="0" collapsed="false">
      <c r="A205" s="6" t="s">
        <v>5342</v>
      </c>
      <c r="B205" s="6" t="s">
        <v>346</v>
      </c>
      <c r="C205" s="6" t="s">
        <v>76</v>
      </c>
      <c r="D205" s="6" t="s">
        <v>22</v>
      </c>
      <c r="E205" s="6" t="n">
        <f aca="false">ROUND(9764*1.05,2)</f>
        <v>10252.2</v>
      </c>
      <c r="F205" s="6" t="s">
        <v>52</v>
      </c>
      <c r="G205" s="6" t="s">
        <v>24</v>
      </c>
      <c r="H205" s="6" t="n">
        <f aca="true">ROUND(RAND()*4+6,1)</f>
        <v>8.4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5343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5344</v>
      </c>
      <c r="B210" s="5" t="s">
        <v>350</v>
      </c>
      <c r="C210" s="5" t="s">
        <v>95</v>
      </c>
      <c r="D210" s="5" t="s">
        <v>16</v>
      </c>
      <c r="E210" s="5" t="n">
        <f aca="false">ROUND(4169*1.05,2)</f>
        <v>4377.45</v>
      </c>
      <c r="F210" s="5" t="s">
        <v>17</v>
      </c>
      <c r="G210" s="5" t="s">
        <v>18</v>
      </c>
      <c r="H210" s="5" t="n">
        <f aca="true">ROUND(RAND()*4+6,1)</f>
        <v>7.8</v>
      </c>
      <c r="I210" s="5" t="s">
        <v>19</v>
      </c>
      <c r="J210" s="5" t="str">
        <f aca="false">ROUND(99*1,0)&amp;"%"</f>
        <v>99%</v>
      </c>
    </row>
    <row r="211" customFormat="false" ht="15" hidden="false" customHeight="false" outlineLevel="0" collapsed="false">
      <c r="A211" s="6" t="s">
        <v>5345</v>
      </c>
      <c r="B211" s="6" t="s">
        <v>352</v>
      </c>
      <c r="C211" s="6" t="s">
        <v>95</v>
      </c>
      <c r="D211" s="6" t="s">
        <v>22</v>
      </c>
      <c r="E211" s="6" t="n">
        <f aca="false">ROUND(17913*1.05,2)</f>
        <v>18808.65</v>
      </c>
      <c r="F211" s="6" t="s">
        <v>23</v>
      </c>
      <c r="G211" s="6" t="s">
        <v>24</v>
      </c>
      <c r="H211" s="6" t="n">
        <f aca="true">ROUND(RAND()*4+6,1)</f>
        <v>7.5</v>
      </c>
      <c r="I211" s="6" t="s">
        <v>25</v>
      </c>
      <c r="J211" s="6" t="str">
        <f aca="false">ROUND(60*1,0)&amp;"%"</f>
        <v>60%</v>
      </c>
    </row>
    <row r="212" customFormat="false" ht="15" hidden="false" customHeight="false" outlineLevel="0" collapsed="false">
      <c r="A212" s="5" t="s">
        <v>5346</v>
      </c>
      <c r="B212" s="5" t="s">
        <v>354</v>
      </c>
      <c r="C212" s="5" t="s">
        <v>95</v>
      </c>
      <c r="D212" s="5" t="s">
        <v>28</v>
      </c>
      <c r="E212" s="5" t="n">
        <f aca="false">ROUND(4507*1.05,2)</f>
        <v>4732.35</v>
      </c>
      <c r="F212" s="5" t="s">
        <v>29</v>
      </c>
      <c r="G212" s="5" t="s">
        <v>30</v>
      </c>
      <c r="H212" s="5" t="n">
        <f aca="true">ROUND(RAND()*4+6,1)</f>
        <v>6.9</v>
      </c>
      <c r="I212" s="5" t="s">
        <v>31</v>
      </c>
      <c r="J212" s="5" t="str">
        <f aca="false">ROUND(98*1,0)&amp;"%"</f>
        <v>98%</v>
      </c>
    </row>
    <row r="213" customFormat="false" ht="15" hidden="false" customHeight="false" outlineLevel="0" collapsed="false">
      <c r="A213" s="6" t="s">
        <v>5347</v>
      </c>
      <c r="B213" s="6" t="s">
        <v>356</v>
      </c>
      <c r="C213" s="6" t="s">
        <v>95</v>
      </c>
      <c r="D213" s="6" t="s">
        <v>34</v>
      </c>
      <c r="E213" s="6" t="n">
        <f aca="false">ROUND(15684*1.05,2)</f>
        <v>16468.2</v>
      </c>
      <c r="F213" s="6" t="s">
        <v>35</v>
      </c>
      <c r="G213" s="6" t="s">
        <v>18</v>
      </c>
      <c r="H213" s="6" t="n">
        <f aca="true">ROUND(RAND()*4+6,1)</f>
        <v>7.7</v>
      </c>
      <c r="I213" s="6" t="s">
        <v>36</v>
      </c>
      <c r="J213" s="6" t="str">
        <f aca="false">ROUND(91*1,0)&amp;"%"</f>
        <v>91%</v>
      </c>
    </row>
    <row r="214" customFormat="false" ht="15" hidden="false" customHeight="false" outlineLevel="0" collapsed="false">
      <c r="A214" s="5" t="s">
        <v>5348</v>
      </c>
      <c r="B214" s="5" t="s">
        <v>358</v>
      </c>
      <c r="C214" s="5" t="s">
        <v>95</v>
      </c>
      <c r="D214" s="5" t="s">
        <v>39</v>
      </c>
      <c r="E214" s="5" t="n">
        <f aca="false">ROUND(5023*1.05,2)</f>
        <v>5274.15</v>
      </c>
      <c r="F214" s="5" t="s">
        <v>40</v>
      </c>
      <c r="G214" s="5" t="s">
        <v>24</v>
      </c>
      <c r="H214" s="5" t="n">
        <f aca="true">ROUND(RAND()*4+6,1)</f>
        <v>9.8</v>
      </c>
      <c r="I214" s="5" t="s">
        <v>41</v>
      </c>
      <c r="J214" s="5" t="str">
        <f aca="false">ROUND(93*1,0)&amp;"%"</f>
        <v>93%</v>
      </c>
    </row>
    <row r="215" customFormat="false" ht="15" hidden="false" customHeight="false" outlineLevel="0" collapsed="false">
      <c r="A215" s="6" t="s">
        <v>5349</v>
      </c>
      <c r="B215" s="6" t="s">
        <v>360</v>
      </c>
      <c r="C215" s="6" t="s">
        <v>95</v>
      </c>
      <c r="D215" s="6" t="s">
        <v>44</v>
      </c>
      <c r="E215" s="6" t="n">
        <f aca="false">ROUND(15847*1.05,2)</f>
        <v>16639.35</v>
      </c>
      <c r="F215" s="6" t="s">
        <v>45</v>
      </c>
      <c r="G215" s="6" t="s">
        <v>30</v>
      </c>
      <c r="H215" s="6" t="n">
        <f aca="true">ROUND(RAND()*4+6,1)</f>
        <v>8.4</v>
      </c>
      <c r="I215" s="6" t="s">
        <v>46</v>
      </c>
      <c r="J215" s="6" t="str">
        <f aca="false">ROUND(76*1,0)&amp;"%"</f>
        <v>76%</v>
      </c>
    </row>
    <row r="216" customFormat="false" ht="15" hidden="false" customHeight="false" outlineLevel="0" collapsed="false">
      <c r="A216" s="5" t="s">
        <v>5350</v>
      </c>
      <c r="B216" s="5" t="s">
        <v>362</v>
      </c>
      <c r="C216" s="5" t="s">
        <v>95</v>
      </c>
      <c r="D216" s="5" t="s">
        <v>16</v>
      </c>
      <c r="E216" s="5" t="n">
        <f aca="false">ROUND(16881*1.05,2)</f>
        <v>17725.05</v>
      </c>
      <c r="F216" s="5" t="s">
        <v>49</v>
      </c>
      <c r="G216" s="5" t="s">
        <v>18</v>
      </c>
      <c r="H216" s="5" t="n">
        <f aca="true">ROUND(RAND()*4+6,1)</f>
        <v>6</v>
      </c>
      <c r="I216" s="5" t="s">
        <v>19</v>
      </c>
      <c r="J216" s="5" t="str">
        <f aca="false">ROUND(73*1,0)&amp;"%"</f>
        <v>73%</v>
      </c>
    </row>
    <row r="217" customFormat="false" ht="15" hidden="false" customHeight="false" outlineLevel="0" collapsed="false">
      <c r="A217" s="6" t="s">
        <v>5351</v>
      </c>
      <c r="B217" s="6" t="s">
        <v>364</v>
      </c>
      <c r="C217" s="6" t="s">
        <v>95</v>
      </c>
      <c r="D217" s="6" t="s">
        <v>22</v>
      </c>
      <c r="E217" s="6" t="n">
        <f aca="false">ROUND(4211*1.05,2)</f>
        <v>4421.55</v>
      </c>
      <c r="F217" s="6" t="s">
        <v>52</v>
      </c>
      <c r="G217" s="6" t="s">
        <v>24</v>
      </c>
      <c r="H217" s="6" t="n">
        <f aca="true">ROUND(RAND()*4+6,1)</f>
        <v>8</v>
      </c>
      <c r="I217" s="6" t="s">
        <v>25</v>
      </c>
      <c r="J217" s="6" t="str">
        <f aca="false">ROUND(88*1,0)&amp;"%"</f>
        <v>88%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5352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5353</v>
      </c>
      <c r="B222" s="5" t="s">
        <v>368</v>
      </c>
      <c r="C222" s="5" t="s">
        <v>114</v>
      </c>
      <c r="D222" s="5" t="s">
        <v>16</v>
      </c>
      <c r="E222" s="5" t="n">
        <f aca="false">ROUND(4324*1.05,2)</f>
        <v>4540.2</v>
      </c>
      <c r="F222" s="5" t="s">
        <v>17</v>
      </c>
      <c r="G222" s="5" t="s">
        <v>18</v>
      </c>
      <c r="H222" s="5" t="n">
        <f aca="true">ROUND(RAND()*4+6,1)</f>
        <v>6.8</v>
      </c>
      <c r="I222" s="5" t="s">
        <v>19</v>
      </c>
      <c r="J222" s="5" t="str">
        <f aca="false">ROUND(99*1,0)&amp;"%"</f>
        <v>99%</v>
      </c>
    </row>
    <row r="223" customFormat="false" ht="15" hidden="false" customHeight="false" outlineLevel="0" collapsed="false">
      <c r="A223" s="6" t="s">
        <v>5354</v>
      </c>
      <c r="B223" s="6" t="s">
        <v>370</v>
      </c>
      <c r="C223" s="6" t="s">
        <v>114</v>
      </c>
      <c r="D223" s="6" t="s">
        <v>22</v>
      </c>
      <c r="E223" s="6" t="n">
        <f aca="false">ROUND(15467*1.05,2)</f>
        <v>16240.35</v>
      </c>
      <c r="F223" s="6" t="s">
        <v>23</v>
      </c>
      <c r="G223" s="6" t="s">
        <v>24</v>
      </c>
      <c r="H223" s="6" t="n">
        <f aca="true">ROUND(RAND()*4+6,1)</f>
        <v>7.3</v>
      </c>
      <c r="I223" s="6" t="s">
        <v>25</v>
      </c>
      <c r="J223" s="6" t="str">
        <f aca="false">ROUND(76*1,0)&amp;"%"</f>
        <v>76%</v>
      </c>
    </row>
    <row r="224" customFormat="false" ht="15" hidden="false" customHeight="false" outlineLevel="0" collapsed="false">
      <c r="A224" s="5" t="s">
        <v>5355</v>
      </c>
      <c r="B224" s="5" t="s">
        <v>372</v>
      </c>
      <c r="C224" s="5" t="s">
        <v>114</v>
      </c>
      <c r="D224" s="5" t="s">
        <v>28</v>
      </c>
      <c r="E224" s="5" t="n">
        <f aca="false">ROUND(14136*1.05,2)</f>
        <v>14842.8</v>
      </c>
      <c r="F224" s="5" t="s">
        <v>29</v>
      </c>
      <c r="G224" s="5" t="s">
        <v>30</v>
      </c>
      <c r="H224" s="5" t="n">
        <f aca="true">ROUND(RAND()*4+6,1)</f>
        <v>7.8</v>
      </c>
      <c r="I224" s="5" t="s">
        <v>31</v>
      </c>
      <c r="J224" s="5" t="str">
        <f aca="false">ROUND(70*1,0)&amp;"%"</f>
        <v>70%</v>
      </c>
    </row>
    <row r="225" customFormat="false" ht="15" hidden="false" customHeight="false" outlineLevel="0" collapsed="false">
      <c r="A225" s="6" t="s">
        <v>5356</v>
      </c>
      <c r="B225" s="6" t="s">
        <v>374</v>
      </c>
      <c r="C225" s="6" t="s">
        <v>114</v>
      </c>
      <c r="D225" s="6" t="s">
        <v>34</v>
      </c>
      <c r="E225" s="6" t="n">
        <f aca="false">ROUND(14633*1.05,2)</f>
        <v>15364.65</v>
      </c>
      <c r="F225" s="6" t="s">
        <v>35</v>
      </c>
      <c r="G225" s="6" t="s">
        <v>18</v>
      </c>
      <c r="H225" s="6" t="n">
        <f aca="true">ROUND(RAND()*4+6,1)</f>
        <v>6.4</v>
      </c>
      <c r="I225" s="6" t="s">
        <v>36</v>
      </c>
      <c r="J225" s="6" t="str">
        <f aca="false">ROUND(77*1,0)&amp;"%"</f>
        <v>77%</v>
      </c>
    </row>
    <row r="226" customFormat="false" ht="15" hidden="false" customHeight="false" outlineLevel="0" collapsed="false">
      <c r="A226" s="5" t="s">
        <v>5357</v>
      </c>
      <c r="B226" s="5" t="s">
        <v>376</v>
      </c>
      <c r="C226" s="5" t="s">
        <v>114</v>
      </c>
      <c r="D226" s="5" t="s">
        <v>39</v>
      </c>
      <c r="E226" s="5" t="n">
        <f aca="false">ROUND(12177*1.05,2)</f>
        <v>12785.85</v>
      </c>
      <c r="F226" s="5" t="s">
        <v>40</v>
      </c>
      <c r="G226" s="5" t="s">
        <v>24</v>
      </c>
      <c r="H226" s="5" t="n">
        <f aca="true">ROUND(RAND()*4+6,1)</f>
        <v>6.4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5358</v>
      </c>
      <c r="B227" s="6" t="s">
        <v>378</v>
      </c>
      <c r="C227" s="6" t="s">
        <v>114</v>
      </c>
      <c r="D227" s="6" t="s">
        <v>44</v>
      </c>
      <c r="E227" s="6" t="n">
        <f aca="false">ROUND(6579*1.05,2)</f>
        <v>6907.95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ROUND(92*1,0)&amp;"%"</f>
        <v>92%</v>
      </c>
    </row>
    <row r="228" customFormat="false" ht="15" hidden="false" customHeight="false" outlineLevel="0" collapsed="false">
      <c r="A228" s="5" t="s">
        <v>5359</v>
      </c>
      <c r="B228" s="5" t="s">
        <v>380</v>
      </c>
      <c r="C228" s="5" t="s">
        <v>114</v>
      </c>
      <c r="D228" s="5" t="s">
        <v>16</v>
      </c>
      <c r="E228" s="5" t="n">
        <f aca="false">ROUND(5699*1.05,2)</f>
        <v>5983.95</v>
      </c>
      <c r="F228" s="5" t="s">
        <v>49</v>
      </c>
      <c r="G228" s="5" t="s">
        <v>18</v>
      </c>
      <c r="H228" s="5" t="n">
        <f aca="true">ROUND(RAND()*4+6,1)</f>
        <v>9.4</v>
      </c>
      <c r="I228" s="5" t="s">
        <v>19</v>
      </c>
      <c r="J228" s="5" t="str">
        <f aca="false">ROUND(90*1,0)&amp;"%"</f>
        <v>90%</v>
      </c>
    </row>
    <row r="229" customFormat="false" ht="15" hidden="false" customHeight="false" outlineLevel="0" collapsed="false">
      <c r="A229" s="6" t="s">
        <v>5360</v>
      </c>
      <c r="B229" s="6" t="s">
        <v>382</v>
      </c>
      <c r="C229" s="6" t="s">
        <v>114</v>
      </c>
      <c r="D229" s="6" t="s">
        <v>22</v>
      </c>
      <c r="E229" s="6" t="n">
        <f aca="false">ROUND(8897*1.05,2)</f>
        <v>9341.85</v>
      </c>
      <c r="F229" s="6" t="s">
        <v>52</v>
      </c>
      <c r="G229" s="6" t="s">
        <v>24</v>
      </c>
      <c r="H229" s="6" t="n">
        <f aca="true">ROUND(RAND()*4+6,1)</f>
        <v>6.4</v>
      </c>
      <c r="I229" s="6" t="s">
        <v>25</v>
      </c>
      <c r="J229" s="6" t="str">
        <f aca="false">ROUND(85*1,0)&amp;"%"</f>
        <v>85%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5361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5362</v>
      </c>
      <c r="B234" s="5" t="s">
        <v>386</v>
      </c>
      <c r="C234" s="5" t="s">
        <v>133</v>
      </c>
      <c r="D234" s="5" t="s">
        <v>16</v>
      </c>
      <c r="E234" s="5" t="n">
        <f aca="false">ROUND(8062*1.05,2)</f>
        <v>8465.1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ROUND(74*1,0)&amp;"%"</f>
        <v>74%</v>
      </c>
    </row>
    <row r="235" customFormat="false" ht="15" hidden="false" customHeight="false" outlineLevel="0" collapsed="false">
      <c r="A235" s="6" t="s">
        <v>5363</v>
      </c>
      <c r="B235" s="6" t="s">
        <v>388</v>
      </c>
      <c r="C235" s="6" t="s">
        <v>133</v>
      </c>
      <c r="D235" s="6" t="s">
        <v>22</v>
      </c>
      <c r="E235" s="6" t="n">
        <f aca="false">ROUND(12540*1.05,2)</f>
        <v>13167</v>
      </c>
      <c r="F235" s="6" t="s">
        <v>23</v>
      </c>
      <c r="G235" s="6" t="s">
        <v>24</v>
      </c>
      <c r="H235" s="6" t="n">
        <f aca="true">ROUND(RAND()*4+6,1)</f>
        <v>6</v>
      </c>
      <c r="I235" s="6" t="s">
        <v>25</v>
      </c>
      <c r="J235" s="6" t="str">
        <f aca="false">ROUND(83*1,0)&amp;"%"</f>
        <v>83%</v>
      </c>
    </row>
    <row r="236" customFormat="false" ht="15" hidden="false" customHeight="false" outlineLevel="0" collapsed="false">
      <c r="A236" s="5" t="s">
        <v>5364</v>
      </c>
      <c r="B236" s="5" t="s">
        <v>390</v>
      </c>
      <c r="C236" s="5" t="s">
        <v>133</v>
      </c>
      <c r="D236" s="5" t="s">
        <v>28</v>
      </c>
      <c r="E236" s="5" t="n">
        <f aca="false">ROUND(9667*1.05,2)</f>
        <v>10150.35</v>
      </c>
      <c r="F236" s="5" t="s">
        <v>29</v>
      </c>
      <c r="G236" s="5" t="s">
        <v>30</v>
      </c>
      <c r="H236" s="5" t="n">
        <f aca="true">ROUND(RAND()*4+6,1)</f>
        <v>8.4</v>
      </c>
      <c r="I236" s="5" t="s">
        <v>31</v>
      </c>
      <c r="J236" s="5" t="str">
        <f aca="false">ROUND(85*1,0)&amp;"%"</f>
        <v>85%</v>
      </c>
    </row>
    <row r="237" customFormat="false" ht="15" hidden="false" customHeight="false" outlineLevel="0" collapsed="false">
      <c r="A237" s="6" t="s">
        <v>5365</v>
      </c>
      <c r="B237" s="6" t="s">
        <v>392</v>
      </c>
      <c r="C237" s="6" t="s">
        <v>133</v>
      </c>
      <c r="D237" s="6" t="s">
        <v>34</v>
      </c>
      <c r="E237" s="6" t="n">
        <f aca="false">ROUND(6836*1.05,2)</f>
        <v>7177.8</v>
      </c>
      <c r="F237" s="6" t="s">
        <v>35</v>
      </c>
      <c r="G237" s="6" t="s">
        <v>18</v>
      </c>
      <c r="H237" s="6" t="n">
        <f aca="true">ROUND(RAND()*4+6,1)</f>
        <v>8.7</v>
      </c>
      <c r="I237" s="6" t="s">
        <v>36</v>
      </c>
      <c r="J237" s="6" t="str">
        <f aca="false">ROUND(67*1,0)&amp;"%"</f>
        <v>67%</v>
      </c>
    </row>
    <row r="238" customFormat="false" ht="15" hidden="false" customHeight="false" outlineLevel="0" collapsed="false">
      <c r="A238" s="5" t="s">
        <v>5366</v>
      </c>
      <c r="B238" s="5" t="s">
        <v>394</v>
      </c>
      <c r="C238" s="5" t="s">
        <v>133</v>
      </c>
      <c r="D238" s="5" t="s">
        <v>39</v>
      </c>
      <c r="E238" s="5" t="n">
        <f aca="false">ROUND(15498*1.05,2)</f>
        <v>16272.9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ROUND(76*1,0)&amp;"%"</f>
        <v>76%</v>
      </c>
    </row>
    <row r="239" customFormat="false" ht="15" hidden="false" customHeight="false" outlineLevel="0" collapsed="false">
      <c r="A239" s="6" t="s">
        <v>5367</v>
      </c>
      <c r="B239" s="6" t="s">
        <v>396</v>
      </c>
      <c r="C239" s="6" t="s">
        <v>133</v>
      </c>
      <c r="D239" s="6" t="s">
        <v>44</v>
      </c>
      <c r="E239" s="6" t="n">
        <f aca="false">ROUND(13717*1.05,2)</f>
        <v>14402.85</v>
      </c>
      <c r="F239" s="6" t="s">
        <v>45</v>
      </c>
      <c r="G239" s="6" t="s">
        <v>30</v>
      </c>
      <c r="H239" s="6" t="n">
        <f aca="true">ROUND(RAND()*4+6,1)</f>
        <v>9.5</v>
      </c>
      <c r="I239" s="6" t="s">
        <v>46</v>
      </c>
      <c r="J239" s="6" t="str">
        <f aca="false">ROUND(75*1,0)&amp;"%"</f>
        <v>75%</v>
      </c>
    </row>
    <row r="240" customFormat="false" ht="15" hidden="false" customHeight="false" outlineLevel="0" collapsed="false">
      <c r="A240" s="5" t="s">
        <v>5368</v>
      </c>
      <c r="B240" s="5" t="s">
        <v>398</v>
      </c>
      <c r="C240" s="5" t="s">
        <v>133</v>
      </c>
      <c r="D240" s="5" t="s">
        <v>16</v>
      </c>
      <c r="E240" s="5" t="n">
        <f aca="false">ROUND(7304*1.05,2)</f>
        <v>7669.2</v>
      </c>
      <c r="F240" s="5" t="s">
        <v>49</v>
      </c>
      <c r="G240" s="5" t="s">
        <v>18</v>
      </c>
      <c r="H240" s="5" t="n">
        <f aca="true">ROUND(RAND()*4+6,1)</f>
        <v>9.8</v>
      </c>
      <c r="I240" s="5" t="s">
        <v>19</v>
      </c>
      <c r="J240" s="5" t="str">
        <f aca="false">ROUND(89*1,0)&amp;"%"</f>
        <v>89%</v>
      </c>
    </row>
    <row r="241" customFormat="false" ht="15" hidden="false" customHeight="false" outlineLevel="0" collapsed="false">
      <c r="A241" s="6" t="s">
        <v>5369</v>
      </c>
      <c r="B241" s="6" t="s">
        <v>400</v>
      </c>
      <c r="C241" s="6" t="s">
        <v>133</v>
      </c>
      <c r="D241" s="6" t="s">
        <v>22</v>
      </c>
      <c r="E241" s="6" t="n">
        <f aca="false">ROUND(11924*1.05,2)</f>
        <v>12520.2</v>
      </c>
      <c r="F241" s="6" t="s">
        <v>52</v>
      </c>
      <c r="G241" s="6" t="s">
        <v>24</v>
      </c>
      <c r="H241" s="6" t="n">
        <f aca="true">ROUND(RAND()*4+6,1)</f>
        <v>6.2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5370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5371</v>
      </c>
      <c r="B246" s="5" t="s">
        <v>404</v>
      </c>
      <c r="C246" s="5" t="s">
        <v>152</v>
      </c>
      <c r="D246" s="5" t="s">
        <v>16</v>
      </c>
      <c r="E246" s="5" t="n">
        <f aca="false">ROUND(17584*1.05,2)</f>
        <v>18463.2</v>
      </c>
      <c r="F246" s="5" t="s">
        <v>17</v>
      </c>
      <c r="G246" s="5" t="s">
        <v>18</v>
      </c>
      <c r="H246" s="5" t="n">
        <f aca="true">ROUND(RAND()*4+6,1)</f>
        <v>6.5</v>
      </c>
      <c r="I246" s="5" t="s">
        <v>19</v>
      </c>
      <c r="J246" s="5" t="str">
        <f aca="false">ROUND(81*1,0)&amp;"%"</f>
        <v>81%</v>
      </c>
    </row>
    <row r="247" customFormat="false" ht="15" hidden="false" customHeight="false" outlineLevel="0" collapsed="false">
      <c r="A247" s="6" t="s">
        <v>5372</v>
      </c>
      <c r="B247" s="6" t="s">
        <v>406</v>
      </c>
      <c r="C247" s="6" t="s">
        <v>152</v>
      </c>
      <c r="D247" s="6" t="s">
        <v>22</v>
      </c>
      <c r="E247" s="6" t="n">
        <f aca="false">ROUND(17169*1.05,2)</f>
        <v>18027.45</v>
      </c>
      <c r="F247" s="6" t="s">
        <v>23</v>
      </c>
      <c r="G247" s="6" t="s">
        <v>24</v>
      </c>
      <c r="H247" s="6" t="n">
        <f aca="true">ROUND(RAND()*4+6,1)</f>
        <v>7.9</v>
      </c>
      <c r="I247" s="6" t="s">
        <v>25</v>
      </c>
      <c r="J247" s="6" t="str">
        <f aca="false">ROUND(96*1,0)&amp;"%"</f>
        <v>96%</v>
      </c>
    </row>
    <row r="248" customFormat="false" ht="15" hidden="false" customHeight="false" outlineLevel="0" collapsed="false">
      <c r="A248" s="5" t="s">
        <v>5373</v>
      </c>
      <c r="B248" s="5" t="s">
        <v>408</v>
      </c>
      <c r="C248" s="5" t="s">
        <v>152</v>
      </c>
      <c r="D248" s="5" t="s">
        <v>28</v>
      </c>
      <c r="E248" s="5" t="n">
        <f aca="false">ROUND(9695*1.05,2)</f>
        <v>10179.75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ROUND(63*1,0)&amp;"%"</f>
        <v>63%</v>
      </c>
    </row>
    <row r="249" customFormat="false" ht="15" hidden="false" customHeight="false" outlineLevel="0" collapsed="false">
      <c r="A249" s="6" t="s">
        <v>5374</v>
      </c>
      <c r="B249" s="6" t="s">
        <v>410</v>
      </c>
      <c r="C249" s="6" t="s">
        <v>152</v>
      </c>
      <c r="D249" s="6" t="s">
        <v>34</v>
      </c>
      <c r="E249" s="6" t="n">
        <f aca="false">ROUND(10639*1.05,2)</f>
        <v>11170.95</v>
      </c>
      <c r="F249" s="6" t="s">
        <v>35</v>
      </c>
      <c r="G249" s="6" t="s">
        <v>18</v>
      </c>
      <c r="H249" s="6" t="n">
        <f aca="true">ROUND(RAND()*4+6,1)</f>
        <v>7.4</v>
      </c>
      <c r="I249" s="6" t="s">
        <v>36</v>
      </c>
      <c r="J249" s="6" t="str">
        <f aca="false">ROUND(100*1,0)&amp;"%"</f>
        <v>100%</v>
      </c>
    </row>
    <row r="250" customFormat="false" ht="15" hidden="false" customHeight="false" outlineLevel="0" collapsed="false">
      <c r="A250" s="5" t="s">
        <v>5375</v>
      </c>
      <c r="B250" s="5" t="s">
        <v>412</v>
      </c>
      <c r="C250" s="5" t="s">
        <v>152</v>
      </c>
      <c r="D250" s="5" t="s">
        <v>39</v>
      </c>
      <c r="E250" s="5" t="n">
        <f aca="false">ROUND(11087*1.05,2)</f>
        <v>11641.35</v>
      </c>
      <c r="F250" s="5" t="s">
        <v>40</v>
      </c>
      <c r="G250" s="5" t="s">
        <v>24</v>
      </c>
      <c r="H250" s="5" t="n">
        <f aca="true">ROUND(RAND()*4+6,1)</f>
        <v>6.3</v>
      </c>
      <c r="I250" s="5" t="s">
        <v>41</v>
      </c>
      <c r="J250" s="5" t="str">
        <f aca="false">ROUND(87*1,0)&amp;"%"</f>
        <v>87%</v>
      </c>
    </row>
    <row r="251" customFormat="false" ht="15" hidden="false" customHeight="false" outlineLevel="0" collapsed="false">
      <c r="A251" s="6" t="s">
        <v>5376</v>
      </c>
      <c r="B251" s="6" t="s">
        <v>414</v>
      </c>
      <c r="C251" s="6" t="s">
        <v>152</v>
      </c>
      <c r="D251" s="6" t="s">
        <v>44</v>
      </c>
      <c r="E251" s="6" t="n">
        <f aca="false">ROUND(13085*1.05,2)</f>
        <v>13739.25</v>
      </c>
      <c r="F251" s="6" t="s">
        <v>45</v>
      </c>
      <c r="G251" s="6" t="s">
        <v>30</v>
      </c>
      <c r="H251" s="6" t="n">
        <f aca="true">ROUND(RAND()*4+6,1)</f>
        <v>8.5</v>
      </c>
      <c r="I251" s="6" t="s">
        <v>46</v>
      </c>
      <c r="J251" s="6" t="str">
        <f aca="false">ROUND(69*1,0)&amp;"%"</f>
        <v>69%</v>
      </c>
    </row>
    <row r="252" customFormat="false" ht="15" hidden="false" customHeight="false" outlineLevel="0" collapsed="false">
      <c r="A252" s="5" t="s">
        <v>5377</v>
      </c>
      <c r="B252" s="5" t="s">
        <v>416</v>
      </c>
      <c r="C252" s="5" t="s">
        <v>152</v>
      </c>
      <c r="D252" s="5" t="s">
        <v>16</v>
      </c>
      <c r="E252" s="5" t="n">
        <f aca="false">ROUND(5769*1.05,2)</f>
        <v>6057.45</v>
      </c>
      <c r="F252" s="5" t="s">
        <v>49</v>
      </c>
      <c r="G252" s="5" t="s">
        <v>18</v>
      </c>
      <c r="H252" s="5" t="n">
        <f aca="true">ROUND(RAND()*4+6,1)</f>
        <v>6.3</v>
      </c>
      <c r="I252" s="5" t="s">
        <v>19</v>
      </c>
      <c r="J252" s="5" t="str">
        <f aca="false">ROUND(80*1,0)&amp;"%"</f>
        <v>80%</v>
      </c>
    </row>
    <row r="253" customFormat="false" ht="15" hidden="false" customHeight="false" outlineLevel="0" collapsed="false">
      <c r="A253" s="6" t="s">
        <v>5378</v>
      </c>
      <c r="B253" s="6" t="s">
        <v>418</v>
      </c>
      <c r="C253" s="6" t="s">
        <v>152</v>
      </c>
      <c r="D253" s="6" t="s">
        <v>22</v>
      </c>
      <c r="E253" s="6" t="n">
        <f aca="false">ROUND(11948*1.05,2)</f>
        <v>12545.4</v>
      </c>
      <c r="F253" s="6" t="s">
        <v>52</v>
      </c>
      <c r="G253" s="6" t="s">
        <v>24</v>
      </c>
      <c r="H253" s="6" t="n">
        <f aca="true">ROUND(RAND()*4+6,1)</f>
        <v>9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5379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5380</v>
      </c>
      <c r="B258" s="5" t="s">
        <v>422</v>
      </c>
      <c r="C258" s="5" t="s">
        <v>15</v>
      </c>
      <c r="D258" s="5" t="s">
        <v>16</v>
      </c>
      <c r="E258" s="5" t="n">
        <f aca="false">ROUND(7116*1.05,2)</f>
        <v>7471.8</v>
      </c>
      <c r="F258" s="5" t="s">
        <v>17</v>
      </c>
      <c r="G258" s="5" t="s">
        <v>18</v>
      </c>
      <c r="H258" s="5" t="n">
        <f aca="true">ROUND(RAND()*4+6,1)</f>
        <v>9.4</v>
      </c>
      <c r="I258" s="5" t="s">
        <v>19</v>
      </c>
      <c r="J258" s="5" t="str">
        <f aca="false">ROUND(78*1,0)&amp;"%"</f>
        <v>78%</v>
      </c>
    </row>
    <row r="259" customFormat="false" ht="15" hidden="false" customHeight="false" outlineLevel="0" collapsed="false">
      <c r="A259" s="6" t="s">
        <v>5381</v>
      </c>
      <c r="B259" s="6" t="s">
        <v>424</v>
      </c>
      <c r="C259" s="6" t="s">
        <v>15</v>
      </c>
      <c r="D259" s="6" t="s">
        <v>22</v>
      </c>
      <c r="E259" s="6" t="n">
        <f aca="false">ROUND(14288*1.05,2)</f>
        <v>15002.4</v>
      </c>
      <c r="F259" s="6" t="s">
        <v>23</v>
      </c>
      <c r="G259" s="6" t="s">
        <v>24</v>
      </c>
      <c r="H259" s="6" t="n">
        <f aca="true">ROUND(RAND()*4+6,1)</f>
        <v>7.2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5382</v>
      </c>
      <c r="B260" s="5" t="s">
        <v>426</v>
      </c>
      <c r="C260" s="5" t="s">
        <v>15</v>
      </c>
      <c r="D260" s="5" t="s">
        <v>28</v>
      </c>
      <c r="E260" s="5" t="n">
        <f aca="false">ROUND(6667*1.05,2)</f>
        <v>7000.35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ROUND(70*1,0)&amp;"%"</f>
        <v>70%</v>
      </c>
    </row>
    <row r="261" customFormat="false" ht="15" hidden="false" customHeight="false" outlineLevel="0" collapsed="false">
      <c r="A261" s="6" t="s">
        <v>5383</v>
      </c>
      <c r="B261" s="6" t="s">
        <v>428</v>
      </c>
      <c r="C261" s="6" t="s">
        <v>15</v>
      </c>
      <c r="D261" s="6" t="s">
        <v>34</v>
      </c>
      <c r="E261" s="6" t="n">
        <f aca="false">ROUND(8908*1.05,2)</f>
        <v>9353.4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ROUND(64*1,0)&amp;"%"</f>
        <v>64%</v>
      </c>
    </row>
    <row r="262" customFormat="false" ht="15" hidden="false" customHeight="false" outlineLevel="0" collapsed="false">
      <c r="A262" s="5" t="s">
        <v>5384</v>
      </c>
      <c r="B262" s="5" t="s">
        <v>430</v>
      </c>
      <c r="C262" s="5" t="s">
        <v>15</v>
      </c>
      <c r="D262" s="5" t="s">
        <v>39</v>
      </c>
      <c r="E262" s="5" t="n">
        <f aca="false">ROUND(5297*1.05,2)</f>
        <v>5561.85</v>
      </c>
      <c r="F262" s="5" t="s">
        <v>40</v>
      </c>
      <c r="G262" s="5" t="s">
        <v>24</v>
      </c>
      <c r="H262" s="5" t="n">
        <f aca="true">ROUND(RAND()*4+6,1)</f>
        <v>7.8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5385</v>
      </c>
      <c r="B263" s="6" t="s">
        <v>432</v>
      </c>
      <c r="C263" s="6" t="s">
        <v>15</v>
      </c>
      <c r="D263" s="6" t="s">
        <v>44</v>
      </c>
      <c r="E263" s="6" t="n">
        <f aca="false">ROUND(12824*1.05,2)</f>
        <v>13465.2</v>
      </c>
      <c r="F263" s="6" t="s">
        <v>45</v>
      </c>
      <c r="G263" s="6" t="s">
        <v>30</v>
      </c>
      <c r="H263" s="6" t="n">
        <f aca="true">ROUND(RAND()*4+6,1)</f>
        <v>6</v>
      </c>
      <c r="I263" s="6" t="s">
        <v>46</v>
      </c>
      <c r="J263" s="6" t="str">
        <f aca="false">ROUND(67*1,0)&amp;"%"</f>
        <v>67%</v>
      </c>
    </row>
    <row r="264" customFormat="false" ht="15" hidden="false" customHeight="false" outlineLevel="0" collapsed="false">
      <c r="A264" s="5" t="s">
        <v>5386</v>
      </c>
      <c r="B264" s="5" t="s">
        <v>434</v>
      </c>
      <c r="C264" s="5" t="s">
        <v>15</v>
      </c>
      <c r="D264" s="5" t="s">
        <v>16</v>
      </c>
      <c r="E264" s="5" t="n">
        <f aca="false">ROUND(15629*1.05,2)</f>
        <v>16410.45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ROUND(70*1,0)&amp;"%"</f>
        <v>70%</v>
      </c>
    </row>
    <row r="265" customFormat="false" ht="15" hidden="false" customHeight="false" outlineLevel="0" collapsed="false">
      <c r="A265" s="6" t="s">
        <v>5387</v>
      </c>
      <c r="B265" s="6" t="s">
        <v>436</v>
      </c>
      <c r="C265" s="6" t="s">
        <v>15</v>
      </c>
      <c r="D265" s="6" t="s">
        <v>22</v>
      </c>
      <c r="E265" s="6" t="n">
        <f aca="false">ROUND(12597*1.05,2)</f>
        <v>13226.85</v>
      </c>
      <c r="F265" s="6" t="s">
        <v>52</v>
      </c>
      <c r="G265" s="6" t="s">
        <v>24</v>
      </c>
      <c r="H265" s="6" t="n">
        <f aca="true">ROUND(RAND()*4+6,1)</f>
        <v>8.1</v>
      </c>
      <c r="I265" s="6" t="s">
        <v>25</v>
      </c>
      <c r="J265" s="6" t="str">
        <f aca="false">ROUND(78*1,0)&amp;"%"</f>
        <v>78%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5388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5389</v>
      </c>
      <c r="B270" s="5" t="s">
        <v>440</v>
      </c>
      <c r="C270" s="5" t="s">
        <v>57</v>
      </c>
      <c r="D270" s="5" t="s">
        <v>16</v>
      </c>
      <c r="E270" s="5" t="n">
        <f aca="false">ROUND(14607*1.05,2)</f>
        <v>15337.35</v>
      </c>
      <c r="F270" s="5" t="s">
        <v>17</v>
      </c>
      <c r="G270" s="5" t="s">
        <v>18</v>
      </c>
      <c r="H270" s="5" t="n">
        <f aca="true">ROUND(RAND()*4+6,1)</f>
        <v>8.9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5390</v>
      </c>
      <c r="B271" s="6" t="s">
        <v>442</v>
      </c>
      <c r="C271" s="6" t="s">
        <v>57</v>
      </c>
      <c r="D271" s="6" t="s">
        <v>22</v>
      </c>
      <c r="E271" s="6" t="n">
        <f aca="false">ROUND(8839*1.05,2)</f>
        <v>9280.95</v>
      </c>
      <c r="F271" s="6" t="s">
        <v>23</v>
      </c>
      <c r="G271" s="6" t="s">
        <v>24</v>
      </c>
      <c r="H271" s="6" t="n">
        <f aca="true">ROUND(RAND()*4+6,1)</f>
        <v>8.7</v>
      </c>
      <c r="I271" s="6" t="s">
        <v>25</v>
      </c>
      <c r="J271" s="6" t="str">
        <f aca="false">ROUND(67*1,0)&amp;"%"</f>
        <v>67%</v>
      </c>
    </row>
    <row r="272" customFormat="false" ht="15" hidden="false" customHeight="false" outlineLevel="0" collapsed="false">
      <c r="A272" s="5" t="s">
        <v>5391</v>
      </c>
      <c r="B272" s="5" t="s">
        <v>444</v>
      </c>
      <c r="C272" s="5" t="s">
        <v>57</v>
      </c>
      <c r="D272" s="5" t="s">
        <v>28</v>
      </c>
      <c r="E272" s="5" t="n">
        <f aca="false">ROUND(5281*1.05,2)</f>
        <v>5545.05</v>
      </c>
      <c r="F272" s="5" t="s">
        <v>29</v>
      </c>
      <c r="G272" s="5" t="s">
        <v>30</v>
      </c>
      <c r="H272" s="5" t="n">
        <f aca="true">ROUND(RAND()*4+6,1)</f>
        <v>8.5</v>
      </c>
      <c r="I272" s="5" t="s">
        <v>31</v>
      </c>
      <c r="J272" s="5" t="str">
        <f aca="false">ROUND(83*1,0)&amp;"%"</f>
        <v>83%</v>
      </c>
    </row>
    <row r="273" customFormat="false" ht="15" hidden="false" customHeight="false" outlineLevel="0" collapsed="false">
      <c r="A273" s="6" t="s">
        <v>5392</v>
      </c>
      <c r="B273" s="6" t="s">
        <v>446</v>
      </c>
      <c r="C273" s="6" t="s">
        <v>57</v>
      </c>
      <c r="D273" s="6" t="s">
        <v>34</v>
      </c>
      <c r="E273" s="6" t="n">
        <f aca="false">ROUND(12687*1.05,2)</f>
        <v>13321.35</v>
      </c>
      <c r="F273" s="6" t="s">
        <v>35</v>
      </c>
      <c r="G273" s="6" t="s">
        <v>18</v>
      </c>
      <c r="H273" s="6" t="n">
        <f aca="true">ROUND(RAND()*4+6,1)</f>
        <v>6.8</v>
      </c>
      <c r="I273" s="6" t="s">
        <v>36</v>
      </c>
      <c r="J273" s="6" t="str">
        <f aca="false">ROUND(93*1,0)&amp;"%"</f>
        <v>93%</v>
      </c>
    </row>
    <row r="274" customFormat="false" ht="15" hidden="false" customHeight="false" outlineLevel="0" collapsed="false">
      <c r="A274" s="5" t="s">
        <v>5393</v>
      </c>
      <c r="B274" s="5" t="s">
        <v>448</v>
      </c>
      <c r="C274" s="5" t="s">
        <v>57</v>
      </c>
      <c r="D274" s="5" t="s">
        <v>39</v>
      </c>
      <c r="E274" s="5" t="n">
        <f aca="false">ROUND(4471*1.05,2)</f>
        <v>4694.55</v>
      </c>
      <c r="F274" s="5" t="s">
        <v>40</v>
      </c>
      <c r="G274" s="5" t="s">
        <v>24</v>
      </c>
      <c r="H274" s="5" t="n">
        <f aca="true">ROUND(RAND()*4+6,1)</f>
        <v>7.2</v>
      </c>
      <c r="I274" s="5" t="s">
        <v>41</v>
      </c>
      <c r="J274" s="5" t="str">
        <f aca="false">ROUND(75*1,0)&amp;"%"</f>
        <v>75%</v>
      </c>
    </row>
    <row r="275" customFormat="false" ht="15" hidden="false" customHeight="false" outlineLevel="0" collapsed="false">
      <c r="A275" s="6" t="s">
        <v>5394</v>
      </c>
      <c r="B275" s="6" t="s">
        <v>450</v>
      </c>
      <c r="C275" s="6" t="s">
        <v>57</v>
      </c>
      <c r="D275" s="6" t="s">
        <v>44</v>
      </c>
      <c r="E275" s="6" t="n">
        <f aca="false">ROUND(6449*1.05,2)</f>
        <v>6771.45</v>
      </c>
      <c r="F275" s="6" t="s">
        <v>45</v>
      </c>
      <c r="G275" s="6" t="s">
        <v>30</v>
      </c>
      <c r="H275" s="6" t="n">
        <f aca="true">ROUND(RAND()*4+6,1)</f>
        <v>8.1</v>
      </c>
      <c r="I275" s="6" t="s">
        <v>46</v>
      </c>
      <c r="J275" s="6" t="str">
        <f aca="false">ROUND(78*1,0)&amp;"%"</f>
        <v>78%</v>
      </c>
    </row>
    <row r="276" customFormat="false" ht="15" hidden="false" customHeight="false" outlineLevel="0" collapsed="false">
      <c r="A276" s="5" t="s">
        <v>5395</v>
      </c>
      <c r="B276" s="5" t="s">
        <v>452</v>
      </c>
      <c r="C276" s="5" t="s">
        <v>57</v>
      </c>
      <c r="D276" s="5" t="s">
        <v>16</v>
      </c>
      <c r="E276" s="5" t="n">
        <f aca="false">ROUND(15523*1.05,2)</f>
        <v>16299.15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ROUND(64*1,0)&amp;"%"</f>
        <v>64%</v>
      </c>
    </row>
    <row r="277" customFormat="false" ht="15" hidden="false" customHeight="false" outlineLevel="0" collapsed="false">
      <c r="A277" s="6" t="s">
        <v>5396</v>
      </c>
      <c r="B277" s="6" t="s">
        <v>454</v>
      </c>
      <c r="C277" s="6" t="s">
        <v>57</v>
      </c>
      <c r="D277" s="6" t="s">
        <v>22</v>
      </c>
      <c r="E277" s="6" t="n">
        <f aca="false">ROUND(15953*1.05,2)</f>
        <v>16750.65</v>
      </c>
      <c r="F277" s="6" t="s">
        <v>52</v>
      </c>
      <c r="G277" s="6" t="s">
        <v>24</v>
      </c>
      <c r="H277" s="6" t="n">
        <f aca="true">ROUND(RAND()*4+6,1)</f>
        <v>6.4</v>
      </c>
      <c r="I277" s="6" t="s">
        <v>25</v>
      </c>
      <c r="J277" s="6" t="str">
        <f aca="false">ROUND(86*1,0)&amp;"%"</f>
        <v>86%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5397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5398</v>
      </c>
      <c r="B282" s="5" t="s">
        <v>458</v>
      </c>
      <c r="C282" s="5" t="s">
        <v>76</v>
      </c>
      <c r="D282" s="5" t="s">
        <v>16</v>
      </c>
      <c r="E282" s="5" t="n">
        <f aca="false">ROUND(17961*1.05,2)</f>
        <v>18859.05</v>
      </c>
      <c r="F282" s="5" t="s">
        <v>17</v>
      </c>
      <c r="G282" s="5" t="s">
        <v>18</v>
      </c>
      <c r="H282" s="5" t="n">
        <f aca="true">ROUND(RAND()*4+6,1)</f>
        <v>7.6</v>
      </c>
      <c r="I282" s="5" t="s">
        <v>19</v>
      </c>
      <c r="J282" s="5" t="str">
        <f aca="false">ROUND(61*1,0)&amp;"%"</f>
        <v>61%</v>
      </c>
    </row>
    <row r="283" customFormat="false" ht="15" hidden="false" customHeight="false" outlineLevel="0" collapsed="false">
      <c r="A283" s="6" t="s">
        <v>5399</v>
      </c>
      <c r="B283" s="6" t="s">
        <v>460</v>
      </c>
      <c r="C283" s="6" t="s">
        <v>76</v>
      </c>
      <c r="D283" s="6" t="s">
        <v>22</v>
      </c>
      <c r="E283" s="6" t="n">
        <f aca="false">ROUND(12599*1.05,2)</f>
        <v>13228.95</v>
      </c>
      <c r="F283" s="6" t="s">
        <v>23</v>
      </c>
      <c r="G283" s="6" t="s">
        <v>24</v>
      </c>
      <c r="H283" s="6" t="n">
        <f aca="true">ROUND(RAND()*4+6,1)</f>
        <v>6.3</v>
      </c>
      <c r="I283" s="6" t="s">
        <v>25</v>
      </c>
      <c r="J283" s="6" t="str">
        <f aca="false">ROUND(67*1,0)&amp;"%"</f>
        <v>67%</v>
      </c>
    </row>
    <row r="284" customFormat="false" ht="15" hidden="false" customHeight="false" outlineLevel="0" collapsed="false">
      <c r="A284" s="5" t="s">
        <v>5400</v>
      </c>
      <c r="B284" s="5" t="s">
        <v>462</v>
      </c>
      <c r="C284" s="5" t="s">
        <v>76</v>
      </c>
      <c r="D284" s="5" t="s">
        <v>28</v>
      </c>
      <c r="E284" s="5" t="n">
        <f aca="false">ROUND(4134*1.05,2)</f>
        <v>4340.7</v>
      </c>
      <c r="F284" s="5" t="s">
        <v>29</v>
      </c>
      <c r="G284" s="5" t="s">
        <v>30</v>
      </c>
      <c r="H284" s="5" t="n">
        <f aca="true">ROUND(RAND()*4+6,1)</f>
        <v>8.7</v>
      </c>
      <c r="I284" s="5" t="s">
        <v>31</v>
      </c>
      <c r="J284" s="5" t="str">
        <f aca="false">ROUND(68*1,0)&amp;"%"</f>
        <v>68%</v>
      </c>
    </row>
    <row r="285" customFormat="false" ht="15" hidden="false" customHeight="false" outlineLevel="0" collapsed="false">
      <c r="A285" s="6" t="s">
        <v>5401</v>
      </c>
      <c r="B285" s="6" t="s">
        <v>464</v>
      </c>
      <c r="C285" s="6" t="s">
        <v>76</v>
      </c>
      <c r="D285" s="6" t="s">
        <v>34</v>
      </c>
      <c r="E285" s="6" t="n">
        <f aca="false">ROUND(10546*1.05,2)</f>
        <v>11073.3</v>
      </c>
      <c r="F285" s="6" t="s">
        <v>35</v>
      </c>
      <c r="G285" s="6" t="s">
        <v>18</v>
      </c>
      <c r="H285" s="6" t="n">
        <f aca="true">ROUND(RAND()*4+6,1)</f>
        <v>9.3</v>
      </c>
      <c r="I285" s="6" t="s">
        <v>36</v>
      </c>
      <c r="J285" s="6" t="str">
        <f aca="false">ROUND(62*1,0)&amp;"%"</f>
        <v>62%</v>
      </c>
    </row>
    <row r="286" customFormat="false" ht="15" hidden="false" customHeight="false" outlineLevel="0" collapsed="false">
      <c r="A286" s="5" t="s">
        <v>5402</v>
      </c>
      <c r="B286" s="5" t="s">
        <v>466</v>
      </c>
      <c r="C286" s="5" t="s">
        <v>76</v>
      </c>
      <c r="D286" s="5" t="s">
        <v>39</v>
      </c>
      <c r="E286" s="5" t="n">
        <f aca="false">ROUND(8948*1.05,2)</f>
        <v>9395.4</v>
      </c>
      <c r="F286" s="5" t="s">
        <v>40</v>
      </c>
      <c r="G286" s="5" t="s">
        <v>24</v>
      </c>
      <c r="H286" s="5" t="n">
        <f aca="true">ROUND(RAND()*4+6,1)</f>
        <v>8.8</v>
      </c>
      <c r="I286" s="5" t="s">
        <v>41</v>
      </c>
      <c r="J286" s="5" t="str">
        <f aca="false">ROUND(69*1,0)&amp;"%"</f>
        <v>69%</v>
      </c>
    </row>
    <row r="287" customFormat="false" ht="15" hidden="false" customHeight="false" outlineLevel="0" collapsed="false">
      <c r="A287" s="6" t="s">
        <v>5403</v>
      </c>
      <c r="B287" s="6" t="s">
        <v>468</v>
      </c>
      <c r="C287" s="6" t="s">
        <v>76</v>
      </c>
      <c r="D287" s="6" t="s">
        <v>44</v>
      </c>
      <c r="E287" s="6" t="n">
        <f aca="false">ROUND(4874*1.05,2)</f>
        <v>5117.7</v>
      </c>
      <c r="F287" s="6" t="s">
        <v>45</v>
      </c>
      <c r="G287" s="6" t="s">
        <v>30</v>
      </c>
      <c r="H287" s="6" t="n">
        <f aca="true">ROUND(RAND()*4+6,1)</f>
        <v>10</v>
      </c>
      <c r="I287" s="6" t="s">
        <v>46</v>
      </c>
      <c r="J287" s="6" t="str">
        <f aca="false">ROUND(88*1,0)&amp;"%"</f>
        <v>88%</v>
      </c>
    </row>
    <row r="288" customFormat="false" ht="15" hidden="false" customHeight="false" outlineLevel="0" collapsed="false">
      <c r="A288" s="5" t="s">
        <v>5404</v>
      </c>
      <c r="B288" s="5" t="s">
        <v>470</v>
      </c>
      <c r="C288" s="5" t="s">
        <v>76</v>
      </c>
      <c r="D288" s="5" t="s">
        <v>16</v>
      </c>
      <c r="E288" s="5" t="n">
        <f aca="false">ROUND(6340*1.05,2)</f>
        <v>6657</v>
      </c>
      <c r="F288" s="5" t="s">
        <v>49</v>
      </c>
      <c r="G288" s="5" t="s">
        <v>18</v>
      </c>
      <c r="H288" s="5" t="n">
        <f aca="true">ROUND(RAND()*4+6,1)</f>
        <v>9.3</v>
      </c>
      <c r="I288" s="5" t="s">
        <v>19</v>
      </c>
      <c r="J288" s="5" t="str">
        <f aca="false">ROUND(92*1,0)&amp;"%"</f>
        <v>92%</v>
      </c>
    </row>
    <row r="289" customFormat="false" ht="15" hidden="false" customHeight="false" outlineLevel="0" collapsed="false">
      <c r="A289" s="6" t="s">
        <v>5405</v>
      </c>
      <c r="B289" s="6" t="s">
        <v>472</v>
      </c>
      <c r="C289" s="6" t="s">
        <v>76</v>
      </c>
      <c r="D289" s="6" t="s">
        <v>22</v>
      </c>
      <c r="E289" s="6" t="n">
        <f aca="false">ROUND(10788*1.05,2)</f>
        <v>11327.4</v>
      </c>
      <c r="F289" s="6" t="s">
        <v>52</v>
      </c>
      <c r="G289" s="6" t="s">
        <v>24</v>
      </c>
      <c r="H289" s="6" t="n">
        <f aca="true">ROUND(RAND()*4+6,1)</f>
        <v>9.8</v>
      </c>
      <c r="I289" s="6" t="s">
        <v>25</v>
      </c>
      <c r="J289" s="6" t="str">
        <f aca="false">ROUND(97*1,0)&amp;"%"</f>
        <v>97%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5406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5407</v>
      </c>
      <c r="B294" s="5" t="s">
        <v>476</v>
      </c>
      <c r="C294" s="5" t="s">
        <v>95</v>
      </c>
      <c r="D294" s="5" t="s">
        <v>16</v>
      </c>
      <c r="E294" s="5" t="n">
        <f aca="false">ROUND(11603*1.05,2)</f>
        <v>12183.15</v>
      </c>
      <c r="F294" s="5" t="s">
        <v>17</v>
      </c>
      <c r="G294" s="5" t="s">
        <v>18</v>
      </c>
      <c r="H294" s="5" t="n">
        <f aca="true">ROUND(RAND()*4+6,1)</f>
        <v>7.5</v>
      </c>
      <c r="I294" s="5" t="s">
        <v>19</v>
      </c>
      <c r="J294" s="5" t="str">
        <f aca="false">ROUND(83*1,0)&amp;"%"</f>
        <v>83%</v>
      </c>
    </row>
    <row r="295" customFormat="false" ht="15" hidden="false" customHeight="false" outlineLevel="0" collapsed="false">
      <c r="A295" s="6" t="s">
        <v>5408</v>
      </c>
      <c r="B295" s="6" t="s">
        <v>478</v>
      </c>
      <c r="C295" s="6" t="s">
        <v>95</v>
      </c>
      <c r="D295" s="6" t="s">
        <v>22</v>
      </c>
      <c r="E295" s="6" t="n">
        <f aca="false">ROUND(11684*1.05,2)</f>
        <v>12268.2</v>
      </c>
      <c r="F295" s="6" t="s">
        <v>23</v>
      </c>
      <c r="G295" s="6" t="s">
        <v>24</v>
      </c>
      <c r="H295" s="6" t="n">
        <f aca="true">ROUND(RAND()*4+6,1)</f>
        <v>6.2</v>
      </c>
      <c r="I295" s="6" t="s">
        <v>25</v>
      </c>
      <c r="J295" s="6" t="str">
        <f aca="false">ROUND(88*1,0)&amp;"%"</f>
        <v>88%</v>
      </c>
    </row>
    <row r="296" customFormat="false" ht="15" hidden="false" customHeight="false" outlineLevel="0" collapsed="false">
      <c r="A296" s="5" t="s">
        <v>5409</v>
      </c>
      <c r="B296" s="5" t="s">
        <v>480</v>
      </c>
      <c r="C296" s="5" t="s">
        <v>95</v>
      </c>
      <c r="D296" s="5" t="s">
        <v>28</v>
      </c>
      <c r="E296" s="5" t="n">
        <f aca="false">ROUND(16803*1.05,2)</f>
        <v>17643.15</v>
      </c>
      <c r="F296" s="5" t="s">
        <v>29</v>
      </c>
      <c r="G296" s="5" t="s">
        <v>30</v>
      </c>
      <c r="H296" s="5" t="n">
        <f aca="true">ROUND(RAND()*4+6,1)</f>
        <v>7.5</v>
      </c>
      <c r="I296" s="5" t="s">
        <v>31</v>
      </c>
      <c r="J296" s="5" t="str">
        <f aca="false">ROUND(82*1,0)&amp;"%"</f>
        <v>82%</v>
      </c>
    </row>
    <row r="297" customFormat="false" ht="15" hidden="false" customHeight="false" outlineLevel="0" collapsed="false">
      <c r="A297" s="6" t="s">
        <v>5410</v>
      </c>
      <c r="B297" s="6" t="s">
        <v>482</v>
      </c>
      <c r="C297" s="6" t="s">
        <v>95</v>
      </c>
      <c r="D297" s="6" t="s">
        <v>34</v>
      </c>
      <c r="E297" s="6" t="n">
        <f aca="false">ROUND(4968*1.05,2)</f>
        <v>5216.4</v>
      </c>
      <c r="F297" s="6" t="s">
        <v>35</v>
      </c>
      <c r="G297" s="6" t="s">
        <v>18</v>
      </c>
      <c r="H297" s="6" t="n">
        <f aca="true">ROUND(RAND()*4+6,1)</f>
        <v>7.8</v>
      </c>
      <c r="I297" s="6" t="s">
        <v>36</v>
      </c>
      <c r="J297" s="6" t="str">
        <f aca="false">ROUND(93*1,0)&amp;"%"</f>
        <v>93%</v>
      </c>
    </row>
    <row r="298" customFormat="false" ht="15" hidden="false" customHeight="false" outlineLevel="0" collapsed="false">
      <c r="A298" s="5" t="s">
        <v>5411</v>
      </c>
      <c r="B298" s="5" t="s">
        <v>484</v>
      </c>
      <c r="C298" s="5" t="s">
        <v>95</v>
      </c>
      <c r="D298" s="5" t="s">
        <v>39</v>
      </c>
      <c r="E298" s="5" t="n">
        <f aca="false">ROUND(15511*1.05,2)</f>
        <v>16286.55</v>
      </c>
      <c r="F298" s="5" t="s">
        <v>40</v>
      </c>
      <c r="G298" s="5" t="s">
        <v>24</v>
      </c>
      <c r="H298" s="5" t="n">
        <f aca="true">ROUND(RAND()*4+6,1)</f>
        <v>9.8</v>
      </c>
      <c r="I298" s="5" t="s">
        <v>41</v>
      </c>
      <c r="J298" s="5" t="str">
        <f aca="false">ROUND(92*1,0)&amp;"%"</f>
        <v>92%</v>
      </c>
    </row>
    <row r="299" customFormat="false" ht="15" hidden="false" customHeight="false" outlineLevel="0" collapsed="false">
      <c r="A299" s="6" t="s">
        <v>5412</v>
      </c>
      <c r="B299" s="6" t="s">
        <v>486</v>
      </c>
      <c r="C299" s="6" t="s">
        <v>95</v>
      </c>
      <c r="D299" s="6" t="s">
        <v>44</v>
      </c>
      <c r="E299" s="6" t="n">
        <f aca="false">ROUND(16282*1.05,2)</f>
        <v>17096.1</v>
      </c>
      <c r="F299" s="6" t="s">
        <v>45</v>
      </c>
      <c r="G299" s="6" t="s">
        <v>30</v>
      </c>
      <c r="H299" s="6" t="n">
        <f aca="true">ROUND(RAND()*4+6,1)</f>
        <v>7</v>
      </c>
      <c r="I299" s="6" t="s">
        <v>46</v>
      </c>
      <c r="J299" s="6" t="str">
        <f aca="false">ROUND(96*1,0)&amp;"%"</f>
        <v>96%</v>
      </c>
    </row>
    <row r="300" customFormat="false" ht="15" hidden="false" customHeight="false" outlineLevel="0" collapsed="false">
      <c r="A300" s="5" t="s">
        <v>5413</v>
      </c>
      <c r="B300" s="5" t="s">
        <v>488</v>
      </c>
      <c r="C300" s="5" t="s">
        <v>95</v>
      </c>
      <c r="D300" s="5" t="s">
        <v>16</v>
      </c>
      <c r="E300" s="5" t="n">
        <f aca="false">ROUND(17902*1.05,2)</f>
        <v>18797.1</v>
      </c>
      <c r="F300" s="5" t="s">
        <v>49</v>
      </c>
      <c r="G300" s="5" t="s">
        <v>18</v>
      </c>
      <c r="H300" s="5" t="n">
        <f aca="true">ROUND(RAND()*4+6,1)</f>
        <v>7.5</v>
      </c>
      <c r="I300" s="5" t="s">
        <v>19</v>
      </c>
      <c r="J300" s="5" t="str">
        <f aca="false">ROUND(63*1,0)&amp;"%"</f>
        <v>63%</v>
      </c>
    </row>
    <row r="301" customFormat="false" ht="15" hidden="false" customHeight="false" outlineLevel="0" collapsed="false">
      <c r="A301" s="6" t="s">
        <v>5414</v>
      </c>
      <c r="B301" s="6" t="s">
        <v>490</v>
      </c>
      <c r="C301" s="6" t="s">
        <v>95</v>
      </c>
      <c r="D301" s="6" t="s">
        <v>22</v>
      </c>
      <c r="E301" s="6" t="n">
        <f aca="false">ROUND(10830*1.05,2)</f>
        <v>11371.5</v>
      </c>
      <c r="F301" s="6" t="s">
        <v>52</v>
      </c>
      <c r="G301" s="6" t="s">
        <v>24</v>
      </c>
      <c r="H301" s="6" t="n">
        <f aca="true">ROUND(RAND()*4+6,1)</f>
        <v>6.8</v>
      </c>
      <c r="I301" s="6" t="s">
        <v>25</v>
      </c>
      <c r="J301" s="6" t="str">
        <f aca="false">ROUND(88*1,0)&amp;"%"</f>
        <v>88%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5415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5416</v>
      </c>
      <c r="B306" s="5" t="s">
        <v>494</v>
      </c>
      <c r="C306" s="5" t="s">
        <v>114</v>
      </c>
      <c r="D306" s="5" t="s">
        <v>16</v>
      </c>
      <c r="E306" s="5" t="n">
        <f aca="false">ROUND(4586*1.05,2)</f>
        <v>4815.3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ROUND(92*1,0)&amp;"%"</f>
        <v>92%</v>
      </c>
    </row>
    <row r="307" customFormat="false" ht="15" hidden="false" customHeight="false" outlineLevel="0" collapsed="false">
      <c r="A307" s="6" t="s">
        <v>5417</v>
      </c>
      <c r="B307" s="6" t="s">
        <v>496</v>
      </c>
      <c r="C307" s="6" t="s">
        <v>114</v>
      </c>
      <c r="D307" s="6" t="s">
        <v>22</v>
      </c>
      <c r="E307" s="6" t="n">
        <f aca="false">ROUND(14256*1.05,2)</f>
        <v>14968.8</v>
      </c>
      <c r="F307" s="6" t="s">
        <v>23</v>
      </c>
      <c r="G307" s="6" t="s">
        <v>24</v>
      </c>
      <c r="H307" s="6" t="n">
        <f aca="true">ROUND(RAND()*4+6,1)</f>
        <v>9.7</v>
      </c>
      <c r="I307" s="6" t="s">
        <v>25</v>
      </c>
      <c r="J307" s="6" t="str">
        <f aca="false">ROUND(66*1,0)&amp;"%"</f>
        <v>66%</v>
      </c>
    </row>
    <row r="308" customFormat="false" ht="15" hidden="false" customHeight="false" outlineLevel="0" collapsed="false">
      <c r="A308" s="5" t="s">
        <v>5418</v>
      </c>
      <c r="B308" s="5" t="s">
        <v>498</v>
      </c>
      <c r="C308" s="5" t="s">
        <v>114</v>
      </c>
      <c r="D308" s="5" t="s">
        <v>28</v>
      </c>
      <c r="E308" s="5" t="n">
        <f aca="false">ROUND(16610*1.05,2)</f>
        <v>17440.5</v>
      </c>
      <c r="F308" s="5" t="s">
        <v>29</v>
      </c>
      <c r="G308" s="5" t="s">
        <v>30</v>
      </c>
      <c r="H308" s="5" t="n">
        <f aca="true">ROUND(RAND()*4+6,1)</f>
        <v>6.4</v>
      </c>
      <c r="I308" s="5" t="s">
        <v>31</v>
      </c>
      <c r="J308" s="5" t="str">
        <f aca="false">ROUND(74*1,0)&amp;"%"</f>
        <v>74%</v>
      </c>
    </row>
    <row r="309" customFormat="false" ht="15" hidden="false" customHeight="false" outlineLevel="0" collapsed="false">
      <c r="A309" s="6" t="s">
        <v>5419</v>
      </c>
      <c r="B309" s="6" t="s">
        <v>500</v>
      </c>
      <c r="C309" s="6" t="s">
        <v>114</v>
      </c>
      <c r="D309" s="6" t="s">
        <v>34</v>
      </c>
      <c r="E309" s="6" t="n">
        <f aca="false">ROUND(14184*1.05,2)</f>
        <v>14893.2</v>
      </c>
      <c r="F309" s="6" t="s">
        <v>35</v>
      </c>
      <c r="G309" s="6" t="s">
        <v>18</v>
      </c>
      <c r="H309" s="6" t="n">
        <f aca="true">ROUND(RAND()*4+6,1)</f>
        <v>9.2</v>
      </c>
      <c r="I309" s="6" t="s">
        <v>36</v>
      </c>
      <c r="J309" s="6" t="str">
        <f aca="false">ROUND(100*1,0)&amp;"%"</f>
        <v>100%</v>
      </c>
    </row>
    <row r="310" customFormat="false" ht="15" hidden="false" customHeight="false" outlineLevel="0" collapsed="false">
      <c r="A310" s="5" t="s">
        <v>5420</v>
      </c>
      <c r="B310" s="5" t="s">
        <v>502</v>
      </c>
      <c r="C310" s="5" t="s">
        <v>114</v>
      </c>
      <c r="D310" s="5" t="s">
        <v>39</v>
      </c>
      <c r="E310" s="5" t="n">
        <f aca="false">ROUND(11126*1.05,2)</f>
        <v>11682.3</v>
      </c>
      <c r="F310" s="5" t="s">
        <v>40</v>
      </c>
      <c r="G310" s="5" t="s">
        <v>24</v>
      </c>
      <c r="H310" s="5" t="n">
        <f aca="true">ROUND(RAND()*4+6,1)</f>
        <v>9.7</v>
      </c>
      <c r="I310" s="5" t="s">
        <v>41</v>
      </c>
      <c r="J310" s="5" t="str">
        <f aca="false">ROUND(91*1,0)&amp;"%"</f>
        <v>91%</v>
      </c>
    </row>
    <row r="311" customFormat="false" ht="15" hidden="false" customHeight="false" outlineLevel="0" collapsed="false">
      <c r="A311" s="6" t="s">
        <v>5421</v>
      </c>
      <c r="B311" s="6" t="s">
        <v>504</v>
      </c>
      <c r="C311" s="6" t="s">
        <v>114</v>
      </c>
      <c r="D311" s="6" t="s">
        <v>44</v>
      </c>
      <c r="E311" s="6" t="n">
        <f aca="false">ROUND(16837*1.05,2)</f>
        <v>17678.85</v>
      </c>
      <c r="F311" s="6" t="s">
        <v>45</v>
      </c>
      <c r="G311" s="6" t="s">
        <v>30</v>
      </c>
      <c r="H311" s="6" t="n">
        <f aca="true">ROUND(RAND()*4+6,1)</f>
        <v>7.2</v>
      </c>
      <c r="I311" s="6" t="s">
        <v>46</v>
      </c>
      <c r="J311" s="6" t="str">
        <f aca="false">ROUND(78*1,0)&amp;"%"</f>
        <v>78%</v>
      </c>
    </row>
    <row r="312" customFormat="false" ht="15" hidden="false" customHeight="false" outlineLevel="0" collapsed="false">
      <c r="A312" s="5" t="s">
        <v>5422</v>
      </c>
      <c r="B312" s="5" t="s">
        <v>506</v>
      </c>
      <c r="C312" s="5" t="s">
        <v>114</v>
      </c>
      <c r="D312" s="5" t="s">
        <v>16</v>
      </c>
      <c r="E312" s="5" t="n">
        <f aca="false">ROUND(4726*1.05,2)</f>
        <v>4962.3</v>
      </c>
      <c r="F312" s="5" t="s">
        <v>49</v>
      </c>
      <c r="G312" s="5" t="s">
        <v>18</v>
      </c>
      <c r="H312" s="5" t="n">
        <f aca="true">ROUND(RAND()*4+6,1)</f>
        <v>8</v>
      </c>
      <c r="I312" s="5" t="s">
        <v>19</v>
      </c>
      <c r="J312" s="5" t="str">
        <f aca="false">ROUND(73*1,0)&amp;"%"</f>
        <v>73%</v>
      </c>
    </row>
    <row r="313" customFormat="false" ht="15" hidden="false" customHeight="false" outlineLevel="0" collapsed="false">
      <c r="A313" s="6" t="s">
        <v>5423</v>
      </c>
      <c r="B313" s="6" t="s">
        <v>508</v>
      </c>
      <c r="C313" s="6" t="s">
        <v>114</v>
      </c>
      <c r="D313" s="6" t="s">
        <v>22</v>
      </c>
      <c r="E313" s="6" t="n">
        <f aca="false">ROUND(16927*1.05,2)</f>
        <v>17773.35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ROUND(70*1,0)&amp;"%"</f>
        <v>70%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5424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5425</v>
      </c>
      <c r="B318" s="5" t="s">
        <v>512</v>
      </c>
      <c r="C318" s="5" t="s">
        <v>133</v>
      </c>
      <c r="D318" s="5" t="s">
        <v>16</v>
      </c>
      <c r="E318" s="5" t="n">
        <f aca="false">ROUND(11913*1.05,2)</f>
        <v>12508.65</v>
      </c>
      <c r="F318" s="5" t="s">
        <v>17</v>
      </c>
      <c r="G318" s="5" t="s">
        <v>18</v>
      </c>
      <c r="H318" s="5" t="n">
        <f aca="true">ROUND(RAND()*4+6,1)</f>
        <v>7.5</v>
      </c>
      <c r="I318" s="5" t="s">
        <v>19</v>
      </c>
      <c r="J318" s="5" t="str">
        <f aca="false">ROUND(85*1,0)&amp;"%"</f>
        <v>85%</v>
      </c>
    </row>
    <row r="319" customFormat="false" ht="15" hidden="false" customHeight="false" outlineLevel="0" collapsed="false">
      <c r="A319" s="6" t="s">
        <v>5426</v>
      </c>
      <c r="B319" s="6" t="s">
        <v>514</v>
      </c>
      <c r="C319" s="6" t="s">
        <v>133</v>
      </c>
      <c r="D319" s="6" t="s">
        <v>22</v>
      </c>
      <c r="E319" s="6" t="n">
        <f aca="false">ROUND(10696*1.05,2)</f>
        <v>11230.8</v>
      </c>
      <c r="F319" s="6" t="s">
        <v>23</v>
      </c>
      <c r="G319" s="6" t="s">
        <v>24</v>
      </c>
      <c r="H319" s="6" t="n">
        <f aca="true">ROUND(RAND()*4+6,1)</f>
        <v>6.3</v>
      </c>
      <c r="I319" s="6" t="s">
        <v>25</v>
      </c>
      <c r="J319" s="6" t="str">
        <f aca="false">ROUND(71*1,0)&amp;"%"</f>
        <v>71%</v>
      </c>
    </row>
    <row r="320" customFormat="false" ht="15" hidden="false" customHeight="false" outlineLevel="0" collapsed="false">
      <c r="A320" s="5" t="s">
        <v>5427</v>
      </c>
      <c r="B320" s="5" t="s">
        <v>516</v>
      </c>
      <c r="C320" s="5" t="s">
        <v>133</v>
      </c>
      <c r="D320" s="5" t="s">
        <v>28</v>
      </c>
      <c r="E320" s="5" t="n">
        <f aca="false">ROUND(6981*1.05,2)</f>
        <v>7330.05</v>
      </c>
      <c r="F320" s="5" t="s">
        <v>29</v>
      </c>
      <c r="G320" s="5" t="s">
        <v>30</v>
      </c>
      <c r="H320" s="5" t="n">
        <f aca="true">ROUND(RAND()*4+6,1)</f>
        <v>8.3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5428</v>
      </c>
      <c r="B321" s="6" t="s">
        <v>518</v>
      </c>
      <c r="C321" s="6" t="s">
        <v>133</v>
      </c>
      <c r="D321" s="6" t="s">
        <v>34</v>
      </c>
      <c r="E321" s="6" t="n">
        <f aca="false">ROUND(8849*1.05,2)</f>
        <v>9291.45</v>
      </c>
      <c r="F321" s="6" t="s">
        <v>35</v>
      </c>
      <c r="G321" s="6" t="s">
        <v>18</v>
      </c>
      <c r="H321" s="6" t="n">
        <f aca="true">ROUND(RAND()*4+6,1)</f>
        <v>8.7</v>
      </c>
      <c r="I321" s="6" t="s">
        <v>36</v>
      </c>
      <c r="J321" s="6" t="str">
        <f aca="false">ROUND(68*1,0)&amp;"%"</f>
        <v>68%</v>
      </c>
    </row>
    <row r="322" customFormat="false" ht="15" hidden="false" customHeight="false" outlineLevel="0" collapsed="false">
      <c r="A322" s="5" t="s">
        <v>5429</v>
      </c>
      <c r="B322" s="5" t="s">
        <v>520</v>
      </c>
      <c r="C322" s="5" t="s">
        <v>133</v>
      </c>
      <c r="D322" s="5" t="s">
        <v>39</v>
      </c>
      <c r="E322" s="5" t="n">
        <f aca="false">ROUND(8904*1.05,2)</f>
        <v>9349.2</v>
      </c>
      <c r="F322" s="5" t="s">
        <v>40</v>
      </c>
      <c r="G322" s="5" t="s">
        <v>24</v>
      </c>
      <c r="H322" s="5" t="n">
        <f aca="true">ROUND(RAND()*4+6,1)</f>
        <v>7.9</v>
      </c>
      <c r="I322" s="5" t="s">
        <v>41</v>
      </c>
      <c r="J322" s="5" t="str">
        <f aca="false">ROUND(81*1,0)&amp;"%"</f>
        <v>81%</v>
      </c>
    </row>
    <row r="323" customFormat="false" ht="15" hidden="false" customHeight="false" outlineLevel="0" collapsed="false">
      <c r="A323" s="6" t="s">
        <v>5430</v>
      </c>
      <c r="B323" s="6" t="s">
        <v>522</v>
      </c>
      <c r="C323" s="6" t="s">
        <v>133</v>
      </c>
      <c r="D323" s="6" t="s">
        <v>44</v>
      </c>
      <c r="E323" s="6" t="n">
        <f aca="false">ROUND(14026*1.05,2)</f>
        <v>14727.3</v>
      </c>
      <c r="F323" s="6" t="s">
        <v>45</v>
      </c>
      <c r="G323" s="6" t="s">
        <v>30</v>
      </c>
      <c r="H323" s="6" t="n">
        <f aca="true">ROUND(RAND()*4+6,1)</f>
        <v>8.3</v>
      </c>
      <c r="I323" s="6" t="s">
        <v>46</v>
      </c>
      <c r="J323" s="6" t="str">
        <f aca="false">ROUND(61*1,0)&amp;"%"</f>
        <v>61%</v>
      </c>
    </row>
    <row r="324" customFormat="false" ht="15" hidden="false" customHeight="false" outlineLevel="0" collapsed="false">
      <c r="A324" s="5" t="s">
        <v>5431</v>
      </c>
      <c r="B324" s="5" t="s">
        <v>524</v>
      </c>
      <c r="C324" s="5" t="s">
        <v>133</v>
      </c>
      <c r="D324" s="5" t="s">
        <v>16</v>
      </c>
      <c r="E324" s="5" t="n">
        <f aca="false">ROUND(5888*1.05,2)</f>
        <v>6182.4</v>
      </c>
      <c r="F324" s="5" t="s">
        <v>49</v>
      </c>
      <c r="G324" s="5" t="s">
        <v>18</v>
      </c>
      <c r="H324" s="5" t="n">
        <f aca="true">ROUND(RAND()*4+6,1)</f>
        <v>8.2</v>
      </c>
      <c r="I324" s="5" t="s">
        <v>19</v>
      </c>
      <c r="J324" s="5" t="str">
        <f aca="false">ROUND(62*1,0)&amp;"%"</f>
        <v>62%</v>
      </c>
    </row>
    <row r="325" customFormat="false" ht="15" hidden="false" customHeight="false" outlineLevel="0" collapsed="false">
      <c r="A325" s="6" t="s">
        <v>5432</v>
      </c>
      <c r="B325" s="6" t="s">
        <v>526</v>
      </c>
      <c r="C325" s="6" t="s">
        <v>133</v>
      </c>
      <c r="D325" s="6" t="s">
        <v>22</v>
      </c>
      <c r="E325" s="6" t="n">
        <f aca="false">ROUND(17148*1.05,2)</f>
        <v>18005.4</v>
      </c>
      <c r="F325" s="6" t="s">
        <v>52</v>
      </c>
      <c r="G325" s="6" t="s">
        <v>24</v>
      </c>
      <c r="H325" s="6" t="n">
        <f aca="true">ROUND(RAND()*4+6,1)</f>
        <v>6.4</v>
      </c>
      <c r="I325" s="6" t="s">
        <v>25</v>
      </c>
      <c r="J325" s="6" t="str">
        <f aca="false">ROUND(64*1,0)&amp;"%"</f>
        <v>64%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5433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5434</v>
      </c>
      <c r="B330" s="5" t="s">
        <v>530</v>
      </c>
      <c r="C330" s="5" t="s">
        <v>152</v>
      </c>
      <c r="D330" s="5" t="s">
        <v>16</v>
      </c>
      <c r="E330" s="5" t="n">
        <f aca="false">ROUND(5358*1.05,2)</f>
        <v>5625.9</v>
      </c>
      <c r="F330" s="5" t="s">
        <v>17</v>
      </c>
      <c r="G330" s="5" t="s">
        <v>18</v>
      </c>
      <c r="H330" s="5" t="n">
        <f aca="true">ROUND(RAND()*4+6,1)</f>
        <v>8.6</v>
      </c>
      <c r="I330" s="5" t="s">
        <v>19</v>
      </c>
      <c r="J330" s="5" t="str">
        <f aca="false">ROUND(74*1,0)&amp;"%"</f>
        <v>74%</v>
      </c>
    </row>
    <row r="331" customFormat="false" ht="15" hidden="false" customHeight="false" outlineLevel="0" collapsed="false">
      <c r="A331" s="6" t="s">
        <v>5435</v>
      </c>
      <c r="B331" s="6" t="s">
        <v>532</v>
      </c>
      <c r="C331" s="6" t="s">
        <v>152</v>
      </c>
      <c r="D331" s="6" t="s">
        <v>22</v>
      </c>
      <c r="E331" s="6" t="n">
        <f aca="false">ROUND(4616*1.05,2)</f>
        <v>4846.8</v>
      </c>
      <c r="F331" s="6" t="s">
        <v>23</v>
      </c>
      <c r="G331" s="6" t="s">
        <v>24</v>
      </c>
      <c r="H331" s="6" t="n">
        <f aca="true">ROUND(RAND()*4+6,1)</f>
        <v>7</v>
      </c>
      <c r="I331" s="6" t="s">
        <v>25</v>
      </c>
      <c r="J331" s="6" t="str">
        <f aca="false">ROUND(63*1,0)&amp;"%"</f>
        <v>63%</v>
      </c>
    </row>
    <row r="332" customFormat="false" ht="15" hidden="false" customHeight="false" outlineLevel="0" collapsed="false">
      <c r="A332" s="5" t="s">
        <v>5436</v>
      </c>
      <c r="B332" s="5" t="s">
        <v>534</v>
      </c>
      <c r="C332" s="5" t="s">
        <v>152</v>
      </c>
      <c r="D332" s="5" t="s">
        <v>28</v>
      </c>
      <c r="E332" s="5" t="n">
        <f aca="false">ROUND(9118*1.05,2)</f>
        <v>9573.9</v>
      </c>
      <c r="F332" s="5" t="s">
        <v>29</v>
      </c>
      <c r="G332" s="5" t="s">
        <v>30</v>
      </c>
      <c r="H332" s="5" t="n">
        <f aca="true">ROUND(RAND()*4+6,1)</f>
        <v>7.9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5437</v>
      </c>
      <c r="B333" s="6" t="s">
        <v>536</v>
      </c>
      <c r="C333" s="6" t="s">
        <v>152</v>
      </c>
      <c r="D333" s="6" t="s">
        <v>34</v>
      </c>
      <c r="E333" s="6" t="n">
        <f aca="false">ROUND(7102*1.05,2)</f>
        <v>7457.1</v>
      </c>
      <c r="F333" s="6" t="s">
        <v>35</v>
      </c>
      <c r="G333" s="6" t="s">
        <v>18</v>
      </c>
      <c r="H333" s="6" t="n">
        <f aca="true">ROUND(RAND()*4+6,1)</f>
        <v>6.3</v>
      </c>
      <c r="I333" s="6" t="s">
        <v>36</v>
      </c>
      <c r="J333" s="6" t="str">
        <f aca="false">ROUND(89*1,0)&amp;"%"</f>
        <v>89%</v>
      </c>
    </row>
    <row r="334" customFormat="false" ht="15" hidden="false" customHeight="false" outlineLevel="0" collapsed="false">
      <c r="A334" s="5" t="s">
        <v>5438</v>
      </c>
      <c r="B334" s="5" t="s">
        <v>538</v>
      </c>
      <c r="C334" s="5" t="s">
        <v>152</v>
      </c>
      <c r="D334" s="5" t="s">
        <v>39</v>
      </c>
      <c r="E334" s="5" t="n">
        <f aca="false">ROUND(13789*1.05,2)</f>
        <v>14478.45</v>
      </c>
      <c r="F334" s="5" t="s">
        <v>40</v>
      </c>
      <c r="G334" s="5" t="s">
        <v>24</v>
      </c>
      <c r="H334" s="5" t="n">
        <f aca="true">ROUND(RAND()*4+6,1)</f>
        <v>7.3</v>
      </c>
      <c r="I334" s="5" t="s">
        <v>41</v>
      </c>
      <c r="J334" s="5" t="str">
        <f aca="false">ROUND(95*1,0)&amp;"%"</f>
        <v>95%</v>
      </c>
    </row>
    <row r="335" customFormat="false" ht="15" hidden="false" customHeight="false" outlineLevel="0" collapsed="false">
      <c r="A335" s="6" t="s">
        <v>5439</v>
      </c>
      <c r="B335" s="6" t="s">
        <v>540</v>
      </c>
      <c r="C335" s="6" t="s">
        <v>152</v>
      </c>
      <c r="D335" s="6" t="s">
        <v>44</v>
      </c>
      <c r="E335" s="6" t="n">
        <f aca="false">ROUND(12432*1.05,2)</f>
        <v>13053.6</v>
      </c>
      <c r="F335" s="6" t="s">
        <v>45</v>
      </c>
      <c r="G335" s="6" t="s">
        <v>30</v>
      </c>
      <c r="H335" s="6" t="n">
        <f aca="true">ROUND(RAND()*4+6,1)</f>
        <v>8.6</v>
      </c>
      <c r="I335" s="6" t="s">
        <v>46</v>
      </c>
      <c r="J335" s="6" t="str">
        <f aca="false">ROUND(88*1,0)&amp;"%"</f>
        <v>88%</v>
      </c>
    </row>
    <row r="336" customFormat="false" ht="15" hidden="false" customHeight="false" outlineLevel="0" collapsed="false">
      <c r="A336" s="5" t="s">
        <v>5440</v>
      </c>
      <c r="B336" s="5" t="s">
        <v>542</v>
      </c>
      <c r="C336" s="5" t="s">
        <v>152</v>
      </c>
      <c r="D336" s="5" t="s">
        <v>16</v>
      </c>
      <c r="E336" s="5" t="n">
        <f aca="false">ROUND(9139*1.05,2)</f>
        <v>9595.95</v>
      </c>
      <c r="F336" s="5" t="s">
        <v>49</v>
      </c>
      <c r="G336" s="5" t="s">
        <v>18</v>
      </c>
      <c r="H336" s="5" t="n">
        <f aca="true">ROUND(RAND()*4+6,1)</f>
        <v>7.5</v>
      </c>
      <c r="I336" s="5" t="s">
        <v>19</v>
      </c>
      <c r="J336" s="5" t="str">
        <f aca="false">ROUND(83*1,0)&amp;"%"</f>
        <v>83%</v>
      </c>
    </row>
    <row r="337" customFormat="false" ht="15" hidden="false" customHeight="false" outlineLevel="0" collapsed="false">
      <c r="A337" s="6" t="s">
        <v>5441</v>
      </c>
      <c r="B337" s="6" t="s">
        <v>544</v>
      </c>
      <c r="C337" s="6" t="s">
        <v>152</v>
      </c>
      <c r="D337" s="6" t="s">
        <v>22</v>
      </c>
      <c r="E337" s="6" t="n">
        <f aca="false">ROUND(8535*1.05,2)</f>
        <v>8961.75</v>
      </c>
      <c r="F337" s="6" t="s">
        <v>52</v>
      </c>
      <c r="G337" s="6" t="s">
        <v>24</v>
      </c>
      <c r="H337" s="6" t="n">
        <f aca="true">ROUND(RAND()*4+6,1)</f>
        <v>8.5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5442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5443</v>
      </c>
      <c r="B342" s="5" t="s">
        <v>548</v>
      </c>
      <c r="C342" s="5" t="s">
        <v>15</v>
      </c>
      <c r="D342" s="5" t="s">
        <v>16</v>
      </c>
      <c r="E342" s="5" t="n">
        <f aca="false">ROUND(4686*1.05,2)</f>
        <v>4920.3</v>
      </c>
      <c r="F342" s="5" t="s">
        <v>17</v>
      </c>
      <c r="G342" s="5" t="s">
        <v>18</v>
      </c>
      <c r="H342" s="5" t="n">
        <f aca="true">ROUND(RAND()*4+6,1)</f>
        <v>9.3</v>
      </c>
      <c r="I342" s="5" t="s">
        <v>19</v>
      </c>
      <c r="J342" s="5" t="str">
        <f aca="false">ROUND(67*1,0)&amp;"%"</f>
        <v>67%</v>
      </c>
    </row>
    <row r="343" customFormat="false" ht="15" hidden="false" customHeight="false" outlineLevel="0" collapsed="false">
      <c r="A343" s="6" t="s">
        <v>5444</v>
      </c>
      <c r="B343" s="6" t="s">
        <v>550</v>
      </c>
      <c r="C343" s="6" t="s">
        <v>15</v>
      </c>
      <c r="D343" s="6" t="s">
        <v>22</v>
      </c>
      <c r="E343" s="6" t="n">
        <f aca="false">ROUND(4896*1.05,2)</f>
        <v>5140.8</v>
      </c>
      <c r="F343" s="6" t="s">
        <v>23</v>
      </c>
      <c r="G343" s="6" t="s">
        <v>24</v>
      </c>
      <c r="H343" s="6" t="n">
        <f aca="true">ROUND(RAND()*4+6,1)</f>
        <v>9.1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5445</v>
      </c>
      <c r="B344" s="5" t="s">
        <v>552</v>
      </c>
      <c r="C344" s="5" t="s">
        <v>15</v>
      </c>
      <c r="D344" s="5" t="s">
        <v>28</v>
      </c>
      <c r="E344" s="5" t="n">
        <f aca="false">ROUND(9234*1.05,2)</f>
        <v>9695.7</v>
      </c>
      <c r="F344" s="5" t="s">
        <v>29</v>
      </c>
      <c r="G344" s="5" t="s">
        <v>30</v>
      </c>
      <c r="H344" s="5" t="n">
        <f aca="true">ROUND(RAND()*4+6,1)</f>
        <v>6.1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5446</v>
      </c>
      <c r="B345" s="6" t="s">
        <v>554</v>
      </c>
      <c r="C345" s="6" t="s">
        <v>15</v>
      </c>
      <c r="D345" s="6" t="s">
        <v>34</v>
      </c>
      <c r="E345" s="6" t="n">
        <f aca="false">ROUND(7908*1.05,2)</f>
        <v>8303.4</v>
      </c>
      <c r="F345" s="6" t="s">
        <v>35</v>
      </c>
      <c r="G345" s="6" t="s">
        <v>18</v>
      </c>
      <c r="H345" s="6" t="n">
        <f aca="true">ROUND(RAND()*4+6,1)</f>
        <v>6.9</v>
      </c>
      <c r="I345" s="6" t="s">
        <v>36</v>
      </c>
      <c r="J345" s="6" t="str">
        <f aca="false">ROUND(62*1,0)&amp;"%"</f>
        <v>62%</v>
      </c>
    </row>
    <row r="346" customFormat="false" ht="15" hidden="false" customHeight="false" outlineLevel="0" collapsed="false">
      <c r="A346" s="5" t="s">
        <v>5447</v>
      </c>
      <c r="B346" s="5" t="s">
        <v>556</v>
      </c>
      <c r="C346" s="5" t="s">
        <v>15</v>
      </c>
      <c r="D346" s="5" t="s">
        <v>39</v>
      </c>
      <c r="E346" s="5" t="n">
        <f aca="false">ROUND(9874*1.05,2)</f>
        <v>10367.7</v>
      </c>
      <c r="F346" s="5" t="s">
        <v>40</v>
      </c>
      <c r="G346" s="5" t="s">
        <v>24</v>
      </c>
      <c r="H346" s="5" t="n">
        <f aca="true">ROUND(RAND()*4+6,1)</f>
        <v>8.4</v>
      </c>
      <c r="I346" s="5" t="s">
        <v>41</v>
      </c>
      <c r="J346" s="5" t="str">
        <f aca="false">ROUND(99*1,0)&amp;"%"</f>
        <v>99%</v>
      </c>
    </row>
    <row r="347" customFormat="false" ht="15" hidden="false" customHeight="false" outlineLevel="0" collapsed="false">
      <c r="A347" s="6" t="s">
        <v>5448</v>
      </c>
      <c r="B347" s="6" t="s">
        <v>558</v>
      </c>
      <c r="C347" s="6" t="s">
        <v>15</v>
      </c>
      <c r="D347" s="6" t="s">
        <v>44</v>
      </c>
      <c r="E347" s="6" t="n">
        <f aca="false">ROUND(10288*1.05,2)</f>
        <v>10802.4</v>
      </c>
      <c r="F347" s="6" t="s">
        <v>45</v>
      </c>
      <c r="G347" s="6" t="s">
        <v>30</v>
      </c>
      <c r="H347" s="6" t="n">
        <f aca="true">ROUND(RAND()*4+6,1)</f>
        <v>9.3</v>
      </c>
      <c r="I347" s="6" t="s">
        <v>46</v>
      </c>
      <c r="J347" s="6" t="str">
        <f aca="false">ROUND(65*1,0)&amp;"%"</f>
        <v>65%</v>
      </c>
    </row>
    <row r="348" customFormat="false" ht="15" hidden="false" customHeight="false" outlineLevel="0" collapsed="false">
      <c r="A348" s="5" t="s">
        <v>5449</v>
      </c>
      <c r="B348" s="5" t="s">
        <v>560</v>
      </c>
      <c r="C348" s="5" t="s">
        <v>15</v>
      </c>
      <c r="D348" s="5" t="s">
        <v>16</v>
      </c>
      <c r="E348" s="5" t="n">
        <f aca="false">ROUND(4769*1.05,2)</f>
        <v>5007.45</v>
      </c>
      <c r="F348" s="5" t="s">
        <v>49</v>
      </c>
      <c r="G348" s="5" t="s">
        <v>18</v>
      </c>
      <c r="H348" s="5" t="n">
        <f aca="true">ROUND(RAND()*4+6,1)</f>
        <v>8.6</v>
      </c>
      <c r="I348" s="5" t="s">
        <v>19</v>
      </c>
      <c r="J348" s="5" t="str">
        <f aca="false">ROUND(73*1,0)&amp;"%"</f>
        <v>73%</v>
      </c>
    </row>
    <row r="349" customFormat="false" ht="15" hidden="false" customHeight="false" outlineLevel="0" collapsed="false">
      <c r="A349" s="6" t="s">
        <v>5450</v>
      </c>
      <c r="B349" s="6" t="s">
        <v>562</v>
      </c>
      <c r="C349" s="6" t="s">
        <v>15</v>
      </c>
      <c r="D349" s="6" t="s">
        <v>22</v>
      </c>
      <c r="E349" s="6" t="n">
        <f aca="false">ROUND(9644*1.05,2)</f>
        <v>10126.2</v>
      </c>
      <c r="F349" s="6" t="s">
        <v>52</v>
      </c>
      <c r="G349" s="6" t="s">
        <v>24</v>
      </c>
      <c r="H349" s="6" t="n">
        <f aca="true">ROUND(RAND()*4+6,1)</f>
        <v>9.5</v>
      </c>
      <c r="I349" s="6" t="s">
        <v>25</v>
      </c>
      <c r="J349" s="6" t="str">
        <f aca="false">ROUND(61*1,0)&amp;"%"</f>
        <v>61%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5451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5452</v>
      </c>
      <c r="B354" s="5" t="s">
        <v>566</v>
      </c>
      <c r="C354" s="5" t="s">
        <v>57</v>
      </c>
      <c r="D354" s="5" t="s">
        <v>16</v>
      </c>
      <c r="E354" s="5" t="n">
        <f aca="false">ROUND(11388*1.05,2)</f>
        <v>11957.4</v>
      </c>
      <c r="F354" s="5" t="s">
        <v>17</v>
      </c>
      <c r="G354" s="5" t="s">
        <v>18</v>
      </c>
      <c r="H354" s="5" t="n">
        <f aca="true">ROUND(RAND()*4+6,1)</f>
        <v>9.3</v>
      </c>
      <c r="I354" s="5" t="s">
        <v>19</v>
      </c>
      <c r="J354" s="5" t="str">
        <f aca="false">ROUND(76*1,0)&amp;"%"</f>
        <v>76%</v>
      </c>
    </row>
    <row r="355" customFormat="false" ht="15" hidden="false" customHeight="false" outlineLevel="0" collapsed="false">
      <c r="A355" s="6" t="s">
        <v>5453</v>
      </c>
      <c r="B355" s="6" t="s">
        <v>568</v>
      </c>
      <c r="C355" s="6" t="s">
        <v>57</v>
      </c>
      <c r="D355" s="6" t="s">
        <v>22</v>
      </c>
      <c r="E355" s="6" t="n">
        <f aca="false">ROUND(11353*1.05,2)</f>
        <v>11920.65</v>
      </c>
      <c r="F355" s="6" t="s">
        <v>23</v>
      </c>
      <c r="G355" s="6" t="s">
        <v>24</v>
      </c>
      <c r="H355" s="6" t="n">
        <f aca="true">ROUND(RAND()*4+6,1)</f>
        <v>8</v>
      </c>
      <c r="I355" s="6" t="s">
        <v>25</v>
      </c>
      <c r="J355" s="6" t="str">
        <f aca="false">ROUND(85*1,0)&amp;"%"</f>
        <v>85%</v>
      </c>
    </row>
    <row r="356" customFormat="false" ht="15" hidden="false" customHeight="false" outlineLevel="0" collapsed="false">
      <c r="A356" s="5" t="s">
        <v>5454</v>
      </c>
      <c r="B356" s="5" t="s">
        <v>570</v>
      </c>
      <c r="C356" s="5" t="s">
        <v>57</v>
      </c>
      <c r="D356" s="5" t="s">
        <v>28</v>
      </c>
      <c r="E356" s="5" t="n">
        <f aca="false">ROUND(13885*1.05,2)</f>
        <v>14579.25</v>
      </c>
      <c r="F356" s="5" t="s">
        <v>29</v>
      </c>
      <c r="G356" s="5" t="s">
        <v>30</v>
      </c>
      <c r="H356" s="5" t="n">
        <f aca="true">ROUND(RAND()*4+6,1)</f>
        <v>6.8</v>
      </c>
      <c r="I356" s="5" t="s">
        <v>31</v>
      </c>
      <c r="J356" s="5" t="str">
        <f aca="false">ROUND(92*1,0)&amp;"%"</f>
        <v>92%</v>
      </c>
    </row>
    <row r="357" customFormat="false" ht="15" hidden="false" customHeight="false" outlineLevel="0" collapsed="false">
      <c r="A357" s="6" t="s">
        <v>5455</v>
      </c>
      <c r="B357" s="6" t="s">
        <v>572</v>
      </c>
      <c r="C357" s="6" t="s">
        <v>57</v>
      </c>
      <c r="D357" s="6" t="s">
        <v>34</v>
      </c>
      <c r="E357" s="6" t="n">
        <f aca="false">ROUND(6509*1.05,2)</f>
        <v>6834.45</v>
      </c>
      <c r="F357" s="6" t="s">
        <v>35</v>
      </c>
      <c r="G357" s="6" t="s">
        <v>18</v>
      </c>
      <c r="H357" s="6" t="n">
        <f aca="true">ROUND(RAND()*4+6,1)</f>
        <v>8</v>
      </c>
      <c r="I357" s="6" t="s">
        <v>36</v>
      </c>
      <c r="J357" s="6" t="str">
        <f aca="false">ROUND(84*1,0)&amp;"%"</f>
        <v>84%</v>
      </c>
    </row>
    <row r="358" customFormat="false" ht="15" hidden="false" customHeight="false" outlineLevel="0" collapsed="false">
      <c r="A358" s="5" t="s">
        <v>5456</v>
      </c>
      <c r="B358" s="5" t="s">
        <v>574</v>
      </c>
      <c r="C358" s="5" t="s">
        <v>57</v>
      </c>
      <c r="D358" s="5" t="s">
        <v>39</v>
      </c>
      <c r="E358" s="5" t="n">
        <f aca="false">ROUND(14209*1.05,2)</f>
        <v>14919.45</v>
      </c>
      <c r="F358" s="5" t="s">
        <v>40</v>
      </c>
      <c r="G358" s="5" t="s">
        <v>24</v>
      </c>
      <c r="H358" s="5" t="n">
        <f aca="true">ROUND(RAND()*4+6,1)</f>
        <v>8</v>
      </c>
      <c r="I358" s="5" t="s">
        <v>41</v>
      </c>
      <c r="J358" s="5" t="str">
        <f aca="false">ROUND(62*1,0)&amp;"%"</f>
        <v>62%</v>
      </c>
    </row>
    <row r="359" customFormat="false" ht="15" hidden="false" customHeight="false" outlineLevel="0" collapsed="false">
      <c r="A359" s="6" t="s">
        <v>5457</v>
      </c>
      <c r="B359" s="6" t="s">
        <v>576</v>
      </c>
      <c r="C359" s="6" t="s">
        <v>57</v>
      </c>
      <c r="D359" s="6" t="s">
        <v>44</v>
      </c>
      <c r="E359" s="6" t="n">
        <f aca="false">ROUND(15989*1.05,2)</f>
        <v>16788.45</v>
      </c>
      <c r="F359" s="6" t="s">
        <v>45</v>
      </c>
      <c r="G359" s="6" t="s">
        <v>30</v>
      </c>
      <c r="H359" s="6" t="n">
        <f aca="true">ROUND(RAND()*4+6,1)</f>
        <v>9.9</v>
      </c>
      <c r="I359" s="6" t="s">
        <v>46</v>
      </c>
      <c r="J359" s="6" t="str">
        <f aca="false">ROUND(67*1,0)&amp;"%"</f>
        <v>67%</v>
      </c>
    </row>
    <row r="360" customFormat="false" ht="15" hidden="false" customHeight="false" outlineLevel="0" collapsed="false">
      <c r="A360" s="5" t="s">
        <v>5458</v>
      </c>
      <c r="B360" s="5" t="s">
        <v>578</v>
      </c>
      <c r="C360" s="5" t="s">
        <v>57</v>
      </c>
      <c r="D360" s="5" t="s">
        <v>16</v>
      </c>
      <c r="E360" s="5" t="n">
        <f aca="false">ROUND(4821*1.05,2)</f>
        <v>5062.05</v>
      </c>
      <c r="F360" s="5" t="s">
        <v>49</v>
      </c>
      <c r="G360" s="5" t="s">
        <v>18</v>
      </c>
      <c r="H360" s="5" t="n">
        <f aca="true">ROUND(RAND()*4+6,1)</f>
        <v>8.1</v>
      </c>
      <c r="I360" s="5" t="s">
        <v>19</v>
      </c>
      <c r="J360" s="5" t="str">
        <f aca="false">ROUND(62*1,0)&amp;"%"</f>
        <v>62%</v>
      </c>
    </row>
    <row r="361" customFormat="false" ht="15" hidden="false" customHeight="false" outlineLevel="0" collapsed="false">
      <c r="A361" s="6" t="s">
        <v>5459</v>
      </c>
      <c r="B361" s="6" t="s">
        <v>580</v>
      </c>
      <c r="C361" s="6" t="s">
        <v>57</v>
      </c>
      <c r="D361" s="6" t="s">
        <v>22</v>
      </c>
      <c r="E361" s="6" t="n">
        <f aca="false">ROUND(12407*1.05,2)</f>
        <v>13027.35</v>
      </c>
      <c r="F361" s="6" t="s">
        <v>52</v>
      </c>
      <c r="G361" s="6" t="s">
        <v>24</v>
      </c>
      <c r="H361" s="6" t="n">
        <f aca="true">ROUND(RAND()*4+6,1)</f>
        <v>7.4</v>
      </c>
      <c r="I361" s="6" t="s">
        <v>25</v>
      </c>
      <c r="J361" s="6" t="str">
        <f aca="false">ROUND(64*1,0)&amp;"%"</f>
        <v>64%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5460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5461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5462</v>
      </c>
      <c r="B6" s="5" t="s">
        <v>14</v>
      </c>
      <c r="C6" s="5" t="s">
        <v>15</v>
      </c>
      <c r="D6" s="5" t="s">
        <v>16</v>
      </c>
      <c r="E6" s="5" t="n">
        <f aca="false">ROUND(11687*1.05,2)</f>
        <v>12271.35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ROUND(95*1,0)&amp;"%"</f>
        <v>95%</v>
      </c>
    </row>
    <row r="7" customFormat="false" ht="15" hidden="false" customHeight="false" outlineLevel="0" collapsed="false">
      <c r="A7" s="6" t="s">
        <v>5463</v>
      </c>
      <c r="B7" s="6" t="s">
        <v>21</v>
      </c>
      <c r="C7" s="6" t="s">
        <v>15</v>
      </c>
      <c r="D7" s="6" t="s">
        <v>22</v>
      </c>
      <c r="E7" s="6" t="n">
        <f aca="false">ROUND(11034*1.05,2)</f>
        <v>11585.7</v>
      </c>
      <c r="F7" s="6" t="s">
        <v>23</v>
      </c>
      <c r="G7" s="6" t="s">
        <v>24</v>
      </c>
      <c r="H7" s="6" t="n">
        <f aca="true">ROUND(RAND()*4+6,1)</f>
        <v>7.5</v>
      </c>
      <c r="I7" s="6" t="s">
        <v>25</v>
      </c>
      <c r="J7" s="6" t="str">
        <f aca="false">ROUND(73*1,0)&amp;"%"</f>
        <v>73%</v>
      </c>
    </row>
    <row r="8" customFormat="false" ht="15" hidden="false" customHeight="false" outlineLevel="0" collapsed="false">
      <c r="A8" s="5" t="s">
        <v>5464</v>
      </c>
      <c r="B8" s="5" t="s">
        <v>27</v>
      </c>
      <c r="C8" s="5" t="s">
        <v>15</v>
      </c>
      <c r="D8" s="5" t="s">
        <v>28</v>
      </c>
      <c r="E8" s="5" t="n">
        <f aca="false">ROUND(4020*1.05,2)</f>
        <v>4221</v>
      </c>
      <c r="F8" s="5" t="s">
        <v>29</v>
      </c>
      <c r="G8" s="5" t="s">
        <v>30</v>
      </c>
      <c r="H8" s="5" t="n">
        <f aca="true">ROUND(RAND()*4+6,1)</f>
        <v>7.3</v>
      </c>
      <c r="I8" s="5" t="s">
        <v>31</v>
      </c>
      <c r="J8" s="5" t="str">
        <f aca="false">ROUND(93*1,0)&amp;"%"</f>
        <v>93%</v>
      </c>
    </row>
    <row r="9" customFormat="false" ht="15" hidden="false" customHeight="false" outlineLevel="0" collapsed="false">
      <c r="A9" s="6" t="s">
        <v>5465</v>
      </c>
      <c r="B9" s="6" t="s">
        <v>33</v>
      </c>
      <c r="C9" s="6" t="s">
        <v>15</v>
      </c>
      <c r="D9" s="6" t="s">
        <v>34</v>
      </c>
      <c r="E9" s="6" t="n">
        <f aca="false">ROUND(17784*1.05,2)</f>
        <v>18673.2</v>
      </c>
      <c r="F9" s="6" t="s">
        <v>35</v>
      </c>
      <c r="G9" s="6" t="s">
        <v>18</v>
      </c>
      <c r="H9" s="6" t="n">
        <f aca="true">ROUND(RAND()*4+6,1)</f>
        <v>7.7</v>
      </c>
      <c r="I9" s="6" t="s">
        <v>36</v>
      </c>
      <c r="J9" s="6" t="str">
        <f aca="false">ROUND(60*1,0)&amp;"%"</f>
        <v>60%</v>
      </c>
    </row>
    <row r="10" customFormat="false" ht="15" hidden="false" customHeight="false" outlineLevel="0" collapsed="false">
      <c r="A10" s="5" t="s">
        <v>5466</v>
      </c>
      <c r="B10" s="5" t="s">
        <v>38</v>
      </c>
      <c r="C10" s="5" t="s">
        <v>15</v>
      </c>
      <c r="D10" s="5" t="s">
        <v>39</v>
      </c>
      <c r="E10" s="5" t="n">
        <f aca="false">ROUND(10265*1.05,2)</f>
        <v>10778.25</v>
      </c>
      <c r="F10" s="5" t="s">
        <v>40</v>
      </c>
      <c r="G10" s="5" t="s">
        <v>24</v>
      </c>
      <c r="H10" s="5" t="n">
        <f aca="true">ROUND(RAND()*4+6,1)</f>
        <v>10</v>
      </c>
      <c r="I10" s="5" t="s">
        <v>41</v>
      </c>
      <c r="J10" s="5" t="str">
        <f aca="false">ROUND(67*1,0)&amp;"%"</f>
        <v>67%</v>
      </c>
    </row>
    <row r="11" customFormat="false" ht="15" hidden="false" customHeight="false" outlineLevel="0" collapsed="false">
      <c r="A11" s="6" t="s">
        <v>5467</v>
      </c>
      <c r="B11" s="6" t="s">
        <v>43</v>
      </c>
      <c r="C11" s="6" t="s">
        <v>15</v>
      </c>
      <c r="D11" s="6" t="s">
        <v>44</v>
      </c>
      <c r="E11" s="6" t="n">
        <f aca="false">ROUND(12661*1.05,2)</f>
        <v>13294.05</v>
      </c>
      <c r="F11" s="6" t="s">
        <v>45</v>
      </c>
      <c r="G11" s="6" t="s">
        <v>30</v>
      </c>
      <c r="H11" s="6" t="n">
        <f aca="true">ROUND(RAND()*4+6,1)</f>
        <v>8.4</v>
      </c>
      <c r="I11" s="6" t="s">
        <v>46</v>
      </c>
      <c r="J11" s="6" t="str">
        <f aca="false">ROUND(80*1,0)&amp;"%"</f>
        <v>80%</v>
      </c>
    </row>
    <row r="12" customFormat="false" ht="15" hidden="false" customHeight="false" outlineLevel="0" collapsed="false">
      <c r="A12" s="5" t="s">
        <v>5468</v>
      </c>
      <c r="B12" s="5" t="s">
        <v>48</v>
      </c>
      <c r="C12" s="5" t="s">
        <v>15</v>
      </c>
      <c r="D12" s="5" t="s">
        <v>16</v>
      </c>
      <c r="E12" s="5" t="n">
        <f aca="false">ROUND(9223*1.05,2)</f>
        <v>9684.15</v>
      </c>
      <c r="F12" s="5" t="s">
        <v>49</v>
      </c>
      <c r="G12" s="5" t="s">
        <v>18</v>
      </c>
      <c r="H12" s="5" t="n">
        <f aca="true">ROUND(RAND()*4+6,1)</f>
        <v>7.9</v>
      </c>
      <c r="I12" s="5" t="s">
        <v>19</v>
      </c>
      <c r="J12" s="5" t="str">
        <f aca="false">ROUND(80*1,0)&amp;"%"</f>
        <v>80%</v>
      </c>
    </row>
    <row r="13" customFormat="false" ht="15" hidden="false" customHeight="false" outlineLevel="0" collapsed="false">
      <c r="A13" s="6" t="s">
        <v>5469</v>
      </c>
      <c r="B13" s="6" t="s">
        <v>51</v>
      </c>
      <c r="C13" s="6" t="s">
        <v>15</v>
      </c>
      <c r="D13" s="6" t="s">
        <v>22</v>
      </c>
      <c r="E13" s="6" t="n">
        <f aca="false">ROUND(7420*1.05,2)</f>
        <v>7791</v>
      </c>
      <c r="F13" s="6" t="s">
        <v>52</v>
      </c>
      <c r="G13" s="6" t="s">
        <v>24</v>
      </c>
      <c r="H13" s="6" t="n">
        <f aca="true">ROUND(RAND()*4+6,1)</f>
        <v>7.3</v>
      </c>
      <c r="I13" s="6" t="s">
        <v>25</v>
      </c>
      <c r="J13" s="6" t="str">
        <f aca="false">ROUND(83*1,0)&amp;"%"</f>
        <v>83%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5470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5471</v>
      </c>
      <c r="B18" s="5" t="s">
        <v>56</v>
      </c>
      <c r="C18" s="5" t="s">
        <v>57</v>
      </c>
      <c r="D18" s="5" t="s">
        <v>16</v>
      </c>
      <c r="E18" s="5" t="n">
        <f aca="false">ROUND(13219*1.05,2)</f>
        <v>13879.95</v>
      </c>
      <c r="F18" s="5" t="s">
        <v>17</v>
      </c>
      <c r="G18" s="5" t="s">
        <v>18</v>
      </c>
      <c r="H18" s="5" t="n">
        <f aca="true">ROUND(RAND()*4+6,1)</f>
        <v>8.1</v>
      </c>
      <c r="I18" s="5" t="s">
        <v>19</v>
      </c>
      <c r="J18" s="5" t="str">
        <f aca="false">ROUND(61*1,0)&amp;"%"</f>
        <v>61%</v>
      </c>
    </row>
    <row r="19" customFormat="false" ht="15" hidden="false" customHeight="false" outlineLevel="0" collapsed="false">
      <c r="A19" s="6" t="s">
        <v>5472</v>
      </c>
      <c r="B19" s="6" t="s">
        <v>59</v>
      </c>
      <c r="C19" s="6" t="s">
        <v>57</v>
      </c>
      <c r="D19" s="6" t="s">
        <v>22</v>
      </c>
      <c r="E19" s="6" t="n">
        <f aca="false">ROUND(4170*1.05,2)</f>
        <v>4378.5</v>
      </c>
      <c r="F19" s="6" t="s">
        <v>23</v>
      </c>
      <c r="G19" s="6" t="s">
        <v>24</v>
      </c>
      <c r="H19" s="6" t="n">
        <f aca="true">ROUND(RAND()*4+6,1)</f>
        <v>9.7</v>
      </c>
      <c r="I19" s="6" t="s">
        <v>25</v>
      </c>
      <c r="J19" s="6" t="str">
        <f aca="false">ROUND(65*1,0)&amp;"%"</f>
        <v>65%</v>
      </c>
    </row>
    <row r="20" customFormat="false" ht="15" hidden="false" customHeight="false" outlineLevel="0" collapsed="false">
      <c r="A20" s="5" t="s">
        <v>5473</v>
      </c>
      <c r="B20" s="5" t="s">
        <v>61</v>
      </c>
      <c r="C20" s="5" t="s">
        <v>57</v>
      </c>
      <c r="D20" s="5" t="s">
        <v>28</v>
      </c>
      <c r="E20" s="5" t="n">
        <f aca="false">ROUND(6850*1.05,2)</f>
        <v>7192.5</v>
      </c>
      <c r="F20" s="5" t="s">
        <v>29</v>
      </c>
      <c r="G20" s="5" t="s">
        <v>30</v>
      </c>
      <c r="H20" s="5" t="n">
        <f aca="true">ROUND(RAND()*4+6,1)</f>
        <v>9.4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5474</v>
      </c>
      <c r="B21" s="6" t="s">
        <v>63</v>
      </c>
      <c r="C21" s="6" t="s">
        <v>57</v>
      </c>
      <c r="D21" s="6" t="s">
        <v>34</v>
      </c>
      <c r="E21" s="6" t="n">
        <f aca="false">ROUND(13345*1.05,2)</f>
        <v>14012.25</v>
      </c>
      <c r="F21" s="6" t="s">
        <v>35</v>
      </c>
      <c r="G21" s="6" t="s">
        <v>18</v>
      </c>
      <c r="H21" s="6" t="n">
        <f aca="true">ROUND(RAND()*4+6,1)</f>
        <v>6.4</v>
      </c>
      <c r="I21" s="6" t="s">
        <v>36</v>
      </c>
      <c r="J21" s="6" t="str">
        <f aca="false">ROUND(70*1,0)&amp;"%"</f>
        <v>70%</v>
      </c>
    </row>
    <row r="22" customFormat="false" ht="15" hidden="false" customHeight="false" outlineLevel="0" collapsed="false">
      <c r="A22" s="5" t="s">
        <v>5475</v>
      </c>
      <c r="B22" s="5" t="s">
        <v>65</v>
      </c>
      <c r="C22" s="5" t="s">
        <v>57</v>
      </c>
      <c r="D22" s="5" t="s">
        <v>39</v>
      </c>
      <c r="E22" s="5" t="n">
        <f aca="false">ROUND(11076*1.05,2)</f>
        <v>11629.8</v>
      </c>
      <c r="F22" s="5" t="s">
        <v>40</v>
      </c>
      <c r="G22" s="5" t="s">
        <v>24</v>
      </c>
      <c r="H22" s="5" t="n">
        <f aca="true">ROUND(RAND()*4+6,1)</f>
        <v>8.8</v>
      </c>
      <c r="I22" s="5" t="s">
        <v>41</v>
      </c>
      <c r="J22" s="5" t="str">
        <f aca="false">ROUND(63*1,0)&amp;"%"</f>
        <v>63%</v>
      </c>
    </row>
    <row r="23" customFormat="false" ht="15" hidden="false" customHeight="false" outlineLevel="0" collapsed="false">
      <c r="A23" s="6" t="s">
        <v>5476</v>
      </c>
      <c r="B23" s="6" t="s">
        <v>67</v>
      </c>
      <c r="C23" s="6" t="s">
        <v>57</v>
      </c>
      <c r="D23" s="6" t="s">
        <v>44</v>
      </c>
      <c r="E23" s="6" t="n">
        <f aca="false">ROUND(10501*1.05,2)</f>
        <v>11026.05</v>
      </c>
      <c r="F23" s="6" t="s">
        <v>45</v>
      </c>
      <c r="G23" s="6" t="s">
        <v>30</v>
      </c>
      <c r="H23" s="6" t="n">
        <f aca="true">ROUND(RAND()*4+6,1)</f>
        <v>9.9</v>
      </c>
      <c r="I23" s="6" t="s">
        <v>46</v>
      </c>
      <c r="J23" s="6" t="str">
        <f aca="false">ROUND(94*1,0)&amp;"%"</f>
        <v>94%</v>
      </c>
    </row>
    <row r="24" customFormat="false" ht="15" hidden="false" customHeight="false" outlineLevel="0" collapsed="false">
      <c r="A24" s="5" t="s">
        <v>5477</v>
      </c>
      <c r="B24" s="5" t="s">
        <v>69</v>
      </c>
      <c r="C24" s="5" t="s">
        <v>57</v>
      </c>
      <c r="D24" s="5" t="s">
        <v>16</v>
      </c>
      <c r="E24" s="5" t="n">
        <f aca="false">ROUND(12682*1.05,2)</f>
        <v>13316.1</v>
      </c>
      <c r="F24" s="5" t="s">
        <v>49</v>
      </c>
      <c r="G24" s="5" t="s">
        <v>18</v>
      </c>
      <c r="H24" s="5" t="n">
        <f aca="true">ROUND(RAND()*4+6,1)</f>
        <v>6.6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5478</v>
      </c>
      <c r="B25" s="6" t="s">
        <v>71</v>
      </c>
      <c r="C25" s="6" t="s">
        <v>57</v>
      </c>
      <c r="D25" s="6" t="s">
        <v>22</v>
      </c>
      <c r="E25" s="6" t="n">
        <f aca="false">ROUND(6984*1.05,2)</f>
        <v>7333.2</v>
      </c>
      <c r="F25" s="6" t="s">
        <v>52</v>
      </c>
      <c r="G25" s="6" t="s">
        <v>24</v>
      </c>
      <c r="H25" s="6" t="n">
        <f aca="true">ROUND(RAND()*4+6,1)</f>
        <v>9.9</v>
      </c>
      <c r="I25" s="6" t="s">
        <v>25</v>
      </c>
      <c r="J25" s="6" t="str">
        <f aca="false">ROUND(85*1,0)&amp;"%"</f>
        <v>85%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5479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5480</v>
      </c>
      <c r="B30" s="5" t="s">
        <v>75</v>
      </c>
      <c r="C30" s="5" t="s">
        <v>76</v>
      </c>
      <c r="D30" s="5" t="s">
        <v>16</v>
      </c>
      <c r="E30" s="5" t="n">
        <f aca="false">ROUND(16560*1.05,2)</f>
        <v>17388</v>
      </c>
      <c r="F30" s="5" t="s">
        <v>17</v>
      </c>
      <c r="G30" s="5" t="s">
        <v>18</v>
      </c>
      <c r="H30" s="5" t="n">
        <f aca="true">ROUND(RAND()*4+6,1)</f>
        <v>8.4</v>
      </c>
      <c r="I30" s="5" t="s">
        <v>19</v>
      </c>
      <c r="J30" s="5" t="str">
        <f aca="false">ROUND(98*1,0)&amp;"%"</f>
        <v>98%</v>
      </c>
    </row>
    <row r="31" customFormat="false" ht="15" hidden="false" customHeight="false" outlineLevel="0" collapsed="false">
      <c r="A31" s="6" t="s">
        <v>5481</v>
      </c>
      <c r="B31" s="6" t="s">
        <v>78</v>
      </c>
      <c r="C31" s="6" t="s">
        <v>76</v>
      </c>
      <c r="D31" s="6" t="s">
        <v>22</v>
      </c>
      <c r="E31" s="6" t="n">
        <f aca="false">ROUND(5625*1.05,2)</f>
        <v>5906.25</v>
      </c>
      <c r="F31" s="6" t="s">
        <v>23</v>
      </c>
      <c r="G31" s="6" t="s">
        <v>24</v>
      </c>
      <c r="H31" s="6" t="n">
        <f aca="true">ROUND(RAND()*4+6,1)</f>
        <v>8.2</v>
      </c>
      <c r="I31" s="6" t="s">
        <v>25</v>
      </c>
      <c r="J31" s="6" t="str">
        <f aca="false">ROUND(88*1,0)&amp;"%"</f>
        <v>88%</v>
      </c>
    </row>
    <row r="32" customFormat="false" ht="15" hidden="false" customHeight="false" outlineLevel="0" collapsed="false">
      <c r="A32" s="5" t="s">
        <v>5482</v>
      </c>
      <c r="B32" s="5" t="s">
        <v>80</v>
      </c>
      <c r="C32" s="5" t="s">
        <v>76</v>
      </c>
      <c r="D32" s="5" t="s">
        <v>28</v>
      </c>
      <c r="E32" s="5" t="n">
        <f aca="false">ROUND(11423*1.05,2)</f>
        <v>11994.15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ROUND(70*1,0)&amp;"%"</f>
        <v>70%</v>
      </c>
    </row>
    <row r="33" customFormat="false" ht="15" hidden="false" customHeight="false" outlineLevel="0" collapsed="false">
      <c r="A33" s="6" t="s">
        <v>5483</v>
      </c>
      <c r="B33" s="6" t="s">
        <v>82</v>
      </c>
      <c r="C33" s="6" t="s">
        <v>76</v>
      </c>
      <c r="D33" s="6" t="s">
        <v>34</v>
      </c>
      <c r="E33" s="6" t="n">
        <f aca="false">ROUND(12830*1.05,2)</f>
        <v>13471.5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ROUND(61*1,0)&amp;"%"</f>
        <v>61%</v>
      </c>
    </row>
    <row r="34" customFormat="false" ht="15" hidden="false" customHeight="false" outlineLevel="0" collapsed="false">
      <c r="A34" s="5" t="s">
        <v>5484</v>
      </c>
      <c r="B34" s="5" t="s">
        <v>84</v>
      </c>
      <c r="C34" s="5" t="s">
        <v>76</v>
      </c>
      <c r="D34" s="5" t="s">
        <v>39</v>
      </c>
      <c r="E34" s="5" t="n">
        <f aca="false">ROUND(5082*1.05,2)</f>
        <v>5336.1</v>
      </c>
      <c r="F34" s="5" t="s">
        <v>40</v>
      </c>
      <c r="G34" s="5" t="s">
        <v>24</v>
      </c>
      <c r="H34" s="5" t="n">
        <f aca="true">ROUND(RAND()*4+6,1)</f>
        <v>9.6</v>
      </c>
      <c r="I34" s="5" t="s">
        <v>41</v>
      </c>
      <c r="J34" s="5" t="str">
        <f aca="false">ROUND(87*1,0)&amp;"%"</f>
        <v>87%</v>
      </c>
    </row>
    <row r="35" customFormat="false" ht="15" hidden="false" customHeight="false" outlineLevel="0" collapsed="false">
      <c r="A35" s="6" t="s">
        <v>5485</v>
      </c>
      <c r="B35" s="6" t="s">
        <v>86</v>
      </c>
      <c r="C35" s="6" t="s">
        <v>76</v>
      </c>
      <c r="D35" s="6" t="s">
        <v>44</v>
      </c>
      <c r="E35" s="6" t="n">
        <f aca="false">ROUND(5488*1.05,2)</f>
        <v>5762.4</v>
      </c>
      <c r="F35" s="6" t="s">
        <v>45</v>
      </c>
      <c r="G35" s="6" t="s">
        <v>30</v>
      </c>
      <c r="H35" s="6" t="n">
        <f aca="true">ROUND(RAND()*4+6,1)</f>
        <v>9.1</v>
      </c>
      <c r="I35" s="6" t="s">
        <v>46</v>
      </c>
      <c r="J35" s="6" t="str">
        <f aca="false">ROUND(85*1,0)&amp;"%"</f>
        <v>85%</v>
      </c>
    </row>
    <row r="36" customFormat="false" ht="15" hidden="false" customHeight="false" outlineLevel="0" collapsed="false">
      <c r="A36" s="5" t="s">
        <v>5486</v>
      </c>
      <c r="B36" s="5" t="s">
        <v>88</v>
      </c>
      <c r="C36" s="5" t="s">
        <v>76</v>
      </c>
      <c r="D36" s="5" t="s">
        <v>16</v>
      </c>
      <c r="E36" s="5" t="n">
        <f aca="false">ROUND(12664*1.05,2)</f>
        <v>13297.2</v>
      </c>
      <c r="F36" s="5" t="s">
        <v>49</v>
      </c>
      <c r="G36" s="5" t="s">
        <v>18</v>
      </c>
      <c r="H36" s="5" t="n">
        <f aca="true">ROUND(RAND()*4+6,1)</f>
        <v>6.7</v>
      </c>
      <c r="I36" s="5" t="s">
        <v>19</v>
      </c>
      <c r="J36" s="5" t="str">
        <f aca="false">ROUND(62*1,0)&amp;"%"</f>
        <v>62%</v>
      </c>
    </row>
    <row r="37" customFormat="false" ht="15" hidden="false" customHeight="false" outlineLevel="0" collapsed="false">
      <c r="A37" s="6" t="s">
        <v>5487</v>
      </c>
      <c r="B37" s="6" t="s">
        <v>90</v>
      </c>
      <c r="C37" s="6" t="s">
        <v>76</v>
      </c>
      <c r="D37" s="6" t="s">
        <v>22</v>
      </c>
      <c r="E37" s="6" t="n">
        <f aca="false">ROUND(17893*1.05,2)</f>
        <v>18787.65</v>
      </c>
      <c r="F37" s="6" t="s">
        <v>52</v>
      </c>
      <c r="G37" s="6" t="s">
        <v>24</v>
      </c>
      <c r="H37" s="6" t="n">
        <f aca="true">ROUND(RAND()*4+6,1)</f>
        <v>7.6</v>
      </c>
      <c r="I37" s="6" t="s">
        <v>25</v>
      </c>
      <c r="J37" s="6" t="str">
        <f aca="false">ROUND(91*1,0)&amp;"%"</f>
        <v>91%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5488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5489</v>
      </c>
      <c r="B42" s="5" t="s">
        <v>94</v>
      </c>
      <c r="C42" s="5" t="s">
        <v>95</v>
      </c>
      <c r="D42" s="5" t="s">
        <v>16</v>
      </c>
      <c r="E42" s="5" t="n">
        <f aca="false">ROUND(16570*1.05,2)</f>
        <v>17398.5</v>
      </c>
      <c r="F42" s="5" t="s">
        <v>17</v>
      </c>
      <c r="G42" s="5" t="s">
        <v>18</v>
      </c>
      <c r="H42" s="5" t="n">
        <f aca="true">ROUND(RAND()*4+6,1)</f>
        <v>7.6</v>
      </c>
      <c r="I42" s="5" t="s">
        <v>19</v>
      </c>
      <c r="J42" s="5" t="str">
        <f aca="false">ROUND(86*1,0)&amp;"%"</f>
        <v>86%</v>
      </c>
    </row>
    <row r="43" customFormat="false" ht="15" hidden="false" customHeight="false" outlineLevel="0" collapsed="false">
      <c r="A43" s="6" t="s">
        <v>5490</v>
      </c>
      <c r="B43" s="6" t="s">
        <v>97</v>
      </c>
      <c r="C43" s="6" t="s">
        <v>95</v>
      </c>
      <c r="D43" s="6" t="s">
        <v>22</v>
      </c>
      <c r="E43" s="6" t="n">
        <f aca="false">ROUND(12683*1.05,2)</f>
        <v>13317.15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ROUND(100*1,0)&amp;"%"</f>
        <v>100%</v>
      </c>
    </row>
    <row r="44" customFormat="false" ht="15" hidden="false" customHeight="false" outlineLevel="0" collapsed="false">
      <c r="A44" s="5" t="s">
        <v>5491</v>
      </c>
      <c r="B44" s="5" t="s">
        <v>99</v>
      </c>
      <c r="C44" s="5" t="s">
        <v>95</v>
      </c>
      <c r="D44" s="5" t="s">
        <v>28</v>
      </c>
      <c r="E44" s="5" t="n">
        <f aca="false">ROUND(13572*1.05,2)</f>
        <v>14250.6</v>
      </c>
      <c r="F44" s="5" t="s">
        <v>29</v>
      </c>
      <c r="G44" s="5" t="s">
        <v>30</v>
      </c>
      <c r="H44" s="5" t="n">
        <f aca="true">ROUND(RAND()*4+6,1)</f>
        <v>8.5</v>
      </c>
      <c r="I44" s="5" t="s">
        <v>31</v>
      </c>
      <c r="J44" s="5" t="str">
        <f aca="false">ROUND(62*1,0)&amp;"%"</f>
        <v>62%</v>
      </c>
    </row>
    <row r="45" customFormat="false" ht="15" hidden="false" customHeight="false" outlineLevel="0" collapsed="false">
      <c r="A45" s="6" t="s">
        <v>5492</v>
      </c>
      <c r="B45" s="6" t="s">
        <v>101</v>
      </c>
      <c r="C45" s="6" t="s">
        <v>95</v>
      </c>
      <c r="D45" s="6" t="s">
        <v>34</v>
      </c>
      <c r="E45" s="6" t="n">
        <f aca="false">ROUND(7306*1.05,2)</f>
        <v>7671.3</v>
      </c>
      <c r="F45" s="6" t="s">
        <v>35</v>
      </c>
      <c r="G45" s="6" t="s">
        <v>18</v>
      </c>
      <c r="H45" s="6" t="n">
        <f aca="true">ROUND(RAND()*4+6,1)</f>
        <v>7.9</v>
      </c>
      <c r="I45" s="6" t="s">
        <v>36</v>
      </c>
      <c r="J45" s="6" t="str">
        <f aca="false">ROUND(71*1,0)&amp;"%"</f>
        <v>71%</v>
      </c>
    </row>
    <row r="46" customFormat="false" ht="15" hidden="false" customHeight="false" outlineLevel="0" collapsed="false">
      <c r="A46" s="5" t="s">
        <v>5493</v>
      </c>
      <c r="B46" s="5" t="s">
        <v>103</v>
      </c>
      <c r="C46" s="5" t="s">
        <v>95</v>
      </c>
      <c r="D46" s="5" t="s">
        <v>39</v>
      </c>
      <c r="E46" s="5" t="n">
        <f aca="false">ROUND(11311*1.05,2)</f>
        <v>11876.55</v>
      </c>
      <c r="F46" s="5" t="s">
        <v>40</v>
      </c>
      <c r="G46" s="5" t="s">
        <v>24</v>
      </c>
      <c r="H46" s="5" t="n">
        <f aca="true">ROUND(RAND()*4+6,1)</f>
        <v>6.6</v>
      </c>
      <c r="I46" s="5" t="s">
        <v>41</v>
      </c>
      <c r="J46" s="5" t="str">
        <f aca="false">ROUND(71*1,0)&amp;"%"</f>
        <v>71%</v>
      </c>
    </row>
    <row r="47" customFormat="false" ht="15" hidden="false" customHeight="false" outlineLevel="0" collapsed="false">
      <c r="A47" s="6" t="s">
        <v>5494</v>
      </c>
      <c r="B47" s="6" t="s">
        <v>105</v>
      </c>
      <c r="C47" s="6" t="s">
        <v>95</v>
      </c>
      <c r="D47" s="6" t="s">
        <v>44</v>
      </c>
      <c r="E47" s="6" t="n">
        <f aca="false">ROUND(11793*1.05,2)</f>
        <v>12382.65</v>
      </c>
      <c r="F47" s="6" t="s">
        <v>45</v>
      </c>
      <c r="G47" s="6" t="s">
        <v>30</v>
      </c>
      <c r="H47" s="6" t="n">
        <f aca="true">ROUND(RAND()*4+6,1)</f>
        <v>10</v>
      </c>
      <c r="I47" s="6" t="s">
        <v>46</v>
      </c>
      <c r="J47" s="6" t="str">
        <f aca="false">ROUND(67*1,0)&amp;"%"</f>
        <v>67%</v>
      </c>
    </row>
    <row r="48" customFormat="false" ht="15" hidden="false" customHeight="false" outlineLevel="0" collapsed="false">
      <c r="A48" s="5" t="s">
        <v>5495</v>
      </c>
      <c r="B48" s="5" t="s">
        <v>107</v>
      </c>
      <c r="C48" s="5" t="s">
        <v>95</v>
      </c>
      <c r="D48" s="5" t="s">
        <v>16</v>
      </c>
      <c r="E48" s="5" t="n">
        <f aca="false">ROUND(5817*1.05,2)</f>
        <v>6107.85</v>
      </c>
      <c r="F48" s="5" t="s">
        <v>49</v>
      </c>
      <c r="G48" s="5" t="s">
        <v>18</v>
      </c>
      <c r="H48" s="5" t="n">
        <f aca="true">ROUND(RAND()*4+6,1)</f>
        <v>8.8</v>
      </c>
      <c r="I48" s="5" t="s">
        <v>19</v>
      </c>
      <c r="J48" s="5" t="str">
        <f aca="false">ROUND(94*1,0)&amp;"%"</f>
        <v>94%</v>
      </c>
    </row>
    <row r="49" customFormat="false" ht="15" hidden="false" customHeight="false" outlineLevel="0" collapsed="false">
      <c r="A49" s="6" t="s">
        <v>5496</v>
      </c>
      <c r="B49" s="6" t="s">
        <v>109</v>
      </c>
      <c r="C49" s="6" t="s">
        <v>95</v>
      </c>
      <c r="D49" s="6" t="s">
        <v>22</v>
      </c>
      <c r="E49" s="6" t="n">
        <f aca="false">ROUND(7122*1.05,2)</f>
        <v>7478.1</v>
      </c>
      <c r="F49" s="6" t="s">
        <v>52</v>
      </c>
      <c r="G49" s="6" t="s">
        <v>24</v>
      </c>
      <c r="H49" s="6" t="n">
        <f aca="true">ROUND(RAND()*4+6,1)</f>
        <v>6.2</v>
      </c>
      <c r="I49" s="6" t="s">
        <v>25</v>
      </c>
      <c r="J49" s="6" t="str">
        <f aca="false">ROUND(68*1,0)&amp;"%"</f>
        <v>68%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5497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5498</v>
      </c>
      <c r="B54" s="5" t="s">
        <v>113</v>
      </c>
      <c r="C54" s="5" t="s">
        <v>114</v>
      </c>
      <c r="D54" s="5" t="s">
        <v>16</v>
      </c>
      <c r="E54" s="5" t="n">
        <f aca="false">ROUND(16400*1.05,2)</f>
        <v>17220</v>
      </c>
      <c r="F54" s="5" t="s">
        <v>17</v>
      </c>
      <c r="G54" s="5" t="s">
        <v>18</v>
      </c>
      <c r="H54" s="5" t="n">
        <f aca="true">ROUND(RAND()*4+6,1)</f>
        <v>7.5</v>
      </c>
      <c r="I54" s="5" t="s">
        <v>19</v>
      </c>
      <c r="J54" s="5" t="str">
        <f aca="false">ROUND(60*1,0)&amp;"%"</f>
        <v>60%</v>
      </c>
    </row>
    <row r="55" customFormat="false" ht="15" hidden="false" customHeight="false" outlineLevel="0" collapsed="false">
      <c r="A55" s="6" t="s">
        <v>5499</v>
      </c>
      <c r="B55" s="6" t="s">
        <v>116</v>
      </c>
      <c r="C55" s="6" t="s">
        <v>114</v>
      </c>
      <c r="D55" s="6" t="s">
        <v>22</v>
      </c>
      <c r="E55" s="6" t="n">
        <f aca="false">ROUND(12815*1.05,2)</f>
        <v>13455.75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ROUND(73*1,0)&amp;"%"</f>
        <v>73%</v>
      </c>
    </row>
    <row r="56" customFormat="false" ht="15" hidden="false" customHeight="false" outlineLevel="0" collapsed="false">
      <c r="A56" s="5" t="s">
        <v>5500</v>
      </c>
      <c r="B56" s="5" t="s">
        <v>118</v>
      </c>
      <c r="C56" s="5" t="s">
        <v>114</v>
      </c>
      <c r="D56" s="5" t="s">
        <v>28</v>
      </c>
      <c r="E56" s="5" t="n">
        <f aca="false">ROUND(5433*1.05,2)</f>
        <v>5704.65</v>
      </c>
      <c r="F56" s="5" t="s">
        <v>29</v>
      </c>
      <c r="G56" s="5" t="s">
        <v>30</v>
      </c>
      <c r="H56" s="5" t="n">
        <f aca="true">ROUND(RAND()*4+6,1)</f>
        <v>8.9</v>
      </c>
      <c r="I56" s="5" t="s">
        <v>31</v>
      </c>
      <c r="J56" s="5" t="str">
        <f aca="false">ROUND(73*1,0)&amp;"%"</f>
        <v>73%</v>
      </c>
    </row>
    <row r="57" customFormat="false" ht="15" hidden="false" customHeight="false" outlineLevel="0" collapsed="false">
      <c r="A57" s="6" t="s">
        <v>5501</v>
      </c>
      <c r="B57" s="6" t="s">
        <v>120</v>
      </c>
      <c r="C57" s="6" t="s">
        <v>114</v>
      </c>
      <c r="D57" s="6" t="s">
        <v>34</v>
      </c>
      <c r="E57" s="6" t="n">
        <f aca="false">ROUND(17546*1.05,2)</f>
        <v>18423.3</v>
      </c>
      <c r="F57" s="6" t="s">
        <v>35</v>
      </c>
      <c r="G57" s="6" t="s">
        <v>18</v>
      </c>
      <c r="H57" s="6" t="n">
        <f aca="true">ROUND(RAND()*4+6,1)</f>
        <v>8.9</v>
      </c>
      <c r="I57" s="6" t="s">
        <v>36</v>
      </c>
      <c r="J57" s="6" t="str">
        <f aca="false">ROUND(86*1,0)&amp;"%"</f>
        <v>86%</v>
      </c>
    </row>
    <row r="58" customFormat="false" ht="15" hidden="false" customHeight="false" outlineLevel="0" collapsed="false">
      <c r="A58" s="5" t="s">
        <v>5502</v>
      </c>
      <c r="B58" s="5" t="s">
        <v>122</v>
      </c>
      <c r="C58" s="5" t="s">
        <v>114</v>
      </c>
      <c r="D58" s="5" t="s">
        <v>39</v>
      </c>
      <c r="E58" s="5" t="n">
        <f aca="false">ROUND(17106*1.05,2)</f>
        <v>17961.3</v>
      </c>
      <c r="F58" s="5" t="s">
        <v>40</v>
      </c>
      <c r="G58" s="5" t="s">
        <v>24</v>
      </c>
      <c r="H58" s="5" t="n">
        <f aca="true">ROUND(RAND()*4+6,1)</f>
        <v>7.6</v>
      </c>
      <c r="I58" s="5" t="s">
        <v>41</v>
      </c>
      <c r="J58" s="5" t="str">
        <f aca="false">ROUND(62*1,0)&amp;"%"</f>
        <v>62%</v>
      </c>
    </row>
    <row r="59" customFormat="false" ht="15" hidden="false" customHeight="false" outlineLevel="0" collapsed="false">
      <c r="A59" s="6" t="s">
        <v>5503</v>
      </c>
      <c r="B59" s="6" t="s">
        <v>124</v>
      </c>
      <c r="C59" s="6" t="s">
        <v>114</v>
      </c>
      <c r="D59" s="6" t="s">
        <v>44</v>
      </c>
      <c r="E59" s="6" t="n">
        <f aca="false">ROUND(12597*1.05,2)</f>
        <v>13226.85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5504</v>
      </c>
      <c r="B60" s="5" t="s">
        <v>126</v>
      </c>
      <c r="C60" s="5" t="s">
        <v>114</v>
      </c>
      <c r="D60" s="5" t="s">
        <v>16</v>
      </c>
      <c r="E60" s="5" t="n">
        <f aca="false">ROUND(4690*1.05,2)</f>
        <v>4924.5</v>
      </c>
      <c r="F60" s="5" t="s">
        <v>49</v>
      </c>
      <c r="G60" s="5" t="s">
        <v>18</v>
      </c>
      <c r="H60" s="5" t="n">
        <f aca="true">ROUND(RAND()*4+6,1)</f>
        <v>6.7</v>
      </c>
      <c r="I60" s="5" t="s">
        <v>19</v>
      </c>
      <c r="J60" s="5" t="str">
        <f aca="false">ROUND(91*1,0)&amp;"%"</f>
        <v>91%</v>
      </c>
    </row>
    <row r="61" customFormat="false" ht="15" hidden="false" customHeight="false" outlineLevel="0" collapsed="false">
      <c r="A61" s="6" t="s">
        <v>5505</v>
      </c>
      <c r="B61" s="6" t="s">
        <v>128</v>
      </c>
      <c r="C61" s="6" t="s">
        <v>114</v>
      </c>
      <c r="D61" s="6" t="s">
        <v>22</v>
      </c>
      <c r="E61" s="6" t="n">
        <f aca="false">ROUND(11843*1.05,2)</f>
        <v>12435.15</v>
      </c>
      <c r="F61" s="6" t="s">
        <v>52</v>
      </c>
      <c r="G61" s="6" t="s">
        <v>24</v>
      </c>
      <c r="H61" s="6" t="n">
        <f aca="true">ROUND(RAND()*4+6,1)</f>
        <v>6.9</v>
      </c>
      <c r="I61" s="6" t="s">
        <v>25</v>
      </c>
      <c r="J61" s="6" t="str">
        <f aca="false">ROUND(72*1,0)&amp;"%"</f>
        <v>72%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5506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5507</v>
      </c>
      <c r="B66" s="5" t="s">
        <v>132</v>
      </c>
      <c r="C66" s="5" t="s">
        <v>133</v>
      </c>
      <c r="D66" s="5" t="s">
        <v>16</v>
      </c>
      <c r="E66" s="5" t="n">
        <f aca="false">ROUND(8815*1.05,2)</f>
        <v>9255.75</v>
      </c>
      <c r="F66" s="5" t="s">
        <v>17</v>
      </c>
      <c r="G66" s="5" t="s">
        <v>18</v>
      </c>
      <c r="H66" s="5" t="n">
        <f aca="true">ROUND(RAND()*4+6,1)</f>
        <v>7.5</v>
      </c>
      <c r="I66" s="5" t="s">
        <v>19</v>
      </c>
      <c r="J66" s="5" t="str">
        <f aca="false">ROUND(85*1,0)&amp;"%"</f>
        <v>85%</v>
      </c>
    </row>
    <row r="67" customFormat="false" ht="15" hidden="false" customHeight="false" outlineLevel="0" collapsed="false">
      <c r="A67" s="6" t="s">
        <v>5508</v>
      </c>
      <c r="B67" s="6" t="s">
        <v>135</v>
      </c>
      <c r="C67" s="6" t="s">
        <v>133</v>
      </c>
      <c r="D67" s="6" t="s">
        <v>22</v>
      </c>
      <c r="E67" s="6" t="n">
        <f aca="false">ROUND(16268*1.05,2)</f>
        <v>17081.4</v>
      </c>
      <c r="F67" s="6" t="s">
        <v>23</v>
      </c>
      <c r="G67" s="6" t="s">
        <v>24</v>
      </c>
      <c r="H67" s="6" t="n">
        <f aca="true">ROUND(RAND()*4+6,1)</f>
        <v>9.9</v>
      </c>
      <c r="I67" s="6" t="s">
        <v>25</v>
      </c>
      <c r="J67" s="6" t="str">
        <f aca="false">ROUND(62*1,0)&amp;"%"</f>
        <v>62%</v>
      </c>
    </row>
    <row r="68" customFormat="false" ht="15" hidden="false" customHeight="false" outlineLevel="0" collapsed="false">
      <c r="A68" s="5" t="s">
        <v>5509</v>
      </c>
      <c r="B68" s="5" t="s">
        <v>137</v>
      </c>
      <c r="C68" s="5" t="s">
        <v>133</v>
      </c>
      <c r="D68" s="5" t="s">
        <v>28</v>
      </c>
      <c r="E68" s="5" t="n">
        <f aca="false">ROUND(12701*1.05,2)</f>
        <v>13336.05</v>
      </c>
      <c r="F68" s="5" t="s">
        <v>29</v>
      </c>
      <c r="G68" s="5" t="s">
        <v>30</v>
      </c>
      <c r="H68" s="5" t="n">
        <f aca="true">ROUND(RAND()*4+6,1)</f>
        <v>6.4</v>
      </c>
      <c r="I68" s="5" t="s">
        <v>31</v>
      </c>
      <c r="J68" s="5" t="str">
        <f aca="false">ROUND(65*1,0)&amp;"%"</f>
        <v>65%</v>
      </c>
    </row>
    <row r="69" customFormat="false" ht="15" hidden="false" customHeight="false" outlineLevel="0" collapsed="false">
      <c r="A69" s="6" t="s">
        <v>5510</v>
      </c>
      <c r="B69" s="6" t="s">
        <v>139</v>
      </c>
      <c r="C69" s="6" t="s">
        <v>133</v>
      </c>
      <c r="D69" s="6" t="s">
        <v>34</v>
      </c>
      <c r="E69" s="6" t="n">
        <f aca="false">ROUND(13553*1.05,2)</f>
        <v>14230.65</v>
      </c>
      <c r="F69" s="6" t="s">
        <v>35</v>
      </c>
      <c r="G69" s="6" t="s">
        <v>18</v>
      </c>
      <c r="H69" s="6" t="n">
        <f aca="true">ROUND(RAND()*4+6,1)</f>
        <v>8.4</v>
      </c>
      <c r="I69" s="6" t="s">
        <v>36</v>
      </c>
      <c r="J69" s="6" t="str">
        <f aca="false">ROUND(82*1,0)&amp;"%"</f>
        <v>82%</v>
      </c>
    </row>
    <row r="70" customFormat="false" ht="15" hidden="false" customHeight="false" outlineLevel="0" collapsed="false">
      <c r="A70" s="5" t="s">
        <v>5511</v>
      </c>
      <c r="B70" s="5" t="s">
        <v>141</v>
      </c>
      <c r="C70" s="5" t="s">
        <v>133</v>
      </c>
      <c r="D70" s="5" t="s">
        <v>39</v>
      </c>
      <c r="E70" s="5" t="n">
        <f aca="false">ROUND(12082*1.05,2)</f>
        <v>12686.1</v>
      </c>
      <c r="F70" s="5" t="s">
        <v>40</v>
      </c>
      <c r="G70" s="5" t="s">
        <v>24</v>
      </c>
      <c r="H70" s="5" t="n">
        <f aca="true">ROUND(RAND()*4+6,1)</f>
        <v>8.4</v>
      </c>
      <c r="I70" s="5" t="s">
        <v>41</v>
      </c>
      <c r="J70" s="5" t="str">
        <f aca="false">ROUND(71*1,0)&amp;"%"</f>
        <v>71%</v>
      </c>
    </row>
    <row r="71" customFormat="false" ht="15" hidden="false" customHeight="false" outlineLevel="0" collapsed="false">
      <c r="A71" s="6" t="s">
        <v>5512</v>
      </c>
      <c r="B71" s="6" t="s">
        <v>143</v>
      </c>
      <c r="C71" s="6" t="s">
        <v>133</v>
      </c>
      <c r="D71" s="6" t="s">
        <v>44</v>
      </c>
      <c r="E71" s="6" t="n">
        <f aca="false">ROUND(9277*1.05,2)</f>
        <v>9740.85</v>
      </c>
      <c r="F71" s="6" t="s">
        <v>45</v>
      </c>
      <c r="G71" s="6" t="s">
        <v>30</v>
      </c>
      <c r="H71" s="6" t="n">
        <f aca="true">ROUND(RAND()*4+6,1)</f>
        <v>10</v>
      </c>
      <c r="I71" s="6" t="s">
        <v>46</v>
      </c>
      <c r="J71" s="6" t="str">
        <f aca="false">ROUND(80*1,0)&amp;"%"</f>
        <v>80%</v>
      </c>
    </row>
    <row r="72" customFormat="false" ht="15" hidden="false" customHeight="false" outlineLevel="0" collapsed="false">
      <c r="A72" s="5" t="s">
        <v>5513</v>
      </c>
      <c r="B72" s="5" t="s">
        <v>145</v>
      </c>
      <c r="C72" s="5" t="s">
        <v>133</v>
      </c>
      <c r="D72" s="5" t="s">
        <v>16</v>
      </c>
      <c r="E72" s="5" t="n">
        <f aca="false">ROUND(10274*1.05,2)</f>
        <v>10787.7</v>
      </c>
      <c r="F72" s="5" t="s">
        <v>49</v>
      </c>
      <c r="G72" s="5" t="s">
        <v>18</v>
      </c>
      <c r="H72" s="5" t="n">
        <f aca="true">ROUND(RAND()*4+6,1)</f>
        <v>7.2</v>
      </c>
      <c r="I72" s="5" t="s">
        <v>19</v>
      </c>
      <c r="J72" s="5" t="str">
        <f aca="false">ROUND(100*1,0)&amp;"%"</f>
        <v>100%</v>
      </c>
    </row>
    <row r="73" customFormat="false" ht="15" hidden="false" customHeight="false" outlineLevel="0" collapsed="false">
      <c r="A73" s="6" t="s">
        <v>5514</v>
      </c>
      <c r="B73" s="6" t="s">
        <v>147</v>
      </c>
      <c r="C73" s="6" t="s">
        <v>133</v>
      </c>
      <c r="D73" s="6" t="s">
        <v>22</v>
      </c>
      <c r="E73" s="6" t="n">
        <f aca="false">ROUND(14922*1.05,2)</f>
        <v>15668.1</v>
      </c>
      <c r="F73" s="6" t="s">
        <v>52</v>
      </c>
      <c r="G73" s="6" t="s">
        <v>24</v>
      </c>
      <c r="H73" s="6" t="n">
        <f aca="true">ROUND(RAND()*4+6,1)</f>
        <v>8.1</v>
      </c>
      <c r="I73" s="6" t="s">
        <v>25</v>
      </c>
      <c r="J73" s="6" t="str">
        <f aca="false">ROUND(99*1,0)&amp;"%"</f>
        <v>99%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5515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5516</v>
      </c>
      <c r="B78" s="5" t="s">
        <v>151</v>
      </c>
      <c r="C78" s="5" t="s">
        <v>152</v>
      </c>
      <c r="D78" s="5" t="s">
        <v>16</v>
      </c>
      <c r="E78" s="5" t="n">
        <f aca="false">ROUND(14024*1.05,2)</f>
        <v>14725.2</v>
      </c>
      <c r="F78" s="5" t="s">
        <v>17</v>
      </c>
      <c r="G78" s="5" t="s">
        <v>18</v>
      </c>
      <c r="H78" s="5" t="n">
        <f aca="true">ROUND(RAND()*4+6,1)</f>
        <v>7.7</v>
      </c>
      <c r="I78" s="5" t="s">
        <v>19</v>
      </c>
      <c r="J78" s="5" t="str">
        <f aca="false">ROUND(98*1,0)&amp;"%"</f>
        <v>98%</v>
      </c>
    </row>
    <row r="79" customFormat="false" ht="15" hidden="false" customHeight="false" outlineLevel="0" collapsed="false">
      <c r="A79" s="6" t="s">
        <v>5517</v>
      </c>
      <c r="B79" s="6" t="s">
        <v>154</v>
      </c>
      <c r="C79" s="6" t="s">
        <v>152</v>
      </c>
      <c r="D79" s="6" t="s">
        <v>22</v>
      </c>
      <c r="E79" s="6" t="n">
        <f aca="false">ROUND(11124*1.05,2)</f>
        <v>11680.2</v>
      </c>
      <c r="F79" s="6" t="s">
        <v>23</v>
      </c>
      <c r="G79" s="6" t="s">
        <v>24</v>
      </c>
      <c r="H79" s="6" t="n">
        <f aca="true">ROUND(RAND()*4+6,1)</f>
        <v>8.7</v>
      </c>
      <c r="I79" s="6" t="s">
        <v>25</v>
      </c>
      <c r="J79" s="6" t="str">
        <f aca="false">ROUND(82*1,0)&amp;"%"</f>
        <v>82%</v>
      </c>
    </row>
    <row r="80" customFormat="false" ht="15" hidden="false" customHeight="false" outlineLevel="0" collapsed="false">
      <c r="A80" s="5" t="s">
        <v>5518</v>
      </c>
      <c r="B80" s="5" t="s">
        <v>156</v>
      </c>
      <c r="C80" s="5" t="s">
        <v>152</v>
      </c>
      <c r="D80" s="5" t="s">
        <v>28</v>
      </c>
      <c r="E80" s="5" t="n">
        <f aca="false">ROUND(12351*1.05,2)</f>
        <v>12968.55</v>
      </c>
      <c r="F80" s="5" t="s">
        <v>29</v>
      </c>
      <c r="G80" s="5" t="s">
        <v>30</v>
      </c>
      <c r="H80" s="5" t="n">
        <f aca="true">ROUND(RAND()*4+6,1)</f>
        <v>7.6</v>
      </c>
      <c r="I80" s="5" t="s">
        <v>31</v>
      </c>
      <c r="J80" s="5" t="str">
        <f aca="false">ROUND(77*1,0)&amp;"%"</f>
        <v>77%</v>
      </c>
    </row>
    <row r="81" customFormat="false" ht="15" hidden="false" customHeight="false" outlineLevel="0" collapsed="false">
      <c r="A81" s="6" t="s">
        <v>5519</v>
      </c>
      <c r="B81" s="6" t="s">
        <v>158</v>
      </c>
      <c r="C81" s="6" t="s">
        <v>152</v>
      </c>
      <c r="D81" s="6" t="s">
        <v>34</v>
      </c>
      <c r="E81" s="6" t="n">
        <f aca="false">ROUND(12869*1.05,2)</f>
        <v>13512.45</v>
      </c>
      <c r="F81" s="6" t="s">
        <v>35</v>
      </c>
      <c r="G81" s="6" t="s">
        <v>18</v>
      </c>
      <c r="H81" s="6" t="n">
        <f aca="true">ROUND(RAND()*4+6,1)</f>
        <v>9.3</v>
      </c>
      <c r="I81" s="6" t="s">
        <v>36</v>
      </c>
      <c r="J81" s="6" t="str">
        <f aca="false">ROUND(79*1,0)&amp;"%"</f>
        <v>79%</v>
      </c>
    </row>
    <row r="82" customFormat="false" ht="15" hidden="false" customHeight="false" outlineLevel="0" collapsed="false">
      <c r="A82" s="5" t="s">
        <v>5520</v>
      </c>
      <c r="B82" s="5" t="s">
        <v>160</v>
      </c>
      <c r="C82" s="5" t="s">
        <v>152</v>
      </c>
      <c r="D82" s="5" t="s">
        <v>39</v>
      </c>
      <c r="E82" s="5" t="n">
        <f aca="false">ROUND(14123*1.05,2)</f>
        <v>14829.15</v>
      </c>
      <c r="F82" s="5" t="s">
        <v>40</v>
      </c>
      <c r="G82" s="5" t="s">
        <v>24</v>
      </c>
      <c r="H82" s="5" t="n">
        <f aca="true">ROUND(RAND()*4+6,1)</f>
        <v>8.3</v>
      </c>
      <c r="I82" s="5" t="s">
        <v>41</v>
      </c>
      <c r="J82" s="5" t="str">
        <f aca="false">ROUND(100*1,0)&amp;"%"</f>
        <v>100%</v>
      </c>
    </row>
    <row r="83" customFormat="false" ht="15" hidden="false" customHeight="false" outlineLevel="0" collapsed="false">
      <c r="A83" s="6" t="s">
        <v>5521</v>
      </c>
      <c r="B83" s="6" t="s">
        <v>162</v>
      </c>
      <c r="C83" s="6" t="s">
        <v>152</v>
      </c>
      <c r="D83" s="6" t="s">
        <v>44</v>
      </c>
      <c r="E83" s="6" t="n">
        <f aca="false">ROUND(16088*1.05,2)</f>
        <v>16892.4</v>
      </c>
      <c r="F83" s="6" t="s">
        <v>45</v>
      </c>
      <c r="G83" s="6" t="s">
        <v>30</v>
      </c>
      <c r="H83" s="6" t="n">
        <f aca="true">ROUND(RAND()*4+6,1)</f>
        <v>9.5</v>
      </c>
      <c r="I83" s="6" t="s">
        <v>46</v>
      </c>
      <c r="J83" s="6" t="str">
        <f aca="false">ROUND(90*1,0)&amp;"%"</f>
        <v>90%</v>
      </c>
    </row>
    <row r="84" customFormat="false" ht="15" hidden="false" customHeight="false" outlineLevel="0" collapsed="false">
      <c r="A84" s="5" t="s">
        <v>5522</v>
      </c>
      <c r="B84" s="5" t="s">
        <v>164</v>
      </c>
      <c r="C84" s="5" t="s">
        <v>152</v>
      </c>
      <c r="D84" s="5" t="s">
        <v>16</v>
      </c>
      <c r="E84" s="5" t="n">
        <f aca="false">ROUND(4013*1.05,2)</f>
        <v>4213.65</v>
      </c>
      <c r="F84" s="5" t="s">
        <v>49</v>
      </c>
      <c r="G84" s="5" t="s">
        <v>18</v>
      </c>
      <c r="H84" s="5" t="n">
        <f aca="true">ROUND(RAND()*4+6,1)</f>
        <v>8.5</v>
      </c>
      <c r="I84" s="5" t="s">
        <v>19</v>
      </c>
      <c r="J84" s="5" t="str">
        <f aca="false">ROUND(89*1,0)&amp;"%"</f>
        <v>89%</v>
      </c>
    </row>
    <row r="85" customFormat="false" ht="15" hidden="false" customHeight="false" outlineLevel="0" collapsed="false">
      <c r="A85" s="6" t="s">
        <v>5523</v>
      </c>
      <c r="B85" s="6" t="s">
        <v>166</v>
      </c>
      <c r="C85" s="6" t="s">
        <v>152</v>
      </c>
      <c r="D85" s="6" t="s">
        <v>22</v>
      </c>
      <c r="E85" s="6" t="n">
        <f aca="false">ROUND(15842*1.05,2)</f>
        <v>16634.1</v>
      </c>
      <c r="F85" s="6" t="s">
        <v>52</v>
      </c>
      <c r="G85" s="6" t="s">
        <v>24</v>
      </c>
      <c r="H85" s="6" t="n">
        <f aca="true">ROUND(RAND()*4+6,1)</f>
        <v>10</v>
      </c>
      <c r="I85" s="6" t="s">
        <v>25</v>
      </c>
      <c r="J85" s="6" t="str">
        <f aca="false">ROUND(91*1,0)&amp;"%"</f>
        <v>91%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5524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5525</v>
      </c>
      <c r="B90" s="5" t="s">
        <v>170</v>
      </c>
      <c r="C90" s="5" t="s">
        <v>15</v>
      </c>
      <c r="D90" s="5" t="s">
        <v>16</v>
      </c>
      <c r="E90" s="5" t="n">
        <f aca="false">ROUND(14638*1.05,2)</f>
        <v>15369.9</v>
      </c>
      <c r="F90" s="5" t="s">
        <v>17</v>
      </c>
      <c r="G90" s="5" t="s">
        <v>18</v>
      </c>
      <c r="H90" s="5" t="n">
        <f aca="true">ROUND(RAND()*4+6,1)</f>
        <v>8</v>
      </c>
      <c r="I90" s="5" t="s">
        <v>19</v>
      </c>
      <c r="J90" s="5" t="str">
        <f aca="false">ROUND(72*1,0)&amp;"%"</f>
        <v>72%</v>
      </c>
    </row>
    <row r="91" customFormat="false" ht="15" hidden="false" customHeight="false" outlineLevel="0" collapsed="false">
      <c r="A91" s="6" t="s">
        <v>5526</v>
      </c>
      <c r="B91" s="6" t="s">
        <v>172</v>
      </c>
      <c r="C91" s="6" t="s">
        <v>15</v>
      </c>
      <c r="D91" s="6" t="s">
        <v>22</v>
      </c>
      <c r="E91" s="6" t="n">
        <f aca="false">ROUND(12670*1.05,2)</f>
        <v>13303.5</v>
      </c>
      <c r="F91" s="6" t="s">
        <v>23</v>
      </c>
      <c r="G91" s="6" t="s">
        <v>24</v>
      </c>
      <c r="H91" s="6" t="n">
        <f aca="true">ROUND(RAND()*4+6,1)</f>
        <v>9.8</v>
      </c>
      <c r="I91" s="6" t="s">
        <v>25</v>
      </c>
      <c r="J91" s="6" t="str">
        <f aca="false">ROUND(60*1,0)&amp;"%"</f>
        <v>60%</v>
      </c>
    </row>
    <row r="92" customFormat="false" ht="15" hidden="false" customHeight="false" outlineLevel="0" collapsed="false">
      <c r="A92" s="5" t="s">
        <v>5527</v>
      </c>
      <c r="B92" s="5" t="s">
        <v>174</v>
      </c>
      <c r="C92" s="5" t="s">
        <v>15</v>
      </c>
      <c r="D92" s="5" t="s">
        <v>28</v>
      </c>
      <c r="E92" s="5" t="n">
        <f aca="false">ROUND(4517*1.05,2)</f>
        <v>4742.85</v>
      </c>
      <c r="F92" s="5" t="s">
        <v>29</v>
      </c>
      <c r="G92" s="5" t="s">
        <v>30</v>
      </c>
      <c r="H92" s="5" t="n">
        <f aca="true">ROUND(RAND()*4+6,1)</f>
        <v>8.3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5528</v>
      </c>
      <c r="B93" s="6" t="s">
        <v>176</v>
      </c>
      <c r="C93" s="6" t="s">
        <v>15</v>
      </c>
      <c r="D93" s="6" t="s">
        <v>34</v>
      </c>
      <c r="E93" s="6" t="n">
        <f aca="false">ROUND(12537*1.05,2)</f>
        <v>13163.85</v>
      </c>
      <c r="F93" s="6" t="s">
        <v>35</v>
      </c>
      <c r="G93" s="6" t="s">
        <v>18</v>
      </c>
      <c r="H93" s="6" t="n">
        <f aca="true">ROUND(RAND()*4+6,1)</f>
        <v>8.3</v>
      </c>
      <c r="I93" s="6" t="s">
        <v>36</v>
      </c>
      <c r="J93" s="6" t="str">
        <f aca="false">ROUND(91*1,0)&amp;"%"</f>
        <v>91%</v>
      </c>
    </row>
    <row r="94" customFormat="false" ht="15" hidden="false" customHeight="false" outlineLevel="0" collapsed="false">
      <c r="A94" s="5" t="s">
        <v>5529</v>
      </c>
      <c r="B94" s="5" t="s">
        <v>178</v>
      </c>
      <c r="C94" s="5" t="s">
        <v>15</v>
      </c>
      <c r="D94" s="5" t="s">
        <v>39</v>
      </c>
      <c r="E94" s="5" t="n">
        <f aca="false">ROUND(4996*1.05,2)</f>
        <v>5245.8</v>
      </c>
      <c r="F94" s="5" t="s">
        <v>40</v>
      </c>
      <c r="G94" s="5" t="s">
        <v>24</v>
      </c>
      <c r="H94" s="5" t="n">
        <f aca="true">ROUND(RAND()*4+6,1)</f>
        <v>7.4</v>
      </c>
      <c r="I94" s="5" t="s">
        <v>41</v>
      </c>
      <c r="J94" s="5" t="str">
        <f aca="false">ROUND(61*1,0)&amp;"%"</f>
        <v>61%</v>
      </c>
    </row>
    <row r="95" customFormat="false" ht="15" hidden="false" customHeight="false" outlineLevel="0" collapsed="false">
      <c r="A95" s="6" t="s">
        <v>5530</v>
      </c>
      <c r="B95" s="6" t="s">
        <v>180</v>
      </c>
      <c r="C95" s="6" t="s">
        <v>15</v>
      </c>
      <c r="D95" s="6" t="s">
        <v>44</v>
      </c>
      <c r="E95" s="6" t="n">
        <f aca="false">ROUND(8541*1.05,2)</f>
        <v>8968.05</v>
      </c>
      <c r="F95" s="6" t="s">
        <v>45</v>
      </c>
      <c r="G95" s="6" t="s">
        <v>30</v>
      </c>
      <c r="H95" s="6" t="n">
        <f aca="true">ROUND(RAND()*4+6,1)</f>
        <v>9.7</v>
      </c>
      <c r="I95" s="6" t="s">
        <v>46</v>
      </c>
      <c r="J95" s="6" t="str">
        <f aca="false">ROUND(78*1,0)&amp;"%"</f>
        <v>78%</v>
      </c>
    </row>
    <row r="96" customFormat="false" ht="15" hidden="false" customHeight="false" outlineLevel="0" collapsed="false">
      <c r="A96" s="5" t="s">
        <v>5531</v>
      </c>
      <c r="B96" s="5" t="s">
        <v>182</v>
      </c>
      <c r="C96" s="5" t="s">
        <v>15</v>
      </c>
      <c r="D96" s="5" t="s">
        <v>16</v>
      </c>
      <c r="E96" s="5" t="n">
        <f aca="false">ROUND(16525*1.05,2)</f>
        <v>17351.25</v>
      </c>
      <c r="F96" s="5" t="s">
        <v>49</v>
      </c>
      <c r="G96" s="5" t="s">
        <v>18</v>
      </c>
      <c r="H96" s="5" t="n">
        <f aca="true">ROUND(RAND()*4+6,1)</f>
        <v>7.4</v>
      </c>
      <c r="I96" s="5" t="s">
        <v>19</v>
      </c>
      <c r="J96" s="5" t="str">
        <f aca="false">ROUND(87*1,0)&amp;"%"</f>
        <v>87%</v>
      </c>
    </row>
    <row r="97" customFormat="false" ht="15" hidden="false" customHeight="false" outlineLevel="0" collapsed="false">
      <c r="A97" s="6" t="s">
        <v>5532</v>
      </c>
      <c r="B97" s="6" t="s">
        <v>184</v>
      </c>
      <c r="C97" s="6" t="s">
        <v>15</v>
      </c>
      <c r="D97" s="6" t="s">
        <v>22</v>
      </c>
      <c r="E97" s="6" t="n">
        <f aca="false">ROUND(11469*1.05,2)</f>
        <v>12042.45</v>
      </c>
      <c r="F97" s="6" t="s">
        <v>52</v>
      </c>
      <c r="G97" s="6" t="s">
        <v>24</v>
      </c>
      <c r="H97" s="6" t="n">
        <f aca="true">ROUND(RAND()*4+6,1)</f>
        <v>9</v>
      </c>
      <c r="I97" s="6" t="s">
        <v>25</v>
      </c>
      <c r="J97" s="6" t="str">
        <f aca="false">ROUND(82*1,0)&amp;"%"</f>
        <v>82%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5533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5534</v>
      </c>
      <c r="B102" s="5" t="s">
        <v>188</v>
      </c>
      <c r="C102" s="5" t="s">
        <v>57</v>
      </c>
      <c r="D102" s="5" t="s">
        <v>16</v>
      </c>
      <c r="E102" s="5" t="n">
        <f aca="false">ROUND(15296*1.05,2)</f>
        <v>16060.8</v>
      </c>
      <c r="F102" s="5" t="s">
        <v>17</v>
      </c>
      <c r="G102" s="5" t="s">
        <v>18</v>
      </c>
      <c r="H102" s="5" t="n">
        <f aca="true">ROUND(RAND()*4+6,1)</f>
        <v>6.4</v>
      </c>
      <c r="I102" s="5" t="s">
        <v>19</v>
      </c>
      <c r="J102" s="5" t="str">
        <f aca="false">ROUND(69*1,0)&amp;"%"</f>
        <v>69%</v>
      </c>
    </row>
    <row r="103" customFormat="false" ht="15" hidden="false" customHeight="false" outlineLevel="0" collapsed="false">
      <c r="A103" s="6" t="s">
        <v>5535</v>
      </c>
      <c r="B103" s="6" t="s">
        <v>190</v>
      </c>
      <c r="C103" s="6" t="s">
        <v>57</v>
      </c>
      <c r="D103" s="6" t="s">
        <v>22</v>
      </c>
      <c r="E103" s="6" t="n">
        <f aca="false">ROUND(14360*1.05,2)</f>
        <v>15078</v>
      </c>
      <c r="F103" s="6" t="s">
        <v>23</v>
      </c>
      <c r="G103" s="6" t="s">
        <v>24</v>
      </c>
      <c r="H103" s="6" t="n">
        <f aca="true">ROUND(RAND()*4+6,1)</f>
        <v>6.6</v>
      </c>
      <c r="I103" s="6" t="s">
        <v>25</v>
      </c>
      <c r="J103" s="6" t="str">
        <f aca="false">ROUND(88*1,0)&amp;"%"</f>
        <v>88%</v>
      </c>
    </row>
    <row r="104" customFormat="false" ht="15" hidden="false" customHeight="false" outlineLevel="0" collapsed="false">
      <c r="A104" s="5" t="s">
        <v>5536</v>
      </c>
      <c r="B104" s="5" t="s">
        <v>192</v>
      </c>
      <c r="C104" s="5" t="s">
        <v>57</v>
      </c>
      <c r="D104" s="5" t="s">
        <v>28</v>
      </c>
      <c r="E104" s="5" t="n">
        <f aca="false">ROUND(11978*1.05,2)</f>
        <v>12576.9</v>
      </c>
      <c r="F104" s="5" t="s">
        <v>29</v>
      </c>
      <c r="G104" s="5" t="s">
        <v>30</v>
      </c>
      <c r="H104" s="5" t="n">
        <f aca="true">ROUND(RAND()*4+6,1)</f>
        <v>9</v>
      </c>
      <c r="I104" s="5" t="s">
        <v>31</v>
      </c>
      <c r="J104" s="5" t="str">
        <f aca="false">ROUND(87*1,0)&amp;"%"</f>
        <v>87%</v>
      </c>
    </row>
    <row r="105" customFormat="false" ht="15" hidden="false" customHeight="false" outlineLevel="0" collapsed="false">
      <c r="A105" s="6" t="s">
        <v>5537</v>
      </c>
      <c r="B105" s="6" t="s">
        <v>194</v>
      </c>
      <c r="C105" s="6" t="s">
        <v>57</v>
      </c>
      <c r="D105" s="6" t="s">
        <v>34</v>
      </c>
      <c r="E105" s="6" t="n">
        <f aca="false">ROUND(16632*1.05,2)</f>
        <v>17463.6</v>
      </c>
      <c r="F105" s="6" t="s">
        <v>35</v>
      </c>
      <c r="G105" s="6" t="s">
        <v>18</v>
      </c>
      <c r="H105" s="6" t="n">
        <f aca="true">ROUND(RAND()*4+6,1)</f>
        <v>6.2</v>
      </c>
      <c r="I105" s="6" t="s">
        <v>36</v>
      </c>
      <c r="J105" s="6" t="str">
        <f aca="false">ROUND(95*1,0)&amp;"%"</f>
        <v>95%</v>
      </c>
    </row>
    <row r="106" customFormat="false" ht="15" hidden="false" customHeight="false" outlineLevel="0" collapsed="false">
      <c r="A106" s="5" t="s">
        <v>5538</v>
      </c>
      <c r="B106" s="5" t="s">
        <v>196</v>
      </c>
      <c r="C106" s="5" t="s">
        <v>57</v>
      </c>
      <c r="D106" s="5" t="s">
        <v>39</v>
      </c>
      <c r="E106" s="5" t="n">
        <f aca="false">ROUND(16672*1.05,2)</f>
        <v>17505.6</v>
      </c>
      <c r="F106" s="5" t="s">
        <v>40</v>
      </c>
      <c r="G106" s="5" t="s">
        <v>24</v>
      </c>
      <c r="H106" s="5" t="n">
        <f aca="true">ROUND(RAND()*4+6,1)</f>
        <v>6.1</v>
      </c>
      <c r="I106" s="5" t="s">
        <v>41</v>
      </c>
      <c r="J106" s="5" t="str">
        <f aca="false">ROUND(81*1,0)&amp;"%"</f>
        <v>81%</v>
      </c>
    </row>
    <row r="107" customFormat="false" ht="15" hidden="false" customHeight="false" outlineLevel="0" collapsed="false">
      <c r="A107" s="6" t="s">
        <v>5539</v>
      </c>
      <c r="B107" s="6" t="s">
        <v>198</v>
      </c>
      <c r="C107" s="6" t="s">
        <v>57</v>
      </c>
      <c r="D107" s="6" t="s">
        <v>44</v>
      </c>
      <c r="E107" s="6" t="n">
        <f aca="false">ROUND(5528*1.05,2)</f>
        <v>5804.4</v>
      </c>
      <c r="F107" s="6" t="s">
        <v>45</v>
      </c>
      <c r="G107" s="6" t="s">
        <v>30</v>
      </c>
      <c r="H107" s="6" t="n">
        <f aca="true">ROUND(RAND()*4+6,1)</f>
        <v>6.9</v>
      </c>
      <c r="I107" s="6" t="s">
        <v>46</v>
      </c>
      <c r="J107" s="6" t="str">
        <f aca="false">ROUND(92*1,0)&amp;"%"</f>
        <v>92%</v>
      </c>
    </row>
    <row r="108" customFormat="false" ht="15" hidden="false" customHeight="false" outlineLevel="0" collapsed="false">
      <c r="A108" s="5" t="s">
        <v>5540</v>
      </c>
      <c r="B108" s="5" t="s">
        <v>200</v>
      </c>
      <c r="C108" s="5" t="s">
        <v>57</v>
      </c>
      <c r="D108" s="5" t="s">
        <v>16</v>
      </c>
      <c r="E108" s="5" t="n">
        <f aca="false">ROUND(17688*1.05,2)</f>
        <v>18572.4</v>
      </c>
      <c r="F108" s="5" t="s">
        <v>49</v>
      </c>
      <c r="G108" s="5" t="s">
        <v>18</v>
      </c>
      <c r="H108" s="5" t="n">
        <f aca="true">ROUND(RAND()*4+6,1)</f>
        <v>7.2</v>
      </c>
      <c r="I108" s="5" t="s">
        <v>19</v>
      </c>
      <c r="J108" s="5" t="str">
        <f aca="false">ROUND(90*1,0)&amp;"%"</f>
        <v>90%</v>
      </c>
    </row>
    <row r="109" customFormat="false" ht="15" hidden="false" customHeight="false" outlineLevel="0" collapsed="false">
      <c r="A109" s="6" t="s">
        <v>5541</v>
      </c>
      <c r="B109" s="6" t="s">
        <v>202</v>
      </c>
      <c r="C109" s="6" t="s">
        <v>57</v>
      </c>
      <c r="D109" s="6" t="s">
        <v>22</v>
      </c>
      <c r="E109" s="6" t="n">
        <f aca="false">ROUND(9420*1.05,2)</f>
        <v>9891</v>
      </c>
      <c r="F109" s="6" t="s">
        <v>52</v>
      </c>
      <c r="G109" s="6" t="s">
        <v>24</v>
      </c>
      <c r="H109" s="6" t="n">
        <f aca="true">ROUND(RAND()*4+6,1)</f>
        <v>9.7</v>
      </c>
      <c r="I109" s="6" t="s">
        <v>25</v>
      </c>
      <c r="J109" s="6" t="str">
        <f aca="false">ROUND(87*1,0)&amp;"%"</f>
        <v>87%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5542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5543</v>
      </c>
      <c r="B114" s="5" t="s">
        <v>206</v>
      </c>
      <c r="C114" s="5" t="s">
        <v>76</v>
      </c>
      <c r="D114" s="5" t="s">
        <v>16</v>
      </c>
      <c r="E114" s="5" t="n">
        <f aca="false">ROUND(8119*1.05,2)</f>
        <v>8524.95</v>
      </c>
      <c r="F114" s="5" t="s">
        <v>17</v>
      </c>
      <c r="G114" s="5" t="s">
        <v>18</v>
      </c>
      <c r="H114" s="5" t="n">
        <f aca="true">ROUND(RAND()*4+6,1)</f>
        <v>8.2</v>
      </c>
      <c r="I114" s="5" t="s">
        <v>19</v>
      </c>
      <c r="J114" s="5" t="str">
        <f aca="false">ROUND(82*1,0)&amp;"%"</f>
        <v>82%</v>
      </c>
    </row>
    <row r="115" customFormat="false" ht="15" hidden="false" customHeight="false" outlineLevel="0" collapsed="false">
      <c r="A115" s="6" t="s">
        <v>5544</v>
      </c>
      <c r="B115" s="6" t="s">
        <v>208</v>
      </c>
      <c r="C115" s="6" t="s">
        <v>76</v>
      </c>
      <c r="D115" s="6" t="s">
        <v>22</v>
      </c>
      <c r="E115" s="6" t="n">
        <f aca="false">ROUND(17586*1.05,2)</f>
        <v>18465.3</v>
      </c>
      <c r="F115" s="6" t="s">
        <v>23</v>
      </c>
      <c r="G115" s="6" t="s">
        <v>24</v>
      </c>
      <c r="H115" s="6" t="n">
        <f aca="true">ROUND(RAND()*4+6,1)</f>
        <v>6.1</v>
      </c>
      <c r="I115" s="6" t="s">
        <v>25</v>
      </c>
      <c r="J115" s="6" t="str">
        <f aca="false">ROUND(82*1,0)&amp;"%"</f>
        <v>82%</v>
      </c>
    </row>
    <row r="116" customFormat="false" ht="15" hidden="false" customHeight="false" outlineLevel="0" collapsed="false">
      <c r="A116" s="5" t="s">
        <v>5545</v>
      </c>
      <c r="B116" s="5" t="s">
        <v>210</v>
      </c>
      <c r="C116" s="5" t="s">
        <v>76</v>
      </c>
      <c r="D116" s="5" t="s">
        <v>28</v>
      </c>
      <c r="E116" s="5" t="n">
        <f aca="false">ROUND(7707*1.05,2)</f>
        <v>8092.35</v>
      </c>
      <c r="F116" s="5" t="s">
        <v>29</v>
      </c>
      <c r="G116" s="5" t="s">
        <v>30</v>
      </c>
      <c r="H116" s="5" t="n">
        <f aca="true">ROUND(RAND()*4+6,1)</f>
        <v>7.8</v>
      </c>
      <c r="I116" s="5" t="s">
        <v>31</v>
      </c>
      <c r="J116" s="5" t="str">
        <f aca="false">ROUND(95*1,0)&amp;"%"</f>
        <v>95%</v>
      </c>
    </row>
    <row r="117" customFormat="false" ht="15" hidden="false" customHeight="false" outlineLevel="0" collapsed="false">
      <c r="A117" s="6" t="s">
        <v>5546</v>
      </c>
      <c r="B117" s="6" t="s">
        <v>212</v>
      </c>
      <c r="C117" s="6" t="s">
        <v>76</v>
      </c>
      <c r="D117" s="6" t="s">
        <v>34</v>
      </c>
      <c r="E117" s="6" t="n">
        <f aca="false">ROUND(14950*1.05,2)</f>
        <v>15697.5</v>
      </c>
      <c r="F117" s="6" t="s">
        <v>35</v>
      </c>
      <c r="G117" s="6" t="s">
        <v>18</v>
      </c>
      <c r="H117" s="6" t="n">
        <f aca="true">ROUND(RAND()*4+6,1)</f>
        <v>8.8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5547</v>
      </c>
      <c r="B118" s="5" t="s">
        <v>214</v>
      </c>
      <c r="C118" s="5" t="s">
        <v>76</v>
      </c>
      <c r="D118" s="5" t="s">
        <v>39</v>
      </c>
      <c r="E118" s="5" t="n">
        <f aca="false">ROUND(10170*1.05,2)</f>
        <v>10678.5</v>
      </c>
      <c r="F118" s="5" t="s">
        <v>40</v>
      </c>
      <c r="G118" s="5" t="s">
        <v>24</v>
      </c>
      <c r="H118" s="5" t="n">
        <f aca="true">ROUND(RAND()*4+6,1)</f>
        <v>7.2</v>
      </c>
      <c r="I118" s="5" t="s">
        <v>41</v>
      </c>
      <c r="J118" s="5" t="str">
        <f aca="false">ROUND(79*1,0)&amp;"%"</f>
        <v>79%</v>
      </c>
    </row>
    <row r="119" customFormat="false" ht="15" hidden="false" customHeight="false" outlineLevel="0" collapsed="false">
      <c r="A119" s="6" t="s">
        <v>5548</v>
      </c>
      <c r="B119" s="6" t="s">
        <v>216</v>
      </c>
      <c r="C119" s="6" t="s">
        <v>76</v>
      </c>
      <c r="D119" s="6" t="s">
        <v>44</v>
      </c>
      <c r="E119" s="6" t="n">
        <f aca="false">ROUND(12262*1.05,2)</f>
        <v>12875.1</v>
      </c>
      <c r="F119" s="6" t="s">
        <v>45</v>
      </c>
      <c r="G119" s="6" t="s">
        <v>30</v>
      </c>
      <c r="H119" s="6" t="n">
        <f aca="true">ROUND(RAND()*4+6,1)</f>
        <v>7.2</v>
      </c>
      <c r="I119" s="6" t="s">
        <v>46</v>
      </c>
      <c r="J119" s="6" t="str">
        <f aca="false">ROUND(100*1,0)&amp;"%"</f>
        <v>100%</v>
      </c>
    </row>
    <row r="120" customFormat="false" ht="15" hidden="false" customHeight="false" outlineLevel="0" collapsed="false">
      <c r="A120" s="5" t="s">
        <v>5549</v>
      </c>
      <c r="B120" s="5" t="s">
        <v>218</v>
      </c>
      <c r="C120" s="5" t="s">
        <v>76</v>
      </c>
      <c r="D120" s="5" t="s">
        <v>16</v>
      </c>
      <c r="E120" s="5" t="n">
        <f aca="false">ROUND(7698*1.05,2)</f>
        <v>8082.9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ROUND(79*1,0)&amp;"%"</f>
        <v>79%</v>
      </c>
    </row>
    <row r="121" customFormat="false" ht="15" hidden="false" customHeight="false" outlineLevel="0" collapsed="false">
      <c r="A121" s="6" t="s">
        <v>5550</v>
      </c>
      <c r="B121" s="6" t="s">
        <v>220</v>
      </c>
      <c r="C121" s="6" t="s">
        <v>76</v>
      </c>
      <c r="D121" s="6" t="s">
        <v>22</v>
      </c>
      <c r="E121" s="6" t="n">
        <f aca="false">ROUND(11479*1.05,2)</f>
        <v>12052.95</v>
      </c>
      <c r="F121" s="6" t="s">
        <v>52</v>
      </c>
      <c r="G121" s="6" t="s">
        <v>24</v>
      </c>
      <c r="H121" s="6" t="n">
        <f aca="true">ROUND(RAND()*4+6,1)</f>
        <v>6.8</v>
      </c>
      <c r="I121" s="6" t="s">
        <v>25</v>
      </c>
      <c r="J121" s="6" t="str">
        <f aca="false">ROUND(67*1,0)&amp;"%"</f>
        <v>67%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5551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5552</v>
      </c>
      <c r="B126" s="5" t="s">
        <v>224</v>
      </c>
      <c r="C126" s="5" t="s">
        <v>95</v>
      </c>
      <c r="D126" s="5" t="s">
        <v>16</v>
      </c>
      <c r="E126" s="5" t="n">
        <f aca="false">ROUND(4522*1.05,2)</f>
        <v>4748.1</v>
      </c>
      <c r="F126" s="5" t="s">
        <v>17</v>
      </c>
      <c r="G126" s="5" t="s">
        <v>18</v>
      </c>
      <c r="H126" s="5" t="n">
        <f aca="true">ROUND(RAND()*4+6,1)</f>
        <v>7.6</v>
      </c>
      <c r="I126" s="5" t="s">
        <v>19</v>
      </c>
      <c r="J126" s="5" t="str">
        <f aca="false">ROUND(62*1,0)&amp;"%"</f>
        <v>62%</v>
      </c>
    </row>
    <row r="127" customFormat="false" ht="15" hidden="false" customHeight="false" outlineLevel="0" collapsed="false">
      <c r="A127" s="6" t="s">
        <v>5553</v>
      </c>
      <c r="B127" s="6" t="s">
        <v>226</v>
      </c>
      <c r="C127" s="6" t="s">
        <v>95</v>
      </c>
      <c r="D127" s="6" t="s">
        <v>22</v>
      </c>
      <c r="E127" s="6" t="n">
        <f aca="false">ROUND(14841*1.05,2)</f>
        <v>15583.05</v>
      </c>
      <c r="F127" s="6" t="s">
        <v>23</v>
      </c>
      <c r="G127" s="6" t="s">
        <v>24</v>
      </c>
      <c r="H127" s="6" t="n">
        <f aca="true">ROUND(RAND()*4+6,1)</f>
        <v>9.6</v>
      </c>
      <c r="I127" s="6" t="s">
        <v>25</v>
      </c>
      <c r="J127" s="6" t="str">
        <f aca="false">ROUND(73*1,0)&amp;"%"</f>
        <v>73%</v>
      </c>
    </row>
    <row r="128" customFormat="false" ht="15" hidden="false" customHeight="false" outlineLevel="0" collapsed="false">
      <c r="A128" s="5" t="s">
        <v>5554</v>
      </c>
      <c r="B128" s="5" t="s">
        <v>228</v>
      </c>
      <c r="C128" s="5" t="s">
        <v>95</v>
      </c>
      <c r="D128" s="5" t="s">
        <v>28</v>
      </c>
      <c r="E128" s="5" t="n">
        <f aca="false">ROUND(9619*1.05,2)</f>
        <v>10099.95</v>
      </c>
      <c r="F128" s="5" t="s">
        <v>29</v>
      </c>
      <c r="G128" s="5" t="s">
        <v>30</v>
      </c>
      <c r="H128" s="5" t="n">
        <f aca="true">ROUND(RAND()*4+6,1)</f>
        <v>8.6</v>
      </c>
      <c r="I128" s="5" t="s">
        <v>31</v>
      </c>
      <c r="J128" s="5" t="str">
        <f aca="false">ROUND(72*1,0)&amp;"%"</f>
        <v>72%</v>
      </c>
    </row>
    <row r="129" customFormat="false" ht="15" hidden="false" customHeight="false" outlineLevel="0" collapsed="false">
      <c r="A129" s="6" t="s">
        <v>5555</v>
      </c>
      <c r="B129" s="6" t="s">
        <v>230</v>
      </c>
      <c r="C129" s="6" t="s">
        <v>95</v>
      </c>
      <c r="D129" s="6" t="s">
        <v>34</v>
      </c>
      <c r="E129" s="6" t="n">
        <f aca="false">ROUND(10805*1.05,2)</f>
        <v>11345.25</v>
      </c>
      <c r="F129" s="6" t="s">
        <v>35</v>
      </c>
      <c r="G129" s="6" t="s">
        <v>18</v>
      </c>
      <c r="H129" s="6" t="n">
        <f aca="true">ROUND(RAND()*4+6,1)</f>
        <v>6.8</v>
      </c>
      <c r="I129" s="6" t="s">
        <v>36</v>
      </c>
      <c r="J129" s="6" t="str">
        <f aca="false">ROUND(75*1,0)&amp;"%"</f>
        <v>75%</v>
      </c>
    </row>
    <row r="130" customFormat="false" ht="15" hidden="false" customHeight="false" outlineLevel="0" collapsed="false">
      <c r="A130" s="5" t="s">
        <v>5556</v>
      </c>
      <c r="B130" s="5" t="s">
        <v>232</v>
      </c>
      <c r="C130" s="5" t="s">
        <v>95</v>
      </c>
      <c r="D130" s="5" t="s">
        <v>39</v>
      </c>
      <c r="E130" s="5" t="n">
        <f aca="false">ROUND(15314*1.05,2)</f>
        <v>16079.7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ROUND(92*1,0)&amp;"%"</f>
        <v>92%</v>
      </c>
    </row>
    <row r="131" customFormat="false" ht="15" hidden="false" customHeight="false" outlineLevel="0" collapsed="false">
      <c r="A131" s="6" t="s">
        <v>5557</v>
      </c>
      <c r="B131" s="6" t="s">
        <v>234</v>
      </c>
      <c r="C131" s="6" t="s">
        <v>95</v>
      </c>
      <c r="D131" s="6" t="s">
        <v>44</v>
      </c>
      <c r="E131" s="6" t="n">
        <f aca="false">ROUND(8391*1.05,2)</f>
        <v>8810.55</v>
      </c>
      <c r="F131" s="6" t="s">
        <v>45</v>
      </c>
      <c r="G131" s="6" t="s">
        <v>30</v>
      </c>
      <c r="H131" s="6" t="n">
        <f aca="true">ROUND(RAND()*4+6,1)</f>
        <v>9.3</v>
      </c>
      <c r="I131" s="6" t="s">
        <v>46</v>
      </c>
      <c r="J131" s="6" t="str">
        <f aca="false">ROUND(65*1,0)&amp;"%"</f>
        <v>65%</v>
      </c>
    </row>
    <row r="132" customFormat="false" ht="15" hidden="false" customHeight="false" outlineLevel="0" collapsed="false">
      <c r="A132" s="5" t="s">
        <v>5558</v>
      </c>
      <c r="B132" s="5" t="s">
        <v>236</v>
      </c>
      <c r="C132" s="5" t="s">
        <v>95</v>
      </c>
      <c r="D132" s="5" t="s">
        <v>16</v>
      </c>
      <c r="E132" s="5" t="n">
        <f aca="false">ROUND(10781*1.05,2)</f>
        <v>11320.05</v>
      </c>
      <c r="F132" s="5" t="s">
        <v>49</v>
      </c>
      <c r="G132" s="5" t="s">
        <v>18</v>
      </c>
      <c r="H132" s="5" t="n">
        <f aca="true">ROUND(RAND()*4+6,1)</f>
        <v>6.1</v>
      </c>
      <c r="I132" s="5" t="s">
        <v>19</v>
      </c>
      <c r="J132" s="5" t="str">
        <f aca="false">ROUND(63*1,0)&amp;"%"</f>
        <v>63%</v>
      </c>
    </row>
    <row r="133" customFormat="false" ht="15" hidden="false" customHeight="false" outlineLevel="0" collapsed="false">
      <c r="A133" s="6" t="s">
        <v>5559</v>
      </c>
      <c r="B133" s="6" t="s">
        <v>238</v>
      </c>
      <c r="C133" s="6" t="s">
        <v>95</v>
      </c>
      <c r="D133" s="6" t="s">
        <v>22</v>
      </c>
      <c r="E133" s="6" t="n">
        <f aca="false">ROUND(4007*1.05,2)</f>
        <v>4207.35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ROUND(82*1,0)&amp;"%"</f>
        <v>82%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5560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5561</v>
      </c>
      <c r="B138" s="5" t="s">
        <v>242</v>
      </c>
      <c r="C138" s="5" t="s">
        <v>114</v>
      </c>
      <c r="D138" s="5" t="s">
        <v>16</v>
      </c>
      <c r="E138" s="5" t="n">
        <f aca="false">ROUND(12761*1.05,2)</f>
        <v>13399.05</v>
      </c>
      <c r="F138" s="5" t="s">
        <v>17</v>
      </c>
      <c r="G138" s="5" t="s">
        <v>18</v>
      </c>
      <c r="H138" s="5" t="n">
        <f aca="true">ROUND(RAND()*4+6,1)</f>
        <v>8</v>
      </c>
      <c r="I138" s="5" t="s">
        <v>19</v>
      </c>
      <c r="J138" s="5" t="str">
        <f aca="false">ROUND(79*1,0)&amp;"%"</f>
        <v>79%</v>
      </c>
    </row>
    <row r="139" customFormat="false" ht="15" hidden="false" customHeight="false" outlineLevel="0" collapsed="false">
      <c r="A139" s="6" t="s">
        <v>5562</v>
      </c>
      <c r="B139" s="6" t="s">
        <v>244</v>
      </c>
      <c r="C139" s="6" t="s">
        <v>114</v>
      </c>
      <c r="D139" s="6" t="s">
        <v>22</v>
      </c>
      <c r="E139" s="6" t="n">
        <f aca="false">ROUND(7439*1.05,2)</f>
        <v>7810.95</v>
      </c>
      <c r="F139" s="6" t="s">
        <v>23</v>
      </c>
      <c r="G139" s="6" t="s">
        <v>24</v>
      </c>
      <c r="H139" s="6" t="n">
        <f aca="true">ROUND(RAND()*4+6,1)</f>
        <v>8.7</v>
      </c>
      <c r="I139" s="6" t="s">
        <v>25</v>
      </c>
      <c r="J139" s="6" t="str">
        <f aca="false">ROUND(60*1,0)&amp;"%"</f>
        <v>60%</v>
      </c>
    </row>
    <row r="140" customFormat="false" ht="15" hidden="false" customHeight="false" outlineLevel="0" collapsed="false">
      <c r="A140" s="5" t="s">
        <v>5563</v>
      </c>
      <c r="B140" s="5" t="s">
        <v>246</v>
      </c>
      <c r="C140" s="5" t="s">
        <v>114</v>
      </c>
      <c r="D140" s="5" t="s">
        <v>28</v>
      </c>
      <c r="E140" s="5" t="n">
        <f aca="false">ROUND(14651*1.05,2)</f>
        <v>15383.55</v>
      </c>
      <c r="F140" s="5" t="s">
        <v>29</v>
      </c>
      <c r="G140" s="5" t="s">
        <v>30</v>
      </c>
      <c r="H140" s="5" t="n">
        <f aca="true">ROUND(RAND()*4+6,1)</f>
        <v>9.8</v>
      </c>
      <c r="I140" s="5" t="s">
        <v>31</v>
      </c>
      <c r="J140" s="5" t="str">
        <f aca="false">ROUND(81*1,0)&amp;"%"</f>
        <v>81%</v>
      </c>
    </row>
    <row r="141" customFormat="false" ht="15" hidden="false" customHeight="false" outlineLevel="0" collapsed="false">
      <c r="A141" s="6" t="s">
        <v>5564</v>
      </c>
      <c r="B141" s="6" t="s">
        <v>248</v>
      </c>
      <c r="C141" s="6" t="s">
        <v>114</v>
      </c>
      <c r="D141" s="6" t="s">
        <v>34</v>
      </c>
      <c r="E141" s="6" t="n">
        <f aca="false">ROUND(17946*1.05,2)</f>
        <v>18843.3</v>
      </c>
      <c r="F141" s="6" t="s">
        <v>35</v>
      </c>
      <c r="G141" s="6" t="s">
        <v>18</v>
      </c>
      <c r="H141" s="6" t="n">
        <f aca="true">ROUND(RAND()*4+6,1)</f>
        <v>7.8</v>
      </c>
      <c r="I141" s="6" t="s">
        <v>36</v>
      </c>
      <c r="J141" s="6" t="str">
        <f aca="false">ROUND(86*1,0)&amp;"%"</f>
        <v>86%</v>
      </c>
    </row>
    <row r="142" customFormat="false" ht="15" hidden="false" customHeight="false" outlineLevel="0" collapsed="false">
      <c r="A142" s="5" t="s">
        <v>5565</v>
      </c>
      <c r="B142" s="5" t="s">
        <v>250</v>
      </c>
      <c r="C142" s="5" t="s">
        <v>114</v>
      </c>
      <c r="D142" s="5" t="s">
        <v>39</v>
      </c>
      <c r="E142" s="5" t="n">
        <f aca="false">ROUND(6865*1.05,2)</f>
        <v>7208.25</v>
      </c>
      <c r="F142" s="5" t="s">
        <v>40</v>
      </c>
      <c r="G142" s="5" t="s">
        <v>24</v>
      </c>
      <c r="H142" s="5" t="n">
        <f aca="true">ROUND(RAND()*4+6,1)</f>
        <v>6.3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5566</v>
      </c>
      <c r="B143" s="6" t="s">
        <v>252</v>
      </c>
      <c r="C143" s="6" t="s">
        <v>114</v>
      </c>
      <c r="D143" s="6" t="s">
        <v>44</v>
      </c>
      <c r="E143" s="6" t="n">
        <f aca="false">ROUND(17979*1.05,2)</f>
        <v>18877.95</v>
      </c>
      <c r="F143" s="6" t="s">
        <v>45</v>
      </c>
      <c r="G143" s="6" t="s">
        <v>30</v>
      </c>
      <c r="H143" s="6" t="n">
        <f aca="true">ROUND(RAND()*4+6,1)</f>
        <v>8.7</v>
      </c>
      <c r="I143" s="6" t="s">
        <v>46</v>
      </c>
      <c r="J143" s="6" t="str">
        <f aca="false">ROUND(69*1,0)&amp;"%"</f>
        <v>69%</v>
      </c>
    </row>
    <row r="144" customFormat="false" ht="15" hidden="false" customHeight="false" outlineLevel="0" collapsed="false">
      <c r="A144" s="5" t="s">
        <v>5567</v>
      </c>
      <c r="B144" s="5" t="s">
        <v>254</v>
      </c>
      <c r="C144" s="5" t="s">
        <v>114</v>
      </c>
      <c r="D144" s="5" t="s">
        <v>16</v>
      </c>
      <c r="E144" s="5" t="n">
        <f aca="false">ROUND(14473*1.05,2)</f>
        <v>15196.65</v>
      </c>
      <c r="F144" s="5" t="s">
        <v>49</v>
      </c>
      <c r="G144" s="5" t="s">
        <v>18</v>
      </c>
      <c r="H144" s="5" t="n">
        <f aca="true">ROUND(RAND()*4+6,1)</f>
        <v>6.6</v>
      </c>
      <c r="I144" s="5" t="s">
        <v>19</v>
      </c>
      <c r="J144" s="5" t="str">
        <f aca="false">ROUND(95*1,0)&amp;"%"</f>
        <v>95%</v>
      </c>
    </row>
    <row r="145" customFormat="false" ht="15" hidden="false" customHeight="false" outlineLevel="0" collapsed="false">
      <c r="A145" s="6" t="s">
        <v>5568</v>
      </c>
      <c r="B145" s="6" t="s">
        <v>256</v>
      </c>
      <c r="C145" s="6" t="s">
        <v>114</v>
      </c>
      <c r="D145" s="6" t="s">
        <v>22</v>
      </c>
      <c r="E145" s="6" t="n">
        <f aca="false">ROUND(15646*1.05,2)</f>
        <v>16428.3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5569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5570</v>
      </c>
      <c r="B150" s="5" t="s">
        <v>260</v>
      </c>
      <c r="C150" s="5" t="s">
        <v>133</v>
      </c>
      <c r="D150" s="5" t="s">
        <v>16</v>
      </c>
      <c r="E150" s="5" t="n">
        <f aca="false">ROUND(15339*1.05,2)</f>
        <v>16105.95</v>
      </c>
      <c r="F150" s="5" t="s">
        <v>17</v>
      </c>
      <c r="G150" s="5" t="s">
        <v>18</v>
      </c>
      <c r="H150" s="5" t="n">
        <f aca="true">ROUND(RAND()*4+6,1)</f>
        <v>6.5</v>
      </c>
      <c r="I150" s="5" t="s">
        <v>19</v>
      </c>
      <c r="J150" s="5" t="str">
        <f aca="false">ROUND(69*1,0)&amp;"%"</f>
        <v>69%</v>
      </c>
    </row>
    <row r="151" customFormat="false" ht="15" hidden="false" customHeight="false" outlineLevel="0" collapsed="false">
      <c r="A151" s="6" t="s">
        <v>5571</v>
      </c>
      <c r="B151" s="6" t="s">
        <v>262</v>
      </c>
      <c r="C151" s="6" t="s">
        <v>133</v>
      </c>
      <c r="D151" s="6" t="s">
        <v>22</v>
      </c>
      <c r="E151" s="6" t="n">
        <f aca="false">ROUND(5810*1.05,2)</f>
        <v>6100.5</v>
      </c>
      <c r="F151" s="6" t="s">
        <v>23</v>
      </c>
      <c r="G151" s="6" t="s">
        <v>24</v>
      </c>
      <c r="H151" s="6" t="n">
        <f aca="true">ROUND(RAND()*4+6,1)</f>
        <v>6.6</v>
      </c>
      <c r="I151" s="6" t="s">
        <v>25</v>
      </c>
      <c r="J151" s="6" t="str">
        <f aca="false">ROUND(67*1,0)&amp;"%"</f>
        <v>67%</v>
      </c>
    </row>
    <row r="152" customFormat="false" ht="15" hidden="false" customHeight="false" outlineLevel="0" collapsed="false">
      <c r="A152" s="5" t="s">
        <v>5572</v>
      </c>
      <c r="B152" s="5" t="s">
        <v>264</v>
      </c>
      <c r="C152" s="5" t="s">
        <v>133</v>
      </c>
      <c r="D152" s="5" t="s">
        <v>28</v>
      </c>
      <c r="E152" s="5" t="n">
        <f aca="false">ROUND(4513*1.05,2)</f>
        <v>4738.65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ROUND(94*1,0)&amp;"%"</f>
        <v>94%</v>
      </c>
    </row>
    <row r="153" customFormat="false" ht="15" hidden="false" customHeight="false" outlineLevel="0" collapsed="false">
      <c r="A153" s="6" t="s">
        <v>5573</v>
      </c>
      <c r="B153" s="6" t="s">
        <v>266</v>
      </c>
      <c r="C153" s="6" t="s">
        <v>133</v>
      </c>
      <c r="D153" s="6" t="s">
        <v>34</v>
      </c>
      <c r="E153" s="6" t="n">
        <f aca="false">ROUND(12775*1.05,2)</f>
        <v>13413.75</v>
      </c>
      <c r="F153" s="6" t="s">
        <v>35</v>
      </c>
      <c r="G153" s="6" t="s">
        <v>18</v>
      </c>
      <c r="H153" s="6" t="n">
        <f aca="true">ROUND(RAND()*4+6,1)</f>
        <v>9.1</v>
      </c>
      <c r="I153" s="6" t="s">
        <v>36</v>
      </c>
      <c r="J153" s="6" t="str">
        <f aca="false">ROUND(79*1,0)&amp;"%"</f>
        <v>79%</v>
      </c>
    </row>
    <row r="154" customFormat="false" ht="15" hidden="false" customHeight="false" outlineLevel="0" collapsed="false">
      <c r="A154" s="5" t="s">
        <v>5574</v>
      </c>
      <c r="B154" s="5" t="s">
        <v>268</v>
      </c>
      <c r="C154" s="5" t="s">
        <v>133</v>
      </c>
      <c r="D154" s="5" t="s">
        <v>39</v>
      </c>
      <c r="E154" s="5" t="n">
        <f aca="false">ROUND(16345*1.05,2)</f>
        <v>17162.25</v>
      </c>
      <c r="F154" s="5" t="s">
        <v>40</v>
      </c>
      <c r="G154" s="5" t="s">
        <v>24</v>
      </c>
      <c r="H154" s="5" t="n">
        <f aca="true">ROUND(RAND()*4+6,1)</f>
        <v>7</v>
      </c>
      <c r="I154" s="5" t="s">
        <v>41</v>
      </c>
      <c r="J154" s="5" t="str">
        <f aca="false">ROUND(77*1,0)&amp;"%"</f>
        <v>77%</v>
      </c>
    </row>
    <row r="155" customFormat="false" ht="15" hidden="false" customHeight="false" outlineLevel="0" collapsed="false">
      <c r="A155" s="6" t="s">
        <v>5575</v>
      </c>
      <c r="B155" s="6" t="s">
        <v>270</v>
      </c>
      <c r="C155" s="6" t="s">
        <v>133</v>
      </c>
      <c r="D155" s="6" t="s">
        <v>44</v>
      </c>
      <c r="E155" s="6" t="n">
        <f aca="false">ROUND(10098*1.05,2)</f>
        <v>10602.9</v>
      </c>
      <c r="F155" s="6" t="s">
        <v>45</v>
      </c>
      <c r="G155" s="6" t="s">
        <v>30</v>
      </c>
      <c r="H155" s="6" t="n">
        <f aca="true">ROUND(RAND()*4+6,1)</f>
        <v>6.4</v>
      </c>
      <c r="I155" s="6" t="s">
        <v>46</v>
      </c>
      <c r="J155" s="6" t="str">
        <f aca="false">ROUND(72*1,0)&amp;"%"</f>
        <v>72%</v>
      </c>
    </row>
    <row r="156" customFormat="false" ht="15" hidden="false" customHeight="false" outlineLevel="0" collapsed="false">
      <c r="A156" s="5" t="s">
        <v>5576</v>
      </c>
      <c r="B156" s="5" t="s">
        <v>272</v>
      </c>
      <c r="C156" s="5" t="s">
        <v>133</v>
      </c>
      <c r="D156" s="5" t="s">
        <v>16</v>
      </c>
      <c r="E156" s="5" t="n">
        <f aca="false">ROUND(17559*1.05,2)</f>
        <v>18436.95</v>
      </c>
      <c r="F156" s="5" t="s">
        <v>49</v>
      </c>
      <c r="G156" s="5" t="s">
        <v>18</v>
      </c>
      <c r="H156" s="5" t="n">
        <f aca="true">ROUND(RAND()*4+6,1)</f>
        <v>9.7</v>
      </c>
      <c r="I156" s="5" t="s">
        <v>19</v>
      </c>
      <c r="J156" s="5" t="str">
        <f aca="false">ROUND(67*1,0)&amp;"%"</f>
        <v>67%</v>
      </c>
    </row>
    <row r="157" customFormat="false" ht="15" hidden="false" customHeight="false" outlineLevel="0" collapsed="false">
      <c r="A157" s="6" t="s">
        <v>5577</v>
      </c>
      <c r="B157" s="6" t="s">
        <v>274</v>
      </c>
      <c r="C157" s="6" t="s">
        <v>133</v>
      </c>
      <c r="D157" s="6" t="s">
        <v>22</v>
      </c>
      <c r="E157" s="6" t="n">
        <f aca="false">ROUND(8540*1.05,2)</f>
        <v>8967</v>
      </c>
      <c r="F157" s="6" t="s">
        <v>52</v>
      </c>
      <c r="G157" s="6" t="s">
        <v>24</v>
      </c>
      <c r="H157" s="6" t="n">
        <f aca="true">ROUND(RAND()*4+6,1)</f>
        <v>7.5</v>
      </c>
      <c r="I157" s="6" t="s">
        <v>25</v>
      </c>
      <c r="J157" s="6" t="str">
        <f aca="false">ROUND(76*1,0)&amp;"%"</f>
        <v>76%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5578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5579</v>
      </c>
      <c r="B162" s="5" t="s">
        <v>278</v>
      </c>
      <c r="C162" s="5" t="s">
        <v>152</v>
      </c>
      <c r="D162" s="5" t="s">
        <v>16</v>
      </c>
      <c r="E162" s="5" t="n">
        <f aca="false">ROUND(11611*1.05,2)</f>
        <v>12191.55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ROUND(98*1,0)&amp;"%"</f>
        <v>98%</v>
      </c>
    </row>
    <row r="163" customFormat="false" ht="15" hidden="false" customHeight="false" outlineLevel="0" collapsed="false">
      <c r="A163" s="6" t="s">
        <v>5580</v>
      </c>
      <c r="B163" s="6" t="s">
        <v>280</v>
      </c>
      <c r="C163" s="6" t="s">
        <v>152</v>
      </c>
      <c r="D163" s="6" t="s">
        <v>22</v>
      </c>
      <c r="E163" s="6" t="n">
        <f aca="false">ROUND(4888*1.05,2)</f>
        <v>5132.4</v>
      </c>
      <c r="F163" s="6" t="s">
        <v>23</v>
      </c>
      <c r="G163" s="6" t="s">
        <v>24</v>
      </c>
      <c r="H163" s="6" t="n">
        <f aca="true">ROUND(RAND()*4+6,1)</f>
        <v>6.9</v>
      </c>
      <c r="I163" s="6" t="s">
        <v>25</v>
      </c>
      <c r="J163" s="6" t="str">
        <f aca="false">ROUND(98*1,0)&amp;"%"</f>
        <v>98%</v>
      </c>
    </row>
    <row r="164" customFormat="false" ht="15" hidden="false" customHeight="false" outlineLevel="0" collapsed="false">
      <c r="A164" s="5" t="s">
        <v>5581</v>
      </c>
      <c r="B164" s="5" t="s">
        <v>282</v>
      </c>
      <c r="C164" s="5" t="s">
        <v>152</v>
      </c>
      <c r="D164" s="5" t="s">
        <v>28</v>
      </c>
      <c r="E164" s="5" t="n">
        <f aca="false">ROUND(4197*1.05,2)</f>
        <v>4406.85</v>
      </c>
      <c r="F164" s="5" t="s">
        <v>29</v>
      </c>
      <c r="G164" s="5" t="s">
        <v>30</v>
      </c>
      <c r="H164" s="5" t="n">
        <f aca="true">ROUND(RAND()*4+6,1)</f>
        <v>7.4</v>
      </c>
      <c r="I164" s="5" t="s">
        <v>31</v>
      </c>
      <c r="J164" s="5" t="str">
        <f aca="false">ROUND(100*1,0)&amp;"%"</f>
        <v>100%</v>
      </c>
    </row>
    <row r="165" customFormat="false" ht="15" hidden="false" customHeight="false" outlineLevel="0" collapsed="false">
      <c r="A165" s="6" t="s">
        <v>5582</v>
      </c>
      <c r="B165" s="6" t="s">
        <v>284</v>
      </c>
      <c r="C165" s="6" t="s">
        <v>152</v>
      </c>
      <c r="D165" s="6" t="s">
        <v>34</v>
      </c>
      <c r="E165" s="6" t="n">
        <f aca="false">ROUND(17360*1.05,2)</f>
        <v>18228</v>
      </c>
      <c r="F165" s="6" t="s">
        <v>35</v>
      </c>
      <c r="G165" s="6" t="s">
        <v>18</v>
      </c>
      <c r="H165" s="6" t="n">
        <f aca="true">ROUND(RAND()*4+6,1)</f>
        <v>8.6</v>
      </c>
      <c r="I165" s="6" t="s">
        <v>36</v>
      </c>
      <c r="J165" s="6" t="str">
        <f aca="false">ROUND(85*1,0)&amp;"%"</f>
        <v>85%</v>
      </c>
    </row>
    <row r="166" customFormat="false" ht="15" hidden="false" customHeight="false" outlineLevel="0" collapsed="false">
      <c r="A166" s="5" t="s">
        <v>5583</v>
      </c>
      <c r="B166" s="5" t="s">
        <v>286</v>
      </c>
      <c r="C166" s="5" t="s">
        <v>152</v>
      </c>
      <c r="D166" s="5" t="s">
        <v>39</v>
      </c>
      <c r="E166" s="5" t="n">
        <f aca="false">ROUND(12772*1.05,2)</f>
        <v>13410.6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ROUND(93*1,0)&amp;"%"</f>
        <v>93%</v>
      </c>
    </row>
    <row r="167" customFormat="false" ht="15" hidden="false" customHeight="false" outlineLevel="0" collapsed="false">
      <c r="A167" s="6" t="s">
        <v>5584</v>
      </c>
      <c r="B167" s="6" t="s">
        <v>288</v>
      </c>
      <c r="C167" s="6" t="s">
        <v>152</v>
      </c>
      <c r="D167" s="6" t="s">
        <v>44</v>
      </c>
      <c r="E167" s="6" t="n">
        <f aca="false">ROUND(12311*1.05,2)</f>
        <v>12926.55</v>
      </c>
      <c r="F167" s="6" t="s">
        <v>45</v>
      </c>
      <c r="G167" s="6" t="s">
        <v>30</v>
      </c>
      <c r="H167" s="6" t="n">
        <f aca="true">ROUND(RAND()*4+6,1)</f>
        <v>6</v>
      </c>
      <c r="I167" s="6" t="s">
        <v>46</v>
      </c>
      <c r="J167" s="6" t="str">
        <f aca="false">ROUND(97*1,0)&amp;"%"</f>
        <v>97%</v>
      </c>
    </row>
    <row r="168" customFormat="false" ht="15" hidden="false" customHeight="false" outlineLevel="0" collapsed="false">
      <c r="A168" s="5" t="s">
        <v>5585</v>
      </c>
      <c r="B168" s="5" t="s">
        <v>290</v>
      </c>
      <c r="C168" s="5" t="s">
        <v>152</v>
      </c>
      <c r="D168" s="5" t="s">
        <v>16</v>
      </c>
      <c r="E168" s="5" t="n">
        <f aca="false">ROUND(7464*1.05,2)</f>
        <v>7837.2</v>
      </c>
      <c r="F168" s="5" t="s">
        <v>49</v>
      </c>
      <c r="G168" s="5" t="s">
        <v>18</v>
      </c>
      <c r="H168" s="5" t="n">
        <f aca="true">ROUND(RAND()*4+6,1)</f>
        <v>8.9</v>
      </c>
      <c r="I168" s="5" t="s">
        <v>19</v>
      </c>
      <c r="J168" s="5" t="str">
        <f aca="false">ROUND(69*1,0)&amp;"%"</f>
        <v>69%</v>
      </c>
    </row>
    <row r="169" customFormat="false" ht="15" hidden="false" customHeight="false" outlineLevel="0" collapsed="false">
      <c r="A169" s="6" t="s">
        <v>5586</v>
      </c>
      <c r="B169" s="6" t="s">
        <v>292</v>
      </c>
      <c r="C169" s="6" t="s">
        <v>152</v>
      </c>
      <c r="D169" s="6" t="s">
        <v>22</v>
      </c>
      <c r="E169" s="6" t="n">
        <f aca="false">ROUND(9987*1.05,2)</f>
        <v>10486.35</v>
      </c>
      <c r="F169" s="6" t="s">
        <v>52</v>
      </c>
      <c r="G169" s="6" t="s">
        <v>24</v>
      </c>
      <c r="H169" s="6" t="n">
        <f aca="true">ROUND(RAND()*4+6,1)</f>
        <v>8.2</v>
      </c>
      <c r="I169" s="6" t="s">
        <v>25</v>
      </c>
      <c r="J169" s="6" t="str">
        <f aca="false">ROUND(82*1,0)&amp;"%"</f>
        <v>82%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5587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5588</v>
      </c>
      <c r="B174" s="5" t="s">
        <v>296</v>
      </c>
      <c r="C174" s="5" t="s">
        <v>15</v>
      </c>
      <c r="D174" s="5" t="s">
        <v>16</v>
      </c>
      <c r="E174" s="5" t="n">
        <f aca="false">ROUND(5305*1.05,2)</f>
        <v>5570.25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ROUND(87*1,0)&amp;"%"</f>
        <v>87%</v>
      </c>
    </row>
    <row r="175" customFormat="false" ht="15" hidden="false" customHeight="false" outlineLevel="0" collapsed="false">
      <c r="A175" s="6" t="s">
        <v>5589</v>
      </c>
      <c r="B175" s="6" t="s">
        <v>298</v>
      </c>
      <c r="C175" s="6" t="s">
        <v>15</v>
      </c>
      <c r="D175" s="6" t="s">
        <v>22</v>
      </c>
      <c r="E175" s="6" t="n">
        <f aca="false">ROUND(17076*1.05,2)</f>
        <v>17929.8</v>
      </c>
      <c r="F175" s="6" t="s">
        <v>23</v>
      </c>
      <c r="G175" s="6" t="s">
        <v>24</v>
      </c>
      <c r="H175" s="6" t="n">
        <f aca="true">ROUND(RAND()*4+6,1)</f>
        <v>6.2</v>
      </c>
      <c r="I175" s="6" t="s">
        <v>25</v>
      </c>
      <c r="J175" s="6" t="str">
        <f aca="false">ROUND(75*1,0)&amp;"%"</f>
        <v>75%</v>
      </c>
    </row>
    <row r="176" customFormat="false" ht="15" hidden="false" customHeight="false" outlineLevel="0" collapsed="false">
      <c r="A176" s="5" t="s">
        <v>5590</v>
      </c>
      <c r="B176" s="5" t="s">
        <v>300</v>
      </c>
      <c r="C176" s="5" t="s">
        <v>15</v>
      </c>
      <c r="D176" s="5" t="s">
        <v>28</v>
      </c>
      <c r="E176" s="5" t="n">
        <f aca="false">ROUND(4202*1.05,2)</f>
        <v>4412.1</v>
      </c>
      <c r="F176" s="5" t="s">
        <v>29</v>
      </c>
      <c r="G176" s="5" t="s">
        <v>30</v>
      </c>
      <c r="H176" s="5" t="n">
        <f aca="true">ROUND(RAND()*4+6,1)</f>
        <v>8.2</v>
      </c>
      <c r="I176" s="5" t="s">
        <v>31</v>
      </c>
      <c r="J176" s="5" t="str">
        <f aca="false">ROUND(67*1,0)&amp;"%"</f>
        <v>67%</v>
      </c>
    </row>
    <row r="177" customFormat="false" ht="15" hidden="false" customHeight="false" outlineLevel="0" collapsed="false">
      <c r="A177" s="6" t="s">
        <v>5591</v>
      </c>
      <c r="B177" s="6" t="s">
        <v>302</v>
      </c>
      <c r="C177" s="6" t="s">
        <v>15</v>
      </c>
      <c r="D177" s="6" t="s">
        <v>34</v>
      </c>
      <c r="E177" s="6" t="n">
        <f aca="false">ROUND(16255*1.05,2)</f>
        <v>17067.75</v>
      </c>
      <c r="F177" s="6" t="s">
        <v>35</v>
      </c>
      <c r="G177" s="6" t="s">
        <v>18</v>
      </c>
      <c r="H177" s="6" t="n">
        <f aca="true">ROUND(RAND()*4+6,1)</f>
        <v>7.2</v>
      </c>
      <c r="I177" s="6" t="s">
        <v>36</v>
      </c>
      <c r="J177" s="6" t="str">
        <f aca="false">ROUND(79*1,0)&amp;"%"</f>
        <v>79%</v>
      </c>
    </row>
    <row r="178" customFormat="false" ht="15" hidden="false" customHeight="false" outlineLevel="0" collapsed="false">
      <c r="A178" s="5" t="s">
        <v>5592</v>
      </c>
      <c r="B178" s="5" t="s">
        <v>304</v>
      </c>
      <c r="C178" s="5" t="s">
        <v>15</v>
      </c>
      <c r="D178" s="5" t="s">
        <v>39</v>
      </c>
      <c r="E178" s="5" t="n">
        <f aca="false">ROUND(17844*1.05,2)</f>
        <v>18736.2</v>
      </c>
      <c r="F178" s="5" t="s">
        <v>40</v>
      </c>
      <c r="G178" s="5" t="s">
        <v>24</v>
      </c>
      <c r="H178" s="5" t="n">
        <f aca="true">ROUND(RAND()*4+6,1)</f>
        <v>10</v>
      </c>
      <c r="I178" s="5" t="s">
        <v>41</v>
      </c>
      <c r="J178" s="5" t="str">
        <f aca="false">ROUND(90*1,0)&amp;"%"</f>
        <v>90%</v>
      </c>
    </row>
    <row r="179" customFormat="false" ht="15" hidden="false" customHeight="false" outlineLevel="0" collapsed="false">
      <c r="A179" s="6" t="s">
        <v>5593</v>
      </c>
      <c r="B179" s="6" t="s">
        <v>306</v>
      </c>
      <c r="C179" s="6" t="s">
        <v>15</v>
      </c>
      <c r="D179" s="6" t="s">
        <v>44</v>
      </c>
      <c r="E179" s="6" t="n">
        <f aca="false">ROUND(9522*1.05,2)</f>
        <v>9998.1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5594</v>
      </c>
      <c r="B180" s="5" t="s">
        <v>308</v>
      </c>
      <c r="C180" s="5" t="s">
        <v>15</v>
      </c>
      <c r="D180" s="5" t="s">
        <v>16</v>
      </c>
      <c r="E180" s="5" t="n">
        <f aca="false">ROUND(16507*1.05,2)</f>
        <v>17332.35</v>
      </c>
      <c r="F180" s="5" t="s">
        <v>49</v>
      </c>
      <c r="G180" s="5" t="s">
        <v>18</v>
      </c>
      <c r="H180" s="5" t="n">
        <f aca="true">ROUND(RAND()*4+6,1)</f>
        <v>6.1</v>
      </c>
      <c r="I180" s="5" t="s">
        <v>19</v>
      </c>
      <c r="J180" s="5" t="str">
        <f aca="false">ROUND(62*1,0)&amp;"%"</f>
        <v>62%</v>
      </c>
    </row>
    <row r="181" customFormat="false" ht="15" hidden="false" customHeight="false" outlineLevel="0" collapsed="false">
      <c r="A181" s="6" t="s">
        <v>5595</v>
      </c>
      <c r="B181" s="6" t="s">
        <v>310</v>
      </c>
      <c r="C181" s="6" t="s">
        <v>15</v>
      </c>
      <c r="D181" s="6" t="s">
        <v>22</v>
      </c>
      <c r="E181" s="6" t="n">
        <f aca="false">ROUND(9089*1.05,2)</f>
        <v>9543.45</v>
      </c>
      <c r="F181" s="6" t="s">
        <v>52</v>
      </c>
      <c r="G181" s="6" t="s">
        <v>24</v>
      </c>
      <c r="H181" s="6" t="n">
        <f aca="true">ROUND(RAND()*4+6,1)</f>
        <v>7.4</v>
      </c>
      <c r="I181" s="6" t="s">
        <v>25</v>
      </c>
      <c r="J181" s="6" t="str">
        <f aca="false">ROUND(77*1,0)&amp;"%"</f>
        <v>77%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5596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5597</v>
      </c>
      <c r="B186" s="5" t="s">
        <v>314</v>
      </c>
      <c r="C186" s="5" t="s">
        <v>57</v>
      </c>
      <c r="D186" s="5" t="s">
        <v>16</v>
      </c>
      <c r="E186" s="5" t="n">
        <f aca="false">ROUND(9872*1.05,2)</f>
        <v>10365.6</v>
      </c>
      <c r="F186" s="5" t="s">
        <v>17</v>
      </c>
      <c r="G186" s="5" t="s">
        <v>18</v>
      </c>
      <c r="H186" s="5" t="n">
        <f aca="true">ROUND(RAND()*4+6,1)</f>
        <v>8.7</v>
      </c>
      <c r="I186" s="5" t="s">
        <v>19</v>
      </c>
      <c r="J186" s="5" t="str">
        <f aca="false">ROUND(97*1,0)&amp;"%"</f>
        <v>97%</v>
      </c>
    </row>
    <row r="187" customFormat="false" ht="15" hidden="false" customHeight="false" outlineLevel="0" collapsed="false">
      <c r="A187" s="6" t="s">
        <v>5598</v>
      </c>
      <c r="B187" s="6" t="s">
        <v>316</v>
      </c>
      <c r="C187" s="6" t="s">
        <v>57</v>
      </c>
      <c r="D187" s="6" t="s">
        <v>22</v>
      </c>
      <c r="E187" s="6" t="n">
        <f aca="false">ROUND(7376*1.05,2)</f>
        <v>7744.8</v>
      </c>
      <c r="F187" s="6" t="s">
        <v>23</v>
      </c>
      <c r="G187" s="6" t="s">
        <v>24</v>
      </c>
      <c r="H187" s="6" t="n">
        <f aca="true">ROUND(RAND()*4+6,1)</f>
        <v>8.3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5599</v>
      </c>
      <c r="B188" s="5" t="s">
        <v>318</v>
      </c>
      <c r="C188" s="5" t="s">
        <v>57</v>
      </c>
      <c r="D188" s="5" t="s">
        <v>28</v>
      </c>
      <c r="E188" s="5" t="n">
        <f aca="false">ROUND(5007*1.05,2)</f>
        <v>5257.35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ROUND(79*1,0)&amp;"%"</f>
        <v>79%</v>
      </c>
    </row>
    <row r="189" customFormat="false" ht="15" hidden="false" customHeight="false" outlineLevel="0" collapsed="false">
      <c r="A189" s="6" t="s">
        <v>5600</v>
      </c>
      <c r="B189" s="6" t="s">
        <v>320</v>
      </c>
      <c r="C189" s="6" t="s">
        <v>57</v>
      </c>
      <c r="D189" s="6" t="s">
        <v>34</v>
      </c>
      <c r="E189" s="6" t="n">
        <f aca="false">ROUND(5935*1.05,2)</f>
        <v>6231.75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ROUND(93*1,0)&amp;"%"</f>
        <v>93%</v>
      </c>
    </row>
    <row r="190" customFormat="false" ht="15" hidden="false" customHeight="false" outlineLevel="0" collapsed="false">
      <c r="A190" s="5" t="s">
        <v>5601</v>
      </c>
      <c r="B190" s="5" t="s">
        <v>322</v>
      </c>
      <c r="C190" s="5" t="s">
        <v>57</v>
      </c>
      <c r="D190" s="5" t="s">
        <v>39</v>
      </c>
      <c r="E190" s="5" t="n">
        <f aca="false">ROUND(4816*1.05,2)</f>
        <v>5056.8</v>
      </c>
      <c r="F190" s="5" t="s">
        <v>40</v>
      </c>
      <c r="G190" s="5" t="s">
        <v>24</v>
      </c>
      <c r="H190" s="5" t="n">
        <f aca="true">ROUND(RAND()*4+6,1)</f>
        <v>8.9</v>
      </c>
      <c r="I190" s="5" t="s">
        <v>41</v>
      </c>
      <c r="J190" s="5" t="str">
        <f aca="false">ROUND(67*1,0)&amp;"%"</f>
        <v>67%</v>
      </c>
    </row>
    <row r="191" customFormat="false" ht="15" hidden="false" customHeight="false" outlineLevel="0" collapsed="false">
      <c r="A191" s="6" t="s">
        <v>5602</v>
      </c>
      <c r="B191" s="6" t="s">
        <v>324</v>
      </c>
      <c r="C191" s="6" t="s">
        <v>57</v>
      </c>
      <c r="D191" s="6" t="s">
        <v>44</v>
      </c>
      <c r="E191" s="6" t="n">
        <f aca="false">ROUND(7271*1.05,2)</f>
        <v>7634.55</v>
      </c>
      <c r="F191" s="6" t="s">
        <v>45</v>
      </c>
      <c r="G191" s="6" t="s">
        <v>30</v>
      </c>
      <c r="H191" s="6" t="n">
        <f aca="true">ROUND(RAND()*4+6,1)</f>
        <v>7</v>
      </c>
      <c r="I191" s="6" t="s">
        <v>46</v>
      </c>
      <c r="J191" s="6" t="str">
        <f aca="false">ROUND(66*1,0)&amp;"%"</f>
        <v>66%</v>
      </c>
    </row>
    <row r="192" customFormat="false" ht="15" hidden="false" customHeight="false" outlineLevel="0" collapsed="false">
      <c r="A192" s="5" t="s">
        <v>5603</v>
      </c>
      <c r="B192" s="5" t="s">
        <v>326</v>
      </c>
      <c r="C192" s="5" t="s">
        <v>57</v>
      </c>
      <c r="D192" s="5" t="s">
        <v>16</v>
      </c>
      <c r="E192" s="5" t="n">
        <f aca="false">ROUND(4129*1.05,2)</f>
        <v>4335.45</v>
      </c>
      <c r="F192" s="5" t="s">
        <v>49</v>
      </c>
      <c r="G192" s="5" t="s">
        <v>18</v>
      </c>
      <c r="H192" s="5" t="n">
        <f aca="true">ROUND(RAND()*4+6,1)</f>
        <v>9.6</v>
      </c>
      <c r="I192" s="5" t="s">
        <v>19</v>
      </c>
      <c r="J192" s="5" t="str">
        <f aca="false">ROUND(82*1,0)&amp;"%"</f>
        <v>82%</v>
      </c>
    </row>
    <row r="193" customFormat="false" ht="15" hidden="false" customHeight="false" outlineLevel="0" collapsed="false">
      <c r="A193" s="6" t="s">
        <v>5604</v>
      </c>
      <c r="B193" s="6" t="s">
        <v>328</v>
      </c>
      <c r="C193" s="6" t="s">
        <v>57</v>
      </c>
      <c r="D193" s="6" t="s">
        <v>22</v>
      </c>
      <c r="E193" s="6" t="n">
        <f aca="false">ROUND(13807*1.05,2)</f>
        <v>14497.35</v>
      </c>
      <c r="F193" s="6" t="s">
        <v>52</v>
      </c>
      <c r="G193" s="6" t="s">
        <v>24</v>
      </c>
      <c r="H193" s="6" t="n">
        <f aca="true">ROUND(RAND()*4+6,1)</f>
        <v>9.2</v>
      </c>
      <c r="I193" s="6" t="s">
        <v>25</v>
      </c>
      <c r="J193" s="6" t="str">
        <f aca="false">ROUND(89*1,0)&amp;"%"</f>
        <v>89%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5605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5606</v>
      </c>
      <c r="B198" s="5" t="s">
        <v>332</v>
      </c>
      <c r="C198" s="5" t="s">
        <v>76</v>
      </c>
      <c r="D198" s="5" t="s">
        <v>16</v>
      </c>
      <c r="E198" s="5" t="n">
        <f aca="false">ROUND(16262*1.05,2)</f>
        <v>17075.1</v>
      </c>
      <c r="F198" s="5" t="s">
        <v>17</v>
      </c>
      <c r="G198" s="5" t="s">
        <v>18</v>
      </c>
      <c r="H198" s="5" t="n">
        <f aca="true">ROUND(RAND()*4+6,1)</f>
        <v>6.7</v>
      </c>
      <c r="I198" s="5" t="s">
        <v>19</v>
      </c>
      <c r="J198" s="5" t="str">
        <f aca="false">ROUND(63*1,0)&amp;"%"</f>
        <v>63%</v>
      </c>
    </row>
    <row r="199" customFormat="false" ht="15" hidden="false" customHeight="false" outlineLevel="0" collapsed="false">
      <c r="A199" s="6" t="s">
        <v>5607</v>
      </c>
      <c r="B199" s="6" t="s">
        <v>334</v>
      </c>
      <c r="C199" s="6" t="s">
        <v>76</v>
      </c>
      <c r="D199" s="6" t="s">
        <v>22</v>
      </c>
      <c r="E199" s="6" t="n">
        <f aca="false">ROUND(11638*1.05,2)</f>
        <v>12219.9</v>
      </c>
      <c r="F199" s="6" t="s">
        <v>23</v>
      </c>
      <c r="G199" s="6" t="s">
        <v>24</v>
      </c>
      <c r="H199" s="6" t="n">
        <f aca="true">ROUND(RAND()*4+6,1)</f>
        <v>10</v>
      </c>
      <c r="I199" s="6" t="s">
        <v>25</v>
      </c>
      <c r="J199" s="6" t="str">
        <f aca="false">ROUND(97*1,0)&amp;"%"</f>
        <v>97%</v>
      </c>
    </row>
    <row r="200" customFormat="false" ht="15" hidden="false" customHeight="false" outlineLevel="0" collapsed="false">
      <c r="A200" s="5" t="s">
        <v>5608</v>
      </c>
      <c r="B200" s="5" t="s">
        <v>336</v>
      </c>
      <c r="C200" s="5" t="s">
        <v>76</v>
      </c>
      <c r="D200" s="5" t="s">
        <v>28</v>
      </c>
      <c r="E200" s="5" t="n">
        <f aca="false">ROUND(17735*1.05,2)</f>
        <v>18621.75</v>
      </c>
      <c r="F200" s="5" t="s">
        <v>29</v>
      </c>
      <c r="G200" s="5" t="s">
        <v>30</v>
      </c>
      <c r="H200" s="5" t="n">
        <f aca="true">ROUND(RAND()*4+6,1)</f>
        <v>7.8</v>
      </c>
      <c r="I200" s="5" t="s">
        <v>31</v>
      </c>
      <c r="J200" s="5" t="str">
        <f aca="false">ROUND(71*1,0)&amp;"%"</f>
        <v>71%</v>
      </c>
    </row>
    <row r="201" customFormat="false" ht="15" hidden="false" customHeight="false" outlineLevel="0" collapsed="false">
      <c r="A201" s="6" t="s">
        <v>5609</v>
      </c>
      <c r="B201" s="6" t="s">
        <v>338</v>
      </c>
      <c r="C201" s="6" t="s">
        <v>76</v>
      </c>
      <c r="D201" s="6" t="s">
        <v>34</v>
      </c>
      <c r="E201" s="6" t="n">
        <f aca="false">ROUND(7444*1.05,2)</f>
        <v>7816.2</v>
      </c>
      <c r="F201" s="6" t="s">
        <v>35</v>
      </c>
      <c r="G201" s="6" t="s">
        <v>18</v>
      </c>
      <c r="H201" s="6" t="n">
        <f aca="true">ROUND(RAND()*4+6,1)</f>
        <v>7.6</v>
      </c>
      <c r="I201" s="6" t="s">
        <v>36</v>
      </c>
      <c r="J201" s="6" t="str">
        <f aca="false">ROUND(65*1,0)&amp;"%"</f>
        <v>65%</v>
      </c>
    </row>
    <row r="202" customFormat="false" ht="15" hidden="false" customHeight="false" outlineLevel="0" collapsed="false">
      <c r="A202" s="5" t="s">
        <v>5610</v>
      </c>
      <c r="B202" s="5" t="s">
        <v>340</v>
      </c>
      <c r="C202" s="5" t="s">
        <v>76</v>
      </c>
      <c r="D202" s="5" t="s">
        <v>39</v>
      </c>
      <c r="E202" s="5" t="n">
        <f aca="false">ROUND(8932*1.05,2)</f>
        <v>9378.6</v>
      </c>
      <c r="F202" s="5" t="s">
        <v>40</v>
      </c>
      <c r="G202" s="5" t="s">
        <v>24</v>
      </c>
      <c r="H202" s="5" t="n">
        <f aca="true">ROUND(RAND()*4+6,1)</f>
        <v>8.3</v>
      </c>
      <c r="I202" s="5" t="s">
        <v>41</v>
      </c>
      <c r="J202" s="5" t="str">
        <f aca="false">ROUND(87*1,0)&amp;"%"</f>
        <v>87%</v>
      </c>
    </row>
    <row r="203" customFormat="false" ht="15" hidden="false" customHeight="false" outlineLevel="0" collapsed="false">
      <c r="A203" s="6" t="s">
        <v>5611</v>
      </c>
      <c r="B203" s="6" t="s">
        <v>342</v>
      </c>
      <c r="C203" s="6" t="s">
        <v>76</v>
      </c>
      <c r="D203" s="6" t="s">
        <v>44</v>
      </c>
      <c r="E203" s="6" t="n">
        <f aca="false">ROUND(12467*1.05,2)</f>
        <v>13090.35</v>
      </c>
      <c r="F203" s="6" t="s">
        <v>45</v>
      </c>
      <c r="G203" s="6" t="s">
        <v>30</v>
      </c>
      <c r="H203" s="6" t="n">
        <f aca="true">ROUND(RAND()*4+6,1)</f>
        <v>9.1</v>
      </c>
      <c r="I203" s="6" t="s">
        <v>46</v>
      </c>
      <c r="J203" s="6" t="str">
        <f aca="false">ROUND(61*1,0)&amp;"%"</f>
        <v>61%</v>
      </c>
    </row>
    <row r="204" customFormat="false" ht="15" hidden="false" customHeight="false" outlineLevel="0" collapsed="false">
      <c r="A204" s="5" t="s">
        <v>5612</v>
      </c>
      <c r="B204" s="5" t="s">
        <v>344</v>
      </c>
      <c r="C204" s="5" t="s">
        <v>76</v>
      </c>
      <c r="D204" s="5" t="s">
        <v>16</v>
      </c>
      <c r="E204" s="5" t="n">
        <f aca="false">ROUND(6751*1.05,2)</f>
        <v>7088.55</v>
      </c>
      <c r="F204" s="5" t="s">
        <v>49</v>
      </c>
      <c r="G204" s="5" t="s">
        <v>18</v>
      </c>
      <c r="H204" s="5" t="n">
        <f aca="true">ROUND(RAND()*4+6,1)</f>
        <v>7.8</v>
      </c>
      <c r="I204" s="5" t="s">
        <v>19</v>
      </c>
      <c r="J204" s="5" t="str">
        <f aca="false">ROUND(84*1,0)&amp;"%"</f>
        <v>84%</v>
      </c>
    </row>
    <row r="205" customFormat="false" ht="15" hidden="false" customHeight="false" outlineLevel="0" collapsed="false">
      <c r="A205" s="6" t="s">
        <v>5613</v>
      </c>
      <c r="B205" s="6" t="s">
        <v>346</v>
      </c>
      <c r="C205" s="6" t="s">
        <v>76</v>
      </c>
      <c r="D205" s="6" t="s">
        <v>22</v>
      </c>
      <c r="E205" s="6" t="n">
        <f aca="false">ROUND(14971*1.05,2)</f>
        <v>15719.55</v>
      </c>
      <c r="F205" s="6" t="s">
        <v>52</v>
      </c>
      <c r="G205" s="6" t="s">
        <v>24</v>
      </c>
      <c r="H205" s="6" t="n">
        <f aca="true">ROUND(RAND()*4+6,1)</f>
        <v>9</v>
      </c>
      <c r="I205" s="6" t="s">
        <v>25</v>
      </c>
      <c r="J205" s="6" t="str">
        <f aca="false">ROUND(91*1,0)&amp;"%"</f>
        <v>91%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5614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5615</v>
      </c>
      <c r="B210" s="5" t="s">
        <v>350</v>
      </c>
      <c r="C210" s="5" t="s">
        <v>95</v>
      </c>
      <c r="D210" s="5" t="s">
        <v>16</v>
      </c>
      <c r="E210" s="5" t="n">
        <f aca="false">ROUND(8904*1.05,2)</f>
        <v>9349.2</v>
      </c>
      <c r="F210" s="5" t="s">
        <v>17</v>
      </c>
      <c r="G210" s="5" t="s">
        <v>18</v>
      </c>
      <c r="H210" s="5" t="n">
        <f aca="true">ROUND(RAND()*4+6,1)</f>
        <v>8.1</v>
      </c>
      <c r="I210" s="5" t="s">
        <v>19</v>
      </c>
      <c r="J210" s="5" t="str">
        <f aca="false">ROUND(65*1,0)&amp;"%"</f>
        <v>65%</v>
      </c>
    </row>
    <row r="211" customFormat="false" ht="15" hidden="false" customHeight="false" outlineLevel="0" collapsed="false">
      <c r="A211" s="6" t="s">
        <v>5616</v>
      </c>
      <c r="B211" s="6" t="s">
        <v>352</v>
      </c>
      <c r="C211" s="6" t="s">
        <v>95</v>
      </c>
      <c r="D211" s="6" t="s">
        <v>22</v>
      </c>
      <c r="E211" s="6" t="n">
        <f aca="false">ROUND(5499*1.05,2)</f>
        <v>5773.95</v>
      </c>
      <c r="F211" s="6" t="s">
        <v>23</v>
      </c>
      <c r="G211" s="6" t="s">
        <v>24</v>
      </c>
      <c r="H211" s="6" t="n">
        <f aca="true">ROUND(RAND()*4+6,1)</f>
        <v>6.2</v>
      </c>
      <c r="I211" s="6" t="s">
        <v>25</v>
      </c>
      <c r="J211" s="6" t="str">
        <f aca="false">ROUND(92*1,0)&amp;"%"</f>
        <v>92%</v>
      </c>
    </row>
    <row r="212" customFormat="false" ht="15" hidden="false" customHeight="false" outlineLevel="0" collapsed="false">
      <c r="A212" s="5" t="s">
        <v>5617</v>
      </c>
      <c r="B212" s="5" t="s">
        <v>354</v>
      </c>
      <c r="C212" s="5" t="s">
        <v>95</v>
      </c>
      <c r="D212" s="5" t="s">
        <v>28</v>
      </c>
      <c r="E212" s="5" t="n">
        <f aca="false">ROUND(10708*1.05,2)</f>
        <v>11243.4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ROUND(86*1,0)&amp;"%"</f>
        <v>86%</v>
      </c>
    </row>
    <row r="213" customFormat="false" ht="15" hidden="false" customHeight="false" outlineLevel="0" collapsed="false">
      <c r="A213" s="6" t="s">
        <v>5618</v>
      </c>
      <c r="B213" s="6" t="s">
        <v>356</v>
      </c>
      <c r="C213" s="6" t="s">
        <v>95</v>
      </c>
      <c r="D213" s="6" t="s">
        <v>34</v>
      </c>
      <c r="E213" s="6" t="n">
        <f aca="false">ROUND(7518*1.05,2)</f>
        <v>7893.9</v>
      </c>
      <c r="F213" s="6" t="s">
        <v>35</v>
      </c>
      <c r="G213" s="6" t="s">
        <v>18</v>
      </c>
      <c r="H213" s="6" t="n">
        <f aca="true">ROUND(RAND()*4+6,1)</f>
        <v>8.6</v>
      </c>
      <c r="I213" s="6" t="s">
        <v>36</v>
      </c>
      <c r="J213" s="6" t="str">
        <f aca="false">ROUND(96*1,0)&amp;"%"</f>
        <v>96%</v>
      </c>
    </row>
    <row r="214" customFormat="false" ht="15" hidden="false" customHeight="false" outlineLevel="0" collapsed="false">
      <c r="A214" s="5" t="s">
        <v>5619</v>
      </c>
      <c r="B214" s="5" t="s">
        <v>358</v>
      </c>
      <c r="C214" s="5" t="s">
        <v>95</v>
      </c>
      <c r="D214" s="5" t="s">
        <v>39</v>
      </c>
      <c r="E214" s="5" t="n">
        <f aca="false">ROUND(13931*1.05,2)</f>
        <v>14627.55</v>
      </c>
      <c r="F214" s="5" t="s">
        <v>40</v>
      </c>
      <c r="G214" s="5" t="s">
        <v>24</v>
      </c>
      <c r="H214" s="5" t="n">
        <f aca="true">ROUND(RAND()*4+6,1)</f>
        <v>6.2</v>
      </c>
      <c r="I214" s="5" t="s">
        <v>41</v>
      </c>
      <c r="J214" s="5" t="str">
        <f aca="false">ROUND(87*1,0)&amp;"%"</f>
        <v>87%</v>
      </c>
    </row>
    <row r="215" customFormat="false" ht="15" hidden="false" customHeight="false" outlineLevel="0" collapsed="false">
      <c r="A215" s="6" t="s">
        <v>5620</v>
      </c>
      <c r="B215" s="6" t="s">
        <v>360</v>
      </c>
      <c r="C215" s="6" t="s">
        <v>95</v>
      </c>
      <c r="D215" s="6" t="s">
        <v>44</v>
      </c>
      <c r="E215" s="6" t="n">
        <f aca="false">ROUND(4828*1.05,2)</f>
        <v>5069.4</v>
      </c>
      <c r="F215" s="6" t="s">
        <v>45</v>
      </c>
      <c r="G215" s="6" t="s">
        <v>30</v>
      </c>
      <c r="H215" s="6" t="n">
        <f aca="true">ROUND(RAND()*4+6,1)</f>
        <v>9.3</v>
      </c>
      <c r="I215" s="6" t="s">
        <v>46</v>
      </c>
      <c r="J215" s="6" t="str">
        <f aca="false">ROUND(70*1,0)&amp;"%"</f>
        <v>70%</v>
      </c>
    </row>
    <row r="216" customFormat="false" ht="15" hidden="false" customHeight="false" outlineLevel="0" collapsed="false">
      <c r="A216" s="5" t="s">
        <v>5621</v>
      </c>
      <c r="B216" s="5" t="s">
        <v>362</v>
      </c>
      <c r="C216" s="5" t="s">
        <v>95</v>
      </c>
      <c r="D216" s="5" t="s">
        <v>16</v>
      </c>
      <c r="E216" s="5" t="n">
        <f aca="false">ROUND(5614*1.05,2)</f>
        <v>5894.7</v>
      </c>
      <c r="F216" s="5" t="s">
        <v>49</v>
      </c>
      <c r="G216" s="5" t="s">
        <v>18</v>
      </c>
      <c r="H216" s="5" t="n">
        <f aca="true">ROUND(RAND()*4+6,1)</f>
        <v>8.2</v>
      </c>
      <c r="I216" s="5" t="s">
        <v>19</v>
      </c>
      <c r="J216" s="5" t="str">
        <f aca="false">ROUND(80*1,0)&amp;"%"</f>
        <v>80%</v>
      </c>
    </row>
    <row r="217" customFormat="false" ht="15" hidden="false" customHeight="false" outlineLevel="0" collapsed="false">
      <c r="A217" s="6" t="s">
        <v>5622</v>
      </c>
      <c r="B217" s="6" t="s">
        <v>364</v>
      </c>
      <c r="C217" s="6" t="s">
        <v>95</v>
      </c>
      <c r="D217" s="6" t="s">
        <v>22</v>
      </c>
      <c r="E217" s="6" t="n">
        <f aca="false">ROUND(5429*1.05,2)</f>
        <v>5700.45</v>
      </c>
      <c r="F217" s="6" t="s">
        <v>52</v>
      </c>
      <c r="G217" s="6" t="s">
        <v>24</v>
      </c>
      <c r="H217" s="6" t="n">
        <f aca="true">ROUND(RAND()*4+6,1)</f>
        <v>9.3</v>
      </c>
      <c r="I217" s="6" t="s">
        <v>25</v>
      </c>
      <c r="J217" s="6" t="str">
        <f aca="false">ROUND(92*1,0)&amp;"%"</f>
        <v>92%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5623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5624</v>
      </c>
      <c r="B222" s="5" t="s">
        <v>368</v>
      </c>
      <c r="C222" s="5" t="s">
        <v>114</v>
      </c>
      <c r="D222" s="5" t="s">
        <v>16</v>
      </c>
      <c r="E222" s="5" t="n">
        <f aca="false">ROUND(16575*1.05,2)</f>
        <v>17403.75</v>
      </c>
      <c r="F222" s="5" t="s">
        <v>17</v>
      </c>
      <c r="G222" s="5" t="s">
        <v>18</v>
      </c>
      <c r="H222" s="5" t="n">
        <f aca="true">ROUND(RAND()*4+6,1)</f>
        <v>8.5</v>
      </c>
      <c r="I222" s="5" t="s">
        <v>19</v>
      </c>
      <c r="J222" s="5" t="str">
        <f aca="false">ROUND(78*1,0)&amp;"%"</f>
        <v>78%</v>
      </c>
    </row>
    <row r="223" customFormat="false" ht="15" hidden="false" customHeight="false" outlineLevel="0" collapsed="false">
      <c r="A223" s="6" t="s">
        <v>5625</v>
      </c>
      <c r="B223" s="6" t="s">
        <v>370</v>
      </c>
      <c r="C223" s="6" t="s">
        <v>114</v>
      </c>
      <c r="D223" s="6" t="s">
        <v>22</v>
      </c>
      <c r="E223" s="6" t="n">
        <f aca="false">ROUND(14480*1.05,2)</f>
        <v>15204</v>
      </c>
      <c r="F223" s="6" t="s">
        <v>23</v>
      </c>
      <c r="G223" s="6" t="s">
        <v>24</v>
      </c>
      <c r="H223" s="6" t="n">
        <f aca="true">ROUND(RAND()*4+6,1)</f>
        <v>6.7</v>
      </c>
      <c r="I223" s="6" t="s">
        <v>25</v>
      </c>
      <c r="J223" s="6" t="str">
        <f aca="false">ROUND(69*1,0)&amp;"%"</f>
        <v>69%</v>
      </c>
    </row>
    <row r="224" customFormat="false" ht="15" hidden="false" customHeight="false" outlineLevel="0" collapsed="false">
      <c r="A224" s="5" t="s">
        <v>5626</v>
      </c>
      <c r="B224" s="5" t="s">
        <v>372</v>
      </c>
      <c r="C224" s="5" t="s">
        <v>114</v>
      </c>
      <c r="D224" s="5" t="s">
        <v>28</v>
      </c>
      <c r="E224" s="5" t="n">
        <f aca="false">ROUND(4092*1.05,2)</f>
        <v>4296.6</v>
      </c>
      <c r="F224" s="5" t="s">
        <v>29</v>
      </c>
      <c r="G224" s="5" t="s">
        <v>30</v>
      </c>
      <c r="H224" s="5" t="n">
        <f aca="true">ROUND(RAND()*4+6,1)</f>
        <v>8.4</v>
      </c>
      <c r="I224" s="5" t="s">
        <v>31</v>
      </c>
      <c r="J224" s="5" t="str">
        <f aca="false">ROUND(66*1,0)&amp;"%"</f>
        <v>66%</v>
      </c>
    </row>
    <row r="225" customFormat="false" ht="15" hidden="false" customHeight="false" outlineLevel="0" collapsed="false">
      <c r="A225" s="6" t="s">
        <v>5627</v>
      </c>
      <c r="B225" s="6" t="s">
        <v>374</v>
      </c>
      <c r="C225" s="6" t="s">
        <v>114</v>
      </c>
      <c r="D225" s="6" t="s">
        <v>34</v>
      </c>
      <c r="E225" s="6" t="n">
        <f aca="false">ROUND(4569*1.05,2)</f>
        <v>4797.45</v>
      </c>
      <c r="F225" s="6" t="s">
        <v>35</v>
      </c>
      <c r="G225" s="6" t="s">
        <v>18</v>
      </c>
      <c r="H225" s="6" t="n">
        <f aca="true">ROUND(RAND()*4+6,1)</f>
        <v>6.8</v>
      </c>
      <c r="I225" s="6" t="s">
        <v>36</v>
      </c>
      <c r="J225" s="6" t="str">
        <f aca="false">ROUND(86*1,0)&amp;"%"</f>
        <v>86%</v>
      </c>
    </row>
    <row r="226" customFormat="false" ht="15" hidden="false" customHeight="false" outlineLevel="0" collapsed="false">
      <c r="A226" s="5" t="s">
        <v>5628</v>
      </c>
      <c r="B226" s="5" t="s">
        <v>376</v>
      </c>
      <c r="C226" s="5" t="s">
        <v>114</v>
      </c>
      <c r="D226" s="5" t="s">
        <v>39</v>
      </c>
      <c r="E226" s="5" t="n">
        <f aca="false">ROUND(11607*1.05,2)</f>
        <v>12187.35</v>
      </c>
      <c r="F226" s="5" t="s">
        <v>40</v>
      </c>
      <c r="G226" s="5" t="s">
        <v>24</v>
      </c>
      <c r="H226" s="5" t="n">
        <f aca="true">ROUND(RAND()*4+6,1)</f>
        <v>9.1</v>
      </c>
      <c r="I226" s="5" t="s">
        <v>41</v>
      </c>
      <c r="J226" s="5" t="str">
        <f aca="false">ROUND(84*1,0)&amp;"%"</f>
        <v>84%</v>
      </c>
    </row>
    <row r="227" customFormat="false" ht="15" hidden="false" customHeight="false" outlineLevel="0" collapsed="false">
      <c r="A227" s="6" t="s">
        <v>5629</v>
      </c>
      <c r="B227" s="6" t="s">
        <v>378</v>
      </c>
      <c r="C227" s="6" t="s">
        <v>114</v>
      </c>
      <c r="D227" s="6" t="s">
        <v>44</v>
      </c>
      <c r="E227" s="6" t="n">
        <f aca="false">ROUND(15090*1.05,2)</f>
        <v>15844.5</v>
      </c>
      <c r="F227" s="6" t="s">
        <v>45</v>
      </c>
      <c r="G227" s="6" t="s">
        <v>30</v>
      </c>
      <c r="H227" s="6" t="n">
        <f aca="true">ROUND(RAND()*4+6,1)</f>
        <v>7.5</v>
      </c>
      <c r="I227" s="6" t="s">
        <v>46</v>
      </c>
      <c r="J227" s="6" t="str">
        <f aca="false">ROUND(83*1,0)&amp;"%"</f>
        <v>83%</v>
      </c>
    </row>
    <row r="228" customFormat="false" ht="15" hidden="false" customHeight="false" outlineLevel="0" collapsed="false">
      <c r="A228" s="5" t="s">
        <v>5630</v>
      </c>
      <c r="B228" s="5" t="s">
        <v>380</v>
      </c>
      <c r="C228" s="5" t="s">
        <v>114</v>
      </c>
      <c r="D228" s="5" t="s">
        <v>16</v>
      </c>
      <c r="E228" s="5" t="n">
        <f aca="false">ROUND(14296*1.05,2)</f>
        <v>15010.8</v>
      </c>
      <c r="F228" s="5" t="s">
        <v>49</v>
      </c>
      <c r="G228" s="5" t="s">
        <v>18</v>
      </c>
      <c r="H228" s="5" t="n">
        <f aca="true">ROUND(RAND()*4+6,1)</f>
        <v>7.5</v>
      </c>
      <c r="I228" s="5" t="s">
        <v>19</v>
      </c>
      <c r="J228" s="5" t="str">
        <f aca="false">ROUND(60*1,0)&amp;"%"</f>
        <v>60%</v>
      </c>
    </row>
    <row r="229" customFormat="false" ht="15" hidden="false" customHeight="false" outlineLevel="0" collapsed="false">
      <c r="A229" s="6" t="s">
        <v>5631</v>
      </c>
      <c r="B229" s="6" t="s">
        <v>382</v>
      </c>
      <c r="C229" s="6" t="s">
        <v>114</v>
      </c>
      <c r="D229" s="6" t="s">
        <v>22</v>
      </c>
      <c r="E229" s="6" t="n">
        <f aca="false">ROUND(8020*1.05,2)</f>
        <v>8421</v>
      </c>
      <c r="F229" s="6" t="s">
        <v>52</v>
      </c>
      <c r="G229" s="6" t="s">
        <v>24</v>
      </c>
      <c r="H229" s="6" t="n">
        <f aca="true">ROUND(RAND()*4+6,1)</f>
        <v>8.6</v>
      </c>
      <c r="I229" s="6" t="s">
        <v>25</v>
      </c>
      <c r="J229" s="6" t="str">
        <f aca="false">ROUND(79*1,0)&amp;"%"</f>
        <v>79%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5632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5633</v>
      </c>
      <c r="B234" s="5" t="s">
        <v>386</v>
      </c>
      <c r="C234" s="5" t="s">
        <v>133</v>
      </c>
      <c r="D234" s="5" t="s">
        <v>16</v>
      </c>
      <c r="E234" s="5" t="n">
        <f aca="false">ROUND(8777*1.05,2)</f>
        <v>9215.85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ROUND(60*1,0)&amp;"%"</f>
        <v>60%</v>
      </c>
    </row>
    <row r="235" customFormat="false" ht="15" hidden="false" customHeight="false" outlineLevel="0" collapsed="false">
      <c r="A235" s="6" t="s">
        <v>5634</v>
      </c>
      <c r="B235" s="6" t="s">
        <v>388</v>
      </c>
      <c r="C235" s="6" t="s">
        <v>133</v>
      </c>
      <c r="D235" s="6" t="s">
        <v>22</v>
      </c>
      <c r="E235" s="6" t="n">
        <f aca="false">ROUND(4893*1.05,2)</f>
        <v>5137.65</v>
      </c>
      <c r="F235" s="6" t="s">
        <v>23</v>
      </c>
      <c r="G235" s="6" t="s">
        <v>24</v>
      </c>
      <c r="H235" s="6" t="n">
        <f aca="true">ROUND(RAND()*4+6,1)</f>
        <v>8.2</v>
      </c>
      <c r="I235" s="6" t="s">
        <v>25</v>
      </c>
      <c r="J235" s="6" t="str">
        <f aca="false">ROUND(92*1,0)&amp;"%"</f>
        <v>92%</v>
      </c>
    </row>
    <row r="236" customFormat="false" ht="15" hidden="false" customHeight="false" outlineLevel="0" collapsed="false">
      <c r="A236" s="5" t="s">
        <v>5635</v>
      </c>
      <c r="B236" s="5" t="s">
        <v>390</v>
      </c>
      <c r="C236" s="5" t="s">
        <v>133</v>
      </c>
      <c r="D236" s="5" t="s">
        <v>28</v>
      </c>
      <c r="E236" s="5" t="n">
        <f aca="false">ROUND(13233*1.05,2)</f>
        <v>13894.65</v>
      </c>
      <c r="F236" s="5" t="s">
        <v>29</v>
      </c>
      <c r="G236" s="5" t="s">
        <v>30</v>
      </c>
      <c r="H236" s="5" t="n">
        <f aca="true">ROUND(RAND()*4+6,1)</f>
        <v>7</v>
      </c>
      <c r="I236" s="5" t="s">
        <v>31</v>
      </c>
      <c r="J236" s="5" t="str">
        <f aca="false">ROUND(90*1,0)&amp;"%"</f>
        <v>90%</v>
      </c>
    </row>
    <row r="237" customFormat="false" ht="15" hidden="false" customHeight="false" outlineLevel="0" collapsed="false">
      <c r="A237" s="6" t="s">
        <v>5636</v>
      </c>
      <c r="B237" s="6" t="s">
        <v>392</v>
      </c>
      <c r="C237" s="6" t="s">
        <v>133</v>
      </c>
      <c r="D237" s="6" t="s">
        <v>34</v>
      </c>
      <c r="E237" s="6" t="n">
        <f aca="false">ROUND(4183*1.05,2)</f>
        <v>4392.15</v>
      </c>
      <c r="F237" s="6" t="s">
        <v>35</v>
      </c>
      <c r="G237" s="6" t="s">
        <v>18</v>
      </c>
      <c r="H237" s="6" t="n">
        <f aca="true">ROUND(RAND()*4+6,1)</f>
        <v>6.1</v>
      </c>
      <c r="I237" s="6" t="s">
        <v>36</v>
      </c>
      <c r="J237" s="6" t="str">
        <f aca="false">ROUND(94*1,0)&amp;"%"</f>
        <v>94%</v>
      </c>
    </row>
    <row r="238" customFormat="false" ht="15" hidden="false" customHeight="false" outlineLevel="0" collapsed="false">
      <c r="A238" s="5" t="s">
        <v>5637</v>
      </c>
      <c r="B238" s="5" t="s">
        <v>394</v>
      </c>
      <c r="C238" s="5" t="s">
        <v>133</v>
      </c>
      <c r="D238" s="5" t="s">
        <v>39</v>
      </c>
      <c r="E238" s="5" t="n">
        <f aca="false">ROUND(14163*1.05,2)</f>
        <v>14871.15</v>
      </c>
      <c r="F238" s="5" t="s">
        <v>40</v>
      </c>
      <c r="G238" s="5" t="s">
        <v>24</v>
      </c>
      <c r="H238" s="5" t="n">
        <f aca="true">ROUND(RAND()*4+6,1)</f>
        <v>7.9</v>
      </c>
      <c r="I238" s="5" t="s">
        <v>41</v>
      </c>
      <c r="J238" s="5" t="str">
        <f aca="false">ROUND(73*1,0)&amp;"%"</f>
        <v>73%</v>
      </c>
    </row>
    <row r="239" customFormat="false" ht="15" hidden="false" customHeight="false" outlineLevel="0" collapsed="false">
      <c r="A239" s="6" t="s">
        <v>5638</v>
      </c>
      <c r="B239" s="6" t="s">
        <v>396</v>
      </c>
      <c r="C239" s="6" t="s">
        <v>133</v>
      </c>
      <c r="D239" s="6" t="s">
        <v>44</v>
      </c>
      <c r="E239" s="6" t="n">
        <f aca="false">ROUND(5804*1.05,2)</f>
        <v>6094.2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ROUND(68*1,0)&amp;"%"</f>
        <v>68%</v>
      </c>
    </row>
    <row r="240" customFormat="false" ht="15" hidden="false" customHeight="false" outlineLevel="0" collapsed="false">
      <c r="A240" s="5" t="s">
        <v>5639</v>
      </c>
      <c r="B240" s="5" t="s">
        <v>398</v>
      </c>
      <c r="C240" s="5" t="s">
        <v>133</v>
      </c>
      <c r="D240" s="5" t="s">
        <v>16</v>
      </c>
      <c r="E240" s="5" t="n">
        <f aca="false">ROUND(12169*1.05,2)</f>
        <v>12777.45</v>
      </c>
      <c r="F240" s="5" t="s">
        <v>49</v>
      </c>
      <c r="G240" s="5" t="s">
        <v>18</v>
      </c>
      <c r="H240" s="5" t="n">
        <f aca="true">ROUND(RAND()*4+6,1)</f>
        <v>6.4</v>
      </c>
      <c r="I240" s="5" t="s">
        <v>19</v>
      </c>
      <c r="J240" s="5" t="str">
        <f aca="false">ROUND(80*1,0)&amp;"%"</f>
        <v>80%</v>
      </c>
    </row>
    <row r="241" customFormat="false" ht="15" hidden="false" customHeight="false" outlineLevel="0" collapsed="false">
      <c r="A241" s="6" t="s">
        <v>5640</v>
      </c>
      <c r="B241" s="6" t="s">
        <v>400</v>
      </c>
      <c r="C241" s="6" t="s">
        <v>133</v>
      </c>
      <c r="D241" s="6" t="s">
        <v>22</v>
      </c>
      <c r="E241" s="6" t="n">
        <f aca="false">ROUND(12814*1.05,2)</f>
        <v>13454.7</v>
      </c>
      <c r="F241" s="6" t="s">
        <v>52</v>
      </c>
      <c r="G241" s="6" t="s">
        <v>24</v>
      </c>
      <c r="H241" s="6" t="n">
        <f aca="true">ROUND(RAND()*4+6,1)</f>
        <v>6.9</v>
      </c>
      <c r="I241" s="6" t="s">
        <v>25</v>
      </c>
      <c r="J241" s="6" t="str">
        <f aca="false">ROUND(62*1,0)&amp;"%"</f>
        <v>62%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5641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5642</v>
      </c>
      <c r="B246" s="5" t="s">
        <v>404</v>
      </c>
      <c r="C246" s="5" t="s">
        <v>152</v>
      </c>
      <c r="D246" s="5" t="s">
        <v>16</v>
      </c>
      <c r="E246" s="5" t="n">
        <f aca="false">ROUND(8953*1.05,2)</f>
        <v>9400.65</v>
      </c>
      <c r="F246" s="5" t="s">
        <v>17</v>
      </c>
      <c r="G246" s="5" t="s">
        <v>18</v>
      </c>
      <c r="H246" s="5" t="n">
        <f aca="true">ROUND(RAND()*4+6,1)</f>
        <v>9.2</v>
      </c>
      <c r="I246" s="5" t="s">
        <v>19</v>
      </c>
      <c r="J246" s="5" t="str">
        <f aca="false">ROUND(100*1,0)&amp;"%"</f>
        <v>100%</v>
      </c>
    </row>
    <row r="247" customFormat="false" ht="15" hidden="false" customHeight="false" outlineLevel="0" collapsed="false">
      <c r="A247" s="6" t="s">
        <v>5643</v>
      </c>
      <c r="B247" s="6" t="s">
        <v>406</v>
      </c>
      <c r="C247" s="6" t="s">
        <v>152</v>
      </c>
      <c r="D247" s="6" t="s">
        <v>22</v>
      </c>
      <c r="E247" s="6" t="n">
        <f aca="false">ROUND(14442*1.05,2)</f>
        <v>15164.1</v>
      </c>
      <c r="F247" s="6" t="s">
        <v>23</v>
      </c>
      <c r="G247" s="6" t="s">
        <v>24</v>
      </c>
      <c r="H247" s="6" t="n">
        <f aca="true">ROUND(RAND()*4+6,1)</f>
        <v>7.6</v>
      </c>
      <c r="I247" s="6" t="s">
        <v>25</v>
      </c>
      <c r="J247" s="6" t="str">
        <f aca="false">ROUND(81*1,0)&amp;"%"</f>
        <v>81%</v>
      </c>
    </row>
    <row r="248" customFormat="false" ht="15" hidden="false" customHeight="false" outlineLevel="0" collapsed="false">
      <c r="A248" s="5" t="s">
        <v>5644</v>
      </c>
      <c r="B248" s="5" t="s">
        <v>408</v>
      </c>
      <c r="C248" s="5" t="s">
        <v>152</v>
      </c>
      <c r="D248" s="5" t="s">
        <v>28</v>
      </c>
      <c r="E248" s="5" t="n">
        <f aca="false">ROUND(5488*1.05,2)</f>
        <v>5762.4</v>
      </c>
      <c r="F248" s="5" t="s">
        <v>29</v>
      </c>
      <c r="G248" s="5" t="s">
        <v>30</v>
      </c>
      <c r="H248" s="5" t="n">
        <f aca="true">ROUND(RAND()*4+6,1)</f>
        <v>8.4</v>
      </c>
      <c r="I248" s="5" t="s">
        <v>31</v>
      </c>
      <c r="J248" s="5" t="str">
        <f aca="false">ROUND(83*1,0)&amp;"%"</f>
        <v>83%</v>
      </c>
    </row>
    <row r="249" customFormat="false" ht="15" hidden="false" customHeight="false" outlineLevel="0" collapsed="false">
      <c r="A249" s="6" t="s">
        <v>5645</v>
      </c>
      <c r="B249" s="6" t="s">
        <v>410</v>
      </c>
      <c r="C249" s="6" t="s">
        <v>152</v>
      </c>
      <c r="D249" s="6" t="s">
        <v>34</v>
      </c>
      <c r="E249" s="6" t="n">
        <f aca="false">ROUND(7304*1.05,2)</f>
        <v>7669.2</v>
      </c>
      <c r="F249" s="6" t="s">
        <v>35</v>
      </c>
      <c r="G249" s="6" t="s">
        <v>18</v>
      </c>
      <c r="H249" s="6" t="n">
        <f aca="true">ROUND(RAND()*4+6,1)</f>
        <v>6.9</v>
      </c>
      <c r="I249" s="6" t="s">
        <v>36</v>
      </c>
      <c r="J249" s="6" t="str">
        <f aca="false">ROUND(64*1,0)&amp;"%"</f>
        <v>64%</v>
      </c>
    </row>
    <row r="250" customFormat="false" ht="15" hidden="false" customHeight="false" outlineLevel="0" collapsed="false">
      <c r="A250" s="5" t="s">
        <v>5646</v>
      </c>
      <c r="B250" s="5" t="s">
        <v>412</v>
      </c>
      <c r="C250" s="5" t="s">
        <v>152</v>
      </c>
      <c r="D250" s="5" t="s">
        <v>39</v>
      </c>
      <c r="E250" s="5" t="n">
        <f aca="false">ROUND(17355*1.05,2)</f>
        <v>18222.75</v>
      </c>
      <c r="F250" s="5" t="s">
        <v>40</v>
      </c>
      <c r="G250" s="5" t="s">
        <v>24</v>
      </c>
      <c r="H250" s="5" t="n">
        <f aca="true">ROUND(RAND()*4+6,1)</f>
        <v>8.2</v>
      </c>
      <c r="I250" s="5" t="s">
        <v>41</v>
      </c>
      <c r="J250" s="5" t="str">
        <f aca="false">ROUND(82*1,0)&amp;"%"</f>
        <v>82%</v>
      </c>
    </row>
    <row r="251" customFormat="false" ht="15" hidden="false" customHeight="false" outlineLevel="0" collapsed="false">
      <c r="A251" s="6" t="s">
        <v>5647</v>
      </c>
      <c r="B251" s="6" t="s">
        <v>414</v>
      </c>
      <c r="C251" s="6" t="s">
        <v>152</v>
      </c>
      <c r="D251" s="6" t="s">
        <v>44</v>
      </c>
      <c r="E251" s="6" t="n">
        <f aca="false">ROUND(15232*1.05,2)</f>
        <v>15993.6</v>
      </c>
      <c r="F251" s="6" t="s">
        <v>45</v>
      </c>
      <c r="G251" s="6" t="s">
        <v>30</v>
      </c>
      <c r="H251" s="6" t="n">
        <f aca="true">ROUND(RAND()*4+6,1)</f>
        <v>7.4</v>
      </c>
      <c r="I251" s="6" t="s">
        <v>46</v>
      </c>
      <c r="J251" s="6" t="str">
        <f aca="false">ROUND(63*1,0)&amp;"%"</f>
        <v>63%</v>
      </c>
    </row>
    <row r="252" customFormat="false" ht="15" hidden="false" customHeight="false" outlineLevel="0" collapsed="false">
      <c r="A252" s="5" t="s">
        <v>5648</v>
      </c>
      <c r="B252" s="5" t="s">
        <v>416</v>
      </c>
      <c r="C252" s="5" t="s">
        <v>152</v>
      </c>
      <c r="D252" s="5" t="s">
        <v>16</v>
      </c>
      <c r="E252" s="5" t="n">
        <f aca="false">ROUND(9858*1.05,2)</f>
        <v>10350.9</v>
      </c>
      <c r="F252" s="5" t="s">
        <v>49</v>
      </c>
      <c r="G252" s="5" t="s">
        <v>18</v>
      </c>
      <c r="H252" s="5" t="n">
        <f aca="true">ROUND(RAND()*4+6,1)</f>
        <v>8.4</v>
      </c>
      <c r="I252" s="5" t="s">
        <v>19</v>
      </c>
      <c r="J252" s="5" t="str">
        <f aca="false">ROUND(73*1,0)&amp;"%"</f>
        <v>73%</v>
      </c>
    </row>
    <row r="253" customFormat="false" ht="15" hidden="false" customHeight="false" outlineLevel="0" collapsed="false">
      <c r="A253" s="6" t="s">
        <v>5649</v>
      </c>
      <c r="B253" s="6" t="s">
        <v>418</v>
      </c>
      <c r="C253" s="6" t="s">
        <v>152</v>
      </c>
      <c r="D253" s="6" t="s">
        <v>22</v>
      </c>
      <c r="E253" s="6" t="n">
        <f aca="false">ROUND(5223*1.05,2)</f>
        <v>5484.15</v>
      </c>
      <c r="F253" s="6" t="s">
        <v>52</v>
      </c>
      <c r="G253" s="6" t="s">
        <v>24</v>
      </c>
      <c r="H253" s="6" t="n">
        <f aca="true">ROUND(RAND()*4+6,1)</f>
        <v>7.9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5650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5651</v>
      </c>
      <c r="B258" s="5" t="s">
        <v>422</v>
      </c>
      <c r="C258" s="5" t="s">
        <v>15</v>
      </c>
      <c r="D258" s="5" t="s">
        <v>16</v>
      </c>
      <c r="E258" s="5" t="n">
        <f aca="false">ROUND(11031*1.05,2)</f>
        <v>11582.55</v>
      </c>
      <c r="F258" s="5" t="s">
        <v>17</v>
      </c>
      <c r="G258" s="5" t="s">
        <v>18</v>
      </c>
      <c r="H258" s="5" t="n">
        <f aca="true">ROUND(RAND()*4+6,1)</f>
        <v>6.2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5652</v>
      </c>
      <c r="B259" s="6" t="s">
        <v>424</v>
      </c>
      <c r="C259" s="6" t="s">
        <v>15</v>
      </c>
      <c r="D259" s="6" t="s">
        <v>22</v>
      </c>
      <c r="E259" s="6" t="n">
        <f aca="false">ROUND(11197*1.05,2)</f>
        <v>11756.85</v>
      </c>
      <c r="F259" s="6" t="s">
        <v>23</v>
      </c>
      <c r="G259" s="6" t="s">
        <v>24</v>
      </c>
      <c r="H259" s="6" t="n">
        <f aca="true">ROUND(RAND()*4+6,1)</f>
        <v>9.4</v>
      </c>
      <c r="I259" s="6" t="s">
        <v>25</v>
      </c>
      <c r="J259" s="6" t="str">
        <f aca="false">ROUND(64*1,0)&amp;"%"</f>
        <v>64%</v>
      </c>
    </row>
    <row r="260" customFormat="false" ht="15" hidden="false" customHeight="false" outlineLevel="0" collapsed="false">
      <c r="A260" s="5" t="s">
        <v>5653</v>
      </c>
      <c r="B260" s="5" t="s">
        <v>426</v>
      </c>
      <c r="C260" s="5" t="s">
        <v>15</v>
      </c>
      <c r="D260" s="5" t="s">
        <v>28</v>
      </c>
      <c r="E260" s="5" t="n">
        <f aca="false">ROUND(4096*1.05,2)</f>
        <v>4300.8</v>
      </c>
      <c r="F260" s="5" t="s">
        <v>29</v>
      </c>
      <c r="G260" s="5" t="s">
        <v>30</v>
      </c>
      <c r="H260" s="5" t="n">
        <f aca="true">ROUND(RAND()*4+6,1)</f>
        <v>8.3</v>
      </c>
      <c r="I260" s="5" t="s">
        <v>31</v>
      </c>
      <c r="J260" s="5" t="str">
        <f aca="false">ROUND(65*1,0)&amp;"%"</f>
        <v>65%</v>
      </c>
    </row>
    <row r="261" customFormat="false" ht="15" hidden="false" customHeight="false" outlineLevel="0" collapsed="false">
      <c r="A261" s="6" t="s">
        <v>5654</v>
      </c>
      <c r="B261" s="6" t="s">
        <v>428</v>
      </c>
      <c r="C261" s="6" t="s">
        <v>15</v>
      </c>
      <c r="D261" s="6" t="s">
        <v>34</v>
      </c>
      <c r="E261" s="6" t="n">
        <f aca="false">ROUND(16327*1.05,2)</f>
        <v>17143.35</v>
      </c>
      <c r="F261" s="6" t="s">
        <v>35</v>
      </c>
      <c r="G261" s="6" t="s">
        <v>18</v>
      </c>
      <c r="H261" s="6" t="n">
        <f aca="true">ROUND(RAND()*4+6,1)</f>
        <v>8.9</v>
      </c>
      <c r="I261" s="6" t="s">
        <v>36</v>
      </c>
      <c r="J261" s="6" t="str">
        <f aca="false">ROUND(66*1,0)&amp;"%"</f>
        <v>66%</v>
      </c>
    </row>
    <row r="262" customFormat="false" ht="15" hidden="false" customHeight="false" outlineLevel="0" collapsed="false">
      <c r="A262" s="5" t="s">
        <v>5655</v>
      </c>
      <c r="B262" s="5" t="s">
        <v>430</v>
      </c>
      <c r="C262" s="5" t="s">
        <v>15</v>
      </c>
      <c r="D262" s="5" t="s">
        <v>39</v>
      </c>
      <c r="E262" s="5" t="n">
        <f aca="false">ROUND(17884*1.05,2)</f>
        <v>18778.2</v>
      </c>
      <c r="F262" s="5" t="s">
        <v>40</v>
      </c>
      <c r="G262" s="5" t="s">
        <v>24</v>
      </c>
      <c r="H262" s="5" t="n">
        <f aca="true">ROUND(RAND()*4+6,1)</f>
        <v>8</v>
      </c>
      <c r="I262" s="5" t="s">
        <v>41</v>
      </c>
      <c r="J262" s="5" t="str">
        <f aca="false">ROUND(77*1,0)&amp;"%"</f>
        <v>77%</v>
      </c>
    </row>
    <row r="263" customFormat="false" ht="15" hidden="false" customHeight="false" outlineLevel="0" collapsed="false">
      <c r="A263" s="6" t="s">
        <v>5656</v>
      </c>
      <c r="B263" s="6" t="s">
        <v>432</v>
      </c>
      <c r="C263" s="6" t="s">
        <v>15</v>
      </c>
      <c r="D263" s="6" t="s">
        <v>44</v>
      </c>
      <c r="E263" s="6" t="n">
        <f aca="false">ROUND(14986*1.05,2)</f>
        <v>15735.3</v>
      </c>
      <c r="F263" s="6" t="s">
        <v>45</v>
      </c>
      <c r="G263" s="6" t="s">
        <v>30</v>
      </c>
      <c r="H263" s="6" t="n">
        <f aca="true">ROUND(RAND()*4+6,1)</f>
        <v>6.6</v>
      </c>
      <c r="I263" s="6" t="s">
        <v>46</v>
      </c>
      <c r="J263" s="6" t="str">
        <f aca="false">ROUND(83*1,0)&amp;"%"</f>
        <v>83%</v>
      </c>
    </row>
    <row r="264" customFormat="false" ht="15" hidden="false" customHeight="false" outlineLevel="0" collapsed="false">
      <c r="A264" s="5" t="s">
        <v>5657</v>
      </c>
      <c r="B264" s="5" t="s">
        <v>434</v>
      </c>
      <c r="C264" s="5" t="s">
        <v>15</v>
      </c>
      <c r="D264" s="5" t="s">
        <v>16</v>
      </c>
      <c r="E264" s="5" t="n">
        <f aca="false">ROUND(7162*1.05,2)</f>
        <v>7520.1</v>
      </c>
      <c r="F264" s="5" t="s">
        <v>49</v>
      </c>
      <c r="G264" s="5" t="s">
        <v>18</v>
      </c>
      <c r="H264" s="5" t="n">
        <f aca="true">ROUND(RAND()*4+6,1)</f>
        <v>8.9</v>
      </c>
      <c r="I264" s="5" t="s">
        <v>19</v>
      </c>
      <c r="J264" s="5" t="str">
        <f aca="false">ROUND(89*1,0)&amp;"%"</f>
        <v>89%</v>
      </c>
    </row>
    <row r="265" customFormat="false" ht="15" hidden="false" customHeight="false" outlineLevel="0" collapsed="false">
      <c r="A265" s="6" t="s">
        <v>5658</v>
      </c>
      <c r="B265" s="6" t="s">
        <v>436</v>
      </c>
      <c r="C265" s="6" t="s">
        <v>15</v>
      </c>
      <c r="D265" s="6" t="s">
        <v>22</v>
      </c>
      <c r="E265" s="6" t="n">
        <f aca="false">ROUND(15840*1.05,2)</f>
        <v>16632</v>
      </c>
      <c r="F265" s="6" t="s">
        <v>52</v>
      </c>
      <c r="G265" s="6" t="s">
        <v>24</v>
      </c>
      <c r="H265" s="6" t="n">
        <f aca="true">ROUND(RAND()*4+6,1)</f>
        <v>9.4</v>
      </c>
      <c r="I265" s="6" t="s">
        <v>25</v>
      </c>
      <c r="J265" s="6" t="str">
        <f aca="false">ROUND(64*1,0)&amp;"%"</f>
        <v>64%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5659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5660</v>
      </c>
      <c r="B270" s="5" t="s">
        <v>440</v>
      </c>
      <c r="C270" s="5" t="s">
        <v>57</v>
      </c>
      <c r="D270" s="5" t="s">
        <v>16</v>
      </c>
      <c r="E270" s="5" t="n">
        <f aca="false">ROUND(7022*1.05,2)</f>
        <v>7373.1</v>
      </c>
      <c r="F270" s="5" t="s">
        <v>17</v>
      </c>
      <c r="G270" s="5" t="s">
        <v>18</v>
      </c>
      <c r="H270" s="5" t="n">
        <f aca="true">ROUND(RAND()*4+6,1)</f>
        <v>8.2</v>
      </c>
      <c r="I270" s="5" t="s">
        <v>19</v>
      </c>
      <c r="J270" s="5" t="str">
        <f aca="false">ROUND(65*1,0)&amp;"%"</f>
        <v>65%</v>
      </c>
    </row>
    <row r="271" customFormat="false" ht="15" hidden="false" customHeight="false" outlineLevel="0" collapsed="false">
      <c r="A271" s="6" t="s">
        <v>5661</v>
      </c>
      <c r="B271" s="6" t="s">
        <v>442</v>
      </c>
      <c r="C271" s="6" t="s">
        <v>57</v>
      </c>
      <c r="D271" s="6" t="s">
        <v>22</v>
      </c>
      <c r="E271" s="6" t="n">
        <f aca="false">ROUND(8670*1.05,2)</f>
        <v>9103.5</v>
      </c>
      <c r="F271" s="6" t="s">
        <v>23</v>
      </c>
      <c r="G271" s="6" t="s">
        <v>24</v>
      </c>
      <c r="H271" s="6" t="n">
        <f aca="true">ROUND(RAND()*4+6,1)</f>
        <v>7.5</v>
      </c>
      <c r="I271" s="6" t="s">
        <v>25</v>
      </c>
      <c r="J271" s="6" t="str">
        <f aca="false">ROUND(64*1,0)&amp;"%"</f>
        <v>64%</v>
      </c>
    </row>
    <row r="272" customFormat="false" ht="15" hidden="false" customHeight="false" outlineLevel="0" collapsed="false">
      <c r="A272" s="5" t="s">
        <v>5662</v>
      </c>
      <c r="B272" s="5" t="s">
        <v>444</v>
      </c>
      <c r="C272" s="5" t="s">
        <v>57</v>
      </c>
      <c r="D272" s="5" t="s">
        <v>28</v>
      </c>
      <c r="E272" s="5" t="n">
        <f aca="false">ROUND(11421*1.05,2)</f>
        <v>11992.05</v>
      </c>
      <c r="F272" s="5" t="s">
        <v>29</v>
      </c>
      <c r="G272" s="5" t="s">
        <v>30</v>
      </c>
      <c r="H272" s="5" t="n">
        <f aca="true">ROUND(RAND()*4+6,1)</f>
        <v>6.3</v>
      </c>
      <c r="I272" s="5" t="s">
        <v>31</v>
      </c>
      <c r="J272" s="5" t="str">
        <f aca="false">ROUND(65*1,0)&amp;"%"</f>
        <v>65%</v>
      </c>
    </row>
    <row r="273" customFormat="false" ht="15" hidden="false" customHeight="false" outlineLevel="0" collapsed="false">
      <c r="A273" s="6" t="s">
        <v>5663</v>
      </c>
      <c r="B273" s="6" t="s">
        <v>446</v>
      </c>
      <c r="C273" s="6" t="s">
        <v>57</v>
      </c>
      <c r="D273" s="6" t="s">
        <v>34</v>
      </c>
      <c r="E273" s="6" t="n">
        <f aca="false">ROUND(17203*1.05,2)</f>
        <v>18063.15</v>
      </c>
      <c r="F273" s="6" t="s">
        <v>35</v>
      </c>
      <c r="G273" s="6" t="s">
        <v>18</v>
      </c>
      <c r="H273" s="6" t="n">
        <f aca="true">ROUND(RAND()*4+6,1)</f>
        <v>9.2</v>
      </c>
      <c r="I273" s="6" t="s">
        <v>36</v>
      </c>
      <c r="J273" s="6" t="str">
        <f aca="false">ROUND(69*1,0)&amp;"%"</f>
        <v>69%</v>
      </c>
    </row>
    <row r="274" customFormat="false" ht="15" hidden="false" customHeight="false" outlineLevel="0" collapsed="false">
      <c r="A274" s="5" t="s">
        <v>5664</v>
      </c>
      <c r="B274" s="5" t="s">
        <v>448</v>
      </c>
      <c r="C274" s="5" t="s">
        <v>57</v>
      </c>
      <c r="D274" s="5" t="s">
        <v>39</v>
      </c>
      <c r="E274" s="5" t="n">
        <f aca="false">ROUND(10428*1.05,2)</f>
        <v>10949.4</v>
      </c>
      <c r="F274" s="5" t="s">
        <v>40</v>
      </c>
      <c r="G274" s="5" t="s">
        <v>24</v>
      </c>
      <c r="H274" s="5" t="n">
        <f aca="true">ROUND(RAND()*4+6,1)</f>
        <v>7.7</v>
      </c>
      <c r="I274" s="5" t="s">
        <v>41</v>
      </c>
      <c r="J274" s="5" t="str">
        <f aca="false">ROUND(66*1,0)&amp;"%"</f>
        <v>66%</v>
      </c>
    </row>
    <row r="275" customFormat="false" ht="15" hidden="false" customHeight="false" outlineLevel="0" collapsed="false">
      <c r="A275" s="6" t="s">
        <v>5665</v>
      </c>
      <c r="B275" s="6" t="s">
        <v>450</v>
      </c>
      <c r="C275" s="6" t="s">
        <v>57</v>
      </c>
      <c r="D275" s="6" t="s">
        <v>44</v>
      </c>
      <c r="E275" s="6" t="n">
        <f aca="false">ROUND(12020*1.05,2)</f>
        <v>12621</v>
      </c>
      <c r="F275" s="6" t="s">
        <v>45</v>
      </c>
      <c r="G275" s="6" t="s">
        <v>30</v>
      </c>
      <c r="H275" s="6" t="n">
        <f aca="true">ROUND(RAND()*4+6,1)</f>
        <v>7.8</v>
      </c>
      <c r="I275" s="6" t="s">
        <v>46</v>
      </c>
      <c r="J275" s="6" t="str">
        <f aca="false">ROUND(69*1,0)&amp;"%"</f>
        <v>69%</v>
      </c>
    </row>
    <row r="276" customFormat="false" ht="15" hidden="false" customHeight="false" outlineLevel="0" collapsed="false">
      <c r="A276" s="5" t="s">
        <v>5666</v>
      </c>
      <c r="B276" s="5" t="s">
        <v>452</v>
      </c>
      <c r="C276" s="5" t="s">
        <v>57</v>
      </c>
      <c r="D276" s="5" t="s">
        <v>16</v>
      </c>
      <c r="E276" s="5" t="n">
        <f aca="false">ROUND(5971*1.05,2)</f>
        <v>6269.55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ROUND(99*1,0)&amp;"%"</f>
        <v>99%</v>
      </c>
    </row>
    <row r="277" customFormat="false" ht="15" hidden="false" customHeight="false" outlineLevel="0" collapsed="false">
      <c r="A277" s="6" t="s">
        <v>5667</v>
      </c>
      <c r="B277" s="6" t="s">
        <v>454</v>
      </c>
      <c r="C277" s="6" t="s">
        <v>57</v>
      </c>
      <c r="D277" s="6" t="s">
        <v>22</v>
      </c>
      <c r="E277" s="6" t="n">
        <f aca="false">ROUND(13821*1.05,2)</f>
        <v>14512.05</v>
      </c>
      <c r="F277" s="6" t="s">
        <v>52</v>
      </c>
      <c r="G277" s="6" t="s">
        <v>24</v>
      </c>
      <c r="H277" s="6" t="n">
        <f aca="true">ROUND(RAND()*4+6,1)</f>
        <v>7.4</v>
      </c>
      <c r="I277" s="6" t="s">
        <v>25</v>
      </c>
      <c r="J277" s="6" t="str">
        <f aca="false">ROUND(99*1,0)&amp;"%"</f>
        <v>99%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5668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5669</v>
      </c>
      <c r="B282" s="5" t="s">
        <v>458</v>
      </c>
      <c r="C282" s="5" t="s">
        <v>76</v>
      </c>
      <c r="D282" s="5" t="s">
        <v>16</v>
      </c>
      <c r="E282" s="5" t="n">
        <f aca="false">ROUND(11498*1.05,2)</f>
        <v>12072.9</v>
      </c>
      <c r="F282" s="5" t="s">
        <v>17</v>
      </c>
      <c r="G282" s="5" t="s">
        <v>18</v>
      </c>
      <c r="H282" s="5" t="n">
        <f aca="true">ROUND(RAND()*4+6,1)</f>
        <v>6.6</v>
      </c>
      <c r="I282" s="5" t="s">
        <v>19</v>
      </c>
      <c r="J282" s="5" t="str">
        <f aca="false">ROUND(100*1,0)&amp;"%"</f>
        <v>100%</v>
      </c>
    </row>
    <row r="283" customFormat="false" ht="15" hidden="false" customHeight="false" outlineLevel="0" collapsed="false">
      <c r="A283" s="6" t="s">
        <v>5670</v>
      </c>
      <c r="B283" s="6" t="s">
        <v>460</v>
      </c>
      <c r="C283" s="6" t="s">
        <v>76</v>
      </c>
      <c r="D283" s="6" t="s">
        <v>22</v>
      </c>
      <c r="E283" s="6" t="n">
        <f aca="false">ROUND(14176*1.05,2)</f>
        <v>14884.8</v>
      </c>
      <c r="F283" s="6" t="s">
        <v>23</v>
      </c>
      <c r="G283" s="6" t="s">
        <v>24</v>
      </c>
      <c r="H283" s="6" t="n">
        <f aca="true">ROUND(RAND()*4+6,1)</f>
        <v>7.6</v>
      </c>
      <c r="I283" s="6" t="s">
        <v>25</v>
      </c>
      <c r="J283" s="6" t="str">
        <f aca="false">ROUND(78*1,0)&amp;"%"</f>
        <v>78%</v>
      </c>
    </row>
    <row r="284" customFormat="false" ht="15" hidden="false" customHeight="false" outlineLevel="0" collapsed="false">
      <c r="A284" s="5" t="s">
        <v>5671</v>
      </c>
      <c r="B284" s="5" t="s">
        <v>462</v>
      </c>
      <c r="C284" s="5" t="s">
        <v>76</v>
      </c>
      <c r="D284" s="5" t="s">
        <v>28</v>
      </c>
      <c r="E284" s="5" t="n">
        <f aca="false">ROUND(5847*1.05,2)</f>
        <v>6139.35</v>
      </c>
      <c r="F284" s="5" t="s">
        <v>29</v>
      </c>
      <c r="G284" s="5" t="s">
        <v>30</v>
      </c>
      <c r="H284" s="5" t="n">
        <f aca="true">ROUND(RAND()*4+6,1)</f>
        <v>7.5</v>
      </c>
      <c r="I284" s="5" t="s">
        <v>31</v>
      </c>
      <c r="J284" s="5" t="str">
        <f aca="false">ROUND(86*1,0)&amp;"%"</f>
        <v>86%</v>
      </c>
    </row>
    <row r="285" customFormat="false" ht="15" hidden="false" customHeight="false" outlineLevel="0" collapsed="false">
      <c r="A285" s="6" t="s">
        <v>5672</v>
      </c>
      <c r="B285" s="6" t="s">
        <v>464</v>
      </c>
      <c r="C285" s="6" t="s">
        <v>76</v>
      </c>
      <c r="D285" s="6" t="s">
        <v>34</v>
      </c>
      <c r="E285" s="6" t="n">
        <f aca="false">ROUND(10730*1.05,2)</f>
        <v>11266.5</v>
      </c>
      <c r="F285" s="6" t="s">
        <v>35</v>
      </c>
      <c r="G285" s="6" t="s">
        <v>18</v>
      </c>
      <c r="H285" s="6" t="n">
        <f aca="true">ROUND(RAND()*4+6,1)</f>
        <v>8.9</v>
      </c>
      <c r="I285" s="6" t="s">
        <v>36</v>
      </c>
      <c r="J285" s="6" t="str">
        <f aca="false">ROUND(86*1,0)&amp;"%"</f>
        <v>86%</v>
      </c>
    </row>
    <row r="286" customFormat="false" ht="15" hidden="false" customHeight="false" outlineLevel="0" collapsed="false">
      <c r="A286" s="5" t="s">
        <v>5673</v>
      </c>
      <c r="B286" s="5" t="s">
        <v>466</v>
      </c>
      <c r="C286" s="5" t="s">
        <v>76</v>
      </c>
      <c r="D286" s="5" t="s">
        <v>39</v>
      </c>
      <c r="E286" s="5" t="n">
        <f aca="false">ROUND(10097*1.05,2)</f>
        <v>10601.85</v>
      </c>
      <c r="F286" s="5" t="s">
        <v>40</v>
      </c>
      <c r="G286" s="5" t="s">
        <v>24</v>
      </c>
      <c r="H286" s="5" t="n">
        <f aca="true">ROUND(RAND()*4+6,1)</f>
        <v>7.5</v>
      </c>
      <c r="I286" s="5" t="s">
        <v>41</v>
      </c>
      <c r="J286" s="5" t="str">
        <f aca="false">ROUND(81*1,0)&amp;"%"</f>
        <v>81%</v>
      </c>
    </row>
    <row r="287" customFormat="false" ht="15" hidden="false" customHeight="false" outlineLevel="0" collapsed="false">
      <c r="A287" s="6" t="s">
        <v>5674</v>
      </c>
      <c r="B287" s="6" t="s">
        <v>468</v>
      </c>
      <c r="C287" s="6" t="s">
        <v>76</v>
      </c>
      <c r="D287" s="6" t="s">
        <v>44</v>
      </c>
      <c r="E287" s="6" t="n">
        <f aca="false">ROUND(5882*1.05,2)</f>
        <v>6176.1</v>
      </c>
      <c r="F287" s="6" t="s">
        <v>45</v>
      </c>
      <c r="G287" s="6" t="s">
        <v>30</v>
      </c>
      <c r="H287" s="6" t="n">
        <f aca="true">ROUND(RAND()*4+6,1)</f>
        <v>8.4</v>
      </c>
      <c r="I287" s="6" t="s">
        <v>46</v>
      </c>
      <c r="J287" s="6" t="str">
        <f aca="false">ROUND(90*1,0)&amp;"%"</f>
        <v>90%</v>
      </c>
    </row>
    <row r="288" customFormat="false" ht="15" hidden="false" customHeight="false" outlineLevel="0" collapsed="false">
      <c r="A288" s="5" t="s">
        <v>5675</v>
      </c>
      <c r="B288" s="5" t="s">
        <v>470</v>
      </c>
      <c r="C288" s="5" t="s">
        <v>76</v>
      </c>
      <c r="D288" s="5" t="s">
        <v>16</v>
      </c>
      <c r="E288" s="5" t="n">
        <f aca="false">ROUND(9939*1.05,2)</f>
        <v>10435.95</v>
      </c>
      <c r="F288" s="5" t="s">
        <v>49</v>
      </c>
      <c r="G288" s="5" t="s">
        <v>18</v>
      </c>
      <c r="H288" s="5" t="n">
        <f aca="true">ROUND(RAND()*4+6,1)</f>
        <v>9.2</v>
      </c>
      <c r="I288" s="5" t="s">
        <v>19</v>
      </c>
      <c r="J288" s="5" t="str">
        <f aca="false">ROUND(80*1,0)&amp;"%"</f>
        <v>80%</v>
      </c>
    </row>
    <row r="289" customFormat="false" ht="15" hidden="false" customHeight="false" outlineLevel="0" collapsed="false">
      <c r="A289" s="6" t="s">
        <v>5676</v>
      </c>
      <c r="B289" s="6" t="s">
        <v>472</v>
      </c>
      <c r="C289" s="6" t="s">
        <v>76</v>
      </c>
      <c r="D289" s="6" t="s">
        <v>22</v>
      </c>
      <c r="E289" s="6" t="n">
        <f aca="false">ROUND(14956*1.05,2)</f>
        <v>15703.8</v>
      </c>
      <c r="F289" s="6" t="s">
        <v>52</v>
      </c>
      <c r="G289" s="6" t="s">
        <v>24</v>
      </c>
      <c r="H289" s="6" t="n">
        <f aca="true">ROUND(RAND()*4+6,1)</f>
        <v>6.7</v>
      </c>
      <c r="I289" s="6" t="s">
        <v>25</v>
      </c>
      <c r="J289" s="6" t="str">
        <f aca="false">ROUND(98*1,0)&amp;"%"</f>
        <v>98%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5677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5678</v>
      </c>
      <c r="B294" s="5" t="s">
        <v>476</v>
      </c>
      <c r="C294" s="5" t="s">
        <v>95</v>
      </c>
      <c r="D294" s="5" t="s">
        <v>16</v>
      </c>
      <c r="E294" s="5" t="n">
        <f aca="false">ROUND(8948*1.05,2)</f>
        <v>9395.4</v>
      </c>
      <c r="F294" s="5" t="s">
        <v>17</v>
      </c>
      <c r="G294" s="5" t="s">
        <v>18</v>
      </c>
      <c r="H294" s="5" t="n">
        <f aca="true">ROUND(RAND()*4+6,1)</f>
        <v>9.3</v>
      </c>
      <c r="I294" s="5" t="s">
        <v>19</v>
      </c>
      <c r="J294" s="5" t="str">
        <f aca="false">ROUND(85*1,0)&amp;"%"</f>
        <v>85%</v>
      </c>
    </row>
    <row r="295" customFormat="false" ht="15" hidden="false" customHeight="false" outlineLevel="0" collapsed="false">
      <c r="A295" s="6" t="s">
        <v>5679</v>
      </c>
      <c r="B295" s="6" t="s">
        <v>478</v>
      </c>
      <c r="C295" s="6" t="s">
        <v>95</v>
      </c>
      <c r="D295" s="6" t="s">
        <v>22</v>
      </c>
      <c r="E295" s="6" t="n">
        <f aca="false">ROUND(14736*1.05,2)</f>
        <v>15472.8</v>
      </c>
      <c r="F295" s="6" t="s">
        <v>23</v>
      </c>
      <c r="G295" s="6" t="s">
        <v>24</v>
      </c>
      <c r="H295" s="6" t="n">
        <f aca="true">ROUND(RAND()*4+6,1)</f>
        <v>8.9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5680</v>
      </c>
      <c r="B296" s="5" t="s">
        <v>480</v>
      </c>
      <c r="C296" s="5" t="s">
        <v>95</v>
      </c>
      <c r="D296" s="5" t="s">
        <v>28</v>
      </c>
      <c r="E296" s="5" t="n">
        <f aca="false">ROUND(7641*1.05,2)</f>
        <v>8023.05</v>
      </c>
      <c r="F296" s="5" t="s">
        <v>29</v>
      </c>
      <c r="G296" s="5" t="s">
        <v>30</v>
      </c>
      <c r="H296" s="5" t="n">
        <f aca="true">ROUND(RAND()*4+6,1)</f>
        <v>6.6</v>
      </c>
      <c r="I296" s="5" t="s">
        <v>31</v>
      </c>
      <c r="J296" s="5" t="str">
        <f aca="false">ROUND(90*1,0)&amp;"%"</f>
        <v>90%</v>
      </c>
    </row>
    <row r="297" customFormat="false" ht="15" hidden="false" customHeight="false" outlineLevel="0" collapsed="false">
      <c r="A297" s="6" t="s">
        <v>5681</v>
      </c>
      <c r="B297" s="6" t="s">
        <v>482</v>
      </c>
      <c r="C297" s="6" t="s">
        <v>95</v>
      </c>
      <c r="D297" s="6" t="s">
        <v>34</v>
      </c>
      <c r="E297" s="6" t="n">
        <f aca="false">ROUND(4406*1.05,2)</f>
        <v>4626.3</v>
      </c>
      <c r="F297" s="6" t="s">
        <v>35</v>
      </c>
      <c r="G297" s="6" t="s">
        <v>18</v>
      </c>
      <c r="H297" s="6" t="n">
        <f aca="true">ROUND(RAND()*4+6,1)</f>
        <v>6.5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5682</v>
      </c>
      <c r="B298" s="5" t="s">
        <v>484</v>
      </c>
      <c r="C298" s="5" t="s">
        <v>95</v>
      </c>
      <c r="D298" s="5" t="s">
        <v>39</v>
      </c>
      <c r="E298" s="5" t="n">
        <f aca="false">ROUND(6620*1.05,2)</f>
        <v>6951</v>
      </c>
      <c r="F298" s="5" t="s">
        <v>40</v>
      </c>
      <c r="G298" s="5" t="s">
        <v>24</v>
      </c>
      <c r="H298" s="5" t="n">
        <f aca="true">ROUND(RAND()*4+6,1)</f>
        <v>7.1</v>
      </c>
      <c r="I298" s="5" t="s">
        <v>41</v>
      </c>
      <c r="J298" s="5" t="str">
        <f aca="false">ROUND(87*1,0)&amp;"%"</f>
        <v>87%</v>
      </c>
    </row>
    <row r="299" customFormat="false" ht="15" hidden="false" customHeight="false" outlineLevel="0" collapsed="false">
      <c r="A299" s="6" t="s">
        <v>5683</v>
      </c>
      <c r="B299" s="6" t="s">
        <v>486</v>
      </c>
      <c r="C299" s="6" t="s">
        <v>95</v>
      </c>
      <c r="D299" s="6" t="s">
        <v>44</v>
      </c>
      <c r="E299" s="6" t="n">
        <f aca="false">ROUND(11445*1.05,2)</f>
        <v>12017.25</v>
      </c>
      <c r="F299" s="6" t="s">
        <v>45</v>
      </c>
      <c r="G299" s="6" t="s">
        <v>30</v>
      </c>
      <c r="H299" s="6" t="n">
        <f aca="true">ROUND(RAND()*4+6,1)</f>
        <v>7.8</v>
      </c>
      <c r="I299" s="6" t="s">
        <v>46</v>
      </c>
      <c r="J299" s="6" t="str">
        <f aca="false">ROUND(73*1,0)&amp;"%"</f>
        <v>73%</v>
      </c>
    </row>
    <row r="300" customFormat="false" ht="15" hidden="false" customHeight="false" outlineLevel="0" collapsed="false">
      <c r="A300" s="5" t="s">
        <v>5684</v>
      </c>
      <c r="B300" s="5" t="s">
        <v>488</v>
      </c>
      <c r="C300" s="5" t="s">
        <v>95</v>
      </c>
      <c r="D300" s="5" t="s">
        <v>16</v>
      </c>
      <c r="E300" s="5" t="n">
        <f aca="false">ROUND(5146*1.05,2)</f>
        <v>5403.3</v>
      </c>
      <c r="F300" s="5" t="s">
        <v>49</v>
      </c>
      <c r="G300" s="5" t="s">
        <v>18</v>
      </c>
      <c r="H300" s="5" t="n">
        <f aca="true">ROUND(RAND()*4+6,1)</f>
        <v>6.7</v>
      </c>
      <c r="I300" s="5" t="s">
        <v>19</v>
      </c>
      <c r="J300" s="5" t="str">
        <f aca="false">ROUND(79*1,0)&amp;"%"</f>
        <v>79%</v>
      </c>
    </row>
    <row r="301" customFormat="false" ht="15" hidden="false" customHeight="false" outlineLevel="0" collapsed="false">
      <c r="A301" s="6" t="s">
        <v>5685</v>
      </c>
      <c r="B301" s="6" t="s">
        <v>490</v>
      </c>
      <c r="C301" s="6" t="s">
        <v>95</v>
      </c>
      <c r="D301" s="6" t="s">
        <v>22</v>
      </c>
      <c r="E301" s="6" t="n">
        <f aca="false">ROUND(12229*1.05,2)</f>
        <v>12840.45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ROUND(72*1,0)&amp;"%"</f>
        <v>72%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5686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5687</v>
      </c>
      <c r="B306" s="5" t="s">
        <v>494</v>
      </c>
      <c r="C306" s="5" t="s">
        <v>114</v>
      </c>
      <c r="D306" s="5" t="s">
        <v>16</v>
      </c>
      <c r="E306" s="5" t="n">
        <f aca="false">ROUND(14589*1.05,2)</f>
        <v>15318.45</v>
      </c>
      <c r="F306" s="5" t="s">
        <v>17</v>
      </c>
      <c r="G306" s="5" t="s">
        <v>18</v>
      </c>
      <c r="H306" s="5" t="n">
        <f aca="true">ROUND(RAND()*4+6,1)</f>
        <v>9.8</v>
      </c>
      <c r="I306" s="5" t="s">
        <v>19</v>
      </c>
      <c r="J306" s="5" t="str">
        <f aca="false">ROUND(86*1,0)&amp;"%"</f>
        <v>86%</v>
      </c>
    </row>
    <row r="307" customFormat="false" ht="15" hidden="false" customHeight="false" outlineLevel="0" collapsed="false">
      <c r="A307" s="6" t="s">
        <v>5688</v>
      </c>
      <c r="B307" s="6" t="s">
        <v>496</v>
      </c>
      <c r="C307" s="6" t="s">
        <v>114</v>
      </c>
      <c r="D307" s="6" t="s">
        <v>22</v>
      </c>
      <c r="E307" s="6" t="n">
        <f aca="false">ROUND(5693*1.05,2)</f>
        <v>5977.65</v>
      </c>
      <c r="F307" s="6" t="s">
        <v>23</v>
      </c>
      <c r="G307" s="6" t="s">
        <v>24</v>
      </c>
      <c r="H307" s="6" t="n">
        <f aca="true">ROUND(RAND()*4+6,1)</f>
        <v>9</v>
      </c>
      <c r="I307" s="6" t="s">
        <v>25</v>
      </c>
      <c r="J307" s="6" t="str">
        <f aca="false">ROUND(76*1,0)&amp;"%"</f>
        <v>76%</v>
      </c>
    </row>
    <row r="308" customFormat="false" ht="15" hidden="false" customHeight="false" outlineLevel="0" collapsed="false">
      <c r="A308" s="5" t="s">
        <v>5689</v>
      </c>
      <c r="B308" s="5" t="s">
        <v>498</v>
      </c>
      <c r="C308" s="5" t="s">
        <v>114</v>
      </c>
      <c r="D308" s="5" t="s">
        <v>28</v>
      </c>
      <c r="E308" s="5" t="n">
        <f aca="false">ROUND(7592*1.05,2)</f>
        <v>7971.6</v>
      </c>
      <c r="F308" s="5" t="s">
        <v>29</v>
      </c>
      <c r="G308" s="5" t="s">
        <v>30</v>
      </c>
      <c r="H308" s="5" t="n">
        <f aca="true">ROUND(RAND()*4+6,1)</f>
        <v>6.5</v>
      </c>
      <c r="I308" s="5" t="s">
        <v>31</v>
      </c>
      <c r="J308" s="5" t="str">
        <f aca="false">ROUND(89*1,0)&amp;"%"</f>
        <v>89%</v>
      </c>
    </row>
    <row r="309" customFormat="false" ht="15" hidden="false" customHeight="false" outlineLevel="0" collapsed="false">
      <c r="A309" s="6" t="s">
        <v>5690</v>
      </c>
      <c r="B309" s="6" t="s">
        <v>500</v>
      </c>
      <c r="C309" s="6" t="s">
        <v>114</v>
      </c>
      <c r="D309" s="6" t="s">
        <v>34</v>
      </c>
      <c r="E309" s="6" t="n">
        <f aca="false">ROUND(18000*1.05,2)</f>
        <v>18900</v>
      </c>
      <c r="F309" s="6" t="s">
        <v>35</v>
      </c>
      <c r="G309" s="6" t="s">
        <v>18</v>
      </c>
      <c r="H309" s="6" t="n">
        <f aca="true">ROUND(RAND()*4+6,1)</f>
        <v>6.8</v>
      </c>
      <c r="I309" s="6" t="s">
        <v>36</v>
      </c>
      <c r="J309" s="6" t="str">
        <f aca="false">ROUND(67*1,0)&amp;"%"</f>
        <v>67%</v>
      </c>
    </row>
    <row r="310" customFormat="false" ht="15" hidden="false" customHeight="false" outlineLevel="0" collapsed="false">
      <c r="A310" s="5" t="s">
        <v>5691</v>
      </c>
      <c r="B310" s="5" t="s">
        <v>502</v>
      </c>
      <c r="C310" s="5" t="s">
        <v>114</v>
      </c>
      <c r="D310" s="5" t="s">
        <v>39</v>
      </c>
      <c r="E310" s="5" t="n">
        <f aca="false">ROUND(5592*1.05,2)</f>
        <v>5871.6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ROUND(96*1,0)&amp;"%"</f>
        <v>96%</v>
      </c>
    </row>
    <row r="311" customFormat="false" ht="15" hidden="false" customHeight="false" outlineLevel="0" collapsed="false">
      <c r="A311" s="6" t="s">
        <v>5692</v>
      </c>
      <c r="B311" s="6" t="s">
        <v>504</v>
      </c>
      <c r="C311" s="6" t="s">
        <v>114</v>
      </c>
      <c r="D311" s="6" t="s">
        <v>44</v>
      </c>
      <c r="E311" s="6" t="n">
        <f aca="false">ROUND(10969*1.05,2)</f>
        <v>11517.45</v>
      </c>
      <c r="F311" s="6" t="s">
        <v>45</v>
      </c>
      <c r="G311" s="6" t="s">
        <v>30</v>
      </c>
      <c r="H311" s="6" t="n">
        <f aca="true">ROUND(RAND()*4+6,1)</f>
        <v>6.2</v>
      </c>
      <c r="I311" s="6" t="s">
        <v>46</v>
      </c>
      <c r="J311" s="6" t="str">
        <f aca="false">ROUND(87*1,0)&amp;"%"</f>
        <v>87%</v>
      </c>
    </row>
    <row r="312" customFormat="false" ht="15" hidden="false" customHeight="false" outlineLevel="0" collapsed="false">
      <c r="A312" s="5" t="s">
        <v>5693</v>
      </c>
      <c r="B312" s="5" t="s">
        <v>506</v>
      </c>
      <c r="C312" s="5" t="s">
        <v>114</v>
      </c>
      <c r="D312" s="5" t="s">
        <v>16</v>
      </c>
      <c r="E312" s="5" t="n">
        <f aca="false">ROUND(9056*1.05,2)</f>
        <v>9508.8</v>
      </c>
      <c r="F312" s="5" t="s">
        <v>49</v>
      </c>
      <c r="G312" s="5" t="s">
        <v>18</v>
      </c>
      <c r="H312" s="5" t="n">
        <f aca="true">ROUND(RAND()*4+6,1)</f>
        <v>9.7</v>
      </c>
      <c r="I312" s="5" t="s">
        <v>19</v>
      </c>
      <c r="J312" s="5" t="str">
        <f aca="false">ROUND(71*1,0)&amp;"%"</f>
        <v>71%</v>
      </c>
    </row>
    <row r="313" customFormat="false" ht="15" hidden="false" customHeight="false" outlineLevel="0" collapsed="false">
      <c r="A313" s="6" t="s">
        <v>5694</v>
      </c>
      <c r="B313" s="6" t="s">
        <v>508</v>
      </c>
      <c r="C313" s="6" t="s">
        <v>114</v>
      </c>
      <c r="D313" s="6" t="s">
        <v>22</v>
      </c>
      <c r="E313" s="6" t="n">
        <f aca="false">ROUND(8772*1.05,2)</f>
        <v>9210.6</v>
      </c>
      <c r="F313" s="6" t="s">
        <v>52</v>
      </c>
      <c r="G313" s="6" t="s">
        <v>24</v>
      </c>
      <c r="H313" s="6" t="n">
        <f aca="true">ROUND(RAND()*4+6,1)</f>
        <v>8.4</v>
      </c>
      <c r="I313" s="6" t="s">
        <v>25</v>
      </c>
      <c r="J313" s="6" t="str">
        <f aca="false">ROUND(78*1,0)&amp;"%"</f>
        <v>78%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5695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5696</v>
      </c>
      <c r="B318" s="5" t="s">
        <v>512</v>
      </c>
      <c r="C318" s="5" t="s">
        <v>133</v>
      </c>
      <c r="D318" s="5" t="s">
        <v>16</v>
      </c>
      <c r="E318" s="5" t="n">
        <f aca="false">ROUND(16523*1.05,2)</f>
        <v>17349.15</v>
      </c>
      <c r="F318" s="5" t="s">
        <v>17</v>
      </c>
      <c r="G318" s="5" t="s">
        <v>18</v>
      </c>
      <c r="H318" s="5" t="n">
        <f aca="true">ROUND(RAND()*4+6,1)</f>
        <v>7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5697</v>
      </c>
      <c r="B319" s="6" t="s">
        <v>514</v>
      </c>
      <c r="C319" s="6" t="s">
        <v>133</v>
      </c>
      <c r="D319" s="6" t="s">
        <v>22</v>
      </c>
      <c r="E319" s="6" t="n">
        <f aca="false">ROUND(13623*1.05,2)</f>
        <v>14304.15</v>
      </c>
      <c r="F319" s="6" t="s">
        <v>23</v>
      </c>
      <c r="G319" s="6" t="s">
        <v>24</v>
      </c>
      <c r="H319" s="6" t="n">
        <f aca="true">ROUND(RAND()*4+6,1)</f>
        <v>7.5</v>
      </c>
      <c r="I319" s="6" t="s">
        <v>25</v>
      </c>
      <c r="J319" s="6" t="str">
        <f aca="false">ROUND(99*1,0)&amp;"%"</f>
        <v>99%</v>
      </c>
    </row>
    <row r="320" customFormat="false" ht="15" hidden="false" customHeight="false" outlineLevel="0" collapsed="false">
      <c r="A320" s="5" t="s">
        <v>5698</v>
      </c>
      <c r="B320" s="5" t="s">
        <v>516</v>
      </c>
      <c r="C320" s="5" t="s">
        <v>133</v>
      </c>
      <c r="D320" s="5" t="s">
        <v>28</v>
      </c>
      <c r="E320" s="5" t="n">
        <f aca="false">ROUND(12729*1.05,2)</f>
        <v>13365.45</v>
      </c>
      <c r="F320" s="5" t="s">
        <v>29</v>
      </c>
      <c r="G320" s="5" t="s">
        <v>30</v>
      </c>
      <c r="H320" s="5" t="n">
        <f aca="true">ROUND(RAND()*4+6,1)</f>
        <v>7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5699</v>
      </c>
      <c r="B321" s="6" t="s">
        <v>518</v>
      </c>
      <c r="C321" s="6" t="s">
        <v>133</v>
      </c>
      <c r="D321" s="6" t="s">
        <v>34</v>
      </c>
      <c r="E321" s="6" t="n">
        <f aca="false">ROUND(15087*1.05,2)</f>
        <v>15841.35</v>
      </c>
      <c r="F321" s="6" t="s">
        <v>35</v>
      </c>
      <c r="G321" s="6" t="s">
        <v>18</v>
      </c>
      <c r="H321" s="6" t="n">
        <f aca="true">ROUND(RAND()*4+6,1)</f>
        <v>6.5</v>
      </c>
      <c r="I321" s="6" t="s">
        <v>36</v>
      </c>
      <c r="J321" s="6" t="str">
        <f aca="false">ROUND(99*1,0)&amp;"%"</f>
        <v>99%</v>
      </c>
    </row>
    <row r="322" customFormat="false" ht="15" hidden="false" customHeight="false" outlineLevel="0" collapsed="false">
      <c r="A322" s="5" t="s">
        <v>5700</v>
      </c>
      <c r="B322" s="5" t="s">
        <v>520</v>
      </c>
      <c r="C322" s="5" t="s">
        <v>133</v>
      </c>
      <c r="D322" s="5" t="s">
        <v>39</v>
      </c>
      <c r="E322" s="5" t="n">
        <f aca="false">ROUND(9888*1.05,2)</f>
        <v>10382.4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ROUND(66*1,0)&amp;"%"</f>
        <v>66%</v>
      </c>
    </row>
    <row r="323" customFormat="false" ht="15" hidden="false" customHeight="false" outlineLevel="0" collapsed="false">
      <c r="A323" s="6" t="s">
        <v>5701</v>
      </c>
      <c r="B323" s="6" t="s">
        <v>522</v>
      </c>
      <c r="C323" s="6" t="s">
        <v>133</v>
      </c>
      <c r="D323" s="6" t="s">
        <v>44</v>
      </c>
      <c r="E323" s="6" t="n">
        <f aca="false">ROUND(11357*1.05,2)</f>
        <v>11924.85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ROUND(100*1,0)&amp;"%"</f>
        <v>100%</v>
      </c>
    </row>
    <row r="324" customFormat="false" ht="15" hidden="false" customHeight="false" outlineLevel="0" collapsed="false">
      <c r="A324" s="5" t="s">
        <v>5702</v>
      </c>
      <c r="B324" s="5" t="s">
        <v>524</v>
      </c>
      <c r="C324" s="5" t="s">
        <v>133</v>
      </c>
      <c r="D324" s="5" t="s">
        <v>16</v>
      </c>
      <c r="E324" s="5" t="n">
        <f aca="false">ROUND(14171*1.05,2)</f>
        <v>14879.55</v>
      </c>
      <c r="F324" s="5" t="s">
        <v>49</v>
      </c>
      <c r="G324" s="5" t="s">
        <v>18</v>
      </c>
      <c r="H324" s="5" t="n">
        <f aca="true">ROUND(RAND()*4+6,1)</f>
        <v>8.9</v>
      </c>
      <c r="I324" s="5" t="s">
        <v>19</v>
      </c>
      <c r="J324" s="5" t="str">
        <f aca="false">ROUND(74*1,0)&amp;"%"</f>
        <v>74%</v>
      </c>
    </row>
    <row r="325" customFormat="false" ht="15" hidden="false" customHeight="false" outlineLevel="0" collapsed="false">
      <c r="A325" s="6" t="s">
        <v>5703</v>
      </c>
      <c r="B325" s="6" t="s">
        <v>526</v>
      </c>
      <c r="C325" s="6" t="s">
        <v>133</v>
      </c>
      <c r="D325" s="6" t="s">
        <v>22</v>
      </c>
      <c r="E325" s="6" t="n">
        <f aca="false">ROUND(15501*1.05,2)</f>
        <v>16276.05</v>
      </c>
      <c r="F325" s="6" t="s">
        <v>52</v>
      </c>
      <c r="G325" s="6" t="s">
        <v>24</v>
      </c>
      <c r="H325" s="6" t="n">
        <f aca="true">ROUND(RAND()*4+6,1)</f>
        <v>8.4</v>
      </c>
      <c r="I325" s="6" t="s">
        <v>25</v>
      </c>
      <c r="J325" s="6" t="str">
        <f aca="false">ROUND(98*1,0)&amp;"%"</f>
        <v>98%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5704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5705</v>
      </c>
      <c r="B330" s="5" t="s">
        <v>530</v>
      </c>
      <c r="C330" s="5" t="s">
        <v>152</v>
      </c>
      <c r="D330" s="5" t="s">
        <v>16</v>
      </c>
      <c r="E330" s="5" t="n">
        <f aca="false">ROUND(14127*1.05,2)</f>
        <v>14833.35</v>
      </c>
      <c r="F330" s="5" t="s">
        <v>17</v>
      </c>
      <c r="G330" s="5" t="s">
        <v>18</v>
      </c>
      <c r="H330" s="5" t="n">
        <f aca="true">ROUND(RAND()*4+6,1)</f>
        <v>6</v>
      </c>
      <c r="I330" s="5" t="s">
        <v>19</v>
      </c>
      <c r="J330" s="5" t="str">
        <f aca="false">ROUND(72*1,0)&amp;"%"</f>
        <v>72%</v>
      </c>
    </row>
    <row r="331" customFormat="false" ht="15" hidden="false" customHeight="false" outlineLevel="0" collapsed="false">
      <c r="A331" s="6" t="s">
        <v>5706</v>
      </c>
      <c r="B331" s="6" t="s">
        <v>532</v>
      </c>
      <c r="C331" s="6" t="s">
        <v>152</v>
      </c>
      <c r="D331" s="6" t="s">
        <v>22</v>
      </c>
      <c r="E331" s="6" t="n">
        <f aca="false">ROUND(17042*1.05,2)</f>
        <v>17894.1</v>
      </c>
      <c r="F331" s="6" t="s">
        <v>23</v>
      </c>
      <c r="G331" s="6" t="s">
        <v>24</v>
      </c>
      <c r="H331" s="6" t="n">
        <f aca="true">ROUND(RAND()*4+6,1)</f>
        <v>9.3</v>
      </c>
      <c r="I331" s="6" t="s">
        <v>25</v>
      </c>
      <c r="J331" s="6" t="str">
        <f aca="false">ROUND(76*1,0)&amp;"%"</f>
        <v>76%</v>
      </c>
    </row>
    <row r="332" customFormat="false" ht="15" hidden="false" customHeight="false" outlineLevel="0" collapsed="false">
      <c r="A332" s="5" t="s">
        <v>5707</v>
      </c>
      <c r="B332" s="5" t="s">
        <v>534</v>
      </c>
      <c r="C332" s="5" t="s">
        <v>152</v>
      </c>
      <c r="D332" s="5" t="s">
        <v>28</v>
      </c>
      <c r="E332" s="5" t="n">
        <f aca="false">ROUND(5079*1.05,2)</f>
        <v>5332.95</v>
      </c>
      <c r="F332" s="5" t="s">
        <v>29</v>
      </c>
      <c r="G332" s="5" t="s">
        <v>30</v>
      </c>
      <c r="H332" s="5" t="n">
        <f aca="true">ROUND(RAND()*4+6,1)</f>
        <v>7</v>
      </c>
      <c r="I332" s="5" t="s">
        <v>31</v>
      </c>
      <c r="J332" s="5" t="str">
        <f aca="false">ROUND(93*1,0)&amp;"%"</f>
        <v>93%</v>
      </c>
    </row>
    <row r="333" customFormat="false" ht="15" hidden="false" customHeight="false" outlineLevel="0" collapsed="false">
      <c r="A333" s="6" t="s">
        <v>5708</v>
      </c>
      <c r="B333" s="6" t="s">
        <v>536</v>
      </c>
      <c r="C333" s="6" t="s">
        <v>152</v>
      </c>
      <c r="D333" s="6" t="s">
        <v>34</v>
      </c>
      <c r="E333" s="6" t="n">
        <f aca="false">ROUND(14393*1.05,2)</f>
        <v>15112.65</v>
      </c>
      <c r="F333" s="6" t="s">
        <v>35</v>
      </c>
      <c r="G333" s="6" t="s">
        <v>18</v>
      </c>
      <c r="H333" s="6" t="n">
        <f aca="true">ROUND(RAND()*4+6,1)</f>
        <v>7.5</v>
      </c>
      <c r="I333" s="6" t="s">
        <v>36</v>
      </c>
      <c r="J333" s="6" t="str">
        <f aca="false">ROUND(69*1,0)&amp;"%"</f>
        <v>69%</v>
      </c>
    </row>
    <row r="334" customFormat="false" ht="15" hidden="false" customHeight="false" outlineLevel="0" collapsed="false">
      <c r="A334" s="5" t="s">
        <v>5709</v>
      </c>
      <c r="B334" s="5" t="s">
        <v>538</v>
      </c>
      <c r="C334" s="5" t="s">
        <v>152</v>
      </c>
      <c r="D334" s="5" t="s">
        <v>39</v>
      </c>
      <c r="E334" s="5" t="n">
        <f aca="false">ROUND(8092*1.05,2)</f>
        <v>8496.6</v>
      </c>
      <c r="F334" s="5" t="s">
        <v>40</v>
      </c>
      <c r="G334" s="5" t="s">
        <v>24</v>
      </c>
      <c r="H334" s="5" t="n">
        <f aca="true">ROUND(RAND()*4+6,1)</f>
        <v>6.8</v>
      </c>
      <c r="I334" s="5" t="s">
        <v>41</v>
      </c>
      <c r="J334" s="5" t="str">
        <f aca="false">ROUND(73*1,0)&amp;"%"</f>
        <v>73%</v>
      </c>
    </row>
    <row r="335" customFormat="false" ht="15" hidden="false" customHeight="false" outlineLevel="0" collapsed="false">
      <c r="A335" s="6" t="s">
        <v>5710</v>
      </c>
      <c r="B335" s="6" t="s">
        <v>540</v>
      </c>
      <c r="C335" s="6" t="s">
        <v>152</v>
      </c>
      <c r="D335" s="6" t="s">
        <v>44</v>
      </c>
      <c r="E335" s="6" t="n">
        <f aca="false">ROUND(16208*1.05,2)</f>
        <v>17018.4</v>
      </c>
      <c r="F335" s="6" t="s">
        <v>45</v>
      </c>
      <c r="G335" s="6" t="s">
        <v>30</v>
      </c>
      <c r="H335" s="6" t="n">
        <f aca="true">ROUND(RAND()*4+6,1)</f>
        <v>8.4</v>
      </c>
      <c r="I335" s="6" t="s">
        <v>46</v>
      </c>
      <c r="J335" s="6" t="str">
        <f aca="false">ROUND(74*1,0)&amp;"%"</f>
        <v>74%</v>
      </c>
    </row>
    <row r="336" customFormat="false" ht="15" hidden="false" customHeight="false" outlineLevel="0" collapsed="false">
      <c r="A336" s="5" t="s">
        <v>5711</v>
      </c>
      <c r="B336" s="5" t="s">
        <v>542</v>
      </c>
      <c r="C336" s="5" t="s">
        <v>152</v>
      </c>
      <c r="D336" s="5" t="s">
        <v>16</v>
      </c>
      <c r="E336" s="5" t="n">
        <f aca="false">ROUND(8884*1.05,2)</f>
        <v>9328.2</v>
      </c>
      <c r="F336" s="5" t="s">
        <v>49</v>
      </c>
      <c r="G336" s="5" t="s">
        <v>18</v>
      </c>
      <c r="H336" s="5" t="n">
        <f aca="true">ROUND(RAND()*4+6,1)</f>
        <v>9</v>
      </c>
      <c r="I336" s="5" t="s">
        <v>19</v>
      </c>
      <c r="J336" s="5" t="str">
        <f aca="false">ROUND(83*1,0)&amp;"%"</f>
        <v>83%</v>
      </c>
    </row>
    <row r="337" customFormat="false" ht="15" hidden="false" customHeight="false" outlineLevel="0" collapsed="false">
      <c r="A337" s="6" t="s">
        <v>5712</v>
      </c>
      <c r="B337" s="6" t="s">
        <v>544</v>
      </c>
      <c r="C337" s="6" t="s">
        <v>152</v>
      </c>
      <c r="D337" s="6" t="s">
        <v>22</v>
      </c>
      <c r="E337" s="6" t="n">
        <f aca="false">ROUND(14688*1.05,2)</f>
        <v>15422.4</v>
      </c>
      <c r="F337" s="6" t="s">
        <v>52</v>
      </c>
      <c r="G337" s="6" t="s">
        <v>24</v>
      </c>
      <c r="H337" s="6" t="n">
        <f aca="true">ROUND(RAND()*4+6,1)</f>
        <v>8.2</v>
      </c>
      <c r="I337" s="6" t="s">
        <v>25</v>
      </c>
      <c r="J337" s="6" t="str">
        <f aca="false">ROUND(71*1,0)&amp;"%"</f>
        <v>71%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5713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5714</v>
      </c>
      <c r="B342" s="5" t="s">
        <v>548</v>
      </c>
      <c r="C342" s="5" t="s">
        <v>15</v>
      </c>
      <c r="D342" s="5" t="s">
        <v>16</v>
      </c>
      <c r="E342" s="5" t="n">
        <f aca="false">ROUND(4286*1.05,2)</f>
        <v>4500.3</v>
      </c>
      <c r="F342" s="5" t="s">
        <v>17</v>
      </c>
      <c r="G342" s="5" t="s">
        <v>18</v>
      </c>
      <c r="H342" s="5" t="n">
        <f aca="true">ROUND(RAND()*4+6,1)</f>
        <v>8</v>
      </c>
      <c r="I342" s="5" t="s">
        <v>19</v>
      </c>
      <c r="J342" s="5" t="str">
        <f aca="false">ROUND(60*1,0)&amp;"%"</f>
        <v>60%</v>
      </c>
    </row>
    <row r="343" customFormat="false" ht="15" hidden="false" customHeight="false" outlineLevel="0" collapsed="false">
      <c r="A343" s="6" t="s">
        <v>5715</v>
      </c>
      <c r="B343" s="6" t="s">
        <v>550</v>
      </c>
      <c r="C343" s="6" t="s">
        <v>15</v>
      </c>
      <c r="D343" s="6" t="s">
        <v>22</v>
      </c>
      <c r="E343" s="6" t="n">
        <f aca="false">ROUND(13204*1.05,2)</f>
        <v>13864.2</v>
      </c>
      <c r="F343" s="6" t="s">
        <v>23</v>
      </c>
      <c r="G343" s="6" t="s">
        <v>24</v>
      </c>
      <c r="H343" s="6" t="n">
        <f aca="true">ROUND(RAND()*4+6,1)</f>
        <v>8.7</v>
      </c>
      <c r="I343" s="6" t="s">
        <v>25</v>
      </c>
      <c r="J343" s="6" t="str">
        <f aca="false">ROUND(95*1,0)&amp;"%"</f>
        <v>95%</v>
      </c>
    </row>
    <row r="344" customFormat="false" ht="15" hidden="false" customHeight="false" outlineLevel="0" collapsed="false">
      <c r="A344" s="5" t="s">
        <v>5716</v>
      </c>
      <c r="B344" s="5" t="s">
        <v>552</v>
      </c>
      <c r="C344" s="5" t="s">
        <v>15</v>
      </c>
      <c r="D344" s="5" t="s">
        <v>28</v>
      </c>
      <c r="E344" s="5" t="n">
        <f aca="false">ROUND(7073*1.05,2)</f>
        <v>7426.65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ROUND(66*1,0)&amp;"%"</f>
        <v>66%</v>
      </c>
    </row>
    <row r="345" customFormat="false" ht="15" hidden="false" customHeight="false" outlineLevel="0" collapsed="false">
      <c r="A345" s="6" t="s">
        <v>5717</v>
      </c>
      <c r="B345" s="6" t="s">
        <v>554</v>
      </c>
      <c r="C345" s="6" t="s">
        <v>15</v>
      </c>
      <c r="D345" s="6" t="s">
        <v>34</v>
      </c>
      <c r="E345" s="6" t="n">
        <f aca="false">ROUND(13346*1.05,2)</f>
        <v>14013.3</v>
      </c>
      <c r="F345" s="6" t="s">
        <v>35</v>
      </c>
      <c r="G345" s="6" t="s">
        <v>18</v>
      </c>
      <c r="H345" s="6" t="n">
        <f aca="true">ROUND(RAND()*4+6,1)</f>
        <v>7.5</v>
      </c>
      <c r="I345" s="6" t="s">
        <v>36</v>
      </c>
      <c r="J345" s="6" t="str">
        <f aca="false">ROUND(69*1,0)&amp;"%"</f>
        <v>69%</v>
      </c>
    </row>
    <row r="346" customFormat="false" ht="15" hidden="false" customHeight="false" outlineLevel="0" collapsed="false">
      <c r="A346" s="5" t="s">
        <v>5718</v>
      </c>
      <c r="B346" s="5" t="s">
        <v>556</v>
      </c>
      <c r="C346" s="5" t="s">
        <v>15</v>
      </c>
      <c r="D346" s="5" t="s">
        <v>39</v>
      </c>
      <c r="E346" s="5" t="n">
        <f aca="false">ROUND(4526*1.05,2)</f>
        <v>4752.3</v>
      </c>
      <c r="F346" s="5" t="s">
        <v>40</v>
      </c>
      <c r="G346" s="5" t="s">
        <v>24</v>
      </c>
      <c r="H346" s="5" t="n">
        <f aca="true">ROUND(RAND()*4+6,1)</f>
        <v>9.2</v>
      </c>
      <c r="I346" s="5" t="s">
        <v>41</v>
      </c>
      <c r="J346" s="5" t="str">
        <f aca="false">ROUND(64*1,0)&amp;"%"</f>
        <v>64%</v>
      </c>
    </row>
    <row r="347" customFormat="false" ht="15" hidden="false" customHeight="false" outlineLevel="0" collapsed="false">
      <c r="A347" s="6" t="s">
        <v>5719</v>
      </c>
      <c r="B347" s="6" t="s">
        <v>558</v>
      </c>
      <c r="C347" s="6" t="s">
        <v>15</v>
      </c>
      <c r="D347" s="6" t="s">
        <v>44</v>
      </c>
      <c r="E347" s="6" t="n">
        <f aca="false">ROUND(12470*1.05,2)</f>
        <v>13093.5</v>
      </c>
      <c r="F347" s="6" t="s">
        <v>45</v>
      </c>
      <c r="G347" s="6" t="s">
        <v>30</v>
      </c>
      <c r="H347" s="6" t="n">
        <f aca="true">ROUND(RAND()*4+6,1)</f>
        <v>9.6</v>
      </c>
      <c r="I347" s="6" t="s">
        <v>46</v>
      </c>
      <c r="J347" s="6" t="str">
        <f aca="false">ROUND(95*1,0)&amp;"%"</f>
        <v>95%</v>
      </c>
    </row>
    <row r="348" customFormat="false" ht="15" hidden="false" customHeight="false" outlineLevel="0" collapsed="false">
      <c r="A348" s="5" t="s">
        <v>5720</v>
      </c>
      <c r="B348" s="5" t="s">
        <v>560</v>
      </c>
      <c r="C348" s="5" t="s">
        <v>15</v>
      </c>
      <c r="D348" s="5" t="s">
        <v>16</v>
      </c>
      <c r="E348" s="5" t="n">
        <f aca="false">ROUND(16176*1.05,2)</f>
        <v>16984.8</v>
      </c>
      <c r="F348" s="5" t="s">
        <v>49</v>
      </c>
      <c r="G348" s="5" t="s">
        <v>18</v>
      </c>
      <c r="H348" s="5" t="n">
        <f aca="true">ROUND(RAND()*4+6,1)</f>
        <v>8</v>
      </c>
      <c r="I348" s="5" t="s">
        <v>19</v>
      </c>
      <c r="J348" s="5" t="str">
        <f aca="false">ROUND(66*1,0)&amp;"%"</f>
        <v>66%</v>
      </c>
    </row>
    <row r="349" customFormat="false" ht="15" hidden="false" customHeight="false" outlineLevel="0" collapsed="false">
      <c r="A349" s="6" t="s">
        <v>5721</v>
      </c>
      <c r="B349" s="6" t="s">
        <v>562</v>
      </c>
      <c r="C349" s="6" t="s">
        <v>15</v>
      </c>
      <c r="D349" s="6" t="s">
        <v>22</v>
      </c>
      <c r="E349" s="6" t="n">
        <f aca="false">ROUND(10328*1.05,2)</f>
        <v>10844.4</v>
      </c>
      <c r="F349" s="6" t="s">
        <v>52</v>
      </c>
      <c r="G349" s="6" t="s">
        <v>24</v>
      </c>
      <c r="H349" s="6" t="n">
        <f aca="true">ROUND(RAND()*4+6,1)</f>
        <v>7.1</v>
      </c>
      <c r="I349" s="6" t="s">
        <v>25</v>
      </c>
      <c r="J349" s="6" t="str">
        <f aca="false">ROUND(86*1,0)&amp;"%"</f>
        <v>86%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5722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5723</v>
      </c>
      <c r="B354" s="5" t="s">
        <v>566</v>
      </c>
      <c r="C354" s="5" t="s">
        <v>57</v>
      </c>
      <c r="D354" s="5" t="s">
        <v>16</v>
      </c>
      <c r="E354" s="5" t="n">
        <f aca="false">ROUND(7276*1.05,2)</f>
        <v>7639.8</v>
      </c>
      <c r="F354" s="5" t="s">
        <v>17</v>
      </c>
      <c r="G354" s="5" t="s">
        <v>18</v>
      </c>
      <c r="H354" s="5" t="n">
        <f aca="true">ROUND(RAND()*4+6,1)</f>
        <v>6.1</v>
      </c>
      <c r="I354" s="5" t="s">
        <v>19</v>
      </c>
      <c r="J354" s="5" t="str">
        <f aca="false">ROUND(78*1,0)&amp;"%"</f>
        <v>78%</v>
      </c>
    </row>
    <row r="355" customFormat="false" ht="15" hidden="false" customHeight="false" outlineLevel="0" collapsed="false">
      <c r="A355" s="6" t="s">
        <v>5724</v>
      </c>
      <c r="B355" s="6" t="s">
        <v>568</v>
      </c>
      <c r="C355" s="6" t="s">
        <v>57</v>
      </c>
      <c r="D355" s="6" t="s">
        <v>22</v>
      </c>
      <c r="E355" s="6" t="n">
        <f aca="false">ROUND(6117*1.05,2)</f>
        <v>6422.85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ROUND(73*1,0)&amp;"%"</f>
        <v>73%</v>
      </c>
    </row>
    <row r="356" customFormat="false" ht="15" hidden="false" customHeight="false" outlineLevel="0" collapsed="false">
      <c r="A356" s="5" t="s">
        <v>5725</v>
      </c>
      <c r="B356" s="5" t="s">
        <v>570</v>
      </c>
      <c r="C356" s="5" t="s">
        <v>57</v>
      </c>
      <c r="D356" s="5" t="s">
        <v>28</v>
      </c>
      <c r="E356" s="5" t="n">
        <f aca="false">ROUND(6040*1.05,2)</f>
        <v>6342</v>
      </c>
      <c r="F356" s="5" t="s">
        <v>29</v>
      </c>
      <c r="G356" s="5" t="s">
        <v>30</v>
      </c>
      <c r="H356" s="5" t="n">
        <f aca="true">ROUND(RAND()*4+6,1)</f>
        <v>7.4</v>
      </c>
      <c r="I356" s="5" t="s">
        <v>31</v>
      </c>
      <c r="J356" s="5" t="str">
        <f aca="false">ROUND(71*1,0)&amp;"%"</f>
        <v>71%</v>
      </c>
    </row>
    <row r="357" customFormat="false" ht="15" hidden="false" customHeight="false" outlineLevel="0" collapsed="false">
      <c r="A357" s="6" t="s">
        <v>5726</v>
      </c>
      <c r="B357" s="6" t="s">
        <v>572</v>
      </c>
      <c r="C357" s="6" t="s">
        <v>57</v>
      </c>
      <c r="D357" s="6" t="s">
        <v>34</v>
      </c>
      <c r="E357" s="6" t="n">
        <f aca="false">ROUND(9821*1.05,2)</f>
        <v>10312.05</v>
      </c>
      <c r="F357" s="6" t="s">
        <v>35</v>
      </c>
      <c r="G357" s="6" t="s">
        <v>18</v>
      </c>
      <c r="H357" s="6" t="n">
        <f aca="true">ROUND(RAND()*4+6,1)</f>
        <v>10</v>
      </c>
      <c r="I357" s="6" t="s">
        <v>36</v>
      </c>
      <c r="J357" s="6" t="str">
        <f aca="false">ROUND(91*1,0)&amp;"%"</f>
        <v>91%</v>
      </c>
    </row>
    <row r="358" customFormat="false" ht="15" hidden="false" customHeight="false" outlineLevel="0" collapsed="false">
      <c r="A358" s="5" t="s">
        <v>5727</v>
      </c>
      <c r="B358" s="5" t="s">
        <v>574</v>
      </c>
      <c r="C358" s="5" t="s">
        <v>57</v>
      </c>
      <c r="D358" s="5" t="s">
        <v>39</v>
      </c>
      <c r="E358" s="5" t="n">
        <f aca="false">ROUND(15358*1.05,2)</f>
        <v>16125.9</v>
      </c>
      <c r="F358" s="5" t="s">
        <v>40</v>
      </c>
      <c r="G358" s="5" t="s">
        <v>24</v>
      </c>
      <c r="H358" s="5" t="n">
        <f aca="true">ROUND(RAND()*4+6,1)</f>
        <v>6.7</v>
      </c>
      <c r="I358" s="5" t="s">
        <v>41</v>
      </c>
      <c r="J358" s="5" t="str">
        <f aca="false">ROUND(84*1,0)&amp;"%"</f>
        <v>84%</v>
      </c>
    </row>
    <row r="359" customFormat="false" ht="15" hidden="false" customHeight="false" outlineLevel="0" collapsed="false">
      <c r="A359" s="6" t="s">
        <v>5728</v>
      </c>
      <c r="B359" s="6" t="s">
        <v>576</v>
      </c>
      <c r="C359" s="6" t="s">
        <v>57</v>
      </c>
      <c r="D359" s="6" t="s">
        <v>44</v>
      </c>
      <c r="E359" s="6" t="n">
        <f aca="false">ROUND(16818*1.05,2)</f>
        <v>17658.9</v>
      </c>
      <c r="F359" s="6" t="s">
        <v>45</v>
      </c>
      <c r="G359" s="6" t="s">
        <v>30</v>
      </c>
      <c r="H359" s="6" t="n">
        <f aca="true">ROUND(RAND()*4+6,1)</f>
        <v>6.1</v>
      </c>
      <c r="I359" s="6" t="s">
        <v>46</v>
      </c>
      <c r="J359" s="6" t="str">
        <f aca="false">ROUND(100*1,0)&amp;"%"</f>
        <v>100%</v>
      </c>
    </row>
    <row r="360" customFormat="false" ht="15" hidden="false" customHeight="false" outlineLevel="0" collapsed="false">
      <c r="A360" s="5" t="s">
        <v>5729</v>
      </c>
      <c r="B360" s="5" t="s">
        <v>578</v>
      </c>
      <c r="C360" s="5" t="s">
        <v>57</v>
      </c>
      <c r="D360" s="5" t="s">
        <v>16</v>
      </c>
      <c r="E360" s="5" t="n">
        <f aca="false">ROUND(16822*1.05,2)</f>
        <v>17663.1</v>
      </c>
      <c r="F360" s="5" t="s">
        <v>49</v>
      </c>
      <c r="G360" s="5" t="s">
        <v>18</v>
      </c>
      <c r="H360" s="5" t="n">
        <f aca="true">ROUND(RAND()*4+6,1)</f>
        <v>8.5</v>
      </c>
      <c r="I360" s="5" t="s">
        <v>19</v>
      </c>
      <c r="J360" s="5" t="str">
        <f aca="false">ROUND(95*1,0)&amp;"%"</f>
        <v>95%</v>
      </c>
    </row>
    <row r="361" customFormat="false" ht="15" hidden="false" customHeight="false" outlineLevel="0" collapsed="false">
      <c r="A361" s="6" t="s">
        <v>5730</v>
      </c>
      <c r="B361" s="6" t="s">
        <v>580</v>
      </c>
      <c r="C361" s="6" t="s">
        <v>57</v>
      </c>
      <c r="D361" s="6" t="s">
        <v>22</v>
      </c>
      <c r="E361" s="6" t="n">
        <f aca="false">ROUND(15415*1.05,2)</f>
        <v>16185.75</v>
      </c>
      <c r="F361" s="6" t="s">
        <v>52</v>
      </c>
      <c r="G361" s="6" t="s">
        <v>24</v>
      </c>
      <c r="H361" s="6" t="n">
        <f aca="true">ROUND(RAND()*4+6,1)</f>
        <v>9</v>
      </c>
      <c r="I361" s="6" t="s">
        <v>25</v>
      </c>
      <c r="J361" s="6" t="str">
        <f aca="false">ROUND(84*1,0)&amp;"%"</f>
        <v>84%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5731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5732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5733</v>
      </c>
      <c r="B6" s="5" t="s">
        <v>14</v>
      </c>
      <c r="C6" s="5" t="s">
        <v>15</v>
      </c>
      <c r="D6" s="5" t="s">
        <v>16</v>
      </c>
      <c r="E6" s="5" t="n">
        <f aca="false">ROUND(14906*1.05,2)</f>
        <v>15651.3</v>
      </c>
      <c r="F6" s="5" t="s">
        <v>17</v>
      </c>
      <c r="G6" s="5" t="s">
        <v>18</v>
      </c>
      <c r="H6" s="5" t="n">
        <f aca="true">ROUND(RAND()*4+6,1)</f>
        <v>9.6</v>
      </c>
      <c r="I6" s="5" t="s">
        <v>19</v>
      </c>
      <c r="J6" s="5" t="str">
        <f aca="false">ROUND(66*1,0)&amp;"%"</f>
        <v>66%</v>
      </c>
    </row>
    <row r="7" customFormat="false" ht="15" hidden="false" customHeight="false" outlineLevel="0" collapsed="false">
      <c r="A7" s="6" t="s">
        <v>5734</v>
      </c>
      <c r="B7" s="6" t="s">
        <v>21</v>
      </c>
      <c r="C7" s="6" t="s">
        <v>15</v>
      </c>
      <c r="D7" s="6" t="s">
        <v>22</v>
      </c>
      <c r="E7" s="6" t="n">
        <f aca="false">ROUND(11877*1.05,2)</f>
        <v>12470.85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ROUND(61*1,0)&amp;"%"</f>
        <v>61%</v>
      </c>
    </row>
    <row r="8" customFormat="false" ht="15" hidden="false" customHeight="false" outlineLevel="0" collapsed="false">
      <c r="A8" s="5" t="s">
        <v>5735</v>
      </c>
      <c r="B8" s="5" t="s">
        <v>27</v>
      </c>
      <c r="C8" s="5" t="s">
        <v>15</v>
      </c>
      <c r="D8" s="5" t="s">
        <v>28</v>
      </c>
      <c r="E8" s="5" t="n">
        <f aca="false">ROUND(12493*1.05,2)</f>
        <v>13117.65</v>
      </c>
      <c r="F8" s="5" t="s">
        <v>29</v>
      </c>
      <c r="G8" s="5" t="s">
        <v>30</v>
      </c>
      <c r="H8" s="5" t="n">
        <f aca="true">ROUND(RAND()*4+6,1)</f>
        <v>9.6</v>
      </c>
      <c r="I8" s="5" t="s">
        <v>31</v>
      </c>
      <c r="J8" s="5" t="str">
        <f aca="false">ROUND(75*1,0)&amp;"%"</f>
        <v>75%</v>
      </c>
    </row>
    <row r="9" customFormat="false" ht="15" hidden="false" customHeight="false" outlineLevel="0" collapsed="false">
      <c r="A9" s="6" t="s">
        <v>5736</v>
      </c>
      <c r="B9" s="6" t="s">
        <v>33</v>
      </c>
      <c r="C9" s="6" t="s">
        <v>15</v>
      </c>
      <c r="D9" s="6" t="s">
        <v>34</v>
      </c>
      <c r="E9" s="6" t="n">
        <f aca="false">ROUND(5439*1.05,2)</f>
        <v>5710.95</v>
      </c>
      <c r="F9" s="6" t="s">
        <v>35</v>
      </c>
      <c r="G9" s="6" t="s">
        <v>18</v>
      </c>
      <c r="H9" s="6" t="n">
        <f aca="true">ROUND(RAND()*4+6,1)</f>
        <v>6.9</v>
      </c>
      <c r="I9" s="6" t="s">
        <v>36</v>
      </c>
      <c r="J9" s="6" t="str">
        <f aca="false">ROUND(76*1,0)&amp;"%"</f>
        <v>76%</v>
      </c>
    </row>
    <row r="10" customFormat="false" ht="15" hidden="false" customHeight="false" outlineLevel="0" collapsed="false">
      <c r="A10" s="5" t="s">
        <v>5737</v>
      </c>
      <c r="B10" s="5" t="s">
        <v>38</v>
      </c>
      <c r="C10" s="5" t="s">
        <v>15</v>
      </c>
      <c r="D10" s="5" t="s">
        <v>39</v>
      </c>
      <c r="E10" s="5" t="n">
        <f aca="false">ROUND(15625*1.05,2)</f>
        <v>16406.25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ROUND(93*1,0)&amp;"%"</f>
        <v>93%</v>
      </c>
    </row>
    <row r="11" customFormat="false" ht="15" hidden="false" customHeight="false" outlineLevel="0" collapsed="false">
      <c r="A11" s="6" t="s">
        <v>5738</v>
      </c>
      <c r="B11" s="6" t="s">
        <v>43</v>
      </c>
      <c r="C11" s="6" t="s">
        <v>15</v>
      </c>
      <c r="D11" s="6" t="s">
        <v>44</v>
      </c>
      <c r="E11" s="6" t="n">
        <f aca="false">ROUND(5360*1.05,2)</f>
        <v>5628</v>
      </c>
      <c r="F11" s="6" t="s">
        <v>45</v>
      </c>
      <c r="G11" s="6" t="s">
        <v>30</v>
      </c>
      <c r="H11" s="6" t="n">
        <f aca="true">ROUND(RAND()*4+6,1)</f>
        <v>9.5</v>
      </c>
      <c r="I11" s="6" t="s">
        <v>46</v>
      </c>
      <c r="J11" s="6" t="str">
        <f aca="false">ROUND(67*1,0)&amp;"%"</f>
        <v>67%</v>
      </c>
    </row>
    <row r="12" customFormat="false" ht="15" hidden="false" customHeight="false" outlineLevel="0" collapsed="false">
      <c r="A12" s="5" t="s">
        <v>5739</v>
      </c>
      <c r="B12" s="5" t="s">
        <v>48</v>
      </c>
      <c r="C12" s="5" t="s">
        <v>15</v>
      </c>
      <c r="D12" s="5" t="s">
        <v>16</v>
      </c>
      <c r="E12" s="5" t="n">
        <f aca="false">ROUND(10194*1.05,2)</f>
        <v>10703.7</v>
      </c>
      <c r="F12" s="5" t="s">
        <v>49</v>
      </c>
      <c r="G12" s="5" t="s">
        <v>18</v>
      </c>
      <c r="H12" s="5" t="n">
        <f aca="true">ROUND(RAND()*4+6,1)</f>
        <v>6.5</v>
      </c>
      <c r="I12" s="5" t="s">
        <v>19</v>
      </c>
      <c r="J12" s="5" t="str">
        <f aca="false">ROUND(74*1,0)&amp;"%"</f>
        <v>74%</v>
      </c>
    </row>
    <row r="13" customFormat="false" ht="15" hidden="false" customHeight="false" outlineLevel="0" collapsed="false">
      <c r="A13" s="6" t="s">
        <v>5740</v>
      </c>
      <c r="B13" s="6" t="s">
        <v>51</v>
      </c>
      <c r="C13" s="6" t="s">
        <v>15</v>
      </c>
      <c r="D13" s="6" t="s">
        <v>22</v>
      </c>
      <c r="E13" s="6" t="n">
        <f aca="false">ROUND(7993*1.05,2)</f>
        <v>8392.65</v>
      </c>
      <c r="F13" s="6" t="s">
        <v>52</v>
      </c>
      <c r="G13" s="6" t="s">
        <v>24</v>
      </c>
      <c r="H13" s="6" t="n">
        <f aca="true">ROUND(RAND()*4+6,1)</f>
        <v>7</v>
      </c>
      <c r="I13" s="6" t="s">
        <v>25</v>
      </c>
      <c r="J13" s="6" t="str">
        <f aca="false">ROUND(72*1,0)&amp;"%"</f>
        <v>72%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5741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5742</v>
      </c>
      <c r="B18" s="5" t="s">
        <v>56</v>
      </c>
      <c r="C18" s="5" t="s">
        <v>57</v>
      </c>
      <c r="D18" s="5" t="s">
        <v>16</v>
      </c>
      <c r="E18" s="5" t="n">
        <f aca="false">ROUND(11526*1.05,2)</f>
        <v>12102.3</v>
      </c>
      <c r="F18" s="5" t="s">
        <v>17</v>
      </c>
      <c r="G18" s="5" t="s">
        <v>18</v>
      </c>
      <c r="H18" s="5" t="n">
        <f aca="true">ROUND(RAND()*4+6,1)</f>
        <v>8</v>
      </c>
      <c r="I18" s="5" t="s">
        <v>19</v>
      </c>
      <c r="J18" s="5" t="str">
        <f aca="false">ROUND(83*1,0)&amp;"%"</f>
        <v>83%</v>
      </c>
    </row>
    <row r="19" customFormat="false" ht="15" hidden="false" customHeight="false" outlineLevel="0" collapsed="false">
      <c r="A19" s="6" t="s">
        <v>5743</v>
      </c>
      <c r="B19" s="6" t="s">
        <v>59</v>
      </c>
      <c r="C19" s="6" t="s">
        <v>57</v>
      </c>
      <c r="D19" s="6" t="s">
        <v>22</v>
      </c>
      <c r="E19" s="6" t="n">
        <f aca="false">ROUND(16644*1.05,2)</f>
        <v>17476.2</v>
      </c>
      <c r="F19" s="6" t="s">
        <v>23</v>
      </c>
      <c r="G19" s="6" t="s">
        <v>24</v>
      </c>
      <c r="H19" s="6" t="n">
        <f aca="true">ROUND(RAND()*4+6,1)</f>
        <v>7.4</v>
      </c>
      <c r="I19" s="6" t="s">
        <v>25</v>
      </c>
      <c r="J19" s="6" t="str">
        <f aca="false">ROUND(71*1,0)&amp;"%"</f>
        <v>71%</v>
      </c>
    </row>
    <row r="20" customFormat="false" ht="15" hidden="false" customHeight="false" outlineLevel="0" collapsed="false">
      <c r="A20" s="5" t="s">
        <v>5744</v>
      </c>
      <c r="B20" s="5" t="s">
        <v>61</v>
      </c>
      <c r="C20" s="5" t="s">
        <v>57</v>
      </c>
      <c r="D20" s="5" t="s">
        <v>28</v>
      </c>
      <c r="E20" s="5" t="n">
        <f aca="false">ROUND(9274*1.05,2)</f>
        <v>9737.7</v>
      </c>
      <c r="F20" s="5" t="s">
        <v>29</v>
      </c>
      <c r="G20" s="5" t="s">
        <v>30</v>
      </c>
      <c r="H20" s="5" t="n">
        <f aca="true">ROUND(RAND()*4+6,1)</f>
        <v>6.2</v>
      </c>
      <c r="I20" s="5" t="s">
        <v>31</v>
      </c>
      <c r="J20" s="5" t="str">
        <f aca="false">ROUND(63*1,0)&amp;"%"</f>
        <v>63%</v>
      </c>
    </row>
    <row r="21" customFormat="false" ht="15" hidden="false" customHeight="false" outlineLevel="0" collapsed="false">
      <c r="A21" s="6" t="s">
        <v>5745</v>
      </c>
      <c r="B21" s="6" t="s">
        <v>63</v>
      </c>
      <c r="C21" s="6" t="s">
        <v>57</v>
      </c>
      <c r="D21" s="6" t="s">
        <v>34</v>
      </c>
      <c r="E21" s="6" t="n">
        <f aca="false">ROUND(9331*1.05,2)</f>
        <v>9797.55</v>
      </c>
      <c r="F21" s="6" t="s">
        <v>35</v>
      </c>
      <c r="G21" s="6" t="s">
        <v>18</v>
      </c>
      <c r="H21" s="6" t="n">
        <f aca="true">ROUND(RAND()*4+6,1)</f>
        <v>9.3</v>
      </c>
      <c r="I21" s="6" t="s">
        <v>36</v>
      </c>
      <c r="J21" s="6" t="str">
        <f aca="false">ROUND(100*1,0)&amp;"%"</f>
        <v>100%</v>
      </c>
    </row>
    <row r="22" customFormat="false" ht="15" hidden="false" customHeight="false" outlineLevel="0" collapsed="false">
      <c r="A22" s="5" t="s">
        <v>5746</v>
      </c>
      <c r="B22" s="5" t="s">
        <v>65</v>
      </c>
      <c r="C22" s="5" t="s">
        <v>57</v>
      </c>
      <c r="D22" s="5" t="s">
        <v>39</v>
      </c>
      <c r="E22" s="5" t="n">
        <f aca="false">ROUND(13788*1.05,2)</f>
        <v>14477.4</v>
      </c>
      <c r="F22" s="5" t="s">
        <v>40</v>
      </c>
      <c r="G22" s="5" t="s">
        <v>24</v>
      </c>
      <c r="H22" s="5" t="n">
        <f aca="true">ROUND(RAND()*4+6,1)</f>
        <v>7.1</v>
      </c>
      <c r="I22" s="5" t="s">
        <v>41</v>
      </c>
      <c r="J22" s="5" t="str">
        <f aca="false">ROUND(69*1,0)&amp;"%"</f>
        <v>69%</v>
      </c>
    </row>
    <row r="23" customFormat="false" ht="15" hidden="false" customHeight="false" outlineLevel="0" collapsed="false">
      <c r="A23" s="6" t="s">
        <v>5747</v>
      </c>
      <c r="B23" s="6" t="s">
        <v>67</v>
      </c>
      <c r="C23" s="6" t="s">
        <v>57</v>
      </c>
      <c r="D23" s="6" t="s">
        <v>44</v>
      </c>
      <c r="E23" s="6" t="n">
        <f aca="false">ROUND(12069*1.05,2)</f>
        <v>12672.45</v>
      </c>
      <c r="F23" s="6" t="s">
        <v>45</v>
      </c>
      <c r="G23" s="6" t="s">
        <v>30</v>
      </c>
      <c r="H23" s="6" t="n">
        <f aca="true">ROUND(RAND()*4+6,1)</f>
        <v>8.1</v>
      </c>
      <c r="I23" s="6" t="s">
        <v>46</v>
      </c>
      <c r="J23" s="6" t="str">
        <f aca="false">ROUND(74*1,0)&amp;"%"</f>
        <v>74%</v>
      </c>
    </row>
    <row r="24" customFormat="false" ht="15" hidden="false" customHeight="false" outlineLevel="0" collapsed="false">
      <c r="A24" s="5" t="s">
        <v>5748</v>
      </c>
      <c r="B24" s="5" t="s">
        <v>69</v>
      </c>
      <c r="C24" s="5" t="s">
        <v>57</v>
      </c>
      <c r="D24" s="5" t="s">
        <v>16</v>
      </c>
      <c r="E24" s="5" t="n">
        <f aca="false">ROUND(5657*1.05,2)</f>
        <v>5939.85</v>
      </c>
      <c r="F24" s="5" t="s">
        <v>49</v>
      </c>
      <c r="G24" s="5" t="s">
        <v>18</v>
      </c>
      <c r="H24" s="5" t="n">
        <f aca="true">ROUND(RAND()*4+6,1)</f>
        <v>8.9</v>
      </c>
      <c r="I24" s="5" t="s">
        <v>19</v>
      </c>
      <c r="J24" s="5" t="str">
        <f aca="false">ROUND(72*1,0)&amp;"%"</f>
        <v>72%</v>
      </c>
    </row>
    <row r="25" customFormat="false" ht="15" hidden="false" customHeight="false" outlineLevel="0" collapsed="false">
      <c r="A25" s="6" t="s">
        <v>5749</v>
      </c>
      <c r="B25" s="6" t="s">
        <v>71</v>
      </c>
      <c r="C25" s="6" t="s">
        <v>57</v>
      </c>
      <c r="D25" s="6" t="s">
        <v>22</v>
      </c>
      <c r="E25" s="6" t="n">
        <f aca="false">ROUND(10508*1.05,2)</f>
        <v>11033.4</v>
      </c>
      <c r="F25" s="6" t="s">
        <v>52</v>
      </c>
      <c r="G25" s="6" t="s">
        <v>24</v>
      </c>
      <c r="H25" s="6" t="n">
        <f aca="true">ROUND(RAND()*4+6,1)</f>
        <v>9.5</v>
      </c>
      <c r="I25" s="6" t="s">
        <v>25</v>
      </c>
      <c r="J25" s="6" t="str">
        <f aca="false">ROUND(93*1,0)&amp;"%"</f>
        <v>93%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5750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5751</v>
      </c>
      <c r="B30" s="5" t="s">
        <v>75</v>
      </c>
      <c r="C30" s="5" t="s">
        <v>76</v>
      </c>
      <c r="D30" s="5" t="s">
        <v>16</v>
      </c>
      <c r="E30" s="5" t="n">
        <f aca="false">ROUND(5042*1.05,2)</f>
        <v>5294.1</v>
      </c>
      <c r="F30" s="5" t="s">
        <v>17</v>
      </c>
      <c r="G30" s="5" t="s">
        <v>18</v>
      </c>
      <c r="H30" s="5" t="n">
        <f aca="true">ROUND(RAND()*4+6,1)</f>
        <v>8</v>
      </c>
      <c r="I30" s="5" t="s">
        <v>19</v>
      </c>
      <c r="J30" s="5" t="str">
        <f aca="false">ROUND(77*1,0)&amp;"%"</f>
        <v>77%</v>
      </c>
    </row>
    <row r="31" customFormat="false" ht="15" hidden="false" customHeight="false" outlineLevel="0" collapsed="false">
      <c r="A31" s="6" t="s">
        <v>5752</v>
      </c>
      <c r="B31" s="6" t="s">
        <v>78</v>
      </c>
      <c r="C31" s="6" t="s">
        <v>76</v>
      </c>
      <c r="D31" s="6" t="s">
        <v>22</v>
      </c>
      <c r="E31" s="6" t="n">
        <f aca="false">ROUND(17403*1.05,2)</f>
        <v>18273.15</v>
      </c>
      <c r="F31" s="6" t="s">
        <v>23</v>
      </c>
      <c r="G31" s="6" t="s">
        <v>24</v>
      </c>
      <c r="H31" s="6" t="n">
        <f aca="true">ROUND(RAND()*4+6,1)</f>
        <v>6.3</v>
      </c>
      <c r="I31" s="6" t="s">
        <v>25</v>
      </c>
      <c r="J31" s="6" t="str">
        <f aca="false">ROUND(89*1,0)&amp;"%"</f>
        <v>89%</v>
      </c>
    </row>
    <row r="32" customFormat="false" ht="15" hidden="false" customHeight="false" outlineLevel="0" collapsed="false">
      <c r="A32" s="5" t="s">
        <v>5753</v>
      </c>
      <c r="B32" s="5" t="s">
        <v>80</v>
      </c>
      <c r="C32" s="5" t="s">
        <v>76</v>
      </c>
      <c r="D32" s="5" t="s">
        <v>28</v>
      </c>
      <c r="E32" s="5" t="n">
        <f aca="false">ROUND(12877*1.05,2)</f>
        <v>13520.85</v>
      </c>
      <c r="F32" s="5" t="s">
        <v>29</v>
      </c>
      <c r="G32" s="5" t="s">
        <v>30</v>
      </c>
      <c r="H32" s="5" t="n">
        <f aca="true">ROUND(RAND()*4+6,1)</f>
        <v>7.1</v>
      </c>
      <c r="I32" s="5" t="s">
        <v>31</v>
      </c>
      <c r="J32" s="5" t="str">
        <f aca="false">ROUND(94*1,0)&amp;"%"</f>
        <v>94%</v>
      </c>
    </row>
    <row r="33" customFormat="false" ht="15" hidden="false" customHeight="false" outlineLevel="0" collapsed="false">
      <c r="A33" s="6" t="s">
        <v>5754</v>
      </c>
      <c r="B33" s="6" t="s">
        <v>82</v>
      </c>
      <c r="C33" s="6" t="s">
        <v>76</v>
      </c>
      <c r="D33" s="6" t="s">
        <v>34</v>
      </c>
      <c r="E33" s="6" t="n">
        <f aca="false">ROUND(7147*1.05,2)</f>
        <v>7504.35</v>
      </c>
      <c r="F33" s="6" t="s">
        <v>35</v>
      </c>
      <c r="G33" s="6" t="s">
        <v>18</v>
      </c>
      <c r="H33" s="6" t="n">
        <f aca="true">ROUND(RAND()*4+6,1)</f>
        <v>6.7</v>
      </c>
      <c r="I33" s="6" t="s">
        <v>36</v>
      </c>
      <c r="J33" s="6" t="str">
        <f aca="false">ROUND(65*1,0)&amp;"%"</f>
        <v>65%</v>
      </c>
    </row>
    <row r="34" customFormat="false" ht="15" hidden="false" customHeight="false" outlineLevel="0" collapsed="false">
      <c r="A34" s="5" t="s">
        <v>5755</v>
      </c>
      <c r="B34" s="5" t="s">
        <v>84</v>
      </c>
      <c r="C34" s="5" t="s">
        <v>76</v>
      </c>
      <c r="D34" s="5" t="s">
        <v>39</v>
      </c>
      <c r="E34" s="5" t="n">
        <f aca="false">ROUND(8778*1.05,2)</f>
        <v>9216.9</v>
      </c>
      <c r="F34" s="5" t="s">
        <v>40</v>
      </c>
      <c r="G34" s="5" t="s">
        <v>24</v>
      </c>
      <c r="H34" s="5" t="n">
        <f aca="true">ROUND(RAND()*4+6,1)</f>
        <v>7.2</v>
      </c>
      <c r="I34" s="5" t="s">
        <v>41</v>
      </c>
      <c r="J34" s="5" t="str">
        <f aca="false">ROUND(85*1,0)&amp;"%"</f>
        <v>85%</v>
      </c>
    </row>
    <row r="35" customFormat="false" ht="15" hidden="false" customHeight="false" outlineLevel="0" collapsed="false">
      <c r="A35" s="6" t="s">
        <v>5756</v>
      </c>
      <c r="B35" s="6" t="s">
        <v>86</v>
      </c>
      <c r="C35" s="6" t="s">
        <v>76</v>
      </c>
      <c r="D35" s="6" t="s">
        <v>44</v>
      </c>
      <c r="E35" s="6" t="n">
        <f aca="false">ROUND(4854*1.05,2)</f>
        <v>5096.7</v>
      </c>
      <c r="F35" s="6" t="s">
        <v>45</v>
      </c>
      <c r="G35" s="6" t="s">
        <v>30</v>
      </c>
      <c r="H35" s="6" t="n">
        <f aca="true">ROUND(RAND()*4+6,1)</f>
        <v>6.2</v>
      </c>
      <c r="I35" s="6" t="s">
        <v>46</v>
      </c>
      <c r="J35" s="6" t="str">
        <f aca="false">ROUND(83*1,0)&amp;"%"</f>
        <v>83%</v>
      </c>
    </row>
    <row r="36" customFormat="false" ht="15" hidden="false" customHeight="false" outlineLevel="0" collapsed="false">
      <c r="A36" s="5" t="s">
        <v>5757</v>
      </c>
      <c r="B36" s="5" t="s">
        <v>88</v>
      </c>
      <c r="C36" s="5" t="s">
        <v>76</v>
      </c>
      <c r="D36" s="5" t="s">
        <v>16</v>
      </c>
      <c r="E36" s="5" t="n">
        <f aca="false">ROUND(17129*1.05,2)</f>
        <v>17985.45</v>
      </c>
      <c r="F36" s="5" t="s">
        <v>49</v>
      </c>
      <c r="G36" s="5" t="s">
        <v>18</v>
      </c>
      <c r="H36" s="5" t="n">
        <f aca="true">ROUND(RAND()*4+6,1)</f>
        <v>8.8</v>
      </c>
      <c r="I36" s="5" t="s">
        <v>19</v>
      </c>
      <c r="J36" s="5" t="str">
        <f aca="false">ROUND(60*1,0)&amp;"%"</f>
        <v>60%</v>
      </c>
    </row>
    <row r="37" customFormat="false" ht="15" hidden="false" customHeight="false" outlineLevel="0" collapsed="false">
      <c r="A37" s="6" t="s">
        <v>5758</v>
      </c>
      <c r="B37" s="6" t="s">
        <v>90</v>
      </c>
      <c r="C37" s="6" t="s">
        <v>76</v>
      </c>
      <c r="D37" s="6" t="s">
        <v>22</v>
      </c>
      <c r="E37" s="6" t="n">
        <f aca="false">ROUND(6901*1.05,2)</f>
        <v>7246.05</v>
      </c>
      <c r="F37" s="6" t="s">
        <v>52</v>
      </c>
      <c r="G37" s="6" t="s">
        <v>24</v>
      </c>
      <c r="H37" s="6" t="n">
        <f aca="true">ROUND(RAND()*4+6,1)</f>
        <v>6.7</v>
      </c>
      <c r="I37" s="6" t="s">
        <v>25</v>
      </c>
      <c r="J37" s="6" t="str">
        <f aca="false">ROUND(87*1,0)&amp;"%"</f>
        <v>87%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5759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5760</v>
      </c>
      <c r="B42" s="5" t="s">
        <v>94</v>
      </c>
      <c r="C42" s="5" t="s">
        <v>95</v>
      </c>
      <c r="D42" s="5" t="s">
        <v>16</v>
      </c>
      <c r="E42" s="5" t="n">
        <f aca="false">ROUND(15388*1.05,2)</f>
        <v>16157.4</v>
      </c>
      <c r="F42" s="5" t="s">
        <v>17</v>
      </c>
      <c r="G42" s="5" t="s">
        <v>18</v>
      </c>
      <c r="H42" s="5" t="n">
        <f aca="true">ROUND(RAND()*4+6,1)</f>
        <v>6.1</v>
      </c>
      <c r="I42" s="5" t="s">
        <v>19</v>
      </c>
      <c r="J42" s="5" t="str">
        <f aca="false">ROUND(70*1,0)&amp;"%"</f>
        <v>70%</v>
      </c>
    </row>
    <row r="43" customFormat="false" ht="15" hidden="false" customHeight="false" outlineLevel="0" collapsed="false">
      <c r="A43" s="6" t="s">
        <v>5761</v>
      </c>
      <c r="B43" s="6" t="s">
        <v>97</v>
      </c>
      <c r="C43" s="6" t="s">
        <v>95</v>
      </c>
      <c r="D43" s="6" t="s">
        <v>22</v>
      </c>
      <c r="E43" s="6" t="n">
        <f aca="false">ROUND(9503*1.05,2)</f>
        <v>9978.15</v>
      </c>
      <c r="F43" s="6" t="s">
        <v>23</v>
      </c>
      <c r="G43" s="6" t="s">
        <v>24</v>
      </c>
      <c r="H43" s="6" t="n">
        <f aca="true">ROUND(RAND()*4+6,1)</f>
        <v>6.3</v>
      </c>
      <c r="I43" s="6" t="s">
        <v>25</v>
      </c>
      <c r="J43" s="6" t="str">
        <f aca="false">ROUND(93*1,0)&amp;"%"</f>
        <v>93%</v>
      </c>
    </row>
    <row r="44" customFormat="false" ht="15" hidden="false" customHeight="false" outlineLevel="0" collapsed="false">
      <c r="A44" s="5" t="s">
        <v>5762</v>
      </c>
      <c r="B44" s="5" t="s">
        <v>99</v>
      </c>
      <c r="C44" s="5" t="s">
        <v>95</v>
      </c>
      <c r="D44" s="5" t="s">
        <v>28</v>
      </c>
      <c r="E44" s="5" t="n">
        <f aca="false">ROUND(8320*1.05,2)</f>
        <v>8736</v>
      </c>
      <c r="F44" s="5" t="s">
        <v>29</v>
      </c>
      <c r="G44" s="5" t="s">
        <v>30</v>
      </c>
      <c r="H44" s="5" t="n">
        <f aca="true">ROUND(RAND()*4+6,1)</f>
        <v>9.8</v>
      </c>
      <c r="I44" s="5" t="s">
        <v>31</v>
      </c>
      <c r="J44" s="5" t="str">
        <f aca="false">ROUND(85*1,0)&amp;"%"</f>
        <v>85%</v>
      </c>
    </row>
    <row r="45" customFormat="false" ht="15" hidden="false" customHeight="false" outlineLevel="0" collapsed="false">
      <c r="A45" s="6" t="s">
        <v>5763</v>
      </c>
      <c r="B45" s="6" t="s">
        <v>101</v>
      </c>
      <c r="C45" s="6" t="s">
        <v>95</v>
      </c>
      <c r="D45" s="6" t="s">
        <v>34</v>
      </c>
      <c r="E45" s="6" t="n">
        <f aca="false">ROUND(12927*1.05,2)</f>
        <v>13573.35</v>
      </c>
      <c r="F45" s="6" t="s">
        <v>35</v>
      </c>
      <c r="G45" s="6" t="s">
        <v>18</v>
      </c>
      <c r="H45" s="6" t="n">
        <f aca="true">ROUND(RAND()*4+6,1)</f>
        <v>7.2</v>
      </c>
      <c r="I45" s="6" t="s">
        <v>36</v>
      </c>
      <c r="J45" s="6" t="str">
        <f aca="false">ROUND(99*1,0)&amp;"%"</f>
        <v>99%</v>
      </c>
    </row>
    <row r="46" customFormat="false" ht="15" hidden="false" customHeight="false" outlineLevel="0" collapsed="false">
      <c r="A46" s="5" t="s">
        <v>5764</v>
      </c>
      <c r="B46" s="5" t="s">
        <v>103</v>
      </c>
      <c r="C46" s="5" t="s">
        <v>95</v>
      </c>
      <c r="D46" s="5" t="s">
        <v>39</v>
      </c>
      <c r="E46" s="5" t="n">
        <f aca="false">ROUND(8481*1.05,2)</f>
        <v>8905.05</v>
      </c>
      <c r="F46" s="5" t="s">
        <v>40</v>
      </c>
      <c r="G46" s="5" t="s">
        <v>24</v>
      </c>
      <c r="H46" s="5" t="n">
        <f aca="true">ROUND(RAND()*4+6,1)</f>
        <v>8.2</v>
      </c>
      <c r="I46" s="5" t="s">
        <v>41</v>
      </c>
      <c r="J46" s="5" t="str">
        <f aca="false">ROUND(70*1,0)&amp;"%"</f>
        <v>70%</v>
      </c>
    </row>
    <row r="47" customFormat="false" ht="15" hidden="false" customHeight="false" outlineLevel="0" collapsed="false">
      <c r="A47" s="6" t="s">
        <v>5765</v>
      </c>
      <c r="B47" s="6" t="s">
        <v>105</v>
      </c>
      <c r="C47" s="6" t="s">
        <v>95</v>
      </c>
      <c r="D47" s="6" t="s">
        <v>44</v>
      </c>
      <c r="E47" s="6" t="n">
        <f aca="false">ROUND(10875*1.05,2)</f>
        <v>11418.75</v>
      </c>
      <c r="F47" s="6" t="s">
        <v>45</v>
      </c>
      <c r="G47" s="6" t="s">
        <v>30</v>
      </c>
      <c r="H47" s="6" t="n">
        <f aca="true">ROUND(RAND()*4+6,1)</f>
        <v>8.5</v>
      </c>
      <c r="I47" s="6" t="s">
        <v>46</v>
      </c>
      <c r="J47" s="6" t="str">
        <f aca="false">ROUND(63*1,0)&amp;"%"</f>
        <v>63%</v>
      </c>
    </row>
    <row r="48" customFormat="false" ht="15" hidden="false" customHeight="false" outlineLevel="0" collapsed="false">
      <c r="A48" s="5" t="s">
        <v>5766</v>
      </c>
      <c r="B48" s="5" t="s">
        <v>107</v>
      </c>
      <c r="C48" s="5" t="s">
        <v>95</v>
      </c>
      <c r="D48" s="5" t="s">
        <v>16</v>
      </c>
      <c r="E48" s="5" t="n">
        <f aca="false">ROUND(13438*1.05,2)</f>
        <v>14109.9</v>
      </c>
      <c r="F48" s="5" t="s">
        <v>49</v>
      </c>
      <c r="G48" s="5" t="s">
        <v>18</v>
      </c>
      <c r="H48" s="5" t="n">
        <f aca="true">ROUND(RAND()*4+6,1)</f>
        <v>9.9</v>
      </c>
      <c r="I48" s="5" t="s">
        <v>19</v>
      </c>
      <c r="J48" s="5" t="str">
        <f aca="false">ROUND(63*1,0)&amp;"%"</f>
        <v>63%</v>
      </c>
    </row>
    <row r="49" customFormat="false" ht="15" hidden="false" customHeight="false" outlineLevel="0" collapsed="false">
      <c r="A49" s="6" t="s">
        <v>5767</v>
      </c>
      <c r="B49" s="6" t="s">
        <v>109</v>
      </c>
      <c r="C49" s="6" t="s">
        <v>95</v>
      </c>
      <c r="D49" s="6" t="s">
        <v>22</v>
      </c>
      <c r="E49" s="6" t="n">
        <f aca="false">ROUND(12227*1.05,2)</f>
        <v>12838.35</v>
      </c>
      <c r="F49" s="6" t="s">
        <v>52</v>
      </c>
      <c r="G49" s="6" t="s">
        <v>24</v>
      </c>
      <c r="H49" s="6" t="n">
        <f aca="true">ROUND(RAND()*4+6,1)</f>
        <v>6.6</v>
      </c>
      <c r="I49" s="6" t="s">
        <v>25</v>
      </c>
      <c r="J49" s="6" t="str">
        <f aca="false">ROUND(87*1,0)&amp;"%"</f>
        <v>87%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5768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5769</v>
      </c>
      <c r="B54" s="5" t="s">
        <v>113</v>
      </c>
      <c r="C54" s="5" t="s">
        <v>114</v>
      </c>
      <c r="D54" s="5" t="s">
        <v>16</v>
      </c>
      <c r="E54" s="5" t="n">
        <f aca="false">ROUND(5985*1.05,2)</f>
        <v>6284.25</v>
      </c>
      <c r="F54" s="5" t="s">
        <v>17</v>
      </c>
      <c r="G54" s="5" t="s">
        <v>18</v>
      </c>
      <c r="H54" s="5" t="n">
        <f aca="true">ROUND(RAND()*4+6,1)</f>
        <v>9.3</v>
      </c>
      <c r="I54" s="5" t="s">
        <v>19</v>
      </c>
      <c r="J54" s="5" t="str">
        <f aca="false">ROUND(64*1,0)&amp;"%"</f>
        <v>64%</v>
      </c>
    </row>
    <row r="55" customFormat="false" ht="15" hidden="false" customHeight="false" outlineLevel="0" collapsed="false">
      <c r="A55" s="6" t="s">
        <v>5770</v>
      </c>
      <c r="B55" s="6" t="s">
        <v>116</v>
      </c>
      <c r="C55" s="6" t="s">
        <v>114</v>
      </c>
      <c r="D55" s="6" t="s">
        <v>22</v>
      </c>
      <c r="E55" s="6" t="n">
        <f aca="false">ROUND(10154*1.05,2)</f>
        <v>10661.7</v>
      </c>
      <c r="F55" s="6" t="s">
        <v>23</v>
      </c>
      <c r="G55" s="6" t="s">
        <v>24</v>
      </c>
      <c r="H55" s="6" t="n">
        <f aca="true">ROUND(RAND()*4+6,1)</f>
        <v>8</v>
      </c>
      <c r="I55" s="6" t="s">
        <v>25</v>
      </c>
      <c r="J55" s="6" t="str">
        <f aca="false">ROUND(63*1,0)&amp;"%"</f>
        <v>63%</v>
      </c>
    </row>
    <row r="56" customFormat="false" ht="15" hidden="false" customHeight="false" outlineLevel="0" collapsed="false">
      <c r="A56" s="5" t="s">
        <v>5771</v>
      </c>
      <c r="B56" s="5" t="s">
        <v>118</v>
      </c>
      <c r="C56" s="5" t="s">
        <v>114</v>
      </c>
      <c r="D56" s="5" t="s">
        <v>28</v>
      </c>
      <c r="E56" s="5" t="n">
        <f aca="false">ROUND(8521*1.05,2)</f>
        <v>8947.05</v>
      </c>
      <c r="F56" s="5" t="s">
        <v>29</v>
      </c>
      <c r="G56" s="5" t="s">
        <v>30</v>
      </c>
      <c r="H56" s="5" t="n">
        <f aca="true">ROUND(RAND()*4+6,1)</f>
        <v>8.4</v>
      </c>
      <c r="I56" s="5" t="s">
        <v>31</v>
      </c>
      <c r="J56" s="5" t="str">
        <f aca="false">ROUND(91*1,0)&amp;"%"</f>
        <v>91%</v>
      </c>
    </row>
    <row r="57" customFormat="false" ht="15" hidden="false" customHeight="false" outlineLevel="0" collapsed="false">
      <c r="A57" s="6" t="s">
        <v>5772</v>
      </c>
      <c r="B57" s="6" t="s">
        <v>120</v>
      </c>
      <c r="C57" s="6" t="s">
        <v>114</v>
      </c>
      <c r="D57" s="6" t="s">
        <v>34</v>
      </c>
      <c r="E57" s="6" t="n">
        <f aca="false">ROUND(8245*1.05,2)</f>
        <v>8657.25</v>
      </c>
      <c r="F57" s="6" t="s">
        <v>35</v>
      </c>
      <c r="G57" s="6" t="s">
        <v>18</v>
      </c>
      <c r="H57" s="6" t="n">
        <f aca="true">ROUND(RAND()*4+6,1)</f>
        <v>6.2</v>
      </c>
      <c r="I57" s="6" t="s">
        <v>36</v>
      </c>
      <c r="J57" s="6" t="str">
        <f aca="false">ROUND(64*1,0)&amp;"%"</f>
        <v>64%</v>
      </c>
    </row>
    <row r="58" customFormat="false" ht="15" hidden="false" customHeight="false" outlineLevel="0" collapsed="false">
      <c r="A58" s="5" t="s">
        <v>5773</v>
      </c>
      <c r="B58" s="5" t="s">
        <v>122</v>
      </c>
      <c r="C58" s="5" t="s">
        <v>114</v>
      </c>
      <c r="D58" s="5" t="s">
        <v>39</v>
      </c>
      <c r="E58" s="5" t="n">
        <f aca="false">ROUND(16416*1.05,2)</f>
        <v>17236.8</v>
      </c>
      <c r="F58" s="5" t="s">
        <v>40</v>
      </c>
      <c r="G58" s="5" t="s">
        <v>24</v>
      </c>
      <c r="H58" s="5" t="n">
        <f aca="true">ROUND(RAND()*4+6,1)</f>
        <v>6.4</v>
      </c>
      <c r="I58" s="5" t="s">
        <v>41</v>
      </c>
      <c r="J58" s="5" t="str">
        <f aca="false">ROUND(68*1,0)&amp;"%"</f>
        <v>68%</v>
      </c>
    </row>
    <row r="59" customFormat="false" ht="15" hidden="false" customHeight="false" outlineLevel="0" collapsed="false">
      <c r="A59" s="6" t="s">
        <v>5774</v>
      </c>
      <c r="B59" s="6" t="s">
        <v>124</v>
      </c>
      <c r="C59" s="6" t="s">
        <v>114</v>
      </c>
      <c r="D59" s="6" t="s">
        <v>44</v>
      </c>
      <c r="E59" s="6" t="n">
        <f aca="false">ROUND(10526*1.05,2)</f>
        <v>11052.3</v>
      </c>
      <c r="F59" s="6" t="s">
        <v>45</v>
      </c>
      <c r="G59" s="6" t="s">
        <v>30</v>
      </c>
      <c r="H59" s="6" t="n">
        <f aca="true">ROUND(RAND()*4+6,1)</f>
        <v>9.2</v>
      </c>
      <c r="I59" s="6" t="s">
        <v>46</v>
      </c>
      <c r="J59" s="6" t="str">
        <f aca="false">ROUND(63*1,0)&amp;"%"</f>
        <v>63%</v>
      </c>
    </row>
    <row r="60" customFormat="false" ht="15" hidden="false" customHeight="false" outlineLevel="0" collapsed="false">
      <c r="A60" s="5" t="s">
        <v>5775</v>
      </c>
      <c r="B60" s="5" t="s">
        <v>126</v>
      </c>
      <c r="C60" s="5" t="s">
        <v>114</v>
      </c>
      <c r="D60" s="5" t="s">
        <v>16</v>
      </c>
      <c r="E60" s="5" t="n">
        <f aca="false">ROUND(16074*1.05,2)</f>
        <v>16877.7</v>
      </c>
      <c r="F60" s="5" t="s">
        <v>49</v>
      </c>
      <c r="G60" s="5" t="s">
        <v>18</v>
      </c>
      <c r="H60" s="5" t="n">
        <f aca="true">ROUND(RAND()*4+6,1)</f>
        <v>6.1</v>
      </c>
      <c r="I60" s="5" t="s">
        <v>19</v>
      </c>
      <c r="J60" s="5" t="str">
        <f aca="false">ROUND(61*1,0)&amp;"%"</f>
        <v>61%</v>
      </c>
    </row>
    <row r="61" customFormat="false" ht="15" hidden="false" customHeight="false" outlineLevel="0" collapsed="false">
      <c r="A61" s="6" t="s">
        <v>5776</v>
      </c>
      <c r="B61" s="6" t="s">
        <v>128</v>
      </c>
      <c r="C61" s="6" t="s">
        <v>114</v>
      </c>
      <c r="D61" s="6" t="s">
        <v>22</v>
      </c>
      <c r="E61" s="6" t="n">
        <f aca="false">ROUND(6656*1.05,2)</f>
        <v>6988.8</v>
      </c>
      <c r="F61" s="6" t="s">
        <v>52</v>
      </c>
      <c r="G61" s="6" t="s">
        <v>24</v>
      </c>
      <c r="H61" s="6" t="n">
        <f aca="true">ROUND(RAND()*4+6,1)</f>
        <v>10</v>
      </c>
      <c r="I61" s="6" t="s">
        <v>25</v>
      </c>
      <c r="J61" s="6" t="str">
        <f aca="false">ROUND(64*1,0)&amp;"%"</f>
        <v>64%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5777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5778</v>
      </c>
      <c r="B66" s="5" t="s">
        <v>132</v>
      </c>
      <c r="C66" s="5" t="s">
        <v>133</v>
      </c>
      <c r="D66" s="5" t="s">
        <v>16</v>
      </c>
      <c r="E66" s="5" t="n">
        <f aca="false">ROUND(12707*1.05,2)</f>
        <v>13342.35</v>
      </c>
      <c r="F66" s="5" t="s">
        <v>17</v>
      </c>
      <c r="G66" s="5" t="s">
        <v>18</v>
      </c>
      <c r="H66" s="5" t="n">
        <f aca="true">ROUND(RAND()*4+6,1)</f>
        <v>6</v>
      </c>
      <c r="I66" s="5" t="s">
        <v>19</v>
      </c>
      <c r="J66" s="5" t="str">
        <f aca="false">ROUND(67*1,0)&amp;"%"</f>
        <v>67%</v>
      </c>
    </row>
    <row r="67" customFormat="false" ht="15" hidden="false" customHeight="false" outlineLevel="0" collapsed="false">
      <c r="A67" s="6" t="s">
        <v>5779</v>
      </c>
      <c r="B67" s="6" t="s">
        <v>135</v>
      </c>
      <c r="C67" s="6" t="s">
        <v>133</v>
      </c>
      <c r="D67" s="6" t="s">
        <v>22</v>
      </c>
      <c r="E67" s="6" t="n">
        <f aca="false">ROUND(7014*1.05,2)</f>
        <v>7364.7</v>
      </c>
      <c r="F67" s="6" t="s">
        <v>23</v>
      </c>
      <c r="G67" s="6" t="s">
        <v>24</v>
      </c>
      <c r="H67" s="6" t="n">
        <f aca="true">ROUND(RAND()*4+6,1)</f>
        <v>6.4</v>
      </c>
      <c r="I67" s="6" t="s">
        <v>25</v>
      </c>
      <c r="J67" s="6" t="str">
        <f aca="false">ROUND(98*1,0)&amp;"%"</f>
        <v>98%</v>
      </c>
    </row>
    <row r="68" customFormat="false" ht="15" hidden="false" customHeight="false" outlineLevel="0" collapsed="false">
      <c r="A68" s="5" t="s">
        <v>5780</v>
      </c>
      <c r="B68" s="5" t="s">
        <v>137</v>
      </c>
      <c r="C68" s="5" t="s">
        <v>133</v>
      </c>
      <c r="D68" s="5" t="s">
        <v>28</v>
      </c>
      <c r="E68" s="5" t="n">
        <f aca="false">ROUND(9888*1.05,2)</f>
        <v>10382.4</v>
      </c>
      <c r="F68" s="5" t="s">
        <v>29</v>
      </c>
      <c r="G68" s="5" t="s">
        <v>30</v>
      </c>
      <c r="H68" s="5" t="n">
        <f aca="true">ROUND(RAND()*4+6,1)</f>
        <v>6.5</v>
      </c>
      <c r="I68" s="5" t="s">
        <v>31</v>
      </c>
      <c r="J68" s="5" t="str">
        <f aca="false">ROUND(61*1,0)&amp;"%"</f>
        <v>61%</v>
      </c>
    </row>
    <row r="69" customFormat="false" ht="15" hidden="false" customHeight="false" outlineLevel="0" collapsed="false">
      <c r="A69" s="6" t="s">
        <v>5781</v>
      </c>
      <c r="B69" s="6" t="s">
        <v>139</v>
      </c>
      <c r="C69" s="6" t="s">
        <v>133</v>
      </c>
      <c r="D69" s="6" t="s">
        <v>34</v>
      </c>
      <c r="E69" s="6" t="n">
        <f aca="false">ROUND(12568*1.05,2)</f>
        <v>13196.4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ROUND(60*1,0)&amp;"%"</f>
        <v>60%</v>
      </c>
    </row>
    <row r="70" customFormat="false" ht="15" hidden="false" customHeight="false" outlineLevel="0" collapsed="false">
      <c r="A70" s="5" t="s">
        <v>5782</v>
      </c>
      <c r="B70" s="5" t="s">
        <v>141</v>
      </c>
      <c r="C70" s="5" t="s">
        <v>133</v>
      </c>
      <c r="D70" s="5" t="s">
        <v>39</v>
      </c>
      <c r="E70" s="5" t="n">
        <f aca="false">ROUND(7922*1.05,2)</f>
        <v>8318.1</v>
      </c>
      <c r="F70" s="5" t="s">
        <v>40</v>
      </c>
      <c r="G70" s="5" t="s">
        <v>24</v>
      </c>
      <c r="H70" s="5" t="n">
        <f aca="true">ROUND(RAND()*4+6,1)</f>
        <v>9.5</v>
      </c>
      <c r="I70" s="5" t="s">
        <v>41</v>
      </c>
      <c r="J70" s="5" t="str">
        <f aca="false">ROUND(95*1,0)&amp;"%"</f>
        <v>95%</v>
      </c>
    </row>
    <row r="71" customFormat="false" ht="15" hidden="false" customHeight="false" outlineLevel="0" collapsed="false">
      <c r="A71" s="6" t="s">
        <v>5783</v>
      </c>
      <c r="B71" s="6" t="s">
        <v>143</v>
      </c>
      <c r="C71" s="6" t="s">
        <v>133</v>
      </c>
      <c r="D71" s="6" t="s">
        <v>44</v>
      </c>
      <c r="E71" s="6" t="n">
        <f aca="false">ROUND(17129*1.05,2)</f>
        <v>17985.45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ROUND(98*1,0)&amp;"%"</f>
        <v>98%</v>
      </c>
    </row>
    <row r="72" customFormat="false" ht="15" hidden="false" customHeight="false" outlineLevel="0" collapsed="false">
      <c r="A72" s="5" t="s">
        <v>5784</v>
      </c>
      <c r="B72" s="5" t="s">
        <v>145</v>
      </c>
      <c r="C72" s="5" t="s">
        <v>133</v>
      </c>
      <c r="D72" s="5" t="s">
        <v>16</v>
      </c>
      <c r="E72" s="5" t="n">
        <f aca="false">ROUND(16193*1.05,2)</f>
        <v>17002.65</v>
      </c>
      <c r="F72" s="5" t="s">
        <v>49</v>
      </c>
      <c r="G72" s="5" t="s">
        <v>18</v>
      </c>
      <c r="H72" s="5" t="n">
        <f aca="true">ROUND(RAND()*4+6,1)</f>
        <v>7.9</v>
      </c>
      <c r="I72" s="5" t="s">
        <v>19</v>
      </c>
      <c r="J72" s="5" t="str">
        <f aca="false">ROUND(81*1,0)&amp;"%"</f>
        <v>81%</v>
      </c>
    </row>
    <row r="73" customFormat="false" ht="15" hidden="false" customHeight="false" outlineLevel="0" collapsed="false">
      <c r="A73" s="6" t="s">
        <v>5785</v>
      </c>
      <c r="B73" s="6" t="s">
        <v>147</v>
      </c>
      <c r="C73" s="6" t="s">
        <v>133</v>
      </c>
      <c r="D73" s="6" t="s">
        <v>22</v>
      </c>
      <c r="E73" s="6" t="n">
        <f aca="false">ROUND(9757*1.05,2)</f>
        <v>10244.85</v>
      </c>
      <c r="F73" s="6" t="s">
        <v>52</v>
      </c>
      <c r="G73" s="6" t="s">
        <v>24</v>
      </c>
      <c r="H73" s="6" t="n">
        <f aca="true">ROUND(RAND()*4+6,1)</f>
        <v>7.4</v>
      </c>
      <c r="I73" s="6" t="s">
        <v>25</v>
      </c>
      <c r="J73" s="6" t="str">
        <f aca="false">ROUND(62*1,0)&amp;"%"</f>
        <v>62%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5786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5787</v>
      </c>
      <c r="B78" s="5" t="s">
        <v>151</v>
      </c>
      <c r="C78" s="5" t="s">
        <v>152</v>
      </c>
      <c r="D78" s="5" t="s">
        <v>16</v>
      </c>
      <c r="E78" s="5" t="n">
        <f aca="false">ROUND(14665*1.05,2)</f>
        <v>15398.25</v>
      </c>
      <c r="F78" s="5" t="s">
        <v>17</v>
      </c>
      <c r="G78" s="5" t="s">
        <v>18</v>
      </c>
      <c r="H78" s="5" t="n">
        <f aca="true">ROUND(RAND()*4+6,1)</f>
        <v>7.7</v>
      </c>
      <c r="I78" s="5" t="s">
        <v>19</v>
      </c>
      <c r="J78" s="5" t="str">
        <f aca="false">ROUND(68*1,0)&amp;"%"</f>
        <v>68%</v>
      </c>
    </row>
    <row r="79" customFormat="false" ht="15" hidden="false" customHeight="false" outlineLevel="0" collapsed="false">
      <c r="A79" s="6" t="s">
        <v>5788</v>
      </c>
      <c r="B79" s="6" t="s">
        <v>154</v>
      </c>
      <c r="C79" s="6" t="s">
        <v>152</v>
      </c>
      <c r="D79" s="6" t="s">
        <v>22</v>
      </c>
      <c r="E79" s="6" t="n">
        <f aca="false">ROUND(13576*1.05,2)</f>
        <v>14254.8</v>
      </c>
      <c r="F79" s="6" t="s">
        <v>23</v>
      </c>
      <c r="G79" s="6" t="s">
        <v>24</v>
      </c>
      <c r="H79" s="6" t="n">
        <f aca="true">ROUND(RAND()*4+6,1)</f>
        <v>9.6</v>
      </c>
      <c r="I79" s="6" t="s">
        <v>25</v>
      </c>
      <c r="J79" s="6" t="str">
        <f aca="false">ROUND(78*1,0)&amp;"%"</f>
        <v>78%</v>
      </c>
    </row>
    <row r="80" customFormat="false" ht="15" hidden="false" customHeight="false" outlineLevel="0" collapsed="false">
      <c r="A80" s="5" t="s">
        <v>5789</v>
      </c>
      <c r="B80" s="5" t="s">
        <v>156</v>
      </c>
      <c r="C80" s="5" t="s">
        <v>152</v>
      </c>
      <c r="D80" s="5" t="s">
        <v>28</v>
      </c>
      <c r="E80" s="5" t="n">
        <f aca="false">ROUND(15823*1.05,2)</f>
        <v>16614.15</v>
      </c>
      <c r="F80" s="5" t="s">
        <v>29</v>
      </c>
      <c r="G80" s="5" t="s">
        <v>30</v>
      </c>
      <c r="H80" s="5" t="n">
        <f aca="true">ROUND(RAND()*4+6,1)</f>
        <v>9.9</v>
      </c>
      <c r="I80" s="5" t="s">
        <v>31</v>
      </c>
      <c r="J80" s="5" t="str">
        <f aca="false">ROUND(93*1,0)&amp;"%"</f>
        <v>93%</v>
      </c>
    </row>
    <row r="81" customFormat="false" ht="15" hidden="false" customHeight="false" outlineLevel="0" collapsed="false">
      <c r="A81" s="6" t="s">
        <v>5790</v>
      </c>
      <c r="B81" s="6" t="s">
        <v>158</v>
      </c>
      <c r="C81" s="6" t="s">
        <v>152</v>
      </c>
      <c r="D81" s="6" t="s">
        <v>34</v>
      </c>
      <c r="E81" s="6" t="n">
        <f aca="false">ROUND(14058*1.05,2)</f>
        <v>14760.9</v>
      </c>
      <c r="F81" s="6" t="s">
        <v>35</v>
      </c>
      <c r="G81" s="6" t="s">
        <v>18</v>
      </c>
      <c r="H81" s="6" t="n">
        <f aca="true">ROUND(RAND()*4+6,1)</f>
        <v>9.8</v>
      </c>
      <c r="I81" s="6" t="s">
        <v>36</v>
      </c>
      <c r="J81" s="6" t="str">
        <f aca="false">ROUND(90*1,0)&amp;"%"</f>
        <v>90%</v>
      </c>
    </row>
    <row r="82" customFormat="false" ht="15" hidden="false" customHeight="false" outlineLevel="0" collapsed="false">
      <c r="A82" s="5" t="s">
        <v>5791</v>
      </c>
      <c r="B82" s="5" t="s">
        <v>160</v>
      </c>
      <c r="C82" s="5" t="s">
        <v>152</v>
      </c>
      <c r="D82" s="5" t="s">
        <v>39</v>
      </c>
      <c r="E82" s="5" t="n">
        <f aca="false">ROUND(10934*1.05,2)</f>
        <v>11480.7</v>
      </c>
      <c r="F82" s="5" t="s">
        <v>40</v>
      </c>
      <c r="G82" s="5" t="s">
        <v>24</v>
      </c>
      <c r="H82" s="5" t="n">
        <f aca="true">ROUND(RAND()*4+6,1)</f>
        <v>8.5</v>
      </c>
      <c r="I82" s="5" t="s">
        <v>41</v>
      </c>
      <c r="J82" s="5" t="str">
        <f aca="false">ROUND(98*1,0)&amp;"%"</f>
        <v>98%</v>
      </c>
    </row>
    <row r="83" customFormat="false" ht="15" hidden="false" customHeight="false" outlineLevel="0" collapsed="false">
      <c r="A83" s="6" t="s">
        <v>5792</v>
      </c>
      <c r="B83" s="6" t="s">
        <v>162</v>
      </c>
      <c r="C83" s="6" t="s">
        <v>152</v>
      </c>
      <c r="D83" s="6" t="s">
        <v>44</v>
      </c>
      <c r="E83" s="6" t="n">
        <f aca="false">ROUND(7125*1.05,2)</f>
        <v>7481.25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ROUND(67*1,0)&amp;"%"</f>
        <v>67%</v>
      </c>
    </row>
    <row r="84" customFormat="false" ht="15" hidden="false" customHeight="false" outlineLevel="0" collapsed="false">
      <c r="A84" s="5" t="s">
        <v>5793</v>
      </c>
      <c r="B84" s="5" t="s">
        <v>164</v>
      </c>
      <c r="C84" s="5" t="s">
        <v>152</v>
      </c>
      <c r="D84" s="5" t="s">
        <v>16</v>
      </c>
      <c r="E84" s="5" t="n">
        <f aca="false">ROUND(16137*1.05,2)</f>
        <v>16943.85</v>
      </c>
      <c r="F84" s="5" t="s">
        <v>49</v>
      </c>
      <c r="G84" s="5" t="s">
        <v>18</v>
      </c>
      <c r="H84" s="5" t="n">
        <f aca="true">ROUND(RAND()*4+6,1)</f>
        <v>8.9</v>
      </c>
      <c r="I84" s="5" t="s">
        <v>19</v>
      </c>
      <c r="J84" s="5" t="str">
        <f aca="false">ROUND(96*1,0)&amp;"%"</f>
        <v>96%</v>
      </c>
    </row>
    <row r="85" customFormat="false" ht="15" hidden="false" customHeight="false" outlineLevel="0" collapsed="false">
      <c r="A85" s="6" t="s">
        <v>5794</v>
      </c>
      <c r="B85" s="6" t="s">
        <v>166</v>
      </c>
      <c r="C85" s="6" t="s">
        <v>152</v>
      </c>
      <c r="D85" s="6" t="s">
        <v>22</v>
      </c>
      <c r="E85" s="6" t="n">
        <f aca="false">ROUND(14823*1.05,2)</f>
        <v>15564.15</v>
      </c>
      <c r="F85" s="6" t="s">
        <v>52</v>
      </c>
      <c r="G85" s="6" t="s">
        <v>24</v>
      </c>
      <c r="H85" s="6" t="n">
        <f aca="true">ROUND(RAND()*4+6,1)</f>
        <v>7.1</v>
      </c>
      <c r="I85" s="6" t="s">
        <v>25</v>
      </c>
      <c r="J85" s="6" t="str">
        <f aca="false">ROUND(65*1,0)&amp;"%"</f>
        <v>65%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5795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5796</v>
      </c>
      <c r="B90" s="5" t="s">
        <v>170</v>
      </c>
      <c r="C90" s="5" t="s">
        <v>15</v>
      </c>
      <c r="D90" s="5" t="s">
        <v>16</v>
      </c>
      <c r="E90" s="5" t="n">
        <f aca="false">ROUND(7085*1.05,2)</f>
        <v>7439.25</v>
      </c>
      <c r="F90" s="5" t="s">
        <v>17</v>
      </c>
      <c r="G90" s="5" t="s">
        <v>18</v>
      </c>
      <c r="H90" s="5" t="n">
        <f aca="true">ROUND(RAND()*4+6,1)</f>
        <v>8.6</v>
      </c>
      <c r="I90" s="5" t="s">
        <v>19</v>
      </c>
      <c r="J90" s="5" t="str">
        <f aca="false">ROUND(70*1,0)&amp;"%"</f>
        <v>70%</v>
      </c>
    </row>
    <row r="91" customFormat="false" ht="15" hidden="false" customHeight="false" outlineLevel="0" collapsed="false">
      <c r="A91" s="6" t="s">
        <v>5797</v>
      </c>
      <c r="B91" s="6" t="s">
        <v>172</v>
      </c>
      <c r="C91" s="6" t="s">
        <v>15</v>
      </c>
      <c r="D91" s="6" t="s">
        <v>22</v>
      </c>
      <c r="E91" s="6" t="n">
        <f aca="false">ROUND(16248*1.05,2)</f>
        <v>17060.4</v>
      </c>
      <c r="F91" s="6" t="s">
        <v>23</v>
      </c>
      <c r="G91" s="6" t="s">
        <v>24</v>
      </c>
      <c r="H91" s="6" t="n">
        <f aca="true">ROUND(RAND()*4+6,1)</f>
        <v>9.6</v>
      </c>
      <c r="I91" s="6" t="s">
        <v>25</v>
      </c>
      <c r="J91" s="6" t="str">
        <f aca="false">ROUND(66*1,0)&amp;"%"</f>
        <v>66%</v>
      </c>
    </row>
    <row r="92" customFormat="false" ht="15" hidden="false" customHeight="false" outlineLevel="0" collapsed="false">
      <c r="A92" s="5" t="s">
        <v>5798</v>
      </c>
      <c r="B92" s="5" t="s">
        <v>174</v>
      </c>
      <c r="C92" s="5" t="s">
        <v>15</v>
      </c>
      <c r="D92" s="5" t="s">
        <v>28</v>
      </c>
      <c r="E92" s="5" t="n">
        <f aca="false">ROUND(7494*1.05,2)</f>
        <v>7868.7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ROUND(78*1,0)&amp;"%"</f>
        <v>78%</v>
      </c>
    </row>
    <row r="93" customFormat="false" ht="15" hidden="false" customHeight="false" outlineLevel="0" collapsed="false">
      <c r="A93" s="6" t="s">
        <v>5799</v>
      </c>
      <c r="B93" s="6" t="s">
        <v>176</v>
      </c>
      <c r="C93" s="6" t="s">
        <v>15</v>
      </c>
      <c r="D93" s="6" t="s">
        <v>34</v>
      </c>
      <c r="E93" s="6" t="n">
        <f aca="false">ROUND(7466*1.05,2)</f>
        <v>7839.3</v>
      </c>
      <c r="F93" s="6" t="s">
        <v>35</v>
      </c>
      <c r="G93" s="6" t="s">
        <v>18</v>
      </c>
      <c r="H93" s="6" t="n">
        <f aca="true">ROUND(RAND()*4+6,1)</f>
        <v>7</v>
      </c>
      <c r="I93" s="6" t="s">
        <v>36</v>
      </c>
      <c r="J93" s="6" t="str">
        <f aca="false">ROUND(76*1,0)&amp;"%"</f>
        <v>76%</v>
      </c>
    </row>
    <row r="94" customFormat="false" ht="15" hidden="false" customHeight="false" outlineLevel="0" collapsed="false">
      <c r="A94" s="5" t="s">
        <v>5800</v>
      </c>
      <c r="B94" s="5" t="s">
        <v>178</v>
      </c>
      <c r="C94" s="5" t="s">
        <v>15</v>
      </c>
      <c r="D94" s="5" t="s">
        <v>39</v>
      </c>
      <c r="E94" s="5" t="n">
        <f aca="false">ROUND(9728*1.05,2)</f>
        <v>10214.4</v>
      </c>
      <c r="F94" s="5" t="s">
        <v>40</v>
      </c>
      <c r="G94" s="5" t="s">
        <v>24</v>
      </c>
      <c r="H94" s="5" t="n">
        <f aca="true">ROUND(RAND()*4+6,1)</f>
        <v>8.3</v>
      </c>
      <c r="I94" s="5" t="s">
        <v>41</v>
      </c>
      <c r="J94" s="5" t="str">
        <f aca="false">ROUND(64*1,0)&amp;"%"</f>
        <v>64%</v>
      </c>
    </row>
    <row r="95" customFormat="false" ht="15" hidden="false" customHeight="false" outlineLevel="0" collapsed="false">
      <c r="A95" s="6" t="s">
        <v>5801</v>
      </c>
      <c r="B95" s="6" t="s">
        <v>180</v>
      </c>
      <c r="C95" s="6" t="s">
        <v>15</v>
      </c>
      <c r="D95" s="6" t="s">
        <v>44</v>
      </c>
      <c r="E95" s="6" t="n">
        <f aca="false">ROUND(14180*1.05,2)</f>
        <v>14889</v>
      </c>
      <c r="F95" s="6" t="s">
        <v>45</v>
      </c>
      <c r="G95" s="6" t="s">
        <v>30</v>
      </c>
      <c r="H95" s="6" t="n">
        <f aca="true">ROUND(RAND()*4+6,1)</f>
        <v>9.8</v>
      </c>
      <c r="I95" s="6" t="s">
        <v>46</v>
      </c>
      <c r="J95" s="6" t="str">
        <f aca="false">ROUND(86*1,0)&amp;"%"</f>
        <v>86%</v>
      </c>
    </row>
    <row r="96" customFormat="false" ht="15" hidden="false" customHeight="false" outlineLevel="0" collapsed="false">
      <c r="A96" s="5" t="s">
        <v>5802</v>
      </c>
      <c r="B96" s="5" t="s">
        <v>182</v>
      </c>
      <c r="C96" s="5" t="s">
        <v>15</v>
      </c>
      <c r="D96" s="5" t="s">
        <v>16</v>
      </c>
      <c r="E96" s="5" t="n">
        <f aca="false">ROUND(6906*1.05,2)</f>
        <v>7251.3</v>
      </c>
      <c r="F96" s="5" t="s">
        <v>49</v>
      </c>
      <c r="G96" s="5" t="s">
        <v>18</v>
      </c>
      <c r="H96" s="5" t="n">
        <f aca="true">ROUND(RAND()*4+6,1)</f>
        <v>8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5803</v>
      </c>
      <c r="B97" s="6" t="s">
        <v>184</v>
      </c>
      <c r="C97" s="6" t="s">
        <v>15</v>
      </c>
      <c r="D97" s="6" t="s">
        <v>22</v>
      </c>
      <c r="E97" s="6" t="n">
        <f aca="false">ROUND(8010*1.05,2)</f>
        <v>8410.5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ROUND(96*1,0)&amp;"%"</f>
        <v>96%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5804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5805</v>
      </c>
      <c r="B102" s="5" t="s">
        <v>188</v>
      </c>
      <c r="C102" s="5" t="s">
        <v>57</v>
      </c>
      <c r="D102" s="5" t="s">
        <v>16</v>
      </c>
      <c r="E102" s="5" t="n">
        <f aca="false">ROUND(16790*1.05,2)</f>
        <v>17629.5</v>
      </c>
      <c r="F102" s="5" t="s">
        <v>17</v>
      </c>
      <c r="G102" s="5" t="s">
        <v>18</v>
      </c>
      <c r="H102" s="5" t="n">
        <f aca="true">ROUND(RAND()*4+6,1)</f>
        <v>7.5</v>
      </c>
      <c r="I102" s="5" t="s">
        <v>19</v>
      </c>
      <c r="J102" s="5" t="str">
        <f aca="false">ROUND(62*1,0)&amp;"%"</f>
        <v>62%</v>
      </c>
    </row>
    <row r="103" customFormat="false" ht="15" hidden="false" customHeight="false" outlineLevel="0" collapsed="false">
      <c r="A103" s="6" t="s">
        <v>5806</v>
      </c>
      <c r="B103" s="6" t="s">
        <v>190</v>
      </c>
      <c r="C103" s="6" t="s">
        <v>57</v>
      </c>
      <c r="D103" s="6" t="s">
        <v>22</v>
      </c>
      <c r="E103" s="6" t="n">
        <f aca="false">ROUND(13114*1.05,2)</f>
        <v>13769.7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ROUND(67*1,0)&amp;"%"</f>
        <v>67%</v>
      </c>
    </row>
    <row r="104" customFormat="false" ht="15" hidden="false" customHeight="false" outlineLevel="0" collapsed="false">
      <c r="A104" s="5" t="s">
        <v>5807</v>
      </c>
      <c r="B104" s="5" t="s">
        <v>192</v>
      </c>
      <c r="C104" s="5" t="s">
        <v>57</v>
      </c>
      <c r="D104" s="5" t="s">
        <v>28</v>
      </c>
      <c r="E104" s="5" t="n">
        <f aca="false">ROUND(15661*1.05,2)</f>
        <v>16444.05</v>
      </c>
      <c r="F104" s="5" t="s">
        <v>29</v>
      </c>
      <c r="G104" s="5" t="s">
        <v>30</v>
      </c>
      <c r="H104" s="5" t="n">
        <f aca="true">ROUND(RAND()*4+6,1)</f>
        <v>8.5</v>
      </c>
      <c r="I104" s="5" t="s">
        <v>31</v>
      </c>
      <c r="J104" s="5" t="str">
        <f aca="false">ROUND(92*1,0)&amp;"%"</f>
        <v>92%</v>
      </c>
    </row>
    <row r="105" customFormat="false" ht="15" hidden="false" customHeight="false" outlineLevel="0" collapsed="false">
      <c r="A105" s="6" t="s">
        <v>5808</v>
      </c>
      <c r="B105" s="6" t="s">
        <v>194</v>
      </c>
      <c r="C105" s="6" t="s">
        <v>57</v>
      </c>
      <c r="D105" s="6" t="s">
        <v>34</v>
      </c>
      <c r="E105" s="6" t="n">
        <f aca="false">ROUND(13833*1.05,2)</f>
        <v>14524.65</v>
      </c>
      <c r="F105" s="6" t="s">
        <v>35</v>
      </c>
      <c r="G105" s="6" t="s">
        <v>18</v>
      </c>
      <c r="H105" s="6" t="n">
        <f aca="true">ROUND(RAND()*4+6,1)</f>
        <v>9.7</v>
      </c>
      <c r="I105" s="6" t="s">
        <v>36</v>
      </c>
      <c r="J105" s="6" t="str">
        <f aca="false">ROUND(74*1,0)&amp;"%"</f>
        <v>74%</v>
      </c>
    </row>
    <row r="106" customFormat="false" ht="15" hidden="false" customHeight="false" outlineLevel="0" collapsed="false">
      <c r="A106" s="5" t="s">
        <v>5809</v>
      </c>
      <c r="B106" s="5" t="s">
        <v>196</v>
      </c>
      <c r="C106" s="5" t="s">
        <v>57</v>
      </c>
      <c r="D106" s="5" t="s">
        <v>39</v>
      </c>
      <c r="E106" s="5" t="n">
        <f aca="false">ROUND(10349*1.05,2)</f>
        <v>10866.45</v>
      </c>
      <c r="F106" s="5" t="s">
        <v>40</v>
      </c>
      <c r="G106" s="5" t="s">
        <v>24</v>
      </c>
      <c r="H106" s="5" t="n">
        <f aca="true">ROUND(RAND()*4+6,1)</f>
        <v>7</v>
      </c>
      <c r="I106" s="5" t="s">
        <v>41</v>
      </c>
      <c r="J106" s="5" t="str">
        <f aca="false">ROUND(91*1,0)&amp;"%"</f>
        <v>91%</v>
      </c>
    </row>
    <row r="107" customFormat="false" ht="15" hidden="false" customHeight="false" outlineLevel="0" collapsed="false">
      <c r="A107" s="6" t="s">
        <v>5810</v>
      </c>
      <c r="B107" s="6" t="s">
        <v>198</v>
      </c>
      <c r="C107" s="6" t="s">
        <v>57</v>
      </c>
      <c r="D107" s="6" t="s">
        <v>44</v>
      </c>
      <c r="E107" s="6" t="n">
        <f aca="false">ROUND(4851*1.05,2)</f>
        <v>5093.55</v>
      </c>
      <c r="F107" s="6" t="s">
        <v>45</v>
      </c>
      <c r="G107" s="6" t="s">
        <v>30</v>
      </c>
      <c r="H107" s="6" t="n">
        <f aca="true">ROUND(RAND()*4+6,1)</f>
        <v>7.2</v>
      </c>
      <c r="I107" s="6" t="s">
        <v>46</v>
      </c>
      <c r="J107" s="6" t="str">
        <f aca="false">ROUND(91*1,0)&amp;"%"</f>
        <v>91%</v>
      </c>
    </row>
    <row r="108" customFormat="false" ht="15" hidden="false" customHeight="false" outlineLevel="0" collapsed="false">
      <c r="A108" s="5" t="s">
        <v>5811</v>
      </c>
      <c r="B108" s="5" t="s">
        <v>200</v>
      </c>
      <c r="C108" s="5" t="s">
        <v>57</v>
      </c>
      <c r="D108" s="5" t="s">
        <v>16</v>
      </c>
      <c r="E108" s="5" t="n">
        <f aca="false">ROUND(5799*1.05,2)</f>
        <v>6088.95</v>
      </c>
      <c r="F108" s="5" t="s">
        <v>49</v>
      </c>
      <c r="G108" s="5" t="s">
        <v>18</v>
      </c>
      <c r="H108" s="5" t="n">
        <f aca="true">ROUND(RAND()*4+6,1)</f>
        <v>6.7</v>
      </c>
      <c r="I108" s="5" t="s">
        <v>19</v>
      </c>
      <c r="J108" s="5" t="str">
        <f aca="false">ROUND(69*1,0)&amp;"%"</f>
        <v>69%</v>
      </c>
    </row>
    <row r="109" customFormat="false" ht="15" hidden="false" customHeight="false" outlineLevel="0" collapsed="false">
      <c r="A109" s="6" t="s">
        <v>5812</v>
      </c>
      <c r="B109" s="6" t="s">
        <v>202</v>
      </c>
      <c r="C109" s="6" t="s">
        <v>57</v>
      </c>
      <c r="D109" s="6" t="s">
        <v>22</v>
      </c>
      <c r="E109" s="6" t="n">
        <f aca="false">ROUND(15940*1.05,2)</f>
        <v>16737</v>
      </c>
      <c r="F109" s="6" t="s">
        <v>52</v>
      </c>
      <c r="G109" s="6" t="s">
        <v>24</v>
      </c>
      <c r="H109" s="6" t="n">
        <f aca="true">ROUND(RAND()*4+6,1)</f>
        <v>6.5</v>
      </c>
      <c r="I109" s="6" t="s">
        <v>25</v>
      </c>
      <c r="J109" s="6" t="str">
        <f aca="false">ROUND(98*1,0)&amp;"%"</f>
        <v>98%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5813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5814</v>
      </c>
      <c r="B114" s="5" t="s">
        <v>206</v>
      </c>
      <c r="C114" s="5" t="s">
        <v>76</v>
      </c>
      <c r="D114" s="5" t="s">
        <v>16</v>
      </c>
      <c r="E114" s="5" t="n">
        <f aca="false">ROUND(8492*1.05,2)</f>
        <v>8916.6</v>
      </c>
      <c r="F114" s="5" t="s">
        <v>17</v>
      </c>
      <c r="G114" s="5" t="s">
        <v>18</v>
      </c>
      <c r="H114" s="5" t="n">
        <f aca="true">ROUND(RAND()*4+6,1)</f>
        <v>7.8</v>
      </c>
      <c r="I114" s="5" t="s">
        <v>19</v>
      </c>
      <c r="J114" s="5" t="str">
        <f aca="false">ROUND(75*1,0)&amp;"%"</f>
        <v>75%</v>
      </c>
    </row>
    <row r="115" customFormat="false" ht="15" hidden="false" customHeight="false" outlineLevel="0" collapsed="false">
      <c r="A115" s="6" t="s">
        <v>5815</v>
      </c>
      <c r="B115" s="6" t="s">
        <v>208</v>
      </c>
      <c r="C115" s="6" t="s">
        <v>76</v>
      </c>
      <c r="D115" s="6" t="s">
        <v>22</v>
      </c>
      <c r="E115" s="6" t="n">
        <f aca="false">ROUND(5017*1.05,2)</f>
        <v>5267.85</v>
      </c>
      <c r="F115" s="6" t="s">
        <v>23</v>
      </c>
      <c r="G115" s="6" t="s">
        <v>24</v>
      </c>
      <c r="H115" s="6" t="n">
        <f aca="true">ROUND(RAND()*4+6,1)</f>
        <v>6.4</v>
      </c>
      <c r="I115" s="6" t="s">
        <v>25</v>
      </c>
      <c r="J115" s="6" t="str">
        <f aca="false">ROUND(60*1,0)&amp;"%"</f>
        <v>60%</v>
      </c>
    </row>
    <row r="116" customFormat="false" ht="15" hidden="false" customHeight="false" outlineLevel="0" collapsed="false">
      <c r="A116" s="5" t="s">
        <v>5816</v>
      </c>
      <c r="B116" s="5" t="s">
        <v>210</v>
      </c>
      <c r="C116" s="5" t="s">
        <v>76</v>
      </c>
      <c r="D116" s="5" t="s">
        <v>28</v>
      </c>
      <c r="E116" s="5" t="n">
        <f aca="false">ROUND(17834*1.05,2)</f>
        <v>18725.7</v>
      </c>
      <c r="F116" s="5" t="s">
        <v>29</v>
      </c>
      <c r="G116" s="5" t="s">
        <v>30</v>
      </c>
      <c r="H116" s="5" t="n">
        <f aca="true">ROUND(RAND()*4+6,1)</f>
        <v>6.2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5817</v>
      </c>
      <c r="B117" s="6" t="s">
        <v>212</v>
      </c>
      <c r="C117" s="6" t="s">
        <v>76</v>
      </c>
      <c r="D117" s="6" t="s">
        <v>34</v>
      </c>
      <c r="E117" s="6" t="n">
        <f aca="false">ROUND(16061*1.05,2)</f>
        <v>16864.05</v>
      </c>
      <c r="F117" s="6" t="s">
        <v>35</v>
      </c>
      <c r="G117" s="6" t="s">
        <v>18</v>
      </c>
      <c r="H117" s="6" t="n">
        <f aca="true">ROUND(RAND()*4+6,1)</f>
        <v>8.9</v>
      </c>
      <c r="I117" s="6" t="s">
        <v>36</v>
      </c>
      <c r="J117" s="6" t="str">
        <f aca="false">ROUND(63*1,0)&amp;"%"</f>
        <v>63%</v>
      </c>
    </row>
    <row r="118" customFormat="false" ht="15" hidden="false" customHeight="false" outlineLevel="0" collapsed="false">
      <c r="A118" s="5" t="s">
        <v>5818</v>
      </c>
      <c r="B118" s="5" t="s">
        <v>214</v>
      </c>
      <c r="C118" s="5" t="s">
        <v>76</v>
      </c>
      <c r="D118" s="5" t="s">
        <v>39</v>
      </c>
      <c r="E118" s="5" t="n">
        <f aca="false">ROUND(6213*1.05,2)</f>
        <v>6523.65</v>
      </c>
      <c r="F118" s="5" t="s">
        <v>40</v>
      </c>
      <c r="G118" s="5" t="s">
        <v>24</v>
      </c>
      <c r="H118" s="5" t="n">
        <f aca="true">ROUND(RAND()*4+6,1)</f>
        <v>9.5</v>
      </c>
      <c r="I118" s="5" t="s">
        <v>41</v>
      </c>
      <c r="J118" s="5" t="str">
        <f aca="false">ROUND(77*1,0)&amp;"%"</f>
        <v>77%</v>
      </c>
    </row>
    <row r="119" customFormat="false" ht="15" hidden="false" customHeight="false" outlineLevel="0" collapsed="false">
      <c r="A119" s="6" t="s">
        <v>5819</v>
      </c>
      <c r="B119" s="6" t="s">
        <v>216</v>
      </c>
      <c r="C119" s="6" t="s">
        <v>76</v>
      </c>
      <c r="D119" s="6" t="s">
        <v>44</v>
      </c>
      <c r="E119" s="6" t="n">
        <f aca="false">ROUND(12902*1.05,2)</f>
        <v>13547.1</v>
      </c>
      <c r="F119" s="6" t="s">
        <v>45</v>
      </c>
      <c r="G119" s="6" t="s">
        <v>30</v>
      </c>
      <c r="H119" s="6" t="n">
        <f aca="true">ROUND(RAND()*4+6,1)</f>
        <v>9.1</v>
      </c>
      <c r="I119" s="6" t="s">
        <v>46</v>
      </c>
      <c r="J119" s="6" t="str">
        <f aca="false">ROUND(89*1,0)&amp;"%"</f>
        <v>89%</v>
      </c>
    </row>
    <row r="120" customFormat="false" ht="15" hidden="false" customHeight="false" outlineLevel="0" collapsed="false">
      <c r="A120" s="5" t="s">
        <v>5820</v>
      </c>
      <c r="B120" s="5" t="s">
        <v>218</v>
      </c>
      <c r="C120" s="5" t="s">
        <v>76</v>
      </c>
      <c r="D120" s="5" t="s">
        <v>16</v>
      </c>
      <c r="E120" s="5" t="n">
        <f aca="false">ROUND(12103*1.05,2)</f>
        <v>12708.15</v>
      </c>
      <c r="F120" s="5" t="s">
        <v>49</v>
      </c>
      <c r="G120" s="5" t="s">
        <v>18</v>
      </c>
      <c r="H120" s="5" t="n">
        <f aca="true">ROUND(RAND()*4+6,1)</f>
        <v>9.2</v>
      </c>
      <c r="I120" s="5" t="s">
        <v>19</v>
      </c>
      <c r="J120" s="5" t="str">
        <f aca="false">ROUND(98*1,0)&amp;"%"</f>
        <v>98%</v>
      </c>
    </row>
    <row r="121" customFormat="false" ht="15" hidden="false" customHeight="false" outlineLevel="0" collapsed="false">
      <c r="A121" s="6" t="s">
        <v>5821</v>
      </c>
      <c r="B121" s="6" t="s">
        <v>220</v>
      </c>
      <c r="C121" s="6" t="s">
        <v>76</v>
      </c>
      <c r="D121" s="6" t="s">
        <v>22</v>
      </c>
      <c r="E121" s="6" t="n">
        <f aca="false">ROUND(13553*1.05,2)</f>
        <v>14230.65</v>
      </c>
      <c r="F121" s="6" t="s">
        <v>52</v>
      </c>
      <c r="G121" s="6" t="s">
        <v>24</v>
      </c>
      <c r="H121" s="6" t="n">
        <f aca="true">ROUND(RAND()*4+6,1)</f>
        <v>6.9</v>
      </c>
      <c r="I121" s="6" t="s">
        <v>25</v>
      </c>
      <c r="J121" s="6" t="str">
        <f aca="false">ROUND(91*1,0)&amp;"%"</f>
        <v>91%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5822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5823</v>
      </c>
      <c r="B126" s="5" t="s">
        <v>224</v>
      </c>
      <c r="C126" s="5" t="s">
        <v>95</v>
      </c>
      <c r="D126" s="5" t="s">
        <v>16</v>
      </c>
      <c r="E126" s="5" t="n">
        <f aca="false">ROUND(5265*1.05,2)</f>
        <v>5528.25</v>
      </c>
      <c r="F126" s="5" t="s">
        <v>17</v>
      </c>
      <c r="G126" s="5" t="s">
        <v>18</v>
      </c>
      <c r="H126" s="5" t="n">
        <f aca="true">ROUND(RAND()*4+6,1)</f>
        <v>9</v>
      </c>
      <c r="I126" s="5" t="s">
        <v>19</v>
      </c>
      <c r="J126" s="5" t="str">
        <f aca="false">ROUND(87*1,0)&amp;"%"</f>
        <v>87%</v>
      </c>
    </row>
    <row r="127" customFormat="false" ht="15" hidden="false" customHeight="false" outlineLevel="0" collapsed="false">
      <c r="A127" s="6" t="s">
        <v>5824</v>
      </c>
      <c r="B127" s="6" t="s">
        <v>226</v>
      </c>
      <c r="C127" s="6" t="s">
        <v>95</v>
      </c>
      <c r="D127" s="6" t="s">
        <v>22</v>
      </c>
      <c r="E127" s="6" t="n">
        <f aca="false">ROUND(11318*1.05,2)</f>
        <v>11883.9</v>
      </c>
      <c r="F127" s="6" t="s">
        <v>23</v>
      </c>
      <c r="G127" s="6" t="s">
        <v>24</v>
      </c>
      <c r="H127" s="6" t="n">
        <f aca="true">ROUND(RAND()*4+6,1)</f>
        <v>9.2</v>
      </c>
      <c r="I127" s="6" t="s">
        <v>25</v>
      </c>
      <c r="J127" s="6" t="str">
        <f aca="false">ROUND(84*1,0)&amp;"%"</f>
        <v>84%</v>
      </c>
    </row>
    <row r="128" customFormat="false" ht="15" hidden="false" customHeight="false" outlineLevel="0" collapsed="false">
      <c r="A128" s="5" t="s">
        <v>5825</v>
      </c>
      <c r="B128" s="5" t="s">
        <v>228</v>
      </c>
      <c r="C128" s="5" t="s">
        <v>95</v>
      </c>
      <c r="D128" s="5" t="s">
        <v>28</v>
      </c>
      <c r="E128" s="5" t="n">
        <f aca="false">ROUND(14699*1.05,2)</f>
        <v>15433.95</v>
      </c>
      <c r="F128" s="5" t="s">
        <v>29</v>
      </c>
      <c r="G128" s="5" t="s">
        <v>30</v>
      </c>
      <c r="H128" s="5" t="n">
        <f aca="true">ROUND(RAND()*4+6,1)</f>
        <v>7.9</v>
      </c>
      <c r="I128" s="5" t="s">
        <v>31</v>
      </c>
      <c r="J128" s="5" t="str">
        <f aca="false">ROUND(74*1,0)&amp;"%"</f>
        <v>74%</v>
      </c>
    </row>
    <row r="129" customFormat="false" ht="15" hidden="false" customHeight="false" outlineLevel="0" collapsed="false">
      <c r="A129" s="6" t="s">
        <v>5826</v>
      </c>
      <c r="B129" s="6" t="s">
        <v>230</v>
      </c>
      <c r="C129" s="6" t="s">
        <v>95</v>
      </c>
      <c r="D129" s="6" t="s">
        <v>34</v>
      </c>
      <c r="E129" s="6" t="n">
        <f aca="false">ROUND(12116*1.05,2)</f>
        <v>12721.8</v>
      </c>
      <c r="F129" s="6" t="s">
        <v>35</v>
      </c>
      <c r="G129" s="6" t="s">
        <v>18</v>
      </c>
      <c r="H129" s="6" t="n">
        <f aca="true">ROUND(RAND()*4+6,1)</f>
        <v>8.7</v>
      </c>
      <c r="I129" s="6" t="s">
        <v>36</v>
      </c>
      <c r="J129" s="6" t="str">
        <f aca="false">ROUND(77*1,0)&amp;"%"</f>
        <v>77%</v>
      </c>
    </row>
    <row r="130" customFormat="false" ht="15" hidden="false" customHeight="false" outlineLevel="0" collapsed="false">
      <c r="A130" s="5" t="s">
        <v>5827</v>
      </c>
      <c r="B130" s="5" t="s">
        <v>232</v>
      </c>
      <c r="C130" s="5" t="s">
        <v>95</v>
      </c>
      <c r="D130" s="5" t="s">
        <v>39</v>
      </c>
      <c r="E130" s="5" t="n">
        <f aca="false">ROUND(13104*1.05,2)</f>
        <v>13759.2</v>
      </c>
      <c r="F130" s="5" t="s">
        <v>40</v>
      </c>
      <c r="G130" s="5" t="s">
        <v>24</v>
      </c>
      <c r="H130" s="5" t="n">
        <f aca="true">ROUND(RAND()*4+6,1)</f>
        <v>8.5</v>
      </c>
      <c r="I130" s="5" t="s">
        <v>41</v>
      </c>
      <c r="J130" s="5" t="str">
        <f aca="false">ROUND(89*1,0)&amp;"%"</f>
        <v>89%</v>
      </c>
    </row>
    <row r="131" customFormat="false" ht="15" hidden="false" customHeight="false" outlineLevel="0" collapsed="false">
      <c r="A131" s="6" t="s">
        <v>5828</v>
      </c>
      <c r="B131" s="6" t="s">
        <v>234</v>
      </c>
      <c r="C131" s="6" t="s">
        <v>95</v>
      </c>
      <c r="D131" s="6" t="s">
        <v>44</v>
      </c>
      <c r="E131" s="6" t="n">
        <f aca="false">ROUND(6475*1.05,2)</f>
        <v>6798.75</v>
      </c>
      <c r="F131" s="6" t="s">
        <v>45</v>
      </c>
      <c r="G131" s="6" t="s">
        <v>30</v>
      </c>
      <c r="H131" s="6" t="n">
        <f aca="true">ROUND(RAND()*4+6,1)</f>
        <v>8</v>
      </c>
      <c r="I131" s="6" t="s">
        <v>46</v>
      </c>
      <c r="J131" s="6" t="str">
        <f aca="false">ROUND(71*1,0)&amp;"%"</f>
        <v>71%</v>
      </c>
    </row>
    <row r="132" customFormat="false" ht="15" hidden="false" customHeight="false" outlineLevel="0" collapsed="false">
      <c r="A132" s="5" t="s">
        <v>5829</v>
      </c>
      <c r="B132" s="5" t="s">
        <v>236</v>
      </c>
      <c r="C132" s="5" t="s">
        <v>95</v>
      </c>
      <c r="D132" s="5" t="s">
        <v>16</v>
      </c>
      <c r="E132" s="5" t="n">
        <f aca="false">ROUND(4093*1.05,2)</f>
        <v>4297.65</v>
      </c>
      <c r="F132" s="5" t="s">
        <v>49</v>
      </c>
      <c r="G132" s="5" t="s">
        <v>18</v>
      </c>
      <c r="H132" s="5" t="n">
        <f aca="true">ROUND(RAND()*4+6,1)</f>
        <v>7.7</v>
      </c>
      <c r="I132" s="5" t="s">
        <v>19</v>
      </c>
      <c r="J132" s="5" t="str">
        <f aca="false">ROUND(89*1,0)&amp;"%"</f>
        <v>89%</v>
      </c>
    </row>
    <row r="133" customFormat="false" ht="15" hidden="false" customHeight="false" outlineLevel="0" collapsed="false">
      <c r="A133" s="6" t="s">
        <v>5830</v>
      </c>
      <c r="B133" s="6" t="s">
        <v>238</v>
      </c>
      <c r="C133" s="6" t="s">
        <v>95</v>
      </c>
      <c r="D133" s="6" t="s">
        <v>22</v>
      </c>
      <c r="E133" s="6" t="n">
        <f aca="false">ROUND(14503*1.05,2)</f>
        <v>15228.15</v>
      </c>
      <c r="F133" s="6" t="s">
        <v>52</v>
      </c>
      <c r="G133" s="6" t="s">
        <v>24</v>
      </c>
      <c r="H133" s="6" t="n">
        <f aca="true">ROUND(RAND()*4+6,1)</f>
        <v>8.8</v>
      </c>
      <c r="I133" s="6" t="s">
        <v>25</v>
      </c>
      <c r="J133" s="6" t="str">
        <f aca="false">ROUND(66*1,0)&amp;"%"</f>
        <v>66%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5831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5832</v>
      </c>
      <c r="B138" s="5" t="s">
        <v>242</v>
      </c>
      <c r="C138" s="5" t="s">
        <v>114</v>
      </c>
      <c r="D138" s="5" t="s">
        <v>16</v>
      </c>
      <c r="E138" s="5" t="n">
        <f aca="false">ROUND(9919*1.05,2)</f>
        <v>10414.95</v>
      </c>
      <c r="F138" s="5" t="s">
        <v>17</v>
      </c>
      <c r="G138" s="5" t="s">
        <v>18</v>
      </c>
      <c r="H138" s="5" t="n">
        <f aca="true">ROUND(RAND()*4+6,1)</f>
        <v>9.4</v>
      </c>
      <c r="I138" s="5" t="s">
        <v>19</v>
      </c>
      <c r="J138" s="5" t="str">
        <f aca="false">ROUND(81*1,0)&amp;"%"</f>
        <v>81%</v>
      </c>
    </row>
    <row r="139" customFormat="false" ht="15" hidden="false" customHeight="false" outlineLevel="0" collapsed="false">
      <c r="A139" s="6" t="s">
        <v>5833</v>
      </c>
      <c r="B139" s="6" t="s">
        <v>244</v>
      </c>
      <c r="C139" s="6" t="s">
        <v>114</v>
      </c>
      <c r="D139" s="6" t="s">
        <v>22</v>
      </c>
      <c r="E139" s="6" t="n">
        <f aca="false">ROUND(16391*1.05,2)</f>
        <v>17210.55</v>
      </c>
      <c r="F139" s="6" t="s">
        <v>23</v>
      </c>
      <c r="G139" s="6" t="s">
        <v>24</v>
      </c>
      <c r="H139" s="6" t="n">
        <f aca="true">ROUND(RAND()*4+6,1)</f>
        <v>9.6</v>
      </c>
      <c r="I139" s="6" t="s">
        <v>25</v>
      </c>
      <c r="J139" s="6" t="str">
        <f aca="false">ROUND(79*1,0)&amp;"%"</f>
        <v>79%</v>
      </c>
    </row>
    <row r="140" customFormat="false" ht="15" hidden="false" customHeight="false" outlineLevel="0" collapsed="false">
      <c r="A140" s="5" t="s">
        <v>5834</v>
      </c>
      <c r="B140" s="5" t="s">
        <v>246</v>
      </c>
      <c r="C140" s="5" t="s">
        <v>114</v>
      </c>
      <c r="D140" s="5" t="s">
        <v>28</v>
      </c>
      <c r="E140" s="5" t="n">
        <f aca="false">ROUND(9141*1.05,2)</f>
        <v>9598.05</v>
      </c>
      <c r="F140" s="5" t="s">
        <v>29</v>
      </c>
      <c r="G140" s="5" t="s">
        <v>30</v>
      </c>
      <c r="H140" s="5" t="n">
        <f aca="true">ROUND(RAND()*4+6,1)</f>
        <v>9.2</v>
      </c>
      <c r="I140" s="5" t="s">
        <v>31</v>
      </c>
      <c r="J140" s="5" t="str">
        <f aca="false">ROUND(65*1,0)&amp;"%"</f>
        <v>65%</v>
      </c>
    </row>
    <row r="141" customFormat="false" ht="15" hidden="false" customHeight="false" outlineLevel="0" collapsed="false">
      <c r="A141" s="6" t="s">
        <v>5835</v>
      </c>
      <c r="B141" s="6" t="s">
        <v>248</v>
      </c>
      <c r="C141" s="6" t="s">
        <v>114</v>
      </c>
      <c r="D141" s="6" t="s">
        <v>34</v>
      </c>
      <c r="E141" s="6" t="n">
        <f aca="false">ROUND(16778*1.05,2)</f>
        <v>17616.9</v>
      </c>
      <c r="F141" s="6" t="s">
        <v>35</v>
      </c>
      <c r="G141" s="6" t="s">
        <v>18</v>
      </c>
      <c r="H141" s="6" t="n">
        <f aca="true">ROUND(RAND()*4+6,1)</f>
        <v>6.3</v>
      </c>
      <c r="I141" s="6" t="s">
        <v>36</v>
      </c>
      <c r="J141" s="6" t="str">
        <f aca="false">ROUND(63*1,0)&amp;"%"</f>
        <v>63%</v>
      </c>
    </row>
    <row r="142" customFormat="false" ht="15" hidden="false" customHeight="false" outlineLevel="0" collapsed="false">
      <c r="A142" s="5" t="s">
        <v>5836</v>
      </c>
      <c r="B142" s="5" t="s">
        <v>250</v>
      </c>
      <c r="C142" s="5" t="s">
        <v>114</v>
      </c>
      <c r="D142" s="5" t="s">
        <v>39</v>
      </c>
      <c r="E142" s="5" t="n">
        <f aca="false">ROUND(13040*1.05,2)</f>
        <v>13692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ROUND(90*1,0)&amp;"%"</f>
        <v>90%</v>
      </c>
    </row>
    <row r="143" customFormat="false" ht="15" hidden="false" customHeight="false" outlineLevel="0" collapsed="false">
      <c r="A143" s="6" t="s">
        <v>5837</v>
      </c>
      <c r="B143" s="6" t="s">
        <v>252</v>
      </c>
      <c r="C143" s="6" t="s">
        <v>114</v>
      </c>
      <c r="D143" s="6" t="s">
        <v>44</v>
      </c>
      <c r="E143" s="6" t="n">
        <f aca="false">ROUND(6285*1.05,2)</f>
        <v>6599.25</v>
      </c>
      <c r="F143" s="6" t="s">
        <v>45</v>
      </c>
      <c r="G143" s="6" t="s">
        <v>30</v>
      </c>
      <c r="H143" s="6" t="n">
        <f aca="true">ROUND(RAND()*4+6,1)</f>
        <v>7</v>
      </c>
      <c r="I143" s="6" t="s">
        <v>46</v>
      </c>
      <c r="J143" s="6" t="str">
        <f aca="false">ROUND(71*1,0)&amp;"%"</f>
        <v>71%</v>
      </c>
    </row>
    <row r="144" customFormat="false" ht="15" hidden="false" customHeight="false" outlineLevel="0" collapsed="false">
      <c r="A144" s="5" t="s">
        <v>5838</v>
      </c>
      <c r="B144" s="5" t="s">
        <v>254</v>
      </c>
      <c r="C144" s="5" t="s">
        <v>114</v>
      </c>
      <c r="D144" s="5" t="s">
        <v>16</v>
      </c>
      <c r="E144" s="5" t="n">
        <f aca="false">ROUND(14026*1.05,2)</f>
        <v>14727.3</v>
      </c>
      <c r="F144" s="5" t="s">
        <v>49</v>
      </c>
      <c r="G144" s="5" t="s">
        <v>18</v>
      </c>
      <c r="H144" s="5" t="n">
        <f aca="true">ROUND(RAND()*4+6,1)</f>
        <v>9.1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5839</v>
      </c>
      <c r="B145" s="6" t="s">
        <v>256</v>
      </c>
      <c r="C145" s="6" t="s">
        <v>114</v>
      </c>
      <c r="D145" s="6" t="s">
        <v>22</v>
      </c>
      <c r="E145" s="6" t="n">
        <f aca="false">ROUND(16149*1.05,2)</f>
        <v>16956.45</v>
      </c>
      <c r="F145" s="6" t="s">
        <v>52</v>
      </c>
      <c r="G145" s="6" t="s">
        <v>24</v>
      </c>
      <c r="H145" s="6" t="n">
        <f aca="true">ROUND(RAND()*4+6,1)</f>
        <v>7.5</v>
      </c>
      <c r="I145" s="6" t="s">
        <v>25</v>
      </c>
      <c r="J145" s="6" t="str">
        <f aca="false">ROUND(72*1,0)&amp;"%"</f>
        <v>72%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5840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5841</v>
      </c>
      <c r="B150" s="5" t="s">
        <v>260</v>
      </c>
      <c r="C150" s="5" t="s">
        <v>133</v>
      </c>
      <c r="D150" s="5" t="s">
        <v>16</v>
      </c>
      <c r="E150" s="5" t="n">
        <f aca="false">ROUND(9060*1.05,2)</f>
        <v>9513</v>
      </c>
      <c r="F150" s="5" t="s">
        <v>17</v>
      </c>
      <c r="G150" s="5" t="s">
        <v>18</v>
      </c>
      <c r="H150" s="5" t="n">
        <f aca="true">ROUND(RAND()*4+6,1)</f>
        <v>7.4</v>
      </c>
      <c r="I150" s="5" t="s">
        <v>19</v>
      </c>
      <c r="J150" s="5" t="str">
        <f aca="false">ROUND(81*1,0)&amp;"%"</f>
        <v>81%</v>
      </c>
    </row>
    <row r="151" customFormat="false" ht="15" hidden="false" customHeight="false" outlineLevel="0" collapsed="false">
      <c r="A151" s="6" t="s">
        <v>5842</v>
      </c>
      <c r="B151" s="6" t="s">
        <v>262</v>
      </c>
      <c r="C151" s="6" t="s">
        <v>133</v>
      </c>
      <c r="D151" s="6" t="s">
        <v>22</v>
      </c>
      <c r="E151" s="6" t="n">
        <f aca="false">ROUND(16473*1.05,2)</f>
        <v>17296.65</v>
      </c>
      <c r="F151" s="6" t="s">
        <v>23</v>
      </c>
      <c r="G151" s="6" t="s">
        <v>24</v>
      </c>
      <c r="H151" s="6" t="n">
        <f aca="true">ROUND(RAND()*4+6,1)</f>
        <v>6.3</v>
      </c>
      <c r="I151" s="6" t="s">
        <v>25</v>
      </c>
      <c r="J151" s="6" t="str">
        <f aca="false">ROUND(95*1,0)&amp;"%"</f>
        <v>95%</v>
      </c>
    </row>
    <row r="152" customFormat="false" ht="15" hidden="false" customHeight="false" outlineLevel="0" collapsed="false">
      <c r="A152" s="5" t="s">
        <v>5843</v>
      </c>
      <c r="B152" s="5" t="s">
        <v>264</v>
      </c>
      <c r="C152" s="5" t="s">
        <v>133</v>
      </c>
      <c r="D152" s="5" t="s">
        <v>28</v>
      </c>
      <c r="E152" s="5" t="n">
        <f aca="false">ROUND(14287*1.05,2)</f>
        <v>15001.35</v>
      </c>
      <c r="F152" s="5" t="s">
        <v>29</v>
      </c>
      <c r="G152" s="5" t="s">
        <v>30</v>
      </c>
      <c r="H152" s="5" t="n">
        <f aca="true">ROUND(RAND()*4+6,1)</f>
        <v>8</v>
      </c>
      <c r="I152" s="5" t="s">
        <v>31</v>
      </c>
      <c r="J152" s="5" t="str">
        <f aca="false">ROUND(80*1,0)&amp;"%"</f>
        <v>80%</v>
      </c>
    </row>
    <row r="153" customFormat="false" ht="15" hidden="false" customHeight="false" outlineLevel="0" collapsed="false">
      <c r="A153" s="6" t="s">
        <v>5844</v>
      </c>
      <c r="B153" s="6" t="s">
        <v>266</v>
      </c>
      <c r="C153" s="6" t="s">
        <v>133</v>
      </c>
      <c r="D153" s="6" t="s">
        <v>34</v>
      </c>
      <c r="E153" s="6" t="n">
        <f aca="false">ROUND(6390*1.05,2)</f>
        <v>6709.5</v>
      </c>
      <c r="F153" s="6" t="s">
        <v>35</v>
      </c>
      <c r="G153" s="6" t="s">
        <v>18</v>
      </c>
      <c r="H153" s="6" t="n">
        <f aca="true">ROUND(RAND()*4+6,1)</f>
        <v>8.7</v>
      </c>
      <c r="I153" s="6" t="s">
        <v>36</v>
      </c>
      <c r="J153" s="6" t="str">
        <f aca="false">ROUND(68*1,0)&amp;"%"</f>
        <v>68%</v>
      </c>
    </row>
    <row r="154" customFormat="false" ht="15" hidden="false" customHeight="false" outlineLevel="0" collapsed="false">
      <c r="A154" s="5" t="s">
        <v>5845</v>
      </c>
      <c r="B154" s="5" t="s">
        <v>268</v>
      </c>
      <c r="C154" s="5" t="s">
        <v>133</v>
      </c>
      <c r="D154" s="5" t="s">
        <v>39</v>
      </c>
      <c r="E154" s="5" t="n">
        <f aca="false">ROUND(12733*1.05,2)</f>
        <v>13369.65</v>
      </c>
      <c r="F154" s="5" t="s">
        <v>40</v>
      </c>
      <c r="G154" s="5" t="s">
        <v>24</v>
      </c>
      <c r="H154" s="5" t="n">
        <f aca="true">ROUND(RAND()*4+6,1)</f>
        <v>9</v>
      </c>
      <c r="I154" s="5" t="s">
        <v>41</v>
      </c>
      <c r="J154" s="5" t="str">
        <f aca="false">ROUND(91*1,0)&amp;"%"</f>
        <v>91%</v>
      </c>
    </row>
    <row r="155" customFormat="false" ht="15" hidden="false" customHeight="false" outlineLevel="0" collapsed="false">
      <c r="A155" s="6" t="s">
        <v>5846</v>
      </c>
      <c r="B155" s="6" t="s">
        <v>270</v>
      </c>
      <c r="C155" s="6" t="s">
        <v>133</v>
      </c>
      <c r="D155" s="6" t="s">
        <v>44</v>
      </c>
      <c r="E155" s="6" t="n">
        <f aca="false">ROUND(5377*1.05,2)</f>
        <v>5645.85</v>
      </c>
      <c r="F155" s="6" t="s">
        <v>45</v>
      </c>
      <c r="G155" s="6" t="s">
        <v>30</v>
      </c>
      <c r="H155" s="6" t="n">
        <f aca="true">ROUND(RAND()*4+6,1)</f>
        <v>9.3</v>
      </c>
      <c r="I155" s="6" t="s">
        <v>46</v>
      </c>
      <c r="J155" s="6" t="str">
        <f aca="false">ROUND(89*1,0)&amp;"%"</f>
        <v>89%</v>
      </c>
    </row>
    <row r="156" customFormat="false" ht="15" hidden="false" customHeight="false" outlineLevel="0" collapsed="false">
      <c r="A156" s="5" t="s">
        <v>5847</v>
      </c>
      <c r="B156" s="5" t="s">
        <v>272</v>
      </c>
      <c r="C156" s="5" t="s">
        <v>133</v>
      </c>
      <c r="D156" s="5" t="s">
        <v>16</v>
      </c>
      <c r="E156" s="5" t="n">
        <f aca="false">ROUND(15780*1.05,2)</f>
        <v>16569</v>
      </c>
      <c r="F156" s="5" t="s">
        <v>49</v>
      </c>
      <c r="G156" s="5" t="s">
        <v>18</v>
      </c>
      <c r="H156" s="5" t="n">
        <f aca="true">ROUND(RAND()*4+6,1)</f>
        <v>9.9</v>
      </c>
      <c r="I156" s="5" t="s">
        <v>19</v>
      </c>
      <c r="J156" s="5" t="str">
        <f aca="false">ROUND(78*1,0)&amp;"%"</f>
        <v>78%</v>
      </c>
    </row>
    <row r="157" customFormat="false" ht="15" hidden="false" customHeight="false" outlineLevel="0" collapsed="false">
      <c r="A157" s="6" t="s">
        <v>5848</v>
      </c>
      <c r="B157" s="6" t="s">
        <v>274</v>
      </c>
      <c r="C157" s="6" t="s">
        <v>133</v>
      </c>
      <c r="D157" s="6" t="s">
        <v>22</v>
      </c>
      <c r="E157" s="6" t="n">
        <f aca="false">ROUND(9271*1.05,2)</f>
        <v>9734.55</v>
      </c>
      <c r="F157" s="6" t="s">
        <v>52</v>
      </c>
      <c r="G157" s="6" t="s">
        <v>24</v>
      </c>
      <c r="H157" s="6" t="n">
        <f aca="true">ROUND(RAND()*4+6,1)</f>
        <v>6.4</v>
      </c>
      <c r="I157" s="6" t="s">
        <v>25</v>
      </c>
      <c r="J157" s="6" t="str">
        <f aca="false">ROUND(77*1,0)&amp;"%"</f>
        <v>77%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5849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5850</v>
      </c>
      <c r="B162" s="5" t="s">
        <v>278</v>
      </c>
      <c r="C162" s="5" t="s">
        <v>152</v>
      </c>
      <c r="D162" s="5" t="s">
        <v>16</v>
      </c>
      <c r="E162" s="5" t="n">
        <f aca="false">ROUND(11604*1.05,2)</f>
        <v>12184.2</v>
      </c>
      <c r="F162" s="5" t="s">
        <v>17</v>
      </c>
      <c r="G162" s="5" t="s">
        <v>18</v>
      </c>
      <c r="H162" s="5" t="n">
        <f aca="true">ROUND(RAND()*4+6,1)</f>
        <v>7.2</v>
      </c>
      <c r="I162" s="5" t="s">
        <v>19</v>
      </c>
      <c r="J162" s="5" t="str">
        <f aca="false">ROUND(97*1,0)&amp;"%"</f>
        <v>97%</v>
      </c>
    </row>
    <row r="163" customFormat="false" ht="15" hidden="false" customHeight="false" outlineLevel="0" collapsed="false">
      <c r="A163" s="6" t="s">
        <v>5851</v>
      </c>
      <c r="B163" s="6" t="s">
        <v>280</v>
      </c>
      <c r="C163" s="6" t="s">
        <v>152</v>
      </c>
      <c r="D163" s="6" t="s">
        <v>22</v>
      </c>
      <c r="E163" s="6" t="n">
        <f aca="false">ROUND(10180*1.05,2)</f>
        <v>10689</v>
      </c>
      <c r="F163" s="6" t="s">
        <v>23</v>
      </c>
      <c r="G163" s="6" t="s">
        <v>24</v>
      </c>
      <c r="H163" s="6" t="n">
        <f aca="true">ROUND(RAND()*4+6,1)</f>
        <v>7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5852</v>
      </c>
      <c r="B164" s="5" t="s">
        <v>282</v>
      </c>
      <c r="C164" s="5" t="s">
        <v>152</v>
      </c>
      <c r="D164" s="5" t="s">
        <v>28</v>
      </c>
      <c r="E164" s="5" t="n">
        <f aca="false">ROUND(8798*1.05,2)</f>
        <v>9237.9</v>
      </c>
      <c r="F164" s="5" t="s">
        <v>29</v>
      </c>
      <c r="G164" s="5" t="s">
        <v>30</v>
      </c>
      <c r="H164" s="5" t="n">
        <f aca="true">ROUND(RAND()*4+6,1)</f>
        <v>7.5</v>
      </c>
      <c r="I164" s="5" t="s">
        <v>31</v>
      </c>
      <c r="J164" s="5" t="str">
        <f aca="false">ROUND(66*1,0)&amp;"%"</f>
        <v>66%</v>
      </c>
    </row>
    <row r="165" customFormat="false" ht="15" hidden="false" customHeight="false" outlineLevel="0" collapsed="false">
      <c r="A165" s="6" t="s">
        <v>5853</v>
      </c>
      <c r="B165" s="6" t="s">
        <v>284</v>
      </c>
      <c r="C165" s="6" t="s">
        <v>152</v>
      </c>
      <c r="D165" s="6" t="s">
        <v>34</v>
      </c>
      <c r="E165" s="6" t="n">
        <f aca="false">ROUND(10410*1.05,2)</f>
        <v>10930.5</v>
      </c>
      <c r="F165" s="6" t="s">
        <v>35</v>
      </c>
      <c r="G165" s="6" t="s">
        <v>18</v>
      </c>
      <c r="H165" s="6" t="n">
        <f aca="true">ROUND(RAND()*4+6,1)</f>
        <v>6.9</v>
      </c>
      <c r="I165" s="6" t="s">
        <v>36</v>
      </c>
      <c r="J165" s="6" t="str">
        <f aca="false">ROUND(70*1,0)&amp;"%"</f>
        <v>70%</v>
      </c>
    </row>
    <row r="166" customFormat="false" ht="15" hidden="false" customHeight="false" outlineLevel="0" collapsed="false">
      <c r="A166" s="5" t="s">
        <v>5854</v>
      </c>
      <c r="B166" s="5" t="s">
        <v>286</v>
      </c>
      <c r="C166" s="5" t="s">
        <v>152</v>
      </c>
      <c r="D166" s="5" t="s">
        <v>39</v>
      </c>
      <c r="E166" s="5" t="n">
        <f aca="false">ROUND(9535*1.05,2)</f>
        <v>10011.75</v>
      </c>
      <c r="F166" s="5" t="s">
        <v>40</v>
      </c>
      <c r="G166" s="5" t="s">
        <v>24</v>
      </c>
      <c r="H166" s="5" t="n">
        <f aca="true">ROUND(RAND()*4+6,1)</f>
        <v>6.8</v>
      </c>
      <c r="I166" s="5" t="s">
        <v>41</v>
      </c>
      <c r="J166" s="5" t="str">
        <f aca="false">ROUND(82*1,0)&amp;"%"</f>
        <v>82%</v>
      </c>
    </row>
    <row r="167" customFormat="false" ht="15" hidden="false" customHeight="false" outlineLevel="0" collapsed="false">
      <c r="A167" s="6" t="s">
        <v>5855</v>
      </c>
      <c r="B167" s="6" t="s">
        <v>288</v>
      </c>
      <c r="C167" s="6" t="s">
        <v>152</v>
      </c>
      <c r="D167" s="6" t="s">
        <v>44</v>
      </c>
      <c r="E167" s="6" t="n">
        <f aca="false">ROUND(16357*1.05,2)</f>
        <v>17174.85</v>
      </c>
      <c r="F167" s="6" t="s">
        <v>45</v>
      </c>
      <c r="G167" s="6" t="s">
        <v>30</v>
      </c>
      <c r="H167" s="6" t="n">
        <f aca="true">ROUND(RAND()*4+6,1)</f>
        <v>7.6</v>
      </c>
      <c r="I167" s="6" t="s">
        <v>46</v>
      </c>
      <c r="J167" s="6" t="str">
        <f aca="false">ROUND(89*1,0)&amp;"%"</f>
        <v>89%</v>
      </c>
    </row>
    <row r="168" customFormat="false" ht="15" hidden="false" customHeight="false" outlineLevel="0" collapsed="false">
      <c r="A168" s="5" t="s">
        <v>5856</v>
      </c>
      <c r="B168" s="5" t="s">
        <v>290</v>
      </c>
      <c r="C168" s="5" t="s">
        <v>152</v>
      </c>
      <c r="D168" s="5" t="s">
        <v>16</v>
      </c>
      <c r="E168" s="5" t="n">
        <f aca="false">ROUND(7927*1.05,2)</f>
        <v>8323.35</v>
      </c>
      <c r="F168" s="5" t="s">
        <v>49</v>
      </c>
      <c r="G168" s="5" t="s">
        <v>18</v>
      </c>
      <c r="H168" s="5" t="n">
        <f aca="true">ROUND(RAND()*4+6,1)</f>
        <v>9.6</v>
      </c>
      <c r="I168" s="5" t="s">
        <v>19</v>
      </c>
      <c r="J168" s="5" t="str">
        <f aca="false">ROUND(65*1,0)&amp;"%"</f>
        <v>65%</v>
      </c>
    </row>
    <row r="169" customFormat="false" ht="15" hidden="false" customHeight="false" outlineLevel="0" collapsed="false">
      <c r="A169" s="6" t="s">
        <v>5857</v>
      </c>
      <c r="B169" s="6" t="s">
        <v>292</v>
      </c>
      <c r="C169" s="6" t="s">
        <v>152</v>
      </c>
      <c r="D169" s="6" t="s">
        <v>22</v>
      </c>
      <c r="E169" s="6" t="n">
        <f aca="false">ROUND(5698*1.05,2)</f>
        <v>5982.9</v>
      </c>
      <c r="F169" s="6" t="s">
        <v>52</v>
      </c>
      <c r="G169" s="6" t="s">
        <v>24</v>
      </c>
      <c r="H169" s="6" t="n">
        <f aca="true">ROUND(RAND()*4+6,1)</f>
        <v>7.1</v>
      </c>
      <c r="I169" s="6" t="s">
        <v>25</v>
      </c>
      <c r="J169" s="6" t="str">
        <f aca="false">ROUND(69*1,0)&amp;"%"</f>
        <v>69%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5858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5859</v>
      </c>
      <c r="B174" s="5" t="s">
        <v>296</v>
      </c>
      <c r="C174" s="5" t="s">
        <v>15</v>
      </c>
      <c r="D174" s="5" t="s">
        <v>16</v>
      </c>
      <c r="E174" s="5" t="n">
        <f aca="false">ROUND(7509*1.05,2)</f>
        <v>7884.45</v>
      </c>
      <c r="F174" s="5" t="s">
        <v>17</v>
      </c>
      <c r="G174" s="5" t="s">
        <v>18</v>
      </c>
      <c r="H174" s="5" t="n">
        <f aca="true">ROUND(RAND()*4+6,1)</f>
        <v>7</v>
      </c>
      <c r="I174" s="5" t="s">
        <v>19</v>
      </c>
      <c r="J174" s="5" t="str">
        <f aca="false">ROUND(96*1,0)&amp;"%"</f>
        <v>96%</v>
      </c>
    </row>
    <row r="175" customFormat="false" ht="15" hidden="false" customHeight="false" outlineLevel="0" collapsed="false">
      <c r="A175" s="6" t="s">
        <v>5860</v>
      </c>
      <c r="B175" s="6" t="s">
        <v>298</v>
      </c>
      <c r="C175" s="6" t="s">
        <v>15</v>
      </c>
      <c r="D175" s="6" t="s">
        <v>22</v>
      </c>
      <c r="E175" s="6" t="n">
        <f aca="false">ROUND(6190*1.05,2)</f>
        <v>6499.5</v>
      </c>
      <c r="F175" s="6" t="s">
        <v>23</v>
      </c>
      <c r="G175" s="6" t="s">
        <v>24</v>
      </c>
      <c r="H175" s="6" t="n">
        <f aca="true">ROUND(RAND()*4+6,1)</f>
        <v>9.5</v>
      </c>
      <c r="I175" s="6" t="s">
        <v>25</v>
      </c>
      <c r="J175" s="6" t="str">
        <f aca="false">ROUND(64*1,0)&amp;"%"</f>
        <v>64%</v>
      </c>
    </row>
    <row r="176" customFormat="false" ht="15" hidden="false" customHeight="false" outlineLevel="0" collapsed="false">
      <c r="A176" s="5" t="s">
        <v>5861</v>
      </c>
      <c r="B176" s="5" t="s">
        <v>300</v>
      </c>
      <c r="C176" s="5" t="s">
        <v>15</v>
      </c>
      <c r="D176" s="5" t="s">
        <v>28</v>
      </c>
      <c r="E176" s="5" t="n">
        <f aca="false">ROUND(10286*1.05,2)</f>
        <v>10800.3</v>
      </c>
      <c r="F176" s="5" t="s">
        <v>29</v>
      </c>
      <c r="G176" s="5" t="s">
        <v>30</v>
      </c>
      <c r="H176" s="5" t="n">
        <f aca="true">ROUND(RAND()*4+6,1)</f>
        <v>7.4</v>
      </c>
      <c r="I176" s="5" t="s">
        <v>31</v>
      </c>
      <c r="J176" s="5" t="str">
        <f aca="false">ROUND(73*1,0)&amp;"%"</f>
        <v>73%</v>
      </c>
    </row>
    <row r="177" customFormat="false" ht="15" hidden="false" customHeight="false" outlineLevel="0" collapsed="false">
      <c r="A177" s="6" t="s">
        <v>5862</v>
      </c>
      <c r="B177" s="6" t="s">
        <v>302</v>
      </c>
      <c r="C177" s="6" t="s">
        <v>15</v>
      </c>
      <c r="D177" s="6" t="s">
        <v>34</v>
      </c>
      <c r="E177" s="6" t="n">
        <f aca="false">ROUND(4511*1.05,2)</f>
        <v>4736.55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ROUND(94*1,0)&amp;"%"</f>
        <v>94%</v>
      </c>
    </row>
    <row r="178" customFormat="false" ht="15" hidden="false" customHeight="false" outlineLevel="0" collapsed="false">
      <c r="A178" s="5" t="s">
        <v>5863</v>
      </c>
      <c r="B178" s="5" t="s">
        <v>304</v>
      </c>
      <c r="C178" s="5" t="s">
        <v>15</v>
      </c>
      <c r="D178" s="5" t="s">
        <v>39</v>
      </c>
      <c r="E178" s="5" t="n">
        <f aca="false">ROUND(6512*1.05,2)</f>
        <v>6837.6</v>
      </c>
      <c r="F178" s="5" t="s">
        <v>40</v>
      </c>
      <c r="G178" s="5" t="s">
        <v>24</v>
      </c>
      <c r="H178" s="5" t="n">
        <f aca="true">ROUND(RAND()*4+6,1)</f>
        <v>9.6</v>
      </c>
      <c r="I178" s="5" t="s">
        <v>41</v>
      </c>
      <c r="J178" s="5" t="str">
        <f aca="false">ROUND(77*1,0)&amp;"%"</f>
        <v>77%</v>
      </c>
    </row>
    <row r="179" customFormat="false" ht="15" hidden="false" customHeight="false" outlineLevel="0" collapsed="false">
      <c r="A179" s="6" t="s">
        <v>5864</v>
      </c>
      <c r="B179" s="6" t="s">
        <v>306</v>
      </c>
      <c r="C179" s="6" t="s">
        <v>15</v>
      </c>
      <c r="D179" s="6" t="s">
        <v>44</v>
      </c>
      <c r="E179" s="6" t="n">
        <f aca="false">ROUND(6825*1.05,2)</f>
        <v>7166.25</v>
      </c>
      <c r="F179" s="6" t="s">
        <v>45</v>
      </c>
      <c r="G179" s="6" t="s">
        <v>30</v>
      </c>
      <c r="H179" s="6" t="n">
        <f aca="true">ROUND(RAND()*4+6,1)</f>
        <v>9.5</v>
      </c>
      <c r="I179" s="6" t="s">
        <v>46</v>
      </c>
      <c r="J179" s="6" t="str">
        <f aca="false">ROUND(73*1,0)&amp;"%"</f>
        <v>73%</v>
      </c>
    </row>
    <row r="180" customFormat="false" ht="15" hidden="false" customHeight="false" outlineLevel="0" collapsed="false">
      <c r="A180" s="5" t="s">
        <v>5865</v>
      </c>
      <c r="B180" s="5" t="s">
        <v>308</v>
      </c>
      <c r="C180" s="5" t="s">
        <v>15</v>
      </c>
      <c r="D180" s="5" t="s">
        <v>16</v>
      </c>
      <c r="E180" s="5" t="n">
        <f aca="false">ROUND(16406*1.05,2)</f>
        <v>17226.3</v>
      </c>
      <c r="F180" s="5" t="s">
        <v>49</v>
      </c>
      <c r="G180" s="5" t="s">
        <v>18</v>
      </c>
      <c r="H180" s="5" t="n">
        <f aca="true">ROUND(RAND()*4+6,1)</f>
        <v>6</v>
      </c>
      <c r="I180" s="5" t="s">
        <v>19</v>
      </c>
      <c r="J180" s="5" t="str">
        <f aca="false">ROUND(63*1,0)&amp;"%"</f>
        <v>63%</v>
      </c>
    </row>
    <row r="181" customFormat="false" ht="15" hidden="false" customHeight="false" outlineLevel="0" collapsed="false">
      <c r="A181" s="6" t="s">
        <v>5866</v>
      </c>
      <c r="B181" s="6" t="s">
        <v>310</v>
      </c>
      <c r="C181" s="6" t="s">
        <v>15</v>
      </c>
      <c r="D181" s="6" t="s">
        <v>22</v>
      </c>
      <c r="E181" s="6" t="n">
        <f aca="false">ROUND(16501*1.05,2)</f>
        <v>17326.05</v>
      </c>
      <c r="F181" s="6" t="s">
        <v>52</v>
      </c>
      <c r="G181" s="6" t="s">
        <v>24</v>
      </c>
      <c r="H181" s="6" t="n">
        <f aca="true">ROUND(RAND()*4+6,1)</f>
        <v>6.9</v>
      </c>
      <c r="I181" s="6" t="s">
        <v>25</v>
      </c>
      <c r="J181" s="6" t="str">
        <f aca="false">ROUND(70*1,0)&amp;"%"</f>
        <v>70%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5867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5868</v>
      </c>
      <c r="B186" s="5" t="s">
        <v>314</v>
      </c>
      <c r="C186" s="5" t="s">
        <v>57</v>
      </c>
      <c r="D186" s="5" t="s">
        <v>16</v>
      </c>
      <c r="E186" s="5" t="n">
        <f aca="false">ROUND(6263*1.05,2)</f>
        <v>6576.15</v>
      </c>
      <c r="F186" s="5" t="s">
        <v>17</v>
      </c>
      <c r="G186" s="5" t="s">
        <v>18</v>
      </c>
      <c r="H186" s="5" t="n">
        <f aca="true">ROUND(RAND()*4+6,1)</f>
        <v>7.1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5869</v>
      </c>
      <c r="B187" s="6" t="s">
        <v>316</v>
      </c>
      <c r="C187" s="6" t="s">
        <v>57</v>
      </c>
      <c r="D187" s="6" t="s">
        <v>22</v>
      </c>
      <c r="E187" s="6" t="n">
        <f aca="false">ROUND(16808*1.05,2)</f>
        <v>17648.4</v>
      </c>
      <c r="F187" s="6" t="s">
        <v>23</v>
      </c>
      <c r="G187" s="6" t="s">
        <v>24</v>
      </c>
      <c r="H187" s="6" t="n">
        <f aca="true">ROUND(RAND()*4+6,1)</f>
        <v>7.5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5870</v>
      </c>
      <c r="B188" s="5" t="s">
        <v>318</v>
      </c>
      <c r="C188" s="5" t="s">
        <v>57</v>
      </c>
      <c r="D188" s="5" t="s">
        <v>28</v>
      </c>
      <c r="E188" s="5" t="n">
        <f aca="false">ROUND(15365*1.05,2)</f>
        <v>16133.25</v>
      </c>
      <c r="F188" s="5" t="s">
        <v>29</v>
      </c>
      <c r="G188" s="5" t="s">
        <v>30</v>
      </c>
      <c r="H188" s="5" t="n">
        <f aca="true">ROUND(RAND()*4+6,1)</f>
        <v>9</v>
      </c>
      <c r="I188" s="5" t="s">
        <v>31</v>
      </c>
      <c r="J188" s="5" t="str">
        <f aca="false">ROUND(75*1,0)&amp;"%"</f>
        <v>75%</v>
      </c>
    </row>
    <row r="189" customFormat="false" ht="15" hidden="false" customHeight="false" outlineLevel="0" collapsed="false">
      <c r="A189" s="6" t="s">
        <v>5871</v>
      </c>
      <c r="B189" s="6" t="s">
        <v>320</v>
      </c>
      <c r="C189" s="6" t="s">
        <v>57</v>
      </c>
      <c r="D189" s="6" t="s">
        <v>34</v>
      </c>
      <c r="E189" s="6" t="n">
        <f aca="false">ROUND(10540*1.05,2)</f>
        <v>11067</v>
      </c>
      <c r="F189" s="6" t="s">
        <v>35</v>
      </c>
      <c r="G189" s="6" t="s">
        <v>18</v>
      </c>
      <c r="H189" s="6" t="n">
        <f aca="true">ROUND(RAND()*4+6,1)</f>
        <v>8.6</v>
      </c>
      <c r="I189" s="6" t="s">
        <v>36</v>
      </c>
      <c r="J189" s="6" t="str">
        <f aca="false">ROUND(80*1,0)&amp;"%"</f>
        <v>80%</v>
      </c>
    </row>
    <row r="190" customFormat="false" ht="15" hidden="false" customHeight="false" outlineLevel="0" collapsed="false">
      <c r="A190" s="5" t="s">
        <v>5872</v>
      </c>
      <c r="B190" s="5" t="s">
        <v>322</v>
      </c>
      <c r="C190" s="5" t="s">
        <v>57</v>
      </c>
      <c r="D190" s="5" t="s">
        <v>39</v>
      </c>
      <c r="E190" s="5" t="n">
        <f aca="false">ROUND(6645*1.05,2)</f>
        <v>6977.25</v>
      </c>
      <c r="F190" s="5" t="s">
        <v>40</v>
      </c>
      <c r="G190" s="5" t="s">
        <v>24</v>
      </c>
      <c r="H190" s="5" t="n">
        <f aca="true">ROUND(RAND()*4+6,1)</f>
        <v>9.9</v>
      </c>
      <c r="I190" s="5" t="s">
        <v>41</v>
      </c>
      <c r="J190" s="5" t="str">
        <f aca="false">ROUND(84*1,0)&amp;"%"</f>
        <v>84%</v>
      </c>
    </row>
    <row r="191" customFormat="false" ht="15" hidden="false" customHeight="false" outlineLevel="0" collapsed="false">
      <c r="A191" s="6" t="s">
        <v>5873</v>
      </c>
      <c r="B191" s="6" t="s">
        <v>324</v>
      </c>
      <c r="C191" s="6" t="s">
        <v>57</v>
      </c>
      <c r="D191" s="6" t="s">
        <v>44</v>
      </c>
      <c r="E191" s="6" t="n">
        <f aca="false">ROUND(4123*1.05,2)</f>
        <v>4329.15</v>
      </c>
      <c r="F191" s="6" t="s">
        <v>45</v>
      </c>
      <c r="G191" s="6" t="s">
        <v>30</v>
      </c>
      <c r="H191" s="6" t="n">
        <f aca="true">ROUND(RAND()*4+6,1)</f>
        <v>6.9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5874</v>
      </c>
      <c r="B192" s="5" t="s">
        <v>326</v>
      </c>
      <c r="C192" s="5" t="s">
        <v>57</v>
      </c>
      <c r="D192" s="5" t="s">
        <v>16</v>
      </c>
      <c r="E192" s="5" t="n">
        <f aca="false">ROUND(12794*1.05,2)</f>
        <v>13433.7</v>
      </c>
      <c r="F192" s="5" t="s">
        <v>49</v>
      </c>
      <c r="G192" s="5" t="s">
        <v>18</v>
      </c>
      <c r="H192" s="5" t="n">
        <f aca="true">ROUND(RAND()*4+6,1)</f>
        <v>6.3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5875</v>
      </c>
      <c r="B193" s="6" t="s">
        <v>328</v>
      </c>
      <c r="C193" s="6" t="s">
        <v>57</v>
      </c>
      <c r="D193" s="6" t="s">
        <v>22</v>
      </c>
      <c r="E193" s="6" t="n">
        <f aca="false">ROUND(17559*1.05,2)</f>
        <v>18436.95</v>
      </c>
      <c r="F193" s="6" t="s">
        <v>52</v>
      </c>
      <c r="G193" s="6" t="s">
        <v>24</v>
      </c>
      <c r="H193" s="6" t="n">
        <f aca="true">ROUND(RAND()*4+6,1)</f>
        <v>7.2</v>
      </c>
      <c r="I193" s="6" t="s">
        <v>25</v>
      </c>
      <c r="J193" s="6" t="str">
        <f aca="false">ROUND(70*1,0)&amp;"%"</f>
        <v>70%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5876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5877</v>
      </c>
      <c r="B198" s="5" t="s">
        <v>332</v>
      </c>
      <c r="C198" s="5" t="s">
        <v>76</v>
      </c>
      <c r="D198" s="5" t="s">
        <v>16</v>
      </c>
      <c r="E198" s="5" t="n">
        <f aca="false">ROUND(9616*1.05,2)</f>
        <v>10096.8</v>
      </c>
      <c r="F198" s="5" t="s">
        <v>17</v>
      </c>
      <c r="G198" s="5" t="s">
        <v>18</v>
      </c>
      <c r="H198" s="5" t="n">
        <f aca="true">ROUND(RAND()*4+6,1)</f>
        <v>8.8</v>
      </c>
      <c r="I198" s="5" t="s">
        <v>19</v>
      </c>
      <c r="J198" s="5" t="str">
        <f aca="false">ROUND(64*1,0)&amp;"%"</f>
        <v>64%</v>
      </c>
    </row>
    <row r="199" customFormat="false" ht="15" hidden="false" customHeight="false" outlineLevel="0" collapsed="false">
      <c r="A199" s="6" t="s">
        <v>5878</v>
      </c>
      <c r="B199" s="6" t="s">
        <v>334</v>
      </c>
      <c r="C199" s="6" t="s">
        <v>76</v>
      </c>
      <c r="D199" s="6" t="s">
        <v>22</v>
      </c>
      <c r="E199" s="6" t="n">
        <f aca="false">ROUND(9913*1.05,2)</f>
        <v>10408.65</v>
      </c>
      <c r="F199" s="6" t="s">
        <v>23</v>
      </c>
      <c r="G199" s="6" t="s">
        <v>24</v>
      </c>
      <c r="H199" s="6" t="n">
        <f aca="true">ROUND(RAND()*4+6,1)</f>
        <v>6.1</v>
      </c>
      <c r="I199" s="6" t="s">
        <v>25</v>
      </c>
      <c r="J199" s="6" t="str">
        <f aca="false">ROUND(72*1,0)&amp;"%"</f>
        <v>72%</v>
      </c>
    </row>
    <row r="200" customFormat="false" ht="15" hidden="false" customHeight="false" outlineLevel="0" collapsed="false">
      <c r="A200" s="5" t="s">
        <v>5879</v>
      </c>
      <c r="B200" s="5" t="s">
        <v>336</v>
      </c>
      <c r="C200" s="5" t="s">
        <v>76</v>
      </c>
      <c r="D200" s="5" t="s">
        <v>28</v>
      </c>
      <c r="E200" s="5" t="n">
        <f aca="false">ROUND(16991*1.05,2)</f>
        <v>17840.55</v>
      </c>
      <c r="F200" s="5" t="s">
        <v>29</v>
      </c>
      <c r="G200" s="5" t="s">
        <v>30</v>
      </c>
      <c r="H200" s="5" t="n">
        <f aca="true">ROUND(RAND()*4+6,1)</f>
        <v>6.1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5880</v>
      </c>
      <c r="B201" s="6" t="s">
        <v>338</v>
      </c>
      <c r="C201" s="6" t="s">
        <v>76</v>
      </c>
      <c r="D201" s="6" t="s">
        <v>34</v>
      </c>
      <c r="E201" s="6" t="n">
        <f aca="false">ROUND(14495*1.05,2)</f>
        <v>15219.75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ROUND(97*1,0)&amp;"%"</f>
        <v>97%</v>
      </c>
    </row>
    <row r="202" customFormat="false" ht="15" hidden="false" customHeight="false" outlineLevel="0" collapsed="false">
      <c r="A202" s="5" t="s">
        <v>5881</v>
      </c>
      <c r="B202" s="5" t="s">
        <v>340</v>
      </c>
      <c r="C202" s="5" t="s">
        <v>76</v>
      </c>
      <c r="D202" s="5" t="s">
        <v>39</v>
      </c>
      <c r="E202" s="5" t="n">
        <f aca="false">ROUND(16066*1.05,2)</f>
        <v>16869.3</v>
      </c>
      <c r="F202" s="5" t="s">
        <v>40</v>
      </c>
      <c r="G202" s="5" t="s">
        <v>24</v>
      </c>
      <c r="H202" s="5" t="n">
        <f aca="true">ROUND(RAND()*4+6,1)</f>
        <v>8.4</v>
      </c>
      <c r="I202" s="5" t="s">
        <v>41</v>
      </c>
      <c r="J202" s="5" t="str">
        <f aca="false">ROUND(65*1,0)&amp;"%"</f>
        <v>65%</v>
      </c>
    </row>
    <row r="203" customFormat="false" ht="15" hidden="false" customHeight="false" outlineLevel="0" collapsed="false">
      <c r="A203" s="6" t="s">
        <v>5882</v>
      </c>
      <c r="B203" s="6" t="s">
        <v>342</v>
      </c>
      <c r="C203" s="6" t="s">
        <v>76</v>
      </c>
      <c r="D203" s="6" t="s">
        <v>44</v>
      </c>
      <c r="E203" s="6" t="n">
        <f aca="false">ROUND(11265*1.05,2)</f>
        <v>11828.25</v>
      </c>
      <c r="F203" s="6" t="s">
        <v>45</v>
      </c>
      <c r="G203" s="6" t="s">
        <v>30</v>
      </c>
      <c r="H203" s="6" t="n">
        <f aca="true">ROUND(RAND()*4+6,1)</f>
        <v>7.1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5883</v>
      </c>
      <c r="B204" s="5" t="s">
        <v>344</v>
      </c>
      <c r="C204" s="5" t="s">
        <v>76</v>
      </c>
      <c r="D204" s="5" t="s">
        <v>16</v>
      </c>
      <c r="E204" s="5" t="n">
        <f aca="false">ROUND(4685*1.05,2)</f>
        <v>4919.25</v>
      </c>
      <c r="F204" s="5" t="s">
        <v>49</v>
      </c>
      <c r="G204" s="5" t="s">
        <v>18</v>
      </c>
      <c r="H204" s="5" t="n">
        <f aca="true">ROUND(RAND()*4+6,1)</f>
        <v>9.7</v>
      </c>
      <c r="I204" s="5" t="s">
        <v>19</v>
      </c>
      <c r="J204" s="5" t="str">
        <f aca="false">ROUND(73*1,0)&amp;"%"</f>
        <v>73%</v>
      </c>
    </row>
    <row r="205" customFormat="false" ht="15" hidden="false" customHeight="false" outlineLevel="0" collapsed="false">
      <c r="A205" s="6" t="s">
        <v>5884</v>
      </c>
      <c r="B205" s="6" t="s">
        <v>346</v>
      </c>
      <c r="C205" s="6" t="s">
        <v>76</v>
      </c>
      <c r="D205" s="6" t="s">
        <v>22</v>
      </c>
      <c r="E205" s="6" t="n">
        <f aca="false">ROUND(10112*1.05,2)</f>
        <v>10617.6</v>
      </c>
      <c r="F205" s="6" t="s">
        <v>52</v>
      </c>
      <c r="G205" s="6" t="s">
        <v>24</v>
      </c>
      <c r="H205" s="6" t="n">
        <f aca="true">ROUND(RAND()*4+6,1)</f>
        <v>6.4</v>
      </c>
      <c r="I205" s="6" t="s">
        <v>25</v>
      </c>
      <c r="J205" s="6" t="str">
        <f aca="false">ROUND(83*1,0)&amp;"%"</f>
        <v>83%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5885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5886</v>
      </c>
      <c r="B210" s="5" t="s">
        <v>350</v>
      </c>
      <c r="C210" s="5" t="s">
        <v>95</v>
      </c>
      <c r="D210" s="5" t="s">
        <v>16</v>
      </c>
      <c r="E210" s="5" t="n">
        <f aca="false">ROUND(8283*1.05,2)</f>
        <v>8697.15</v>
      </c>
      <c r="F210" s="5" t="s">
        <v>17</v>
      </c>
      <c r="G210" s="5" t="s">
        <v>18</v>
      </c>
      <c r="H210" s="5" t="n">
        <f aca="true">ROUND(RAND()*4+6,1)</f>
        <v>7.5</v>
      </c>
      <c r="I210" s="5" t="s">
        <v>19</v>
      </c>
      <c r="J210" s="5" t="str">
        <f aca="false">ROUND(64*1,0)&amp;"%"</f>
        <v>64%</v>
      </c>
    </row>
    <row r="211" customFormat="false" ht="15" hidden="false" customHeight="false" outlineLevel="0" collapsed="false">
      <c r="A211" s="6" t="s">
        <v>5887</v>
      </c>
      <c r="B211" s="6" t="s">
        <v>352</v>
      </c>
      <c r="C211" s="6" t="s">
        <v>95</v>
      </c>
      <c r="D211" s="6" t="s">
        <v>22</v>
      </c>
      <c r="E211" s="6" t="n">
        <f aca="false">ROUND(8443*1.05,2)</f>
        <v>8865.15</v>
      </c>
      <c r="F211" s="6" t="s">
        <v>23</v>
      </c>
      <c r="G211" s="6" t="s">
        <v>24</v>
      </c>
      <c r="H211" s="6" t="n">
        <f aca="true">ROUND(RAND()*4+6,1)</f>
        <v>8.2</v>
      </c>
      <c r="I211" s="6" t="s">
        <v>25</v>
      </c>
      <c r="J211" s="6" t="str">
        <f aca="false">ROUND(67*1,0)&amp;"%"</f>
        <v>67%</v>
      </c>
    </row>
    <row r="212" customFormat="false" ht="15" hidden="false" customHeight="false" outlineLevel="0" collapsed="false">
      <c r="A212" s="5" t="s">
        <v>5888</v>
      </c>
      <c r="B212" s="5" t="s">
        <v>354</v>
      </c>
      <c r="C212" s="5" t="s">
        <v>95</v>
      </c>
      <c r="D212" s="5" t="s">
        <v>28</v>
      </c>
      <c r="E212" s="5" t="n">
        <f aca="false">ROUND(17621*1.05,2)</f>
        <v>18502.05</v>
      </c>
      <c r="F212" s="5" t="s">
        <v>29</v>
      </c>
      <c r="G212" s="5" t="s">
        <v>30</v>
      </c>
      <c r="H212" s="5" t="n">
        <f aca="true">ROUND(RAND()*4+6,1)</f>
        <v>6.9</v>
      </c>
      <c r="I212" s="5" t="s">
        <v>31</v>
      </c>
      <c r="J212" s="5" t="str">
        <f aca="false">ROUND(98*1,0)&amp;"%"</f>
        <v>98%</v>
      </c>
    </row>
    <row r="213" customFormat="false" ht="15" hidden="false" customHeight="false" outlineLevel="0" collapsed="false">
      <c r="A213" s="6" t="s">
        <v>5889</v>
      </c>
      <c r="B213" s="6" t="s">
        <v>356</v>
      </c>
      <c r="C213" s="6" t="s">
        <v>95</v>
      </c>
      <c r="D213" s="6" t="s">
        <v>34</v>
      </c>
      <c r="E213" s="6" t="n">
        <f aca="false">ROUND(14662*1.05,2)</f>
        <v>15395.1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ROUND(91*1,0)&amp;"%"</f>
        <v>91%</v>
      </c>
    </row>
    <row r="214" customFormat="false" ht="15" hidden="false" customHeight="false" outlineLevel="0" collapsed="false">
      <c r="A214" s="5" t="s">
        <v>5890</v>
      </c>
      <c r="B214" s="5" t="s">
        <v>358</v>
      </c>
      <c r="C214" s="5" t="s">
        <v>95</v>
      </c>
      <c r="D214" s="5" t="s">
        <v>39</v>
      </c>
      <c r="E214" s="5" t="n">
        <f aca="false">ROUND(13765*1.05,2)</f>
        <v>14453.25</v>
      </c>
      <c r="F214" s="5" t="s">
        <v>40</v>
      </c>
      <c r="G214" s="5" t="s">
        <v>24</v>
      </c>
      <c r="H214" s="5" t="n">
        <f aca="true">ROUND(RAND()*4+6,1)</f>
        <v>9.7</v>
      </c>
      <c r="I214" s="5" t="s">
        <v>41</v>
      </c>
      <c r="J214" s="5" t="str">
        <f aca="false">ROUND(77*1,0)&amp;"%"</f>
        <v>77%</v>
      </c>
    </row>
    <row r="215" customFormat="false" ht="15" hidden="false" customHeight="false" outlineLevel="0" collapsed="false">
      <c r="A215" s="6" t="s">
        <v>5891</v>
      </c>
      <c r="B215" s="6" t="s">
        <v>360</v>
      </c>
      <c r="C215" s="6" t="s">
        <v>95</v>
      </c>
      <c r="D215" s="6" t="s">
        <v>44</v>
      </c>
      <c r="E215" s="6" t="n">
        <f aca="false">ROUND(9080*1.05,2)</f>
        <v>9534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ROUND(86*1,0)&amp;"%"</f>
        <v>86%</v>
      </c>
    </row>
    <row r="216" customFormat="false" ht="15" hidden="false" customHeight="false" outlineLevel="0" collapsed="false">
      <c r="A216" s="5" t="s">
        <v>5892</v>
      </c>
      <c r="B216" s="5" t="s">
        <v>362</v>
      </c>
      <c r="C216" s="5" t="s">
        <v>95</v>
      </c>
      <c r="D216" s="5" t="s">
        <v>16</v>
      </c>
      <c r="E216" s="5" t="n">
        <f aca="false">ROUND(5765*1.05,2)</f>
        <v>6053.25</v>
      </c>
      <c r="F216" s="5" t="s">
        <v>49</v>
      </c>
      <c r="G216" s="5" t="s">
        <v>18</v>
      </c>
      <c r="H216" s="5" t="n">
        <f aca="true">ROUND(RAND()*4+6,1)</f>
        <v>9.1</v>
      </c>
      <c r="I216" s="5" t="s">
        <v>19</v>
      </c>
      <c r="J216" s="5" t="str">
        <f aca="false">ROUND(83*1,0)&amp;"%"</f>
        <v>83%</v>
      </c>
    </row>
    <row r="217" customFormat="false" ht="15" hidden="false" customHeight="false" outlineLevel="0" collapsed="false">
      <c r="A217" s="6" t="s">
        <v>5893</v>
      </c>
      <c r="B217" s="6" t="s">
        <v>364</v>
      </c>
      <c r="C217" s="6" t="s">
        <v>95</v>
      </c>
      <c r="D217" s="6" t="s">
        <v>22</v>
      </c>
      <c r="E217" s="6" t="n">
        <f aca="false">ROUND(14839*1.05,2)</f>
        <v>15580.95</v>
      </c>
      <c r="F217" s="6" t="s">
        <v>52</v>
      </c>
      <c r="G217" s="6" t="s">
        <v>24</v>
      </c>
      <c r="H217" s="6" t="n">
        <f aca="true">ROUND(RAND()*4+6,1)</f>
        <v>7.3</v>
      </c>
      <c r="I217" s="6" t="s">
        <v>25</v>
      </c>
      <c r="J217" s="6" t="str">
        <f aca="false">ROUND(97*1,0)&amp;"%"</f>
        <v>97%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5894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5895</v>
      </c>
      <c r="B222" s="5" t="s">
        <v>368</v>
      </c>
      <c r="C222" s="5" t="s">
        <v>114</v>
      </c>
      <c r="D222" s="5" t="s">
        <v>16</v>
      </c>
      <c r="E222" s="5" t="n">
        <f aca="false">ROUND(17318*1.05,2)</f>
        <v>18183.9</v>
      </c>
      <c r="F222" s="5" t="s">
        <v>17</v>
      </c>
      <c r="G222" s="5" t="s">
        <v>18</v>
      </c>
      <c r="H222" s="5" t="n">
        <f aca="true">ROUND(RAND()*4+6,1)</f>
        <v>6.9</v>
      </c>
      <c r="I222" s="5" t="s">
        <v>19</v>
      </c>
      <c r="J222" s="5" t="str">
        <f aca="false">ROUND(88*1,0)&amp;"%"</f>
        <v>88%</v>
      </c>
    </row>
    <row r="223" customFormat="false" ht="15" hidden="false" customHeight="false" outlineLevel="0" collapsed="false">
      <c r="A223" s="6" t="s">
        <v>5896</v>
      </c>
      <c r="B223" s="6" t="s">
        <v>370</v>
      </c>
      <c r="C223" s="6" t="s">
        <v>114</v>
      </c>
      <c r="D223" s="6" t="s">
        <v>22</v>
      </c>
      <c r="E223" s="6" t="n">
        <f aca="false">ROUND(11803*1.05,2)</f>
        <v>12393.15</v>
      </c>
      <c r="F223" s="6" t="s">
        <v>23</v>
      </c>
      <c r="G223" s="6" t="s">
        <v>24</v>
      </c>
      <c r="H223" s="6" t="n">
        <f aca="true">ROUND(RAND()*4+6,1)</f>
        <v>6.7</v>
      </c>
      <c r="I223" s="6" t="s">
        <v>25</v>
      </c>
      <c r="J223" s="6" t="str">
        <f aca="false">ROUND(76*1,0)&amp;"%"</f>
        <v>76%</v>
      </c>
    </row>
    <row r="224" customFormat="false" ht="15" hidden="false" customHeight="false" outlineLevel="0" collapsed="false">
      <c r="A224" s="5" t="s">
        <v>5897</v>
      </c>
      <c r="B224" s="5" t="s">
        <v>372</v>
      </c>
      <c r="C224" s="5" t="s">
        <v>114</v>
      </c>
      <c r="D224" s="5" t="s">
        <v>28</v>
      </c>
      <c r="E224" s="5" t="n">
        <f aca="false">ROUND(7627*1.05,2)</f>
        <v>8008.35</v>
      </c>
      <c r="F224" s="5" t="s">
        <v>29</v>
      </c>
      <c r="G224" s="5" t="s">
        <v>30</v>
      </c>
      <c r="H224" s="5" t="n">
        <f aca="true">ROUND(RAND()*4+6,1)</f>
        <v>9.7</v>
      </c>
      <c r="I224" s="5" t="s">
        <v>31</v>
      </c>
      <c r="J224" s="5" t="str">
        <f aca="false">ROUND(68*1,0)&amp;"%"</f>
        <v>68%</v>
      </c>
    </row>
    <row r="225" customFormat="false" ht="15" hidden="false" customHeight="false" outlineLevel="0" collapsed="false">
      <c r="A225" s="6" t="s">
        <v>5898</v>
      </c>
      <c r="B225" s="6" t="s">
        <v>374</v>
      </c>
      <c r="C225" s="6" t="s">
        <v>114</v>
      </c>
      <c r="D225" s="6" t="s">
        <v>34</v>
      </c>
      <c r="E225" s="6" t="n">
        <f aca="false">ROUND(9948*1.05,2)</f>
        <v>10445.4</v>
      </c>
      <c r="F225" s="6" t="s">
        <v>35</v>
      </c>
      <c r="G225" s="6" t="s">
        <v>18</v>
      </c>
      <c r="H225" s="6" t="n">
        <f aca="true">ROUND(RAND()*4+6,1)</f>
        <v>9.2</v>
      </c>
      <c r="I225" s="6" t="s">
        <v>36</v>
      </c>
      <c r="J225" s="6" t="str">
        <f aca="false">ROUND(73*1,0)&amp;"%"</f>
        <v>73%</v>
      </c>
    </row>
    <row r="226" customFormat="false" ht="15" hidden="false" customHeight="false" outlineLevel="0" collapsed="false">
      <c r="A226" s="5" t="s">
        <v>5899</v>
      </c>
      <c r="B226" s="5" t="s">
        <v>376</v>
      </c>
      <c r="C226" s="5" t="s">
        <v>114</v>
      </c>
      <c r="D226" s="5" t="s">
        <v>39</v>
      </c>
      <c r="E226" s="5" t="n">
        <f aca="false">ROUND(13269*1.05,2)</f>
        <v>13932.45</v>
      </c>
      <c r="F226" s="5" t="s">
        <v>40</v>
      </c>
      <c r="G226" s="5" t="s">
        <v>24</v>
      </c>
      <c r="H226" s="5" t="n">
        <f aca="true">ROUND(RAND()*4+6,1)</f>
        <v>8.4</v>
      </c>
      <c r="I226" s="5" t="s">
        <v>41</v>
      </c>
      <c r="J226" s="5" t="str">
        <f aca="false">ROUND(91*1,0)&amp;"%"</f>
        <v>91%</v>
      </c>
    </row>
    <row r="227" customFormat="false" ht="15" hidden="false" customHeight="false" outlineLevel="0" collapsed="false">
      <c r="A227" s="6" t="s">
        <v>5900</v>
      </c>
      <c r="B227" s="6" t="s">
        <v>378</v>
      </c>
      <c r="C227" s="6" t="s">
        <v>114</v>
      </c>
      <c r="D227" s="6" t="s">
        <v>44</v>
      </c>
      <c r="E227" s="6" t="n">
        <f aca="false">ROUND(16880*1.05,2)</f>
        <v>17724</v>
      </c>
      <c r="F227" s="6" t="s">
        <v>45</v>
      </c>
      <c r="G227" s="6" t="s">
        <v>30</v>
      </c>
      <c r="H227" s="6" t="n">
        <f aca="true">ROUND(RAND()*4+6,1)</f>
        <v>7.3</v>
      </c>
      <c r="I227" s="6" t="s">
        <v>46</v>
      </c>
      <c r="J227" s="6" t="str">
        <f aca="false">ROUND(71*1,0)&amp;"%"</f>
        <v>71%</v>
      </c>
    </row>
    <row r="228" customFormat="false" ht="15" hidden="false" customHeight="false" outlineLevel="0" collapsed="false">
      <c r="A228" s="5" t="s">
        <v>5901</v>
      </c>
      <c r="B228" s="5" t="s">
        <v>380</v>
      </c>
      <c r="C228" s="5" t="s">
        <v>114</v>
      </c>
      <c r="D228" s="5" t="s">
        <v>16</v>
      </c>
      <c r="E228" s="5" t="n">
        <f aca="false">ROUND(16755*1.05,2)</f>
        <v>17592.75</v>
      </c>
      <c r="F228" s="5" t="s">
        <v>49</v>
      </c>
      <c r="G228" s="5" t="s">
        <v>18</v>
      </c>
      <c r="H228" s="5" t="n">
        <f aca="true">ROUND(RAND()*4+6,1)</f>
        <v>9.3</v>
      </c>
      <c r="I228" s="5" t="s">
        <v>19</v>
      </c>
      <c r="J228" s="5" t="str">
        <f aca="false">ROUND(81*1,0)&amp;"%"</f>
        <v>81%</v>
      </c>
    </row>
    <row r="229" customFormat="false" ht="15" hidden="false" customHeight="false" outlineLevel="0" collapsed="false">
      <c r="A229" s="6" t="s">
        <v>5902</v>
      </c>
      <c r="B229" s="6" t="s">
        <v>382</v>
      </c>
      <c r="C229" s="6" t="s">
        <v>114</v>
      </c>
      <c r="D229" s="6" t="s">
        <v>22</v>
      </c>
      <c r="E229" s="6" t="n">
        <f aca="false">ROUND(9834*1.05,2)</f>
        <v>10325.7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ROUND(84*1,0)&amp;"%"</f>
        <v>84%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5903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5904</v>
      </c>
      <c r="B234" s="5" t="s">
        <v>386</v>
      </c>
      <c r="C234" s="5" t="s">
        <v>133</v>
      </c>
      <c r="D234" s="5" t="s">
        <v>16</v>
      </c>
      <c r="E234" s="5" t="n">
        <f aca="false">ROUND(14604*1.05,2)</f>
        <v>15334.2</v>
      </c>
      <c r="F234" s="5" t="s">
        <v>17</v>
      </c>
      <c r="G234" s="5" t="s">
        <v>18</v>
      </c>
      <c r="H234" s="5" t="n">
        <f aca="true">ROUND(RAND()*4+6,1)</f>
        <v>10</v>
      </c>
      <c r="I234" s="5" t="s">
        <v>19</v>
      </c>
      <c r="J234" s="5" t="str">
        <f aca="false">ROUND(94*1,0)&amp;"%"</f>
        <v>94%</v>
      </c>
    </row>
    <row r="235" customFormat="false" ht="15" hidden="false" customHeight="false" outlineLevel="0" collapsed="false">
      <c r="A235" s="6" t="s">
        <v>5905</v>
      </c>
      <c r="B235" s="6" t="s">
        <v>388</v>
      </c>
      <c r="C235" s="6" t="s">
        <v>133</v>
      </c>
      <c r="D235" s="6" t="s">
        <v>22</v>
      </c>
      <c r="E235" s="6" t="n">
        <f aca="false">ROUND(17068*1.05,2)</f>
        <v>17921.4</v>
      </c>
      <c r="F235" s="6" t="s">
        <v>23</v>
      </c>
      <c r="G235" s="6" t="s">
        <v>24</v>
      </c>
      <c r="H235" s="6" t="n">
        <f aca="true">ROUND(RAND()*4+6,1)</f>
        <v>6.4</v>
      </c>
      <c r="I235" s="6" t="s">
        <v>25</v>
      </c>
      <c r="J235" s="6" t="str">
        <f aca="false">ROUND(87*1,0)&amp;"%"</f>
        <v>87%</v>
      </c>
    </row>
    <row r="236" customFormat="false" ht="15" hidden="false" customHeight="false" outlineLevel="0" collapsed="false">
      <c r="A236" s="5" t="s">
        <v>5906</v>
      </c>
      <c r="B236" s="5" t="s">
        <v>390</v>
      </c>
      <c r="C236" s="5" t="s">
        <v>133</v>
      </c>
      <c r="D236" s="5" t="s">
        <v>28</v>
      </c>
      <c r="E236" s="5" t="n">
        <f aca="false">ROUND(6968*1.05,2)</f>
        <v>7316.4</v>
      </c>
      <c r="F236" s="5" t="s">
        <v>29</v>
      </c>
      <c r="G236" s="5" t="s">
        <v>30</v>
      </c>
      <c r="H236" s="5" t="n">
        <f aca="true">ROUND(RAND()*4+6,1)</f>
        <v>7.4</v>
      </c>
      <c r="I236" s="5" t="s">
        <v>31</v>
      </c>
      <c r="J236" s="5" t="str">
        <f aca="false">ROUND(85*1,0)&amp;"%"</f>
        <v>85%</v>
      </c>
    </row>
    <row r="237" customFormat="false" ht="15" hidden="false" customHeight="false" outlineLevel="0" collapsed="false">
      <c r="A237" s="6" t="s">
        <v>5907</v>
      </c>
      <c r="B237" s="6" t="s">
        <v>392</v>
      </c>
      <c r="C237" s="6" t="s">
        <v>133</v>
      </c>
      <c r="D237" s="6" t="s">
        <v>34</v>
      </c>
      <c r="E237" s="6" t="n">
        <f aca="false">ROUND(15953*1.05,2)</f>
        <v>16750.65</v>
      </c>
      <c r="F237" s="6" t="s">
        <v>35</v>
      </c>
      <c r="G237" s="6" t="s">
        <v>18</v>
      </c>
      <c r="H237" s="6" t="n">
        <f aca="true">ROUND(RAND()*4+6,1)</f>
        <v>9</v>
      </c>
      <c r="I237" s="6" t="s">
        <v>36</v>
      </c>
      <c r="J237" s="6" t="str">
        <f aca="false">ROUND(62*1,0)&amp;"%"</f>
        <v>62%</v>
      </c>
    </row>
    <row r="238" customFormat="false" ht="15" hidden="false" customHeight="false" outlineLevel="0" collapsed="false">
      <c r="A238" s="5" t="s">
        <v>5908</v>
      </c>
      <c r="B238" s="5" t="s">
        <v>394</v>
      </c>
      <c r="C238" s="5" t="s">
        <v>133</v>
      </c>
      <c r="D238" s="5" t="s">
        <v>39</v>
      </c>
      <c r="E238" s="5" t="n">
        <f aca="false">ROUND(8011*1.05,2)</f>
        <v>8411.55</v>
      </c>
      <c r="F238" s="5" t="s">
        <v>40</v>
      </c>
      <c r="G238" s="5" t="s">
        <v>24</v>
      </c>
      <c r="H238" s="5" t="n">
        <f aca="true">ROUND(RAND()*4+6,1)</f>
        <v>8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5909</v>
      </c>
      <c r="B239" s="6" t="s">
        <v>396</v>
      </c>
      <c r="C239" s="6" t="s">
        <v>133</v>
      </c>
      <c r="D239" s="6" t="s">
        <v>44</v>
      </c>
      <c r="E239" s="6" t="n">
        <f aca="false">ROUND(10349*1.05,2)</f>
        <v>10866.45</v>
      </c>
      <c r="F239" s="6" t="s">
        <v>45</v>
      </c>
      <c r="G239" s="6" t="s">
        <v>30</v>
      </c>
      <c r="H239" s="6" t="n">
        <f aca="true">ROUND(RAND()*4+6,1)</f>
        <v>7.7</v>
      </c>
      <c r="I239" s="6" t="s">
        <v>46</v>
      </c>
      <c r="J239" s="6" t="str">
        <f aca="false">ROUND(100*1,0)&amp;"%"</f>
        <v>100%</v>
      </c>
    </row>
    <row r="240" customFormat="false" ht="15" hidden="false" customHeight="false" outlineLevel="0" collapsed="false">
      <c r="A240" s="5" t="s">
        <v>5910</v>
      </c>
      <c r="B240" s="5" t="s">
        <v>398</v>
      </c>
      <c r="C240" s="5" t="s">
        <v>133</v>
      </c>
      <c r="D240" s="5" t="s">
        <v>16</v>
      </c>
      <c r="E240" s="5" t="n">
        <f aca="false">ROUND(9740*1.05,2)</f>
        <v>10227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ROUND(81*1,0)&amp;"%"</f>
        <v>81%</v>
      </c>
    </row>
    <row r="241" customFormat="false" ht="15" hidden="false" customHeight="false" outlineLevel="0" collapsed="false">
      <c r="A241" s="6" t="s">
        <v>5911</v>
      </c>
      <c r="B241" s="6" t="s">
        <v>400</v>
      </c>
      <c r="C241" s="6" t="s">
        <v>133</v>
      </c>
      <c r="D241" s="6" t="s">
        <v>22</v>
      </c>
      <c r="E241" s="6" t="n">
        <f aca="false">ROUND(14291*1.05,2)</f>
        <v>15005.55</v>
      </c>
      <c r="F241" s="6" t="s">
        <v>52</v>
      </c>
      <c r="G241" s="6" t="s">
        <v>24</v>
      </c>
      <c r="H241" s="6" t="n">
        <f aca="true">ROUND(RAND()*4+6,1)</f>
        <v>6.9</v>
      </c>
      <c r="I241" s="6" t="s">
        <v>25</v>
      </c>
      <c r="J241" s="6" t="str">
        <f aca="false">ROUND(82*1,0)&amp;"%"</f>
        <v>82%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5912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5913</v>
      </c>
      <c r="B246" s="5" t="s">
        <v>404</v>
      </c>
      <c r="C246" s="5" t="s">
        <v>152</v>
      </c>
      <c r="D246" s="5" t="s">
        <v>16</v>
      </c>
      <c r="E246" s="5" t="n">
        <f aca="false">ROUND(14960*1.05,2)</f>
        <v>15708</v>
      </c>
      <c r="F246" s="5" t="s">
        <v>17</v>
      </c>
      <c r="G246" s="5" t="s">
        <v>18</v>
      </c>
      <c r="H246" s="5" t="n">
        <f aca="true">ROUND(RAND()*4+6,1)</f>
        <v>7.8</v>
      </c>
      <c r="I246" s="5" t="s">
        <v>19</v>
      </c>
      <c r="J246" s="5" t="str">
        <f aca="false">ROUND(73*1,0)&amp;"%"</f>
        <v>73%</v>
      </c>
    </row>
    <row r="247" customFormat="false" ht="15" hidden="false" customHeight="false" outlineLevel="0" collapsed="false">
      <c r="A247" s="6" t="s">
        <v>5914</v>
      </c>
      <c r="B247" s="6" t="s">
        <v>406</v>
      </c>
      <c r="C247" s="6" t="s">
        <v>152</v>
      </c>
      <c r="D247" s="6" t="s">
        <v>22</v>
      </c>
      <c r="E247" s="6" t="n">
        <f aca="false">ROUND(10346*1.05,2)</f>
        <v>10863.3</v>
      </c>
      <c r="F247" s="6" t="s">
        <v>23</v>
      </c>
      <c r="G247" s="6" t="s">
        <v>24</v>
      </c>
      <c r="H247" s="6" t="n">
        <f aca="true">ROUND(RAND()*4+6,1)</f>
        <v>8.6</v>
      </c>
      <c r="I247" s="6" t="s">
        <v>25</v>
      </c>
      <c r="J247" s="6" t="str">
        <f aca="false">ROUND(72*1,0)&amp;"%"</f>
        <v>72%</v>
      </c>
    </row>
    <row r="248" customFormat="false" ht="15" hidden="false" customHeight="false" outlineLevel="0" collapsed="false">
      <c r="A248" s="5" t="s">
        <v>5915</v>
      </c>
      <c r="B248" s="5" t="s">
        <v>408</v>
      </c>
      <c r="C248" s="5" t="s">
        <v>152</v>
      </c>
      <c r="D248" s="5" t="s">
        <v>28</v>
      </c>
      <c r="E248" s="5" t="n">
        <f aca="false">ROUND(9257*1.05,2)</f>
        <v>9719.85</v>
      </c>
      <c r="F248" s="5" t="s">
        <v>29</v>
      </c>
      <c r="G248" s="5" t="s">
        <v>30</v>
      </c>
      <c r="H248" s="5" t="n">
        <f aca="true">ROUND(RAND()*4+6,1)</f>
        <v>8.3</v>
      </c>
      <c r="I248" s="5" t="s">
        <v>31</v>
      </c>
      <c r="J248" s="5" t="str">
        <f aca="false">ROUND(63*1,0)&amp;"%"</f>
        <v>63%</v>
      </c>
    </row>
    <row r="249" customFormat="false" ht="15" hidden="false" customHeight="false" outlineLevel="0" collapsed="false">
      <c r="A249" s="6" t="s">
        <v>5916</v>
      </c>
      <c r="B249" s="6" t="s">
        <v>410</v>
      </c>
      <c r="C249" s="6" t="s">
        <v>152</v>
      </c>
      <c r="D249" s="6" t="s">
        <v>34</v>
      </c>
      <c r="E249" s="6" t="n">
        <f aca="false">ROUND(8870*1.05,2)</f>
        <v>9313.5</v>
      </c>
      <c r="F249" s="6" t="s">
        <v>35</v>
      </c>
      <c r="G249" s="6" t="s">
        <v>18</v>
      </c>
      <c r="H249" s="6" t="n">
        <f aca="true">ROUND(RAND()*4+6,1)</f>
        <v>9.1</v>
      </c>
      <c r="I249" s="6" t="s">
        <v>36</v>
      </c>
      <c r="J249" s="6" t="str">
        <f aca="false">ROUND(60*1,0)&amp;"%"</f>
        <v>60%</v>
      </c>
    </row>
    <row r="250" customFormat="false" ht="15" hidden="false" customHeight="false" outlineLevel="0" collapsed="false">
      <c r="A250" s="5" t="s">
        <v>5917</v>
      </c>
      <c r="B250" s="5" t="s">
        <v>412</v>
      </c>
      <c r="C250" s="5" t="s">
        <v>152</v>
      </c>
      <c r="D250" s="5" t="s">
        <v>39</v>
      </c>
      <c r="E250" s="5" t="n">
        <f aca="false">ROUND(10897*1.05,2)</f>
        <v>11441.85</v>
      </c>
      <c r="F250" s="5" t="s">
        <v>40</v>
      </c>
      <c r="G250" s="5" t="s">
        <v>24</v>
      </c>
      <c r="H250" s="5" t="n">
        <f aca="true">ROUND(RAND()*4+6,1)</f>
        <v>7.4</v>
      </c>
      <c r="I250" s="5" t="s">
        <v>41</v>
      </c>
      <c r="J250" s="5" t="str">
        <f aca="false">ROUND(100*1,0)&amp;"%"</f>
        <v>100%</v>
      </c>
    </row>
    <row r="251" customFormat="false" ht="15" hidden="false" customHeight="false" outlineLevel="0" collapsed="false">
      <c r="A251" s="6" t="s">
        <v>5918</v>
      </c>
      <c r="B251" s="6" t="s">
        <v>414</v>
      </c>
      <c r="C251" s="6" t="s">
        <v>152</v>
      </c>
      <c r="D251" s="6" t="s">
        <v>44</v>
      </c>
      <c r="E251" s="6" t="n">
        <f aca="false">ROUND(7866*1.05,2)</f>
        <v>8259.3</v>
      </c>
      <c r="F251" s="6" t="s">
        <v>45</v>
      </c>
      <c r="G251" s="6" t="s">
        <v>30</v>
      </c>
      <c r="H251" s="6" t="n">
        <f aca="true">ROUND(RAND()*4+6,1)</f>
        <v>9.2</v>
      </c>
      <c r="I251" s="6" t="s">
        <v>46</v>
      </c>
      <c r="J251" s="6" t="str">
        <f aca="false">ROUND(85*1,0)&amp;"%"</f>
        <v>85%</v>
      </c>
    </row>
    <row r="252" customFormat="false" ht="15" hidden="false" customHeight="false" outlineLevel="0" collapsed="false">
      <c r="A252" s="5" t="s">
        <v>5919</v>
      </c>
      <c r="B252" s="5" t="s">
        <v>416</v>
      </c>
      <c r="C252" s="5" t="s">
        <v>152</v>
      </c>
      <c r="D252" s="5" t="s">
        <v>16</v>
      </c>
      <c r="E252" s="5" t="n">
        <f aca="false">ROUND(9601*1.05,2)</f>
        <v>10081.05</v>
      </c>
      <c r="F252" s="5" t="s">
        <v>49</v>
      </c>
      <c r="G252" s="5" t="s">
        <v>18</v>
      </c>
      <c r="H252" s="5" t="n">
        <f aca="true">ROUND(RAND()*4+6,1)</f>
        <v>7.6</v>
      </c>
      <c r="I252" s="5" t="s">
        <v>19</v>
      </c>
      <c r="J252" s="5" t="str">
        <f aca="false">ROUND(77*1,0)&amp;"%"</f>
        <v>77%</v>
      </c>
    </row>
    <row r="253" customFormat="false" ht="15" hidden="false" customHeight="false" outlineLevel="0" collapsed="false">
      <c r="A253" s="6" t="s">
        <v>5920</v>
      </c>
      <c r="B253" s="6" t="s">
        <v>418</v>
      </c>
      <c r="C253" s="6" t="s">
        <v>152</v>
      </c>
      <c r="D253" s="6" t="s">
        <v>22</v>
      </c>
      <c r="E253" s="6" t="n">
        <f aca="false">ROUND(13726*1.05,2)</f>
        <v>14412.3</v>
      </c>
      <c r="F253" s="6" t="s">
        <v>52</v>
      </c>
      <c r="G253" s="6" t="s">
        <v>24</v>
      </c>
      <c r="H253" s="6" t="n">
        <f aca="true">ROUND(RAND()*4+6,1)</f>
        <v>9.4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5921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5922</v>
      </c>
      <c r="B258" s="5" t="s">
        <v>422</v>
      </c>
      <c r="C258" s="5" t="s">
        <v>15</v>
      </c>
      <c r="D258" s="5" t="s">
        <v>16</v>
      </c>
      <c r="E258" s="5" t="n">
        <f aca="false">ROUND(9229*1.05,2)</f>
        <v>9690.45</v>
      </c>
      <c r="F258" s="5" t="s">
        <v>17</v>
      </c>
      <c r="G258" s="5" t="s">
        <v>18</v>
      </c>
      <c r="H258" s="5" t="n">
        <f aca="true">ROUND(RAND()*4+6,1)</f>
        <v>8.4</v>
      </c>
      <c r="I258" s="5" t="s">
        <v>19</v>
      </c>
      <c r="J258" s="5" t="str">
        <f aca="false">ROUND(84*1,0)&amp;"%"</f>
        <v>84%</v>
      </c>
    </row>
    <row r="259" customFormat="false" ht="15" hidden="false" customHeight="false" outlineLevel="0" collapsed="false">
      <c r="A259" s="6" t="s">
        <v>5923</v>
      </c>
      <c r="B259" s="6" t="s">
        <v>424</v>
      </c>
      <c r="C259" s="6" t="s">
        <v>15</v>
      </c>
      <c r="D259" s="6" t="s">
        <v>22</v>
      </c>
      <c r="E259" s="6" t="n">
        <f aca="false">ROUND(13872*1.05,2)</f>
        <v>14565.6</v>
      </c>
      <c r="F259" s="6" t="s">
        <v>23</v>
      </c>
      <c r="G259" s="6" t="s">
        <v>24</v>
      </c>
      <c r="H259" s="6" t="n">
        <f aca="true">ROUND(RAND()*4+6,1)</f>
        <v>8.6</v>
      </c>
      <c r="I259" s="6" t="s">
        <v>25</v>
      </c>
      <c r="J259" s="6" t="str">
        <f aca="false">ROUND(100*1,0)&amp;"%"</f>
        <v>100%</v>
      </c>
    </row>
    <row r="260" customFormat="false" ht="15" hidden="false" customHeight="false" outlineLevel="0" collapsed="false">
      <c r="A260" s="5" t="s">
        <v>5924</v>
      </c>
      <c r="B260" s="5" t="s">
        <v>426</v>
      </c>
      <c r="C260" s="5" t="s">
        <v>15</v>
      </c>
      <c r="D260" s="5" t="s">
        <v>28</v>
      </c>
      <c r="E260" s="5" t="n">
        <f aca="false">ROUND(16715*1.05,2)</f>
        <v>17550.75</v>
      </c>
      <c r="F260" s="5" t="s">
        <v>29</v>
      </c>
      <c r="G260" s="5" t="s">
        <v>30</v>
      </c>
      <c r="H260" s="5" t="n">
        <f aca="true">ROUND(RAND()*4+6,1)</f>
        <v>9.8</v>
      </c>
      <c r="I260" s="5" t="s">
        <v>31</v>
      </c>
      <c r="J260" s="5" t="str">
        <f aca="false">ROUND(76*1,0)&amp;"%"</f>
        <v>76%</v>
      </c>
    </row>
    <row r="261" customFormat="false" ht="15" hidden="false" customHeight="false" outlineLevel="0" collapsed="false">
      <c r="A261" s="6" t="s">
        <v>5925</v>
      </c>
      <c r="B261" s="6" t="s">
        <v>428</v>
      </c>
      <c r="C261" s="6" t="s">
        <v>15</v>
      </c>
      <c r="D261" s="6" t="s">
        <v>34</v>
      </c>
      <c r="E261" s="6" t="n">
        <f aca="false">ROUND(8415*1.05,2)</f>
        <v>8835.75</v>
      </c>
      <c r="F261" s="6" t="s">
        <v>35</v>
      </c>
      <c r="G261" s="6" t="s">
        <v>18</v>
      </c>
      <c r="H261" s="6" t="n">
        <f aca="true">ROUND(RAND()*4+6,1)</f>
        <v>7.1</v>
      </c>
      <c r="I261" s="6" t="s">
        <v>36</v>
      </c>
      <c r="J261" s="6" t="str">
        <f aca="false">ROUND(98*1,0)&amp;"%"</f>
        <v>98%</v>
      </c>
    </row>
    <row r="262" customFormat="false" ht="15" hidden="false" customHeight="false" outlineLevel="0" collapsed="false">
      <c r="A262" s="5" t="s">
        <v>5926</v>
      </c>
      <c r="B262" s="5" t="s">
        <v>430</v>
      </c>
      <c r="C262" s="5" t="s">
        <v>15</v>
      </c>
      <c r="D262" s="5" t="s">
        <v>39</v>
      </c>
      <c r="E262" s="5" t="n">
        <f aca="false">ROUND(16775*1.05,2)</f>
        <v>17613.75</v>
      </c>
      <c r="F262" s="5" t="s">
        <v>40</v>
      </c>
      <c r="G262" s="5" t="s">
        <v>24</v>
      </c>
      <c r="H262" s="5" t="n">
        <f aca="true">ROUND(RAND()*4+6,1)</f>
        <v>7.6</v>
      </c>
      <c r="I262" s="5" t="s">
        <v>41</v>
      </c>
      <c r="J262" s="5" t="str">
        <f aca="false">ROUND(72*1,0)&amp;"%"</f>
        <v>72%</v>
      </c>
    </row>
    <row r="263" customFormat="false" ht="15" hidden="false" customHeight="false" outlineLevel="0" collapsed="false">
      <c r="A263" s="6" t="s">
        <v>5927</v>
      </c>
      <c r="B263" s="6" t="s">
        <v>432</v>
      </c>
      <c r="C263" s="6" t="s">
        <v>15</v>
      </c>
      <c r="D263" s="6" t="s">
        <v>44</v>
      </c>
      <c r="E263" s="6" t="n">
        <f aca="false">ROUND(11713*1.05,2)</f>
        <v>12298.65</v>
      </c>
      <c r="F263" s="6" t="s">
        <v>45</v>
      </c>
      <c r="G263" s="6" t="s">
        <v>30</v>
      </c>
      <c r="H263" s="6" t="n">
        <f aca="true">ROUND(RAND()*4+6,1)</f>
        <v>8.1</v>
      </c>
      <c r="I263" s="6" t="s">
        <v>46</v>
      </c>
      <c r="J263" s="6" t="str">
        <f aca="false">ROUND(76*1,0)&amp;"%"</f>
        <v>76%</v>
      </c>
    </row>
    <row r="264" customFormat="false" ht="15" hidden="false" customHeight="false" outlineLevel="0" collapsed="false">
      <c r="A264" s="5" t="s">
        <v>5928</v>
      </c>
      <c r="B264" s="5" t="s">
        <v>434</v>
      </c>
      <c r="C264" s="5" t="s">
        <v>15</v>
      </c>
      <c r="D264" s="5" t="s">
        <v>16</v>
      </c>
      <c r="E264" s="5" t="n">
        <f aca="false">ROUND(11940*1.05,2)</f>
        <v>12537</v>
      </c>
      <c r="F264" s="5" t="s">
        <v>49</v>
      </c>
      <c r="G264" s="5" t="s">
        <v>18</v>
      </c>
      <c r="H264" s="5" t="n">
        <f aca="true">ROUND(RAND()*4+6,1)</f>
        <v>8.1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5929</v>
      </c>
      <c r="B265" s="6" t="s">
        <v>436</v>
      </c>
      <c r="C265" s="6" t="s">
        <v>15</v>
      </c>
      <c r="D265" s="6" t="s">
        <v>22</v>
      </c>
      <c r="E265" s="6" t="n">
        <f aca="false">ROUND(12053*1.05,2)</f>
        <v>12655.65</v>
      </c>
      <c r="F265" s="6" t="s">
        <v>52</v>
      </c>
      <c r="G265" s="6" t="s">
        <v>24</v>
      </c>
      <c r="H265" s="6" t="n">
        <f aca="true">ROUND(RAND()*4+6,1)</f>
        <v>6.6</v>
      </c>
      <c r="I265" s="6" t="s">
        <v>25</v>
      </c>
      <c r="J265" s="6" t="str">
        <f aca="false">ROUND(76*1,0)&amp;"%"</f>
        <v>76%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5930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5931</v>
      </c>
      <c r="B270" s="5" t="s">
        <v>440</v>
      </c>
      <c r="C270" s="5" t="s">
        <v>57</v>
      </c>
      <c r="D270" s="5" t="s">
        <v>16</v>
      </c>
      <c r="E270" s="5" t="n">
        <f aca="false">ROUND(15824*1.05,2)</f>
        <v>16615.2</v>
      </c>
      <c r="F270" s="5" t="s">
        <v>17</v>
      </c>
      <c r="G270" s="5" t="s">
        <v>18</v>
      </c>
      <c r="H270" s="5" t="n">
        <f aca="true">ROUND(RAND()*4+6,1)</f>
        <v>7.4</v>
      </c>
      <c r="I270" s="5" t="s">
        <v>19</v>
      </c>
      <c r="J270" s="5" t="str">
        <f aca="false">ROUND(88*1,0)&amp;"%"</f>
        <v>88%</v>
      </c>
    </row>
    <row r="271" customFormat="false" ht="15" hidden="false" customHeight="false" outlineLevel="0" collapsed="false">
      <c r="A271" s="6" t="s">
        <v>5932</v>
      </c>
      <c r="B271" s="6" t="s">
        <v>442</v>
      </c>
      <c r="C271" s="6" t="s">
        <v>57</v>
      </c>
      <c r="D271" s="6" t="s">
        <v>22</v>
      </c>
      <c r="E271" s="6" t="n">
        <f aca="false">ROUND(14820*1.05,2)</f>
        <v>15561</v>
      </c>
      <c r="F271" s="6" t="s">
        <v>23</v>
      </c>
      <c r="G271" s="6" t="s">
        <v>24</v>
      </c>
      <c r="H271" s="6" t="n">
        <f aca="true">ROUND(RAND()*4+6,1)</f>
        <v>8.1</v>
      </c>
      <c r="I271" s="6" t="s">
        <v>25</v>
      </c>
      <c r="J271" s="6" t="str">
        <f aca="false">ROUND(71*1,0)&amp;"%"</f>
        <v>71%</v>
      </c>
    </row>
    <row r="272" customFormat="false" ht="15" hidden="false" customHeight="false" outlineLevel="0" collapsed="false">
      <c r="A272" s="5" t="s">
        <v>5933</v>
      </c>
      <c r="B272" s="5" t="s">
        <v>444</v>
      </c>
      <c r="C272" s="5" t="s">
        <v>57</v>
      </c>
      <c r="D272" s="5" t="s">
        <v>28</v>
      </c>
      <c r="E272" s="5" t="n">
        <f aca="false">ROUND(14684*1.05,2)</f>
        <v>15418.2</v>
      </c>
      <c r="F272" s="5" t="s">
        <v>29</v>
      </c>
      <c r="G272" s="5" t="s">
        <v>30</v>
      </c>
      <c r="H272" s="5" t="n">
        <f aca="true">ROUND(RAND()*4+6,1)</f>
        <v>8.8</v>
      </c>
      <c r="I272" s="5" t="s">
        <v>31</v>
      </c>
      <c r="J272" s="5" t="str">
        <f aca="false">ROUND(78*1,0)&amp;"%"</f>
        <v>78%</v>
      </c>
    </row>
    <row r="273" customFormat="false" ht="15" hidden="false" customHeight="false" outlineLevel="0" collapsed="false">
      <c r="A273" s="6" t="s">
        <v>5934</v>
      </c>
      <c r="B273" s="6" t="s">
        <v>446</v>
      </c>
      <c r="C273" s="6" t="s">
        <v>57</v>
      </c>
      <c r="D273" s="6" t="s">
        <v>34</v>
      </c>
      <c r="E273" s="6" t="n">
        <f aca="false">ROUND(17333*1.05,2)</f>
        <v>18199.65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ROUND(75*1,0)&amp;"%"</f>
        <v>75%</v>
      </c>
    </row>
    <row r="274" customFormat="false" ht="15" hidden="false" customHeight="false" outlineLevel="0" collapsed="false">
      <c r="A274" s="5" t="s">
        <v>5935</v>
      </c>
      <c r="B274" s="5" t="s">
        <v>448</v>
      </c>
      <c r="C274" s="5" t="s">
        <v>57</v>
      </c>
      <c r="D274" s="5" t="s">
        <v>39</v>
      </c>
      <c r="E274" s="5" t="n">
        <f aca="false">ROUND(12601*1.05,2)</f>
        <v>13231.05</v>
      </c>
      <c r="F274" s="5" t="s">
        <v>40</v>
      </c>
      <c r="G274" s="5" t="s">
        <v>24</v>
      </c>
      <c r="H274" s="5" t="n">
        <f aca="true">ROUND(RAND()*4+6,1)</f>
        <v>6.4</v>
      </c>
      <c r="I274" s="5" t="s">
        <v>41</v>
      </c>
      <c r="J274" s="5" t="str">
        <f aca="false">ROUND(87*1,0)&amp;"%"</f>
        <v>87%</v>
      </c>
    </row>
    <row r="275" customFormat="false" ht="15" hidden="false" customHeight="false" outlineLevel="0" collapsed="false">
      <c r="A275" s="6" t="s">
        <v>5936</v>
      </c>
      <c r="B275" s="6" t="s">
        <v>450</v>
      </c>
      <c r="C275" s="6" t="s">
        <v>57</v>
      </c>
      <c r="D275" s="6" t="s">
        <v>44</v>
      </c>
      <c r="E275" s="6" t="n">
        <f aca="false">ROUND(8311*1.05,2)</f>
        <v>8726.55</v>
      </c>
      <c r="F275" s="6" t="s">
        <v>45</v>
      </c>
      <c r="G275" s="6" t="s">
        <v>30</v>
      </c>
      <c r="H275" s="6" t="n">
        <f aca="true">ROUND(RAND()*4+6,1)</f>
        <v>10</v>
      </c>
      <c r="I275" s="6" t="s">
        <v>46</v>
      </c>
      <c r="J275" s="6" t="str">
        <f aca="false">ROUND(63*1,0)&amp;"%"</f>
        <v>63%</v>
      </c>
    </row>
    <row r="276" customFormat="false" ht="15" hidden="false" customHeight="false" outlineLevel="0" collapsed="false">
      <c r="A276" s="5" t="s">
        <v>5937</v>
      </c>
      <c r="B276" s="5" t="s">
        <v>452</v>
      </c>
      <c r="C276" s="5" t="s">
        <v>57</v>
      </c>
      <c r="D276" s="5" t="s">
        <v>16</v>
      </c>
      <c r="E276" s="5" t="n">
        <f aca="false">ROUND(8339*1.05,2)</f>
        <v>8755.95</v>
      </c>
      <c r="F276" s="5" t="s">
        <v>49</v>
      </c>
      <c r="G276" s="5" t="s">
        <v>18</v>
      </c>
      <c r="H276" s="5" t="n">
        <f aca="true">ROUND(RAND()*4+6,1)</f>
        <v>9.7</v>
      </c>
      <c r="I276" s="5" t="s">
        <v>19</v>
      </c>
      <c r="J276" s="5" t="str">
        <f aca="false">ROUND(93*1,0)&amp;"%"</f>
        <v>93%</v>
      </c>
    </row>
    <row r="277" customFormat="false" ht="15" hidden="false" customHeight="false" outlineLevel="0" collapsed="false">
      <c r="A277" s="6" t="s">
        <v>5938</v>
      </c>
      <c r="B277" s="6" t="s">
        <v>454</v>
      </c>
      <c r="C277" s="6" t="s">
        <v>57</v>
      </c>
      <c r="D277" s="6" t="s">
        <v>22</v>
      </c>
      <c r="E277" s="6" t="n">
        <f aca="false">ROUND(10704*1.05,2)</f>
        <v>11239.2</v>
      </c>
      <c r="F277" s="6" t="s">
        <v>52</v>
      </c>
      <c r="G277" s="6" t="s">
        <v>24</v>
      </c>
      <c r="H277" s="6" t="n">
        <f aca="true">ROUND(RAND()*4+6,1)</f>
        <v>8.6</v>
      </c>
      <c r="I277" s="6" t="s">
        <v>25</v>
      </c>
      <c r="J277" s="6" t="str">
        <f aca="false">ROUND(93*1,0)&amp;"%"</f>
        <v>93%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5939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5940</v>
      </c>
      <c r="B282" s="5" t="s">
        <v>458</v>
      </c>
      <c r="C282" s="5" t="s">
        <v>76</v>
      </c>
      <c r="D282" s="5" t="s">
        <v>16</v>
      </c>
      <c r="E282" s="5" t="n">
        <f aca="false">ROUND(9691*1.05,2)</f>
        <v>10175.55</v>
      </c>
      <c r="F282" s="5" t="s">
        <v>17</v>
      </c>
      <c r="G282" s="5" t="s">
        <v>18</v>
      </c>
      <c r="H282" s="5" t="n">
        <f aca="true">ROUND(RAND()*4+6,1)</f>
        <v>9.2</v>
      </c>
      <c r="I282" s="5" t="s">
        <v>19</v>
      </c>
      <c r="J282" s="5" t="str">
        <f aca="false">ROUND(71*1,0)&amp;"%"</f>
        <v>71%</v>
      </c>
    </row>
    <row r="283" customFormat="false" ht="15" hidden="false" customHeight="false" outlineLevel="0" collapsed="false">
      <c r="A283" s="6" t="s">
        <v>5941</v>
      </c>
      <c r="B283" s="6" t="s">
        <v>460</v>
      </c>
      <c r="C283" s="6" t="s">
        <v>76</v>
      </c>
      <c r="D283" s="6" t="s">
        <v>22</v>
      </c>
      <c r="E283" s="6" t="n">
        <f aca="false">ROUND(16663*1.05,2)</f>
        <v>17496.15</v>
      </c>
      <c r="F283" s="6" t="s">
        <v>23</v>
      </c>
      <c r="G283" s="6" t="s">
        <v>24</v>
      </c>
      <c r="H283" s="6" t="n">
        <f aca="true">ROUND(RAND()*4+6,1)</f>
        <v>7.5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5942</v>
      </c>
      <c r="B284" s="5" t="s">
        <v>462</v>
      </c>
      <c r="C284" s="5" t="s">
        <v>76</v>
      </c>
      <c r="D284" s="5" t="s">
        <v>28</v>
      </c>
      <c r="E284" s="5" t="n">
        <f aca="false">ROUND(7757*1.05,2)</f>
        <v>8144.85</v>
      </c>
      <c r="F284" s="5" t="s">
        <v>29</v>
      </c>
      <c r="G284" s="5" t="s">
        <v>30</v>
      </c>
      <c r="H284" s="5" t="n">
        <f aca="true">ROUND(RAND()*4+6,1)</f>
        <v>7</v>
      </c>
      <c r="I284" s="5" t="s">
        <v>31</v>
      </c>
      <c r="J284" s="5" t="str">
        <f aca="false">ROUND(73*1,0)&amp;"%"</f>
        <v>73%</v>
      </c>
    </row>
    <row r="285" customFormat="false" ht="15" hidden="false" customHeight="false" outlineLevel="0" collapsed="false">
      <c r="A285" s="6" t="s">
        <v>5943</v>
      </c>
      <c r="B285" s="6" t="s">
        <v>464</v>
      </c>
      <c r="C285" s="6" t="s">
        <v>76</v>
      </c>
      <c r="D285" s="6" t="s">
        <v>34</v>
      </c>
      <c r="E285" s="6" t="n">
        <f aca="false">ROUND(12614*1.05,2)</f>
        <v>13244.7</v>
      </c>
      <c r="F285" s="6" t="s">
        <v>35</v>
      </c>
      <c r="G285" s="6" t="s">
        <v>18</v>
      </c>
      <c r="H285" s="6" t="n">
        <f aca="true">ROUND(RAND()*4+6,1)</f>
        <v>6.4</v>
      </c>
      <c r="I285" s="6" t="s">
        <v>36</v>
      </c>
      <c r="J285" s="6" t="str">
        <f aca="false">ROUND(83*1,0)&amp;"%"</f>
        <v>83%</v>
      </c>
    </row>
    <row r="286" customFormat="false" ht="15" hidden="false" customHeight="false" outlineLevel="0" collapsed="false">
      <c r="A286" s="5" t="s">
        <v>5944</v>
      </c>
      <c r="B286" s="5" t="s">
        <v>466</v>
      </c>
      <c r="C286" s="5" t="s">
        <v>76</v>
      </c>
      <c r="D286" s="5" t="s">
        <v>39</v>
      </c>
      <c r="E286" s="5" t="n">
        <f aca="false">ROUND(8040*1.05,2)</f>
        <v>8442</v>
      </c>
      <c r="F286" s="5" t="s">
        <v>40</v>
      </c>
      <c r="G286" s="5" t="s">
        <v>24</v>
      </c>
      <c r="H286" s="5" t="n">
        <f aca="true">ROUND(RAND()*4+6,1)</f>
        <v>7.4</v>
      </c>
      <c r="I286" s="5" t="s">
        <v>41</v>
      </c>
      <c r="J286" s="5" t="str">
        <f aca="false">ROUND(61*1,0)&amp;"%"</f>
        <v>61%</v>
      </c>
    </row>
    <row r="287" customFormat="false" ht="15" hidden="false" customHeight="false" outlineLevel="0" collapsed="false">
      <c r="A287" s="6" t="s">
        <v>5945</v>
      </c>
      <c r="B287" s="6" t="s">
        <v>468</v>
      </c>
      <c r="C287" s="6" t="s">
        <v>76</v>
      </c>
      <c r="D287" s="6" t="s">
        <v>44</v>
      </c>
      <c r="E287" s="6" t="n">
        <f aca="false">ROUND(12600*1.05,2)</f>
        <v>13230</v>
      </c>
      <c r="F287" s="6" t="s">
        <v>45</v>
      </c>
      <c r="G287" s="6" t="s">
        <v>30</v>
      </c>
      <c r="H287" s="6" t="n">
        <f aca="true">ROUND(RAND()*4+6,1)</f>
        <v>9</v>
      </c>
      <c r="I287" s="6" t="s">
        <v>46</v>
      </c>
      <c r="J287" s="6" t="str">
        <f aca="false">ROUND(86*1,0)&amp;"%"</f>
        <v>86%</v>
      </c>
    </row>
    <row r="288" customFormat="false" ht="15" hidden="false" customHeight="false" outlineLevel="0" collapsed="false">
      <c r="A288" s="5" t="s">
        <v>5946</v>
      </c>
      <c r="B288" s="5" t="s">
        <v>470</v>
      </c>
      <c r="C288" s="5" t="s">
        <v>76</v>
      </c>
      <c r="D288" s="5" t="s">
        <v>16</v>
      </c>
      <c r="E288" s="5" t="n">
        <f aca="false">ROUND(15645*1.05,2)</f>
        <v>16427.25</v>
      </c>
      <c r="F288" s="5" t="s">
        <v>49</v>
      </c>
      <c r="G288" s="5" t="s">
        <v>18</v>
      </c>
      <c r="H288" s="5" t="n">
        <f aca="true">ROUND(RAND()*4+6,1)</f>
        <v>6.1</v>
      </c>
      <c r="I288" s="5" t="s">
        <v>19</v>
      </c>
      <c r="J288" s="5" t="str">
        <f aca="false">ROUND(74*1,0)&amp;"%"</f>
        <v>74%</v>
      </c>
    </row>
    <row r="289" customFormat="false" ht="15" hidden="false" customHeight="false" outlineLevel="0" collapsed="false">
      <c r="A289" s="6" t="s">
        <v>5947</v>
      </c>
      <c r="B289" s="6" t="s">
        <v>472</v>
      </c>
      <c r="C289" s="6" t="s">
        <v>76</v>
      </c>
      <c r="D289" s="6" t="s">
        <v>22</v>
      </c>
      <c r="E289" s="6" t="n">
        <f aca="false">ROUND(17010*1.05,2)</f>
        <v>17860.5</v>
      </c>
      <c r="F289" s="6" t="s">
        <v>52</v>
      </c>
      <c r="G289" s="6" t="s">
        <v>24</v>
      </c>
      <c r="H289" s="6" t="n">
        <f aca="true">ROUND(RAND()*4+6,1)</f>
        <v>6.3</v>
      </c>
      <c r="I289" s="6" t="s">
        <v>25</v>
      </c>
      <c r="J289" s="6" t="str">
        <f aca="false">ROUND(88*1,0)&amp;"%"</f>
        <v>88%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5948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5949</v>
      </c>
      <c r="B294" s="5" t="s">
        <v>476</v>
      </c>
      <c r="C294" s="5" t="s">
        <v>95</v>
      </c>
      <c r="D294" s="5" t="s">
        <v>16</v>
      </c>
      <c r="E294" s="5" t="n">
        <f aca="false">ROUND(12761*1.05,2)</f>
        <v>13399.05</v>
      </c>
      <c r="F294" s="5" t="s">
        <v>17</v>
      </c>
      <c r="G294" s="5" t="s">
        <v>18</v>
      </c>
      <c r="H294" s="5" t="n">
        <f aca="true">ROUND(RAND()*4+6,1)</f>
        <v>8.6</v>
      </c>
      <c r="I294" s="5" t="s">
        <v>19</v>
      </c>
      <c r="J294" s="5" t="str">
        <f aca="false">ROUND(87*1,0)&amp;"%"</f>
        <v>87%</v>
      </c>
    </row>
    <row r="295" customFormat="false" ht="15" hidden="false" customHeight="false" outlineLevel="0" collapsed="false">
      <c r="A295" s="6" t="s">
        <v>5950</v>
      </c>
      <c r="B295" s="6" t="s">
        <v>478</v>
      </c>
      <c r="C295" s="6" t="s">
        <v>95</v>
      </c>
      <c r="D295" s="6" t="s">
        <v>22</v>
      </c>
      <c r="E295" s="6" t="n">
        <f aca="false">ROUND(11032*1.05,2)</f>
        <v>11583.6</v>
      </c>
      <c r="F295" s="6" t="s">
        <v>23</v>
      </c>
      <c r="G295" s="6" t="s">
        <v>24</v>
      </c>
      <c r="H295" s="6" t="n">
        <f aca="true">ROUND(RAND()*4+6,1)</f>
        <v>7</v>
      </c>
      <c r="I295" s="6" t="s">
        <v>25</v>
      </c>
      <c r="J295" s="6" t="str">
        <f aca="false">ROUND(87*1,0)&amp;"%"</f>
        <v>87%</v>
      </c>
    </row>
    <row r="296" customFormat="false" ht="15" hidden="false" customHeight="false" outlineLevel="0" collapsed="false">
      <c r="A296" s="5" t="s">
        <v>5951</v>
      </c>
      <c r="B296" s="5" t="s">
        <v>480</v>
      </c>
      <c r="C296" s="5" t="s">
        <v>95</v>
      </c>
      <c r="D296" s="5" t="s">
        <v>28</v>
      </c>
      <c r="E296" s="5" t="n">
        <f aca="false">ROUND(10437*1.05,2)</f>
        <v>10958.85</v>
      </c>
      <c r="F296" s="5" t="s">
        <v>29</v>
      </c>
      <c r="G296" s="5" t="s">
        <v>30</v>
      </c>
      <c r="H296" s="5" t="n">
        <f aca="true">ROUND(RAND()*4+6,1)</f>
        <v>7.1</v>
      </c>
      <c r="I296" s="5" t="s">
        <v>31</v>
      </c>
      <c r="J296" s="5" t="str">
        <f aca="false">ROUND(68*1,0)&amp;"%"</f>
        <v>68%</v>
      </c>
    </row>
    <row r="297" customFormat="false" ht="15" hidden="false" customHeight="false" outlineLevel="0" collapsed="false">
      <c r="A297" s="6" t="s">
        <v>5952</v>
      </c>
      <c r="B297" s="6" t="s">
        <v>482</v>
      </c>
      <c r="C297" s="6" t="s">
        <v>95</v>
      </c>
      <c r="D297" s="6" t="s">
        <v>34</v>
      </c>
      <c r="E297" s="6" t="n">
        <f aca="false">ROUND(8001*1.05,2)</f>
        <v>8401.05</v>
      </c>
      <c r="F297" s="6" t="s">
        <v>35</v>
      </c>
      <c r="G297" s="6" t="s">
        <v>18</v>
      </c>
      <c r="H297" s="6" t="n">
        <f aca="true">ROUND(RAND()*4+6,1)</f>
        <v>6.1</v>
      </c>
      <c r="I297" s="6" t="s">
        <v>36</v>
      </c>
      <c r="J297" s="6" t="str">
        <f aca="false">ROUND(92*1,0)&amp;"%"</f>
        <v>92%</v>
      </c>
    </row>
    <row r="298" customFormat="false" ht="15" hidden="false" customHeight="false" outlineLevel="0" collapsed="false">
      <c r="A298" s="5" t="s">
        <v>5953</v>
      </c>
      <c r="B298" s="5" t="s">
        <v>484</v>
      </c>
      <c r="C298" s="5" t="s">
        <v>95</v>
      </c>
      <c r="D298" s="5" t="s">
        <v>39</v>
      </c>
      <c r="E298" s="5" t="n">
        <f aca="false">ROUND(13188*1.05,2)</f>
        <v>13847.4</v>
      </c>
      <c r="F298" s="5" t="s">
        <v>40</v>
      </c>
      <c r="G298" s="5" t="s">
        <v>24</v>
      </c>
      <c r="H298" s="5" t="n">
        <f aca="true">ROUND(RAND()*4+6,1)</f>
        <v>8.3</v>
      </c>
      <c r="I298" s="5" t="s">
        <v>41</v>
      </c>
      <c r="J298" s="5" t="str">
        <f aca="false">ROUND(83*1,0)&amp;"%"</f>
        <v>83%</v>
      </c>
    </row>
    <row r="299" customFormat="false" ht="15" hidden="false" customHeight="false" outlineLevel="0" collapsed="false">
      <c r="A299" s="6" t="s">
        <v>5954</v>
      </c>
      <c r="B299" s="6" t="s">
        <v>486</v>
      </c>
      <c r="C299" s="6" t="s">
        <v>95</v>
      </c>
      <c r="D299" s="6" t="s">
        <v>44</v>
      </c>
      <c r="E299" s="6" t="n">
        <f aca="false">ROUND(12483*1.05,2)</f>
        <v>13107.15</v>
      </c>
      <c r="F299" s="6" t="s">
        <v>45</v>
      </c>
      <c r="G299" s="6" t="s">
        <v>30</v>
      </c>
      <c r="H299" s="6" t="n">
        <f aca="true">ROUND(RAND()*4+6,1)</f>
        <v>9.8</v>
      </c>
      <c r="I299" s="6" t="s">
        <v>46</v>
      </c>
      <c r="J299" s="6" t="str">
        <f aca="false">ROUND(68*1,0)&amp;"%"</f>
        <v>68%</v>
      </c>
    </row>
    <row r="300" customFormat="false" ht="15" hidden="false" customHeight="false" outlineLevel="0" collapsed="false">
      <c r="A300" s="5" t="s">
        <v>5955</v>
      </c>
      <c r="B300" s="5" t="s">
        <v>488</v>
      </c>
      <c r="C300" s="5" t="s">
        <v>95</v>
      </c>
      <c r="D300" s="5" t="s">
        <v>16</v>
      </c>
      <c r="E300" s="5" t="n">
        <f aca="false">ROUND(8487*1.05,2)</f>
        <v>8911.35</v>
      </c>
      <c r="F300" s="5" t="s">
        <v>49</v>
      </c>
      <c r="G300" s="5" t="s">
        <v>18</v>
      </c>
      <c r="H300" s="5" t="n">
        <f aca="true">ROUND(RAND()*4+6,1)</f>
        <v>8.6</v>
      </c>
      <c r="I300" s="5" t="s">
        <v>19</v>
      </c>
      <c r="J300" s="5" t="str">
        <f aca="false">ROUND(67*1,0)&amp;"%"</f>
        <v>67%</v>
      </c>
    </row>
    <row r="301" customFormat="false" ht="15" hidden="false" customHeight="false" outlineLevel="0" collapsed="false">
      <c r="A301" s="6" t="s">
        <v>5956</v>
      </c>
      <c r="B301" s="6" t="s">
        <v>490</v>
      </c>
      <c r="C301" s="6" t="s">
        <v>95</v>
      </c>
      <c r="D301" s="6" t="s">
        <v>22</v>
      </c>
      <c r="E301" s="6" t="n">
        <f aca="false">ROUND(10131*1.05,2)</f>
        <v>10637.55</v>
      </c>
      <c r="F301" s="6" t="s">
        <v>52</v>
      </c>
      <c r="G301" s="6" t="s">
        <v>24</v>
      </c>
      <c r="H301" s="6" t="n">
        <f aca="true">ROUND(RAND()*4+6,1)</f>
        <v>9</v>
      </c>
      <c r="I301" s="6" t="s">
        <v>25</v>
      </c>
      <c r="J301" s="6" t="str">
        <f aca="false">ROUND(72*1,0)&amp;"%"</f>
        <v>72%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5957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5958</v>
      </c>
      <c r="B306" s="5" t="s">
        <v>494</v>
      </c>
      <c r="C306" s="5" t="s">
        <v>114</v>
      </c>
      <c r="D306" s="5" t="s">
        <v>16</v>
      </c>
      <c r="E306" s="5" t="n">
        <f aca="false">ROUND(17441*1.05,2)</f>
        <v>18313.05</v>
      </c>
      <c r="F306" s="5" t="s">
        <v>17</v>
      </c>
      <c r="G306" s="5" t="s">
        <v>18</v>
      </c>
      <c r="H306" s="5" t="n">
        <f aca="true">ROUND(RAND()*4+6,1)</f>
        <v>7.9</v>
      </c>
      <c r="I306" s="5" t="s">
        <v>19</v>
      </c>
      <c r="J306" s="5" t="str">
        <f aca="false">ROUND(67*1,0)&amp;"%"</f>
        <v>67%</v>
      </c>
    </row>
    <row r="307" customFormat="false" ht="15" hidden="false" customHeight="false" outlineLevel="0" collapsed="false">
      <c r="A307" s="6" t="s">
        <v>5959</v>
      </c>
      <c r="B307" s="6" t="s">
        <v>496</v>
      </c>
      <c r="C307" s="6" t="s">
        <v>114</v>
      </c>
      <c r="D307" s="6" t="s">
        <v>22</v>
      </c>
      <c r="E307" s="6" t="n">
        <f aca="false">ROUND(8275*1.05,2)</f>
        <v>8688.75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ROUND(82*1,0)&amp;"%"</f>
        <v>82%</v>
      </c>
    </row>
    <row r="308" customFormat="false" ht="15" hidden="false" customHeight="false" outlineLevel="0" collapsed="false">
      <c r="A308" s="5" t="s">
        <v>5960</v>
      </c>
      <c r="B308" s="5" t="s">
        <v>498</v>
      </c>
      <c r="C308" s="5" t="s">
        <v>114</v>
      </c>
      <c r="D308" s="5" t="s">
        <v>28</v>
      </c>
      <c r="E308" s="5" t="n">
        <f aca="false">ROUND(6949*1.05,2)</f>
        <v>7296.45</v>
      </c>
      <c r="F308" s="5" t="s">
        <v>29</v>
      </c>
      <c r="G308" s="5" t="s">
        <v>30</v>
      </c>
      <c r="H308" s="5" t="n">
        <f aca="true">ROUND(RAND()*4+6,1)</f>
        <v>9.5</v>
      </c>
      <c r="I308" s="5" t="s">
        <v>31</v>
      </c>
      <c r="J308" s="5" t="str">
        <f aca="false">ROUND(67*1,0)&amp;"%"</f>
        <v>67%</v>
      </c>
    </row>
    <row r="309" customFormat="false" ht="15" hidden="false" customHeight="false" outlineLevel="0" collapsed="false">
      <c r="A309" s="6" t="s">
        <v>5961</v>
      </c>
      <c r="B309" s="6" t="s">
        <v>500</v>
      </c>
      <c r="C309" s="6" t="s">
        <v>114</v>
      </c>
      <c r="D309" s="6" t="s">
        <v>34</v>
      </c>
      <c r="E309" s="6" t="n">
        <f aca="false">ROUND(5571*1.05,2)</f>
        <v>5849.55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5962</v>
      </c>
      <c r="B310" s="5" t="s">
        <v>502</v>
      </c>
      <c r="C310" s="5" t="s">
        <v>114</v>
      </c>
      <c r="D310" s="5" t="s">
        <v>39</v>
      </c>
      <c r="E310" s="5" t="n">
        <f aca="false">ROUND(7312*1.05,2)</f>
        <v>7677.6</v>
      </c>
      <c r="F310" s="5" t="s">
        <v>40</v>
      </c>
      <c r="G310" s="5" t="s">
        <v>24</v>
      </c>
      <c r="H310" s="5" t="n">
        <f aca="true">ROUND(RAND()*4+6,1)</f>
        <v>7.2</v>
      </c>
      <c r="I310" s="5" t="s">
        <v>41</v>
      </c>
      <c r="J310" s="5" t="str">
        <f aca="false">ROUND(70*1,0)&amp;"%"</f>
        <v>70%</v>
      </c>
    </row>
    <row r="311" customFormat="false" ht="15" hidden="false" customHeight="false" outlineLevel="0" collapsed="false">
      <c r="A311" s="6" t="s">
        <v>5963</v>
      </c>
      <c r="B311" s="6" t="s">
        <v>504</v>
      </c>
      <c r="C311" s="6" t="s">
        <v>114</v>
      </c>
      <c r="D311" s="6" t="s">
        <v>44</v>
      </c>
      <c r="E311" s="6" t="n">
        <f aca="false">ROUND(10979*1.05,2)</f>
        <v>11527.95</v>
      </c>
      <c r="F311" s="6" t="s">
        <v>45</v>
      </c>
      <c r="G311" s="6" t="s">
        <v>30</v>
      </c>
      <c r="H311" s="6" t="n">
        <f aca="true">ROUND(RAND()*4+6,1)</f>
        <v>6.7</v>
      </c>
      <c r="I311" s="6" t="s">
        <v>46</v>
      </c>
      <c r="J311" s="6" t="str">
        <f aca="false">ROUND(69*1,0)&amp;"%"</f>
        <v>69%</v>
      </c>
    </row>
    <row r="312" customFormat="false" ht="15" hidden="false" customHeight="false" outlineLevel="0" collapsed="false">
      <c r="A312" s="5" t="s">
        <v>5964</v>
      </c>
      <c r="B312" s="5" t="s">
        <v>506</v>
      </c>
      <c r="C312" s="5" t="s">
        <v>114</v>
      </c>
      <c r="D312" s="5" t="s">
        <v>16</v>
      </c>
      <c r="E312" s="5" t="n">
        <f aca="false">ROUND(11979*1.05,2)</f>
        <v>12577.95</v>
      </c>
      <c r="F312" s="5" t="s">
        <v>49</v>
      </c>
      <c r="G312" s="5" t="s">
        <v>18</v>
      </c>
      <c r="H312" s="5" t="n">
        <f aca="true">ROUND(RAND()*4+6,1)</f>
        <v>9.8</v>
      </c>
      <c r="I312" s="5" t="s">
        <v>19</v>
      </c>
      <c r="J312" s="5" t="str">
        <f aca="false">ROUND(69*1,0)&amp;"%"</f>
        <v>69%</v>
      </c>
    </row>
    <row r="313" customFormat="false" ht="15" hidden="false" customHeight="false" outlineLevel="0" collapsed="false">
      <c r="A313" s="6" t="s">
        <v>5965</v>
      </c>
      <c r="B313" s="6" t="s">
        <v>508</v>
      </c>
      <c r="C313" s="6" t="s">
        <v>114</v>
      </c>
      <c r="D313" s="6" t="s">
        <v>22</v>
      </c>
      <c r="E313" s="6" t="n">
        <f aca="false">ROUND(10334*1.05,2)</f>
        <v>10850.7</v>
      </c>
      <c r="F313" s="6" t="s">
        <v>52</v>
      </c>
      <c r="G313" s="6" t="s">
        <v>24</v>
      </c>
      <c r="H313" s="6" t="n">
        <f aca="true">ROUND(RAND()*4+6,1)</f>
        <v>7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5966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5967</v>
      </c>
      <c r="B318" s="5" t="s">
        <v>512</v>
      </c>
      <c r="C318" s="5" t="s">
        <v>133</v>
      </c>
      <c r="D318" s="5" t="s">
        <v>16</v>
      </c>
      <c r="E318" s="5" t="n">
        <f aca="false">ROUND(15320*1.05,2)</f>
        <v>16086</v>
      </c>
      <c r="F318" s="5" t="s">
        <v>17</v>
      </c>
      <c r="G318" s="5" t="s">
        <v>18</v>
      </c>
      <c r="H318" s="5" t="n">
        <f aca="true">ROUND(RAND()*4+6,1)</f>
        <v>9.2</v>
      </c>
      <c r="I318" s="5" t="s">
        <v>19</v>
      </c>
      <c r="J318" s="5" t="str">
        <f aca="false">ROUND(66*1,0)&amp;"%"</f>
        <v>66%</v>
      </c>
    </row>
    <row r="319" customFormat="false" ht="15" hidden="false" customHeight="false" outlineLevel="0" collapsed="false">
      <c r="A319" s="6" t="s">
        <v>5968</v>
      </c>
      <c r="B319" s="6" t="s">
        <v>514</v>
      </c>
      <c r="C319" s="6" t="s">
        <v>133</v>
      </c>
      <c r="D319" s="6" t="s">
        <v>22</v>
      </c>
      <c r="E319" s="6" t="n">
        <f aca="false">ROUND(9469*1.05,2)</f>
        <v>9942.45</v>
      </c>
      <c r="F319" s="6" t="s">
        <v>23</v>
      </c>
      <c r="G319" s="6" t="s">
        <v>24</v>
      </c>
      <c r="H319" s="6" t="n">
        <f aca="true">ROUND(RAND()*4+6,1)</f>
        <v>9</v>
      </c>
      <c r="I319" s="6" t="s">
        <v>25</v>
      </c>
      <c r="J319" s="6" t="str">
        <f aca="false">ROUND(80*1,0)&amp;"%"</f>
        <v>80%</v>
      </c>
    </row>
    <row r="320" customFormat="false" ht="15" hidden="false" customHeight="false" outlineLevel="0" collapsed="false">
      <c r="A320" s="5" t="s">
        <v>5969</v>
      </c>
      <c r="B320" s="5" t="s">
        <v>516</v>
      </c>
      <c r="C320" s="5" t="s">
        <v>133</v>
      </c>
      <c r="D320" s="5" t="s">
        <v>28</v>
      </c>
      <c r="E320" s="5" t="n">
        <f aca="false">ROUND(9391*1.05,2)</f>
        <v>9860.55</v>
      </c>
      <c r="F320" s="5" t="s">
        <v>29</v>
      </c>
      <c r="G320" s="5" t="s">
        <v>30</v>
      </c>
      <c r="H320" s="5" t="n">
        <f aca="true">ROUND(RAND()*4+6,1)</f>
        <v>9.2</v>
      </c>
      <c r="I320" s="5" t="s">
        <v>31</v>
      </c>
      <c r="J320" s="5" t="str">
        <f aca="false">ROUND(64*1,0)&amp;"%"</f>
        <v>64%</v>
      </c>
    </row>
    <row r="321" customFormat="false" ht="15" hidden="false" customHeight="false" outlineLevel="0" collapsed="false">
      <c r="A321" s="6" t="s">
        <v>5970</v>
      </c>
      <c r="B321" s="6" t="s">
        <v>518</v>
      </c>
      <c r="C321" s="6" t="s">
        <v>133</v>
      </c>
      <c r="D321" s="6" t="s">
        <v>34</v>
      </c>
      <c r="E321" s="6" t="n">
        <f aca="false">ROUND(4625*1.05,2)</f>
        <v>4856.25</v>
      </c>
      <c r="F321" s="6" t="s">
        <v>35</v>
      </c>
      <c r="G321" s="6" t="s">
        <v>18</v>
      </c>
      <c r="H321" s="6" t="n">
        <f aca="true">ROUND(RAND()*4+6,1)</f>
        <v>6.3</v>
      </c>
      <c r="I321" s="6" t="s">
        <v>36</v>
      </c>
      <c r="J321" s="6" t="str">
        <f aca="false">ROUND(61*1,0)&amp;"%"</f>
        <v>61%</v>
      </c>
    </row>
    <row r="322" customFormat="false" ht="15" hidden="false" customHeight="false" outlineLevel="0" collapsed="false">
      <c r="A322" s="5" t="s">
        <v>5971</v>
      </c>
      <c r="B322" s="5" t="s">
        <v>520</v>
      </c>
      <c r="C322" s="5" t="s">
        <v>133</v>
      </c>
      <c r="D322" s="5" t="s">
        <v>39</v>
      </c>
      <c r="E322" s="5" t="n">
        <f aca="false">ROUND(14987*1.05,2)</f>
        <v>15736.35</v>
      </c>
      <c r="F322" s="5" t="s">
        <v>40</v>
      </c>
      <c r="G322" s="5" t="s">
        <v>24</v>
      </c>
      <c r="H322" s="5" t="n">
        <f aca="true">ROUND(RAND()*4+6,1)</f>
        <v>7.2</v>
      </c>
      <c r="I322" s="5" t="s">
        <v>41</v>
      </c>
      <c r="J322" s="5" t="str">
        <f aca="false">ROUND(96*1,0)&amp;"%"</f>
        <v>96%</v>
      </c>
    </row>
    <row r="323" customFormat="false" ht="15" hidden="false" customHeight="false" outlineLevel="0" collapsed="false">
      <c r="A323" s="6" t="s">
        <v>5972</v>
      </c>
      <c r="B323" s="6" t="s">
        <v>522</v>
      </c>
      <c r="C323" s="6" t="s">
        <v>133</v>
      </c>
      <c r="D323" s="6" t="s">
        <v>44</v>
      </c>
      <c r="E323" s="6" t="n">
        <f aca="false">ROUND(16413*1.05,2)</f>
        <v>17233.65</v>
      </c>
      <c r="F323" s="6" t="s">
        <v>45</v>
      </c>
      <c r="G323" s="6" t="s">
        <v>30</v>
      </c>
      <c r="H323" s="6" t="n">
        <f aca="true">ROUND(RAND()*4+6,1)</f>
        <v>8.1</v>
      </c>
      <c r="I323" s="6" t="s">
        <v>46</v>
      </c>
      <c r="J323" s="6" t="str">
        <f aca="false">ROUND(83*1,0)&amp;"%"</f>
        <v>83%</v>
      </c>
    </row>
    <row r="324" customFormat="false" ht="15" hidden="false" customHeight="false" outlineLevel="0" collapsed="false">
      <c r="A324" s="5" t="s">
        <v>5973</v>
      </c>
      <c r="B324" s="5" t="s">
        <v>524</v>
      </c>
      <c r="C324" s="5" t="s">
        <v>133</v>
      </c>
      <c r="D324" s="5" t="s">
        <v>16</v>
      </c>
      <c r="E324" s="5" t="n">
        <f aca="false">ROUND(14272*1.05,2)</f>
        <v>14985.6</v>
      </c>
      <c r="F324" s="5" t="s">
        <v>49</v>
      </c>
      <c r="G324" s="5" t="s">
        <v>18</v>
      </c>
      <c r="H324" s="5" t="n">
        <f aca="true">ROUND(RAND()*4+6,1)</f>
        <v>9.2</v>
      </c>
      <c r="I324" s="5" t="s">
        <v>19</v>
      </c>
      <c r="J324" s="5" t="str">
        <f aca="false">ROUND(90*1,0)&amp;"%"</f>
        <v>90%</v>
      </c>
    </row>
    <row r="325" customFormat="false" ht="15" hidden="false" customHeight="false" outlineLevel="0" collapsed="false">
      <c r="A325" s="6" t="s">
        <v>5974</v>
      </c>
      <c r="B325" s="6" t="s">
        <v>526</v>
      </c>
      <c r="C325" s="6" t="s">
        <v>133</v>
      </c>
      <c r="D325" s="6" t="s">
        <v>22</v>
      </c>
      <c r="E325" s="6" t="n">
        <f aca="false">ROUND(10025*1.05,2)</f>
        <v>10526.25</v>
      </c>
      <c r="F325" s="6" t="s">
        <v>52</v>
      </c>
      <c r="G325" s="6" t="s">
        <v>24</v>
      </c>
      <c r="H325" s="6" t="n">
        <f aca="true">ROUND(RAND()*4+6,1)</f>
        <v>7.4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5975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5976</v>
      </c>
      <c r="B330" s="5" t="s">
        <v>530</v>
      </c>
      <c r="C330" s="5" t="s">
        <v>152</v>
      </c>
      <c r="D330" s="5" t="s">
        <v>16</v>
      </c>
      <c r="E330" s="5" t="n">
        <f aca="false">ROUND(14739*1.05,2)</f>
        <v>15475.95</v>
      </c>
      <c r="F330" s="5" t="s">
        <v>17</v>
      </c>
      <c r="G330" s="5" t="s">
        <v>18</v>
      </c>
      <c r="H330" s="5" t="n">
        <f aca="true">ROUND(RAND()*4+6,1)</f>
        <v>8.8</v>
      </c>
      <c r="I330" s="5" t="s">
        <v>19</v>
      </c>
      <c r="J330" s="5" t="str">
        <f aca="false">ROUND(78*1,0)&amp;"%"</f>
        <v>78%</v>
      </c>
    </row>
    <row r="331" customFormat="false" ht="15" hidden="false" customHeight="false" outlineLevel="0" collapsed="false">
      <c r="A331" s="6" t="s">
        <v>5977</v>
      </c>
      <c r="B331" s="6" t="s">
        <v>532</v>
      </c>
      <c r="C331" s="6" t="s">
        <v>152</v>
      </c>
      <c r="D331" s="6" t="s">
        <v>22</v>
      </c>
      <c r="E331" s="6" t="n">
        <f aca="false">ROUND(12729*1.05,2)</f>
        <v>13365.45</v>
      </c>
      <c r="F331" s="6" t="s">
        <v>23</v>
      </c>
      <c r="G331" s="6" t="s">
        <v>24</v>
      </c>
      <c r="H331" s="6" t="n">
        <f aca="true">ROUND(RAND()*4+6,1)</f>
        <v>6.2</v>
      </c>
      <c r="I331" s="6" t="s">
        <v>25</v>
      </c>
      <c r="J331" s="6" t="str">
        <f aca="false">ROUND(88*1,0)&amp;"%"</f>
        <v>88%</v>
      </c>
    </row>
    <row r="332" customFormat="false" ht="15" hidden="false" customHeight="false" outlineLevel="0" collapsed="false">
      <c r="A332" s="5" t="s">
        <v>5978</v>
      </c>
      <c r="B332" s="5" t="s">
        <v>534</v>
      </c>
      <c r="C332" s="5" t="s">
        <v>152</v>
      </c>
      <c r="D332" s="5" t="s">
        <v>28</v>
      </c>
      <c r="E332" s="5" t="n">
        <f aca="false">ROUND(6512*1.05,2)</f>
        <v>6837.6</v>
      </c>
      <c r="F332" s="5" t="s">
        <v>29</v>
      </c>
      <c r="G332" s="5" t="s">
        <v>30</v>
      </c>
      <c r="H332" s="5" t="n">
        <f aca="true">ROUND(RAND()*4+6,1)</f>
        <v>7.4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5979</v>
      </c>
      <c r="B333" s="6" t="s">
        <v>536</v>
      </c>
      <c r="C333" s="6" t="s">
        <v>152</v>
      </c>
      <c r="D333" s="6" t="s">
        <v>34</v>
      </c>
      <c r="E333" s="6" t="n">
        <f aca="false">ROUND(13737*1.05,2)</f>
        <v>14423.85</v>
      </c>
      <c r="F333" s="6" t="s">
        <v>35</v>
      </c>
      <c r="G333" s="6" t="s">
        <v>18</v>
      </c>
      <c r="H333" s="6" t="n">
        <f aca="true">ROUND(RAND()*4+6,1)</f>
        <v>6.2</v>
      </c>
      <c r="I333" s="6" t="s">
        <v>36</v>
      </c>
      <c r="J333" s="6" t="str">
        <f aca="false">ROUND(93*1,0)&amp;"%"</f>
        <v>93%</v>
      </c>
    </row>
    <row r="334" customFormat="false" ht="15" hidden="false" customHeight="false" outlineLevel="0" collapsed="false">
      <c r="A334" s="5" t="s">
        <v>5980</v>
      </c>
      <c r="B334" s="5" t="s">
        <v>538</v>
      </c>
      <c r="C334" s="5" t="s">
        <v>152</v>
      </c>
      <c r="D334" s="5" t="s">
        <v>39</v>
      </c>
      <c r="E334" s="5" t="n">
        <f aca="false">ROUND(7367*1.05,2)</f>
        <v>7735.35</v>
      </c>
      <c r="F334" s="5" t="s">
        <v>40</v>
      </c>
      <c r="G334" s="5" t="s">
        <v>24</v>
      </c>
      <c r="H334" s="5" t="n">
        <f aca="true">ROUND(RAND()*4+6,1)</f>
        <v>7.6</v>
      </c>
      <c r="I334" s="5" t="s">
        <v>41</v>
      </c>
      <c r="J334" s="5" t="str">
        <f aca="false">ROUND(92*1,0)&amp;"%"</f>
        <v>92%</v>
      </c>
    </row>
    <row r="335" customFormat="false" ht="15" hidden="false" customHeight="false" outlineLevel="0" collapsed="false">
      <c r="A335" s="6" t="s">
        <v>5981</v>
      </c>
      <c r="B335" s="6" t="s">
        <v>540</v>
      </c>
      <c r="C335" s="6" t="s">
        <v>152</v>
      </c>
      <c r="D335" s="6" t="s">
        <v>44</v>
      </c>
      <c r="E335" s="6" t="n">
        <f aca="false">ROUND(5218*1.05,2)</f>
        <v>5478.9</v>
      </c>
      <c r="F335" s="6" t="s">
        <v>45</v>
      </c>
      <c r="G335" s="6" t="s">
        <v>30</v>
      </c>
      <c r="H335" s="6" t="n">
        <f aca="true">ROUND(RAND()*4+6,1)</f>
        <v>7.9</v>
      </c>
      <c r="I335" s="6" t="s">
        <v>46</v>
      </c>
      <c r="J335" s="6" t="str">
        <f aca="false">ROUND(68*1,0)&amp;"%"</f>
        <v>68%</v>
      </c>
    </row>
    <row r="336" customFormat="false" ht="15" hidden="false" customHeight="false" outlineLevel="0" collapsed="false">
      <c r="A336" s="5" t="s">
        <v>5982</v>
      </c>
      <c r="B336" s="5" t="s">
        <v>542</v>
      </c>
      <c r="C336" s="5" t="s">
        <v>152</v>
      </c>
      <c r="D336" s="5" t="s">
        <v>16</v>
      </c>
      <c r="E336" s="5" t="n">
        <f aca="false">ROUND(4394*1.05,2)</f>
        <v>4613.7</v>
      </c>
      <c r="F336" s="5" t="s">
        <v>49</v>
      </c>
      <c r="G336" s="5" t="s">
        <v>18</v>
      </c>
      <c r="H336" s="5" t="n">
        <f aca="true">ROUND(RAND()*4+6,1)</f>
        <v>8.2</v>
      </c>
      <c r="I336" s="5" t="s">
        <v>19</v>
      </c>
      <c r="J336" s="5" t="str">
        <f aca="false">ROUND(90*1,0)&amp;"%"</f>
        <v>90%</v>
      </c>
    </row>
    <row r="337" customFormat="false" ht="15" hidden="false" customHeight="false" outlineLevel="0" collapsed="false">
      <c r="A337" s="6" t="s">
        <v>5983</v>
      </c>
      <c r="B337" s="6" t="s">
        <v>544</v>
      </c>
      <c r="C337" s="6" t="s">
        <v>152</v>
      </c>
      <c r="D337" s="6" t="s">
        <v>22</v>
      </c>
      <c r="E337" s="6" t="n">
        <f aca="false">ROUND(6957*1.05,2)</f>
        <v>7304.85</v>
      </c>
      <c r="F337" s="6" t="s">
        <v>52</v>
      </c>
      <c r="G337" s="6" t="s">
        <v>24</v>
      </c>
      <c r="H337" s="6" t="n">
        <f aca="true">ROUND(RAND()*4+6,1)</f>
        <v>6.4</v>
      </c>
      <c r="I337" s="6" t="s">
        <v>25</v>
      </c>
      <c r="J337" s="6" t="str">
        <f aca="false">ROUND(77*1,0)&amp;"%"</f>
        <v>77%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5984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5985</v>
      </c>
      <c r="B342" s="5" t="s">
        <v>548</v>
      </c>
      <c r="C342" s="5" t="s">
        <v>15</v>
      </c>
      <c r="D342" s="5" t="s">
        <v>16</v>
      </c>
      <c r="E342" s="5" t="n">
        <f aca="false">ROUND(4267*1.05,2)</f>
        <v>4480.35</v>
      </c>
      <c r="F342" s="5" t="s">
        <v>17</v>
      </c>
      <c r="G342" s="5" t="s">
        <v>18</v>
      </c>
      <c r="H342" s="5" t="n">
        <f aca="true">ROUND(RAND()*4+6,1)</f>
        <v>8.5</v>
      </c>
      <c r="I342" s="5" t="s">
        <v>19</v>
      </c>
      <c r="J342" s="5" t="str">
        <f aca="false">ROUND(68*1,0)&amp;"%"</f>
        <v>68%</v>
      </c>
    </row>
    <row r="343" customFormat="false" ht="15" hidden="false" customHeight="false" outlineLevel="0" collapsed="false">
      <c r="A343" s="6" t="s">
        <v>5986</v>
      </c>
      <c r="B343" s="6" t="s">
        <v>550</v>
      </c>
      <c r="C343" s="6" t="s">
        <v>15</v>
      </c>
      <c r="D343" s="6" t="s">
        <v>22</v>
      </c>
      <c r="E343" s="6" t="n">
        <f aca="false">ROUND(4143*1.05,2)</f>
        <v>4350.15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ROUND(84*1,0)&amp;"%"</f>
        <v>84%</v>
      </c>
    </row>
    <row r="344" customFormat="false" ht="15" hidden="false" customHeight="false" outlineLevel="0" collapsed="false">
      <c r="A344" s="5" t="s">
        <v>5987</v>
      </c>
      <c r="B344" s="5" t="s">
        <v>552</v>
      </c>
      <c r="C344" s="5" t="s">
        <v>15</v>
      </c>
      <c r="D344" s="5" t="s">
        <v>28</v>
      </c>
      <c r="E344" s="5" t="n">
        <f aca="false">ROUND(15281*1.05,2)</f>
        <v>16045.05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5988</v>
      </c>
      <c r="B345" s="6" t="s">
        <v>554</v>
      </c>
      <c r="C345" s="6" t="s">
        <v>15</v>
      </c>
      <c r="D345" s="6" t="s">
        <v>34</v>
      </c>
      <c r="E345" s="6" t="n">
        <f aca="false">ROUND(17880*1.05,2)</f>
        <v>18774</v>
      </c>
      <c r="F345" s="6" t="s">
        <v>35</v>
      </c>
      <c r="G345" s="6" t="s">
        <v>18</v>
      </c>
      <c r="H345" s="6" t="n">
        <f aca="true">ROUND(RAND()*4+6,1)</f>
        <v>7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5989</v>
      </c>
      <c r="B346" s="5" t="s">
        <v>556</v>
      </c>
      <c r="C346" s="5" t="s">
        <v>15</v>
      </c>
      <c r="D346" s="5" t="s">
        <v>39</v>
      </c>
      <c r="E346" s="5" t="n">
        <f aca="false">ROUND(13775*1.05,2)</f>
        <v>14463.75</v>
      </c>
      <c r="F346" s="5" t="s">
        <v>40</v>
      </c>
      <c r="G346" s="5" t="s">
        <v>24</v>
      </c>
      <c r="H346" s="5" t="n">
        <f aca="true">ROUND(RAND()*4+6,1)</f>
        <v>9.4</v>
      </c>
      <c r="I346" s="5" t="s">
        <v>41</v>
      </c>
      <c r="J346" s="5" t="str">
        <f aca="false">ROUND(64*1,0)&amp;"%"</f>
        <v>64%</v>
      </c>
    </row>
    <row r="347" customFormat="false" ht="15" hidden="false" customHeight="false" outlineLevel="0" collapsed="false">
      <c r="A347" s="6" t="s">
        <v>5990</v>
      </c>
      <c r="B347" s="6" t="s">
        <v>558</v>
      </c>
      <c r="C347" s="6" t="s">
        <v>15</v>
      </c>
      <c r="D347" s="6" t="s">
        <v>44</v>
      </c>
      <c r="E347" s="6" t="n">
        <f aca="false">ROUND(8562*1.05,2)</f>
        <v>8990.1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ROUND(90*1,0)&amp;"%"</f>
        <v>90%</v>
      </c>
    </row>
    <row r="348" customFormat="false" ht="15" hidden="false" customHeight="false" outlineLevel="0" collapsed="false">
      <c r="A348" s="5" t="s">
        <v>5991</v>
      </c>
      <c r="B348" s="5" t="s">
        <v>560</v>
      </c>
      <c r="C348" s="5" t="s">
        <v>15</v>
      </c>
      <c r="D348" s="5" t="s">
        <v>16</v>
      </c>
      <c r="E348" s="5" t="n">
        <f aca="false">ROUND(16642*1.05,2)</f>
        <v>17474.1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5992</v>
      </c>
      <c r="B349" s="6" t="s">
        <v>562</v>
      </c>
      <c r="C349" s="6" t="s">
        <v>15</v>
      </c>
      <c r="D349" s="6" t="s">
        <v>22</v>
      </c>
      <c r="E349" s="6" t="n">
        <f aca="false">ROUND(12384*1.05,2)</f>
        <v>13003.2</v>
      </c>
      <c r="F349" s="6" t="s">
        <v>52</v>
      </c>
      <c r="G349" s="6" t="s">
        <v>24</v>
      </c>
      <c r="H349" s="6" t="n">
        <f aca="true">ROUND(RAND()*4+6,1)</f>
        <v>7.3</v>
      </c>
      <c r="I349" s="6" t="s">
        <v>25</v>
      </c>
      <c r="J349" s="6" t="str">
        <f aca="false">ROUND(78*1,0)&amp;"%"</f>
        <v>78%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5993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5994</v>
      </c>
      <c r="B354" s="5" t="s">
        <v>566</v>
      </c>
      <c r="C354" s="5" t="s">
        <v>57</v>
      </c>
      <c r="D354" s="5" t="s">
        <v>16</v>
      </c>
      <c r="E354" s="5" t="n">
        <f aca="false">ROUND(5232*1.05,2)</f>
        <v>5493.6</v>
      </c>
      <c r="F354" s="5" t="s">
        <v>17</v>
      </c>
      <c r="G354" s="5" t="s">
        <v>18</v>
      </c>
      <c r="H354" s="5" t="n">
        <f aca="true">ROUND(RAND()*4+6,1)</f>
        <v>8.2</v>
      </c>
      <c r="I354" s="5" t="s">
        <v>19</v>
      </c>
      <c r="J354" s="5" t="str">
        <f aca="false">ROUND(100*1,0)&amp;"%"</f>
        <v>100%</v>
      </c>
    </row>
    <row r="355" customFormat="false" ht="15" hidden="false" customHeight="false" outlineLevel="0" collapsed="false">
      <c r="A355" s="6" t="s">
        <v>5995</v>
      </c>
      <c r="B355" s="6" t="s">
        <v>568</v>
      </c>
      <c r="C355" s="6" t="s">
        <v>57</v>
      </c>
      <c r="D355" s="6" t="s">
        <v>22</v>
      </c>
      <c r="E355" s="6" t="n">
        <f aca="false">ROUND(4193*1.05,2)</f>
        <v>4402.65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5996</v>
      </c>
      <c r="B356" s="5" t="s">
        <v>570</v>
      </c>
      <c r="C356" s="5" t="s">
        <v>57</v>
      </c>
      <c r="D356" s="5" t="s">
        <v>28</v>
      </c>
      <c r="E356" s="5" t="n">
        <f aca="false">ROUND(8235*1.05,2)</f>
        <v>8646.75</v>
      </c>
      <c r="F356" s="5" t="s">
        <v>29</v>
      </c>
      <c r="G356" s="5" t="s">
        <v>30</v>
      </c>
      <c r="H356" s="5" t="n">
        <f aca="true">ROUND(RAND()*4+6,1)</f>
        <v>9.8</v>
      </c>
      <c r="I356" s="5" t="s">
        <v>31</v>
      </c>
      <c r="J356" s="5" t="str">
        <f aca="false">ROUND(79*1,0)&amp;"%"</f>
        <v>79%</v>
      </c>
    </row>
    <row r="357" customFormat="false" ht="15" hidden="false" customHeight="false" outlineLevel="0" collapsed="false">
      <c r="A357" s="6" t="s">
        <v>5997</v>
      </c>
      <c r="B357" s="6" t="s">
        <v>572</v>
      </c>
      <c r="C357" s="6" t="s">
        <v>57</v>
      </c>
      <c r="D357" s="6" t="s">
        <v>34</v>
      </c>
      <c r="E357" s="6" t="n">
        <f aca="false">ROUND(8211*1.05,2)</f>
        <v>8621.55</v>
      </c>
      <c r="F357" s="6" t="s">
        <v>35</v>
      </c>
      <c r="G357" s="6" t="s">
        <v>18</v>
      </c>
      <c r="H357" s="6" t="n">
        <f aca="true">ROUND(RAND()*4+6,1)</f>
        <v>7.1</v>
      </c>
      <c r="I357" s="6" t="s">
        <v>36</v>
      </c>
      <c r="J357" s="6" t="str">
        <f aca="false">ROUND(89*1,0)&amp;"%"</f>
        <v>89%</v>
      </c>
    </row>
    <row r="358" customFormat="false" ht="15" hidden="false" customHeight="false" outlineLevel="0" collapsed="false">
      <c r="A358" s="5" t="s">
        <v>5998</v>
      </c>
      <c r="B358" s="5" t="s">
        <v>574</v>
      </c>
      <c r="C358" s="5" t="s">
        <v>57</v>
      </c>
      <c r="D358" s="5" t="s">
        <v>39</v>
      </c>
      <c r="E358" s="5" t="n">
        <f aca="false">ROUND(4032*1.05,2)</f>
        <v>4233.6</v>
      </c>
      <c r="F358" s="5" t="s">
        <v>40</v>
      </c>
      <c r="G358" s="5" t="s">
        <v>24</v>
      </c>
      <c r="H358" s="5" t="n">
        <f aca="true">ROUND(RAND()*4+6,1)</f>
        <v>6.5</v>
      </c>
      <c r="I358" s="5" t="s">
        <v>41</v>
      </c>
      <c r="J358" s="5" t="str">
        <f aca="false">ROUND(86*1,0)&amp;"%"</f>
        <v>86%</v>
      </c>
    </row>
    <row r="359" customFormat="false" ht="15" hidden="false" customHeight="false" outlineLevel="0" collapsed="false">
      <c r="A359" s="6" t="s">
        <v>5999</v>
      </c>
      <c r="B359" s="6" t="s">
        <v>576</v>
      </c>
      <c r="C359" s="6" t="s">
        <v>57</v>
      </c>
      <c r="D359" s="6" t="s">
        <v>44</v>
      </c>
      <c r="E359" s="6" t="n">
        <f aca="false">ROUND(14396*1.05,2)</f>
        <v>15115.8</v>
      </c>
      <c r="F359" s="6" t="s">
        <v>45</v>
      </c>
      <c r="G359" s="6" t="s">
        <v>30</v>
      </c>
      <c r="H359" s="6" t="n">
        <f aca="true">ROUND(RAND()*4+6,1)</f>
        <v>8</v>
      </c>
      <c r="I359" s="6" t="s">
        <v>46</v>
      </c>
      <c r="J359" s="6" t="str">
        <f aca="false">ROUND(65*1,0)&amp;"%"</f>
        <v>65%</v>
      </c>
    </row>
    <row r="360" customFormat="false" ht="15" hidden="false" customHeight="false" outlineLevel="0" collapsed="false">
      <c r="A360" s="5" t="s">
        <v>6000</v>
      </c>
      <c r="B360" s="5" t="s">
        <v>578</v>
      </c>
      <c r="C360" s="5" t="s">
        <v>57</v>
      </c>
      <c r="D360" s="5" t="s">
        <v>16</v>
      </c>
      <c r="E360" s="5" t="n">
        <f aca="false">ROUND(15035*1.05,2)</f>
        <v>15786.75</v>
      </c>
      <c r="F360" s="5" t="s">
        <v>49</v>
      </c>
      <c r="G360" s="5" t="s">
        <v>18</v>
      </c>
      <c r="H360" s="5" t="n">
        <f aca="true">ROUND(RAND()*4+6,1)</f>
        <v>9.9</v>
      </c>
      <c r="I360" s="5" t="s">
        <v>19</v>
      </c>
      <c r="J360" s="5" t="str">
        <f aca="false">ROUND(78*1,0)&amp;"%"</f>
        <v>78%</v>
      </c>
    </row>
    <row r="361" customFormat="false" ht="15" hidden="false" customHeight="false" outlineLevel="0" collapsed="false">
      <c r="A361" s="6" t="s">
        <v>6001</v>
      </c>
      <c r="B361" s="6" t="s">
        <v>580</v>
      </c>
      <c r="C361" s="6" t="s">
        <v>57</v>
      </c>
      <c r="D361" s="6" t="s">
        <v>22</v>
      </c>
      <c r="E361" s="6" t="n">
        <f aca="false">ROUND(10594*1.05,2)</f>
        <v>11123.7</v>
      </c>
      <c r="F361" s="6" t="s">
        <v>52</v>
      </c>
      <c r="G361" s="6" t="s">
        <v>24</v>
      </c>
      <c r="H361" s="6" t="n">
        <f aca="true">ROUND(RAND()*4+6,1)</f>
        <v>8.2</v>
      </c>
      <c r="I361" s="6" t="s">
        <v>25</v>
      </c>
      <c r="J361" s="6" t="str">
        <f aca="false">ROUND(77*1,0)&amp;"%"</f>
        <v>77%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6002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6003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6004</v>
      </c>
      <c r="B6" s="5" t="s">
        <v>14</v>
      </c>
      <c r="C6" s="5" t="s">
        <v>15</v>
      </c>
      <c r="D6" s="5" t="s">
        <v>16</v>
      </c>
      <c r="E6" s="5" t="n">
        <f aca="false">ROUND(8118*1.05,2)</f>
        <v>8523.9</v>
      </c>
      <c r="F6" s="5" t="s">
        <v>17</v>
      </c>
      <c r="G6" s="5" t="s">
        <v>18</v>
      </c>
      <c r="H6" s="5" t="n">
        <f aca="true">ROUND(RAND()*4+6,1)</f>
        <v>8.2</v>
      </c>
      <c r="I6" s="5" t="s">
        <v>19</v>
      </c>
      <c r="J6" s="5" t="str">
        <f aca="false">ROUND(64*1,0)&amp;"%"</f>
        <v>64%</v>
      </c>
    </row>
    <row r="7" customFormat="false" ht="15" hidden="false" customHeight="false" outlineLevel="0" collapsed="false">
      <c r="A7" s="6" t="s">
        <v>6005</v>
      </c>
      <c r="B7" s="6" t="s">
        <v>21</v>
      </c>
      <c r="C7" s="6" t="s">
        <v>15</v>
      </c>
      <c r="D7" s="6" t="s">
        <v>22</v>
      </c>
      <c r="E7" s="6" t="n">
        <f aca="false">ROUND(13563*1.05,2)</f>
        <v>14241.15</v>
      </c>
      <c r="F7" s="6" t="s">
        <v>23</v>
      </c>
      <c r="G7" s="6" t="s">
        <v>24</v>
      </c>
      <c r="H7" s="6" t="n">
        <f aca="true">ROUND(RAND()*4+6,1)</f>
        <v>9.3</v>
      </c>
      <c r="I7" s="6" t="s">
        <v>25</v>
      </c>
      <c r="J7" s="6" t="str">
        <f aca="false">ROUND(79*1,0)&amp;"%"</f>
        <v>79%</v>
      </c>
    </row>
    <row r="8" customFormat="false" ht="15" hidden="false" customHeight="false" outlineLevel="0" collapsed="false">
      <c r="A8" s="5" t="s">
        <v>6006</v>
      </c>
      <c r="B8" s="5" t="s">
        <v>27</v>
      </c>
      <c r="C8" s="5" t="s">
        <v>15</v>
      </c>
      <c r="D8" s="5" t="s">
        <v>28</v>
      </c>
      <c r="E8" s="5" t="n">
        <f aca="false">ROUND(11443*1.05,2)</f>
        <v>12015.15</v>
      </c>
      <c r="F8" s="5" t="s">
        <v>29</v>
      </c>
      <c r="G8" s="5" t="s">
        <v>30</v>
      </c>
      <c r="H8" s="5" t="n">
        <f aca="true">ROUND(RAND()*4+6,1)</f>
        <v>8.5</v>
      </c>
      <c r="I8" s="5" t="s">
        <v>31</v>
      </c>
      <c r="J8" s="5" t="str">
        <f aca="false">ROUND(98*1,0)&amp;"%"</f>
        <v>98%</v>
      </c>
    </row>
    <row r="9" customFormat="false" ht="15" hidden="false" customHeight="false" outlineLevel="0" collapsed="false">
      <c r="A9" s="6" t="s">
        <v>6007</v>
      </c>
      <c r="B9" s="6" t="s">
        <v>33</v>
      </c>
      <c r="C9" s="6" t="s">
        <v>15</v>
      </c>
      <c r="D9" s="6" t="s">
        <v>34</v>
      </c>
      <c r="E9" s="6" t="n">
        <f aca="false">ROUND(6282*1.05,2)</f>
        <v>6596.1</v>
      </c>
      <c r="F9" s="6" t="s">
        <v>35</v>
      </c>
      <c r="G9" s="6" t="s">
        <v>18</v>
      </c>
      <c r="H9" s="6" t="n">
        <f aca="true">ROUND(RAND()*4+6,1)</f>
        <v>10</v>
      </c>
      <c r="I9" s="6" t="s">
        <v>36</v>
      </c>
      <c r="J9" s="6" t="str">
        <f aca="false">ROUND(61*1,0)&amp;"%"</f>
        <v>61%</v>
      </c>
    </row>
    <row r="10" customFormat="false" ht="15" hidden="false" customHeight="false" outlineLevel="0" collapsed="false">
      <c r="A10" s="5" t="s">
        <v>6008</v>
      </c>
      <c r="B10" s="5" t="s">
        <v>38</v>
      </c>
      <c r="C10" s="5" t="s">
        <v>15</v>
      </c>
      <c r="D10" s="5" t="s">
        <v>39</v>
      </c>
      <c r="E10" s="5" t="n">
        <f aca="false">ROUND(17464*1.05,2)</f>
        <v>18337.2</v>
      </c>
      <c r="F10" s="5" t="s">
        <v>40</v>
      </c>
      <c r="G10" s="5" t="s">
        <v>24</v>
      </c>
      <c r="H10" s="5" t="n">
        <f aca="true">ROUND(RAND()*4+6,1)</f>
        <v>8.3</v>
      </c>
      <c r="I10" s="5" t="s">
        <v>41</v>
      </c>
      <c r="J10" s="5" t="str">
        <f aca="false">ROUND(90*1,0)&amp;"%"</f>
        <v>90%</v>
      </c>
    </row>
    <row r="11" customFormat="false" ht="15" hidden="false" customHeight="false" outlineLevel="0" collapsed="false">
      <c r="A11" s="6" t="s">
        <v>6009</v>
      </c>
      <c r="B11" s="6" t="s">
        <v>43</v>
      </c>
      <c r="C11" s="6" t="s">
        <v>15</v>
      </c>
      <c r="D11" s="6" t="s">
        <v>44</v>
      </c>
      <c r="E11" s="6" t="n">
        <f aca="false">ROUND(10657*1.05,2)</f>
        <v>11189.85</v>
      </c>
      <c r="F11" s="6" t="s">
        <v>45</v>
      </c>
      <c r="G11" s="6" t="s">
        <v>30</v>
      </c>
      <c r="H11" s="6" t="n">
        <f aca="true">ROUND(RAND()*4+6,1)</f>
        <v>6.9</v>
      </c>
      <c r="I11" s="6" t="s">
        <v>46</v>
      </c>
      <c r="J11" s="6" t="str">
        <f aca="false">ROUND(70*1,0)&amp;"%"</f>
        <v>70%</v>
      </c>
    </row>
    <row r="12" customFormat="false" ht="15" hidden="false" customHeight="false" outlineLevel="0" collapsed="false">
      <c r="A12" s="5" t="s">
        <v>6010</v>
      </c>
      <c r="B12" s="5" t="s">
        <v>48</v>
      </c>
      <c r="C12" s="5" t="s">
        <v>15</v>
      </c>
      <c r="D12" s="5" t="s">
        <v>16</v>
      </c>
      <c r="E12" s="5" t="n">
        <f aca="false">ROUND(12214*1.05,2)</f>
        <v>12824.7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ROUND(74*1,0)&amp;"%"</f>
        <v>74%</v>
      </c>
    </row>
    <row r="13" customFormat="false" ht="15" hidden="false" customHeight="false" outlineLevel="0" collapsed="false">
      <c r="A13" s="6" t="s">
        <v>6011</v>
      </c>
      <c r="B13" s="6" t="s">
        <v>51</v>
      </c>
      <c r="C13" s="6" t="s">
        <v>15</v>
      </c>
      <c r="D13" s="6" t="s">
        <v>22</v>
      </c>
      <c r="E13" s="6" t="n">
        <f aca="false">ROUND(11176*1.05,2)</f>
        <v>11734.8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ROUND(87*1,0)&amp;"%"</f>
        <v>87%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6012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6013</v>
      </c>
      <c r="B18" s="5" t="s">
        <v>56</v>
      </c>
      <c r="C18" s="5" t="s">
        <v>57</v>
      </c>
      <c r="D18" s="5" t="s">
        <v>16</v>
      </c>
      <c r="E18" s="5" t="n">
        <f aca="false">ROUND(13544*1.05,2)</f>
        <v>14221.2</v>
      </c>
      <c r="F18" s="5" t="s">
        <v>17</v>
      </c>
      <c r="G18" s="5" t="s">
        <v>18</v>
      </c>
      <c r="H18" s="5" t="n">
        <f aca="true">ROUND(RAND()*4+6,1)</f>
        <v>9.4</v>
      </c>
      <c r="I18" s="5" t="s">
        <v>19</v>
      </c>
      <c r="J18" s="5" t="str">
        <f aca="false">ROUND(65*1,0)&amp;"%"</f>
        <v>65%</v>
      </c>
    </row>
    <row r="19" customFormat="false" ht="15" hidden="false" customHeight="false" outlineLevel="0" collapsed="false">
      <c r="A19" s="6" t="s">
        <v>6014</v>
      </c>
      <c r="B19" s="6" t="s">
        <v>59</v>
      </c>
      <c r="C19" s="6" t="s">
        <v>57</v>
      </c>
      <c r="D19" s="6" t="s">
        <v>22</v>
      </c>
      <c r="E19" s="6" t="n">
        <f aca="false">ROUND(4499*1.05,2)</f>
        <v>4723.95</v>
      </c>
      <c r="F19" s="6" t="s">
        <v>23</v>
      </c>
      <c r="G19" s="6" t="s">
        <v>24</v>
      </c>
      <c r="H19" s="6" t="n">
        <f aca="true">ROUND(RAND()*4+6,1)</f>
        <v>7.2</v>
      </c>
      <c r="I19" s="6" t="s">
        <v>25</v>
      </c>
      <c r="J19" s="6" t="str">
        <f aca="false">ROUND(96*1,0)&amp;"%"</f>
        <v>96%</v>
      </c>
    </row>
    <row r="20" customFormat="false" ht="15" hidden="false" customHeight="false" outlineLevel="0" collapsed="false">
      <c r="A20" s="5" t="s">
        <v>6015</v>
      </c>
      <c r="B20" s="5" t="s">
        <v>61</v>
      </c>
      <c r="C20" s="5" t="s">
        <v>57</v>
      </c>
      <c r="D20" s="5" t="s">
        <v>28</v>
      </c>
      <c r="E20" s="5" t="n">
        <f aca="false">ROUND(11928*1.05,2)</f>
        <v>12524.4</v>
      </c>
      <c r="F20" s="5" t="s">
        <v>29</v>
      </c>
      <c r="G20" s="5" t="s">
        <v>30</v>
      </c>
      <c r="H20" s="5" t="n">
        <f aca="true">ROUND(RAND()*4+6,1)</f>
        <v>7.6</v>
      </c>
      <c r="I20" s="5" t="s">
        <v>31</v>
      </c>
      <c r="J20" s="5" t="str">
        <f aca="false">ROUND(96*1,0)&amp;"%"</f>
        <v>96%</v>
      </c>
    </row>
    <row r="21" customFormat="false" ht="15" hidden="false" customHeight="false" outlineLevel="0" collapsed="false">
      <c r="A21" s="6" t="s">
        <v>6016</v>
      </c>
      <c r="B21" s="6" t="s">
        <v>63</v>
      </c>
      <c r="C21" s="6" t="s">
        <v>57</v>
      </c>
      <c r="D21" s="6" t="s">
        <v>34</v>
      </c>
      <c r="E21" s="6" t="n">
        <f aca="false">ROUND(15722*1.05,2)</f>
        <v>16508.1</v>
      </c>
      <c r="F21" s="6" t="s">
        <v>35</v>
      </c>
      <c r="G21" s="6" t="s">
        <v>18</v>
      </c>
      <c r="H21" s="6" t="n">
        <f aca="true">ROUND(RAND()*4+6,1)</f>
        <v>8.3</v>
      </c>
      <c r="I21" s="6" t="s">
        <v>36</v>
      </c>
      <c r="J21" s="6" t="str">
        <f aca="false">ROUND(99*1,0)&amp;"%"</f>
        <v>99%</v>
      </c>
    </row>
    <row r="22" customFormat="false" ht="15" hidden="false" customHeight="false" outlineLevel="0" collapsed="false">
      <c r="A22" s="5" t="s">
        <v>6017</v>
      </c>
      <c r="B22" s="5" t="s">
        <v>65</v>
      </c>
      <c r="C22" s="5" t="s">
        <v>57</v>
      </c>
      <c r="D22" s="5" t="s">
        <v>39</v>
      </c>
      <c r="E22" s="5" t="n">
        <f aca="false">ROUND(14743*1.05,2)</f>
        <v>15480.15</v>
      </c>
      <c r="F22" s="5" t="s">
        <v>40</v>
      </c>
      <c r="G22" s="5" t="s">
        <v>24</v>
      </c>
      <c r="H22" s="5" t="n">
        <f aca="true">ROUND(RAND()*4+6,1)</f>
        <v>7.4</v>
      </c>
      <c r="I22" s="5" t="s">
        <v>41</v>
      </c>
      <c r="J22" s="5" t="str">
        <f aca="false">ROUND(78*1,0)&amp;"%"</f>
        <v>78%</v>
      </c>
    </row>
    <row r="23" customFormat="false" ht="15" hidden="false" customHeight="false" outlineLevel="0" collapsed="false">
      <c r="A23" s="6" t="s">
        <v>6018</v>
      </c>
      <c r="B23" s="6" t="s">
        <v>67</v>
      </c>
      <c r="C23" s="6" t="s">
        <v>57</v>
      </c>
      <c r="D23" s="6" t="s">
        <v>44</v>
      </c>
      <c r="E23" s="6" t="n">
        <f aca="false">ROUND(8587*1.05,2)</f>
        <v>9016.35</v>
      </c>
      <c r="F23" s="6" t="s">
        <v>45</v>
      </c>
      <c r="G23" s="6" t="s">
        <v>30</v>
      </c>
      <c r="H23" s="6" t="n">
        <f aca="true">ROUND(RAND()*4+6,1)</f>
        <v>6.2</v>
      </c>
      <c r="I23" s="6" t="s">
        <v>46</v>
      </c>
      <c r="J23" s="6" t="str">
        <f aca="false">ROUND(78*1,0)&amp;"%"</f>
        <v>78%</v>
      </c>
    </row>
    <row r="24" customFormat="false" ht="15" hidden="false" customHeight="false" outlineLevel="0" collapsed="false">
      <c r="A24" s="5" t="s">
        <v>6019</v>
      </c>
      <c r="B24" s="5" t="s">
        <v>69</v>
      </c>
      <c r="C24" s="5" t="s">
        <v>57</v>
      </c>
      <c r="D24" s="5" t="s">
        <v>16</v>
      </c>
      <c r="E24" s="5" t="n">
        <f aca="false">ROUND(5760*1.05,2)</f>
        <v>6048</v>
      </c>
      <c r="F24" s="5" t="s">
        <v>49</v>
      </c>
      <c r="G24" s="5" t="s">
        <v>18</v>
      </c>
      <c r="H24" s="5" t="n">
        <f aca="true">ROUND(RAND()*4+6,1)</f>
        <v>9.1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6020</v>
      </c>
      <c r="B25" s="6" t="s">
        <v>71</v>
      </c>
      <c r="C25" s="6" t="s">
        <v>57</v>
      </c>
      <c r="D25" s="6" t="s">
        <v>22</v>
      </c>
      <c r="E25" s="6" t="n">
        <f aca="false">ROUND(9894*1.05,2)</f>
        <v>10388.7</v>
      </c>
      <c r="F25" s="6" t="s">
        <v>52</v>
      </c>
      <c r="G25" s="6" t="s">
        <v>24</v>
      </c>
      <c r="H25" s="6" t="n">
        <f aca="true">ROUND(RAND()*4+6,1)</f>
        <v>9.2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6021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6022</v>
      </c>
      <c r="B30" s="5" t="s">
        <v>75</v>
      </c>
      <c r="C30" s="5" t="s">
        <v>76</v>
      </c>
      <c r="D30" s="5" t="s">
        <v>16</v>
      </c>
      <c r="E30" s="5" t="n">
        <f aca="false">ROUND(6711*1.05,2)</f>
        <v>7046.55</v>
      </c>
      <c r="F30" s="5" t="s">
        <v>17</v>
      </c>
      <c r="G30" s="5" t="s">
        <v>18</v>
      </c>
      <c r="H30" s="5" t="n">
        <f aca="true">ROUND(RAND()*4+6,1)</f>
        <v>7.1</v>
      </c>
      <c r="I30" s="5" t="s">
        <v>19</v>
      </c>
      <c r="J30" s="5" t="str">
        <f aca="false">ROUND(62*1,0)&amp;"%"</f>
        <v>62%</v>
      </c>
    </row>
    <row r="31" customFormat="false" ht="15" hidden="false" customHeight="false" outlineLevel="0" collapsed="false">
      <c r="A31" s="6" t="s">
        <v>6023</v>
      </c>
      <c r="B31" s="6" t="s">
        <v>78</v>
      </c>
      <c r="C31" s="6" t="s">
        <v>76</v>
      </c>
      <c r="D31" s="6" t="s">
        <v>22</v>
      </c>
      <c r="E31" s="6" t="n">
        <f aca="false">ROUND(4716*1.05,2)</f>
        <v>4951.8</v>
      </c>
      <c r="F31" s="6" t="s">
        <v>23</v>
      </c>
      <c r="G31" s="6" t="s">
        <v>24</v>
      </c>
      <c r="H31" s="6" t="n">
        <f aca="true">ROUND(RAND()*4+6,1)</f>
        <v>6.9</v>
      </c>
      <c r="I31" s="6" t="s">
        <v>25</v>
      </c>
      <c r="J31" s="6" t="str">
        <f aca="false">ROUND(87*1,0)&amp;"%"</f>
        <v>87%</v>
      </c>
    </row>
    <row r="32" customFormat="false" ht="15" hidden="false" customHeight="false" outlineLevel="0" collapsed="false">
      <c r="A32" s="5" t="s">
        <v>6024</v>
      </c>
      <c r="B32" s="5" t="s">
        <v>80</v>
      </c>
      <c r="C32" s="5" t="s">
        <v>76</v>
      </c>
      <c r="D32" s="5" t="s">
        <v>28</v>
      </c>
      <c r="E32" s="5" t="n">
        <f aca="false">ROUND(11494*1.05,2)</f>
        <v>12068.7</v>
      </c>
      <c r="F32" s="5" t="s">
        <v>29</v>
      </c>
      <c r="G32" s="5" t="s">
        <v>30</v>
      </c>
      <c r="H32" s="5" t="n">
        <f aca="true">ROUND(RAND()*4+6,1)</f>
        <v>8.7</v>
      </c>
      <c r="I32" s="5" t="s">
        <v>31</v>
      </c>
      <c r="J32" s="5" t="str">
        <f aca="false">ROUND(73*1,0)&amp;"%"</f>
        <v>73%</v>
      </c>
    </row>
    <row r="33" customFormat="false" ht="15" hidden="false" customHeight="false" outlineLevel="0" collapsed="false">
      <c r="A33" s="6" t="s">
        <v>6025</v>
      </c>
      <c r="B33" s="6" t="s">
        <v>82</v>
      </c>
      <c r="C33" s="6" t="s">
        <v>76</v>
      </c>
      <c r="D33" s="6" t="s">
        <v>34</v>
      </c>
      <c r="E33" s="6" t="n">
        <f aca="false">ROUND(13903*1.05,2)</f>
        <v>14598.15</v>
      </c>
      <c r="F33" s="6" t="s">
        <v>35</v>
      </c>
      <c r="G33" s="6" t="s">
        <v>18</v>
      </c>
      <c r="H33" s="6" t="n">
        <f aca="true">ROUND(RAND()*4+6,1)</f>
        <v>8.5</v>
      </c>
      <c r="I33" s="6" t="s">
        <v>36</v>
      </c>
      <c r="J33" s="6" t="str">
        <f aca="false">ROUND(75*1,0)&amp;"%"</f>
        <v>75%</v>
      </c>
    </row>
    <row r="34" customFormat="false" ht="15" hidden="false" customHeight="false" outlineLevel="0" collapsed="false">
      <c r="A34" s="5" t="s">
        <v>6026</v>
      </c>
      <c r="B34" s="5" t="s">
        <v>84</v>
      </c>
      <c r="C34" s="5" t="s">
        <v>76</v>
      </c>
      <c r="D34" s="5" t="s">
        <v>39</v>
      </c>
      <c r="E34" s="5" t="n">
        <f aca="false">ROUND(5174*1.05,2)</f>
        <v>5432.7</v>
      </c>
      <c r="F34" s="5" t="s">
        <v>40</v>
      </c>
      <c r="G34" s="5" t="s">
        <v>24</v>
      </c>
      <c r="H34" s="5" t="n">
        <f aca="true">ROUND(RAND()*4+6,1)</f>
        <v>10</v>
      </c>
      <c r="I34" s="5" t="s">
        <v>41</v>
      </c>
      <c r="J34" s="5" t="str">
        <f aca="false">ROUND(92*1,0)&amp;"%"</f>
        <v>92%</v>
      </c>
    </row>
    <row r="35" customFormat="false" ht="15" hidden="false" customHeight="false" outlineLevel="0" collapsed="false">
      <c r="A35" s="6" t="s">
        <v>6027</v>
      </c>
      <c r="B35" s="6" t="s">
        <v>86</v>
      </c>
      <c r="C35" s="6" t="s">
        <v>76</v>
      </c>
      <c r="D35" s="6" t="s">
        <v>44</v>
      </c>
      <c r="E35" s="6" t="n">
        <f aca="false">ROUND(13516*1.05,2)</f>
        <v>14191.8</v>
      </c>
      <c r="F35" s="6" t="s">
        <v>45</v>
      </c>
      <c r="G35" s="6" t="s">
        <v>30</v>
      </c>
      <c r="H35" s="6" t="n">
        <f aca="true">ROUND(RAND()*4+6,1)</f>
        <v>7.5</v>
      </c>
      <c r="I35" s="6" t="s">
        <v>46</v>
      </c>
      <c r="J35" s="6" t="str">
        <f aca="false">ROUND(78*1,0)&amp;"%"</f>
        <v>78%</v>
      </c>
    </row>
    <row r="36" customFormat="false" ht="15" hidden="false" customHeight="false" outlineLevel="0" collapsed="false">
      <c r="A36" s="5" t="s">
        <v>6028</v>
      </c>
      <c r="B36" s="5" t="s">
        <v>88</v>
      </c>
      <c r="C36" s="5" t="s">
        <v>76</v>
      </c>
      <c r="D36" s="5" t="s">
        <v>16</v>
      </c>
      <c r="E36" s="5" t="n">
        <f aca="false">ROUND(13442*1.05,2)</f>
        <v>14114.1</v>
      </c>
      <c r="F36" s="5" t="s">
        <v>49</v>
      </c>
      <c r="G36" s="5" t="s">
        <v>18</v>
      </c>
      <c r="H36" s="5" t="n">
        <f aca="true">ROUND(RAND()*4+6,1)</f>
        <v>6.6</v>
      </c>
      <c r="I36" s="5" t="s">
        <v>19</v>
      </c>
      <c r="J36" s="5" t="str">
        <f aca="false">ROUND(73*1,0)&amp;"%"</f>
        <v>73%</v>
      </c>
    </row>
    <row r="37" customFormat="false" ht="15" hidden="false" customHeight="false" outlineLevel="0" collapsed="false">
      <c r="A37" s="6" t="s">
        <v>6029</v>
      </c>
      <c r="B37" s="6" t="s">
        <v>90</v>
      </c>
      <c r="C37" s="6" t="s">
        <v>76</v>
      </c>
      <c r="D37" s="6" t="s">
        <v>22</v>
      </c>
      <c r="E37" s="6" t="n">
        <f aca="false">ROUND(10785*1.05,2)</f>
        <v>11324.25</v>
      </c>
      <c r="F37" s="6" t="s">
        <v>52</v>
      </c>
      <c r="G37" s="6" t="s">
        <v>24</v>
      </c>
      <c r="H37" s="6" t="n">
        <f aca="true">ROUND(RAND()*4+6,1)</f>
        <v>6.4</v>
      </c>
      <c r="I37" s="6" t="s">
        <v>25</v>
      </c>
      <c r="J37" s="6" t="str">
        <f aca="false">ROUND(83*1,0)&amp;"%"</f>
        <v>83%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6030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6031</v>
      </c>
      <c r="B42" s="5" t="s">
        <v>94</v>
      </c>
      <c r="C42" s="5" t="s">
        <v>95</v>
      </c>
      <c r="D42" s="5" t="s">
        <v>16</v>
      </c>
      <c r="E42" s="5" t="n">
        <f aca="false">ROUND(16104*1.05,2)</f>
        <v>16909.2</v>
      </c>
      <c r="F42" s="5" t="s">
        <v>17</v>
      </c>
      <c r="G42" s="5" t="s">
        <v>18</v>
      </c>
      <c r="H42" s="5" t="n">
        <f aca="true">ROUND(RAND()*4+6,1)</f>
        <v>9.6</v>
      </c>
      <c r="I42" s="5" t="s">
        <v>19</v>
      </c>
      <c r="J42" s="5" t="str">
        <f aca="false">ROUND(96*1,0)&amp;"%"</f>
        <v>96%</v>
      </c>
    </row>
    <row r="43" customFormat="false" ht="15" hidden="false" customHeight="false" outlineLevel="0" collapsed="false">
      <c r="A43" s="6" t="s">
        <v>6032</v>
      </c>
      <c r="B43" s="6" t="s">
        <v>97</v>
      </c>
      <c r="C43" s="6" t="s">
        <v>95</v>
      </c>
      <c r="D43" s="6" t="s">
        <v>22</v>
      </c>
      <c r="E43" s="6" t="n">
        <f aca="false">ROUND(5600*1.05,2)</f>
        <v>5880</v>
      </c>
      <c r="F43" s="6" t="s">
        <v>23</v>
      </c>
      <c r="G43" s="6" t="s">
        <v>24</v>
      </c>
      <c r="H43" s="6" t="n">
        <f aca="true">ROUND(RAND()*4+6,1)</f>
        <v>6.3</v>
      </c>
      <c r="I43" s="6" t="s">
        <v>25</v>
      </c>
      <c r="J43" s="6" t="str">
        <f aca="false">ROUND(84*1,0)&amp;"%"</f>
        <v>84%</v>
      </c>
    </row>
    <row r="44" customFormat="false" ht="15" hidden="false" customHeight="false" outlineLevel="0" collapsed="false">
      <c r="A44" s="5" t="s">
        <v>6033</v>
      </c>
      <c r="B44" s="5" t="s">
        <v>99</v>
      </c>
      <c r="C44" s="5" t="s">
        <v>95</v>
      </c>
      <c r="D44" s="5" t="s">
        <v>28</v>
      </c>
      <c r="E44" s="5" t="n">
        <f aca="false">ROUND(6610*1.05,2)</f>
        <v>6940.5</v>
      </c>
      <c r="F44" s="5" t="s">
        <v>29</v>
      </c>
      <c r="G44" s="5" t="s">
        <v>30</v>
      </c>
      <c r="H44" s="5" t="n">
        <f aca="true">ROUND(RAND()*4+6,1)</f>
        <v>9.8</v>
      </c>
      <c r="I44" s="5" t="s">
        <v>31</v>
      </c>
      <c r="J44" s="5" t="str">
        <f aca="false">ROUND(64*1,0)&amp;"%"</f>
        <v>64%</v>
      </c>
    </row>
    <row r="45" customFormat="false" ht="15" hidden="false" customHeight="false" outlineLevel="0" collapsed="false">
      <c r="A45" s="6" t="s">
        <v>6034</v>
      </c>
      <c r="B45" s="6" t="s">
        <v>101</v>
      </c>
      <c r="C45" s="6" t="s">
        <v>95</v>
      </c>
      <c r="D45" s="6" t="s">
        <v>34</v>
      </c>
      <c r="E45" s="6" t="n">
        <f aca="false">ROUND(4910*1.05,2)</f>
        <v>5155.5</v>
      </c>
      <c r="F45" s="6" t="s">
        <v>35</v>
      </c>
      <c r="G45" s="6" t="s">
        <v>18</v>
      </c>
      <c r="H45" s="6" t="n">
        <f aca="true">ROUND(RAND()*4+6,1)</f>
        <v>8.4</v>
      </c>
      <c r="I45" s="6" t="s">
        <v>36</v>
      </c>
      <c r="J45" s="6" t="str">
        <f aca="false">ROUND(69*1,0)&amp;"%"</f>
        <v>69%</v>
      </c>
    </row>
    <row r="46" customFormat="false" ht="15" hidden="false" customHeight="false" outlineLevel="0" collapsed="false">
      <c r="A46" s="5" t="s">
        <v>6035</v>
      </c>
      <c r="B46" s="5" t="s">
        <v>103</v>
      </c>
      <c r="C46" s="5" t="s">
        <v>95</v>
      </c>
      <c r="D46" s="5" t="s">
        <v>39</v>
      </c>
      <c r="E46" s="5" t="n">
        <f aca="false">ROUND(13426*1.05,2)</f>
        <v>14097.3</v>
      </c>
      <c r="F46" s="5" t="s">
        <v>40</v>
      </c>
      <c r="G46" s="5" t="s">
        <v>24</v>
      </c>
      <c r="H46" s="5" t="n">
        <f aca="true">ROUND(RAND()*4+6,1)</f>
        <v>7.5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6036</v>
      </c>
      <c r="B47" s="6" t="s">
        <v>105</v>
      </c>
      <c r="C47" s="6" t="s">
        <v>95</v>
      </c>
      <c r="D47" s="6" t="s">
        <v>44</v>
      </c>
      <c r="E47" s="6" t="n">
        <f aca="false">ROUND(16525*1.05,2)</f>
        <v>17351.25</v>
      </c>
      <c r="F47" s="6" t="s">
        <v>45</v>
      </c>
      <c r="G47" s="6" t="s">
        <v>30</v>
      </c>
      <c r="H47" s="6" t="n">
        <f aca="true">ROUND(RAND()*4+6,1)</f>
        <v>9.5</v>
      </c>
      <c r="I47" s="6" t="s">
        <v>46</v>
      </c>
      <c r="J47" s="6" t="str">
        <f aca="false">ROUND(73*1,0)&amp;"%"</f>
        <v>73%</v>
      </c>
    </row>
    <row r="48" customFormat="false" ht="15" hidden="false" customHeight="false" outlineLevel="0" collapsed="false">
      <c r="A48" s="5" t="s">
        <v>6037</v>
      </c>
      <c r="B48" s="5" t="s">
        <v>107</v>
      </c>
      <c r="C48" s="5" t="s">
        <v>95</v>
      </c>
      <c r="D48" s="5" t="s">
        <v>16</v>
      </c>
      <c r="E48" s="5" t="n">
        <f aca="false">ROUND(16154*1.05,2)</f>
        <v>16961.7</v>
      </c>
      <c r="F48" s="5" t="s">
        <v>49</v>
      </c>
      <c r="G48" s="5" t="s">
        <v>18</v>
      </c>
      <c r="H48" s="5" t="n">
        <f aca="true">ROUND(RAND()*4+6,1)</f>
        <v>6.1</v>
      </c>
      <c r="I48" s="5" t="s">
        <v>19</v>
      </c>
      <c r="J48" s="5" t="str">
        <f aca="false">ROUND(77*1,0)&amp;"%"</f>
        <v>77%</v>
      </c>
    </row>
    <row r="49" customFormat="false" ht="15" hidden="false" customHeight="false" outlineLevel="0" collapsed="false">
      <c r="A49" s="6" t="s">
        <v>6038</v>
      </c>
      <c r="B49" s="6" t="s">
        <v>109</v>
      </c>
      <c r="C49" s="6" t="s">
        <v>95</v>
      </c>
      <c r="D49" s="6" t="s">
        <v>22</v>
      </c>
      <c r="E49" s="6" t="n">
        <f aca="false">ROUND(15446*1.05,2)</f>
        <v>16218.3</v>
      </c>
      <c r="F49" s="6" t="s">
        <v>52</v>
      </c>
      <c r="G49" s="6" t="s">
        <v>24</v>
      </c>
      <c r="H49" s="6" t="n">
        <f aca="true">ROUND(RAND()*4+6,1)</f>
        <v>6</v>
      </c>
      <c r="I49" s="6" t="s">
        <v>25</v>
      </c>
      <c r="J49" s="6" t="str">
        <f aca="false">ROUND(66*1,0)&amp;"%"</f>
        <v>66%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6039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6040</v>
      </c>
      <c r="B54" s="5" t="s">
        <v>113</v>
      </c>
      <c r="C54" s="5" t="s">
        <v>114</v>
      </c>
      <c r="D54" s="5" t="s">
        <v>16</v>
      </c>
      <c r="E54" s="5" t="n">
        <f aca="false">ROUND(5350*1.05,2)</f>
        <v>5617.5</v>
      </c>
      <c r="F54" s="5" t="s">
        <v>17</v>
      </c>
      <c r="G54" s="5" t="s">
        <v>18</v>
      </c>
      <c r="H54" s="5" t="n">
        <f aca="true">ROUND(RAND()*4+6,1)</f>
        <v>6.9</v>
      </c>
      <c r="I54" s="5" t="s">
        <v>19</v>
      </c>
      <c r="J54" s="5" t="str">
        <f aca="false">ROUND(88*1,0)&amp;"%"</f>
        <v>88%</v>
      </c>
    </row>
    <row r="55" customFormat="false" ht="15" hidden="false" customHeight="false" outlineLevel="0" collapsed="false">
      <c r="A55" s="6" t="s">
        <v>6041</v>
      </c>
      <c r="B55" s="6" t="s">
        <v>116</v>
      </c>
      <c r="C55" s="6" t="s">
        <v>114</v>
      </c>
      <c r="D55" s="6" t="s">
        <v>22</v>
      </c>
      <c r="E55" s="6" t="n">
        <f aca="false">ROUND(8729*1.05,2)</f>
        <v>9165.45</v>
      </c>
      <c r="F55" s="6" t="s">
        <v>23</v>
      </c>
      <c r="G55" s="6" t="s">
        <v>24</v>
      </c>
      <c r="H55" s="6" t="n">
        <f aca="true">ROUND(RAND()*4+6,1)</f>
        <v>8.8</v>
      </c>
      <c r="I55" s="6" t="s">
        <v>25</v>
      </c>
      <c r="J55" s="6" t="str">
        <f aca="false">ROUND(60*1,0)&amp;"%"</f>
        <v>60%</v>
      </c>
    </row>
    <row r="56" customFormat="false" ht="15" hidden="false" customHeight="false" outlineLevel="0" collapsed="false">
      <c r="A56" s="5" t="s">
        <v>6042</v>
      </c>
      <c r="B56" s="5" t="s">
        <v>118</v>
      </c>
      <c r="C56" s="5" t="s">
        <v>114</v>
      </c>
      <c r="D56" s="5" t="s">
        <v>28</v>
      </c>
      <c r="E56" s="5" t="n">
        <f aca="false">ROUND(11831*1.05,2)</f>
        <v>12422.55</v>
      </c>
      <c r="F56" s="5" t="s">
        <v>29</v>
      </c>
      <c r="G56" s="5" t="s">
        <v>30</v>
      </c>
      <c r="H56" s="5" t="n">
        <f aca="true">ROUND(RAND()*4+6,1)</f>
        <v>9.5</v>
      </c>
      <c r="I56" s="5" t="s">
        <v>31</v>
      </c>
      <c r="J56" s="5" t="str">
        <f aca="false">ROUND(83*1,0)&amp;"%"</f>
        <v>83%</v>
      </c>
    </row>
    <row r="57" customFormat="false" ht="15" hidden="false" customHeight="false" outlineLevel="0" collapsed="false">
      <c r="A57" s="6" t="s">
        <v>6043</v>
      </c>
      <c r="B57" s="6" t="s">
        <v>120</v>
      </c>
      <c r="C57" s="6" t="s">
        <v>114</v>
      </c>
      <c r="D57" s="6" t="s">
        <v>34</v>
      </c>
      <c r="E57" s="6" t="n">
        <f aca="false">ROUND(5630*1.05,2)</f>
        <v>5911.5</v>
      </c>
      <c r="F57" s="6" t="s">
        <v>35</v>
      </c>
      <c r="G57" s="6" t="s">
        <v>18</v>
      </c>
      <c r="H57" s="6" t="n">
        <f aca="true">ROUND(RAND()*4+6,1)</f>
        <v>7.2</v>
      </c>
      <c r="I57" s="6" t="s">
        <v>36</v>
      </c>
      <c r="J57" s="6" t="str">
        <f aca="false">ROUND(82*1,0)&amp;"%"</f>
        <v>82%</v>
      </c>
    </row>
    <row r="58" customFormat="false" ht="15" hidden="false" customHeight="false" outlineLevel="0" collapsed="false">
      <c r="A58" s="5" t="s">
        <v>6044</v>
      </c>
      <c r="B58" s="5" t="s">
        <v>122</v>
      </c>
      <c r="C58" s="5" t="s">
        <v>114</v>
      </c>
      <c r="D58" s="5" t="s">
        <v>39</v>
      </c>
      <c r="E58" s="5" t="n">
        <f aca="false">ROUND(9415*1.05,2)</f>
        <v>9885.75</v>
      </c>
      <c r="F58" s="5" t="s">
        <v>40</v>
      </c>
      <c r="G58" s="5" t="s">
        <v>24</v>
      </c>
      <c r="H58" s="5" t="n">
        <f aca="true">ROUND(RAND()*4+6,1)</f>
        <v>6</v>
      </c>
      <c r="I58" s="5" t="s">
        <v>41</v>
      </c>
      <c r="J58" s="5" t="str">
        <f aca="false">ROUND(81*1,0)&amp;"%"</f>
        <v>81%</v>
      </c>
    </row>
    <row r="59" customFormat="false" ht="15" hidden="false" customHeight="false" outlineLevel="0" collapsed="false">
      <c r="A59" s="6" t="s">
        <v>6045</v>
      </c>
      <c r="B59" s="6" t="s">
        <v>124</v>
      </c>
      <c r="C59" s="6" t="s">
        <v>114</v>
      </c>
      <c r="D59" s="6" t="s">
        <v>44</v>
      </c>
      <c r="E59" s="6" t="n">
        <f aca="false">ROUND(9819*1.05,2)</f>
        <v>10309.95</v>
      </c>
      <c r="F59" s="6" t="s">
        <v>45</v>
      </c>
      <c r="G59" s="6" t="s">
        <v>30</v>
      </c>
      <c r="H59" s="6" t="n">
        <f aca="true">ROUND(RAND()*4+6,1)</f>
        <v>6.5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6046</v>
      </c>
      <c r="B60" s="5" t="s">
        <v>126</v>
      </c>
      <c r="C60" s="5" t="s">
        <v>114</v>
      </c>
      <c r="D60" s="5" t="s">
        <v>16</v>
      </c>
      <c r="E60" s="5" t="n">
        <f aca="false">ROUND(4835*1.05,2)</f>
        <v>5076.75</v>
      </c>
      <c r="F60" s="5" t="s">
        <v>49</v>
      </c>
      <c r="G60" s="5" t="s">
        <v>18</v>
      </c>
      <c r="H60" s="5" t="n">
        <f aca="true">ROUND(RAND()*4+6,1)</f>
        <v>6.3</v>
      </c>
      <c r="I60" s="5" t="s">
        <v>19</v>
      </c>
      <c r="J60" s="5" t="str">
        <f aca="false">ROUND(60*1,0)&amp;"%"</f>
        <v>60%</v>
      </c>
    </row>
    <row r="61" customFormat="false" ht="15" hidden="false" customHeight="false" outlineLevel="0" collapsed="false">
      <c r="A61" s="6" t="s">
        <v>6047</v>
      </c>
      <c r="B61" s="6" t="s">
        <v>128</v>
      </c>
      <c r="C61" s="6" t="s">
        <v>114</v>
      </c>
      <c r="D61" s="6" t="s">
        <v>22</v>
      </c>
      <c r="E61" s="6" t="n">
        <f aca="false">ROUND(6291*1.05,2)</f>
        <v>6605.55</v>
      </c>
      <c r="F61" s="6" t="s">
        <v>52</v>
      </c>
      <c r="G61" s="6" t="s">
        <v>24</v>
      </c>
      <c r="H61" s="6" t="n">
        <f aca="true">ROUND(RAND()*4+6,1)</f>
        <v>7.5</v>
      </c>
      <c r="I61" s="6" t="s">
        <v>25</v>
      </c>
      <c r="J61" s="6" t="str">
        <f aca="false">ROUND(92*1,0)&amp;"%"</f>
        <v>92%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6048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6049</v>
      </c>
      <c r="B66" s="5" t="s">
        <v>132</v>
      </c>
      <c r="C66" s="5" t="s">
        <v>133</v>
      </c>
      <c r="D66" s="5" t="s">
        <v>16</v>
      </c>
      <c r="E66" s="5" t="n">
        <f aca="false">ROUND(16644*1.05,2)</f>
        <v>17476.2</v>
      </c>
      <c r="F66" s="5" t="s">
        <v>17</v>
      </c>
      <c r="G66" s="5" t="s">
        <v>18</v>
      </c>
      <c r="H66" s="5" t="n">
        <f aca="true">ROUND(RAND()*4+6,1)</f>
        <v>8.3</v>
      </c>
      <c r="I66" s="5" t="s">
        <v>19</v>
      </c>
      <c r="J66" s="5" t="str">
        <f aca="false">ROUND(83*1,0)&amp;"%"</f>
        <v>83%</v>
      </c>
    </row>
    <row r="67" customFormat="false" ht="15" hidden="false" customHeight="false" outlineLevel="0" collapsed="false">
      <c r="A67" s="6" t="s">
        <v>6050</v>
      </c>
      <c r="B67" s="6" t="s">
        <v>135</v>
      </c>
      <c r="C67" s="6" t="s">
        <v>133</v>
      </c>
      <c r="D67" s="6" t="s">
        <v>22</v>
      </c>
      <c r="E67" s="6" t="n">
        <f aca="false">ROUND(10112*1.05,2)</f>
        <v>10617.6</v>
      </c>
      <c r="F67" s="6" t="s">
        <v>23</v>
      </c>
      <c r="G67" s="6" t="s">
        <v>24</v>
      </c>
      <c r="H67" s="6" t="n">
        <f aca="true">ROUND(RAND()*4+6,1)</f>
        <v>8.1</v>
      </c>
      <c r="I67" s="6" t="s">
        <v>25</v>
      </c>
      <c r="J67" s="6" t="str">
        <f aca="false">ROUND(62*1,0)&amp;"%"</f>
        <v>62%</v>
      </c>
    </row>
    <row r="68" customFormat="false" ht="15" hidden="false" customHeight="false" outlineLevel="0" collapsed="false">
      <c r="A68" s="5" t="s">
        <v>6051</v>
      </c>
      <c r="B68" s="5" t="s">
        <v>137</v>
      </c>
      <c r="C68" s="5" t="s">
        <v>133</v>
      </c>
      <c r="D68" s="5" t="s">
        <v>28</v>
      </c>
      <c r="E68" s="5" t="n">
        <f aca="false">ROUND(5499*1.05,2)</f>
        <v>5773.95</v>
      </c>
      <c r="F68" s="5" t="s">
        <v>29</v>
      </c>
      <c r="G68" s="5" t="s">
        <v>30</v>
      </c>
      <c r="H68" s="5" t="n">
        <f aca="true">ROUND(RAND()*4+6,1)</f>
        <v>9.8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6052</v>
      </c>
      <c r="B69" s="6" t="s">
        <v>139</v>
      </c>
      <c r="C69" s="6" t="s">
        <v>133</v>
      </c>
      <c r="D69" s="6" t="s">
        <v>34</v>
      </c>
      <c r="E69" s="6" t="n">
        <f aca="false">ROUND(10177*1.05,2)</f>
        <v>10685.85</v>
      </c>
      <c r="F69" s="6" t="s">
        <v>35</v>
      </c>
      <c r="G69" s="6" t="s">
        <v>18</v>
      </c>
      <c r="H69" s="6" t="n">
        <f aca="true">ROUND(RAND()*4+6,1)</f>
        <v>7.9</v>
      </c>
      <c r="I69" s="6" t="s">
        <v>36</v>
      </c>
      <c r="J69" s="6" t="str">
        <f aca="false">ROUND(93*1,0)&amp;"%"</f>
        <v>93%</v>
      </c>
    </row>
    <row r="70" customFormat="false" ht="15" hidden="false" customHeight="false" outlineLevel="0" collapsed="false">
      <c r="A70" s="5" t="s">
        <v>6053</v>
      </c>
      <c r="B70" s="5" t="s">
        <v>141</v>
      </c>
      <c r="C70" s="5" t="s">
        <v>133</v>
      </c>
      <c r="D70" s="5" t="s">
        <v>39</v>
      </c>
      <c r="E70" s="5" t="n">
        <f aca="false">ROUND(13534*1.05,2)</f>
        <v>14210.7</v>
      </c>
      <c r="F70" s="5" t="s">
        <v>40</v>
      </c>
      <c r="G70" s="5" t="s">
        <v>24</v>
      </c>
      <c r="H70" s="5" t="n">
        <f aca="true">ROUND(RAND()*4+6,1)</f>
        <v>8</v>
      </c>
      <c r="I70" s="5" t="s">
        <v>41</v>
      </c>
      <c r="J70" s="5" t="str">
        <f aca="false">ROUND(89*1,0)&amp;"%"</f>
        <v>89%</v>
      </c>
    </row>
    <row r="71" customFormat="false" ht="15" hidden="false" customHeight="false" outlineLevel="0" collapsed="false">
      <c r="A71" s="6" t="s">
        <v>6054</v>
      </c>
      <c r="B71" s="6" t="s">
        <v>143</v>
      </c>
      <c r="C71" s="6" t="s">
        <v>133</v>
      </c>
      <c r="D71" s="6" t="s">
        <v>44</v>
      </c>
      <c r="E71" s="6" t="n">
        <f aca="false">ROUND(4937*1.05,2)</f>
        <v>5183.85</v>
      </c>
      <c r="F71" s="6" t="s">
        <v>45</v>
      </c>
      <c r="G71" s="6" t="s">
        <v>30</v>
      </c>
      <c r="H71" s="6" t="n">
        <f aca="true">ROUND(RAND()*4+6,1)</f>
        <v>9.4</v>
      </c>
      <c r="I71" s="6" t="s">
        <v>46</v>
      </c>
      <c r="J71" s="6" t="str">
        <f aca="false">ROUND(74*1,0)&amp;"%"</f>
        <v>74%</v>
      </c>
    </row>
    <row r="72" customFormat="false" ht="15" hidden="false" customHeight="false" outlineLevel="0" collapsed="false">
      <c r="A72" s="5" t="s">
        <v>6055</v>
      </c>
      <c r="B72" s="5" t="s">
        <v>145</v>
      </c>
      <c r="C72" s="5" t="s">
        <v>133</v>
      </c>
      <c r="D72" s="5" t="s">
        <v>16</v>
      </c>
      <c r="E72" s="5" t="n">
        <f aca="false">ROUND(7428*1.05,2)</f>
        <v>7799.4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ROUND(81*1,0)&amp;"%"</f>
        <v>81%</v>
      </c>
    </row>
    <row r="73" customFormat="false" ht="15" hidden="false" customHeight="false" outlineLevel="0" collapsed="false">
      <c r="A73" s="6" t="s">
        <v>6056</v>
      </c>
      <c r="B73" s="6" t="s">
        <v>147</v>
      </c>
      <c r="C73" s="6" t="s">
        <v>133</v>
      </c>
      <c r="D73" s="6" t="s">
        <v>22</v>
      </c>
      <c r="E73" s="6" t="n">
        <f aca="false">ROUND(10499*1.05,2)</f>
        <v>11023.95</v>
      </c>
      <c r="F73" s="6" t="s">
        <v>52</v>
      </c>
      <c r="G73" s="6" t="s">
        <v>24</v>
      </c>
      <c r="H73" s="6" t="n">
        <f aca="true">ROUND(RAND()*4+6,1)</f>
        <v>7.8</v>
      </c>
      <c r="I73" s="6" t="s">
        <v>25</v>
      </c>
      <c r="J73" s="6" t="str">
        <f aca="false">ROUND(60*1,0)&amp;"%"</f>
        <v>60%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6057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6058</v>
      </c>
      <c r="B78" s="5" t="s">
        <v>151</v>
      </c>
      <c r="C78" s="5" t="s">
        <v>152</v>
      </c>
      <c r="D78" s="5" t="s">
        <v>16</v>
      </c>
      <c r="E78" s="5" t="n">
        <f aca="false">ROUND(7107*1.05,2)</f>
        <v>7462.35</v>
      </c>
      <c r="F78" s="5" t="s">
        <v>17</v>
      </c>
      <c r="G78" s="5" t="s">
        <v>18</v>
      </c>
      <c r="H78" s="5" t="n">
        <f aca="true">ROUND(RAND()*4+6,1)</f>
        <v>8.1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6059</v>
      </c>
      <c r="B79" s="6" t="s">
        <v>154</v>
      </c>
      <c r="C79" s="6" t="s">
        <v>152</v>
      </c>
      <c r="D79" s="6" t="s">
        <v>22</v>
      </c>
      <c r="E79" s="6" t="n">
        <f aca="false">ROUND(7745*1.05,2)</f>
        <v>8132.25</v>
      </c>
      <c r="F79" s="6" t="s">
        <v>23</v>
      </c>
      <c r="G79" s="6" t="s">
        <v>24</v>
      </c>
      <c r="H79" s="6" t="n">
        <f aca="true">ROUND(RAND()*4+6,1)</f>
        <v>9.6</v>
      </c>
      <c r="I79" s="6" t="s">
        <v>25</v>
      </c>
      <c r="J79" s="6" t="str">
        <f aca="false">ROUND(73*1,0)&amp;"%"</f>
        <v>73%</v>
      </c>
    </row>
    <row r="80" customFormat="false" ht="15" hidden="false" customHeight="false" outlineLevel="0" collapsed="false">
      <c r="A80" s="5" t="s">
        <v>6060</v>
      </c>
      <c r="B80" s="5" t="s">
        <v>156</v>
      </c>
      <c r="C80" s="5" t="s">
        <v>152</v>
      </c>
      <c r="D80" s="5" t="s">
        <v>28</v>
      </c>
      <c r="E80" s="5" t="n">
        <f aca="false">ROUND(6835*1.05,2)</f>
        <v>7176.75</v>
      </c>
      <c r="F80" s="5" t="s">
        <v>29</v>
      </c>
      <c r="G80" s="5" t="s">
        <v>30</v>
      </c>
      <c r="H80" s="5" t="n">
        <f aca="true">ROUND(RAND()*4+6,1)</f>
        <v>8.2</v>
      </c>
      <c r="I80" s="5" t="s">
        <v>31</v>
      </c>
      <c r="J80" s="5" t="str">
        <f aca="false">ROUND(63*1,0)&amp;"%"</f>
        <v>63%</v>
      </c>
    </row>
    <row r="81" customFormat="false" ht="15" hidden="false" customHeight="false" outlineLevel="0" collapsed="false">
      <c r="A81" s="6" t="s">
        <v>6061</v>
      </c>
      <c r="B81" s="6" t="s">
        <v>158</v>
      </c>
      <c r="C81" s="6" t="s">
        <v>152</v>
      </c>
      <c r="D81" s="6" t="s">
        <v>34</v>
      </c>
      <c r="E81" s="6" t="n">
        <f aca="false">ROUND(12870*1.05,2)</f>
        <v>13513.5</v>
      </c>
      <c r="F81" s="6" t="s">
        <v>35</v>
      </c>
      <c r="G81" s="6" t="s">
        <v>18</v>
      </c>
      <c r="H81" s="6" t="n">
        <f aca="true">ROUND(RAND()*4+6,1)</f>
        <v>6.8</v>
      </c>
      <c r="I81" s="6" t="s">
        <v>36</v>
      </c>
      <c r="J81" s="6" t="str">
        <f aca="false">ROUND(78*1,0)&amp;"%"</f>
        <v>78%</v>
      </c>
    </row>
    <row r="82" customFormat="false" ht="15" hidden="false" customHeight="false" outlineLevel="0" collapsed="false">
      <c r="A82" s="5" t="s">
        <v>6062</v>
      </c>
      <c r="B82" s="5" t="s">
        <v>160</v>
      </c>
      <c r="C82" s="5" t="s">
        <v>152</v>
      </c>
      <c r="D82" s="5" t="s">
        <v>39</v>
      </c>
      <c r="E82" s="5" t="n">
        <f aca="false">ROUND(17964*1.05,2)</f>
        <v>18862.2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ROUND(86*1,0)&amp;"%"</f>
        <v>86%</v>
      </c>
    </row>
    <row r="83" customFormat="false" ht="15" hidden="false" customHeight="false" outlineLevel="0" collapsed="false">
      <c r="A83" s="6" t="s">
        <v>6063</v>
      </c>
      <c r="B83" s="6" t="s">
        <v>162</v>
      </c>
      <c r="C83" s="6" t="s">
        <v>152</v>
      </c>
      <c r="D83" s="6" t="s">
        <v>44</v>
      </c>
      <c r="E83" s="6" t="n">
        <f aca="false">ROUND(5722*1.05,2)</f>
        <v>6008.1</v>
      </c>
      <c r="F83" s="6" t="s">
        <v>45</v>
      </c>
      <c r="G83" s="6" t="s">
        <v>30</v>
      </c>
      <c r="H83" s="6" t="n">
        <f aca="true">ROUND(RAND()*4+6,1)</f>
        <v>7.5</v>
      </c>
      <c r="I83" s="6" t="s">
        <v>46</v>
      </c>
      <c r="J83" s="6" t="str">
        <f aca="false">ROUND(70*1,0)&amp;"%"</f>
        <v>70%</v>
      </c>
    </row>
    <row r="84" customFormat="false" ht="15" hidden="false" customHeight="false" outlineLevel="0" collapsed="false">
      <c r="A84" s="5" t="s">
        <v>6064</v>
      </c>
      <c r="B84" s="5" t="s">
        <v>164</v>
      </c>
      <c r="C84" s="5" t="s">
        <v>152</v>
      </c>
      <c r="D84" s="5" t="s">
        <v>16</v>
      </c>
      <c r="E84" s="5" t="n">
        <f aca="false">ROUND(13987*1.05,2)</f>
        <v>14686.35</v>
      </c>
      <c r="F84" s="5" t="s">
        <v>49</v>
      </c>
      <c r="G84" s="5" t="s">
        <v>18</v>
      </c>
      <c r="H84" s="5" t="n">
        <f aca="true">ROUND(RAND()*4+6,1)</f>
        <v>6</v>
      </c>
      <c r="I84" s="5" t="s">
        <v>19</v>
      </c>
      <c r="J84" s="5" t="str">
        <f aca="false">ROUND(87*1,0)&amp;"%"</f>
        <v>87%</v>
      </c>
    </row>
    <row r="85" customFormat="false" ht="15" hidden="false" customHeight="false" outlineLevel="0" collapsed="false">
      <c r="A85" s="6" t="s">
        <v>6065</v>
      </c>
      <c r="B85" s="6" t="s">
        <v>166</v>
      </c>
      <c r="C85" s="6" t="s">
        <v>152</v>
      </c>
      <c r="D85" s="6" t="s">
        <v>22</v>
      </c>
      <c r="E85" s="6" t="n">
        <f aca="false">ROUND(8363*1.05,2)</f>
        <v>8781.15</v>
      </c>
      <c r="F85" s="6" t="s">
        <v>52</v>
      </c>
      <c r="G85" s="6" t="s">
        <v>24</v>
      </c>
      <c r="H85" s="6" t="n">
        <f aca="true">ROUND(RAND()*4+6,1)</f>
        <v>9.2</v>
      </c>
      <c r="I85" s="6" t="s">
        <v>25</v>
      </c>
      <c r="J85" s="6" t="str">
        <f aca="false">ROUND(75*1,0)&amp;"%"</f>
        <v>75%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6066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6067</v>
      </c>
      <c r="B90" s="5" t="s">
        <v>170</v>
      </c>
      <c r="C90" s="5" t="s">
        <v>15</v>
      </c>
      <c r="D90" s="5" t="s">
        <v>16</v>
      </c>
      <c r="E90" s="5" t="n">
        <f aca="false">ROUND(11740*1.05,2)</f>
        <v>12327</v>
      </c>
      <c r="F90" s="5" t="s">
        <v>17</v>
      </c>
      <c r="G90" s="5" t="s">
        <v>18</v>
      </c>
      <c r="H90" s="5" t="n">
        <f aca="true">ROUND(RAND()*4+6,1)</f>
        <v>9.9</v>
      </c>
      <c r="I90" s="5" t="s">
        <v>19</v>
      </c>
      <c r="J90" s="5" t="str">
        <f aca="false">ROUND(99*1,0)&amp;"%"</f>
        <v>99%</v>
      </c>
    </row>
    <row r="91" customFormat="false" ht="15" hidden="false" customHeight="false" outlineLevel="0" collapsed="false">
      <c r="A91" s="6" t="s">
        <v>6068</v>
      </c>
      <c r="B91" s="6" t="s">
        <v>172</v>
      </c>
      <c r="C91" s="6" t="s">
        <v>15</v>
      </c>
      <c r="D91" s="6" t="s">
        <v>22</v>
      </c>
      <c r="E91" s="6" t="n">
        <f aca="false">ROUND(8057*1.05,2)</f>
        <v>8459.85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ROUND(95*1,0)&amp;"%"</f>
        <v>95%</v>
      </c>
    </row>
    <row r="92" customFormat="false" ht="15" hidden="false" customHeight="false" outlineLevel="0" collapsed="false">
      <c r="A92" s="5" t="s">
        <v>6069</v>
      </c>
      <c r="B92" s="5" t="s">
        <v>174</v>
      </c>
      <c r="C92" s="5" t="s">
        <v>15</v>
      </c>
      <c r="D92" s="5" t="s">
        <v>28</v>
      </c>
      <c r="E92" s="5" t="n">
        <f aca="false">ROUND(14426*1.05,2)</f>
        <v>15147.3</v>
      </c>
      <c r="F92" s="5" t="s">
        <v>29</v>
      </c>
      <c r="G92" s="5" t="s">
        <v>30</v>
      </c>
      <c r="H92" s="5" t="n">
        <f aca="true">ROUND(RAND()*4+6,1)</f>
        <v>8.6</v>
      </c>
      <c r="I92" s="5" t="s">
        <v>31</v>
      </c>
      <c r="J92" s="5" t="str">
        <f aca="false">ROUND(96*1,0)&amp;"%"</f>
        <v>96%</v>
      </c>
    </row>
    <row r="93" customFormat="false" ht="15" hidden="false" customHeight="false" outlineLevel="0" collapsed="false">
      <c r="A93" s="6" t="s">
        <v>6070</v>
      </c>
      <c r="B93" s="6" t="s">
        <v>176</v>
      </c>
      <c r="C93" s="6" t="s">
        <v>15</v>
      </c>
      <c r="D93" s="6" t="s">
        <v>34</v>
      </c>
      <c r="E93" s="6" t="n">
        <f aca="false">ROUND(4869*1.05,2)</f>
        <v>5112.45</v>
      </c>
      <c r="F93" s="6" t="s">
        <v>35</v>
      </c>
      <c r="G93" s="6" t="s">
        <v>18</v>
      </c>
      <c r="H93" s="6" t="n">
        <f aca="true">ROUND(RAND()*4+6,1)</f>
        <v>9.3</v>
      </c>
      <c r="I93" s="6" t="s">
        <v>36</v>
      </c>
      <c r="J93" s="6" t="str">
        <f aca="false">ROUND(97*1,0)&amp;"%"</f>
        <v>97%</v>
      </c>
    </row>
    <row r="94" customFormat="false" ht="15" hidden="false" customHeight="false" outlineLevel="0" collapsed="false">
      <c r="A94" s="5" t="s">
        <v>6071</v>
      </c>
      <c r="B94" s="5" t="s">
        <v>178</v>
      </c>
      <c r="C94" s="5" t="s">
        <v>15</v>
      </c>
      <c r="D94" s="5" t="s">
        <v>39</v>
      </c>
      <c r="E94" s="5" t="n">
        <f aca="false">ROUND(7442*1.05,2)</f>
        <v>7814.1</v>
      </c>
      <c r="F94" s="5" t="s">
        <v>40</v>
      </c>
      <c r="G94" s="5" t="s">
        <v>24</v>
      </c>
      <c r="H94" s="5" t="n">
        <f aca="true">ROUND(RAND()*4+6,1)</f>
        <v>10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6072</v>
      </c>
      <c r="B95" s="6" t="s">
        <v>180</v>
      </c>
      <c r="C95" s="6" t="s">
        <v>15</v>
      </c>
      <c r="D95" s="6" t="s">
        <v>44</v>
      </c>
      <c r="E95" s="6" t="n">
        <f aca="false">ROUND(13017*1.05,2)</f>
        <v>13667.85</v>
      </c>
      <c r="F95" s="6" t="s">
        <v>45</v>
      </c>
      <c r="G95" s="6" t="s">
        <v>30</v>
      </c>
      <c r="H95" s="6" t="n">
        <f aca="true">ROUND(RAND()*4+6,1)</f>
        <v>8.2</v>
      </c>
      <c r="I95" s="6" t="s">
        <v>46</v>
      </c>
      <c r="J95" s="6" t="str">
        <f aca="false">ROUND(88*1,0)&amp;"%"</f>
        <v>88%</v>
      </c>
    </row>
    <row r="96" customFormat="false" ht="15" hidden="false" customHeight="false" outlineLevel="0" collapsed="false">
      <c r="A96" s="5" t="s">
        <v>6073</v>
      </c>
      <c r="B96" s="5" t="s">
        <v>182</v>
      </c>
      <c r="C96" s="5" t="s">
        <v>15</v>
      </c>
      <c r="D96" s="5" t="s">
        <v>16</v>
      </c>
      <c r="E96" s="5" t="n">
        <f aca="false">ROUND(12562*1.05,2)</f>
        <v>13190.1</v>
      </c>
      <c r="F96" s="5" t="s">
        <v>49</v>
      </c>
      <c r="G96" s="5" t="s">
        <v>18</v>
      </c>
      <c r="H96" s="5" t="n">
        <f aca="true">ROUND(RAND()*4+6,1)</f>
        <v>8.2</v>
      </c>
      <c r="I96" s="5" t="s">
        <v>19</v>
      </c>
      <c r="J96" s="5" t="str">
        <f aca="false">ROUND(77*1,0)&amp;"%"</f>
        <v>77%</v>
      </c>
    </row>
    <row r="97" customFormat="false" ht="15" hidden="false" customHeight="false" outlineLevel="0" collapsed="false">
      <c r="A97" s="6" t="s">
        <v>6074</v>
      </c>
      <c r="B97" s="6" t="s">
        <v>184</v>
      </c>
      <c r="C97" s="6" t="s">
        <v>15</v>
      </c>
      <c r="D97" s="6" t="s">
        <v>22</v>
      </c>
      <c r="E97" s="6" t="n">
        <f aca="false">ROUND(8767*1.05,2)</f>
        <v>9205.35</v>
      </c>
      <c r="F97" s="6" t="s">
        <v>52</v>
      </c>
      <c r="G97" s="6" t="s">
        <v>24</v>
      </c>
      <c r="H97" s="6" t="n">
        <f aca="true">ROUND(RAND()*4+6,1)</f>
        <v>9.4</v>
      </c>
      <c r="I97" s="6" t="s">
        <v>25</v>
      </c>
      <c r="J97" s="6" t="str">
        <f aca="false">ROUND(90*1,0)&amp;"%"</f>
        <v>90%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6075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6076</v>
      </c>
      <c r="B102" s="5" t="s">
        <v>188</v>
      </c>
      <c r="C102" s="5" t="s">
        <v>57</v>
      </c>
      <c r="D102" s="5" t="s">
        <v>16</v>
      </c>
      <c r="E102" s="5" t="n">
        <f aca="false">ROUND(15486*1.05,2)</f>
        <v>16260.3</v>
      </c>
      <c r="F102" s="5" t="s">
        <v>17</v>
      </c>
      <c r="G102" s="5" t="s">
        <v>18</v>
      </c>
      <c r="H102" s="5" t="n">
        <f aca="true">ROUND(RAND()*4+6,1)</f>
        <v>9.9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6077</v>
      </c>
      <c r="B103" s="6" t="s">
        <v>190</v>
      </c>
      <c r="C103" s="6" t="s">
        <v>57</v>
      </c>
      <c r="D103" s="6" t="s">
        <v>22</v>
      </c>
      <c r="E103" s="6" t="n">
        <f aca="false">ROUND(13107*1.05,2)</f>
        <v>13762.35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ROUND(91*1,0)&amp;"%"</f>
        <v>91%</v>
      </c>
    </row>
    <row r="104" customFormat="false" ht="15" hidden="false" customHeight="false" outlineLevel="0" collapsed="false">
      <c r="A104" s="5" t="s">
        <v>6078</v>
      </c>
      <c r="B104" s="5" t="s">
        <v>192</v>
      </c>
      <c r="C104" s="5" t="s">
        <v>57</v>
      </c>
      <c r="D104" s="5" t="s">
        <v>28</v>
      </c>
      <c r="E104" s="5" t="n">
        <f aca="false">ROUND(16802*1.05,2)</f>
        <v>17642.1</v>
      </c>
      <c r="F104" s="5" t="s">
        <v>29</v>
      </c>
      <c r="G104" s="5" t="s">
        <v>30</v>
      </c>
      <c r="H104" s="5" t="n">
        <f aca="true">ROUND(RAND()*4+6,1)</f>
        <v>7.5</v>
      </c>
      <c r="I104" s="5" t="s">
        <v>31</v>
      </c>
      <c r="J104" s="5" t="str">
        <f aca="false">ROUND(60*1,0)&amp;"%"</f>
        <v>60%</v>
      </c>
    </row>
    <row r="105" customFormat="false" ht="15" hidden="false" customHeight="false" outlineLevel="0" collapsed="false">
      <c r="A105" s="6" t="s">
        <v>6079</v>
      </c>
      <c r="B105" s="6" t="s">
        <v>194</v>
      </c>
      <c r="C105" s="6" t="s">
        <v>57</v>
      </c>
      <c r="D105" s="6" t="s">
        <v>34</v>
      </c>
      <c r="E105" s="6" t="n">
        <f aca="false">ROUND(10002*1.05,2)</f>
        <v>10502.1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ROUND(85*1,0)&amp;"%"</f>
        <v>85%</v>
      </c>
    </row>
    <row r="106" customFormat="false" ht="15" hidden="false" customHeight="false" outlineLevel="0" collapsed="false">
      <c r="A106" s="5" t="s">
        <v>6080</v>
      </c>
      <c r="B106" s="5" t="s">
        <v>196</v>
      </c>
      <c r="C106" s="5" t="s">
        <v>57</v>
      </c>
      <c r="D106" s="5" t="s">
        <v>39</v>
      </c>
      <c r="E106" s="5" t="n">
        <f aca="false">ROUND(4167*1.05,2)</f>
        <v>4375.35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ROUND(80*1,0)&amp;"%"</f>
        <v>80%</v>
      </c>
    </row>
    <row r="107" customFormat="false" ht="15" hidden="false" customHeight="false" outlineLevel="0" collapsed="false">
      <c r="A107" s="6" t="s">
        <v>6081</v>
      </c>
      <c r="B107" s="6" t="s">
        <v>198</v>
      </c>
      <c r="C107" s="6" t="s">
        <v>57</v>
      </c>
      <c r="D107" s="6" t="s">
        <v>44</v>
      </c>
      <c r="E107" s="6" t="n">
        <f aca="false">ROUND(12920*1.05,2)</f>
        <v>13566</v>
      </c>
      <c r="F107" s="6" t="s">
        <v>45</v>
      </c>
      <c r="G107" s="6" t="s">
        <v>30</v>
      </c>
      <c r="H107" s="6" t="n">
        <f aca="true">ROUND(RAND()*4+6,1)</f>
        <v>7.4</v>
      </c>
      <c r="I107" s="6" t="s">
        <v>46</v>
      </c>
      <c r="J107" s="6" t="str">
        <f aca="false">ROUND(64*1,0)&amp;"%"</f>
        <v>64%</v>
      </c>
    </row>
    <row r="108" customFormat="false" ht="15" hidden="false" customHeight="false" outlineLevel="0" collapsed="false">
      <c r="A108" s="5" t="s">
        <v>6082</v>
      </c>
      <c r="B108" s="5" t="s">
        <v>200</v>
      </c>
      <c r="C108" s="5" t="s">
        <v>57</v>
      </c>
      <c r="D108" s="5" t="s">
        <v>16</v>
      </c>
      <c r="E108" s="5" t="n">
        <f aca="false">ROUND(4382*1.05,2)</f>
        <v>4601.1</v>
      </c>
      <c r="F108" s="5" t="s">
        <v>49</v>
      </c>
      <c r="G108" s="5" t="s">
        <v>18</v>
      </c>
      <c r="H108" s="5" t="n">
        <f aca="true">ROUND(RAND()*4+6,1)</f>
        <v>8.4</v>
      </c>
      <c r="I108" s="5" t="s">
        <v>19</v>
      </c>
      <c r="J108" s="5" t="str">
        <f aca="false">ROUND(91*1,0)&amp;"%"</f>
        <v>91%</v>
      </c>
    </row>
    <row r="109" customFormat="false" ht="15" hidden="false" customHeight="false" outlineLevel="0" collapsed="false">
      <c r="A109" s="6" t="s">
        <v>6083</v>
      </c>
      <c r="B109" s="6" t="s">
        <v>202</v>
      </c>
      <c r="C109" s="6" t="s">
        <v>57</v>
      </c>
      <c r="D109" s="6" t="s">
        <v>22</v>
      </c>
      <c r="E109" s="6" t="n">
        <f aca="false">ROUND(16829*1.05,2)</f>
        <v>17670.45</v>
      </c>
      <c r="F109" s="6" t="s">
        <v>52</v>
      </c>
      <c r="G109" s="6" t="s">
        <v>24</v>
      </c>
      <c r="H109" s="6" t="n">
        <f aca="true">ROUND(RAND()*4+6,1)</f>
        <v>9</v>
      </c>
      <c r="I109" s="6" t="s">
        <v>25</v>
      </c>
      <c r="J109" s="6" t="str">
        <f aca="false">ROUND(76*1,0)&amp;"%"</f>
        <v>76%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6084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6085</v>
      </c>
      <c r="B114" s="5" t="s">
        <v>206</v>
      </c>
      <c r="C114" s="5" t="s">
        <v>76</v>
      </c>
      <c r="D114" s="5" t="s">
        <v>16</v>
      </c>
      <c r="E114" s="5" t="n">
        <f aca="false">ROUND(11786*1.05,2)</f>
        <v>12375.3</v>
      </c>
      <c r="F114" s="5" t="s">
        <v>17</v>
      </c>
      <c r="G114" s="5" t="s">
        <v>18</v>
      </c>
      <c r="H114" s="5" t="n">
        <f aca="true">ROUND(RAND()*4+6,1)</f>
        <v>6.8</v>
      </c>
      <c r="I114" s="5" t="s">
        <v>19</v>
      </c>
      <c r="J114" s="5" t="str">
        <f aca="false">ROUND(99*1,0)&amp;"%"</f>
        <v>99%</v>
      </c>
    </row>
    <row r="115" customFormat="false" ht="15" hidden="false" customHeight="false" outlineLevel="0" collapsed="false">
      <c r="A115" s="6" t="s">
        <v>6086</v>
      </c>
      <c r="B115" s="6" t="s">
        <v>208</v>
      </c>
      <c r="C115" s="6" t="s">
        <v>76</v>
      </c>
      <c r="D115" s="6" t="s">
        <v>22</v>
      </c>
      <c r="E115" s="6" t="n">
        <f aca="false">ROUND(9883*1.05,2)</f>
        <v>10377.15</v>
      </c>
      <c r="F115" s="6" t="s">
        <v>23</v>
      </c>
      <c r="G115" s="6" t="s">
        <v>24</v>
      </c>
      <c r="H115" s="6" t="n">
        <f aca="true">ROUND(RAND()*4+6,1)</f>
        <v>9</v>
      </c>
      <c r="I115" s="6" t="s">
        <v>25</v>
      </c>
      <c r="J115" s="6" t="str">
        <f aca="false">ROUND(91*1,0)&amp;"%"</f>
        <v>91%</v>
      </c>
    </row>
    <row r="116" customFormat="false" ht="15" hidden="false" customHeight="false" outlineLevel="0" collapsed="false">
      <c r="A116" s="5" t="s">
        <v>6087</v>
      </c>
      <c r="B116" s="5" t="s">
        <v>210</v>
      </c>
      <c r="C116" s="5" t="s">
        <v>76</v>
      </c>
      <c r="D116" s="5" t="s">
        <v>28</v>
      </c>
      <c r="E116" s="5" t="n">
        <f aca="false">ROUND(15917*1.05,2)</f>
        <v>16712.85</v>
      </c>
      <c r="F116" s="5" t="s">
        <v>29</v>
      </c>
      <c r="G116" s="5" t="s">
        <v>30</v>
      </c>
      <c r="H116" s="5" t="n">
        <f aca="true">ROUND(RAND()*4+6,1)</f>
        <v>9</v>
      </c>
      <c r="I116" s="5" t="s">
        <v>31</v>
      </c>
      <c r="J116" s="5" t="str">
        <f aca="false">ROUND(61*1,0)&amp;"%"</f>
        <v>61%</v>
      </c>
    </row>
    <row r="117" customFormat="false" ht="15" hidden="false" customHeight="false" outlineLevel="0" collapsed="false">
      <c r="A117" s="6" t="s">
        <v>6088</v>
      </c>
      <c r="B117" s="6" t="s">
        <v>212</v>
      </c>
      <c r="C117" s="6" t="s">
        <v>76</v>
      </c>
      <c r="D117" s="6" t="s">
        <v>34</v>
      </c>
      <c r="E117" s="6" t="n">
        <f aca="false">ROUND(14051*1.05,2)</f>
        <v>14753.55</v>
      </c>
      <c r="F117" s="6" t="s">
        <v>35</v>
      </c>
      <c r="G117" s="6" t="s">
        <v>18</v>
      </c>
      <c r="H117" s="6" t="n">
        <f aca="true">ROUND(RAND()*4+6,1)</f>
        <v>8.2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6089</v>
      </c>
      <c r="B118" s="5" t="s">
        <v>214</v>
      </c>
      <c r="C118" s="5" t="s">
        <v>76</v>
      </c>
      <c r="D118" s="5" t="s">
        <v>39</v>
      </c>
      <c r="E118" s="5" t="n">
        <f aca="false">ROUND(16547*1.05,2)</f>
        <v>17374.35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ROUND(82*1,0)&amp;"%"</f>
        <v>82%</v>
      </c>
    </row>
    <row r="119" customFormat="false" ht="15" hidden="false" customHeight="false" outlineLevel="0" collapsed="false">
      <c r="A119" s="6" t="s">
        <v>6090</v>
      </c>
      <c r="B119" s="6" t="s">
        <v>216</v>
      </c>
      <c r="C119" s="6" t="s">
        <v>76</v>
      </c>
      <c r="D119" s="6" t="s">
        <v>44</v>
      </c>
      <c r="E119" s="6" t="n">
        <f aca="false">ROUND(11271*1.05,2)</f>
        <v>11834.55</v>
      </c>
      <c r="F119" s="6" t="s">
        <v>45</v>
      </c>
      <c r="G119" s="6" t="s">
        <v>30</v>
      </c>
      <c r="H119" s="6" t="n">
        <f aca="true">ROUND(RAND()*4+6,1)</f>
        <v>7.8</v>
      </c>
      <c r="I119" s="6" t="s">
        <v>46</v>
      </c>
      <c r="J119" s="6" t="str">
        <f aca="false">ROUND(71*1,0)&amp;"%"</f>
        <v>71%</v>
      </c>
    </row>
    <row r="120" customFormat="false" ht="15" hidden="false" customHeight="false" outlineLevel="0" collapsed="false">
      <c r="A120" s="5" t="s">
        <v>6091</v>
      </c>
      <c r="B120" s="5" t="s">
        <v>218</v>
      </c>
      <c r="C120" s="5" t="s">
        <v>76</v>
      </c>
      <c r="D120" s="5" t="s">
        <v>16</v>
      </c>
      <c r="E120" s="5" t="n">
        <f aca="false">ROUND(5054*1.05,2)</f>
        <v>5306.7</v>
      </c>
      <c r="F120" s="5" t="s">
        <v>49</v>
      </c>
      <c r="G120" s="5" t="s">
        <v>18</v>
      </c>
      <c r="H120" s="5" t="n">
        <f aca="true">ROUND(RAND()*4+6,1)</f>
        <v>9.3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6092</v>
      </c>
      <c r="B121" s="6" t="s">
        <v>220</v>
      </c>
      <c r="C121" s="6" t="s">
        <v>76</v>
      </c>
      <c r="D121" s="6" t="s">
        <v>22</v>
      </c>
      <c r="E121" s="6" t="n">
        <f aca="false">ROUND(6814*1.05,2)</f>
        <v>7154.7</v>
      </c>
      <c r="F121" s="6" t="s">
        <v>52</v>
      </c>
      <c r="G121" s="6" t="s">
        <v>24</v>
      </c>
      <c r="H121" s="6" t="n">
        <f aca="true">ROUND(RAND()*4+6,1)</f>
        <v>6.6</v>
      </c>
      <c r="I121" s="6" t="s">
        <v>25</v>
      </c>
      <c r="J121" s="6" t="str">
        <f aca="false">ROUND(97*1,0)&amp;"%"</f>
        <v>97%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6093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6094</v>
      </c>
      <c r="B126" s="5" t="s">
        <v>224</v>
      </c>
      <c r="C126" s="5" t="s">
        <v>95</v>
      </c>
      <c r="D126" s="5" t="s">
        <v>16</v>
      </c>
      <c r="E126" s="5" t="n">
        <f aca="false">ROUND(4803*1.05,2)</f>
        <v>5043.15</v>
      </c>
      <c r="F126" s="5" t="s">
        <v>17</v>
      </c>
      <c r="G126" s="5" t="s">
        <v>18</v>
      </c>
      <c r="H126" s="5" t="n">
        <f aca="true">ROUND(RAND()*4+6,1)</f>
        <v>6.1</v>
      </c>
      <c r="I126" s="5" t="s">
        <v>19</v>
      </c>
      <c r="J126" s="5" t="str">
        <f aca="false">ROUND(73*1,0)&amp;"%"</f>
        <v>73%</v>
      </c>
    </row>
    <row r="127" customFormat="false" ht="15" hidden="false" customHeight="false" outlineLevel="0" collapsed="false">
      <c r="A127" s="6" t="s">
        <v>6095</v>
      </c>
      <c r="B127" s="6" t="s">
        <v>226</v>
      </c>
      <c r="C127" s="6" t="s">
        <v>95</v>
      </c>
      <c r="D127" s="6" t="s">
        <v>22</v>
      </c>
      <c r="E127" s="6" t="n">
        <f aca="false">ROUND(8037*1.05,2)</f>
        <v>8438.85</v>
      </c>
      <c r="F127" s="6" t="s">
        <v>23</v>
      </c>
      <c r="G127" s="6" t="s">
        <v>24</v>
      </c>
      <c r="H127" s="6" t="n">
        <f aca="true">ROUND(RAND()*4+6,1)</f>
        <v>7.8</v>
      </c>
      <c r="I127" s="6" t="s">
        <v>25</v>
      </c>
      <c r="J127" s="6" t="str">
        <f aca="false">ROUND(78*1,0)&amp;"%"</f>
        <v>78%</v>
      </c>
    </row>
    <row r="128" customFormat="false" ht="15" hidden="false" customHeight="false" outlineLevel="0" collapsed="false">
      <c r="A128" s="5" t="s">
        <v>6096</v>
      </c>
      <c r="B128" s="5" t="s">
        <v>228</v>
      </c>
      <c r="C128" s="5" t="s">
        <v>95</v>
      </c>
      <c r="D128" s="5" t="s">
        <v>28</v>
      </c>
      <c r="E128" s="5" t="n">
        <f aca="false">ROUND(7257*1.05,2)</f>
        <v>7619.85</v>
      </c>
      <c r="F128" s="5" t="s">
        <v>29</v>
      </c>
      <c r="G128" s="5" t="s">
        <v>30</v>
      </c>
      <c r="H128" s="5" t="n">
        <f aca="true">ROUND(RAND()*4+6,1)</f>
        <v>6.9</v>
      </c>
      <c r="I128" s="5" t="s">
        <v>31</v>
      </c>
      <c r="J128" s="5" t="str">
        <f aca="false">ROUND(93*1,0)&amp;"%"</f>
        <v>93%</v>
      </c>
    </row>
    <row r="129" customFormat="false" ht="15" hidden="false" customHeight="false" outlineLevel="0" collapsed="false">
      <c r="A129" s="6" t="s">
        <v>6097</v>
      </c>
      <c r="B129" s="6" t="s">
        <v>230</v>
      </c>
      <c r="C129" s="6" t="s">
        <v>95</v>
      </c>
      <c r="D129" s="6" t="s">
        <v>34</v>
      </c>
      <c r="E129" s="6" t="n">
        <f aca="false">ROUND(11197*1.05,2)</f>
        <v>11756.85</v>
      </c>
      <c r="F129" s="6" t="s">
        <v>35</v>
      </c>
      <c r="G129" s="6" t="s">
        <v>18</v>
      </c>
      <c r="H129" s="6" t="n">
        <f aca="true">ROUND(RAND()*4+6,1)</f>
        <v>8</v>
      </c>
      <c r="I129" s="6" t="s">
        <v>36</v>
      </c>
      <c r="J129" s="6" t="str">
        <f aca="false">ROUND(93*1,0)&amp;"%"</f>
        <v>93%</v>
      </c>
    </row>
    <row r="130" customFormat="false" ht="15" hidden="false" customHeight="false" outlineLevel="0" collapsed="false">
      <c r="A130" s="5" t="s">
        <v>6098</v>
      </c>
      <c r="B130" s="5" t="s">
        <v>232</v>
      </c>
      <c r="C130" s="5" t="s">
        <v>95</v>
      </c>
      <c r="D130" s="5" t="s">
        <v>39</v>
      </c>
      <c r="E130" s="5" t="n">
        <f aca="false">ROUND(11998*1.05,2)</f>
        <v>12597.9</v>
      </c>
      <c r="F130" s="5" t="s">
        <v>40</v>
      </c>
      <c r="G130" s="5" t="s">
        <v>24</v>
      </c>
      <c r="H130" s="5" t="n">
        <f aca="true">ROUND(RAND()*4+6,1)</f>
        <v>6.2</v>
      </c>
      <c r="I130" s="5" t="s">
        <v>41</v>
      </c>
      <c r="J130" s="5" t="str">
        <f aca="false">ROUND(96*1,0)&amp;"%"</f>
        <v>96%</v>
      </c>
    </row>
    <row r="131" customFormat="false" ht="15" hidden="false" customHeight="false" outlineLevel="0" collapsed="false">
      <c r="A131" s="6" t="s">
        <v>6099</v>
      </c>
      <c r="B131" s="6" t="s">
        <v>234</v>
      </c>
      <c r="C131" s="6" t="s">
        <v>95</v>
      </c>
      <c r="D131" s="6" t="s">
        <v>44</v>
      </c>
      <c r="E131" s="6" t="n">
        <f aca="false">ROUND(15804*1.05,2)</f>
        <v>16594.2</v>
      </c>
      <c r="F131" s="6" t="s">
        <v>45</v>
      </c>
      <c r="G131" s="6" t="s">
        <v>30</v>
      </c>
      <c r="H131" s="6" t="n">
        <f aca="true">ROUND(RAND()*4+6,1)</f>
        <v>6.8</v>
      </c>
      <c r="I131" s="6" t="s">
        <v>46</v>
      </c>
      <c r="J131" s="6" t="str">
        <f aca="false">ROUND(80*1,0)&amp;"%"</f>
        <v>80%</v>
      </c>
    </row>
    <row r="132" customFormat="false" ht="15" hidden="false" customHeight="false" outlineLevel="0" collapsed="false">
      <c r="A132" s="5" t="s">
        <v>6100</v>
      </c>
      <c r="B132" s="5" t="s">
        <v>236</v>
      </c>
      <c r="C132" s="5" t="s">
        <v>95</v>
      </c>
      <c r="D132" s="5" t="s">
        <v>16</v>
      </c>
      <c r="E132" s="5" t="n">
        <f aca="false">ROUND(14266*1.05,2)</f>
        <v>14979.3</v>
      </c>
      <c r="F132" s="5" t="s">
        <v>49</v>
      </c>
      <c r="G132" s="5" t="s">
        <v>18</v>
      </c>
      <c r="H132" s="5" t="n">
        <f aca="true">ROUND(RAND()*4+6,1)</f>
        <v>9.7</v>
      </c>
      <c r="I132" s="5" t="s">
        <v>19</v>
      </c>
      <c r="J132" s="5" t="str">
        <f aca="false">ROUND(100*1,0)&amp;"%"</f>
        <v>100%</v>
      </c>
    </row>
    <row r="133" customFormat="false" ht="15" hidden="false" customHeight="false" outlineLevel="0" collapsed="false">
      <c r="A133" s="6" t="s">
        <v>6101</v>
      </c>
      <c r="B133" s="6" t="s">
        <v>238</v>
      </c>
      <c r="C133" s="6" t="s">
        <v>95</v>
      </c>
      <c r="D133" s="6" t="s">
        <v>22</v>
      </c>
      <c r="E133" s="6" t="n">
        <f aca="false">ROUND(17189*1.05,2)</f>
        <v>18048.45</v>
      </c>
      <c r="F133" s="6" t="s">
        <v>52</v>
      </c>
      <c r="G133" s="6" t="s">
        <v>24</v>
      </c>
      <c r="H133" s="6" t="n">
        <f aca="true">ROUND(RAND()*4+6,1)</f>
        <v>8.9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6102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6103</v>
      </c>
      <c r="B138" s="5" t="s">
        <v>242</v>
      </c>
      <c r="C138" s="5" t="s">
        <v>114</v>
      </c>
      <c r="D138" s="5" t="s">
        <v>16</v>
      </c>
      <c r="E138" s="5" t="n">
        <f aca="false">ROUND(15376*1.05,2)</f>
        <v>16144.8</v>
      </c>
      <c r="F138" s="5" t="s">
        <v>17</v>
      </c>
      <c r="G138" s="5" t="s">
        <v>18</v>
      </c>
      <c r="H138" s="5" t="n">
        <f aca="true">ROUND(RAND()*4+6,1)</f>
        <v>6.9</v>
      </c>
      <c r="I138" s="5" t="s">
        <v>19</v>
      </c>
      <c r="J138" s="5" t="str">
        <f aca="false">ROUND(97*1,0)&amp;"%"</f>
        <v>97%</v>
      </c>
    </row>
    <row r="139" customFormat="false" ht="15" hidden="false" customHeight="false" outlineLevel="0" collapsed="false">
      <c r="A139" s="6" t="s">
        <v>6104</v>
      </c>
      <c r="B139" s="6" t="s">
        <v>244</v>
      </c>
      <c r="C139" s="6" t="s">
        <v>114</v>
      </c>
      <c r="D139" s="6" t="s">
        <v>22</v>
      </c>
      <c r="E139" s="6" t="n">
        <f aca="false">ROUND(14645*1.05,2)</f>
        <v>15377.25</v>
      </c>
      <c r="F139" s="6" t="s">
        <v>23</v>
      </c>
      <c r="G139" s="6" t="s">
        <v>24</v>
      </c>
      <c r="H139" s="6" t="n">
        <f aca="true">ROUND(RAND()*4+6,1)</f>
        <v>8.2</v>
      </c>
      <c r="I139" s="6" t="s">
        <v>25</v>
      </c>
      <c r="J139" s="6" t="str">
        <f aca="false">ROUND(92*1,0)&amp;"%"</f>
        <v>92%</v>
      </c>
    </row>
    <row r="140" customFormat="false" ht="15" hidden="false" customHeight="false" outlineLevel="0" collapsed="false">
      <c r="A140" s="5" t="s">
        <v>6105</v>
      </c>
      <c r="B140" s="5" t="s">
        <v>246</v>
      </c>
      <c r="C140" s="5" t="s">
        <v>114</v>
      </c>
      <c r="D140" s="5" t="s">
        <v>28</v>
      </c>
      <c r="E140" s="5" t="n">
        <f aca="false">ROUND(16028*1.05,2)</f>
        <v>16829.4</v>
      </c>
      <c r="F140" s="5" t="s">
        <v>29</v>
      </c>
      <c r="G140" s="5" t="s">
        <v>30</v>
      </c>
      <c r="H140" s="5" t="n">
        <f aca="true">ROUND(RAND()*4+6,1)</f>
        <v>9.9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6106</v>
      </c>
      <c r="B141" s="6" t="s">
        <v>248</v>
      </c>
      <c r="C141" s="6" t="s">
        <v>114</v>
      </c>
      <c r="D141" s="6" t="s">
        <v>34</v>
      </c>
      <c r="E141" s="6" t="n">
        <f aca="false">ROUND(4951*1.05,2)</f>
        <v>5198.55</v>
      </c>
      <c r="F141" s="6" t="s">
        <v>35</v>
      </c>
      <c r="G141" s="6" t="s">
        <v>18</v>
      </c>
      <c r="H141" s="6" t="n">
        <f aca="true">ROUND(RAND()*4+6,1)</f>
        <v>6.5</v>
      </c>
      <c r="I141" s="6" t="s">
        <v>36</v>
      </c>
      <c r="J141" s="6" t="str">
        <f aca="false">ROUND(84*1,0)&amp;"%"</f>
        <v>84%</v>
      </c>
    </row>
    <row r="142" customFormat="false" ht="15" hidden="false" customHeight="false" outlineLevel="0" collapsed="false">
      <c r="A142" s="5" t="s">
        <v>6107</v>
      </c>
      <c r="B142" s="5" t="s">
        <v>250</v>
      </c>
      <c r="C142" s="5" t="s">
        <v>114</v>
      </c>
      <c r="D142" s="5" t="s">
        <v>39</v>
      </c>
      <c r="E142" s="5" t="n">
        <f aca="false">ROUND(15273*1.05,2)</f>
        <v>16036.65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ROUND(92*1,0)&amp;"%"</f>
        <v>92%</v>
      </c>
    </row>
    <row r="143" customFormat="false" ht="15" hidden="false" customHeight="false" outlineLevel="0" collapsed="false">
      <c r="A143" s="6" t="s">
        <v>6108</v>
      </c>
      <c r="B143" s="6" t="s">
        <v>252</v>
      </c>
      <c r="C143" s="6" t="s">
        <v>114</v>
      </c>
      <c r="D143" s="6" t="s">
        <v>44</v>
      </c>
      <c r="E143" s="6" t="n">
        <f aca="false">ROUND(12829*1.05,2)</f>
        <v>13470.45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ROUND(85*1,0)&amp;"%"</f>
        <v>85%</v>
      </c>
    </row>
    <row r="144" customFormat="false" ht="15" hidden="false" customHeight="false" outlineLevel="0" collapsed="false">
      <c r="A144" s="5" t="s">
        <v>6109</v>
      </c>
      <c r="B144" s="5" t="s">
        <v>254</v>
      </c>
      <c r="C144" s="5" t="s">
        <v>114</v>
      </c>
      <c r="D144" s="5" t="s">
        <v>16</v>
      </c>
      <c r="E144" s="5" t="n">
        <f aca="false">ROUND(4321*1.05,2)</f>
        <v>4537.05</v>
      </c>
      <c r="F144" s="5" t="s">
        <v>49</v>
      </c>
      <c r="G144" s="5" t="s">
        <v>18</v>
      </c>
      <c r="H144" s="5" t="n">
        <f aca="true">ROUND(RAND()*4+6,1)</f>
        <v>8.2</v>
      </c>
      <c r="I144" s="5" t="s">
        <v>19</v>
      </c>
      <c r="J144" s="5" t="str">
        <f aca="false">ROUND(88*1,0)&amp;"%"</f>
        <v>88%</v>
      </c>
    </row>
    <row r="145" customFormat="false" ht="15" hidden="false" customHeight="false" outlineLevel="0" collapsed="false">
      <c r="A145" s="6" t="s">
        <v>6110</v>
      </c>
      <c r="B145" s="6" t="s">
        <v>256</v>
      </c>
      <c r="C145" s="6" t="s">
        <v>114</v>
      </c>
      <c r="D145" s="6" t="s">
        <v>22</v>
      </c>
      <c r="E145" s="6" t="n">
        <f aca="false">ROUND(14090*1.05,2)</f>
        <v>14794.5</v>
      </c>
      <c r="F145" s="6" t="s">
        <v>52</v>
      </c>
      <c r="G145" s="6" t="s">
        <v>24</v>
      </c>
      <c r="H145" s="6" t="n">
        <f aca="true">ROUND(RAND()*4+6,1)</f>
        <v>9.7</v>
      </c>
      <c r="I145" s="6" t="s">
        <v>25</v>
      </c>
      <c r="J145" s="6" t="str">
        <f aca="false">ROUND(74*1,0)&amp;"%"</f>
        <v>74%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6111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6112</v>
      </c>
      <c r="B150" s="5" t="s">
        <v>260</v>
      </c>
      <c r="C150" s="5" t="s">
        <v>133</v>
      </c>
      <c r="D150" s="5" t="s">
        <v>16</v>
      </c>
      <c r="E150" s="5" t="n">
        <f aca="false">ROUND(9902*1.05,2)</f>
        <v>10397.1</v>
      </c>
      <c r="F150" s="5" t="s">
        <v>17</v>
      </c>
      <c r="G150" s="5" t="s">
        <v>18</v>
      </c>
      <c r="H150" s="5" t="n">
        <f aca="true">ROUND(RAND()*4+6,1)</f>
        <v>9.3</v>
      </c>
      <c r="I150" s="5" t="s">
        <v>19</v>
      </c>
      <c r="J150" s="5" t="str">
        <f aca="false">ROUND(60*1,0)&amp;"%"</f>
        <v>60%</v>
      </c>
    </row>
    <row r="151" customFormat="false" ht="15" hidden="false" customHeight="false" outlineLevel="0" collapsed="false">
      <c r="A151" s="6" t="s">
        <v>6113</v>
      </c>
      <c r="B151" s="6" t="s">
        <v>262</v>
      </c>
      <c r="C151" s="6" t="s">
        <v>133</v>
      </c>
      <c r="D151" s="6" t="s">
        <v>22</v>
      </c>
      <c r="E151" s="6" t="n">
        <f aca="false">ROUND(14245*1.05,2)</f>
        <v>14957.25</v>
      </c>
      <c r="F151" s="6" t="s">
        <v>23</v>
      </c>
      <c r="G151" s="6" t="s">
        <v>24</v>
      </c>
      <c r="H151" s="6" t="n">
        <f aca="true">ROUND(RAND()*4+6,1)</f>
        <v>8.3</v>
      </c>
      <c r="I151" s="6" t="s">
        <v>25</v>
      </c>
      <c r="J151" s="6" t="str">
        <f aca="false">ROUND(95*1,0)&amp;"%"</f>
        <v>95%</v>
      </c>
    </row>
    <row r="152" customFormat="false" ht="15" hidden="false" customHeight="false" outlineLevel="0" collapsed="false">
      <c r="A152" s="5" t="s">
        <v>6114</v>
      </c>
      <c r="B152" s="5" t="s">
        <v>264</v>
      </c>
      <c r="C152" s="5" t="s">
        <v>133</v>
      </c>
      <c r="D152" s="5" t="s">
        <v>28</v>
      </c>
      <c r="E152" s="5" t="n">
        <f aca="false">ROUND(15169*1.05,2)</f>
        <v>15927.45</v>
      </c>
      <c r="F152" s="5" t="s">
        <v>29</v>
      </c>
      <c r="G152" s="5" t="s">
        <v>30</v>
      </c>
      <c r="H152" s="5" t="n">
        <f aca="true">ROUND(RAND()*4+6,1)</f>
        <v>7.9</v>
      </c>
      <c r="I152" s="5" t="s">
        <v>31</v>
      </c>
      <c r="J152" s="5" t="str">
        <f aca="false">ROUND(74*1,0)&amp;"%"</f>
        <v>74%</v>
      </c>
    </row>
    <row r="153" customFormat="false" ht="15" hidden="false" customHeight="false" outlineLevel="0" collapsed="false">
      <c r="A153" s="6" t="s">
        <v>6115</v>
      </c>
      <c r="B153" s="6" t="s">
        <v>266</v>
      </c>
      <c r="C153" s="6" t="s">
        <v>133</v>
      </c>
      <c r="D153" s="6" t="s">
        <v>34</v>
      </c>
      <c r="E153" s="6" t="n">
        <f aca="false">ROUND(7225*1.05,2)</f>
        <v>7586.25</v>
      </c>
      <c r="F153" s="6" t="s">
        <v>35</v>
      </c>
      <c r="G153" s="6" t="s">
        <v>18</v>
      </c>
      <c r="H153" s="6" t="n">
        <f aca="true">ROUND(RAND()*4+6,1)</f>
        <v>8.9</v>
      </c>
      <c r="I153" s="6" t="s">
        <v>36</v>
      </c>
      <c r="J153" s="6" t="str">
        <f aca="false">ROUND(99*1,0)&amp;"%"</f>
        <v>99%</v>
      </c>
    </row>
    <row r="154" customFormat="false" ht="15" hidden="false" customHeight="false" outlineLevel="0" collapsed="false">
      <c r="A154" s="5" t="s">
        <v>6116</v>
      </c>
      <c r="B154" s="5" t="s">
        <v>268</v>
      </c>
      <c r="C154" s="5" t="s">
        <v>133</v>
      </c>
      <c r="D154" s="5" t="s">
        <v>39</v>
      </c>
      <c r="E154" s="5" t="n">
        <f aca="false">ROUND(6273*1.05,2)</f>
        <v>6586.65</v>
      </c>
      <c r="F154" s="5" t="s">
        <v>40</v>
      </c>
      <c r="G154" s="5" t="s">
        <v>24</v>
      </c>
      <c r="H154" s="5" t="n">
        <f aca="true">ROUND(RAND()*4+6,1)</f>
        <v>6.2</v>
      </c>
      <c r="I154" s="5" t="s">
        <v>41</v>
      </c>
      <c r="J154" s="5" t="str">
        <f aca="false">ROUND(70*1,0)&amp;"%"</f>
        <v>70%</v>
      </c>
    </row>
    <row r="155" customFormat="false" ht="15" hidden="false" customHeight="false" outlineLevel="0" collapsed="false">
      <c r="A155" s="6" t="s">
        <v>6117</v>
      </c>
      <c r="B155" s="6" t="s">
        <v>270</v>
      </c>
      <c r="C155" s="6" t="s">
        <v>133</v>
      </c>
      <c r="D155" s="6" t="s">
        <v>44</v>
      </c>
      <c r="E155" s="6" t="n">
        <f aca="false">ROUND(10840*1.05,2)</f>
        <v>11382</v>
      </c>
      <c r="F155" s="6" t="s">
        <v>45</v>
      </c>
      <c r="G155" s="6" t="s">
        <v>30</v>
      </c>
      <c r="H155" s="6" t="n">
        <f aca="true">ROUND(RAND()*4+6,1)</f>
        <v>7.5</v>
      </c>
      <c r="I155" s="6" t="s">
        <v>46</v>
      </c>
      <c r="J155" s="6" t="str">
        <f aca="false">ROUND(60*1,0)&amp;"%"</f>
        <v>60%</v>
      </c>
    </row>
    <row r="156" customFormat="false" ht="15" hidden="false" customHeight="false" outlineLevel="0" collapsed="false">
      <c r="A156" s="5" t="s">
        <v>6118</v>
      </c>
      <c r="B156" s="5" t="s">
        <v>272</v>
      </c>
      <c r="C156" s="5" t="s">
        <v>133</v>
      </c>
      <c r="D156" s="5" t="s">
        <v>16</v>
      </c>
      <c r="E156" s="5" t="n">
        <f aca="false">ROUND(13007*1.05,2)</f>
        <v>13657.35</v>
      </c>
      <c r="F156" s="5" t="s">
        <v>49</v>
      </c>
      <c r="G156" s="5" t="s">
        <v>18</v>
      </c>
      <c r="H156" s="5" t="n">
        <f aca="true">ROUND(RAND()*4+6,1)</f>
        <v>6.1</v>
      </c>
      <c r="I156" s="5" t="s">
        <v>19</v>
      </c>
      <c r="J156" s="5" t="str">
        <f aca="false">ROUND(64*1,0)&amp;"%"</f>
        <v>64%</v>
      </c>
    </row>
    <row r="157" customFormat="false" ht="15" hidden="false" customHeight="false" outlineLevel="0" collapsed="false">
      <c r="A157" s="6" t="s">
        <v>6119</v>
      </c>
      <c r="B157" s="6" t="s">
        <v>274</v>
      </c>
      <c r="C157" s="6" t="s">
        <v>133</v>
      </c>
      <c r="D157" s="6" t="s">
        <v>22</v>
      </c>
      <c r="E157" s="6" t="n">
        <f aca="false">ROUND(10817*1.05,2)</f>
        <v>11357.85</v>
      </c>
      <c r="F157" s="6" t="s">
        <v>52</v>
      </c>
      <c r="G157" s="6" t="s">
        <v>24</v>
      </c>
      <c r="H157" s="6" t="n">
        <f aca="true">ROUND(RAND()*4+6,1)</f>
        <v>8.8</v>
      </c>
      <c r="I157" s="6" t="s">
        <v>25</v>
      </c>
      <c r="J157" s="6" t="str">
        <f aca="false">ROUND(86*1,0)&amp;"%"</f>
        <v>86%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6120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6121</v>
      </c>
      <c r="B162" s="5" t="s">
        <v>278</v>
      </c>
      <c r="C162" s="5" t="s">
        <v>152</v>
      </c>
      <c r="D162" s="5" t="s">
        <v>16</v>
      </c>
      <c r="E162" s="5" t="n">
        <f aca="false">ROUND(8355*1.05,2)</f>
        <v>8772.75</v>
      </c>
      <c r="F162" s="5" t="s">
        <v>17</v>
      </c>
      <c r="G162" s="5" t="s">
        <v>18</v>
      </c>
      <c r="H162" s="5" t="n">
        <f aca="true">ROUND(RAND()*4+6,1)</f>
        <v>6.4</v>
      </c>
      <c r="I162" s="5" t="s">
        <v>19</v>
      </c>
      <c r="J162" s="5" t="str">
        <f aca="false">ROUND(91*1,0)&amp;"%"</f>
        <v>91%</v>
      </c>
    </row>
    <row r="163" customFormat="false" ht="15" hidden="false" customHeight="false" outlineLevel="0" collapsed="false">
      <c r="A163" s="6" t="s">
        <v>6122</v>
      </c>
      <c r="B163" s="6" t="s">
        <v>280</v>
      </c>
      <c r="C163" s="6" t="s">
        <v>152</v>
      </c>
      <c r="D163" s="6" t="s">
        <v>22</v>
      </c>
      <c r="E163" s="6" t="n">
        <f aca="false">ROUND(17911*1.05,2)</f>
        <v>18806.55</v>
      </c>
      <c r="F163" s="6" t="s">
        <v>23</v>
      </c>
      <c r="G163" s="6" t="s">
        <v>24</v>
      </c>
      <c r="H163" s="6" t="n">
        <f aca="true">ROUND(RAND()*4+6,1)</f>
        <v>9.1</v>
      </c>
      <c r="I163" s="6" t="s">
        <v>25</v>
      </c>
      <c r="J163" s="6" t="str">
        <f aca="false">ROUND(66*1,0)&amp;"%"</f>
        <v>66%</v>
      </c>
    </row>
    <row r="164" customFormat="false" ht="15" hidden="false" customHeight="false" outlineLevel="0" collapsed="false">
      <c r="A164" s="5" t="s">
        <v>6123</v>
      </c>
      <c r="B164" s="5" t="s">
        <v>282</v>
      </c>
      <c r="C164" s="5" t="s">
        <v>152</v>
      </c>
      <c r="D164" s="5" t="s">
        <v>28</v>
      </c>
      <c r="E164" s="5" t="n">
        <f aca="false">ROUND(15272*1.05,2)</f>
        <v>16035.6</v>
      </c>
      <c r="F164" s="5" t="s">
        <v>29</v>
      </c>
      <c r="G164" s="5" t="s">
        <v>30</v>
      </c>
      <c r="H164" s="5" t="n">
        <f aca="true">ROUND(RAND()*4+6,1)</f>
        <v>9.8</v>
      </c>
      <c r="I164" s="5" t="s">
        <v>31</v>
      </c>
      <c r="J164" s="5" t="str">
        <f aca="false">ROUND(96*1,0)&amp;"%"</f>
        <v>96%</v>
      </c>
    </row>
    <row r="165" customFormat="false" ht="15" hidden="false" customHeight="false" outlineLevel="0" collapsed="false">
      <c r="A165" s="6" t="s">
        <v>6124</v>
      </c>
      <c r="B165" s="6" t="s">
        <v>284</v>
      </c>
      <c r="C165" s="6" t="s">
        <v>152</v>
      </c>
      <c r="D165" s="6" t="s">
        <v>34</v>
      </c>
      <c r="E165" s="6" t="n">
        <f aca="false">ROUND(9940*1.05,2)</f>
        <v>10437</v>
      </c>
      <c r="F165" s="6" t="s">
        <v>35</v>
      </c>
      <c r="G165" s="6" t="s">
        <v>18</v>
      </c>
      <c r="H165" s="6" t="n">
        <f aca="true">ROUND(RAND()*4+6,1)</f>
        <v>6</v>
      </c>
      <c r="I165" s="6" t="s">
        <v>36</v>
      </c>
      <c r="J165" s="6" t="str">
        <f aca="false">ROUND(73*1,0)&amp;"%"</f>
        <v>73%</v>
      </c>
    </row>
    <row r="166" customFormat="false" ht="15" hidden="false" customHeight="false" outlineLevel="0" collapsed="false">
      <c r="A166" s="5" t="s">
        <v>6125</v>
      </c>
      <c r="B166" s="5" t="s">
        <v>286</v>
      </c>
      <c r="C166" s="5" t="s">
        <v>152</v>
      </c>
      <c r="D166" s="5" t="s">
        <v>39</v>
      </c>
      <c r="E166" s="5" t="n">
        <f aca="false">ROUND(8252*1.05,2)</f>
        <v>8664.6</v>
      </c>
      <c r="F166" s="5" t="s">
        <v>40</v>
      </c>
      <c r="G166" s="5" t="s">
        <v>24</v>
      </c>
      <c r="H166" s="5" t="n">
        <f aca="true">ROUND(RAND()*4+6,1)</f>
        <v>7</v>
      </c>
      <c r="I166" s="5" t="s">
        <v>41</v>
      </c>
      <c r="J166" s="5" t="str">
        <f aca="false">ROUND(69*1,0)&amp;"%"</f>
        <v>69%</v>
      </c>
    </row>
    <row r="167" customFormat="false" ht="15" hidden="false" customHeight="false" outlineLevel="0" collapsed="false">
      <c r="A167" s="6" t="s">
        <v>6126</v>
      </c>
      <c r="B167" s="6" t="s">
        <v>288</v>
      </c>
      <c r="C167" s="6" t="s">
        <v>152</v>
      </c>
      <c r="D167" s="6" t="s">
        <v>44</v>
      </c>
      <c r="E167" s="6" t="n">
        <f aca="false">ROUND(5745*1.05,2)</f>
        <v>6032.25</v>
      </c>
      <c r="F167" s="6" t="s">
        <v>45</v>
      </c>
      <c r="G167" s="6" t="s">
        <v>30</v>
      </c>
      <c r="H167" s="6" t="n">
        <f aca="true">ROUND(RAND()*4+6,1)</f>
        <v>6.2</v>
      </c>
      <c r="I167" s="6" t="s">
        <v>46</v>
      </c>
      <c r="J167" s="6" t="str">
        <f aca="false">ROUND(64*1,0)&amp;"%"</f>
        <v>64%</v>
      </c>
    </row>
    <row r="168" customFormat="false" ht="15" hidden="false" customHeight="false" outlineLevel="0" collapsed="false">
      <c r="A168" s="5" t="s">
        <v>6127</v>
      </c>
      <c r="B168" s="5" t="s">
        <v>290</v>
      </c>
      <c r="C168" s="5" t="s">
        <v>152</v>
      </c>
      <c r="D168" s="5" t="s">
        <v>16</v>
      </c>
      <c r="E168" s="5" t="n">
        <f aca="false">ROUND(10304*1.05,2)</f>
        <v>10819.2</v>
      </c>
      <c r="F168" s="5" t="s">
        <v>49</v>
      </c>
      <c r="G168" s="5" t="s">
        <v>18</v>
      </c>
      <c r="H168" s="5" t="n">
        <f aca="true">ROUND(RAND()*4+6,1)</f>
        <v>8.6</v>
      </c>
      <c r="I168" s="5" t="s">
        <v>19</v>
      </c>
      <c r="J168" s="5" t="str">
        <f aca="false">ROUND(90*1,0)&amp;"%"</f>
        <v>90%</v>
      </c>
    </row>
    <row r="169" customFormat="false" ht="15" hidden="false" customHeight="false" outlineLevel="0" collapsed="false">
      <c r="A169" s="6" t="s">
        <v>6128</v>
      </c>
      <c r="B169" s="6" t="s">
        <v>292</v>
      </c>
      <c r="C169" s="6" t="s">
        <v>152</v>
      </c>
      <c r="D169" s="6" t="s">
        <v>22</v>
      </c>
      <c r="E169" s="6" t="n">
        <f aca="false">ROUND(10523*1.05,2)</f>
        <v>11049.15</v>
      </c>
      <c r="F169" s="6" t="s">
        <v>52</v>
      </c>
      <c r="G169" s="6" t="s">
        <v>24</v>
      </c>
      <c r="H169" s="6" t="n">
        <f aca="true">ROUND(RAND()*4+6,1)</f>
        <v>6</v>
      </c>
      <c r="I169" s="6" t="s">
        <v>25</v>
      </c>
      <c r="J169" s="6" t="str">
        <f aca="false">ROUND(74*1,0)&amp;"%"</f>
        <v>74%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6129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6130</v>
      </c>
      <c r="B174" s="5" t="s">
        <v>296</v>
      </c>
      <c r="C174" s="5" t="s">
        <v>15</v>
      </c>
      <c r="D174" s="5" t="s">
        <v>16</v>
      </c>
      <c r="E174" s="5" t="n">
        <f aca="false">ROUND(8790*1.05,2)</f>
        <v>9229.5</v>
      </c>
      <c r="F174" s="5" t="s">
        <v>17</v>
      </c>
      <c r="G174" s="5" t="s">
        <v>18</v>
      </c>
      <c r="H174" s="5" t="n">
        <f aca="true">ROUND(RAND()*4+6,1)</f>
        <v>7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6131</v>
      </c>
      <c r="B175" s="6" t="s">
        <v>298</v>
      </c>
      <c r="C175" s="6" t="s">
        <v>15</v>
      </c>
      <c r="D175" s="6" t="s">
        <v>22</v>
      </c>
      <c r="E175" s="6" t="n">
        <f aca="false">ROUND(8312*1.05,2)</f>
        <v>8727.6</v>
      </c>
      <c r="F175" s="6" t="s">
        <v>23</v>
      </c>
      <c r="G175" s="6" t="s">
        <v>24</v>
      </c>
      <c r="H175" s="6" t="n">
        <f aca="true">ROUND(RAND()*4+6,1)</f>
        <v>6.8</v>
      </c>
      <c r="I175" s="6" t="s">
        <v>25</v>
      </c>
      <c r="J175" s="6" t="str">
        <f aca="false">ROUND(70*1,0)&amp;"%"</f>
        <v>70%</v>
      </c>
    </row>
    <row r="176" customFormat="false" ht="15" hidden="false" customHeight="false" outlineLevel="0" collapsed="false">
      <c r="A176" s="5" t="s">
        <v>6132</v>
      </c>
      <c r="B176" s="5" t="s">
        <v>300</v>
      </c>
      <c r="C176" s="5" t="s">
        <v>15</v>
      </c>
      <c r="D176" s="5" t="s">
        <v>28</v>
      </c>
      <c r="E176" s="5" t="n">
        <f aca="false">ROUND(6317*1.05,2)</f>
        <v>6632.85</v>
      </c>
      <c r="F176" s="5" t="s">
        <v>29</v>
      </c>
      <c r="G176" s="5" t="s">
        <v>30</v>
      </c>
      <c r="H176" s="5" t="n">
        <f aca="true">ROUND(RAND()*4+6,1)</f>
        <v>9</v>
      </c>
      <c r="I176" s="5" t="s">
        <v>31</v>
      </c>
      <c r="J176" s="5" t="str">
        <f aca="false">ROUND(82*1,0)&amp;"%"</f>
        <v>82%</v>
      </c>
    </row>
    <row r="177" customFormat="false" ht="15" hidden="false" customHeight="false" outlineLevel="0" collapsed="false">
      <c r="A177" s="6" t="s">
        <v>6133</v>
      </c>
      <c r="B177" s="6" t="s">
        <v>302</v>
      </c>
      <c r="C177" s="6" t="s">
        <v>15</v>
      </c>
      <c r="D177" s="6" t="s">
        <v>34</v>
      </c>
      <c r="E177" s="6" t="n">
        <f aca="false">ROUND(8760*1.05,2)</f>
        <v>9198</v>
      </c>
      <c r="F177" s="6" t="s">
        <v>35</v>
      </c>
      <c r="G177" s="6" t="s">
        <v>18</v>
      </c>
      <c r="H177" s="6" t="n">
        <f aca="true">ROUND(RAND()*4+6,1)</f>
        <v>6.5</v>
      </c>
      <c r="I177" s="6" t="s">
        <v>36</v>
      </c>
      <c r="J177" s="6" t="str">
        <f aca="false">ROUND(93*1,0)&amp;"%"</f>
        <v>93%</v>
      </c>
    </row>
    <row r="178" customFormat="false" ht="15" hidden="false" customHeight="false" outlineLevel="0" collapsed="false">
      <c r="A178" s="5" t="s">
        <v>6134</v>
      </c>
      <c r="B178" s="5" t="s">
        <v>304</v>
      </c>
      <c r="C178" s="5" t="s">
        <v>15</v>
      </c>
      <c r="D178" s="5" t="s">
        <v>39</v>
      </c>
      <c r="E178" s="5" t="n">
        <f aca="false">ROUND(6035*1.05,2)</f>
        <v>6336.75</v>
      </c>
      <c r="F178" s="5" t="s">
        <v>40</v>
      </c>
      <c r="G178" s="5" t="s">
        <v>24</v>
      </c>
      <c r="H178" s="5" t="n">
        <f aca="true">ROUND(RAND()*4+6,1)</f>
        <v>8.4</v>
      </c>
      <c r="I178" s="5" t="s">
        <v>41</v>
      </c>
      <c r="J178" s="5" t="str">
        <f aca="false">ROUND(90*1,0)&amp;"%"</f>
        <v>90%</v>
      </c>
    </row>
    <row r="179" customFormat="false" ht="15" hidden="false" customHeight="false" outlineLevel="0" collapsed="false">
      <c r="A179" s="6" t="s">
        <v>6135</v>
      </c>
      <c r="B179" s="6" t="s">
        <v>306</v>
      </c>
      <c r="C179" s="6" t="s">
        <v>15</v>
      </c>
      <c r="D179" s="6" t="s">
        <v>44</v>
      </c>
      <c r="E179" s="6" t="n">
        <f aca="false">ROUND(17442*1.05,2)</f>
        <v>18314.1</v>
      </c>
      <c r="F179" s="6" t="s">
        <v>45</v>
      </c>
      <c r="G179" s="6" t="s">
        <v>30</v>
      </c>
      <c r="H179" s="6" t="n">
        <f aca="true">ROUND(RAND()*4+6,1)</f>
        <v>9.1</v>
      </c>
      <c r="I179" s="6" t="s">
        <v>46</v>
      </c>
      <c r="J179" s="6" t="str">
        <f aca="false">ROUND(61*1,0)&amp;"%"</f>
        <v>61%</v>
      </c>
    </row>
    <row r="180" customFormat="false" ht="15" hidden="false" customHeight="false" outlineLevel="0" collapsed="false">
      <c r="A180" s="5" t="s">
        <v>6136</v>
      </c>
      <c r="B180" s="5" t="s">
        <v>308</v>
      </c>
      <c r="C180" s="5" t="s">
        <v>15</v>
      </c>
      <c r="D180" s="5" t="s">
        <v>16</v>
      </c>
      <c r="E180" s="5" t="n">
        <f aca="false">ROUND(7031*1.05,2)</f>
        <v>7382.55</v>
      </c>
      <c r="F180" s="5" t="s">
        <v>49</v>
      </c>
      <c r="G180" s="5" t="s">
        <v>18</v>
      </c>
      <c r="H180" s="5" t="n">
        <f aca="true">ROUND(RAND()*4+6,1)</f>
        <v>7.6</v>
      </c>
      <c r="I180" s="5" t="s">
        <v>19</v>
      </c>
      <c r="J180" s="5" t="str">
        <f aca="false">ROUND(71*1,0)&amp;"%"</f>
        <v>71%</v>
      </c>
    </row>
    <row r="181" customFormat="false" ht="15" hidden="false" customHeight="false" outlineLevel="0" collapsed="false">
      <c r="A181" s="6" t="s">
        <v>6137</v>
      </c>
      <c r="B181" s="6" t="s">
        <v>310</v>
      </c>
      <c r="C181" s="6" t="s">
        <v>15</v>
      </c>
      <c r="D181" s="6" t="s">
        <v>22</v>
      </c>
      <c r="E181" s="6" t="n">
        <f aca="false">ROUND(13305*1.05,2)</f>
        <v>13970.25</v>
      </c>
      <c r="F181" s="6" t="s">
        <v>52</v>
      </c>
      <c r="G181" s="6" t="s">
        <v>24</v>
      </c>
      <c r="H181" s="6" t="n">
        <f aca="true">ROUND(RAND()*4+6,1)</f>
        <v>9.3</v>
      </c>
      <c r="I181" s="6" t="s">
        <v>25</v>
      </c>
      <c r="J181" s="6" t="str">
        <f aca="false">ROUND(85*1,0)&amp;"%"</f>
        <v>85%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6138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6139</v>
      </c>
      <c r="B186" s="5" t="s">
        <v>314</v>
      </c>
      <c r="C186" s="5" t="s">
        <v>57</v>
      </c>
      <c r="D186" s="5" t="s">
        <v>16</v>
      </c>
      <c r="E186" s="5" t="n">
        <f aca="false">ROUND(6131*1.05,2)</f>
        <v>6437.55</v>
      </c>
      <c r="F186" s="5" t="s">
        <v>17</v>
      </c>
      <c r="G186" s="5" t="s">
        <v>18</v>
      </c>
      <c r="H186" s="5" t="n">
        <f aca="true">ROUND(RAND()*4+6,1)</f>
        <v>6.2</v>
      </c>
      <c r="I186" s="5" t="s">
        <v>19</v>
      </c>
      <c r="J186" s="5" t="str">
        <f aca="false">ROUND(91*1,0)&amp;"%"</f>
        <v>91%</v>
      </c>
    </row>
    <row r="187" customFormat="false" ht="15" hidden="false" customHeight="false" outlineLevel="0" collapsed="false">
      <c r="A187" s="6" t="s">
        <v>6140</v>
      </c>
      <c r="B187" s="6" t="s">
        <v>316</v>
      </c>
      <c r="C187" s="6" t="s">
        <v>57</v>
      </c>
      <c r="D187" s="6" t="s">
        <v>22</v>
      </c>
      <c r="E187" s="6" t="n">
        <f aca="false">ROUND(11310*1.05,2)</f>
        <v>11875.5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ROUND(80*1,0)&amp;"%"</f>
        <v>80%</v>
      </c>
    </row>
    <row r="188" customFormat="false" ht="15" hidden="false" customHeight="false" outlineLevel="0" collapsed="false">
      <c r="A188" s="5" t="s">
        <v>6141</v>
      </c>
      <c r="B188" s="5" t="s">
        <v>318</v>
      </c>
      <c r="C188" s="5" t="s">
        <v>57</v>
      </c>
      <c r="D188" s="5" t="s">
        <v>28</v>
      </c>
      <c r="E188" s="5" t="n">
        <f aca="false">ROUND(9941*1.05,2)</f>
        <v>10438.05</v>
      </c>
      <c r="F188" s="5" t="s">
        <v>29</v>
      </c>
      <c r="G188" s="5" t="s">
        <v>30</v>
      </c>
      <c r="H188" s="5" t="n">
        <f aca="true">ROUND(RAND()*4+6,1)</f>
        <v>8.4</v>
      </c>
      <c r="I188" s="5" t="s">
        <v>31</v>
      </c>
      <c r="J188" s="5" t="str">
        <f aca="false">ROUND(94*1,0)&amp;"%"</f>
        <v>94%</v>
      </c>
    </row>
    <row r="189" customFormat="false" ht="15" hidden="false" customHeight="false" outlineLevel="0" collapsed="false">
      <c r="A189" s="6" t="s">
        <v>6142</v>
      </c>
      <c r="B189" s="6" t="s">
        <v>320</v>
      </c>
      <c r="C189" s="6" t="s">
        <v>57</v>
      </c>
      <c r="D189" s="6" t="s">
        <v>34</v>
      </c>
      <c r="E189" s="6" t="n">
        <f aca="false">ROUND(14452*1.05,2)</f>
        <v>15174.6</v>
      </c>
      <c r="F189" s="6" t="s">
        <v>35</v>
      </c>
      <c r="G189" s="6" t="s">
        <v>18</v>
      </c>
      <c r="H189" s="6" t="n">
        <f aca="true">ROUND(RAND()*4+6,1)</f>
        <v>6.3</v>
      </c>
      <c r="I189" s="6" t="s">
        <v>36</v>
      </c>
      <c r="J189" s="6" t="str">
        <f aca="false">ROUND(100*1,0)&amp;"%"</f>
        <v>100%</v>
      </c>
    </row>
    <row r="190" customFormat="false" ht="15" hidden="false" customHeight="false" outlineLevel="0" collapsed="false">
      <c r="A190" s="5" t="s">
        <v>6143</v>
      </c>
      <c r="B190" s="5" t="s">
        <v>322</v>
      </c>
      <c r="C190" s="5" t="s">
        <v>57</v>
      </c>
      <c r="D190" s="5" t="s">
        <v>39</v>
      </c>
      <c r="E190" s="5" t="n">
        <f aca="false">ROUND(12469*1.05,2)</f>
        <v>13092.45</v>
      </c>
      <c r="F190" s="5" t="s">
        <v>40</v>
      </c>
      <c r="G190" s="5" t="s">
        <v>24</v>
      </c>
      <c r="H190" s="5" t="n">
        <f aca="true">ROUND(RAND()*4+6,1)</f>
        <v>8.1</v>
      </c>
      <c r="I190" s="5" t="s">
        <v>41</v>
      </c>
      <c r="J190" s="5" t="str">
        <f aca="false">ROUND(99*1,0)&amp;"%"</f>
        <v>99%</v>
      </c>
    </row>
    <row r="191" customFormat="false" ht="15" hidden="false" customHeight="false" outlineLevel="0" collapsed="false">
      <c r="A191" s="6" t="s">
        <v>6144</v>
      </c>
      <c r="B191" s="6" t="s">
        <v>324</v>
      </c>
      <c r="C191" s="6" t="s">
        <v>57</v>
      </c>
      <c r="D191" s="6" t="s">
        <v>44</v>
      </c>
      <c r="E191" s="6" t="n">
        <f aca="false">ROUND(5270*1.05,2)</f>
        <v>5533.5</v>
      </c>
      <c r="F191" s="6" t="s">
        <v>45</v>
      </c>
      <c r="G191" s="6" t="s">
        <v>30</v>
      </c>
      <c r="H191" s="6" t="n">
        <f aca="true">ROUND(RAND()*4+6,1)</f>
        <v>6.8</v>
      </c>
      <c r="I191" s="6" t="s">
        <v>46</v>
      </c>
      <c r="J191" s="6" t="str">
        <f aca="false">ROUND(95*1,0)&amp;"%"</f>
        <v>95%</v>
      </c>
    </row>
    <row r="192" customFormat="false" ht="15" hidden="false" customHeight="false" outlineLevel="0" collapsed="false">
      <c r="A192" s="5" t="s">
        <v>6145</v>
      </c>
      <c r="B192" s="5" t="s">
        <v>326</v>
      </c>
      <c r="C192" s="5" t="s">
        <v>57</v>
      </c>
      <c r="D192" s="5" t="s">
        <v>16</v>
      </c>
      <c r="E192" s="5" t="n">
        <f aca="false">ROUND(13501*1.05,2)</f>
        <v>14176.05</v>
      </c>
      <c r="F192" s="5" t="s">
        <v>49</v>
      </c>
      <c r="G192" s="5" t="s">
        <v>18</v>
      </c>
      <c r="H192" s="5" t="n">
        <f aca="true">ROUND(RAND()*4+6,1)</f>
        <v>8.9</v>
      </c>
      <c r="I192" s="5" t="s">
        <v>19</v>
      </c>
      <c r="J192" s="5" t="str">
        <f aca="false">ROUND(97*1,0)&amp;"%"</f>
        <v>97%</v>
      </c>
    </row>
    <row r="193" customFormat="false" ht="15" hidden="false" customHeight="false" outlineLevel="0" collapsed="false">
      <c r="A193" s="6" t="s">
        <v>6146</v>
      </c>
      <c r="B193" s="6" t="s">
        <v>328</v>
      </c>
      <c r="C193" s="6" t="s">
        <v>57</v>
      </c>
      <c r="D193" s="6" t="s">
        <v>22</v>
      </c>
      <c r="E193" s="6" t="n">
        <f aca="false">ROUND(12876*1.05,2)</f>
        <v>13519.8</v>
      </c>
      <c r="F193" s="6" t="s">
        <v>52</v>
      </c>
      <c r="G193" s="6" t="s">
        <v>24</v>
      </c>
      <c r="H193" s="6" t="n">
        <f aca="true">ROUND(RAND()*4+6,1)</f>
        <v>7</v>
      </c>
      <c r="I193" s="6" t="s">
        <v>25</v>
      </c>
      <c r="J193" s="6" t="str">
        <f aca="false">ROUND(99*1,0)&amp;"%"</f>
        <v>99%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6147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6148</v>
      </c>
      <c r="B198" s="5" t="s">
        <v>332</v>
      </c>
      <c r="C198" s="5" t="s">
        <v>76</v>
      </c>
      <c r="D198" s="5" t="s">
        <v>16</v>
      </c>
      <c r="E198" s="5" t="n">
        <f aca="false">ROUND(13160*1.05,2)</f>
        <v>13818</v>
      </c>
      <c r="F198" s="5" t="s">
        <v>17</v>
      </c>
      <c r="G198" s="5" t="s">
        <v>18</v>
      </c>
      <c r="H198" s="5" t="n">
        <f aca="true">ROUND(RAND()*4+6,1)</f>
        <v>6.3</v>
      </c>
      <c r="I198" s="5" t="s">
        <v>19</v>
      </c>
      <c r="J198" s="5" t="str">
        <f aca="false">ROUND(60*1,0)&amp;"%"</f>
        <v>60%</v>
      </c>
    </row>
    <row r="199" customFormat="false" ht="15" hidden="false" customHeight="false" outlineLevel="0" collapsed="false">
      <c r="A199" s="6" t="s">
        <v>6149</v>
      </c>
      <c r="B199" s="6" t="s">
        <v>334</v>
      </c>
      <c r="C199" s="6" t="s">
        <v>76</v>
      </c>
      <c r="D199" s="6" t="s">
        <v>22</v>
      </c>
      <c r="E199" s="6" t="n">
        <f aca="false">ROUND(15840*1.05,2)</f>
        <v>16632</v>
      </c>
      <c r="F199" s="6" t="s">
        <v>23</v>
      </c>
      <c r="G199" s="6" t="s">
        <v>24</v>
      </c>
      <c r="H199" s="6" t="n">
        <f aca="true">ROUND(RAND()*4+6,1)</f>
        <v>9.8</v>
      </c>
      <c r="I199" s="6" t="s">
        <v>25</v>
      </c>
      <c r="J199" s="6" t="str">
        <f aca="false">ROUND(90*1,0)&amp;"%"</f>
        <v>90%</v>
      </c>
    </row>
    <row r="200" customFormat="false" ht="15" hidden="false" customHeight="false" outlineLevel="0" collapsed="false">
      <c r="A200" s="5" t="s">
        <v>6150</v>
      </c>
      <c r="B200" s="5" t="s">
        <v>336</v>
      </c>
      <c r="C200" s="5" t="s">
        <v>76</v>
      </c>
      <c r="D200" s="5" t="s">
        <v>28</v>
      </c>
      <c r="E200" s="5" t="n">
        <f aca="false">ROUND(14303*1.05,2)</f>
        <v>15018.15</v>
      </c>
      <c r="F200" s="5" t="s">
        <v>29</v>
      </c>
      <c r="G200" s="5" t="s">
        <v>30</v>
      </c>
      <c r="H200" s="5" t="n">
        <f aca="true">ROUND(RAND()*4+6,1)</f>
        <v>7.2</v>
      </c>
      <c r="I200" s="5" t="s">
        <v>31</v>
      </c>
      <c r="J200" s="5" t="str">
        <f aca="false">ROUND(65*1,0)&amp;"%"</f>
        <v>65%</v>
      </c>
    </row>
    <row r="201" customFormat="false" ht="15" hidden="false" customHeight="false" outlineLevel="0" collapsed="false">
      <c r="A201" s="6" t="s">
        <v>6151</v>
      </c>
      <c r="B201" s="6" t="s">
        <v>338</v>
      </c>
      <c r="C201" s="6" t="s">
        <v>76</v>
      </c>
      <c r="D201" s="6" t="s">
        <v>34</v>
      </c>
      <c r="E201" s="6" t="n">
        <f aca="false">ROUND(7764*1.05,2)</f>
        <v>8152.2</v>
      </c>
      <c r="F201" s="6" t="s">
        <v>35</v>
      </c>
      <c r="G201" s="6" t="s">
        <v>18</v>
      </c>
      <c r="H201" s="6" t="n">
        <f aca="true">ROUND(RAND()*4+6,1)</f>
        <v>7.1</v>
      </c>
      <c r="I201" s="6" t="s">
        <v>36</v>
      </c>
      <c r="J201" s="6" t="str">
        <f aca="false">ROUND(93*1,0)&amp;"%"</f>
        <v>93%</v>
      </c>
    </row>
    <row r="202" customFormat="false" ht="15" hidden="false" customHeight="false" outlineLevel="0" collapsed="false">
      <c r="A202" s="5" t="s">
        <v>6152</v>
      </c>
      <c r="B202" s="5" t="s">
        <v>340</v>
      </c>
      <c r="C202" s="5" t="s">
        <v>76</v>
      </c>
      <c r="D202" s="5" t="s">
        <v>39</v>
      </c>
      <c r="E202" s="5" t="n">
        <f aca="false">ROUND(11274*1.05,2)</f>
        <v>11837.7</v>
      </c>
      <c r="F202" s="5" t="s">
        <v>40</v>
      </c>
      <c r="G202" s="5" t="s">
        <v>24</v>
      </c>
      <c r="H202" s="5" t="n">
        <f aca="true">ROUND(RAND()*4+6,1)</f>
        <v>7.1</v>
      </c>
      <c r="I202" s="5" t="s">
        <v>41</v>
      </c>
      <c r="J202" s="5" t="str">
        <f aca="false">ROUND(98*1,0)&amp;"%"</f>
        <v>98%</v>
      </c>
    </row>
    <row r="203" customFormat="false" ht="15" hidden="false" customHeight="false" outlineLevel="0" collapsed="false">
      <c r="A203" s="6" t="s">
        <v>6153</v>
      </c>
      <c r="B203" s="6" t="s">
        <v>342</v>
      </c>
      <c r="C203" s="6" t="s">
        <v>76</v>
      </c>
      <c r="D203" s="6" t="s">
        <v>44</v>
      </c>
      <c r="E203" s="6" t="n">
        <f aca="false">ROUND(5636*1.05,2)</f>
        <v>5917.8</v>
      </c>
      <c r="F203" s="6" t="s">
        <v>45</v>
      </c>
      <c r="G203" s="6" t="s">
        <v>30</v>
      </c>
      <c r="H203" s="6" t="n">
        <f aca="true">ROUND(RAND()*4+6,1)</f>
        <v>7.8</v>
      </c>
      <c r="I203" s="6" t="s">
        <v>46</v>
      </c>
      <c r="J203" s="6" t="str">
        <f aca="false">ROUND(78*1,0)&amp;"%"</f>
        <v>78%</v>
      </c>
    </row>
    <row r="204" customFormat="false" ht="15" hidden="false" customHeight="false" outlineLevel="0" collapsed="false">
      <c r="A204" s="5" t="s">
        <v>6154</v>
      </c>
      <c r="B204" s="5" t="s">
        <v>344</v>
      </c>
      <c r="C204" s="5" t="s">
        <v>76</v>
      </c>
      <c r="D204" s="5" t="s">
        <v>16</v>
      </c>
      <c r="E204" s="5" t="n">
        <f aca="false">ROUND(11920*1.05,2)</f>
        <v>12516</v>
      </c>
      <c r="F204" s="5" t="s">
        <v>49</v>
      </c>
      <c r="G204" s="5" t="s">
        <v>18</v>
      </c>
      <c r="H204" s="5" t="n">
        <f aca="true">ROUND(RAND()*4+6,1)</f>
        <v>8.6</v>
      </c>
      <c r="I204" s="5" t="s">
        <v>19</v>
      </c>
      <c r="J204" s="5" t="str">
        <f aca="false">ROUND(60*1,0)&amp;"%"</f>
        <v>60%</v>
      </c>
    </row>
    <row r="205" customFormat="false" ht="15" hidden="false" customHeight="false" outlineLevel="0" collapsed="false">
      <c r="A205" s="6" t="s">
        <v>6155</v>
      </c>
      <c r="B205" s="6" t="s">
        <v>346</v>
      </c>
      <c r="C205" s="6" t="s">
        <v>76</v>
      </c>
      <c r="D205" s="6" t="s">
        <v>22</v>
      </c>
      <c r="E205" s="6" t="n">
        <f aca="false">ROUND(17533*1.05,2)</f>
        <v>18409.65</v>
      </c>
      <c r="F205" s="6" t="s">
        <v>52</v>
      </c>
      <c r="G205" s="6" t="s">
        <v>24</v>
      </c>
      <c r="H205" s="6" t="n">
        <f aca="true">ROUND(RAND()*4+6,1)</f>
        <v>8.3</v>
      </c>
      <c r="I205" s="6" t="s">
        <v>25</v>
      </c>
      <c r="J205" s="6" t="str">
        <f aca="false">ROUND(93*1,0)&amp;"%"</f>
        <v>93%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6156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6157</v>
      </c>
      <c r="B210" s="5" t="s">
        <v>350</v>
      </c>
      <c r="C210" s="5" t="s">
        <v>95</v>
      </c>
      <c r="D210" s="5" t="s">
        <v>16</v>
      </c>
      <c r="E210" s="5" t="n">
        <f aca="false">ROUND(13282*1.05,2)</f>
        <v>13946.1</v>
      </c>
      <c r="F210" s="5" t="s">
        <v>17</v>
      </c>
      <c r="G210" s="5" t="s">
        <v>18</v>
      </c>
      <c r="H210" s="5" t="n">
        <f aca="true">ROUND(RAND()*4+6,1)</f>
        <v>6.8</v>
      </c>
      <c r="I210" s="5" t="s">
        <v>19</v>
      </c>
      <c r="J210" s="5" t="str">
        <f aca="false">ROUND(96*1,0)&amp;"%"</f>
        <v>96%</v>
      </c>
    </row>
    <row r="211" customFormat="false" ht="15" hidden="false" customHeight="false" outlineLevel="0" collapsed="false">
      <c r="A211" s="6" t="s">
        <v>6158</v>
      </c>
      <c r="B211" s="6" t="s">
        <v>352</v>
      </c>
      <c r="C211" s="6" t="s">
        <v>95</v>
      </c>
      <c r="D211" s="6" t="s">
        <v>22</v>
      </c>
      <c r="E211" s="6" t="n">
        <f aca="false">ROUND(14205*1.05,2)</f>
        <v>14915.25</v>
      </c>
      <c r="F211" s="6" t="s">
        <v>23</v>
      </c>
      <c r="G211" s="6" t="s">
        <v>24</v>
      </c>
      <c r="H211" s="6" t="n">
        <f aca="true">ROUND(RAND()*4+6,1)</f>
        <v>6.5</v>
      </c>
      <c r="I211" s="6" t="s">
        <v>25</v>
      </c>
      <c r="J211" s="6" t="str">
        <f aca="false">ROUND(98*1,0)&amp;"%"</f>
        <v>98%</v>
      </c>
    </row>
    <row r="212" customFormat="false" ht="15" hidden="false" customHeight="false" outlineLevel="0" collapsed="false">
      <c r="A212" s="5" t="s">
        <v>6159</v>
      </c>
      <c r="B212" s="5" t="s">
        <v>354</v>
      </c>
      <c r="C212" s="5" t="s">
        <v>95</v>
      </c>
      <c r="D212" s="5" t="s">
        <v>28</v>
      </c>
      <c r="E212" s="5" t="n">
        <f aca="false">ROUND(16392*1.05,2)</f>
        <v>17211.6</v>
      </c>
      <c r="F212" s="5" t="s">
        <v>29</v>
      </c>
      <c r="G212" s="5" t="s">
        <v>30</v>
      </c>
      <c r="H212" s="5" t="n">
        <f aca="true">ROUND(RAND()*4+6,1)</f>
        <v>8</v>
      </c>
      <c r="I212" s="5" t="s">
        <v>31</v>
      </c>
      <c r="J212" s="5" t="str">
        <f aca="false">ROUND(93*1,0)&amp;"%"</f>
        <v>93%</v>
      </c>
    </row>
    <row r="213" customFormat="false" ht="15" hidden="false" customHeight="false" outlineLevel="0" collapsed="false">
      <c r="A213" s="6" t="s">
        <v>6160</v>
      </c>
      <c r="B213" s="6" t="s">
        <v>356</v>
      </c>
      <c r="C213" s="6" t="s">
        <v>95</v>
      </c>
      <c r="D213" s="6" t="s">
        <v>34</v>
      </c>
      <c r="E213" s="6" t="n">
        <f aca="false">ROUND(9395*1.05,2)</f>
        <v>9864.75</v>
      </c>
      <c r="F213" s="6" t="s">
        <v>35</v>
      </c>
      <c r="G213" s="6" t="s">
        <v>18</v>
      </c>
      <c r="H213" s="6" t="n">
        <f aca="true">ROUND(RAND()*4+6,1)</f>
        <v>8.9</v>
      </c>
      <c r="I213" s="6" t="s">
        <v>36</v>
      </c>
      <c r="J213" s="6" t="str">
        <f aca="false">ROUND(85*1,0)&amp;"%"</f>
        <v>85%</v>
      </c>
    </row>
    <row r="214" customFormat="false" ht="15" hidden="false" customHeight="false" outlineLevel="0" collapsed="false">
      <c r="A214" s="5" t="s">
        <v>6161</v>
      </c>
      <c r="B214" s="5" t="s">
        <v>358</v>
      </c>
      <c r="C214" s="5" t="s">
        <v>95</v>
      </c>
      <c r="D214" s="5" t="s">
        <v>39</v>
      </c>
      <c r="E214" s="5" t="n">
        <f aca="false">ROUND(6847*1.05,2)</f>
        <v>7189.35</v>
      </c>
      <c r="F214" s="5" t="s">
        <v>40</v>
      </c>
      <c r="G214" s="5" t="s">
        <v>24</v>
      </c>
      <c r="H214" s="5" t="n">
        <f aca="true">ROUND(RAND()*4+6,1)</f>
        <v>8.5</v>
      </c>
      <c r="I214" s="5" t="s">
        <v>41</v>
      </c>
      <c r="J214" s="5" t="str">
        <f aca="false">ROUND(75*1,0)&amp;"%"</f>
        <v>75%</v>
      </c>
    </row>
    <row r="215" customFormat="false" ht="15" hidden="false" customHeight="false" outlineLevel="0" collapsed="false">
      <c r="A215" s="6" t="s">
        <v>6162</v>
      </c>
      <c r="B215" s="6" t="s">
        <v>360</v>
      </c>
      <c r="C215" s="6" t="s">
        <v>95</v>
      </c>
      <c r="D215" s="6" t="s">
        <v>44</v>
      </c>
      <c r="E215" s="6" t="n">
        <f aca="false">ROUND(14648*1.05,2)</f>
        <v>15380.4</v>
      </c>
      <c r="F215" s="6" t="s">
        <v>45</v>
      </c>
      <c r="G215" s="6" t="s">
        <v>30</v>
      </c>
      <c r="H215" s="6" t="n">
        <f aca="true">ROUND(RAND()*4+6,1)</f>
        <v>8.1</v>
      </c>
      <c r="I215" s="6" t="s">
        <v>46</v>
      </c>
      <c r="J215" s="6" t="str">
        <f aca="false">ROUND(69*1,0)&amp;"%"</f>
        <v>69%</v>
      </c>
    </row>
    <row r="216" customFormat="false" ht="15" hidden="false" customHeight="false" outlineLevel="0" collapsed="false">
      <c r="A216" s="5" t="s">
        <v>6163</v>
      </c>
      <c r="B216" s="5" t="s">
        <v>362</v>
      </c>
      <c r="C216" s="5" t="s">
        <v>95</v>
      </c>
      <c r="D216" s="5" t="s">
        <v>16</v>
      </c>
      <c r="E216" s="5" t="n">
        <f aca="false">ROUND(12267*1.05,2)</f>
        <v>12880.35</v>
      </c>
      <c r="F216" s="5" t="s">
        <v>49</v>
      </c>
      <c r="G216" s="5" t="s">
        <v>18</v>
      </c>
      <c r="H216" s="5" t="n">
        <f aca="true">ROUND(RAND()*4+6,1)</f>
        <v>9.1</v>
      </c>
      <c r="I216" s="5" t="s">
        <v>19</v>
      </c>
      <c r="J216" s="5" t="str">
        <f aca="false">ROUND(85*1,0)&amp;"%"</f>
        <v>85%</v>
      </c>
    </row>
    <row r="217" customFormat="false" ht="15" hidden="false" customHeight="false" outlineLevel="0" collapsed="false">
      <c r="A217" s="6" t="s">
        <v>6164</v>
      </c>
      <c r="B217" s="6" t="s">
        <v>364</v>
      </c>
      <c r="C217" s="6" t="s">
        <v>95</v>
      </c>
      <c r="D217" s="6" t="s">
        <v>22</v>
      </c>
      <c r="E217" s="6" t="n">
        <f aca="false">ROUND(5862*1.05,2)</f>
        <v>6155.1</v>
      </c>
      <c r="F217" s="6" t="s">
        <v>52</v>
      </c>
      <c r="G217" s="6" t="s">
        <v>24</v>
      </c>
      <c r="H217" s="6" t="n">
        <f aca="true">ROUND(RAND()*4+6,1)</f>
        <v>9.4</v>
      </c>
      <c r="I217" s="6" t="s">
        <v>25</v>
      </c>
      <c r="J217" s="6" t="str">
        <f aca="false">ROUND(96*1,0)&amp;"%"</f>
        <v>96%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6165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6166</v>
      </c>
      <c r="B222" s="5" t="s">
        <v>368</v>
      </c>
      <c r="C222" s="5" t="s">
        <v>114</v>
      </c>
      <c r="D222" s="5" t="s">
        <v>16</v>
      </c>
      <c r="E222" s="5" t="n">
        <f aca="false">ROUND(13856*1.05,2)</f>
        <v>14548.8</v>
      </c>
      <c r="F222" s="5" t="s">
        <v>17</v>
      </c>
      <c r="G222" s="5" t="s">
        <v>18</v>
      </c>
      <c r="H222" s="5" t="n">
        <f aca="true">ROUND(RAND()*4+6,1)</f>
        <v>9.5</v>
      </c>
      <c r="I222" s="5" t="s">
        <v>19</v>
      </c>
      <c r="J222" s="5" t="str">
        <f aca="false">ROUND(68*1,0)&amp;"%"</f>
        <v>68%</v>
      </c>
    </row>
    <row r="223" customFormat="false" ht="15" hidden="false" customHeight="false" outlineLevel="0" collapsed="false">
      <c r="A223" s="6" t="s">
        <v>6167</v>
      </c>
      <c r="B223" s="6" t="s">
        <v>370</v>
      </c>
      <c r="C223" s="6" t="s">
        <v>114</v>
      </c>
      <c r="D223" s="6" t="s">
        <v>22</v>
      </c>
      <c r="E223" s="6" t="n">
        <f aca="false">ROUND(8755*1.05,2)</f>
        <v>9192.75</v>
      </c>
      <c r="F223" s="6" t="s">
        <v>23</v>
      </c>
      <c r="G223" s="6" t="s">
        <v>24</v>
      </c>
      <c r="H223" s="6" t="n">
        <f aca="true">ROUND(RAND()*4+6,1)</f>
        <v>9.6</v>
      </c>
      <c r="I223" s="6" t="s">
        <v>25</v>
      </c>
      <c r="J223" s="6" t="str">
        <f aca="false">ROUND(97*1,0)&amp;"%"</f>
        <v>97%</v>
      </c>
    </row>
    <row r="224" customFormat="false" ht="15" hidden="false" customHeight="false" outlineLevel="0" collapsed="false">
      <c r="A224" s="5" t="s">
        <v>6168</v>
      </c>
      <c r="B224" s="5" t="s">
        <v>372</v>
      </c>
      <c r="C224" s="5" t="s">
        <v>114</v>
      </c>
      <c r="D224" s="5" t="s">
        <v>28</v>
      </c>
      <c r="E224" s="5" t="n">
        <f aca="false">ROUND(10132*1.05,2)</f>
        <v>10638.6</v>
      </c>
      <c r="F224" s="5" t="s">
        <v>29</v>
      </c>
      <c r="G224" s="5" t="s">
        <v>30</v>
      </c>
      <c r="H224" s="5" t="n">
        <f aca="true">ROUND(RAND()*4+6,1)</f>
        <v>8.7</v>
      </c>
      <c r="I224" s="5" t="s">
        <v>31</v>
      </c>
      <c r="J224" s="5" t="str">
        <f aca="false">ROUND(82*1,0)&amp;"%"</f>
        <v>82%</v>
      </c>
    </row>
    <row r="225" customFormat="false" ht="15" hidden="false" customHeight="false" outlineLevel="0" collapsed="false">
      <c r="A225" s="6" t="s">
        <v>6169</v>
      </c>
      <c r="B225" s="6" t="s">
        <v>374</v>
      </c>
      <c r="C225" s="6" t="s">
        <v>114</v>
      </c>
      <c r="D225" s="6" t="s">
        <v>34</v>
      </c>
      <c r="E225" s="6" t="n">
        <f aca="false">ROUND(12763*1.05,2)</f>
        <v>13401.15</v>
      </c>
      <c r="F225" s="6" t="s">
        <v>35</v>
      </c>
      <c r="G225" s="6" t="s">
        <v>18</v>
      </c>
      <c r="H225" s="6" t="n">
        <f aca="true">ROUND(RAND()*4+6,1)</f>
        <v>7.8</v>
      </c>
      <c r="I225" s="6" t="s">
        <v>36</v>
      </c>
      <c r="J225" s="6" t="str">
        <f aca="false">ROUND(98*1,0)&amp;"%"</f>
        <v>98%</v>
      </c>
    </row>
    <row r="226" customFormat="false" ht="15" hidden="false" customHeight="false" outlineLevel="0" collapsed="false">
      <c r="A226" s="5" t="s">
        <v>6170</v>
      </c>
      <c r="B226" s="5" t="s">
        <v>376</v>
      </c>
      <c r="C226" s="5" t="s">
        <v>114</v>
      </c>
      <c r="D226" s="5" t="s">
        <v>39</v>
      </c>
      <c r="E226" s="5" t="n">
        <f aca="false">ROUND(15644*1.05,2)</f>
        <v>16426.2</v>
      </c>
      <c r="F226" s="5" t="s">
        <v>40</v>
      </c>
      <c r="G226" s="5" t="s">
        <v>24</v>
      </c>
      <c r="H226" s="5" t="n">
        <f aca="true">ROUND(RAND()*4+6,1)</f>
        <v>6.8</v>
      </c>
      <c r="I226" s="5" t="s">
        <v>41</v>
      </c>
      <c r="J226" s="5" t="str">
        <f aca="false">ROUND(98*1,0)&amp;"%"</f>
        <v>98%</v>
      </c>
    </row>
    <row r="227" customFormat="false" ht="15" hidden="false" customHeight="false" outlineLevel="0" collapsed="false">
      <c r="A227" s="6" t="s">
        <v>6171</v>
      </c>
      <c r="B227" s="6" t="s">
        <v>378</v>
      </c>
      <c r="C227" s="6" t="s">
        <v>114</v>
      </c>
      <c r="D227" s="6" t="s">
        <v>44</v>
      </c>
      <c r="E227" s="6" t="n">
        <f aca="false">ROUND(14896*1.05,2)</f>
        <v>15640.8</v>
      </c>
      <c r="F227" s="6" t="s">
        <v>45</v>
      </c>
      <c r="G227" s="6" t="s">
        <v>30</v>
      </c>
      <c r="H227" s="6" t="n">
        <f aca="true">ROUND(RAND()*4+6,1)</f>
        <v>7.3</v>
      </c>
      <c r="I227" s="6" t="s">
        <v>46</v>
      </c>
      <c r="J227" s="6" t="str">
        <f aca="false">ROUND(75*1,0)&amp;"%"</f>
        <v>75%</v>
      </c>
    </row>
    <row r="228" customFormat="false" ht="15" hidden="false" customHeight="false" outlineLevel="0" collapsed="false">
      <c r="A228" s="5" t="s">
        <v>6172</v>
      </c>
      <c r="B228" s="5" t="s">
        <v>380</v>
      </c>
      <c r="C228" s="5" t="s">
        <v>114</v>
      </c>
      <c r="D228" s="5" t="s">
        <v>16</v>
      </c>
      <c r="E228" s="5" t="n">
        <f aca="false">ROUND(14204*1.05,2)</f>
        <v>14914.2</v>
      </c>
      <c r="F228" s="5" t="s">
        <v>49</v>
      </c>
      <c r="G228" s="5" t="s">
        <v>18</v>
      </c>
      <c r="H228" s="5" t="n">
        <f aca="true">ROUND(RAND()*4+6,1)</f>
        <v>6.3</v>
      </c>
      <c r="I228" s="5" t="s">
        <v>19</v>
      </c>
      <c r="J228" s="5" t="str">
        <f aca="false">ROUND(81*1,0)&amp;"%"</f>
        <v>81%</v>
      </c>
    </row>
    <row r="229" customFormat="false" ht="15" hidden="false" customHeight="false" outlineLevel="0" collapsed="false">
      <c r="A229" s="6" t="s">
        <v>6173</v>
      </c>
      <c r="B229" s="6" t="s">
        <v>382</v>
      </c>
      <c r="C229" s="6" t="s">
        <v>114</v>
      </c>
      <c r="D229" s="6" t="s">
        <v>22</v>
      </c>
      <c r="E229" s="6" t="n">
        <f aca="false">ROUND(8892*1.05,2)</f>
        <v>9336.6</v>
      </c>
      <c r="F229" s="6" t="s">
        <v>52</v>
      </c>
      <c r="G229" s="6" t="s">
        <v>24</v>
      </c>
      <c r="H229" s="6" t="n">
        <f aca="true">ROUND(RAND()*4+6,1)</f>
        <v>8.4</v>
      </c>
      <c r="I229" s="6" t="s">
        <v>25</v>
      </c>
      <c r="J229" s="6" t="str">
        <f aca="false">ROUND(93*1,0)&amp;"%"</f>
        <v>93%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6174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6175</v>
      </c>
      <c r="B234" s="5" t="s">
        <v>386</v>
      </c>
      <c r="C234" s="5" t="s">
        <v>133</v>
      </c>
      <c r="D234" s="5" t="s">
        <v>16</v>
      </c>
      <c r="E234" s="5" t="n">
        <f aca="false">ROUND(9922*1.05,2)</f>
        <v>10418.1</v>
      </c>
      <c r="F234" s="5" t="s">
        <v>17</v>
      </c>
      <c r="G234" s="5" t="s">
        <v>18</v>
      </c>
      <c r="H234" s="5" t="n">
        <f aca="true">ROUND(RAND()*4+6,1)</f>
        <v>7.7</v>
      </c>
      <c r="I234" s="5" t="s">
        <v>19</v>
      </c>
      <c r="J234" s="5" t="str">
        <f aca="false">ROUND(61*1,0)&amp;"%"</f>
        <v>61%</v>
      </c>
    </row>
    <row r="235" customFormat="false" ht="15" hidden="false" customHeight="false" outlineLevel="0" collapsed="false">
      <c r="A235" s="6" t="s">
        <v>6176</v>
      </c>
      <c r="B235" s="6" t="s">
        <v>388</v>
      </c>
      <c r="C235" s="6" t="s">
        <v>133</v>
      </c>
      <c r="D235" s="6" t="s">
        <v>22</v>
      </c>
      <c r="E235" s="6" t="n">
        <f aca="false">ROUND(17604*1.05,2)</f>
        <v>18484.2</v>
      </c>
      <c r="F235" s="6" t="s">
        <v>23</v>
      </c>
      <c r="G235" s="6" t="s">
        <v>24</v>
      </c>
      <c r="H235" s="6" t="n">
        <f aca="true">ROUND(RAND()*4+6,1)</f>
        <v>7.6</v>
      </c>
      <c r="I235" s="6" t="s">
        <v>25</v>
      </c>
      <c r="J235" s="6" t="str">
        <f aca="false">ROUND(67*1,0)&amp;"%"</f>
        <v>67%</v>
      </c>
    </row>
    <row r="236" customFormat="false" ht="15" hidden="false" customHeight="false" outlineLevel="0" collapsed="false">
      <c r="A236" s="5" t="s">
        <v>6177</v>
      </c>
      <c r="B236" s="5" t="s">
        <v>390</v>
      </c>
      <c r="C236" s="5" t="s">
        <v>133</v>
      </c>
      <c r="D236" s="5" t="s">
        <v>28</v>
      </c>
      <c r="E236" s="5" t="n">
        <f aca="false">ROUND(14896*1.05,2)</f>
        <v>15640.8</v>
      </c>
      <c r="F236" s="5" t="s">
        <v>29</v>
      </c>
      <c r="G236" s="5" t="s">
        <v>30</v>
      </c>
      <c r="H236" s="5" t="n">
        <f aca="true">ROUND(RAND()*4+6,1)</f>
        <v>8.8</v>
      </c>
      <c r="I236" s="5" t="s">
        <v>31</v>
      </c>
      <c r="J236" s="5" t="str">
        <f aca="false">ROUND(79*1,0)&amp;"%"</f>
        <v>79%</v>
      </c>
    </row>
    <row r="237" customFormat="false" ht="15" hidden="false" customHeight="false" outlineLevel="0" collapsed="false">
      <c r="A237" s="6" t="s">
        <v>6178</v>
      </c>
      <c r="B237" s="6" t="s">
        <v>392</v>
      </c>
      <c r="C237" s="6" t="s">
        <v>133</v>
      </c>
      <c r="D237" s="6" t="s">
        <v>34</v>
      </c>
      <c r="E237" s="6" t="n">
        <f aca="false">ROUND(10817*1.05,2)</f>
        <v>11357.85</v>
      </c>
      <c r="F237" s="6" t="s">
        <v>35</v>
      </c>
      <c r="G237" s="6" t="s">
        <v>18</v>
      </c>
      <c r="H237" s="6" t="n">
        <f aca="true">ROUND(RAND()*4+6,1)</f>
        <v>9</v>
      </c>
      <c r="I237" s="6" t="s">
        <v>36</v>
      </c>
      <c r="J237" s="6" t="str">
        <f aca="false">ROUND(61*1,0)&amp;"%"</f>
        <v>61%</v>
      </c>
    </row>
    <row r="238" customFormat="false" ht="15" hidden="false" customHeight="false" outlineLevel="0" collapsed="false">
      <c r="A238" s="5" t="s">
        <v>6179</v>
      </c>
      <c r="B238" s="5" t="s">
        <v>394</v>
      </c>
      <c r="C238" s="5" t="s">
        <v>133</v>
      </c>
      <c r="D238" s="5" t="s">
        <v>39</v>
      </c>
      <c r="E238" s="5" t="n">
        <f aca="false">ROUND(7258*1.05,2)</f>
        <v>7620.9</v>
      </c>
      <c r="F238" s="5" t="s">
        <v>40</v>
      </c>
      <c r="G238" s="5" t="s">
        <v>24</v>
      </c>
      <c r="H238" s="5" t="n">
        <f aca="true">ROUND(RAND()*4+6,1)</f>
        <v>6.1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6180</v>
      </c>
      <c r="B239" s="6" t="s">
        <v>396</v>
      </c>
      <c r="C239" s="6" t="s">
        <v>133</v>
      </c>
      <c r="D239" s="6" t="s">
        <v>44</v>
      </c>
      <c r="E239" s="6" t="n">
        <f aca="false">ROUND(10106*1.05,2)</f>
        <v>10611.3</v>
      </c>
      <c r="F239" s="6" t="s">
        <v>45</v>
      </c>
      <c r="G239" s="6" t="s">
        <v>30</v>
      </c>
      <c r="H239" s="6" t="n">
        <f aca="true">ROUND(RAND()*4+6,1)</f>
        <v>9.4</v>
      </c>
      <c r="I239" s="6" t="s">
        <v>46</v>
      </c>
      <c r="J239" s="6" t="str">
        <f aca="false">ROUND(92*1,0)&amp;"%"</f>
        <v>92%</v>
      </c>
    </row>
    <row r="240" customFormat="false" ht="15" hidden="false" customHeight="false" outlineLevel="0" collapsed="false">
      <c r="A240" s="5" t="s">
        <v>6181</v>
      </c>
      <c r="B240" s="5" t="s">
        <v>398</v>
      </c>
      <c r="C240" s="5" t="s">
        <v>133</v>
      </c>
      <c r="D240" s="5" t="s">
        <v>16</v>
      </c>
      <c r="E240" s="5" t="n">
        <f aca="false">ROUND(7064*1.05,2)</f>
        <v>7417.2</v>
      </c>
      <c r="F240" s="5" t="s">
        <v>49</v>
      </c>
      <c r="G240" s="5" t="s">
        <v>18</v>
      </c>
      <c r="H240" s="5" t="n">
        <f aca="true">ROUND(RAND()*4+6,1)</f>
        <v>6.3</v>
      </c>
      <c r="I240" s="5" t="s">
        <v>19</v>
      </c>
      <c r="J240" s="5" t="str">
        <f aca="false">ROUND(66*1,0)&amp;"%"</f>
        <v>66%</v>
      </c>
    </row>
    <row r="241" customFormat="false" ht="15" hidden="false" customHeight="false" outlineLevel="0" collapsed="false">
      <c r="A241" s="6" t="s">
        <v>6182</v>
      </c>
      <c r="B241" s="6" t="s">
        <v>400</v>
      </c>
      <c r="C241" s="6" t="s">
        <v>133</v>
      </c>
      <c r="D241" s="6" t="s">
        <v>22</v>
      </c>
      <c r="E241" s="6" t="n">
        <f aca="false">ROUND(15121*1.05,2)</f>
        <v>15877.05</v>
      </c>
      <c r="F241" s="6" t="s">
        <v>52</v>
      </c>
      <c r="G241" s="6" t="s">
        <v>24</v>
      </c>
      <c r="H241" s="6" t="n">
        <f aca="true">ROUND(RAND()*4+6,1)</f>
        <v>6.1</v>
      </c>
      <c r="I241" s="6" t="s">
        <v>25</v>
      </c>
      <c r="J241" s="6" t="str">
        <f aca="false">ROUND(72*1,0)&amp;"%"</f>
        <v>72%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6183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6184</v>
      </c>
      <c r="B246" s="5" t="s">
        <v>404</v>
      </c>
      <c r="C246" s="5" t="s">
        <v>152</v>
      </c>
      <c r="D246" s="5" t="s">
        <v>16</v>
      </c>
      <c r="E246" s="5" t="n">
        <f aca="false">ROUND(13350*1.05,2)</f>
        <v>14017.5</v>
      </c>
      <c r="F246" s="5" t="s">
        <v>17</v>
      </c>
      <c r="G246" s="5" t="s">
        <v>18</v>
      </c>
      <c r="H246" s="5" t="n">
        <f aca="true">ROUND(RAND()*4+6,1)</f>
        <v>6.9</v>
      </c>
      <c r="I246" s="5" t="s">
        <v>19</v>
      </c>
      <c r="J246" s="5" t="str">
        <f aca="false">ROUND(97*1,0)&amp;"%"</f>
        <v>97%</v>
      </c>
    </row>
    <row r="247" customFormat="false" ht="15" hidden="false" customHeight="false" outlineLevel="0" collapsed="false">
      <c r="A247" s="6" t="s">
        <v>6185</v>
      </c>
      <c r="B247" s="6" t="s">
        <v>406</v>
      </c>
      <c r="C247" s="6" t="s">
        <v>152</v>
      </c>
      <c r="D247" s="6" t="s">
        <v>22</v>
      </c>
      <c r="E247" s="6" t="n">
        <f aca="false">ROUND(4799*1.05,2)</f>
        <v>5038.95</v>
      </c>
      <c r="F247" s="6" t="s">
        <v>23</v>
      </c>
      <c r="G247" s="6" t="s">
        <v>24</v>
      </c>
      <c r="H247" s="6" t="n">
        <f aca="true">ROUND(RAND()*4+6,1)</f>
        <v>9.2</v>
      </c>
      <c r="I247" s="6" t="s">
        <v>25</v>
      </c>
      <c r="J247" s="6" t="str">
        <f aca="false">ROUND(96*1,0)&amp;"%"</f>
        <v>96%</v>
      </c>
    </row>
    <row r="248" customFormat="false" ht="15" hidden="false" customHeight="false" outlineLevel="0" collapsed="false">
      <c r="A248" s="5" t="s">
        <v>6186</v>
      </c>
      <c r="B248" s="5" t="s">
        <v>408</v>
      </c>
      <c r="C248" s="5" t="s">
        <v>152</v>
      </c>
      <c r="D248" s="5" t="s">
        <v>28</v>
      </c>
      <c r="E248" s="5" t="n">
        <f aca="false">ROUND(15609*1.05,2)</f>
        <v>16389.45</v>
      </c>
      <c r="F248" s="5" t="s">
        <v>29</v>
      </c>
      <c r="G248" s="5" t="s">
        <v>30</v>
      </c>
      <c r="H248" s="5" t="n">
        <f aca="true">ROUND(RAND()*4+6,1)</f>
        <v>6.6</v>
      </c>
      <c r="I248" s="5" t="s">
        <v>31</v>
      </c>
      <c r="J248" s="5" t="str">
        <f aca="false">ROUND(72*1,0)&amp;"%"</f>
        <v>72%</v>
      </c>
    </row>
    <row r="249" customFormat="false" ht="15" hidden="false" customHeight="false" outlineLevel="0" collapsed="false">
      <c r="A249" s="6" t="s">
        <v>6187</v>
      </c>
      <c r="B249" s="6" t="s">
        <v>410</v>
      </c>
      <c r="C249" s="6" t="s">
        <v>152</v>
      </c>
      <c r="D249" s="6" t="s">
        <v>34</v>
      </c>
      <c r="E249" s="6" t="n">
        <f aca="false">ROUND(7504*1.05,2)</f>
        <v>7879.2</v>
      </c>
      <c r="F249" s="6" t="s">
        <v>35</v>
      </c>
      <c r="G249" s="6" t="s">
        <v>18</v>
      </c>
      <c r="H249" s="6" t="n">
        <f aca="true">ROUND(RAND()*4+6,1)</f>
        <v>7.5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6188</v>
      </c>
      <c r="B250" s="5" t="s">
        <v>412</v>
      </c>
      <c r="C250" s="5" t="s">
        <v>152</v>
      </c>
      <c r="D250" s="5" t="s">
        <v>39</v>
      </c>
      <c r="E250" s="5" t="n">
        <f aca="false">ROUND(8650*1.05,2)</f>
        <v>9082.5</v>
      </c>
      <c r="F250" s="5" t="s">
        <v>40</v>
      </c>
      <c r="G250" s="5" t="s">
        <v>24</v>
      </c>
      <c r="H250" s="5" t="n">
        <f aca="true">ROUND(RAND()*4+6,1)</f>
        <v>9.6</v>
      </c>
      <c r="I250" s="5" t="s">
        <v>41</v>
      </c>
      <c r="J250" s="5" t="str">
        <f aca="false">ROUND(76*1,0)&amp;"%"</f>
        <v>76%</v>
      </c>
    </row>
    <row r="251" customFormat="false" ht="15" hidden="false" customHeight="false" outlineLevel="0" collapsed="false">
      <c r="A251" s="6" t="s">
        <v>6189</v>
      </c>
      <c r="B251" s="6" t="s">
        <v>414</v>
      </c>
      <c r="C251" s="6" t="s">
        <v>152</v>
      </c>
      <c r="D251" s="6" t="s">
        <v>44</v>
      </c>
      <c r="E251" s="6" t="n">
        <f aca="false">ROUND(16384*1.05,2)</f>
        <v>17203.2</v>
      </c>
      <c r="F251" s="6" t="s">
        <v>45</v>
      </c>
      <c r="G251" s="6" t="s">
        <v>30</v>
      </c>
      <c r="H251" s="6" t="n">
        <f aca="true">ROUND(RAND()*4+6,1)</f>
        <v>8.6</v>
      </c>
      <c r="I251" s="6" t="s">
        <v>46</v>
      </c>
      <c r="J251" s="6" t="str">
        <f aca="false">ROUND(65*1,0)&amp;"%"</f>
        <v>65%</v>
      </c>
    </row>
    <row r="252" customFormat="false" ht="15" hidden="false" customHeight="false" outlineLevel="0" collapsed="false">
      <c r="A252" s="5" t="s">
        <v>6190</v>
      </c>
      <c r="B252" s="5" t="s">
        <v>416</v>
      </c>
      <c r="C252" s="5" t="s">
        <v>152</v>
      </c>
      <c r="D252" s="5" t="s">
        <v>16</v>
      </c>
      <c r="E252" s="5" t="n">
        <f aca="false">ROUND(11706*1.05,2)</f>
        <v>12291.3</v>
      </c>
      <c r="F252" s="5" t="s">
        <v>49</v>
      </c>
      <c r="G252" s="5" t="s">
        <v>18</v>
      </c>
      <c r="H252" s="5" t="n">
        <f aca="true">ROUND(RAND()*4+6,1)</f>
        <v>8.5</v>
      </c>
      <c r="I252" s="5" t="s">
        <v>19</v>
      </c>
      <c r="J252" s="5" t="str">
        <f aca="false">ROUND(85*1,0)&amp;"%"</f>
        <v>85%</v>
      </c>
    </row>
    <row r="253" customFormat="false" ht="15" hidden="false" customHeight="false" outlineLevel="0" collapsed="false">
      <c r="A253" s="6" t="s">
        <v>6191</v>
      </c>
      <c r="B253" s="6" t="s">
        <v>418</v>
      </c>
      <c r="C253" s="6" t="s">
        <v>152</v>
      </c>
      <c r="D253" s="6" t="s">
        <v>22</v>
      </c>
      <c r="E253" s="6" t="n">
        <f aca="false">ROUND(11414*1.05,2)</f>
        <v>11984.7</v>
      </c>
      <c r="F253" s="6" t="s">
        <v>52</v>
      </c>
      <c r="G253" s="6" t="s">
        <v>24</v>
      </c>
      <c r="H253" s="6" t="n">
        <f aca="true">ROUND(RAND()*4+6,1)</f>
        <v>6.8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6192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6193</v>
      </c>
      <c r="B258" s="5" t="s">
        <v>422</v>
      </c>
      <c r="C258" s="5" t="s">
        <v>15</v>
      </c>
      <c r="D258" s="5" t="s">
        <v>16</v>
      </c>
      <c r="E258" s="5" t="n">
        <f aca="false">ROUND(9501*1.05,2)</f>
        <v>9976.05</v>
      </c>
      <c r="F258" s="5" t="s">
        <v>17</v>
      </c>
      <c r="G258" s="5" t="s">
        <v>18</v>
      </c>
      <c r="H258" s="5" t="n">
        <f aca="true">ROUND(RAND()*4+6,1)</f>
        <v>9.4</v>
      </c>
      <c r="I258" s="5" t="s">
        <v>19</v>
      </c>
      <c r="J258" s="5" t="str">
        <f aca="false">ROUND(63*1,0)&amp;"%"</f>
        <v>63%</v>
      </c>
    </row>
    <row r="259" customFormat="false" ht="15" hidden="false" customHeight="false" outlineLevel="0" collapsed="false">
      <c r="A259" s="6" t="s">
        <v>6194</v>
      </c>
      <c r="B259" s="6" t="s">
        <v>424</v>
      </c>
      <c r="C259" s="6" t="s">
        <v>15</v>
      </c>
      <c r="D259" s="6" t="s">
        <v>22</v>
      </c>
      <c r="E259" s="6" t="n">
        <f aca="false">ROUND(11832*1.05,2)</f>
        <v>12423.6</v>
      </c>
      <c r="F259" s="6" t="s">
        <v>23</v>
      </c>
      <c r="G259" s="6" t="s">
        <v>24</v>
      </c>
      <c r="H259" s="6" t="n">
        <f aca="true">ROUND(RAND()*4+6,1)</f>
        <v>8.4</v>
      </c>
      <c r="I259" s="6" t="s">
        <v>25</v>
      </c>
      <c r="J259" s="6" t="str">
        <f aca="false">ROUND(78*1,0)&amp;"%"</f>
        <v>78%</v>
      </c>
    </row>
    <row r="260" customFormat="false" ht="15" hidden="false" customHeight="false" outlineLevel="0" collapsed="false">
      <c r="A260" s="5" t="s">
        <v>6195</v>
      </c>
      <c r="B260" s="5" t="s">
        <v>426</v>
      </c>
      <c r="C260" s="5" t="s">
        <v>15</v>
      </c>
      <c r="D260" s="5" t="s">
        <v>28</v>
      </c>
      <c r="E260" s="5" t="n">
        <f aca="false">ROUND(9249*1.05,2)</f>
        <v>9711.45</v>
      </c>
      <c r="F260" s="5" t="s">
        <v>29</v>
      </c>
      <c r="G260" s="5" t="s">
        <v>30</v>
      </c>
      <c r="H260" s="5" t="n">
        <f aca="true">ROUND(RAND()*4+6,1)</f>
        <v>7.6</v>
      </c>
      <c r="I260" s="5" t="s">
        <v>31</v>
      </c>
      <c r="J260" s="5" t="str">
        <f aca="false">ROUND(81*1,0)&amp;"%"</f>
        <v>81%</v>
      </c>
    </row>
    <row r="261" customFormat="false" ht="15" hidden="false" customHeight="false" outlineLevel="0" collapsed="false">
      <c r="A261" s="6" t="s">
        <v>6196</v>
      </c>
      <c r="B261" s="6" t="s">
        <v>428</v>
      </c>
      <c r="C261" s="6" t="s">
        <v>15</v>
      </c>
      <c r="D261" s="6" t="s">
        <v>34</v>
      </c>
      <c r="E261" s="6" t="n">
        <f aca="false">ROUND(10653*1.05,2)</f>
        <v>11185.65</v>
      </c>
      <c r="F261" s="6" t="s">
        <v>35</v>
      </c>
      <c r="G261" s="6" t="s">
        <v>18</v>
      </c>
      <c r="H261" s="6" t="n">
        <f aca="true">ROUND(RAND()*4+6,1)</f>
        <v>8.6</v>
      </c>
      <c r="I261" s="6" t="s">
        <v>36</v>
      </c>
      <c r="J261" s="6" t="str">
        <f aca="false">ROUND(62*1,0)&amp;"%"</f>
        <v>62%</v>
      </c>
    </row>
    <row r="262" customFormat="false" ht="15" hidden="false" customHeight="false" outlineLevel="0" collapsed="false">
      <c r="A262" s="5" t="s">
        <v>6197</v>
      </c>
      <c r="B262" s="5" t="s">
        <v>430</v>
      </c>
      <c r="C262" s="5" t="s">
        <v>15</v>
      </c>
      <c r="D262" s="5" t="s">
        <v>39</v>
      </c>
      <c r="E262" s="5" t="n">
        <f aca="false">ROUND(16204*1.05,2)</f>
        <v>17014.2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ROUND(73*1,0)&amp;"%"</f>
        <v>73%</v>
      </c>
    </row>
    <row r="263" customFormat="false" ht="15" hidden="false" customHeight="false" outlineLevel="0" collapsed="false">
      <c r="A263" s="6" t="s">
        <v>6198</v>
      </c>
      <c r="B263" s="6" t="s">
        <v>432</v>
      </c>
      <c r="C263" s="6" t="s">
        <v>15</v>
      </c>
      <c r="D263" s="6" t="s">
        <v>44</v>
      </c>
      <c r="E263" s="6" t="n">
        <f aca="false">ROUND(8224*1.05,2)</f>
        <v>8635.2</v>
      </c>
      <c r="F263" s="6" t="s">
        <v>45</v>
      </c>
      <c r="G263" s="6" t="s">
        <v>30</v>
      </c>
      <c r="H263" s="6" t="n">
        <f aca="true">ROUND(RAND()*4+6,1)</f>
        <v>8.1</v>
      </c>
      <c r="I263" s="6" t="s">
        <v>46</v>
      </c>
      <c r="J263" s="6" t="str">
        <f aca="false">ROUND(84*1,0)&amp;"%"</f>
        <v>84%</v>
      </c>
    </row>
    <row r="264" customFormat="false" ht="15" hidden="false" customHeight="false" outlineLevel="0" collapsed="false">
      <c r="A264" s="5" t="s">
        <v>6199</v>
      </c>
      <c r="B264" s="5" t="s">
        <v>434</v>
      </c>
      <c r="C264" s="5" t="s">
        <v>15</v>
      </c>
      <c r="D264" s="5" t="s">
        <v>16</v>
      </c>
      <c r="E264" s="5" t="n">
        <f aca="false">ROUND(14155*1.05,2)</f>
        <v>14862.75</v>
      </c>
      <c r="F264" s="5" t="s">
        <v>49</v>
      </c>
      <c r="G264" s="5" t="s">
        <v>18</v>
      </c>
      <c r="H264" s="5" t="n">
        <f aca="true">ROUND(RAND()*4+6,1)</f>
        <v>9.4</v>
      </c>
      <c r="I264" s="5" t="s">
        <v>19</v>
      </c>
      <c r="J264" s="5" t="str">
        <f aca="false">ROUND(81*1,0)&amp;"%"</f>
        <v>81%</v>
      </c>
    </row>
    <row r="265" customFormat="false" ht="15" hidden="false" customHeight="false" outlineLevel="0" collapsed="false">
      <c r="A265" s="6" t="s">
        <v>6200</v>
      </c>
      <c r="B265" s="6" t="s">
        <v>436</v>
      </c>
      <c r="C265" s="6" t="s">
        <v>15</v>
      </c>
      <c r="D265" s="6" t="s">
        <v>22</v>
      </c>
      <c r="E265" s="6" t="n">
        <f aca="false">ROUND(13395*1.05,2)</f>
        <v>14064.75</v>
      </c>
      <c r="F265" s="6" t="s">
        <v>52</v>
      </c>
      <c r="G265" s="6" t="s">
        <v>24</v>
      </c>
      <c r="H265" s="6" t="n">
        <f aca="true">ROUND(RAND()*4+6,1)</f>
        <v>7.9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6201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6202</v>
      </c>
      <c r="B270" s="5" t="s">
        <v>440</v>
      </c>
      <c r="C270" s="5" t="s">
        <v>57</v>
      </c>
      <c r="D270" s="5" t="s">
        <v>16</v>
      </c>
      <c r="E270" s="5" t="n">
        <f aca="false">ROUND(7112*1.05,2)</f>
        <v>7467.6</v>
      </c>
      <c r="F270" s="5" t="s">
        <v>17</v>
      </c>
      <c r="G270" s="5" t="s">
        <v>18</v>
      </c>
      <c r="H270" s="5" t="n">
        <f aca="true">ROUND(RAND()*4+6,1)</f>
        <v>7.5</v>
      </c>
      <c r="I270" s="5" t="s">
        <v>19</v>
      </c>
      <c r="J270" s="5" t="str">
        <f aca="false">ROUND(78*1,0)&amp;"%"</f>
        <v>78%</v>
      </c>
    </row>
    <row r="271" customFormat="false" ht="15" hidden="false" customHeight="false" outlineLevel="0" collapsed="false">
      <c r="A271" s="6" t="s">
        <v>6203</v>
      </c>
      <c r="B271" s="6" t="s">
        <v>442</v>
      </c>
      <c r="C271" s="6" t="s">
        <v>57</v>
      </c>
      <c r="D271" s="6" t="s">
        <v>22</v>
      </c>
      <c r="E271" s="6" t="n">
        <f aca="false">ROUND(4638*1.05,2)</f>
        <v>4869.9</v>
      </c>
      <c r="F271" s="6" t="s">
        <v>23</v>
      </c>
      <c r="G271" s="6" t="s">
        <v>24</v>
      </c>
      <c r="H271" s="6" t="n">
        <f aca="true">ROUND(RAND()*4+6,1)</f>
        <v>6.4</v>
      </c>
      <c r="I271" s="6" t="s">
        <v>25</v>
      </c>
      <c r="J271" s="6" t="str">
        <f aca="false">ROUND(76*1,0)&amp;"%"</f>
        <v>76%</v>
      </c>
    </row>
    <row r="272" customFormat="false" ht="15" hidden="false" customHeight="false" outlineLevel="0" collapsed="false">
      <c r="A272" s="5" t="s">
        <v>6204</v>
      </c>
      <c r="B272" s="5" t="s">
        <v>444</v>
      </c>
      <c r="C272" s="5" t="s">
        <v>57</v>
      </c>
      <c r="D272" s="5" t="s">
        <v>28</v>
      </c>
      <c r="E272" s="5" t="n">
        <f aca="false">ROUND(12579*1.05,2)</f>
        <v>13207.95</v>
      </c>
      <c r="F272" s="5" t="s">
        <v>29</v>
      </c>
      <c r="G272" s="5" t="s">
        <v>30</v>
      </c>
      <c r="H272" s="5" t="n">
        <f aca="true">ROUND(RAND()*4+6,1)</f>
        <v>9.9</v>
      </c>
      <c r="I272" s="5" t="s">
        <v>31</v>
      </c>
      <c r="J272" s="5" t="str">
        <f aca="false">ROUND(86*1,0)&amp;"%"</f>
        <v>86%</v>
      </c>
    </row>
    <row r="273" customFormat="false" ht="15" hidden="false" customHeight="false" outlineLevel="0" collapsed="false">
      <c r="A273" s="6" t="s">
        <v>6205</v>
      </c>
      <c r="B273" s="6" t="s">
        <v>446</v>
      </c>
      <c r="C273" s="6" t="s">
        <v>57</v>
      </c>
      <c r="D273" s="6" t="s">
        <v>34</v>
      </c>
      <c r="E273" s="6" t="n">
        <f aca="false">ROUND(9605*1.05,2)</f>
        <v>10085.25</v>
      </c>
      <c r="F273" s="6" t="s">
        <v>35</v>
      </c>
      <c r="G273" s="6" t="s">
        <v>18</v>
      </c>
      <c r="H273" s="6" t="n">
        <f aca="true">ROUND(RAND()*4+6,1)</f>
        <v>8.6</v>
      </c>
      <c r="I273" s="6" t="s">
        <v>36</v>
      </c>
      <c r="J273" s="6" t="str">
        <f aca="false">ROUND(80*1,0)&amp;"%"</f>
        <v>80%</v>
      </c>
    </row>
    <row r="274" customFormat="false" ht="15" hidden="false" customHeight="false" outlineLevel="0" collapsed="false">
      <c r="A274" s="5" t="s">
        <v>6206</v>
      </c>
      <c r="B274" s="5" t="s">
        <v>448</v>
      </c>
      <c r="C274" s="5" t="s">
        <v>57</v>
      </c>
      <c r="D274" s="5" t="s">
        <v>39</v>
      </c>
      <c r="E274" s="5" t="n">
        <f aca="false">ROUND(5887*1.05,2)</f>
        <v>6181.35</v>
      </c>
      <c r="F274" s="5" t="s">
        <v>40</v>
      </c>
      <c r="G274" s="5" t="s">
        <v>24</v>
      </c>
      <c r="H274" s="5" t="n">
        <f aca="true">ROUND(RAND()*4+6,1)</f>
        <v>7.2</v>
      </c>
      <c r="I274" s="5" t="s">
        <v>41</v>
      </c>
      <c r="J274" s="5" t="str">
        <f aca="false">ROUND(92*1,0)&amp;"%"</f>
        <v>92%</v>
      </c>
    </row>
    <row r="275" customFormat="false" ht="15" hidden="false" customHeight="false" outlineLevel="0" collapsed="false">
      <c r="A275" s="6" t="s">
        <v>6207</v>
      </c>
      <c r="B275" s="6" t="s">
        <v>450</v>
      </c>
      <c r="C275" s="6" t="s">
        <v>57</v>
      </c>
      <c r="D275" s="6" t="s">
        <v>44</v>
      </c>
      <c r="E275" s="6" t="n">
        <f aca="false">ROUND(10062*1.05,2)</f>
        <v>10565.1</v>
      </c>
      <c r="F275" s="6" t="s">
        <v>45</v>
      </c>
      <c r="G275" s="6" t="s">
        <v>30</v>
      </c>
      <c r="H275" s="6" t="n">
        <f aca="true">ROUND(RAND()*4+6,1)</f>
        <v>7.5</v>
      </c>
      <c r="I275" s="6" t="s">
        <v>46</v>
      </c>
      <c r="J275" s="6" t="str">
        <f aca="false">ROUND(67*1,0)&amp;"%"</f>
        <v>67%</v>
      </c>
    </row>
    <row r="276" customFormat="false" ht="15" hidden="false" customHeight="false" outlineLevel="0" collapsed="false">
      <c r="A276" s="5" t="s">
        <v>6208</v>
      </c>
      <c r="B276" s="5" t="s">
        <v>452</v>
      </c>
      <c r="C276" s="5" t="s">
        <v>57</v>
      </c>
      <c r="D276" s="5" t="s">
        <v>16</v>
      </c>
      <c r="E276" s="5" t="n">
        <f aca="false">ROUND(10830*1.05,2)</f>
        <v>11371.5</v>
      </c>
      <c r="F276" s="5" t="s">
        <v>49</v>
      </c>
      <c r="G276" s="5" t="s">
        <v>18</v>
      </c>
      <c r="H276" s="5" t="n">
        <f aca="true">ROUND(RAND()*4+6,1)</f>
        <v>9.7</v>
      </c>
      <c r="I276" s="5" t="s">
        <v>19</v>
      </c>
      <c r="J276" s="5" t="str">
        <f aca="false">ROUND(71*1,0)&amp;"%"</f>
        <v>71%</v>
      </c>
    </row>
    <row r="277" customFormat="false" ht="15" hidden="false" customHeight="false" outlineLevel="0" collapsed="false">
      <c r="A277" s="6" t="s">
        <v>6209</v>
      </c>
      <c r="B277" s="6" t="s">
        <v>454</v>
      </c>
      <c r="C277" s="6" t="s">
        <v>57</v>
      </c>
      <c r="D277" s="6" t="s">
        <v>22</v>
      </c>
      <c r="E277" s="6" t="n">
        <f aca="false">ROUND(9007*1.05,2)</f>
        <v>9457.35</v>
      </c>
      <c r="F277" s="6" t="s">
        <v>52</v>
      </c>
      <c r="G277" s="6" t="s">
        <v>24</v>
      </c>
      <c r="H277" s="6" t="n">
        <f aca="true">ROUND(RAND()*4+6,1)</f>
        <v>9.1</v>
      </c>
      <c r="I277" s="6" t="s">
        <v>25</v>
      </c>
      <c r="J277" s="6" t="str">
        <f aca="false">ROUND(62*1,0)&amp;"%"</f>
        <v>62%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6210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6211</v>
      </c>
      <c r="B282" s="5" t="s">
        <v>458</v>
      </c>
      <c r="C282" s="5" t="s">
        <v>76</v>
      </c>
      <c r="D282" s="5" t="s">
        <v>16</v>
      </c>
      <c r="E282" s="5" t="n">
        <f aca="false">ROUND(5525*1.05,2)</f>
        <v>5801.25</v>
      </c>
      <c r="F282" s="5" t="s">
        <v>17</v>
      </c>
      <c r="G282" s="5" t="s">
        <v>18</v>
      </c>
      <c r="H282" s="5" t="n">
        <f aca="true">ROUND(RAND()*4+6,1)</f>
        <v>6.7</v>
      </c>
      <c r="I282" s="5" t="s">
        <v>19</v>
      </c>
      <c r="J282" s="5" t="str">
        <f aca="false">ROUND(69*1,0)&amp;"%"</f>
        <v>69%</v>
      </c>
    </row>
    <row r="283" customFormat="false" ht="15" hidden="false" customHeight="false" outlineLevel="0" collapsed="false">
      <c r="A283" s="6" t="s">
        <v>6212</v>
      </c>
      <c r="B283" s="6" t="s">
        <v>460</v>
      </c>
      <c r="C283" s="6" t="s">
        <v>76</v>
      </c>
      <c r="D283" s="6" t="s">
        <v>22</v>
      </c>
      <c r="E283" s="6" t="n">
        <f aca="false">ROUND(17129*1.05,2)</f>
        <v>17985.45</v>
      </c>
      <c r="F283" s="6" t="s">
        <v>23</v>
      </c>
      <c r="G283" s="6" t="s">
        <v>24</v>
      </c>
      <c r="H283" s="6" t="n">
        <f aca="true">ROUND(RAND()*4+6,1)</f>
        <v>8.4</v>
      </c>
      <c r="I283" s="6" t="s">
        <v>25</v>
      </c>
      <c r="J283" s="6" t="str">
        <f aca="false">ROUND(68*1,0)&amp;"%"</f>
        <v>68%</v>
      </c>
    </row>
    <row r="284" customFormat="false" ht="15" hidden="false" customHeight="false" outlineLevel="0" collapsed="false">
      <c r="A284" s="5" t="s">
        <v>6213</v>
      </c>
      <c r="B284" s="5" t="s">
        <v>462</v>
      </c>
      <c r="C284" s="5" t="s">
        <v>76</v>
      </c>
      <c r="D284" s="5" t="s">
        <v>28</v>
      </c>
      <c r="E284" s="5" t="n">
        <f aca="false">ROUND(17764*1.05,2)</f>
        <v>18652.2</v>
      </c>
      <c r="F284" s="5" t="s">
        <v>29</v>
      </c>
      <c r="G284" s="5" t="s">
        <v>30</v>
      </c>
      <c r="H284" s="5" t="n">
        <f aca="true">ROUND(RAND()*4+6,1)</f>
        <v>6.1</v>
      </c>
      <c r="I284" s="5" t="s">
        <v>31</v>
      </c>
      <c r="J284" s="5" t="str">
        <f aca="false">ROUND(78*1,0)&amp;"%"</f>
        <v>78%</v>
      </c>
    </row>
    <row r="285" customFormat="false" ht="15" hidden="false" customHeight="false" outlineLevel="0" collapsed="false">
      <c r="A285" s="6" t="s">
        <v>6214</v>
      </c>
      <c r="B285" s="6" t="s">
        <v>464</v>
      </c>
      <c r="C285" s="6" t="s">
        <v>76</v>
      </c>
      <c r="D285" s="6" t="s">
        <v>34</v>
      </c>
      <c r="E285" s="6" t="n">
        <f aca="false">ROUND(7556*1.05,2)</f>
        <v>7933.8</v>
      </c>
      <c r="F285" s="6" t="s">
        <v>35</v>
      </c>
      <c r="G285" s="6" t="s">
        <v>18</v>
      </c>
      <c r="H285" s="6" t="n">
        <f aca="true">ROUND(RAND()*4+6,1)</f>
        <v>7.7</v>
      </c>
      <c r="I285" s="6" t="s">
        <v>36</v>
      </c>
      <c r="J285" s="6" t="str">
        <f aca="false">ROUND(94*1,0)&amp;"%"</f>
        <v>94%</v>
      </c>
    </row>
    <row r="286" customFormat="false" ht="15" hidden="false" customHeight="false" outlineLevel="0" collapsed="false">
      <c r="A286" s="5" t="s">
        <v>6215</v>
      </c>
      <c r="B286" s="5" t="s">
        <v>466</v>
      </c>
      <c r="C286" s="5" t="s">
        <v>76</v>
      </c>
      <c r="D286" s="5" t="s">
        <v>39</v>
      </c>
      <c r="E286" s="5" t="n">
        <f aca="false">ROUND(6621*1.05,2)</f>
        <v>6952.05</v>
      </c>
      <c r="F286" s="5" t="s">
        <v>40</v>
      </c>
      <c r="G286" s="5" t="s">
        <v>24</v>
      </c>
      <c r="H286" s="5" t="n">
        <f aca="true">ROUND(RAND()*4+6,1)</f>
        <v>6.9</v>
      </c>
      <c r="I286" s="5" t="s">
        <v>41</v>
      </c>
      <c r="J286" s="5" t="str">
        <f aca="false">ROUND(92*1,0)&amp;"%"</f>
        <v>92%</v>
      </c>
    </row>
    <row r="287" customFormat="false" ht="15" hidden="false" customHeight="false" outlineLevel="0" collapsed="false">
      <c r="A287" s="6" t="s">
        <v>6216</v>
      </c>
      <c r="B287" s="6" t="s">
        <v>468</v>
      </c>
      <c r="C287" s="6" t="s">
        <v>76</v>
      </c>
      <c r="D287" s="6" t="s">
        <v>44</v>
      </c>
      <c r="E287" s="6" t="n">
        <f aca="false">ROUND(15751*1.05,2)</f>
        <v>16538.55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6217</v>
      </c>
      <c r="B288" s="5" t="s">
        <v>470</v>
      </c>
      <c r="C288" s="5" t="s">
        <v>76</v>
      </c>
      <c r="D288" s="5" t="s">
        <v>16</v>
      </c>
      <c r="E288" s="5" t="n">
        <f aca="false">ROUND(12309*1.05,2)</f>
        <v>12924.45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ROUND(90*1,0)&amp;"%"</f>
        <v>90%</v>
      </c>
    </row>
    <row r="289" customFormat="false" ht="15" hidden="false" customHeight="false" outlineLevel="0" collapsed="false">
      <c r="A289" s="6" t="s">
        <v>6218</v>
      </c>
      <c r="B289" s="6" t="s">
        <v>472</v>
      </c>
      <c r="C289" s="6" t="s">
        <v>76</v>
      </c>
      <c r="D289" s="6" t="s">
        <v>22</v>
      </c>
      <c r="E289" s="6" t="n">
        <f aca="false">ROUND(11823*1.05,2)</f>
        <v>12414.15</v>
      </c>
      <c r="F289" s="6" t="s">
        <v>52</v>
      </c>
      <c r="G289" s="6" t="s">
        <v>24</v>
      </c>
      <c r="H289" s="6" t="n">
        <f aca="true">ROUND(RAND()*4+6,1)</f>
        <v>7.5</v>
      </c>
      <c r="I289" s="6" t="s">
        <v>25</v>
      </c>
      <c r="J289" s="6" t="str">
        <f aca="false">ROUND(78*1,0)&amp;"%"</f>
        <v>78%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6219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6220</v>
      </c>
      <c r="B294" s="5" t="s">
        <v>476</v>
      </c>
      <c r="C294" s="5" t="s">
        <v>95</v>
      </c>
      <c r="D294" s="5" t="s">
        <v>16</v>
      </c>
      <c r="E294" s="5" t="n">
        <f aca="false">ROUND(17727*1.05,2)</f>
        <v>18613.35</v>
      </c>
      <c r="F294" s="5" t="s">
        <v>17</v>
      </c>
      <c r="G294" s="5" t="s">
        <v>18</v>
      </c>
      <c r="H294" s="5" t="n">
        <f aca="true">ROUND(RAND()*4+6,1)</f>
        <v>7.6</v>
      </c>
      <c r="I294" s="5" t="s">
        <v>19</v>
      </c>
      <c r="J294" s="5" t="str">
        <f aca="false">ROUND(78*1,0)&amp;"%"</f>
        <v>78%</v>
      </c>
    </row>
    <row r="295" customFormat="false" ht="15" hidden="false" customHeight="false" outlineLevel="0" collapsed="false">
      <c r="A295" s="6" t="s">
        <v>6221</v>
      </c>
      <c r="B295" s="6" t="s">
        <v>478</v>
      </c>
      <c r="C295" s="6" t="s">
        <v>95</v>
      </c>
      <c r="D295" s="6" t="s">
        <v>22</v>
      </c>
      <c r="E295" s="6" t="n">
        <f aca="false">ROUND(12591*1.05,2)</f>
        <v>13220.55</v>
      </c>
      <c r="F295" s="6" t="s">
        <v>23</v>
      </c>
      <c r="G295" s="6" t="s">
        <v>24</v>
      </c>
      <c r="H295" s="6" t="n">
        <f aca="true">ROUND(RAND()*4+6,1)</f>
        <v>9.4</v>
      </c>
      <c r="I295" s="6" t="s">
        <v>25</v>
      </c>
      <c r="J295" s="6" t="str">
        <f aca="false">ROUND(95*1,0)&amp;"%"</f>
        <v>95%</v>
      </c>
    </row>
    <row r="296" customFormat="false" ht="15" hidden="false" customHeight="false" outlineLevel="0" collapsed="false">
      <c r="A296" s="5" t="s">
        <v>6222</v>
      </c>
      <c r="B296" s="5" t="s">
        <v>480</v>
      </c>
      <c r="C296" s="5" t="s">
        <v>95</v>
      </c>
      <c r="D296" s="5" t="s">
        <v>28</v>
      </c>
      <c r="E296" s="5" t="n">
        <f aca="false">ROUND(6851*1.05,2)</f>
        <v>7193.55</v>
      </c>
      <c r="F296" s="5" t="s">
        <v>29</v>
      </c>
      <c r="G296" s="5" t="s">
        <v>30</v>
      </c>
      <c r="H296" s="5" t="n">
        <f aca="true">ROUND(RAND()*4+6,1)</f>
        <v>7</v>
      </c>
      <c r="I296" s="5" t="s">
        <v>31</v>
      </c>
      <c r="J296" s="5" t="str">
        <f aca="false">ROUND(84*1,0)&amp;"%"</f>
        <v>84%</v>
      </c>
    </row>
    <row r="297" customFormat="false" ht="15" hidden="false" customHeight="false" outlineLevel="0" collapsed="false">
      <c r="A297" s="6" t="s">
        <v>6223</v>
      </c>
      <c r="B297" s="6" t="s">
        <v>482</v>
      </c>
      <c r="C297" s="6" t="s">
        <v>95</v>
      </c>
      <c r="D297" s="6" t="s">
        <v>34</v>
      </c>
      <c r="E297" s="6" t="n">
        <f aca="false">ROUND(11157*1.05,2)</f>
        <v>11714.85</v>
      </c>
      <c r="F297" s="6" t="s">
        <v>35</v>
      </c>
      <c r="G297" s="6" t="s">
        <v>18</v>
      </c>
      <c r="H297" s="6" t="n">
        <f aca="true">ROUND(RAND()*4+6,1)</f>
        <v>7.7</v>
      </c>
      <c r="I297" s="6" t="s">
        <v>36</v>
      </c>
      <c r="J297" s="6" t="str">
        <f aca="false">ROUND(90*1,0)&amp;"%"</f>
        <v>90%</v>
      </c>
    </row>
    <row r="298" customFormat="false" ht="15" hidden="false" customHeight="false" outlineLevel="0" collapsed="false">
      <c r="A298" s="5" t="s">
        <v>6224</v>
      </c>
      <c r="B298" s="5" t="s">
        <v>484</v>
      </c>
      <c r="C298" s="5" t="s">
        <v>95</v>
      </c>
      <c r="D298" s="5" t="s">
        <v>39</v>
      </c>
      <c r="E298" s="5" t="n">
        <f aca="false">ROUND(16871*1.05,2)</f>
        <v>17714.55</v>
      </c>
      <c r="F298" s="5" t="s">
        <v>40</v>
      </c>
      <c r="G298" s="5" t="s">
        <v>24</v>
      </c>
      <c r="H298" s="5" t="n">
        <f aca="true">ROUND(RAND()*4+6,1)</f>
        <v>8.9</v>
      </c>
      <c r="I298" s="5" t="s">
        <v>41</v>
      </c>
      <c r="J298" s="5" t="str">
        <f aca="false">ROUND(64*1,0)&amp;"%"</f>
        <v>64%</v>
      </c>
    </row>
    <row r="299" customFormat="false" ht="15" hidden="false" customHeight="false" outlineLevel="0" collapsed="false">
      <c r="A299" s="6" t="s">
        <v>6225</v>
      </c>
      <c r="B299" s="6" t="s">
        <v>486</v>
      </c>
      <c r="C299" s="6" t="s">
        <v>95</v>
      </c>
      <c r="D299" s="6" t="s">
        <v>44</v>
      </c>
      <c r="E299" s="6" t="n">
        <f aca="false">ROUND(15675*1.05,2)</f>
        <v>16458.75</v>
      </c>
      <c r="F299" s="6" t="s">
        <v>45</v>
      </c>
      <c r="G299" s="6" t="s">
        <v>30</v>
      </c>
      <c r="H299" s="6" t="n">
        <f aca="true">ROUND(RAND()*4+6,1)</f>
        <v>7.5</v>
      </c>
      <c r="I299" s="6" t="s">
        <v>46</v>
      </c>
      <c r="J299" s="6" t="str">
        <f aca="false">ROUND(62*1,0)&amp;"%"</f>
        <v>62%</v>
      </c>
    </row>
    <row r="300" customFormat="false" ht="15" hidden="false" customHeight="false" outlineLevel="0" collapsed="false">
      <c r="A300" s="5" t="s">
        <v>6226</v>
      </c>
      <c r="B300" s="5" t="s">
        <v>488</v>
      </c>
      <c r="C300" s="5" t="s">
        <v>95</v>
      </c>
      <c r="D300" s="5" t="s">
        <v>16</v>
      </c>
      <c r="E300" s="5" t="n">
        <f aca="false">ROUND(9888*1.05,2)</f>
        <v>10382.4</v>
      </c>
      <c r="F300" s="5" t="s">
        <v>49</v>
      </c>
      <c r="G300" s="5" t="s">
        <v>18</v>
      </c>
      <c r="H300" s="5" t="n">
        <f aca="true">ROUND(RAND()*4+6,1)</f>
        <v>6.5</v>
      </c>
      <c r="I300" s="5" t="s">
        <v>19</v>
      </c>
      <c r="J300" s="5" t="str">
        <f aca="false">ROUND(61*1,0)&amp;"%"</f>
        <v>61%</v>
      </c>
    </row>
    <row r="301" customFormat="false" ht="15" hidden="false" customHeight="false" outlineLevel="0" collapsed="false">
      <c r="A301" s="6" t="s">
        <v>6227</v>
      </c>
      <c r="B301" s="6" t="s">
        <v>490</v>
      </c>
      <c r="C301" s="6" t="s">
        <v>95</v>
      </c>
      <c r="D301" s="6" t="s">
        <v>22</v>
      </c>
      <c r="E301" s="6" t="n">
        <f aca="false">ROUND(6948*1.05,2)</f>
        <v>7295.4</v>
      </c>
      <c r="F301" s="6" t="s">
        <v>52</v>
      </c>
      <c r="G301" s="6" t="s">
        <v>24</v>
      </c>
      <c r="H301" s="6" t="n">
        <f aca="true">ROUND(RAND()*4+6,1)</f>
        <v>8.4</v>
      </c>
      <c r="I301" s="6" t="s">
        <v>25</v>
      </c>
      <c r="J301" s="6" t="str">
        <f aca="false">ROUND(74*1,0)&amp;"%"</f>
        <v>74%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6228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6229</v>
      </c>
      <c r="B306" s="5" t="s">
        <v>494</v>
      </c>
      <c r="C306" s="5" t="s">
        <v>114</v>
      </c>
      <c r="D306" s="5" t="s">
        <v>16</v>
      </c>
      <c r="E306" s="5" t="n">
        <f aca="false">ROUND(6307*1.05,2)</f>
        <v>6622.35</v>
      </c>
      <c r="F306" s="5" t="s">
        <v>17</v>
      </c>
      <c r="G306" s="5" t="s">
        <v>18</v>
      </c>
      <c r="H306" s="5" t="n">
        <f aca="true">ROUND(RAND()*4+6,1)</f>
        <v>8.5</v>
      </c>
      <c r="I306" s="5" t="s">
        <v>19</v>
      </c>
      <c r="J306" s="5" t="str">
        <f aca="false">ROUND(66*1,0)&amp;"%"</f>
        <v>66%</v>
      </c>
    </row>
    <row r="307" customFormat="false" ht="15" hidden="false" customHeight="false" outlineLevel="0" collapsed="false">
      <c r="A307" s="6" t="s">
        <v>6230</v>
      </c>
      <c r="B307" s="6" t="s">
        <v>496</v>
      </c>
      <c r="C307" s="6" t="s">
        <v>114</v>
      </c>
      <c r="D307" s="6" t="s">
        <v>22</v>
      </c>
      <c r="E307" s="6" t="n">
        <f aca="false">ROUND(14681*1.05,2)</f>
        <v>15415.05</v>
      </c>
      <c r="F307" s="6" t="s">
        <v>23</v>
      </c>
      <c r="G307" s="6" t="s">
        <v>24</v>
      </c>
      <c r="H307" s="6" t="n">
        <f aca="true">ROUND(RAND()*4+6,1)</f>
        <v>9.8</v>
      </c>
      <c r="I307" s="6" t="s">
        <v>25</v>
      </c>
      <c r="J307" s="6" t="str">
        <f aca="false">ROUND(62*1,0)&amp;"%"</f>
        <v>62%</v>
      </c>
    </row>
    <row r="308" customFormat="false" ht="15" hidden="false" customHeight="false" outlineLevel="0" collapsed="false">
      <c r="A308" s="5" t="s">
        <v>6231</v>
      </c>
      <c r="B308" s="5" t="s">
        <v>498</v>
      </c>
      <c r="C308" s="5" t="s">
        <v>114</v>
      </c>
      <c r="D308" s="5" t="s">
        <v>28</v>
      </c>
      <c r="E308" s="5" t="n">
        <f aca="false">ROUND(12340*1.05,2)</f>
        <v>12957</v>
      </c>
      <c r="F308" s="5" t="s">
        <v>29</v>
      </c>
      <c r="G308" s="5" t="s">
        <v>30</v>
      </c>
      <c r="H308" s="5" t="n">
        <f aca="true">ROUND(RAND()*4+6,1)</f>
        <v>7.2</v>
      </c>
      <c r="I308" s="5" t="s">
        <v>31</v>
      </c>
      <c r="J308" s="5" t="str">
        <f aca="false">ROUND(90*1,0)&amp;"%"</f>
        <v>90%</v>
      </c>
    </row>
    <row r="309" customFormat="false" ht="15" hidden="false" customHeight="false" outlineLevel="0" collapsed="false">
      <c r="A309" s="6" t="s">
        <v>6232</v>
      </c>
      <c r="B309" s="6" t="s">
        <v>500</v>
      </c>
      <c r="C309" s="6" t="s">
        <v>114</v>
      </c>
      <c r="D309" s="6" t="s">
        <v>34</v>
      </c>
      <c r="E309" s="6" t="n">
        <f aca="false">ROUND(11416*1.05,2)</f>
        <v>11986.8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6233</v>
      </c>
      <c r="B310" s="5" t="s">
        <v>502</v>
      </c>
      <c r="C310" s="5" t="s">
        <v>114</v>
      </c>
      <c r="D310" s="5" t="s">
        <v>39</v>
      </c>
      <c r="E310" s="5" t="n">
        <f aca="false">ROUND(9216*1.05,2)</f>
        <v>9676.8</v>
      </c>
      <c r="F310" s="5" t="s">
        <v>40</v>
      </c>
      <c r="G310" s="5" t="s">
        <v>24</v>
      </c>
      <c r="H310" s="5" t="n">
        <f aca="true">ROUND(RAND()*4+6,1)</f>
        <v>9.9</v>
      </c>
      <c r="I310" s="5" t="s">
        <v>41</v>
      </c>
      <c r="J310" s="5" t="str">
        <f aca="false">ROUND(98*1,0)&amp;"%"</f>
        <v>98%</v>
      </c>
    </row>
    <row r="311" customFormat="false" ht="15" hidden="false" customHeight="false" outlineLevel="0" collapsed="false">
      <c r="A311" s="6" t="s">
        <v>6234</v>
      </c>
      <c r="B311" s="6" t="s">
        <v>504</v>
      </c>
      <c r="C311" s="6" t="s">
        <v>114</v>
      </c>
      <c r="D311" s="6" t="s">
        <v>44</v>
      </c>
      <c r="E311" s="6" t="n">
        <f aca="false">ROUND(6485*1.05,2)</f>
        <v>6809.25</v>
      </c>
      <c r="F311" s="6" t="s">
        <v>45</v>
      </c>
      <c r="G311" s="6" t="s">
        <v>30</v>
      </c>
      <c r="H311" s="6" t="n">
        <f aca="true">ROUND(RAND()*4+6,1)</f>
        <v>7.9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6235</v>
      </c>
      <c r="B312" s="5" t="s">
        <v>506</v>
      </c>
      <c r="C312" s="5" t="s">
        <v>114</v>
      </c>
      <c r="D312" s="5" t="s">
        <v>16</v>
      </c>
      <c r="E312" s="5" t="n">
        <f aca="false">ROUND(11705*1.05,2)</f>
        <v>12290.25</v>
      </c>
      <c r="F312" s="5" t="s">
        <v>49</v>
      </c>
      <c r="G312" s="5" t="s">
        <v>18</v>
      </c>
      <c r="H312" s="5" t="n">
        <f aca="true">ROUND(RAND()*4+6,1)</f>
        <v>9.9</v>
      </c>
      <c r="I312" s="5" t="s">
        <v>19</v>
      </c>
      <c r="J312" s="5" t="str">
        <f aca="false">ROUND(93*1,0)&amp;"%"</f>
        <v>93%</v>
      </c>
    </row>
    <row r="313" customFormat="false" ht="15" hidden="false" customHeight="false" outlineLevel="0" collapsed="false">
      <c r="A313" s="6" t="s">
        <v>6236</v>
      </c>
      <c r="B313" s="6" t="s">
        <v>508</v>
      </c>
      <c r="C313" s="6" t="s">
        <v>114</v>
      </c>
      <c r="D313" s="6" t="s">
        <v>22</v>
      </c>
      <c r="E313" s="6" t="n">
        <f aca="false">ROUND(4623*1.05,2)</f>
        <v>4854.15</v>
      </c>
      <c r="F313" s="6" t="s">
        <v>52</v>
      </c>
      <c r="G313" s="6" t="s">
        <v>24</v>
      </c>
      <c r="H313" s="6" t="n">
        <f aca="true">ROUND(RAND()*4+6,1)</f>
        <v>8.3</v>
      </c>
      <c r="I313" s="6" t="s">
        <v>25</v>
      </c>
      <c r="J313" s="6" t="str">
        <f aca="false">ROUND(97*1,0)&amp;"%"</f>
        <v>97%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6237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6238</v>
      </c>
      <c r="B318" s="5" t="s">
        <v>512</v>
      </c>
      <c r="C318" s="5" t="s">
        <v>133</v>
      </c>
      <c r="D318" s="5" t="s">
        <v>16</v>
      </c>
      <c r="E318" s="5" t="n">
        <f aca="false">ROUND(7720*1.05,2)</f>
        <v>8106</v>
      </c>
      <c r="F318" s="5" t="s">
        <v>17</v>
      </c>
      <c r="G318" s="5" t="s">
        <v>18</v>
      </c>
      <c r="H318" s="5" t="n">
        <f aca="true">ROUND(RAND()*4+6,1)</f>
        <v>8.2</v>
      </c>
      <c r="I318" s="5" t="s">
        <v>19</v>
      </c>
      <c r="J318" s="5" t="str">
        <f aca="false">ROUND(71*1,0)&amp;"%"</f>
        <v>71%</v>
      </c>
    </row>
    <row r="319" customFormat="false" ht="15" hidden="false" customHeight="false" outlineLevel="0" collapsed="false">
      <c r="A319" s="6" t="s">
        <v>6239</v>
      </c>
      <c r="B319" s="6" t="s">
        <v>514</v>
      </c>
      <c r="C319" s="6" t="s">
        <v>133</v>
      </c>
      <c r="D319" s="6" t="s">
        <v>22</v>
      </c>
      <c r="E319" s="6" t="n">
        <f aca="false">ROUND(16070*1.05,2)</f>
        <v>16873.5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ROUND(66*1,0)&amp;"%"</f>
        <v>66%</v>
      </c>
    </row>
    <row r="320" customFormat="false" ht="15" hidden="false" customHeight="false" outlineLevel="0" collapsed="false">
      <c r="A320" s="5" t="s">
        <v>6240</v>
      </c>
      <c r="B320" s="5" t="s">
        <v>516</v>
      </c>
      <c r="C320" s="5" t="s">
        <v>133</v>
      </c>
      <c r="D320" s="5" t="s">
        <v>28</v>
      </c>
      <c r="E320" s="5" t="n">
        <f aca="false">ROUND(5493*1.05,2)</f>
        <v>5767.65</v>
      </c>
      <c r="F320" s="5" t="s">
        <v>29</v>
      </c>
      <c r="G320" s="5" t="s">
        <v>30</v>
      </c>
      <c r="H320" s="5" t="n">
        <f aca="true">ROUND(RAND()*4+6,1)</f>
        <v>7.5</v>
      </c>
      <c r="I320" s="5" t="s">
        <v>31</v>
      </c>
      <c r="J320" s="5" t="str">
        <f aca="false">ROUND(76*1,0)&amp;"%"</f>
        <v>76%</v>
      </c>
    </row>
    <row r="321" customFormat="false" ht="15" hidden="false" customHeight="false" outlineLevel="0" collapsed="false">
      <c r="A321" s="6" t="s">
        <v>6241</v>
      </c>
      <c r="B321" s="6" t="s">
        <v>518</v>
      </c>
      <c r="C321" s="6" t="s">
        <v>133</v>
      </c>
      <c r="D321" s="6" t="s">
        <v>34</v>
      </c>
      <c r="E321" s="6" t="n">
        <f aca="false">ROUND(14784*1.05,2)</f>
        <v>15523.2</v>
      </c>
      <c r="F321" s="6" t="s">
        <v>35</v>
      </c>
      <c r="G321" s="6" t="s">
        <v>18</v>
      </c>
      <c r="H321" s="6" t="n">
        <f aca="true">ROUND(RAND()*4+6,1)</f>
        <v>9.9</v>
      </c>
      <c r="I321" s="6" t="s">
        <v>36</v>
      </c>
      <c r="J321" s="6" t="str">
        <f aca="false">ROUND(75*1,0)&amp;"%"</f>
        <v>75%</v>
      </c>
    </row>
    <row r="322" customFormat="false" ht="15" hidden="false" customHeight="false" outlineLevel="0" collapsed="false">
      <c r="A322" s="5" t="s">
        <v>6242</v>
      </c>
      <c r="B322" s="5" t="s">
        <v>520</v>
      </c>
      <c r="C322" s="5" t="s">
        <v>133</v>
      </c>
      <c r="D322" s="5" t="s">
        <v>39</v>
      </c>
      <c r="E322" s="5" t="n">
        <f aca="false">ROUND(4703*1.05,2)</f>
        <v>4938.15</v>
      </c>
      <c r="F322" s="5" t="s">
        <v>40</v>
      </c>
      <c r="G322" s="5" t="s">
        <v>24</v>
      </c>
      <c r="H322" s="5" t="n">
        <f aca="true">ROUND(RAND()*4+6,1)</f>
        <v>8.8</v>
      </c>
      <c r="I322" s="5" t="s">
        <v>41</v>
      </c>
      <c r="J322" s="5" t="str">
        <f aca="false">ROUND(67*1,0)&amp;"%"</f>
        <v>67%</v>
      </c>
    </row>
    <row r="323" customFormat="false" ht="15" hidden="false" customHeight="false" outlineLevel="0" collapsed="false">
      <c r="A323" s="6" t="s">
        <v>6243</v>
      </c>
      <c r="B323" s="6" t="s">
        <v>522</v>
      </c>
      <c r="C323" s="6" t="s">
        <v>133</v>
      </c>
      <c r="D323" s="6" t="s">
        <v>44</v>
      </c>
      <c r="E323" s="6" t="n">
        <f aca="false">ROUND(14600*1.05,2)</f>
        <v>15330</v>
      </c>
      <c r="F323" s="6" t="s">
        <v>45</v>
      </c>
      <c r="G323" s="6" t="s">
        <v>30</v>
      </c>
      <c r="H323" s="6" t="n">
        <f aca="true">ROUND(RAND()*4+6,1)</f>
        <v>6.4</v>
      </c>
      <c r="I323" s="6" t="s">
        <v>46</v>
      </c>
      <c r="J323" s="6" t="str">
        <f aca="false">ROUND(73*1,0)&amp;"%"</f>
        <v>73%</v>
      </c>
    </row>
    <row r="324" customFormat="false" ht="15" hidden="false" customHeight="false" outlineLevel="0" collapsed="false">
      <c r="A324" s="5" t="s">
        <v>6244</v>
      </c>
      <c r="B324" s="5" t="s">
        <v>524</v>
      </c>
      <c r="C324" s="5" t="s">
        <v>133</v>
      </c>
      <c r="D324" s="5" t="s">
        <v>16</v>
      </c>
      <c r="E324" s="5" t="n">
        <f aca="false">ROUND(5854*1.05,2)</f>
        <v>6146.7</v>
      </c>
      <c r="F324" s="5" t="s">
        <v>49</v>
      </c>
      <c r="G324" s="5" t="s">
        <v>18</v>
      </c>
      <c r="H324" s="5" t="n">
        <f aca="true">ROUND(RAND()*4+6,1)</f>
        <v>7.7</v>
      </c>
      <c r="I324" s="5" t="s">
        <v>19</v>
      </c>
      <c r="J324" s="5" t="str">
        <f aca="false">ROUND(71*1,0)&amp;"%"</f>
        <v>71%</v>
      </c>
    </row>
    <row r="325" customFormat="false" ht="15" hidden="false" customHeight="false" outlineLevel="0" collapsed="false">
      <c r="A325" s="6" t="s">
        <v>6245</v>
      </c>
      <c r="B325" s="6" t="s">
        <v>526</v>
      </c>
      <c r="C325" s="6" t="s">
        <v>133</v>
      </c>
      <c r="D325" s="6" t="s">
        <v>22</v>
      </c>
      <c r="E325" s="6" t="n">
        <f aca="false">ROUND(11699*1.05,2)</f>
        <v>12283.95</v>
      </c>
      <c r="F325" s="6" t="s">
        <v>52</v>
      </c>
      <c r="G325" s="6" t="s">
        <v>24</v>
      </c>
      <c r="H325" s="6" t="n">
        <f aca="true">ROUND(RAND()*4+6,1)</f>
        <v>8.9</v>
      </c>
      <c r="I325" s="6" t="s">
        <v>25</v>
      </c>
      <c r="J325" s="6" t="str">
        <f aca="false">ROUND(83*1,0)&amp;"%"</f>
        <v>83%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6246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6247</v>
      </c>
      <c r="B330" s="5" t="s">
        <v>530</v>
      </c>
      <c r="C330" s="5" t="s">
        <v>152</v>
      </c>
      <c r="D330" s="5" t="s">
        <v>16</v>
      </c>
      <c r="E330" s="5" t="n">
        <f aca="false">ROUND(11877*1.05,2)</f>
        <v>12470.85</v>
      </c>
      <c r="F330" s="5" t="s">
        <v>17</v>
      </c>
      <c r="G330" s="5" t="s">
        <v>18</v>
      </c>
      <c r="H330" s="5" t="n">
        <f aca="true">ROUND(RAND()*4+6,1)</f>
        <v>7.2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6248</v>
      </c>
      <c r="B331" s="6" t="s">
        <v>532</v>
      </c>
      <c r="C331" s="6" t="s">
        <v>152</v>
      </c>
      <c r="D331" s="6" t="s">
        <v>22</v>
      </c>
      <c r="E331" s="6" t="n">
        <f aca="false">ROUND(8216*1.05,2)</f>
        <v>8626.8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ROUND(79*1,0)&amp;"%"</f>
        <v>79%</v>
      </c>
    </row>
    <row r="332" customFormat="false" ht="15" hidden="false" customHeight="false" outlineLevel="0" collapsed="false">
      <c r="A332" s="5" t="s">
        <v>6249</v>
      </c>
      <c r="B332" s="5" t="s">
        <v>534</v>
      </c>
      <c r="C332" s="5" t="s">
        <v>152</v>
      </c>
      <c r="D332" s="5" t="s">
        <v>28</v>
      </c>
      <c r="E332" s="5" t="n">
        <f aca="false">ROUND(14211*1.05,2)</f>
        <v>14921.55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ROUND(82*1,0)&amp;"%"</f>
        <v>82%</v>
      </c>
    </row>
    <row r="333" customFormat="false" ht="15" hidden="false" customHeight="false" outlineLevel="0" collapsed="false">
      <c r="A333" s="6" t="s">
        <v>6250</v>
      </c>
      <c r="B333" s="6" t="s">
        <v>536</v>
      </c>
      <c r="C333" s="6" t="s">
        <v>152</v>
      </c>
      <c r="D333" s="6" t="s">
        <v>34</v>
      </c>
      <c r="E333" s="6" t="n">
        <f aca="false">ROUND(14878*1.05,2)</f>
        <v>15621.9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ROUND(69*1,0)&amp;"%"</f>
        <v>69%</v>
      </c>
    </row>
    <row r="334" customFormat="false" ht="15" hidden="false" customHeight="false" outlineLevel="0" collapsed="false">
      <c r="A334" s="5" t="s">
        <v>6251</v>
      </c>
      <c r="B334" s="5" t="s">
        <v>538</v>
      </c>
      <c r="C334" s="5" t="s">
        <v>152</v>
      </c>
      <c r="D334" s="5" t="s">
        <v>39</v>
      </c>
      <c r="E334" s="5" t="n">
        <f aca="false">ROUND(17549*1.05,2)</f>
        <v>18426.45</v>
      </c>
      <c r="F334" s="5" t="s">
        <v>40</v>
      </c>
      <c r="G334" s="5" t="s">
        <v>24</v>
      </c>
      <c r="H334" s="5" t="n">
        <f aca="true">ROUND(RAND()*4+6,1)</f>
        <v>6.3</v>
      </c>
      <c r="I334" s="5" t="s">
        <v>41</v>
      </c>
      <c r="J334" s="5" t="str">
        <f aca="false">ROUND(100*1,0)&amp;"%"</f>
        <v>100%</v>
      </c>
    </row>
    <row r="335" customFormat="false" ht="15" hidden="false" customHeight="false" outlineLevel="0" collapsed="false">
      <c r="A335" s="6" t="s">
        <v>6252</v>
      </c>
      <c r="B335" s="6" t="s">
        <v>540</v>
      </c>
      <c r="C335" s="6" t="s">
        <v>152</v>
      </c>
      <c r="D335" s="6" t="s">
        <v>44</v>
      </c>
      <c r="E335" s="6" t="n">
        <f aca="false">ROUND(7982*1.05,2)</f>
        <v>8381.1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ROUND(92*1,0)&amp;"%"</f>
        <v>92%</v>
      </c>
    </row>
    <row r="336" customFormat="false" ht="15" hidden="false" customHeight="false" outlineLevel="0" collapsed="false">
      <c r="A336" s="5" t="s">
        <v>6253</v>
      </c>
      <c r="B336" s="5" t="s">
        <v>542</v>
      </c>
      <c r="C336" s="5" t="s">
        <v>152</v>
      </c>
      <c r="D336" s="5" t="s">
        <v>16</v>
      </c>
      <c r="E336" s="5" t="n">
        <f aca="false">ROUND(17331*1.05,2)</f>
        <v>18197.55</v>
      </c>
      <c r="F336" s="5" t="s">
        <v>49</v>
      </c>
      <c r="G336" s="5" t="s">
        <v>18</v>
      </c>
      <c r="H336" s="5" t="n">
        <f aca="true">ROUND(RAND()*4+6,1)</f>
        <v>7.8</v>
      </c>
      <c r="I336" s="5" t="s">
        <v>19</v>
      </c>
      <c r="J336" s="5" t="str">
        <f aca="false">ROUND(70*1,0)&amp;"%"</f>
        <v>70%</v>
      </c>
    </row>
    <row r="337" customFormat="false" ht="15" hidden="false" customHeight="false" outlineLevel="0" collapsed="false">
      <c r="A337" s="6" t="s">
        <v>6254</v>
      </c>
      <c r="B337" s="6" t="s">
        <v>544</v>
      </c>
      <c r="C337" s="6" t="s">
        <v>152</v>
      </c>
      <c r="D337" s="6" t="s">
        <v>22</v>
      </c>
      <c r="E337" s="6" t="n">
        <f aca="false">ROUND(12564*1.05,2)</f>
        <v>13192.2</v>
      </c>
      <c r="F337" s="6" t="s">
        <v>52</v>
      </c>
      <c r="G337" s="6" t="s">
        <v>24</v>
      </c>
      <c r="H337" s="6" t="n">
        <f aca="true">ROUND(RAND()*4+6,1)</f>
        <v>7.5</v>
      </c>
      <c r="I337" s="6" t="s">
        <v>25</v>
      </c>
      <c r="J337" s="6" t="str">
        <f aca="false">ROUND(94*1,0)&amp;"%"</f>
        <v>94%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6255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6256</v>
      </c>
      <c r="B342" s="5" t="s">
        <v>548</v>
      </c>
      <c r="C342" s="5" t="s">
        <v>15</v>
      </c>
      <c r="D342" s="5" t="s">
        <v>16</v>
      </c>
      <c r="E342" s="5" t="n">
        <f aca="false">ROUND(11429*1.05,2)</f>
        <v>12000.45</v>
      </c>
      <c r="F342" s="5" t="s">
        <v>17</v>
      </c>
      <c r="G342" s="5" t="s">
        <v>18</v>
      </c>
      <c r="H342" s="5" t="n">
        <f aca="true">ROUND(RAND()*4+6,1)</f>
        <v>8.1</v>
      </c>
      <c r="I342" s="5" t="s">
        <v>19</v>
      </c>
      <c r="J342" s="5" t="str">
        <f aca="false">ROUND(71*1,0)&amp;"%"</f>
        <v>71%</v>
      </c>
    </row>
    <row r="343" customFormat="false" ht="15" hidden="false" customHeight="false" outlineLevel="0" collapsed="false">
      <c r="A343" s="6" t="s">
        <v>6257</v>
      </c>
      <c r="B343" s="6" t="s">
        <v>550</v>
      </c>
      <c r="C343" s="6" t="s">
        <v>15</v>
      </c>
      <c r="D343" s="6" t="s">
        <v>22</v>
      </c>
      <c r="E343" s="6" t="n">
        <f aca="false">ROUND(9572*1.05,2)</f>
        <v>10050.6</v>
      </c>
      <c r="F343" s="6" t="s">
        <v>23</v>
      </c>
      <c r="G343" s="6" t="s">
        <v>24</v>
      </c>
      <c r="H343" s="6" t="n">
        <f aca="true">ROUND(RAND()*4+6,1)</f>
        <v>9.2</v>
      </c>
      <c r="I343" s="6" t="s">
        <v>25</v>
      </c>
      <c r="J343" s="6" t="str">
        <f aca="false">ROUND(70*1,0)&amp;"%"</f>
        <v>70%</v>
      </c>
    </row>
    <row r="344" customFormat="false" ht="15" hidden="false" customHeight="false" outlineLevel="0" collapsed="false">
      <c r="A344" s="5" t="s">
        <v>6258</v>
      </c>
      <c r="B344" s="5" t="s">
        <v>552</v>
      </c>
      <c r="C344" s="5" t="s">
        <v>15</v>
      </c>
      <c r="D344" s="5" t="s">
        <v>28</v>
      </c>
      <c r="E344" s="5" t="n">
        <f aca="false">ROUND(16017*1.05,2)</f>
        <v>16817.85</v>
      </c>
      <c r="F344" s="5" t="s">
        <v>29</v>
      </c>
      <c r="G344" s="5" t="s">
        <v>30</v>
      </c>
      <c r="H344" s="5" t="n">
        <f aca="true">ROUND(RAND()*4+6,1)</f>
        <v>6.6</v>
      </c>
      <c r="I344" s="5" t="s">
        <v>31</v>
      </c>
      <c r="J344" s="5" t="str">
        <f aca="false">ROUND(95*1,0)&amp;"%"</f>
        <v>95%</v>
      </c>
    </row>
    <row r="345" customFormat="false" ht="15" hidden="false" customHeight="false" outlineLevel="0" collapsed="false">
      <c r="A345" s="6" t="s">
        <v>6259</v>
      </c>
      <c r="B345" s="6" t="s">
        <v>554</v>
      </c>
      <c r="C345" s="6" t="s">
        <v>15</v>
      </c>
      <c r="D345" s="6" t="s">
        <v>34</v>
      </c>
      <c r="E345" s="6" t="n">
        <f aca="false">ROUND(14741*1.05,2)</f>
        <v>15478.05</v>
      </c>
      <c r="F345" s="6" t="s">
        <v>35</v>
      </c>
      <c r="G345" s="6" t="s">
        <v>18</v>
      </c>
      <c r="H345" s="6" t="n">
        <f aca="true">ROUND(RAND()*4+6,1)</f>
        <v>9.6</v>
      </c>
      <c r="I345" s="6" t="s">
        <v>36</v>
      </c>
      <c r="J345" s="6" t="str">
        <f aca="false">ROUND(94*1,0)&amp;"%"</f>
        <v>94%</v>
      </c>
    </row>
    <row r="346" customFormat="false" ht="15" hidden="false" customHeight="false" outlineLevel="0" collapsed="false">
      <c r="A346" s="5" t="s">
        <v>6260</v>
      </c>
      <c r="B346" s="5" t="s">
        <v>556</v>
      </c>
      <c r="C346" s="5" t="s">
        <v>15</v>
      </c>
      <c r="D346" s="5" t="s">
        <v>39</v>
      </c>
      <c r="E346" s="5" t="n">
        <f aca="false">ROUND(4181*1.05,2)</f>
        <v>4390.05</v>
      </c>
      <c r="F346" s="5" t="s">
        <v>40</v>
      </c>
      <c r="G346" s="5" t="s">
        <v>24</v>
      </c>
      <c r="H346" s="5" t="n">
        <f aca="true">ROUND(RAND()*4+6,1)</f>
        <v>7.6</v>
      </c>
      <c r="I346" s="5" t="s">
        <v>41</v>
      </c>
      <c r="J346" s="5" t="str">
        <f aca="false">ROUND(96*1,0)&amp;"%"</f>
        <v>96%</v>
      </c>
    </row>
    <row r="347" customFormat="false" ht="15" hidden="false" customHeight="false" outlineLevel="0" collapsed="false">
      <c r="A347" s="6" t="s">
        <v>6261</v>
      </c>
      <c r="B347" s="6" t="s">
        <v>558</v>
      </c>
      <c r="C347" s="6" t="s">
        <v>15</v>
      </c>
      <c r="D347" s="6" t="s">
        <v>44</v>
      </c>
      <c r="E347" s="6" t="n">
        <f aca="false">ROUND(6452*1.05,2)</f>
        <v>6774.6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ROUND(76*1,0)&amp;"%"</f>
        <v>76%</v>
      </c>
    </row>
    <row r="348" customFormat="false" ht="15" hidden="false" customHeight="false" outlineLevel="0" collapsed="false">
      <c r="A348" s="5" t="s">
        <v>6262</v>
      </c>
      <c r="B348" s="5" t="s">
        <v>560</v>
      </c>
      <c r="C348" s="5" t="s">
        <v>15</v>
      </c>
      <c r="D348" s="5" t="s">
        <v>16</v>
      </c>
      <c r="E348" s="5" t="n">
        <f aca="false">ROUND(13978*1.05,2)</f>
        <v>14676.9</v>
      </c>
      <c r="F348" s="5" t="s">
        <v>49</v>
      </c>
      <c r="G348" s="5" t="s">
        <v>18</v>
      </c>
      <c r="H348" s="5" t="n">
        <f aca="true">ROUND(RAND()*4+6,1)</f>
        <v>7.8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6263</v>
      </c>
      <c r="B349" s="6" t="s">
        <v>562</v>
      </c>
      <c r="C349" s="6" t="s">
        <v>15</v>
      </c>
      <c r="D349" s="6" t="s">
        <v>22</v>
      </c>
      <c r="E349" s="6" t="n">
        <f aca="false">ROUND(14518*1.05,2)</f>
        <v>15243.9</v>
      </c>
      <c r="F349" s="6" t="s">
        <v>52</v>
      </c>
      <c r="G349" s="6" t="s">
        <v>24</v>
      </c>
      <c r="H349" s="6" t="n">
        <f aca="true">ROUND(RAND()*4+6,1)</f>
        <v>7.5</v>
      </c>
      <c r="I349" s="6" t="s">
        <v>25</v>
      </c>
      <c r="J349" s="6" t="str">
        <f aca="false">ROUND(69*1,0)&amp;"%"</f>
        <v>69%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6264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6265</v>
      </c>
      <c r="B354" s="5" t="s">
        <v>566</v>
      </c>
      <c r="C354" s="5" t="s">
        <v>57</v>
      </c>
      <c r="D354" s="5" t="s">
        <v>16</v>
      </c>
      <c r="E354" s="5" t="n">
        <f aca="false">ROUND(9465*1.05,2)</f>
        <v>9938.25</v>
      </c>
      <c r="F354" s="5" t="s">
        <v>17</v>
      </c>
      <c r="G354" s="5" t="s">
        <v>18</v>
      </c>
      <c r="H354" s="5" t="n">
        <f aca="true">ROUND(RAND()*4+6,1)</f>
        <v>6.3</v>
      </c>
      <c r="I354" s="5" t="s">
        <v>19</v>
      </c>
      <c r="J354" s="5" t="str">
        <f aca="false">ROUND(88*1,0)&amp;"%"</f>
        <v>88%</v>
      </c>
    </row>
    <row r="355" customFormat="false" ht="15" hidden="false" customHeight="false" outlineLevel="0" collapsed="false">
      <c r="A355" s="6" t="s">
        <v>6266</v>
      </c>
      <c r="B355" s="6" t="s">
        <v>568</v>
      </c>
      <c r="C355" s="6" t="s">
        <v>57</v>
      </c>
      <c r="D355" s="6" t="s">
        <v>22</v>
      </c>
      <c r="E355" s="6" t="n">
        <f aca="false">ROUND(7522*1.05,2)</f>
        <v>7898.1</v>
      </c>
      <c r="F355" s="6" t="s">
        <v>23</v>
      </c>
      <c r="G355" s="6" t="s">
        <v>24</v>
      </c>
      <c r="H355" s="6" t="n">
        <f aca="true">ROUND(RAND()*4+6,1)</f>
        <v>7.6</v>
      </c>
      <c r="I355" s="6" t="s">
        <v>25</v>
      </c>
      <c r="J355" s="6" t="str">
        <f aca="false">ROUND(83*1,0)&amp;"%"</f>
        <v>83%</v>
      </c>
    </row>
    <row r="356" customFormat="false" ht="15" hidden="false" customHeight="false" outlineLevel="0" collapsed="false">
      <c r="A356" s="5" t="s">
        <v>6267</v>
      </c>
      <c r="B356" s="5" t="s">
        <v>570</v>
      </c>
      <c r="C356" s="5" t="s">
        <v>57</v>
      </c>
      <c r="D356" s="5" t="s">
        <v>28</v>
      </c>
      <c r="E356" s="5" t="n">
        <f aca="false">ROUND(14998*1.05,2)</f>
        <v>15747.9</v>
      </c>
      <c r="F356" s="5" t="s">
        <v>29</v>
      </c>
      <c r="G356" s="5" t="s">
        <v>30</v>
      </c>
      <c r="H356" s="5" t="n">
        <f aca="true">ROUND(RAND()*4+6,1)</f>
        <v>9.9</v>
      </c>
      <c r="I356" s="5" t="s">
        <v>31</v>
      </c>
      <c r="J356" s="5" t="str">
        <f aca="false">ROUND(76*1,0)&amp;"%"</f>
        <v>76%</v>
      </c>
    </row>
    <row r="357" customFormat="false" ht="15" hidden="false" customHeight="false" outlineLevel="0" collapsed="false">
      <c r="A357" s="6" t="s">
        <v>6268</v>
      </c>
      <c r="B357" s="6" t="s">
        <v>572</v>
      </c>
      <c r="C357" s="6" t="s">
        <v>57</v>
      </c>
      <c r="D357" s="6" t="s">
        <v>34</v>
      </c>
      <c r="E357" s="6" t="n">
        <f aca="false">ROUND(8086*1.05,2)</f>
        <v>8490.3</v>
      </c>
      <c r="F357" s="6" t="s">
        <v>35</v>
      </c>
      <c r="G357" s="6" t="s">
        <v>18</v>
      </c>
      <c r="H357" s="6" t="n">
        <f aca="true">ROUND(RAND()*4+6,1)</f>
        <v>9.5</v>
      </c>
      <c r="I357" s="6" t="s">
        <v>36</v>
      </c>
      <c r="J357" s="6" t="str">
        <f aca="false">ROUND(86*1,0)&amp;"%"</f>
        <v>86%</v>
      </c>
    </row>
    <row r="358" customFormat="false" ht="15" hidden="false" customHeight="false" outlineLevel="0" collapsed="false">
      <c r="A358" s="5" t="s">
        <v>6269</v>
      </c>
      <c r="B358" s="5" t="s">
        <v>574</v>
      </c>
      <c r="C358" s="5" t="s">
        <v>57</v>
      </c>
      <c r="D358" s="5" t="s">
        <v>39</v>
      </c>
      <c r="E358" s="5" t="n">
        <f aca="false">ROUND(15849*1.05,2)</f>
        <v>16641.45</v>
      </c>
      <c r="F358" s="5" t="s">
        <v>40</v>
      </c>
      <c r="G358" s="5" t="s">
        <v>24</v>
      </c>
      <c r="H358" s="5" t="n">
        <f aca="true">ROUND(RAND()*4+6,1)</f>
        <v>8.8</v>
      </c>
      <c r="I358" s="5" t="s">
        <v>41</v>
      </c>
      <c r="J358" s="5" t="str">
        <f aca="false">ROUND(79*1,0)&amp;"%"</f>
        <v>79%</v>
      </c>
    </row>
    <row r="359" customFormat="false" ht="15" hidden="false" customHeight="false" outlineLevel="0" collapsed="false">
      <c r="A359" s="6" t="s">
        <v>6270</v>
      </c>
      <c r="B359" s="6" t="s">
        <v>576</v>
      </c>
      <c r="C359" s="6" t="s">
        <v>57</v>
      </c>
      <c r="D359" s="6" t="s">
        <v>44</v>
      </c>
      <c r="E359" s="6" t="n">
        <f aca="false">ROUND(7942*1.05,2)</f>
        <v>8339.1</v>
      </c>
      <c r="F359" s="6" t="s">
        <v>45</v>
      </c>
      <c r="G359" s="6" t="s">
        <v>30</v>
      </c>
      <c r="H359" s="6" t="n">
        <f aca="true">ROUND(RAND()*4+6,1)</f>
        <v>8</v>
      </c>
      <c r="I359" s="6" t="s">
        <v>46</v>
      </c>
      <c r="J359" s="6" t="str">
        <f aca="false">ROUND(81*1,0)&amp;"%"</f>
        <v>81%</v>
      </c>
    </row>
    <row r="360" customFormat="false" ht="15" hidden="false" customHeight="false" outlineLevel="0" collapsed="false">
      <c r="A360" s="5" t="s">
        <v>6271</v>
      </c>
      <c r="B360" s="5" t="s">
        <v>578</v>
      </c>
      <c r="C360" s="5" t="s">
        <v>57</v>
      </c>
      <c r="D360" s="5" t="s">
        <v>16</v>
      </c>
      <c r="E360" s="5" t="n">
        <f aca="false">ROUND(11196*1.05,2)</f>
        <v>11755.8</v>
      </c>
      <c r="F360" s="5" t="s">
        <v>49</v>
      </c>
      <c r="G360" s="5" t="s">
        <v>18</v>
      </c>
      <c r="H360" s="5" t="n">
        <f aca="true">ROUND(RAND()*4+6,1)</f>
        <v>7.9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6272</v>
      </c>
      <c r="B361" s="6" t="s">
        <v>580</v>
      </c>
      <c r="C361" s="6" t="s">
        <v>57</v>
      </c>
      <c r="D361" s="6" t="s">
        <v>22</v>
      </c>
      <c r="E361" s="6" t="n">
        <f aca="false">ROUND(6357*1.05,2)</f>
        <v>6674.85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ROUND(96*1,0)&amp;"%"</f>
        <v>96%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6273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6274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6275</v>
      </c>
      <c r="B6" s="5" t="s">
        <v>14</v>
      </c>
      <c r="C6" s="5" t="s">
        <v>15</v>
      </c>
      <c r="D6" s="5" t="s">
        <v>16</v>
      </c>
      <c r="E6" s="5" t="n">
        <f aca="false">ROUND(17840*1.05,2)</f>
        <v>18732</v>
      </c>
      <c r="F6" s="5" t="s">
        <v>17</v>
      </c>
      <c r="G6" s="5" t="s">
        <v>18</v>
      </c>
      <c r="H6" s="5" t="n">
        <f aca="true">ROUND(RAND()*4+6,1)</f>
        <v>8.2</v>
      </c>
      <c r="I6" s="5" t="s">
        <v>19</v>
      </c>
      <c r="J6" s="5" t="str">
        <f aca="false">ROUND(64*1,0)&amp;"%"</f>
        <v>64%</v>
      </c>
    </row>
    <row r="7" customFormat="false" ht="15" hidden="false" customHeight="false" outlineLevel="0" collapsed="false">
      <c r="A7" s="6" t="s">
        <v>6276</v>
      </c>
      <c r="B7" s="6" t="s">
        <v>21</v>
      </c>
      <c r="C7" s="6" t="s">
        <v>15</v>
      </c>
      <c r="D7" s="6" t="s">
        <v>22</v>
      </c>
      <c r="E7" s="6" t="n">
        <f aca="false">ROUND(16092*1.05,2)</f>
        <v>16896.6</v>
      </c>
      <c r="F7" s="6" t="s">
        <v>23</v>
      </c>
      <c r="G7" s="6" t="s">
        <v>24</v>
      </c>
      <c r="H7" s="6" t="n">
        <f aca="true">ROUND(RAND()*4+6,1)</f>
        <v>6.4</v>
      </c>
      <c r="I7" s="6" t="s">
        <v>25</v>
      </c>
      <c r="J7" s="6" t="str">
        <f aca="false">ROUND(85*1,0)&amp;"%"</f>
        <v>85%</v>
      </c>
    </row>
    <row r="8" customFormat="false" ht="15" hidden="false" customHeight="false" outlineLevel="0" collapsed="false">
      <c r="A8" s="5" t="s">
        <v>6277</v>
      </c>
      <c r="B8" s="5" t="s">
        <v>27</v>
      </c>
      <c r="C8" s="5" t="s">
        <v>15</v>
      </c>
      <c r="D8" s="5" t="s">
        <v>28</v>
      </c>
      <c r="E8" s="5" t="n">
        <f aca="false">ROUND(8503*1.05,2)</f>
        <v>8928.15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ROUND(61*1,0)&amp;"%"</f>
        <v>61%</v>
      </c>
    </row>
    <row r="9" customFormat="false" ht="15" hidden="false" customHeight="false" outlineLevel="0" collapsed="false">
      <c r="A9" s="6" t="s">
        <v>6278</v>
      </c>
      <c r="B9" s="6" t="s">
        <v>33</v>
      </c>
      <c r="C9" s="6" t="s">
        <v>15</v>
      </c>
      <c r="D9" s="6" t="s">
        <v>34</v>
      </c>
      <c r="E9" s="6" t="n">
        <f aca="false">ROUND(17444*1.05,2)</f>
        <v>18316.2</v>
      </c>
      <c r="F9" s="6" t="s">
        <v>35</v>
      </c>
      <c r="G9" s="6" t="s">
        <v>18</v>
      </c>
      <c r="H9" s="6" t="n">
        <f aca="true">ROUND(RAND()*4+6,1)</f>
        <v>9.9</v>
      </c>
      <c r="I9" s="6" t="s">
        <v>36</v>
      </c>
      <c r="J9" s="6" t="str">
        <f aca="false">ROUND(63*1,0)&amp;"%"</f>
        <v>63%</v>
      </c>
    </row>
    <row r="10" customFormat="false" ht="15" hidden="false" customHeight="false" outlineLevel="0" collapsed="false">
      <c r="A10" s="5" t="s">
        <v>6279</v>
      </c>
      <c r="B10" s="5" t="s">
        <v>38</v>
      </c>
      <c r="C10" s="5" t="s">
        <v>15</v>
      </c>
      <c r="D10" s="5" t="s">
        <v>39</v>
      </c>
      <c r="E10" s="5" t="n">
        <f aca="false">ROUND(10675*1.05,2)</f>
        <v>11208.75</v>
      </c>
      <c r="F10" s="5" t="s">
        <v>40</v>
      </c>
      <c r="G10" s="5" t="s">
        <v>24</v>
      </c>
      <c r="H10" s="5" t="n">
        <f aca="true">ROUND(RAND()*4+6,1)</f>
        <v>9.3</v>
      </c>
      <c r="I10" s="5" t="s">
        <v>41</v>
      </c>
      <c r="J10" s="5" t="str">
        <f aca="false">ROUND(65*1,0)&amp;"%"</f>
        <v>65%</v>
      </c>
    </row>
    <row r="11" customFormat="false" ht="15" hidden="false" customHeight="false" outlineLevel="0" collapsed="false">
      <c r="A11" s="6" t="s">
        <v>6280</v>
      </c>
      <c r="B11" s="6" t="s">
        <v>43</v>
      </c>
      <c r="C11" s="6" t="s">
        <v>15</v>
      </c>
      <c r="D11" s="6" t="s">
        <v>44</v>
      </c>
      <c r="E11" s="6" t="n">
        <f aca="false">ROUND(12692*1.05,2)</f>
        <v>13326.6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ROUND(91*1,0)&amp;"%"</f>
        <v>91%</v>
      </c>
    </row>
    <row r="12" customFormat="false" ht="15" hidden="false" customHeight="false" outlineLevel="0" collapsed="false">
      <c r="A12" s="5" t="s">
        <v>6281</v>
      </c>
      <c r="B12" s="5" t="s">
        <v>48</v>
      </c>
      <c r="C12" s="5" t="s">
        <v>15</v>
      </c>
      <c r="D12" s="5" t="s">
        <v>16</v>
      </c>
      <c r="E12" s="5" t="n">
        <f aca="false">ROUND(10875*1.05,2)</f>
        <v>11418.75</v>
      </c>
      <c r="F12" s="5" t="s">
        <v>49</v>
      </c>
      <c r="G12" s="5" t="s">
        <v>18</v>
      </c>
      <c r="H12" s="5" t="n">
        <f aca="true">ROUND(RAND()*4+6,1)</f>
        <v>7.9</v>
      </c>
      <c r="I12" s="5" t="s">
        <v>19</v>
      </c>
      <c r="J12" s="5" t="str">
        <f aca="false">ROUND(90*1,0)&amp;"%"</f>
        <v>90%</v>
      </c>
    </row>
    <row r="13" customFormat="false" ht="15" hidden="false" customHeight="false" outlineLevel="0" collapsed="false">
      <c r="A13" s="6" t="s">
        <v>6282</v>
      </c>
      <c r="B13" s="6" t="s">
        <v>51</v>
      </c>
      <c r="C13" s="6" t="s">
        <v>15</v>
      </c>
      <c r="D13" s="6" t="s">
        <v>22</v>
      </c>
      <c r="E13" s="6" t="n">
        <f aca="false">ROUND(6659*1.05,2)</f>
        <v>6991.95</v>
      </c>
      <c r="F13" s="6" t="s">
        <v>52</v>
      </c>
      <c r="G13" s="6" t="s">
        <v>24</v>
      </c>
      <c r="H13" s="6" t="n">
        <f aca="true">ROUND(RAND()*4+6,1)</f>
        <v>8.7</v>
      </c>
      <c r="I13" s="6" t="s">
        <v>25</v>
      </c>
      <c r="J13" s="6" t="str">
        <f aca="false">ROUND(77*1,0)&amp;"%"</f>
        <v>77%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6283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6284</v>
      </c>
      <c r="B18" s="5" t="s">
        <v>56</v>
      </c>
      <c r="C18" s="5" t="s">
        <v>57</v>
      </c>
      <c r="D18" s="5" t="s">
        <v>16</v>
      </c>
      <c r="E18" s="5" t="n">
        <f aca="false">ROUND(16736*1.05,2)</f>
        <v>17572.8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ROUND(66*1,0)&amp;"%"</f>
        <v>66%</v>
      </c>
    </row>
    <row r="19" customFormat="false" ht="15" hidden="false" customHeight="false" outlineLevel="0" collapsed="false">
      <c r="A19" s="6" t="s">
        <v>6285</v>
      </c>
      <c r="B19" s="6" t="s">
        <v>59</v>
      </c>
      <c r="C19" s="6" t="s">
        <v>57</v>
      </c>
      <c r="D19" s="6" t="s">
        <v>22</v>
      </c>
      <c r="E19" s="6" t="n">
        <f aca="false">ROUND(16189*1.05,2)</f>
        <v>16998.45</v>
      </c>
      <c r="F19" s="6" t="s">
        <v>23</v>
      </c>
      <c r="G19" s="6" t="s">
        <v>24</v>
      </c>
      <c r="H19" s="6" t="n">
        <f aca="true">ROUND(RAND()*4+6,1)</f>
        <v>6.6</v>
      </c>
      <c r="I19" s="6" t="s">
        <v>25</v>
      </c>
      <c r="J19" s="6" t="str">
        <f aca="false">ROUND(66*1,0)&amp;"%"</f>
        <v>66%</v>
      </c>
    </row>
    <row r="20" customFormat="false" ht="15" hidden="false" customHeight="false" outlineLevel="0" collapsed="false">
      <c r="A20" s="5" t="s">
        <v>6286</v>
      </c>
      <c r="B20" s="5" t="s">
        <v>61</v>
      </c>
      <c r="C20" s="5" t="s">
        <v>57</v>
      </c>
      <c r="D20" s="5" t="s">
        <v>28</v>
      </c>
      <c r="E20" s="5" t="n">
        <f aca="false">ROUND(11680*1.05,2)</f>
        <v>12264</v>
      </c>
      <c r="F20" s="5" t="s">
        <v>29</v>
      </c>
      <c r="G20" s="5" t="s">
        <v>30</v>
      </c>
      <c r="H20" s="5" t="n">
        <f aca="true">ROUND(RAND()*4+6,1)</f>
        <v>9.8</v>
      </c>
      <c r="I20" s="5" t="s">
        <v>31</v>
      </c>
      <c r="J20" s="5" t="str">
        <f aca="false">ROUND(85*1,0)&amp;"%"</f>
        <v>85%</v>
      </c>
    </row>
    <row r="21" customFormat="false" ht="15" hidden="false" customHeight="false" outlineLevel="0" collapsed="false">
      <c r="A21" s="6" t="s">
        <v>6287</v>
      </c>
      <c r="B21" s="6" t="s">
        <v>63</v>
      </c>
      <c r="C21" s="6" t="s">
        <v>57</v>
      </c>
      <c r="D21" s="6" t="s">
        <v>34</v>
      </c>
      <c r="E21" s="6" t="n">
        <f aca="false">ROUND(7629*1.05,2)</f>
        <v>8010.45</v>
      </c>
      <c r="F21" s="6" t="s">
        <v>35</v>
      </c>
      <c r="G21" s="6" t="s">
        <v>18</v>
      </c>
      <c r="H21" s="6" t="n">
        <f aca="true">ROUND(RAND()*4+6,1)</f>
        <v>7.8</v>
      </c>
      <c r="I21" s="6" t="s">
        <v>36</v>
      </c>
      <c r="J21" s="6" t="str">
        <f aca="false">ROUND(62*1,0)&amp;"%"</f>
        <v>62%</v>
      </c>
    </row>
    <row r="22" customFormat="false" ht="15" hidden="false" customHeight="false" outlineLevel="0" collapsed="false">
      <c r="A22" s="5" t="s">
        <v>6288</v>
      </c>
      <c r="B22" s="5" t="s">
        <v>65</v>
      </c>
      <c r="C22" s="5" t="s">
        <v>57</v>
      </c>
      <c r="D22" s="5" t="s">
        <v>39</v>
      </c>
      <c r="E22" s="5" t="n">
        <f aca="false">ROUND(13272*1.05,2)</f>
        <v>13935.6</v>
      </c>
      <c r="F22" s="5" t="s">
        <v>40</v>
      </c>
      <c r="G22" s="5" t="s">
        <v>24</v>
      </c>
      <c r="H22" s="5" t="n">
        <f aca="true">ROUND(RAND()*4+6,1)</f>
        <v>9.6</v>
      </c>
      <c r="I22" s="5" t="s">
        <v>41</v>
      </c>
      <c r="J22" s="5" t="str">
        <f aca="false">ROUND(100*1,0)&amp;"%"</f>
        <v>100%</v>
      </c>
    </row>
    <row r="23" customFormat="false" ht="15" hidden="false" customHeight="false" outlineLevel="0" collapsed="false">
      <c r="A23" s="6" t="s">
        <v>6289</v>
      </c>
      <c r="B23" s="6" t="s">
        <v>67</v>
      </c>
      <c r="C23" s="6" t="s">
        <v>57</v>
      </c>
      <c r="D23" s="6" t="s">
        <v>44</v>
      </c>
      <c r="E23" s="6" t="n">
        <f aca="false">ROUND(4181*1.05,2)</f>
        <v>4390.05</v>
      </c>
      <c r="F23" s="6" t="s">
        <v>45</v>
      </c>
      <c r="G23" s="6" t="s">
        <v>30</v>
      </c>
      <c r="H23" s="6" t="n">
        <f aca="true">ROUND(RAND()*4+6,1)</f>
        <v>6</v>
      </c>
      <c r="I23" s="6" t="s">
        <v>46</v>
      </c>
      <c r="J23" s="6" t="str">
        <f aca="false">ROUND(77*1,0)&amp;"%"</f>
        <v>77%</v>
      </c>
    </row>
    <row r="24" customFormat="false" ht="15" hidden="false" customHeight="false" outlineLevel="0" collapsed="false">
      <c r="A24" s="5" t="s">
        <v>6290</v>
      </c>
      <c r="B24" s="5" t="s">
        <v>69</v>
      </c>
      <c r="C24" s="5" t="s">
        <v>57</v>
      </c>
      <c r="D24" s="5" t="s">
        <v>16</v>
      </c>
      <c r="E24" s="5" t="n">
        <f aca="false">ROUND(4954*1.05,2)</f>
        <v>5201.7</v>
      </c>
      <c r="F24" s="5" t="s">
        <v>49</v>
      </c>
      <c r="G24" s="5" t="s">
        <v>18</v>
      </c>
      <c r="H24" s="5" t="n">
        <f aca="true">ROUND(RAND()*4+6,1)</f>
        <v>9.2</v>
      </c>
      <c r="I24" s="5" t="s">
        <v>19</v>
      </c>
      <c r="J24" s="5" t="str">
        <f aca="false">ROUND(62*1,0)&amp;"%"</f>
        <v>62%</v>
      </c>
    </row>
    <row r="25" customFormat="false" ht="15" hidden="false" customHeight="false" outlineLevel="0" collapsed="false">
      <c r="A25" s="6" t="s">
        <v>6291</v>
      </c>
      <c r="B25" s="6" t="s">
        <v>71</v>
      </c>
      <c r="C25" s="6" t="s">
        <v>57</v>
      </c>
      <c r="D25" s="6" t="s">
        <v>22</v>
      </c>
      <c r="E25" s="6" t="n">
        <f aca="false">ROUND(4172*1.05,2)</f>
        <v>4380.6</v>
      </c>
      <c r="F25" s="6" t="s">
        <v>52</v>
      </c>
      <c r="G25" s="6" t="s">
        <v>24</v>
      </c>
      <c r="H25" s="6" t="n">
        <f aca="true">ROUND(RAND()*4+6,1)</f>
        <v>8.8</v>
      </c>
      <c r="I25" s="6" t="s">
        <v>25</v>
      </c>
      <c r="J25" s="6" t="str">
        <f aca="false">ROUND(65*1,0)&amp;"%"</f>
        <v>65%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6292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6293</v>
      </c>
      <c r="B30" s="5" t="s">
        <v>75</v>
      </c>
      <c r="C30" s="5" t="s">
        <v>76</v>
      </c>
      <c r="D30" s="5" t="s">
        <v>16</v>
      </c>
      <c r="E30" s="5" t="n">
        <f aca="false">ROUND(7642*1.05,2)</f>
        <v>8024.1</v>
      </c>
      <c r="F30" s="5" t="s">
        <v>17</v>
      </c>
      <c r="G30" s="5" t="s">
        <v>18</v>
      </c>
      <c r="H30" s="5" t="n">
        <f aca="true">ROUND(RAND()*4+6,1)</f>
        <v>6.9</v>
      </c>
      <c r="I30" s="5" t="s">
        <v>19</v>
      </c>
      <c r="J30" s="5" t="str">
        <f aca="false">ROUND(90*1,0)&amp;"%"</f>
        <v>90%</v>
      </c>
    </row>
    <row r="31" customFormat="false" ht="15" hidden="false" customHeight="false" outlineLevel="0" collapsed="false">
      <c r="A31" s="6" t="s">
        <v>6294</v>
      </c>
      <c r="B31" s="6" t="s">
        <v>78</v>
      </c>
      <c r="C31" s="6" t="s">
        <v>76</v>
      </c>
      <c r="D31" s="6" t="s">
        <v>22</v>
      </c>
      <c r="E31" s="6" t="n">
        <f aca="false">ROUND(16307*1.05,2)</f>
        <v>17122.35</v>
      </c>
      <c r="F31" s="6" t="s">
        <v>23</v>
      </c>
      <c r="G31" s="6" t="s">
        <v>24</v>
      </c>
      <c r="H31" s="6" t="n">
        <f aca="true">ROUND(RAND()*4+6,1)</f>
        <v>8.9</v>
      </c>
      <c r="I31" s="6" t="s">
        <v>25</v>
      </c>
      <c r="J31" s="6" t="str">
        <f aca="false">ROUND(69*1,0)&amp;"%"</f>
        <v>69%</v>
      </c>
    </row>
    <row r="32" customFormat="false" ht="15" hidden="false" customHeight="false" outlineLevel="0" collapsed="false">
      <c r="A32" s="5" t="s">
        <v>6295</v>
      </c>
      <c r="B32" s="5" t="s">
        <v>80</v>
      </c>
      <c r="C32" s="5" t="s">
        <v>76</v>
      </c>
      <c r="D32" s="5" t="s">
        <v>28</v>
      </c>
      <c r="E32" s="5" t="n">
        <f aca="false">ROUND(11457*1.05,2)</f>
        <v>12029.85</v>
      </c>
      <c r="F32" s="5" t="s">
        <v>29</v>
      </c>
      <c r="G32" s="5" t="s">
        <v>30</v>
      </c>
      <c r="H32" s="5" t="n">
        <f aca="true">ROUND(RAND()*4+6,1)</f>
        <v>9.4</v>
      </c>
      <c r="I32" s="5" t="s">
        <v>31</v>
      </c>
      <c r="J32" s="5" t="str">
        <f aca="false">ROUND(61*1,0)&amp;"%"</f>
        <v>61%</v>
      </c>
    </row>
    <row r="33" customFormat="false" ht="15" hidden="false" customHeight="false" outlineLevel="0" collapsed="false">
      <c r="A33" s="6" t="s">
        <v>6296</v>
      </c>
      <c r="B33" s="6" t="s">
        <v>82</v>
      </c>
      <c r="C33" s="6" t="s">
        <v>76</v>
      </c>
      <c r="D33" s="6" t="s">
        <v>34</v>
      </c>
      <c r="E33" s="6" t="n">
        <f aca="false">ROUND(16382*1.05,2)</f>
        <v>17201.1</v>
      </c>
      <c r="F33" s="6" t="s">
        <v>35</v>
      </c>
      <c r="G33" s="6" t="s">
        <v>18</v>
      </c>
      <c r="H33" s="6" t="n">
        <f aca="true">ROUND(RAND()*4+6,1)</f>
        <v>8.9</v>
      </c>
      <c r="I33" s="6" t="s">
        <v>36</v>
      </c>
      <c r="J33" s="6" t="str">
        <f aca="false">ROUND(62*1,0)&amp;"%"</f>
        <v>62%</v>
      </c>
    </row>
    <row r="34" customFormat="false" ht="15" hidden="false" customHeight="false" outlineLevel="0" collapsed="false">
      <c r="A34" s="5" t="s">
        <v>6297</v>
      </c>
      <c r="B34" s="5" t="s">
        <v>84</v>
      </c>
      <c r="C34" s="5" t="s">
        <v>76</v>
      </c>
      <c r="D34" s="5" t="s">
        <v>39</v>
      </c>
      <c r="E34" s="5" t="n">
        <f aca="false">ROUND(4065*1.05,2)</f>
        <v>4268.25</v>
      </c>
      <c r="F34" s="5" t="s">
        <v>40</v>
      </c>
      <c r="G34" s="5" t="s">
        <v>24</v>
      </c>
      <c r="H34" s="5" t="n">
        <f aca="true">ROUND(RAND()*4+6,1)</f>
        <v>8.6</v>
      </c>
      <c r="I34" s="5" t="s">
        <v>41</v>
      </c>
      <c r="J34" s="5" t="str">
        <f aca="false">ROUND(62*1,0)&amp;"%"</f>
        <v>62%</v>
      </c>
    </row>
    <row r="35" customFormat="false" ht="15" hidden="false" customHeight="false" outlineLevel="0" collapsed="false">
      <c r="A35" s="6" t="s">
        <v>6298</v>
      </c>
      <c r="B35" s="6" t="s">
        <v>86</v>
      </c>
      <c r="C35" s="6" t="s">
        <v>76</v>
      </c>
      <c r="D35" s="6" t="s">
        <v>44</v>
      </c>
      <c r="E35" s="6" t="n">
        <f aca="false">ROUND(8824*1.05,2)</f>
        <v>9265.2</v>
      </c>
      <c r="F35" s="6" t="s">
        <v>45</v>
      </c>
      <c r="G35" s="6" t="s">
        <v>30</v>
      </c>
      <c r="H35" s="6" t="n">
        <f aca="true">ROUND(RAND()*4+6,1)</f>
        <v>9.7</v>
      </c>
      <c r="I35" s="6" t="s">
        <v>46</v>
      </c>
      <c r="J35" s="6" t="str">
        <f aca="false">ROUND(92*1,0)&amp;"%"</f>
        <v>92%</v>
      </c>
    </row>
    <row r="36" customFormat="false" ht="15" hidden="false" customHeight="false" outlineLevel="0" collapsed="false">
      <c r="A36" s="5" t="s">
        <v>6299</v>
      </c>
      <c r="B36" s="5" t="s">
        <v>88</v>
      </c>
      <c r="C36" s="5" t="s">
        <v>76</v>
      </c>
      <c r="D36" s="5" t="s">
        <v>16</v>
      </c>
      <c r="E36" s="5" t="n">
        <f aca="false">ROUND(16374*1.05,2)</f>
        <v>17192.7</v>
      </c>
      <c r="F36" s="5" t="s">
        <v>49</v>
      </c>
      <c r="G36" s="5" t="s">
        <v>18</v>
      </c>
      <c r="H36" s="5" t="n">
        <f aca="true">ROUND(RAND()*4+6,1)</f>
        <v>6.3</v>
      </c>
      <c r="I36" s="5" t="s">
        <v>19</v>
      </c>
      <c r="J36" s="5" t="str">
        <f aca="false">ROUND(71*1,0)&amp;"%"</f>
        <v>71%</v>
      </c>
    </row>
    <row r="37" customFormat="false" ht="15" hidden="false" customHeight="false" outlineLevel="0" collapsed="false">
      <c r="A37" s="6" t="s">
        <v>6300</v>
      </c>
      <c r="B37" s="6" t="s">
        <v>90</v>
      </c>
      <c r="C37" s="6" t="s">
        <v>76</v>
      </c>
      <c r="D37" s="6" t="s">
        <v>22</v>
      </c>
      <c r="E37" s="6" t="n">
        <f aca="false">ROUND(9338*1.05,2)</f>
        <v>9804.9</v>
      </c>
      <c r="F37" s="6" t="s">
        <v>52</v>
      </c>
      <c r="G37" s="6" t="s">
        <v>24</v>
      </c>
      <c r="H37" s="6" t="n">
        <f aca="true">ROUND(RAND()*4+6,1)</f>
        <v>10</v>
      </c>
      <c r="I37" s="6" t="s">
        <v>25</v>
      </c>
      <c r="J37" s="6" t="str">
        <f aca="false">ROUND(69*1,0)&amp;"%"</f>
        <v>69%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6301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6302</v>
      </c>
      <c r="B42" s="5" t="s">
        <v>94</v>
      </c>
      <c r="C42" s="5" t="s">
        <v>95</v>
      </c>
      <c r="D42" s="5" t="s">
        <v>16</v>
      </c>
      <c r="E42" s="5" t="n">
        <f aca="false">ROUND(11522*1.05,2)</f>
        <v>12098.1</v>
      </c>
      <c r="F42" s="5" t="s">
        <v>17</v>
      </c>
      <c r="G42" s="5" t="s">
        <v>18</v>
      </c>
      <c r="H42" s="5" t="n">
        <f aca="true">ROUND(RAND()*4+6,1)</f>
        <v>6.1</v>
      </c>
      <c r="I42" s="5" t="s">
        <v>19</v>
      </c>
      <c r="J42" s="5" t="str">
        <f aca="false">ROUND(97*1,0)&amp;"%"</f>
        <v>97%</v>
      </c>
    </row>
    <row r="43" customFormat="false" ht="15" hidden="false" customHeight="false" outlineLevel="0" collapsed="false">
      <c r="A43" s="6" t="s">
        <v>6303</v>
      </c>
      <c r="B43" s="6" t="s">
        <v>97</v>
      </c>
      <c r="C43" s="6" t="s">
        <v>95</v>
      </c>
      <c r="D43" s="6" t="s">
        <v>22</v>
      </c>
      <c r="E43" s="6" t="n">
        <f aca="false">ROUND(6491*1.05,2)</f>
        <v>6815.55</v>
      </c>
      <c r="F43" s="6" t="s">
        <v>23</v>
      </c>
      <c r="G43" s="6" t="s">
        <v>24</v>
      </c>
      <c r="H43" s="6" t="n">
        <f aca="true">ROUND(RAND()*4+6,1)</f>
        <v>6.8</v>
      </c>
      <c r="I43" s="6" t="s">
        <v>25</v>
      </c>
      <c r="J43" s="6" t="str">
        <f aca="false">ROUND(99*1,0)&amp;"%"</f>
        <v>99%</v>
      </c>
    </row>
    <row r="44" customFormat="false" ht="15" hidden="false" customHeight="false" outlineLevel="0" collapsed="false">
      <c r="A44" s="5" t="s">
        <v>6304</v>
      </c>
      <c r="B44" s="5" t="s">
        <v>99</v>
      </c>
      <c r="C44" s="5" t="s">
        <v>95</v>
      </c>
      <c r="D44" s="5" t="s">
        <v>28</v>
      </c>
      <c r="E44" s="5" t="n">
        <f aca="false">ROUND(7744*1.05,2)</f>
        <v>8131.2</v>
      </c>
      <c r="F44" s="5" t="s">
        <v>29</v>
      </c>
      <c r="G44" s="5" t="s">
        <v>30</v>
      </c>
      <c r="H44" s="5" t="n">
        <f aca="true">ROUND(RAND()*4+6,1)</f>
        <v>9.9</v>
      </c>
      <c r="I44" s="5" t="s">
        <v>31</v>
      </c>
      <c r="J44" s="5" t="str">
        <f aca="false">ROUND(66*1,0)&amp;"%"</f>
        <v>66%</v>
      </c>
    </row>
    <row r="45" customFormat="false" ht="15" hidden="false" customHeight="false" outlineLevel="0" collapsed="false">
      <c r="A45" s="6" t="s">
        <v>6305</v>
      </c>
      <c r="B45" s="6" t="s">
        <v>101</v>
      </c>
      <c r="C45" s="6" t="s">
        <v>95</v>
      </c>
      <c r="D45" s="6" t="s">
        <v>34</v>
      </c>
      <c r="E45" s="6" t="n">
        <f aca="false">ROUND(15550*1.05,2)</f>
        <v>16327.5</v>
      </c>
      <c r="F45" s="6" t="s">
        <v>35</v>
      </c>
      <c r="G45" s="6" t="s">
        <v>18</v>
      </c>
      <c r="H45" s="6" t="n">
        <f aca="true">ROUND(RAND()*4+6,1)</f>
        <v>6.1</v>
      </c>
      <c r="I45" s="6" t="s">
        <v>36</v>
      </c>
      <c r="J45" s="6" t="str">
        <f aca="false">ROUND(76*1,0)&amp;"%"</f>
        <v>76%</v>
      </c>
    </row>
    <row r="46" customFormat="false" ht="15" hidden="false" customHeight="false" outlineLevel="0" collapsed="false">
      <c r="A46" s="5" t="s">
        <v>6306</v>
      </c>
      <c r="B46" s="5" t="s">
        <v>103</v>
      </c>
      <c r="C46" s="5" t="s">
        <v>95</v>
      </c>
      <c r="D46" s="5" t="s">
        <v>39</v>
      </c>
      <c r="E46" s="5" t="n">
        <f aca="false">ROUND(5521*1.05,2)</f>
        <v>5797.05</v>
      </c>
      <c r="F46" s="5" t="s">
        <v>40</v>
      </c>
      <c r="G46" s="5" t="s">
        <v>24</v>
      </c>
      <c r="H46" s="5" t="n">
        <f aca="true">ROUND(RAND()*4+6,1)</f>
        <v>7.2</v>
      </c>
      <c r="I46" s="5" t="s">
        <v>41</v>
      </c>
      <c r="J46" s="5" t="str">
        <f aca="false">ROUND(66*1,0)&amp;"%"</f>
        <v>66%</v>
      </c>
    </row>
    <row r="47" customFormat="false" ht="15" hidden="false" customHeight="false" outlineLevel="0" collapsed="false">
      <c r="A47" s="6" t="s">
        <v>6307</v>
      </c>
      <c r="B47" s="6" t="s">
        <v>105</v>
      </c>
      <c r="C47" s="6" t="s">
        <v>95</v>
      </c>
      <c r="D47" s="6" t="s">
        <v>44</v>
      </c>
      <c r="E47" s="6" t="n">
        <f aca="false">ROUND(14922*1.05,2)</f>
        <v>15668.1</v>
      </c>
      <c r="F47" s="6" t="s">
        <v>45</v>
      </c>
      <c r="G47" s="6" t="s">
        <v>30</v>
      </c>
      <c r="H47" s="6" t="n">
        <f aca="true">ROUND(RAND()*4+6,1)</f>
        <v>8.7</v>
      </c>
      <c r="I47" s="6" t="s">
        <v>46</v>
      </c>
      <c r="J47" s="6" t="str">
        <f aca="false">ROUND(89*1,0)&amp;"%"</f>
        <v>89%</v>
      </c>
    </row>
    <row r="48" customFormat="false" ht="15" hidden="false" customHeight="false" outlineLevel="0" collapsed="false">
      <c r="A48" s="5" t="s">
        <v>6308</v>
      </c>
      <c r="B48" s="5" t="s">
        <v>107</v>
      </c>
      <c r="C48" s="5" t="s">
        <v>95</v>
      </c>
      <c r="D48" s="5" t="s">
        <v>16</v>
      </c>
      <c r="E48" s="5" t="n">
        <f aca="false">ROUND(16619*1.05,2)</f>
        <v>17449.95</v>
      </c>
      <c r="F48" s="5" t="s">
        <v>49</v>
      </c>
      <c r="G48" s="5" t="s">
        <v>18</v>
      </c>
      <c r="H48" s="5" t="n">
        <f aca="true">ROUND(RAND()*4+6,1)</f>
        <v>9.2</v>
      </c>
      <c r="I48" s="5" t="s">
        <v>19</v>
      </c>
      <c r="J48" s="5" t="str">
        <f aca="false">ROUND(85*1,0)&amp;"%"</f>
        <v>85%</v>
      </c>
    </row>
    <row r="49" customFormat="false" ht="15" hidden="false" customHeight="false" outlineLevel="0" collapsed="false">
      <c r="A49" s="6" t="s">
        <v>6309</v>
      </c>
      <c r="B49" s="6" t="s">
        <v>109</v>
      </c>
      <c r="C49" s="6" t="s">
        <v>95</v>
      </c>
      <c r="D49" s="6" t="s">
        <v>22</v>
      </c>
      <c r="E49" s="6" t="n">
        <f aca="false">ROUND(7670*1.05,2)</f>
        <v>8053.5</v>
      </c>
      <c r="F49" s="6" t="s">
        <v>52</v>
      </c>
      <c r="G49" s="6" t="s">
        <v>24</v>
      </c>
      <c r="H49" s="6" t="n">
        <f aca="true">ROUND(RAND()*4+6,1)</f>
        <v>7.8</v>
      </c>
      <c r="I49" s="6" t="s">
        <v>25</v>
      </c>
      <c r="J49" s="6" t="str">
        <f aca="false">ROUND(62*1,0)&amp;"%"</f>
        <v>62%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6310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6311</v>
      </c>
      <c r="B54" s="5" t="s">
        <v>113</v>
      </c>
      <c r="C54" s="5" t="s">
        <v>114</v>
      </c>
      <c r="D54" s="5" t="s">
        <v>16</v>
      </c>
      <c r="E54" s="5" t="n">
        <f aca="false">ROUND(11196*1.05,2)</f>
        <v>11755.8</v>
      </c>
      <c r="F54" s="5" t="s">
        <v>17</v>
      </c>
      <c r="G54" s="5" t="s">
        <v>18</v>
      </c>
      <c r="H54" s="5" t="n">
        <f aca="true">ROUND(RAND()*4+6,1)</f>
        <v>7.2</v>
      </c>
      <c r="I54" s="5" t="s">
        <v>19</v>
      </c>
      <c r="J54" s="5" t="str">
        <f aca="false">ROUND(79*1,0)&amp;"%"</f>
        <v>79%</v>
      </c>
    </row>
    <row r="55" customFormat="false" ht="15" hidden="false" customHeight="false" outlineLevel="0" collapsed="false">
      <c r="A55" s="6" t="s">
        <v>6312</v>
      </c>
      <c r="B55" s="6" t="s">
        <v>116</v>
      </c>
      <c r="C55" s="6" t="s">
        <v>114</v>
      </c>
      <c r="D55" s="6" t="s">
        <v>22</v>
      </c>
      <c r="E55" s="6" t="n">
        <f aca="false">ROUND(17663*1.05,2)</f>
        <v>18546.15</v>
      </c>
      <c r="F55" s="6" t="s">
        <v>23</v>
      </c>
      <c r="G55" s="6" t="s">
        <v>24</v>
      </c>
      <c r="H55" s="6" t="n">
        <f aca="true">ROUND(RAND()*4+6,1)</f>
        <v>9.1</v>
      </c>
      <c r="I55" s="6" t="s">
        <v>25</v>
      </c>
      <c r="J55" s="6" t="str">
        <f aca="false">ROUND(70*1,0)&amp;"%"</f>
        <v>70%</v>
      </c>
    </row>
    <row r="56" customFormat="false" ht="15" hidden="false" customHeight="false" outlineLevel="0" collapsed="false">
      <c r="A56" s="5" t="s">
        <v>6313</v>
      </c>
      <c r="B56" s="5" t="s">
        <v>118</v>
      </c>
      <c r="C56" s="5" t="s">
        <v>114</v>
      </c>
      <c r="D56" s="5" t="s">
        <v>28</v>
      </c>
      <c r="E56" s="5" t="n">
        <f aca="false">ROUND(12570*1.05,2)</f>
        <v>13198.5</v>
      </c>
      <c r="F56" s="5" t="s">
        <v>29</v>
      </c>
      <c r="G56" s="5" t="s">
        <v>30</v>
      </c>
      <c r="H56" s="5" t="n">
        <f aca="true">ROUND(RAND()*4+6,1)</f>
        <v>6.2</v>
      </c>
      <c r="I56" s="5" t="s">
        <v>31</v>
      </c>
      <c r="J56" s="5" t="str">
        <f aca="false">ROUND(88*1,0)&amp;"%"</f>
        <v>88%</v>
      </c>
    </row>
    <row r="57" customFormat="false" ht="15" hidden="false" customHeight="false" outlineLevel="0" collapsed="false">
      <c r="A57" s="6" t="s">
        <v>6314</v>
      </c>
      <c r="B57" s="6" t="s">
        <v>120</v>
      </c>
      <c r="C57" s="6" t="s">
        <v>114</v>
      </c>
      <c r="D57" s="6" t="s">
        <v>34</v>
      </c>
      <c r="E57" s="6" t="n">
        <f aca="false">ROUND(15192*1.05,2)</f>
        <v>15951.6</v>
      </c>
      <c r="F57" s="6" t="s">
        <v>35</v>
      </c>
      <c r="G57" s="6" t="s">
        <v>18</v>
      </c>
      <c r="H57" s="6" t="n">
        <f aca="true">ROUND(RAND()*4+6,1)</f>
        <v>6.7</v>
      </c>
      <c r="I57" s="6" t="s">
        <v>36</v>
      </c>
      <c r="J57" s="6" t="str">
        <f aca="false">ROUND(63*1,0)&amp;"%"</f>
        <v>63%</v>
      </c>
    </row>
    <row r="58" customFormat="false" ht="15" hidden="false" customHeight="false" outlineLevel="0" collapsed="false">
      <c r="A58" s="5" t="s">
        <v>6315</v>
      </c>
      <c r="B58" s="5" t="s">
        <v>122</v>
      </c>
      <c r="C58" s="5" t="s">
        <v>114</v>
      </c>
      <c r="D58" s="5" t="s">
        <v>39</v>
      </c>
      <c r="E58" s="5" t="n">
        <f aca="false">ROUND(13635*1.05,2)</f>
        <v>14316.75</v>
      </c>
      <c r="F58" s="5" t="s">
        <v>40</v>
      </c>
      <c r="G58" s="5" t="s">
        <v>24</v>
      </c>
      <c r="H58" s="5" t="n">
        <f aca="true">ROUND(RAND()*4+6,1)</f>
        <v>6.5</v>
      </c>
      <c r="I58" s="5" t="s">
        <v>41</v>
      </c>
      <c r="J58" s="5" t="str">
        <f aca="false">ROUND(87*1,0)&amp;"%"</f>
        <v>87%</v>
      </c>
    </row>
    <row r="59" customFormat="false" ht="15" hidden="false" customHeight="false" outlineLevel="0" collapsed="false">
      <c r="A59" s="6" t="s">
        <v>6316</v>
      </c>
      <c r="B59" s="6" t="s">
        <v>124</v>
      </c>
      <c r="C59" s="6" t="s">
        <v>114</v>
      </c>
      <c r="D59" s="6" t="s">
        <v>44</v>
      </c>
      <c r="E59" s="6" t="n">
        <f aca="false">ROUND(4229*1.05,2)</f>
        <v>4440.45</v>
      </c>
      <c r="F59" s="6" t="s">
        <v>45</v>
      </c>
      <c r="G59" s="6" t="s">
        <v>30</v>
      </c>
      <c r="H59" s="6" t="n">
        <f aca="true">ROUND(RAND()*4+6,1)</f>
        <v>6.4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6317</v>
      </c>
      <c r="B60" s="5" t="s">
        <v>126</v>
      </c>
      <c r="C60" s="5" t="s">
        <v>114</v>
      </c>
      <c r="D60" s="5" t="s">
        <v>16</v>
      </c>
      <c r="E60" s="5" t="n">
        <f aca="false">ROUND(13410*1.05,2)</f>
        <v>14080.5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ROUND(90*1,0)&amp;"%"</f>
        <v>90%</v>
      </c>
    </row>
    <row r="61" customFormat="false" ht="15" hidden="false" customHeight="false" outlineLevel="0" collapsed="false">
      <c r="A61" s="6" t="s">
        <v>6318</v>
      </c>
      <c r="B61" s="6" t="s">
        <v>128</v>
      </c>
      <c r="C61" s="6" t="s">
        <v>114</v>
      </c>
      <c r="D61" s="6" t="s">
        <v>22</v>
      </c>
      <c r="E61" s="6" t="n">
        <f aca="false">ROUND(5557*1.05,2)</f>
        <v>5834.85</v>
      </c>
      <c r="F61" s="6" t="s">
        <v>52</v>
      </c>
      <c r="G61" s="6" t="s">
        <v>24</v>
      </c>
      <c r="H61" s="6" t="n">
        <f aca="true">ROUND(RAND()*4+6,1)</f>
        <v>9.4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6319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6320</v>
      </c>
      <c r="B66" s="5" t="s">
        <v>132</v>
      </c>
      <c r="C66" s="5" t="s">
        <v>133</v>
      </c>
      <c r="D66" s="5" t="s">
        <v>16</v>
      </c>
      <c r="E66" s="5" t="n">
        <f aca="false">ROUND(4122*1.05,2)</f>
        <v>4328.1</v>
      </c>
      <c r="F66" s="5" t="s">
        <v>17</v>
      </c>
      <c r="G66" s="5" t="s">
        <v>18</v>
      </c>
      <c r="H66" s="5" t="n">
        <f aca="true">ROUND(RAND()*4+6,1)</f>
        <v>7.3</v>
      </c>
      <c r="I66" s="5" t="s">
        <v>19</v>
      </c>
      <c r="J66" s="5" t="str">
        <f aca="false">ROUND(66*1,0)&amp;"%"</f>
        <v>66%</v>
      </c>
    </row>
    <row r="67" customFormat="false" ht="15" hidden="false" customHeight="false" outlineLevel="0" collapsed="false">
      <c r="A67" s="6" t="s">
        <v>6321</v>
      </c>
      <c r="B67" s="6" t="s">
        <v>135</v>
      </c>
      <c r="C67" s="6" t="s">
        <v>133</v>
      </c>
      <c r="D67" s="6" t="s">
        <v>22</v>
      </c>
      <c r="E67" s="6" t="n">
        <f aca="false">ROUND(13233*1.05,2)</f>
        <v>13894.65</v>
      </c>
      <c r="F67" s="6" t="s">
        <v>23</v>
      </c>
      <c r="G67" s="6" t="s">
        <v>24</v>
      </c>
      <c r="H67" s="6" t="n">
        <f aca="true">ROUND(RAND()*4+6,1)</f>
        <v>8.2</v>
      </c>
      <c r="I67" s="6" t="s">
        <v>25</v>
      </c>
      <c r="J67" s="6" t="str">
        <f aca="false">ROUND(95*1,0)&amp;"%"</f>
        <v>95%</v>
      </c>
    </row>
    <row r="68" customFormat="false" ht="15" hidden="false" customHeight="false" outlineLevel="0" collapsed="false">
      <c r="A68" s="5" t="s">
        <v>6322</v>
      </c>
      <c r="B68" s="5" t="s">
        <v>137</v>
      </c>
      <c r="C68" s="5" t="s">
        <v>133</v>
      </c>
      <c r="D68" s="5" t="s">
        <v>28</v>
      </c>
      <c r="E68" s="5" t="n">
        <f aca="false">ROUND(8477*1.05,2)</f>
        <v>8900.85</v>
      </c>
      <c r="F68" s="5" t="s">
        <v>29</v>
      </c>
      <c r="G68" s="5" t="s">
        <v>30</v>
      </c>
      <c r="H68" s="5" t="n">
        <f aca="true">ROUND(RAND()*4+6,1)</f>
        <v>9.2</v>
      </c>
      <c r="I68" s="5" t="s">
        <v>31</v>
      </c>
      <c r="J68" s="5" t="str">
        <f aca="false">ROUND(71*1,0)&amp;"%"</f>
        <v>71%</v>
      </c>
    </row>
    <row r="69" customFormat="false" ht="15" hidden="false" customHeight="false" outlineLevel="0" collapsed="false">
      <c r="A69" s="6" t="s">
        <v>6323</v>
      </c>
      <c r="B69" s="6" t="s">
        <v>139</v>
      </c>
      <c r="C69" s="6" t="s">
        <v>133</v>
      </c>
      <c r="D69" s="6" t="s">
        <v>34</v>
      </c>
      <c r="E69" s="6" t="n">
        <f aca="false">ROUND(16090*1.05,2)</f>
        <v>16894.5</v>
      </c>
      <c r="F69" s="6" t="s">
        <v>35</v>
      </c>
      <c r="G69" s="6" t="s">
        <v>18</v>
      </c>
      <c r="H69" s="6" t="n">
        <f aca="true">ROUND(RAND()*4+6,1)</f>
        <v>9.6</v>
      </c>
      <c r="I69" s="6" t="s">
        <v>36</v>
      </c>
      <c r="J69" s="6" t="str">
        <f aca="false">ROUND(77*1,0)&amp;"%"</f>
        <v>77%</v>
      </c>
    </row>
    <row r="70" customFormat="false" ht="15" hidden="false" customHeight="false" outlineLevel="0" collapsed="false">
      <c r="A70" s="5" t="s">
        <v>6324</v>
      </c>
      <c r="B70" s="5" t="s">
        <v>141</v>
      </c>
      <c r="C70" s="5" t="s">
        <v>133</v>
      </c>
      <c r="D70" s="5" t="s">
        <v>39</v>
      </c>
      <c r="E70" s="5" t="n">
        <f aca="false">ROUND(13129*1.05,2)</f>
        <v>13785.45</v>
      </c>
      <c r="F70" s="5" t="s">
        <v>40</v>
      </c>
      <c r="G70" s="5" t="s">
        <v>24</v>
      </c>
      <c r="H70" s="5" t="n">
        <f aca="true">ROUND(RAND()*4+6,1)</f>
        <v>6.5</v>
      </c>
      <c r="I70" s="5" t="s">
        <v>41</v>
      </c>
      <c r="J70" s="5" t="str">
        <f aca="false">ROUND(92*1,0)&amp;"%"</f>
        <v>92%</v>
      </c>
    </row>
    <row r="71" customFormat="false" ht="15" hidden="false" customHeight="false" outlineLevel="0" collapsed="false">
      <c r="A71" s="6" t="s">
        <v>6325</v>
      </c>
      <c r="B71" s="6" t="s">
        <v>143</v>
      </c>
      <c r="C71" s="6" t="s">
        <v>133</v>
      </c>
      <c r="D71" s="6" t="s">
        <v>44</v>
      </c>
      <c r="E71" s="6" t="n">
        <f aca="false">ROUND(15417*1.05,2)</f>
        <v>16187.85</v>
      </c>
      <c r="F71" s="6" t="s">
        <v>45</v>
      </c>
      <c r="G71" s="6" t="s">
        <v>30</v>
      </c>
      <c r="H71" s="6" t="n">
        <f aca="true">ROUND(RAND()*4+6,1)</f>
        <v>6.6</v>
      </c>
      <c r="I71" s="6" t="s">
        <v>46</v>
      </c>
      <c r="J71" s="6" t="str">
        <f aca="false">ROUND(63*1,0)&amp;"%"</f>
        <v>63%</v>
      </c>
    </row>
    <row r="72" customFormat="false" ht="15" hidden="false" customHeight="false" outlineLevel="0" collapsed="false">
      <c r="A72" s="5" t="s">
        <v>6326</v>
      </c>
      <c r="B72" s="5" t="s">
        <v>145</v>
      </c>
      <c r="C72" s="5" t="s">
        <v>133</v>
      </c>
      <c r="D72" s="5" t="s">
        <v>16</v>
      </c>
      <c r="E72" s="5" t="n">
        <f aca="false">ROUND(13844*1.05,2)</f>
        <v>14536.2</v>
      </c>
      <c r="F72" s="5" t="s">
        <v>49</v>
      </c>
      <c r="G72" s="5" t="s">
        <v>18</v>
      </c>
      <c r="H72" s="5" t="n">
        <f aca="true">ROUND(RAND()*4+6,1)</f>
        <v>8.1</v>
      </c>
      <c r="I72" s="5" t="s">
        <v>19</v>
      </c>
      <c r="J72" s="5" t="str">
        <f aca="false">ROUND(79*1,0)&amp;"%"</f>
        <v>79%</v>
      </c>
    </row>
    <row r="73" customFormat="false" ht="15" hidden="false" customHeight="false" outlineLevel="0" collapsed="false">
      <c r="A73" s="6" t="s">
        <v>6327</v>
      </c>
      <c r="B73" s="6" t="s">
        <v>147</v>
      </c>
      <c r="C73" s="6" t="s">
        <v>133</v>
      </c>
      <c r="D73" s="6" t="s">
        <v>22</v>
      </c>
      <c r="E73" s="6" t="n">
        <f aca="false">ROUND(10976*1.05,2)</f>
        <v>11524.8</v>
      </c>
      <c r="F73" s="6" t="s">
        <v>52</v>
      </c>
      <c r="G73" s="6" t="s">
        <v>24</v>
      </c>
      <c r="H73" s="6" t="n">
        <f aca="true">ROUND(RAND()*4+6,1)</f>
        <v>8.6</v>
      </c>
      <c r="I73" s="6" t="s">
        <v>25</v>
      </c>
      <c r="J73" s="6" t="str">
        <f aca="false">ROUND(96*1,0)&amp;"%"</f>
        <v>96%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6328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6329</v>
      </c>
      <c r="B78" s="5" t="s">
        <v>151</v>
      </c>
      <c r="C78" s="5" t="s">
        <v>152</v>
      </c>
      <c r="D78" s="5" t="s">
        <v>16</v>
      </c>
      <c r="E78" s="5" t="n">
        <f aca="false">ROUND(8188*1.05,2)</f>
        <v>8597.4</v>
      </c>
      <c r="F78" s="5" t="s">
        <v>17</v>
      </c>
      <c r="G78" s="5" t="s">
        <v>18</v>
      </c>
      <c r="H78" s="5" t="n">
        <f aca="true">ROUND(RAND()*4+6,1)</f>
        <v>6.6</v>
      </c>
      <c r="I78" s="5" t="s">
        <v>19</v>
      </c>
      <c r="J78" s="5" t="str">
        <f aca="false">ROUND(85*1,0)&amp;"%"</f>
        <v>85%</v>
      </c>
    </row>
    <row r="79" customFormat="false" ht="15" hidden="false" customHeight="false" outlineLevel="0" collapsed="false">
      <c r="A79" s="6" t="s">
        <v>6330</v>
      </c>
      <c r="B79" s="6" t="s">
        <v>154</v>
      </c>
      <c r="C79" s="6" t="s">
        <v>152</v>
      </c>
      <c r="D79" s="6" t="s">
        <v>22</v>
      </c>
      <c r="E79" s="6" t="n">
        <f aca="false">ROUND(13664*1.05,2)</f>
        <v>14347.2</v>
      </c>
      <c r="F79" s="6" t="s">
        <v>23</v>
      </c>
      <c r="G79" s="6" t="s">
        <v>24</v>
      </c>
      <c r="H79" s="6" t="n">
        <f aca="true">ROUND(RAND()*4+6,1)</f>
        <v>8.9</v>
      </c>
      <c r="I79" s="6" t="s">
        <v>25</v>
      </c>
      <c r="J79" s="6" t="str">
        <f aca="false">ROUND(97*1,0)&amp;"%"</f>
        <v>97%</v>
      </c>
    </row>
    <row r="80" customFormat="false" ht="15" hidden="false" customHeight="false" outlineLevel="0" collapsed="false">
      <c r="A80" s="5" t="s">
        <v>6331</v>
      </c>
      <c r="B80" s="5" t="s">
        <v>156</v>
      </c>
      <c r="C80" s="5" t="s">
        <v>152</v>
      </c>
      <c r="D80" s="5" t="s">
        <v>28</v>
      </c>
      <c r="E80" s="5" t="n">
        <f aca="false">ROUND(5660*1.05,2)</f>
        <v>5943</v>
      </c>
      <c r="F80" s="5" t="s">
        <v>29</v>
      </c>
      <c r="G80" s="5" t="s">
        <v>30</v>
      </c>
      <c r="H80" s="5" t="n">
        <f aca="true">ROUND(RAND()*4+6,1)</f>
        <v>8.4</v>
      </c>
      <c r="I80" s="5" t="s">
        <v>31</v>
      </c>
      <c r="J80" s="5" t="str">
        <f aca="false">ROUND(62*1,0)&amp;"%"</f>
        <v>62%</v>
      </c>
    </row>
    <row r="81" customFormat="false" ht="15" hidden="false" customHeight="false" outlineLevel="0" collapsed="false">
      <c r="A81" s="6" t="s">
        <v>6332</v>
      </c>
      <c r="B81" s="6" t="s">
        <v>158</v>
      </c>
      <c r="C81" s="6" t="s">
        <v>152</v>
      </c>
      <c r="D81" s="6" t="s">
        <v>34</v>
      </c>
      <c r="E81" s="6" t="n">
        <f aca="false">ROUND(5158*1.05,2)</f>
        <v>5415.9</v>
      </c>
      <c r="F81" s="6" t="s">
        <v>35</v>
      </c>
      <c r="G81" s="6" t="s">
        <v>18</v>
      </c>
      <c r="H81" s="6" t="n">
        <f aca="true">ROUND(RAND()*4+6,1)</f>
        <v>6.9</v>
      </c>
      <c r="I81" s="6" t="s">
        <v>36</v>
      </c>
      <c r="J81" s="6" t="str">
        <f aca="false">ROUND(63*1,0)&amp;"%"</f>
        <v>63%</v>
      </c>
    </row>
    <row r="82" customFormat="false" ht="15" hidden="false" customHeight="false" outlineLevel="0" collapsed="false">
      <c r="A82" s="5" t="s">
        <v>6333</v>
      </c>
      <c r="B82" s="5" t="s">
        <v>160</v>
      </c>
      <c r="C82" s="5" t="s">
        <v>152</v>
      </c>
      <c r="D82" s="5" t="s">
        <v>39</v>
      </c>
      <c r="E82" s="5" t="n">
        <f aca="false">ROUND(12819*1.05,2)</f>
        <v>13459.95</v>
      </c>
      <c r="F82" s="5" t="s">
        <v>40</v>
      </c>
      <c r="G82" s="5" t="s">
        <v>24</v>
      </c>
      <c r="H82" s="5" t="n">
        <f aca="true">ROUND(RAND()*4+6,1)</f>
        <v>6.2</v>
      </c>
      <c r="I82" s="5" t="s">
        <v>41</v>
      </c>
      <c r="J82" s="5" t="str">
        <f aca="false">ROUND(93*1,0)&amp;"%"</f>
        <v>93%</v>
      </c>
    </row>
    <row r="83" customFormat="false" ht="15" hidden="false" customHeight="false" outlineLevel="0" collapsed="false">
      <c r="A83" s="6" t="s">
        <v>6334</v>
      </c>
      <c r="B83" s="6" t="s">
        <v>162</v>
      </c>
      <c r="C83" s="6" t="s">
        <v>152</v>
      </c>
      <c r="D83" s="6" t="s">
        <v>44</v>
      </c>
      <c r="E83" s="6" t="n">
        <f aca="false">ROUND(7355*1.05,2)</f>
        <v>7722.75</v>
      </c>
      <c r="F83" s="6" t="s">
        <v>45</v>
      </c>
      <c r="G83" s="6" t="s">
        <v>30</v>
      </c>
      <c r="H83" s="6" t="n">
        <f aca="true">ROUND(RAND()*4+6,1)</f>
        <v>8.3</v>
      </c>
      <c r="I83" s="6" t="s">
        <v>46</v>
      </c>
      <c r="J83" s="6" t="str">
        <f aca="false">ROUND(81*1,0)&amp;"%"</f>
        <v>81%</v>
      </c>
    </row>
    <row r="84" customFormat="false" ht="15" hidden="false" customHeight="false" outlineLevel="0" collapsed="false">
      <c r="A84" s="5" t="s">
        <v>6335</v>
      </c>
      <c r="B84" s="5" t="s">
        <v>164</v>
      </c>
      <c r="C84" s="5" t="s">
        <v>152</v>
      </c>
      <c r="D84" s="5" t="s">
        <v>16</v>
      </c>
      <c r="E84" s="5" t="n">
        <f aca="false">ROUND(11665*1.05,2)</f>
        <v>12248.25</v>
      </c>
      <c r="F84" s="5" t="s">
        <v>49</v>
      </c>
      <c r="G84" s="5" t="s">
        <v>18</v>
      </c>
      <c r="H84" s="5" t="n">
        <f aca="true">ROUND(RAND()*4+6,1)</f>
        <v>7</v>
      </c>
      <c r="I84" s="5" t="s">
        <v>19</v>
      </c>
      <c r="J84" s="5" t="str">
        <f aca="false">ROUND(83*1,0)&amp;"%"</f>
        <v>83%</v>
      </c>
    </row>
    <row r="85" customFormat="false" ht="15" hidden="false" customHeight="false" outlineLevel="0" collapsed="false">
      <c r="A85" s="6" t="s">
        <v>6336</v>
      </c>
      <c r="B85" s="6" t="s">
        <v>166</v>
      </c>
      <c r="C85" s="6" t="s">
        <v>152</v>
      </c>
      <c r="D85" s="6" t="s">
        <v>22</v>
      </c>
      <c r="E85" s="6" t="n">
        <f aca="false">ROUND(17281*1.05,2)</f>
        <v>18145.05</v>
      </c>
      <c r="F85" s="6" t="s">
        <v>52</v>
      </c>
      <c r="G85" s="6" t="s">
        <v>24</v>
      </c>
      <c r="H85" s="6" t="n">
        <f aca="true">ROUND(RAND()*4+6,1)</f>
        <v>8.3</v>
      </c>
      <c r="I85" s="6" t="s">
        <v>25</v>
      </c>
      <c r="J85" s="6" t="str">
        <f aca="false">ROUND(93*1,0)&amp;"%"</f>
        <v>93%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6337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6338</v>
      </c>
      <c r="B90" s="5" t="s">
        <v>170</v>
      </c>
      <c r="C90" s="5" t="s">
        <v>15</v>
      </c>
      <c r="D90" s="5" t="s">
        <v>16</v>
      </c>
      <c r="E90" s="5" t="n">
        <f aca="false">ROUND(16233*1.05,2)</f>
        <v>17044.65</v>
      </c>
      <c r="F90" s="5" t="s">
        <v>17</v>
      </c>
      <c r="G90" s="5" t="s">
        <v>18</v>
      </c>
      <c r="H90" s="5" t="n">
        <f aca="true">ROUND(RAND()*4+6,1)</f>
        <v>8.7</v>
      </c>
      <c r="I90" s="5" t="s">
        <v>19</v>
      </c>
      <c r="J90" s="5" t="str">
        <f aca="false">ROUND(88*1,0)&amp;"%"</f>
        <v>88%</v>
      </c>
    </row>
    <row r="91" customFormat="false" ht="15" hidden="false" customHeight="false" outlineLevel="0" collapsed="false">
      <c r="A91" s="6" t="s">
        <v>6339</v>
      </c>
      <c r="B91" s="6" t="s">
        <v>172</v>
      </c>
      <c r="C91" s="6" t="s">
        <v>15</v>
      </c>
      <c r="D91" s="6" t="s">
        <v>22</v>
      </c>
      <c r="E91" s="6" t="n">
        <f aca="false">ROUND(11547*1.05,2)</f>
        <v>12124.35</v>
      </c>
      <c r="F91" s="6" t="s">
        <v>23</v>
      </c>
      <c r="G91" s="6" t="s">
        <v>24</v>
      </c>
      <c r="H91" s="6" t="n">
        <f aca="true">ROUND(RAND()*4+6,1)</f>
        <v>9.6</v>
      </c>
      <c r="I91" s="6" t="s">
        <v>25</v>
      </c>
      <c r="J91" s="6" t="str">
        <f aca="false">ROUND(72*1,0)&amp;"%"</f>
        <v>72%</v>
      </c>
    </row>
    <row r="92" customFormat="false" ht="15" hidden="false" customHeight="false" outlineLevel="0" collapsed="false">
      <c r="A92" s="5" t="s">
        <v>6340</v>
      </c>
      <c r="B92" s="5" t="s">
        <v>174</v>
      </c>
      <c r="C92" s="5" t="s">
        <v>15</v>
      </c>
      <c r="D92" s="5" t="s">
        <v>28</v>
      </c>
      <c r="E92" s="5" t="n">
        <f aca="false">ROUND(7820*1.05,2)</f>
        <v>8211</v>
      </c>
      <c r="F92" s="5" t="s">
        <v>29</v>
      </c>
      <c r="G92" s="5" t="s">
        <v>30</v>
      </c>
      <c r="H92" s="5" t="n">
        <f aca="true">ROUND(RAND()*4+6,1)</f>
        <v>7.6</v>
      </c>
      <c r="I92" s="5" t="s">
        <v>31</v>
      </c>
      <c r="J92" s="5" t="str">
        <f aca="false">ROUND(88*1,0)&amp;"%"</f>
        <v>88%</v>
      </c>
    </row>
    <row r="93" customFormat="false" ht="15" hidden="false" customHeight="false" outlineLevel="0" collapsed="false">
      <c r="A93" s="6" t="s">
        <v>6341</v>
      </c>
      <c r="B93" s="6" t="s">
        <v>176</v>
      </c>
      <c r="C93" s="6" t="s">
        <v>15</v>
      </c>
      <c r="D93" s="6" t="s">
        <v>34</v>
      </c>
      <c r="E93" s="6" t="n">
        <f aca="false">ROUND(14393*1.05,2)</f>
        <v>15112.65</v>
      </c>
      <c r="F93" s="6" t="s">
        <v>35</v>
      </c>
      <c r="G93" s="6" t="s">
        <v>18</v>
      </c>
      <c r="H93" s="6" t="n">
        <f aca="true">ROUND(RAND()*4+6,1)</f>
        <v>8.4</v>
      </c>
      <c r="I93" s="6" t="s">
        <v>36</v>
      </c>
      <c r="J93" s="6" t="str">
        <f aca="false">ROUND(68*1,0)&amp;"%"</f>
        <v>68%</v>
      </c>
    </row>
    <row r="94" customFormat="false" ht="15" hidden="false" customHeight="false" outlineLevel="0" collapsed="false">
      <c r="A94" s="5" t="s">
        <v>6342</v>
      </c>
      <c r="B94" s="5" t="s">
        <v>178</v>
      </c>
      <c r="C94" s="5" t="s">
        <v>15</v>
      </c>
      <c r="D94" s="5" t="s">
        <v>39</v>
      </c>
      <c r="E94" s="5" t="n">
        <f aca="false">ROUND(17491*1.05,2)</f>
        <v>18365.55</v>
      </c>
      <c r="F94" s="5" t="s">
        <v>40</v>
      </c>
      <c r="G94" s="5" t="s">
        <v>24</v>
      </c>
      <c r="H94" s="5" t="n">
        <f aca="true">ROUND(RAND()*4+6,1)</f>
        <v>8.7</v>
      </c>
      <c r="I94" s="5" t="s">
        <v>41</v>
      </c>
      <c r="J94" s="5" t="str">
        <f aca="false">ROUND(64*1,0)&amp;"%"</f>
        <v>64%</v>
      </c>
    </row>
    <row r="95" customFormat="false" ht="15" hidden="false" customHeight="false" outlineLevel="0" collapsed="false">
      <c r="A95" s="6" t="s">
        <v>6343</v>
      </c>
      <c r="B95" s="6" t="s">
        <v>180</v>
      </c>
      <c r="C95" s="6" t="s">
        <v>15</v>
      </c>
      <c r="D95" s="6" t="s">
        <v>44</v>
      </c>
      <c r="E95" s="6" t="n">
        <f aca="false">ROUND(17565*1.05,2)</f>
        <v>18443.25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ROUND(71*1,0)&amp;"%"</f>
        <v>71%</v>
      </c>
    </row>
    <row r="96" customFormat="false" ht="15" hidden="false" customHeight="false" outlineLevel="0" collapsed="false">
      <c r="A96" s="5" t="s">
        <v>6344</v>
      </c>
      <c r="B96" s="5" t="s">
        <v>182</v>
      </c>
      <c r="C96" s="5" t="s">
        <v>15</v>
      </c>
      <c r="D96" s="5" t="s">
        <v>16</v>
      </c>
      <c r="E96" s="5" t="n">
        <f aca="false">ROUND(11428*1.05,2)</f>
        <v>11999.4</v>
      </c>
      <c r="F96" s="5" t="s">
        <v>49</v>
      </c>
      <c r="G96" s="5" t="s">
        <v>18</v>
      </c>
      <c r="H96" s="5" t="n">
        <f aca="true">ROUND(RAND()*4+6,1)</f>
        <v>9.7</v>
      </c>
      <c r="I96" s="5" t="s">
        <v>19</v>
      </c>
      <c r="J96" s="5" t="str">
        <f aca="false">ROUND(84*1,0)&amp;"%"</f>
        <v>84%</v>
      </c>
    </row>
    <row r="97" customFormat="false" ht="15" hidden="false" customHeight="false" outlineLevel="0" collapsed="false">
      <c r="A97" s="6" t="s">
        <v>6345</v>
      </c>
      <c r="B97" s="6" t="s">
        <v>184</v>
      </c>
      <c r="C97" s="6" t="s">
        <v>15</v>
      </c>
      <c r="D97" s="6" t="s">
        <v>22</v>
      </c>
      <c r="E97" s="6" t="n">
        <f aca="false">ROUND(12471*1.05,2)</f>
        <v>13094.55</v>
      </c>
      <c r="F97" s="6" t="s">
        <v>52</v>
      </c>
      <c r="G97" s="6" t="s">
        <v>24</v>
      </c>
      <c r="H97" s="6" t="n">
        <f aca="true">ROUND(RAND()*4+6,1)</f>
        <v>8.4</v>
      </c>
      <c r="I97" s="6" t="s">
        <v>25</v>
      </c>
      <c r="J97" s="6" t="str">
        <f aca="false">ROUND(67*1,0)&amp;"%"</f>
        <v>67%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6346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6347</v>
      </c>
      <c r="B102" s="5" t="s">
        <v>188</v>
      </c>
      <c r="C102" s="5" t="s">
        <v>57</v>
      </c>
      <c r="D102" s="5" t="s">
        <v>16</v>
      </c>
      <c r="E102" s="5" t="n">
        <f aca="false">ROUND(7853*1.05,2)</f>
        <v>8245.65</v>
      </c>
      <c r="F102" s="5" t="s">
        <v>17</v>
      </c>
      <c r="G102" s="5" t="s">
        <v>18</v>
      </c>
      <c r="H102" s="5" t="n">
        <f aca="true">ROUND(RAND()*4+6,1)</f>
        <v>8.5</v>
      </c>
      <c r="I102" s="5" t="s">
        <v>19</v>
      </c>
      <c r="J102" s="5" t="str">
        <f aca="false">ROUND(61*1,0)&amp;"%"</f>
        <v>61%</v>
      </c>
    </row>
    <row r="103" customFormat="false" ht="15" hidden="false" customHeight="false" outlineLevel="0" collapsed="false">
      <c r="A103" s="6" t="s">
        <v>6348</v>
      </c>
      <c r="B103" s="6" t="s">
        <v>190</v>
      </c>
      <c r="C103" s="6" t="s">
        <v>57</v>
      </c>
      <c r="D103" s="6" t="s">
        <v>22</v>
      </c>
      <c r="E103" s="6" t="n">
        <f aca="false">ROUND(6011*1.05,2)</f>
        <v>6311.55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ROUND(69*1,0)&amp;"%"</f>
        <v>69%</v>
      </c>
    </row>
    <row r="104" customFormat="false" ht="15" hidden="false" customHeight="false" outlineLevel="0" collapsed="false">
      <c r="A104" s="5" t="s">
        <v>6349</v>
      </c>
      <c r="B104" s="5" t="s">
        <v>192</v>
      </c>
      <c r="C104" s="5" t="s">
        <v>57</v>
      </c>
      <c r="D104" s="5" t="s">
        <v>28</v>
      </c>
      <c r="E104" s="5" t="n">
        <f aca="false">ROUND(10289*1.05,2)</f>
        <v>10803.45</v>
      </c>
      <c r="F104" s="5" t="s">
        <v>29</v>
      </c>
      <c r="G104" s="5" t="s">
        <v>30</v>
      </c>
      <c r="H104" s="5" t="n">
        <f aca="true">ROUND(RAND()*4+6,1)</f>
        <v>9.2</v>
      </c>
      <c r="I104" s="5" t="s">
        <v>31</v>
      </c>
      <c r="J104" s="5" t="str">
        <f aca="false">ROUND(65*1,0)&amp;"%"</f>
        <v>65%</v>
      </c>
    </row>
    <row r="105" customFormat="false" ht="15" hidden="false" customHeight="false" outlineLevel="0" collapsed="false">
      <c r="A105" s="6" t="s">
        <v>6350</v>
      </c>
      <c r="B105" s="6" t="s">
        <v>194</v>
      </c>
      <c r="C105" s="6" t="s">
        <v>57</v>
      </c>
      <c r="D105" s="6" t="s">
        <v>34</v>
      </c>
      <c r="E105" s="6" t="n">
        <f aca="false">ROUND(11960*1.05,2)</f>
        <v>12558</v>
      </c>
      <c r="F105" s="6" t="s">
        <v>35</v>
      </c>
      <c r="G105" s="6" t="s">
        <v>18</v>
      </c>
      <c r="H105" s="6" t="n">
        <f aca="true">ROUND(RAND()*4+6,1)</f>
        <v>8.6</v>
      </c>
      <c r="I105" s="6" t="s">
        <v>36</v>
      </c>
      <c r="J105" s="6" t="str">
        <f aca="false">ROUND(77*1,0)&amp;"%"</f>
        <v>77%</v>
      </c>
    </row>
    <row r="106" customFormat="false" ht="15" hidden="false" customHeight="false" outlineLevel="0" collapsed="false">
      <c r="A106" s="5" t="s">
        <v>6351</v>
      </c>
      <c r="B106" s="5" t="s">
        <v>196</v>
      </c>
      <c r="C106" s="5" t="s">
        <v>57</v>
      </c>
      <c r="D106" s="5" t="s">
        <v>39</v>
      </c>
      <c r="E106" s="5" t="n">
        <f aca="false">ROUND(4274*1.05,2)</f>
        <v>4487.7</v>
      </c>
      <c r="F106" s="5" t="s">
        <v>40</v>
      </c>
      <c r="G106" s="5" t="s">
        <v>24</v>
      </c>
      <c r="H106" s="5" t="n">
        <f aca="true">ROUND(RAND()*4+6,1)</f>
        <v>9.4</v>
      </c>
      <c r="I106" s="5" t="s">
        <v>41</v>
      </c>
      <c r="J106" s="5" t="str">
        <f aca="false">ROUND(98*1,0)&amp;"%"</f>
        <v>98%</v>
      </c>
    </row>
    <row r="107" customFormat="false" ht="15" hidden="false" customHeight="false" outlineLevel="0" collapsed="false">
      <c r="A107" s="6" t="s">
        <v>6352</v>
      </c>
      <c r="B107" s="6" t="s">
        <v>198</v>
      </c>
      <c r="C107" s="6" t="s">
        <v>57</v>
      </c>
      <c r="D107" s="6" t="s">
        <v>44</v>
      </c>
      <c r="E107" s="6" t="n">
        <f aca="false">ROUND(11714*1.05,2)</f>
        <v>12299.7</v>
      </c>
      <c r="F107" s="6" t="s">
        <v>45</v>
      </c>
      <c r="G107" s="6" t="s">
        <v>30</v>
      </c>
      <c r="H107" s="6" t="n">
        <f aca="true">ROUND(RAND()*4+6,1)</f>
        <v>6.1</v>
      </c>
      <c r="I107" s="6" t="s">
        <v>46</v>
      </c>
      <c r="J107" s="6" t="str">
        <f aca="false">ROUND(87*1,0)&amp;"%"</f>
        <v>87%</v>
      </c>
    </row>
    <row r="108" customFormat="false" ht="15" hidden="false" customHeight="false" outlineLevel="0" collapsed="false">
      <c r="A108" s="5" t="s">
        <v>6353</v>
      </c>
      <c r="B108" s="5" t="s">
        <v>200</v>
      </c>
      <c r="C108" s="5" t="s">
        <v>57</v>
      </c>
      <c r="D108" s="5" t="s">
        <v>16</v>
      </c>
      <c r="E108" s="5" t="n">
        <f aca="false">ROUND(9091*1.05,2)</f>
        <v>9545.55</v>
      </c>
      <c r="F108" s="5" t="s">
        <v>49</v>
      </c>
      <c r="G108" s="5" t="s">
        <v>18</v>
      </c>
      <c r="H108" s="5" t="n">
        <f aca="true">ROUND(RAND()*4+6,1)</f>
        <v>7.1</v>
      </c>
      <c r="I108" s="5" t="s">
        <v>19</v>
      </c>
      <c r="J108" s="5" t="str">
        <f aca="false">ROUND(85*1,0)&amp;"%"</f>
        <v>85%</v>
      </c>
    </row>
    <row r="109" customFormat="false" ht="15" hidden="false" customHeight="false" outlineLevel="0" collapsed="false">
      <c r="A109" s="6" t="s">
        <v>6354</v>
      </c>
      <c r="B109" s="6" t="s">
        <v>202</v>
      </c>
      <c r="C109" s="6" t="s">
        <v>57</v>
      </c>
      <c r="D109" s="6" t="s">
        <v>22</v>
      </c>
      <c r="E109" s="6" t="n">
        <f aca="false">ROUND(16428*1.05,2)</f>
        <v>17249.4</v>
      </c>
      <c r="F109" s="6" t="s">
        <v>52</v>
      </c>
      <c r="G109" s="6" t="s">
        <v>24</v>
      </c>
      <c r="H109" s="6" t="n">
        <f aca="true">ROUND(RAND()*4+6,1)</f>
        <v>6.3</v>
      </c>
      <c r="I109" s="6" t="s">
        <v>25</v>
      </c>
      <c r="J109" s="6" t="str">
        <f aca="false">ROUND(80*1,0)&amp;"%"</f>
        <v>80%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6355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6356</v>
      </c>
      <c r="B114" s="5" t="s">
        <v>206</v>
      </c>
      <c r="C114" s="5" t="s">
        <v>76</v>
      </c>
      <c r="D114" s="5" t="s">
        <v>16</v>
      </c>
      <c r="E114" s="5" t="n">
        <f aca="false">ROUND(7690*1.05,2)</f>
        <v>8074.5</v>
      </c>
      <c r="F114" s="5" t="s">
        <v>17</v>
      </c>
      <c r="G114" s="5" t="s">
        <v>18</v>
      </c>
      <c r="H114" s="5" t="n">
        <f aca="true">ROUND(RAND()*4+6,1)</f>
        <v>8.5</v>
      </c>
      <c r="I114" s="5" t="s">
        <v>19</v>
      </c>
      <c r="J114" s="5" t="str">
        <f aca="false">ROUND(62*1,0)&amp;"%"</f>
        <v>62%</v>
      </c>
    </row>
    <row r="115" customFormat="false" ht="15" hidden="false" customHeight="false" outlineLevel="0" collapsed="false">
      <c r="A115" s="6" t="s">
        <v>6357</v>
      </c>
      <c r="B115" s="6" t="s">
        <v>208</v>
      </c>
      <c r="C115" s="6" t="s">
        <v>76</v>
      </c>
      <c r="D115" s="6" t="s">
        <v>22</v>
      </c>
      <c r="E115" s="6" t="n">
        <f aca="false">ROUND(5325*1.05,2)</f>
        <v>5591.25</v>
      </c>
      <c r="F115" s="6" t="s">
        <v>23</v>
      </c>
      <c r="G115" s="6" t="s">
        <v>24</v>
      </c>
      <c r="H115" s="6" t="n">
        <f aca="true">ROUND(RAND()*4+6,1)</f>
        <v>6.3</v>
      </c>
      <c r="I115" s="6" t="s">
        <v>25</v>
      </c>
      <c r="J115" s="6" t="str">
        <f aca="false">ROUND(95*1,0)&amp;"%"</f>
        <v>95%</v>
      </c>
    </row>
    <row r="116" customFormat="false" ht="15" hidden="false" customHeight="false" outlineLevel="0" collapsed="false">
      <c r="A116" s="5" t="s">
        <v>6358</v>
      </c>
      <c r="B116" s="5" t="s">
        <v>210</v>
      </c>
      <c r="C116" s="5" t="s">
        <v>76</v>
      </c>
      <c r="D116" s="5" t="s">
        <v>28</v>
      </c>
      <c r="E116" s="5" t="n">
        <f aca="false">ROUND(17230*1.05,2)</f>
        <v>18091.5</v>
      </c>
      <c r="F116" s="5" t="s">
        <v>29</v>
      </c>
      <c r="G116" s="5" t="s">
        <v>30</v>
      </c>
      <c r="H116" s="5" t="n">
        <f aca="true">ROUND(RAND()*4+6,1)</f>
        <v>9.4</v>
      </c>
      <c r="I116" s="5" t="s">
        <v>31</v>
      </c>
      <c r="J116" s="5" t="str">
        <f aca="false">ROUND(80*1,0)&amp;"%"</f>
        <v>80%</v>
      </c>
    </row>
    <row r="117" customFormat="false" ht="15" hidden="false" customHeight="false" outlineLevel="0" collapsed="false">
      <c r="A117" s="6" t="s">
        <v>6359</v>
      </c>
      <c r="B117" s="6" t="s">
        <v>212</v>
      </c>
      <c r="C117" s="6" t="s">
        <v>76</v>
      </c>
      <c r="D117" s="6" t="s">
        <v>34</v>
      </c>
      <c r="E117" s="6" t="n">
        <f aca="false">ROUND(10834*1.05,2)</f>
        <v>11375.7</v>
      </c>
      <c r="F117" s="6" t="s">
        <v>35</v>
      </c>
      <c r="G117" s="6" t="s">
        <v>18</v>
      </c>
      <c r="H117" s="6" t="n">
        <f aca="true">ROUND(RAND()*4+6,1)</f>
        <v>6.7</v>
      </c>
      <c r="I117" s="6" t="s">
        <v>36</v>
      </c>
      <c r="J117" s="6" t="str">
        <f aca="false">ROUND(77*1,0)&amp;"%"</f>
        <v>77%</v>
      </c>
    </row>
    <row r="118" customFormat="false" ht="15" hidden="false" customHeight="false" outlineLevel="0" collapsed="false">
      <c r="A118" s="5" t="s">
        <v>6360</v>
      </c>
      <c r="B118" s="5" t="s">
        <v>214</v>
      </c>
      <c r="C118" s="5" t="s">
        <v>76</v>
      </c>
      <c r="D118" s="5" t="s">
        <v>39</v>
      </c>
      <c r="E118" s="5" t="n">
        <f aca="false">ROUND(4969*1.05,2)</f>
        <v>5217.45</v>
      </c>
      <c r="F118" s="5" t="s">
        <v>40</v>
      </c>
      <c r="G118" s="5" t="s">
        <v>24</v>
      </c>
      <c r="H118" s="5" t="n">
        <f aca="true">ROUND(RAND()*4+6,1)</f>
        <v>7.3</v>
      </c>
      <c r="I118" s="5" t="s">
        <v>41</v>
      </c>
      <c r="J118" s="5" t="str">
        <f aca="false">ROUND(84*1,0)&amp;"%"</f>
        <v>84%</v>
      </c>
    </row>
    <row r="119" customFormat="false" ht="15" hidden="false" customHeight="false" outlineLevel="0" collapsed="false">
      <c r="A119" s="6" t="s">
        <v>6361</v>
      </c>
      <c r="B119" s="6" t="s">
        <v>216</v>
      </c>
      <c r="C119" s="6" t="s">
        <v>76</v>
      </c>
      <c r="D119" s="6" t="s">
        <v>44</v>
      </c>
      <c r="E119" s="6" t="n">
        <f aca="false">ROUND(13077*1.05,2)</f>
        <v>13730.85</v>
      </c>
      <c r="F119" s="6" t="s">
        <v>45</v>
      </c>
      <c r="G119" s="6" t="s">
        <v>30</v>
      </c>
      <c r="H119" s="6" t="n">
        <f aca="true">ROUND(RAND()*4+6,1)</f>
        <v>9.4</v>
      </c>
      <c r="I119" s="6" t="s">
        <v>46</v>
      </c>
      <c r="J119" s="6" t="str">
        <f aca="false">ROUND(95*1,0)&amp;"%"</f>
        <v>95%</v>
      </c>
    </row>
    <row r="120" customFormat="false" ht="15" hidden="false" customHeight="false" outlineLevel="0" collapsed="false">
      <c r="A120" s="5" t="s">
        <v>6362</v>
      </c>
      <c r="B120" s="5" t="s">
        <v>218</v>
      </c>
      <c r="C120" s="5" t="s">
        <v>76</v>
      </c>
      <c r="D120" s="5" t="s">
        <v>16</v>
      </c>
      <c r="E120" s="5" t="n">
        <f aca="false">ROUND(11910*1.05,2)</f>
        <v>12505.5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ROUND(62*1,0)&amp;"%"</f>
        <v>62%</v>
      </c>
    </row>
    <row r="121" customFormat="false" ht="15" hidden="false" customHeight="false" outlineLevel="0" collapsed="false">
      <c r="A121" s="6" t="s">
        <v>6363</v>
      </c>
      <c r="B121" s="6" t="s">
        <v>220</v>
      </c>
      <c r="C121" s="6" t="s">
        <v>76</v>
      </c>
      <c r="D121" s="6" t="s">
        <v>22</v>
      </c>
      <c r="E121" s="6" t="n">
        <f aca="false">ROUND(15036*1.05,2)</f>
        <v>15787.8</v>
      </c>
      <c r="F121" s="6" t="s">
        <v>52</v>
      </c>
      <c r="G121" s="6" t="s">
        <v>24</v>
      </c>
      <c r="H121" s="6" t="n">
        <f aca="true">ROUND(RAND()*4+6,1)</f>
        <v>7.2</v>
      </c>
      <c r="I121" s="6" t="s">
        <v>25</v>
      </c>
      <c r="J121" s="6" t="str">
        <f aca="false">ROUND(77*1,0)&amp;"%"</f>
        <v>77%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6364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6365</v>
      </c>
      <c r="B126" s="5" t="s">
        <v>224</v>
      </c>
      <c r="C126" s="5" t="s">
        <v>95</v>
      </c>
      <c r="D126" s="5" t="s">
        <v>16</v>
      </c>
      <c r="E126" s="5" t="n">
        <f aca="false">ROUND(16301*1.05,2)</f>
        <v>17116.05</v>
      </c>
      <c r="F126" s="5" t="s">
        <v>17</v>
      </c>
      <c r="G126" s="5" t="s">
        <v>18</v>
      </c>
      <c r="H126" s="5" t="n">
        <f aca="true">ROUND(RAND()*4+6,1)</f>
        <v>7.5</v>
      </c>
      <c r="I126" s="5" t="s">
        <v>19</v>
      </c>
      <c r="J126" s="5" t="str">
        <f aca="false">ROUND(92*1,0)&amp;"%"</f>
        <v>92%</v>
      </c>
    </row>
    <row r="127" customFormat="false" ht="15" hidden="false" customHeight="false" outlineLevel="0" collapsed="false">
      <c r="A127" s="6" t="s">
        <v>6366</v>
      </c>
      <c r="B127" s="6" t="s">
        <v>226</v>
      </c>
      <c r="C127" s="6" t="s">
        <v>95</v>
      </c>
      <c r="D127" s="6" t="s">
        <v>22</v>
      </c>
      <c r="E127" s="6" t="n">
        <f aca="false">ROUND(10467*1.05,2)</f>
        <v>10990.35</v>
      </c>
      <c r="F127" s="6" t="s">
        <v>23</v>
      </c>
      <c r="G127" s="6" t="s">
        <v>24</v>
      </c>
      <c r="H127" s="6" t="n">
        <f aca="true">ROUND(RAND()*4+6,1)</f>
        <v>8.2</v>
      </c>
      <c r="I127" s="6" t="s">
        <v>25</v>
      </c>
      <c r="J127" s="6" t="str">
        <f aca="false">ROUND(79*1,0)&amp;"%"</f>
        <v>79%</v>
      </c>
    </row>
    <row r="128" customFormat="false" ht="15" hidden="false" customHeight="false" outlineLevel="0" collapsed="false">
      <c r="A128" s="5" t="s">
        <v>6367</v>
      </c>
      <c r="B128" s="5" t="s">
        <v>228</v>
      </c>
      <c r="C128" s="5" t="s">
        <v>95</v>
      </c>
      <c r="D128" s="5" t="s">
        <v>28</v>
      </c>
      <c r="E128" s="5" t="n">
        <f aca="false">ROUND(10921*1.05,2)</f>
        <v>11467.05</v>
      </c>
      <c r="F128" s="5" t="s">
        <v>29</v>
      </c>
      <c r="G128" s="5" t="s">
        <v>30</v>
      </c>
      <c r="H128" s="5" t="n">
        <f aca="true">ROUND(RAND()*4+6,1)</f>
        <v>8.1</v>
      </c>
      <c r="I128" s="5" t="s">
        <v>31</v>
      </c>
      <c r="J128" s="5" t="str">
        <f aca="false">ROUND(60*1,0)&amp;"%"</f>
        <v>60%</v>
      </c>
    </row>
    <row r="129" customFormat="false" ht="15" hidden="false" customHeight="false" outlineLevel="0" collapsed="false">
      <c r="A129" s="6" t="s">
        <v>6368</v>
      </c>
      <c r="B129" s="6" t="s">
        <v>230</v>
      </c>
      <c r="C129" s="6" t="s">
        <v>95</v>
      </c>
      <c r="D129" s="6" t="s">
        <v>34</v>
      </c>
      <c r="E129" s="6" t="n">
        <f aca="false">ROUND(4330*1.05,2)</f>
        <v>4546.5</v>
      </c>
      <c r="F129" s="6" t="s">
        <v>35</v>
      </c>
      <c r="G129" s="6" t="s">
        <v>18</v>
      </c>
      <c r="H129" s="6" t="n">
        <f aca="true">ROUND(RAND()*4+6,1)</f>
        <v>8.3</v>
      </c>
      <c r="I129" s="6" t="s">
        <v>36</v>
      </c>
      <c r="J129" s="6" t="str">
        <f aca="false">ROUND(87*1,0)&amp;"%"</f>
        <v>87%</v>
      </c>
    </row>
    <row r="130" customFormat="false" ht="15" hidden="false" customHeight="false" outlineLevel="0" collapsed="false">
      <c r="A130" s="5" t="s">
        <v>6369</v>
      </c>
      <c r="B130" s="5" t="s">
        <v>232</v>
      </c>
      <c r="C130" s="5" t="s">
        <v>95</v>
      </c>
      <c r="D130" s="5" t="s">
        <v>39</v>
      </c>
      <c r="E130" s="5" t="n">
        <f aca="false">ROUND(17034*1.05,2)</f>
        <v>17885.7</v>
      </c>
      <c r="F130" s="5" t="s">
        <v>40</v>
      </c>
      <c r="G130" s="5" t="s">
        <v>24</v>
      </c>
      <c r="H130" s="5" t="n">
        <f aca="true">ROUND(RAND()*4+6,1)</f>
        <v>7.2</v>
      </c>
      <c r="I130" s="5" t="s">
        <v>41</v>
      </c>
      <c r="J130" s="5" t="str">
        <f aca="false">ROUND(64*1,0)&amp;"%"</f>
        <v>64%</v>
      </c>
    </row>
    <row r="131" customFormat="false" ht="15" hidden="false" customHeight="false" outlineLevel="0" collapsed="false">
      <c r="A131" s="6" t="s">
        <v>6370</v>
      </c>
      <c r="B131" s="6" t="s">
        <v>234</v>
      </c>
      <c r="C131" s="6" t="s">
        <v>95</v>
      </c>
      <c r="D131" s="6" t="s">
        <v>44</v>
      </c>
      <c r="E131" s="6" t="n">
        <f aca="false">ROUND(16544*1.05,2)</f>
        <v>17371.2</v>
      </c>
      <c r="F131" s="6" t="s">
        <v>45</v>
      </c>
      <c r="G131" s="6" t="s">
        <v>30</v>
      </c>
      <c r="H131" s="6" t="n">
        <f aca="true">ROUND(RAND()*4+6,1)</f>
        <v>8.5</v>
      </c>
      <c r="I131" s="6" t="s">
        <v>46</v>
      </c>
      <c r="J131" s="6" t="str">
        <f aca="false">ROUND(91*1,0)&amp;"%"</f>
        <v>91%</v>
      </c>
    </row>
    <row r="132" customFormat="false" ht="15" hidden="false" customHeight="false" outlineLevel="0" collapsed="false">
      <c r="A132" s="5" t="s">
        <v>6371</v>
      </c>
      <c r="B132" s="5" t="s">
        <v>236</v>
      </c>
      <c r="C132" s="5" t="s">
        <v>95</v>
      </c>
      <c r="D132" s="5" t="s">
        <v>16</v>
      </c>
      <c r="E132" s="5" t="n">
        <f aca="false">ROUND(6587*1.05,2)</f>
        <v>6916.35</v>
      </c>
      <c r="F132" s="5" t="s">
        <v>49</v>
      </c>
      <c r="G132" s="5" t="s">
        <v>18</v>
      </c>
      <c r="H132" s="5" t="n">
        <f aca="true">ROUND(RAND()*4+6,1)</f>
        <v>7</v>
      </c>
      <c r="I132" s="5" t="s">
        <v>19</v>
      </c>
      <c r="J132" s="5" t="str">
        <f aca="false">ROUND(72*1,0)&amp;"%"</f>
        <v>72%</v>
      </c>
    </row>
    <row r="133" customFormat="false" ht="15" hidden="false" customHeight="false" outlineLevel="0" collapsed="false">
      <c r="A133" s="6" t="s">
        <v>6372</v>
      </c>
      <c r="B133" s="6" t="s">
        <v>238</v>
      </c>
      <c r="C133" s="6" t="s">
        <v>95</v>
      </c>
      <c r="D133" s="6" t="s">
        <v>22</v>
      </c>
      <c r="E133" s="6" t="n">
        <f aca="false">ROUND(12671*1.05,2)</f>
        <v>13304.55</v>
      </c>
      <c r="F133" s="6" t="s">
        <v>52</v>
      </c>
      <c r="G133" s="6" t="s">
        <v>24</v>
      </c>
      <c r="H133" s="6" t="n">
        <f aca="true">ROUND(RAND()*4+6,1)</f>
        <v>9.2</v>
      </c>
      <c r="I133" s="6" t="s">
        <v>25</v>
      </c>
      <c r="J133" s="6" t="str">
        <f aca="false">ROUND(100*1,0)&amp;"%"</f>
        <v>100%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6373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6374</v>
      </c>
      <c r="B138" s="5" t="s">
        <v>242</v>
      </c>
      <c r="C138" s="5" t="s">
        <v>114</v>
      </c>
      <c r="D138" s="5" t="s">
        <v>16</v>
      </c>
      <c r="E138" s="5" t="n">
        <f aca="false">ROUND(8207*1.05,2)</f>
        <v>8617.35</v>
      </c>
      <c r="F138" s="5" t="s">
        <v>17</v>
      </c>
      <c r="G138" s="5" t="s">
        <v>18</v>
      </c>
      <c r="H138" s="5" t="n">
        <f aca="true">ROUND(RAND()*4+6,1)</f>
        <v>9.9</v>
      </c>
      <c r="I138" s="5" t="s">
        <v>19</v>
      </c>
      <c r="J138" s="5" t="str">
        <f aca="false">ROUND(61*1,0)&amp;"%"</f>
        <v>61%</v>
      </c>
    </row>
    <row r="139" customFormat="false" ht="15" hidden="false" customHeight="false" outlineLevel="0" collapsed="false">
      <c r="A139" s="6" t="s">
        <v>6375</v>
      </c>
      <c r="B139" s="6" t="s">
        <v>244</v>
      </c>
      <c r="C139" s="6" t="s">
        <v>114</v>
      </c>
      <c r="D139" s="6" t="s">
        <v>22</v>
      </c>
      <c r="E139" s="6" t="n">
        <f aca="false">ROUND(9558*1.05,2)</f>
        <v>10035.9</v>
      </c>
      <c r="F139" s="6" t="s">
        <v>23</v>
      </c>
      <c r="G139" s="6" t="s">
        <v>24</v>
      </c>
      <c r="H139" s="6" t="n">
        <f aca="true">ROUND(RAND()*4+6,1)</f>
        <v>8.9</v>
      </c>
      <c r="I139" s="6" t="s">
        <v>25</v>
      </c>
      <c r="J139" s="6" t="str">
        <f aca="false">ROUND(95*1,0)&amp;"%"</f>
        <v>95%</v>
      </c>
    </row>
    <row r="140" customFormat="false" ht="15" hidden="false" customHeight="false" outlineLevel="0" collapsed="false">
      <c r="A140" s="5" t="s">
        <v>6376</v>
      </c>
      <c r="B140" s="5" t="s">
        <v>246</v>
      </c>
      <c r="C140" s="5" t="s">
        <v>114</v>
      </c>
      <c r="D140" s="5" t="s">
        <v>28</v>
      </c>
      <c r="E140" s="5" t="n">
        <f aca="false">ROUND(6668*1.05,2)</f>
        <v>7001.4</v>
      </c>
      <c r="F140" s="5" t="s">
        <v>29</v>
      </c>
      <c r="G140" s="5" t="s">
        <v>30</v>
      </c>
      <c r="H140" s="5" t="n">
        <f aca="true">ROUND(RAND()*4+6,1)</f>
        <v>9.7</v>
      </c>
      <c r="I140" s="5" t="s">
        <v>31</v>
      </c>
      <c r="J140" s="5" t="str">
        <f aca="false">ROUND(77*1,0)&amp;"%"</f>
        <v>77%</v>
      </c>
    </row>
    <row r="141" customFormat="false" ht="15" hidden="false" customHeight="false" outlineLevel="0" collapsed="false">
      <c r="A141" s="6" t="s">
        <v>6377</v>
      </c>
      <c r="B141" s="6" t="s">
        <v>248</v>
      </c>
      <c r="C141" s="6" t="s">
        <v>114</v>
      </c>
      <c r="D141" s="6" t="s">
        <v>34</v>
      </c>
      <c r="E141" s="6" t="n">
        <f aca="false">ROUND(8620*1.05,2)</f>
        <v>9051</v>
      </c>
      <c r="F141" s="6" t="s">
        <v>35</v>
      </c>
      <c r="G141" s="6" t="s">
        <v>18</v>
      </c>
      <c r="H141" s="6" t="n">
        <f aca="true">ROUND(RAND()*4+6,1)</f>
        <v>8.3</v>
      </c>
      <c r="I141" s="6" t="s">
        <v>36</v>
      </c>
      <c r="J141" s="6" t="str">
        <f aca="false">ROUND(94*1,0)&amp;"%"</f>
        <v>94%</v>
      </c>
    </row>
    <row r="142" customFormat="false" ht="15" hidden="false" customHeight="false" outlineLevel="0" collapsed="false">
      <c r="A142" s="5" t="s">
        <v>6378</v>
      </c>
      <c r="B142" s="5" t="s">
        <v>250</v>
      </c>
      <c r="C142" s="5" t="s">
        <v>114</v>
      </c>
      <c r="D142" s="5" t="s">
        <v>39</v>
      </c>
      <c r="E142" s="5" t="n">
        <f aca="false">ROUND(13072*1.05,2)</f>
        <v>13725.6</v>
      </c>
      <c r="F142" s="5" t="s">
        <v>40</v>
      </c>
      <c r="G142" s="5" t="s">
        <v>24</v>
      </c>
      <c r="H142" s="5" t="n">
        <f aca="true">ROUND(RAND()*4+6,1)</f>
        <v>8.5</v>
      </c>
      <c r="I142" s="5" t="s">
        <v>41</v>
      </c>
      <c r="J142" s="5" t="str">
        <f aca="false">ROUND(90*1,0)&amp;"%"</f>
        <v>90%</v>
      </c>
    </row>
    <row r="143" customFormat="false" ht="15" hidden="false" customHeight="false" outlineLevel="0" collapsed="false">
      <c r="A143" s="6" t="s">
        <v>6379</v>
      </c>
      <c r="B143" s="6" t="s">
        <v>252</v>
      </c>
      <c r="C143" s="6" t="s">
        <v>114</v>
      </c>
      <c r="D143" s="6" t="s">
        <v>44</v>
      </c>
      <c r="E143" s="6" t="n">
        <f aca="false">ROUND(9240*1.05,2)</f>
        <v>9702</v>
      </c>
      <c r="F143" s="6" t="s">
        <v>45</v>
      </c>
      <c r="G143" s="6" t="s">
        <v>30</v>
      </c>
      <c r="H143" s="6" t="n">
        <f aca="true">ROUND(RAND()*4+6,1)</f>
        <v>6.8</v>
      </c>
      <c r="I143" s="6" t="s">
        <v>46</v>
      </c>
      <c r="J143" s="6" t="str">
        <f aca="false">ROUND(90*1,0)&amp;"%"</f>
        <v>90%</v>
      </c>
    </row>
    <row r="144" customFormat="false" ht="15" hidden="false" customHeight="false" outlineLevel="0" collapsed="false">
      <c r="A144" s="5" t="s">
        <v>6380</v>
      </c>
      <c r="B144" s="5" t="s">
        <v>254</v>
      </c>
      <c r="C144" s="5" t="s">
        <v>114</v>
      </c>
      <c r="D144" s="5" t="s">
        <v>16</v>
      </c>
      <c r="E144" s="5" t="n">
        <f aca="false">ROUND(16163*1.05,2)</f>
        <v>16971.15</v>
      </c>
      <c r="F144" s="5" t="s">
        <v>49</v>
      </c>
      <c r="G144" s="5" t="s">
        <v>18</v>
      </c>
      <c r="H144" s="5" t="n">
        <f aca="true">ROUND(RAND()*4+6,1)</f>
        <v>8.5</v>
      </c>
      <c r="I144" s="5" t="s">
        <v>19</v>
      </c>
      <c r="J144" s="5" t="str">
        <f aca="false">ROUND(94*1,0)&amp;"%"</f>
        <v>94%</v>
      </c>
    </row>
    <row r="145" customFormat="false" ht="15" hidden="false" customHeight="false" outlineLevel="0" collapsed="false">
      <c r="A145" s="6" t="s">
        <v>6381</v>
      </c>
      <c r="B145" s="6" t="s">
        <v>256</v>
      </c>
      <c r="C145" s="6" t="s">
        <v>114</v>
      </c>
      <c r="D145" s="6" t="s">
        <v>22</v>
      </c>
      <c r="E145" s="6" t="n">
        <f aca="false">ROUND(5089*1.05,2)</f>
        <v>5343.45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ROUND(83*1,0)&amp;"%"</f>
        <v>83%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6382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6383</v>
      </c>
      <c r="B150" s="5" t="s">
        <v>260</v>
      </c>
      <c r="C150" s="5" t="s">
        <v>133</v>
      </c>
      <c r="D150" s="5" t="s">
        <v>16</v>
      </c>
      <c r="E150" s="5" t="n">
        <f aca="false">ROUND(17544*1.05,2)</f>
        <v>18421.2</v>
      </c>
      <c r="F150" s="5" t="s">
        <v>17</v>
      </c>
      <c r="G150" s="5" t="s">
        <v>18</v>
      </c>
      <c r="H150" s="5" t="n">
        <f aca="true">ROUND(RAND()*4+6,1)</f>
        <v>8.1</v>
      </c>
      <c r="I150" s="5" t="s">
        <v>19</v>
      </c>
      <c r="J150" s="5" t="str">
        <f aca="false">ROUND(94*1,0)&amp;"%"</f>
        <v>94%</v>
      </c>
    </row>
    <row r="151" customFormat="false" ht="15" hidden="false" customHeight="false" outlineLevel="0" collapsed="false">
      <c r="A151" s="6" t="s">
        <v>6384</v>
      </c>
      <c r="B151" s="6" t="s">
        <v>262</v>
      </c>
      <c r="C151" s="6" t="s">
        <v>133</v>
      </c>
      <c r="D151" s="6" t="s">
        <v>22</v>
      </c>
      <c r="E151" s="6" t="n">
        <f aca="false">ROUND(14104*1.05,2)</f>
        <v>14809.2</v>
      </c>
      <c r="F151" s="6" t="s">
        <v>23</v>
      </c>
      <c r="G151" s="6" t="s">
        <v>24</v>
      </c>
      <c r="H151" s="6" t="n">
        <f aca="true">ROUND(RAND()*4+6,1)</f>
        <v>8.9</v>
      </c>
      <c r="I151" s="6" t="s">
        <v>25</v>
      </c>
      <c r="J151" s="6" t="str">
        <f aca="false">ROUND(76*1,0)&amp;"%"</f>
        <v>76%</v>
      </c>
    </row>
    <row r="152" customFormat="false" ht="15" hidden="false" customHeight="false" outlineLevel="0" collapsed="false">
      <c r="A152" s="5" t="s">
        <v>6385</v>
      </c>
      <c r="B152" s="5" t="s">
        <v>264</v>
      </c>
      <c r="C152" s="5" t="s">
        <v>133</v>
      </c>
      <c r="D152" s="5" t="s">
        <v>28</v>
      </c>
      <c r="E152" s="5" t="n">
        <f aca="false">ROUND(5624*1.05,2)</f>
        <v>5905.2</v>
      </c>
      <c r="F152" s="5" t="s">
        <v>29</v>
      </c>
      <c r="G152" s="5" t="s">
        <v>30</v>
      </c>
      <c r="H152" s="5" t="n">
        <f aca="true">ROUND(RAND()*4+6,1)</f>
        <v>8.9</v>
      </c>
      <c r="I152" s="5" t="s">
        <v>31</v>
      </c>
      <c r="J152" s="5" t="str">
        <f aca="false">ROUND(69*1,0)&amp;"%"</f>
        <v>69%</v>
      </c>
    </row>
    <row r="153" customFormat="false" ht="15" hidden="false" customHeight="false" outlineLevel="0" collapsed="false">
      <c r="A153" s="6" t="s">
        <v>6386</v>
      </c>
      <c r="B153" s="6" t="s">
        <v>266</v>
      </c>
      <c r="C153" s="6" t="s">
        <v>133</v>
      </c>
      <c r="D153" s="6" t="s">
        <v>34</v>
      </c>
      <c r="E153" s="6" t="n">
        <f aca="false">ROUND(8054*1.05,2)</f>
        <v>8456.7</v>
      </c>
      <c r="F153" s="6" t="s">
        <v>35</v>
      </c>
      <c r="G153" s="6" t="s">
        <v>18</v>
      </c>
      <c r="H153" s="6" t="n">
        <f aca="true">ROUND(RAND()*4+6,1)</f>
        <v>8.2</v>
      </c>
      <c r="I153" s="6" t="s">
        <v>36</v>
      </c>
      <c r="J153" s="6" t="str">
        <f aca="false">ROUND(81*1,0)&amp;"%"</f>
        <v>81%</v>
      </c>
    </row>
    <row r="154" customFormat="false" ht="15" hidden="false" customHeight="false" outlineLevel="0" collapsed="false">
      <c r="A154" s="5" t="s">
        <v>6387</v>
      </c>
      <c r="B154" s="5" t="s">
        <v>268</v>
      </c>
      <c r="C154" s="5" t="s">
        <v>133</v>
      </c>
      <c r="D154" s="5" t="s">
        <v>39</v>
      </c>
      <c r="E154" s="5" t="n">
        <f aca="false">ROUND(11109*1.05,2)</f>
        <v>11664.45</v>
      </c>
      <c r="F154" s="5" t="s">
        <v>40</v>
      </c>
      <c r="G154" s="5" t="s">
        <v>24</v>
      </c>
      <c r="H154" s="5" t="n">
        <f aca="true">ROUND(RAND()*4+6,1)</f>
        <v>6.1</v>
      </c>
      <c r="I154" s="5" t="s">
        <v>41</v>
      </c>
      <c r="J154" s="5" t="str">
        <f aca="false">ROUND(78*1,0)&amp;"%"</f>
        <v>78%</v>
      </c>
    </row>
    <row r="155" customFormat="false" ht="15" hidden="false" customHeight="false" outlineLevel="0" collapsed="false">
      <c r="A155" s="6" t="s">
        <v>6388</v>
      </c>
      <c r="B155" s="6" t="s">
        <v>270</v>
      </c>
      <c r="C155" s="6" t="s">
        <v>133</v>
      </c>
      <c r="D155" s="6" t="s">
        <v>44</v>
      </c>
      <c r="E155" s="6" t="n">
        <f aca="false">ROUND(9786*1.05,2)</f>
        <v>10275.3</v>
      </c>
      <c r="F155" s="6" t="s">
        <v>45</v>
      </c>
      <c r="G155" s="6" t="s">
        <v>30</v>
      </c>
      <c r="H155" s="6" t="n">
        <f aca="true">ROUND(RAND()*4+6,1)</f>
        <v>8.1</v>
      </c>
      <c r="I155" s="6" t="s">
        <v>46</v>
      </c>
      <c r="J155" s="6" t="str">
        <f aca="false">ROUND(73*1,0)&amp;"%"</f>
        <v>73%</v>
      </c>
    </row>
    <row r="156" customFormat="false" ht="15" hidden="false" customHeight="false" outlineLevel="0" collapsed="false">
      <c r="A156" s="5" t="s">
        <v>6389</v>
      </c>
      <c r="B156" s="5" t="s">
        <v>272</v>
      </c>
      <c r="C156" s="5" t="s">
        <v>133</v>
      </c>
      <c r="D156" s="5" t="s">
        <v>16</v>
      </c>
      <c r="E156" s="5" t="n">
        <f aca="false">ROUND(6837*1.05,2)</f>
        <v>7178.85</v>
      </c>
      <c r="F156" s="5" t="s">
        <v>49</v>
      </c>
      <c r="G156" s="5" t="s">
        <v>18</v>
      </c>
      <c r="H156" s="5" t="n">
        <f aca="true">ROUND(RAND()*4+6,1)</f>
        <v>6.1</v>
      </c>
      <c r="I156" s="5" t="s">
        <v>19</v>
      </c>
      <c r="J156" s="5" t="str">
        <f aca="false">ROUND(62*1,0)&amp;"%"</f>
        <v>62%</v>
      </c>
    </row>
    <row r="157" customFormat="false" ht="15" hidden="false" customHeight="false" outlineLevel="0" collapsed="false">
      <c r="A157" s="6" t="s">
        <v>6390</v>
      </c>
      <c r="B157" s="6" t="s">
        <v>274</v>
      </c>
      <c r="C157" s="6" t="s">
        <v>133</v>
      </c>
      <c r="D157" s="6" t="s">
        <v>22</v>
      </c>
      <c r="E157" s="6" t="n">
        <f aca="false">ROUND(16397*1.05,2)</f>
        <v>17216.85</v>
      </c>
      <c r="F157" s="6" t="s">
        <v>52</v>
      </c>
      <c r="G157" s="6" t="s">
        <v>24</v>
      </c>
      <c r="H157" s="6" t="n">
        <f aca="true">ROUND(RAND()*4+6,1)</f>
        <v>9</v>
      </c>
      <c r="I157" s="6" t="s">
        <v>25</v>
      </c>
      <c r="J157" s="6" t="str">
        <f aca="false">ROUND(95*1,0)&amp;"%"</f>
        <v>95%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6391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6392</v>
      </c>
      <c r="B162" s="5" t="s">
        <v>278</v>
      </c>
      <c r="C162" s="5" t="s">
        <v>152</v>
      </c>
      <c r="D162" s="5" t="s">
        <v>16</v>
      </c>
      <c r="E162" s="5" t="n">
        <f aca="false">ROUND(4958*1.05,2)</f>
        <v>5205.9</v>
      </c>
      <c r="F162" s="5" t="s">
        <v>17</v>
      </c>
      <c r="G162" s="5" t="s">
        <v>18</v>
      </c>
      <c r="H162" s="5" t="n">
        <f aca="true">ROUND(RAND()*4+6,1)</f>
        <v>6.6</v>
      </c>
      <c r="I162" s="5" t="s">
        <v>19</v>
      </c>
      <c r="J162" s="5" t="str">
        <f aca="false">ROUND(65*1,0)&amp;"%"</f>
        <v>65%</v>
      </c>
    </row>
    <row r="163" customFormat="false" ht="15" hidden="false" customHeight="false" outlineLevel="0" collapsed="false">
      <c r="A163" s="6" t="s">
        <v>6393</v>
      </c>
      <c r="B163" s="6" t="s">
        <v>280</v>
      </c>
      <c r="C163" s="6" t="s">
        <v>152</v>
      </c>
      <c r="D163" s="6" t="s">
        <v>22</v>
      </c>
      <c r="E163" s="6" t="n">
        <f aca="false">ROUND(5429*1.05,2)</f>
        <v>5700.45</v>
      </c>
      <c r="F163" s="6" t="s">
        <v>23</v>
      </c>
      <c r="G163" s="6" t="s">
        <v>24</v>
      </c>
      <c r="H163" s="6" t="n">
        <f aca="true">ROUND(RAND()*4+6,1)</f>
        <v>8.3</v>
      </c>
      <c r="I163" s="6" t="s">
        <v>25</v>
      </c>
      <c r="J163" s="6" t="str">
        <f aca="false">ROUND(89*1,0)&amp;"%"</f>
        <v>89%</v>
      </c>
    </row>
    <row r="164" customFormat="false" ht="15" hidden="false" customHeight="false" outlineLevel="0" collapsed="false">
      <c r="A164" s="5" t="s">
        <v>6394</v>
      </c>
      <c r="B164" s="5" t="s">
        <v>282</v>
      </c>
      <c r="C164" s="5" t="s">
        <v>152</v>
      </c>
      <c r="D164" s="5" t="s">
        <v>28</v>
      </c>
      <c r="E164" s="5" t="n">
        <f aca="false">ROUND(14256*1.05,2)</f>
        <v>14968.8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ROUND(93*1,0)&amp;"%"</f>
        <v>93%</v>
      </c>
    </row>
    <row r="165" customFormat="false" ht="15" hidden="false" customHeight="false" outlineLevel="0" collapsed="false">
      <c r="A165" s="6" t="s">
        <v>6395</v>
      </c>
      <c r="B165" s="6" t="s">
        <v>284</v>
      </c>
      <c r="C165" s="6" t="s">
        <v>152</v>
      </c>
      <c r="D165" s="6" t="s">
        <v>34</v>
      </c>
      <c r="E165" s="6" t="n">
        <f aca="false">ROUND(7903*1.05,2)</f>
        <v>8298.15</v>
      </c>
      <c r="F165" s="6" t="s">
        <v>35</v>
      </c>
      <c r="G165" s="6" t="s">
        <v>18</v>
      </c>
      <c r="H165" s="6" t="n">
        <f aca="true">ROUND(RAND()*4+6,1)</f>
        <v>7.3</v>
      </c>
      <c r="I165" s="6" t="s">
        <v>36</v>
      </c>
      <c r="J165" s="6" t="str">
        <f aca="false">ROUND(86*1,0)&amp;"%"</f>
        <v>86%</v>
      </c>
    </row>
    <row r="166" customFormat="false" ht="15" hidden="false" customHeight="false" outlineLevel="0" collapsed="false">
      <c r="A166" s="5" t="s">
        <v>6396</v>
      </c>
      <c r="B166" s="5" t="s">
        <v>286</v>
      </c>
      <c r="C166" s="5" t="s">
        <v>152</v>
      </c>
      <c r="D166" s="5" t="s">
        <v>39</v>
      </c>
      <c r="E166" s="5" t="n">
        <f aca="false">ROUND(4242*1.05,2)</f>
        <v>4454.1</v>
      </c>
      <c r="F166" s="5" t="s">
        <v>40</v>
      </c>
      <c r="G166" s="5" t="s">
        <v>24</v>
      </c>
      <c r="H166" s="5" t="n">
        <f aca="true">ROUND(RAND()*4+6,1)</f>
        <v>6.2</v>
      </c>
      <c r="I166" s="5" t="s">
        <v>41</v>
      </c>
      <c r="J166" s="5" t="str">
        <f aca="false">ROUND(84*1,0)&amp;"%"</f>
        <v>84%</v>
      </c>
    </row>
    <row r="167" customFormat="false" ht="15" hidden="false" customHeight="false" outlineLevel="0" collapsed="false">
      <c r="A167" s="6" t="s">
        <v>6397</v>
      </c>
      <c r="B167" s="6" t="s">
        <v>288</v>
      </c>
      <c r="C167" s="6" t="s">
        <v>152</v>
      </c>
      <c r="D167" s="6" t="s">
        <v>44</v>
      </c>
      <c r="E167" s="6" t="n">
        <f aca="false">ROUND(15373*1.05,2)</f>
        <v>16141.65</v>
      </c>
      <c r="F167" s="6" t="s">
        <v>45</v>
      </c>
      <c r="G167" s="6" t="s">
        <v>30</v>
      </c>
      <c r="H167" s="6" t="n">
        <f aca="true">ROUND(RAND()*4+6,1)</f>
        <v>6.6</v>
      </c>
      <c r="I167" s="6" t="s">
        <v>46</v>
      </c>
      <c r="J167" s="6" t="str">
        <f aca="false">ROUND(67*1,0)&amp;"%"</f>
        <v>67%</v>
      </c>
    </row>
    <row r="168" customFormat="false" ht="15" hidden="false" customHeight="false" outlineLevel="0" collapsed="false">
      <c r="A168" s="5" t="s">
        <v>6398</v>
      </c>
      <c r="B168" s="5" t="s">
        <v>290</v>
      </c>
      <c r="C168" s="5" t="s">
        <v>152</v>
      </c>
      <c r="D168" s="5" t="s">
        <v>16</v>
      </c>
      <c r="E168" s="5" t="n">
        <f aca="false">ROUND(15129*1.05,2)</f>
        <v>15885.45</v>
      </c>
      <c r="F168" s="5" t="s">
        <v>49</v>
      </c>
      <c r="G168" s="5" t="s">
        <v>18</v>
      </c>
      <c r="H168" s="5" t="n">
        <f aca="true">ROUND(RAND()*4+6,1)</f>
        <v>7.6</v>
      </c>
      <c r="I168" s="5" t="s">
        <v>19</v>
      </c>
      <c r="J168" s="5" t="str">
        <f aca="false">ROUND(97*1,0)&amp;"%"</f>
        <v>97%</v>
      </c>
    </row>
    <row r="169" customFormat="false" ht="15" hidden="false" customHeight="false" outlineLevel="0" collapsed="false">
      <c r="A169" s="6" t="s">
        <v>6399</v>
      </c>
      <c r="B169" s="6" t="s">
        <v>292</v>
      </c>
      <c r="C169" s="6" t="s">
        <v>152</v>
      </c>
      <c r="D169" s="6" t="s">
        <v>22</v>
      </c>
      <c r="E169" s="6" t="n">
        <f aca="false">ROUND(8821*1.05,2)</f>
        <v>9262.05</v>
      </c>
      <c r="F169" s="6" t="s">
        <v>52</v>
      </c>
      <c r="G169" s="6" t="s">
        <v>24</v>
      </c>
      <c r="H169" s="6" t="n">
        <f aca="true">ROUND(RAND()*4+6,1)</f>
        <v>8.9</v>
      </c>
      <c r="I169" s="6" t="s">
        <v>25</v>
      </c>
      <c r="J169" s="6" t="str">
        <f aca="false">ROUND(99*1,0)&amp;"%"</f>
        <v>99%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6400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6401</v>
      </c>
      <c r="B174" s="5" t="s">
        <v>296</v>
      </c>
      <c r="C174" s="5" t="s">
        <v>15</v>
      </c>
      <c r="D174" s="5" t="s">
        <v>16</v>
      </c>
      <c r="E174" s="5" t="n">
        <f aca="false">ROUND(5935*1.05,2)</f>
        <v>6231.75</v>
      </c>
      <c r="F174" s="5" t="s">
        <v>17</v>
      </c>
      <c r="G174" s="5" t="s">
        <v>18</v>
      </c>
      <c r="H174" s="5" t="n">
        <f aca="true">ROUND(RAND()*4+6,1)</f>
        <v>9</v>
      </c>
      <c r="I174" s="5" t="s">
        <v>19</v>
      </c>
      <c r="J174" s="5" t="str">
        <f aca="false">ROUND(61*1,0)&amp;"%"</f>
        <v>61%</v>
      </c>
    </row>
    <row r="175" customFormat="false" ht="15" hidden="false" customHeight="false" outlineLevel="0" collapsed="false">
      <c r="A175" s="6" t="s">
        <v>6402</v>
      </c>
      <c r="B175" s="6" t="s">
        <v>298</v>
      </c>
      <c r="C175" s="6" t="s">
        <v>15</v>
      </c>
      <c r="D175" s="6" t="s">
        <v>22</v>
      </c>
      <c r="E175" s="6" t="n">
        <f aca="false">ROUND(12470*1.05,2)</f>
        <v>13093.5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ROUND(66*1,0)&amp;"%"</f>
        <v>66%</v>
      </c>
    </row>
    <row r="176" customFormat="false" ht="15" hidden="false" customHeight="false" outlineLevel="0" collapsed="false">
      <c r="A176" s="5" t="s">
        <v>6403</v>
      </c>
      <c r="B176" s="5" t="s">
        <v>300</v>
      </c>
      <c r="C176" s="5" t="s">
        <v>15</v>
      </c>
      <c r="D176" s="5" t="s">
        <v>28</v>
      </c>
      <c r="E176" s="5" t="n">
        <f aca="false">ROUND(15639*1.05,2)</f>
        <v>16420.95</v>
      </c>
      <c r="F176" s="5" t="s">
        <v>29</v>
      </c>
      <c r="G176" s="5" t="s">
        <v>30</v>
      </c>
      <c r="H176" s="5" t="n">
        <f aca="true">ROUND(RAND()*4+6,1)</f>
        <v>6.1</v>
      </c>
      <c r="I176" s="5" t="s">
        <v>31</v>
      </c>
      <c r="J176" s="5" t="str">
        <f aca="false">ROUND(75*1,0)&amp;"%"</f>
        <v>75%</v>
      </c>
    </row>
    <row r="177" customFormat="false" ht="15" hidden="false" customHeight="false" outlineLevel="0" collapsed="false">
      <c r="A177" s="6" t="s">
        <v>6404</v>
      </c>
      <c r="B177" s="6" t="s">
        <v>302</v>
      </c>
      <c r="C177" s="6" t="s">
        <v>15</v>
      </c>
      <c r="D177" s="6" t="s">
        <v>34</v>
      </c>
      <c r="E177" s="6" t="n">
        <f aca="false">ROUND(8929*1.05,2)</f>
        <v>9375.45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ROUND(83*1,0)&amp;"%"</f>
        <v>83%</v>
      </c>
    </row>
    <row r="178" customFormat="false" ht="15" hidden="false" customHeight="false" outlineLevel="0" collapsed="false">
      <c r="A178" s="5" t="s">
        <v>6405</v>
      </c>
      <c r="B178" s="5" t="s">
        <v>304</v>
      </c>
      <c r="C178" s="5" t="s">
        <v>15</v>
      </c>
      <c r="D178" s="5" t="s">
        <v>39</v>
      </c>
      <c r="E178" s="5" t="n">
        <f aca="false">ROUND(11085*1.05,2)</f>
        <v>11639.25</v>
      </c>
      <c r="F178" s="5" t="s">
        <v>40</v>
      </c>
      <c r="G178" s="5" t="s">
        <v>24</v>
      </c>
      <c r="H178" s="5" t="n">
        <f aca="true">ROUND(RAND()*4+6,1)</f>
        <v>8.3</v>
      </c>
      <c r="I178" s="5" t="s">
        <v>41</v>
      </c>
      <c r="J178" s="5" t="str">
        <f aca="false">ROUND(73*1,0)&amp;"%"</f>
        <v>73%</v>
      </c>
    </row>
    <row r="179" customFormat="false" ht="15" hidden="false" customHeight="false" outlineLevel="0" collapsed="false">
      <c r="A179" s="6" t="s">
        <v>6406</v>
      </c>
      <c r="B179" s="6" t="s">
        <v>306</v>
      </c>
      <c r="C179" s="6" t="s">
        <v>15</v>
      </c>
      <c r="D179" s="6" t="s">
        <v>44</v>
      </c>
      <c r="E179" s="6" t="n">
        <f aca="false">ROUND(4804*1.05,2)</f>
        <v>5044.2</v>
      </c>
      <c r="F179" s="6" t="s">
        <v>45</v>
      </c>
      <c r="G179" s="6" t="s">
        <v>30</v>
      </c>
      <c r="H179" s="6" t="n">
        <f aca="true">ROUND(RAND()*4+6,1)</f>
        <v>9.4</v>
      </c>
      <c r="I179" s="6" t="s">
        <v>46</v>
      </c>
      <c r="J179" s="6" t="str">
        <f aca="false">ROUND(69*1,0)&amp;"%"</f>
        <v>69%</v>
      </c>
    </row>
    <row r="180" customFormat="false" ht="15" hidden="false" customHeight="false" outlineLevel="0" collapsed="false">
      <c r="A180" s="5" t="s">
        <v>6407</v>
      </c>
      <c r="B180" s="5" t="s">
        <v>308</v>
      </c>
      <c r="C180" s="5" t="s">
        <v>15</v>
      </c>
      <c r="D180" s="5" t="s">
        <v>16</v>
      </c>
      <c r="E180" s="5" t="n">
        <f aca="false">ROUND(13989*1.05,2)</f>
        <v>14688.45</v>
      </c>
      <c r="F180" s="5" t="s">
        <v>49</v>
      </c>
      <c r="G180" s="5" t="s">
        <v>18</v>
      </c>
      <c r="H180" s="5" t="n">
        <f aca="true">ROUND(RAND()*4+6,1)</f>
        <v>7.6</v>
      </c>
      <c r="I180" s="5" t="s">
        <v>19</v>
      </c>
      <c r="J180" s="5" t="str">
        <f aca="false">ROUND(65*1,0)&amp;"%"</f>
        <v>65%</v>
      </c>
    </row>
    <row r="181" customFormat="false" ht="15" hidden="false" customHeight="false" outlineLevel="0" collapsed="false">
      <c r="A181" s="6" t="s">
        <v>6408</v>
      </c>
      <c r="B181" s="6" t="s">
        <v>310</v>
      </c>
      <c r="C181" s="6" t="s">
        <v>15</v>
      </c>
      <c r="D181" s="6" t="s">
        <v>22</v>
      </c>
      <c r="E181" s="6" t="n">
        <f aca="false">ROUND(6290*1.05,2)</f>
        <v>6604.5</v>
      </c>
      <c r="F181" s="6" t="s">
        <v>52</v>
      </c>
      <c r="G181" s="6" t="s">
        <v>24</v>
      </c>
      <c r="H181" s="6" t="n">
        <f aca="true">ROUND(RAND()*4+6,1)</f>
        <v>7.4</v>
      </c>
      <c r="I181" s="6" t="s">
        <v>25</v>
      </c>
      <c r="J181" s="6" t="str">
        <f aca="false">ROUND(84*1,0)&amp;"%"</f>
        <v>84%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6409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6410</v>
      </c>
      <c r="B186" s="5" t="s">
        <v>314</v>
      </c>
      <c r="C186" s="5" t="s">
        <v>57</v>
      </c>
      <c r="D186" s="5" t="s">
        <v>16</v>
      </c>
      <c r="E186" s="5" t="n">
        <f aca="false">ROUND(12021*1.05,2)</f>
        <v>12622.05</v>
      </c>
      <c r="F186" s="5" t="s">
        <v>17</v>
      </c>
      <c r="G186" s="5" t="s">
        <v>18</v>
      </c>
      <c r="H186" s="5" t="n">
        <f aca="true">ROUND(RAND()*4+6,1)</f>
        <v>8.3</v>
      </c>
      <c r="I186" s="5" t="s">
        <v>19</v>
      </c>
      <c r="J186" s="5" t="str">
        <f aca="false">ROUND(69*1,0)&amp;"%"</f>
        <v>69%</v>
      </c>
    </row>
    <row r="187" customFormat="false" ht="15" hidden="false" customHeight="false" outlineLevel="0" collapsed="false">
      <c r="A187" s="6" t="s">
        <v>6411</v>
      </c>
      <c r="B187" s="6" t="s">
        <v>316</v>
      </c>
      <c r="C187" s="6" t="s">
        <v>57</v>
      </c>
      <c r="D187" s="6" t="s">
        <v>22</v>
      </c>
      <c r="E187" s="6" t="n">
        <f aca="false">ROUND(5958*1.05,2)</f>
        <v>6255.9</v>
      </c>
      <c r="F187" s="6" t="s">
        <v>23</v>
      </c>
      <c r="G187" s="6" t="s">
        <v>24</v>
      </c>
      <c r="H187" s="6" t="n">
        <f aca="true">ROUND(RAND()*4+6,1)</f>
        <v>7.1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6412</v>
      </c>
      <c r="B188" s="5" t="s">
        <v>318</v>
      </c>
      <c r="C188" s="5" t="s">
        <v>57</v>
      </c>
      <c r="D188" s="5" t="s">
        <v>28</v>
      </c>
      <c r="E188" s="5" t="n">
        <f aca="false">ROUND(8576*1.05,2)</f>
        <v>9004.8</v>
      </c>
      <c r="F188" s="5" t="s">
        <v>29</v>
      </c>
      <c r="G188" s="5" t="s">
        <v>30</v>
      </c>
      <c r="H188" s="5" t="n">
        <f aca="true">ROUND(RAND()*4+6,1)</f>
        <v>6.5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6413</v>
      </c>
      <c r="B189" s="6" t="s">
        <v>320</v>
      </c>
      <c r="C189" s="6" t="s">
        <v>57</v>
      </c>
      <c r="D189" s="6" t="s">
        <v>34</v>
      </c>
      <c r="E189" s="6" t="n">
        <f aca="false">ROUND(10593*1.05,2)</f>
        <v>11122.65</v>
      </c>
      <c r="F189" s="6" t="s">
        <v>35</v>
      </c>
      <c r="G189" s="6" t="s">
        <v>18</v>
      </c>
      <c r="H189" s="6" t="n">
        <f aca="true">ROUND(RAND()*4+6,1)</f>
        <v>7.1</v>
      </c>
      <c r="I189" s="6" t="s">
        <v>36</v>
      </c>
      <c r="J189" s="6" t="str">
        <f aca="false">ROUND(98*1,0)&amp;"%"</f>
        <v>98%</v>
      </c>
    </row>
    <row r="190" customFormat="false" ht="15" hidden="false" customHeight="false" outlineLevel="0" collapsed="false">
      <c r="A190" s="5" t="s">
        <v>6414</v>
      </c>
      <c r="B190" s="5" t="s">
        <v>322</v>
      </c>
      <c r="C190" s="5" t="s">
        <v>57</v>
      </c>
      <c r="D190" s="5" t="s">
        <v>39</v>
      </c>
      <c r="E190" s="5" t="n">
        <f aca="false">ROUND(12765*1.05,2)</f>
        <v>13403.25</v>
      </c>
      <c r="F190" s="5" t="s">
        <v>40</v>
      </c>
      <c r="G190" s="5" t="s">
        <v>24</v>
      </c>
      <c r="H190" s="5" t="n">
        <f aca="true">ROUND(RAND()*4+6,1)</f>
        <v>8.7</v>
      </c>
      <c r="I190" s="5" t="s">
        <v>41</v>
      </c>
      <c r="J190" s="5" t="str">
        <f aca="false">ROUND(76*1,0)&amp;"%"</f>
        <v>76%</v>
      </c>
    </row>
    <row r="191" customFormat="false" ht="15" hidden="false" customHeight="false" outlineLevel="0" collapsed="false">
      <c r="A191" s="6" t="s">
        <v>6415</v>
      </c>
      <c r="B191" s="6" t="s">
        <v>324</v>
      </c>
      <c r="C191" s="6" t="s">
        <v>57</v>
      </c>
      <c r="D191" s="6" t="s">
        <v>44</v>
      </c>
      <c r="E191" s="6" t="n">
        <f aca="false">ROUND(8528*1.05,2)</f>
        <v>8954.4</v>
      </c>
      <c r="F191" s="6" t="s">
        <v>45</v>
      </c>
      <c r="G191" s="6" t="s">
        <v>30</v>
      </c>
      <c r="H191" s="6" t="n">
        <f aca="true">ROUND(RAND()*4+6,1)</f>
        <v>8.8</v>
      </c>
      <c r="I191" s="6" t="s">
        <v>46</v>
      </c>
      <c r="J191" s="6" t="str">
        <f aca="false">ROUND(80*1,0)&amp;"%"</f>
        <v>80%</v>
      </c>
    </row>
    <row r="192" customFormat="false" ht="15" hidden="false" customHeight="false" outlineLevel="0" collapsed="false">
      <c r="A192" s="5" t="s">
        <v>6416</v>
      </c>
      <c r="B192" s="5" t="s">
        <v>326</v>
      </c>
      <c r="C192" s="5" t="s">
        <v>57</v>
      </c>
      <c r="D192" s="5" t="s">
        <v>16</v>
      </c>
      <c r="E192" s="5" t="n">
        <f aca="false">ROUND(9309*1.05,2)</f>
        <v>9774.45</v>
      </c>
      <c r="F192" s="5" t="s">
        <v>49</v>
      </c>
      <c r="G192" s="5" t="s">
        <v>18</v>
      </c>
      <c r="H192" s="5" t="n">
        <f aca="true">ROUND(RAND()*4+6,1)</f>
        <v>7.9</v>
      </c>
      <c r="I192" s="5" t="s">
        <v>19</v>
      </c>
      <c r="J192" s="5" t="str">
        <f aca="false">ROUND(62*1,0)&amp;"%"</f>
        <v>62%</v>
      </c>
    </row>
    <row r="193" customFormat="false" ht="15" hidden="false" customHeight="false" outlineLevel="0" collapsed="false">
      <c r="A193" s="6" t="s">
        <v>6417</v>
      </c>
      <c r="B193" s="6" t="s">
        <v>328</v>
      </c>
      <c r="C193" s="6" t="s">
        <v>57</v>
      </c>
      <c r="D193" s="6" t="s">
        <v>22</v>
      </c>
      <c r="E193" s="6" t="n">
        <f aca="false">ROUND(7421*1.05,2)</f>
        <v>7792.05</v>
      </c>
      <c r="F193" s="6" t="s">
        <v>52</v>
      </c>
      <c r="G193" s="6" t="s">
        <v>24</v>
      </c>
      <c r="H193" s="6" t="n">
        <f aca="true">ROUND(RAND()*4+6,1)</f>
        <v>6.6</v>
      </c>
      <c r="I193" s="6" t="s">
        <v>25</v>
      </c>
      <c r="J193" s="6" t="str">
        <f aca="false">ROUND(64*1,0)&amp;"%"</f>
        <v>64%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6418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6419</v>
      </c>
      <c r="B198" s="5" t="s">
        <v>332</v>
      </c>
      <c r="C198" s="5" t="s">
        <v>76</v>
      </c>
      <c r="D198" s="5" t="s">
        <v>16</v>
      </c>
      <c r="E198" s="5" t="n">
        <f aca="false">ROUND(9068*1.05,2)</f>
        <v>9521.4</v>
      </c>
      <c r="F198" s="5" t="s">
        <v>17</v>
      </c>
      <c r="G198" s="5" t="s">
        <v>18</v>
      </c>
      <c r="H198" s="5" t="n">
        <f aca="true">ROUND(RAND()*4+6,1)</f>
        <v>7.7</v>
      </c>
      <c r="I198" s="5" t="s">
        <v>19</v>
      </c>
      <c r="J198" s="5" t="str">
        <f aca="false">ROUND(91*1,0)&amp;"%"</f>
        <v>91%</v>
      </c>
    </row>
    <row r="199" customFormat="false" ht="15" hidden="false" customHeight="false" outlineLevel="0" collapsed="false">
      <c r="A199" s="6" t="s">
        <v>6420</v>
      </c>
      <c r="B199" s="6" t="s">
        <v>334</v>
      </c>
      <c r="C199" s="6" t="s">
        <v>76</v>
      </c>
      <c r="D199" s="6" t="s">
        <v>22</v>
      </c>
      <c r="E199" s="6" t="n">
        <f aca="false">ROUND(16360*1.05,2)</f>
        <v>17178</v>
      </c>
      <c r="F199" s="6" t="s">
        <v>23</v>
      </c>
      <c r="G199" s="6" t="s">
        <v>24</v>
      </c>
      <c r="H199" s="6" t="n">
        <f aca="true">ROUND(RAND()*4+6,1)</f>
        <v>9.6</v>
      </c>
      <c r="I199" s="6" t="s">
        <v>25</v>
      </c>
      <c r="J199" s="6" t="str">
        <f aca="false">ROUND(95*1,0)&amp;"%"</f>
        <v>95%</v>
      </c>
    </row>
    <row r="200" customFormat="false" ht="15" hidden="false" customHeight="false" outlineLevel="0" collapsed="false">
      <c r="A200" s="5" t="s">
        <v>6421</v>
      </c>
      <c r="B200" s="5" t="s">
        <v>336</v>
      </c>
      <c r="C200" s="5" t="s">
        <v>76</v>
      </c>
      <c r="D200" s="5" t="s">
        <v>28</v>
      </c>
      <c r="E200" s="5" t="n">
        <f aca="false">ROUND(11456*1.05,2)</f>
        <v>12028.8</v>
      </c>
      <c r="F200" s="5" t="s">
        <v>29</v>
      </c>
      <c r="G200" s="5" t="s">
        <v>30</v>
      </c>
      <c r="H200" s="5" t="n">
        <f aca="true">ROUND(RAND()*4+6,1)</f>
        <v>7.5</v>
      </c>
      <c r="I200" s="5" t="s">
        <v>31</v>
      </c>
      <c r="J200" s="5" t="str">
        <f aca="false">ROUND(98*1,0)&amp;"%"</f>
        <v>98%</v>
      </c>
    </row>
    <row r="201" customFormat="false" ht="15" hidden="false" customHeight="false" outlineLevel="0" collapsed="false">
      <c r="A201" s="6" t="s">
        <v>6422</v>
      </c>
      <c r="B201" s="6" t="s">
        <v>338</v>
      </c>
      <c r="C201" s="6" t="s">
        <v>76</v>
      </c>
      <c r="D201" s="6" t="s">
        <v>34</v>
      </c>
      <c r="E201" s="6" t="n">
        <f aca="false">ROUND(5225*1.05,2)</f>
        <v>5486.25</v>
      </c>
      <c r="F201" s="6" t="s">
        <v>35</v>
      </c>
      <c r="G201" s="6" t="s">
        <v>18</v>
      </c>
      <c r="H201" s="6" t="n">
        <f aca="true">ROUND(RAND()*4+6,1)</f>
        <v>9.8</v>
      </c>
      <c r="I201" s="6" t="s">
        <v>36</v>
      </c>
      <c r="J201" s="6" t="str">
        <f aca="false">ROUND(70*1,0)&amp;"%"</f>
        <v>70%</v>
      </c>
    </row>
    <row r="202" customFormat="false" ht="15" hidden="false" customHeight="false" outlineLevel="0" collapsed="false">
      <c r="A202" s="5" t="s">
        <v>6423</v>
      </c>
      <c r="B202" s="5" t="s">
        <v>340</v>
      </c>
      <c r="C202" s="5" t="s">
        <v>76</v>
      </c>
      <c r="D202" s="5" t="s">
        <v>39</v>
      </c>
      <c r="E202" s="5" t="n">
        <f aca="false">ROUND(7698*1.05,2)</f>
        <v>8082.9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ROUND(77*1,0)&amp;"%"</f>
        <v>77%</v>
      </c>
    </row>
    <row r="203" customFormat="false" ht="15" hidden="false" customHeight="false" outlineLevel="0" collapsed="false">
      <c r="A203" s="6" t="s">
        <v>6424</v>
      </c>
      <c r="B203" s="6" t="s">
        <v>342</v>
      </c>
      <c r="C203" s="6" t="s">
        <v>76</v>
      </c>
      <c r="D203" s="6" t="s">
        <v>44</v>
      </c>
      <c r="E203" s="6" t="n">
        <f aca="false">ROUND(15564*1.05,2)</f>
        <v>16342.2</v>
      </c>
      <c r="F203" s="6" t="s">
        <v>45</v>
      </c>
      <c r="G203" s="6" t="s">
        <v>30</v>
      </c>
      <c r="H203" s="6" t="n">
        <f aca="true">ROUND(RAND()*4+6,1)</f>
        <v>6.9</v>
      </c>
      <c r="I203" s="6" t="s">
        <v>46</v>
      </c>
      <c r="J203" s="6" t="str">
        <f aca="false">ROUND(94*1,0)&amp;"%"</f>
        <v>94%</v>
      </c>
    </row>
    <row r="204" customFormat="false" ht="15" hidden="false" customHeight="false" outlineLevel="0" collapsed="false">
      <c r="A204" s="5" t="s">
        <v>6425</v>
      </c>
      <c r="B204" s="5" t="s">
        <v>344</v>
      </c>
      <c r="C204" s="5" t="s">
        <v>76</v>
      </c>
      <c r="D204" s="5" t="s">
        <v>16</v>
      </c>
      <c r="E204" s="5" t="n">
        <f aca="false">ROUND(6997*1.05,2)</f>
        <v>7346.85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ROUND(83*1,0)&amp;"%"</f>
        <v>83%</v>
      </c>
    </row>
    <row r="205" customFormat="false" ht="15" hidden="false" customHeight="false" outlineLevel="0" collapsed="false">
      <c r="A205" s="6" t="s">
        <v>6426</v>
      </c>
      <c r="B205" s="6" t="s">
        <v>346</v>
      </c>
      <c r="C205" s="6" t="s">
        <v>76</v>
      </c>
      <c r="D205" s="6" t="s">
        <v>22</v>
      </c>
      <c r="E205" s="6" t="n">
        <f aca="false">ROUND(9758*1.05,2)</f>
        <v>10245.9</v>
      </c>
      <c r="F205" s="6" t="s">
        <v>52</v>
      </c>
      <c r="G205" s="6" t="s">
        <v>24</v>
      </c>
      <c r="H205" s="6" t="n">
        <f aca="true">ROUND(RAND()*4+6,1)</f>
        <v>9.3</v>
      </c>
      <c r="I205" s="6" t="s">
        <v>25</v>
      </c>
      <c r="J205" s="6" t="str">
        <f aca="false">ROUND(75*1,0)&amp;"%"</f>
        <v>75%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6427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6428</v>
      </c>
      <c r="B210" s="5" t="s">
        <v>350</v>
      </c>
      <c r="C210" s="5" t="s">
        <v>95</v>
      </c>
      <c r="D210" s="5" t="s">
        <v>16</v>
      </c>
      <c r="E210" s="5" t="n">
        <f aca="false">ROUND(12585*1.05,2)</f>
        <v>13214.25</v>
      </c>
      <c r="F210" s="5" t="s">
        <v>17</v>
      </c>
      <c r="G210" s="5" t="s">
        <v>18</v>
      </c>
      <c r="H210" s="5" t="n">
        <f aca="true">ROUND(RAND()*4+6,1)</f>
        <v>8.8</v>
      </c>
      <c r="I210" s="5" t="s">
        <v>19</v>
      </c>
      <c r="J210" s="5" t="str">
        <f aca="false">ROUND(81*1,0)&amp;"%"</f>
        <v>81%</v>
      </c>
    </row>
    <row r="211" customFormat="false" ht="15" hidden="false" customHeight="false" outlineLevel="0" collapsed="false">
      <c r="A211" s="6" t="s">
        <v>6429</v>
      </c>
      <c r="B211" s="6" t="s">
        <v>352</v>
      </c>
      <c r="C211" s="6" t="s">
        <v>95</v>
      </c>
      <c r="D211" s="6" t="s">
        <v>22</v>
      </c>
      <c r="E211" s="6" t="n">
        <f aca="false">ROUND(14367*1.05,2)</f>
        <v>15085.35</v>
      </c>
      <c r="F211" s="6" t="s">
        <v>23</v>
      </c>
      <c r="G211" s="6" t="s">
        <v>24</v>
      </c>
      <c r="H211" s="6" t="n">
        <f aca="true">ROUND(RAND()*4+6,1)</f>
        <v>10</v>
      </c>
      <c r="I211" s="6" t="s">
        <v>25</v>
      </c>
      <c r="J211" s="6" t="str">
        <f aca="false">ROUND(97*1,0)&amp;"%"</f>
        <v>97%</v>
      </c>
    </row>
    <row r="212" customFormat="false" ht="15" hidden="false" customHeight="false" outlineLevel="0" collapsed="false">
      <c r="A212" s="5" t="s">
        <v>6430</v>
      </c>
      <c r="B212" s="5" t="s">
        <v>354</v>
      </c>
      <c r="C212" s="5" t="s">
        <v>95</v>
      </c>
      <c r="D212" s="5" t="s">
        <v>28</v>
      </c>
      <c r="E212" s="5" t="n">
        <f aca="false">ROUND(9017*1.05,2)</f>
        <v>9467.85</v>
      </c>
      <c r="F212" s="5" t="s">
        <v>29</v>
      </c>
      <c r="G212" s="5" t="s">
        <v>30</v>
      </c>
      <c r="H212" s="5" t="n">
        <f aca="true">ROUND(RAND()*4+6,1)</f>
        <v>7.2</v>
      </c>
      <c r="I212" s="5" t="s">
        <v>31</v>
      </c>
      <c r="J212" s="5" t="str">
        <f aca="false">ROUND(100*1,0)&amp;"%"</f>
        <v>100%</v>
      </c>
    </row>
    <row r="213" customFormat="false" ht="15" hidden="false" customHeight="false" outlineLevel="0" collapsed="false">
      <c r="A213" s="6" t="s">
        <v>6431</v>
      </c>
      <c r="B213" s="6" t="s">
        <v>356</v>
      </c>
      <c r="C213" s="6" t="s">
        <v>95</v>
      </c>
      <c r="D213" s="6" t="s">
        <v>34</v>
      </c>
      <c r="E213" s="6" t="n">
        <f aca="false">ROUND(15281*1.05,2)</f>
        <v>16045.05</v>
      </c>
      <c r="F213" s="6" t="s">
        <v>35</v>
      </c>
      <c r="G213" s="6" t="s">
        <v>18</v>
      </c>
      <c r="H213" s="6" t="n">
        <f aca="true">ROUND(RAND()*4+6,1)</f>
        <v>7.1</v>
      </c>
      <c r="I213" s="6" t="s">
        <v>36</v>
      </c>
      <c r="J213" s="6" t="str">
        <f aca="false">ROUND(94*1,0)&amp;"%"</f>
        <v>94%</v>
      </c>
    </row>
    <row r="214" customFormat="false" ht="15" hidden="false" customHeight="false" outlineLevel="0" collapsed="false">
      <c r="A214" s="5" t="s">
        <v>6432</v>
      </c>
      <c r="B214" s="5" t="s">
        <v>358</v>
      </c>
      <c r="C214" s="5" t="s">
        <v>95</v>
      </c>
      <c r="D214" s="5" t="s">
        <v>39</v>
      </c>
      <c r="E214" s="5" t="n">
        <f aca="false">ROUND(13822*1.05,2)</f>
        <v>14513.1</v>
      </c>
      <c r="F214" s="5" t="s">
        <v>40</v>
      </c>
      <c r="G214" s="5" t="s">
        <v>24</v>
      </c>
      <c r="H214" s="5" t="n">
        <f aca="true">ROUND(RAND()*4+6,1)</f>
        <v>7.8</v>
      </c>
      <c r="I214" s="5" t="s">
        <v>41</v>
      </c>
      <c r="J214" s="5" t="str">
        <f aca="false">ROUND(60*1,0)&amp;"%"</f>
        <v>60%</v>
      </c>
    </row>
    <row r="215" customFormat="false" ht="15" hidden="false" customHeight="false" outlineLevel="0" collapsed="false">
      <c r="A215" s="6" t="s">
        <v>6433</v>
      </c>
      <c r="B215" s="6" t="s">
        <v>360</v>
      </c>
      <c r="C215" s="6" t="s">
        <v>95</v>
      </c>
      <c r="D215" s="6" t="s">
        <v>44</v>
      </c>
      <c r="E215" s="6" t="n">
        <f aca="false">ROUND(11627*1.05,2)</f>
        <v>12208.35</v>
      </c>
      <c r="F215" s="6" t="s">
        <v>45</v>
      </c>
      <c r="G215" s="6" t="s">
        <v>30</v>
      </c>
      <c r="H215" s="6" t="n">
        <f aca="true">ROUND(RAND()*4+6,1)</f>
        <v>7.3</v>
      </c>
      <c r="I215" s="6" t="s">
        <v>46</v>
      </c>
      <c r="J215" s="6" t="str">
        <f aca="false">ROUND(85*1,0)&amp;"%"</f>
        <v>85%</v>
      </c>
    </row>
    <row r="216" customFormat="false" ht="15" hidden="false" customHeight="false" outlineLevel="0" collapsed="false">
      <c r="A216" s="5" t="s">
        <v>6434</v>
      </c>
      <c r="B216" s="5" t="s">
        <v>362</v>
      </c>
      <c r="C216" s="5" t="s">
        <v>95</v>
      </c>
      <c r="D216" s="5" t="s">
        <v>16</v>
      </c>
      <c r="E216" s="5" t="n">
        <f aca="false">ROUND(13968*1.05,2)</f>
        <v>14666.4</v>
      </c>
      <c r="F216" s="5" t="s">
        <v>49</v>
      </c>
      <c r="G216" s="5" t="s">
        <v>18</v>
      </c>
      <c r="H216" s="5" t="n">
        <f aca="true">ROUND(RAND()*4+6,1)</f>
        <v>7.6</v>
      </c>
      <c r="I216" s="5" t="s">
        <v>19</v>
      </c>
      <c r="J216" s="5" t="str">
        <f aca="false">ROUND(84*1,0)&amp;"%"</f>
        <v>84%</v>
      </c>
    </row>
    <row r="217" customFormat="false" ht="15" hidden="false" customHeight="false" outlineLevel="0" collapsed="false">
      <c r="A217" s="6" t="s">
        <v>6435</v>
      </c>
      <c r="B217" s="6" t="s">
        <v>364</v>
      </c>
      <c r="C217" s="6" t="s">
        <v>95</v>
      </c>
      <c r="D217" s="6" t="s">
        <v>22</v>
      </c>
      <c r="E217" s="6" t="n">
        <f aca="false">ROUND(7960*1.05,2)</f>
        <v>8358</v>
      </c>
      <c r="F217" s="6" t="s">
        <v>52</v>
      </c>
      <c r="G217" s="6" t="s">
        <v>24</v>
      </c>
      <c r="H217" s="6" t="n">
        <f aca="true">ROUND(RAND()*4+6,1)</f>
        <v>9.9</v>
      </c>
      <c r="I217" s="6" t="s">
        <v>25</v>
      </c>
      <c r="J217" s="6" t="str">
        <f aca="false">ROUND(87*1,0)&amp;"%"</f>
        <v>87%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6436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6437</v>
      </c>
      <c r="B222" s="5" t="s">
        <v>368</v>
      </c>
      <c r="C222" s="5" t="s">
        <v>114</v>
      </c>
      <c r="D222" s="5" t="s">
        <v>16</v>
      </c>
      <c r="E222" s="5" t="n">
        <f aca="false">ROUND(16529*1.05,2)</f>
        <v>17355.45</v>
      </c>
      <c r="F222" s="5" t="s">
        <v>17</v>
      </c>
      <c r="G222" s="5" t="s">
        <v>18</v>
      </c>
      <c r="H222" s="5" t="n">
        <f aca="true">ROUND(RAND()*4+6,1)</f>
        <v>7.1</v>
      </c>
      <c r="I222" s="5" t="s">
        <v>19</v>
      </c>
      <c r="J222" s="5" t="str">
        <f aca="false">ROUND(68*1,0)&amp;"%"</f>
        <v>68%</v>
      </c>
    </row>
    <row r="223" customFormat="false" ht="15" hidden="false" customHeight="false" outlineLevel="0" collapsed="false">
      <c r="A223" s="6" t="s">
        <v>6438</v>
      </c>
      <c r="B223" s="6" t="s">
        <v>370</v>
      </c>
      <c r="C223" s="6" t="s">
        <v>114</v>
      </c>
      <c r="D223" s="6" t="s">
        <v>22</v>
      </c>
      <c r="E223" s="6" t="n">
        <f aca="false">ROUND(13926*1.05,2)</f>
        <v>14622.3</v>
      </c>
      <c r="F223" s="6" t="s">
        <v>23</v>
      </c>
      <c r="G223" s="6" t="s">
        <v>24</v>
      </c>
      <c r="H223" s="6" t="n">
        <f aca="true">ROUND(RAND()*4+6,1)</f>
        <v>9.4</v>
      </c>
      <c r="I223" s="6" t="s">
        <v>25</v>
      </c>
      <c r="J223" s="6" t="str">
        <f aca="false">ROUND(71*1,0)&amp;"%"</f>
        <v>71%</v>
      </c>
    </row>
    <row r="224" customFormat="false" ht="15" hidden="false" customHeight="false" outlineLevel="0" collapsed="false">
      <c r="A224" s="5" t="s">
        <v>6439</v>
      </c>
      <c r="B224" s="5" t="s">
        <v>372</v>
      </c>
      <c r="C224" s="5" t="s">
        <v>114</v>
      </c>
      <c r="D224" s="5" t="s">
        <v>28</v>
      </c>
      <c r="E224" s="5" t="n">
        <f aca="false">ROUND(17821*1.05,2)</f>
        <v>18712.05</v>
      </c>
      <c r="F224" s="5" t="s">
        <v>29</v>
      </c>
      <c r="G224" s="5" t="s">
        <v>30</v>
      </c>
      <c r="H224" s="5" t="n">
        <f aca="true">ROUND(RAND()*4+6,1)</f>
        <v>10</v>
      </c>
      <c r="I224" s="5" t="s">
        <v>31</v>
      </c>
      <c r="J224" s="5" t="str">
        <f aca="false">ROUND(81*1,0)&amp;"%"</f>
        <v>81%</v>
      </c>
    </row>
    <row r="225" customFormat="false" ht="15" hidden="false" customHeight="false" outlineLevel="0" collapsed="false">
      <c r="A225" s="6" t="s">
        <v>6440</v>
      </c>
      <c r="B225" s="6" t="s">
        <v>374</v>
      </c>
      <c r="C225" s="6" t="s">
        <v>114</v>
      </c>
      <c r="D225" s="6" t="s">
        <v>34</v>
      </c>
      <c r="E225" s="6" t="n">
        <f aca="false">ROUND(11052*1.05,2)</f>
        <v>11604.6</v>
      </c>
      <c r="F225" s="6" t="s">
        <v>35</v>
      </c>
      <c r="G225" s="6" t="s">
        <v>18</v>
      </c>
      <c r="H225" s="6" t="n">
        <f aca="true">ROUND(RAND()*4+6,1)</f>
        <v>6.7</v>
      </c>
      <c r="I225" s="6" t="s">
        <v>36</v>
      </c>
      <c r="J225" s="6" t="str">
        <f aca="false">ROUND(73*1,0)&amp;"%"</f>
        <v>73%</v>
      </c>
    </row>
    <row r="226" customFormat="false" ht="15" hidden="false" customHeight="false" outlineLevel="0" collapsed="false">
      <c r="A226" s="5" t="s">
        <v>6441</v>
      </c>
      <c r="B226" s="5" t="s">
        <v>376</v>
      </c>
      <c r="C226" s="5" t="s">
        <v>114</v>
      </c>
      <c r="D226" s="5" t="s">
        <v>39</v>
      </c>
      <c r="E226" s="5" t="n">
        <f aca="false">ROUND(12827*1.05,2)</f>
        <v>13468.35</v>
      </c>
      <c r="F226" s="5" t="s">
        <v>40</v>
      </c>
      <c r="G226" s="5" t="s">
        <v>24</v>
      </c>
      <c r="H226" s="5" t="n">
        <f aca="true">ROUND(RAND()*4+6,1)</f>
        <v>7</v>
      </c>
      <c r="I226" s="5" t="s">
        <v>41</v>
      </c>
      <c r="J226" s="5" t="str">
        <f aca="false">ROUND(99*1,0)&amp;"%"</f>
        <v>99%</v>
      </c>
    </row>
    <row r="227" customFormat="false" ht="15" hidden="false" customHeight="false" outlineLevel="0" collapsed="false">
      <c r="A227" s="6" t="s">
        <v>6442</v>
      </c>
      <c r="B227" s="6" t="s">
        <v>378</v>
      </c>
      <c r="C227" s="6" t="s">
        <v>114</v>
      </c>
      <c r="D227" s="6" t="s">
        <v>44</v>
      </c>
      <c r="E227" s="6" t="n">
        <f aca="false">ROUND(14399*1.05,2)</f>
        <v>15118.95</v>
      </c>
      <c r="F227" s="6" t="s">
        <v>45</v>
      </c>
      <c r="G227" s="6" t="s">
        <v>30</v>
      </c>
      <c r="H227" s="6" t="n">
        <f aca="true">ROUND(RAND()*4+6,1)</f>
        <v>7.8</v>
      </c>
      <c r="I227" s="6" t="s">
        <v>46</v>
      </c>
      <c r="J227" s="6" t="str">
        <f aca="false">ROUND(77*1,0)&amp;"%"</f>
        <v>77%</v>
      </c>
    </row>
    <row r="228" customFormat="false" ht="15" hidden="false" customHeight="false" outlineLevel="0" collapsed="false">
      <c r="A228" s="5" t="s">
        <v>6443</v>
      </c>
      <c r="B228" s="5" t="s">
        <v>380</v>
      </c>
      <c r="C228" s="5" t="s">
        <v>114</v>
      </c>
      <c r="D228" s="5" t="s">
        <v>16</v>
      </c>
      <c r="E228" s="5" t="n">
        <f aca="false">ROUND(17067*1.05,2)</f>
        <v>17920.35</v>
      </c>
      <c r="F228" s="5" t="s">
        <v>49</v>
      </c>
      <c r="G228" s="5" t="s">
        <v>18</v>
      </c>
      <c r="H228" s="5" t="n">
        <f aca="true">ROUND(RAND()*4+6,1)</f>
        <v>7.6</v>
      </c>
      <c r="I228" s="5" t="s">
        <v>19</v>
      </c>
      <c r="J228" s="5" t="str">
        <f aca="false">ROUND(100*1,0)&amp;"%"</f>
        <v>100%</v>
      </c>
    </row>
    <row r="229" customFormat="false" ht="15" hidden="false" customHeight="false" outlineLevel="0" collapsed="false">
      <c r="A229" s="6" t="s">
        <v>6444</v>
      </c>
      <c r="B229" s="6" t="s">
        <v>382</v>
      </c>
      <c r="C229" s="6" t="s">
        <v>114</v>
      </c>
      <c r="D229" s="6" t="s">
        <v>22</v>
      </c>
      <c r="E229" s="6" t="n">
        <f aca="false">ROUND(9992*1.05,2)</f>
        <v>10491.6</v>
      </c>
      <c r="F229" s="6" t="s">
        <v>52</v>
      </c>
      <c r="G229" s="6" t="s">
        <v>24</v>
      </c>
      <c r="H229" s="6" t="n">
        <f aca="true">ROUND(RAND()*4+6,1)</f>
        <v>6.1</v>
      </c>
      <c r="I229" s="6" t="s">
        <v>25</v>
      </c>
      <c r="J229" s="6" t="str">
        <f aca="false">ROUND(79*1,0)&amp;"%"</f>
        <v>79%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6445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6446</v>
      </c>
      <c r="B234" s="5" t="s">
        <v>386</v>
      </c>
      <c r="C234" s="5" t="s">
        <v>133</v>
      </c>
      <c r="D234" s="5" t="s">
        <v>16</v>
      </c>
      <c r="E234" s="5" t="n">
        <f aca="false">ROUND(5064*1.05,2)</f>
        <v>5317.2</v>
      </c>
      <c r="F234" s="5" t="s">
        <v>17</v>
      </c>
      <c r="G234" s="5" t="s">
        <v>18</v>
      </c>
      <c r="H234" s="5" t="n">
        <f aca="true">ROUND(RAND()*4+6,1)</f>
        <v>9.3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6447</v>
      </c>
      <c r="B235" s="6" t="s">
        <v>388</v>
      </c>
      <c r="C235" s="6" t="s">
        <v>133</v>
      </c>
      <c r="D235" s="6" t="s">
        <v>22</v>
      </c>
      <c r="E235" s="6" t="n">
        <f aca="false">ROUND(6824*1.05,2)</f>
        <v>7165.2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ROUND(67*1,0)&amp;"%"</f>
        <v>67%</v>
      </c>
    </row>
    <row r="236" customFormat="false" ht="15" hidden="false" customHeight="false" outlineLevel="0" collapsed="false">
      <c r="A236" s="5" t="s">
        <v>6448</v>
      </c>
      <c r="B236" s="5" t="s">
        <v>390</v>
      </c>
      <c r="C236" s="5" t="s">
        <v>133</v>
      </c>
      <c r="D236" s="5" t="s">
        <v>28</v>
      </c>
      <c r="E236" s="5" t="n">
        <f aca="false">ROUND(12070*1.05,2)</f>
        <v>12673.5</v>
      </c>
      <c r="F236" s="5" t="s">
        <v>29</v>
      </c>
      <c r="G236" s="5" t="s">
        <v>30</v>
      </c>
      <c r="H236" s="5" t="n">
        <f aca="true">ROUND(RAND()*4+6,1)</f>
        <v>9.6</v>
      </c>
      <c r="I236" s="5" t="s">
        <v>31</v>
      </c>
      <c r="J236" s="5" t="str">
        <f aca="false">ROUND(77*1,0)&amp;"%"</f>
        <v>77%</v>
      </c>
    </row>
    <row r="237" customFormat="false" ht="15" hidden="false" customHeight="false" outlineLevel="0" collapsed="false">
      <c r="A237" s="6" t="s">
        <v>6449</v>
      </c>
      <c r="B237" s="6" t="s">
        <v>392</v>
      </c>
      <c r="C237" s="6" t="s">
        <v>133</v>
      </c>
      <c r="D237" s="6" t="s">
        <v>34</v>
      </c>
      <c r="E237" s="6" t="n">
        <f aca="false">ROUND(15570*1.05,2)</f>
        <v>16348.5</v>
      </c>
      <c r="F237" s="6" t="s">
        <v>35</v>
      </c>
      <c r="G237" s="6" t="s">
        <v>18</v>
      </c>
      <c r="H237" s="6" t="n">
        <f aca="true">ROUND(RAND()*4+6,1)</f>
        <v>8.7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6450</v>
      </c>
      <c r="B238" s="5" t="s">
        <v>394</v>
      </c>
      <c r="C238" s="5" t="s">
        <v>133</v>
      </c>
      <c r="D238" s="5" t="s">
        <v>39</v>
      </c>
      <c r="E238" s="5" t="n">
        <f aca="false">ROUND(15393*1.05,2)</f>
        <v>16162.65</v>
      </c>
      <c r="F238" s="5" t="s">
        <v>40</v>
      </c>
      <c r="G238" s="5" t="s">
        <v>24</v>
      </c>
      <c r="H238" s="5" t="n">
        <f aca="true">ROUND(RAND()*4+6,1)</f>
        <v>8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6451</v>
      </c>
      <c r="B239" s="6" t="s">
        <v>396</v>
      </c>
      <c r="C239" s="6" t="s">
        <v>133</v>
      </c>
      <c r="D239" s="6" t="s">
        <v>44</v>
      </c>
      <c r="E239" s="6" t="n">
        <f aca="false">ROUND(13541*1.05,2)</f>
        <v>14218.05</v>
      </c>
      <c r="F239" s="6" t="s">
        <v>45</v>
      </c>
      <c r="G239" s="6" t="s">
        <v>30</v>
      </c>
      <c r="H239" s="6" t="n">
        <f aca="true">ROUND(RAND()*4+6,1)</f>
        <v>6</v>
      </c>
      <c r="I239" s="6" t="s">
        <v>46</v>
      </c>
      <c r="J239" s="6" t="str">
        <f aca="false">ROUND(83*1,0)&amp;"%"</f>
        <v>83%</v>
      </c>
    </row>
    <row r="240" customFormat="false" ht="15" hidden="false" customHeight="false" outlineLevel="0" collapsed="false">
      <c r="A240" s="5" t="s">
        <v>6452</v>
      </c>
      <c r="B240" s="5" t="s">
        <v>398</v>
      </c>
      <c r="C240" s="5" t="s">
        <v>133</v>
      </c>
      <c r="D240" s="5" t="s">
        <v>16</v>
      </c>
      <c r="E240" s="5" t="n">
        <f aca="false">ROUND(12717*1.05,2)</f>
        <v>13352.85</v>
      </c>
      <c r="F240" s="5" t="s">
        <v>49</v>
      </c>
      <c r="G240" s="5" t="s">
        <v>18</v>
      </c>
      <c r="H240" s="5" t="n">
        <f aca="true">ROUND(RAND()*4+6,1)</f>
        <v>7.8</v>
      </c>
      <c r="I240" s="5" t="s">
        <v>19</v>
      </c>
      <c r="J240" s="5" t="str">
        <f aca="false">ROUND(70*1,0)&amp;"%"</f>
        <v>70%</v>
      </c>
    </row>
    <row r="241" customFormat="false" ht="15" hidden="false" customHeight="false" outlineLevel="0" collapsed="false">
      <c r="A241" s="6" t="s">
        <v>6453</v>
      </c>
      <c r="B241" s="6" t="s">
        <v>400</v>
      </c>
      <c r="C241" s="6" t="s">
        <v>133</v>
      </c>
      <c r="D241" s="6" t="s">
        <v>22</v>
      </c>
      <c r="E241" s="6" t="n">
        <f aca="false">ROUND(10452*1.05,2)</f>
        <v>10974.6</v>
      </c>
      <c r="F241" s="6" t="s">
        <v>52</v>
      </c>
      <c r="G241" s="6" t="s">
        <v>24</v>
      </c>
      <c r="H241" s="6" t="n">
        <f aca="true">ROUND(RAND()*4+6,1)</f>
        <v>8.3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6454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6455</v>
      </c>
      <c r="B246" s="5" t="s">
        <v>404</v>
      </c>
      <c r="C246" s="5" t="s">
        <v>152</v>
      </c>
      <c r="D246" s="5" t="s">
        <v>16</v>
      </c>
      <c r="E246" s="5" t="n">
        <f aca="false">ROUND(13088*1.05,2)</f>
        <v>13742.4</v>
      </c>
      <c r="F246" s="5" t="s">
        <v>17</v>
      </c>
      <c r="G246" s="5" t="s">
        <v>18</v>
      </c>
      <c r="H246" s="5" t="n">
        <f aca="true">ROUND(RAND()*4+6,1)</f>
        <v>8.3</v>
      </c>
      <c r="I246" s="5" t="s">
        <v>19</v>
      </c>
      <c r="J246" s="5" t="str">
        <f aca="false">ROUND(79*1,0)&amp;"%"</f>
        <v>79%</v>
      </c>
    </row>
    <row r="247" customFormat="false" ht="15" hidden="false" customHeight="false" outlineLevel="0" collapsed="false">
      <c r="A247" s="6" t="s">
        <v>6456</v>
      </c>
      <c r="B247" s="6" t="s">
        <v>406</v>
      </c>
      <c r="C247" s="6" t="s">
        <v>152</v>
      </c>
      <c r="D247" s="6" t="s">
        <v>22</v>
      </c>
      <c r="E247" s="6" t="n">
        <f aca="false">ROUND(13229*1.05,2)</f>
        <v>13890.45</v>
      </c>
      <c r="F247" s="6" t="s">
        <v>23</v>
      </c>
      <c r="G247" s="6" t="s">
        <v>24</v>
      </c>
      <c r="H247" s="6" t="n">
        <f aca="true">ROUND(RAND()*4+6,1)</f>
        <v>6.2</v>
      </c>
      <c r="I247" s="6" t="s">
        <v>25</v>
      </c>
      <c r="J247" s="6" t="str">
        <f aca="false">ROUND(97*1,0)&amp;"%"</f>
        <v>97%</v>
      </c>
    </row>
    <row r="248" customFormat="false" ht="15" hidden="false" customHeight="false" outlineLevel="0" collapsed="false">
      <c r="A248" s="5" t="s">
        <v>6457</v>
      </c>
      <c r="B248" s="5" t="s">
        <v>408</v>
      </c>
      <c r="C248" s="5" t="s">
        <v>152</v>
      </c>
      <c r="D248" s="5" t="s">
        <v>28</v>
      </c>
      <c r="E248" s="5" t="n">
        <f aca="false">ROUND(9695*1.05,2)</f>
        <v>10179.75</v>
      </c>
      <c r="F248" s="5" t="s">
        <v>29</v>
      </c>
      <c r="G248" s="5" t="s">
        <v>30</v>
      </c>
      <c r="H248" s="5" t="n">
        <f aca="true">ROUND(RAND()*4+6,1)</f>
        <v>6.1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6458</v>
      </c>
      <c r="B249" s="6" t="s">
        <v>410</v>
      </c>
      <c r="C249" s="6" t="s">
        <v>152</v>
      </c>
      <c r="D249" s="6" t="s">
        <v>34</v>
      </c>
      <c r="E249" s="6" t="n">
        <f aca="false">ROUND(14116*1.05,2)</f>
        <v>14821.8</v>
      </c>
      <c r="F249" s="6" t="s">
        <v>35</v>
      </c>
      <c r="G249" s="6" t="s">
        <v>18</v>
      </c>
      <c r="H249" s="6" t="n">
        <f aca="true">ROUND(RAND()*4+6,1)</f>
        <v>7.2</v>
      </c>
      <c r="I249" s="6" t="s">
        <v>36</v>
      </c>
      <c r="J249" s="6" t="str">
        <f aca="false">ROUND(74*1,0)&amp;"%"</f>
        <v>74%</v>
      </c>
    </row>
    <row r="250" customFormat="false" ht="15" hidden="false" customHeight="false" outlineLevel="0" collapsed="false">
      <c r="A250" s="5" t="s">
        <v>6459</v>
      </c>
      <c r="B250" s="5" t="s">
        <v>412</v>
      </c>
      <c r="C250" s="5" t="s">
        <v>152</v>
      </c>
      <c r="D250" s="5" t="s">
        <v>39</v>
      </c>
      <c r="E250" s="5" t="n">
        <f aca="false">ROUND(4150*1.05,2)</f>
        <v>4357.5</v>
      </c>
      <c r="F250" s="5" t="s">
        <v>40</v>
      </c>
      <c r="G250" s="5" t="s">
        <v>24</v>
      </c>
      <c r="H250" s="5" t="n">
        <f aca="true">ROUND(RAND()*4+6,1)</f>
        <v>8</v>
      </c>
      <c r="I250" s="5" t="s">
        <v>41</v>
      </c>
      <c r="J250" s="5" t="str">
        <f aca="false">ROUND(92*1,0)&amp;"%"</f>
        <v>92%</v>
      </c>
    </row>
    <row r="251" customFormat="false" ht="15" hidden="false" customHeight="false" outlineLevel="0" collapsed="false">
      <c r="A251" s="6" t="s">
        <v>6460</v>
      </c>
      <c r="B251" s="6" t="s">
        <v>414</v>
      </c>
      <c r="C251" s="6" t="s">
        <v>152</v>
      </c>
      <c r="D251" s="6" t="s">
        <v>44</v>
      </c>
      <c r="E251" s="6" t="n">
        <f aca="false">ROUND(13483*1.05,2)</f>
        <v>14157.15</v>
      </c>
      <c r="F251" s="6" t="s">
        <v>45</v>
      </c>
      <c r="G251" s="6" t="s">
        <v>30</v>
      </c>
      <c r="H251" s="6" t="n">
        <f aca="true">ROUND(RAND()*4+6,1)</f>
        <v>9.7</v>
      </c>
      <c r="I251" s="6" t="s">
        <v>46</v>
      </c>
      <c r="J251" s="6" t="str">
        <f aca="false">ROUND(72*1,0)&amp;"%"</f>
        <v>72%</v>
      </c>
    </row>
    <row r="252" customFormat="false" ht="15" hidden="false" customHeight="false" outlineLevel="0" collapsed="false">
      <c r="A252" s="5" t="s">
        <v>6461</v>
      </c>
      <c r="B252" s="5" t="s">
        <v>416</v>
      </c>
      <c r="C252" s="5" t="s">
        <v>152</v>
      </c>
      <c r="D252" s="5" t="s">
        <v>16</v>
      </c>
      <c r="E252" s="5" t="n">
        <f aca="false">ROUND(13853*1.05,2)</f>
        <v>14545.65</v>
      </c>
      <c r="F252" s="5" t="s">
        <v>49</v>
      </c>
      <c r="G252" s="5" t="s">
        <v>18</v>
      </c>
      <c r="H252" s="5" t="n">
        <f aca="true">ROUND(RAND()*4+6,1)</f>
        <v>7.3</v>
      </c>
      <c r="I252" s="5" t="s">
        <v>19</v>
      </c>
      <c r="J252" s="5" t="str">
        <f aca="false">ROUND(74*1,0)&amp;"%"</f>
        <v>74%</v>
      </c>
    </row>
    <row r="253" customFormat="false" ht="15" hidden="false" customHeight="false" outlineLevel="0" collapsed="false">
      <c r="A253" s="6" t="s">
        <v>6462</v>
      </c>
      <c r="B253" s="6" t="s">
        <v>418</v>
      </c>
      <c r="C253" s="6" t="s">
        <v>152</v>
      </c>
      <c r="D253" s="6" t="s">
        <v>22</v>
      </c>
      <c r="E253" s="6" t="n">
        <f aca="false">ROUND(4380*1.05,2)</f>
        <v>4599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ROUND(87*1,0)&amp;"%"</f>
        <v>87%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6463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6464</v>
      </c>
      <c r="B258" s="5" t="s">
        <v>422</v>
      </c>
      <c r="C258" s="5" t="s">
        <v>15</v>
      </c>
      <c r="D258" s="5" t="s">
        <v>16</v>
      </c>
      <c r="E258" s="5" t="n">
        <f aca="false">ROUND(17946*1.05,2)</f>
        <v>18843.3</v>
      </c>
      <c r="F258" s="5" t="s">
        <v>17</v>
      </c>
      <c r="G258" s="5" t="s">
        <v>18</v>
      </c>
      <c r="H258" s="5" t="n">
        <f aca="true">ROUND(RAND()*4+6,1)</f>
        <v>8.5</v>
      </c>
      <c r="I258" s="5" t="s">
        <v>19</v>
      </c>
      <c r="J258" s="5" t="str">
        <f aca="false">ROUND(82*1,0)&amp;"%"</f>
        <v>82%</v>
      </c>
    </row>
    <row r="259" customFormat="false" ht="15" hidden="false" customHeight="false" outlineLevel="0" collapsed="false">
      <c r="A259" s="6" t="s">
        <v>6465</v>
      </c>
      <c r="B259" s="6" t="s">
        <v>424</v>
      </c>
      <c r="C259" s="6" t="s">
        <v>15</v>
      </c>
      <c r="D259" s="6" t="s">
        <v>22</v>
      </c>
      <c r="E259" s="6" t="n">
        <f aca="false">ROUND(14287*1.05,2)</f>
        <v>15001.35</v>
      </c>
      <c r="F259" s="6" t="s">
        <v>23</v>
      </c>
      <c r="G259" s="6" t="s">
        <v>24</v>
      </c>
      <c r="H259" s="6" t="n">
        <f aca="true">ROUND(RAND()*4+6,1)</f>
        <v>7</v>
      </c>
      <c r="I259" s="6" t="s">
        <v>25</v>
      </c>
      <c r="J259" s="6" t="str">
        <f aca="false">ROUND(81*1,0)&amp;"%"</f>
        <v>81%</v>
      </c>
    </row>
    <row r="260" customFormat="false" ht="15" hidden="false" customHeight="false" outlineLevel="0" collapsed="false">
      <c r="A260" s="5" t="s">
        <v>6466</v>
      </c>
      <c r="B260" s="5" t="s">
        <v>426</v>
      </c>
      <c r="C260" s="5" t="s">
        <v>15</v>
      </c>
      <c r="D260" s="5" t="s">
        <v>28</v>
      </c>
      <c r="E260" s="5" t="n">
        <f aca="false">ROUND(13820*1.05,2)</f>
        <v>14511</v>
      </c>
      <c r="F260" s="5" t="s">
        <v>29</v>
      </c>
      <c r="G260" s="5" t="s">
        <v>30</v>
      </c>
      <c r="H260" s="5" t="n">
        <f aca="true">ROUND(RAND()*4+6,1)</f>
        <v>9.8</v>
      </c>
      <c r="I260" s="5" t="s">
        <v>31</v>
      </c>
      <c r="J260" s="5" t="str">
        <f aca="false">ROUND(97*1,0)&amp;"%"</f>
        <v>97%</v>
      </c>
    </row>
    <row r="261" customFormat="false" ht="15" hidden="false" customHeight="false" outlineLevel="0" collapsed="false">
      <c r="A261" s="6" t="s">
        <v>6467</v>
      </c>
      <c r="B261" s="6" t="s">
        <v>428</v>
      </c>
      <c r="C261" s="6" t="s">
        <v>15</v>
      </c>
      <c r="D261" s="6" t="s">
        <v>34</v>
      </c>
      <c r="E261" s="6" t="n">
        <f aca="false">ROUND(17858*1.05,2)</f>
        <v>18750.9</v>
      </c>
      <c r="F261" s="6" t="s">
        <v>35</v>
      </c>
      <c r="G261" s="6" t="s">
        <v>18</v>
      </c>
      <c r="H261" s="6" t="n">
        <f aca="true">ROUND(RAND()*4+6,1)</f>
        <v>8.6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6468</v>
      </c>
      <c r="B262" s="5" t="s">
        <v>430</v>
      </c>
      <c r="C262" s="5" t="s">
        <v>15</v>
      </c>
      <c r="D262" s="5" t="s">
        <v>39</v>
      </c>
      <c r="E262" s="5" t="n">
        <f aca="false">ROUND(10616*1.05,2)</f>
        <v>11146.8</v>
      </c>
      <c r="F262" s="5" t="s">
        <v>40</v>
      </c>
      <c r="G262" s="5" t="s">
        <v>24</v>
      </c>
      <c r="H262" s="5" t="n">
        <f aca="true">ROUND(RAND()*4+6,1)</f>
        <v>8.3</v>
      </c>
      <c r="I262" s="5" t="s">
        <v>41</v>
      </c>
      <c r="J262" s="5" t="str">
        <f aca="false">ROUND(61*1,0)&amp;"%"</f>
        <v>61%</v>
      </c>
    </row>
    <row r="263" customFormat="false" ht="15" hidden="false" customHeight="false" outlineLevel="0" collapsed="false">
      <c r="A263" s="6" t="s">
        <v>6469</v>
      </c>
      <c r="B263" s="6" t="s">
        <v>432</v>
      </c>
      <c r="C263" s="6" t="s">
        <v>15</v>
      </c>
      <c r="D263" s="6" t="s">
        <v>44</v>
      </c>
      <c r="E263" s="6" t="n">
        <f aca="false">ROUND(10202*1.05,2)</f>
        <v>10712.1</v>
      </c>
      <c r="F263" s="6" t="s">
        <v>45</v>
      </c>
      <c r="G263" s="6" t="s">
        <v>30</v>
      </c>
      <c r="H263" s="6" t="n">
        <f aca="true">ROUND(RAND()*4+6,1)</f>
        <v>7.1</v>
      </c>
      <c r="I263" s="6" t="s">
        <v>46</v>
      </c>
      <c r="J263" s="6" t="str">
        <f aca="false">ROUND(67*1,0)&amp;"%"</f>
        <v>67%</v>
      </c>
    </row>
    <row r="264" customFormat="false" ht="15" hidden="false" customHeight="false" outlineLevel="0" collapsed="false">
      <c r="A264" s="5" t="s">
        <v>6470</v>
      </c>
      <c r="B264" s="5" t="s">
        <v>434</v>
      </c>
      <c r="C264" s="5" t="s">
        <v>15</v>
      </c>
      <c r="D264" s="5" t="s">
        <v>16</v>
      </c>
      <c r="E264" s="5" t="n">
        <f aca="false">ROUND(13507*1.05,2)</f>
        <v>14182.35</v>
      </c>
      <c r="F264" s="5" t="s">
        <v>49</v>
      </c>
      <c r="G264" s="5" t="s">
        <v>18</v>
      </c>
      <c r="H264" s="5" t="n">
        <f aca="true">ROUND(RAND()*4+6,1)</f>
        <v>7.5</v>
      </c>
      <c r="I264" s="5" t="s">
        <v>19</v>
      </c>
      <c r="J264" s="5" t="str">
        <f aca="false">ROUND(98*1,0)&amp;"%"</f>
        <v>98%</v>
      </c>
    </row>
    <row r="265" customFormat="false" ht="15" hidden="false" customHeight="false" outlineLevel="0" collapsed="false">
      <c r="A265" s="6" t="s">
        <v>6471</v>
      </c>
      <c r="B265" s="6" t="s">
        <v>436</v>
      </c>
      <c r="C265" s="6" t="s">
        <v>15</v>
      </c>
      <c r="D265" s="6" t="s">
        <v>22</v>
      </c>
      <c r="E265" s="6" t="n">
        <f aca="false">ROUND(13953*1.05,2)</f>
        <v>14650.65</v>
      </c>
      <c r="F265" s="6" t="s">
        <v>52</v>
      </c>
      <c r="G265" s="6" t="s">
        <v>24</v>
      </c>
      <c r="H265" s="6" t="n">
        <f aca="true">ROUND(RAND()*4+6,1)</f>
        <v>8</v>
      </c>
      <c r="I265" s="6" t="s">
        <v>25</v>
      </c>
      <c r="J265" s="6" t="str">
        <f aca="false">ROUND(65*1,0)&amp;"%"</f>
        <v>65%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6472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6473</v>
      </c>
      <c r="B270" s="5" t="s">
        <v>440</v>
      </c>
      <c r="C270" s="5" t="s">
        <v>57</v>
      </c>
      <c r="D270" s="5" t="s">
        <v>16</v>
      </c>
      <c r="E270" s="5" t="n">
        <f aca="false">ROUND(13145*1.05,2)</f>
        <v>13802.25</v>
      </c>
      <c r="F270" s="5" t="s">
        <v>17</v>
      </c>
      <c r="G270" s="5" t="s">
        <v>18</v>
      </c>
      <c r="H270" s="5" t="n">
        <f aca="true">ROUND(RAND()*4+6,1)</f>
        <v>9.9</v>
      </c>
      <c r="I270" s="5" t="s">
        <v>19</v>
      </c>
      <c r="J270" s="5" t="str">
        <f aca="false">ROUND(61*1,0)&amp;"%"</f>
        <v>61%</v>
      </c>
    </row>
    <row r="271" customFormat="false" ht="15" hidden="false" customHeight="false" outlineLevel="0" collapsed="false">
      <c r="A271" s="6" t="s">
        <v>6474</v>
      </c>
      <c r="B271" s="6" t="s">
        <v>442</v>
      </c>
      <c r="C271" s="6" t="s">
        <v>57</v>
      </c>
      <c r="D271" s="6" t="s">
        <v>22</v>
      </c>
      <c r="E271" s="6" t="n">
        <f aca="false">ROUND(4762*1.05,2)</f>
        <v>5000.1</v>
      </c>
      <c r="F271" s="6" t="s">
        <v>23</v>
      </c>
      <c r="G271" s="6" t="s">
        <v>24</v>
      </c>
      <c r="H271" s="6" t="n">
        <f aca="true">ROUND(RAND()*4+6,1)</f>
        <v>9.1</v>
      </c>
      <c r="I271" s="6" t="s">
        <v>25</v>
      </c>
      <c r="J271" s="6" t="str">
        <f aca="false">ROUND(98*1,0)&amp;"%"</f>
        <v>98%</v>
      </c>
    </row>
    <row r="272" customFormat="false" ht="15" hidden="false" customHeight="false" outlineLevel="0" collapsed="false">
      <c r="A272" s="5" t="s">
        <v>6475</v>
      </c>
      <c r="B272" s="5" t="s">
        <v>444</v>
      </c>
      <c r="C272" s="5" t="s">
        <v>57</v>
      </c>
      <c r="D272" s="5" t="s">
        <v>28</v>
      </c>
      <c r="E272" s="5" t="n">
        <f aca="false">ROUND(10015*1.05,2)</f>
        <v>10515.75</v>
      </c>
      <c r="F272" s="5" t="s">
        <v>29</v>
      </c>
      <c r="G272" s="5" t="s">
        <v>30</v>
      </c>
      <c r="H272" s="5" t="n">
        <f aca="true">ROUND(RAND()*4+6,1)</f>
        <v>9.4</v>
      </c>
      <c r="I272" s="5" t="s">
        <v>31</v>
      </c>
      <c r="J272" s="5" t="str">
        <f aca="false">ROUND(96*1,0)&amp;"%"</f>
        <v>96%</v>
      </c>
    </row>
    <row r="273" customFormat="false" ht="15" hidden="false" customHeight="false" outlineLevel="0" collapsed="false">
      <c r="A273" s="6" t="s">
        <v>6476</v>
      </c>
      <c r="B273" s="6" t="s">
        <v>446</v>
      </c>
      <c r="C273" s="6" t="s">
        <v>57</v>
      </c>
      <c r="D273" s="6" t="s">
        <v>34</v>
      </c>
      <c r="E273" s="6" t="n">
        <f aca="false">ROUND(16622*1.05,2)</f>
        <v>17453.1</v>
      </c>
      <c r="F273" s="6" t="s">
        <v>35</v>
      </c>
      <c r="G273" s="6" t="s">
        <v>18</v>
      </c>
      <c r="H273" s="6" t="n">
        <f aca="true">ROUND(RAND()*4+6,1)</f>
        <v>8.7</v>
      </c>
      <c r="I273" s="6" t="s">
        <v>36</v>
      </c>
      <c r="J273" s="6" t="str">
        <f aca="false">ROUND(79*1,0)&amp;"%"</f>
        <v>79%</v>
      </c>
    </row>
    <row r="274" customFormat="false" ht="15" hidden="false" customHeight="false" outlineLevel="0" collapsed="false">
      <c r="A274" s="5" t="s">
        <v>6477</v>
      </c>
      <c r="B274" s="5" t="s">
        <v>448</v>
      </c>
      <c r="C274" s="5" t="s">
        <v>57</v>
      </c>
      <c r="D274" s="5" t="s">
        <v>39</v>
      </c>
      <c r="E274" s="5" t="n">
        <f aca="false">ROUND(12751*1.05,2)</f>
        <v>13388.55</v>
      </c>
      <c r="F274" s="5" t="s">
        <v>40</v>
      </c>
      <c r="G274" s="5" t="s">
        <v>24</v>
      </c>
      <c r="H274" s="5" t="n">
        <f aca="true">ROUND(RAND()*4+6,1)</f>
        <v>7.9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6478</v>
      </c>
      <c r="B275" s="6" t="s">
        <v>450</v>
      </c>
      <c r="C275" s="6" t="s">
        <v>57</v>
      </c>
      <c r="D275" s="6" t="s">
        <v>44</v>
      </c>
      <c r="E275" s="6" t="n">
        <f aca="false">ROUND(16017*1.05,2)</f>
        <v>16817.85</v>
      </c>
      <c r="F275" s="6" t="s">
        <v>45</v>
      </c>
      <c r="G275" s="6" t="s">
        <v>30</v>
      </c>
      <c r="H275" s="6" t="n">
        <f aca="true">ROUND(RAND()*4+6,1)</f>
        <v>6.7</v>
      </c>
      <c r="I275" s="6" t="s">
        <v>46</v>
      </c>
      <c r="J275" s="6" t="str">
        <f aca="false">ROUND(68*1,0)&amp;"%"</f>
        <v>68%</v>
      </c>
    </row>
    <row r="276" customFormat="false" ht="15" hidden="false" customHeight="false" outlineLevel="0" collapsed="false">
      <c r="A276" s="5" t="s">
        <v>6479</v>
      </c>
      <c r="B276" s="5" t="s">
        <v>452</v>
      </c>
      <c r="C276" s="5" t="s">
        <v>57</v>
      </c>
      <c r="D276" s="5" t="s">
        <v>16</v>
      </c>
      <c r="E276" s="5" t="n">
        <f aca="false">ROUND(10979*1.05,2)</f>
        <v>11527.95</v>
      </c>
      <c r="F276" s="5" t="s">
        <v>49</v>
      </c>
      <c r="G276" s="5" t="s">
        <v>18</v>
      </c>
      <c r="H276" s="5" t="n">
        <f aca="true">ROUND(RAND()*4+6,1)</f>
        <v>7.8</v>
      </c>
      <c r="I276" s="5" t="s">
        <v>19</v>
      </c>
      <c r="J276" s="5" t="str">
        <f aca="false">ROUND(86*1,0)&amp;"%"</f>
        <v>86%</v>
      </c>
    </row>
    <row r="277" customFormat="false" ht="15" hidden="false" customHeight="false" outlineLevel="0" collapsed="false">
      <c r="A277" s="6" t="s">
        <v>6480</v>
      </c>
      <c r="B277" s="6" t="s">
        <v>454</v>
      </c>
      <c r="C277" s="6" t="s">
        <v>57</v>
      </c>
      <c r="D277" s="6" t="s">
        <v>22</v>
      </c>
      <c r="E277" s="6" t="n">
        <f aca="false">ROUND(16964*1.05,2)</f>
        <v>17812.2</v>
      </c>
      <c r="F277" s="6" t="s">
        <v>52</v>
      </c>
      <c r="G277" s="6" t="s">
        <v>24</v>
      </c>
      <c r="H277" s="6" t="n">
        <f aca="true">ROUND(RAND()*4+6,1)</f>
        <v>7.2</v>
      </c>
      <c r="I277" s="6" t="s">
        <v>25</v>
      </c>
      <c r="J277" s="6" t="str">
        <f aca="false">ROUND(60*1,0)&amp;"%"</f>
        <v>60%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6481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6482</v>
      </c>
      <c r="B282" s="5" t="s">
        <v>458</v>
      </c>
      <c r="C282" s="5" t="s">
        <v>76</v>
      </c>
      <c r="D282" s="5" t="s">
        <v>16</v>
      </c>
      <c r="E282" s="5" t="n">
        <f aca="false">ROUND(15563*1.05,2)</f>
        <v>16341.15</v>
      </c>
      <c r="F282" s="5" t="s">
        <v>17</v>
      </c>
      <c r="G282" s="5" t="s">
        <v>18</v>
      </c>
      <c r="H282" s="5" t="n">
        <f aca="true">ROUND(RAND()*4+6,1)</f>
        <v>7.5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6483</v>
      </c>
      <c r="B283" s="6" t="s">
        <v>460</v>
      </c>
      <c r="C283" s="6" t="s">
        <v>76</v>
      </c>
      <c r="D283" s="6" t="s">
        <v>22</v>
      </c>
      <c r="E283" s="6" t="n">
        <f aca="false">ROUND(8239*1.05,2)</f>
        <v>8650.95</v>
      </c>
      <c r="F283" s="6" t="s">
        <v>23</v>
      </c>
      <c r="G283" s="6" t="s">
        <v>24</v>
      </c>
      <c r="H283" s="6" t="n">
        <f aca="true">ROUND(RAND()*4+6,1)</f>
        <v>8.9</v>
      </c>
      <c r="I283" s="6" t="s">
        <v>25</v>
      </c>
      <c r="J283" s="6" t="str">
        <f aca="false">ROUND(83*1,0)&amp;"%"</f>
        <v>83%</v>
      </c>
    </row>
    <row r="284" customFormat="false" ht="15" hidden="false" customHeight="false" outlineLevel="0" collapsed="false">
      <c r="A284" s="5" t="s">
        <v>6484</v>
      </c>
      <c r="B284" s="5" t="s">
        <v>462</v>
      </c>
      <c r="C284" s="5" t="s">
        <v>76</v>
      </c>
      <c r="D284" s="5" t="s">
        <v>28</v>
      </c>
      <c r="E284" s="5" t="n">
        <f aca="false">ROUND(10427*1.05,2)</f>
        <v>10948.35</v>
      </c>
      <c r="F284" s="5" t="s">
        <v>29</v>
      </c>
      <c r="G284" s="5" t="s">
        <v>30</v>
      </c>
      <c r="H284" s="5" t="n">
        <f aca="true">ROUND(RAND()*4+6,1)</f>
        <v>9.7</v>
      </c>
      <c r="I284" s="5" t="s">
        <v>31</v>
      </c>
      <c r="J284" s="5" t="str">
        <f aca="false">ROUND(96*1,0)&amp;"%"</f>
        <v>96%</v>
      </c>
    </row>
    <row r="285" customFormat="false" ht="15" hidden="false" customHeight="false" outlineLevel="0" collapsed="false">
      <c r="A285" s="6" t="s">
        <v>6485</v>
      </c>
      <c r="B285" s="6" t="s">
        <v>464</v>
      </c>
      <c r="C285" s="6" t="s">
        <v>76</v>
      </c>
      <c r="D285" s="6" t="s">
        <v>34</v>
      </c>
      <c r="E285" s="6" t="n">
        <f aca="false">ROUND(10559*1.05,2)</f>
        <v>11086.95</v>
      </c>
      <c r="F285" s="6" t="s">
        <v>35</v>
      </c>
      <c r="G285" s="6" t="s">
        <v>18</v>
      </c>
      <c r="H285" s="6" t="n">
        <f aca="true">ROUND(RAND()*4+6,1)</f>
        <v>7.8</v>
      </c>
      <c r="I285" s="6" t="s">
        <v>36</v>
      </c>
      <c r="J285" s="6" t="str">
        <f aca="false">ROUND(66*1,0)&amp;"%"</f>
        <v>66%</v>
      </c>
    </row>
    <row r="286" customFormat="false" ht="15" hidden="false" customHeight="false" outlineLevel="0" collapsed="false">
      <c r="A286" s="5" t="s">
        <v>6486</v>
      </c>
      <c r="B286" s="5" t="s">
        <v>466</v>
      </c>
      <c r="C286" s="5" t="s">
        <v>76</v>
      </c>
      <c r="D286" s="5" t="s">
        <v>39</v>
      </c>
      <c r="E286" s="5" t="n">
        <f aca="false">ROUND(10772*1.05,2)</f>
        <v>11310.6</v>
      </c>
      <c r="F286" s="5" t="s">
        <v>40</v>
      </c>
      <c r="G286" s="5" t="s">
        <v>24</v>
      </c>
      <c r="H286" s="5" t="n">
        <f aca="true">ROUND(RAND()*4+6,1)</f>
        <v>6.7</v>
      </c>
      <c r="I286" s="5" t="s">
        <v>41</v>
      </c>
      <c r="J286" s="5" t="str">
        <f aca="false">ROUND(74*1,0)&amp;"%"</f>
        <v>74%</v>
      </c>
    </row>
    <row r="287" customFormat="false" ht="15" hidden="false" customHeight="false" outlineLevel="0" collapsed="false">
      <c r="A287" s="6" t="s">
        <v>6487</v>
      </c>
      <c r="B287" s="6" t="s">
        <v>468</v>
      </c>
      <c r="C287" s="6" t="s">
        <v>76</v>
      </c>
      <c r="D287" s="6" t="s">
        <v>44</v>
      </c>
      <c r="E287" s="6" t="n">
        <f aca="false">ROUND(6494*1.05,2)</f>
        <v>6818.7</v>
      </c>
      <c r="F287" s="6" t="s">
        <v>45</v>
      </c>
      <c r="G287" s="6" t="s">
        <v>30</v>
      </c>
      <c r="H287" s="6" t="n">
        <f aca="true">ROUND(RAND()*4+6,1)</f>
        <v>6.3</v>
      </c>
      <c r="I287" s="6" t="s">
        <v>46</v>
      </c>
      <c r="J287" s="6" t="str">
        <f aca="false">ROUND(64*1,0)&amp;"%"</f>
        <v>64%</v>
      </c>
    </row>
    <row r="288" customFormat="false" ht="15" hidden="false" customHeight="false" outlineLevel="0" collapsed="false">
      <c r="A288" s="5" t="s">
        <v>6488</v>
      </c>
      <c r="B288" s="5" t="s">
        <v>470</v>
      </c>
      <c r="C288" s="5" t="s">
        <v>76</v>
      </c>
      <c r="D288" s="5" t="s">
        <v>16</v>
      </c>
      <c r="E288" s="5" t="n">
        <f aca="false">ROUND(17592*1.05,2)</f>
        <v>18471.6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ROUND(91*1,0)&amp;"%"</f>
        <v>91%</v>
      </c>
    </row>
    <row r="289" customFormat="false" ht="15" hidden="false" customHeight="false" outlineLevel="0" collapsed="false">
      <c r="A289" s="6" t="s">
        <v>6489</v>
      </c>
      <c r="B289" s="6" t="s">
        <v>472</v>
      </c>
      <c r="C289" s="6" t="s">
        <v>76</v>
      </c>
      <c r="D289" s="6" t="s">
        <v>22</v>
      </c>
      <c r="E289" s="6" t="n">
        <f aca="false">ROUND(15172*1.05,2)</f>
        <v>15930.6</v>
      </c>
      <c r="F289" s="6" t="s">
        <v>52</v>
      </c>
      <c r="G289" s="6" t="s">
        <v>24</v>
      </c>
      <c r="H289" s="6" t="n">
        <f aca="true">ROUND(RAND()*4+6,1)</f>
        <v>8.7</v>
      </c>
      <c r="I289" s="6" t="s">
        <v>25</v>
      </c>
      <c r="J289" s="6" t="str">
        <f aca="false">ROUND(83*1,0)&amp;"%"</f>
        <v>83%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6490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6491</v>
      </c>
      <c r="B294" s="5" t="s">
        <v>476</v>
      </c>
      <c r="C294" s="5" t="s">
        <v>95</v>
      </c>
      <c r="D294" s="5" t="s">
        <v>16</v>
      </c>
      <c r="E294" s="5" t="n">
        <f aca="false">ROUND(14973*1.05,2)</f>
        <v>15721.65</v>
      </c>
      <c r="F294" s="5" t="s">
        <v>17</v>
      </c>
      <c r="G294" s="5" t="s">
        <v>18</v>
      </c>
      <c r="H294" s="5" t="n">
        <f aca="true">ROUND(RAND()*4+6,1)</f>
        <v>8.3</v>
      </c>
      <c r="I294" s="5" t="s">
        <v>19</v>
      </c>
      <c r="J294" s="5" t="str">
        <f aca="false">ROUND(63*1,0)&amp;"%"</f>
        <v>63%</v>
      </c>
    </row>
    <row r="295" customFormat="false" ht="15" hidden="false" customHeight="false" outlineLevel="0" collapsed="false">
      <c r="A295" s="6" t="s">
        <v>6492</v>
      </c>
      <c r="B295" s="6" t="s">
        <v>478</v>
      </c>
      <c r="C295" s="6" t="s">
        <v>95</v>
      </c>
      <c r="D295" s="6" t="s">
        <v>22</v>
      </c>
      <c r="E295" s="6" t="n">
        <f aca="false">ROUND(5884*1.05,2)</f>
        <v>6178.2</v>
      </c>
      <c r="F295" s="6" t="s">
        <v>23</v>
      </c>
      <c r="G295" s="6" t="s">
        <v>24</v>
      </c>
      <c r="H295" s="6" t="n">
        <f aca="true">ROUND(RAND()*4+6,1)</f>
        <v>8</v>
      </c>
      <c r="I295" s="6" t="s">
        <v>25</v>
      </c>
      <c r="J295" s="6" t="str">
        <f aca="false">ROUND(61*1,0)&amp;"%"</f>
        <v>61%</v>
      </c>
    </row>
    <row r="296" customFormat="false" ht="15" hidden="false" customHeight="false" outlineLevel="0" collapsed="false">
      <c r="A296" s="5" t="s">
        <v>6493</v>
      </c>
      <c r="B296" s="5" t="s">
        <v>480</v>
      </c>
      <c r="C296" s="5" t="s">
        <v>95</v>
      </c>
      <c r="D296" s="5" t="s">
        <v>28</v>
      </c>
      <c r="E296" s="5" t="n">
        <f aca="false">ROUND(10012*1.05,2)</f>
        <v>10512.6</v>
      </c>
      <c r="F296" s="5" t="s">
        <v>29</v>
      </c>
      <c r="G296" s="5" t="s">
        <v>30</v>
      </c>
      <c r="H296" s="5" t="n">
        <f aca="true">ROUND(RAND()*4+6,1)</f>
        <v>9.6</v>
      </c>
      <c r="I296" s="5" t="s">
        <v>31</v>
      </c>
      <c r="J296" s="5" t="str">
        <f aca="false">ROUND(94*1,0)&amp;"%"</f>
        <v>94%</v>
      </c>
    </row>
    <row r="297" customFormat="false" ht="15" hidden="false" customHeight="false" outlineLevel="0" collapsed="false">
      <c r="A297" s="6" t="s">
        <v>6494</v>
      </c>
      <c r="B297" s="6" t="s">
        <v>482</v>
      </c>
      <c r="C297" s="6" t="s">
        <v>95</v>
      </c>
      <c r="D297" s="6" t="s">
        <v>34</v>
      </c>
      <c r="E297" s="6" t="n">
        <f aca="false">ROUND(5330*1.05,2)</f>
        <v>5596.5</v>
      </c>
      <c r="F297" s="6" t="s">
        <v>35</v>
      </c>
      <c r="G297" s="6" t="s">
        <v>18</v>
      </c>
      <c r="H297" s="6" t="n">
        <f aca="true">ROUND(RAND()*4+6,1)</f>
        <v>9.6</v>
      </c>
      <c r="I297" s="6" t="s">
        <v>36</v>
      </c>
      <c r="J297" s="6" t="str">
        <f aca="false">ROUND(88*1,0)&amp;"%"</f>
        <v>88%</v>
      </c>
    </row>
    <row r="298" customFormat="false" ht="15" hidden="false" customHeight="false" outlineLevel="0" collapsed="false">
      <c r="A298" s="5" t="s">
        <v>6495</v>
      </c>
      <c r="B298" s="5" t="s">
        <v>484</v>
      </c>
      <c r="C298" s="5" t="s">
        <v>95</v>
      </c>
      <c r="D298" s="5" t="s">
        <v>39</v>
      </c>
      <c r="E298" s="5" t="n">
        <f aca="false">ROUND(7438*1.05,2)</f>
        <v>7809.9</v>
      </c>
      <c r="F298" s="5" t="s">
        <v>40</v>
      </c>
      <c r="G298" s="5" t="s">
        <v>24</v>
      </c>
      <c r="H298" s="5" t="n">
        <f aca="true">ROUND(RAND()*4+6,1)</f>
        <v>9.8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6496</v>
      </c>
      <c r="B299" s="6" t="s">
        <v>486</v>
      </c>
      <c r="C299" s="6" t="s">
        <v>95</v>
      </c>
      <c r="D299" s="6" t="s">
        <v>44</v>
      </c>
      <c r="E299" s="6" t="n">
        <f aca="false">ROUND(10992*1.05,2)</f>
        <v>11541.6</v>
      </c>
      <c r="F299" s="6" t="s">
        <v>45</v>
      </c>
      <c r="G299" s="6" t="s">
        <v>30</v>
      </c>
      <c r="H299" s="6" t="n">
        <f aca="true">ROUND(RAND()*4+6,1)</f>
        <v>9.8</v>
      </c>
      <c r="I299" s="6" t="s">
        <v>46</v>
      </c>
      <c r="J299" s="6" t="str">
        <f aca="false">ROUND(69*1,0)&amp;"%"</f>
        <v>69%</v>
      </c>
    </row>
    <row r="300" customFormat="false" ht="15" hidden="false" customHeight="false" outlineLevel="0" collapsed="false">
      <c r="A300" s="5" t="s">
        <v>6497</v>
      </c>
      <c r="B300" s="5" t="s">
        <v>488</v>
      </c>
      <c r="C300" s="5" t="s">
        <v>95</v>
      </c>
      <c r="D300" s="5" t="s">
        <v>16</v>
      </c>
      <c r="E300" s="5" t="n">
        <f aca="false">ROUND(11892*1.05,2)</f>
        <v>12486.6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ROUND(64*1,0)&amp;"%"</f>
        <v>64%</v>
      </c>
    </row>
    <row r="301" customFormat="false" ht="15" hidden="false" customHeight="false" outlineLevel="0" collapsed="false">
      <c r="A301" s="6" t="s">
        <v>6498</v>
      </c>
      <c r="B301" s="6" t="s">
        <v>490</v>
      </c>
      <c r="C301" s="6" t="s">
        <v>95</v>
      </c>
      <c r="D301" s="6" t="s">
        <v>22</v>
      </c>
      <c r="E301" s="6" t="n">
        <f aca="false">ROUND(15540*1.05,2)</f>
        <v>16317</v>
      </c>
      <c r="F301" s="6" t="s">
        <v>52</v>
      </c>
      <c r="G301" s="6" t="s">
        <v>24</v>
      </c>
      <c r="H301" s="6" t="n">
        <f aca="true">ROUND(RAND()*4+6,1)</f>
        <v>9.9</v>
      </c>
      <c r="I301" s="6" t="s">
        <v>25</v>
      </c>
      <c r="J301" s="6" t="str">
        <f aca="false">ROUND(92*1,0)&amp;"%"</f>
        <v>92%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6499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6500</v>
      </c>
      <c r="B306" s="5" t="s">
        <v>494</v>
      </c>
      <c r="C306" s="5" t="s">
        <v>114</v>
      </c>
      <c r="D306" s="5" t="s">
        <v>16</v>
      </c>
      <c r="E306" s="5" t="n">
        <f aca="false">ROUND(6994*1.05,2)</f>
        <v>7343.7</v>
      </c>
      <c r="F306" s="5" t="s">
        <v>17</v>
      </c>
      <c r="G306" s="5" t="s">
        <v>18</v>
      </c>
      <c r="H306" s="5" t="n">
        <f aca="true">ROUND(RAND()*4+6,1)</f>
        <v>7</v>
      </c>
      <c r="I306" s="5" t="s">
        <v>19</v>
      </c>
      <c r="J306" s="5" t="str">
        <f aca="false">ROUND(62*1,0)&amp;"%"</f>
        <v>62%</v>
      </c>
    </row>
    <row r="307" customFormat="false" ht="15" hidden="false" customHeight="false" outlineLevel="0" collapsed="false">
      <c r="A307" s="6" t="s">
        <v>6501</v>
      </c>
      <c r="B307" s="6" t="s">
        <v>496</v>
      </c>
      <c r="C307" s="6" t="s">
        <v>114</v>
      </c>
      <c r="D307" s="6" t="s">
        <v>22</v>
      </c>
      <c r="E307" s="6" t="n">
        <f aca="false">ROUND(13054*1.05,2)</f>
        <v>13706.7</v>
      </c>
      <c r="F307" s="6" t="s">
        <v>23</v>
      </c>
      <c r="G307" s="6" t="s">
        <v>24</v>
      </c>
      <c r="H307" s="6" t="n">
        <f aca="true">ROUND(RAND()*4+6,1)</f>
        <v>9.1</v>
      </c>
      <c r="I307" s="6" t="s">
        <v>25</v>
      </c>
      <c r="J307" s="6" t="str">
        <f aca="false">ROUND(96*1,0)&amp;"%"</f>
        <v>96%</v>
      </c>
    </row>
    <row r="308" customFormat="false" ht="15" hidden="false" customHeight="false" outlineLevel="0" collapsed="false">
      <c r="A308" s="5" t="s">
        <v>6502</v>
      </c>
      <c r="B308" s="5" t="s">
        <v>498</v>
      </c>
      <c r="C308" s="5" t="s">
        <v>114</v>
      </c>
      <c r="D308" s="5" t="s">
        <v>28</v>
      </c>
      <c r="E308" s="5" t="n">
        <f aca="false">ROUND(8562*1.05,2)</f>
        <v>8990.1</v>
      </c>
      <c r="F308" s="5" t="s">
        <v>29</v>
      </c>
      <c r="G308" s="5" t="s">
        <v>30</v>
      </c>
      <c r="H308" s="5" t="n">
        <f aca="true">ROUND(RAND()*4+6,1)</f>
        <v>9.8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6503</v>
      </c>
      <c r="B309" s="6" t="s">
        <v>500</v>
      </c>
      <c r="C309" s="6" t="s">
        <v>114</v>
      </c>
      <c r="D309" s="6" t="s">
        <v>34</v>
      </c>
      <c r="E309" s="6" t="n">
        <f aca="false">ROUND(7742*1.05,2)</f>
        <v>8129.1</v>
      </c>
      <c r="F309" s="6" t="s">
        <v>35</v>
      </c>
      <c r="G309" s="6" t="s">
        <v>18</v>
      </c>
      <c r="H309" s="6" t="n">
        <f aca="true">ROUND(RAND()*4+6,1)</f>
        <v>8.2</v>
      </c>
      <c r="I309" s="6" t="s">
        <v>36</v>
      </c>
      <c r="J309" s="6" t="str">
        <f aca="false">ROUND(68*1,0)&amp;"%"</f>
        <v>68%</v>
      </c>
    </row>
    <row r="310" customFormat="false" ht="15" hidden="false" customHeight="false" outlineLevel="0" collapsed="false">
      <c r="A310" s="5" t="s">
        <v>6504</v>
      </c>
      <c r="B310" s="5" t="s">
        <v>502</v>
      </c>
      <c r="C310" s="5" t="s">
        <v>114</v>
      </c>
      <c r="D310" s="5" t="s">
        <v>39</v>
      </c>
      <c r="E310" s="5" t="n">
        <f aca="false">ROUND(10339*1.05,2)</f>
        <v>10855.95</v>
      </c>
      <c r="F310" s="5" t="s">
        <v>40</v>
      </c>
      <c r="G310" s="5" t="s">
        <v>24</v>
      </c>
      <c r="H310" s="5" t="n">
        <f aca="true">ROUND(RAND()*4+6,1)</f>
        <v>7.5</v>
      </c>
      <c r="I310" s="5" t="s">
        <v>41</v>
      </c>
      <c r="J310" s="5" t="str">
        <f aca="false">ROUND(89*1,0)&amp;"%"</f>
        <v>89%</v>
      </c>
    </row>
    <row r="311" customFormat="false" ht="15" hidden="false" customHeight="false" outlineLevel="0" collapsed="false">
      <c r="A311" s="6" t="s">
        <v>6505</v>
      </c>
      <c r="B311" s="6" t="s">
        <v>504</v>
      </c>
      <c r="C311" s="6" t="s">
        <v>114</v>
      </c>
      <c r="D311" s="6" t="s">
        <v>44</v>
      </c>
      <c r="E311" s="6" t="n">
        <f aca="false">ROUND(9787*1.05,2)</f>
        <v>10276.35</v>
      </c>
      <c r="F311" s="6" t="s">
        <v>45</v>
      </c>
      <c r="G311" s="6" t="s">
        <v>30</v>
      </c>
      <c r="H311" s="6" t="n">
        <f aca="true">ROUND(RAND()*4+6,1)</f>
        <v>7.9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6506</v>
      </c>
      <c r="B312" s="5" t="s">
        <v>506</v>
      </c>
      <c r="C312" s="5" t="s">
        <v>114</v>
      </c>
      <c r="D312" s="5" t="s">
        <v>16</v>
      </c>
      <c r="E312" s="5" t="n">
        <f aca="false">ROUND(5483*1.05,2)</f>
        <v>5757.15</v>
      </c>
      <c r="F312" s="5" t="s">
        <v>49</v>
      </c>
      <c r="G312" s="5" t="s">
        <v>18</v>
      </c>
      <c r="H312" s="5" t="n">
        <f aca="true">ROUND(RAND()*4+6,1)</f>
        <v>9.7</v>
      </c>
      <c r="I312" s="5" t="s">
        <v>19</v>
      </c>
      <c r="J312" s="5" t="str">
        <f aca="false">ROUND(81*1,0)&amp;"%"</f>
        <v>81%</v>
      </c>
    </row>
    <row r="313" customFormat="false" ht="15" hidden="false" customHeight="false" outlineLevel="0" collapsed="false">
      <c r="A313" s="6" t="s">
        <v>6507</v>
      </c>
      <c r="B313" s="6" t="s">
        <v>508</v>
      </c>
      <c r="C313" s="6" t="s">
        <v>114</v>
      </c>
      <c r="D313" s="6" t="s">
        <v>22</v>
      </c>
      <c r="E313" s="6" t="n">
        <f aca="false">ROUND(16244*1.05,2)</f>
        <v>17056.2</v>
      </c>
      <c r="F313" s="6" t="s">
        <v>52</v>
      </c>
      <c r="G313" s="6" t="s">
        <v>24</v>
      </c>
      <c r="H313" s="6" t="n">
        <f aca="true">ROUND(RAND()*4+6,1)</f>
        <v>9.5</v>
      </c>
      <c r="I313" s="6" t="s">
        <v>25</v>
      </c>
      <c r="J313" s="6" t="str">
        <f aca="false">ROUND(72*1,0)&amp;"%"</f>
        <v>72%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6508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6509</v>
      </c>
      <c r="B318" s="5" t="s">
        <v>512</v>
      </c>
      <c r="C318" s="5" t="s">
        <v>133</v>
      </c>
      <c r="D318" s="5" t="s">
        <v>16</v>
      </c>
      <c r="E318" s="5" t="n">
        <f aca="false">ROUND(4931*1.05,2)</f>
        <v>5177.55</v>
      </c>
      <c r="F318" s="5" t="s">
        <v>17</v>
      </c>
      <c r="G318" s="5" t="s">
        <v>18</v>
      </c>
      <c r="H318" s="5" t="n">
        <f aca="true">ROUND(RAND()*4+6,1)</f>
        <v>7.7</v>
      </c>
      <c r="I318" s="5" t="s">
        <v>19</v>
      </c>
      <c r="J318" s="5" t="str">
        <f aca="false">ROUND(90*1,0)&amp;"%"</f>
        <v>90%</v>
      </c>
    </row>
    <row r="319" customFormat="false" ht="15" hidden="false" customHeight="false" outlineLevel="0" collapsed="false">
      <c r="A319" s="6" t="s">
        <v>6510</v>
      </c>
      <c r="B319" s="6" t="s">
        <v>514</v>
      </c>
      <c r="C319" s="6" t="s">
        <v>133</v>
      </c>
      <c r="D319" s="6" t="s">
        <v>22</v>
      </c>
      <c r="E319" s="6" t="n">
        <f aca="false">ROUND(4982*1.05,2)</f>
        <v>5231.1</v>
      </c>
      <c r="F319" s="6" t="s">
        <v>23</v>
      </c>
      <c r="G319" s="6" t="s">
        <v>24</v>
      </c>
      <c r="H319" s="6" t="n">
        <f aca="true">ROUND(RAND()*4+6,1)</f>
        <v>7.2</v>
      </c>
      <c r="I319" s="6" t="s">
        <v>25</v>
      </c>
      <c r="J319" s="6" t="str">
        <f aca="false">ROUND(83*1,0)&amp;"%"</f>
        <v>83%</v>
      </c>
    </row>
    <row r="320" customFormat="false" ht="15" hidden="false" customHeight="false" outlineLevel="0" collapsed="false">
      <c r="A320" s="5" t="s">
        <v>6511</v>
      </c>
      <c r="B320" s="5" t="s">
        <v>516</v>
      </c>
      <c r="C320" s="5" t="s">
        <v>133</v>
      </c>
      <c r="D320" s="5" t="s">
        <v>28</v>
      </c>
      <c r="E320" s="5" t="n">
        <f aca="false">ROUND(4483*1.05,2)</f>
        <v>4707.15</v>
      </c>
      <c r="F320" s="5" t="s">
        <v>29</v>
      </c>
      <c r="G320" s="5" t="s">
        <v>30</v>
      </c>
      <c r="H320" s="5" t="n">
        <f aca="true">ROUND(RAND()*4+6,1)</f>
        <v>6.1</v>
      </c>
      <c r="I320" s="5" t="s">
        <v>31</v>
      </c>
      <c r="J320" s="5" t="str">
        <f aca="false">ROUND(91*1,0)&amp;"%"</f>
        <v>91%</v>
      </c>
    </row>
    <row r="321" customFormat="false" ht="15" hidden="false" customHeight="false" outlineLevel="0" collapsed="false">
      <c r="A321" s="6" t="s">
        <v>6512</v>
      </c>
      <c r="B321" s="6" t="s">
        <v>518</v>
      </c>
      <c r="C321" s="6" t="s">
        <v>133</v>
      </c>
      <c r="D321" s="6" t="s">
        <v>34</v>
      </c>
      <c r="E321" s="6" t="n">
        <f aca="false">ROUND(7629*1.05,2)</f>
        <v>8010.45</v>
      </c>
      <c r="F321" s="6" t="s">
        <v>35</v>
      </c>
      <c r="G321" s="6" t="s">
        <v>18</v>
      </c>
      <c r="H321" s="6" t="n">
        <f aca="true">ROUND(RAND()*4+6,1)</f>
        <v>8.5</v>
      </c>
      <c r="I321" s="6" t="s">
        <v>36</v>
      </c>
      <c r="J321" s="6" t="str">
        <f aca="false">ROUND(71*1,0)&amp;"%"</f>
        <v>71%</v>
      </c>
    </row>
    <row r="322" customFormat="false" ht="15" hidden="false" customHeight="false" outlineLevel="0" collapsed="false">
      <c r="A322" s="5" t="s">
        <v>6513</v>
      </c>
      <c r="B322" s="5" t="s">
        <v>520</v>
      </c>
      <c r="C322" s="5" t="s">
        <v>133</v>
      </c>
      <c r="D322" s="5" t="s">
        <v>39</v>
      </c>
      <c r="E322" s="5" t="n">
        <f aca="false">ROUND(9420*1.05,2)</f>
        <v>9891</v>
      </c>
      <c r="F322" s="5" t="s">
        <v>40</v>
      </c>
      <c r="G322" s="5" t="s">
        <v>24</v>
      </c>
      <c r="H322" s="5" t="n">
        <f aca="true">ROUND(RAND()*4+6,1)</f>
        <v>8.3</v>
      </c>
      <c r="I322" s="5" t="s">
        <v>41</v>
      </c>
      <c r="J322" s="5" t="str">
        <f aca="false">ROUND(95*1,0)&amp;"%"</f>
        <v>95%</v>
      </c>
    </row>
    <row r="323" customFormat="false" ht="15" hidden="false" customHeight="false" outlineLevel="0" collapsed="false">
      <c r="A323" s="6" t="s">
        <v>6514</v>
      </c>
      <c r="B323" s="6" t="s">
        <v>522</v>
      </c>
      <c r="C323" s="6" t="s">
        <v>133</v>
      </c>
      <c r="D323" s="6" t="s">
        <v>44</v>
      </c>
      <c r="E323" s="6" t="n">
        <f aca="false">ROUND(15345*1.05,2)</f>
        <v>16112.25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ROUND(87*1,0)&amp;"%"</f>
        <v>87%</v>
      </c>
    </row>
    <row r="324" customFormat="false" ht="15" hidden="false" customHeight="false" outlineLevel="0" collapsed="false">
      <c r="A324" s="5" t="s">
        <v>6515</v>
      </c>
      <c r="B324" s="5" t="s">
        <v>524</v>
      </c>
      <c r="C324" s="5" t="s">
        <v>133</v>
      </c>
      <c r="D324" s="5" t="s">
        <v>16</v>
      </c>
      <c r="E324" s="5" t="n">
        <f aca="false">ROUND(17128*1.05,2)</f>
        <v>17984.4</v>
      </c>
      <c r="F324" s="5" t="s">
        <v>49</v>
      </c>
      <c r="G324" s="5" t="s">
        <v>18</v>
      </c>
      <c r="H324" s="5" t="n">
        <f aca="true">ROUND(RAND()*4+6,1)</f>
        <v>9</v>
      </c>
      <c r="I324" s="5" t="s">
        <v>19</v>
      </c>
      <c r="J324" s="5" t="str">
        <f aca="false">ROUND(85*1,0)&amp;"%"</f>
        <v>85%</v>
      </c>
    </row>
    <row r="325" customFormat="false" ht="15" hidden="false" customHeight="false" outlineLevel="0" collapsed="false">
      <c r="A325" s="6" t="s">
        <v>6516</v>
      </c>
      <c r="B325" s="6" t="s">
        <v>526</v>
      </c>
      <c r="C325" s="6" t="s">
        <v>133</v>
      </c>
      <c r="D325" s="6" t="s">
        <v>22</v>
      </c>
      <c r="E325" s="6" t="n">
        <f aca="false">ROUND(16211*1.05,2)</f>
        <v>17021.55</v>
      </c>
      <c r="F325" s="6" t="s">
        <v>52</v>
      </c>
      <c r="G325" s="6" t="s">
        <v>24</v>
      </c>
      <c r="H325" s="6" t="n">
        <f aca="true">ROUND(RAND()*4+6,1)</f>
        <v>9.2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6517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6518</v>
      </c>
      <c r="B330" s="5" t="s">
        <v>530</v>
      </c>
      <c r="C330" s="5" t="s">
        <v>152</v>
      </c>
      <c r="D330" s="5" t="s">
        <v>16</v>
      </c>
      <c r="E330" s="5" t="n">
        <f aca="false">ROUND(13447*1.05,2)</f>
        <v>14119.35</v>
      </c>
      <c r="F330" s="5" t="s">
        <v>17</v>
      </c>
      <c r="G330" s="5" t="s">
        <v>18</v>
      </c>
      <c r="H330" s="5" t="n">
        <f aca="true">ROUND(RAND()*4+6,1)</f>
        <v>9.1</v>
      </c>
      <c r="I330" s="5" t="s">
        <v>19</v>
      </c>
      <c r="J330" s="5" t="str">
        <f aca="false">ROUND(84*1,0)&amp;"%"</f>
        <v>84%</v>
      </c>
    </row>
    <row r="331" customFormat="false" ht="15" hidden="false" customHeight="false" outlineLevel="0" collapsed="false">
      <c r="A331" s="6" t="s">
        <v>6519</v>
      </c>
      <c r="B331" s="6" t="s">
        <v>532</v>
      </c>
      <c r="C331" s="6" t="s">
        <v>152</v>
      </c>
      <c r="D331" s="6" t="s">
        <v>22</v>
      </c>
      <c r="E331" s="6" t="n">
        <f aca="false">ROUND(11108*1.05,2)</f>
        <v>11663.4</v>
      </c>
      <c r="F331" s="6" t="s">
        <v>23</v>
      </c>
      <c r="G331" s="6" t="s">
        <v>24</v>
      </c>
      <c r="H331" s="6" t="n">
        <f aca="true">ROUND(RAND()*4+6,1)</f>
        <v>6.6</v>
      </c>
      <c r="I331" s="6" t="s">
        <v>25</v>
      </c>
      <c r="J331" s="6" t="str">
        <f aca="false">ROUND(99*1,0)&amp;"%"</f>
        <v>99%</v>
      </c>
    </row>
    <row r="332" customFormat="false" ht="15" hidden="false" customHeight="false" outlineLevel="0" collapsed="false">
      <c r="A332" s="5" t="s">
        <v>6520</v>
      </c>
      <c r="B332" s="5" t="s">
        <v>534</v>
      </c>
      <c r="C332" s="5" t="s">
        <v>152</v>
      </c>
      <c r="D332" s="5" t="s">
        <v>28</v>
      </c>
      <c r="E332" s="5" t="n">
        <f aca="false">ROUND(14284*1.05,2)</f>
        <v>14998.2</v>
      </c>
      <c r="F332" s="5" t="s">
        <v>29</v>
      </c>
      <c r="G332" s="5" t="s">
        <v>30</v>
      </c>
      <c r="H332" s="5" t="n">
        <f aca="true">ROUND(RAND()*4+6,1)</f>
        <v>8.4</v>
      </c>
      <c r="I332" s="5" t="s">
        <v>31</v>
      </c>
      <c r="J332" s="5" t="str">
        <f aca="false">ROUND(68*1,0)&amp;"%"</f>
        <v>68%</v>
      </c>
    </row>
    <row r="333" customFormat="false" ht="15" hidden="false" customHeight="false" outlineLevel="0" collapsed="false">
      <c r="A333" s="6" t="s">
        <v>6521</v>
      </c>
      <c r="B333" s="6" t="s">
        <v>536</v>
      </c>
      <c r="C333" s="6" t="s">
        <v>152</v>
      </c>
      <c r="D333" s="6" t="s">
        <v>34</v>
      </c>
      <c r="E333" s="6" t="n">
        <f aca="false">ROUND(7797*1.05,2)</f>
        <v>8186.85</v>
      </c>
      <c r="F333" s="6" t="s">
        <v>35</v>
      </c>
      <c r="G333" s="6" t="s">
        <v>18</v>
      </c>
      <c r="H333" s="6" t="n">
        <f aca="true">ROUND(RAND()*4+6,1)</f>
        <v>6.5</v>
      </c>
      <c r="I333" s="6" t="s">
        <v>36</v>
      </c>
      <c r="J333" s="6" t="str">
        <f aca="false">ROUND(85*1,0)&amp;"%"</f>
        <v>85%</v>
      </c>
    </row>
    <row r="334" customFormat="false" ht="15" hidden="false" customHeight="false" outlineLevel="0" collapsed="false">
      <c r="A334" s="5" t="s">
        <v>6522</v>
      </c>
      <c r="B334" s="5" t="s">
        <v>538</v>
      </c>
      <c r="C334" s="5" t="s">
        <v>152</v>
      </c>
      <c r="D334" s="5" t="s">
        <v>39</v>
      </c>
      <c r="E334" s="5" t="n">
        <f aca="false">ROUND(12660*1.05,2)</f>
        <v>13293</v>
      </c>
      <c r="F334" s="5" t="s">
        <v>40</v>
      </c>
      <c r="G334" s="5" t="s">
        <v>24</v>
      </c>
      <c r="H334" s="5" t="n">
        <f aca="true">ROUND(RAND()*4+6,1)</f>
        <v>10</v>
      </c>
      <c r="I334" s="5" t="s">
        <v>41</v>
      </c>
      <c r="J334" s="5" t="str">
        <f aca="false">ROUND(92*1,0)&amp;"%"</f>
        <v>92%</v>
      </c>
    </row>
    <row r="335" customFormat="false" ht="15" hidden="false" customHeight="false" outlineLevel="0" collapsed="false">
      <c r="A335" s="6" t="s">
        <v>6523</v>
      </c>
      <c r="B335" s="6" t="s">
        <v>540</v>
      </c>
      <c r="C335" s="6" t="s">
        <v>152</v>
      </c>
      <c r="D335" s="6" t="s">
        <v>44</v>
      </c>
      <c r="E335" s="6" t="n">
        <f aca="false">ROUND(17481*1.05,2)</f>
        <v>18355.05</v>
      </c>
      <c r="F335" s="6" t="s">
        <v>45</v>
      </c>
      <c r="G335" s="6" t="s">
        <v>30</v>
      </c>
      <c r="H335" s="6" t="n">
        <f aca="true">ROUND(RAND()*4+6,1)</f>
        <v>7.4</v>
      </c>
      <c r="I335" s="6" t="s">
        <v>46</v>
      </c>
      <c r="J335" s="6" t="str">
        <f aca="false">ROUND(80*1,0)&amp;"%"</f>
        <v>80%</v>
      </c>
    </row>
    <row r="336" customFormat="false" ht="15" hidden="false" customHeight="false" outlineLevel="0" collapsed="false">
      <c r="A336" s="5" t="s">
        <v>6524</v>
      </c>
      <c r="B336" s="5" t="s">
        <v>542</v>
      </c>
      <c r="C336" s="5" t="s">
        <v>152</v>
      </c>
      <c r="D336" s="5" t="s">
        <v>16</v>
      </c>
      <c r="E336" s="5" t="n">
        <f aca="false">ROUND(7322*1.05,2)</f>
        <v>7688.1</v>
      </c>
      <c r="F336" s="5" t="s">
        <v>49</v>
      </c>
      <c r="G336" s="5" t="s">
        <v>18</v>
      </c>
      <c r="H336" s="5" t="n">
        <f aca="true">ROUND(RAND()*4+6,1)</f>
        <v>9.9</v>
      </c>
      <c r="I336" s="5" t="s">
        <v>19</v>
      </c>
      <c r="J336" s="5" t="str">
        <f aca="false">ROUND(80*1,0)&amp;"%"</f>
        <v>80%</v>
      </c>
    </row>
    <row r="337" customFormat="false" ht="15" hidden="false" customHeight="false" outlineLevel="0" collapsed="false">
      <c r="A337" s="6" t="s">
        <v>6525</v>
      </c>
      <c r="B337" s="6" t="s">
        <v>544</v>
      </c>
      <c r="C337" s="6" t="s">
        <v>152</v>
      </c>
      <c r="D337" s="6" t="s">
        <v>22</v>
      </c>
      <c r="E337" s="6" t="n">
        <f aca="false">ROUND(9649*1.05,2)</f>
        <v>10131.45</v>
      </c>
      <c r="F337" s="6" t="s">
        <v>52</v>
      </c>
      <c r="G337" s="6" t="s">
        <v>24</v>
      </c>
      <c r="H337" s="6" t="n">
        <f aca="true">ROUND(RAND()*4+6,1)</f>
        <v>7.3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6526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6527</v>
      </c>
      <c r="B342" s="5" t="s">
        <v>548</v>
      </c>
      <c r="C342" s="5" t="s">
        <v>15</v>
      </c>
      <c r="D342" s="5" t="s">
        <v>16</v>
      </c>
      <c r="E342" s="5" t="n">
        <f aca="false">ROUND(4046*1.05,2)</f>
        <v>4248.3</v>
      </c>
      <c r="F342" s="5" t="s">
        <v>17</v>
      </c>
      <c r="G342" s="5" t="s">
        <v>18</v>
      </c>
      <c r="H342" s="5" t="n">
        <f aca="true">ROUND(RAND()*4+6,1)</f>
        <v>8.9</v>
      </c>
      <c r="I342" s="5" t="s">
        <v>19</v>
      </c>
      <c r="J342" s="5" t="str">
        <f aca="false">ROUND(83*1,0)&amp;"%"</f>
        <v>83%</v>
      </c>
    </row>
    <row r="343" customFormat="false" ht="15" hidden="false" customHeight="false" outlineLevel="0" collapsed="false">
      <c r="A343" s="6" t="s">
        <v>6528</v>
      </c>
      <c r="B343" s="6" t="s">
        <v>550</v>
      </c>
      <c r="C343" s="6" t="s">
        <v>15</v>
      </c>
      <c r="D343" s="6" t="s">
        <v>22</v>
      </c>
      <c r="E343" s="6" t="n">
        <f aca="false">ROUND(14585*1.05,2)</f>
        <v>15314.25</v>
      </c>
      <c r="F343" s="6" t="s">
        <v>23</v>
      </c>
      <c r="G343" s="6" t="s">
        <v>24</v>
      </c>
      <c r="H343" s="6" t="n">
        <f aca="true">ROUND(RAND()*4+6,1)</f>
        <v>8.3</v>
      </c>
      <c r="I343" s="6" t="s">
        <v>25</v>
      </c>
      <c r="J343" s="6" t="str">
        <f aca="false">ROUND(78*1,0)&amp;"%"</f>
        <v>78%</v>
      </c>
    </row>
    <row r="344" customFormat="false" ht="15" hidden="false" customHeight="false" outlineLevel="0" collapsed="false">
      <c r="A344" s="5" t="s">
        <v>6529</v>
      </c>
      <c r="B344" s="5" t="s">
        <v>552</v>
      </c>
      <c r="C344" s="5" t="s">
        <v>15</v>
      </c>
      <c r="D344" s="5" t="s">
        <v>28</v>
      </c>
      <c r="E344" s="5" t="n">
        <f aca="false">ROUND(9949*1.05,2)</f>
        <v>10446.45</v>
      </c>
      <c r="F344" s="5" t="s">
        <v>29</v>
      </c>
      <c r="G344" s="5" t="s">
        <v>30</v>
      </c>
      <c r="H344" s="5" t="n">
        <f aca="true">ROUND(RAND()*4+6,1)</f>
        <v>6.9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6530</v>
      </c>
      <c r="B345" s="6" t="s">
        <v>554</v>
      </c>
      <c r="C345" s="6" t="s">
        <v>15</v>
      </c>
      <c r="D345" s="6" t="s">
        <v>34</v>
      </c>
      <c r="E345" s="6" t="n">
        <f aca="false">ROUND(6940*1.05,2)</f>
        <v>7287</v>
      </c>
      <c r="F345" s="6" t="s">
        <v>35</v>
      </c>
      <c r="G345" s="6" t="s">
        <v>18</v>
      </c>
      <c r="H345" s="6" t="n">
        <f aca="true">ROUND(RAND()*4+6,1)</f>
        <v>7.3</v>
      </c>
      <c r="I345" s="6" t="s">
        <v>36</v>
      </c>
      <c r="J345" s="6" t="str">
        <f aca="false">ROUND(60*1,0)&amp;"%"</f>
        <v>60%</v>
      </c>
    </row>
    <row r="346" customFormat="false" ht="15" hidden="false" customHeight="false" outlineLevel="0" collapsed="false">
      <c r="A346" s="5" t="s">
        <v>6531</v>
      </c>
      <c r="B346" s="5" t="s">
        <v>556</v>
      </c>
      <c r="C346" s="5" t="s">
        <v>15</v>
      </c>
      <c r="D346" s="5" t="s">
        <v>39</v>
      </c>
      <c r="E346" s="5" t="n">
        <f aca="false">ROUND(13254*1.05,2)</f>
        <v>13916.7</v>
      </c>
      <c r="F346" s="5" t="s">
        <v>40</v>
      </c>
      <c r="G346" s="5" t="s">
        <v>24</v>
      </c>
      <c r="H346" s="5" t="n">
        <f aca="true">ROUND(RAND()*4+6,1)</f>
        <v>6.1</v>
      </c>
      <c r="I346" s="5" t="s">
        <v>41</v>
      </c>
      <c r="J346" s="5" t="str">
        <f aca="false">ROUND(79*1,0)&amp;"%"</f>
        <v>79%</v>
      </c>
    </row>
    <row r="347" customFormat="false" ht="15" hidden="false" customHeight="false" outlineLevel="0" collapsed="false">
      <c r="A347" s="6" t="s">
        <v>6532</v>
      </c>
      <c r="B347" s="6" t="s">
        <v>558</v>
      </c>
      <c r="C347" s="6" t="s">
        <v>15</v>
      </c>
      <c r="D347" s="6" t="s">
        <v>44</v>
      </c>
      <c r="E347" s="6" t="n">
        <f aca="false">ROUND(4741*1.05,2)</f>
        <v>4978.05</v>
      </c>
      <c r="F347" s="6" t="s">
        <v>45</v>
      </c>
      <c r="G347" s="6" t="s">
        <v>30</v>
      </c>
      <c r="H347" s="6" t="n">
        <f aca="true">ROUND(RAND()*4+6,1)</f>
        <v>7.8</v>
      </c>
      <c r="I347" s="6" t="s">
        <v>46</v>
      </c>
      <c r="J347" s="6" t="str">
        <f aca="false">ROUND(93*1,0)&amp;"%"</f>
        <v>93%</v>
      </c>
    </row>
    <row r="348" customFormat="false" ht="15" hidden="false" customHeight="false" outlineLevel="0" collapsed="false">
      <c r="A348" s="5" t="s">
        <v>6533</v>
      </c>
      <c r="B348" s="5" t="s">
        <v>560</v>
      </c>
      <c r="C348" s="5" t="s">
        <v>15</v>
      </c>
      <c r="D348" s="5" t="s">
        <v>16</v>
      </c>
      <c r="E348" s="5" t="n">
        <f aca="false">ROUND(11035*1.05,2)</f>
        <v>11586.75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ROUND(95*1,0)&amp;"%"</f>
        <v>95%</v>
      </c>
    </row>
    <row r="349" customFormat="false" ht="15" hidden="false" customHeight="false" outlineLevel="0" collapsed="false">
      <c r="A349" s="6" t="s">
        <v>6534</v>
      </c>
      <c r="B349" s="6" t="s">
        <v>562</v>
      </c>
      <c r="C349" s="6" t="s">
        <v>15</v>
      </c>
      <c r="D349" s="6" t="s">
        <v>22</v>
      </c>
      <c r="E349" s="6" t="n">
        <f aca="false">ROUND(7621*1.05,2)</f>
        <v>8002.05</v>
      </c>
      <c r="F349" s="6" t="s">
        <v>52</v>
      </c>
      <c r="G349" s="6" t="s">
        <v>24</v>
      </c>
      <c r="H349" s="6" t="n">
        <f aca="true">ROUND(RAND()*4+6,1)</f>
        <v>6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6535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6536</v>
      </c>
      <c r="B354" s="5" t="s">
        <v>566</v>
      </c>
      <c r="C354" s="5" t="s">
        <v>57</v>
      </c>
      <c r="D354" s="5" t="s">
        <v>16</v>
      </c>
      <c r="E354" s="5" t="n">
        <f aca="false">ROUND(9212*1.05,2)</f>
        <v>9672.6</v>
      </c>
      <c r="F354" s="5" t="s">
        <v>17</v>
      </c>
      <c r="G354" s="5" t="s">
        <v>18</v>
      </c>
      <c r="H354" s="5" t="n">
        <f aca="true">ROUND(RAND()*4+6,1)</f>
        <v>9.7</v>
      </c>
      <c r="I354" s="5" t="s">
        <v>19</v>
      </c>
      <c r="J354" s="5" t="str">
        <f aca="false">ROUND(98*1,0)&amp;"%"</f>
        <v>98%</v>
      </c>
    </row>
    <row r="355" customFormat="false" ht="15" hidden="false" customHeight="false" outlineLevel="0" collapsed="false">
      <c r="A355" s="6" t="s">
        <v>6537</v>
      </c>
      <c r="B355" s="6" t="s">
        <v>568</v>
      </c>
      <c r="C355" s="6" t="s">
        <v>57</v>
      </c>
      <c r="D355" s="6" t="s">
        <v>22</v>
      </c>
      <c r="E355" s="6" t="n">
        <f aca="false">ROUND(7202*1.05,2)</f>
        <v>7562.1</v>
      </c>
      <c r="F355" s="6" t="s">
        <v>23</v>
      </c>
      <c r="G355" s="6" t="s">
        <v>24</v>
      </c>
      <c r="H355" s="6" t="n">
        <f aca="true">ROUND(RAND()*4+6,1)</f>
        <v>7.8</v>
      </c>
      <c r="I355" s="6" t="s">
        <v>25</v>
      </c>
      <c r="J355" s="6" t="str">
        <f aca="false">ROUND(99*1,0)&amp;"%"</f>
        <v>99%</v>
      </c>
    </row>
    <row r="356" customFormat="false" ht="15" hidden="false" customHeight="false" outlineLevel="0" collapsed="false">
      <c r="A356" s="5" t="s">
        <v>6538</v>
      </c>
      <c r="B356" s="5" t="s">
        <v>570</v>
      </c>
      <c r="C356" s="5" t="s">
        <v>57</v>
      </c>
      <c r="D356" s="5" t="s">
        <v>28</v>
      </c>
      <c r="E356" s="5" t="n">
        <f aca="false">ROUND(8086*1.05,2)</f>
        <v>8490.3</v>
      </c>
      <c r="F356" s="5" t="s">
        <v>29</v>
      </c>
      <c r="G356" s="5" t="s">
        <v>30</v>
      </c>
      <c r="H356" s="5" t="n">
        <f aca="true">ROUND(RAND()*4+6,1)</f>
        <v>9.9</v>
      </c>
      <c r="I356" s="5" t="s">
        <v>31</v>
      </c>
      <c r="J356" s="5" t="str">
        <f aca="false">ROUND(69*1,0)&amp;"%"</f>
        <v>69%</v>
      </c>
    </row>
    <row r="357" customFormat="false" ht="15" hidden="false" customHeight="false" outlineLevel="0" collapsed="false">
      <c r="A357" s="6" t="s">
        <v>6539</v>
      </c>
      <c r="B357" s="6" t="s">
        <v>572</v>
      </c>
      <c r="C357" s="6" t="s">
        <v>57</v>
      </c>
      <c r="D357" s="6" t="s">
        <v>34</v>
      </c>
      <c r="E357" s="6" t="n">
        <f aca="false">ROUND(15937*1.05,2)</f>
        <v>16733.85</v>
      </c>
      <c r="F357" s="6" t="s">
        <v>35</v>
      </c>
      <c r="G357" s="6" t="s">
        <v>18</v>
      </c>
      <c r="H357" s="6" t="n">
        <f aca="true">ROUND(RAND()*4+6,1)</f>
        <v>8.8</v>
      </c>
      <c r="I357" s="6" t="s">
        <v>36</v>
      </c>
      <c r="J357" s="6" t="str">
        <f aca="false">ROUND(87*1,0)&amp;"%"</f>
        <v>87%</v>
      </c>
    </row>
    <row r="358" customFormat="false" ht="15" hidden="false" customHeight="false" outlineLevel="0" collapsed="false">
      <c r="A358" s="5" t="s">
        <v>6540</v>
      </c>
      <c r="B358" s="5" t="s">
        <v>574</v>
      </c>
      <c r="C358" s="5" t="s">
        <v>57</v>
      </c>
      <c r="D358" s="5" t="s">
        <v>39</v>
      </c>
      <c r="E358" s="5" t="n">
        <f aca="false">ROUND(9292*1.05,2)</f>
        <v>9756.6</v>
      </c>
      <c r="F358" s="5" t="s">
        <v>40</v>
      </c>
      <c r="G358" s="5" t="s">
        <v>24</v>
      </c>
      <c r="H358" s="5" t="n">
        <f aca="true">ROUND(RAND()*4+6,1)</f>
        <v>7.8</v>
      </c>
      <c r="I358" s="5" t="s">
        <v>41</v>
      </c>
      <c r="J358" s="5" t="str">
        <f aca="false">ROUND(93*1,0)&amp;"%"</f>
        <v>93%</v>
      </c>
    </row>
    <row r="359" customFormat="false" ht="15" hidden="false" customHeight="false" outlineLevel="0" collapsed="false">
      <c r="A359" s="6" t="s">
        <v>6541</v>
      </c>
      <c r="B359" s="6" t="s">
        <v>576</v>
      </c>
      <c r="C359" s="6" t="s">
        <v>57</v>
      </c>
      <c r="D359" s="6" t="s">
        <v>44</v>
      </c>
      <c r="E359" s="6" t="n">
        <f aca="false">ROUND(11657*1.05,2)</f>
        <v>12239.85</v>
      </c>
      <c r="F359" s="6" t="s">
        <v>45</v>
      </c>
      <c r="G359" s="6" t="s">
        <v>30</v>
      </c>
      <c r="H359" s="6" t="n">
        <f aca="true">ROUND(RAND()*4+6,1)</f>
        <v>8.4</v>
      </c>
      <c r="I359" s="6" t="s">
        <v>46</v>
      </c>
      <c r="J359" s="6" t="str">
        <f aca="false">ROUND(60*1,0)&amp;"%"</f>
        <v>60%</v>
      </c>
    </row>
    <row r="360" customFormat="false" ht="15" hidden="false" customHeight="false" outlineLevel="0" collapsed="false">
      <c r="A360" s="5" t="s">
        <v>6542</v>
      </c>
      <c r="B360" s="5" t="s">
        <v>578</v>
      </c>
      <c r="C360" s="5" t="s">
        <v>57</v>
      </c>
      <c r="D360" s="5" t="s">
        <v>16</v>
      </c>
      <c r="E360" s="5" t="n">
        <f aca="false">ROUND(11772*1.05,2)</f>
        <v>12360.6</v>
      </c>
      <c r="F360" s="5" t="s">
        <v>49</v>
      </c>
      <c r="G360" s="5" t="s">
        <v>18</v>
      </c>
      <c r="H360" s="5" t="n">
        <f aca="true">ROUND(RAND()*4+6,1)</f>
        <v>9.1</v>
      </c>
      <c r="I360" s="5" t="s">
        <v>19</v>
      </c>
      <c r="J360" s="5" t="str">
        <f aca="false">ROUND(84*1,0)&amp;"%"</f>
        <v>84%</v>
      </c>
    </row>
    <row r="361" customFormat="false" ht="15" hidden="false" customHeight="false" outlineLevel="0" collapsed="false">
      <c r="A361" s="6" t="s">
        <v>6543</v>
      </c>
      <c r="B361" s="6" t="s">
        <v>580</v>
      </c>
      <c r="C361" s="6" t="s">
        <v>57</v>
      </c>
      <c r="D361" s="6" t="s">
        <v>22</v>
      </c>
      <c r="E361" s="6" t="n">
        <f aca="false">ROUND(11428*1.05,2)</f>
        <v>11999.4</v>
      </c>
      <c r="F361" s="6" t="s">
        <v>52</v>
      </c>
      <c r="G361" s="6" t="s">
        <v>24</v>
      </c>
      <c r="H361" s="6" t="n">
        <f aca="true">ROUND(RAND()*4+6,1)</f>
        <v>6.1</v>
      </c>
      <c r="I361" s="6" t="s">
        <v>25</v>
      </c>
      <c r="J361" s="6" t="str">
        <f aca="false">ROUND(73*1,0)&amp;"%"</f>
        <v>73%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6544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6545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6546</v>
      </c>
      <c r="B6" s="5" t="s">
        <v>14</v>
      </c>
      <c r="C6" s="5" t="s">
        <v>15</v>
      </c>
      <c r="D6" s="5" t="s">
        <v>16</v>
      </c>
      <c r="E6" s="5" t="n">
        <f aca="false">ROUND(11614*1.05,2)</f>
        <v>12194.7</v>
      </c>
      <c r="F6" s="5" t="s">
        <v>17</v>
      </c>
      <c r="G6" s="5" t="s">
        <v>18</v>
      </c>
      <c r="H6" s="5" t="n">
        <f aca="true">ROUND(RAND()*4+6,1)</f>
        <v>6.9</v>
      </c>
      <c r="I6" s="5" t="s">
        <v>19</v>
      </c>
      <c r="J6" s="5" t="str">
        <f aca="false">ROUND(63*1,0)&amp;"%"</f>
        <v>63%</v>
      </c>
    </row>
    <row r="7" customFormat="false" ht="15" hidden="false" customHeight="false" outlineLevel="0" collapsed="false">
      <c r="A7" s="6" t="s">
        <v>6547</v>
      </c>
      <c r="B7" s="6" t="s">
        <v>21</v>
      </c>
      <c r="C7" s="6" t="s">
        <v>15</v>
      </c>
      <c r="D7" s="6" t="s">
        <v>22</v>
      </c>
      <c r="E7" s="6" t="n">
        <f aca="false">ROUND(13698*1.05,2)</f>
        <v>14382.9</v>
      </c>
      <c r="F7" s="6" t="s">
        <v>23</v>
      </c>
      <c r="G7" s="6" t="s">
        <v>24</v>
      </c>
      <c r="H7" s="6" t="n">
        <f aca="true">ROUND(RAND()*4+6,1)</f>
        <v>9.8</v>
      </c>
      <c r="I7" s="6" t="s">
        <v>25</v>
      </c>
      <c r="J7" s="6" t="str">
        <f aca="false">ROUND(98*1,0)&amp;"%"</f>
        <v>98%</v>
      </c>
    </row>
    <row r="8" customFormat="false" ht="15" hidden="false" customHeight="false" outlineLevel="0" collapsed="false">
      <c r="A8" s="5" t="s">
        <v>6548</v>
      </c>
      <c r="B8" s="5" t="s">
        <v>27</v>
      </c>
      <c r="C8" s="5" t="s">
        <v>15</v>
      </c>
      <c r="D8" s="5" t="s">
        <v>28</v>
      </c>
      <c r="E8" s="5" t="n">
        <f aca="false">ROUND(12593*1.05,2)</f>
        <v>13222.65</v>
      </c>
      <c r="F8" s="5" t="s">
        <v>29</v>
      </c>
      <c r="G8" s="5" t="s">
        <v>30</v>
      </c>
      <c r="H8" s="5" t="n">
        <f aca="true">ROUND(RAND()*4+6,1)</f>
        <v>9.6</v>
      </c>
      <c r="I8" s="5" t="s">
        <v>31</v>
      </c>
      <c r="J8" s="5" t="str">
        <f aca="false">ROUND(62*1,0)&amp;"%"</f>
        <v>62%</v>
      </c>
    </row>
    <row r="9" customFormat="false" ht="15" hidden="false" customHeight="false" outlineLevel="0" collapsed="false">
      <c r="A9" s="6" t="s">
        <v>6549</v>
      </c>
      <c r="B9" s="6" t="s">
        <v>33</v>
      </c>
      <c r="C9" s="6" t="s">
        <v>15</v>
      </c>
      <c r="D9" s="6" t="s">
        <v>34</v>
      </c>
      <c r="E9" s="6" t="n">
        <f aca="false">ROUND(14585*1.05,2)</f>
        <v>15314.25</v>
      </c>
      <c r="F9" s="6" t="s">
        <v>35</v>
      </c>
      <c r="G9" s="6" t="s">
        <v>18</v>
      </c>
      <c r="H9" s="6" t="n">
        <f aca="true">ROUND(RAND()*4+6,1)</f>
        <v>8.2</v>
      </c>
      <c r="I9" s="6" t="s">
        <v>36</v>
      </c>
      <c r="J9" s="6" t="str">
        <f aca="false">ROUND(73*1,0)&amp;"%"</f>
        <v>73%</v>
      </c>
    </row>
    <row r="10" customFormat="false" ht="15" hidden="false" customHeight="false" outlineLevel="0" collapsed="false">
      <c r="A10" s="5" t="s">
        <v>6550</v>
      </c>
      <c r="B10" s="5" t="s">
        <v>38</v>
      </c>
      <c r="C10" s="5" t="s">
        <v>15</v>
      </c>
      <c r="D10" s="5" t="s">
        <v>39</v>
      </c>
      <c r="E10" s="5" t="n">
        <f aca="false">ROUND(7352*1.05,2)</f>
        <v>7719.6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ROUND(100*1,0)&amp;"%"</f>
        <v>100%</v>
      </c>
    </row>
    <row r="11" customFormat="false" ht="15" hidden="false" customHeight="false" outlineLevel="0" collapsed="false">
      <c r="A11" s="6" t="s">
        <v>6551</v>
      </c>
      <c r="B11" s="6" t="s">
        <v>43</v>
      </c>
      <c r="C11" s="6" t="s">
        <v>15</v>
      </c>
      <c r="D11" s="6" t="s">
        <v>44</v>
      </c>
      <c r="E11" s="6" t="n">
        <f aca="false">ROUND(7933*1.05,2)</f>
        <v>8329.65</v>
      </c>
      <c r="F11" s="6" t="s">
        <v>45</v>
      </c>
      <c r="G11" s="6" t="s">
        <v>30</v>
      </c>
      <c r="H11" s="6" t="n">
        <f aca="true">ROUND(RAND()*4+6,1)</f>
        <v>9.1</v>
      </c>
      <c r="I11" s="6" t="s">
        <v>46</v>
      </c>
      <c r="J11" s="6" t="str">
        <f aca="false">ROUND(62*1,0)&amp;"%"</f>
        <v>62%</v>
      </c>
    </row>
    <row r="12" customFormat="false" ht="15" hidden="false" customHeight="false" outlineLevel="0" collapsed="false">
      <c r="A12" s="5" t="s">
        <v>6552</v>
      </c>
      <c r="B12" s="5" t="s">
        <v>48</v>
      </c>
      <c r="C12" s="5" t="s">
        <v>15</v>
      </c>
      <c r="D12" s="5" t="s">
        <v>16</v>
      </c>
      <c r="E12" s="5" t="n">
        <f aca="false">ROUND(15903*1.05,2)</f>
        <v>16698.15</v>
      </c>
      <c r="F12" s="5" t="s">
        <v>49</v>
      </c>
      <c r="G12" s="5" t="s">
        <v>18</v>
      </c>
      <c r="H12" s="5" t="n">
        <f aca="true">ROUND(RAND()*4+6,1)</f>
        <v>8</v>
      </c>
      <c r="I12" s="5" t="s">
        <v>19</v>
      </c>
      <c r="J12" s="5" t="str">
        <f aca="false">ROUND(79*1,0)&amp;"%"</f>
        <v>79%</v>
      </c>
    </row>
    <row r="13" customFormat="false" ht="15" hidden="false" customHeight="false" outlineLevel="0" collapsed="false">
      <c r="A13" s="6" t="s">
        <v>6553</v>
      </c>
      <c r="B13" s="6" t="s">
        <v>51</v>
      </c>
      <c r="C13" s="6" t="s">
        <v>15</v>
      </c>
      <c r="D13" s="6" t="s">
        <v>22</v>
      </c>
      <c r="E13" s="6" t="n">
        <f aca="false">ROUND(5811*1.05,2)</f>
        <v>6101.55</v>
      </c>
      <c r="F13" s="6" t="s">
        <v>52</v>
      </c>
      <c r="G13" s="6" t="s">
        <v>24</v>
      </c>
      <c r="H13" s="6" t="n">
        <f aca="true">ROUND(RAND()*4+6,1)</f>
        <v>6.6</v>
      </c>
      <c r="I13" s="6" t="s">
        <v>25</v>
      </c>
      <c r="J13" s="6" t="str">
        <f aca="false">ROUND(64*1,0)&amp;"%"</f>
        <v>64%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6554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6555</v>
      </c>
      <c r="B18" s="5" t="s">
        <v>56</v>
      </c>
      <c r="C18" s="5" t="s">
        <v>57</v>
      </c>
      <c r="D18" s="5" t="s">
        <v>16</v>
      </c>
      <c r="E18" s="5" t="n">
        <f aca="false">ROUND(6099*1.05,2)</f>
        <v>6403.95</v>
      </c>
      <c r="F18" s="5" t="s">
        <v>17</v>
      </c>
      <c r="G18" s="5" t="s">
        <v>18</v>
      </c>
      <c r="H18" s="5" t="n">
        <f aca="true">ROUND(RAND()*4+6,1)</f>
        <v>8.9</v>
      </c>
      <c r="I18" s="5" t="s">
        <v>19</v>
      </c>
      <c r="J18" s="5" t="str">
        <f aca="false">ROUND(84*1,0)&amp;"%"</f>
        <v>84%</v>
      </c>
    </row>
    <row r="19" customFormat="false" ht="15" hidden="false" customHeight="false" outlineLevel="0" collapsed="false">
      <c r="A19" s="6" t="s">
        <v>6556</v>
      </c>
      <c r="B19" s="6" t="s">
        <v>59</v>
      </c>
      <c r="C19" s="6" t="s">
        <v>57</v>
      </c>
      <c r="D19" s="6" t="s">
        <v>22</v>
      </c>
      <c r="E19" s="6" t="n">
        <f aca="false">ROUND(13221*1.05,2)</f>
        <v>13882.05</v>
      </c>
      <c r="F19" s="6" t="s">
        <v>23</v>
      </c>
      <c r="G19" s="6" t="s">
        <v>24</v>
      </c>
      <c r="H19" s="6" t="n">
        <f aca="true">ROUND(RAND()*4+6,1)</f>
        <v>7.1</v>
      </c>
      <c r="I19" s="6" t="s">
        <v>25</v>
      </c>
      <c r="J19" s="6" t="str">
        <f aca="false">ROUND(67*1,0)&amp;"%"</f>
        <v>67%</v>
      </c>
    </row>
    <row r="20" customFormat="false" ht="15" hidden="false" customHeight="false" outlineLevel="0" collapsed="false">
      <c r="A20" s="5" t="s">
        <v>6557</v>
      </c>
      <c r="B20" s="5" t="s">
        <v>61</v>
      </c>
      <c r="C20" s="5" t="s">
        <v>57</v>
      </c>
      <c r="D20" s="5" t="s">
        <v>28</v>
      </c>
      <c r="E20" s="5" t="n">
        <f aca="false">ROUND(16365*1.05,2)</f>
        <v>17183.25</v>
      </c>
      <c r="F20" s="5" t="s">
        <v>29</v>
      </c>
      <c r="G20" s="5" t="s">
        <v>30</v>
      </c>
      <c r="H20" s="5" t="n">
        <f aca="true">ROUND(RAND()*4+6,1)</f>
        <v>8.1</v>
      </c>
      <c r="I20" s="5" t="s">
        <v>31</v>
      </c>
      <c r="J20" s="5" t="str">
        <f aca="false">ROUND(81*1,0)&amp;"%"</f>
        <v>81%</v>
      </c>
    </row>
    <row r="21" customFormat="false" ht="15" hidden="false" customHeight="false" outlineLevel="0" collapsed="false">
      <c r="A21" s="6" t="s">
        <v>6558</v>
      </c>
      <c r="B21" s="6" t="s">
        <v>63</v>
      </c>
      <c r="C21" s="6" t="s">
        <v>57</v>
      </c>
      <c r="D21" s="6" t="s">
        <v>34</v>
      </c>
      <c r="E21" s="6" t="n">
        <f aca="false">ROUND(14763*1.05,2)</f>
        <v>15501.15</v>
      </c>
      <c r="F21" s="6" t="s">
        <v>35</v>
      </c>
      <c r="G21" s="6" t="s">
        <v>18</v>
      </c>
      <c r="H21" s="6" t="n">
        <f aca="true">ROUND(RAND()*4+6,1)</f>
        <v>6.9</v>
      </c>
      <c r="I21" s="6" t="s">
        <v>36</v>
      </c>
      <c r="J21" s="6" t="str">
        <f aca="false">ROUND(79*1,0)&amp;"%"</f>
        <v>79%</v>
      </c>
    </row>
    <row r="22" customFormat="false" ht="15" hidden="false" customHeight="false" outlineLevel="0" collapsed="false">
      <c r="A22" s="5" t="s">
        <v>6559</v>
      </c>
      <c r="B22" s="5" t="s">
        <v>65</v>
      </c>
      <c r="C22" s="5" t="s">
        <v>57</v>
      </c>
      <c r="D22" s="5" t="s">
        <v>39</v>
      </c>
      <c r="E22" s="5" t="n">
        <f aca="false">ROUND(9041*1.05,2)</f>
        <v>9493.05</v>
      </c>
      <c r="F22" s="5" t="s">
        <v>40</v>
      </c>
      <c r="G22" s="5" t="s">
        <v>24</v>
      </c>
      <c r="H22" s="5" t="n">
        <f aca="true">ROUND(RAND()*4+6,1)</f>
        <v>7.5</v>
      </c>
      <c r="I22" s="5" t="s">
        <v>41</v>
      </c>
      <c r="J22" s="5" t="str">
        <f aca="false">ROUND(75*1,0)&amp;"%"</f>
        <v>75%</v>
      </c>
    </row>
    <row r="23" customFormat="false" ht="15" hidden="false" customHeight="false" outlineLevel="0" collapsed="false">
      <c r="A23" s="6" t="s">
        <v>6560</v>
      </c>
      <c r="B23" s="6" t="s">
        <v>67</v>
      </c>
      <c r="C23" s="6" t="s">
        <v>57</v>
      </c>
      <c r="D23" s="6" t="s">
        <v>44</v>
      </c>
      <c r="E23" s="6" t="n">
        <f aca="false">ROUND(15951*1.05,2)</f>
        <v>16748.55</v>
      </c>
      <c r="F23" s="6" t="s">
        <v>45</v>
      </c>
      <c r="G23" s="6" t="s">
        <v>30</v>
      </c>
      <c r="H23" s="6" t="n">
        <f aca="true">ROUND(RAND()*4+6,1)</f>
        <v>6.3</v>
      </c>
      <c r="I23" s="6" t="s">
        <v>46</v>
      </c>
      <c r="J23" s="6" t="str">
        <f aca="false">ROUND(83*1,0)&amp;"%"</f>
        <v>83%</v>
      </c>
    </row>
    <row r="24" customFormat="false" ht="15" hidden="false" customHeight="false" outlineLevel="0" collapsed="false">
      <c r="A24" s="5" t="s">
        <v>6561</v>
      </c>
      <c r="B24" s="5" t="s">
        <v>69</v>
      </c>
      <c r="C24" s="5" t="s">
        <v>57</v>
      </c>
      <c r="D24" s="5" t="s">
        <v>16</v>
      </c>
      <c r="E24" s="5" t="n">
        <f aca="false">ROUND(9284*1.05,2)</f>
        <v>9748.2</v>
      </c>
      <c r="F24" s="5" t="s">
        <v>49</v>
      </c>
      <c r="G24" s="5" t="s">
        <v>18</v>
      </c>
      <c r="H24" s="5" t="n">
        <f aca="true">ROUND(RAND()*4+6,1)</f>
        <v>8.9</v>
      </c>
      <c r="I24" s="5" t="s">
        <v>19</v>
      </c>
      <c r="J24" s="5" t="str">
        <f aca="false">ROUND(80*1,0)&amp;"%"</f>
        <v>80%</v>
      </c>
    </row>
    <row r="25" customFormat="false" ht="15" hidden="false" customHeight="false" outlineLevel="0" collapsed="false">
      <c r="A25" s="6" t="s">
        <v>6562</v>
      </c>
      <c r="B25" s="6" t="s">
        <v>71</v>
      </c>
      <c r="C25" s="6" t="s">
        <v>57</v>
      </c>
      <c r="D25" s="6" t="s">
        <v>22</v>
      </c>
      <c r="E25" s="6" t="n">
        <f aca="false">ROUND(16813*1.05,2)</f>
        <v>17653.65</v>
      </c>
      <c r="F25" s="6" t="s">
        <v>52</v>
      </c>
      <c r="G25" s="6" t="s">
        <v>24</v>
      </c>
      <c r="H25" s="6" t="n">
        <f aca="true">ROUND(RAND()*4+6,1)</f>
        <v>9.5</v>
      </c>
      <c r="I25" s="6" t="s">
        <v>25</v>
      </c>
      <c r="J25" s="6" t="str">
        <f aca="false">ROUND(81*1,0)&amp;"%"</f>
        <v>81%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6563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6564</v>
      </c>
      <c r="B30" s="5" t="s">
        <v>75</v>
      </c>
      <c r="C30" s="5" t="s">
        <v>76</v>
      </c>
      <c r="D30" s="5" t="s">
        <v>16</v>
      </c>
      <c r="E30" s="5" t="n">
        <f aca="false">ROUND(7547*1.05,2)</f>
        <v>7924.35</v>
      </c>
      <c r="F30" s="5" t="s">
        <v>17</v>
      </c>
      <c r="G30" s="5" t="s">
        <v>18</v>
      </c>
      <c r="H30" s="5" t="n">
        <f aca="true">ROUND(RAND()*4+6,1)</f>
        <v>6.8</v>
      </c>
      <c r="I30" s="5" t="s">
        <v>19</v>
      </c>
      <c r="J30" s="5" t="str">
        <f aca="false">ROUND(92*1,0)&amp;"%"</f>
        <v>92%</v>
      </c>
    </row>
    <row r="31" customFormat="false" ht="15" hidden="false" customHeight="false" outlineLevel="0" collapsed="false">
      <c r="A31" s="6" t="s">
        <v>6565</v>
      </c>
      <c r="B31" s="6" t="s">
        <v>78</v>
      </c>
      <c r="C31" s="6" t="s">
        <v>76</v>
      </c>
      <c r="D31" s="6" t="s">
        <v>22</v>
      </c>
      <c r="E31" s="6" t="n">
        <f aca="false">ROUND(8942*1.05,2)</f>
        <v>9389.1</v>
      </c>
      <c r="F31" s="6" t="s">
        <v>23</v>
      </c>
      <c r="G31" s="6" t="s">
        <v>24</v>
      </c>
      <c r="H31" s="6" t="n">
        <f aca="true">ROUND(RAND()*4+6,1)</f>
        <v>8.6</v>
      </c>
      <c r="I31" s="6" t="s">
        <v>25</v>
      </c>
      <c r="J31" s="6" t="str">
        <f aca="false">ROUND(88*1,0)&amp;"%"</f>
        <v>88%</v>
      </c>
    </row>
    <row r="32" customFormat="false" ht="15" hidden="false" customHeight="false" outlineLevel="0" collapsed="false">
      <c r="A32" s="5" t="s">
        <v>6566</v>
      </c>
      <c r="B32" s="5" t="s">
        <v>80</v>
      </c>
      <c r="C32" s="5" t="s">
        <v>76</v>
      </c>
      <c r="D32" s="5" t="s">
        <v>28</v>
      </c>
      <c r="E32" s="5" t="n">
        <f aca="false">ROUND(7795*1.05,2)</f>
        <v>8184.75</v>
      </c>
      <c r="F32" s="5" t="s">
        <v>29</v>
      </c>
      <c r="G32" s="5" t="s">
        <v>30</v>
      </c>
      <c r="H32" s="5" t="n">
        <f aca="true">ROUND(RAND()*4+6,1)</f>
        <v>7</v>
      </c>
      <c r="I32" s="5" t="s">
        <v>31</v>
      </c>
      <c r="J32" s="5" t="str">
        <f aca="false">ROUND(97*1,0)&amp;"%"</f>
        <v>97%</v>
      </c>
    </row>
    <row r="33" customFormat="false" ht="15" hidden="false" customHeight="false" outlineLevel="0" collapsed="false">
      <c r="A33" s="6" t="s">
        <v>6567</v>
      </c>
      <c r="B33" s="6" t="s">
        <v>82</v>
      </c>
      <c r="C33" s="6" t="s">
        <v>76</v>
      </c>
      <c r="D33" s="6" t="s">
        <v>34</v>
      </c>
      <c r="E33" s="6" t="n">
        <f aca="false">ROUND(5717*1.05,2)</f>
        <v>6002.85</v>
      </c>
      <c r="F33" s="6" t="s">
        <v>35</v>
      </c>
      <c r="G33" s="6" t="s">
        <v>18</v>
      </c>
      <c r="H33" s="6" t="n">
        <f aca="true">ROUND(RAND()*4+6,1)</f>
        <v>8.3</v>
      </c>
      <c r="I33" s="6" t="s">
        <v>36</v>
      </c>
      <c r="J33" s="6" t="str">
        <f aca="false">ROUND(92*1,0)&amp;"%"</f>
        <v>92%</v>
      </c>
    </row>
    <row r="34" customFormat="false" ht="15" hidden="false" customHeight="false" outlineLevel="0" collapsed="false">
      <c r="A34" s="5" t="s">
        <v>6568</v>
      </c>
      <c r="B34" s="5" t="s">
        <v>84</v>
      </c>
      <c r="C34" s="5" t="s">
        <v>76</v>
      </c>
      <c r="D34" s="5" t="s">
        <v>39</v>
      </c>
      <c r="E34" s="5" t="n">
        <f aca="false">ROUND(5872*1.05,2)</f>
        <v>6165.6</v>
      </c>
      <c r="F34" s="5" t="s">
        <v>40</v>
      </c>
      <c r="G34" s="5" t="s">
        <v>24</v>
      </c>
      <c r="H34" s="5" t="n">
        <f aca="true">ROUND(RAND()*4+6,1)</f>
        <v>9.3</v>
      </c>
      <c r="I34" s="5" t="s">
        <v>41</v>
      </c>
      <c r="J34" s="5" t="str">
        <f aca="false">ROUND(100*1,0)&amp;"%"</f>
        <v>100%</v>
      </c>
    </row>
    <row r="35" customFormat="false" ht="15" hidden="false" customHeight="false" outlineLevel="0" collapsed="false">
      <c r="A35" s="6" t="s">
        <v>6569</v>
      </c>
      <c r="B35" s="6" t="s">
        <v>86</v>
      </c>
      <c r="C35" s="6" t="s">
        <v>76</v>
      </c>
      <c r="D35" s="6" t="s">
        <v>44</v>
      </c>
      <c r="E35" s="6" t="n">
        <f aca="false">ROUND(11750*1.05,2)</f>
        <v>12337.5</v>
      </c>
      <c r="F35" s="6" t="s">
        <v>45</v>
      </c>
      <c r="G35" s="6" t="s">
        <v>30</v>
      </c>
      <c r="H35" s="6" t="n">
        <f aca="true">ROUND(RAND()*4+6,1)</f>
        <v>8.2</v>
      </c>
      <c r="I35" s="6" t="s">
        <v>46</v>
      </c>
      <c r="J35" s="6" t="str">
        <f aca="false">ROUND(62*1,0)&amp;"%"</f>
        <v>62%</v>
      </c>
    </row>
    <row r="36" customFormat="false" ht="15" hidden="false" customHeight="false" outlineLevel="0" collapsed="false">
      <c r="A36" s="5" t="s">
        <v>6570</v>
      </c>
      <c r="B36" s="5" t="s">
        <v>88</v>
      </c>
      <c r="C36" s="5" t="s">
        <v>76</v>
      </c>
      <c r="D36" s="5" t="s">
        <v>16</v>
      </c>
      <c r="E36" s="5" t="n">
        <f aca="false">ROUND(15982*1.05,2)</f>
        <v>16781.1</v>
      </c>
      <c r="F36" s="5" t="s">
        <v>49</v>
      </c>
      <c r="G36" s="5" t="s">
        <v>18</v>
      </c>
      <c r="H36" s="5" t="n">
        <f aca="true">ROUND(RAND()*4+6,1)</f>
        <v>9.4</v>
      </c>
      <c r="I36" s="5" t="s">
        <v>19</v>
      </c>
      <c r="J36" s="5" t="str">
        <f aca="false">ROUND(75*1,0)&amp;"%"</f>
        <v>75%</v>
      </c>
    </row>
    <row r="37" customFormat="false" ht="15" hidden="false" customHeight="false" outlineLevel="0" collapsed="false">
      <c r="A37" s="6" t="s">
        <v>6571</v>
      </c>
      <c r="B37" s="6" t="s">
        <v>90</v>
      </c>
      <c r="C37" s="6" t="s">
        <v>76</v>
      </c>
      <c r="D37" s="6" t="s">
        <v>22</v>
      </c>
      <c r="E37" s="6" t="n">
        <f aca="false">ROUND(11038*1.05,2)</f>
        <v>11589.9</v>
      </c>
      <c r="F37" s="6" t="s">
        <v>52</v>
      </c>
      <c r="G37" s="6" t="s">
        <v>24</v>
      </c>
      <c r="H37" s="6" t="n">
        <f aca="true">ROUND(RAND()*4+6,1)</f>
        <v>7.4</v>
      </c>
      <c r="I37" s="6" t="s">
        <v>25</v>
      </c>
      <c r="J37" s="6" t="str">
        <f aca="false">ROUND(67*1,0)&amp;"%"</f>
        <v>67%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6572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6573</v>
      </c>
      <c r="B42" s="5" t="s">
        <v>94</v>
      </c>
      <c r="C42" s="5" t="s">
        <v>95</v>
      </c>
      <c r="D42" s="5" t="s">
        <v>16</v>
      </c>
      <c r="E42" s="5" t="n">
        <f aca="false">ROUND(4592*1.05,2)</f>
        <v>4821.6</v>
      </c>
      <c r="F42" s="5" t="s">
        <v>17</v>
      </c>
      <c r="G42" s="5" t="s">
        <v>18</v>
      </c>
      <c r="H42" s="5" t="n">
        <f aca="true">ROUND(RAND()*4+6,1)</f>
        <v>7.7</v>
      </c>
      <c r="I42" s="5" t="s">
        <v>19</v>
      </c>
      <c r="J42" s="5" t="str">
        <f aca="false">ROUND(71*1,0)&amp;"%"</f>
        <v>71%</v>
      </c>
    </row>
    <row r="43" customFormat="false" ht="15" hidden="false" customHeight="false" outlineLevel="0" collapsed="false">
      <c r="A43" s="6" t="s">
        <v>6574</v>
      </c>
      <c r="B43" s="6" t="s">
        <v>97</v>
      </c>
      <c r="C43" s="6" t="s">
        <v>95</v>
      </c>
      <c r="D43" s="6" t="s">
        <v>22</v>
      </c>
      <c r="E43" s="6" t="n">
        <f aca="false">ROUND(4362*1.05,2)</f>
        <v>4580.1</v>
      </c>
      <c r="F43" s="6" t="s">
        <v>23</v>
      </c>
      <c r="G43" s="6" t="s">
        <v>24</v>
      </c>
      <c r="H43" s="6" t="n">
        <f aca="true">ROUND(RAND()*4+6,1)</f>
        <v>7.2</v>
      </c>
      <c r="I43" s="6" t="s">
        <v>25</v>
      </c>
      <c r="J43" s="6" t="str">
        <f aca="false">ROUND(66*1,0)&amp;"%"</f>
        <v>66%</v>
      </c>
    </row>
    <row r="44" customFormat="false" ht="15" hidden="false" customHeight="false" outlineLevel="0" collapsed="false">
      <c r="A44" s="5" t="s">
        <v>6575</v>
      </c>
      <c r="B44" s="5" t="s">
        <v>99</v>
      </c>
      <c r="C44" s="5" t="s">
        <v>95</v>
      </c>
      <c r="D44" s="5" t="s">
        <v>28</v>
      </c>
      <c r="E44" s="5" t="n">
        <f aca="false">ROUND(14167*1.05,2)</f>
        <v>14875.35</v>
      </c>
      <c r="F44" s="5" t="s">
        <v>29</v>
      </c>
      <c r="G44" s="5" t="s">
        <v>30</v>
      </c>
      <c r="H44" s="5" t="n">
        <f aca="true">ROUND(RAND()*4+6,1)</f>
        <v>8.7</v>
      </c>
      <c r="I44" s="5" t="s">
        <v>31</v>
      </c>
      <c r="J44" s="5" t="str">
        <f aca="false">ROUND(63*1,0)&amp;"%"</f>
        <v>63%</v>
      </c>
    </row>
    <row r="45" customFormat="false" ht="15" hidden="false" customHeight="false" outlineLevel="0" collapsed="false">
      <c r="A45" s="6" t="s">
        <v>6576</v>
      </c>
      <c r="B45" s="6" t="s">
        <v>101</v>
      </c>
      <c r="C45" s="6" t="s">
        <v>95</v>
      </c>
      <c r="D45" s="6" t="s">
        <v>34</v>
      </c>
      <c r="E45" s="6" t="n">
        <f aca="false">ROUND(12706*1.05,2)</f>
        <v>13341.3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ROUND(91*1,0)&amp;"%"</f>
        <v>91%</v>
      </c>
    </row>
    <row r="46" customFormat="false" ht="15" hidden="false" customHeight="false" outlineLevel="0" collapsed="false">
      <c r="A46" s="5" t="s">
        <v>6577</v>
      </c>
      <c r="B46" s="5" t="s">
        <v>103</v>
      </c>
      <c r="C46" s="5" t="s">
        <v>95</v>
      </c>
      <c r="D46" s="5" t="s">
        <v>39</v>
      </c>
      <c r="E46" s="5" t="n">
        <f aca="false">ROUND(15953*1.05,2)</f>
        <v>16750.65</v>
      </c>
      <c r="F46" s="5" t="s">
        <v>40</v>
      </c>
      <c r="G46" s="5" t="s">
        <v>24</v>
      </c>
      <c r="H46" s="5" t="n">
        <f aca="true">ROUND(RAND()*4+6,1)</f>
        <v>8.4</v>
      </c>
      <c r="I46" s="5" t="s">
        <v>41</v>
      </c>
      <c r="J46" s="5" t="str">
        <f aca="false">ROUND(77*1,0)&amp;"%"</f>
        <v>77%</v>
      </c>
    </row>
    <row r="47" customFormat="false" ht="15" hidden="false" customHeight="false" outlineLevel="0" collapsed="false">
      <c r="A47" s="6" t="s">
        <v>6578</v>
      </c>
      <c r="B47" s="6" t="s">
        <v>105</v>
      </c>
      <c r="C47" s="6" t="s">
        <v>95</v>
      </c>
      <c r="D47" s="6" t="s">
        <v>44</v>
      </c>
      <c r="E47" s="6" t="n">
        <f aca="false">ROUND(13755*1.05,2)</f>
        <v>14442.75</v>
      </c>
      <c r="F47" s="6" t="s">
        <v>45</v>
      </c>
      <c r="G47" s="6" t="s">
        <v>30</v>
      </c>
      <c r="H47" s="6" t="n">
        <f aca="true">ROUND(RAND()*4+6,1)</f>
        <v>7.8</v>
      </c>
      <c r="I47" s="6" t="s">
        <v>46</v>
      </c>
      <c r="J47" s="6" t="str">
        <f aca="false">ROUND(67*1,0)&amp;"%"</f>
        <v>67%</v>
      </c>
    </row>
    <row r="48" customFormat="false" ht="15" hidden="false" customHeight="false" outlineLevel="0" collapsed="false">
      <c r="A48" s="5" t="s">
        <v>6579</v>
      </c>
      <c r="B48" s="5" t="s">
        <v>107</v>
      </c>
      <c r="C48" s="5" t="s">
        <v>95</v>
      </c>
      <c r="D48" s="5" t="s">
        <v>16</v>
      </c>
      <c r="E48" s="5" t="n">
        <f aca="false">ROUND(11735*1.05,2)</f>
        <v>12321.75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ROUND(89*1,0)&amp;"%"</f>
        <v>89%</v>
      </c>
    </row>
    <row r="49" customFormat="false" ht="15" hidden="false" customHeight="false" outlineLevel="0" collapsed="false">
      <c r="A49" s="6" t="s">
        <v>6580</v>
      </c>
      <c r="B49" s="6" t="s">
        <v>109</v>
      </c>
      <c r="C49" s="6" t="s">
        <v>95</v>
      </c>
      <c r="D49" s="6" t="s">
        <v>22</v>
      </c>
      <c r="E49" s="6" t="n">
        <f aca="false">ROUND(9493*1.05,2)</f>
        <v>9967.65</v>
      </c>
      <c r="F49" s="6" t="s">
        <v>52</v>
      </c>
      <c r="G49" s="6" t="s">
        <v>24</v>
      </c>
      <c r="H49" s="6" t="n">
        <f aca="true">ROUND(RAND()*4+6,1)</f>
        <v>7.6</v>
      </c>
      <c r="I49" s="6" t="s">
        <v>25</v>
      </c>
      <c r="J49" s="6" t="str">
        <f aca="false">ROUND(100*1,0)&amp;"%"</f>
        <v>100%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6581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6582</v>
      </c>
      <c r="B54" s="5" t="s">
        <v>113</v>
      </c>
      <c r="C54" s="5" t="s">
        <v>114</v>
      </c>
      <c r="D54" s="5" t="s">
        <v>16</v>
      </c>
      <c r="E54" s="5" t="n">
        <f aca="false">ROUND(12815*1.05,2)</f>
        <v>13455.75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ROUND(80*1,0)&amp;"%"</f>
        <v>80%</v>
      </c>
    </row>
    <row r="55" customFormat="false" ht="15" hidden="false" customHeight="false" outlineLevel="0" collapsed="false">
      <c r="A55" s="6" t="s">
        <v>6583</v>
      </c>
      <c r="B55" s="6" t="s">
        <v>116</v>
      </c>
      <c r="C55" s="6" t="s">
        <v>114</v>
      </c>
      <c r="D55" s="6" t="s">
        <v>22</v>
      </c>
      <c r="E55" s="6" t="n">
        <f aca="false">ROUND(5761*1.05,2)</f>
        <v>6049.05</v>
      </c>
      <c r="F55" s="6" t="s">
        <v>23</v>
      </c>
      <c r="G55" s="6" t="s">
        <v>24</v>
      </c>
      <c r="H55" s="6" t="n">
        <f aca="true">ROUND(RAND()*4+6,1)</f>
        <v>7.6</v>
      </c>
      <c r="I55" s="6" t="s">
        <v>25</v>
      </c>
      <c r="J55" s="6" t="str">
        <f aca="false">ROUND(60*1,0)&amp;"%"</f>
        <v>60%</v>
      </c>
    </row>
    <row r="56" customFormat="false" ht="15" hidden="false" customHeight="false" outlineLevel="0" collapsed="false">
      <c r="A56" s="5" t="s">
        <v>6584</v>
      </c>
      <c r="B56" s="5" t="s">
        <v>118</v>
      </c>
      <c r="C56" s="5" t="s">
        <v>114</v>
      </c>
      <c r="D56" s="5" t="s">
        <v>28</v>
      </c>
      <c r="E56" s="5" t="n">
        <f aca="false">ROUND(16877*1.05,2)</f>
        <v>17720.85</v>
      </c>
      <c r="F56" s="5" t="s">
        <v>29</v>
      </c>
      <c r="G56" s="5" t="s">
        <v>30</v>
      </c>
      <c r="H56" s="5" t="n">
        <f aca="true">ROUND(RAND()*4+6,1)</f>
        <v>8.8</v>
      </c>
      <c r="I56" s="5" t="s">
        <v>31</v>
      </c>
      <c r="J56" s="5" t="str">
        <f aca="false">ROUND(89*1,0)&amp;"%"</f>
        <v>89%</v>
      </c>
    </row>
    <row r="57" customFormat="false" ht="15" hidden="false" customHeight="false" outlineLevel="0" collapsed="false">
      <c r="A57" s="6" t="s">
        <v>6585</v>
      </c>
      <c r="B57" s="6" t="s">
        <v>120</v>
      </c>
      <c r="C57" s="6" t="s">
        <v>114</v>
      </c>
      <c r="D57" s="6" t="s">
        <v>34</v>
      </c>
      <c r="E57" s="6" t="n">
        <f aca="false">ROUND(14395*1.05,2)</f>
        <v>15114.75</v>
      </c>
      <c r="F57" s="6" t="s">
        <v>35</v>
      </c>
      <c r="G57" s="6" t="s">
        <v>18</v>
      </c>
      <c r="H57" s="6" t="n">
        <f aca="true">ROUND(RAND()*4+6,1)</f>
        <v>7.1</v>
      </c>
      <c r="I57" s="6" t="s">
        <v>36</v>
      </c>
      <c r="J57" s="6" t="str">
        <f aca="false">ROUND(95*1,0)&amp;"%"</f>
        <v>95%</v>
      </c>
    </row>
    <row r="58" customFormat="false" ht="15" hidden="false" customHeight="false" outlineLevel="0" collapsed="false">
      <c r="A58" s="5" t="s">
        <v>6586</v>
      </c>
      <c r="B58" s="5" t="s">
        <v>122</v>
      </c>
      <c r="C58" s="5" t="s">
        <v>114</v>
      </c>
      <c r="D58" s="5" t="s">
        <v>39</v>
      </c>
      <c r="E58" s="5" t="n">
        <f aca="false">ROUND(14248*1.05,2)</f>
        <v>14960.4</v>
      </c>
      <c r="F58" s="5" t="s">
        <v>40</v>
      </c>
      <c r="G58" s="5" t="s">
        <v>24</v>
      </c>
      <c r="H58" s="5" t="n">
        <f aca="true">ROUND(RAND()*4+6,1)</f>
        <v>6.9</v>
      </c>
      <c r="I58" s="5" t="s">
        <v>41</v>
      </c>
      <c r="J58" s="5" t="str">
        <f aca="false">ROUND(70*1,0)&amp;"%"</f>
        <v>70%</v>
      </c>
    </row>
    <row r="59" customFormat="false" ht="15" hidden="false" customHeight="false" outlineLevel="0" collapsed="false">
      <c r="A59" s="6" t="s">
        <v>6587</v>
      </c>
      <c r="B59" s="6" t="s">
        <v>124</v>
      </c>
      <c r="C59" s="6" t="s">
        <v>114</v>
      </c>
      <c r="D59" s="6" t="s">
        <v>44</v>
      </c>
      <c r="E59" s="6" t="n">
        <f aca="false">ROUND(12560*1.05,2)</f>
        <v>13188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ROUND(96*1,0)&amp;"%"</f>
        <v>96%</v>
      </c>
    </row>
    <row r="60" customFormat="false" ht="15" hidden="false" customHeight="false" outlineLevel="0" collapsed="false">
      <c r="A60" s="5" t="s">
        <v>6588</v>
      </c>
      <c r="B60" s="5" t="s">
        <v>126</v>
      </c>
      <c r="C60" s="5" t="s">
        <v>114</v>
      </c>
      <c r="D60" s="5" t="s">
        <v>16</v>
      </c>
      <c r="E60" s="5" t="n">
        <f aca="false">ROUND(13270*1.05,2)</f>
        <v>13933.5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6589</v>
      </c>
      <c r="B61" s="6" t="s">
        <v>128</v>
      </c>
      <c r="C61" s="6" t="s">
        <v>114</v>
      </c>
      <c r="D61" s="6" t="s">
        <v>22</v>
      </c>
      <c r="E61" s="6" t="n">
        <f aca="false">ROUND(10327*1.05,2)</f>
        <v>10843.35</v>
      </c>
      <c r="F61" s="6" t="s">
        <v>52</v>
      </c>
      <c r="G61" s="6" t="s">
        <v>24</v>
      </c>
      <c r="H61" s="6" t="n">
        <f aca="true">ROUND(RAND()*4+6,1)</f>
        <v>7.7</v>
      </c>
      <c r="I61" s="6" t="s">
        <v>25</v>
      </c>
      <c r="J61" s="6" t="str">
        <f aca="false">ROUND(83*1,0)&amp;"%"</f>
        <v>83%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6590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6591</v>
      </c>
      <c r="B66" s="5" t="s">
        <v>132</v>
      </c>
      <c r="C66" s="5" t="s">
        <v>133</v>
      </c>
      <c r="D66" s="5" t="s">
        <v>16</v>
      </c>
      <c r="E66" s="5" t="n">
        <f aca="false">ROUND(11209*1.05,2)</f>
        <v>11769.45</v>
      </c>
      <c r="F66" s="5" t="s">
        <v>17</v>
      </c>
      <c r="G66" s="5" t="s">
        <v>18</v>
      </c>
      <c r="H66" s="5" t="n">
        <f aca="true">ROUND(RAND()*4+6,1)</f>
        <v>7</v>
      </c>
      <c r="I66" s="5" t="s">
        <v>19</v>
      </c>
      <c r="J66" s="5" t="str">
        <f aca="false">ROUND(78*1,0)&amp;"%"</f>
        <v>78%</v>
      </c>
    </row>
    <row r="67" customFormat="false" ht="15" hidden="false" customHeight="false" outlineLevel="0" collapsed="false">
      <c r="A67" s="6" t="s">
        <v>6592</v>
      </c>
      <c r="B67" s="6" t="s">
        <v>135</v>
      </c>
      <c r="C67" s="6" t="s">
        <v>133</v>
      </c>
      <c r="D67" s="6" t="s">
        <v>22</v>
      </c>
      <c r="E67" s="6" t="n">
        <f aca="false">ROUND(15638*1.05,2)</f>
        <v>16419.9</v>
      </c>
      <c r="F67" s="6" t="s">
        <v>23</v>
      </c>
      <c r="G67" s="6" t="s">
        <v>24</v>
      </c>
      <c r="H67" s="6" t="n">
        <f aca="true">ROUND(RAND()*4+6,1)</f>
        <v>8.1</v>
      </c>
      <c r="I67" s="6" t="s">
        <v>25</v>
      </c>
      <c r="J67" s="6" t="str">
        <f aca="false">ROUND(84*1,0)&amp;"%"</f>
        <v>84%</v>
      </c>
    </row>
    <row r="68" customFormat="false" ht="15" hidden="false" customHeight="false" outlineLevel="0" collapsed="false">
      <c r="A68" s="5" t="s">
        <v>6593</v>
      </c>
      <c r="B68" s="5" t="s">
        <v>137</v>
      </c>
      <c r="C68" s="5" t="s">
        <v>133</v>
      </c>
      <c r="D68" s="5" t="s">
        <v>28</v>
      </c>
      <c r="E68" s="5" t="n">
        <f aca="false">ROUND(5657*1.05,2)</f>
        <v>5939.85</v>
      </c>
      <c r="F68" s="5" t="s">
        <v>29</v>
      </c>
      <c r="G68" s="5" t="s">
        <v>30</v>
      </c>
      <c r="H68" s="5" t="n">
        <f aca="true">ROUND(RAND()*4+6,1)</f>
        <v>7.6</v>
      </c>
      <c r="I68" s="5" t="s">
        <v>31</v>
      </c>
      <c r="J68" s="5" t="str">
        <f aca="false">ROUND(71*1,0)&amp;"%"</f>
        <v>71%</v>
      </c>
    </row>
    <row r="69" customFormat="false" ht="15" hidden="false" customHeight="false" outlineLevel="0" collapsed="false">
      <c r="A69" s="6" t="s">
        <v>6594</v>
      </c>
      <c r="B69" s="6" t="s">
        <v>139</v>
      </c>
      <c r="C69" s="6" t="s">
        <v>133</v>
      </c>
      <c r="D69" s="6" t="s">
        <v>34</v>
      </c>
      <c r="E69" s="6" t="n">
        <f aca="false">ROUND(8700*1.05,2)</f>
        <v>9135</v>
      </c>
      <c r="F69" s="6" t="s">
        <v>35</v>
      </c>
      <c r="G69" s="6" t="s">
        <v>18</v>
      </c>
      <c r="H69" s="6" t="n">
        <f aca="true">ROUND(RAND()*4+6,1)</f>
        <v>6.4</v>
      </c>
      <c r="I69" s="6" t="s">
        <v>36</v>
      </c>
      <c r="J69" s="6" t="str">
        <f aca="false">ROUND(82*1,0)&amp;"%"</f>
        <v>82%</v>
      </c>
    </row>
    <row r="70" customFormat="false" ht="15" hidden="false" customHeight="false" outlineLevel="0" collapsed="false">
      <c r="A70" s="5" t="s">
        <v>6595</v>
      </c>
      <c r="B70" s="5" t="s">
        <v>141</v>
      </c>
      <c r="C70" s="5" t="s">
        <v>133</v>
      </c>
      <c r="D70" s="5" t="s">
        <v>39</v>
      </c>
      <c r="E70" s="5" t="n">
        <f aca="false">ROUND(6883*1.05,2)</f>
        <v>7227.15</v>
      </c>
      <c r="F70" s="5" t="s">
        <v>40</v>
      </c>
      <c r="G70" s="5" t="s">
        <v>24</v>
      </c>
      <c r="H70" s="5" t="n">
        <f aca="true">ROUND(RAND()*4+6,1)</f>
        <v>7.1</v>
      </c>
      <c r="I70" s="5" t="s">
        <v>41</v>
      </c>
      <c r="J70" s="5" t="str">
        <f aca="false">ROUND(92*1,0)&amp;"%"</f>
        <v>92%</v>
      </c>
    </row>
    <row r="71" customFormat="false" ht="15" hidden="false" customHeight="false" outlineLevel="0" collapsed="false">
      <c r="A71" s="6" t="s">
        <v>6596</v>
      </c>
      <c r="B71" s="6" t="s">
        <v>143</v>
      </c>
      <c r="C71" s="6" t="s">
        <v>133</v>
      </c>
      <c r="D71" s="6" t="s">
        <v>44</v>
      </c>
      <c r="E71" s="6" t="n">
        <f aca="false">ROUND(10882*1.05,2)</f>
        <v>11426.1</v>
      </c>
      <c r="F71" s="6" t="s">
        <v>45</v>
      </c>
      <c r="G71" s="6" t="s">
        <v>30</v>
      </c>
      <c r="H71" s="6" t="n">
        <f aca="true">ROUND(RAND()*4+6,1)</f>
        <v>8.2</v>
      </c>
      <c r="I71" s="6" t="s">
        <v>46</v>
      </c>
      <c r="J71" s="6" t="str">
        <f aca="false">ROUND(93*1,0)&amp;"%"</f>
        <v>93%</v>
      </c>
    </row>
    <row r="72" customFormat="false" ht="15" hidden="false" customHeight="false" outlineLevel="0" collapsed="false">
      <c r="A72" s="5" t="s">
        <v>6597</v>
      </c>
      <c r="B72" s="5" t="s">
        <v>145</v>
      </c>
      <c r="C72" s="5" t="s">
        <v>133</v>
      </c>
      <c r="D72" s="5" t="s">
        <v>16</v>
      </c>
      <c r="E72" s="5" t="n">
        <f aca="false">ROUND(13553*1.05,2)</f>
        <v>14230.65</v>
      </c>
      <c r="F72" s="5" t="s">
        <v>49</v>
      </c>
      <c r="G72" s="5" t="s">
        <v>18</v>
      </c>
      <c r="H72" s="5" t="n">
        <f aca="true">ROUND(RAND()*4+6,1)</f>
        <v>7</v>
      </c>
      <c r="I72" s="5" t="s">
        <v>19</v>
      </c>
      <c r="J72" s="5" t="str">
        <f aca="false">ROUND(73*1,0)&amp;"%"</f>
        <v>73%</v>
      </c>
    </row>
    <row r="73" customFormat="false" ht="15" hidden="false" customHeight="false" outlineLevel="0" collapsed="false">
      <c r="A73" s="6" t="s">
        <v>6598</v>
      </c>
      <c r="B73" s="6" t="s">
        <v>147</v>
      </c>
      <c r="C73" s="6" t="s">
        <v>133</v>
      </c>
      <c r="D73" s="6" t="s">
        <v>22</v>
      </c>
      <c r="E73" s="6" t="n">
        <f aca="false">ROUND(13802*1.05,2)</f>
        <v>14492.1</v>
      </c>
      <c r="F73" s="6" t="s">
        <v>52</v>
      </c>
      <c r="G73" s="6" t="s">
        <v>24</v>
      </c>
      <c r="H73" s="6" t="n">
        <f aca="true">ROUND(RAND()*4+6,1)</f>
        <v>6.2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6599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6600</v>
      </c>
      <c r="B78" s="5" t="s">
        <v>151</v>
      </c>
      <c r="C78" s="5" t="s">
        <v>152</v>
      </c>
      <c r="D78" s="5" t="s">
        <v>16</v>
      </c>
      <c r="E78" s="5" t="n">
        <f aca="false">ROUND(7739*1.05,2)</f>
        <v>8125.95</v>
      </c>
      <c r="F78" s="5" t="s">
        <v>17</v>
      </c>
      <c r="G78" s="5" t="s">
        <v>18</v>
      </c>
      <c r="H78" s="5" t="n">
        <f aca="true">ROUND(RAND()*4+6,1)</f>
        <v>7.4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6601</v>
      </c>
      <c r="B79" s="6" t="s">
        <v>154</v>
      </c>
      <c r="C79" s="6" t="s">
        <v>152</v>
      </c>
      <c r="D79" s="6" t="s">
        <v>22</v>
      </c>
      <c r="E79" s="6" t="n">
        <f aca="false">ROUND(14554*1.05,2)</f>
        <v>15281.7</v>
      </c>
      <c r="F79" s="6" t="s">
        <v>23</v>
      </c>
      <c r="G79" s="6" t="s">
        <v>24</v>
      </c>
      <c r="H79" s="6" t="n">
        <f aca="true">ROUND(RAND()*4+6,1)</f>
        <v>6.2</v>
      </c>
      <c r="I79" s="6" t="s">
        <v>25</v>
      </c>
      <c r="J79" s="6" t="str">
        <f aca="false">ROUND(95*1,0)&amp;"%"</f>
        <v>95%</v>
      </c>
    </row>
    <row r="80" customFormat="false" ht="15" hidden="false" customHeight="false" outlineLevel="0" collapsed="false">
      <c r="A80" s="5" t="s">
        <v>6602</v>
      </c>
      <c r="B80" s="5" t="s">
        <v>156</v>
      </c>
      <c r="C80" s="5" t="s">
        <v>152</v>
      </c>
      <c r="D80" s="5" t="s">
        <v>28</v>
      </c>
      <c r="E80" s="5" t="n">
        <f aca="false">ROUND(17775*1.05,2)</f>
        <v>18663.75</v>
      </c>
      <c r="F80" s="5" t="s">
        <v>29</v>
      </c>
      <c r="G80" s="5" t="s">
        <v>30</v>
      </c>
      <c r="H80" s="5" t="n">
        <f aca="true">ROUND(RAND()*4+6,1)</f>
        <v>9.8</v>
      </c>
      <c r="I80" s="5" t="s">
        <v>31</v>
      </c>
      <c r="J80" s="5" t="str">
        <f aca="false">ROUND(88*1,0)&amp;"%"</f>
        <v>88%</v>
      </c>
    </row>
    <row r="81" customFormat="false" ht="15" hidden="false" customHeight="false" outlineLevel="0" collapsed="false">
      <c r="A81" s="6" t="s">
        <v>6603</v>
      </c>
      <c r="B81" s="6" t="s">
        <v>158</v>
      </c>
      <c r="C81" s="6" t="s">
        <v>152</v>
      </c>
      <c r="D81" s="6" t="s">
        <v>34</v>
      </c>
      <c r="E81" s="6" t="n">
        <f aca="false">ROUND(7613*1.05,2)</f>
        <v>7993.65</v>
      </c>
      <c r="F81" s="6" t="s">
        <v>35</v>
      </c>
      <c r="G81" s="6" t="s">
        <v>18</v>
      </c>
      <c r="H81" s="6" t="n">
        <f aca="true">ROUND(RAND()*4+6,1)</f>
        <v>9.9</v>
      </c>
      <c r="I81" s="6" t="s">
        <v>36</v>
      </c>
      <c r="J81" s="6" t="str">
        <f aca="false">ROUND(68*1,0)&amp;"%"</f>
        <v>68%</v>
      </c>
    </row>
    <row r="82" customFormat="false" ht="15" hidden="false" customHeight="false" outlineLevel="0" collapsed="false">
      <c r="A82" s="5" t="s">
        <v>6604</v>
      </c>
      <c r="B82" s="5" t="s">
        <v>160</v>
      </c>
      <c r="C82" s="5" t="s">
        <v>152</v>
      </c>
      <c r="D82" s="5" t="s">
        <v>39</v>
      </c>
      <c r="E82" s="5" t="n">
        <f aca="false">ROUND(11207*1.05,2)</f>
        <v>11767.35</v>
      </c>
      <c r="F82" s="5" t="s">
        <v>40</v>
      </c>
      <c r="G82" s="5" t="s">
        <v>24</v>
      </c>
      <c r="H82" s="5" t="n">
        <f aca="true">ROUND(RAND()*4+6,1)</f>
        <v>8.9</v>
      </c>
      <c r="I82" s="5" t="s">
        <v>41</v>
      </c>
      <c r="J82" s="5" t="str">
        <f aca="false">ROUND(79*1,0)&amp;"%"</f>
        <v>79%</v>
      </c>
    </row>
    <row r="83" customFormat="false" ht="15" hidden="false" customHeight="false" outlineLevel="0" collapsed="false">
      <c r="A83" s="6" t="s">
        <v>6605</v>
      </c>
      <c r="B83" s="6" t="s">
        <v>162</v>
      </c>
      <c r="C83" s="6" t="s">
        <v>152</v>
      </c>
      <c r="D83" s="6" t="s">
        <v>44</v>
      </c>
      <c r="E83" s="6" t="n">
        <f aca="false">ROUND(9187*1.05,2)</f>
        <v>9646.35</v>
      </c>
      <c r="F83" s="6" t="s">
        <v>45</v>
      </c>
      <c r="G83" s="6" t="s">
        <v>30</v>
      </c>
      <c r="H83" s="6" t="n">
        <f aca="true">ROUND(RAND()*4+6,1)</f>
        <v>7.5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6606</v>
      </c>
      <c r="B84" s="5" t="s">
        <v>164</v>
      </c>
      <c r="C84" s="5" t="s">
        <v>152</v>
      </c>
      <c r="D84" s="5" t="s">
        <v>16</v>
      </c>
      <c r="E84" s="5" t="n">
        <f aca="false">ROUND(16107*1.05,2)</f>
        <v>16912.35</v>
      </c>
      <c r="F84" s="5" t="s">
        <v>49</v>
      </c>
      <c r="G84" s="5" t="s">
        <v>18</v>
      </c>
      <c r="H84" s="5" t="n">
        <f aca="true">ROUND(RAND()*4+6,1)</f>
        <v>8.2</v>
      </c>
      <c r="I84" s="5" t="s">
        <v>19</v>
      </c>
      <c r="J84" s="5" t="str">
        <f aca="false">ROUND(69*1,0)&amp;"%"</f>
        <v>69%</v>
      </c>
    </row>
    <row r="85" customFormat="false" ht="15" hidden="false" customHeight="false" outlineLevel="0" collapsed="false">
      <c r="A85" s="6" t="s">
        <v>6607</v>
      </c>
      <c r="B85" s="6" t="s">
        <v>166</v>
      </c>
      <c r="C85" s="6" t="s">
        <v>152</v>
      </c>
      <c r="D85" s="6" t="s">
        <v>22</v>
      </c>
      <c r="E85" s="6" t="n">
        <f aca="false">ROUND(17295*1.05,2)</f>
        <v>18159.75</v>
      </c>
      <c r="F85" s="6" t="s">
        <v>52</v>
      </c>
      <c r="G85" s="6" t="s">
        <v>24</v>
      </c>
      <c r="H85" s="6" t="n">
        <f aca="true">ROUND(RAND()*4+6,1)</f>
        <v>9.7</v>
      </c>
      <c r="I85" s="6" t="s">
        <v>25</v>
      </c>
      <c r="J85" s="6" t="str">
        <f aca="false">ROUND(92*1,0)&amp;"%"</f>
        <v>92%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6608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6609</v>
      </c>
      <c r="B90" s="5" t="s">
        <v>170</v>
      </c>
      <c r="C90" s="5" t="s">
        <v>15</v>
      </c>
      <c r="D90" s="5" t="s">
        <v>16</v>
      </c>
      <c r="E90" s="5" t="n">
        <f aca="false">ROUND(15655*1.05,2)</f>
        <v>16437.75</v>
      </c>
      <c r="F90" s="5" t="s">
        <v>17</v>
      </c>
      <c r="G90" s="5" t="s">
        <v>18</v>
      </c>
      <c r="H90" s="5" t="n">
        <f aca="true">ROUND(RAND()*4+6,1)</f>
        <v>7.6</v>
      </c>
      <c r="I90" s="5" t="s">
        <v>19</v>
      </c>
      <c r="J90" s="5" t="str">
        <f aca="false">ROUND(80*1,0)&amp;"%"</f>
        <v>80%</v>
      </c>
    </row>
    <row r="91" customFormat="false" ht="15" hidden="false" customHeight="false" outlineLevel="0" collapsed="false">
      <c r="A91" s="6" t="s">
        <v>6610</v>
      </c>
      <c r="B91" s="6" t="s">
        <v>172</v>
      </c>
      <c r="C91" s="6" t="s">
        <v>15</v>
      </c>
      <c r="D91" s="6" t="s">
        <v>22</v>
      </c>
      <c r="E91" s="6" t="n">
        <f aca="false">ROUND(13542*1.05,2)</f>
        <v>14219.1</v>
      </c>
      <c r="F91" s="6" t="s">
        <v>23</v>
      </c>
      <c r="G91" s="6" t="s">
        <v>24</v>
      </c>
      <c r="H91" s="6" t="n">
        <f aca="true">ROUND(RAND()*4+6,1)</f>
        <v>8.8</v>
      </c>
      <c r="I91" s="6" t="s">
        <v>25</v>
      </c>
      <c r="J91" s="6" t="str">
        <f aca="false">ROUND(76*1,0)&amp;"%"</f>
        <v>76%</v>
      </c>
    </row>
    <row r="92" customFormat="false" ht="15" hidden="false" customHeight="false" outlineLevel="0" collapsed="false">
      <c r="A92" s="5" t="s">
        <v>6611</v>
      </c>
      <c r="B92" s="5" t="s">
        <v>174</v>
      </c>
      <c r="C92" s="5" t="s">
        <v>15</v>
      </c>
      <c r="D92" s="5" t="s">
        <v>28</v>
      </c>
      <c r="E92" s="5" t="n">
        <f aca="false">ROUND(17705*1.05,2)</f>
        <v>18590.25</v>
      </c>
      <c r="F92" s="5" t="s">
        <v>29</v>
      </c>
      <c r="G92" s="5" t="s">
        <v>30</v>
      </c>
      <c r="H92" s="5" t="n">
        <f aca="true">ROUND(RAND()*4+6,1)</f>
        <v>6.3</v>
      </c>
      <c r="I92" s="5" t="s">
        <v>31</v>
      </c>
      <c r="J92" s="5" t="str">
        <f aca="false">ROUND(63*1,0)&amp;"%"</f>
        <v>63%</v>
      </c>
    </row>
    <row r="93" customFormat="false" ht="15" hidden="false" customHeight="false" outlineLevel="0" collapsed="false">
      <c r="A93" s="6" t="s">
        <v>6612</v>
      </c>
      <c r="B93" s="6" t="s">
        <v>176</v>
      </c>
      <c r="C93" s="6" t="s">
        <v>15</v>
      </c>
      <c r="D93" s="6" t="s">
        <v>34</v>
      </c>
      <c r="E93" s="6" t="n">
        <f aca="false">ROUND(5733*1.05,2)</f>
        <v>6019.65</v>
      </c>
      <c r="F93" s="6" t="s">
        <v>35</v>
      </c>
      <c r="G93" s="6" t="s">
        <v>18</v>
      </c>
      <c r="H93" s="6" t="n">
        <f aca="true">ROUND(RAND()*4+6,1)</f>
        <v>7</v>
      </c>
      <c r="I93" s="6" t="s">
        <v>36</v>
      </c>
      <c r="J93" s="6" t="str">
        <f aca="false">ROUND(75*1,0)&amp;"%"</f>
        <v>75%</v>
      </c>
    </row>
    <row r="94" customFormat="false" ht="15" hidden="false" customHeight="false" outlineLevel="0" collapsed="false">
      <c r="A94" s="5" t="s">
        <v>6613</v>
      </c>
      <c r="B94" s="5" t="s">
        <v>178</v>
      </c>
      <c r="C94" s="5" t="s">
        <v>15</v>
      </c>
      <c r="D94" s="5" t="s">
        <v>39</v>
      </c>
      <c r="E94" s="5" t="n">
        <f aca="false">ROUND(6804*1.05,2)</f>
        <v>7144.2</v>
      </c>
      <c r="F94" s="5" t="s">
        <v>40</v>
      </c>
      <c r="G94" s="5" t="s">
        <v>24</v>
      </c>
      <c r="H94" s="5" t="n">
        <f aca="true">ROUND(RAND()*4+6,1)</f>
        <v>7.1</v>
      </c>
      <c r="I94" s="5" t="s">
        <v>41</v>
      </c>
      <c r="J94" s="5" t="str">
        <f aca="false">ROUND(95*1,0)&amp;"%"</f>
        <v>95%</v>
      </c>
    </row>
    <row r="95" customFormat="false" ht="15" hidden="false" customHeight="false" outlineLevel="0" collapsed="false">
      <c r="A95" s="6" t="s">
        <v>6614</v>
      </c>
      <c r="B95" s="6" t="s">
        <v>180</v>
      </c>
      <c r="C95" s="6" t="s">
        <v>15</v>
      </c>
      <c r="D95" s="6" t="s">
        <v>44</v>
      </c>
      <c r="E95" s="6" t="n">
        <f aca="false">ROUND(14033*1.05,2)</f>
        <v>14734.65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ROUND(74*1,0)&amp;"%"</f>
        <v>74%</v>
      </c>
    </row>
    <row r="96" customFormat="false" ht="15" hidden="false" customHeight="false" outlineLevel="0" collapsed="false">
      <c r="A96" s="5" t="s">
        <v>6615</v>
      </c>
      <c r="B96" s="5" t="s">
        <v>182</v>
      </c>
      <c r="C96" s="5" t="s">
        <v>15</v>
      </c>
      <c r="D96" s="5" t="s">
        <v>16</v>
      </c>
      <c r="E96" s="5" t="n">
        <f aca="false">ROUND(15826*1.05,2)</f>
        <v>16617.3</v>
      </c>
      <c r="F96" s="5" t="s">
        <v>49</v>
      </c>
      <c r="G96" s="5" t="s">
        <v>18</v>
      </c>
      <c r="H96" s="5" t="n">
        <f aca="true">ROUND(RAND()*4+6,1)</f>
        <v>8.9</v>
      </c>
      <c r="I96" s="5" t="s">
        <v>19</v>
      </c>
      <c r="J96" s="5" t="str">
        <f aca="false">ROUND(96*1,0)&amp;"%"</f>
        <v>96%</v>
      </c>
    </row>
    <row r="97" customFormat="false" ht="15" hidden="false" customHeight="false" outlineLevel="0" collapsed="false">
      <c r="A97" s="6" t="s">
        <v>6616</v>
      </c>
      <c r="B97" s="6" t="s">
        <v>184</v>
      </c>
      <c r="C97" s="6" t="s">
        <v>15</v>
      </c>
      <c r="D97" s="6" t="s">
        <v>22</v>
      </c>
      <c r="E97" s="6" t="n">
        <f aca="false">ROUND(7526*1.05,2)</f>
        <v>7902.3</v>
      </c>
      <c r="F97" s="6" t="s">
        <v>52</v>
      </c>
      <c r="G97" s="6" t="s">
        <v>24</v>
      </c>
      <c r="H97" s="6" t="n">
        <f aca="true">ROUND(RAND()*4+6,1)</f>
        <v>9.5</v>
      </c>
      <c r="I97" s="6" t="s">
        <v>25</v>
      </c>
      <c r="J97" s="6" t="str">
        <f aca="false">ROUND(100*1,0)&amp;"%"</f>
        <v>100%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6617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6618</v>
      </c>
      <c r="B102" s="5" t="s">
        <v>188</v>
      </c>
      <c r="C102" s="5" t="s">
        <v>57</v>
      </c>
      <c r="D102" s="5" t="s">
        <v>16</v>
      </c>
      <c r="E102" s="5" t="n">
        <f aca="false">ROUND(12660*1.05,2)</f>
        <v>13293</v>
      </c>
      <c r="F102" s="5" t="s">
        <v>17</v>
      </c>
      <c r="G102" s="5" t="s">
        <v>18</v>
      </c>
      <c r="H102" s="5" t="n">
        <f aca="true">ROUND(RAND()*4+6,1)</f>
        <v>9.4</v>
      </c>
      <c r="I102" s="5" t="s">
        <v>19</v>
      </c>
      <c r="J102" s="5" t="str">
        <f aca="false">ROUND(86*1,0)&amp;"%"</f>
        <v>86%</v>
      </c>
    </row>
    <row r="103" customFormat="false" ht="15" hidden="false" customHeight="false" outlineLevel="0" collapsed="false">
      <c r="A103" s="6" t="s">
        <v>6619</v>
      </c>
      <c r="B103" s="6" t="s">
        <v>190</v>
      </c>
      <c r="C103" s="6" t="s">
        <v>57</v>
      </c>
      <c r="D103" s="6" t="s">
        <v>22</v>
      </c>
      <c r="E103" s="6" t="n">
        <f aca="false">ROUND(17216*1.05,2)</f>
        <v>18076.8</v>
      </c>
      <c r="F103" s="6" t="s">
        <v>23</v>
      </c>
      <c r="G103" s="6" t="s">
        <v>24</v>
      </c>
      <c r="H103" s="6" t="n">
        <f aca="true">ROUND(RAND()*4+6,1)</f>
        <v>8.9</v>
      </c>
      <c r="I103" s="6" t="s">
        <v>25</v>
      </c>
      <c r="J103" s="6" t="str">
        <f aca="false">ROUND(68*1,0)&amp;"%"</f>
        <v>68%</v>
      </c>
    </row>
    <row r="104" customFormat="false" ht="15" hidden="false" customHeight="false" outlineLevel="0" collapsed="false">
      <c r="A104" s="5" t="s">
        <v>6620</v>
      </c>
      <c r="B104" s="5" t="s">
        <v>192</v>
      </c>
      <c r="C104" s="5" t="s">
        <v>57</v>
      </c>
      <c r="D104" s="5" t="s">
        <v>28</v>
      </c>
      <c r="E104" s="5" t="n">
        <f aca="false">ROUND(6460*1.05,2)</f>
        <v>6783</v>
      </c>
      <c r="F104" s="5" t="s">
        <v>29</v>
      </c>
      <c r="G104" s="5" t="s">
        <v>30</v>
      </c>
      <c r="H104" s="5" t="n">
        <f aca="true">ROUND(RAND()*4+6,1)</f>
        <v>8.8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6621</v>
      </c>
      <c r="B105" s="6" t="s">
        <v>194</v>
      </c>
      <c r="C105" s="6" t="s">
        <v>57</v>
      </c>
      <c r="D105" s="6" t="s">
        <v>34</v>
      </c>
      <c r="E105" s="6" t="n">
        <f aca="false">ROUND(7646*1.05,2)</f>
        <v>8028.3</v>
      </c>
      <c r="F105" s="6" t="s">
        <v>35</v>
      </c>
      <c r="G105" s="6" t="s">
        <v>18</v>
      </c>
      <c r="H105" s="6" t="n">
        <f aca="true">ROUND(RAND()*4+6,1)</f>
        <v>10</v>
      </c>
      <c r="I105" s="6" t="s">
        <v>36</v>
      </c>
      <c r="J105" s="6" t="str">
        <f aca="false">ROUND(84*1,0)&amp;"%"</f>
        <v>84%</v>
      </c>
    </row>
    <row r="106" customFormat="false" ht="15" hidden="false" customHeight="false" outlineLevel="0" collapsed="false">
      <c r="A106" s="5" t="s">
        <v>6622</v>
      </c>
      <c r="B106" s="5" t="s">
        <v>196</v>
      </c>
      <c r="C106" s="5" t="s">
        <v>57</v>
      </c>
      <c r="D106" s="5" t="s">
        <v>39</v>
      </c>
      <c r="E106" s="5" t="n">
        <f aca="false">ROUND(8880*1.05,2)</f>
        <v>9324</v>
      </c>
      <c r="F106" s="5" t="s">
        <v>40</v>
      </c>
      <c r="G106" s="5" t="s">
        <v>24</v>
      </c>
      <c r="H106" s="5" t="n">
        <f aca="true">ROUND(RAND()*4+6,1)</f>
        <v>9.1</v>
      </c>
      <c r="I106" s="5" t="s">
        <v>41</v>
      </c>
      <c r="J106" s="5" t="str">
        <f aca="false">ROUND(97*1,0)&amp;"%"</f>
        <v>97%</v>
      </c>
    </row>
    <row r="107" customFormat="false" ht="15" hidden="false" customHeight="false" outlineLevel="0" collapsed="false">
      <c r="A107" s="6" t="s">
        <v>6623</v>
      </c>
      <c r="B107" s="6" t="s">
        <v>198</v>
      </c>
      <c r="C107" s="6" t="s">
        <v>57</v>
      </c>
      <c r="D107" s="6" t="s">
        <v>44</v>
      </c>
      <c r="E107" s="6" t="n">
        <f aca="false">ROUND(9091*1.05,2)</f>
        <v>9545.55</v>
      </c>
      <c r="F107" s="6" t="s">
        <v>45</v>
      </c>
      <c r="G107" s="6" t="s">
        <v>30</v>
      </c>
      <c r="H107" s="6" t="n">
        <f aca="true">ROUND(RAND()*4+6,1)</f>
        <v>6.7</v>
      </c>
      <c r="I107" s="6" t="s">
        <v>46</v>
      </c>
      <c r="J107" s="6" t="str">
        <f aca="false">ROUND(71*1,0)&amp;"%"</f>
        <v>71%</v>
      </c>
    </row>
    <row r="108" customFormat="false" ht="15" hidden="false" customHeight="false" outlineLevel="0" collapsed="false">
      <c r="A108" s="5" t="s">
        <v>6624</v>
      </c>
      <c r="B108" s="5" t="s">
        <v>200</v>
      </c>
      <c r="C108" s="5" t="s">
        <v>57</v>
      </c>
      <c r="D108" s="5" t="s">
        <v>16</v>
      </c>
      <c r="E108" s="5" t="n">
        <f aca="false">ROUND(16622*1.05,2)</f>
        <v>17453.1</v>
      </c>
      <c r="F108" s="5" t="s">
        <v>49</v>
      </c>
      <c r="G108" s="5" t="s">
        <v>18</v>
      </c>
      <c r="H108" s="5" t="n">
        <f aca="true">ROUND(RAND()*4+6,1)</f>
        <v>8.8</v>
      </c>
      <c r="I108" s="5" t="s">
        <v>19</v>
      </c>
      <c r="J108" s="5" t="str">
        <f aca="false">ROUND(90*1,0)&amp;"%"</f>
        <v>90%</v>
      </c>
    </row>
    <row r="109" customFormat="false" ht="15" hidden="false" customHeight="false" outlineLevel="0" collapsed="false">
      <c r="A109" s="6" t="s">
        <v>6625</v>
      </c>
      <c r="B109" s="6" t="s">
        <v>202</v>
      </c>
      <c r="C109" s="6" t="s">
        <v>57</v>
      </c>
      <c r="D109" s="6" t="s">
        <v>22</v>
      </c>
      <c r="E109" s="6" t="n">
        <f aca="false">ROUND(13440*1.05,2)</f>
        <v>14112</v>
      </c>
      <c r="F109" s="6" t="s">
        <v>52</v>
      </c>
      <c r="G109" s="6" t="s">
        <v>24</v>
      </c>
      <c r="H109" s="6" t="n">
        <f aca="true">ROUND(RAND()*4+6,1)</f>
        <v>7.1</v>
      </c>
      <c r="I109" s="6" t="s">
        <v>25</v>
      </c>
      <c r="J109" s="6" t="str">
        <f aca="false">ROUND(88*1,0)&amp;"%"</f>
        <v>88%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6626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6627</v>
      </c>
      <c r="B114" s="5" t="s">
        <v>206</v>
      </c>
      <c r="C114" s="5" t="s">
        <v>76</v>
      </c>
      <c r="D114" s="5" t="s">
        <v>16</v>
      </c>
      <c r="E114" s="5" t="n">
        <f aca="false">ROUND(7777*1.05,2)</f>
        <v>8165.85</v>
      </c>
      <c r="F114" s="5" t="s">
        <v>17</v>
      </c>
      <c r="G114" s="5" t="s">
        <v>18</v>
      </c>
      <c r="H114" s="5" t="n">
        <f aca="true">ROUND(RAND()*4+6,1)</f>
        <v>7</v>
      </c>
      <c r="I114" s="5" t="s">
        <v>19</v>
      </c>
      <c r="J114" s="5" t="str">
        <f aca="false">ROUND(60*1,0)&amp;"%"</f>
        <v>60%</v>
      </c>
    </row>
    <row r="115" customFormat="false" ht="15" hidden="false" customHeight="false" outlineLevel="0" collapsed="false">
      <c r="A115" s="6" t="s">
        <v>6628</v>
      </c>
      <c r="B115" s="6" t="s">
        <v>208</v>
      </c>
      <c r="C115" s="6" t="s">
        <v>76</v>
      </c>
      <c r="D115" s="6" t="s">
        <v>22</v>
      </c>
      <c r="E115" s="6" t="n">
        <f aca="false">ROUND(5530*1.05,2)</f>
        <v>5806.5</v>
      </c>
      <c r="F115" s="6" t="s">
        <v>23</v>
      </c>
      <c r="G115" s="6" t="s">
        <v>24</v>
      </c>
      <c r="H115" s="6" t="n">
        <f aca="true">ROUND(RAND()*4+6,1)</f>
        <v>6.4</v>
      </c>
      <c r="I115" s="6" t="s">
        <v>25</v>
      </c>
      <c r="J115" s="6" t="str">
        <f aca="false">ROUND(75*1,0)&amp;"%"</f>
        <v>75%</v>
      </c>
    </row>
    <row r="116" customFormat="false" ht="15" hidden="false" customHeight="false" outlineLevel="0" collapsed="false">
      <c r="A116" s="5" t="s">
        <v>6629</v>
      </c>
      <c r="B116" s="5" t="s">
        <v>210</v>
      </c>
      <c r="C116" s="5" t="s">
        <v>76</v>
      </c>
      <c r="D116" s="5" t="s">
        <v>28</v>
      </c>
      <c r="E116" s="5" t="n">
        <f aca="false">ROUND(12049*1.05,2)</f>
        <v>12651.45</v>
      </c>
      <c r="F116" s="5" t="s">
        <v>29</v>
      </c>
      <c r="G116" s="5" t="s">
        <v>30</v>
      </c>
      <c r="H116" s="5" t="n">
        <f aca="true">ROUND(RAND()*4+6,1)</f>
        <v>7.1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6630</v>
      </c>
      <c r="B117" s="6" t="s">
        <v>212</v>
      </c>
      <c r="C117" s="6" t="s">
        <v>76</v>
      </c>
      <c r="D117" s="6" t="s">
        <v>34</v>
      </c>
      <c r="E117" s="6" t="n">
        <f aca="false">ROUND(4423*1.05,2)</f>
        <v>4644.15</v>
      </c>
      <c r="F117" s="6" t="s">
        <v>35</v>
      </c>
      <c r="G117" s="6" t="s">
        <v>18</v>
      </c>
      <c r="H117" s="6" t="n">
        <f aca="true">ROUND(RAND()*4+6,1)</f>
        <v>7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6631</v>
      </c>
      <c r="B118" s="5" t="s">
        <v>214</v>
      </c>
      <c r="C118" s="5" t="s">
        <v>76</v>
      </c>
      <c r="D118" s="5" t="s">
        <v>39</v>
      </c>
      <c r="E118" s="5" t="n">
        <f aca="false">ROUND(12975*1.05,2)</f>
        <v>13623.75</v>
      </c>
      <c r="F118" s="5" t="s">
        <v>40</v>
      </c>
      <c r="G118" s="5" t="s">
        <v>24</v>
      </c>
      <c r="H118" s="5" t="n">
        <f aca="true">ROUND(RAND()*4+6,1)</f>
        <v>8.3</v>
      </c>
      <c r="I118" s="5" t="s">
        <v>41</v>
      </c>
      <c r="J118" s="5" t="str">
        <f aca="false">ROUND(100*1,0)&amp;"%"</f>
        <v>100%</v>
      </c>
    </row>
    <row r="119" customFormat="false" ht="15" hidden="false" customHeight="false" outlineLevel="0" collapsed="false">
      <c r="A119" s="6" t="s">
        <v>6632</v>
      </c>
      <c r="B119" s="6" t="s">
        <v>216</v>
      </c>
      <c r="C119" s="6" t="s">
        <v>76</v>
      </c>
      <c r="D119" s="6" t="s">
        <v>44</v>
      </c>
      <c r="E119" s="6" t="n">
        <f aca="false">ROUND(9006*1.05,2)</f>
        <v>9456.3</v>
      </c>
      <c r="F119" s="6" t="s">
        <v>45</v>
      </c>
      <c r="G119" s="6" t="s">
        <v>30</v>
      </c>
      <c r="H119" s="6" t="n">
        <f aca="true">ROUND(RAND()*4+6,1)</f>
        <v>8.8</v>
      </c>
      <c r="I119" s="6" t="s">
        <v>46</v>
      </c>
      <c r="J119" s="6" t="str">
        <f aca="false">ROUND(94*1,0)&amp;"%"</f>
        <v>94%</v>
      </c>
    </row>
    <row r="120" customFormat="false" ht="15" hidden="false" customHeight="false" outlineLevel="0" collapsed="false">
      <c r="A120" s="5" t="s">
        <v>6633</v>
      </c>
      <c r="B120" s="5" t="s">
        <v>218</v>
      </c>
      <c r="C120" s="5" t="s">
        <v>76</v>
      </c>
      <c r="D120" s="5" t="s">
        <v>16</v>
      </c>
      <c r="E120" s="5" t="n">
        <f aca="false">ROUND(13839*1.05,2)</f>
        <v>14530.95</v>
      </c>
      <c r="F120" s="5" t="s">
        <v>49</v>
      </c>
      <c r="G120" s="5" t="s">
        <v>18</v>
      </c>
      <c r="H120" s="5" t="n">
        <f aca="true">ROUND(RAND()*4+6,1)</f>
        <v>8.9</v>
      </c>
      <c r="I120" s="5" t="s">
        <v>19</v>
      </c>
      <c r="J120" s="5" t="str">
        <f aca="false">ROUND(74*1,0)&amp;"%"</f>
        <v>74%</v>
      </c>
    </row>
    <row r="121" customFormat="false" ht="15" hidden="false" customHeight="false" outlineLevel="0" collapsed="false">
      <c r="A121" s="6" t="s">
        <v>6634</v>
      </c>
      <c r="B121" s="6" t="s">
        <v>220</v>
      </c>
      <c r="C121" s="6" t="s">
        <v>76</v>
      </c>
      <c r="D121" s="6" t="s">
        <v>22</v>
      </c>
      <c r="E121" s="6" t="n">
        <f aca="false">ROUND(8526*1.05,2)</f>
        <v>8952.3</v>
      </c>
      <c r="F121" s="6" t="s">
        <v>52</v>
      </c>
      <c r="G121" s="6" t="s">
        <v>24</v>
      </c>
      <c r="H121" s="6" t="n">
        <f aca="true">ROUND(RAND()*4+6,1)</f>
        <v>8.8</v>
      </c>
      <c r="I121" s="6" t="s">
        <v>25</v>
      </c>
      <c r="J121" s="6" t="str">
        <f aca="false">ROUND(75*1,0)&amp;"%"</f>
        <v>75%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6635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6636</v>
      </c>
      <c r="B126" s="5" t="s">
        <v>224</v>
      </c>
      <c r="C126" s="5" t="s">
        <v>95</v>
      </c>
      <c r="D126" s="5" t="s">
        <v>16</v>
      </c>
      <c r="E126" s="5" t="n">
        <f aca="false">ROUND(13371*1.05,2)</f>
        <v>14039.55</v>
      </c>
      <c r="F126" s="5" t="s">
        <v>17</v>
      </c>
      <c r="G126" s="5" t="s">
        <v>18</v>
      </c>
      <c r="H126" s="5" t="n">
        <f aca="true">ROUND(RAND()*4+6,1)</f>
        <v>7.6</v>
      </c>
      <c r="I126" s="5" t="s">
        <v>19</v>
      </c>
      <c r="J126" s="5" t="str">
        <f aca="false">ROUND(93*1,0)&amp;"%"</f>
        <v>93%</v>
      </c>
    </row>
    <row r="127" customFormat="false" ht="15" hidden="false" customHeight="false" outlineLevel="0" collapsed="false">
      <c r="A127" s="6" t="s">
        <v>6637</v>
      </c>
      <c r="B127" s="6" t="s">
        <v>226</v>
      </c>
      <c r="C127" s="6" t="s">
        <v>95</v>
      </c>
      <c r="D127" s="6" t="s">
        <v>22</v>
      </c>
      <c r="E127" s="6" t="n">
        <f aca="false">ROUND(14606*1.05,2)</f>
        <v>15336.3</v>
      </c>
      <c r="F127" s="6" t="s">
        <v>23</v>
      </c>
      <c r="G127" s="6" t="s">
        <v>24</v>
      </c>
      <c r="H127" s="6" t="n">
        <f aca="true">ROUND(RAND()*4+6,1)</f>
        <v>8.6</v>
      </c>
      <c r="I127" s="6" t="s">
        <v>25</v>
      </c>
      <c r="J127" s="6" t="str">
        <f aca="false">ROUND(81*1,0)&amp;"%"</f>
        <v>81%</v>
      </c>
    </row>
    <row r="128" customFormat="false" ht="15" hidden="false" customHeight="false" outlineLevel="0" collapsed="false">
      <c r="A128" s="5" t="s">
        <v>6638</v>
      </c>
      <c r="B128" s="5" t="s">
        <v>228</v>
      </c>
      <c r="C128" s="5" t="s">
        <v>95</v>
      </c>
      <c r="D128" s="5" t="s">
        <v>28</v>
      </c>
      <c r="E128" s="5" t="n">
        <f aca="false">ROUND(7621*1.05,2)</f>
        <v>8002.05</v>
      </c>
      <c r="F128" s="5" t="s">
        <v>29</v>
      </c>
      <c r="G128" s="5" t="s">
        <v>30</v>
      </c>
      <c r="H128" s="5" t="n">
        <f aca="true">ROUND(RAND()*4+6,1)</f>
        <v>8.9</v>
      </c>
      <c r="I128" s="5" t="s">
        <v>31</v>
      </c>
      <c r="J128" s="5" t="str">
        <f aca="false">ROUND(63*1,0)&amp;"%"</f>
        <v>63%</v>
      </c>
    </row>
    <row r="129" customFormat="false" ht="15" hidden="false" customHeight="false" outlineLevel="0" collapsed="false">
      <c r="A129" s="6" t="s">
        <v>6639</v>
      </c>
      <c r="B129" s="6" t="s">
        <v>230</v>
      </c>
      <c r="C129" s="6" t="s">
        <v>95</v>
      </c>
      <c r="D129" s="6" t="s">
        <v>34</v>
      </c>
      <c r="E129" s="6" t="n">
        <f aca="false">ROUND(16224*1.05,2)</f>
        <v>17035.2</v>
      </c>
      <c r="F129" s="6" t="s">
        <v>35</v>
      </c>
      <c r="G129" s="6" t="s">
        <v>18</v>
      </c>
      <c r="H129" s="6" t="n">
        <f aca="true">ROUND(RAND()*4+6,1)</f>
        <v>8.3</v>
      </c>
      <c r="I129" s="6" t="s">
        <v>36</v>
      </c>
      <c r="J129" s="6" t="str">
        <f aca="false">ROUND(82*1,0)&amp;"%"</f>
        <v>82%</v>
      </c>
    </row>
    <row r="130" customFormat="false" ht="15" hidden="false" customHeight="false" outlineLevel="0" collapsed="false">
      <c r="A130" s="5" t="s">
        <v>6640</v>
      </c>
      <c r="B130" s="5" t="s">
        <v>232</v>
      </c>
      <c r="C130" s="5" t="s">
        <v>95</v>
      </c>
      <c r="D130" s="5" t="s">
        <v>39</v>
      </c>
      <c r="E130" s="5" t="n">
        <f aca="false">ROUND(5080*1.05,2)</f>
        <v>5334</v>
      </c>
      <c r="F130" s="5" t="s">
        <v>40</v>
      </c>
      <c r="G130" s="5" t="s">
        <v>24</v>
      </c>
      <c r="H130" s="5" t="n">
        <f aca="true">ROUND(RAND()*4+6,1)</f>
        <v>8.7</v>
      </c>
      <c r="I130" s="5" t="s">
        <v>41</v>
      </c>
      <c r="J130" s="5" t="str">
        <f aca="false">ROUND(65*1,0)&amp;"%"</f>
        <v>65%</v>
      </c>
    </row>
    <row r="131" customFormat="false" ht="15" hidden="false" customHeight="false" outlineLevel="0" collapsed="false">
      <c r="A131" s="6" t="s">
        <v>6641</v>
      </c>
      <c r="B131" s="6" t="s">
        <v>234</v>
      </c>
      <c r="C131" s="6" t="s">
        <v>95</v>
      </c>
      <c r="D131" s="6" t="s">
        <v>44</v>
      </c>
      <c r="E131" s="6" t="n">
        <f aca="false">ROUND(9896*1.05,2)</f>
        <v>10390.8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ROUND(81*1,0)&amp;"%"</f>
        <v>81%</v>
      </c>
    </row>
    <row r="132" customFormat="false" ht="15" hidden="false" customHeight="false" outlineLevel="0" collapsed="false">
      <c r="A132" s="5" t="s">
        <v>6642</v>
      </c>
      <c r="B132" s="5" t="s">
        <v>236</v>
      </c>
      <c r="C132" s="5" t="s">
        <v>95</v>
      </c>
      <c r="D132" s="5" t="s">
        <v>16</v>
      </c>
      <c r="E132" s="5" t="n">
        <f aca="false">ROUND(14956*1.05,2)</f>
        <v>15703.8</v>
      </c>
      <c r="F132" s="5" t="s">
        <v>49</v>
      </c>
      <c r="G132" s="5" t="s">
        <v>18</v>
      </c>
      <c r="H132" s="5" t="n">
        <f aca="true">ROUND(RAND()*4+6,1)</f>
        <v>9.2</v>
      </c>
      <c r="I132" s="5" t="s">
        <v>19</v>
      </c>
      <c r="J132" s="5" t="str">
        <f aca="false">ROUND(68*1,0)&amp;"%"</f>
        <v>68%</v>
      </c>
    </row>
    <row r="133" customFormat="false" ht="15" hidden="false" customHeight="false" outlineLevel="0" collapsed="false">
      <c r="A133" s="6" t="s">
        <v>6643</v>
      </c>
      <c r="B133" s="6" t="s">
        <v>238</v>
      </c>
      <c r="C133" s="6" t="s">
        <v>95</v>
      </c>
      <c r="D133" s="6" t="s">
        <v>22</v>
      </c>
      <c r="E133" s="6" t="n">
        <f aca="false">ROUND(16321*1.05,2)</f>
        <v>17137.05</v>
      </c>
      <c r="F133" s="6" t="s">
        <v>52</v>
      </c>
      <c r="G133" s="6" t="s">
        <v>24</v>
      </c>
      <c r="H133" s="6" t="n">
        <f aca="true">ROUND(RAND()*4+6,1)</f>
        <v>7.8</v>
      </c>
      <c r="I133" s="6" t="s">
        <v>25</v>
      </c>
      <c r="J133" s="6" t="str">
        <f aca="false">ROUND(89*1,0)&amp;"%"</f>
        <v>89%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6644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6645</v>
      </c>
      <c r="B138" s="5" t="s">
        <v>242</v>
      </c>
      <c r="C138" s="5" t="s">
        <v>114</v>
      </c>
      <c r="D138" s="5" t="s">
        <v>16</v>
      </c>
      <c r="E138" s="5" t="n">
        <f aca="false">ROUND(16163*1.05,2)</f>
        <v>16971.15</v>
      </c>
      <c r="F138" s="5" t="s">
        <v>17</v>
      </c>
      <c r="G138" s="5" t="s">
        <v>18</v>
      </c>
      <c r="H138" s="5" t="n">
        <f aca="true">ROUND(RAND()*4+6,1)</f>
        <v>9.7</v>
      </c>
      <c r="I138" s="5" t="s">
        <v>19</v>
      </c>
      <c r="J138" s="5" t="str">
        <f aca="false">ROUND(75*1,0)&amp;"%"</f>
        <v>75%</v>
      </c>
    </row>
    <row r="139" customFormat="false" ht="15" hidden="false" customHeight="false" outlineLevel="0" collapsed="false">
      <c r="A139" s="6" t="s">
        <v>6646</v>
      </c>
      <c r="B139" s="6" t="s">
        <v>244</v>
      </c>
      <c r="C139" s="6" t="s">
        <v>114</v>
      </c>
      <c r="D139" s="6" t="s">
        <v>22</v>
      </c>
      <c r="E139" s="6" t="n">
        <f aca="false">ROUND(4132*1.05,2)</f>
        <v>4338.6</v>
      </c>
      <c r="F139" s="6" t="s">
        <v>23</v>
      </c>
      <c r="G139" s="6" t="s">
        <v>24</v>
      </c>
      <c r="H139" s="6" t="n">
        <f aca="true">ROUND(RAND()*4+6,1)</f>
        <v>8.8</v>
      </c>
      <c r="I139" s="6" t="s">
        <v>25</v>
      </c>
      <c r="J139" s="6" t="str">
        <f aca="false">ROUND(99*1,0)&amp;"%"</f>
        <v>99%</v>
      </c>
    </row>
    <row r="140" customFormat="false" ht="15" hidden="false" customHeight="false" outlineLevel="0" collapsed="false">
      <c r="A140" s="5" t="s">
        <v>6647</v>
      </c>
      <c r="B140" s="5" t="s">
        <v>246</v>
      </c>
      <c r="C140" s="5" t="s">
        <v>114</v>
      </c>
      <c r="D140" s="5" t="s">
        <v>28</v>
      </c>
      <c r="E140" s="5" t="n">
        <f aca="false">ROUND(15304*1.05,2)</f>
        <v>16069.2</v>
      </c>
      <c r="F140" s="5" t="s">
        <v>29</v>
      </c>
      <c r="G140" s="5" t="s">
        <v>30</v>
      </c>
      <c r="H140" s="5" t="n">
        <f aca="true">ROUND(RAND()*4+6,1)</f>
        <v>6.3</v>
      </c>
      <c r="I140" s="5" t="s">
        <v>31</v>
      </c>
      <c r="J140" s="5" t="str">
        <f aca="false">ROUND(77*1,0)&amp;"%"</f>
        <v>77%</v>
      </c>
    </row>
    <row r="141" customFormat="false" ht="15" hidden="false" customHeight="false" outlineLevel="0" collapsed="false">
      <c r="A141" s="6" t="s">
        <v>6648</v>
      </c>
      <c r="B141" s="6" t="s">
        <v>248</v>
      </c>
      <c r="C141" s="6" t="s">
        <v>114</v>
      </c>
      <c r="D141" s="6" t="s">
        <v>34</v>
      </c>
      <c r="E141" s="6" t="n">
        <f aca="false">ROUND(6097*1.05,2)</f>
        <v>6401.85</v>
      </c>
      <c r="F141" s="6" t="s">
        <v>35</v>
      </c>
      <c r="G141" s="6" t="s">
        <v>18</v>
      </c>
      <c r="H141" s="6" t="n">
        <f aca="true">ROUND(RAND()*4+6,1)</f>
        <v>6.6</v>
      </c>
      <c r="I141" s="6" t="s">
        <v>36</v>
      </c>
      <c r="J141" s="6" t="str">
        <f aca="false">ROUND(85*1,0)&amp;"%"</f>
        <v>85%</v>
      </c>
    </row>
    <row r="142" customFormat="false" ht="15" hidden="false" customHeight="false" outlineLevel="0" collapsed="false">
      <c r="A142" s="5" t="s">
        <v>6649</v>
      </c>
      <c r="B142" s="5" t="s">
        <v>250</v>
      </c>
      <c r="C142" s="5" t="s">
        <v>114</v>
      </c>
      <c r="D142" s="5" t="s">
        <v>39</v>
      </c>
      <c r="E142" s="5" t="n">
        <f aca="false">ROUND(13729*1.05,2)</f>
        <v>14415.45</v>
      </c>
      <c r="F142" s="5" t="s">
        <v>40</v>
      </c>
      <c r="G142" s="5" t="s">
        <v>24</v>
      </c>
      <c r="H142" s="5" t="n">
        <f aca="true">ROUND(RAND()*4+6,1)</f>
        <v>9.7</v>
      </c>
      <c r="I142" s="5" t="s">
        <v>41</v>
      </c>
      <c r="J142" s="5" t="str">
        <f aca="false">ROUND(95*1,0)&amp;"%"</f>
        <v>95%</v>
      </c>
    </row>
    <row r="143" customFormat="false" ht="15" hidden="false" customHeight="false" outlineLevel="0" collapsed="false">
      <c r="A143" s="6" t="s">
        <v>6650</v>
      </c>
      <c r="B143" s="6" t="s">
        <v>252</v>
      </c>
      <c r="C143" s="6" t="s">
        <v>114</v>
      </c>
      <c r="D143" s="6" t="s">
        <v>44</v>
      </c>
      <c r="E143" s="6" t="n">
        <f aca="false">ROUND(15676*1.05,2)</f>
        <v>16459.8</v>
      </c>
      <c r="F143" s="6" t="s">
        <v>45</v>
      </c>
      <c r="G143" s="6" t="s">
        <v>30</v>
      </c>
      <c r="H143" s="6" t="n">
        <f aca="true">ROUND(RAND()*4+6,1)</f>
        <v>9.5</v>
      </c>
      <c r="I143" s="6" t="s">
        <v>46</v>
      </c>
      <c r="J143" s="6" t="str">
        <f aca="false">ROUND(100*1,0)&amp;"%"</f>
        <v>100%</v>
      </c>
    </row>
    <row r="144" customFormat="false" ht="15" hidden="false" customHeight="false" outlineLevel="0" collapsed="false">
      <c r="A144" s="5" t="s">
        <v>6651</v>
      </c>
      <c r="B144" s="5" t="s">
        <v>254</v>
      </c>
      <c r="C144" s="5" t="s">
        <v>114</v>
      </c>
      <c r="D144" s="5" t="s">
        <v>16</v>
      </c>
      <c r="E144" s="5" t="n">
        <f aca="false">ROUND(8907*1.05,2)</f>
        <v>9352.35</v>
      </c>
      <c r="F144" s="5" t="s">
        <v>49</v>
      </c>
      <c r="G144" s="5" t="s">
        <v>18</v>
      </c>
      <c r="H144" s="5" t="n">
        <f aca="true">ROUND(RAND()*4+6,1)</f>
        <v>7.1</v>
      </c>
      <c r="I144" s="5" t="s">
        <v>19</v>
      </c>
      <c r="J144" s="5" t="str">
        <f aca="false">ROUND(64*1,0)&amp;"%"</f>
        <v>64%</v>
      </c>
    </row>
    <row r="145" customFormat="false" ht="15" hidden="false" customHeight="false" outlineLevel="0" collapsed="false">
      <c r="A145" s="6" t="s">
        <v>6652</v>
      </c>
      <c r="B145" s="6" t="s">
        <v>256</v>
      </c>
      <c r="C145" s="6" t="s">
        <v>114</v>
      </c>
      <c r="D145" s="6" t="s">
        <v>22</v>
      </c>
      <c r="E145" s="6" t="n">
        <f aca="false">ROUND(8571*1.05,2)</f>
        <v>8999.55</v>
      </c>
      <c r="F145" s="6" t="s">
        <v>52</v>
      </c>
      <c r="G145" s="6" t="s">
        <v>24</v>
      </c>
      <c r="H145" s="6" t="n">
        <f aca="true">ROUND(RAND()*4+6,1)</f>
        <v>6.6</v>
      </c>
      <c r="I145" s="6" t="s">
        <v>25</v>
      </c>
      <c r="J145" s="6" t="str">
        <f aca="false">ROUND(100*1,0)&amp;"%"</f>
        <v>100%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6653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6654</v>
      </c>
      <c r="B150" s="5" t="s">
        <v>260</v>
      </c>
      <c r="C150" s="5" t="s">
        <v>133</v>
      </c>
      <c r="D150" s="5" t="s">
        <v>16</v>
      </c>
      <c r="E150" s="5" t="n">
        <f aca="false">ROUND(17729*1.05,2)</f>
        <v>18615.45</v>
      </c>
      <c r="F150" s="5" t="s">
        <v>17</v>
      </c>
      <c r="G150" s="5" t="s">
        <v>18</v>
      </c>
      <c r="H150" s="5" t="n">
        <f aca="true">ROUND(RAND()*4+6,1)</f>
        <v>7.2</v>
      </c>
      <c r="I150" s="5" t="s">
        <v>19</v>
      </c>
      <c r="J150" s="5" t="str">
        <f aca="false">ROUND(84*1,0)&amp;"%"</f>
        <v>84%</v>
      </c>
    </row>
    <row r="151" customFormat="false" ht="15" hidden="false" customHeight="false" outlineLevel="0" collapsed="false">
      <c r="A151" s="6" t="s">
        <v>6655</v>
      </c>
      <c r="B151" s="6" t="s">
        <v>262</v>
      </c>
      <c r="C151" s="6" t="s">
        <v>133</v>
      </c>
      <c r="D151" s="6" t="s">
        <v>22</v>
      </c>
      <c r="E151" s="6" t="n">
        <f aca="false">ROUND(4584*1.05,2)</f>
        <v>4813.2</v>
      </c>
      <c r="F151" s="6" t="s">
        <v>23</v>
      </c>
      <c r="G151" s="6" t="s">
        <v>24</v>
      </c>
      <c r="H151" s="6" t="n">
        <f aca="true">ROUND(RAND()*4+6,1)</f>
        <v>9.9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6656</v>
      </c>
      <c r="B152" s="5" t="s">
        <v>264</v>
      </c>
      <c r="C152" s="5" t="s">
        <v>133</v>
      </c>
      <c r="D152" s="5" t="s">
        <v>28</v>
      </c>
      <c r="E152" s="5" t="n">
        <f aca="false">ROUND(6474*1.05,2)</f>
        <v>6797.7</v>
      </c>
      <c r="F152" s="5" t="s">
        <v>29</v>
      </c>
      <c r="G152" s="5" t="s">
        <v>30</v>
      </c>
      <c r="H152" s="5" t="n">
        <f aca="true">ROUND(RAND()*4+6,1)</f>
        <v>9.4</v>
      </c>
      <c r="I152" s="5" t="s">
        <v>31</v>
      </c>
      <c r="J152" s="5" t="str">
        <f aca="false">ROUND(77*1,0)&amp;"%"</f>
        <v>77%</v>
      </c>
    </row>
    <row r="153" customFormat="false" ht="15" hidden="false" customHeight="false" outlineLevel="0" collapsed="false">
      <c r="A153" s="6" t="s">
        <v>6657</v>
      </c>
      <c r="B153" s="6" t="s">
        <v>266</v>
      </c>
      <c r="C153" s="6" t="s">
        <v>133</v>
      </c>
      <c r="D153" s="6" t="s">
        <v>34</v>
      </c>
      <c r="E153" s="6" t="n">
        <f aca="false">ROUND(8667*1.05,2)</f>
        <v>9100.35</v>
      </c>
      <c r="F153" s="6" t="s">
        <v>35</v>
      </c>
      <c r="G153" s="6" t="s">
        <v>18</v>
      </c>
      <c r="H153" s="6" t="n">
        <f aca="true">ROUND(RAND()*4+6,1)</f>
        <v>7.4</v>
      </c>
      <c r="I153" s="6" t="s">
        <v>36</v>
      </c>
      <c r="J153" s="6" t="str">
        <f aca="false">ROUND(96*1,0)&amp;"%"</f>
        <v>96%</v>
      </c>
    </row>
    <row r="154" customFormat="false" ht="15" hidden="false" customHeight="false" outlineLevel="0" collapsed="false">
      <c r="A154" s="5" t="s">
        <v>6658</v>
      </c>
      <c r="B154" s="5" t="s">
        <v>268</v>
      </c>
      <c r="C154" s="5" t="s">
        <v>133</v>
      </c>
      <c r="D154" s="5" t="s">
        <v>39</v>
      </c>
      <c r="E154" s="5" t="n">
        <f aca="false">ROUND(12163*1.05,2)</f>
        <v>12771.15</v>
      </c>
      <c r="F154" s="5" t="s">
        <v>40</v>
      </c>
      <c r="G154" s="5" t="s">
        <v>24</v>
      </c>
      <c r="H154" s="5" t="n">
        <f aca="true">ROUND(RAND()*4+6,1)</f>
        <v>7.4</v>
      </c>
      <c r="I154" s="5" t="s">
        <v>41</v>
      </c>
      <c r="J154" s="5" t="str">
        <f aca="false">ROUND(60*1,0)&amp;"%"</f>
        <v>60%</v>
      </c>
    </row>
    <row r="155" customFormat="false" ht="15" hidden="false" customHeight="false" outlineLevel="0" collapsed="false">
      <c r="A155" s="6" t="s">
        <v>6659</v>
      </c>
      <c r="B155" s="6" t="s">
        <v>270</v>
      </c>
      <c r="C155" s="6" t="s">
        <v>133</v>
      </c>
      <c r="D155" s="6" t="s">
        <v>44</v>
      </c>
      <c r="E155" s="6" t="n">
        <f aca="false">ROUND(15082*1.05,2)</f>
        <v>15836.1</v>
      </c>
      <c r="F155" s="6" t="s">
        <v>45</v>
      </c>
      <c r="G155" s="6" t="s">
        <v>30</v>
      </c>
      <c r="H155" s="6" t="n">
        <f aca="true">ROUND(RAND()*4+6,1)</f>
        <v>10</v>
      </c>
      <c r="I155" s="6" t="s">
        <v>46</v>
      </c>
      <c r="J155" s="6" t="str">
        <f aca="false">ROUND(90*1,0)&amp;"%"</f>
        <v>90%</v>
      </c>
    </row>
    <row r="156" customFormat="false" ht="15" hidden="false" customHeight="false" outlineLevel="0" collapsed="false">
      <c r="A156" s="5" t="s">
        <v>6660</v>
      </c>
      <c r="B156" s="5" t="s">
        <v>272</v>
      </c>
      <c r="C156" s="5" t="s">
        <v>133</v>
      </c>
      <c r="D156" s="5" t="s">
        <v>16</v>
      </c>
      <c r="E156" s="5" t="n">
        <f aca="false">ROUND(13403*1.05,2)</f>
        <v>14073.15</v>
      </c>
      <c r="F156" s="5" t="s">
        <v>49</v>
      </c>
      <c r="G156" s="5" t="s">
        <v>18</v>
      </c>
      <c r="H156" s="5" t="n">
        <f aca="true">ROUND(RAND()*4+6,1)</f>
        <v>8.4</v>
      </c>
      <c r="I156" s="5" t="s">
        <v>19</v>
      </c>
      <c r="J156" s="5" t="str">
        <f aca="false">ROUND(68*1,0)&amp;"%"</f>
        <v>68%</v>
      </c>
    </row>
    <row r="157" customFormat="false" ht="15" hidden="false" customHeight="false" outlineLevel="0" collapsed="false">
      <c r="A157" s="6" t="s">
        <v>6661</v>
      </c>
      <c r="B157" s="6" t="s">
        <v>274</v>
      </c>
      <c r="C157" s="6" t="s">
        <v>133</v>
      </c>
      <c r="D157" s="6" t="s">
        <v>22</v>
      </c>
      <c r="E157" s="6" t="n">
        <f aca="false">ROUND(10582*1.05,2)</f>
        <v>11111.1</v>
      </c>
      <c r="F157" s="6" t="s">
        <v>52</v>
      </c>
      <c r="G157" s="6" t="s">
        <v>24</v>
      </c>
      <c r="H157" s="6" t="n">
        <f aca="true">ROUND(RAND()*4+6,1)</f>
        <v>8.4</v>
      </c>
      <c r="I157" s="6" t="s">
        <v>25</v>
      </c>
      <c r="J157" s="6" t="str">
        <f aca="false">ROUND(94*1,0)&amp;"%"</f>
        <v>94%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6662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6663</v>
      </c>
      <c r="B162" s="5" t="s">
        <v>278</v>
      </c>
      <c r="C162" s="5" t="s">
        <v>152</v>
      </c>
      <c r="D162" s="5" t="s">
        <v>16</v>
      </c>
      <c r="E162" s="5" t="n">
        <f aca="false">ROUND(9055*1.05,2)</f>
        <v>9507.75</v>
      </c>
      <c r="F162" s="5" t="s">
        <v>17</v>
      </c>
      <c r="G162" s="5" t="s">
        <v>18</v>
      </c>
      <c r="H162" s="5" t="n">
        <f aca="true">ROUND(RAND()*4+6,1)</f>
        <v>7</v>
      </c>
      <c r="I162" s="5" t="s">
        <v>19</v>
      </c>
      <c r="J162" s="5" t="str">
        <f aca="false">ROUND(96*1,0)&amp;"%"</f>
        <v>96%</v>
      </c>
    </row>
    <row r="163" customFormat="false" ht="15" hidden="false" customHeight="false" outlineLevel="0" collapsed="false">
      <c r="A163" s="6" t="s">
        <v>6664</v>
      </c>
      <c r="B163" s="6" t="s">
        <v>280</v>
      </c>
      <c r="C163" s="6" t="s">
        <v>152</v>
      </c>
      <c r="D163" s="6" t="s">
        <v>22</v>
      </c>
      <c r="E163" s="6" t="n">
        <f aca="false">ROUND(4919*1.05,2)</f>
        <v>5164.95</v>
      </c>
      <c r="F163" s="6" t="s">
        <v>23</v>
      </c>
      <c r="G163" s="6" t="s">
        <v>24</v>
      </c>
      <c r="H163" s="6" t="n">
        <f aca="true">ROUND(RAND()*4+6,1)</f>
        <v>7.1</v>
      </c>
      <c r="I163" s="6" t="s">
        <v>25</v>
      </c>
      <c r="J163" s="6" t="str">
        <f aca="false">ROUND(92*1,0)&amp;"%"</f>
        <v>92%</v>
      </c>
    </row>
    <row r="164" customFormat="false" ht="15" hidden="false" customHeight="false" outlineLevel="0" collapsed="false">
      <c r="A164" s="5" t="s">
        <v>6665</v>
      </c>
      <c r="B164" s="5" t="s">
        <v>282</v>
      </c>
      <c r="C164" s="5" t="s">
        <v>152</v>
      </c>
      <c r="D164" s="5" t="s">
        <v>28</v>
      </c>
      <c r="E164" s="5" t="n">
        <f aca="false">ROUND(8154*1.05,2)</f>
        <v>8561.7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ROUND(68*1,0)&amp;"%"</f>
        <v>68%</v>
      </c>
    </row>
    <row r="165" customFormat="false" ht="15" hidden="false" customHeight="false" outlineLevel="0" collapsed="false">
      <c r="A165" s="6" t="s">
        <v>6666</v>
      </c>
      <c r="B165" s="6" t="s">
        <v>284</v>
      </c>
      <c r="C165" s="6" t="s">
        <v>152</v>
      </c>
      <c r="D165" s="6" t="s">
        <v>34</v>
      </c>
      <c r="E165" s="6" t="n">
        <f aca="false">ROUND(4081*1.05,2)</f>
        <v>4285.05</v>
      </c>
      <c r="F165" s="6" t="s">
        <v>35</v>
      </c>
      <c r="G165" s="6" t="s">
        <v>18</v>
      </c>
      <c r="H165" s="6" t="n">
        <f aca="true">ROUND(RAND()*4+6,1)</f>
        <v>8.4</v>
      </c>
      <c r="I165" s="6" t="s">
        <v>36</v>
      </c>
      <c r="J165" s="6" t="str">
        <f aca="false">ROUND(74*1,0)&amp;"%"</f>
        <v>74%</v>
      </c>
    </row>
    <row r="166" customFormat="false" ht="15" hidden="false" customHeight="false" outlineLevel="0" collapsed="false">
      <c r="A166" s="5" t="s">
        <v>6667</v>
      </c>
      <c r="B166" s="5" t="s">
        <v>286</v>
      </c>
      <c r="C166" s="5" t="s">
        <v>152</v>
      </c>
      <c r="D166" s="5" t="s">
        <v>39</v>
      </c>
      <c r="E166" s="5" t="n">
        <f aca="false">ROUND(16248*1.05,2)</f>
        <v>17060.4</v>
      </c>
      <c r="F166" s="5" t="s">
        <v>40</v>
      </c>
      <c r="G166" s="5" t="s">
        <v>24</v>
      </c>
      <c r="H166" s="5" t="n">
        <f aca="true">ROUND(RAND()*4+6,1)</f>
        <v>6.1</v>
      </c>
      <c r="I166" s="5" t="s">
        <v>41</v>
      </c>
      <c r="J166" s="5" t="str">
        <f aca="false">ROUND(87*1,0)&amp;"%"</f>
        <v>87%</v>
      </c>
    </row>
    <row r="167" customFormat="false" ht="15" hidden="false" customHeight="false" outlineLevel="0" collapsed="false">
      <c r="A167" s="6" t="s">
        <v>6668</v>
      </c>
      <c r="B167" s="6" t="s">
        <v>288</v>
      </c>
      <c r="C167" s="6" t="s">
        <v>152</v>
      </c>
      <c r="D167" s="6" t="s">
        <v>44</v>
      </c>
      <c r="E167" s="6" t="n">
        <f aca="false">ROUND(17326*1.05,2)</f>
        <v>18192.3</v>
      </c>
      <c r="F167" s="6" t="s">
        <v>45</v>
      </c>
      <c r="G167" s="6" t="s">
        <v>30</v>
      </c>
      <c r="H167" s="6" t="n">
        <f aca="true">ROUND(RAND()*4+6,1)</f>
        <v>7.6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6669</v>
      </c>
      <c r="B168" s="5" t="s">
        <v>290</v>
      </c>
      <c r="C168" s="5" t="s">
        <v>152</v>
      </c>
      <c r="D168" s="5" t="s">
        <v>16</v>
      </c>
      <c r="E168" s="5" t="n">
        <f aca="false">ROUND(14172*1.05,2)</f>
        <v>14880.6</v>
      </c>
      <c r="F168" s="5" t="s">
        <v>49</v>
      </c>
      <c r="G168" s="5" t="s">
        <v>18</v>
      </c>
      <c r="H168" s="5" t="n">
        <f aca="true">ROUND(RAND()*4+6,1)</f>
        <v>8.7</v>
      </c>
      <c r="I168" s="5" t="s">
        <v>19</v>
      </c>
      <c r="J168" s="5" t="str">
        <f aca="false">ROUND(65*1,0)&amp;"%"</f>
        <v>65%</v>
      </c>
    </row>
    <row r="169" customFormat="false" ht="15" hidden="false" customHeight="false" outlineLevel="0" collapsed="false">
      <c r="A169" s="6" t="s">
        <v>6670</v>
      </c>
      <c r="B169" s="6" t="s">
        <v>292</v>
      </c>
      <c r="C169" s="6" t="s">
        <v>152</v>
      </c>
      <c r="D169" s="6" t="s">
        <v>22</v>
      </c>
      <c r="E169" s="6" t="n">
        <f aca="false">ROUND(8274*1.05,2)</f>
        <v>8687.7</v>
      </c>
      <c r="F169" s="6" t="s">
        <v>52</v>
      </c>
      <c r="G169" s="6" t="s">
        <v>24</v>
      </c>
      <c r="H169" s="6" t="n">
        <f aca="true">ROUND(RAND()*4+6,1)</f>
        <v>8.4</v>
      </c>
      <c r="I169" s="6" t="s">
        <v>25</v>
      </c>
      <c r="J169" s="6" t="str">
        <f aca="false">ROUND(96*1,0)&amp;"%"</f>
        <v>96%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6671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6672</v>
      </c>
      <c r="B174" s="5" t="s">
        <v>296</v>
      </c>
      <c r="C174" s="5" t="s">
        <v>15</v>
      </c>
      <c r="D174" s="5" t="s">
        <v>16</v>
      </c>
      <c r="E174" s="5" t="n">
        <f aca="false">ROUND(14189*1.05,2)</f>
        <v>14898.45</v>
      </c>
      <c r="F174" s="5" t="s">
        <v>17</v>
      </c>
      <c r="G174" s="5" t="s">
        <v>18</v>
      </c>
      <c r="H174" s="5" t="n">
        <f aca="true">ROUND(RAND()*4+6,1)</f>
        <v>8.7</v>
      </c>
      <c r="I174" s="5" t="s">
        <v>19</v>
      </c>
      <c r="J174" s="5" t="str">
        <f aca="false">ROUND(91*1,0)&amp;"%"</f>
        <v>91%</v>
      </c>
    </row>
    <row r="175" customFormat="false" ht="15" hidden="false" customHeight="false" outlineLevel="0" collapsed="false">
      <c r="A175" s="6" t="s">
        <v>6673</v>
      </c>
      <c r="B175" s="6" t="s">
        <v>298</v>
      </c>
      <c r="C175" s="6" t="s">
        <v>15</v>
      </c>
      <c r="D175" s="6" t="s">
        <v>22</v>
      </c>
      <c r="E175" s="6" t="n">
        <f aca="false">ROUND(17071*1.05,2)</f>
        <v>17924.55</v>
      </c>
      <c r="F175" s="6" t="s">
        <v>23</v>
      </c>
      <c r="G175" s="6" t="s">
        <v>24</v>
      </c>
      <c r="H175" s="6" t="n">
        <f aca="true">ROUND(RAND()*4+6,1)</f>
        <v>7.4</v>
      </c>
      <c r="I175" s="6" t="s">
        <v>25</v>
      </c>
      <c r="J175" s="6" t="str">
        <f aca="false">ROUND(70*1,0)&amp;"%"</f>
        <v>70%</v>
      </c>
    </row>
    <row r="176" customFormat="false" ht="15" hidden="false" customHeight="false" outlineLevel="0" collapsed="false">
      <c r="A176" s="5" t="s">
        <v>6674</v>
      </c>
      <c r="B176" s="5" t="s">
        <v>300</v>
      </c>
      <c r="C176" s="5" t="s">
        <v>15</v>
      </c>
      <c r="D176" s="5" t="s">
        <v>28</v>
      </c>
      <c r="E176" s="5" t="n">
        <f aca="false">ROUND(9829*1.05,2)</f>
        <v>10320.45</v>
      </c>
      <c r="F176" s="5" t="s">
        <v>29</v>
      </c>
      <c r="G176" s="5" t="s">
        <v>30</v>
      </c>
      <c r="H176" s="5" t="n">
        <f aca="true">ROUND(RAND()*4+6,1)</f>
        <v>7.8</v>
      </c>
      <c r="I176" s="5" t="s">
        <v>31</v>
      </c>
      <c r="J176" s="5" t="str">
        <f aca="false">ROUND(70*1,0)&amp;"%"</f>
        <v>70%</v>
      </c>
    </row>
    <row r="177" customFormat="false" ht="15" hidden="false" customHeight="false" outlineLevel="0" collapsed="false">
      <c r="A177" s="6" t="s">
        <v>6675</v>
      </c>
      <c r="B177" s="6" t="s">
        <v>302</v>
      </c>
      <c r="C177" s="6" t="s">
        <v>15</v>
      </c>
      <c r="D177" s="6" t="s">
        <v>34</v>
      </c>
      <c r="E177" s="6" t="n">
        <f aca="false">ROUND(8894*1.05,2)</f>
        <v>9338.7</v>
      </c>
      <c r="F177" s="6" t="s">
        <v>35</v>
      </c>
      <c r="G177" s="6" t="s">
        <v>18</v>
      </c>
      <c r="H177" s="6" t="n">
        <f aca="true">ROUND(RAND()*4+6,1)</f>
        <v>9</v>
      </c>
      <c r="I177" s="6" t="s">
        <v>36</v>
      </c>
      <c r="J177" s="6" t="str">
        <f aca="false">ROUND(68*1,0)&amp;"%"</f>
        <v>68%</v>
      </c>
    </row>
    <row r="178" customFormat="false" ht="15" hidden="false" customHeight="false" outlineLevel="0" collapsed="false">
      <c r="A178" s="5" t="s">
        <v>6676</v>
      </c>
      <c r="B178" s="5" t="s">
        <v>304</v>
      </c>
      <c r="C178" s="5" t="s">
        <v>15</v>
      </c>
      <c r="D178" s="5" t="s">
        <v>39</v>
      </c>
      <c r="E178" s="5" t="n">
        <f aca="false">ROUND(10380*1.05,2)</f>
        <v>10899</v>
      </c>
      <c r="F178" s="5" t="s">
        <v>40</v>
      </c>
      <c r="G178" s="5" t="s">
        <v>24</v>
      </c>
      <c r="H178" s="5" t="n">
        <f aca="true">ROUND(RAND()*4+6,1)</f>
        <v>9.7</v>
      </c>
      <c r="I178" s="5" t="s">
        <v>41</v>
      </c>
      <c r="J178" s="5" t="str">
        <f aca="false">ROUND(86*1,0)&amp;"%"</f>
        <v>86%</v>
      </c>
    </row>
    <row r="179" customFormat="false" ht="15" hidden="false" customHeight="false" outlineLevel="0" collapsed="false">
      <c r="A179" s="6" t="s">
        <v>6677</v>
      </c>
      <c r="B179" s="6" t="s">
        <v>306</v>
      </c>
      <c r="C179" s="6" t="s">
        <v>15</v>
      </c>
      <c r="D179" s="6" t="s">
        <v>44</v>
      </c>
      <c r="E179" s="6" t="n">
        <f aca="false">ROUND(10326*1.05,2)</f>
        <v>10842.3</v>
      </c>
      <c r="F179" s="6" t="s">
        <v>45</v>
      </c>
      <c r="G179" s="6" t="s">
        <v>30</v>
      </c>
      <c r="H179" s="6" t="n">
        <f aca="true">ROUND(RAND()*4+6,1)</f>
        <v>8</v>
      </c>
      <c r="I179" s="6" t="s">
        <v>46</v>
      </c>
      <c r="J179" s="6" t="str">
        <f aca="false">ROUND(81*1,0)&amp;"%"</f>
        <v>81%</v>
      </c>
    </row>
    <row r="180" customFormat="false" ht="15" hidden="false" customHeight="false" outlineLevel="0" collapsed="false">
      <c r="A180" s="5" t="s">
        <v>6678</v>
      </c>
      <c r="B180" s="5" t="s">
        <v>308</v>
      </c>
      <c r="C180" s="5" t="s">
        <v>15</v>
      </c>
      <c r="D180" s="5" t="s">
        <v>16</v>
      </c>
      <c r="E180" s="5" t="n">
        <f aca="false">ROUND(12035*1.05,2)</f>
        <v>12636.75</v>
      </c>
      <c r="F180" s="5" t="s">
        <v>49</v>
      </c>
      <c r="G180" s="5" t="s">
        <v>18</v>
      </c>
      <c r="H180" s="5" t="n">
        <f aca="true">ROUND(RAND()*4+6,1)</f>
        <v>9.5</v>
      </c>
      <c r="I180" s="5" t="s">
        <v>19</v>
      </c>
      <c r="J180" s="5" t="str">
        <f aca="false">ROUND(95*1,0)&amp;"%"</f>
        <v>95%</v>
      </c>
    </row>
    <row r="181" customFormat="false" ht="15" hidden="false" customHeight="false" outlineLevel="0" collapsed="false">
      <c r="A181" s="6" t="s">
        <v>6679</v>
      </c>
      <c r="B181" s="6" t="s">
        <v>310</v>
      </c>
      <c r="C181" s="6" t="s">
        <v>15</v>
      </c>
      <c r="D181" s="6" t="s">
        <v>22</v>
      </c>
      <c r="E181" s="6" t="n">
        <f aca="false">ROUND(5088*1.05,2)</f>
        <v>5342.4</v>
      </c>
      <c r="F181" s="6" t="s">
        <v>52</v>
      </c>
      <c r="G181" s="6" t="s">
        <v>24</v>
      </c>
      <c r="H181" s="6" t="n">
        <f aca="true">ROUND(RAND()*4+6,1)</f>
        <v>8</v>
      </c>
      <c r="I181" s="6" t="s">
        <v>25</v>
      </c>
      <c r="J181" s="6" t="str">
        <f aca="false">ROUND(76*1,0)&amp;"%"</f>
        <v>76%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6680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6681</v>
      </c>
      <c r="B186" s="5" t="s">
        <v>314</v>
      </c>
      <c r="C186" s="5" t="s">
        <v>57</v>
      </c>
      <c r="D186" s="5" t="s">
        <v>16</v>
      </c>
      <c r="E186" s="5" t="n">
        <f aca="false">ROUND(17400*1.05,2)</f>
        <v>18270</v>
      </c>
      <c r="F186" s="5" t="s">
        <v>17</v>
      </c>
      <c r="G186" s="5" t="s">
        <v>18</v>
      </c>
      <c r="H186" s="5" t="n">
        <f aca="true">ROUND(RAND()*4+6,1)</f>
        <v>6.3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6682</v>
      </c>
      <c r="B187" s="6" t="s">
        <v>316</v>
      </c>
      <c r="C187" s="6" t="s">
        <v>57</v>
      </c>
      <c r="D187" s="6" t="s">
        <v>22</v>
      </c>
      <c r="E187" s="6" t="n">
        <f aca="false">ROUND(7846*1.05,2)</f>
        <v>8238.3</v>
      </c>
      <c r="F187" s="6" t="s">
        <v>23</v>
      </c>
      <c r="G187" s="6" t="s">
        <v>24</v>
      </c>
      <c r="H187" s="6" t="n">
        <f aca="true">ROUND(RAND()*4+6,1)</f>
        <v>7.7</v>
      </c>
      <c r="I187" s="6" t="s">
        <v>25</v>
      </c>
      <c r="J187" s="6" t="str">
        <f aca="false">ROUND(60*1,0)&amp;"%"</f>
        <v>60%</v>
      </c>
    </row>
    <row r="188" customFormat="false" ht="15" hidden="false" customHeight="false" outlineLevel="0" collapsed="false">
      <c r="A188" s="5" t="s">
        <v>6683</v>
      </c>
      <c r="B188" s="5" t="s">
        <v>318</v>
      </c>
      <c r="C188" s="5" t="s">
        <v>57</v>
      </c>
      <c r="D188" s="5" t="s">
        <v>28</v>
      </c>
      <c r="E188" s="5" t="n">
        <f aca="false">ROUND(16009*1.05,2)</f>
        <v>16809.45</v>
      </c>
      <c r="F188" s="5" t="s">
        <v>29</v>
      </c>
      <c r="G188" s="5" t="s">
        <v>30</v>
      </c>
      <c r="H188" s="5" t="n">
        <f aca="true">ROUND(RAND()*4+6,1)</f>
        <v>6.4</v>
      </c>
      <c r="I188" s="5" t="s">
        <v>31</v>
      </c>
      <c r="J188" s="5" t="str">
        <f aca="false">ROUND(90*1,0)&amp;"%"</f>
        <v>90%</v>
      </c>
    </row>
    <row r="189" customFormat="false" ht="15" hidden="false" customHeight="false" outlineLevel="0" collapsed="false">
      <c r="A189" s="6" t="s">
        <v>6684</v>
      </c>
      <c r="B189" s="6" t="s">
        <v>320</v>
      </c>
      <c r="C189" s="6" t="s">
        <v>57</v>
      </c>
      <c r="D189" s="6" t="s">
        <v>34</v>
      </c>
      <c r="E189" s="6" t="n">
        <f aca="false">ROUND(8610*1.05,2)</f>
        <v>9040.5</v>
      </c>
      <c r="F189" s="6" t="s">
        <v>35</v>
      </c>
      <c r="G189" s="6" t="s">
        <v>18</v>
      </c>
      <c r="H189" s="6" t="n">
        <f aca="true">ROUND(RAND()*4+6,1)</f>
        <v>6.8</v>
      </c>
      <c r="I189" s="6" t="s">
        <v>36</v>
      </c>
      <c r="J189" s="6" t="str">
        <f aca="false">ROUND(91*1,0)&amp;"%"</f>
        <v>91%</v>
      </c>
    </row>
    <row r="190" customFormat="false" ht="15" hidden="false" customHeight="false" outlineLevel="0" collapsed="false">
      <c r="A190" s="5" t="s">
        <v>6685</v>
      </c>
      <c r="B190" s="5" t="s">
        <v>322</v>
      </c>
      <c r="C190" s="5" t="s">
        <v>57</v>
      </c>
      <c r="D190" s="5" t="s">
        <v>39</v>
      </c>
      <c r="E190" s="5" t="n">
        <f aca="false">ROUND(14187*1.05,2)</f>
        <v>14896.35</v>
      </c>
      <c r="F190" s="5" t="s">
        <v>40</v>
      </c>
      <c r="G190" s="5" t="s">
        <v>24</v>
      </c>
      <c r="H190" s="5" t="n">
        <f aca="true">ROUND(RAND()*4+6,1)</f>
        <v>9.3</v>
      </c>
      <c r="I190" s="5" t="s">
        <v>41</v>
      </c>
      <c r="J190" s="5" t="str">
        <f aca="false">ROUND(93*1,0)&amp;"%"</f>
        <v>93%</v>
      </c>
    </row>
    <row r="191" customFormat="false" ht="15" hidden="false" customHeight="false" outlineLevel="0" collapsed="false">
      <c r="A191" s="6" t="s">
        <v>6686</v>
      </c>
      <c r="B191" s="6" t="s">
        <v>324</v>
      </c>
      <c r="C191" s="6" t="s">
        <v>57</v>
      </c>
      <c r="D191" s="6" t="s">
        <v>44</v>
      </c>
      <c r="E191" s="6" t="n">
        <f aca="false">ROUND(10789*1.05,2)</f>
        <v>11328.45</v>
      </c>
      <c r="F191" s="6" t="s">
        <v>45</v>
      </c>
      <c r="G191" s="6" t="s">
        <v>30</v>
      </c>
      <c r="H191" s="6" t="n">
        <f aca="true">ROUND(RAND()*4+6,1)</f>
        <v>7.9</v>
      </c>
      <c r="I191" s="6" t="s">
        <v>46</v>
      </c>
      <c r="J191" s="6" t="str">
        <f aca="false">ROUND(64*1,0)&amp;"%"</f>
        <v>64%</v>
      </c>
    </row>
    <row r="192" customFormat="false" ht="15" hidden="false" customHeight="false" outlineLevel="0" collapsed="false">
      <c r="A192" s="5" t="s">
        <v>6687</v>
      </c>
      <c r="B192" s="5" t="s">
        <v>326</v>
      </c>
      <c r="C192" s="5" t="s">
        <v>57</v>
      </c>
      <c r="D192" s="5" t="s">
        <v>16</v>
      </c>
      <c r="E192" s="5" t="n">
        <f aca="false">ROUND(13902*1.05,2)</f>
        <v>14597.1</v>
      </c>
      <c r="F192" s="5" t="s">
        <v>49</v>
      </c>
      <c r="G192" s="5" t="s">
        <v>18</v>
      </c>
      <c r="H192" s="5" t="n">
        <f aca="true">ROUND(RAND()*4+6,1)</f>
        <v>7.6</v>
      </c>
      <c r="I192" s="5" t="s">
        <v>19</v>
      </c>
      <c r="J192" s="5" t="str">
        <f aca="false">ROUND(90*1,0)&amp;"%"</f>
        <v>90%</v>
      </c>
    </row>
    <row r="193" customFormat="false" ht="15" hidden="false" customHeight="false" outlineLevel="0" collapsed="false">
      <c r="A193" s="6" t="s">
        <v>6688</v>
      </c>
      <c r="B193" s="6" t="s">
        <v>328</v>
      </c>
      <c r="C193" s="6" t="s">
        <v>57</v>
      </c>
      <c r="D193" s="6" t="s">
        <v>22</v>
      </c>
      <c r="E193" s="6" t="n">
        <f aca="false">ROUND(17886*1.05,2)</f>
        <v>18780.3</v>
      </c>
      <c r="F193" s="6" t="s">
        <v>52</v>
      </c>
      <c r="G193" s="6" t="s">
        <v>24</v>
      </c>
      <c r="H193" s="6" t="n">
        <f aca="true">ROUND(RAND()*4+6,1)</f>
        <v>7.8</v>
      </c>
      <c r="I193" s="6" t="s">
        <v>25</v>
      </c>
      <c r="J193" s="6" t="str">
        <f aca="false">ROUND(97*1,0)&amp;"%"</f>
        <v>97%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6689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6690</v>
      </c>
      <c r="B198" s="5" t="s">
        <v>332</v>
      </c>
      <c r="C198" s="5" t="s">
        <v>76</v>
      </c>
      <c r="D198" s="5" t="s">
        <v>16</v>
      </c>
      <c r="E198" s="5" t="n">
        <f aca="false">ROUND(16558*1.05,2)</f>
        <v>17385.9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ROUND(67*1,0)&amp;"%"</f>
        <v>67%</v>
      </c>
    </row>
    <row r="199" customFormat="false" ht="15" hidden="false" customHeight="false" outlineLevel="0" collapsed="false">
      <c r="A199" s="6" t="s">
        <v>6691</v>
      </c>
      <c r="B199" s="6" t="s">
        <v>334</v>
      </c>
      <c r="C199" s="6" t="s">
        <v>76</v>
      </c>
      <c r="D199" s="6" t="s">
        <v>22</v>
      </c>
      <c r="E199" s="6" t="n">
        <f aca="false">ROUND(7451*1.05,2)</f>
        <v>7823.55</v>
      </c>
      <c r="F199" s="6" t="s">
        <v>23</v>
      </c>
      <c r="G199" s="6" t="s">
        <v>24</v>
      </c>
      <c r="H199" s="6" t="n">
        <f aca="true">ROUND(RAND()*4+6,1)</f>
        <v>6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6692</v>
      </c>
      <c r="B200" s="5" t="s">
        <v>336</v>
      </c>
      <c r="C200" s="5" t="s">
        <v>76</v>
      </c>
      <c r="D200" s="5" t="s">
        <v>28</v>
      </c>
      <c r="E200" s="5" t="n">
        <f aca="false">ROUND(11794*1.05,2)</f>
        <v>12383.7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ROUND(76*1,0)&amp;"%"</f>
        <v>76%</v>
      </c>
    </row>
    <row r="201" customFormat="false" ht="15" hidden="false" customHeight="false" outlineLevel="0" collapsed="false">
      <c r="A201" s="6" t="s">
        <v>6693</v>
      </c>
      <c r="B201" s="6" t="s">
        <v>338</v>
      </c>
      <c r="C201" s="6" t="s">
        <v>76</v>
      </c>
      <c r="D201" s="6" t="s">
        <v>34</v>
      </c>
      <c r="E201" s="6" t="n">
        <f aca="false">ROUND(5797*1.05,2)</f>
        <v>6086.85</v>
      </c>
      <c r="F201" s="6" t="s">
        <v>35</v>
      </c>
      <c r="G201" s="6" t="s">
        <v>18</v>
      </c>
      <c r="H201" s="6" t="n">
        <f aca="true">ROUND(RAND()*4+6,1)</f>
        <v>7.1</v>
      </c>
      <c r="I201" s="6" t="s">
        <v>36</v>
      </c>
      <c r="J201" s="6" t="str">
        <f aca="false">ROUND(68*1,0)&amp;"%"</f>
        <v>68%</v>
      </c>
    </row>
    <row r="202" customFormat="false" ht="15" hidden="false" customHeight="false" outlineLevel="0" collapsed="false">
      <c r="A202" s="5" t="s">
        <v>6694</v>
      </c>
      <c r="B202" s="5" t="s">
        <v>340</v>
      </c>
      <c r="C202" s="5" t="s">
        <v>76</v>
      </c>
      <c r="D202" s="5" t="s">
        <v>39</v>
      </c>
      <c r="E202" s="5" t="n">
        <f aca="false">ROUND(11607*1.05,2)</f>
        <v>12187.35</v>
      </c>
      <c r="F202" s="5" t="s">
        <v>40</v>
      </c>
      <c r="G202" s="5" t="s">
        <v>24</v>
      </c>
      <c r="H202" s="5" t="n">
        <f aca="true">ROUND(RAND()*4+6,1)</f>
        <v>8.7</v>
      </c>
      <c r="I202" s="5" t="s">
        <v>41</v>
      </c>
      <c r="J202" s="5" t="str">
        <f aca="false">ROUND(67*1,0)&amp;"%"</f>
        <v>67%</v>
      </c>
    </row>
    <row r="203" customFormat="false" ht="15" hidden="false" customHeight="false" outlineLevel="0" collapsed="false">
      <c r="A203" s="6" t="s">
        <v>6695</v>
      </c>
      <c r="B203" s="6" t="s">
        <v>342</v>
      </c>
      <c r="C203" s="6" t="s">
        <v>76</v>
      </c>
      <c r="D203" s="6" t="s">
        <v>44</v>
      </c>
      <c r="E203" s="6" t="n">
        <f aca="false">ROUND(14283*1.05,2)</f>
        <v>14997.15</v>
      </c>
      <c r="F203" s="6" t="s">
        <v>45</v>
      </c>
      <c r="G203" s="6" t="s">
        <v>30</v>
      </c>
      <c r="H203" s="6" t="n">
        <f aca="true">ROUND(RAND()*4+6,1)</f>
        <v>9.7</v>
      </c>
      <c r="I203" s="6" t="s">
        <v>46</v>
      </c>
      <c r="J203" s="6" t="str">
        <f aca="false">ROUND(73*1,0)&amp;"%"</f>
        <v>73%</v>
      </c>
    </row>
    <row r="204" customFormat="false" ht="15" hidden="false" customHeight="false" outlineLevel="0" collapsed="false">
      <c r="A204" s="5" t="s">
        <v>6696</v>
      </c>
      <c r="B204" s="5" t="s">
        <v>344</v>
      </c>
      <c r="C204" s="5" t="s">
        <v>76</v>
      </c>
      <c r="D204" s="5" t="s">
        <v>16</v>
      </c>
      <c r="E204" s="5" t="n">
        <f aca="false">ROUND(11563*1.05,2)</f>
        <v>12141.15</v>
      </c>
      <c r="F204" s="5" t="s">
        <v>49</v>
      </c>
      <c r="G204" s="5" t="s">
        <v>18</v>
      </c>
      <c r="H204" s="5" t="n">
        <f aca="true">ROUND(RAND()*4+6,1)</f>
        <v>8</v>
      </c>
      <c r="I204" s="5" t="s">
        <v>19</v>
      </c>
      <c r="J204" s="5" t="str">
        <f aca="false">ROUND(72*1,0)&amp;"%"</f>
        <v>72%</v>
      </c>
    </row>
    <row r="205" customFormat="false" ht="15" hidden="false" customHeight="false" outlineLevel="0" collapsed="false">
      <c r="A205" s="6" t="s">
        <v>6697</v>
      </c>
      <c r="B205" s="6" t="s">
        <v>346</v>
      </c>
      <c r="C205" s="6" t="s">
        <v>76</v>
      </c>
      <c r="D205" s="6" t="s">
        <v>22</v>
      </c>
      <c r="E205" s="6" t="n">
        <f aca="false">ROUND(8364*1.05,2)</f>
        <v>8782.2</v>
      </c>
      <c r="F205" s="6" t="s">
        <v>52</v>
      </c>
      <c r="G205" s="6" t="s">
        <v>24</v>
      </c>
      <c r="H205" s="6" t="n">
        <f aca="true">ROUND(RAND()*4+6,1)</f>
        <v>9.3</v>
      </c>
      <c r="I205" s="6" t="s">
        <v>25</v>
      </c>
      <c r="J205" s="6" t="str">
        <f aca="false">ROUND(63*1,0)&amp;"%"</f>
        <v>63%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6698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6699</v>
      </c>
      <c r="B210" s="5" t="s">
        <v>350</v>
      </c>
      <c r="C210" s="5" t="s">
        <v>95</v>
      </c>
      <c r="D210" s="5" t="s">
        <v>16</v>
      </c>
      <c r="E210" s="5" t="n">
        <f aca="false">ROUND(8153*1.05,2)</f>
        <v>8560.65</v>
      </c>
      <c r="F210" s="5" t="s">
        <v>17</v>
      </c>
      <c r="G210" s="5" t="s">
        <v>18</v>
      </c>
      <c r="H210" s="5" t="n">
        <f aca="true">ROUND(RAND()*4+6,1)</f>
        <v>7.5</v>
      </c>
      <c r="I210" s="5" t="s">
        <v>19</v>
      </c>
      <c r="J210" s="5" t="str">
        <f aca="false">ROUND(81*1,0)&amp;"%"</f>
        <v>81%</v>
      </c>
    </row>
    <row r="211" customFormat="false" ht="15" hidden="false" customHeight="false" outlineLevel="0" collapsed="false">
      <c r="A211" s="6" t="s">
        <v>6700</v>
      </c>
      <c r="B211" s="6" t="s">
        <v>352</v>
      </c>
      <c r="C211" s="6" t="s">
        <v>95</v>
      </c>
      <c r="D211" s="6" t="s">
        <v>22</v>
      </c>
      <c r="E211" s="6" t="n">
        <f aca="false">ROUND(15880*1.05,2)</f>
        <v>16674</v>
      </c>
      <c r="F211" s="6" t="s">
        <v>23</v>
      </c>
      <c r="G211" s="6" t="s">
        <v>24</v>
      </c>
      <c r="H211" s="6" t="n">
        <f aca="true">ROUND(RAND()*4+6,1)</f>
        <v>7</v>
      </c>
      <c r="I211" s="6" t="s">
        <v>25</v>
      </c>
      <c r="J211" s="6" t="str">
        <f aca="false">ROUND(94*1,0)&amp;"%"</f>
        <v>94%</v>
      </c>
    </row>
    <row r="212" customFormat="false" ht="15" hidden="false" customHeight="false" outlineLevel="0" collapsed="false">
      <c r="A212" s="5" t="s">
        <v>6701</v>
      </c>
      <c r="B212" s="5" t="s">
        <v>354</v>
      </c>
      <c r="C212" s="5" t="s">
        <v>95</v>
      </c>
      <c r="D212" s="5" t="s">
        <v>28</v>
      </c>
      <c r="E212" s="5" t="n">
        <f aca="false">ROUND(12314*1.05,2)</f>
        <v>12929.7</v>
      </c>
      <c r="F212" s="5" t="s">
        <v>29</v>
      </c>
      <c r="G212" s="5" t="s">
        <v>30</v>
      </c>
      <c r="H212" s="5" t="n">
        <f aca="true">ROUND(RAND()*4+6,1)</f>
        <v>8.4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6702</v>
      </c>
      <c r="B213" s="6" t="s">
        <v>356</v>
      </c>
      <c r="C213" s="6" t="s">
        <v>95</v>
      </c>
      <c r="D213" s="6" t="s">
        <v>34</v>
      </c>
      <c r="E213" s="6" t="n">
        <f aca="false">ROUND(8196*1.05,2)</f>
        <v>8605.8</v>
      </c>
      <c r="F213" s="6" t="s">
        <v>35</v>
      </c>
      <c r="G213" s="6" t="s">
        <v>18</v>
      </c>
      <c r="H213" s="6" t="n">
        <f aca="true">ROUND(RAND()*4+6,1)</f>
        <v>6.2</v>
      </c>
      <c r="I213" s="6" t="s">
        <v>36</v>
      </c>
      <c r="J213" s="6" t="str">
        <f aca="false">ROUND(90*1,0)&amp;"%"</f>
        <v>90%</v>
      </c>
    </row>
    <row r="214" customFormat="false" ht="15" hidden="false" customHeight="false" outlineLevel="0" collapsed="false">
      <c r="A214" s="5" t="s">
        <v>6703</v>
      </c>
      <c r="B214" s="5" t="s">
        <v>358</v>
      </c>
      <c r="C214" s="5" t="s">
        <v>95</v>
      </c>
      <c r="D214" s="5" t="s">
        <v>39</v>
      </c>
      <c r="E214" s="5" t="n">
        <f aca="false">ROUND(13995*1.05,2)</f>
        <v>14694.75</v>
      </c>
      <c r="F214" s="5" t="s">
        <v>40</v>
      </c>
      <c r="G214" s="5" t="s">
        <v>24</v>
      </c>
      <c r="H214" s="5" t="n">
        <f aca="true">ROUND(RAND()*4+6,1)</f>
        <v>10</v>
      </c>
      <c r="I214" s="5" t="s">
        <v>41</v>
      </c>
      <c r="J214" s="5" t="str">
        <f aca="false">ROUND(75*1,0)&amp;"%"</f>
        <v>75%</v>
      </c>
    </row>
    <row r="215" customFormat="false" ht="15" hidden="false" customHeight="false" outlineLevel="0" collapsed="false">
      <c r="A215" s="6" t="s">
        <v>6704</v>
      </c>
      <c r="B215" s="6" t="s">
        <v>360</v>
      </c>
      <c r="C215" s="6" t="s">
        <v>95</v>
      </c>
      <c r="D215" s="6" t="s">
        <v>44</v>
      </c>
      <c r="E215" s="6" t="n">
        <f aca="false">ROUND(12623*1.05,2)</f>
        <v>13254.15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ROUND(92*1,0)&amp;"%"</f>
        <v>92%</v>
      </c>
    </row>
    <row r="216" customFormat="false" ht="15" hidden="false" customHeight="false" outlineLevel="0" collapsed="false">
      <c r="A216" s="5" t="s">
        <v>6705</v>
      </c>
      <c r="B216" s="5" t="s">
        <v>362</v>
      </c>
      <c r="C216" s="5" t="s">
        <v>95</v>
      </c>
      <c r="D216" s="5" t="s">
        <v>16</v>
      </c>
      <c r="E216" s="5" t="n">
        <f aca="false">ROUND(5667*1.05,2)</f>
        <v>5950.35</v>
      </c>
      <c r="F216" s="5" t="s">
        <v>49</v>
      </c>
      <c r="G216" s="5" t="s">
        <v>18</v>
      </c>
      <c r="H216" s="5" t="n">
        <f aca="true">ROUND(RAND()*4+6,1)</f>
        <v>7.5</v>
      </c>
      <c r="I216" s="5" t="s">
        <v>19</v>
      </c>
      <c r="J216" s="5" t="str">
        <f aca="false">ROUND(79*1,0)&amp;"%"</f>
        <v>79%</v>
      </c>
    </row>
    <row r="217" customFormat="false" ht="15" hidden="false" customHeight="false" outlineLevel="0" collapsed="false">
      <c r="A217" s="6" t="s">
        <v>6706</v>
      </c>
      <c r="B217" s="6" t="s">
        <v>364</v>
      </c>
      <c r="C217" s="6" t="s">
        <v>95</v>
      </c>
      <c r="D217" s="6" t="s">
        <v>22</v>
      </c>
      <c r="E217" s="6" t="n">
        <f aca="false">ROUND(11831*1.05,2)</f>
        <v>12422.55</v>
      </c>
      <c r="F217" s="6" t="s">
        <v>52</v>
      </c>
      <c r="G217" s="6" t="s">
        <v>24</v>
      </c>
      <c r="H217" s="6" t="n">
        <f aca="true">ROUND(RAND()*4+6,1)</f>
        <v>7.8</v>
      </c>
      <c r="I217" s="6" t="s">
        <v>25</v>
      </c>
      <c r="J217" s="6" t="str">
        <f aca="false">ROUND(91*1,0)&amp;"%"</f>
        <v>91%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6707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6708</v>
      </c>
      <c r="B222" s="5" t="s">
        <v>368</v>
      </c>
      <c r="C222" s="5" t="s">
        <v>114</v>
      </c>
      <c r="D222" s="5" t="s">
        <v>16</v>
      </c>
      <c r="E222" s="5" t="n">
        <f aca="false">ROUND(6823*1.05,2)</f>
        <v>7164.15</v>
      </c>
      <c r="F222" s="5" t="s">
        <v>17</v>
      </c>
      <c r="G222" s="5" t="s">
        <v>18</v>
      </c>
      <c r="H222" s="5" t="n">
        <f aca="true">ROUND(RAND()*4+6,1)</f>
        <v>6.1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6709</v>
      </c>
      <c r="B223" s="6" t="s">
        <v>370</v>
      </c>
      <c r="C223" s="6" t="s">
        <v>114</v>
      </c>
      <c r="D223" s="6" t="s">
        <v>22</v>
      </c>
      <c r="E223" s="6" t="n">
        <f aca="false">ROUND(11248*1.05,2)</f>
        <v>11810.4</v>
      </c>
      <c r="F223" s="6" t="s">
        <v>23</v>
      </c>
      <c r="G223" s="6" t="s">
        <v>24</v>
      </c>
      <c r="H223" s="6" t="n">
        <f aca="true">ROUND(RAND()*4+6,1)</f>
        <v>8.9</v>
      </c>
      <c r="I223" s="6" t="s">
        <v>25</v>
      </c>
      <c r="J223" s="6" t="str">
        <f aca="false">ROUND(77*1,0)&amp;"%"</f>
        <v>77%</v>
      </c>
    </row>
    <row r="224" customFormat="false" ht="15" hidden="false" customHeight="false" outlineLevel="0" collapsed="false">
      <c r="A224" s="5" t="s">
        <v>6710</v>
      </c>
      <c r="B224" s="5" t="s">
        <v>372</v>
      </c>
      <c r="C224" s="5" t="s">
        <v>114</v>
      </c>
      <c r="D224" s="5" t="s">
        <v>28</v>
      </c>
      <c r="E224" s="5" t="n">
        <f aca="false">ROUND(13052*1.05,2)</f>
        <v>13704.6</v>
      </c>
      <c r="F224" s="5" t="s">
        <v>29</v>
      </c>
      <c r="G224" s="5" t="s">
        <v>30</v>
      </c>
      <c r="H224" s="5" t="n">
        <f aca="true">ROUND(RAND()*4+6,1)</f>
        <v>6.6</v>
      </c>
      <c r="I224" s="5" t="s">
        <v>31</v>
      </c>
      <c r="J224" s="5" t="str">
        <f aca="false">ROUND(70*1,0)&amp;"%"</f>
        <v>70%</v>
      </c>
    </row>
    <row r="225" customFormat="false" ht="15" hidden="false" customHeight="false" outlineLevel="0" collapsed="false">
      <c r="A225" s="6" t="s">
        <v>6711</v>
      </c>
      <c r="B225" s="6" t="s">
        <v>374</v>
      </c>
      <c r="C225" s="6" t="s">
        <v>114</v>
      </c>
      <c r="D225" s="6" t="s">
        <v>34</v>
      </c>
      <c r="E225" s="6" t="n">
        <f aca="false">ROUND(8089*1.05,2)</f>
        <v>8493.45</v>
      </c>
      <c r="F225" s="6" t="s">
        <v>35</v>
      </c>
      <c r="G225" s="6" t="s">
        <v>18</v>
      </c>
      <c r="H225" s="6" t="n">
        <f aca="true">ROUND(RAND()*4+6,1)</f>
        <v>6.1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6712</v>
      </c>
      <c r="B226" s="5" t="s">
        <v>376</v>
      </c>
      <c r="C226" s="5" t="s">
        <v>114</v>
      </c>
      <c r="D226" s="5" t="s">
        <v>39</v>
      </c>
      <c r="E226" s="5" t="n">
        <f aca="false">ROUND(6929*1.05,2)</f>
        <v>7275.45</v>
      </c>
      <c r="F226" s="5" t="s">
        <v>40</v>
      </c>
      <c r="G226" s="5" t="s">
        <v>24</v>
      </c>
      <c r="H226" s="5" t="n">
        <f aca="true">ROUND(RAND()*4+6,1)</f>
        <v>8.9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6713</v>
      </c>
      <c r="B227" s="6" t="s">
        <v>378</v>
      </c>
      <c r="C227" s="6" t="s">
        <v>114</v>
      </c>
      <c r="D227" s="6" t="s">
        <v>44</v>
      </c>
      <c r="E227" s="6" t="n">
        <f aca="false">ROUND(7476*1.05,2)</f>
        <v>7849.8</v>
      </c>
      <c r="F227" s="6" t="s">
        <v>45</v>
      </c>
      <c r="G227" s="6" t="s">
        <v>30</v>
      </c>
      <c r="H227" s="6" t="n">
        <f aca="true">ROUND(RAND()*4+6,1)</f>
        <v>7.9</v>
      </c>
      <c r="I227" s="6" t="s">
        <v>46</v>
      </c>
      <c r="J227" s="6" t="str">
        <f aca="false">ROUND(70*1,0)&amp;"%"</f>
        <v>70%</v>
      </c>
    </row>
    <row r="228" customFormat="false" ht="15" hidden="false" customHeight="false" outlineLevel="0" collapsed="false">
      <c r="A228" s="5" t="s">
        <v>6714</v>
      </c>
      <c r="B228" s="5" t="s">
        <v>380</v>
      </c>
      <c r="C228" s="5" t="s">
        <v>114</v>
      </c>
      <c r="D228" s="5" t="s">
        <v>16</v>
      </c>
      <c r="E228" s="5" t="n">
        <f aca="false">ROUND(17921*1.05,2)</f>
        <v>18817.05</v>
      </c>
      <c r="F228" s="5" t="s">
        <v>49</v>
      </c>
      <c r="G228" s="5" t="s">
        <v>18</v>
      </c>
      <c r="H228" s="5" t="n">
        <f aca="true">ROUND(RAND()*4+6,1)</f>
        <v>8.5</v>
      </c>
      <c r="I228" s="5" t="s">
        <v>19</v>
      </c>
      <c r="J228" s="5" t="str">
        <f aca="false">ROUND(81*1,0)&amp;"%"</f>
        <v>81%</v>
      </c>
    </row>
    <row r="229" customFormat="false" ht="15" hidden="false" customHeight="false" outlineLevel="0" collapsed="false">
      <c r="A229" s="6" t="s">
        <v>6715</v>
      </c>
      <c r="B229" s="6" t="s">
        <v>382</v>
      </c>
      <c r="C229" s="6" t="s">
        <v>114</v>
      </c>
      <c r="D229" s="6" t="s">
        <v>22</v>
      </c>
      <c r="E229" s="6" t="n">
        <f aca="false">ROUND(6692*1.05,2)</f>
        <v>7026.6</v>
      </c>
      <c r="F229" s="6" t="s">
        <v>52</v>
      </c>
      <c r="G229" s="6" t="s">
        <v>24</v>
      </c>
      <c r="H229" s="6" t="n">
        <f aca="true">ROUND(RAND()*4+6,1)</f>
        <v>9.4</v>
      </c>
      <c r="I229" s="6" t="s">
        <v>25</v>
      </c>
      <c r="J229" s="6" t="str">
        <f aca="false">ROUND(87*1,0)&amp;"%"</f>
        <v>87%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6716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6717</v>
      </c>
      <c r="B234" s="5" t="s">
        <v>386</v>
      </c>
      <c r="C234" s="5" t="s">
        <v>133</v>
      </c>
      <c r="D234" s="5" t="s">
        <v>16</v>
      </c>
      <c r="E234" s="5" t="n">
        <f aca="false">ROUND(12840*1.05,2)</f>
        <v>13482</v>
      </c>
      <c r="F234" s="5" t="s">
        <v>17</v>
      </c>
      <c r="G234" s="5" t="s">
        <v>18</v>
      </c>
      <c r="H234" s="5" t="n">
        <f aca="true">ROUND(RAND()*4+6,1)</f>
        <v>6.4</v>
      </c>
      <c r="I234" s="5" t="s">
        <v>19</v>
      </c>
      <c r="J234" s="5" t="str">
        <f aca="false">ROUND(86*1,0)&amp;"%"</f>
        <v>86%</v>
      </c>
    </row>
    <row r="235" customFormat="false" ht="15" hidden="false" customHeight="false" outlineLevel="0" collapsed="false">
      <c r="A235" s="6" t="s">
        <v>6718</v>
      </c>
      <c r="B235" s="6" t="s">
        <v>388</v>
      </c>
      <c r="C235" s="6" t="s">
        <v>133</v>
      </c>
      <c r="D235" s="6" t="s">
        <v>22</v>
      </c>
      <c r="E235" s="6" t="n">
        <f aca="false">ROUND(5854*1.05,2)</f>
        <v>6146.7</v>
      </c>
      <c r="F235" s="6" t="s">
        <v>23</v>
      </c>
      <c r="G235" s="6" t="s">
        <v>24</v>
      </c>
      <c r="H235" s="6" t="n">
        <f aca="true">ROUND(RAND()*4+6,1)</f>
        <v>8.6</v>
      </c>
      <c r="I235" s="6" t="s">
        <v>25</v>
      </c>
      <c r="J235" s="6" t="str">
        <f aca="false">ROUND(100*1,0)&amp;"%"</f>
        <v>100%</v>
      </c>
    </row>
    <row r="236" customFormat="false" ht="15" hidden="false" customHeight="false" outlineLevel="0" collapsed="false">
      <c r="A236" s="5" t="s">
        <v>6719</v>
      </c>
      <c r="B236" s="5" t="s">
        <v>390</v>
      </c>
      <c r="C236" s="5" t="s">
        <v>133</v>
      </c>
      <c r="D236" s="5" t="s">
        <v>28</v>
      </c>
      <c r="E236" s="5" t="n">
        <f aca="false">ROUND(11777*1.05,2)</f>
        <v>12365.85</v>
      </c>
      <c r="F236" s="5" t="s">
        <v>29</v>
      </c>
      <c r="G236" s="5" t="s">
        <v>30</v>
      </c>
      <c r="H236" s="5" t="n">
        <f aca="true">ROUND(RAND()*4+6,1)</f>
        <v>6.6</v>
      </c>
      <c r="I236" s="5" t="s">
        <v>31</v>
      </c>
      <c r="J236" s="5" t="str">
        <f aca="false">ROUND(87*1,0)&amp;"%"</f>
        <v>87%</v>
      </c>
    </row>
    <row r="237" customFormat="false" ht="15" hidden="false" customHeight="false" outlineLevel="0" collapsed="false">
      <c r="A237" s="6" t="s">
        <v>6720</v>
      </c>
      <c r="B237" s="6" t="s">
        <v>392</v>
      </c>
      <c r="C237" s="6" t="s">
        <v>133</v>
      </c>
      <c r="D237" s="6" t="s">
        <v>34</v>
      </c>
      <c r="E237" s="6" t="n">
        <f aca="false">ROUND(12768*1.05,2)</f>
        <v>13406.4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6721</v>
      </c>
      <c r="B238" s="5" t="s">
        <v>394</v>
      </c>
      <c r="C238" s="5" t="s">
        <v>133</v>
      </c>
      <c r="D238" s="5" t="s">
        <v>39</v>
      </c>
      <c r="E238" s="5" t="n">
        <f aca="false">ROUND(4504*1.05,2)</f>
        <v>4729.2</v>
      </c>
      <c r="F238" s="5" t="s">
        <v>40</v>
      </c>
      <c r="G238" s="5" t="s">
        <v>24</v>
      </c>
      <c r="H238" s="5" t="n">
        <f aca="true">ROUND(RAND()*4+6,1)</f>
        <v>7.3</v>
      </c>
      <c r="I238" s="5" t="s">
        <v>41</v>
      </c>
      <c r="J238" s="5" t="str">
        <f aca="false">ROUND(75*1,0)&amp;"%"</f>
        <v>75%</v>
      </c>
    </row>
    <row r="239" customFormat="false" ht="15" hidden="false" customHeight="false" outlineLevel="0" collapsed="false">
      <c r="A239" s="6" t="s">
        <v>6722</v>
      </c>
      <c r="B239" s="6" t="s">
        <v>396</v>
      </c>
      <c r="C239" s="6" t="s">
        <v>133</v>
      </c>
      <c r="D239" s="6" t="s">
        <v>44</v>
      </c>
      <c r="E239" s="6" t="n">
        <f aca="false">ROUND(5667*1.05,2)</f>
        <v>5950.35</v>
      </c>
      <c r="F239" s="6" t="s">
        <v>45</v>
      </c>
      <c r="G239" s="6" t="s">
        <v>30</v>
      </c>
      <c r="H239" s="6" t="n">
        <f aca="true">ROUND(RAND()*4+6,1)</f>
        <v>8</v>
      </c>
      <c r="I239" s="6" t="s">
        <v>46</v>
      </c>
      <c r="J239" s="6" t="str">
        <f aca="false">ROUND(91*1,0)&amp;"%"</f>
        <v>91%</v>
      </c>
    </row>
    <row r="240" customFormat="false" ht="15" hidden="false" customHeight="false" outlineLevel="0" collapsed="false">
      <c r="A240" s="5" t="s">
        <v>6723</v>
      </c>
      <c r="B240" s="5" t="s">
        <v>398</v>
      </c>
      <c r="C240" s="5" t="s">
        <v>133</v>
      </c>
      <c r="D240" s="5" t="s">
        <v>16</v>
      </c>
      <c r="E240" s="5" t="n">
        <f aca="false">ROUND(7007*1.05,2)</f>
        <v>7357.35</v>
      </c>
      <c r="F240" s="5" t="s">
        <v>49</v>
      </c>
      <c r="G240" s="5" t="s">
        <v>18</v>
      </c>
      <c r="H240" s="5" t="n">
        <f aca="true">ROUND(RAND()*4+6,1)</f>
        <v>6.8</v>
      </c>
      <c r="I240" s="5" t="s">
        <v>19</v>
      </c>
      <c r="J240" s="5" t="str">
        <f aca="false">ROUND(92*1,0)&amp;"%"</f>
        <v>92%</v>
      </c>
    </row>
    <row r="241" customFormat="false" ht="15" hidden="false" customHeight="false" outlineLevel="0" collapsed="false">
      <c r="A241" s="6" t="s">
        <v>6724</v>
      </c>
      <c r="B241" s="6" t="s">
        <v>400</v>
      </c>
      <c r="C241" s="6" t="s">
        <v>133</v>
      </c>
      <c r="D241" s="6" t="s">
        <v>22</v>
      </c>
      <c r="E241" s="6" t="n">
        <f aca="false">ROUND(9496*1.05,2)</f>
        <v>9970.8</v>
      </c>
      <c r="F241" s="6" t="s">
        <v>52</v>
      </c>
      <c r="G241" s="6" t="s">
        <v>24</v>
      </c>
      <c r="H241" s="6" t="n">
        <f aca="true">ROUND(RAND()*4+6,1)</f>
        <v>7.8</v>
      </c>
      <c r="I241" s="6" t="s">
        <v>25</v>
      </c>
      <c r="J241" s="6" t="str">
        <f aca="false">ROUND(67*1,0)&amp;"%"</f>
        <v>67%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6725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6726</v>
      </c>
      <c r="B246" s="5" t="s">
        <v>404</v>
      </c>
      <c r="C246" s="5" t="s">
        <v>152</v>
      </c>
      <c r="D246" s="5" t="s">
        <v>16</v>
      </c>
      <c r="E246" s="5" t="n">
        <f aca="false">ROUND(14584*1.05,2)</f>
        <v>15313.2</v>
      </c>
      <c r="F246" s="5" t="s">
        <v>17</v>
      </c>
      <c r="G246" s="5" t="s">
        <v>18</v>
      </c>
      <c r="H246" s="5" t="n">
        <f aca="true">ROUND(RAND()*4+6,1)</f>
        <v>8.1</v>
      </c>
      <c r="I246" s="5" t="s">
        <v>19</v>
      </c>
      <c r="J246" s="5" t="str">
        <f aca="false">ROUND(65*1,0)&amp;"%"</f>
        <v>65%</v>
      </c>
    </row>
    <row r="247" customFormat="false" ht="15" hidden="false" customHeight="false" outlineLevel="0" collapsed="false">
      <c r="A247" s="6" t="s">
        <v>6727</v>
      </c>
      <c r="B247" s="6" t="s">
        <v>406</v>
      </c>
      <c r="C247" s="6" t="s">
        <v>152</v>
      </c>
      <c r="D247" s="6" t="s">
        <v>22</v>
      </c>
      <c r="E247" s="6" t="n">
        <f aca="false">ROUND(10129*1.05,2)</f>
        <v>10635.45</v>
      </c>
      <c r="F247" s="6" t="s">
        <v>23</v>
      </c>
      <c r="G247" s="6" t="s">
        <v>24</v>
      </c>
      <c r="H247" s="6" t="n">
        <f aca="true">ROUND(RAND()*4+6,1)</f>
        <v>7.6</v>
      </c>
      <c r="I247" s="6" t="s">
        <v>25</v>
      </c>
      <c r="J247" s="6" t="str">
        <f aca="false">ROUND(69*1,0)&amp;"%"</f>
        <v>69%</v>
      </c>
    </row>
    <row r="248" customFormat="false" ht="15" hidden="false" customHeight="false" outlineLevel="0" collapsed="false">
      <c r="A248" s="5" t="s">
        <v>6728</v>
      </c>
      <c r="B248" s="5" t="s">
        <v>408</v>
      </c>
      <c r="C248" s="5" t="s">
        <v>152</v>
      </c>
      <c r="D248" s="5" t="s">
        <v>28</v>
      </c>
      <c r="E248" s="5" t="n">
        <f aca="false">ROUND(15732*1.05,2)</f>
        <v>16518.6</v>
      </c>
      <c r="F248" s="5" t="s">
        <v>29</v>
      </c>
      <c r="G248" s="5" t="s">
        <v>30</v>
      </c>
      <c r="H248" s="5" t="n">
        <f aca="true">ROUND(RAND()*4+6,1)</f>
        <v>7.6</v>
      </c>
      <c r="I248" s="5" t="s">
        <v>31</v>
      </c>
      <c r="J248" s="5" t="str">
        <f aca="false">ROUND(78*1,0)&amp;"%"</f>
        <v>78%</v>
      </c>
    </row>
    <row r="249" customFormat="false" ht="15" hidden="false" customHeight="false" outlineLevel="0" collapsed="false">
      <c r="A249" s="6" t="s">
        <v>6729</v>
      </c>
      <c r="B249" s="6" t="s">
        <v>410</v>
      </c>
      <c r="C249" s="6" t="s">
        <v>152</v>
      </c>
      <c r="D249" s="6" t="s">
        <v>34</v>
      </c>
      <c r="E249" s="6" t="n">
        <f aca="false">ROUND(6742*1.05,2)</f>
        <v>7079.1</v>
      </c>
      <c r="F249" s="6" t="s">
        <v>35</v>
      </c>
      <c r="G249" s="6" t="s">
        <v>18</v>
      </c>
      <c r="H249" s="6" t="n">
        <f aca="true">ROUND(RAND()*4+6,1)</f>
        <v>9.3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6730</v>
      </c>
      <c r="B250" s="5" t="s">
        <v>412</v>
      </c>
      <c r="C250" s="5" t="s">
        <v>152</v>
      </c>
      <c r="D250" s="5" t="s">
        <v>39</v>
      </c>
      <c r="E250" s="5" t="n">
        <f aca="false">ROUND(10948*1.05,2)</f>
        <v>11495.4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ROUND(91*1,0)&amp;"%"</f>
        <v>91%</v>
      </c>
    </row>
    <row r="251" customFormat="false" ht="15" hidden="false" customHeight="false" outlineLevel="0" collapsed="false">
      <c r="A251" s="6" t="s">
        <v>6731</v>
      </c>
      <c r="B251" s="6" t="s">
        <v>414</v>
      </c>
      <c r="C251" s="6" t="s">
        <v>152</v>
      </c>
      <c r="D251" s="6" t="s">
        <v>44</v>
      </c>
      <c r="E251" s="6" t="n">
        <f aca="false">ROUND(9792*1.05,2)</f>
        <v>10281.6</v>
      </c>
      <c r="F251" s="6" t="s">
        <v>45</v>
      </c>
      <c r="G251" s="6" t="s">
        <v>30</v>
      </c>
      <c r="H251" s="6" t="n">
        <f aca="true">ROUND(RAND()*4+6,1)</f>
        <v>9.7</v>
      </c>
      <c r="I251" s="6" t="s">
        <v>46</v>
      </c>
      <c r="J251" s="6" t="str">
        <f aca="false">ROUND(82*1,0)&amp;"%"</f>
        <v>82%</v>
      </c>
    </row>
    <row r="252" customFormat="false" ht="15" hidden="false" customHeight="false" outlineLevel="0" collapsed="false">
      <c r="A252" s="5" t="s">
        <v>6732</v>
      </c>
      <c r="B252" s="5" t="s">
        <v>416</v>
      </c>
      <c r="C252" s="5" t="s">
        <v>152</v>
      </c>
      <c r="D252" s="5" t="s">
        <v>16</v>
      </c>
      <c r="E252" s="5" t="n">
        <f aca="false">ROUND(8760*1.05,2)</f>
        <v>9198</v>
      </c>
      <c r="F252" s="5" t="s">
        <v>49</v>
      </c>
      <c r="G252" s="5" t="s">
        <v>18</v>
      </c>
      <c r="H252" s="5" t="n">
        <f aca="true">ROUND(RAND()*4+6,1)</f>
        <v>7.4</v>
      </c>
      <c r="I252" s="5" t="s">
        <v>19</v>
      </c>
      <c r="J252" s="5" t="str">
        <f aca="false">ROUND(60*1,0)&amp;"%"</f>
        <v>60%</v>
      </c>
    </row>
    <row r="253" customFormat="false" ht="15" hidden="false" customHeight="false" outlineLevel="0" collapsed="false">
      <c r="A253" s="6" t="s">
        <v>6733</v>
      </c>
      <c r="B253" s="6" t="s">
        <v>418</v>
      </c>
      <c r="C253" s="6" t="s">
        <v>152</v>
      </c>
      <c r="D253" s="6" t="s">
        <v>22</v>
      </c>
      <c r="E253" s="6" t="n">
        <f aca="false">ROUND(11631*1.05,2)</f>
        <v>12212.55</v>
      </c>
      <c r="F253" s="6" t="s">
        <v>52</v>
      </c>
      <c r="G253" s="6" t="s">
        <v>24</v>
      </c>
      <c r="H253" s="6" t="n">
        <f aca="true">ROUND(RAND()*4+6,1)</f>
        <v>8.5</v>
      </c>
      <c r="I253" s="6" t="s">
        <v>25</v>
      </c>
      <c r="J253" s="6" t="str">
        <f aca="false">ROUND(78*1,0)&amp;"%"</f>
        <v>78%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6734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6735</v>
      </c>
      <c r="B258" s="5" t="s">
        <v>422</v>
      </c>
      <c r="C258" s="5" t="s">
        <v>15</v>
      </c>
      <c r="D258" s="5" t="s">
        <v>16</v>
      </c>
      <c r="E258" s="5" t="n">
        <f aca="false">ROUND(10149*1.05,2)</f>
        <v>10656.45</v>
      </c>
      <c r="F258" s="5" t="s">
        <v>17</v>
      </c>
      <c r="G258" s="5" t="s">
        <v>18</v>
      </c>
      <c r="H258" s="5" t="n">
        <f aca="true">ROUND(RAND()*4+6,1)</f>
        <v>7.9</v>
      </c>
      <c r="I258" s="5" t="s">
        <v>19</v>
      </c>
      <c r="J258" s="5" t="str">
        <f aca="false">ROUND(95*1,0)&amp;"%"</f>
        <v>95%</v>
      </c>
    </row>
    <row r="259" customFormat="false" ht="15" hidden="false" customHeight="false" outlineLevel="0" collapsed="false">
      <c r="A259" s="6" t="s">
        <v>6736</v>
      </c>
      <c r="B259" s="6" t="s">
        <v>424</v>
      </c>
      <c r="C259" s="6" t="s">
        <v>15</v>
      </c>
      <c r="D259" s="6" t="s">
        <v>22</v>
      </c>
      <c r="E259" s="6" t="n">
        <f aca="false">ROUND(15401*1.05,2)</f>
        <v>16171.05</v>
      </c>
      <c r="F259" s="6" t="s">
        <v>23</v>
      </c>
      <c r="G259" s="6" t="s">
        <v>24</v>
      </c>
      <c r="H259" s="6" t="n">
        <f aca="true">ROUND(RAND()*4+6,1)</f>
        <v>7</v>
      </c>
      <c r="I259" s="6" t="s">
        <v>25</v>
      </c>
      <c r="J259" s="6" t="str">
        <f aca="false">ROUND(100*1,0)&amp;"%"</f>
        <v>100%</v>
      </c>
    </row>
    <row r="260" customFormat="false" ht="15" hidden="false" customHeight="false" outlineLevel="0" collapsed="false">
      <c r="A260" s="5" t="s">
        <v>6737</v>
      </c>
      <c r="B260" s="5" t="s">
        <v>426</v>
      </c>
      <c r="C260" s="5" t="s">
        <v>15</v>
      </c>
      <c r="D260" s="5" t="s">
        <v>28</v>
      </c>
      <c r="E260" s="5" t="n">
        <f aca="false">ROUND(13635*1.05,2)</f>
        <v>14316.75</v>
      </c>
      <c r="F260" s="5" t="s">
        <v>29</v>
      </c>
      <c r="G260" s="5" t="s">
        <v>30</v>
      </c>
      <c r="H260" s="5" t="n">
        <f aca="true">ROUND(RAND()*4+6,1)</f>
        <v>8.9</v>
      </c>
      <c r="I260" s="5" t="s">
        <v>31</v>
      </c>
      <c r="J260" s="5" t="str">
        <f aca="false">ROUND(89*1,0)&amp;"%"</f>
        <v>89%</v>
      </c>
    </row>
    <row r="261" customFormat="false" ht="15" hidden="false" customHeight="false" outlineLevel="0" collapsed="false">
      <c r="A261" s="6" t="s">
        <v>6738</v>
      </c>
      <c r="B261" s="6" t="s">
        <v>428</v>
      </c>
      <c r="C261" s="6" t="s">
        <v>15</v>
      </c>
      <c r="D261" s="6" t="s">
        <v>34</v>
      </c>
      <c r="E261" s="6" t="n">
        <f aca="false">ROUND(9540*1.05,2)</f>
        <v>10017</v>
      </c>
      <c r="F261" s="6" t="s">
        <v>35</v>
      </c>
      <c r="G261" s="6" t="s">
        <v>18</v>
      </c>
      <c r="H261" s="6" t="n">
        <f aca="true">ROUND(RAND()*4+6,1)</f>
        <v>8.1</v>
      </c>
      <c r="I261" s="6" t="s">
        <v>36</v>
      </c>
      <c r="J261" s="6" t="str">
        <f aca="false">ROUND(66*1,0)&amp;"%"</f>
        <v>66%</v>
      </c>
    </row>
    <row r="262" customFormat="false" ht="15" hidden="false" customHeight="false" outlineLevel="0" collapsed="false">
      <c r="A262" s="5" t="s">
        <v>6739</v>
      </c>
      <c r="B262" s="5" t="s">
        <v>430</v>
      </c>
      <c r="C262" s="5" t="s">
        <v>15</v>
      </c>
      <c r="D262" s="5" t="s">
        <v>39</v>
      </c>
      <c r="E262" s="5" t="n">
        <f aca="false">ROUND(10097*1.05,2)</f>
        <v>10601.85</v>
      </c>
      <c r="F262" s="5" t="s">
        <v>40</v>
      </c>
      <c r="G262" s="5" t="s">
        <v>24</v>
      </c>
      <c r="H262" s="5" t="n">
        <f aca="true">ROUND(RAND()*4+6,1)</f>
        <v>7.1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6740</v>
      </c>
      <c r="B263" s="6" t="s">
        <v>432</v>
      </c>
      <c r="C263" s="6" t="s">
        <v>15</v>
      </c>
      <c r="D263" s="6" t="s">
        <v>44</v>
      </c>
      <c r="E263" s="6" t="n">
        <f aca="false">ROUND(12050*1.05,2)</f>
        <v>12652.5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ROUND(84*1,0)&amp;"%"</f>
        <v>84%</v>
      </c>
    </row>
    <row r="264" customFormat="false" ht="15" hidden="false" customHeight="false" outlineLevel="0" collapsed="false">
      <c r="A264" s="5" t="s">
        <v>6741</v>
      </c>
      <c r="B264" s="5" t="s">
        <v>434</v>
      </c>
      <c r="C264" s="5" t="s">
        <v>15</v>
      </c>
      <c r="D264" s="5" t="s">
        <v>16</v>
      </c>
      <c r="E264" s="5" t="n">
        <f aca="false">ROUND(17093*1.05,2)</f>
        <v>17947.65</v>
      </c>
      <c r="F264" s="5" t="s">
        <v>49</v>
      </c>
      <c r="G264" s="5" t="s">
        <v>18</v>
      </c>
      <c r="H264" s="5" t="n">
        <f aca="true">ROUND(RAND()*4+6,1)</f>
        <v>8.2</v>
      </c>
      <c r="I264" s="5" t="s">
        <v>19</v>
      </c>
      <c r="J264" s="5" t="str">
        <f aca="false">ROUND(73*1,0)&amp;"%"</f>
        <v>73%</v>
      </c>
    </row>
    <row r="265" customFormat="false" ht="15" hidden="false" customHeight="false" outlineLevel="0" collapsed="false">
      <c r="A265" s="6" t="s">
        <v>6742</v>
      </c>
      <c r="B265" s="6" t="s">
        <v>436</v>
      </c>
      <c r="C265" s="6" t="s">
        <v>15</v>
      </c>
      <c r="D265" s="6" t="s">
        <v>22</v>
      </c>
      <c r="E265" s="6" t="n">
        <f aca="false">ROUND(4529*1.05,2)</f>
        <v>4755.45</v>
      </c>
      <c r="F265" s="6" t="s">
        <v>52</v>
      </c>
      <c r="G265" s="6" t="s">
        <v>24</v>
      </c>
      <c r="H265" s="6" t="n">
        <f aca="true">ROUND(RAND()*4+6,1)</f>
        <v>6.2</v>
      </c>
      <c r="I265" s="6" t="s">
        <v>25</v>
      </c>
      <c r="J265" s="6" t="str">
        <f aca="false">ROUND(61*1,0)&amp;"%"</f>
        <v>61%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6743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6744</v>
      </c>
      <c r="B270" s="5" t="s">
        <v>440</v>
      </c>
      <c r="C270" s="5" t="s">
        <v>57</v>
      </c>
      <c r="D270" s="5" t="s">
        <v>16</v>
      </c>
      <c r="E270" s="5" t="n">
        <f aca="false">ROUND(11308*1.05,2)</f>
        <v>11873.4</v>
      </c>
      <c r="F270" s="5" t="s">
        <v>17</v>
      </c>
      <c r="G270" s="5" t="s">
        <v>18</v>
      </c>
      <c r="H270" s="5" t="n">
        <f aca="true">ROUND(RAND()*4+6,1)</f>
        <v>8.9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6745</v>
      </c>
      <c r="B271" s="6" t="s">
        <v>442</v>
      </c>
      <c r="C271" s="6" t="s">
        <v>57</v>
      </c>
      <c r="D271" s="6" t="s">
        <v>22</v>
      </c>
      <c r="E271" s="6" t="n">
        <f aca="false">ROUND(7335*1.05,2)</f>
        <v>7701.75</v>
      </c>
      <c r="F271" s="6" t="s">
        <v>23</v>
      </c>
      <c r="G271" s="6" t="s">
        <v>24</v>
      </c>
      <c r="H271" s="6" t="n">
        <f aca="true">ROUND(RAND()*4+6,1)</f>
        <v>9.5</v>
      </c>
      <c r="I271" s="6" t="s">
        <v>25</v>
      </c>
      <c r="J271" s="6" t="str">
        <f aca="false">ROUND(78*1,0)&amp;"%"</f>
        <v>78%</v>
      </c>
    </row>
    <row r="272" customFormat="false" ht="15" hidden="false" customHeight="false" outlineLevel="0" collapsed="false">
      <c r="A272" s="5" t="s">
        <v>6746</v>
      </c>
      <c r="B272" s="5" t="s">
        <v>444</v>
      </c>
      <c r="C272" s="5" t="s">
        <v>57</v>
      </c>
      <c r="D272" s="5" t="s">
        <v>28</v>
      </c>
      <c r="E272" s="5" t="n">
        <f aca="false">ROUND(13683*1.05,2)</f>
        <v>14367.15</v>
      </c>
      <c r="F272" s="5" t="s">
        <v>29</v>
      </c>
      <c r="G272" s="5" t="s">
        <v>30</v>
      </c>
      <c r="H272" s="5" t="n">
        <f aca="true">ROUND(RAND()*4+6,1)</f>
        <v>8.7</v>
      </c>
      <c r="I272" s="5" t="s">
        <v>31</v>
      </c>
      <c r="J272" s="5" t="str">
        <f aca="false">ROUND(97*1,0)&amp;"%"</f>
        <v>97%</v>
      </c>
    </row>
    <row r="273" customFormat="false" ht="15" hidden="false" customHeight="false" outlineLevel="0" collapsed="false">
      <c r="A273" s="6" t="s">
        <v>6747</v>
      </c>
      <c r="B273" s="6" t="s">
        <v>446</v>
      </c>
      <c r="C273" s="6" t="s">
        <v>57</v>
      </c>
      <c r="D273" s="6" t="s">
        <v>34</v>
      </c>
      <c r="E273" s="6" t="n">
        <f aca="false">ROUND(8061*1.05,2)</f>
        <v>8464.05</v>
      </c>
      <c r="F273" s="6" t="s">
        <v>35</v>
      </c>
      <c r="G273" s="6" t="s">
        <v>18</v>
      </c>
      <c r="H273" s="6" t="n">
        <f aca="true">ROUND(RAND()*4+6,1)</f>
        <v>8.4</v>
      </c>
      <c r="I273" s="6" t="s">
        <v>36</v>
      </c>
      <c r="J273" s="6" t="str">
        <f aca="false">ROUND(65*1,0)&amp;"%"</f>
        <v>65%</v>
      </c>
    </row>
    <row r="274" customFormat="false" ht="15" hidden="false" customHeight="false" outlineLevel="0" collapsed="false">
      <c r="A274" s="5" t="s">
        <v>6748</v>
      </c>
      <c r="B274" s="5" t="s">
        <v>448</v>
      </c>
      <c r="C274" s="5" t="s">
        <v>57</v>
      </c>
      <c r="D274" s="5" t="s">
        <v>39</v>
      </c>
      <c r="E274" s="5" t="n">
        <f aca="false">ROUND(11893*1.05,2)</f>
        <v>12487.65</v>
      </c>
      <c r="F274" s="5" t="s">
        <v>40</v>
      </c>
      <c r="G274" s="5" t="s">
        <v>24</v>
      </c>
      <c r="H274" s="5" t="n">
        <f aca="true">ROUND(RAND()*4+6,1)</f>
        <v>6.6</v>
      </c>
      <c r="I274" s="5" t="s">
        <v>41</v>
      </c>
      <c r="J274" s="5" t="str">
        <f aca="false">ROUND(79*1,0)&amp;"%"</f>
        <v>79%</v>
      </c>
    </row>
    <row r="275" customFormat="false" ht="15" hidden="false" customHeight="false" outlineLevel="0" collapsed="false">
      <c r="A275" s="6" t="s">
        <v>6749</v>
      </c>
      <c r="B275" s="6" t="s">
        <v>450</v>
      </c>
      <c r="C275" s="6" t="s">
        <v>57</v>
      </c>
      <c r="D275" s="6" t="s">
        <v>44</v>
      </c>
      <c r="E275" s="6" t="n">
        <f aca="false">ROUND(9420*1.05,2)</f>
        <v>9891</v>
      </c>
      <c r="F275" s="6" t="s">
        <v>45</v>
      </c>
      <c r="G275" s="6" t="s">
        <v>30</v>
      </c>
      <c r="H275" s="6" t="n">
        <f aca="true">ROUND(RAND()*4+6,1)</f>
        <v>9.2</v>
      </c>
      <c r="I275" s="6" t="s">
        <v>46</v>
      </c>
      <c r="J275" s="6" t="str">
        <f aca="false">ROUND(71*1,0)&amp;"%"</f>
        <v>71%</v>
      </c>
    </row>
    <row r="276" customFormat="false" ht="15" hidden="false" customHeight="false" outlineLevel="0" collapsed="false">
      <c r="A276" s="5" t="s">
        <v>6750</v>
      </c>
      <c r="B276" s="5" t="s">
        <v>452</v>
      </c>
      <c r="C276" s="5" t="s">
        <v>57</v>
      </c>
      <c r="D276" s="5" t="s">
        <v>16</v>
      </c>
      <c r="E276" s="5" t="n">
        <f aca="false">ROUND(15871*1.05,2)</f>
        <v>16664.55</v>
      </c>
      <c r="F276" s="5" t="s">
        <v>49</v>
      </c>
      <c r="G276" s="5" t="s">
        <v>18</v>
      </c>
      <c r="H276" s="5" t="n">
        <f aca="true">ROUND(RAND()*4+6,1)</f>
        <v>8.8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6751</v>
      </c>
      <c r="B277" s="6" t="s">
        <v>454</v>
      </c>
      <c r="C277" s="6" t="s">
        <v>57</v>
      </c>
      <c r="D277" s="6" t="s">
        <v>22</v>
      </c>
      <c r="E277" s="6" t="n">
        <f aca="false">ROUND(16902*1.05,2)</f>
        <v>17747.1</v>
      </c>
      <c r="F277" s="6" t="s">
        <v>52</v>
      </c>
      <c r="G277" s="6" t="s">
        <v>24</v>
      </c>
      <c r="H277" s="6" t="n">
        <f aca="true">ROUND(RAND()*4+6,1)</f>
        <v>6.5</v>
      </c>
      <c r="I277" s="6" t="s">
        <v>25</v>
      </c>
      <c r="J277" s="6" t="str">
        <f aca="false">ROUND(90*1,0)&amp;"%"</f>
        <v>90%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6752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6753</v>
      </c>
      <c r="B282" s="5" t="s">
        <v>458</v>
      </c>
      <c r="C282" s="5" t="s">
        <v>76</v>
      </c>
      <c r="D282" s="5" t="s">
        <v>16</v>
      </c>
      <c r="E282" s="5" t="n">
        <f aca="false">ROUND(10234*1.05,2)</f>
        <v>10745.7</v>
      </c>
      <c r="F282" s="5" t="s">
        <v>17</v>
      </c>
      <c r="G282" s="5" t="s">
        <v>18</v>
      </c>
      <c r="H282" s="5" t="n">
        <f aca="true">ROUND(RAND()*4+6,1)</f>
        <v>9.2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6754</v>
      </c>
      <c r="B283" s="6" t="s">
        <v>460</v>
      </c>
      <c r="C283" s="6" t="s">
        <v>76</v>
      </c>
      <c r="D283" s="6" t="s">
        <v>22</v>
      </c>
      <c r="E283" s="6" t="n">
        <f aca="false">ROUND(16631*1.05,2)</f>
        <v>17462.55</v>
      </c>
      <c r="F283" s="6" t="s">
        <v>23</v>
      </c>
      <c r="G283" s="6" t="s">
        <v>24</v>
      </c>
      <c r="H283" s="6" t="n">
        <f aca="true">ROUND(RAND()*4+6,1)</f>
        <v>7.4</v>
      </c>
      <c r="I283" s="6" t="s">
        <v>25</v>
      </c>
      <c r="J283" s="6" t="str">
        <f aca="false">ROUND(82*1,0)&amp;"%"</f>
        <v>82%</v>
      </c>
    </row>
    <row r="284" customFormat="false" ht="15" hidden="false" customHeight="false" outlineLevel="0" collapsed="false">
      <c r="A284" s="5" t="s">
        <v>6755</v>
      </c>
      <c r="B284" s="5" t="s">
        <v>462</v>
      </c>
      <c r="C284" s="5" t="s">
        <v>76</v>
      </c>
      <c r="D284" s="5" t="s">
        <v>28</v>
      </c>
      <c r="E284" s="5" t="n">
        <f aca="false">ROUND(4000*1.05,2)</f>
        <v>4200</v>
      </c>
      <c r="F284" s="5" t="s">
        <v>29</v>
      </c>
      <c r="G284" s="5" t="s">
        <v>30</v>
      </c>
      <c r="H284" s="5" t="n">
        <f aca="true">ROUND(RAND()*4+6,1)</f>
        <v>8.8</v>
      </c>
      <c r="I284" s="5" t="s">
        <v>31</v>
      </c>
      <c r="J284" s="5" t="str">
        <f aca="false">ROUND(70*1,0)&amp;"%"</f>
        <v>70%</v>
      </c>
    </row>
    <row r="285" customFormat="false" ht="15" hidden="false" customHeight="false" outlineLevel="0" collapsed="false">
      <c r="A285" s="6" t="s">
        <v>6756</v>
      </c>
      <c r="B285" s="6" t="s">
        <v>464</v>
      </c>
      <c r="C285" s="6" t="s">
        <v>76</v>
      </c>
      <c r="D285" s="6" t="s">
        <v>34</v>
      </c>
      <c r="E285" s="6" t="n">
        <f aca="false">ROUND(11163*1.05,2)</f>
        <v>11721.15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ROUND(60*1,0)&amp;"%"</f>
        <v>60%</v>
      </c>
    </row>
    <row r="286" customFormat="false" ht="15" hidden="false" customHeight="false" outlineLevel="0" collapsed="false">
      <c r="A286" s="5" t="s">
        <v>6757</v>
      </c>
      <c r="B286" s="5" t="s">
        <v>466</v>
      </c>
      <c r="C286" s="5" t="s">
        <v>76</v>
      </c>
      <c r="D286" s="5" t="s">
        <v>39</v>
      </c>
      <c r="E286" s="5" t="n">
        <f aca="false">ROUND(16045*1.05,2)</f>
        <v>16847.25</v>
      </c>
      <c r="F286" s="5" t="s">
        <v>40</v>
      </c>
      <c r="G286" s="5" t="s">
        <v>24</v>
      </c>
      <c r="H286" s="5" t="n">
        <f aca="true">ROUND(RAND()*4+6,1)</f>
        <v>9.9</v>
      </c>
      <c r="I286" s="5" t="s">
        <v>41</v>
      </c>
      <c r="J286" s="5" t="str">
        <f aca="false">ROUND(74*1,0)&amp;"%"</f>
        <v>74%</v>
      </c>
    </row>
    <row r="287" customFormat="false" ht="15" hidden="false" customHeight="false" outlineLevel="0" collapsed="false">
      <c r="A287" s="6" t="s">
        <v>6758</v>
      </c>
      <c r="B287" s="6" t="s">
        <v>468</v>
      </c>
      <c r="C287" s="6" t="s">
        <v>76</v>
      </c>
      <c r="D287" s="6" t="s">
        <v>44</v>
      </c>
      <c r="E287" s="6" t="n">
        <f aca="false">ROUND(10419*1.05,2)</f>
        <v>10939.95</v>
      </c>
      <c r="F287" s="6" t="s">
        <v>45</v>
      </c>
      <c r="G287" s="6" t="s">
        <v>30</v>
      </c>
      <c r="H287" s="6" t="n">
        <f aca="true">ROUND(RAND()*4+6,1)</f>
        <v>7.8</v>
      </c>
      <c r="I287" s="6" t="s">
        <v>46</v>
      </c>
      <c r="J287" s="6" t="str">
        <f aca="false">ROUND(65*1,0)&amp;"%"</f>
        <v>65%</v>
      </c>
    </row>
    <row r="288" customFormat="false" ht="15" hidden="false" customHeight="false" outlineLevel="0" collapsed="false">
      <c r="A288" s="5" t="s">
        <v>6759</v>
      </c>
      <c r="B288" s="5" t="s">
        <v>470</v>
      </c>
      <c r="C288" s="5" t="s">
        <v>76</v>
      </c>
      <c r="D288" s="5" t="s">
        <v>16</v>
      </c>
      <c r="E288" s="5" t="n">
        <f aca="false">ROUND(4690*1.05,2)</f>
        <v>4924.5</v>
      </c>
      <c r="F288" s="5" t="s">
        <v>49</v>
      </c>
      <c r="G288" s="5" t="s">
        <v>18</v>
      </c>
      <c r="H288" s="5" t="n">
        <f aca="true">ROUND(RAND()*4+6,1)</f>
        <v>6.6</v>
      </c>
      <c r="I288" s="5" t="s">
        <v>19</v>
      </c>
      <c r="J288" s="5" t="str">
        <f aca="false">ROUND(74*1,0)&amp;"%"</f>
        <v>74%</v>
      </c>
    </row>
    <row r="289" customFormat="false" ht="15" hidden="false" customHeight="false" outlineLevel="0" collapsed="false">
      <c r="A289" s="6" t="s">
        <v>6760</v>
      </c>
      <c r="B289" s="6" t="s">
        <v>472</v>
      </c>
      <c r="C289" s="6" t="s">
        <v>76</v>
      </c>
      <c r="D289" s="6" t="s">
        <v>22</v>
      </c>
      <c r="E289" s="6" t="n">
        <f aca="false">ROUND(11550*1.05,2)</f>
        <v>12127.5</v>
      </c>
      <c r="F289" s="6" t="s">
        <v>52</v>
      </c>
      <c r="G289" s="6" t="s">
        <v>24</v>
      </c>
      <c r="H289" s="6" t="n">
        <f aca="true">ROUND(RAND()*4+6,1)</f>
        <v>8</v>
      </c>
      <c r="I289" s="6" t="s">
        <v>25</v>
      </c>
      <c r="J289" s="6" t="str">
        <f aca="false">ROUND(75*1,0)&amp;"%"</f>
        <v>75%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6761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6762</v>
      </c>
      <c r="B294" s="5" t="s">
        <v>476</v>
      </c>
      <c r="C294" s="5" t="s">
        <v>95</v>
      </c>
      <c r="D294" s="5" t="s">
        <v>16</v>
      </c>
      <c r="E294" s="5" t="n">
        <f aca="false">ROUND(14834*1.05,2)</f>
        <v>15575.7</v>
      </c>
      <c r="F294" s="5" t="s">
        <v>17</v>
      </c>
      <c r="G294" s="5" t="s">
        <v>18</v>
      </c>
      <c r="H294" s="5" t="n">
        <f aca="true">ROUND(RAND()*4+6,1)</f>
        <v>6.3</v>
      </c>
      <c r="I294" s="5" t="s">
        <v>19</v>
      </c>
      <c r="J294" s="5" t="str">
        <f aca="false">ROUND(96*1,0)&amp;"%"</f>
        <v>96%</v>
      </c>
    </row>
    <row r="295" customFormat="false" ht="15" hidden="false" customHeight="false" outlineLevel="0" collapsed="false">
      <c r="A295" s="6" t="s">
        <v>6763</v>
      </c>
      <c r="B295" s="6" t="s">
        <v>478</v>
      </c>
      <c r="C295" s="6" t="s">
        <v>95</v>
      </c>
      <c r="D295" s="6" t="s">
        <v>22</v>
      </c>
      <c r="E295" s="6" t="n">
        <f aca="false">ROUND(10491*1.05,2)</f>
        <v>11015.55</v>
      </c>
      <c r="F295" s="6" t="s">
        <v>23</v>
      </c>
      <c r="G295" s="6" t="s">
        <v>24</v>
      </c>
      <c r="H295" s="6" t="n">
        <f aca="true">ROUND(RAND()*4+6,1)</f>
        <v>7.3</v>
      </c>
      <c r="I295" s="6" t="s">
        <v>25</v>
      </c>
      <c r="J295" s="6" t="str">
        <f aca="false">ROUND(91*1,0)&amp;"%"</f>
        <v>91%</v>
      </c>
    </row>
    <row r="296" customFormat="false" ht="15" hidden="false" customHeight="false" outlineLevel="0" collapsed="false">
      <c r="A296" s="5" t="s">
        <v>6764</v>
      </c>
      <c r="B296" s="5" t="s">
        <v>480</v>
      </c>
      <c r="C296" s="5" t="s">
        <v>95</v>
      </c>
      <c r="D296" s="5" t="s">
        <v>28</v>
      </c>
      <c r="E296" s="5" t="n">
        <f aca="false">ROUND(14395*1.05,2)</f>
        <v>15114.75</v>
      </c>
      <c r="F296" s="5" t="s">
        <v>29</v>
      </c>
      <c r="G296" s="5" t="s">
        <v>30</v>
      </c>
      <c r="H296" s="5" t="n">
        <f aca="true">ROUND(RAND()*4+6,1)</f>
        <v>7.5</v>
      </c>
      <c r="I296" s="5" t="s">
        <v>31</v>
      </c>
      <c r="J296" s="5" t="str">
        <f aca="false">ROUND(95*1,0)&amp;"%"</f>
        <v>95%</v>
      </c>
    </row>
    <row r="297" customFormat="false" ht="15" hidden="false" customHeight="false" outlineLevel="0" collapsed="false">
      <c r="A297" s="6" t="s">
        <v>6765</v>
      </c>
      <c r="B297" s="6" t="s">
        <v>482</v>
      </c>
      <c r="C297" s="6" t="s">
        <v>95</v>
      </c>
      <c r="D297" s="6" t="s">
        <v>34</v>
      </c>
      <c r="E297" s="6" t="n">
        <f aca="false">ROUND(9264*1.05,2)</f>
        <v>9727.2</v>
      </c>
      <c r="F297" s="6" t="s">
        <v>35</v>
      </c>
      <c r="G297" s="6" t="s">
        <v>18</v>
      </c>
      <c r="H297" s="6" t="n">
        <f aca="true">ROUND(RAND()*4+6,1)</f>
        <v>6.5</v>
      </c>
      <c r="I297" s="6" t="s">
        <v>36</v>
      </c>
      <c r="J297" s="6" t="str">
        <f aca="false">ROUND(87*1,0)&amp;"%"</f>
        <v>87%</v>
      </c>
    </row>
    <row r="298" customFormat="false" ht="15" hidden="false" customHeight="false" outlineLevel="0" collapsed="false">
      <c r="A298" s="5" t="s">
        <v>6766</v>
      </c>
      <c r="B298" s="5" t="s">
        <v>484</v>
      </c>
      <c r="C298" s="5" t="s">
        <v>95</v>
      </c>
      <c r="D298" s="5" t="s">
        <v>39</v>
      </c>
      <c r="E298" s="5" t="n">
        <f aca="false">ROUND(14414*1.05,2)</f>
        <v>15134.7</v>
      </c>
      <c r="F298" s="5" t="s">
        <v>40</v>
      </c>
      <c r="G298" s="5" t="s">
        <v>24</v>
      </c>
      <c r="H298" s="5" t="n">
        <f aca="true">ROUND(RAND()*4+6,1)</f>
        <v>8.1</v>
      </c>
      <c r="I298" s="5" t="s">
        <v>41</v>
      </c>
      <c r="J298" s="5" t="str">
        <f aca="false">ROUND(100*1,0)&amp;"%"</f>
        <v>100%</v>
      </c>
    </row>
    <row r="299" customFormat="false" ht="15" hidden="false" customHeight="false" outlineLevel="0" collapsed="false">
      <c r="A299" s="6" t="s">
        <v>6767</v>
      </c>
      <c r="B299" s="6" t="s">
        <v>486</v>
      </c>
      <c r="C299" s="6" t="s">
        <v>95</v>
      </c>
      <c r="D299" s="6" t="s">
        <v>44</v>
      </c>
      <c r="E299" s="6" t="n">
        <f aca="false">ROUND(10499*1.05,2)</f>
        <v>11023.95</v>
      </c>
      <c r="F299" s="6" t="s">
        <v>45</v>
      </c>
      <c r="G299" s="6" t="s">
        <v>30</v>
      </c>
      <c r="H299" s="6" t="n">
        <f aca="true">ROUND(RAND()*4+6,1)</f>
        <v>6.9</v>
      </c>
      <c r="I299" s="6" t="s">
        <v>46</v>
      </c>
      <c r="J299" s="6" t="str">
        <f aca="false">ROUND(61*1,0)&amp;"%"</f>
        <v>61%</v>
      </c>
    </row>
    <row r="300" customFormat="false" ht="15" hidden="false" customHeight="false" outlineLevel="0" collapsed="false">
      <c r="A300" s="5" t="s">
        <v>6768</v>
      </c>
      <c r="B300" s="5" t="s">
        <v>488</v>
      </c>
      <c r="C300" s="5" t="s">
        <v>95</v>
      </c>
      <c r="D300" s="5" t="s">
        <v>16</v>
      </c>
      <c r="E300" s="5" t="n">
        <f aca="false">ROUND(4622*1.05,2)</f>
        <v>4853.1</v>
      </c>
      <c r="F300" s="5" t="s">
        <v>49</v>
      </c>
      <c r="G300" s="5" t="s">
        <v>18</v>
      </c>
      <c r="H300" s="5" t="n">
        <f aca="true">ROUND(RAND()*4+6,1)</f>
        <v>7.7</v>
      </c>
      <c r="I300" s="5" t="s">
        <v>19</v>
      </c>
      <c r="J300" s="5" t="str">
        <f aca="false">ROUND(94*1,0)&amp;"%"</f>
        <v>94%</v>
      </c>
    </row>
    <row r="301" customFormat="false" ht="15" hidden="false" customHeight="false" outlineLevel="0" collapsed="false">
      <c r="A301" s="6" t="s">
        <v>6769</v>
      </c>
      <c r="B301" s="6" t="s">
        <v>490</v>
      </c>
      <c r="C301" s="6" t="s">
        <v>95</v>
      </c>
      <c r="D301" s="6" t="s">
        <v>22</v>
      </c>
      <c r="E301" s="6" t="n">
        <f aca="false">ROUND(16316*1.05,2)</f>
        <v>17131.8</v>
      </c>
      <c r="F301" s="6" t="s">
        <v>52</v>
      </c>
      <c r="G301" s="6" t="s">
        <v>24</v>
      </c>
      <c r="H301" s="6" t="n">
        <f aca="true">ROUND(RAND()*4+6,1)</f>
        <v>7.4</v>
      </c>
      <c r="I301" s="6" t="s">
        <v>25</v>
      </c>
      <c r="J301" s="6" t="str">
        <f aca="false">ROUND(71*1,0)&amp;"%"</f>
        <v>71%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6770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6771</v>
      </c>
      <c r="B306" s="5" t="s">
        <v>494</v>
      </c>
      <c r="C306" s="5" t="s">
        <v>114</v>
      </c>
      <c r="D306" s="5" t="s">
        <v>16</v>
      </c>
      <c r="E306" s="5" t="n">
        <f aca="false">ROUND(7505*1.05,2)</f>
        <v>7880.25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ROUND(98*1,0)&amp;"%"</f>
        <v>98%</v>
      </c>
    </row>
    <row r="307" customFormat="false" ht="15" hidden="false" customHeight="false" outlineLevel="0" collapsed="false">
      <c r="A307" s="6" t="s">
        <v>6772</v>
      </c>
      <c r="B307" s="6" t="s">
        <v>496</v>
      </c>
      <c r="C307" s="6" t="s">
        <v>114</v>
      </c>
      <c r="D307" s="6" t="s">
        <v>22</v>
      </c>
      <c r="E307" s="6" t="n">
        <f aca="false">ROUND(5831*1.05,2)</f>
        <v>6122.55</v>
      </c>
      <c r="F307" s="6" t="s">
        <v>23</v>
      </c>
      <c r="G307" s="6" t="s">
        <v>24</v>
      </c>
      <c r="H307" s="6" t="n">
        <f aca="true">ROUND(RAND()*4+6,1)</f>
        <v>8.1</v>
      </c>
      <c r="I307" s="6" t="s">
        <v>25</v>
      </c>
      <c r="J307" s="6" t="str">
        <f aca="false">ROUND(77*1,0)&amp;"%"</f>
        <v>77%</v>
      </c>
    </row>
    <row r="308" customFormat="false" ht="15" hidden="false" customHeight="false" outlineLevel="0" collapsed="false">
      <c r="A308" s="5" t="s">
        <v>6773</v>
      </c>
      <c r="B308" s="5" t="s">
        <v>498</v>
      </c>
      <c r="C308" s="5" t="s">
        <v>114</v>
      </c>
      <c r="D308" s="5" t="s">
        <v>28</v>
      </c>
      <c r="E308" s="5" t="n">
        <f aca="false">ROUND(9386*1.05,2)</f>
        <v>9855.3</v>
      </c>
      <c r="F308" s="5" t="s">
        <v>29</v>
      </c>
      <c r="G308" s="5" t="s">
        <v>30</v>
      </c>
      <c r="H308" s="5" t="n">
        <f aca="true">ROUND(RAND()*4+6,1)</f>
        <v>9.8</v>
      </c>
      <c r="I308" s="5" t="s">
        <v>31</v>
      </c>
      <c r="J308" s="5" t="str">
        <f aca="false">ROUND(76*1,0)&amp;"%"</f>
        <v>76%</v>
      </c>
    </row>
    <row r="309" customFormat="false" ht="15" hidden="false" customHeight="false" outlineLevel="0" collapsed="false">
      <c r="A309" s="6" t="s">
        <v>6774</v>
      </c>
      <c r="B309" s="6" t="s">
        <v>500</v>
      </c>
      <c r="C309" s="6" t="s">
        <v>114</v>
      </c>
      <c r="D309" s="6" t="s">
        <v>34</v>
      </c>
      <c r="E309" s="6" t="n">
        <f aca="false">ROUND(4695*1.05,2)</f>
        <v>4929.75</v>
      </c>
      <c r="F309" s="6" t="s">
        <v>35</v>
      </c>
      <c r="G309" s="6" t="s">
        <v>18</v>
      </c>
      <c r="H309" s="6" t="n">
        <f aca="true">ROUND(RAND()*4+6,1)</f>
        <v>9.6</v>
      </c>
      <c r="I309" s="6" t="s">
        <v>36</v>
      </c>
      <c r="J309" s="6" t="str">
        <f aca="false">ROUND(89*1,0)&amp;"%"</f>
        <v>89%</v>
      </c>
    </row>
    <row r="310" customFormat="false" ht="15" hidden="false" customHeight="false" outlineLevel="0" collapsed="false">
      <c r="A310" s="5" t="s">
        <v>6775</v>
      </c>
      <c r="B310" s="5" t="s">
        <v>502</v>
      </c>
      <c r="C310" s="5" t="s">
        <v>114</v>
      </c>
      <c r="D310" s="5" t="s">
        <v>39</v>
      </c>
      <c r="E310" s="5" t="n">
        <f aca="false">ROUND(13899*1.05,2)</f>
        <v>14593.95</v>
      </c>
      <c r="F310" s="5" t="s">
        <v>40</v>
      </c>
      <c r="G310" s="5" t="s">
        <v>24</v>
      </c>
      <c r="H310" s="5" t="n">
        <f aca="true">ROUND(RAND()*4+6,1)</f>
        <v>9.8</v>
      </c>
      <c r="I310" s="5" t="s">
        <v>41</v>
      </c>
      <c r="J310" s="5" t="str">
        <f aca="false">ROUND(75*1,0)&amp;"%"</f>
        <v>75%</v>
      </c>
    </row>
    <row r="311" customFormat="false" ht="15" hidden="false" customHeight="false" outlineLevel="0" collapsed="false">
      <c r="A311" s="6" t="s">
        <v>6776</v>
      </c>
      <c r="B311" s="6" t="s">
        <v>504</v>
      </c>
      <c r="C311" s="6" t="s">
        <v>114</v>
      </c>
      <c r="D311" s="6" t="s">
        <v>44</v>
      </c>
      <c r="E311" s="6" t="n">
        <f aca="false">ROUND(8950*1.05,2)</f>
        <v>9397.5</v>
      </c>
      <c r="F311" s="6" t="s">
        <v>45</v>
      </c>
      <c r="G311" s="6" t="s">
        <v>30</v>
      </c>
      <c r="H311" s="6" t="n">
        <f aca="true">ROUND(RAND()*4+6,1)</f>
        <v>8</v>
      </c>
      <c r="I311" s="6" t="s">
        <v>46</v>
      </c>
      <c r="J311" s="6" t="str">
        <f aca="false">ROUND(78*1,0)&amp;"%"</f>
        <v>78%</v>
      </c>
    </row>
    <row r="312" customFormat="false" ht="15" hidden="false" customHeight="false" outlineLevel="0" collapsed="false">
      <c r="A312" s="5" t="s">
        <v>6777</v>
      </c>
      <c r="B312" s="5" t="s">
        <v>506</v>
      </c>
      <c r="C312" s="5" t="s">
        <v>114</v>
      </c>
      <c r="D312" s="5" t="s">
        <v>16</v>
      </c>
      <c r="E312" s="5" t="n">
        <f aca="false">ROUND(9599*1.05,2)</f>
        <v>10078.95</v>
      </c>
      <c r="F312" s="5" t="s">
        <v>49</v>
      </c>
      <c r="G312" s="5" t="s">
        <v>18</v>
      </c>
      <c r="H312" s="5" t="n">
        <f aca="true">ROUND(RAND()*4+6,1)</f>
        <v>9</v>
      </c>
      <c r="I312" s="5" t="s">
        <v>19</v>
      </c>
      <c r="J312" s="5" t="str">
        <f aca="false">ROUND(66*1,0)&amp;"%"</f>
        <v>66%</v>
      </c>
    </row>
    <row r="313" customFormat="false" ht="15" hidden="false" customHeight="false" outlineLevel="0" collapsed="false">
      <c r="A313" s="6" t="s">
        <v>6778</v>
      </c>
      <c r="B313" s="6" t="s">
        <v>508</v>
      </c>
      <c r="C313" s="6" t="s">
        <v>114</v>
      </c>
      <c r="D313" s="6" t="s">
        <v>22</v>
      </c>
      <c r="E313" s="6" t="n">
        <f aca="false">ROUND(17938*1.05,2)</f>
        <v>18834.9</v>
      </c>
      <c r="F313" s="6" t="s">
        <v>52</v>
      </c>
      <c r="G313" s="6" t="s">
        <v>24</v>
      </c>
      <c r="H313" s="6" t="n">
        <f aca="true">ROUND(RAND()*4+6,1)</f>
        <v>7.8</v>
      </c>
      <c r="I313" s="6" t="s">
        <v>25</v>
      </c>
      <c r="J313" s="6" t="str">
        <f aca="false">ROUND(77*1,0)&amp;"%"</f>
        <v>77%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6779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6780</v>
      </c>
      <c r="B318" s="5" t="s">
        <v>512</v>
      </c>
      <c r="C318" s="5" t="s">
        <v>133</v>
      </c>
      <c r="D318" s="5" t="s">
        <v>16</v>
      </c>
      <c r="E318" s="5" t="n">
        <f aca="false">ROUND(13551*1.05,2)</f>
        <v>14228.55</v>
      </c>
      <c r="F318" s="5" t="s">
        <v>17</v>
      </c>
      <c r="G318" s="5" t="s">
        <v>18</v>
      </c>
      <c r="H318" s="5" t="n">
        <f aca="true">ROUND(RAND()*4+6,1)</f>
        <v>9.1</v>
      </c>
      <c r="I318" s="5" t="s">
        <v>19</v>
      </c>
      <c r="J318" s="5" t="str">
        <f aca="false">ROUND(75*1,0)&amp;"%"</f>
        <v>75%</v>
      </c>
    </row>
    <row r="319" customFormat="false" ht="15" hidden="false" customHeight="false" outlineLevel="0" collapsed="false">
      <c r="A319" s="6" t="s">
        <v>6781</v>
      </c>
      <c r="B319" s="6" t="s">
        <v>514</v>
      </c>
      <c r="C319" s="6" t="s">
        <v>133</v>
      </c>
      <c r="D319" s="6" t="s">
        <v>22</v>
      </c>
      <c r="E319" s="6" t="n">
        <f aca="false">ROUND(5893*1.05,2)</f>
        <v>6187.65</v>
      </c>
      <c r="F319" s="6" t="s">
        <v>23</v>
      </c>
      <c r="G319" s="6" t="s">
        <v>24</v>
      </c>
      <c r="H319" s="6" t="n">
        <f aca="true">ROUND(RAND()*4+6,1)</f>
        <v>7.3</v>
      </c>
      <c r="I319" s="6" t="s">
        <v>25</v>
      </c>
      <c r="J319" s="6" t="str">
        <f aca="false">ROUND(95*1,0)&amp;"%"</f>
        <v>95%</v>
      </c>
    </row>
    <row r="320" customFormat="false" ht="15" hidden="false" customHeight="false" outlineLevel="0" collapsed="false">
      <c r="A320" s="5" t="s">
        <v>6782</v>
      </c>
      <c r="B320" s="5" t="s">
        <v>516</v>
      </c>
      <c r="C320" s="5" t="s">
        <v>133</v>
      </c>
      <c r="D320" s="5" t="s">
        <v>28</v>
      </c>
      <c r="E320" s="5" t="n">
        <f aca="false">ROUND(17507*1.05,2)</f>
        <v>18382.35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6783</v>
      </c>
      <c r="B321" s="6" t="s">
        <v>518</v>
      </c>
      <c r="C321" s="6" t="s">
        <v>133</v>
      </c>
      <c r="D321" s="6" t="s">
        <v>34</v>
      </c>
      <c r="E321" s="6" t="n">
        <f aca="false">ROUND(8594*1.05,2)</f>
        <v>9023.7</v>
      </c>
      <c r="F321" s="6" t="s">
        <v>35</v>
      </c>
      <c r="G321" s="6" t="s">
        <v>18</v>
      </c>
      <c r="H321" s="6" t="n">
        <f aca="true">ROUND(RAND()*4+6,1)</f>
        <v>6.1</v>
      </c>
      <c r="I321" s="6" t="s">
        <v>36</v>
      </c>
      <c r="J321" s="6" t="str">
        <f aca="false">ROUND(92*1,0)&amp;"%"</f>
        <v>92%</v>
      </c>
    </row>
    <row r="322" customFormat="false" ht="15" hidden="false" customHeight="false" outlineLevel="0" collapsed="false">
      <c r="A322" s="5" t="s">
        <v>6784</v>
      </c>
      <c r="B322" s="5" t="s">
        <v>520</v>
      </c>
      <c r="C322" s="5" t="s">
        <v>133</v>
      </c>
      <c r="D322" s="5" t="s">
        <v>39</v>
      </c>
      <c r="E322" s="5" t="n">
        <f aca="false">ROUND(16786*1.05,2)</f>
        <v>17625.3</v>
      </c>
      <c r="F322" s="5" t="s">
        <v>40</v>
      </c>
      <c r="G322" s="5" t="s">
        <v>24</v>
      </c>
      <c r="H322" s="5" t="n">
        <f aca="true">ROUND(RAND()*4+6,1)</f>
        <v>8.5</v>
      </c>
      <c r="I322" s="5" t="s">
        <v>41</v>
      </c>
      <c r="J322" s="5" t="str">
        <f aca="false">ROUND(70*1,0)&amp;"%"</f>
        <v>70%</v>
      </c>
    </row>
    <row r="323" customFormat="false" ht="15" hidden="false" customHeight="false" outlineLevel="0" collapsed="false">
      <c r="A323" s="6" t="s">
        <v>6785</v>
      </c>
      <c r="B323" s="6" t="s">
        <v>522</v>
      </c>
      <c r="C323" s="6" t="s">
        <v>133</v>
      </c>
      <c r="D323" s="6" t="s">
        <v>44</v>
      </c>
      <c r="E323" s="6" t="n">
        <f aca="false">ROUND(7925*1.05,2)</f>
        <v>8321.25</v>
      </c>
      <c r="F323" s="6" t="s">
        <v>45</v>
      </c>
      <c r="G323" s="6" t="s">
        <v>30</v>
      </c>
      <c r="H323" s="6" t="n">
        <f aca="true">ROUND(RAND()*4+6,1)</f>
        <v>7</v>
      </c>
      <c r="I323" s="6" t="s">
        <v>46</v>
      </c>
      <c r="J323" s="6" t="str">
        <f aca="false">ROUND(96*1,0)&amp;"%"</f>
        <v>96%</v>
      </c>
    </row>
    <row r="324" customFormat="false" ht="15" hidden="false" customHeight="false" outlineLevel="0" collapsed="false">
      <c r="A324" s="5" t="s">
        <v>6786</v>
      </c>
      <c r="B324" s="5" t="s">
        <v>524</v>
      </c>
      <c r="C324" s="5" t="s">
        <v>133</v>
      </c>
      <c r="D324" s="5" t="s">
        <v>16</v>
      </c>
      <c r="E324" s="5" t="n">
        <f aca="false">ROUND(9351*1.05,2)</f>
        <v>9818.55</v>
      </c>
      <c r="F324" s="5" t="s">
        <v>49</v>
      </c>
      <c r="G324" s="5" t="s">
        <v>18</v>
      </c>
      <c r="H324" s="5" t="n">
        <f aca="true">ROUND(RAND()*4+6,1)</f>
        <v>7.5</v>
      </c>
      <c r="I324" s="5" t="s">
        <v>19</v>
      </c>
      <c r="J324" s="5" t="str">
        <f aca="false">ROUND(95*1,0)&amp;"%"</f>
        <v>95%</v>
      </c>
    </row>
    <row r="325" customFormat="false" ht="15" hidden="false" customHeight="false" outlineLevel="0" collapsed="false">
      <c r="A325" s="6" t="s">
        <v>6787</v>
      </c>
      <c r="B325" s="6" t="s">
        <v>526</v>
      </c>
      <c r="C325" s="6" t="s">
        <v>133</v>
      </c>
      <c r="D325" s="6" t="s">
        <v>22</v>
      </c>
      <c r="E325" s="6" t="n">
        <f aca="false">ROUND(12851*1.05,2)</f>
        <v>13493.55</v>
      </c>
      <c r="F325" s="6" t="s">
        <v>52</v>
      </c>
      <c r="G325" s="6" t="s">
        <v>24</v>
      </c>
      <c r="H325" s="6" t="n">
        <f aca="true">ROUND(RAND()*4+6,1)</f>
        <v>8.2</v>
      </c>
      <c r="I325" s="6" t="s">
        <v>25</v>
      </c>
      <c r="J325" s="6" t="str">
        <f aca="false">ROUND(61*1,0)&amp;"%"</f>
        <v>61%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6788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6789</v>
      </c>
      <c r="B330" s="5" t="s">
        <v>530</v>
      </c>
      <c r="C330" s="5" t="s">
        <v>152</v>
      </c>
      <c r="D330" s="5" t="s">
        <v>16</v>
      </c>
      <c r="E330" s="5" t="n">
        <f aca="false">ROUND(11901*1.05,2)</f>
        <v>12496.05</v>
      </c>
      <c r="F330" s="5" t="s">
        <v>17</v>
      </c>
      <c r="G330" s="5" t="s">
        <v>18</v>
      </c>
      <c r="H330" s="5" t="n">
        <f aca="true">ROUND(RAND()*4+6,1)</f>
        <v>9.4</v>
      </c>
      <c r="I330" s="5" t="s">
        <v>19</v>
      </c>
      <c r="J330" s="5" t="str">
        <f aca="false">ROUND(91*1,0)&amp;"%"</f>
        <v>91%</v>
      </c>
    </row>
    <row r="331" customFormat="false" ht="15" hidden="false" customHeight="false" outlineLevel="0" collapsed="false">
      <c r="A331" s="6" t="s">
        <v>6790</v>
      </c>
      <c r="B331" s="6" t="s">
        <v>532</v>
      </c>
      <c r="C331" s="6" t="s">
        <v>152</v>
      </c>
      <c r="D331" s="6" t="s">
        <v>22</v>
      </c>
      <c r="E331" s="6" t="n">
        <f aca="false">ROUND(4960*1.05,2)</f>
        <v>5208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ROUND(81*1,0)&amp;"%"</f>
        <v>81%</v>
      </c>
    </row>
    <row r="332" customFormat="false" ht="15" hidden="false" customHeight="false" outlineLevel="0" collapsed="false">
      <c r="A332" s="5" t="s">
        <v>6791</v>
      </c>
      <c r="B332" s="5" t="s">
        <v>534</v>
      </c>
      <c r="C332" s="5" t="s">
        <v>152</v>
      </c>
      <c r="D332" s="5" t="s">
        <v>28</v>
      </c>
      <c r="E332" s="5" t="n">
        <f aca="false">ROUND(4451*1.05,2)</f>
        <v>4673.55</v>
      </c>
      <c r="F332" s="5" t="s">
        <v>29</v>
      </c>
      <c r="G332" s="5" t="s">
        <v>30</v>
      </c>
      <c r="H332" s="5" t="n">
        <f aca="true">ROUND(RAND()*4+6,1)</f>
        <v>7.7</v>
      </c>
      <c r="I332" s="5" t="s">
        <v>31</v>
      </c>
      <c r="J332" s="5" t="str">
        <f aca="false">ROUND(100*1,0)&amp;"%"</f>
        <v>100%</v>
      </c>
    </row>
    <row r="333" customFormat="false" ht="15" hidden="false" customHeight="false" outlineLevel="0" collapsed="false">
      <c r="A333" s="6" t="s">
        <v>6792</v>
      </c>
      <c r="B333" s="6" t="s">
        <v>536</v>
      </c>
      <c r="C333" s="6" t="s">
        <v>152</v>
      </c>
      <c r="D333" s="6" t="s">
        <v>34</v>
      </c>
      <c r="E333" s="6" t="n">
        <f aca="false">ROUND(13272*1.05,2)</f>
        <v>13935.6</v>
      </c>
      <c r="F333" s="6" t="s">
        <v>35</v>
      </c>
      <c r="G333" s="6" t="s">
        <v>18</v>
      </c>
      <c r="H333" s="6" t="n">
        <f aca="true">ROUND(RAND()*4+6,1)</f>
        <v>9</v>
      </c>
      <c r="I333" s="6" t="s">
        <v>36</v>
      </c>
      <c r="J333" s="6" t="str">
        <f aca="false">ROUND(76*1,0)&amp;"%"</f>
        <v>76%</v>
      </c>
    </row>
    <row r="334" customFormat="false" ht="15" hidden="false" customHeight="false" outlineLevel="0" collapsed="false">
      <c r="A334" s="5" t="s">
        <v>6793</v>
      </c>
      <c r="B334" s="5" t="s">
        <v>538</v>
      </c>
      <c r="C334" s="5" t="s">
        <v>152</v>
      </c>
      <c r="D334" s="5" t="s">
        <v>39</v>
      </c>
      <c r="E334" s="5" t="n">
        <f aca="false">ROUND(9490*1.05,2)</f>
        <v>9964.5</v>
      </c>
      <c r="F334" s="5" t="s">
        <v>40</v>
      </c>
      <c r="G334" s="5" t="s">
        <v>24</v>
      </c>
      <c r="H334" s="5" t="n">
        <f aca="true">ROUND(RAND()*4+6,1)</f>
        <v>9.7</v>
      </c>
      <c r="I334" s="5" t="s">
        <v>41</v>
      </c>
      <c r="J334" s="5" t="str">
        <f aca="false">ROUND(76*1,0)&amp;"%"</f>
        <v>76%</v>
      </c>
    </row>
    <row r="335" customFormat="false" ht="15" hidden="false" customHeight="false" outlineLevel="0" collapsed="false">
      <c r="A335" s="6" t="s">
        <v>6794</v>
      </c>
      <c r="B335" s="6" t="s">
        <v>540</v>
      </c>
      <c r="C335" s="6" t="s">
        <v>152</v>
      </c>
      <c r="D335" s="6" t="s">
        <v>44</v>
      </c>
      <c r="E335" s="6" t="n">
        <f aca="false">ROUND(5075*1.05,2)</f>
        <v>5328.75</v>
      </c>
      <c r="F335" s="6" t="s">
        <v>45</v>
      </c>
      <c r="G335" s="6" t="s">
        <v>30</v>
      </c>
      <c r="H335" s="6" t="n">
        <f aca="true">ROUND(RAND()*4+6,1)</f>
        <v>9.1</v>
      </c>
      <c r="I335" s="6" t="s">
        <v>46</v>
      </c>
      <c r="J335" s="6" t="str">
        <f aca="false">ROUND(92*1,0)&amp;"%"</f>
        <v>92%</v>
      </c>
    </row>
    <row r="336" customFormat="false" ht="15" hidden="false" customHeight="false" outlineLevel="0" collapsed="false">
      <c r="A336" s="5" t="s">
        <v>6795</v>
      </c>
      <c r="B336" s="5" t="s">
        <v>542</v>
      </c>
      <c r="C336" s="5" t="s">
        <v>152</v>
      </c>
      <c r="D336" s="5" t="s">
        <v>16</v>
      </c>
      <c r="E336" s="5" t="n">
        <f aca="false">ROUND(10680*1.05,2)</f>
        <v>11214</v>
      </c>
      <c r="F336" s="5" t="s">
        <v>49</v>
      </c>
      <c r="G336" s="5" t="s">
        <v>18</v>
      </c>
      <c r="H336" s="5" t="n">
        <f aca="true">ROUND(RAND()*4+6,1)</f>
        <v>7</v>
      </c>
      <c r="I336" s="5" t="s">
        <v>19</v>
      </c>
      <c r="J336" s="5" t="str">
        <f aca="false">ROUND(95*1,0)&amp;"%"</f>
        <v>95%</v>
      </c>
    </row>
    <row r="337" customFormat="false" ht="15" hidden="false" customHeight="false" outlineLevel="0" collapsed="false">
      <c r="A337" s="6" t="s">
        <v>6796</v>
      </c>
      <c r="B337" s="6" t="s">
        <v>544</v>
      </c>
      <c r="C337" s="6" t="s">
        <v>152</v>
      </c>
      <c r="D337" s="6" t="s">
        <v>22</v>
      </c>
      <c r="E337" s="6" t="n">
        <f aca="false">ROUND(7913*1.05,2)</f>
        <v>8308.65</v>
      </c>
      <c r="F337" s="6" t="s">
        <v>52</v>
      </c>
      <c r="G337" s="6" t="s">
        <v>24</v>
      </c>
      <c r="H337" s="6" t="n">
        <f aca="true">ROUND(RAND()*4+6,1)</f>
        <v>8.2</v>
      </c>
      <c r="I337" s="6" t="s">
        <v>25</v>
      </c>
      <c r="J337" s="6" t="str">
        <f aca="false">ROUND(91*1,0)&amp;"%"</f>
        <v>91%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6797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6798</v>
      </c>
      <c r="B342" s="5" t="s">
        <v>548</v>
      </c>
      <c r="C342" s="5" t="s">
        <v>15</v>
      </c>
      <c r="D342" s="5" t="s">
        <v>16</v>
      </c>
      <c r="E342" s="5" t="n">
        <f aca="false">ROUND(14142*1.05,2)</f>
        <v>14849.1</v>
      </c>
      <c r="F342" s="5" t="s">
        <v>17</v>
      </c>
      <c r="G342" s="5" t="s">
        <v>18</v>
      </c>
      <c r="H342" s="5" t="n">
        <f aca="true">ROUND(RAND()*4+6,1)</f>
        <v>7.8</v>
      </c>
      <c r="I342" s="5" t="s">
        <v>19</v>
      </c>
      <c r="J342" s="5" t="str">
        <f aca="false">ROUND(94*1,0)&amp;"%"</f>
        <v>94%</v>
      </c>
    </row>
    <row r="343" customFormat="false" ht="15" hidden="false" customHeight="false" outlineLevel="0" collapsed="false">
      <c r="A343" s="6" t="s">
        <v>6799</v>
      </c>
      <c r="B343" s="6" t="s">
        <v>550</v>
      </c>
      <c r="C343" s="6" t="s">
        <v>15</v>
      </c>
      <c r="D343" s="6" t="s">
        <v>22</v>
      </c>
      <c r="E343" s="6" t="n">
        <f aca="false">ROUND(8617*1.05,2)</f>
        <v>9047.85</v>
      </c>
      <c r="F343" s="6" t="s">
        <v>23</v>
      </c>
      <c r="G343" s="6" t="s">
        <v>24</v>
      </c>
      <c r="H343" s="6" t="n">
        <f aca="true">ROUND(RAND()*4+6,1)</f>
        <v>8.9</v>
      </c>
      <c r="I343" s="6" t="s">
        <v>25</v>
      </c>
      <c r="J343" s="6" t="str">
        <f aca="false">ROUND(100*1,0)&amp;"%"</f>
        <v>100%</v>
      </c>
    </row>
    <row r="344" customFormat="false" ht="15" hidden="false" customHeight="false" outlineLevel="0" collapsed="false">
      <c r="A344" s="5" t="s">
        <v>6800</v>
      </c>
      <c r="B344" s="5" t="s">
        <v>552</v>
      </c>
      <c r="C344" s="5" t="s">
        <v>15</v>
      </c>
      <c r="D344" s="5" t="s">
        <v>28</v>
      </c>
      <c r="E344" s="5" t="n">
        <f aca="false">ROUND(14018*1.05,2)</f>
        <v>14718.9</v>
      </c>
      <c r="F344" s="5" t="s">
        <v>29</v>
      </c>
      <c r="G344" s="5" t="s">
        <v>30</v>
      </c>
      <c r="H344" s="5" t="n">
        <f aca="true">ROUND(RAND()*4+6,1)</f>
        <v>9.4</v>
      </c>
      <c r="I344" s="5" t="s">
        <v>31</v>
      </c>
      <c r="J344" s="5" t="str">
        <f aca="false">ROUND(100*1,0)&amp;"%"</f>
        <v>100%</v>
      </c>
    </row>
    <row r="345" customFormat="false" ht="15" hidden="false" customHeight="false" outlineLevel="0" collapsed="false">
      <c r="A345" s="6" t="s">
        <v>6801</v>
      </c>
      <c r="B345" s="6" t="s">
        <v>554</v>
      </c>
      <c r="C345" s="6" t="s">
        <v>15</v>
      </c>
      <c r="D345" s="6" t="s">
        <v>34</v>
      </c>
      <c r="E345" s="6" t="n">
        <f aca="false">ROUND(12031*1.05,2)</f>
        <v>12632.55</v>
      </c>
      <c r="F345" s="6" t="s">
        <v>35</v>
      </c>
      <c r="G345" s="6" t="s">
        <v>18</v>
      </c>
      <c r="H345" s="6" t="n">
        <f aca="true">ROUND(RAND()*4+6,1)</f>
        <v>9.7</v>
      </c>
      <c r="I345" s="6" t="s">
        <v>36</v>
      </c>
      <c r="J345" s="6" t="str">
        <f aca="false">ROUND(68*1,0)&amp;"%"</f>
        <v>68%</v>
      </c>
    </row>
    <row r="346" customFormat="false" ht="15" hidden="false" customHeight="false" outlineLevel="0" collapsed="false">
      <c r="A346" s="5" t="s">
        <v>6802</v>
      </c>
      <c r="B346" s="5" t="s">
        <v>556</v>
      </c>
      <c r="C346" s="5" t="s">
        <v>15</v>
      </c>
      <c r="D346" s="5" t="s">
        <v>39</v>
      </c>
      <c r="E346" s="5" t="n">
        <f aca="false">ROUND(12343*1.05,2)</f>
        <v>12960.15</v>
      </c>
      <c r="F346" s="5" t="s">
        <v>40</v>
      </c>
      <c r="G346" s="5" t="s">
        <v>24</v>
      </c>
      <c r="H346" s="5" t="n">
        <f aca="true">ROUND(RAND()*4+6,1)</f>
        <v>6.9</v>
      </c>
      <c r="I346" s="5" t="s">
        <v>41</v>
      </c>
      <c r="J346" s="5" t="str">
        <f aca="false">ROUND(81*1,0)&amp;"%"</f>
        <v>81%</v>
      </c>
    </row>
    <row r="347" customFormat="false" ht="15" hidden="false" customHeight="false" outlineLevel="0" collapsed="false">
      <c r="A347" s="6" t="s">
        <v>6803</v>
      </c>
      <c r="B347" s="6" t="s">
        <v>558</v>
      </c>
      <c r="C347" s="6" t="s">
        <v>15</v>
      </c>
      <c r="D347" s="6" t="s">
        <v>44</v>
      </c>
      <c r="E347" s="6" t="n">
        <f aca="false">ROUND(7876*1.05,2)</f>
        <v>8269.8</v>
      </c>
      <c r="F347" s="6" t="s">
        <v>45</v>
      </c>
      <c r="G347" s="6" t="s">
        <v>30</v>
      </c>
      <c r="H347" s="6" t="n">
        <f aca="true">ROUND(RAND()*4+6,1)</f>
        <v>6.8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6804</v>
      </c>
      <c r="B348" s="5" t="s">
        <v>560</v>
      </c>
      <c r="C348" s="5" t="s">
        <v>15</v>
      </c>
      <c r="D348" s="5" t="s">
        <v>16</v>
      </c>
      <c r="E348" s="5" t="n">
        <f aca="false">ROUND(11619*1.05,2)</f>
        <v>12199.95</v>
      </c>
      <c r="F348" s="5" t="s">
        <v>49</v>
      </c>
      <c r="G348" s="5" t="s">
        <v>18</v>
      </c>
      <c r="H348" s="5" t="n">
        <f aca="true">ROUND(RAND()*4+6,1)</f>
        <v>9.4</v>
      </c>
      <c r="I348" s="5" t="s">
        <v>19</v>
      </c>
      <c r="J348" s="5" t="str">
        <f aca="false">ROUND(76*1,0)&amp;"%"</f>
        <v>76%</v>
      </c>
    </row>
    <row r="349" customFormat="false" ht="15" hidden="false" customHeight="false" outlineLevel="0" collapsed="false">
      <c r="A349" s="6" t="s">
        <v>6805</v>
      </c>
      <c r="B349" s="6" t="s">
        <v>562</v>
      </c>
      <c r="C349" s="6" t="s">
        <v>15</v>
      </c>
      <c r="D349" s="6" t="s">
        <v>22</v>
      </c>
      <c r="E349" s="6" t="n">
        <f aca="false">ROUND(9554*1.05,2)</f>
        <v>10031.7</v>
      </c>
      <c r="F349" s="6" t="s">
        <v>52</v>
      </c>
      <c r="G349" s="6" t="s">
        <v>24</v>
      </c>
      <c r="H349" s="6" t="n">
        <f aca="true">ROUND(RAND()*4+6,1)</f>
        <v>7.1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6806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6807</v>
      </c>
      <c r="B354" s="5" t="s">
        <v>566</v>
      </c>
      <c r="C354" s="5" t="s">
        <v>57</v>
      </c>
      <c r="D354" s="5" t="s">
        <v>16</v>
      </c>
      <c r="E354" s="5" t="n">
        <f aca="false">ROUND(6358*1.05,2)</f>
        <v>6675.9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ROUND(69*1,0)&amp;"%"</f>
        <v>69%</v>
      </c>
    </row>
    <row r="355" customFormat="false" ht="15" hidden="false" customHeight="false" outlineLevel="0" collapsed="false">
      <c r="A355" s="6" t="s">
        <v>6808</v>
      </c>
      <c r="B355" s="6" t="s">
        <v>568</v>
      </c>
      <c r="C355" s="6" t="s">
        <v>57</v>
      </c>
      <c r="D355" s="6" t="s">
        <v>22</v>
      </c>
      <c r="E355" s="6" t="n">
        <f aca="false">ROUND(12132*1.05,2)</f>
        <v>12738.6</v>
      </c>
      <c r="F355" s="6" t="s">
        <v>23</v>
      </c>
      <c r="G355" s="6" t="s">
        <v>24</v>
      </c>
      <c r="H355" s="6" t="n">
        <f aca="true">ROUND(RAND()*4+6,1)</f>
        <v>6.6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6809</v>
      </c>
      <c r="B356" s="5" t="s">
        <v>570</v>
      </c>
      <c r="C356" s="5" t="s">
        <v>57</v>
      </c>
      <c r="D356" s="5" t="s">
        <v>28</v>
      </c>
      <c r="E356" s="5" t="n">
        <f aca="false">ROUND(17591*1.05,2)</f>
        <v>18470.55</v>
      </c>
      <c r="F356" s="5" t="s">
        <v>29</v>
      </c>
      <c r="G356" s="5" t="s">
        <v>30</v>
      </c>
      <c r="H356" s="5" t="n">
        <f aca="true">ROUND(RAND()*4+6,1)</f>
        <v>6</v>
      </c>
      <c r="I356" s="5" t="s">
        <v>31</v>
      </c>
      <c r="J356" s="5" t="str">
        <f aca="false">ROUND(88*1,0)&amp;"%"</f>
        <v>88%</v>
      </c>
    </row>
    <row r="357" customFormat="false" ht="15" hidden="false" customHeight="false" outlineLevel="0" collapsed="false">
      <c r="A357" s="6" t="s">
        <v>6810</v>
      </c>
      <c r="B357" s="6" t="s">
        <v>572</v>
      </c>
      <c r="C357" s="6" t="s">
        <v>57</v>
      </c>
      <c r="D357" s="6" t="s">
        <v>34</v>
      </c>
      <c r="E357" s="6" t="n">
        <f aca="false">ROUND(13520*1.05,2)</f>
        <v>14196</v>
      </c>
      <c r="F357" s="6" t="s">
        <v>35</v>
      </c>
      <c r="G357" s="6" t="s">
        <v>18</v>
      </c>
      <c r="H357" s="6" t="n">
        <f aca="true">ROUND(RAND()*4+6,1)</f>
        <v>7.4</v>
      </c>
      <c r="I357" s="6" t="s">
        <v>36</v>
      </c>
      <c r="J357" s="6" t="str">
        <f aca="false">ROUND(98*1,0)&amp;"%"</f>
        <v>98%</v>
      </c>
    </row>
    <row r="358" customFormat="false" ht="15" hidden="false" customHeight="false" outlineLevel="0" collapsed="false">
      <c r="A358" s="5" t="s">
        <v>6811</v>
      </c>
      <c r="B358" s="5" t="s">
        <v>574</v>
      </c>
      <c r="C358" s="5" t="s">
        <v>57</v>
      </c>
      <c r="D358" s="5" t="s">
        <v>39</v>
      </c>
      <c r="E358" s="5" t="n">
        <f aca="false">ROUND(9549*1.05,2)</f>
        <v>10026.45</v>
      </c>
      <c r="F358" s="5" t="s">
        <v>40</v>
      </c>
      <c r="G358" s="5" t="s">
        <v>24</v>
      </c>
      <c r="H358" s="5" t="n">
        <f aca="true">ROUND(RAND()*4+6,1)</f>
        <v>7.9</v>
      </c>
      <c r="I358" s="5" t="s">
        <v>41</v>
      </c>
      <c r="J358" s="5" t="str">
        <f aca="false">ROUND(83*1,0)&amp;"%"</f>
        <v>83%</v>
      </c>
    </row>
    <row r="359" customFormat="false" ht="15" hidden="false" customHeight="false" outlineLevel="0" collapsed="false">
      <c r="A359" s="6" t="s">
        <v>6812</v>
      </c>
      <c r="B359" s="6" t="s">
        <v>576</v>
      </c>
      <c r="C359" s="6" t="s">
        <v>57</v>
      </c>
      <c r="D359" s="6" t="s">
        <v>44</v>
      </c>
      <c r="E359" s="6" t="n">
        <f aca="false">ROUND(9420*1.05,2)</f>
        <v>9891</v>
      </c>
      <c r="F359" s="6" t="s">
        <v>45</v>
      </c>
      <c r="G359" s="6" t="s">
        <v>30</v>
      </c>
      <c r="H359" s="6" t="n">
        <f aca="true">ROUND(RAND()*4+6,1)</f>
        <v>6.1</v>
      </c>
      <c r="I359" s="6" t="s">
        <v>46</v>
      </c>
      <c r="J359" s="6" t="str">
        <f aca="false">ROUND(63*1,0)&amp;"%"</f>
        <v>63%</v>
      </c>
    </row>
    <row r="360" customFormat="false" ht="15" hidden="false" customHeight="false" outlineLevel="0" collapsed="false">
      <c r="A360" s="5" t="s">
        <v>6813</v>
      </c>
      <c r="B360" s="5" t="s">
        <v>578</v>
      </c>
      <c r="C360" s="5" t="s">
        <v>57</v>
      </c>
      <c r="D360" s="5" t="s">
        <v>16</v>
      </c>
      <c r="E360" s="5" t="n">
        <f aca="false">ROUND(16566*1.05,2)</f>
        <v>17394.3</v>
      </c>
      <c r="F360" s="5" t="s">
        <v>49</v>
      </c>
      <c r="G360" s="5" t="s">
        <v>18</v>
      </c>
      <c r="H360" s="5" t="n">
        <f aca="true">ROUND(RAND()*4+6,1)</f>
        <v>7.5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6814</v>
      </c>
      <c r="B361" s="6" t="s">
        <v>580</v>
      </c>
      <c r="C361" s="6" t="s">
        <v>57</v>
      </c>
      <c r="D361" s="6" t="s">
        <v>22</v>
      </c>
      <c r="E361" s="6" t="n">
        <f aca="false">ROUND(4894*1.05,2)</f>
        <v>5138.7</v>
      </c>
      <c r="F361" s="6" t="s">
        <v>52</v>
      </c>
      <c r="G361" s="6" t="s">
        <v>24</v>
      </c>
      <c r="H361" s="6" t="n">
        <f aca="true">ROUND(RAND()*4+6,1)</f>
        <v>8.6</v>
      </c>
      <c r="I361" s="6" t="s">
        <v>25</v>
      </c>
      <c r="J361" s="6" t="str">
        <f aca="false">ROUND(72*1,0)&amp;"%"</f>
        <v>72%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6815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6816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6817</v>
      </c>
      <c r="B6" s="5" t="s">
        <v>14</v>
      </c>
      <c r="C6" s="5" t="s">
        <v>15</v>
      </c>
      <c r="D6" s="5" t="s">
        <v>16</v>
      </c>
      <c r="E6" s="5" t="n">
        <f aca="false">ROUND(4572*1.05,2)</f>
        <v>4800.6</v>
      </c>
      <c r="F6" s="5" t="s">
        <v>17</v>
      </c>
      <c r="G6" s="5" t="s">
        <v>18</v>
      </c>
      <c r="H6" s="5" t="n">
        <f aca="true">ROUND(RAND()*4+6,1)</f>
        <v>6.9</v>
      </c>
      <c r="I6" s="5" t="s">
        <v>19</v>
      </c>
      <c r="J6" s="5" t="str">
        <f aca="false">ROUND(70*1,0)&amp;"%"</f>
        <v>70%</v>
      </c>
    </row>
    <row r="7" customFormat="false" ht="15" hidden="false" customHeight="false" outlineLevel="0" collapsed="false">
      <c r="A7" s="6" t="s">
        <v>6818</v>
      </c>
      <c r="B7" s="6" t="s">
        <v>21</v>
      </c>
      <c r="C7" s="6" t="s">
        <v>15</v>
      </c>
      <c r="D7" s="6" t="s">
        <v>22</v>
      </c>
      <c r="E7" s="6" t="n">
        <f aca="false">ROUND(5897*1.05,2)</f>
        <v>6191.85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ROUND(65*1,0)&amp;"%"</f>
        <v>65%</v>
      </c>
    </row>
    <row r="8" customFormat="false" ht="15" hidden="false" customHeight="false" outlineLevel="0" collapsed="false">
      <c r="A8" s="5" t="s">
        <v>6819</v>
      </c>
      <c r="B8" s="5" t="s">
        <v>27</v>
      </c>
      <c r="C8" s="5" t="s">
        <v>15</v>
      </c>
      <c r="D8" s="5" t="s">
        <v>28</v>
      </c>
      <c r="E8" s="5" t="n">
        <f aca="false">ROUND(6775*1.05,2)</f>
        <v>7113.75</v>
      </c>
      <c r="F8" s="5" t="s">
        <v>29</v>
      </c>
      <c r="G8" s="5" t="s">
        <v>30</v>
      </c>
      <c r="H8" s="5" t="n">
        <f aca="true">ROUND(RAND()*4+6,1)</f>
        <v>7.7</v>
      </c>
      <c r="I8" s="5" t="s">
        <v>31</v>
      </c>
      <c r="J8" s="5" t="str">
        <f aca="false">ROUND(81*1,0)&amp;"%"</f>
        <v>81%</v>
      </c>
    </row>
    <row r="9" customFormat="false" ht="15" hidden="false" customHeight="false" outlineLevel="0" collapsed="false">
      <c r="A9" s="6" t="s">
        <v>6820</v>
      </c>
      <c r="B9" s="6" t="s">
        <v>33</v>
      </c>
      <c r="C9" s="6" t="s">
        <v>15</v>
      </c>
      <c r="D9" s="6" t="s">
        <v>34</v>
      </c>
      <c r="E9" s="6" t="n">
        <f aca="false">ROUND(15798*1.05,2)</f>
        <v>16587.9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ROUND(81*1,0)&amp;"%"</f>
        <v>81%</v>
      </c>
    </row>
    <row r="10" customFormat="false" ht="15" hidden="false" customHeight="false" outlineLevel="0" collapsed="false">
      <c r="A10" s="5" t="s">
        <v>6821</v>
      </c>
      <c r="B10" s="5" t="s">
        <v>38</v>
      </c>
      <c r="C10" s="5" t="s">
        <v>15</v>
      </c>
      <c r="D10" s="5" t="s">
        <v>39</v>
      </c>
      <c r="E10" s="5" t="n">
        <f aca="false">ROUND(13830*1.05,2)</f>
        <v>14521.5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ROUND(99*1,0)&amp;"%"</f>
        <v>99%</v>
      </c>
    </row>
    <row r="11" customFormat="false" ht="15" hidden="false" customHeight="false" outlineLevel="0" collapsed="false">
      <c r="A11" s="6" t="s">
        <v>6822</v>
      </c>
      <c r="B11" s="6" t="s">
        <v>43</v>
      </c>
      <c r="C11" s="6" t="s">
        <v>15</v>
      </c>
      <c r="D11" s="6" t="s">
        <v>44</v>
      </c>
      <c r="E11" s="6" t="n">
        <f aca="false">ROUND(7555*1.05,2)</f>
        <v>7932.75</v>
      </c>
      <c r="F11" s="6" t="s">
        <v>45</v>
      </c>
      <c r="G11" s="6" t="s">
        <v>30</v>
      </c>
      <c r="H11" s="6" t="n">
        <f aca="true">ROUND(RAND()*4+6,1)</f>
        <v>9.8</v>
      </c>
      <c r="I11" s="6" t="s">
        <v>46</v>
      </c>
      <c r="J11" s="6" t="str">
        <f aca="false">ROUND(67*1,0)&amp;"%"</f>
        <v>67%</v>
      </c>
    </row>
    <row r="12" customFormat="false" ht="15" hidden="false" customHeight="false" outlineLevel="0" collapsed="false">
      <c r="A12" s="5" t="s">
        <v>6823</v>
      </c>
      <c r="B12" s="5" t="s">
        <v>48</v>
      </c>
      <c r="C12" s="5" t="s">
        <v>15</v>
      </c>
      <c r="D12" s="5" t="s">
        <v>16</v>
      </c>
      <c r="E12" s="5" t="n">
        <f aca="false">ROUND(13414*1.05,2)</f>
        <v>14084.7</v>
      </c>
      <c r="F12" s="5" t="s">
        <v>49</v>
      </c>
      <c r="G12" s="5" t="s">
        <v>18</v>
      </c>
      <c r="H12" s="5" t="n">
        <f aca="true">ROUND(RAND()*4+6,1)</f>
        <v>7.1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6824</v>
      </c>
      <c r="B13" s="6" t="s">
        <v>51</v>
      </c>
      <c r="C13" s="6" t="s">
        <v>15</v>
      </c>
      <c r="D13" s="6" t="s">
        <v>22</v>
      </c>
      <c r="E13" s="6" t="n">
        <f aca="false">ROUND(15302*1.05,2)</f>
        <v>16067.1</v>
      </c>
      <c r="F13" s="6" t="s">
        <v>52</v>
      </c>
      <c r="G13" s="6" t="s">
        <v>24</v>
      </c>
      <c r="H13" s="6" t="n">
        <f aca="true">ROUND(RAND()*4+6,1)</f>
        <v>9.4</v>
      </c>
      <c r="I13" s="6" t="s">
        <v>25</v>
      </c>
      <c r="J13" s="6" t="str">
        <f aca="false">ROUND(87*1,0)&amp;"%"</f>
        <v>87%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6825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6826</v>
      </c>
      <c r="B18" s="5" t="s">
        <v>56</v>
      </c>
      <c r="C18" s="5" t="s">
        <v>57</v>
      </c>
      <c r="D18" s="5" t="s">
        <v>16</v>
      </c>
      <c r="E18" s="5" t="n">
        <f aca="false">ROUND(17160*1.05,2)</f>
        <v>18018</v>
      </c>
      <c r="F18" s="5" t="s">
        <v>17</v>
      </c>
      <c r="G18" s="5" t="s">
        <v>18</v>
      </c>
      <c r="H18" s="5" t="n">
        <f aca="true">ROUND(RAND()*4+6,1)</f>
        <v>9.9</v>
      </c>
      <c r="I18" s="5" t="s">
        <v>19</v>
      </c>
      <c r="J18" s="5" t="str">
        <f aca="false">ROUND(63*1,0)&amp;"%"</f>
        <v>63%</v>
      </c>
    </row>
    <row r="19" customFormat="false" ht="15" hidden="false" customHeight="false" outlineLevel="0" collapsed="false">
      <c r="A19" s="6" t="s">
        <v>6827</v>
      </c>
      <c r="B19" s="6" t="s">
        <v>59</v>
      </c>
      <c r="C19" s="6" t="s">
        <v>57</v>
      </c>
      <c r="D19" s="6" t="s">
        <v>22</v>
      </c>
      <c r="E19" s="6" t="n">
        <f aca="false">ROUND(6302*1.05,2)</f>
        <v>6617.1</v>
      </c>
      <c r="F19" s="6" t="s">
        <v>23</v>
      </c>
      <c r="G19" s="6" t="s">
        <v>24</v>
      </c>
      <c r="H19" s="6" t="n">
        <f aca="true">ROUND(RAND()*4+6,1)</f>
        <v>7.5</v>
      </c>
      <c r="I19" s="6" t="s">
        <v>25</v>
      </c>
      <c r="J19" s="6" t="str">
        <f aca="false">ROUND(60*1,0)&amp;"%"</f>
        <v>60%</v>
      </c>
    </row>
    <row r="20" customFormat="false" ht="15" hidden="false" customHeight="false" outlineLevel="0" collapsed="false">
      <c r="A20" s="5" t="s">
        <v>6828</v>
      </c>
      <c r="B20" s="5" t="s">
        <v>61</v>
      </c>
      <c r="C20" s="5" t="s">
        <v>57</v>
      </c>
      <c r="D20" s="5" t="s">
        <v>28</v>
      </c>
      <c r="E20" s="5" t="n">
        <f aca="false">ROUND(11913*1.05,2)</f>
        <v>12508.65</v>
      </c>
      <c r="F20" s="5" t="s">
        <v>29</v>
      </c>
      <c r="G20" s="5" t="s">
        <v>30</v>
      </c>
      <c r="H20" s="5" t="n">
        <f aca="true">ROUND(RAND()*4+6,1)</f>
        <v>9.3</v>
      </c>
      <c r="I20" s="5" t="s">
        <v>31</v>
      </c>
      <c r="J20" s="5" t="str">
        <f aca="false">ROUND(84*1,0)&amp;"%"</f>
        <v>84%</v>
      </c>
    </row>
    <row r="21" customFormat="false" ht="15" hidden="false" customHeight="false" outlineLevel="0" collapsed="false">
      <c r="A21" s="6" t="s">
        <v>6829</v>
      </c>
      <c r="B21" s="6" t="s">
        <v>63</v>
      </c>
      <c r="C21" s="6" t="s">
        <v>57</v>
      </c>
      <c r="D21" s="6" t="s">
        <v>34</v>
      </c>
      <c r="E21" s="6" t="n">
        <f aca="false">ROUND(11110*1.05,2)</f>
        <v>11665.5</v>
      </c>
      <c r="F21" s="6" t="s">
        <v>35</v>
      </c>
      <c r="G21" s="6" t="s">
        <v>18</v>
      </c>
      <c r="H21" s="6" t="n">
        <f aca="true">ROUND(RAND()*4+6,1)</f>
        <v>8</v>
      </c>
      <c r="I21" s="6" t="s">
        <v>36</v>
      </c>
      <c r="J21" s="6" t="str">
        <f aca="false">ROUND(81*1,0)&amp;"%"</f>
        <v>81%</v>
      </c>
    </row>
    <row r="22" customFormat="false" ht="15" hidden="false" customHeight="false" outlineLevel="0" collapsed="false">
      <c r="A22" s="5" t="s">
        <v>6830</v>
      </c>
      <c r="B22" s="5" t="s">
        <v>65</v>
      </c>
      <c r="C22" s="5" t="s">
        <v>57</v>
      </c>
      <c r="D22" s="5" t="s">
        <v>39</v>
      </c>
      <c r="E22" s="5" t="n">
        <f aca="false">ROUND(5242*1.05,2)</f>
        <v>5504.1</v>
      </c>
      <c r="F22" s="5" t="s">
        <v>40</v>
      </c>
      <c r="G22" s="5" t="s">
        <v>24</v>
      </c>
      <c r="H22" s="5" t="n">
        <f aca="true">ROUND(RAND()*4+6,1)</f>
        <v>8.8</v>
      </c>
      <c r="I22" s="5" t="s">
        <v>41</v>
      </c>
      <c r="J22" s="5" t="str">
        <f aca="false">ROUND(77*1,0)&amp;"%"</f>
        <v>77%</v>
      </c>
    </row>
    <row r="23" customFormat="false" ht="15" hidden="false" customHeight="false" outlineLevel="0" collapsed="false">
      <c r="A23" s="6" t="s">
        <v>6831</v>
      </c>
      <c r="B23" s="6" t="s">
        <v>67</v>
      </c>
      <c r="C23" s="6" t="s">
        <v>57</v>
      </c>
      <c r="D23" s="6" t="s">
        <v>44</v>
      </c>
      <c r="E23" s="6" t="n">
        <f aca="false">ROUND(16777*1.05,2)</f>
        <v>17615.85</v>
      </c>
      <c r="F23" s="6" t="s">
        <v>45</v>
      </c>
      <c r="G23" s="6" t="s">
        <v>30</v>
      </c>
      <c r="H23" s="6" t="n">
        <f aca="true">ROUND(RAND()*4+6,1)</f>
        <v>9.9</v>
      </c>
      <c r="I23" s="6" t="s">
        <v>46</v>
      </c>
      <c r="J23" s="6" t="str">
        <f aca="false">ROUND(92*1,0)&amp;"%"</f>
        <v>92%</v>
      </c>
    </row>
    <row r="24" customFormat="false" ht="15" hidden="false" customHeight="false" outlineLevel="0" collapsed="false">
      <c r="A24" s="5" t="s">
        <v>6832</v>
      </c>
      <c r="B24" s="5" t="s">
        <v>69</v>
      </c>
      <c r="C24" s="5" t="s">
        <v>57</v>
      </c>
      <c r="D24" s="5" t="s">
        <v>16</v>
      </c>
      <c r="E24" s="5" t="n">
        <f aca="false">ROUND(8929*1.05,2)</f>
        <v>9375.45</v>
      </c>
      <c r="F24" s="5" t="s">
        <v>49</v>
      </c>
      <c r="G24" s="5" t="s">
        <v>18</v>
      </c>
      <c r="H24" s="5" t="n">
        <f aca="true">ROUND(RAND()*4+6,1)</f>
        <v>6.7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6833</v>
      </c>
      <c r="B25" s="6" t="s">
        <v>71</v>
      </c>
      <c r="C25" s="6" t="s">
        <v>57</v>
      </c>
      <c r="D25" s="6" t="s">
        <v>22</v>
      </c>
      <c r="E25" s="6" t="n">
        <f aca="false">ROUND(8307*1.05,2)</f>
        <v>8722.35</v>
      </c>
      <c r="F25" s="6" t="s">
        <v>52</v>
      </c>
      <c r="G25" s="6" t="s">
        <v>24</v>
      </c>
      <c r="H25" s="6" t="n">
        <f aca="true">ROUND(RAND()*4+6,1)</f>
        <v>7.7</v>
      </c>
      <c r="I25" s="6" t="s">
        <v>25</v>
      </c>
      <c r="J25" s="6" t="str">
        <f aca="false">ROUND(96*1,0)&amp;"%"</f>
        <v>96%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6834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6835</v>
      </c>
      <c r="B30" s="5" t="s">
        <v>75</v>
      </c>
      <c r="C30" s="5" t="s">
        <v>76</v>
      </c>
      <c r="D30" s="5" t="s">
        <v>16</v>
      </c>
      <c r="E30" s="5" t="n">
        <f aca="false">ROUND(11476*1.05,2)</f>
        <v>12049.8</v>
      </c>
      <c r="F30" s="5" t="s">
        <v>17</v>
      </c>
      <c r="G30" s="5" t="s">
        <v>18</v>
      </c>
      <c r="H30" s="5" t="n">
        <f aca="true">ROUND(RAND()*4+6,1)</f>
        <v>7.4</v>
      </c>
      <c r="I30" s="5" t="s">
        <v>19</v>
      </c>
      <c r="J30" s="5" t="str">
        <f aca="false">ROUND(80*1,0)&amp;"%"</f>
        <v>80%</v>
      </c>
    </row>
    <row r="31" customFormat="false" ht="15" hidden="false" customHeight="false" outlineLevel="0" collapsed="false">
      <c r="A31" s="6" t="s">
        <v>6836</v>
      </c>
      <c r="B31" s="6" t="s">
        <v>78</v>
      </c>
      <c r="C31" s="6" t="s">
        <v>76</v>
      </c>
      <c r="D31" s="6" t="s">
        <v>22</v>
      </c>
      <c r="E31" s="6" t="n">
        <f aca="false">ROUND(4907*1.05,2)</f>
        <v>5152.35</v>
      </c>
      <c r="F31" s="6" t="s">
        <v>23</v>
      </c>
      <c r="G31" s="6" t="s">
        <v>24</v>
      </c>
      <c r="H31" s="6" t="n">
        <f aca="true">ROUND(RAND()*4+6,1)</f>
        <v>9.7</v>
      </c>
      <c r="I31" s="6" t="s">
        <v>25</v>
      </c>
      <c r="J31" s="6" t="str">
        <f aca="false">ROUND(73*1,0)&amp;"%"</f>
        <v>73%</v>
      </c>
    </row>
    <row r="32" customFormat="false" ht="15" hidden="false" customHeight="false" outlineLevel="0" collapsed="false">
      <c r="A32" s="5" t="s">
        <v>6837</v>
      </c>
      <c r="B32" s="5" t="s">
        <v>80</v>
      </c>
      <c r="C32" s="5" t="s">
        <v>76</v>
      </c>
      <c r="D32" s="5" t="s">
        <v>28</v>
      </c>
      <c r="E32" s="5" t="n">
        <f aca="false">ROUND(7205*1.05,2)</f>
        <v>7565.25</v>
      </c>
      <c r="F32" s="5" t="s">
        <v>29</v>
      </c>
      <c r="G32" s="5" t="s">
        <v>30</v>
      </c>
      <c r="H32" s="5" t="n">
        <f aca="true">ROUND(RAND()*4+6,1)</f>
        <v>10</v>
      </c>
      <c r="I32" s="5" t="s">
        <v>31</v>
      </c>
      <c r="J32" s="5" t="str">
        <f aca="false">ROUND(90*1,0)&amp;"%"</f>
        <v>90%</v>
      </c>
    </row>
    <row r="33" customFormat="false" ht="15" hidden="false" customHeight="false" outlineLevel="0" collapsed="false">
      <c r="A33" s="6" t="s">
        <v>6838</v>
      </c>
      <c r="B33" s="6" t="s">
        <v>82</v>
      </c>
      <c r="C33" s="6" t="s">
        <v>76</v>
      </c>
      <c r="D33" s="6" t="s">
        <v>34</v>
      </c>
      <c r="E33" s="6" t="n">
        <f aca="false">ROUND(4953*1.05,2)</f>
        <v>5200.65</v>
      </c>
      <c r="F33" s="6" t="s">
        <v>35</v>
      </c>
      <c r="G33" s="6" t="s">
        <v>18</v>
      </c>
      <c r="H33" s="6" t="n">
        <f aca="true">ROUND(RAND()*4+6,1)</f>
        <v>8.4</v>
      </c>
      <c r="I33" s="6" t="s">
        <v>36</v>
      </c>
      <c r="J33" s="6" t="str">
        <f aca="false">ROUND(93*1,0)&amp;"%"</f>
        <v>93%</v>
      </c>
    </row>
    <row r="34" customFormat="false" ht="15" hidden="false" customHeight="false" outlineLevel="0" collapsed="false">
      <c r="A34" s="5" t="s">
        <v>6839</v>
      </c>
      <c r="B34" s="5" t="s">
        <v>84</v>
      </c>
      <c r="C34" s="5" t="s">
        <v>76</v>
      </c>
      <c r="D34" s="5" t="s">
        <v>39</v>
      </c>
      <c r="E34" s="5" t="n">
        <f aca="false">ROUND(12446*1.05,2)</f>
        <v>13068.3</v>
      </c>
      <c r="F34" s="5" t="s">
        <v>40</v>
      </c>
      <c r="G34" s="5" t="s">
        <v>24</v>
      </c>
      <c r="H34" s="5" t="n">
        <f aca="true">ROUND(RAND()*4+6,1)</f>
        <v>8.9</v>
      </c>
      <c r="I34" s="5" t="s">
        <v>41</v>
      </c>
      <c r="J34" s="5" t="str">
        <f aca="false">ROUND(89*1,0)&amp;"%"</f>
        <v>89%</v>
      </c>
    </row>
    <row r="35" customFormat="false" ht="15" hidden="false" customHeight="false" outlineLevel="0" collapsed="false">
      <c r="A35" s="6" t="s">
        <v>6840</v>
      </c>
      <c r="B35" s="6" t="s">
        <v>86</v>
      </c>
      <c r="C35" s="6" t="s">
        <v>76</v>
      </c>
      <c r="D35" s="6" t="s">
        <v>44</v>
      </c>
      <c r="E35" s="6" t="n">
        <f aca="false">ROUND(4207*1.05,2)</f>
        <v>4417.35</v>
      </c>
      <c r="F35" s="6" t="s">
        <v>45</v>
      </c>
      <c r="G35" s="6" t="s">
        <v>30</v>
      </c>
      <c r="H35" s="6" t="n">
        <f aca="true">ROUND(RAND()*4+6,1)</f>
        <v>7</v>
      </c>
      <c r="I35" s="6" t="s">
        <v>46</v>
      </c>
      <c r="J35" s="6" t="str">
        <f aca="false">ROUND(73*1,0)&amp;"%"</f>
        <v>73%</v>
      </c>
    </row>
    <row r="36" customFormat="false" ht="15" hidden="false" customHeight="false" outlineLevel="0" collapsed="false">
      <c r="A36" s="5" t="s">
        <v>6841</v>
      </c>
      <c r="B36" s="5" t="s">
        <v>88</v>
      </c>
      <c r="C36" s="5" t="s">
        <v>76</v>
      </c>
      <c r="D36" s="5" t="s">
        <v>16</v>
      </c>
      <c r="E36" s="5" t="n">
        <f aca="false">ROUND(10748*1.05,2)</f>
        <v>11285.4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ROUND(91*1,0)&amp;"%"</f>
        <v>91%</v>
      </c>
    </row>
    <row r="37" customFormat="false" ht="15" hidden="false" customHeight="false" outlineLevel="0" collapsed="false">
      <c r="A37" s="6" t="s">
        <v>6842</v>
      </c>
      <c r="B37" s="6" t="s">
        <v>90</v>
      </c>
      <c r="C37" s="6" t="s">
        <v>76</v>
      </c>
      <c r="D37" s="6" t="s">
        <v>22</v>
      </c>
      <c r="E37" s="6" t="n">
        <f aca="false">ROUND(14166*1.05,2)</f>
        <v>14874.3</v>
      </c>
      <c r="F37" s="6" t="s">
        <v>52</v>
      </c>
      <c r="G37" s="6" t="s">
        <v>24</v>
      </c>
      <c r="H37" s="6" t="n">
        <f aca="true">ROUND(RAND()*4+6,1)</f>
        <v>9.8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6843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6844</v>
      </c>
      <c r="B42" s="5" t="s">
        <v>94</v>
      </c>
      <c r="C42" s="5" t="s">
        <v>95</v>
      </c>
      <c r="D42" s="5" t="s">
        <v>16</v>
      </c>
      <c r="E42" s="5" t="n">
        <f aca="false">ROUND(5307*1.05,2)</f>
        <v>5572.35</v>
      </c>
      <c r="F42" s="5" t="s">
        <v>17</v>
      </c>
      <c r="G42" s="5" t="s">
        <v>18</v>
      </c>
      <c r="H42" s="5" t="n">
        <f aca="true">ROUND(RAND()*4+6,1)</f>
        <v>8.4</v>
      </c>
      <c r="I42" s="5" t="s">
        <v>19</v>
      </c>
      <c r="J42" s="5" t="str">
        <f aca="false">ROUND(97*1,0)&amp;"%"</f>
        <v>97%</v>
      </c>
    </row>
    <row r="43" customFormat="false" ht="15" hidden="false" customHeight="false" outlineLevel="0" collapsed="false">
      <c r="A43" s="6" t="s">
        <v>6845</v>
      </c>
      <c r="B43" s="6" t="s">
        <v>97</v>
      </c>
      <c r="C43" s="6" t="s">
        <v>95</v>
      </c>
      <c r="D43" s="6" t="s">
        <v>22</v>
      </c>
      <c r="E43" s="6" t="n">
        <f aca="false">ROUND(15901*1.05,2)</f>
        <v>16696.05</v>
      </c>
      <c r="F43" s="6" t="s">
        <v>23</v>
      </c>
      <c r="G43" s="6" t="s">
        <v>24</v>
      </c>
      <c r="H43" s="6" t="n">
        <f aca="true">ROUND(RAND()*4+6,1)</f>
        <v>6.1</v>
      </c>
      <c r="I43" s="6" t="s">
        <v>25</v>
      </c>
      <c r="J43" s="6" t="str">
        <f aca="false">ROUND(78*1,0)&amp;"%"</f>
        <v>78%</v>
      </c>
    </row>
    <row r="44" customFormat="false" ht="15" hidden="false" customHeight="false" outlineLevel="0" collapsed="false">
      <c r="A44" s="5" t="s">
        <v>6846</v>
      </c>
      <c r="B44" s="5" t="s">
        <v>99</v>
      </c>
      <c r="C44" s="5" t="s">
        <v>95</v>
      </c>
      <c r="D44" s="5" t="s">
        <v>28</v>
      </c>
      <c r="E44" s="5" t="n">
        <f aca="false">ROUND(7772*1.05,2)</f>
        <v>8160.6</v>
      </c>
      <c r="F44" s="5" t="s">
        <v>29</v>
      </c>
      <c r="G44" s="5" t="s">
        <v>30</v>
      </c>
      <c r="H44" s="5" t="n">
        <f aca="true">ROUND(RAND()*4+6,1)</f>
        <v>7.5</v>
      </c>
      <c r="I44" s="5" t="s">
        <v>31</v>
      </c>
      <c r="J44" s="5" t="str">
        <f aca="false">ROUND(79*1,0)&amp;"%"</f>
        <v>79%</v>
      </c>
    </row>
    <row r="45" customFormat="false" ht="15" hidden="false" customHeight="false" outlineLevel="0" collapsed="false">
      <c r="A45" s="6" t="s">
        <v>6847</v>
      </c>
      <c r="B45" s="6" t="s">
        <v>101</v>
      </c>
      <c r="C45" s="6" t="s">
        <v>95</v>
      </c>
      <c r="D45" s="6" t="s">
        <v>34</v>
      </c>
      <c r="E45" s="6" t="n">
        <f aca="false">ROUND(7248*1.05,2)</f>
        <v>7610.4</v>
      </c>
      <c r="F45" s="6" t="s">
        <v>35</v>
      </c>
      <c r="G45" s="6" t="s">
        <v>18</v>
      </c>
      <c r="H45" s="6" t="n">
        <f aca="true">ROUND(RAND()*4+6,1)</f>
        <v>7.4</v>
      </c>
      <c r="I45" s="6" t="s">
        <v>36</v>
      </c>
      <c r="J45" s="6" t="str">
        <f aca="false">ROUND(80*1,0)&amp;"%"</f>
        <v>80%</v>
      </c>
    </row>
    <row r="46" customFormat="false" ht="15" hidden="false" customHeight="false" outlineLevel="0" collapsed="false">
      <c r="A46" s="5" t="s">
        <v>6848</v>
      </c>
      <c r="B46" s="5" t="s">
        <v>103</v>
      </c>
      <c r="C46" s="5" t="s">
        <v>95</v>
      </c>
      <c r="D46" s="5" t="s">
        <v>39</v>
      </c>
      <c r="E46" s="5" t="n">
        <f aca="false">ROUND(12941*1.05,2)</f>
        <v>13588.05</v>
      </c>
      <c r="F46" s="5" t="s">
        <v>40</v>
      </c>
      <c r="G46" s="5" t="s">
        <v>24</v>
      </c>
      <c r="H46" s="5" t="n">
        <f aca="true">ROUND(RAND()*4+6,1)</f>
        <v>8</v>
      </c>
      <c r="I46" s="5" t="s">
        <v>41</v>
      </c>
      <c r="J46" s="5" t="str">
        <f aca="false">ROUND(85*1,0)&amp;"%"</f>
        <v>85%</v>
      </c>
    </row>
    <row r="47" customFormat="false" ht="15" hidden="false" customHeight="false" outlineLevel="0" collapsed="false">
      <c r="A47" s="6" t="s">
        <v>6849</v>
      </c>
      <c r="B47" s="6" t="s">
        <v>105</v>
      </c>
      <c r="C47" s="6" t="s">
        <v>95</v>
      </c>
      <c r="D47" s="6" t="s">
        <v>44</v>
      </c>
      <c r="E47" s="6" t="n">
        <f aca="false">ROUND(4012*1.05,2)</f>
        <v>4212.6</v>
      </c>
      <c r="F47" s="6" t="s">
        <v>45</v>
      </c>
      <c r="G47" s="6" t="s">
        <v>30</v>
      </c>
      <c r="H47" s="6" t="n">
        <f aca="true">ROUND(RAND()*4+6,1)</f>
        <v>9.3</v>
      </c>
      <c r="I47" s="6" t="s">
        <v>46</v>
      </c>
      <c r="J47" s="6" t="str">
        <f aca="false">ROUND(84*1,0)&amp;"%"</f>
        <v>84%</v>
      </c>
    </row>
    <row r="48" customFormat="false" ht="15" hidden="false" customHeight="false" outlineLevel="0" collapsed="false">
      <c r="A48" s="5" t="s">
        <v>6850</v>
      </c>
      <c r="B48" s="5" t="s">
        <v>107</v>
      </c>
      <c r="C48" s="5" t="s">
        <v>95</v>
      </c>
      <c r="D48" s="5" t="s">
        <v>16</v>
      </c>
      <c r="E48" s="5" t="n">
        <f aca="false">ROUND(11659*1.05,2)</f>
        <v>12241.95</v>
      </c>
      <c r="F48" s="5" t="s">
        <v>49</v>
      </c>
      <c r="G48" s="5" t="s">
        <v>18</v>
      </c>
      <c r="H48" s="5" t="n">
        <f aca="true">ROUND(RAND()*4+6,1)</f>
        <v>7.4</v>
      </c>
      <c r="I48" s="5" t="s">
        <v>19</v>
      </c>
      <c r="J48" s="5" t="str">
        <f aca="false">ROUND(100*1,0)&amp;"%"</f>
        <v>100%</v>
      </c>
    </row>
    <row r="49" customFormat="false" ht="15" hidden="false" customHeight="false" outlineLevel="0" collapsed="false">
      <c r="A49" s="6" t="s">
        <v>6851</v>
      </c>
      <c r="B49" s="6" t="s">
        <v>109</v>
      </c>
      <c r="C49" s="6" t="s">
        <v>95</v>
      </c>
      <c r="D49" s="6" t="s">
        <v>22</v>
      </c>
      <c r="E49" s="6" t="n">
        <f aca="false">ROUND(14481*1.05,2)</f>
        <v>15205.05</v>
      </c>
      <c r="F49" s="6" t="s">
        <v>52</v>
      </c>
      <c r="G49" s="6" t="s">
        <v>24</v>
      </c>
      <c r="H49" s="6" t="n">
        <f aca="true">ROUND(RAND()*4+6,1)</f>
        <v>8.6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6852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6853</v>
      </c>
      <c r="B54" s="5" t="s">
        <v>113</v>
      </c>
      <c r="C54" s="5" t="s">
        <v>114</v>
      </c>
      <c r="D54" s="5" t="s">
        <v>16</v>
      </c>
      <c r="E54" s="5" t="n">
        <f aca="false">ROUND(16267*1.05,2)</f>
        <v>17080.35</v>
      </c>
      <c r="F54" s="5" t="s">
        <v>17</v>
      </c>
      <c r="G54" s="5" t="s">
        <v>18</v>
      </c>
      <c r="H54" s="5" t="n">
        <f aca="true">ROUND(RAND()*4+6,1)</f>
        <v>9.5</v>
      </c>
      <c r="I54" s="5" t="s">
        <v>19</v>
      </c>
      <c r="J54" s="5" t="str">
        <f aca="false">ROUND(82*1,0)&amp;"%"</f>
        <v>82%</v>
      </c>
    </row>
    <row r="55" customFormat="false" ht="15" hidden="false" customHeight="false" outlineLevel="0" collapsed="false">
      <c r="A55" s="6" t="s">
        <v>6854</v>
      </c>
      <c r="B55" s="6" t="s">
        <v>116</v>
      </c>
      <c r="C55" s="6" t="s">
        <v>114</v>
      </c>
      <c r="D55" s="6" t="s">
        <v>22</v>
      </c>
      <c r="E55" s="6" t="n">
        <f aca="false">ROUND(17455*1.05,2)</f>
        <v>18327.75</v>
      </c>
      <c r="F55" s="6" t="s">
        <v>23</v>
      </c>
      <c r="G55" s="6" t="s">
        <v>24</v>
      </c>
      <c r="H55" s="6" t="n">
        <f aca="true">ROUND(RAND()*4+6,1)</f>
        <v>8.8</v>
      </c>
      <c r="I55" s="6" t="s">
        <v>25</v>
      </c>
      <c r="J55" s="6" t="str">
        <f aca="false">ROUND(78*1,0)&amp;"%"</f>
        <v>78%</v>
      </c>
    </row>
    <row r="56" customFormat="false" ht="15" hidden="false" customHeight="false" outlineLevel="0" collapsed="false">
      <c r="A56" s="5" t="s">
        <v>6855</v>
      </c>
      <c r="B56" s="5" t="s">
        <v>118</v>
      </c>
      <c r="C56" s="5" t="s">
        <v>114</v>
      </c>
      <c r="D56" s="5" t="s">
        <v>28</v>
      </c>
      <c r="E56" s="5" t="n">
        <f aca="false">ROUND(15633*1.05,2)</f>
        <v>16414.65</v>
      </c>
      <c r="F56" s="5" t="s">
        <v>29</v>
      </c>
      <c r="G56" s="5" t="s">
        <v>30</v>
      </c>
      <c r="H56" s="5" t="n">
        <f aca="true">ROUND(RAND()*4+6,1)</f>
        <v>7.3</v>
      </c>
      <c r="I56" s="5" t="s">
        <v>31</v>
      </c>
      <c r="J56" s="5" t="str">
        <f aca="false">ROUND(91*1,0)&amp;"%"</f>
        <v>91%</v>
      </c>
    </row>
    <row r="57" customFormat="false" ht="15" hidden="false" customHeight="false" outlineLevel="0" collapsed="false">
      <c r="A57" s="6" t="s">
        <v>6856</v>
      </c>
      <c r="B57" s="6" t="s">
        <v>120</v>
      </c>
      <c r="C57" s="6" t="s">
        <v>114</v>
      </c>
      <c r="D57" s="6" t="s">
        <v>34</v>
      </c>
      <c r="E57" s="6" t="n">
        <f aca="false">ROUND(10334*1.05,2)</f>
        <v>10850.7</v>
      </c>
      <c r="F57" s="6" t="s">
        <v>35</v>
      </c>
      <c r="G57" s="6" t="s">
        <v>18</v>
      </c>
      <c r="H57" s="6" t="n">
        <f aca="true">ROUND(RAND()*4+6,1)</f>
        <v>9.9</v>
      </c>
      <c r="I57" s="6" t="s">
        <v>36</v>
      </c>
      <c r="J57" s="6" t="str">
        <f aca="false">ROUND(63*1,0)&amp;"%"</f>
        <v>63%</v>
      </c>
    </row>
    <row r="58" customFormat="false" ht="15" hidden="false" customHeight="false" outlineLevel="0" collapsed="false">
      <c r="A58" s="5" t="s">
        <v>6857</v>
      </c>
      <c r="B58" s="5" t="s">
        <v>122</v>
      </c>
      <c r="C58" s="5" t="s">
        <v>114</v>
      </c>
      <c r="D58" s="5" t="s">
        <v>39</v>
      </c>
      <c r="E58" s="5" t="n">
        <f aca="false">ROUND(7046*1.05,2)</f>
        <v>7398.3</v>
      </c>
      <c r="F58" s="5" t="s">
        <v>40</v>
      </c>
      <c r="G58" s="5" t="s">
        <v>24</v>
      </c>
      <c r="H58" s="5" t="n">
        <f aca="true">ROUND(RAND()*4+6,1)</f>
        <v>9.2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6858</v>
      </c>
      <c r="B59" s="6" t="s">
        <v>124</v>
      </c>
      <c r="C59" s="6" t="s">
        <v>114</v>
      </c>
      <c r="D59" s="6" t="s">
        <v>44</v>
      </c>
      <c r="E59" s="6" t="n">
        <f aca="false">ROUND(13552*1.05,2)</f>
        <v>14229.6</v>
      </c>
      <c r="F59" s="6" t="s">
        <v>45</v>
      </c>
      <c r="G59" s="6" t="s">
        <v>30</v>
      </c>
      <c r="H59" s="6" t="n">
        <f aca="true">ROUND(RAND()*4+6,1)</f>
        <v>9.3</v>
      </c>
      <c r="I59" s="6" t="s">
        <v>46</v>
      </c>
      <c r="J59" s="6" t="str">
        <f aca="false">ROUND(81*1,0)&amp;"%"</f>
        <v>81%</v>
      </c>
    </row>
    <row r="60" customFormat="false" ht="15" hidden="false" customHeight="false" outlineLevel="0" collapsed="false">
      <c r="A60" s="5" t="s">
        <v>6859</v>
      </c>
      <c r="B60" s="5" t="s">
        <v>126</v>
      </c>
      <c r="C60" s="5" t="s">
        <v>114</v>
      </c>
      <c r="D60" s="5" t="s">
        <v>16</v>
      </c>
      <c r="E60" s="5" t="n">
        <f aca="false">ROUND(12965*1.05,2)</f>
        <v>13613.25</v>
      </c>
      <c r="F60" s="5" t="s">
        <v>49</v>
      </c>
      <c r="G60" s="5" t="s">
        <v>18</v>
      </c>
      <c r="H60" s="5" t="n">
        <f aca="true">ROUND(RAND()*4+6,1)</f>
        <v>7.3</v>
      </c>
      <c r="I60" s="5" t="s">
        <v>19</v>
      </c>
      <c r="J60" s="5" t="str">
        <f aca="false">ROUND(99*1,0)&amp;"%"</f>
        <v>99%</v>
      </c>
    </row>
    <row r="61" customFormat="false" ht="15" hidden="false" customHeight="false" outlineLevel="0" collapsed="false">
      <c r="A61" s="6" t="s">
        <v>6860</v>
      </c>
      <c r="B61" s="6" t="s">
        <v>128</v>
      </c>
      <c r="C61" s="6" t="s">
        <v>114</v>
      </c>
      <c r="D61" s="6" t="s">
        <v>22</v>
      </c>
      <c r="E61" s="6" t="n">
        <f aca="false">ROUND(11543*1.05,2)</f>
        <v>12120.15</v>
      </c>
      <c r="F61" s="6" t="s">
        <v>52</v>
      </c>
      <c r="G61" s="6" t="s">
        <v>24</v>
      </c>
      <c r="H61" s="6" t="n">
        <f aca="true">ROUND(RAND()*4+6,1)</f>
        <v>8.2</v>
      </c>
      <c r="I61" s="6" t="s">
        <v>25</v>
      </c>
      <c r="J61" s="6" t="str">
        <f aca="false">ROUND(62*1,0)&amp;"%"</f>
        <v>62%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6861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6862</v>
      </c>
      <c r="B66" s="5" t="s">
        <v>132</v>
      </c>
      <c r="C66" s="5" t="s">
        <v>133</v>
      </c>
      <c r="D66" s="5" t="s">
        <v>16</v>
      </c>
      <c r="E66" s="5" t="n">
        <f aca="false">ROUND(4291*1.05,2)</f>
        <v>4505.55</v>
      </c>
      <c r="F66" s="5" t="s">
        <v>17</v>
      </c>
      <c r="G66" s="5" t="s">
        <v>18</v>
      </c>
      <c r="H66" s="5" t="n">
        <f aca="true">ROUND(RAND()*4+6,1)</f>
        <v>8.2</v>
      </c>
      <c r="I66" s="5" t="s">
        <v>19</v>
      </c>
      <c r="J66" s="5" t="str">
        <f aca="false">ROUND(61*1,0)&amp;"%"</f>
        <v>61%</v>
      </c>
    </row>
    <row r="67" customFormat="false" ht="15" hidden="false" customHeight="false" outlineLevel="0" collapsed="false">
      <c r="A67" s="6" t="s">
        <v>6863</v>
      </c>
      <c r="B67" s="6" t="s">
        <v>135</v>
      </c>
      <c r="C67" s="6" t="s">
        <v>133</v>
      </c>
      <c r="D67" s="6" t="s">
        <v>22</v>
      </c>
      <c r="E67" s="6" t="n">
        <f aca="false">ROUND(16437*1.05,2)</f>
        <v>17258.85</v>
      </c>
      <c r="F67" s="6" t="s">
        <v>23</v>
      </c>
      <c r="G67" s="6" t="s">
        <v>24</v>
      </c>
      <c r="H67" s="6" t="n">
        <f aca="true">ROUND(RAND()*4+6,1)</f>
        <v>6.4</v>
      </c>
      <c r="I67" s="6" t="s">
        <v>25</v>
      </c>
      <c r="J67" s="6" t="str">
        <f aca="false">ROUND(80*1,0)&amp;"%"</f>
        <v>80%</v>
      </c>
    </row>
    <row r="68" customFormat="false" ht="15" hidden="false" customHeight="false" outlineLevel="0" collapsed="false">
      <c r="A68" s="5" t="s">
        <v>6864</v>
      </c>
      <c r="B68" s="5" t="s">
        <v>137</v>
      </c>
      <c r="C68" s="5" t="s">
        <v>133</v>
      </c>
      <c r="D68" s="5" t="s">
        <v>28</v>
      </c>
      <c r="E68" s="5" t="n">
        <f aca="false">ROUND(4430*1.05,2)</f>
        <v>4651.5</v>
      </c>
      <c r="F68" s="5" t="s">
        <v>29</v>
      </c>
      <c r="G68" s="5" t="s">
        <v>30</v>
      </c>
      <c r="H68" s="5" t="n">
        <f aca="true">ROUND(RAND()*4+6,1)</f>
        <v>6.7</v>
      </c>
      <c r="I68" s="5" t="s">
        <v>31</v>
      </c>
      <c r="J68" s="5" t="str">
        <f aca="false">ROUND(81*1,0)&amp;"%"</f>
        <v>81%</v>
      </c>
    </row>
    <row r="69" customFormat="false" ht="15" hidden="false" customHeight="false" outlineLevel="0" collapsed="false">
      <c r="A69" s="6" t="s">
        <v>6865</v>
      </c>
      <c r="B69" s="6" t="s">
        <v>139</v>
      </c>
      <c r="C69" s="6" t="s">
        <v>133</v>
      </c>
      <c r="D69" s="6" t="s">
        <v>34</v>
      </c>
      <c r="E69" s="6" t="n">
        <f aca="false">ROUND(8261*1.05,2)</f>
        <v>8674.05</v>
      </c>
      <c r="F69" s="6" t="s">
        <v>35</v>
      </c>
      <c r="G69" s="6" t="s">
        <v>18</v>
      </c>
      <c r="H69" s="6" t="n">
        <f aca="true">ROUND(RAND()*4+6,1)</f>
        <v>7.5</v>
      </c>
      <c r="I69" s="6" t="s">
        <v>36</v>
      </c>
      <c r="J69" s="6" t="str">
        <f aca="false">ROUND(83*1,0)&amp;"%"</f>
        <v>83%</v>
      </c>
    </row>
    <row r="70" customFormat="false" ht="15" hidden="false" customHeight="false" outlineLevel="0" collapsed="false">
      <c r="A70" s="5" t="s">
        <v>6866</v>
      </c>
      <c r="B70" s="5" t="s">
        <v>141</v>
      </c>
      <c r="C70" s="5" t="s">
        <v>133</v>
      </c>
      <c r="D70" s="5" t="s">
        <v>39</v>
      </c>
      <c r="E70" s="5" t="n">
        <f aca="false">ROUND(5988*1.05,2)</f>
        <v>6287.4</v>
      </c>
      <c r="F70" s="5" t="s">
        <v>40</v>
      </c>
      <c r="G70" s="5" t="s">
        <v>24</v>
      </c>
      <c r="H70" s="5" t="n">
        <f aca="true">ROUND(RAND()*4+6,1)</f>
        <v>9.7</v>
      </c>
      <c r="I70" s="5" t="s">
        <v>41</v>
      </c>
      <c r="J70" s="5" t="str">
        <f aca="false">ROUND(78*1,0)&amp;"%"</f>
        <v>78%</v>
      </c>
    </row>
    <row r="71" customFormat="false" ht="15" hidden="false" customHeight="false" outlineLevel="0" collapsed="false">
      <c r="A71" s="6" t="s">
        <v>6867</v>
      </c>
      <c r="B71" s="6" t="s">
        <v>143</v>
      </c>
      <c r="C71" s="6" t="s">
        <v>133</v>
      </c>
      <c r="D71" s="6" t="s">
        <v>44</v>
      </c>
      <c r="E71" s="6" t="n">
        <f aca="false">ROUND(9073*1.05,2)</f>
        <v>9526.65</v>
      </c>
      <c r="F71" s="6" t="s">
        <v>45</v>
      </c>
      <c r="G71" s="6" t="s">
        <v>30</v>
      </c>
      <c r="H71" s="6" t="n">
        <f aca="true">ROUND(RAND()*4+6,1)</f>
        <v>6.8</v>
      </c>
      <c r="I71" s="6" t="s">
        <v>46</v>
      </c>
      <c r="J71" s="6" t="str">
        <f aca="false">ROUND(83*1,0)&amp;"%"</f>
        <v>83%</v>
      </c>
    </row>
    <row r="72" customFormat="false" ht="15" hidden="false" customHeight="false" outlineLevel="0" collapsed="false">
      <c r="A72" s="5" t="s">
        <v>6868</v>
      </c>
      <c r="B72" s="5" t="s">
        <v>145</v>
      </c>
      <c r="C72" s="5" t="s">
        <v>133</v>
      </c>
      <c r="D72" s="5" t="s">
        <v>16</v>
      </c>
      <c r="E72" s="5" t="n">
        <f aca="false">ROUND(13319*1.05,2)</f>
        <v>13984.95</v>
      </c>
      <c r="F72" s="5" t="s">
        <v>49</v>
      </c>
      <c r="G72" s="5" t="s">
        <v>18</v>
      </c>
      <c r="H72" s="5" t="n">
        <f aca="true">ROUND(RAND()*4+6,1)</f>
        <v>6.9</v>
      </c>
      <c r="I72" s="5" t="s">
        <v>19</v>
      </c>
      <c r="J72" s="5" t="str">
        <f aca="false">ROUND(60*1,0)&amp;"%"</f>
        <v>60%</v>
      </c>
    </row>
    <row r="73" customFormat="false" ht="15" hidden="false" customHeight="false" outlineLevel="0" collapsed="false">
      <c r="A73" s="6" t="s">
        <v>6869</v>
      </c>
      <c r="B73" s="6" t="s">
        <v>147</v>
      </c>
      <c r="C73" s="6" t="s">
        <v>133</v>
      </c>
      <c r="D73" s="6" t="s">
        <v>22</v>
      </c>
      <c r="E73" s="6" t="n">
        <f aca="false">ROUND(14610*1.05,2)</f>
        <v>15340.5</v>
      </c>
      <c r="F73" s="6" t="s">
        <v>52</v>
      </c>
      <c r="G73" s="6" t="s">
        <v>24</v>
      </c>
      <c r="H73" s="6" t="n">
        <f aca="true">ROUND(RAND()*4+6,1)</f>
        <v>7.2</v>
      </c>
      <c r="I73" s="6" t="s">
        <v>25</v>
      </c>
      <c r="J73" s="6" t="str">
        <f aca="false">ROUND(92*1,0)&amp;"%"</f>
        <v>92%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6870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6871</v>
      </c>
      <c r="B78" s="5" t="s">
        <v>151</v>
      </c>
      <c r="C78" s="5" t="s">
        <v>152</v>
      </c>
      <c r="D78" s="5" t="s">
        <v>16</v>
      </c>
      <c r="E78" s="5" t="n">
        <f aca="false">ROUND(8502*1.05,2)</f>
        <v>8927.1</v>
      </c>
      <c r="F78" s="5" t="s">
        <v>17</v>
      </c>
      <c r="G78" s="5" t="s">
        <v>18</v>
      </c>
      <c r="H78" s="5" t="n">
        <f aca="true">ROUND(RAND()*4+6,1)</f>
        <v>8.9</v>
      </c>
      <c r="I78" s="5" t="s">
        <v>19</v>
      </c>
      <c r="J78" s="5" t="str">
        <f aca="false">ROUND(67*1,0)&amp;"%"</f>
        <v>67%</v>
      </c>
    </row>
    <row r="79" customFormat="false" ht="15" hidden="false" customHeight="false" outlineLevel="0" collapsed="false">
      <c r="A79" s="6" t="s">
        <v>6872</v>
      </c>
      <c r="B79" s="6" t="s">
        <v>154</v>
      </c>
      <c r="C79" s="6" t="s">
        <v>152</v>
      </c>
      <c r="D79" s="6" t="s">
        <v>22</v>
      </c>
      <c r="E79" s="6" t="n">
        <f aca="false">ROUND(12433*1.05,2)</f>
        <v>13054.65</v>
      </c>
      <c r="F79" s="6" t="s">
        <v>23</v>
      </c>
      <c r="G79" s="6" t="s">
        <v>24</v>
      </c>
      <c r="H79" s="6" t="n">
        <f aca="true">ROUND(RAND()*4+6,1)</f>
        <v>6.9</v>
      </c>
      <c r="I79" s="6" t="s">
        <v>25</v>
      </c>
      <c r="J79" s="6" t="str">
        <f aca="false">ROUND(63*1,0)&amp;"%"</f>
        <v>63%</v>
      </c>
    </row>
    <row r="80" customFormat="false" ht="15" hidden="false" customHeight="false" outlineLevel="0" collapsed="false">
      <c r="A80" s="5" t="s">
        <v>6873</v>
      </c>
      <c r="B80" s="5" t="s">
        <v>156</v>
      </c>
      <c r="C80" s="5" t="s">
        <v>152</v>
      </c>
      <c r="D80" s="5" t="s">
        <v>28</v>
      </c>
      <c r="E80" s="5" t="n">
        <f aca="false">ROUND(13118*1.05,2)</f>
        <v>13773.9</v>
      </c>
      <c r="F80" s="5" t="s">
        <v>29</v>
      </c>
      <c r="G80" s="5" t="s">
        <v>30</v>
      </c>
      <c r="H80" s="5" t="n">
        <f aca="true">ROUND(RAND()*4+6,1)</f>
        <v>7.8</v>
      </c>
      <c r="I80" s="5" t="s">
        <v>31</v>
      </c>
      <c r="J80" s="5" t="str">
        <f aca="false">ROUND(69*1,0)&amp;"%"</f>
        <v>69%</v>
      </c>
    </row>
    <row r="81" customFormat="false" ht="15" hidden="false" customHeight="false" outlineLevel="0" collapsed="false">
      <c r="A81" s="6" t="s">
        <v>6874</v>
      </c>
      <c r="B81" s="6" t="s">
        <v>158</v>
      </c>
      <c r="C81" s="6" t="s">
        <v>152</v>
      </c>
      <c r="D81" s="6" t="s">
        <v>34</v>
      </c>
      <c r="E81" s="6" t="n">
        <f aca="false">ROUND(12338*1.05,2)</f>
        <v>12954.9</v>
      </c>
      <c r="F81" s="6" t="s">
        <v>35</v>
      </c>
      <c r="G81" s="6" t="s">
        <v>18</v>
      </c>
      <c r="H81" s="6" t="n">
        <f aca="true">ROUND(RAND()*4+6,1)</f>
        <v>6.6</v>
      </c>
      <c r="I81" s="6" t="s">
        <v>36</v>
      </c>
      <c r="J81" s="6" t="str">
        <f aca="false">ROUND(82*1,0)&amp;"%"</f>
        <v>82%</v>
      </c>
    </row>
    <row r="82" customFormat="false" ht="15" hidden="false" customHeight="false" outlineLevel="0" collapsed="false">
      <c r="A82" s="5" t="s">
        <v>6875</v>
      </c>
      <c r="B82" s="5" t="s">
        <v>160</v>
      </c>
      <c r="C82" s="5" t="s">
        <v>152</v>
      </c>
      <c r="D82" s="5" t="s">
        <v>39</v>
      </c>
      <c r="E82" s="5" t="n">
        <f aca="false">ROUND(12666*1.05,2)</f>
        <v>13299.3</v>
      </c>
      <c r="F82" s="5" t="s">
        <v>40</v>
      </c>
      <c r="G82" s="5" t="s">
        <v>24</v>
      </c>
      <c r="H82" s="5" t="n">
        <f aca="true">ROUND(RAND()*4+6,1)</f>
        <v>7.3</v>
      </c>
      <c r="I82" s="5" t="s">
        <v>41</v>
      </c>
      <c r="J82" s="5" t="str">
        <f aca="false">ROUND(76*1,0)&amp;"%"</f>
        <v>76%</v>
      </c>
    </row>
    <row r="83" customFormat="false" ht="15" hidden="false" customHeight="false" outlineLevel="0" collapsed="false">
      <c r="A83" s="6" t="s">
        <v>6876</v>
      </c>
      <c r="B83" s="6" t="s">
        <v>162</v>
      </c>
      <c r="C83" s="6" t="s">
        <v>152</v>
      </c>
      <c r="D83" s="6" t="s">
        <v>44</v>
      </c>
      <c r="E83" s="6" t="n">
        <f aca="false">ROUND(8476*1.05,2)</f>
        <v>8899.8</v>
      </c>
      <c r="F83" s="6" t="s">
        <v>45</v>
      </c>
      <c r="G83" s="6" t="s">
        <v>30</v>
      </c>
      <c r="H83" s="6" t="n">
        <f aca="true">ROUND(RAND()*4+6,1)</f>
        <v>7.9</v>
      </c>
      <c r="I83" s="6" t="s">
        <v>46</v>
      </c>
      <c r="J83" s="6" t="str">
        <f aca="false">ROUND(67*1,0)&amp;"%"</f>
        <v>67%</v>
      </c>
    </row>
    <row r="84" customFormat="false" ht="15" hidden="false" customHeight="false" outlineLevel="0" collapsed="false">
      <c r="A84" s="5" t="s">
        <v>6877</v>
      </c>
      <c r="B84" s="5" t="s">
        <v>164</v>
      </c>
      <c r="C84" s="5" t="s">
        <v>152</v>
      </c>
      <c r="D84" s="5" t="s">
        <v>16</v>
      </c>
      <c r="E84" s="5" t="n">
        <f aca="false">ROUND(13778*1.05,2)</f>
        <v>14466.9</v>
      </c>
      <c r="F84" s="5" t="s">
        <v>49</v>
      </c>
      <c r="G84" s="5" t="s">
        <v>18</v>
      </c>
      <c r="H84" s="5" t="n">
        <f aca="true">ROUND(RAND()*4+6,1)</f>
        <v>7.8</v>
      </c>
      <c r="I84" s="5" t="s">
        <v>19</v>
      </c>
      <c r="J84" s="5" t="str">
        <f aca="false">ROUND(73*1,0)&amp;"%"</f>
        <v>73%</v>
      </c>
    </row>
    <row r="85" customFormat="false" ht="15" hidden="false" customHeight="false" outlineLevel="0" collapsed="false">
      <c r="A85" s="6" t="s">
        <v>6878</v>
      </c>
      <c r="B85" s="6" t="s">
        <v>166</v>
      </c>
      <c r="C85" s="6" t="s">
        <v>152</v>
      </c>
      <c r="D85" s="6" t="s">
        <v>22</v>
      </c>
      <c r="E85" s="6" t="n">
        <f aca="false">ROUND(13105*1.05,2)</f>
        <v>13760.25</v>
      </c>
      <c r="F85" s="6" t="s">
        <v>52</v>
      </c>
      <c r="G85" s="6" t="s">
        <v>24</v>
      </c>
      <c r="H85" s="6" t="n">
        <f aca="true">ROUND(RAND()*4+6,1)</f>
        <v>7.7</v>
      </c>
      <c r="I85" s="6" t="s">
        <v>25</v>
      </c>
      <c r="J85" s="6" t="str">
        <f aca="false">ROUND(78*1,0)&amp;"%"</f>
        <v>78%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6879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6880</v>
      </c>
      <c r="B90" s="5" t="s">
        <v>170</v>
      </c>
      <c r="C90" s="5" t="s">
        <v>15</v>
      </c>
      <c r="D90" s="5" t="s">
        <v>16</v>
      </c>
      <c r="E90" s="5" t="n">
        <f aca="false">ROUND(6291*1.05,2)</f>
        <v>6605.55</v>
      </c>
      <c r="F90" s="5" t="s">
        <v>17</v>
      </c>
      <c r="G90" s="5" t="s">
        <v>18</v>
      </c>
      <c r="H90" s="5" t="n">
        <f aca="true">ROUND(RAND()*4+6,1)</f>
        <v>6.7</v>
      </c>
      <c r="I90" s="5" t="s">
        <v>19</v>
      </c>
      <c r="J90" s="5" t="str">
        <f aca="false">ROUND(62*1,0)&amp;"%"</f>
        <v>62%</v>
      </c>
    </row>
    <row r="91" customFormat="false" ht="15" hidden="false" customHeight="false" outlineLevel="0" collapsed="false">
      <c r="A91" s="6" t="s">
        <v>6881</v>
      </c>
      <c r="B91" s="6" t="s">
        <v>172</v>
      </c>
      <c r="C91" s="6" t="s">
        <v>15</v>
      </c>
      <c r="D91" s="6" t="s">
        <v>22</v>
      </c>
      <c r="E91" s="6" t="n">
        <f aca="false">ROUND(5016*1.05,2)</f>
        <v>5266.8</v>
      </c>
      <c r="F91" s="6" t="s">
        <v>23</v>
      </c>
      <c r="G91" s="6" t="s">
        <v>24</v>
      </c>
      <c r="H91" s="6" t="n">
        <f aca="true">ROUND(RAND()*4+6,1)</f>
        <v>7.6</v>
      </c>
      <c r="I91" s="6" t="s">
        <v>25</v>
      </c>
      <c r="J91" s="6" t="str">
        <f aca="false">ROUND(86*1,0)&amp;"%"</f>
        <v>86%</v>
      </c>
    </row>
    <row r="92" customFormat="false" ht="15" hidden="false" customHeight="false" outlineLevel="0" collapsed="false">
      <c r="A92" s="5" t="s">
        <v>6882</v>
      </c>
      <c r="B92" s="5" t="s">
        <v>174</v>
      </c>
      <c r="C92" s="5" t="s">
        <v>15</v>
      </c>
      <c r="D92" s="5" t="s">
        <v>28</v>
      </c>
      <c r="E92" s="5" t="n">
        <f aca="false">ROUND(5857*1.05,2)</f>
        <v>6149.85</v>
      </c>
      <c r="F92" s="5" t="s">
        <v>29</v>
      </c>
      <c r="G92" s="5" t="s">
        <v>30</v>
      </c>
      <c r="H92" s="5" t="n">
        <f aca="true">ROUND(RAND()*4+6,1)</f>
        <v>8.3</v>
      </c>
      <c r="I92" s="5" t="s">
        <v>31</v>
      </c>
      <c r="J92" s="5" t="str">
        <f aca="false">ROUND(97*1,0)&amp;"%"</f>
        <v>97%</v>
      </c>
    </row>
    <row r="93" customFormat="false" ht="15" hidden="false" customHeight="false" outlineLevel="0" collapsed="false">
      <c r="A93" s="6" t="s">
        <v>6883</v>
      </c>
      <c r="B93" s="6" t="s">
        <v>176</v>
      </c>
      <c r="C93" s="6" t="s">
        <v>15</v>
      </c>
      <c r="D93" s="6" t="s">
        <v>34</v>
      </c>
      <c r="E93" s="6" t="n">
        <f aca="false">ROUND(16258*1.05,2)</f>
        <v>17070.9</v>
      </c>
      <c r="F93" s="6" t="s">
        <v>35</v>
      </c>
      <c r="G93" s="6" t="s">
        <v>18</v>
      </c>
      <c r="H93" s="6" t="n">
        <f aca="true">ROUND(RAND()*4+6,1)</f>
        <v>6.6</v>
      </c>
      <c r="I93" s="6" t="s">
        <v>36</v>
      </c>
      <c r="J93" s="6" t="str">
        <f aca="false">ROUND(76*1,0)&amp;"%"</f>
        <v>76%</v>
      </c>
    </row>
    <row r="94" customFormat="false" ht="15" hidden="false" customHeight="false" outlineLevel="0" collapsed="false">
      <c r="A94" s="5" t="s">
        <v>6884</v>
      </c>
      <c r="B94" s="5" t="s">
        <v>178</v>
      </c>
      <c r="C94" s="5" t="s">
        <v>15</v>
      </c>
      <c r="D94" s="5" t="s">
        <v>39</v>
      </c>
      <c r="E94" s="5" t="n">
        <f aca="false">ROUND(5390*1.05,2)</f>
        <v>5659.5</v>
      </c>
      <c r="F94" s="5" t="s">
        <v>40</v>
      </c>
      <c r="G94" s="5" t="s">
        <v>24</v>
      </c>
      <c r="H94" s="5" t="n">
        <f aca="true">ROUND(RAND()*4+6,1)</f>
        <v>7</v>
      </c>
      <c r="I94" s="5" t="s">
        <v>41</v>
      </c>
      <c r="J94" s="5" t="str">
        <f aca="false">ROUND(93*1,0)&amp;"%"</f>
        <v>93%</v>
      </c>
    </row>
    <row r="95" customFormat="false" ht="15" hidden="false" customHeight="false" outlineLevel="0" collapsed="false">
      <c r="A95" s="6" t="s">
        <v>6885</v>
      </c>
      <c r="B95" s="6" t="s">
        <v>180</v>
      </c>
      <c r="C95" s="6" t="s">
        <v>15</v>
      </c>
      <c r="D95" s="6" t="s">
        <v>44</v>
      </c>
      <c r="E95" s="6" t="n">
        <f aca="false">ROUND(10646*1.05,2)</f>
        <v>11178.3</v>
      </c>
      <c r="F95" s="6" t="s">
        <v>45</v>
      </c>
      <c r="G95" s="6" t="s">
        <v>30</v>
      </c>
      <c r="H95" s="6" t="n">
        <f aca="true">ROUND(RAND()*4+6,1)</f>
        <v>9.8</v>
      </c>
      <c r="I95" s="6" t="s">
        <v>46</v>
      </c>
      <c r="J95" s="6" t="str">
        <f aca="false">ROUND(75*1,0)&amp;"%"</f>
        <v>75%</v>
      </c>
    </row>
    <row r="96" customFormat="false" ht="15" hidden="false" customHeight="false" outlineLevel="0" collapsed="false">
      <c r="A96" s="5" t="s">
        <v>6886</v>
      </c>
      <c r="B96" s="5" t="s">
        <v>182</v>
      </c>
      <c r="C96" s="5" t="s">
        <v>15</v>
      </c>
      <c r="D96" s="5" t="s">
        <v>16</v>
      </c>
      <c r="E96" s="5" t="n">
        <f aca="false">ROUND(17758*1.05,2)</f>
        <v>18645.9</v>
      </c>
      <c r="F96" s="5" t="s">
        <v>49</v>
      </c>
      <c r="G96" s="5" t="s">
        <v>18</v>
      </c>
      <c r="H96" s="5" t="n">
        <f aca="true">ROUND(RAND()*4+6,1)</f>
        <v>9.3</v>
      </c>
      <c r="I96" s="5" t="s">
        <v>19</v>
      </c>
      <c r="J96" s="5" t="str">
        <f aca="false">ROUND(76*1,0)&amp;"%"</f>
        <v>76%</v>
      </c>
    </row>
    <row r="97" customFormat="false" ht="15" hidden="false" customHeight="false" outlineLevel="0" collapsed="false">
      <c r="A97" s="6" t="s">
        <v>6887</v>
      </c>
      <c r="B97" s="6" t="s">
        <v>184</v>
      </c>
      <c r="C97" s="6" t="s">
        <v>15</v>
      </c>
      <c r="D97" s="6" t="s">
        <v>22</v>
      </c>
      <c r="E97" s="6" t="n">
        <f aca="false">ROUND(4476*1.05,2)</f>
        <v>4699.8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ROUND(83*1,0)&amp;"%"</f>
        <v>83%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6888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6889</v>
      </c>
      <c r="B102" s="5" t="s">
        <v>188</v>
      </c>
      <c r="C102" s="5" t="s">
        <v>57</v>
      </c>
      <c r="D102" s="5" t="s">
        <v>16</v>
      </c>
      <c r="E102" s="5" t="n">
        <f aca="false">ROUND(7387*1.05,2)</f>
        <v>7756.35</v>
      </c>
      <c r="F102" s="5" t="s">
        <v>17</v>
      </c>
      <c r="G102" s="5" t="s">
        <v>18</v>
      </c>
      <c r="H102" s="5" t="n">
        <f aca="true">ROUND(RAND()*4+6,1)</f>
        <v>7.4</v>
      </c>
      <c r="I102" s="5" t="s">
        <v>19</v>
      </c>
      <c r="J102" s="5" t="str">
        <f aca="false">ROUND(73*1,0)&amp;"%"</f>
        <v>73%</v>
      </c>
    </row>
    <row r="103" customFormat="false" ht="15" hidden="false" customHeight="false" outlineLevel="0" collapsed="false">
      <c r="A103" s="6" t="s">
        <v>6890</v>
      </c>
      <c r="B103" s="6" t="s">
        <v>190</v>
      </c>
      <c r="C103" s="6" t="s">
        <v>57</v>
      </c>
      <c r="D103" s="6" t="s">
        <v>22</v>
      </c>
      <c r="E103" s="6" t="n">
        <f aca="false">ROUND(7538*1.05,2)</f>
        <v>7914.9</v>
      </c>
      <c r="F103" s="6" t="s">
        <v>23</v>
      </c>
      <c r="G103" s="6" t="s">
        <v>24</v>
      </c>
      <c r="H103" s="6" t="n">
        <f aca="true">ROUND(RAND()*4+6,1)</f>
        <v>8.2</v>
      </c>
      <c r="I103" s="6" t="s">
        <v>25</v>
      </c>
      <c r="J103" s="6" t="str">
        <f aca="false">ROUND(88*1,0)&amp;"%"</f>
        <v>88%</v>
      </c>
    </row>
    <row r="104" customFormat="false" ht="15" hidden="false" customHeight="false" outlineLevel="0" collapsed="false">
      <c r="A104" s="5" t="s">
        <v>6891</v>
      </c>
      <c r="B104" s="5" t="s">
        <v>192</v>
      </c>
      <c r="C104" s="5" t="s">
        <v>57</v>
      </c>
      <c r="D104" s="5" t="s">
        <v>28</v>
      </c>
      <c r="E104" s="5" t="n">
        <f aca="false">ROUND(8917*1.05,2)</f>
        <v>9362.85</v>
      </c>
      <c r="F104" s="5" t="s">
        <v>29</v>
      </c>
      <c r="G104" s="5" t="s">
        <v>30</v>
      </c>
      <c r="H104" s="5" t="n">
        <f aca="true">ROUND(RAND()*4+6,1)</f>
        <v>8.9</v>
      </c>
      <c r="I104" s="5" t="s">
        <v>31</v>
      </c>
      <c r="J104" s="5" t="str">
        <f aca="false">ROUND(73*1,0)&amp;"%"</f>
        <v>73%</v>
      </c>
    </row>
    <row r="105" customFormat="false" ht="15" hidden="false" customHeight="false" outlineLevel="0" collapsed="false">
      <c r="A105" s="6" t="s">
        <v>6892</v>
      </c>
      <c r="B105" s="6" t="s">
        <v>194</v>
      </c>
      <c r="C105" s="6" t="s">
        <v>57</v>
      </c>
      <c r="D105" s="6" t="s">
        <v>34</v>
      </c>
      <c r="E105" s="6" t="n">
        <f aca="false">ROUND(15045*1.05,2)</f>
        <v>15797.25</v>
      </c>
      <c r="F105" s="6" t="s">
        <v>35</v>
      </c>
      <c r="G105" s="6" t="s">
        <v>18</v>
      </c>
      <c r="H105" s="6" t="n">
        <f aca="true">ROUND(RAND()*4+6,1)</f>
        <v>7.8</v>
      </c>
      <c r="I105" s="6" t="s">
        <v>36</v>
      </c>
      <c r="J105" s="6" t="str">
        <f aca="false">ROUND(98*1,0)&amp;"%"</f>
        <v>98%</v>
      </c>
    </row>
    <row r="106" customFormat="false" ht="15" hidden="false" customHeight="false" outlineLevel="0" collapsed="false">
      <c r="A106" s="5" t="s">
        <v>6893</v>
      </c>
      <c r="B106" s="5" t="s">
        <v>196</v>
      </c>
      <c r="C106" s="5" t="s">
        <v>57</v>
      </c>
      <c r="D106" s="5" t="s">
        <v>39</v>
      </c>
      <c r="E106" s="5" t="n">
        <f aca="false">ROUND(7077*1.05,2)</f>
        <v>7430.85</v>
      </c>
      <c r="F106" s="5" t="s">
        <v>40</v>
      </c>
      <c r="G106" s="5" t="s">
        <v>24</v>
      </c>
      <c r="H106" s="5" t="n">
        <f aca="true">ROUND(RAND()*4+6,1)</f>
        <v>8.1</v>
      </c>
      <c r="I106" s="5" t="s">
        <v>41</v>
      </c>
      <c r="J106" s="5" t="str">
        <f aca="false">ROUND(90*1,0)&amp;"%"</f>
        <v>90%</v>
      </c>
    </row>
    <row r="107" customFormat="false" ht="15" hidden="false" customHeight="false" outlineLevel="0" collapsed="false">
      <c r="A107" s="6" t="s">
        <v>6894</v>
      </c>
      <c r="B107" s="6" t="s">
        <v>198</v>
      </c>
      <c r="C107" s="6" t="s">
        <v>57</v>
      </c>
      <c r="D107" s="6" t="s">
        <v>44</v>
      </c>
      <c r="E107" s="6" t="n">
        <f aca="false">ROUND(7692*1.05,2)</f>
        <v>8076.6</v>
      </c>
      <c r="F107" s="6" t="s">
        <v>45</v>
      </c>
      <c r="G107" s="6" t="s">
        <v>30</v>
      </c>
      <c r="H107" s="6" t="n">
        <f aca="true">ROUND(RAND()*4+6,1)</f>
        <v>7.6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6895</v>
      </c>
      <c r="B108" s="5" t="s">
        <v>200</v>
      </c>
      <c r="C108" s="5" t="s">
        <v>57</v>
      </c>
      <c r="D108" s="5" t="s">
        <v>16</v>
      </c>
      <c r="E108" s="5" t="n">
        <f aca="false">ROUND(8707*1.05,2)</f>
        <v>9142.35</v>
      </c>
      <c r="F108" s="5" t="s">
        <v>49</v>
      </c>
      <c r="G108" s="5" t="s">
        <v>18</v>
      </c>
      <c r="H108" s="5" t="n">
        <f aca="true">ROUND(RAND()*4+6,1)</f>
        <v>6</v>
      </c>
      <c r="I108" s="5" t="s">
        <v>19</v>
      </c>
      <c r="J108" s="5" t="str">
        <f aca="false">ROUND(92*1,0)&amp;"%"</f>
        <v>92%</v>
      </c>
    </row>
    <row r="109" customFormat="false" ht="15" hidden="false" customHeight="false" outlineLevel="0" collapsed="false">
      <c r="A109" s="6" t="s">
        <v>6896</v>
      </c>
      <c r="B109" s="6" t="s">
        <v>202</v>
      </c>
      <c r="C109" s="6" t="s">
        <v>57</v>
      </c>
      <c r="D109" s="6" t="s">
        <v>22</v>
      </c>
      <c r="E109" s="6" t="n">
        <f aca="false">ROUND(4085*1.05,2)</f>
        <v>4289.25</v>
      </c>
      <c r="F109" s="6" t="s">
        <v>52</v>
      </c>
      <c r="G109" s="6" t="s">
        <v>24</v>
      </c>
      <c r="H109" s="6" t="n">
        <f aca="true">ROUND(RAND()*4+6,1)</f>
        <v>6.9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6897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6898</v>
      </c>
      <c r="B114" s="5" t="s">
        <v>206</v>
      </c>
      <c r="C114" s="5" t="s">
        <v>76</v>
      </c>
      <c r="D114" s="5" t="s">
        <v>16</v>
      </c>
      <c r="E114" s="5" t="n">
        <f aca="false">ROUND(16724*1.05,2)</f>
        <v>17560.2</v>
      </c>
      <c r="F114" s="5" t="s">
        <v>17</v>
      </c>
      <c r="G114" s="5" t="s">
        <v>18</v>
      </c>
      <c r="H114" s="5" t="n">
        <f aca="true">ROUND(RAND()*4+6,1)</f>
        <v>8.4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6899</v>
      </c>
      <c r="B115" s="6" t="s">
        <v>208</v>
      </c>
      <c r="C115" s="6" t="s">
        <v>76</v>
      </c>
      <c r="D115" s="6" t="s">
        <v>22</v>
      </c>
      <c r="E115" s="6" t="n">
        <f aca="false">ROUND(4744*1.05,2)</f>
        <v>4981.2</v>
      </c>
      <c r="F115" s="6" t="s">
        <v>23</v>
      </c>
      <c r="G115" s="6" t="s">
        <v>24</v>
      </c>
      <c r="H115" s="6" t="n">
        <f aca="true">ROUND(RAND()*4+6,1)</f>
        <v>8</v>
      </c>
      <c r="I115" s="6" t="s">
        <v>25</v>
      </c>
      <c r="J115" s="6" t="str">
        <f aca="false">ROUND(81*1,0)&amp;"%"</f>
        <v>81%</v>
      </c>
    </row>
    <row r="116" customFormat="false" ht="15" hidden="false" customHeight="false" outlineLevel="0" collapsed="false">
      <c r="A116" s="5" t="s">
        <v>6900</v>
      </c>
      <c r="B116" s="5" t="s">
        <v>210</v>
      </c>
      <c r="C116" s="5" t="s">
        <v>76</v>
      </c>
      <c r="D116" s="5" t="s">
        <v>28</v>
      </c>
      <c r="E116" s="5" t="n">
        <f aca="false">ROUND(12926*1.05,2)</f>
        <v>13572.3</v>
      </c>
      <c r="F116" s="5" t="s">
        <v>29</v>
      </c>
      <c r="G116" s="5" t="s">
        <v>30</v>
      </c>
      <c r="H116" s="5" t="n">
        <f aca="true">ROUND(RAND()*4+6,1)</f>
        <v>7.5</v>
      </c>
      <c r="I116" s="5" t="s">
        <v>31</v>
      </c>
      <c r="J116" s="5" t="str">
        <f aca="false">ROUND(62*1,0)&amp;"%"</f>
        <v>62%</v>
      </c>
    </row>
    <row r="117" customFormat="false" ht="15" hidden="false" customHeight="false" outlineLevel="0" collapsed="false">
      <c r="A117" s="6" t="s">
        <v>6901</v>
      </c>
      <c r="B117" s="6" t="s">
        <v>212</v>
      </c>
      <c r="C117" s="6" t="s">
        <v>76</v>
      </c>
      <c r="D117" s="6" t="s">
        <v>34</v>
      </c>
      <c r="E117" s="6" t="n">
        <f aca="false">ROUND(5883*1.05,2)</f>
        <v>6177.15</v>
      </c>
      <c r="F117" s="6" t="s">
        <v>35</v>
      </c>
      <c r="G117" s="6" t="s">
        <v>18</v>
      </c>
      <c r="H117" s="6" t="n">
        <f aca="true">ROUND(RAND()*4+6,1)</f>
        <v>7.7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6902</v>
      </c>
      <c r="B118" s="5" t="s">
        <v>214</v>
      </c>
      <c r="C118" s="5" t="s">
        <v>76</v>
      </c>
      <c r="D118" s="5" t="s">
        <v>39</v>
      </c>
      <c r="E118" s="5" t="n">
        <f aca="false">ROUND(16093*1.05,2)</f>
        <v>16897.65</v>
      </c>
      <c r="F118" s="5" t="s">
        <v>40</v>
      </c>
      <c r="G118" s="5" t="s">
        <v>24</v>
      </c>
      <c r="H118" s="5" t="n">
        <f aca="true">ROUND(RAND()*4+6,1)</f>
        <v>8.3</v>
      </c>
      <c r="I118" s="5" t="s">
        <v>41</v>
      </c>
      <c r="J118" s="5" t="str">
        <f aca="false">ROUND(76*1,0)&amp;"%"</f>
        <v>76%</v>
      </c>
    </row>
    <row r="119" customFormat="false" ht="15" hidden="false" customHeight="false" outlineLevel="0" collapsed="false">
      <c r="A119" s="6" t="s">
        <v>6903</v>
      </c>
      <c r="B119" s="6" t="s">
        <v>216</v>
      </c>
      <c r="C119" s="6" t="s">
        <v>76</v>
      </c>
      <c r="D119" s="6" t="s">
        <v>44</v>
      </c>
      <c r="E119" s="6" t="n">
        <f aca="false">ROUND(9713*1.05,2)</f>
        <v>10198.65</v>
      </c>
      <c r="F119" s="6" t="s">
        <v>45</v>
      </c>
      <c r="G119" s="6" t="s">
        <v>30</v>
      </c>
      <c r="H119" s="6" t="n">
        <f aca="true">ROUND(RAND()*4+6,1)</f>
        <v>6.5</v>
      </c>
      <c r="I119" s="6" t="s">
        <v>46</v>
      </c>
      <c r="J119" s="6" t="str">
        <f aca="false">ROUND(74*1,0)&amp;"%"</f>
        <v>74%</v>
      </c>
    </row>
    <row r="120" customFormat="false" ht="15" hidden="false" customHeight="false" outlineLevel="0" collapsed="false">
      <c r="A120" s="5" t="s">
        <v>6904</v>
      </c>
      <c r="B120" s="5" t="s">
        <v>218</v>
      </c>
      <c r="C120" s="5" t="s">
        <v>76</v>
      </c>
      <c r="D120" s="5" t="s">
        <v>16</v>
      </c>
      <c r="E120" s="5" t="n">
        <f aca="false">ROUND(12675*1.05,2)</f>
        <v>13308.75</v>
      </c>
      <c r="F120" s="5" t="s">
        <v>49</v>
      </c>
      <c r="G120" s="5" t="s">
        <v>18</v>
      </c>
      <c r="H120" s="5" t="n">
        <f aca="true">ROUND(RAND()*4+6,1)</f>
        <v>9.9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6905</v>
      </c>
      <c r="B121" s="6" t="s">
        <v>220</v>
      </c>
      <c r="C121" s="6" t="s">
        <v>76</v>
      </c>
      <c r="D121" s="6" t="s">
        <v>22</v>
      </c>
      <c r="E121" s="6" t="n">
        <f aca="false">ROUND(11142*1.05,2)</f>
        <v>11699.1</v>
      </c>
      <c r="F121" s="6" t="s">
        <v>52</v>
      </c>
      <c r="G121" s="6" t="s">
        <v>24</v>
      </c>
      <c r="H121" s="6" t="n">
        <f aca="true">ROUND(RAND()*4+6,1)</f>
        <v>9</v>
      </c>
      <c r="I121" s="6" t="s">
        <v>25</v>
      </c>
      <c r="J121" s="6" t="str">
        <f aca="false">ROUND(82*1,0)&amp;"%"</f>
        <v>82%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6906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6907</v>
      </c>
      <c r="B126" s="5" t="s">
        <v>224</v>
      </c>
      <c r="C126" s="5" t="s">
        <v>95</v>
      </c>
      <c r="D126" s="5" t="s">
        <v>16</v>
      </c>
      <c r="E126" s="5" t="n">
        <f aca="false">ROUND(10537*1.05,2)</f>
        <v>11063.85</v>
      </c>
      <c r="F126" s="5" t="s">
        <v>17</v>
      </c>
      <c r="G126" s="5" t="s">
        <v>18</v>
      </c>
      <c r="H126" s="5" t="n">
        <f aca="true">ROUND(RAND()*4+6,1)</f>
        <v>6.3</v>
      </c>
      <c r="I126" s="5" t="s">
        <v>19</v>
      </c>
      <c r="J126" s="5" t="str">
        <f aca="false">ROUND(70*1,0)&amp;"%"</f>
        <v>70%</v>
      </c>
    </row>
    <row r="127" customFormat="false" ht="15" hidden="false" customHeight="false" outlineLevel="0" collapsed="false">
      <c r="A127" s="6" t="s">
        <v>6908</v>
      </c>
      <c r="B127" s="6" t="s">
        <v>226</v>
      </c>
      <c r="C127" s="6" t="s">
        <v>95</v>
      </c>
      <c r="D127" s="6" t="s">
        <v>22</v>
      </c>
      <c r="E127" s="6" t="n">
        <f aca="false">ROUND(5628*1.05,2)</f>
        <v>5909.4</v>
      </c>
      <c r="F127" s="6" t="s">
        <v>23</v>
      </c>
      <c r="G127" s="6" t="s">
        <v>24</v>
      </c>
      <c r="H127" s="6" t="n">
        <f aca="true">ROUND(RAND()*4+6,1)</f>
        <v>9.3</v>
      </c>
      <c r="I127" s="6" t="s">
        <v>25</v>
      </c>
      <c r="J127" s="6" t="str">
        <f aca="false">ROUND(73*1,0)&amp;"%"</f>
        <v>73%</v>
      </c>
    </row>
    <row r="128" customFormat="false" ht="15" hidden="false" customHeight="false" outlineLevel="0" collapsed="false">
      <c r="A128" s="5" t="s">
        <v>6909</v>
      </c>
      <c r="B128" s="5" t="s">
        <v>228</v>
      </c>
      <c r="C128" s="5" t="s">
        <v>95</v>
      </c>
      <c r="D128" s="5" t="s">
        <v>28</v>
      </c>
      <c r="E128" s="5" t="n">
        <f aca="false">ROUND(4134*1.05,2)</f>
        <v>4340.7</v>
      </c>
      <c r="F128" s="5" t="s">
        <v>29</v>
      </c>
      <c r="G128" s="5" t="s">
        <v>30</v>
      </c>
      <c r="H128" s="5" t="n">
        <f aca="true">ROUND(RAND()*4+6,1)</f>
        <v>8.2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6910</v>
      </c>
      <c r="B129" s="6" t="s">
        <v>230</v>
      </c>
      <c r="C129" s="6" t="s">
        <v>95</v>
      </c>
      <c r="D129" s="6" t="s">
        <v>34</v>
      </c>
      <c r="E129" s="6" t="n">
        <f aca="false">ROUND(9594*1.05,2)</f>
        <v>10073.7</v>
      </c>
      <c r="F129" s="6" t="s">
        <v>35</v>
      </c>
      <c r="G129" s="6" t="s">
        <v>18</v>
      </c>
      <c r="H129" s="6" t="n">
        <f aca="true">ROUND(RAND()*4+6,1)</f>
        <v>6.4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6911</v>
      </c>
      <c r="B130" s="5" t="s">
        <v>232</v>
      </c>
      <c r="C130" s="5" t="s">
        <v>95</v>
      </c>
      <c r="D130" s="5" t="s">
        <v>39</v>
      </c>
      <c r="E130" s="5" t="n">
        <f aca="false">ROUND(10007*1.05,2)</f>
        <v>10507.35</v>
      </c>
      <c r="F130" s="5" t="s">
        <v>40</v>
      </c>
      <c r="G130" s="5" t="s">
        <v>24</v>
      </c>
      <c r="H130" s="5" t="n">
        <f aca="true">ROUND(RAND()*4+6,1)</f>
        <v>9.5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6912</v>
      </c>
      <c r="B131" s="6" t="s">
        <v>234</v>
      </c>
      <c r="C131" s="6" t="s">
        <v>95</v>
      </c>
      <c r="D131" s="6" t="s">
        <v>44</v>
      </c>
      <c r="E131" s="6" t="n">
        <f aca="false">ROUND(7722*1.05,2)</f>
        <v>8108.1</v>
      </c>
      <c r="F131" s="6" t="s">
        <v>45</v>
      </c>
      <c r="G131" s="6" t="s">
        <v>30</v>
      </c>
      <c r="H131" s="6" t="n">
        <f aca="true">ROUND(RAND()*4+6,1)</f>
        <v>7.9</v>
      </c>
      <c r="I131" s="6" t="s">
        <v>46</v>
      </c>
      <c r="J131" s="6" t="str">
        <f aca="false">ROUND(88*1,0)&amp;"%"</f>
        <v>88%</v>
      </c>
    </row>
    <row r="132" customFormat="false" ht="15" hidden="false" customHeight="false" outlineLevel="0" collapsed="false">
      <c r="A132" s="5" t="s">
        <v>6913</v>
      </c>
      <c r="B132" s="5" t="s">
        <v>236</v>
      </c>
      <c r="C132" s="5" t="s">
        <v>95</v>
      </c>
      <c r="D132" s="5" t="s">
        <v>16</v>
      </c>
      <c r="E132" s="5" t="n">
        <f aca="false">ROUND(13705*1.05,2)</f>
        <v>14390.25</v>
      </c>
      <c r="F132" s="5" t="s">
        <v>49</v>
      </c>
      <c r="G132" s="5" t="s">
        <v>18</v>
      </c>
      <c r="H132" s="5" t="n">
        <f aca="true">ROUND(RAND()*4+6,1)</f>
        <v>9.4</v>
      </c>
      <c r="I132" s="5" t="s">
        <v>19</v>
      </c>
      <c r="J132" s="5" t="str">
        <f aca="false">ROUND(79*1,0)&amp;"%"</f>
        <v>79%</v>
      </c>
    </row>
    <row r="133" customFormat="false" ht="15" hidden="false" customHeight="false" outlineLevel="0" collapsed="false">
      <c r="A133" s="6" t="s">
        <v>6914</v>
      </c>
      <c r="B133" s="6" t="s">
        <v>238</v>
      </c>
      <c r="C133" s="6" t="s">
        <v>95</v>
      </c>
      <c r="D133" s="6" t="s">
        <v>22</v>
      </c>
      <c r="E133" s="6" t="n">
        <f aca="false">ROUND(16154*1.05,2)</f>
        <v>16961.7</v>
      </c>
      <c r="F133" s="6" t="s">
        <v>52</v>
      </c>
      <c r="G133" s="6" t="s">
        <v>24</v>
      </c>
      <c r="H133" s="6" t="n">
        <f aca="true">ROUND(RAND()*4+6,1)</f>
        <v>9.5</v>
      </c>
      <c r="I133" s="6" t="s">
        <v>25</v>
      </c>
      <c r="J133" s="6" t="str">
        <f aca="false">ROUND(77*1,0)&amp;"%"</f>
        <v>77%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6915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6916</v>
      </c>
      <c r="B138" s="5" t="s">
        <v>242</v>
      </c>
      <c r="C138" s="5" t="s">
        <v>114</v>
      </c>
      <c r="D138" s="5" t="s">
        <v>16</v>
      </c>
      <c r="E138" s="5" t="n">
        <f aca="false">ROUND(16689*1.05,2)</f>
        <v>17523.45</v>
      </c>
      <c r="F138" s="5" t="s">
        <v>17</v>
      </c>
      <c r="G138" s="5" t="s">
        <v>18</v>
      </c>
      <c r="H138" s="5" t="n">
        <f aca="true">ROUND(RAND()*4+6,1)</f>
        <v>9.6</v>
      </c>
      <c r="I138" s="5" t="s">
        <v>19</v>
      </c>
      <c r="J138" s="5" t="str">
        <f aca="false">ROUND(87*1,0)&amp;"%"</f>
        <v>87%</v>
      </c>
    </row>
    <row r="139" customFormat="false" ht="15" hidden="false" customHeight="false" outlineLevel="0" collapsed="false">
      <c r="A139" s="6" t="s">
        <v>6917</v>
      </c>
      <c r="B139" s="6" t="s">
        <v>244</v>
      </c>
      <c r="C139" s="6" t="s">
        <v>114</v>
      </c>
      <c r="D139" s="6" t="s">
        <v>22</v>
      </c>
      <c r="E139" s="6" t="n">
        <f aca="false">ROUND(5499*1.05,2)</f>
        <v>5773.95</v>
      </c>
      <c r="F139" s="6" t="s">
        <v>23</v>
      </c>
      <c r="G139" s="6" t="s">
        <v>24</v>
      </c>
      <c r="H139" s="6" t="n">
        <f aca="true">ROUND(RAND()*4+6,1)</f>
        <v>7.2</v>
      </c>
      <c r="I139" s="6" t="s">
        <v>25</v>
      </c>
      <c r="J139" s="6" t="str">
        <f aca="false">ROUND(77*1,0)&amp;"%"</f>
        <v>77%</v>
      </c>
    </row>
    <row r="140" customFormat="false" ht="15" hidden="false" customHeight="false" outlineLevel="0" collapsed="false">
      <c r="A140" s="5" t="s">
        <v>6918</v>
      </c>
      <c r="B140" s="5" t="s">
        <v>246</v>
      </c>
      <c r="C140" s="5" t="s">
        <v>114</v>
      </c>
      <c r="D140" s="5" t="s">
        <v>28</v>
      </c>
      <c r="E140" s="5" t="n">
        <f aca="false">ROUND(10350*1.05,2)</f>
        <v>10867.5</v>
      </c>
      <c r="F140" s="5" t="s">
        <v>29</v>
      </c>
      <c r="G140" s="5" t="s">
        <v>30</v>
      </c>
      <c r="H140" s="5" t="n">
        <f aca="true">ROUND(RAND()*4+6,1)</f>
        <v>6.5</v>
      </c>
      <c r="I140" s="5" t="s">
        <v>31</v>
      </c>
      <c r="J140" s="5" t="str">
        <f aca="false">ROUND(87*1,0)&amp;"%"</f>
        <v>87%</v>
      </c>
    </row>
    <row r="141" customFormat="false" ht="15" hidden="false" customHeight="false" outlineLevel="0" collapsed="false">
      <c r="A141" s="6" t="s">
        <v>6919</v>
      </c>
      <c r="B141" s="6" t="s">
        <v>248</v>
      </c>
      <c r="C141" s="6" t="s">
        <v>114</v>
      </c>
      <c r="D141" s="6" t="s">
        <v>34</v>
      </c>
      <c r="E141" s="6" t="n">
        <f aca="false">ROUND(15321*1.05,2)</f>
        <v>16087.05</v>
      </c>
      <c r="F141" s="6" t="s">
        <v>35</v>
      </c>
      <c r="G141" s="6" t="s">
        <v>18</v>
      </c>
      <c r="H141" s="6" t="n">
        <f aca="true">ROUND(RAND()*4+6,1)</f>
        <v>9.6</v>
      </c>
      <c r="I141" s="6" t="s">
        <v>36</v>
      </c>
      <c r="J141" s="6" t="str">
        <f aca="false">ROUND(96*1,0)&amp;"%"</f>
        <v>96%</v>
      </c>
    </row>
    <row r="142" customFormat="false" ht="15" hidden="false" customHeight="false" outlineLevel="0" collapsed="false">
      <c r="A142" s="5" t="s">
        <v>6920</v>
      </c>
      <c r="B142" s="5" t="s">
        <v>250</v>
      </c>
      <c r="C142" s="5" t="s">
        <v>114</v>
      </c>
      <c r="D142" s="5" t="s">
        <v>39</v>
      </c>
      <c r="E142" s="5" t="n">
        <f aca="false">ROUND(15471*1.05,2)</f>
        <v>16244.55</v>
      </c>
      <c r="F142" s="5" t="s">
        <v>40</v>
      </c>
      <c r="G142" s="5" t="s">
        <v>24</v>
      </c>
      <c r="H142" s="5" t="n">
        <f aca="true">ROUND(RAND()*4+6,1)</f>
        <v>7.1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6921</v>
      </c>
      <c r="B143" s="6" t="s">
        <v>252</v>
      </c>
      <c r="C143" s="6" t="s">
        <v>114</v>
      </c>
      <c r="D143" s="6" t="s">
        <v>44</v>
      </c>
      <c r="E143" s="6" t="n">
        <f aca="false">ROUND(12094*1.05,2)</f>
        <v>12698.7</v>
      </c>
      <c r="F143" s="6" t="s">
        <v>45</v>
      </c>
      <c r="G143" s="6" t="s">
        <v>30</v>
      </c>
      <c r="H143" s="6" t="n">
        <f aca="true">ROUND(RAND()*4+6,1)</f>
        <v>10</v>
      </c>
      <c r="I143" s="6" t="s">
        <v>46</v>
      </c>
      <c r="J143" s="6" t="str">
        <f aca="false">ROUND(88*1,0)&amp;"%"</f>
        <v>88%</v>
      </c>
    </row>
    <row r="144" customFormat="false" ht="15" hidden="false" customHeight="false" outlineLevel="0" collapsed="false">
      <c r="A144" s="5" t="s">
        <v>6922</v>
      </c>
      <c r="B144" s="5" t="s">
        <v>254</v>
      </c>
      <c r="C144" s="5" t="s">
        <v>114</v>
      </c>
      <c r="D144" s="5" t="s">
        <v>16</v>
      </c>
      <c r="E144" s="5" t="n">
        <f aca="false">ROUND(12258*1.05,2)</f>
        <v>12870.9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ROUND(62*1,0)&amp;"%"</f>
        <v>62%</v>
      </c>
    </row>
    <row r="145" customFormat="false" ht="15" hidden="false" customHeight="false" outlineLevel="0" collapsed="false">
      <c r="A145" s="6" t="s">
        <v>6923</v>
      </c>
      <c r="B145" s="6" t="s">
        <v>256</v>
      </c>
      <c r="C145" s="6" t="s">
        <v>114</v>
      </c>
      <c r="D145" s="6" t="s">
        <v>22</v>
      </c>
      <c r="E145" s="6" t="n">
        <f aca="false">ROUND(7353*1.05,2)</f>
        <v>7720.65</v>
      </c>
      <c r="F145" s="6" t="s">
        <v>52</v>
      </c>
      <c r="G145" s="6" t="s">
        <v>24</v>
      </c>
      <c r="H145" s="6" t="n">
        <f aca="true">ROUND(RAND()*4+6,1)</f>
        <v>8.2</v>
      </c>
      <c r="I145" s="6" t="s">
        <v>25</v>
      </c>
      <c r="J145" s="6" t="str">
        <f aca="false">ROUND(76*1,0)&amp;"%"</f>
        <v>76%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6924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6925</v>
      </c>
      <c r="B150" s="5" t="s">
        <v>260</v>
      </c>
      <c r="C150" s="5" t="s">
        <v>133</v>
      </c>
      <c r="D150" s="5" t="s">
        <v>16</v>
      </c>
      <c r="E150" s="5" t="n">
        <f aca="false">ROUND(8636*1.05,2)</f>
        <v>9067.8</v>
      </c>
      <c r="F150" s="5" t="s">
        <v>17</v>
      </c>
      <c r="G150" s="5" t="s">
        <v>18</v>
      </c>
      <c r="H150" s="5" t="n">
        <f aca="true">ROUND(RAND()*4+6,1)</f>
        <v>9</v>
      </c>
      <c r="I150" s="5" t="s">
        <v>19</v>
      </c>
      <c r="J150" s="5" t="str">
        <f aca="false">ROUND(65*1,0)&amp;"%"</f>
        <v>65%</v>
      </c>
    </row>
    <row r="151" customFormat="false" ht="15" hidden="false" customHeight="false" outlineLevel="0" collapsed="false">
      <c r="A151" s="6" t="s">
        <v>6926</v>
      </c>
      <c r="B151" s="6" t="s">
        <v>262</v>
      </c>
      <c r="C151" s="6" t="s">
        <v>133</v>
      </c>
      <c r="D151" s="6" t="s">
        <v>22</v>
      </c>
      <c r="E151" s="6" t="n">
        <f aca="false">ROUND(12984*1.05,2)</f>
        <v>13633.2</v>
      </c>
      <c r="F151" s="6" t="s">
        <v>23</v>
      </c>
      <c r="G151" s="6" t="s">
        <v>24</v>
      </c>
      <c r="H151" s="6" t="n">
        <f aca="true">ROUND(RAND()*4+6,1)</f>
        <v>6</v>
      </c>
      <c r="I151" s="6" t="s">
        <v>25</v>
      </c>
      <c r="J151" s="6" t="str">
        <f aca="false">ROUND(71*1,0)&amp;"%"</f>
        <v>71%</v>
      </c>
    </row>
    <row r="152" customFormat="false" ht="15" hidden="false" customHeight="false" outlineLevel="0" collapsed="false">
      <c r="A152" s="5" t="s">
        <v>6927</v>
      </c>
      <c r="B152" s="5" t="s">
        <v>264</v>
      </c>
      <c r="C152" s="5" t="s">
        <v>133</v>
      </c>
      <c r="D152" s="5" t="s">
        <v>28</v>
      </c>
      <c r="E152" s="5" t="n">
        <f aca="false">ROUND(8983*1.05,2)</f>
        <v>9432.15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ROUND(83*1,0)&amp;"%"</f>
        <v>83%</v>
      </c>
    </row>
    <row r="153" customFormat="false" ht="15" hidden="false" customHeight="false" outlineLevel="0" collapsed="false">
      <c r="A153" s="6" t="s">
        <v>6928</v>
      </c>
      <c r="B153" s="6" t="s">
        <v>266</v>
      </c>
      <c r="C153" s="6" t="s">
        <v>133</v>
      </c>
      <c r="D153" s="6" t="s">
        <v>34</v>
      </c>
      <c r="E153" s="6" t="n">
        <f aca="false">ROUND(4270*1.05,2)</f>
        <v>4483.5</v>
      </c>
      <c r="F153" s="6" t="s">
        <v>35</v>
      </c>
      <c r="G153" s="6" t="s">
        <v>18</v>
      </c>
      <c r="H153" s="6" t="n">
        <f aca="true">ROUND(RAND()*4+6,1)</f>
        <v>7.7</v>
      </c>
      <c r="I153" s="6" t="s">
        <v>36</v>
      </c>
      <c r="J153" s="6" t="str">
        <f aca="false">ROUND(97*1,0)&amp;"%"</f>
        <v>97%</v>
      </c>
    </row>
    <row r="154" customFormat="false" ht="15" hidden="false" customHeight="false" outlineLevel="0" collapsed="false">
      <c r="A154" s="5" t="s">
        <v>6929</v>
      </c>
      <c r="B154" s="5" t="s">
        <v>268</v>
      </c>
      <c r="C154" s="5" t="s">
        <v>133</v>
      </c>
      <c r="D154" s="5" t="s">
        <v>39</v>
      </c>
      <c r="E154" s="5" t="n">
        <f aca="false">ROUND(10097*1.05,2)</f>
        <v>10601.85</v>
      </c>
      <c r="F154" s="5" t="s">
        <v>40</v>
      </c>
      <c r="G154" s="5" t="s">
        <v>24</v>
      </c>
      <c r="H154" s="5" t="n">
        <f aca="true">ROUND(RAND()*4+6,1)</f>
        <v>7.5</v>
      </c>
      <c r="I154" s="5" t="s">
        <v>41</v>
      </c>
      <c r="J154" s="5" t="str">
        <f aca="false">ROUND(77*1,0)&amp;"%"</f>
        <v>77%</v>
      </c>
    </row>
    <row r="155" customFormat="false" ht="15" hidden="false" customHeight="false" outlineLevel="0" collapsed="false">
      <c r="A155" s="6" t="s">
        <v>6930</v>
      </c>
      <c r="B155" s="6" t="s">
        <v>270</v>
      </c>
      <c r="C155" s="6" t="s">
        <v>133</v>
      </c>
      <c r="D155" s="6" t="s">
        <v>44</v>
      </c>
      <c r="E155" s="6" t="n">
        <f aca="false">ROUND(12332*1.05,2)</f>
        <v>12948.6</v>
      </c>
      <c r="F155" s="6" t="s">
        <v>45</v>
      </c>
      <c r="G155" s="6" t="s">
        <v>30</v>
      </c>
      <c r="H155" s="6" t="n">
        <f aca="true">ROUND(RAND()*4+6,1)</f>
        <v>8.4</v>
      </c>
      <c r="I155" s="6" t="s">
        <v>46</v>
      </c>
      <c r="J155" s="6" t="str">
        <f aca="false">ROUND(91*1,0)&amp;"%"</f>
        <v>91%</v>
      </c>
    </row>
    <row r="156" customFormat="false" ht="15" hidden="false" customHeight="false" outlineLevel="0" collapsed="false">
      <c r="A156" s="5" t="s">
        <v>6931</v>
      </c>
      <c r="B156" s="5" t="s">
        <v>272</v>
      </c>
      <c r="C156" s="5" t="s">
        <v>133</v>
      </c>
      <c r="D156" s="5" t="s">
        <v>16</v>
      </c>
      <c r="E156" s="5" t="n">
        <f aca="false">ROUND(6422*1.05,2)</f>
        <v>6743.1</v>
      </c>
      <c r="F156" s="5" t="s">
        <v>49</v>
      </c>
      <c r="G156" s="5" t="s">
        <v>18</v>
      </c>
      <c r="H156" s="5" t="n">
        <f aca="true">ROUND(RAND()*4+6,1)</f>
        <v>8</v>
      </c>
      <c r="I156" s="5" t="s">
        <v>19</v>
      </c>
      <c r="J156" s="5" t="str">
        <f aca="false">ROUND(86*1,0)&amp;"%"</f>
        <v>86%</v>
      </c>
    </row>
    <row r="157" customFormat="false" ht="15" hidden="false" customHeight="false" outlineLevel="0" collapsed="false">
      <c r="A157" s="6" t="s">
        <v>6932</v>
      </c>
      <c r="B157" s="6" t="s">
        <v>274</v>
      </c>
      <c r="C157" s="6" t="s">
        <v>133</v>
      </c>
      <c r="D157" s="6" t="s">
        <v>22</v>
      </c>
      <c r="E157" s="6" t="n">
        <f aca="false">ROUND(8927*1.05,2)</f>
        <v>9373.35</v>
      </c>
      <c r="F157" s="6" t="s">
        <v>52</v>
      </c>
      <c r="G157" s="6" t="s">
        <v>24</v>
      </c>
      <c r="H157" s="6" t="n">
        <f aca="true">ROUND(RAND()*4+6,1)</f>
        <v>6.9</v>
      </c>
      <c r="I157" s="6" t="s">
        <v>25</v>
      </c>
      <c r="J157" s="6" t="str">
        <f aca="false">ROUND(100*1,0)&amp;"%"</f>
        <v>100%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6933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6934</v>
      </c>
      <c r="B162" s="5" t="s">
        <v>278</v>
      </c>
      <c r="C162" s="5" t="s">
        <v>152</v>
      </c>
      <c r="D162" s="5" t="s">
        <v>16</v>
      </c>
      <c r="E162" s="5" t="n">
        <f aca="false">ROUND(4537*1.05,2)</f>
        <v>4763.85</v>
      </c>
      <c r="F162" s="5" t="s">
        <v>17</v>
      </c>
      <c r="G162" s="5" t="s">
        <v>18</v>
      </c>
      <c r="H162" s="5" t="n">
        <f aca="true">ROUND(RAND()*4+6,1)</f>
        <v>6.6</v>
      </c>
      <c r="I162" s="5" t="s">
        <v>19</v>
      </c>
      <c r="J162" s="5" t="str">
        <f aca="false">ROUND(64*1,0)&amp;"%"</f>
        <v>64%</v>
      </c>
    </row>
    <row r="163" customFormat="false" ht="15" hidden="false" customHeight="false" outlineLevel="0" collapsed="false">
      <c r="A163" s="6" t="s">
        <v>6935</v>
      </c>
      <c r="B163" s="6" t="s">
        <v>280</v>
      </c>
      <c r="C163" s="6" t="s">
        <v>152</v>
      </c>
      <c r="D163" s="6" t="s">
        <v>22</v>
      </c>
      <c r="E163" s="6" t="n">
        <f aca="false">ROUND(11882*1.05,2)</f>
        <v>12476.1</v>
      </c>
      <c r="F163" s="6" t="s">
        <v>23</v>
      </c>
      <c r="G163" s="6" t="s">
        <v>24</v>
      </c>
      <c r="H163" s="6" t="n">
        <f aca="true">ROUND(RAND()*4+6,1)</f>
        <v>6.1</v>
      </c>
      <c r="I163" s="6" t="s">
        <v>25</v>
      </c>
      <c r="J163" s="6" t="str">
        <f aca="false">ROUND(70*1,0)&amp;"%"</f>
        <v>70%</v>
      </c>
    </row>
    <row r="164" customFormat="false" ht="15" hidden="false" customHeight="false" outlineLevel="0" collapsed="false">
      <c r="A164" s="5" t="s">
        <v>6936</v>
      </c>
      <c r="B164" s="5" t="s">
        <v>282</v>
      </c>
      <c r="C164" s="5" t="s">
        <v>152</v>
      </c>
      <c r="D164" s="5" t="s">
        <v>28</v>
      </c>
      <c r="E164" s="5" t="n">
        <f aca="false">ROUND(11009*1.05,2)</f>
        <v>11559.45</v>
      </c>
      <c r="F164" s="5" t="s">
        <v>29</v>
      </c>
      <c r="G164" s="5" t="s">
        <v>30</v>
      </c>
      <c r="H164" s="5" t="n">
        <f aca="true">ROUND(RAND()*4+6,1)</f>
        <v>9.7</v>
      </c>
      <c r="I164" s="5" t="s">
        <v>31</v>
      </c>
      <c r="J164" s="5" t="str">
        <f aca="false">ROUND(90*1,0)&amp;"%"</f>
        <v>90%</v>
      </c>
    </row>
    <row r="165" customFormat="false" ht="15" hidden="false" customHeight="false" outlineLevel="0" collapsed="false">
      <c r="A165" s="6" t="s">
        <v>6937</v>
      </c>
      <c r="B165" s="6" t="s">
        <v>284</v>
      </c>
      <c r="C165" s="6" t="s">
        <v>152</v>
      </c>
      <c r="D165" s="6" t="s">
        <v>34</v>
      </c>
      <c r="E165" s="6" t="n">
        <f aca="false">ROUND(12618*1.05,2)</f>
        <v>13248.9</v>
      </c>
      <c r="F165" s="6" t="s">
        <v>35</v>
      </c>
      <c r="G165" s="6" t="s">
        <v>18</v>
      </c>
      <c r="H165" s="6" t="n">
        <f aca="true">ROUND(RAND()*4+6,1)</f>
        <v>7.4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6938</v>
      </c>
      <c r="B166" s="5" t="s">
        <v>286</v>
      </c>
      <c r="C166" s="5" t="s">
        <v>152</v>
      </c>
      <c r="D166" s="5" t="s">
        <v>39</v>
      </c>
      <c r="E166" s="5" t="n">
        <f aca="false">ROUND(12866*1.05,2)</f>
        <v>13509.3</v>
      </c>
      <c r="F166" s="5" t="s">
        <v>40</v>
      </c>
      <c r="G166" s="5" t="s">
        <v>24</v>
      </c>
      <c r="H166" s="5" t="n">
        <f aca="true">ROUND(RAND()*4+6,1)</f>
        <v>8.3</v>
      </c>
      <c r="I166" s="5" t="s">
        <v>41</v>
      </c>
      <c r="J166" s="5" t="str">
        <f aca="false">ROUND(90*1,0)&amp;"%"</f>
        <v>90%</v>
      </c>
    </row>
    <row r="167" customFormat="false" ht="15" hidden="false" customHeight="false" outlineLevel="0" collapsed="false">
      <c r="A167" s="6" t="s">
        <v>6939</v>
      </c>
      <c r="B167" s="6" t="s">
        <v>288</v>
      </c>
      <c r="C167" s="6" t="s">
        <v>152</v>
      </c>
      <c r="D167" s="6" t="s">
        <v>44</v>
      </c>
      <c r="E167" s="6" t="n">
        <f aca="false">ROUND(11264*1.05,2)</f>
        <v>11827.2</v>
      </c>
      <c r="F167" s="6" t="s">
        <v>45</v>
      </c>
      <c r="G167" s="6" t="s">
        <v>30</v>
      </c>
      <c r="H167" s="6" t="n">
        <f aca="true">ROUND(RAND()*4+6,1)</f>
        <v>9.4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6940</v>
      </c>
      <c r="B168" s="5" t="s">
        <v>290</v>
      </c>
      <c r="C168" s="5" t="s">
        <v>152</v>
      </c>
      <c r="D168" s="5" t="s">
        <v>16</v>
      </c>
      <c r="E168" s="5" t="n">
        <f aca="false">ROUND(15274*1.05,2)</f>
        <v>16037.7</v>
      </c>
      <c r="F168" s="5" t="s">
        <v>49</v>
      </c>
      <c r="G168" s="5" t="s">
        <v>18</v>
      </c>
      <c r="H168" s="5" t="n">
        <f aca="true">ROUND(RAND()*4+6,1)</f>
        <v>8.9</v>
      </c>
      <c r="I168" s="5" t="s">
        <v>19</v>
      </c>
      <c r="J168" s="5" t="str">
        <f aca="false">ROUND(96*1,0)&amp;"%"</f>
        <v>96%</v>
      </c>
    </row>
    <row r="169" customFormat="false" ht="15" hidden="false" customHeight="false" outlineLevel="0" collapsed="false">
      <c r="A169" s="6" t="s">
        <v>6941</v>
      </c>
      <c r="B169" s="6" t="s">
        <v>292</v>
      </c>
      <c r="C169" s="6" t="s">
        <v>152</v>
      </c>
      <c r="D169" s="6" t="s">
        <v>22</v>
      </c>
      <c r="E169" s="6" t="n">
        <f aca="false">ROUND(8894*1.05,2)</f>
        <v>9338.7</v>
      </c>
      <c r="F169" s="6" t="s">
        <v>52</v>
      </c>
      <c r="G169" s="6" t="s">
        <v>24</v>
      </c>
      <c r="H169" s="6" t="n">
        <f aca="true">ROUND(RAND()*4+6,1)</f>
        <v>7.2</v>
      </c>
      <c r="I169" s="6" t="s">
        <v>25</v>
      </c>
      <c r="J169" s="6" t="str">
        <f aca="false">ROUND(90*1,0)&amp;"%"</f>
        <v>90%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6942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6943</v>
      </c>
      <c r="B174" s="5" t="s">
        <v>296</v>
      </c>
      <c r="C174" s="5" t="s">
        <v>15</v>
      </c>
      <c r="D174" s="5" t="s">
        <v>16</v>
      </c>
      <c r="E174" s="5" t="n">
        <f aca="false">ROUND(13471*1.05,2)</f>
        <v>14144.55</v>
      </c>
      <c r="F174" s="5" t="s">
        <v>17</v>
      </c>
      <c r="G174" s="5" t="s">
        <v>18</v>
      </c>
      <c r="H174" s="5" t="n">
        <f aca="true">ROUND(RAND()*4+6,1)</f>
        <v>6.5</v>
      </c>
      <c r="I174" s="5" t="s">
        <v>19</v>
      </c>
      <c r="J174" s="5" t="str">
        <f aca="false">ROUND(74*1,0)&amp;"%"</f>
        <v>74%</v>
      </c>
    </row>
    <row r="175" customFormat="false" ht="15" hidden="false" customHeight="false" outlineLevel="0" collapsed="false">
      <c r="A175" s="6" t="s">
        <v>6944</v>
      </c>
      <c r="B175" s="6" t="s">
        <v>298</v>
      </c>
      <c r="C175" s="6" t="s">
        <v>15</v>
      </c>
      <c r="D175" s="6" t="s">
        <v>22</v>
      </c>
      <c r="E175" s="6" t="n">
        <f aca="false">ROUND(17671*1.05,2)</f>
        <v>18554.55</v>
      </c>
      <c r="F175" s="6" t="s">
        <v>23</v>
      </c>
      <c r="G175" s="6" t="s">
        <v>24</v>
      </c>
      <c r="H175" s="6" t="n">
        <f aca="true">ROUND(RAND()*4+6,1)</f>
        <v>7.8</v>
      </c>
      <c r="I175" s="6" t="s">
        <v>25</v>
      </c>
      <c r="J175" s="6" t="str">
        <f aca="false">ROUND(87*1,0)&amp;"%"</f>
        <v>87%</v>
      </c>
    </row>
    <row r="176" customFormat="false" ht="15" hidden="false" customHeight="false" outlineLevel="0" collapsed="false">
      <c r="A176" s="5" t="s">
        <v>6945</v>
      </c>
      <c r="B176" s="5" t="s">
        <v>300</v>
      </c>
      <c r="C176" s="5" t="s">
        <v>15</v>
      </c>
      <c r="D176" s="5" t="s">
        <v>28</v>
      </c>
      <c r="E176" s="5" t="n">
        <f aca="false">ROUND(15916*1.05,2)</f>
        <v>16711.8</v>
      </c>
      <c r="F176" s="5" t="s">
        <v>29</v>
      </c>
      <c r="G176" s="5" t="s">
        <v>30</v>
      </c>
      <c r="H176" s="5" t="n">
        <f aca="true">ROUND(RAND()*4+6,1)</f>
        <v>8.4</v>
      </c>
      <c r="I176" s="5" t="s">
        <v>31</v>
      </c>
      <c r="J176" s="5" t="str">
        <f aca="false">ROUND(76*1,0)&amp;"%"</f>
        <v>76%</v>
      </c>
    </row>
    <row r="177" customFormat="false" ht="15" hidden="false" customHeight="false" outlineLevel="0" collapsed="false">
      <c r="A177" s="6" t="s">
        <v>6946</v>
      </c>
      <c r="B177" s="6" t="s">
        <v>302</v>
      </c>
      <c r="C177" s="6" t="s">
        <v>15</v>
      </c>
      <c r="D177" s="6" t="s">
        <v>34</v>
      </c>
      <c r="E177" s="6" t="n">
        <f aca="false">ROUND(9553*1.05,2)</f>
        <v>10030.65</v>
      </c>
      <c r="F177" s="6" t="s">
        <v>35</v>
      </c>
      <c r="G177" s="6" t="s">
        <v>18</v>
      </c>
      <c r="H177" s="6" t="n">
        <f aca="true">ROUND(RAND()*4+6,1)</f>
        <v>7.2</v>
      </c>
      <c r="I177" s="6" t="s">
        <v>36</v>
      </c>
      <c r="J177" s="6" t="str">
        <f aca="false">ROUND(98*1,0)&amp;"%"</f>
        <v>98%</v>
      </c>
    </row>
    <row r="178" customFormat="false" ht="15" hidden="false" customHeight="false" outlineLevel="0" collapsed="false">
      <c r="A178" s="5" t="s">
        <v>6947</v>
      </c>
      <c r="B178" s="5" t="s">
        <v>304</v>
      </c>
      <c r="C178" s="5" t="s">
        <v>15</v>
      </c>
      <c r="D178" s="5" t="s">
        <v>39</v>
      </c>
      <c r="E178" s="5" t="n">
        <f aca="false">ROUND(16308*1.05,2)</f>
        <v>17123.4</v>
      </c>
      <c r="F178" s="5" t="s">
        <v>40</v>
      </c>
      <c r="G178" s="5" t="s">
        <v>24</v>
      </c>
      <c r="H178" s="5" t="n">
        <f aca="true">ROUND(RAND()*4+6,1)</f>
        <v>8.7</v>
      </c>
      <c r="I178" s="5" t="s">
        <v>41</v>
      </c>
      <c r="J178" s="5" t="str">
        <f aca="false">ROUND(77*1,0)&amp;"%"</f>
        <v>77%</v>
      </c>
    </row>
    <row r="179" customFormat="false" ht="15" hidden="false" customHeight="false" outlineLevel="0" collapsed="false">
      <c r="A179" s="6" t="s">
        <v>6948</v>
      </c>
      <c r="B179" s="6" t="s">
        <v>306</v>
      </c>
      <c r="C179" s="6" t="s">
        <v>15</v>
      </c>
      <c r="D179" s="6" t="s">
        <v>44</v>
      </c>
      <c r="E179" s="6" t="n">
        <f aca="false">ROUND(7149*1.05,2)</f>
        <v>7506.45</v>
      </c>
      <c r="F179" s="6" t="s">
        <v>45</v>
      </c>
      <c r="G179" s="6" t="s">
        <v>30</v>
      </c>
      <c r="H179" s="6" t="n">
        <f aca="true">ROUND(RAND()*4+6,1)</f>
        <v>8.4</v>
      </c>
      <c r="I179" s="6" t="s">
        <v>46</v>
      </c>
      <c r="J179" s="6" t="str">
        <f aca="false">ROUND(79*1,0)&amp;"%"</f>
        <v>79%</v>
      </c>
    </row>
    <row r="180" customFormat="false" ht="15" hidden="false" customHeight="false" outlineLevel="0" collapsed="false">
      <c r="A180" s="5" t="s">
        <v>6949</v>
      </c>
      <c r="B180" s="5" t="s">
        <v>308</v>
      </c>
      <c r="C180" s="5" t="s">
        <v>15</v>
      </c>
      <c r="D180" s="5" t="s">
        <v>16</v>
      </c>
      <c r="E180" s="5" t="n">
        <f aca="false">ROUND(7255*1.05,2)</f>
        <v>7617.75</v>
      </c>
      <c r="F180" s="5" t="s">
        <v>49</v>
      </c>
      <c r="G180" s="5" t="s">
        <v>18</v>
      </c>
      <c r="H180" s="5" t="n">
        <f aca="true">ROUND(RAND()*4+6,1)</f>
        <v>9.1</v>
      </c>
      <c r="I180" s="5" t="s">
        <v>19</v>
      </c>
      <c r="J180" s="5" t="str">
        <f aca="false">ROUND(99*1,0)&amp;"%"</f>
        <v>99%</v>
      </c>
    </row>
    <row r="181" customFormat="false" ht="15" hidden="false" customHeight="false" outlineLevel="0" collapsed="false">
      <c r="A181" s="6" t="s">
        <v>6950</v>
      </c>
      <c r="B181" s="6" t="s">
        <v>310</v>
      </c>
      <c r="C181" s="6" t="s">
        <v>15</v>
      </c>
      <c r="D181" s="6" t="s">
        <v>22</v>
      </c>
      <c r="E181" s="6" t="n">
        <f aca="false">ROUND(16993*1.05,2)</f>
        <v>17842.65</v>
      </c>
      <c r="F181" s="6" t="s">
        <v>52</v>
      </c>
      <c r="G181" s="6" t="s">
        <v>24</v>
      </c>
      <c r="H181" s="6" t="n">
        <f aca="true">ROUND(RAND()*4+6,1)</f>
        <v>6.9</v>
      </c>
      <c r="I181" s="6" t="s">
        <v>25</v>
      </c>
      <c r="J181" s="6" t="str">
        <f aca="false">ROUND(96*1,0)&amp;"%"</f>
        <v>96%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6951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6952</v>
      </c>
      <c r="B186" s="5" t="s">
        <v>314</v>
      </c>
      <c r="C186" s="5" t="s">
        <v>57</v>
      </c>
      <c r="D186" s="5" t="s">
        <v>16</v>
      </c>
      <c r="E186" s="5" t="n">
        <f aca="false">ROUND(4552*1.05,2)</f>
        <v>4779.6</v>
      </c>
      <c r="F186" s="5" t="s">
        <v>17</v>
      </c>
      <c r="G186" s="5" t="s">
        <v>18</v>
      </c>
      <c r="H186" s="5" t="n">
        <f aca="true">ROUND(RAND()*4+6,1)</f>
        <v>8.7</v>
      </c>
      <c r="I186" s="5" t="s">
        <v>19</v>
      </c>
      <c r="J186" s="5" t="str">
        <f aca="false">ROUND(74*1,0)&amp;"%"</f>
        <v>74%</v>
      </c>
    </row>
    <row r="187" customFormat="false" ht="15" hidden="false" customHeight="false" outlineLevel="0" collapsed="false">
      <c r="A187" s="6" t="s">
        <v>6953</v>
      </c>
      <c r="B187" s="6" t="s">
        <v>316</v>
      </c>
      <c r="C187" s="6" t="s">
        <v>57</v>
      </c>
      <c r="D187" s="6" t="s">
        <v>22</v>
      </c>
      <c r="E187" s="6" t="n">
        <f aca="false">ROUND(5931*1.05,2)</f>
        <v>6227.55</v>
      </c>
      <c r="F187" s="6" t="s">
        <v>23</v>
      </c>
      <c r="G187" s="6" t="s">
        <v>24</v>
      </c>
      <c r="H187" s="6" t="n">
        <f aca="true">ROUND(RAND()*4+6,1)</f>
        <v>6.5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6954</v>
      </c>
      <c r="B188" s="5" t="s">
        <v>318</v>
      </c>
      <c r="C188" s="5" t="s">
        <v>57</v>
      </c>
      <c r="D188" s="5" t="s">
        <v>28</v>
      </c>
      <c r="E188" s="5" t="n">
        <f aca="false">ROUND(15144*1.05,2)</f>
        <v>15901.2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ROUND(60*1,0)&amp;"%"</f>
        <v>60%</v>
      </c>
    </row>
    <row r="189" customFormat="false" ht="15" hidden="false" customHeight="false" outlineLevel="0" collapsed="false">
      <c r="A189" s="6" t="s">
        <v>6955</v>
      </c>
      <c r="B189" s="6" t="s">
        <v>320</v>
      </c>
      <c r="C189" s="6" t="s">
        <v>57</v>
      </c>
      <c r="D189" s="6" t="s">
        <v>34</v>
      </c>
      <c r="E189" s="6" t="n">
        <f aca="false">ROUND(4249*1.05,2)</f>
        <v>4461.45</v>
      </c>
      <c r="F189" s="6" t="s">
        <v>35</v>
      </c>
      <c r="G189" s="6" t="s">
        <v>18</v>
      </c>
      <c r="H189" s="6" t="n">
        <f aca="true">ROUND(RAND()*4+6,1)</f>
        <v>8.1</v>
      </c>
      <c r="I189" s="6" t="s">
        <v>36</v>
      </c>
      <c r="J189" s="6" t="str">
        <f aca="false">ROUND(63*1,0)&amp;"%"</f>
        <v>63%</v>
      </c>
    </row>
    <row r="190" customFormat="false" ht="15" hidden="false" customHeight="false" outlineLevel="0" collapsed="false">
      <c r="A190" s="5" t="s">
        <v>6956</v>
      </c>
      <c r="B190" s="5" t="s">
        <v>322</v>
      </c>
      <c r="C190" s="5" t="s">
        <v>57</v>
      </c>
      <c r="D190" s="5" t="s">
        <v>39</v>
      </c>
      <c r="E190" s="5" t="n">
        <f aca="false">ROUND(17291*1.05,2)</f>
        <v>18155.55</v>
      </c>
      <c r="F190" s="5" t="s">
        <v>40</v>
      </c>
      <c r="G190" s="5" t="s">
        <v>24</v>
      </c>
      <c r="H190" s="5" t="n">
        <f aca="true">ROUND(RAND()*4+6,1)</f>
        <v>9.7</v>
      </c>
      <c r="I190" s="5" t="s">
        <v>41</v>
      </c>
      <c r="J190" s="5" t="str">
        <f aca="false">ROUND(90*1,0)&amp;"%"</f>
        <v>90%</v>
      </c>
    </row>
    <row r="191" customFormat="false" ht="15" hidden="false" customHeight="false" outlineLevel="0" collapsed="false">
      <c r="A191" s="6" t="s">
        <v>6957</v>
      </c>
      <c r="B191" s="6" t="s">
        <v>324</v>
      </c>
      <c r="C191" s="6" t="s">
        <v>57</v>
      </c>
      <c r="D191" s="6" t="s">
        <v>44</v>
      </c>
      <c r="E191" s="6" t="n">
        <f aca="false">ROUND(7139*1.05,2)</f>
        <v>7495.95</v>
      </c>
      <c r="F191" s="6" t="s">
        <v>45</v>
      </c>
      <c r="G191" s="6" t="s">
        <v>30</v>
      </c>
      <c r="H191" s="6" t="n">
        <f aca="true">ROUND(RAND()*4+6,1)</f>
        <v>8.1</v>
      </c>
      <c r="I191" s="6" t="s">
        <v>46</v>
      </c>
      <c r="J191" s="6" t="str">
        <f aca="false">ROUND(89*1,0)&amp;"%"</f>
        <v>89%</v>
      </c>
    </row>
    <row r="192" customFormat="false" ht="15" hidden="false" customHeight="false" outlineLevel="0" collapsed="false">
      <c r="A192" s="5" t="s">
        <v>6958</v>
      </c>
      <c r="B192" s="5" t="s">
        <v>326</v>
      </c>
      <c r="C192" s="5" t="s">
        <v>57</v>
      </c>
      <c r="D192" s="5" t="s">
        <v>16</v>
      </c>
      <c r="E192" s="5" t="n">
        <f aca="false">ROUND(15040*1.05,2)</f>
        <v>15792</v>
      </c>
      <c r="F192" s="5" t="s">
        <v>49</v>
      </c>
      <c r="G192" s="5" t="s">
        <v>18</v>
      </c>
      <c r="H192" s="5" t="n">
        <f aca="true">ROUND(RAND()*4+6,1)</f>
        <v>9.6</v>
      </c>
      <c r="I192" s="5" t="s">
        <v>19</v>
      </c>
      <c r="J192" s="5" t="str">
        <f aca="false">ROUND(74*1,0)&amp;"%"</f>
        <v>74%</v>
      </c>
    </row>
    <row r="193" customFormat="false" ht="15" hidden="false" customHeight="false" outlineLevel="0" collapsed="false">
      <c r="A193" s="6" t="s">
        <v>6959</v>
      </c>
      <c r="B193" s="6" t="s">
        <v>328</v>
      </c>
      <c r="C193" s="6" t="s">
        <v>57</v>
      </c>
      <c r="D193" s="6" t="s">
        <v>22</v>
      </c>
      <c r="E193" s="6" t="n">
        <f aca="false">ROUND(9370*1.05,2)</f>
        <v>9838.5</v>
      </c>
      <c r="F193" s="6" t="s">
        <v>52</v>
      </c>
      <c r="G193" s="6" t="s">
        <v>24</v>
      </c>
      <c r="H193" s="6" t="n">
        <f aca="true">ROUND(RAND()*4+6,1)</f>
        <v>8.5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6960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6961</v>
      </c>
      <c r="B198" s="5" t="s">
        <v>332</v>
      </c>
      <c r="C198" s="5" t="s">
        <v>76</v>
      </c>
      <c r="D198" s="5" t="s">
        <v>16</v>
      </c>
      <c r="E198" s="5" t="n">
        <f aca="false">ROUND(17173*1.05,2)</f>
        <v>18031.65</v>
      </c>
      <c r="F198" s="5" t="s">
        <v>17</v>
      </c>
      <c r="G198" s="5" t="s">
        <v>18</v>
      </c>
      <c r="H198" s="5" t="n">
        <f aca="true">ROUND(RAND()*4+6,1)</f>
        <v>8.1</v>
      </c>
      <c r="I198" s="5" t="s">
        <v>19</v>
      </c>
      <c r="J198" s="5" t="str">
        <f aca="false">ROUND(85*1,0)&amp;"%"</f>
        <v>85%</v>
      </c>
    </row>
    <row r="199" customFormat="false" ht="15" hidden="false" customHeight="false" outlineLevel="0" collapsed="false">
      <c r="A199" s="6" t="s">
        <v>6962</v>
      </c>
      <c r="B199" s="6" t="s">
        <v>334</v>
      </c>
      <c r="C199" s="6" t="s">
        <v>76</v>
      </c>
      <c r="D199" s="6" t="s">
        <v>22</v>
      </c>
      <c r="E199" s="6" t="n">
        <f aca="false">ROUND(4276*1.05,2)</f>
        <v>4489.8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ROUND(74*1,0)&amp;"%"</f>
        <v>74%</v>
      </c>
    </row>
    <row r="200" customFormat="false" ht="15" hidden="false" customHeight="false" outlineLevel="0" collapsed="false">
      <c r="A200" s="5" t="s">
        <v>6963</v>
      </c>
      <c r="B200" s="5" t="s">
        <v>336</v>
      </c>
      <c r="C200" s="5" t="s">
        <v>76</v>
      </c>
      <c r="D200" s="5" t="s">
        <v>28</v>
      </c>
      <c r="E200" s="5" t="n">
        <f aca="false">ROUND(14083*1.05,2)</f>
        <v>14787.15</v>
      </c>
      <c r="F200" s="5" t="s">
        <v>29</v>
      </c>
      <c r="G200" s="5" t="s">
        <v>30</v>
      </c>
      <c r="H200" s="5" t="n">
        <f aca="true">ROUND(RAND()*4+6,1)</f>
        <v>8.4</v>
      </c>
      <c r="I200" s="5" t="s">
        <v>31</v>
      </c>
      <c r="J200" s="5" t="str">
        <f aca="false">ROUND(60*1,0)&amp;"%"</f>
        <v>60%</v>
      </c>
    </row>
    <row r="201" customFormat="false" ht="15" hidden="false" customHeight="false" outlineLevel="0" collapsed="false">
      <c r="A201" s="6" t="s">
        <v>6964</v>
      </c>
      <c r="B201" s="6" t="s">
        <v>338</v>
      </c>
      <c r="C201" s="6" t="s">
        <v>76</v>
      </c>
      <c r="D201" s="6" t="s">
        <v>34</v>
      </c>
      <c r="E201" s="6" t="n">
        <f aca="false">ROUND(9467*1.05,2)</f>
        <v>9940.35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ROUND(78*1,0)&amp;"%"</f>
        <v>78%</v>
      </c>
    </row>
    <row r="202" customFormat="false" ht="15" hidden="false" customHeight="false" outlineLevel="0" collapsed="false">
      <c r="A202" s="5" t="s">
        <v>6965</v>
      </c>
      <c r="B202" s="5" t="s">
        <v>340</v>
      </c>
      <c r="C202" s="5" t="s">
        <v>76</v>
      </c>
      <c r="D202" s="5" t="s">
        <v>39</v>
      </c>
      <c r="E202" s="5" t="n">
        <f aca="false">ROUND(15818*1.05,2)</f>
        <v>16608.9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ROUND(74*1,0)&amp;"%"</f>
        <v>74%</v>
      </c>
    </row>
    <row r="203" customFormat="false" ht="15" hidden="false" customHeight="false" outlineLevel="0" collapsed="false">
      <c r="A203" s="6" t="s">
        <v>6966</v>
      </c>
      <c r="B203" s="6" t="s">
        <v>342</v>
      </c>
      <c r="C203" s="6" t="s">
        <v>76</v>
      </c>
      <c r="D203" s="6" t="s">
        <v>44</v>
      </c>
      <c r="E203" s="6" t="n">
        <f aca="false">ROUND(14733*1.05,2)</f>
        <v>15469.65</v>
      </c>
      <c r="F203" s="6" t="s">
        <v>45</v>
      </c>
      <c r="G203" s="6" t="s">
        <v>30</v>
      </c>
      <c r="H203" s="6" t="n">
        <f aca="true">ROUND(RAND()*4+6,1)</f>
        <v>8</v>
      </c>
      <c r="I203" s="6" t="s">
        <v>46</v>
      </c>
      <c r="J203" s="6" t="str">
        <f aca="false">ROUND(79*1,0)&amp;"%"</f>
        <v>79%</v>
      </c>
    </row>
    <row r="204" customFormat="false" ht="15" hidden="false" customHeight="false" outlineLevel="0" collapsed="false">
      <c r="A204" s="5" t="s">
        <v>6967</v>
      </c>
      <c r="B204" s="5" t="s">
        <v>344</v>
      </c>
      <c r="C204" s="5" t="s">
        <v>76</v>
      </c>
      <c r="D204" s="5" t="s">
        <v>16</v>
      </c>
      <c r="E204" s="5" t="n">
        <f aca="false">ROUND(4687*1.05,2)</f>
        <v>4921.35</v>
      </c>
      <c r="F204" s="5" t="s">
        <v>49</v>
      </c>
      <c r="G204" s="5" t="s">
        <v>18</v>
      </c>
      <c r="H204" s="5" t="n">
        <f aca="true">ROUND(RAND()*4+6,1)</f>
        <v>7.8</v>
      </c>
      <c r="I204" s="5" t="s">
        <v>19</v>
      </c>
      <c r="J204" s="5" t="str">
        <f aca="false">ROUND(96*1,0)&amp;"%"</f>
        <v>96%</v>
      </c>
    </row>
    <row r="205" customFormat="false" ht="15" hidden="false" customHeight="false" outlineLevel="0" collapsed="false">
      <c r="A205" s="6" t="s">
        <v>6968</v>
      </c>
      <c r="B205" s="6" t="s">
        <v>346</v>
      </c>
      <c r="C205" s="6" t="s">
        <v>76</v>
      </c>
      <c r="D205" s="6" t="s">
        <v>22</v>
      </c>
      <c r="E205" s="6" t="n">
        <f aca="false">ROUND(17774*1.05,2)</f>
        <v>18662.7</v>
      </c>
      <c r="F205" s="6" t="s">
        <v>52</v>
      </c>
      <c r="G205" s="6" t="s">
        <v>24</v>
      </c>
      <c r="H205" s="6" t="n">
        <f aca="true">ROUND(RAND()*4+6,1)</f>
        <v>9.5</v>
      </c>
      <c r="I205" s="6" t="s">
        <v>25</v>
      </c>
      <c r="J205" s="6" t="str">
        <f aca="false">ROUND(93*1,0)&amp;"%"</f>
        <v>93%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6969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6970</v>
      </c>
      <c r="B210" s="5" t="s">
        <v>350</v>
      </c>
      <c r="C210" s="5" t="s">
        <v>95</v>
      </c>
      <c r="D210" s="5" t="s">
        <v>16</v>
      </c>
      <c r="E210" s="5" t="n">
        <f aca="false">ROUND(15256*1.05,2)</f>
        <v>16018.8</v>
      </c>
      <c r="F210" s="5" t="s">
        <v>17</v>
      </c>
      <c r="G210" s="5" t="s">
        <v>18</v>
      </c>
      <c r="H210" s="5" t="n">
        <f aca="true">ROUND(RAND()*4+6,1)</f>
        <v>9.1</v>
      </c>
      <c r="I210" s="5" t="s">
        <v>19</v>
      </c>
      <c r="J210" s="5" t="str">
        <f aca="false">ROUND(89*1,0)&amp;"%"</f>
        <v>89%</v>
      </c>
    </row>
    <row r="211" customFormat="false" ht="15" hidden="false" customHeight="false" outlineLevel="0" collapsed="false">
      <c r="A211" s="6" t="s">
        <v>6971</v>
      </c>
      <c r="B211" s="6" t="s">
        <v>352</v>
      </c>
      <c r="C211" s="6" t="s">
        <v>95</v>
      </c>
      <c r="D211" s="6" t="s">
        <v>22</v>
      </c>
      <c r="E211" s="6" t="n">
        <f aca="false">ROUND(7024*1.05,2)</f>
        <v>7375.2</v>
      </c>
      <c r="F211" s="6" t="s">
        <v>23</v>
      </c>
      <c r="G211" s="6" t="s">
        <v>24</v>
      </c>
      <c r="H211" s="6" t="n">
        <f aca="true">ROUND(RAND()*4+6,1)</f>
        <v>6.1</v>
      </c>
      <c r="I211" s="6" t="s">
        <v>25</v>
      </c>
      <c r="J211" s="6" t="str">
        <f aca="false">ROUND(78*1,0)&amp;"%"</f>
        <v>78%</v>
      </c>
    </row>
    <row r="212" customFormat="false" ht="15" hidden="false" customHeight="false" outlineLevel="0" collapsed="false">
      <c r="A212" s="5" t="s">
        <v>6972</v>
      </c>
      <c r="B212" s="5" t="s">
        <v>354</v>
      </c>
      <c r="C212" s="5" t="s">
        <v>95</v>
      </c>
      <c r="D212" s="5" t="s">
        <v>28</v>
      </c>
      <c r="E212" s="5" t="n">
        <f aca="false">ROUND(9968*1.05,2)</f>
        <v>10466.4</v>
      </c>
      <c r="F212" s="5" t="s">
        <v>29</v>
      </c>
      <c r="G212" s="5" t="s">
        <v>30</v>
      </c>
      <c r="H212" s="5" t="n">
        <f aca="true">ROUND(RAND()*4+6,1)</f>
        <v>9.2</v>
      </c>
      <c r="I212" s="5" t="s">
        <v>31</v>
      </c>
      <c r="J212" s="5" t="str">
        <f aca="false">ROUND(73*1,0)&amp;"%"</f>
        <v>73%</v>
      </c>
    </row>
    <row r="213" customFormat="false" ht="15" hidden="false" customHeight="false" outlineLevel="0" collapsed="false">
      <c r="A213" s="6" t="s">
        <v>6973</v>
      </c>
      <c r="B213" s="6" t="s">
        <v>356</v>
      </c>
      <c r="C213" s="6" t="s">
        <v>95</v>
      </c>
      <c r="D213" s="6" t="s">
        <v>34</v>
      </c>
      <c r="E213" s="6" t="n">
        <f aca="false">ROUND(13885*1.05,2)</f>
        <v>14579.25</v>
      </c>
      <c r="F213" s="6" t="s">
        <v>35</v>
      </c>
      <c r="G213" s="6" t="s">
        <v>18</v>
      </c>
      <c r="H213" s="6" t="n">
        <f aca="true">ROUND(RAND()*4+6,1)</f>
        <v>7.3</v>
      </c>
      <c r="I213" s="6" t="s">
        <v>36</v>
      </c>
      <c r="J213" s="6" t="str">
        <f aca="false">ROUND(62*1,0)&amp;"%"</f>
        <v>62%</v>
      </c>
    </row>
    <row r="214" customFormat="false" ht="15" hidden="false" customHeight="false" outlineLevel="0" collapsed="false">
      <c r="A214" s="5" t="s">
        <v>6974</v>
      </c>
      <c r="B214" s="5" t="s">
        <v>358</v>
      </c>
      <c r="C214" s="5" t="s">
        <v>95</v>
      </c>
      <c r="D214" s="5" t="s">
        <v>39</v>
      </c>
      <c r="E214" s="5" t="n">
        <f aca="false">ROUND(4677*1.05,2)</f>
        <v>4910.85</v>
      </c>
      <c r="F214" s="5" t="s">
        <v>40</v>
      </c>
      <c r="G214" s="5" t="s">
        <v>24</v>
      </c>
      <c r="H214" s="5" t="n">
        <f aca="true">ROUND(RAND()*4+6,1)</f>
        <v>7.5</v>
      </c>
      <c r="I214" s="5" t="s">
        <v>41</v>
      </c>
      <c r="J214" s="5" t="str">
        <f aca="false">ROUND(98*1,0)&amp;"%"</f>
        <v>98%</v>
      </c>
    </row>
    <row r="215" customFormat="false" ht="15" hidden="false" customHeight="false" outlineLevel="0" collapsed="false">
      <c r="A215" s="6" t="s">
        <v>6975</v>
      </c>
      <c r="B215" s="6" t="s">
        <v>360</v>
      </c>
      <c r="C215" s="6" t="s">
        <v>95</v>
      </c>
      <c r="D215" s="6" t="s">
        <v>44</v>
      </c>
      <c r="E215" s="6" t="n">
        <f aca="false">ROUND(16087*1.05,2)</f>
        <v>16891.35</v>
      </c>
      <c r="F215" s="6" t="s">
        <v>45</v>
      </c>
      <c r="G215" s="6" t="s">
        <v>30</v>
      </c>
      <c r="H215" s="6" t="n">
        <f aca="true">ROUND(RAND()*4+6,1)</f>
        <v>6.8</v>
      </c>
      <c r="I215" s="6" t="s">
        <v>46</v>
      </c>
      <c r="J215" s="6" t="str">
        <f aca="false">ROUND(96*1,0)&amp;"%"</f>
        <v>96%</v>
      </c>
    </row>
    <row r="216" customFormat="false" ht="15" hidden="false" customHeight="false" outlineLevel="0" collapsed="false">
      <c r="A216" s="5" t="s">
        <v>6976</v>
      </c>
      <c r="B216" s="5" t="s">
        <v>362</v>
      </c>
      <c r="C216" s="5" t="s">
        <v>95</v>
      </c>
      <c r="D216" s="5" t="s">
        <v>16</v>
      </c>
      <c r="E216" s="5" t="n">
        <f aca="false">ROUND(6069*1.05,2)</f>
        <v>6372.45</v>
      </c>
      <c r="F216" s="5" t="s">
        <v>49</v>
      </c>
      <c r="G216" s="5" t="s">
        <v>18</v>
      </c>
      <c r="H216" s="5" t="n">
        <f aca="true">ROUND(RAND()*4+6,1)</f>
        <v>8.9</v>
      </c>
      <c r="I216" s="5" t="s">
        <v>19</v>
      </c>
      <c r="J216" s="5" t="str">
        <f aca="false">ROUND(100*1,0)&amp;"%"</f>
        <v>100%</v>
      </c>
    </row>
    <row r="217" customFormat="false" ht="15" hidden="false" customHeight="false" outlineLevel="0" collapsed="false">
      <c r="A217" s="6" t="s">
        <v>6977</v>
      </c>
      <c r="B217" s="6" t="s">
        <v>364</v>
      </c>
      <c r="C217" s="6" t="s">
        <v>95</v>
      </c>
      <c r="D217" s="6" t="s">
        <v>22</v>
      </c>
      <c r="E217" s="6" t="n">
        <f aca="false">ROUND(6107*1.05,2)</f>
        <v>6412.35</v>
      </c>
      <c r="F217" s="6" t="s">
        <v>52</v>
      </c>
      <c r="G217" s="6" t="s">
        <v>24</v>
      </c>
      <c r="H217" s="6" t="n">
        <f aca="true">ROUND(RAND()*4+6,1)</f>
        <v>8.2</v>
      </c>
      <c r="I217" s="6" t="s">
        <v>25</v>
      </c>
      <c r="J217" s="6" t="str">
        <f aca="false">ROUND(96*1,0)&amp;"%"</f>
        <v>96%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6978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6979</v>
      </c>
      <c r="B222" s="5" t="s">
        <v>368</v>
      </c>
      <c r="C222" s="5" t="s">
        <v>114</v>
      </c>
      <c r="D222" s="5" t="s">
        <v>16</v>
      </c>
      <c r="E222" s="5" t="n">
        <f aca="false">ROUND(6539*1.05,2)</f>
        <v>6865.95</v>
      </c>
      <c r="F222" s="5" t="s">
        <v>17</v>
      </c>
      <c r="G222" s="5" t="s">
        <v>18</v>
      </c>
      <c r="H222" s="5" t="n">
        <f aca="true">ROUND(RAND()*4+6,1)</f>
        <v>9.8</v>
      </c>
      <c r="I222" s="5" t="s">
        <v>19</v>
      </c>
      <c r="J222" s="5" t="str">
        <f aca="false">ROUND(61*1,0)&amp;"%"</f>
        <v>61%</v>
      </c>
    </row>
    <row r="223" customFormat="false" ht="15" hidden="false" customHeight="false" outlineLevel="0" collapsed="false">
      <c r="A223" s="6" t="s">
        <v>6980</v>
      </c>
      <c r="B223" s="6" t="s">
        <v>370</v>
      </c>
      <c r="C223" s="6" t="s">
        <v>114</v>
      </c>
      <c r="D223" s="6" t="s">
        <v>22</v>
      </c>
      <c r="E223" s="6" t="n">
        <f aca="false">ROUND(7232*1.05,2)</f>
        <v>7593.6</v>
      </c>
      <c r="F223" s="6" t="s">
        <v>23</v>
      </c>
      <c r="G223" s="6" t="s">
        <v>24</v>
      </c>
      <c r="H223" s="6" t="n">
        <f aca="true">ROUND(RAND()*4+6,1)</f>
        <v>7.8</v>
      </c>
      <c r="I223" s="6" t="s">
        <v>25</v>
      </c>
      <c r="J223" s="6" t="str">
        <f aca="false">ROUND(75*1,0)&amp;"%"</f>
        <v>75%</v>
      </c>
    </row>
    <row r="224" customFormat="false" ht="15" hidden="false" customHeight="false" outlineLevel="0" collapsed="false">
      <c r="A224" s="5" t="s">
        <v>6981</v>
      </c>
      <c r="B224" s="5" t="s">
        <v>372</v>
      </c>
      <c r="C224" s="5" t="s">
        <v>114</v>
      </c>
      <c r="D224" s="5" t="s">
        <v>28</v>
      </c>
      <c r="E224" s="5" t="n">
        <f aca="false">ROUND(13782*1.05,2)</f>
        <v>14471.1</v>
      </c>
      <c r="F224" s="5" t="s">
        <v>29</v>
      </c>
      <c r="G224" s="5" t="s">
        <v>30</v>
      </c>
      <c r="H224" s="5" t="n">
        <f aca="true">ROUND(RAND()*4+6,1)</f>
        <v>9.7</v>
      </c>
      <c r="I224" s="5" t="s">
        <v>31</v>
      </c>
      <c r="J224" s="5" t="str">
        <f aca="false">ROUND(99*1,0)&amp;"%"</f>
        <v>99%</v>
      </c>
    </row>
    <row r="225" customFormat="false" ht="15" hidden="false" customHeight="false" outlineLevel="0" collapsed="false">
      <c r="A225" s="6" t="s">
        <v>6982</v>
      </c>
      <c r="B225" s="6" t="s">
        <v>374</v>
      </c>
      <c r="C225" s="6" t="s">
        <v>114</v>
      </c>
      <c r="D225" s="6" t="s">
        <v>34</v>
      </c>
      <c r="E225" s="6" t="n">
        <f aca="false">ROUND(10611*1.05,2)</f>
        <v>11141.55</v>
      </c>
      <c r="F225" s="6" t="s">
        <v>35</v>
      </c>
      <c r="G225" s="6" t="s">
        <v>18</v>
      </c>
      <c r="H225" s="6" t="n">
        <f aca="true">ROUND(RAND()*4+6,1)</f>
        <v>8.1</v>
      </c>
      <c r="I225" s="6" t="s">
        <v>36</v>
      </c>
      <c r="J225" s="6" t="str">
        <f aca="false">ROUND(69*1,0)&amp;"%"</f>
        <v>69%</v>
      </c>
    </row>
    <row r="226" customFormat="false" ht="15" hidden="false" customHeight="false" outlineLevel="0" collapsed="false">
      <c r="A226" s="5" t="s">
        <v>6983</v>
      </c>
      <c r="B226" s="5" t="s">
        <v>376</v>
      </c>
      <c r="C226" s="5" t="s">
        <v>114</v>
      </c>
      <c r="D226" s="5" t="s">
        <v>39</v>
      </c>
      <c r="E226" s="5" t="n">
        <f aca="false">ROUND(10388*1.05,2)</f>
        <v>10907.4</v>
      </c>
      <c r="F226" s="5" t="s">
        <v>40</v>
      </c>
      <c r="G226" s="5" t="s">
        <v>24</v>
      </c>
      <c r="H226" s="5" t="n">
        <f aca="true">ROUND(RAND()*4+6,1)</f>
        <v>8.2</v>
      </c>
      <c r="I226" s="5" t="s">
        <v>41</v>
      </c>
      <c r="J226" s="5" t="str">
        <f aca="false">ROUND(99*1,0)&amp;"%"</f>
        <v>99%</v>
      </c>
    </row>
    <row r="227" customFormat="false" ht="15" hidden="false" customHeight="false" outlineLevel="0" collapsed="false">
      <c r="A227" s="6" t="s">
        <v>6984</v>
      </c>
      <c r="B227" s="6" t="s">
        <v>378</v>
      </c>
      <c r="C227" s="6" t="s">
        <v>114</v>
      </c>
      <c r="D227" s="6" t="s">
        <v>44</v>
      </c>
      <c r="E227" s="6" t="n">
        <f aca="false">ROUND(13042*1.05,2)</f>
        <v>13694.1</v>
      </c>
      <c r="F227" s="6" t="s">
        <v>45</v>
      </c>
      <c r="G227" s="6" t="s">
        <v>30</v>
      </c>
      <c r="H227" s="6" t="n">
        <f aca="true">ROUND(RAND()*4+6,1)</f>
        <v>8.6</v>
      </c>
      <c r="I227" s="6" t="s">
        <v>46</v>
      </c>
      <c r="J227" s="6" t="str">
        <f aca="false">ROUND(62*1,0)&amp;"%"</f>
        <v>62%</v>
      </c>
    </row>
    <row r="228" customFormat="false" ht="15" hidden="false" customHeight="false" outlineLevel="0" collapsed="false">
      <c r="A228" s="5" t="s">
        <v>6985</v>
      </c>
      <c r="B228" s="5" t="s">
        <v>380</v>
      </c>
      <c r="C228" s="5" t="s">
        <v>114</v>
      </c>
      <c r="D228" s="5" t="s">
        <v>16</v>
      </c>
      <c r="E228" s="5" t="n">
        <f aca="false">ROUND(11355*1.05,2)</f>
        <v>11922.75</v>
      </c>
      <c r="F228" s="5" t="s">
        <v>49</v>
      </c>
      <c r="G228" s="5" t="s">
        <v>18</v>
      </c>
      <c r="H228" s="5" t="n">
        <f aca="true">ROUND(RAND()*4+6,1)</f>
        <v>7.7</v>
      </c>
      <c r="I228" s="5" t="s">
        <v>19</v>
      </c>
      <c r="J228" s="5" t="str">
        <f aca="false">ROUND(74*1,0)&amp;"%"</f>
        <v>74%</v>
      </c>
    </row>
    <row r="229" customFormat="false" ht="15" hidden="false" customHeight="false" outlineLevel="0" collapsed="false">
      <c r="A229" s="6" t="s">
        <v>6986</v>
      </c>
      <c r="B229" s="6" t="s">
        <v>382</v>
      </c>
      <c r="C229" s="6" t="s">
        <v>114</v>
      </c>
      <c r="D229" s="6" t="s">
        <v>22</v>
      </c>
      <c r="E229" s="6" t="n">
        <f aca="false">ROUND(12919*1.05,2)</f>
        <v>13564.95</v>
      </c>
      <c r="F229" s="6" t="s">
        <v>52</v>
      </c>
      <c r="G229" s="6" t="s">
        <v>24</v>
      </c>
      <c r="H229" s="6" t="n">
        <f aca="true">ROUND(RAND()*4+6,1)</f>
        <v>7.4</v>
      </c>
      <c r="I229" s="6" t="s">
        <v>25</v>
      </c>
      <c r="J229" s="6" t="str">
        <f aca="false">ROUND(75*1,0)&amp;"%"</f>
        <v>75%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6987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6988</v>
      </c>
      <c r="B234" s="5" t="s">
        <v>386</v>
      </c>
      <c r="C234" s="5" t="s">
        <v>133</v>
      </c>
      <c r="D234" s="5" t="s">
        <v>16</v>
      </c>
      <c r="E234" s="5" t="n">
        <f aca="false">ROUND(10061*1.05,2)</f>
        <v>10564.05</v>
      </c>
      <c r="F234" s="5" t="s">
        <v>17</v>
      </c>
      <c r="G234" s="5" t="s">
        <v>18</v>
      </c>
      <c r="H234" s="5" t="n">
        <f aca="true">ROUND(RAND()*4+6,1)</f>
        <v>7.7</v>
      </c>
      <c r="I234" s="5" t="s">
        <v>19</v>
      </c>
      <c r="J234" s="5" t="str">
        <f aca="false">ROUND(97*1,0)&amp;"%"</f>
        <v>97%</v>
      </c>
    </row>
    <row r="235" customFormat="false" ht="15" hidden="false" customHeight="false" outlineLevel="0" collapsed="false">
      <c r="A235" s="6" t="s">
        <v>6989</v>
      </c>
      <c r="B235" s="6" t="s">
        <v>388</v>
      </c>
      <c r="C235" s="6" t="s">
        <v>133</v>
      </c>
      <c r="D235" s="6" t="s">
        <v>22</v>
      </c>
      <c r="E235" s="6" t="n">
        <f aca="false">ROUND(15045*1.05,2)</f>
        <v>15797.25</v>
      </c>
      <c r="F235" s="6" t="s">
        <v>23</v>
      </c>
      <c r="G235" s="6" t="s">
        <v>24</v>
      </c>
      <c r="H235" s="6" t="n">
        <f aca="true">ROUND(RAND()*4+6,1)</f>
        <v>7.4</v>
      </c>
      <c r="I235" s="6" t="s">
        <v>25</v>
      </c>
      <c r="J235" s="6" t="str">
        <f aca="false">ROUND(90*1,0)&amp;"%"</f>
        <v>90%</v>
      </c>
    </row>
    <row r="236" customFormat="false" ht="15" hidden="false" customHeight="false" outlineLevel="0" collapsed="false">
      <c r="A236" s="5" t="s">
        <v>6990</v>
      </c>
      <c r="B236" s="5" t="s">
        <v>390</v>
      </c>
      <c r="C236" s="5" t="s">
        <v>133</v>
      </c>
      <c r="D236" s="5" t="s">
        <v>28</v>
      </c>
      <c r="E236" s="5" t="n">
        <f aca="false">ROUND(14772*1.05,2)</f>
        <v>15510.6</v>
      </c>
      <c r="F236" s="5" t="s">
        <v>29</v>
      </c>
      <c r="G236" s="5" t="s">
        <v>30</v>
      </c>
      <c r="H236" s="5" t="n">
        <f aca="true">ROUND(RAND()*4+6,1)</f>
        <v>7.2</v>
      </c>
      <c r="I236" s="5" t="s">
        <v>31</v>
      </c>
      <c r="J236" s="5" t="str">
        <f aca="false">ROUND(82*1,0)&amp;"%"</f>
        <v>82%</v>
      </c>
    </row>
    <row r="237" customFormat="false" ht="15" hidden="false" customHeight="false" outlineLevel="0" collapsed="false">
      <c r="A237" s="6" t="s">
        <v>6991</v>
      </c>
      <c r="B237" s="6" t="s">
        <v>392</v>
      </c>
      <c r="C237" s="6" t="s">
        <v>133</v>
      </c>
      <c r="D237" s="6" t="s">
        <v>34</v>
      </c>
      <c r="E237" s="6" t="n">
        <f aca="false">ROUND(9335*1.05,2)</f>
        <v>9801.75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ROUND(68*1,0)&amp;"%"</f>
        <v>68%</v>
      </c>
    </row>
    <row r="238" customFormat="false" ht="15" hidden="false" customHeight="false" outlineLevel="0" collapsed="false">
      <c r="A238" s="5" t="s">
        <v>6992</v>
      </c>
      <c r="B238" s="5" t="s">
        <v>394</v>
      </c>
      <c r="C238" s="5" t="s">
        <v>133</v>
      </c>
      <c r="D238" s="5" t="s">
        <v>39</v>
      </c>
      <c r="E238" s="5" t="n">
        <f aca="false">ROUND(12394*1.05,2)</f>
        <v>13013.7</v>
      </c>
      <c r="F238" s="5" t="s">
        <v>40</v>
      </c>
      <c r="G238" s="5" t="s">
        <v>24</v>
      </c>
      <c r="H238" s="5" t="n">
        <f aca="true">ROUND(RAND()*4+6,1)</f>
        <v>6.2</v>
      </c>
      <c r="I238" s="5" t="s">
        <v>41</v>
      </c>
      <c r="J238" s="5" t="str">
        <f aca="false">ROUND(88*1,0)&amp;"%"</f>
        <v>88%</v>
      </c>
    </row>
    <row r="239" customFormat="false" ht="15" hidden="false" customHeight="false" outlineLevel="0" collapsed="false">
      <c r="A239" s="6" t="s">
        <v>6993</v>
      </c>
      <c r="B239" s="6" t="s">
        <v>396</v>
      </c>
      <c r="C239" s="6" t="s">
        <v>133</v>
      </c>
      <c r="D239" s="6" t="s">
        <v>44</v>
      </c>
      <c r="E239" s="6" t="n">
        <f aca="false">ROUND(15426*1.05,2)</f>
        <v>16197.3</v>
      </c>
      <c r="F239" s="6" t="s">
        <v>45</v>
      </c>
      <c r="G239" s="6" t="s">
        <v>30</v>
      </c>
      <c r="H239" s="6" t="n">
        <f aca="true">ROUND(RAND()*4+6,1)</f>
        <v>9.8</v>
      </c>
      <c r="I239" s="6" t="s">
        <v>46</v>
      </c>
      <c r="J239" s="6" t="str">
        <f aca="false">ROUND(64*1,0)&amp;"%"</f>
        <v>64%</v>
      </c>
    </row>
    <row r="240" customFormat="false" ht="15" hidden="false" customHeight="false" outlineLevel="0" collapsed="false">
      <c r="A240" s="5" t="s">
        <v>6994</v>
      </c>
      <c r="B240" s="5" t="s">
        <v>398</v>
      </c>
      <c r="C240" s="5" t="s">
        <v>133</v>
      </c>
      <c r="D240" s="5" t="s">
        <v>16</v>
      </c>
      <c r="E240" s="5" t="n">
        <f aca="false">ROUND(11680*1.05,2)</f>
        <v>12264</v>
      </c>
      <c r="F240" s="5" t="s">
        <v>49</v>
      </c>
      <c r="G240" s="5" t="s">
        <v>18</v>
      </c>
      <c r="H240" s="5" t="n">
        <f aca="true">ROUND(RAND()*4+6,1)</f>
        <v>8</v>
      </c>
      <c r="I240" s="5" t="s">
        <v>19</v>
      </c>
      <c r="J240" s="5" t="str">
        <f aca="false">ROUND(92*1,0)&amp;"%"</f>
        <v>92%</v>
      </c>
    </row>
    <row r="241" customFormat="false" ht="15" hidden="false" customHeight="false" outlineLevel="0" collapsed="false">
      <c r="A241" s="6" t="s">
        <v>6995</v>
      </c>
      <c r="B241" s="6" t="s">
        <v>400</v>
      </c>
      <c r="C241" s="6" t="s">
        <v>133</v>
      </c>
      <c r="D241" s="6" t="s">
        <v>22</v>
      </c>
      <c r="E241" s="6" t="n">
        <f aca="false">ROUND(12679*1.05,2)</f>
        <v>13312.95</v>
      </c>
      <c r="F241" s="6" t="s">
        <v>52</v>
      </c>
      <c r="G241" s="6" t="s">
        <v>24</v>
      </c>
      <c r="H241" s="6" t="n">
        <f aca="true">ROUND(RAND()*4+6,1)</f>
        <v>7.5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6996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6997</v>
      </c>
      <c r="B246" s="5" t="s">
        <v>404</v>
      </c>
      <c r="C246" s="5" t="s">
        <v>152</v>
      </c>
      <c r="D246" s="5" t="s">
        <v>16</v>
      </c>
      <c r="E246" s="5" t="n">
        <f aca="false">ROUND(6488*1.05,2)</f>
        <v>6812.4</v>
      </c>
      <c r="F246" s="5" t="s">
        <v>17</v>
      </c>
      <c r="G246" s="5" t="s">
        <v>18</v>
      </c>
      <c r="H246" s="5" t="n">
        <f aca="true">ROUND(RAND()*4+6,1)</f>
        <v>7.3</v>
      </c>
      <c r="I246" s="5" t="s">
        <v>19</v>
      </c>
      <c r="J246" s="5" t="str">
        <f aca="false">ROUND(81*1,0)&amp;"%"</f>
        <v>81%</v>
      </c>
    </row>
    <row r="247" customFormat="false" ht="15" hidden="false" customHeight="false" outlineLevel="0" collapsed="false">
      <c r="A247" s="6" t="s">
        <v>6998</v>
      </c>
      <c r="B247" s="6" t="s">
        <v>406</v>
      </c>
      <c r="C247" s="6" t="s">
        <v>152</v>
      </c>
      <c r="D247" s="6" t="s">
        <v>22</v>
      </c>
      <c r="E247" s="6" t="n">
        <f aca="false">ROUND(6618*1.05,2)</f>
        <v>6948.9</v>
      </c>
      <c r="F247" s="6" t="s">
        <v>23</v>
      </c>
      <c r="G247" s="6" t="s">
        <v>24</v>
      </c>
      <c r="H247" s="6" t="n">
        <f aca="true">ROUND(RAND()*4+6,1)</f>
        <v>8</v>
      </c>
      <c r="I247" s="6" t="s">
        <v>25</v>
      </c>
      <c r="J247" s="6" t="str">
        <f aca="false">ROUND(91*1,0)&amp;"%"</f>
        <v>91%</v>
      </c>
    </row>
    <row r="248" customFormat="false" ht="15" hidden="false" customHeight="false" outlineLevel="0" collapsed="false">
      <c r="A248" s="5" t="s">
        <v>6999</v>
      </c>
      <c r="B248" s="5" t="s">
        <v>408</v>
      </c>
      <c r="C248" s="5" t="s">
        <v>152</v>
      </c>
      <c r="D248" s="5" t="s">
        <v>28</v>
      </c>
      <c r="E248" s="5" t="n">
        <f aca="false">ROUND(15752*1.05,2)</f>
        <v>16539.6</v>
      </c>
      <c r="F248" s="5" t="s">
        <v>29</v>
      </c>
      <c r="G248" s="5" t="s">
        <v>30</v>
      </c>
      <c r="H248" s="5" t="n">
        <f aca="true">ROUND(RAND()*4+6,1)</f>
        <v>9.7</v>
      </c>
      <c r="I248" s="5" t="s">
        <v>31</v>
      </c>
      <c r="J248" s="5" t="str">
        <f aca="false">ROUND(61*1,0)&amp;"%"</f>
        <v>61%</v>
      </c>
    </row>
    <row r="249" customFormat="false" ht="15" hidden="false" customHeight="false" outlineLevel="0" collapsed="false">
      <c r="A249" s="6" t="s">
        <v>7000</v>
      </c>
      <c r="B249" s="6" t="s">
        <v>410</v>
      </c>
      <c r="C249" s="6" t="s">
        <v>152</v>
      </c>
      <c r="D249" s="6" t="s">
        <v>34</v>
      </c>
      <c r="E249" s="6" t="n">
        <f aca="false">ROUND(7804*1.05,2)</f>
        <v>8194.2</v>
      </c>
      <c r="F249" s="6" t="s">
        <v>35</v>
      </c>
      <c r="G249" s="6" t="s">
        <v>18</v>
      </c>
      <c r="H249" s="6" t="n">
        <f aca="true">ROUND(RAND()*4+6,1)</f>
        <v>8</v>
      </c>
      <c r="I249" s="6" t="s">
        <v>36</v>
      </c>
      <c r="J249" s="6" t="str">
        <f aca="false">ROUND(91*1,0)&amp;"%"</f>
        <v>91%</v>
      </c>
    </row>
    <row r="250" customFormat="false" ht="15" hidden="false" customHeight="false" outlineLevel="0" collapsed="false">
      <c r="A250" s="5" t="s">
        <v>7001</v>
      </c>
      <c r="B250" s="5" t="s">
        <v>412</v>
      </c>
      <c r="C250" s="5" t="s">
        <v>152</v>
      </c>
      <c r="D250" s="5" t="s">
        <v>39</v>
      </c>
      <c r="E250" s="5" t="n">
        <f aca="false">ROUND(6422*1.05,2)</f>
        <v>6743.1</v>
      </c>
      <c r="F250" s="5" t="s">
        <v>40</v>
      </c>
      <c r="G250" s="5" t="s">
        <v>24</v>
      </c>
      <c r="H250" s="5" t="n">
        <f aca="true">ROUND(RAND()*4+6,1)</f>
        <v>8.2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7002</v>
      </c>
      <c r="B251" s="6" t="s">
        <v>414</v>
      </c>
      <c r="C251" s="6" t="s">
        <v>152</v>
      </c>
      <c r="D251" s="6" t="s">
        <v>44</v>
      </c>
      <c r="E251" s="6" t="n">
        <f aca="false">ROUND(11746*1.05,2)</f>
        <v>12333.3</v>
      </c>
      <c r="F251" s="6" t="s">
        <v>45</v>
      </c>
      <c r="G251" s="6" t="s">
        <v>30</v>
      </c>
      <c r="H251" s="6" t="n">
        <f aca="true">ROUND(RAND()*4+6,1)</f>
        <v>6.6</v>
      </c>
      <c r="I251" s="6" t="s">
        <v>46</v>
      </c>
      <c r="J251" s="6" t="str">
        <f aca="false">ROUND(89*1,0)&amp;"%"</f>
        <v>89%</v>
      </c>
    </row>
    <row r="252" customFormat="false" ht="15" hidden="false" customHeight="false" outlineLevel="0" collapsed="false">
      <c r="A252" s="5" t="s">
        <v>7003</v>
      </c>
      <c r="B252" s="5" t="s">
        <v>416</v>
      </c>
      <c r="C252" s="5" t="s">
        <v>152</v>
      </c>
      <c r="D252" s="5" t="s">
        <v>16</v>
      </c>
      <c r="E252" s="5" t="n">
        <f aca="false">ROUND(9483*1.05,2)</f>
        <v>9957.15</v>
      </c>
      <c r="F252" s="5" t="s">
        <v>49</v>
      </c>
      <c r="G252" s="5" t="s">
        <v>18</v>
      </c>
      <c r="H252" s="5" t="n">
        <f aca="true">ROUND(RAND()*4+6,1)</f>
        <v>8.7</v>
      </c>
      <c r="I252" s="5" t="s">
        <v>19</v>
      </c>
      <c r="J252" s="5" t="str">
        <f aca="false">ROUND(97*1,0)&amp;"%"</f>
        <v>97%</v>
      </c>
    </row>
    <row r="253" customFormat="false" ht="15" hidden="false" customHeight="false" outlineLevel="0" collapsed="false">
      <c r="A253" s="6" t="s">
        <v>7004</v>
      </c>
      <c r="B253" s="6" t="s">
        <v>418</v>
      </c>
      <c r="C253" s="6" t="s">
        <v>152</v>
      </c>
      <c r="D253" s="6" t="s">
        <v>22</v>
      </c>
      <c r="E253" s="6" t="n">
        <f aca="false">ROUND(10597*1.05,2)</f>
        <v>11126.85</v>
      </c>
      <c r="F253" s="6" t="s">
        <v>52</v>
      </c>
      <c r="G253" s="6" t="s">
        <v>24</v>
      </c>
      <c r="H253" s="6" t="n">
        <f aca="true">ROUND(RAND()*4+6,1)</f>
        <v>8.6</v>
      </c>
      <c r="I253" s="6" t="s">
        <v>25</v>
      </c>
      <c r="J253" s="6" t="str">
        <f aca="false">ROUND(95*1,0)&amp;"%"</f>
        <v>95%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7005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7006</v>
      </c>
      <c r="B258" s="5" t="s">
        <v>422</v>
      </c>
      <c r="C258" s="5" t="s">
        <v>15</v>
      </c>
      <c r="D258" s="5" t="s">
        <v>16</v>
      </c>
      <c r="E258" s="5" t="n">
        <f aca="false">ROUND(4779*1.05,2)</f>
        <v>5017.95</v>
      </c>
      <c r="F258" s="5" t="s">
        <v>17</v>
      </c>
      <c r="G258" s="5" t="s">
        <v>18</v>
      </c>
      <c r="H258" s="5" t="n">
        <f aca="true">ROUND(RAND()*4+6,1)</f>
        <v>10</v>
      </c>
      <c r="I258" s="5" t="s">
        <v>19</v>
      </c>
      <c r="J258" s="5" t="str">
        <f aca="false">ROUND(62*1,0)&amp;"%"</f>
        <v>62%</v>
      </c>
    </row>
    <row r="259" customFormat="false" ht="15" hidden="false" customHeight="false" outlineLevel="0" collapsed="false">
      <c r="A259" s="6" t="s">
        <v>7007</v>
      </c>
      <c r="B259" s="6" t="s">
        <v>424</v>
      </c>
      <c r="C259" s="6" t="s">
        <v>15</v>
      </c>
      <c r="D259" s="6" t="s">
        <v>22</v>
      </c>
      <c r="E259" s="6" t="n">
        <f aca="false">ROUND(5245*1.05,2)</f>
        <v>5507.25</v>
      </c>
      <c r="F259" s="6" t="s">
        <v>23</v>
      </c>
      <c r="G259" s="6" t="s">
        <v>24</v>
      </c>
      <c r="H259" s="6" t="n">
        <f aca="true">ROUND(RAND()*4+6,1)</f>
        <v>9</v>
      </c>
      <c r="I259" s="6" t="s">
        <v>25</v>
      </c>
      <c r="J259" s="6" t="str">
        <f aca="false">ROUND(90*1,0)&amp;"%"</f>
        <v>90%</v>
      </c>
    </row>
    <row r="260" customFormat="false" ht="15" hidden="false" customHeight="false" outlineLevel="0" collapsed="false">
      <c r="A260" s="5" t="s">
        <v>7008</v>
      </c>
      <c r="B260" s="5" t="s">
        <v>426</v>
      </c>
      <c r="C260" s="5" t="s">
        <v>15</v>
      </c>
      <c r="D260" s="5" t="s">
        <v>28</v>
      </c>
      <c r="E260" s="5" t="n">
        <f aca="false">ROUND(11490*1.05,2)</f>
        <v>12064.5</v>
      </c>
      <c r="F260" s="5" t="s">
        <v>29</v>
      </c>
      <c r="G260" s="5" t="s">
        <v>30</v>
      </c>
      <c r="H260" s="5" t="n">
        <f aca="true">ROUND(RAND()*4+6,1)</f>
        <v>6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7009</v>
      </c>
      <c r="B261" s="6" t="s">
        <v>428</v>
      </c>
      <c r="C261" s="6" t="s">
        <v>15</v>
      </c>
      <c r="D261" s="6" t="s">
        <v>34</v>
      </c>
      <c r="E261" s="6" t="n">
        <f aca="false">ROUND(9520*1.05,2)</f>
        <v>9996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ROUND(80*1,0)&amp;"%"</f>
        <v>80%</v>
      </c>
    </row>
    <row r="262" customFormat="false" ht="15" hidden="false" customHeight="false" outlineLevel="0" collapsed="false">
      <c r="A262" s="5" t="s">
        <v>7010</v>
      </c>
      <c r="B262" s="5" t="s">
        <v>430</v>
      </c>
      <c r="C262" s="5" t="s">
        <v>15</v>
      </c>
      <c r="D262" s="5" t="s">
        <v>39</v>
      </c>
      <c r="E262" s="5" t="n">
        <f aca="false">ROUND(7400*1.05,2)</f>
        <v>7770</v>
      </c>
      <c r="F262" s="5" t="s">
        <v>40</v>
      </c>
      <c r="G262" s="5" t="s">
        <v>24</v>
      </c>
      <c r="H262" s="5" t="n">
        <f aca="true">ROUND(RAND()*4+6,1)</f>
        <v>6.5</v>
      </c>
      <c r="I262" s="5" t="s">
        <v>41</v>
      </c>
      <c r="J262" s="5" t="str">
        <f aca="false">ROUND(69*1,0)&amp;"%"</f>
        <v>69%</v>
      </c>
    </row>
    <row r="263" customFormat="false" ht="15" hidden="false" customHeight="false" outlineLevel="0" collapsed="false">
      <c r="A263" s="6" t="s">
        <v>7011</v>
      </c>
      <c r="B263" s="6" t="s">
        <v>432</v>
      </c>
      <c r="C263" s="6" t="s">
        <v>15</v>
      </c>
      <c r="D263" s="6" t="s">
        <v>44</v>
      </c>
      <c r="E263" s="6" t="n">
        <f aca="false">ROUND(13940*1.05,2)</f>
        <v>14637</v>
      </c>
      <c r="F263" s="6" t="s">
        <v>45</v>
      </c>
      <c r="G263" s="6" t="s">
        <v>30</v>
      </c>
      <c r="H263" s="6" t="n">
        <f aca="true">ROUND(RAND()*4+6,1)</f>
        <v>6.7</v>
      </c>
      <c r="I263" s="6" t="s">
        <v>46</v>
      </c>
      <c r="J263" s="6" t="str">
        <f aca="false">ROUND(63*1,0)&amp;"%"</f>
        <v>63%</v>
      </c>
    </row>
    <row r="264" customFormat="false" ht="15" hidden="false" customHeight="false" outlineLevel="0" collapsed="false">
      <c r="A264" s="5" t="s">
        <v>7012</v>
      </c>
      <c r="B264" s="5" t="s">
        <v>434</v>
      </c>
      <c r="C264" s="5" t="s">
        <v>15</v>
      </c>
      <c r="D264" s="5" t="s">
        <v>16</v>
      </c>
      <c r="E264" s="5" t="n">
        <f aca="false">ROUND(17823*1.05,2)</f>
        <v>18714.15</v>
      </c>
      <c r="F264" s="5" t="s">
        <v>49</v>
      </c>
      <c r="G264" s="5" t="s">
        <v>18</v>
      </c>
      <c r="H264" s="5" t="n">
        <f aca="true">ROUND(RAND()*4+6,1)</f>
        <v>9.6</v>
      </c>
      <c r="I264" s="5" t="s">
        <v>19</v>
      </c>
      <c r="J264" s="5" t="str">
        <f aca="false">ROUND(85*1,0)&amp;"%"</f>
        <v>85%</v>
      </c>
    </row>
    <row r="265" customFormat="false" ht="15" hidden="false" customHeight="false" outlineLevel="0" collapsed="false">
      <c r="A265" s="6" t="s">
        <v>7013</v>
      </c>
      <c r="B265" s="6" t="s">
        <v>436</v>
      </c>
      <c r="C265" s="6" t="s">
        <v>15</v>
      </c>
      <c r="D265" s="6" t="s">
        <v>22</v>
      </c>
      <c r="E265" s="6" t="n">
        <f aca="false">ROUND(8429*1.05,2)</f>
        <v>8850.45</v>
      </c>
      <c r="F265" s="6" t="s">
        <v>52</v>
      </c>
      <c r="G265" s="6" t="s">
        <v>24</v>
      </c>
      <c r="H265" s="6" t="n">
        <f aca="true">ROUND(RAND()*4+6,1)</f>
        <v>7.4</v>
      </c>
      <c r="I265" s="6" t="s">
        <v>25</v>
      </c>
      <c r="J265" s="6" t="str">
        <f aca="false">ROUND(86*1,0)&amp;"%"</f>
        <v>86%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7014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7015</v>
      </c>
      <c r="B270" s="5" t="s">
        <v>440</v>
      </c>
      <c r="C270" s="5" t="s">
        <v>57</v>
      </c>
      <c r="D270" s="5" t="s">
        <v>16</v>
      </c>
      <c r="E270" s="5" t="n">
        <f aca="false">ROUND(8336*1.05,2)</f>
        <v>8752.8</v>
      </c>
      <c r="F270" s="5" t="s">
        <v>17</v>
      </c>
      <c r="G270" s="5" t="s">
        <v>18</v>
      </c>
      <c r="H270" s="5" t="n">
        <f aca="true">ROUND(RAND()*4+6,1)</f>
        <v>8.8</v>
      </c>
      <c r="I270" s="5" t="s">
        <v>19</v>
      </c>
      <c r="J270" s="5" t="str">
        <f aca="false">ROUND(98*1,0)&amp;"%"</f>
        <v>98%</v>
      </c>
    </row>
    <row r="271" customFormat="false" ht="15" hidden="false" customHeight="false" outlineLevel="0" collapsed="false">
      <c r="A271" s="6" t="s">
        <v>7016</v>
      </c>
      <c r="B271" s="6" t="s">
        <v>442</v>
      </c>
      <c r="C271" s="6" t="s">
        <v>57</v>
      </c>
      <c r="D271" s="6" t="s">
        <v>22</v>
      </c>
      <c r="E271" s="6" t="n">
        <f aca="false">ROUND(11388*1.05,2)</f>
        <v>11957.4</v>
      </c>
      <c r="F271" s="6" t="s">
        <v>23</v>
      </c>
      <c r="G271" s="6" t="s">
        <v>24</v>
      </c>
      <c r="H271" s="6" t="n">
        <f aca="true">ROUND(RAND()*4+6,1)</f>
        <v>7.2</v>
      </c>
      <c r="I271" s="6" t="s">
        <v>25</v>
      </c>
      <c r="J271" s="6" t="str">
        <f aca="false">ROUND(96*1,0)&amp;"%"</f>
        <v>96%</v>
      </c>
    </row>
    <row r="272" customFormat="false" ht="15" hidden="false" customHeight="false" outlineLevel="0" collapsed="false">
      <c r="A272" s="5" t="s">
        <v>7017</v>
      </c>
      <c r="B272" s="5" t="s">
        <v>444</v>
      </c>
      <c r="C272" s="5" t="s">
        <v>57</v>
      </c>
      <c r="D272" s="5" t="s">
        <v>28</v>
      </c>
      <c r="E272" s="5" t="n">
        <f aca="false">ROUND(15119*1.05,2)</f>
        <v>15874.95</v>
      </c>
      <c r="F272" s="5" t="s">
        <v>29</v>
      </c>
      <c r="G272" s="5" t="s">
        <v>30</v>
      </c>
      <c r="H272" s="5" t="n">
        <f aca="true">ROUND(RAND()*4+6,1)</f>
        <v>7.6</v>
      </c>
      <c r="I272" s="5" t="s">
        <v>31</v>
      </c>
      <c r="J272" s="5" t="str">
        <f aca="false">ROUND(86*1,0)&amp;"%"</f>
        <v>86%</v>
      </c>
    </row>
    <row r="273" customFormat="false" ht="15" hidden="false" customHeight="false" outlineLevel="0" collapsed="false">
      <c r="A273" s="6" t="s">
        <v>7018</v>
      </c>
      <c r="B273" s="6" t="s">
        <v>446</v>
      </c>
      <c r="C273" s="6" t="s">
        <v>57</v>
      </c>
      <c r="D273" s="6" t="s">
        <v>34</v>
      </c>
      <c r="E273" s="6" t="n">
        <f aca="false">ROUND(8256*1.05,2)</f>
        <v>8668.8</v>
      </c>
      <c r="F273" s="6" t="s">
        <v>35</v>
      </c>
      <c r="G273" s="6" t="s">
        <v>18</v>
      </c>
      <c r="H273" s="6" t="n">
        <f aca="true">ROUND(RAND()*4+6,1)</f>
        <v>9.7</v>
      </c>
      <c r="I273" s="6" t="s">
        <v>36</v>
      </c>
      <c r="J273" s="6" t="str">
        <f aca="false">ROUND(86*1,0)&amp;"%"</f>
        <v>86%</v>
      </c>
    </row>
    <row r="274" customFormat="false" ht="15" hidden="false" customHeight="false" outlineLevel="0" collapsed="false">
      <c r="A274" s="5" t="s">
        <v>7019</v>
      </c>
      <c r="B274" s="5" t="s">
        <v>448</v>
      </c>
      <c r="C274" s="5" t="s">
        <v>57</v>
      </c>
      <c r="D274" s="5" t="s">
        <v>39</v>
      </c>
      <c r="E274" s="5" t="n">
        <f aca="false">ROUND(16492*1.05,2)</f>
        <v>17316.6</v>
      </c>
      <c r="F274" s="5" t="s">
        <v>40</v>
      </c>
      <c r="G274" s="5" t="s">
        <v>24</v>
      </c>
      <c r="H274" s="5" t="n">
        <f aca="true">ROUND(RAND()*4+6,1)</f>
        <v>8.1</v>
      </c>
      <c r="I274" s="5" t="s">
        <v>41</v>
      </c>
      <c r="J274" s="5" t="str">
        <f aca="false">ROUND(74*1,0)&amp;"%"</f>
        <v>74%</v>
      </c>
    </row>
    <row r="275" customFormat="false" ht="15" hidden="false" customHeight="false" outlineLevel="0" collapsed="false">
      <c r="A275" s="6" t="s">
        <v>7020</v>
      </c>
      <c r="B275" s="6" t="s">
        <v>450</v>
      </c>
      <c r="C275" s="6" t="s">
        <v>57</v>
      </c>
      <c r="D275" s="6" t="s">
        <v>44</v>
      </c>
      <c r="E275" s="6" t="n">
        <f aca="false">ROUND(15807*1.05,2)</f>
        <v>16597.35</v>
      </c>
      <c r="F275" s="6" t="s">
        <v>45</v>
      </c>
      <c r="G275" s="6" t="s">
        <v>30</v>
      </c>
      <c r="H275" s="6" t="n">
        <f aca="true">ROUND(RAND()*4+6,1)</f>
        <v>9.3</v>
      </c>
      <c r="I275" s="6" t="s">
        <v>46</v>
      </c>
      <c r="J275" s="6" t="str">
        <f aca="false">ROUND(86*1,0)&amp;"%"</f>
        <v>86%</v>
      </c>
    </row>
    <row r="276" customFormat="false" ht="15" hidden="false" customHeight="false" outlineLevel="0" collapsed="false">
      <c r="A276" s="5" t="s">
        <v>7021</v>
      </c>
      <c r="B276" s="5" t="s">
        <v>452</v>
      </c>
      <c r="C276" s="5" t="s">
        <v>57</v>
      </c>
      <c r="D276" s="5" t="s">
        <v>16</v>
      </c>
      <c r="E276" s="5" t="n">
        <f aca="false">ROUND(13693*1.05,2)</f>
        <v>14377.65</v>
      </c>
      <c r="F276" s="5" t="s">
        <v>49</v>
      </c>
      <c r="G276" s="5" t="s">
        <v>18</v>
      </c>
      <c r="H276" s="5" t="n">
        <f aca="true">ROUND(RAND()*4+6,1)</f>
        <v>8.5</v>
      </c>
      <c r="I276" s="5" t="s">
        <v>19</v>
      </c>
      <c r="J276" s="5" t="str">
        <f aca="false">ROUND(81*1,0)&amp;"%"</f>
        <v>81%</v>
      </c>
    </row>
    <row r="277" customFormat="false" ht="15" hidden="false" customHeight="false" outlineLevel="0" collapsed="false">
      <c r="A277" s="6" t="s">
        <v>7022</v>
      </c>
      <c r="B277" s="6" t="s">
        <v>454</v>
      </c>
      <c r="C277" s="6" t="s">
        <v>57</v>
      </c>
      <c r="D277" s="6" t="s">
        <v>22</v>
      </c>
      <c r="E277" s="6" t="n">
        <f aca="false">ROUND(13737*1.05,2)</f>
        <v>14423.85</v>
      </c>
      <c r="F277" s="6" t="s">
        <v>52</v>
      </c>
      <c r="G277" s="6" t="s">
        <v>24</v>
      </c>
      <c r="H277" s="6" t="n">
        <f aca="true">ROUND(RAND()*4+6,1)</f>
        <v>8</v>
      </c>
      <c r="I277" s="6" t="s">
        <v>25</v>
      </c>
      <c r="J277" s="6" t="str">
        <f aca="false">ROUND(96*1,0)&amp;"%"</f>
        <v>96%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7023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7024</v>
      </c>
      <c r="B282" s="5" t="s">
        <v>458</v>
      </c>
      <c r="C282" s="5" t="s">
        <v>76</v>
      </c>
      <c r="D282" s="5" t="s">
        <v>16</v>
      </c>
      <c r="E282" s="5" t="n">
        <f aca="false">ROUND(11916*1.05,2)</f>
        <v>12511.8</v>
      </c>
      <c r="F282" s="5" t="s">
        <v>17</v>
      </c>
      <c r="G282" s="5" t="s">
        <v>18</v>
      </c>
      <c r="H282" s="5" t="n">
        <f aca="true">ROUND(RAND()*4+6,1)</f>
        <v>7.9</v>
      </c>
      <c r="I282" s="5" t="s">
        <v>19</v>
      </c>
      <c r="J282" s="5" t="str">
        <f aca="false">ROUND(67*1,0)&amp;"%"</f>
        <v>67%</v>
      </c>
    </row>
    <row r="283" customFormat="false" ht="15" hidden="false" customHeight="false" outlineLevel="0" collapsed="false">
      <c r="A283" s="6" t="s">
        <v>7025</v>
      </c>
      <c r="B283" s="6" t="s">
        <v>460</v>
      </c>
      <c r="C283" s="6" t="s">
        <v>76</v>
      </c>
      <c r="D283" s="6" t="s">
        <v>22</v>
      </c>
      <c r="E283" s="6" t="n">
        <f aca="false">ROUND(12068*1.05,2)</f>
        <v>12671.4</v>
      </c>
      <c r="F283" s="6" t="s">
        <v>23</v>
      </c>
      <c r="G283" s="6" t="s">
        <v>24</v>
      </c>
      <c r="H283" s="6" t="n">
        <f aca="true">ROUND(RAND()*4+6,1)</f>
        <v>7.3</v>
      </c>
      <c r="I283" s="6" t="s">
        <v>25</v>
      </c>
      <c r="J283" s="6" t="str">
        <f aca="false">ROUND(63*1,0)&amp;"%"</f>
        <v>63%</v>
      </c>
    </row>
    <row r="284" customFormat="false" ht="15" hidden="false" customHeight="false" outlineLevel="0" collapsed="false">
      <c r="A284" s="5" t="s">
        <v>7026</v>
      </c>
      <c r="B284" s="5" t="s">
        <v>462</v>
      </c>
      <c r="C284" s="5" t="s">
        <v>76</v>
      </c>
      <c r="D284" s="5" t="s">
        <v>28</v>
      </c>
      <c r="E284" s="5" t="n">
        <f aca="false">ROUND(15316*1.05,2)</f>
        <v>16081.8</v>
      </c>
      <c r="F284" s="5" t="s">
        <v>29</v>
      </c>
      <c r="G284" s="5" t="s">
        <v>30</v>
      </c>
      <c r="H284" s="5" t="n">
        <f aca="true">ROUND(RAND()*4+6,1)</f>
        <v>9.2</v>
      </c>
      <c r="I284" s="5" t="s">
        <v>31</v>
      </c>
      <c r="J284" s="5" t="str">
        <f aca="false">ROUND(86*1,0)&amp;"%"</f>
        <v>86%</v>
      </c>
    </row>
    <row r="285" customFormat="false" ht="15" hidden="false" customHeight="false" outlineLevel="0" collapsed="false">
      <c r="A285" s="6" t="s">
        <v>7027</v>
      </c>
      <c r="B285" s="6" t="s">
        <v>464</v>
      </c>
      <c r="C285" s="6" t="s">
        <v>76</v>
      </c>
      <c r="D285" s="6" t="s">
        <v>34</v>
      </c>
      <c r="E285" s="6" t="n">
        <f aca="false">ROUND(17311*1.05,2)</f>
        <v>18176.55</v>
      </c>
      <c r="F285" s="6" t="s">
        <v>35</v>
      </c>
      <c r="G285" s="6" t="s">
        <v>18</v>
      </c>
      <c r="H285" s="6" t="n">
        <f aca="true">ROUND(RAND()*4+6,1)</f>
        <v>7.2</v>
      </c>
      <c r="I285" s="6" t="s">
        <v>36</v>
      </c>
      <c r="J285" s="6" t="str">
        <f aca="false">ROUND(92*1,0)&amp;"%"</f>
        <v>92%</v>
      </c>
    </row>
    <row r="286" customFormat="false" ht="15" hidden="false" customHeight="false" outlineLevel="0" collapsed="false">
      <c r="A286" s="5" t="s">
        <v>7028</v>
      </c>
      <c r="B286" s="5" t="s">
        <v>466</v>
      </c>
      <c r="C286" s="5" t="s">
        <v>76</v>
      </c>
      <c r="D286" s="5" t="s">
        <v>39</v>
      </c>
      <c r="E286" s="5" t="n">
        <f aca="false">ROUND(13212*1.05,2)</f>
        <v>13872.6</v>
      </c>
      <c r="F286" s="5" t="s">
        <v>40</v>
      </c>
      <c r="G286" s="5" t="s">
        <v>24</v>
      </c>
      <c r="H286" s="5" t="n">
        <f aca="true">ROUND(RAND()*4+6,1)</f>
        <v>9.8</v>
      </c>
      <c r="I286" s="5" t="s">
        <v>41</v>
      </c>
      <c r="J286" s="5" t="str">
        <f aca="false">ROUND(86*1,0)&amp;"%"</f>
        <v>86%</v>
      </c>
    </row>
    <row r="287" customFormat="false" ht="15" hidden="false" customHeight="false" outlineLevel="0" collapsed="false">
      <c r="A287" s="6" t="s">
        <v>7029</v>
      </c>
      <c r="B287" s="6" t="s">
        <v>468</v>
      </c>
      <c r="C287" s="6" t="s">
        <v>76</v>
      </c>
      <c r="D287" s="6" t="s">
        <v>44</v>
      </c>
      <c r="E287" s="6" t="n">
        <f aca="false">ROUND(4754*1.05,2)</f>
        <v>4991.7</v>
      </c>
      <c r="F287" s="6" t="s">
        <v>45</v>
      </c>
      <c r="G287" s="6" t="s">
        <v>30</v>
      </c>
      <c r="H287" s="6" t="n">
        <f aca="true">ROUND(RAND()*4+6,1)</f>
        <v>9.9</v>
      </c>
      <c r="I287" s="6" t="s">
        <v>46</v>
      </c>
      <c r="J287" s="6" t="str">
        <f aca="false">ROUND(78*1,0)&amp;"%"</f>
        <v>78%</v>
      </c>
    </row>
    <row r="288" customFormat="false" ht="15" hidden="false" customHeight="false" outlineLevel="0" collapsed="false">
      <c r="A288" s="5" t="s">
        <v>7030</v>
      </c>
      <c r="B288" s="5" t="s">
        <v>470</v>
      </c>
      <c r="C288" s="5" t="s">
        <v>76</v>
      </c>
      <c r="D288" s="5" t="s">
        <v>16</v>
      </c>
      <c r="E288" s="5" t="n">
        <f aca="false">ROUND(12615*1.05,2)</f>
        <v>13245.75</v>
      </c>
      <c r="F288" s="5" t="s">
        <v>49</v>
      </c>
      <c r="G288" s="5" t="s">
        <v>18</v>
      </c>
      <c r="H288" s="5" t="n">
        <f aca="true">ROUND(RAND()*4+6,1)</f>
        <v>9</v>
      </c>
      <c r="I288" s="5" t="s">
        <v>19</v>
      </c>
      <c r="J288" s="5" t="str">
        <f aca="false">ROUND(94*1,0)&amp;"%"</f>
        <v>94%</v>
      </c>
    </row>
    <row r="289" customFormat="false" ht="15" hidden="false" customHeight="false" outlineLevel="0" collapsed="false">
      <c r="A289" s="6" t="s">
        <v>7031</v>
      </c>
      <c r="B289" s="6" t="s">
        <v>472</v>
      </c>
      <c r="C289" s="6" t="s">
        <v>76</v>
      </c>
      <c r="D289" s="6" t="s">
        <v>22</v>
      </c>
      <c r="E289" s="6" t="n">
        <f aca="false">ROUND(7260*1.05,2)</f>
        <v>7623</v>
      </c>
      <c r="F289" s="6" t="s">
        <v>52</v>
      </c>
      <c r="G289" s="6" t="s">
        <v>24</v>
      </c>
      <c r="H289" s="6" t="n">
        <f aca="true">ROUND(RAND()*4+6,1)</f>
        <v>7.8</v>
      </c>
      <c r="I289" s="6" t="s">
        <v>25</v>
      </c>
      <c r="J289" s="6" t="str">
        <f aca="false">ROUND(89*1,0)&amp;"%"</f>
        <v>89%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7032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7033</v>
      </c>
      <c r="B294" s="5" t="s">
        <v>476</v>
      </c>
      <c r="C294" s="5" t="s">
        <v>95</v>
      </c>
      <c r="D294" s="5" t="s">
        <v>16</v>
      </c>
      <c r="E294" s="5" t="n">
        <f aca="false">ROUND(13793*1.05,2)</f>
        <v>14482.65</v>
      </c>
      <c r="F294" s="5" t="s">
        <v>17</v>
      </c>
      <c r="G294" s="5" t="s">
        <v>18</v>
      </c>
      <c r="H294" s="5" t="n">
        <f aca="true">ROUND(RAND()*4+6,1)</f>
        <v>8.4</v>
      </c>
      <c r="I294" s="5" t="s">
        <v>19</v>
      </c>
      <c r="J294" s="5" t="str">
        <f aca="false">ROUND(100*1,0)&amp;"%"</f>
        <v>100%</v>
      </c>
    </row>
    <row r="295" customFormat="false" ht="15" hidden="false" customHeight="false" outlineLevel="0" collapsed="false">
      <c r="A295" s="6" t="s">
        <v>7034</v>
      </c>
      <c r="B295" s="6" t="s">
        <v>478</v>
      </c>
      <c r="C295" s="6" t="s">
        <v>95</v>
      </c>
      <c r="D295" s="6" t="s">
        <v>22</v>
      </c>
      <c r="E295" s="6" t="n">
        <f aca="false">ROUND(10005*1.05,2)</f>
        <v>10505.25</v>
      </c>
      <c r="F295" s="6" t="s">
        <v>23</v>
      </c>
      <c r="G295" s="6" t="s">
        <v>24</v>
      </c>
      <c r="H295" s="6" t="n">
        <f aca="true">ROUND(RAND()*4+6,1)</f>
        <v>9.9</v>
      </c>
      <c r="I295" s="6" t="s">
        <v>25</v>
      </c>
      <c r="J295" s="6" t="str">
        <f aca="false">ROUND(94*1,0)&amp;"%"</f>
        <v>94%</v>
      </c>
    </row>
    <row r="296" customFormat="false" ht="15" hidden="false" customHeight="false" outlineLevel="0" collapsed="false">
      <c r="A296" s="5" t="s">
        <v>7035</v>
      </c>
      <c r="B296" s="5" t="s">
        <v>480</v>
      </c>
      <c r="C296" s="5" t="s">
        <v>95</v>
      </c>
      <c r="D296" s="5" t="s">
        <v>28</v>
      </c>
      <c r="E296" s="5" t="n">
        <f aca="false">ROUND(9134*1.05,2)</f>
        <v>9590.7</v>
      </c>
      <c r="F296" s="5" t="s">
        <v>29</v>
      </c>
      <c r="G296" s="5" t="s">
        <v>30</v>
      </c>
      <c r="H296" s="5" t="n">
        <f aca="true">ROUND(RAND()*4+6,1)</f>
        <v>8.5</v>
      </c>
      <c r="I296" s="5" t="s">
        <v>31</v>
      </c>
      <c r="J296" s="5" t="str">
        <f aca="false">ROUND(85*1,0)&amp;"%"</f>
        <v>85%</v>
      </c>
    </row>
    <row r="297" customFormat="false" ht="15" hidden="false" customHeight="false" outlineLevel="0" collapsed="false">
      <c r="A297" s="6" t="s">
        <v>7036</v>
      </c>
      <c r="B297" s="6" t="s">
        <v>482</v>
      </c>
      <c r="C297" s="6" t="s">
        <v>95</v>
      </c>
      <c r="D297" s="6" t="s">
        <v>34</v>
      </c>
      <c r="E297" s="6" t="n">
        <f aca="false">ROUND(5932*1.05,2)</f>
        <v>6228.6</v>
      </c>
      <c r="F297" s="6" t="s">
        <v>35</v>
      </c>
      <c r="G297" s="6" t="s">
        <v>18</v>
      </c>
      <c r="H297" s="6" t="n">
        <f aca="true">ROUND(RAND()*4+6,1)</f>
        <v>9.9</v>
      </c>
      <c r="I297" s="6" t="s">
        <v>36</v>
      </c>
      <c r="J297" s="6" t="str">
        <f aca="false">ROUND(67*1,0)&amp;"%"</f>
        <v>67%</v>
      </c>
    </row>
    <row r="298" customFormat="false" ht="15" hidden="false" customHeight="false" outlineLevel="0" collapsed="false">
      <c r="A298" s="5" t="s">
        <v>7037</v>
      </c>
      <c r="B298" s="5" t="s">
        <v>484</v>
      </c>
      <c r="C298" s="5" t="s">
        <v>95</v>
      </c>
      <c r="D298" s="5" t="s">
        <v>39</v>
      </c>
      <c r="E298" s="5" t="n">
        <f aca="false">ROUND(8557*1.05,2)</f>
        <v>8984.85</v>
      </c>
      <c r="F298" s="5" t="s">
        <v>40</v>
      </c>
      <c r="G298" s="5" t="s">
        <v>24</v>
      </c>
      <c r="H298" s="5" t="n">
        <f aca="true">ROUND(RAND()*4+6,1)</f>
        <v>9.7</v>
      </c>
      <c r="I298" s="5" t="s">
        <v>41</v>
      </c>
      <c r="J298" s="5" t="str">
        <f aca="false">ROUND(66*1,0)&amp;"%"</f>
        <v>66%</v>
      </c>
    </row>
    <row r="299" customFormat="false" ht="15" hidden="false" customHeight="false" outlineLevel="0" collapsed="false">
      <c r="A299" s="6" t="s">
        <v>7038</v>
      </c>
      <c r="B299" s="6" t="s">
        <v>486</v>
      </c>
      <c r="C299" s="6" t="s">
        <v>95</v>
      </c>
      <c r="D299" s="6" t="s">
        <v>44</v>
      </c>
      <c r="E299" s="6" t="n">
        <f aca="false">ROUND(4098*1.05,2)</f>
        <v>4302.9</v>
      </c>
      <c r="F299" s="6" t="s">
        <v>45</v>
      </c>
      <c r="G299" s="6" t="s">
        <v>30</v>
      </c>
      <c r="H299" s="6" t="n">
        <f aca="true">ROUND(RAND()*4+6,1)</f>
        <v>9.1</v>
      </c>
      <c r="I299" s="6" t="s">
        <v>46</v>
      </c>
      <c r="J299" s="6" t="str">
        <f aca="false">ROUND(95*1,0)&amp;"%"</f>
        <v>95%</v>
      </c>
    </row>
    <row r="300" customFormat="false" ht="15" hidden="false" customHeight="false" outlineLevel="0" collapsed="false">
      <c r="A300" s="5" t="s">
        <v>7039</v>
      </c>
      <c r="B300" s="5" t="s">
        <v>488</v>
      </c>
      <c r="C300" s="5" t="s">
        <v>95</v>
      </c>
      <c r="D300" s="5" t="s">
        <v>16</v>
      </c>
      <c r="E300" s="5" t="n">
        <f aca="false">ROUND(14464*1.05,2)</f>
        <v>15187.2</v>
      </c>
      <c r="F300" s="5" t="s">
        <v>49</v>
      </c>
      <c r="G300" s="5" t="s">
        <v>18</v>
      </c>
      <c r="H300" s="5" t="n">
        <f aca="true">ROUND(RAND()*4+6,1)</f>
        <v>9.4</v>
      </c>
      <c r="I300" s="5" t="s">
        <v>19</v>
      </c>
      <c r="J300" s="5" t="str">
        <f aca="false">ROUND(68*1,0)&amp;"%"</f>
        <v>68%</v>
      </c>
    </row>
    <row r="301" customFormat="false" ht="15" hidden="false" customHeight="false" outlineLevel="0" collapsed="false">
      <c r="A301" s="6" t="s">
        <v>7040</v>
      </c>
      <c r="B301" s="6" t="s">
        <v>490</v>
      </c>
      <c r="C301" s="6" t="s">
        <v>95</v>
      </c>
      <c r="D301" s="6" t="s">
        <v>22</v>
      </c>
      <c r="E301" s="6" t="n">
        <f aca="false">ROUND(11495*1.05,2)</f>
        <v>12069.75</v>
      </c>
      <c r="F301" s="6" t="s">
        <v>52</v>
      </c>
      <c r="G301" s="6" t="s">
        <v>24</v>
      </c>
      <c r="H301" s="6" t="n">
        <f aca="true">ROUND(RAND()*4+6,1)</f>
        <v>6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7041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7042</v>
      </c>
      <c r="B306" s="5" t="s">
        <v>494</v>
      </c>
      <c r="C306" s="5" t="s">
        <v>114</v>
      </c>
      <c r="D306" s="5" t="s">
        <v>16</v>
      </c>
      <c r="E306" s="5" t="n">
        <f aca="false">ROUND(4174*1.05,2)</f>
        <v>4382.7</v>
      </c>
      <c r="F306" s="5" t="s">
        <v>17</v>
      </c>
      <c r="G306" s="5" t="s">
        <v>18</v>
      </c>
      <c r="H306" s="5" t="n">
        <f aca="true">ROUND(RAND()*4+6,1)</f>
        <v>9</v>
      </c>
      <c r="I306" s="5" t="s">
        <v>19</v>
      </c>
      <c r="J306" s="5" t="str">
        <f aca="false">ROUND(84*1,0)&amp;"%"</f>
        <v>84%</v>
      </c>
    </row>
    <row r="307" customFormat="false" ht="15" hidden="false" customHeight="false" outlineLevel="0" collapsed="false">
      <c r="A307" s="6" t="s">
        <v>7043</v>
      </c>
      <c r="B307" s="6" t="s">
        <v>496</v>
      </c>
      <c r="C307" s="6" t="s">
        <v>114</v>
      </c>
      <c r="D307" s="6" t="s">
        <v>22</v>
      </c>
      <c r="E307" s="6" t="n">
        <f aca="false">ROUND(14621*1.05,2)</f>
        <v>15352.05</v>
      </c>
      <c r="F307" s="6" t="s">
        <v>23</v>
      </c>
      <c r="G307" s="6" t="s">
        <v>24</v>
      </c>
      <c r="H307" s="6" t="n">
        <f aca="true">ROUND(RAND()*4+6,1)</f>
        <v>9.7</v>
      </c>
      <c r="I307" s="6" t="s">
        <v>25</v>
      </c>
      <c r="J307" s="6" t="str">
        <f aca="false">ROUND(86*1,0)&amp;"%"</f>
        <v>86%</v>
      </c>
    </row>
    <row r="308" customFormat="false" ht="15" hidden="false" customHeight="false" outlineLevel="0" collapsed="false">
      <c r="A308" s="5" t="s">
        <v>7044</v>
      </c>
      <c r="B308" s="5" t="s">
        <v>498</v>
      </c>
      <c r="C308" s="5" t="s">
        <v>114</v>
      </c>
      <c r="D308" s="5" t="s">
        <v>28</v>
      </c>
      <c r="E308" s="5" t="n">
        <f aca="false">ROUND(5758*1.05,2)</f>
        <v>6045.9</v>
      </c>
      <c r="F308" s="5" t="s">
        <v>29</v>
      </c>
      <c r="G308" s="5" t="s">
        <v>30</v>
      </c>
      <c r="H308" s="5" t="n">
        <f aca="true">ROUND(RAND()*4+6,1)</f>
        <v>9.7</v>
      </c>
      <c r="I308" s="5" t="s">
        <v>31</v>
      </c>
      <c r="J308" s="5" t="str">
        <f aca="false">ROUND(88*1,0)&amp;"%"</f>
        <v>88%</v>
      </c>
    </row>
    <row r="309" customFormat="false" ht="15" hidden="false" customHeight="false" outlineLevel="0" collapsed="false">
      <c r="A309" s="6" t="s">
        <v>7045</v>
      </c>
      <c r="B309" s="6" t="s">
        <v>500</v>
      </c>
      <c r="C309" s="6" t="s">
        <v>114</v>
      </c>
      <c r="D309" s="6" t="s">
        <v>34</v>
      </c>
      <c r="E309" s="6" t="n">
        <f aca="false">ROUND(8725*1.05,2)</f>
        <v>9161.25</v>
      </c>
      <c r="F309" s="6" t="s">
        <v>35</v>
      </c>
      <c r="G309" s="6" t="s">
        <v>18</v>
      </c>
      <c r="H309" s="6" t="n">
        <f aca="true">ROUND(RAND()*4+6,1)</f>
        <v>6.9</v>
      </c>
      <c r="I309" s="6" t="s">
        <v>36</v>
      </c>
      <c r="J309" s="6" t="str">
        <f aca="false">ROUND(79*1,0)&amp;"%"</f>
        <v>79%</v>
      </c>
    </row>
    <row r="310" customFormat="false" ht="15" hidden="false" customHeight="false" outlineLevel="0" collapsed="false">
      <c r="A310" s="5" t="s">
        <v>7046</v>
      </c>
      <c r="B310" s="5" t="s">
        <v>502</v>
      </c>
      <c r="C310" s="5" t="s">
        <v>114</v>
      </c>
      <c r="D310" s="5" t="s">
        <v>39</v>
      </c>
      <c r="E310" s="5" t="n">
        <f aca="false">ROUND(8304*1.05,2)</f>
        <v>8719.2</v>
      </c>
      <c r="F310" s="5" t="s">
        <v>40</v>
      </c>
      <c r="G310" s="5" t="s">
        <v>24</v>
      </c>
      <c r="H310" s="5" t="n">
        <f aca="true">ROUND(RAND()*4+6,1)</f>
        <v>8</v>
      </c>
      <c r="I310" s="5" t="s">
        <v>41</v>
      </c>
      <c r="J310" s="5" t="str">
        <f aca="false">ROUND(96*1,0)&amp;"%"</f>
        <v>96%</v>
      </c>
    </row>
    <row r="311" customFormat="false" ht="15" hidden="false" customHeight="false" outlineLevel="0" collapsed="false">
      <c r="A311" s="6" t="s">
        <v>7047</v>
      </c>
      <c r="B311" s="6" t="s">
        <v>504</v>
      </c>
      <c r="C311" s="6" t="s">
        <v>114</v>
      </c>
      <c r="D311" s="6" t="s">
        <v>44</v>
      </c>
      <c r="E311" s="6" t="n">
        <f aca="false">ROUND(14168*1.05,2)</f>
        <v>14876.4</v>
      </c>
      <c r="F311" s="6" t="s">
        <v>45</v>
      </c>
      <c r="G311" s="6" t="s">
        <v>30</v>
      </c>
      <c r="H311" s="6" t="n">
        <f aca="true">ROUND(RAND()*4+6,1)</f>
        <v>8.5</v>
      </c>
      <c r="I311" s="6" t="s">
        <v>46</v>
      </c>
      <c r="J311" s="6" t="str">
        <f aca="false">ROUND(60*1,0)&amp;"%"</f>
        <v>60%</v>
      </c>
    </row>
    <row r="312" customFormat="false" ht="15" hidden="false" customHeight="false" outlineLevel="0" collapsed="false">
      <c r="A312" s="5" t="s">
        <v>7048</v>
      </c>
      <c r="B312" s="5" t="s">
        <v>506</v>
      </c>
      <c r="C312" s="5" t="s">
        <v>114</v>
      </c>
      <c r="D312" s="5" t="s">
        <v>16</v>
      </c>
      <c r="E312" s="5" t="n">
        <f aca="false">ROUND(15416*1.05,2)</f>
        <v>16186.8</v>
      </c>
      <c r="F312" s="5" t="s">
        <v>49</v>
      </c>
      <c r="G312" s="5" t="s">
        <v>18</v>
      </c>
      <c r="H312" s="5" t="n">
        <f aca="true">ROUND(RAND()*4+6,1)</f>
        <v>6.2</v>
      </c>
      <c r="I312" s="5" t="s">
        <v>19</v>
      </c>
      <c r="J312" s="5" t="str">
        <f aca="false">ROUND(81*1,0)&amp;"%"</f>
        <v>81%</v>
      </c>
    </row>
    <row r="313" customFormat="false" ht="15" hidden="false" customHeight="false" outlineLevel="0" collapsed="false">
      <c r="A313" s="6" t="s">
        <v>7049</v>
      </c>
      <c r="B313" s="6" t="s">
        <v>508</v>
      </c>
      <c r="C313" s="6" t="s">
        <v>114</v>
      </c>
      <c r="D313" s="6" t="s">
        <v>22</v>
      </c>
      <c r="E313" s="6" t="n">
        <f aca="false">ROUND(15836*1.05,2)</f>
        <v>16627.8</v>
      </c>
      <c r="F313" s="6" t="s">
        <v>52</v>
      </c>
      <c r="G313" s="6" t="s">
        <v>24</v>
      </c>
      <c r="H313" s="6" t="n">
        <f aca="true">ROUND(RAND()*4+6,1)</f>
        <v>6.1</v>
      </c>
      <c r="I313" s="6" t="s">
        <v>25</v>
      </c>
      <c r="J313" s="6" t="str">
        <f aca="false">ROUND(74*1,0)&amp;"%"</f>
        <v>74%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7050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7051</v>
      </c>
      <c r="B318" s="5" t="s">
        <v>512</v>
      </c>
      <c r="C318" s="5" t="s">
        <v>133</v>
      </c>
      <c r="D318" s="5" t="s">
        <v>16</v>
      </c>
      <c r="E318" s="5" t="n">
        <f aca="false">ROUND(8037*1.05,2)</f>
        <v>8438.85</v>
      </c>
      <c r="F318" s="5" t="s">
        <v>17</v>
      </c>
      <c r="G318" s="5" t="s">
        <v>18</v>
      </c>
      <c r="H318" s="5" t="n">
        <f aca="true">ROUND(RAND()*4+6,1)</f>
        <v>6.3</v>
      </c>
      <c r="I318" s="5" t="s">
        <v>19</v>
      </c>
      <c r="J318" s="5" t="str">
        <f aca="false">ROUND(71*1,0)&amp;"%"</f>
        <v>71%</v>
      </c>
    </row>
    <row r="319" customFormat="false" ht="15" hidden="false" customHeight="false" outlineLevel="0" collapsed="false">
      <c r="A319" s="6" t="s">
        <v>7052</v>
      </c>
      <c r="B319" s="6" t="s">
        <v>514</v>
      </c>
      <c r="C319" s="6" t="s">
        <v>133</v>
      </c>
      <c r="D319" s="6" t="s">
        <v>22</v>
      </c>
      <c r="E319" s="6" t="n">
        <f aca="false">ROUND(13094*1.05,2)</f>
        <v>13748.7</v>
      </c>
      <c r="F319" s="6" t="s">
        <v>23</v>
      </c>
      <c r="G319" s="6" t="s">
        <v>24</v>
      </c>
      <c r="H319" s="6" t="n">
        <f aca="true">ROUND(RAND()*4+6,1)</f>
        <v>7.6</v>
      </c>
      <c r="I319" s="6" t="s">
        <v>25</v>
      </c>
      <c r="J319" s="6" t="str">
        <f aca="false">ROUND(93*1,0)&amp;"%"</f>
        <v>93%</v>
      </c>
    </row>
    <row r="320" customFormat="false" ht="15" hidden="false" customHeight="false" outlineLevel="0" collapsed="false">
      <c r="A320" s="5" t="s">
        <v>7053</v>
      </c>
      <c r="B320" s="5" t="s">
        <v>516</v>
      </c>
      <c r="C320" s="5" t="s">
        <v>133</v>
      </c>
      <c r="D320" s="5" t="s">
        <v>28</v>
      </c>
      <c r="E320" s="5" t="n">
        <f aca="false">ROUND(7525*1.05,2)</f>
        <v>7901.25</v>
      </c>
      <c r="F320" s="5" t="s">
        <v>29</v>
      </c>
      <c r="G320" s="5" t="s">
        <v>30</v>
      </c>
      <c r="H320" s="5" t="n">
        <f aca="true">ROUND(RAND()*4+6,1)</f>
        <v>9.6</v>
      </c>
      <c r="I320" s="5" t="s">
        <v>31</v>
      </c>
      <c r="J320" s="5" t="str">
        <f aca="false">ROUND(60*1,0)&amp;"%"</f>
        <v>60%</v>
      </c>
    </row>
    <row r="321" customFormat="false" ht="15" hidden="false" customHeight="false" outlineLevel="0" collapsed="false">
      <c r="A321" s="6" t="s">
        <v>7054</v>
      </c>
      <c r="B321" s="6" t="s">
        <v>518</v>
      </c>
      <c r="C321" s="6" t="s">
        <v>133</v>
      </c>
      <c r="D321" s="6" t="s">
        <v>34</v>
      </c>
      <c r="E321" s="6" t="n">
        <f aca="false">ROUND(4659*1.05,2)</f>
        <v>4891.95</v>
      </c>
      <c r="F321" s="6" t="s">
        <v>35</v>
      </c>
      <c r="G321" s="6" t="s">
        <v>18</v>
      </c>
      <c r="H321" s="6" t="n">
        <f aca="true">ROUND(RAND()*4+6,1)</f>
        <v>8.6</v>
      </c>
      <c r="I321" s="6" t="s">
        <v>36</v>
      </c>
      <c r="J321" s="6" t="str">
        <f aca="false">ROUND(72*1,0)&amp;"%"</f>
        <v>72%</v>
      </c>
    </row>
    <row r="322" customFormat="false" ht="15" hidden="false" customHeight="false" outlineLevel="0" collapsed="false">
      <c r="A322" s="5" t="s">
        <v>7055</v>
      </c>
      <c r="B322" s="5" t="s">
        <v>520</v>
      </c>
      <c r="C322" s="5" t="s">
        <v>133</v>
      </c>
      <c r="D322" s="5" t="s">
        <v>39</v>
      </c>
      <c r="E322" s="5" t="n">
        <f aca="false">ROUND(8535*1.05,2)</f>
        <v>8961.75</v>
      </c>
      <c r="F322" s="5" t="s">
        <v>40</v>
      </c>
      <c r="G322" s="5" t="s">
        <v>24</v>
      </c>
      <c r="H322" s="5" t="n">
        <f aca="true">ROUND(RAND()*4+6,1)</f>
        <v>6.6</v>
      </c>
      <c r="I322" s="5" t="s">
        <v>41</v>
      </c>
      <c r="J322" s="5" t="str">
        <f aca="false">ROUND(100*1,0)&amp;"%"</f>
        <v>100%</v>
      </c>
    </row>
    <row r="323" customFormat="false" ht="15" hidden="false" customHeight="false" outlineLevel="0" collapsed="false">
      <c r="A323" s="6" t="s">
        <v>7056</v>
      </c>
      <c r="B323" s="6" t="s">
        <v>522</v>
      </c>
      <c r="C323" s="6" t="s">
        <v>133</v>
      </c>
      <c r="D323" s="6" t="s">
        <v>44</v>
      </c>
      <c r="E323" s="6" t="n">
        <f aca="false">ROUND(6838*1.05,2)</f>
        <v>7179.9</v>
      </c>
      <c r="F323" s="6" t="s">
        <v>45</v>
      </c>
      <c r="G323" s="6" t="s">
        <v>30</v>
      </c>
      <c r="H323" s="6" t="n">
        <f aca="true">ROUND(RAND()*4+6,1)</f>
        <v>9.7</v>
      </c>
      <c r="I323" s="6" t="s">
        <v>46</v>
      </c>
      <c r="J323" s="6" t="str">
        <f aca="false">ROUND(60*1,0)&amp;"%"</f>
        <v>60%</v>
      </c>
    </row>
    <row r="324" customFormat="false" ht="15" hidden="false" customHeight="false" outlineLevel="0" collapsed="false">
      <c r="A324" s="5" t="s">
        <v>7057</v>
      </c>
      <c r="B324" s="5" t="s">
        <v>524</v>
      </c>
      <c r="C324" s="5" t="s">
        <v>133</v>
      </c>
      <c r="D324" s="5" t="s">
        <v>16</v>
      </c>
      <c r="E324" s="5" t="n">
        <f aca="false">ROUND(9860*1.05,2)</f>
        <v>10353</v>
      </c>
      <c r="F324" s="5" t="s">
        <v>49</v>
      </c>
      <c r="G324" s="5" t="s">
        <v>18</v>
      </c>
      <c r="H324" s="5" t="n">
        <f aca="true">ROUND(RAND()*4+6,1)</f>
        <v>9.3</v>
      </c>
      <c r="I324" s="5" t="s">
        <v>19</v>
      </c>
      <c r="J324" s="5" t="str">
        <f aca="false">ROUND(61*1,0)&amp;"%"</f>
        <v>61%</v>
      </c>
    </row>
    <row r="325" customFormat="false" ht="15" hidden="false" customHeight="false" outlineLevel="0" collapsed="false">
      <c r="A325" s="6" t="s">
        <v>7058</v>
      </c>
      <c r="B325" s="6" t="s">
        <v>526</v>
      </c>
      <c r="C325" s="6" t="s">
        <v>133</v>
      </c>
      <c r="D325" s="6" t="s">
        <v>22</v>
      </c>
      <c r="E325" s="6" t="n">
        <f aca="false">ROUND(14916*1.05,2)</f>
        <v>15661.8</v>
      </c>
      <c r="F325" s="6" t="s">
        <v>52</v>
      </c>
      <c r="G325" s="6" t="s">
        <v>24</v>
      </c>
      <c r="H325" s="6" t="n">
        <f aca="true">ROUND(RAND()*4+6,1)</f>
        <v>8.9</v>
      </c>
      <c r="I325" s="6" t="s">
        <v>25</v>
      </c>
      <c r="J325" s="6" t="str">
        <f aca="false">ROUND(64*1,0)&amp;"%"</f>
        <v>64%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7059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7060</v>
      </c>
      <c r="B330" s="5" t="s">
        <v>530</v>
      </c>
      <c r="C330" s="5" t="s">
        <v>152</v>
      </c>
      <c r="D330" s="5" t="s">
        <v>16</v>
      </c>
      <c r="E330" s="5" t="n">
        <f aca="false">ROUND(12343*1.05,2)</f>
        <v>12960.15</v>
      </c>
      <c r="F330" s="5" t="s">
        <v>17</v>
      </c>
      <c r="G330" s="5" t="s">
        <v>18</v>
      </c>
      <c r="H330" s="5" t="n">
        <f aca="true">ROUND(RAND()*4+6,1)</f>
        <v>8.5</v>
      </c>
      <c r="I330" s="5" t="s">
        <v>19</v>
      </c>
      <c r="J330" s="5" t="str">
        <f aca="false">ROUND(65*1,0)&amp;"%"</f>
        <v>65%</v>
      </c>
    </row>
    <row r="331" customFormat="false" ht="15" hidden="false" customHeight="false" outlineLevel="0" collapsed="false">
      <c r="A331" s="6" t="s">
        <v>7061</v>
      </c>
      <c r="B331" s="6" t="s">
        <v>532</v>
      </c>
      <c r="C331" s="6" t="s">
        <v>152</v>
      </c>
      <c r="D331" s="6" t="s">
        <v>22</v>
      </c>
      <c r="E331" s="6" t="n">
        <f aca="false">ROUND(15944*1.05,2)</f>
        <v>16741.2</v>
      </c>
      <c r="F331" s="6" t="s">
        <v>23</v>
      </c>
      <c r="G331" s="6" t="s">
        <v>24</v>
      </c>
      <c r="H331" s="6" t="n">
        <f aca="true">ROUND(RAND()*4+6,1)</f>
        <v>7</v>
      </c>
      <c r="I331" s="6" t="s">
        <v>25</v>
      </c>
      <c r="J331" s="6" t="str">
        <f aca="false">ROUND(78*1,0)&amp;"%"</f>
        <v>78%</v>
      </c>
    </row>
    <row r="332" customFormat="false" ht="15" hidden="false" customHeight="false" outlineLevel="0" collapsed="false">
      <c r="A332" s="5" t="s">
        <v>7062</v>
      </c>
      <c r="B332" s="5" t="s">
        <v>534</v>
      </c>
      <c r="C332" s="5" t="s">
        <v>152</v>
      </c>
      <c r="D332" s="5" t="s">
        <v>28</v>
      </c>
      <c r="E332" s="5" t="n">
        <f aca="false">ROUND(15380*1.05,2)</f>
        <v>16149</v>
      </c>
      <c r="F332" s="5" t="s">
        <v>29</v>
      </c>
      <c r="G332" s="5" t="s">
        <v>30</v>
      </c>
      <c r="H332" s="5" t="n">
        <f aca="true">ROUND(RAND()*4+6,1)</f>
        <v>9.8</v>
      </c>
      <c r="I332" s="5" t="s">
        <v>31</v>
      </c>
      <c r="J332" s="5" t="str">
        <f aca="false">ROUND(79*1,0)&amp;"%"</f>
        <v>79%</v>
      </c>
    </row>
    <row r="333" customFormat="false" ht="15" hidden="false" customHeight="false" outlineLevel="0" collapsed="false">
      <c r="A333" s="6" t="s">
        <v>7063</v>
      </c>
      <c r="B333" s="6" t="s">
        <v>536</v>
      </c>
      <c r="C333" s="6" t="s">
        <v>152</v>
      </c>
      <c r="D333" s="6" t="s">
        <v>34</v>
      </c>
      <c r="E333" s="6" t="n">
        <f aca="false">ROUND(7446*1.05,2)</f>
        <v>7818.3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ROUND(81*1,0)&amp;"%"</f>
        <v>81%</v>
      </c>
    </row>
    <row r="334" customFormat="false" ht="15" hidden="false" customHeight="false" outlineLevel="0" collapsed="false">
      <c r="A334" s="5" t="s">
        <v>7064</v>
      </c>
      <c r="B334" s="5" t="s">
        <v>538</v>
      </c>
      <c r="C334" s="5" t="s">
        <v>152</v>
      </c>
      <c r="D334" s="5" t="s">
        <v>39</v>
      </c>
      <c r="E334" s="5" t="n">
        <f aca="false">ROUND(9248*1.05,2)</f>
        <v>9710.4</v>
      </c>
      <c r="F334" s="5" t="s">
        <v>40</v>
      </c>
      <c r="G334" s="5" t="s">
        <v>24</v>
      </c>
      <c r="H334" s="5" t="n">
        <f aca="true">ROUND(RAND()*4+6,1)</f>
        <v>8.5</v>
      </c>
      <c r="I334" s="5" t="s">
        <v>41</v>
      </c>
      <c r="J334" s="5" t="str">
        <f aca="false">ROUND(80*1,0)&amp;"%"</f>
        <v>80%</v>
      </c>
    </row>
    <row r="335" customFormat="false" ht="15" hidden="false" customHeight="false" outlineLevel="0" collapsed="false">
      <c r="A335" s="6" t="s">
        <v>7065</v>
      </c>
      <c r="B335" s="6" t="s">
        <v>540</v>
      </c>
      <c r="C335" s="6" t="s">
        <v>152</v>
      </c>
      <c r="D335" s="6" t="s">
        <v>44</v>
      </c>
      <c r="E335" s="6" t="n">
        <f aca="false">ROUND(10996*1.05,2)</f>
        <v>11545.8</v>
      </c>
      <c r="F335" s="6" t="s">
        <v>45</v>
      </c>
      <c r="G335" s="6" t="s">
        <v>30</v>
      </c>
      <c r="H335" s="6" t="n">
        <f aca="true">ROUND(RAND()*4+6,1)</f>
        <v>8.8</v>
      </c>
      <c r="I335" s="6" t="s">
        <v>46</v>
      </c>
      <c r="J335" s="6" t="str">
        <f aca="false">ROUND(84*1,0)&amp;"%"</f>
        <v>84%</v>
      </c>
    </row>
    <row r="336" customFormat="false" ht="15" hidden="false" customHeight="false" outlineLevel="0" collapsed="false">
      <c r="A336" s="5" t="s">
        <v>7066</v>
      </c>
      <c r="B336" s="5" t="s">
        <v>542</v>
      </c>
      <c r="C336" s="5" t="s">
        <v>152</v>
      </c>
      <c r="D336" s="5" t="s">
        <v>16</v>
      </c>
      <c r="E336" s="5" t="n">
        <f aca="false">ROUND(17235*1.05,2)</f>
        <v>18096.75</v>
      </c>
      <c r="F336" s="5" t="s">
        <v>49</v>
      </c>
      <c r="G336" s="5" t="s">
        <v>18</v>
      </c>
      <c r="H336" s="5" t="n">
        <f aca="true">ROUND(RAND()*4+6,1)</f>
        <v>8.9</v>
      </c>
      <c r="I336" s="5" t="s">
        <v>19</v>
      </c>
      <c r="J336" s="5" t="str">
        <f aca="false">ROUND(74*1,0)&amp;"%"</f>
        <v>74%</v>
      </c>
    </row>
    <row r="337" customFormat="false" ht="15" hidden="false" customHeight="false" outlineLevel="0" collapsed="false">
      <c r="A337" s="6" t="s">
        <v>7067</v>
      </c>
      <c r="B337" s="6" t="s">
        <v>544</v>
      </c>
      <c r="C337" s="6" t="s">
        <v>152</v>
      </c>
      <c r="D337" s="6" t="s">
        <v>22</v>
      </c>
      <c r="E337" s="6" t="n">
        <f aca="false">ROUND(6257*1.05,2)</f>
        <v>6569.85</v>
      </c>
      <c r="F337" s="6" t="s">
        <v>52</v>
      </c>
      <c r="G337" s="6" t="s">
        <v>24</v>
      </c>
      <c r="H337" s="6" t="n">
        <f aca="true">ROUND(RAND()*4+6,1)</f>
        <v>9.3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7068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7069</v>
      </c>
      <c r="B342" s="5" t="s">
        <v>548</v>
      </c>
      <c r="C342" s="5" t="s">
        <v>15</v>
      </c>
      <c r="D342" s="5" t="s">
        <v>16</v>
      </c>
      <c r="E342" s="5" t="n">
        <f aca="false">ROUND(5106*1.05,2)</f>
        <v>5361.3</v>
      </c>
      <c r="F342" s="5" t="s">
        <v>17</v>
      </c>
      <c r="G342" s="5" t="s">
        <v>18</v>
      </c>
      <c r="H342" s="5" t="n">
        <f aca="true">ROUND(RAND()*4+6,1)</f>
        <v>7.9</v>
      </c>
      <c r="I342" s="5" t="s">
        <v>19</v>
      </c>
      <c r="J342" s="5" t="str">
        <f aca="false">ROUND(71*1,0)&amp;"%"</f>
        <v>71%</v>
      </c>
    </row>
    <row r="343" customFormat="false" ht="15" hidden="false" customHeight="false" outlineLevel="0" collapsed="false">
      <c r="A343" s="6" t="s">
        <v>7070</v>
      </c>
      <c r="B343" s="6" t="s">
        <v>550</v>
      </c>
      <c r="C343" s="6" t="s">
        <v>15</v>
      </c>
      <c r="D343" s="6" t="s">
        <v>22</v>
      </c>
      <c r="E343" s="6" t="n">
        <f aca="false">ROUND(14249*1.05,2)</f>
        <v>14961.45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ROUND(97*1,0)&amp;"%"</f>
        <v>97%</v>
      </c>
    </row>
    <row r="344" customFormat="false" ht="15" hidden="false" customHeight="false" outlineLevel="0" collapsed="false">
      <c r="A344" s="5" t="s">
        <v>7071</v>
      </c>
      <c r="B344" s="5" t="s">
        <v>552</v>
      </c>
      <c r="C344" s="5" t="s">
        <v>15</v>
      </c>
      <c r="D344" s="5" t="s">
        <v>28</v>
      </c>
      <c r="E344" s="5" t="n">
        <f aca="false">ROUND(16128*1.05,2)</f>
        <v>16934.4</v>
      </c>
      <c r="F344" s="5" t="s">
        <v>29</v>
      </c>
      <c r="G344" s="5" t="s">
        <v>30</v>
      </c>
      <c r="H344" s="5" t="n">
        <f aca="true">ROUND(RAND()*4+6,1)</f>
        <v>9.2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7072</v>
      </c>
      <c r="B345" s="6" t="s">
        <v>554</v>
      </c>
      <c r="C345" s="6" t="s">
        <v>15</v>
      </c>
      <c r="D345" s="6" t="s">
        <v>34</v>
      </c>
      <c r="E345" s="6" t="n">
        <f aca="false">ROUND(8615*1.05,2)</f>
        <v>9045.75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ROUND(70*1,0)&amp;"%"</f>
        <v>70%</v>
      </c>
    </row>
    <row r="346" customFormat="false" ht="15" hidden="false" customHeight="false" outlineLevel="0" collapsed="false">
      <c r="A346" s="5" t="s">
        <v>7073</v>
      </c>
      <c r="B346" s="5" t="s">
        <v>556</v>
      </c>
      <c r="C346" s="5" t="s">
        <v>15</v>
      </c>
      <c r="D346" s="5" t="s">
        <v>39</v>
      </c>
      <c r="E346" s="5" t="n">
        <f aca="false">ROUND(12983*1.05,2)</f>
        <v>13632.15</v>
      </c>
      <c r="F346" s="5" t="s">
        <v>40</v>
      </c>
      <c r="G346" s="5" t="s">
        <v>24</v>
      </c>
      <c r="H346" s="5" t="n">
        <f aca="true">ROUND(RAND()*4+6,1)</f>
        <v>7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7074</v>
      </c>
      <c r="B347" s="6" t="s">
        <v>558</v>
      </c>
      <c r="C347" s="6" t="s">
        <v>15</v>
      </c>
      <c r="D347" s="6" t="s">
        <v>44</v>
      </c>
      <c r="E347" s="6" t="n">
        <f aca="false">ROUND(4613*1.05,2)</f>
        <v>4843.65</v>
      </c>
      <c r="F347" s="6" t="s">
        <v>45</v>
      </c>
      <c r="G347" s="6" t="s">
        <v>30</v>
      </c>
      <c r="H347" s="6" t="n">
        <f aca="true">ROUND(RAND()*4+6,1)</f>
        <v>8.7</v>
      </c>
      <c r="I347" s="6" t="s">
        <v>46</v>
      </c>
      <c r="J347" s="6" t="str">
        <f aca="false">ROUND(98*1,0)&amp;"%"</f>
        <v>98%</v>
      </c>
    </row>
    <row r="348" customFormat="false" ht="15" hidden="false" customHeight="false" outlineLevel="0" collapsed="false">
      <c r="A348" s="5" t="s">
        <v>7075</v>
      </c>
      <c r="B348" s="5" t="s">
        <v>560</v>
      </c>
      <c r="C348" s="5" t="s">
        <v>15</v>
      </c>
      <c r="D348" s="5" t="s">
        <v>16</v>
      </c>
      <c r="E348" s="5" t="n">
        <f aca="false">ROUND(10443*1.05,2)</f>
        <v>10965.15</v>
      </c>
      <c r="F348" s="5" t="s">
        <v>49</v>
      </c>
      <c r="G348" s="5" t="s">
        <v>18</v>
      </c>
      <c r="H348" s="5" t="n">
        <f aca="true">ROUND(RAND()*4+6,1)</f>
        <v>6.8</v>
      </c>
      <c r="I348" s="5" t="s">
        <v>19</v>
      </c>
      <c r="J348" s="5" t="str">
        <f aca="false">ROUND(98*1,0)&amp;"%"</f>
        <v>98%</v>
      </c>
    </row>
    <row r="349" customFormat="false" ht="15" hidden="false" customHeight="false" outlineLevel="0" collapsed="false">
      <c r="A349" s="6" t="s">
        <v>7076</v>
      </c>
      <c r="B349" s="6" t="s">
        <v>562</v>
      </c>
      <c r="C349" s="6" t="s">
        <v>15</v>
      </c>
      <c r="D349" s="6" t="s">
        <v>22</v>
      </c>
      <c r="E349" s="6" t="n">
        <f aca="false">ROUND(5223*1.05,2)</f>
        <v>5484.15</v>
      </c>
      <c r="F349" s="6" t="s">
        <v>52</v>
      </c>
      <c r="G349" s="6" t="s">
        <v>24</v>
      </c>
      <c r="H349" s="6" t="n">
        <f aca="true">ROUND(RAND()*4+6,1)</f>
        <v>8.6</v>
      </c>
      <c r="I349" s="6" t="s">
        <v>25</v>
      </c>
      <c r="J349" s="6" t="str">
        <f aca="false">ROUND(82*1,0)&amp;"%"</f>
        <v>82%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7077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7078</v>
      </c>
      <c r="B354" s="5" t="s">
        <v>566</v>
      </c>
      <c r="C354" s="5" t="s">
        <v>57</v>
      </c>
      <c r="D354" s="5" t="s">
        <v>16</v>
      </c>
      <c r="E354" s="5" t="n">
        <f aca="false">ROUND(15884*1.05,2)</f>
        <v>16678.2</v>
      </c>
      <c r="F354" s="5" t="s">
        <v>17</v>
      </c>
      <c r="G354" s="5" t="s">
        <v>18</v>
      </c>
      <c r="H354" s="5" t="n">
        <f aca="true">ROUND(RAND()*4+6,1)</f>
        <v>6.3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7079</v>
      </c>
      <c r="B355" s="6" t="s">
        <v>568</v>
      </c>
      <c r="C355" s="6" t="s">
        <v>57</v>
      </c>
      <c r="D355" s="6" t="s">
        <v>22</v>
      </c>
      <c r="E355" s="6" t="n">
        <f aca="false">ROUND(10538*1.05,2)</f>
        <v>11064.9</v>
      </c>
      <c r="F355" s="6" t="s">
        <v>23</v>
      </c>
      <c r="G355" s="6" t="s">
        <v>24</v>
      </c>
      <c r="H355" s="6" t="n">
        <f aca="true">ROUND(RAND()*4+6,1)</f>
        <v>7.3</v>
      </c>
      <c r="I355" s="6" t="s">
        <v>25</v>
      </c>
      <c r="J355" s="6" t="str">
        <f aca="false">ROUND(74*1,0)&amp;"%"</f>
        <v>74%</v>
      </c>
    </row>
    <row r="356" customFormat="false" ht="15" hidden="false" customHeight="false" outlineLevel="0" collapsed="false">
      <c r="A356" s="5" t="s">
        <v>7080</v>
      </c>
      <c r="B356" s="5" t="s">
        <v>570</v>
      </c>
      <c r="C356" s="5" t="s">
        <v>57</v>
      </c>
      <c r="D356" s="5" t="s">
        <v>28</v>
      </c>
      <c r="E356" s="5" t="n">
        <f aca="false">ROUND(13602*1.05,2)</f>
        <v>14282.1</v>
      </c>
      <c r="F356" s="5" t="s">
        <v>29</v>
      </c>
      <c r="G356" s="5" t="s">
        <v>30</v>
      </c>
      <c r="H356" s="5" t="n">
        <f aca="true">ROUND(RAND()*4+6,1)</f>
        <v>9.7</v>
      </c>
      <c r="I356" s="5" t="s">
        <v>31</v>
      </c>
      <c r="J356" s="5" t="str">
        <f aca="false">ROUND(99*1,0)&amp;"%"</f>
        <v>99%</v>
      </c>
    </row>
    <row r="357" customFormat="false" ht="15" hidden="false" customHeight="false" outlineLevel="0" collapsed="false">
      <c r="A357" s="6" t="s">
        <v>7081</v>
      </c>
      <c r="B357" s="6" t="s">
        <v>572</v>
      </c>
      <c r="C357" s="6" t="s">
        <v>57</v>
      </c>
      <c r="D357" s="6" t="s">
        <v>34</v>
      </c>
      <c r="E357" s="6" t="n">
        <f aca="false">ROUND(15053*1.05,2)</f>
        <v>15805.65</v>
      </c>
      <c r="F357" s="6" t="s">
        <v>35</v>
      </c>
      <c r="G357" s="6" t="s">
        <v>18</v>
      </c>
      <c r="H357" s="6" t="n">
        <f aca="true">ROUND(RAND()*4+6,1)</f>
        <v>9.4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7082</v>
      </c>
      <c r="B358" s="5" t="s">
        <v>574</v>
      </c>
      <c r="C358" s="5" t="s">
        <v>57</v>
      </c>
      <c r="D358" s="5" t="s">
        <v>39</v>
      </c>
      <c r="E358" s="5" t="n">
        <f aca="false">ROUND(12722*1.05,2)</f>
        <v>13358.1</v>
      </c>
      <c r="F358" s="5" t="s">
        <v>40</v>
      </c>
      <c r="G358" s="5" t="s">
        <v>24</v>
      </c>
      <c r="H358" s="5" t="n">
        <f aca="true">ROUND(RAND()*4+6,1)</f>
        <v>9</v>
      </c>
      <c r="I358" s="5" t="s">
        <v>41</v>
      </c>
      <c r="J358" s="5" t="str">
        <f aca="false">ROUND(91*1,0)&amp;"%"</f>
        <v>91%</v>
      </c>
    </row>
    <row r="359" customFormat="false" ht="15" hidden="false" customHeight="false" outlineLevel="0" collapsed="false">
      <c r="A359" s="6" t="s">
        <v>7083</v>
      </c>
      <c r="B359" s="6" t="s">
        <v>576</v>
      </c>
      <c r="C359" s="6" t="s">
        <v>57</v>
      </c>
      <c r="D359" s="6" t="s">
        <v>44</v>
      </c>
      <c r="E359" s="6" t="n">
        <f aca="false">ROUND(9774*1.05,2)</f>
        <v>10262.7</v>
      </c>
      <c r="F359" s="6" t="s">
        <v>45</v>
      </c>
      <c r="G359" s="6" t="s">
        <v>30</v>
      </c>
      <c r="H359" s="6" t="n">
        <f aca="true">ROUND(RAND()*4+6,1)</f>
        <v>8.4</v>
      </c>
      <c r="I359" s="6" t="s">
        <v>46</v>
      </c>
      <c r="J359" s="6" t="str">
        <f aca="false">ROUND(64*1,0)&amp;"%"</f>
        <v>64%</v>
      </c>
    </row>
    <row r="360" customFormat="false" ht="15" hidden="false" customHeight="false" outlineLevel="0" collapsed="false">
      <c r="A360" s="5" t="s">
        <v>7084</v>
      </c>
      <c r="B360" s="5" t="s">
        <v>578</v>
      </c>
      <c r="C360" s="5" t="s">
        <v>57</v>
      </c>
      <c r="D360" s="5" t="s">
        <v>16</v>
      </c>
      <c r="E360" s="5" t="n">
        <f aca="false">ROUND(9433*1.05,2)</f>
        <v>9904.65</v>
      </c>
      <c r="F360" s="5" t="s">
        <v>49</v>
      </c>
      <c r="G360" s="5" t="s">
        <v>18</v>
      </c>
      <c r="H360" s="5" t="n">
        <f aca="true">ROUND(RAND()*4+6,1)</f>
        <v>9.7</v>
      </c>
      <c r="I360" s="5" t="s">
        <v>19</v>
      </c>
      <c r="J360" s="5" t="str">
        <f aca="false">ROUND(100*1,0)&amp;"%"</f>
        <v>100%</v>
      </c>
    </row>
    <row r="361" customFormat="false" ht="15" hidden="false" customHeight="false" outlineLevel="0" collapsed="false">
      <c r="A361" s="6" t="s">
        <v>7085</v>
      </c>
      <c r="B361" s="6" t="s">
        <v>580</v>
      </c>
      <c r="C361" s="6" t="s">
        <v>57</v>
      </c>
      <c r="D361" s="6" t="s">
        <v>22</v>
      </c>
      <c r="E361" s="6" t="n">
        <f aca="false">ROUND(16055*1.05,2)</f>
        <v>16857.75</v>
      </c>
      <c r="F361" s="6" t="s">
        <v>52</v>
      </c>
      <c r="G361" s="6" t="s">
        <v>24</v>
      </c>
      <c r="H361" s="6" t="n">
        <f aca="true">ROUND(RAND()*4+6,1)</f>
        <v>8.8</v>
      </c>
      <c r="I361" s="6" t="s">
        <v>25</v>
      </c>
      <c r="J361" s="6" t="str">
        <f aca="false">ROUND(81*1,0)&amp;"%"</f>
        <v>81%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7086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7087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7088</v>
      </c>
      <c r="B6" s="5" t="s">
        <v>14</v>
      </c>
      <c r="C6" s="5" t="s">
        <v>15</v>
      </c>
      <c r="D6" s="5" t="s">
        <v>16</v>
      </c>
      <c r="E6" s="5" t="n">
        <f aca="false">ROUND(5299*1.05,2)</f>
        <v>5563.95</v>
      </c>
      <c r="F6" s="5" t="s">
        <v>17</v>
      </c>
      <c r="G6" s="5" t="s">
        <v>18</v>
      </c>
      <c r="H6" s="5" t="n">
        <f aca="true">ROUND(RAND()*4+6,1)</f>
        <v>7.7</v>
      </c>
      <c r="I6" s="5" t="s">
        <v>19</v>
      </c>
      <c r="J6" s="5" t="str">
        <f aca="false">ROUND(93*1,0)&amp;"%"</f>
        <v>93%</v>
      </c>
    </row>
    <row r="7" customFormat="false" ht="15" hidden="false" customHeight="false" outlineLevel="0" collapsed="false">
      <c r="A7" s="6" t="s">
        <v>7089</v>
      </c>
      <c r="B7" s="6" t="s">
        <v>21</v>
      </c>
      <c r="C7" s="6" t="s">
        <v>15</v>
      </c>
      <c r="D7" s="6" t="s">
        <v>22</v>
      </c>
      <c r="E7" s="6" t="n">
        <f aca="false">ROUND(9151*1.05,2)</f>
        <v>9608.55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ROUND(63*1,0)&amp;"%"</f>
        <v>63%</v>
      </c>
    </row>
    <row r="8" customFormat="false" ht="15" hidden="false" customHeight="false" outlineLevel="0" collapsed="false">
      <c r="A8" s="5" t="s">
        <v>7090</v>
      </c>
      <c r="B8" s="5" t="s">
        <v>27</v>
      </c>
      <c r="C8" s="5" t="s">
        <v>15</v>
      </c>
      <c r="D8" s="5" t="s">
        <v>28</v>
      </c>
      <c r="E8" s="5" t="n">
        <f aca="false">ROUND(14147*1.05,2)</f>
        <v>14854.35</v>
      </c>
      <c r="F8" s="5" t="s">
        <v>29</v>
      </c>
      <c r="G8" s="5" t="s">
        <v>30</v>
      </c>
      <c r="H8" s="5" t="n">
        <f aca="true">ROUND(RAND()*4+6,1)</f>
        <v>8.4</v>
      </c>
      <c r="I8" s="5" t="s">
        <v>31</v>
      </c>
      <c r="J8" s="5" t="str">
        <f aca="false">ROUND(84*1,0)&amp;"%"</f>
        <v>84%</v>
      </c>
    </row>
    <row r="9" customFormat="false" ht="15" hidden="false" customHeight="false" outlineLevel="0" collapsed="false">
      <c r="A9" s="6" t="s">
        <v>7091</v>
      </c>
      <c r="B9" s="6" t="s">
        <v>33</v>
      </c>
      <c r="C9" s="6" t="s">
        <v>15</v>
      </c>
      <c r="D9" s="6" t="s">
        <v>34</v>
      </c>
      <c r="E9" s="6" t="n">
        <f aca="false">ROUND(10064*1.05,2)</f>
        <v>10567.2</v>
      </c>
      <c r="F9" s="6" t="s">
        <v>35</v>
      </c>
      <c r="G9" s="6" t="s">
        <v>18</v>
      </c>
      <c r="H9" s="6" t="n">
        <f aca="true">ROUND(RAND()*4+6,1)</f>
        <v>8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7092</v>
      </c>
      <c r="B10" s="5" t="s">
        <v>38</v>
      </c>
      <c r="C10" s="5" t="s">
        <v>15</v>
      </c>
      <c r="D10" s="5" t="s">
        <v>39</v>
      </c>
      <c r="E10" s="5" t="n">
        <f aca="false">ROUND(16866*1.05,2)</f>
        <v>17709.3</v>
      </c>
      <c r="F10" s="5" t="s">
        <v>40</v>
      </c>
      <c r="G10" s="5" t="s">
        <v>24</v>
      </c>
      <c r="H10" s="5" t="n">
        <f aca="true">ROUND(RAND()*4+6,1)</f>
        <v>8.4</v>
      </c>
      <c r="I10" s="5" t="s">
        <v>41</v>
      </c>
      <c r="J10" s="5" t="str">
        <f aca="false">ROUND(68*1,0)&amp;"%"</f>
        <v>68%</v>
      </c>
    </row>
    <row r="11" customFormat="false" ht="15" hidden="false" customHeight="false" outlineLevel="0" collapsed="false">
      <c r="A11" s="6" t="s">
        <v>7093</v>
      </c>
      <c r="B11" s="6" t="s">
        <v>43</v>
      </c>
      <c r="C11" s="6" t="s">
        <v>15</v>
      </c>
      <c r="D11" s="6" t="s">
        <v>44</v>
      </c>
      <c r="E11" s="6" t="n">
        <f aca="false">ROUND(8722*1.05,2)</f>
        <v>9158.1</v>
      </c>
      <c r="F11" s="6" t="s">
        <v>45</v>
      </c>
      <c r="G11" s="6" t="s">
        <v>30</v>
      </c>
      <c r="H11" s="6" t="n">
        <f aca="true">ROUND(RAND()*4+6,1)</f>
        <v>9.8</v>
      </c>
      <c r="I11" s="6" t="s">
        <v>46</v>
      </c>
      <c r="J11" s="6" t="str">
        <f aca="false">ROUND(95*1,0)&amp;"%"</f>
        <v>95%</v>
      </c>
    </row>
    <row r="12" customFormat="false" ht="15" hidden="false" customHeight="false" outlineLevel="0" collapsed="false">
      <c r="A12" s="5" t="s">
        <v>7094</v>
      </c>
      <c r="B12" s="5" t="s">
        <v>48</v>
      </c>
      <c r="C12" s="5" t="s">
        <v>15</v>
      </c>
      <c r="D12" s="5" t="s">
        <v>16</v>
      </c>
      <c r="E12" s="5" t="n">
        <f aca="false">ROUND(8176*1.05,2)</f>
        <v>8584.8</v>
      </c>
      <c r="F12" s="5" t="s">
        <v>49</v>
      </c>
      <c r="G12" s="5" t="s">
        <v>18</v>
      </c>
      <c r="H12" s="5" t="n">
        <f aca="true">ROUND(RAND()*4+6,1)</f>
        <v>7</v>
      </c>
      <c r="I12" s="5" t="s">
        <v>19</v>
      </c>
      <c r="J12" s="5" t="str">
        <f aca="false">ROUND(94*1,0)&amp;"%"</f>
        <v>94%</v>
      </c>
    </row>
    <row r="13" customFormat="false" ht="15" hidden="false" customHeight="false" outlineLevel="0" collapsed="false">
      <c r="A13" s="6" t="s">
        <v>7095</v>
      </c>
      <c r="B13" s="6" t="s">
        <v>51</v>
      </c>
      <c r="C13" s="6" t="s">
        <v>15</v>
      </c>
      <c r="D13" s="6" t="s">
        <v>22</v>
      </c>
      <c r="E13" s="6" t="n">
        <f aca="false">ROUND(14909*1.05,2)</f>
        <v>15654.45</v>
      </c>
      <c r="F13" s="6" t="s">
        <v>52</v>
      </c>
      <c r="G13" s="6" t="s">
        <v>24</v>
      </c>
      <c r="H13" s="6" t="n">
        <f aca="true">ROUND(RAND()*4+6,1)</f>
        <v>6.2</v>
      </c>
      <c r="I13" s="6" t="s">
        <v>25</v>
      </c>
      <c r="J13" s="6" t="str">
        <f aca="false">ROUND(73*1,0)&amp;"%"</f>
        <v>73%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7096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7097</v>
      </c>
      <c r="B18" s="5" t="s">
        <v>56</v>
      </c>
      <c r="C18" s="5" t="s">
        <v>57</v>
      </c>
      <c r="D18" s="5" t="s">
        <v>16</v>
      </c>
      <c r="E18" s="5" t="n">
        <f aca="false">ROUND(13013*1.05,2)</f>
        <v>13663.65</v>
      </c>
      <c r="F18" s="5" t="s">
        <v>17</v>
      </c>
      <c r="G18" s="5" t="s">
        <v>18</v>
      </c>
      <c r="H18" s="5" t="n">
        <f aca="true">ROUND(RAND()*4+6,1)</f>
        <v>9.4</v>
      </c>
      <c r="I18" s="5" t="s">
        <v>19</v>
      </c>
      <c r="J18" s="5" t="str">
        <f aca="false">ROUND(79*1,0)&amp;"%"</f>
        <v>79%</v>
      </c>
    </row>
    <row r="19" customFormat="false" ht="15" hidden="false" customHeight="false" outlineLevel="0" collapsed="false">
      <c r="A19" s="6" t="s">
        <v>7098</v>
      </c>
      <c r="B19" s="6" t="s">
        <v>59</v>
      </c>
      <c r="C19" s="6" t="s">
        <v>57</v>
      </c>
      <c r="D19" s="6" t="s">
        <v>22</v>
      </c>
      <c r="E19" s="6" t="n">
        <f aca="false">ROUND(14300*1.05,2)</f>
        <v>15015</v>
      </c>
      <c r="F19" s="6" t="s">
        <v>23</v>
      </c>
      <c r="G19" s="6" t="s">
        <v>24</v>
      </c>
      <c r="H19" s="6" t="n">
        <f aca="true">ROUND(RAND()*4+6,1)</f>
        <v>9.2</v>
      </c>
      <c r="I19" s="6" t="s">
        <v>25</v>
      </c>
      <c r="J19" s="6" t="str">
        <f aca="false">ROUND(74*1,0)&amp;"%"</f>
        <v>74%</v>
      </c>
    </row>
    <row r="20" customFormat="false" ht="15" hidden="false" customHeight="false" outlineLevel="0" collapsed="false">
      <c r="A20" s="5" t="s">
        <v>7099</v>
      </c>
      <c r="B20" s="5" t="s">
        <v>61</v>
      </c>
      <c r="C20" s="5" t="s">
        <v>57</v>
      </c>
      <c r="D20" s="5" t="s">
        <v>28</v>
      </c>
      <c r="E20" s="5" t="n">
        <f aca="false">ROUND(4856*1.05,2)</f>
        <v>5098.8</v>
      </c>
      <c r="F20" s="5" t="s">
        <v>29</v>
      </c>
      <c r="G20" s="5" t="s">
        <v>30</v>
      </c>
      <c r="H20" s="5" t="n">
        <f aca="true">ROUND(RAND()*4+6,1)</f>
        <v>6.9</v>
      </c>
      <c r="I20" s="5" t="s">
        <v>31</v>
      </c>
      <c r="J20" s="5" t="str">
        <f aca="false">ROUND(70*1,0)&amp;"%"</f>
        <v>70%</v>
      </c>
    </row>
    <row r="21" customFormat="false" ht="15" hidden="false" customHeight="false" outlineLevel="0" collapsed="false">
      <c r="A21" s="6" t="s">
        <v>7100</v>
      </c>
      <c r="B21" s="6" t="s">
        <v>63</v>
      </c>
      <c r="C21" s="6" t="s">
        <v>57</v>
      </c>
      <c r="D21" s="6" t="s">
        <v>34</v>
      </c>
      <c r="E21" s="6" t="n">
        <f aca="false">ROUND(14786*1.05,2)</f>
        <v>15525.3</v>
      </c>
      <c r="F21" s="6" t="s">
        <v>35</v>
      </c>
      <c r="G21" s="6" t="s">
        <v>18</v>
      </c>
      <c r="H21" s="6" t="n">
        <f aca="true">ROUND(RAND()*4+6,1)</f>
        <v>7.5</v>
      </c>
      <c r="I21" s="6" t="s">
        <v>36</v>
      </c>
      <c r="J21" s="6" t="str">
        <f aca="false">ROUND(90*1,0)&amp;"%"</f>
        <v>90%</v>
      </c>
    </row>
    <row r="22" customFormat="false" ht="15" hidden="false" customHeight="false" outlineLevel="0" collapsed="false">
      <c r="A22" s="5" t="s">
        <v>7101</v>
      </c>
      <c r="B22" s="5" t="s">
        <v>65</v>
      </c>
      <c r="C22" s="5" t="s">
        <v>57</v>
      </c>
      <c r="D22" s="5" t="s">
        <v>39</v>
      </c>
      <c r="E22" s="5" t="n">
        <f aca="false">ROUND(14881*1.05,2)</f>
        <v>15625.05</v>
      </c>
      <c r="F22" s="5" t="s">
        <v>40</v>
      </c>
      <c r="G22" s="5" t="s">
        <v>24</v>
      </c>
      <c r="H22" s="5" t="n">
        <f aca="true">ROUND(RAND()*4+6,1)</f>
        <v>7.4</v>
      </c>
      <c r="I22" s="5" t="s">
        <v>41</v>
      </c>
      <c r="J22" s="5" t="str">
        <f aca="false">ROUND(64*1,0)&amp;"%"</f>
        <v>64%</v>
      </c>
    </row>
    <row r="23" customFormat="false" ht="15" hidden="false" customHeight="false" outlineLevel="0" collapsed="false">
      <c r="A23" s="6" t="s">
        <v>7102</v>
      </c>
      <c r="B23" s="6" t="s">
        <v>67</v>
      </c>
      <c r="C23" s="6" t="s">
        <v>57</v>
      </c>
      <c r="D23" s="6" t="s">
        <v>44</v>
      </c>
      <c r="E23" s="6" t="n">
        <f aca="false">ROUND(4475*1.05,2)</f>
        <v>4698.75</v>
      </c>
      <c r="F23" s="6" t="s">
        <v>45</v>
      </c>
      <c r="G23" s="6" t="s">
        <v>30</v>
      </c>
      <c r="H23" s="6" t="n">
        <f aca="true">ROUND(RAND()*4+6,1)</f>
        <v>8.4</v>
      </c>
      <c r="I23" s="6" t="s">
        <v>46</v>
      </c>
      <c r="J23" s="6" t="str">
        <f aca="false">ROUND(84*1,0)&amp;"%"</f>
        <v>84%</v>
      </c>
    </row>
    <row r="24" customFormat="false" ht="15" hidden="false" customHeight="false" outlineLevel="0" collapsed="false">
      <c r="A24" s="5" t="s">
        <v>7103</v>
      </c>
      <c r="B24" s="5" t="s">
        <v>69</v>
      </c>
      <c r="C24" s="5" t="s">
        <v>57</v>
      </c>
      <c r="D24" s="5" t="s">
        <v>16</v>
      </c>
      <c r="E24" s="5" t="n">
        <f aca="false">ROUND(15606*1.05,2)</f>
        <v>16386.3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ROUND(77*1,0)&amp;"%"</f>
        <v>77%</v>
      </c>
    </row>
    <row r="25" customFormat="false" ht="15" hidden="false" customHeight="false" outlineLevel="0" collapsed="false">
      <c r="A25" s="6" t="s">
        <v>7104</v>
      </c>
      <c r="B25" s="6" t="s">
        <v>71</v>
      </c>
      <c r="C25" s="6" t="s">
        <v>57</v>
      </c>
      <c r="D25" s="6" t="s">
        <v>22</v>
      </c>
      <c r="E25" s="6" t="n">
        <f aca="false">ROUND(10124*1.05,2)</f>
        <v>10630.2</v>
      </c>
      <c r="F25" s="6" t="s">
        <v>52</v>
      </c>
      <c r="G25" s="6" t="s">
        <v>24</v>
      </c>
      <c r="H25" s="6" t="n">
        <f aca="true">ROUND(RAND()*4+6,1)</f>
        <v>9.1</v>
      </c>
      <c r="I25" s="6" t="s">
        <v>25</v>
      </c>
      <c r="J25" s="6" t="str">
        <f aca="false">ROUND(78*1,0)&amp;"%"</f>
        <v>78%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7105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7106</v>
      </c>
      <c r="B30" s="5" t="s">
        <v>75</v>
      </c>
      <c r="C30" s="5" t="s">
        <v>76</v>
      </c>
      <c r="D30" s="5" t="s">
        <v>16</v>
      </c>
      <c r="E30" s="5" t="n">
        <f aca="false">ROUND(12663*1.05,2)</f>
        <v>13296.15</v>
      </c>
      <c r="F30" s="5" t="s">
        <v>17</v>
      </c>
      <c r="G30" s="5" t="s">
        <v>18</v>
      </c>
      <c r="H30" s="5" t="n">
        <f aca="true">ROUND(RAND()*4+6,1)</f>
        <v>7.6</v>
      </c>
      <c r="I30" s="5" t="s">
        <v>19</v>
      </c>
      <c r="J30" s="5" t="str">
        <f aca="false">ROUND(91*1,0)&amp;"%"</f>
        <v>91%</v>
      </c>
    </row>
    <row r="31" customFormat="false" ht="15" hidden="false" customHeight="false" outlineLevel="0" collapsed="false">
      <c r="A31" s="6" t="s">
        <v>7107</v>
      </c>
      <c r="B31" s="6" t="s">
        <v>78</v>
      </c>
      <c r="C31" s="6" t="s">
        <v>76</v>
      </c>
      <c r="D31" s="6" t="s">
        <v>22</v>
      </c>
      <c r="E31" s="6" t="n">
        <f aca="false">ROUND(10434*1.05,2)</f>
        <v>10955.7</v>
      </c>
      <c r="F31" s="6" t="s">
        <v>23</v>
      </c>
      <c r="G31" s="6" t="s">
        <v>24</v>
      </c>
      <c r="H31" s="6" t="n">
        <f aca="true">ROUND(RAND()*4+6,1)</f>
        <v>9.8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7108</v>
      </c>
      <c r="B32" s="5" t="s">
        <v>80</v>
      </c>
      <c r="C32" s="5" t="s">
        <v>76</v>
      </c>
      <c r="D32" s="5" t="s">
        <v>28</v>
      </c>
      <c r="E32" s="5" t="n">
        <f aca="false">ROUND(6336*1.05,2)</f>
        <v>6652.8</v>
      </c>
      <c r="F32" s="5" t="s">
        <v>29</v>
      </c>
      <c r="G32" s="5" t="s">
        <v>30</v>
      </c>
      <c r="H32" s="5" t="n">
        <f aca="true">ROUND(RAND()*4+6,1)</f>
        <v>6.7</v>
      </c>
      <c r="I32" s="5" t="s">
        <v>31</v>
      </c>
      <c r="J32" s="5" t="str">
        <f aca="false">ROUND(68*1,0)&amp;"%"</f>
        <v>68%</v>
      </c>
    </row>
    <row r="33" customFormat="false" ht="15" hidden="false" customHeight="false" outlineLevel="0" collapsed="false">
      <c r="A33" s="6" t="s">
        <v>7109</v>
      </c>
      <c r="B33" s="6" t="s">
        <v>82</v>
      </c>
      <c r="C33" s="6" t="s">
        <v>76</v>
      </c>
      <c r="D33" s="6" t="s">
        <v>34</v>
      </c>
      <c r="E33" s="6" t="n">
        <f aca="false">ROUND(16303*1.05,2)</f>
        <v>17118.15</v>
      </c>
      <c r="F33" s="6" t="s">
        <v>35</v>
      </c>
      <c r="G33" s="6" t="s">
        <v>18</v>
      </c>
      <c r="H33" s="6" t="n">
        <f aca="true">ROUND(RAND()*4+6,1)</f>
        <v>8.2</v>
      </c>
      <c r="I33" s="6" t="s">
        <v>36</v>
      </c>
      <c r="J33" s="6" t="str">
        <f aca="false">ROUND(80*1,0)&amp;"%"</f>
        <v>80%</v>
      </c>
    </row>
    <row r="34" customFormat="false" ht="15" hidden="false" customHeight="false" outlineLevel="0" collapsed="false">
      <c r="A34" s="5" t="s">
        <v>7110</v>
      </c>
      <c r="B34" s="5" t="s">
        <v>84</v>
      </c>
      <c r="C34" s="5" t="s">
        <v>76</v>
      </c>
      <c r="D34" s="5" t="s">
        <v>39</v>
      </c>
      <c r="E34" s="5" t="n">
        <f aca="false">ROUND(4955*1.05,2)</f>
        <v>5202.75</v>
      </c>
      <c r="F34" s="5" t="s">
        <v>40</v>
      </c>
      <c r="G34" s="5" t="s">
        <v>24</v>
      </c>
      <c r="H34" s="5" t="n">
        <f aca="true">ROUND(RAND()*4+6,1)</f>
        <v>8.9</v>
      </c>
      <c r="I34" s="5" t="s">
        <v>41</v>
      </c>
      <c r="J34" s="5" t="str">
        <f aca="false">ROUND(93*1,0)&amp;"%"</f>
        <v>93%</v>
      </c>
    </row>
    <row r="35" customFormat="false" ht="15" hidden="false" customHeight="false" outlineLevel="0" collapsed="false">
      <c r="A35" s="6" t="s">
        <v>7111</v>
      </c>
      <c r="B35" s="6" t="s">
        <v>86</v>
      </c>
      <c r="C35" s="6" t="s">
        <v>76</v>
      </c>
      <c r="D35" s="6" t="s">
        <v>44</v>
      </c>
      <c r="E35" s="6" t="n">
        <f aca="false">ROUND(5028*1.05,2)</f>
        <v>5279.4</v>
      </c>
      <c r="F35" s="6" t="s">
        <v>45</v>
      </c>
      <c r="G35" s="6" t="s">
        <v>30</v>
      </c>
      <c r="H35" s="6" t="n">
        <f aca="true">ROUND(RAND()*4+6,1)</f>
        <v>10</v>
      </c>
      <c r="I35" s="6" t="s">
        <v>46</v>
      </c>
      <c r="J35" s="6" t="str">
        <f aca="false">ROUND(78*1,0)&amp;"%"</f>
        <v>78%</v>
      </c>
    </row>
    <row r="36" customFormat="false" ht="15" hidden="false" customHeight="false" outlineLevel="0" collapsed="false">
      <c r="A36" s="5" t="s">
        <v>7112</v>
      </c>
      <c r="B36" s="5" t="s">
        <v>88</v>
      </c>
      <c r="C36" s="5" t="s">
        <v>76</v>
      </c>
      <c r="D36" s="5" t="s">
        <v>16</v>
      </c>
      <c r="E36" s="5" t="n">
        <f aca="false">ROUND(13010*1.05,2)</f>
        <v>13660.5</v>
      </c>
      <c r="F36" s="5" t="s">
        <v>49</v>
      </c>
      <c r="G36" s="5" t="s">
        <v>18</v>
      </c>
      <c r="H36" s="5" t="n">
        <f aca="true">ROUND(RAND()*4+6,1)</f>
        <v>7.6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7113</v>
      </c>
      <c r="B37" s="6" t="s">
        <v>90</v>
      </c>
      <c r="C37" s="6" t="s">
        <v>76</v>
      </c>
      <c r="D37" s="6" t="s">
        <v>22</v>
      </c>
      <c r="E37" s="6" t="n">
        <f aca="false">ROUND(12960*1.05,2)</f>
        <v>13608</v>
      </c>
      <c r="F37" s="6" t="s">
        <v>52</v>
      </c>
      <c r="G37" s="6" t="s">
        <v>24</v>
      </c>
      <c r="H37" s="6" t="n">
        <f aca="true">ROUND(RAND()*4+6,1)</f>
        <v>10</v>
      </c>
      <c r="I37" s="6" t="s">
        <v>25</v>
      </c>
      <c r="J37" s="6" t="str">
        <f aca="false">ROUND(91*1,0)&amp;"%"</f>
        <v>91%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7114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7115</v>
      </c>
      <c r="B42" s="5" t="s">
        <v>94</v>
      </c>
      <c r="C42" s="5" t="s">
        <v>95</v>
      </c>
      <c r="D42" s="5" t="s">
        <v>16</v>
      </c>
      <c r="E42" s="5" t="n">
        <f aca="false">ROUND(10816*1.05,2)</f>
        <v>11356.8</v>
      </c>
      <c r="F42" s="5" t="s">
        <v>17</v>
      </c>
      <c r="G42" s="5" t="s">
        <v>18</v>
      </c>
      <c r="H42" s="5" t="n">
        <f aca="true">ROUND(RAND()*4+6,1)</f>
        <v>9.4</v>
      </c>
      <c r="I42" s="5" t="s">
        <v>19</v>
      </c>
      <c r="J42" s="5" t="str">
        <f aca="false">ROUND(87*1,0)&amp;"%"</f>
        <v>87%</v>
      </c>
    </row>
    <row r="43" customFormat="false" ht="15" hidden="false" customHeight="false" outlineLevel="0" collapsed="false">
      <c r="A43" s="6" t="s">
        <v>7116</v>
      </c>
      <c r="B43" s="6" t="s">
        <v>97</v>
      </c>
      <c r="C43" s="6" t="s">
        <v>95</v>
      </c>
      <c r="D43" s="6" t="s">
        <v>22</v>
      </c>
      <c r="E43" s="6" t="n">
        <f aca="false">ROUND(10933*1.05,2)</f>
        <v>11479.65</v>
      </c>
      <c r="F43" s="6" t="s">
        <v>23</v>
      </c>
      <c r="G43" s="6" t="s">
        <v>24</v>
      </c>
      <c r="H43" s="6" t="n">
        <f aca="true">ROUND(RAND()*4+6,1)</f>
        <v>6.2</v>
      </c>
      <c r="I43" s="6" t="s">
        <v>25</v>
      </c>
      <c r="J43" s="6" t="str">
        <f aca="false">ROUND(94*1,0)&amp;"%"</f>
        <v>94%</v>
      </c>
    </row>
    <row r="44" customFormat="false" ht="15" hidden="false" customHeight="false" outlineLevel="0" collapsed="false">
      <c r="A44" s="5" t="s">
        <v>7117</v>
      </c>
      <c r="B44" s="5" t="s">
        <v>99</v>
      </c>
      <c r="C44" s="5" t="s">
        <v>95</v>
      </c>
      <c r="D44" s="5" t="s">
        <v>28</v>
      </c>
      <c r="E44" s="5" t="n">
        <f aca="false">ROUND(4562*1.05,2)</f>
        <v>4790.1</v>
      </c>
      <c r="F44" s="5" t="s">
        <v>29</v>
      </c>
      <c r="G44" s="5" t="s">
        <v>30</v>
      </c>
      <c r="H44" s="5" t="n">
        <f aca="true">ROUND(RAND()*4+6,1)</f>
        <v>7.3</v>
      </c>
      <c r="I44" s="5" t="s">
        <v>31</v>
      </c>
      <c r="J44" s="5" t="str">
        <f aca="false">ROUND(97*1,0)&amp;"%"</f>
        <v>97%</v>
      </c>
    </row>
    <row r="45" customFormat="false" ht="15" hidden="false" customHeight="false" outlineLevel="0" collapsed="false">
      <c r="A45" s="6" t="s">
        <v>7118</v>
      </c>
      <c r="B45" s="6" t="s">
        <v>101</v>
      </c>
      <c r="C45" s="6" t="s">
        <v>95</v>
      </c>
      <c r="D45" s="6" t="s">
        <v>34</v>
      </c>
      <c r="E45" s="6" t="n">
        <f aca="false">ROUND(12775*1.05,2)</f>
        <v>13413.75</v>
      </c>
      <c r="F45" s="6" t="s">
        <v>35</v>
      </c>
      <c r="G45" s="6" t="s">
        <v>18</v>
      </c>
      <c r="H45" s="6" t="n">
        <f aca="true">ROUND(RAND()*4+6,1)</f>
        <v>7.5</v>
      </c>
      <c r="I45" s="6" t="s">
        <v>36</v>
      </c>
      <c r="J45" s="6" t="str">
        <f aca="false">ROUND(72*1,0)&amp;"%"</f>
        <v>72%</v>
      </c>
    </row>
    <row r="46" customFormat="false" ht="15" hidden="false" customHeight="false" outlineLevel="0" collapsed="false">
      <c r="A46" s="5" t="s">
        <v>7119</v>
      </c>
      <c r="B46" s="5" t="s">
        <v>103</v>
      </c>
      <c r="C46" s="5" t="s">
        <v>95</v>
      </c>
      <c r="D46" s="5" t="s">
        <v>39</v>
      </c>
      <c r="E46" s="5" t="n">
        <f aca="false">ROUND(17070*1.05,2)</f>
        <v>17923.5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ROUND(61*1,0)&amp;"%"</f>
        <v>61%</v>
      </c>
    </row>
    <row r="47" customFormat="false" ht="15" hidden="false" customHeight="false" outlineLevel="0" collapsed="false">
      <c r="A47" s="6" t="s">
        <v>7120</v>
      </c>
      <c r="B47" s="6" t="s">
        <v>105</v>
      </c>
      <c r="C47" s="6" t="s">
        <v>95</v>
      </c>
      <c r="D47" s="6" t="s">
        <v>44</v>
      </c>
      <c r="E47" s="6" t="n">
        <f aca="false">ROUND(12912*1.05,2)</f>
        <v>13557.6</v>
      </c>
      <c r="F47" s="6" t="s">
        <v>45</v>
      </c>
      <c r="G47" s="6" t="s">
        <v>30</v>
      </c>
      <c r="H47" s="6" t="n">
        <f aca="true">ROUND(RAND()*4+6,1)</f>
        <v>9.9</v>
      </c>
      <c r="I47" s="6" t="s">
        <v>46</v>
      </c>
      <c r="J47" s="6" t="str">
        <f aca="false">ROUND(94*1,0)&amp;"%"</f>
        <v>94%</v>
      </c>
    </row>
    <row r="48" customFormat="false" ht="15" hidden="false" customHeight="false" outlineLevel="0" collapsed="false">
      <c r="A48" s="5" t="s">
        <v>7121</v>
      </c>
      <c r="B48" s="5" t="s">
        <v>107</v>
      </c>
      <c r="C48" s="5" t="s">
        <v>95</v>
      </c>
      <c r="D48" s="5" t="s">
        <v>16</v>
      </c>
      <c r="E48" s="5" t="n">
        <f aca="false">ROUND(6621*1.05,2)</f>
        <v>6952.05</v>
      </c>
      <c r="F48" s="5" t="s">
        <v>49</v>
      </c>
      <c r="G48" s="5" t="s">
        <v>18</v>
      </c>
      <c r="H48" s="5" t="n">
        <f aca="true">ROUND(RAND()*4+6,1)</f>
        <v>8.5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7122</v>
      </c>
      <c r="B49" s="6" t="s">
        <v>109</v>
      </c>
      <c r="C49" s="6" t="s">
        <v>95</v>
      </c>
      <c r="D49" s="6" t="s">
        <v>22</v>
      </c>
      <c r="E49" s="6" t="n">
        <f aca="false">ROUND(17312*1.05,2)</f>
        <v>18177.6</v>
      </c>
      <c r="F49" s="6" t="s">
        <v>52</v>
      </c>
      <c r="G49" s="6" t="s">
        <v>24</v>
      </c>
      <c r="H49" s="6" t="n">
        <f aca="true">ROUND(RAND()*4+6,1)</f>
        <v>9.3</v>
      </c>
      <c r="I49" s="6" t="s">
        <v>25</v>
      </c>
      <c r="J49" s="6" t="str">
        <f aca="false">ROUND(63*1,0)&amp;"%"</f>
        <v>63%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7123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7124</v>
      </c>
      <c r="B54" s="5" t="s">
        <v>113</v>
      </c>
      <c r="C54" s="5" t="s">
        <v>114</v>
      </c>
      <c r="D54" s="5" t="s">
        <v>16</v>
      </c>
      <c r="E54" s="5" t="n">
        <f aca="false">ROUND(4047*1.05,2)</f>
        <v>4249.35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ROUND(84*1,0)&amp;"%"</f>
        <v>84%</v>
      </c>
    </row>
    <row r="55" customFormat="false" ht="15" hidden="false" customHeight="false" outlineLevel="0" collapsed="false">
      <c r="A55" s="6" t="s">
        <v>7125</v>
      </c>
      <c r="B55" s="6" t="s">
        <v>116</v>
      </c>
      <c r="C55" s="6" t="s">
        <v>114</v>
      </c>
      <c r="D55" s="6" t="s">
        <v>22</v>
      </c>
      <c r="E55" s="6" t="n">
        <f aca="false">ROUND(11939*1.05,2)</f>
        <v>12535.95</v>
      </c>
      <c r="F55" s="6" t="s">
        <v>23</v>
      </c>
      <c r="G55" s="6" t="s">
        <v>24</v>
      </c>
      <c r="H55" s="6" t="n">
        <f aca="true">ROUND(RAND()*4+6,1)</f>
        <v>7.4</v>
      </c>
      <c r="I55" s="6" t="s">
        <v>25</v>
      </c>
      <c r="J55" s="6" t="str">
        <f aca="false">ROUND(78*1,0)&amp;"%"</f>
        <v>78%</v>
      </c>
    </row>
    <row r="56" customFormat="false" ht="15" hidden="false" customHeight="false" outlineLevel="0" collapsed="false">
      <c r="A56" s="5" t="s">
        <v>7126</v>
      </c>
      <c r="B56" s="5" t="s">
        <v>118</v>
      </c>
      <c r="C56" s="5" t="s">
        <v>114</v>
      </c>
      <c r="D56" s="5" t="s">
        <v>28</v>
      </c>
      <c r="E56" s="5" t="n">
        <f aca="false">ROUND(7204*1.05,2)</f>
        <v>7564.2</v>
      </c>
      <c r="F56" s="5" t="s">
        <v>29</v>
      </c>
      <c r="G56" s="5" t="s">
        <v>30</v>
      </c>
      <c r="H56" s="5" t="n">
        <f aca="true">ROUND(RAND()*4+6,1)</f>
        <v>6.3</v>
      </c>
      <c r="I56" s="5" t="s">
        <v>31</v>
      </c>
      <c r="J56" s="5" t="str">
        <f aca="false">ROUND(91*1,0)&amp;"%"</f>
        <v>91%</v>
      </c>
    </row>
    <row r="57" customFormat="false" ht="15" hidden="false" customHeight="false" outlineLevel="0" collapsed="false">
      <c r="A57" s="6" t="s">
        <v>7127</v>
      </c>
      <c r="B57" s="6" t="s">
        <v>120</v>
      </c>
      <c r="C57" s="6" t="s">
        <v>114</v>
      </c>
      <c r="D57" s="6" t="s">
        <v>34</v>
      </c>
      <c r="E57" s="6" t="n">
        <f aca="false">ROUND(7098*1.05,2)</f>
        <v>7452.9</v>
      </c>
      <c r="F57" s="6" t="s">
        <v>35</v>
      </c>
      <c r="G57" s="6" t="s">
        <v>18</v>
      </c>
      <c r="H57" s="6" t="n">
        <f aca="true">ROUND(RAND()*4+6,1)</f>
        <v>7.9</v>
      </c>
      <c r="I57" s="6" t="s">
        <v>36</v>
      </c>
      <c r="J57" s="6" t="str">
        <f aca="false">ROUND(96*1,0)&amp;"%"</f>
        <v>96%</v>
      </c>
    </row>
    <row r="58" customFormat="false" ht="15" hidden="false" customHeight="false" outlineLevel="0" collapsed="false">
      <c r="A58" s="5" t="s">
        <v>7128</v>
      </c>
      <c r="B58" s="5" t="s">
        <v>122</v>
      </c>
      <c r="C58" s="5" t="s">
        <v>114</v>
      </c>
      <c r="D58" s="5" t="s">
        <v>39</v>
      </c>
      <c r="E58" s="5" t="n">
        <f aca="false">ROUND(14319*1.05,2)</f>
        <v>15034.95</v>
      </c>
      <c r="F58" s="5" t="s">
        <v>40</v>
      </c>
      <c r="G58" s="5" t="s">
        <v>24</v>
      </c>
      <c r="H58" s="5" t="n">
        <f aca="true">ROUND(RAND()*4+6,1)</f>
        <v>7.4</v>
      </c>
      <c r="I58" s="5" t="s">
        <v>41</v>
      </c>
      <c r="J58" s="5" t="str">
        <f aca="false">ROUND(86*1,0)&amp;"%"</f>
        <v>86%</v>
      </c>
    </row>
    <row r="59" customFormat="false" ht="15" hidden="false" customHeight="false" outlineLevel="0" collapsed="false">
      <c r="A59" s="6" t="s">
        <v>7129</v>
      </c>
      <c r="B59" s="6" t="s">
        <v>124</v>
      </c>
      <c r="C59" s="6" t="s">
        <v>114</v>
      </c>
      <c r="D59" s="6" t="s">
        <v>44</v>
      </c>
      <c r="E59" s="6" t="n">
        <f aca="false">ROUND(14758*1.05,2)</f>
        <v>15495.9</v>
      </c>
      <c r="F59" s="6" t="s">
        <v>45</v>
      </c>
      <c r="G59" s="6" t="s">
        <v>30</v>
      </c>
      <c r="H59" s="6" t="n">
        <f aca="true">ROUND(RAND()*4+6,1)</f>
        <v>9.9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7130</v>
      </c>
      <c r="B60" s="5" t="s">
        <v>126</v>
      </c>
      <c r="C60" s="5" t="s">
        <v>114</v>
      </c>
      <c r="D60" s="5" t="s">
        <v>16</v>
      </c>
      <c r="E60" s="5" t="n">
        <f aca="false">ROUND(4148*1.05,2)</f>
        <v>4355.4</v>
      </c>
      <c r="F60" s="5" t="s">
        <v>49</v>
      </c>
      <c r="G60" s="5" t="s">
        <v>18</v>
      </c>
      <c r="H60" s="5" t="n">
        <f aca="true">ROUND(RAND()*4+6,1)</f>
        <v>9</v>
      </c>
      <c r="I60" s="5" t="s">
        <v>19</v>
      </c>
      <c r="J60" s="5" t="str">
        <f aca="false">ROUND(90*1,0)&amp;"%"</f>
        <v>90%</v>
      </c>
    </row>
    <row r="61" customFormat="false" ht="15" hidden="false" customHeight="false" outlineLevel="0" collapsed="false">
      <c r="A61" s="6" t="s">
        <v>7131</v>
      </c>
      <c r="B61" s="6" t="s">
        <v>128</v>
      </c>
      <c r="C61" s="6" t="s">
        <v>114</v>
      </c>
      <c r="D61" s="6" t="s">
        <v>22</v>
      </c>
      <c r="E61" s="6" t="n">
        <f aca="false">ROUND(9841*1.05,2)</f>
        <v>10333.05</v>
      </c>
      <c r="F61" s="6" t="s">
        <v>52</v>
      </c>
      <c r="G61" s="6" t="s">
        <v>24</v>
      </c>
      <c r="H61" s="6" t="n">
        <f aca="true">ROUND(RAND()*4+6,1)</f>
        <v>6.9</v>
      </c>
      <c r="I61" s="6" t="s">
        <v>25</v>
      </c>
      <c r="J61" s="6" t="str">
        <f aca="false">ROUND(62*1,0)&amp;"%"</f>
        <v>62%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7132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7133</v>
      </c>
      <c r="B66" s="5" t="s">
        <v>132</v>
      </c>
      <c r="C66" s="5" t="s">
        <v>133</v>
      </c>
      <c r="D66" s="5" t="s">
        <v>16</v>
      </c>
      <c r="E66" s="5" t="n">
        <f aca="false">ROUND(9275*1.05,2)</f>
        <v>9738.75</v>
      </c>
      <c r="F66" s="5" t="s">
        <v>17</v>
      </c>
      <c r="G66" s="5" t="s">
        <v>18</v>
      </c>
      <c r="H66" s="5" t="n">
        <f aca="true">ROUND(RAND()*4+6,1)</f>
        <v>9.9</v>
      </c>
      <c r="I66" s="5" t="s">
        <v>19</v>
      </c>
      <c r="J66" s="5" t="str">
        <f aca="false">ROUND(93*1,0)&amp;"%"</f>
        <v>93%</v>
      </c>
    </row>
    <row r="67" customFormat="false" ht="15" hidden="false" customHeight="false" outlineLevel="0" collapsed="false">
      <c r="A67" s="6" t="s">
        <v>7134</v>
      </c>
      <c r="B67" s="6" t="s">
        <v>135</v>
      </c>
      <c r="C67" s="6" t="s">
        <v>133</v>
      </c>
      <c r="D67" s="6" t="s">
        <v>22</v>
      </c>
      <c r="E67" s="6" t="n">
        <f aca="false">ROUND(14815*1.05,2)</f>
        <v>15555.75</v>
      </c>
      <c r="F67" s="6" t="s">
        <v>23</v>
      </c>
      <c r="G67" s="6" t="s">
        <v>24</v>
      </c>
      <c r="H67" s="6" t="n">
        <f aca="true">ROUND(RAND()*4+6,1)</f>
        <v>6.1</v>
      </c>
      <c r="I67" s="6" t="s">
        <v>25</v>
      </c>
      <c r="J67" s="6" t="str">
        <f aca="false">ROUND(88*1,0)&amp;"%"</f>
        <v>88%</v>
      </c>
    </row>
    <row r="68" customFormat="false" ht="15" hidden="false" customHeight="false" outlineLevel="0" collapsed="false">
      <c r="A68" s="5" t="s">
        <v>7135</v>
      </c>
      <c r="B68" s="5" t="s">
        <v>137</v>
      </c>
      <c r="C68" s="5" t="s">
        <v>133</v>
      </c>
      <c r="D68" s="5" t="s">
        <v>28</v>
      </c>
      <c r="E68" s="5" t="n">
        <f aca="false">ROUND(10091*1.05,2)</f>
        <v>10595.55</v>
      </c>
      <c r="F68" s="5" t="s">
        <v>29</v>
      </c>
      <c r="G68" s="5" t="s">
        <v>30</v>
      </c>
      <c r="H68" s="5" t="n">
        <f aca="true">ROUND(RAND()*4+6,1)</f>
        <v>7.6</v>
      </c>
      <c r="I68" s="5" t="s">
        <v>31</v>
      </c>
      <c r="J68" s="5" t="str">
        <f aca="false">ROUND(89*1,0)&amp;"%"</f>
        <v>89%</v>
      </c>
    </row>
    <row r="69" customFormat="false" ht="15" hidden="false" customHeight="false" outlineLevel="0" collapsed="false">
      <c r="A69" s="6" t="s">
        <v>7136</v>
      </c>
      <c r="B69" s="6" t="s">
        <v>139</v>
      </c>
      <c r="C69" s="6" t="s">
        <v>133</v>
      </c>
      <c r="D69" s="6" t="s">
        <v>34</v>
      </c>
      <c r="E69" s="6" t="n">
        <f aca="false">ROUND(6571*1.05,2)</f>
        <v>6899.55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ROUND(90*1,0)&amp;"%"</f>
        <v>90%</v>
      </c>
    </row>
    <row r="70" customFormat="false" ht="15" hidden="false" customHeight="false" outlineLevel="0" collapsed="false">
      <c r="A70" s="5" t="s">
        <v>7137</v>
      </c>
      <c r="B70" s="5" t="s">
        <v>141</v>
      </c>
      <c r="C70" s="5" t="s">
        <v>133</v>
      </c>
      <c r="D70" s="5" t="s">
        <v>39</v>
      </c>
      <c r="E70" s="5" t="n">
        <f aca="false">ROUND(16947*1.05,2)</f>
        <v>17794.35</v>
      </c>
      <c r="F70" s="5" t="s">
        <v>40</v>
      </c>
      <c r="G70" s="5" t="s">
        <v>24</v>
      </c>
      <c r="H70" s="5" t="n">
        <f aca="true">ROUND(RAND()*4+6,1)</f>
        <v>9.1</v>
      </c>
      <c r="I70" s="5" t="s">
        <v>41</v>
      </c>
      <c r="J70" s="5" t="str">
        <f aca="false">ROUND(92*1,0)&amp;"%"</f>
        <v>92%</v>
      </c>
    </row>
    <row r="71" customFormat="false" ht="15" hidden="false" customHeight="false" outlineLevel="0" collapsed="false">
      <c r="A71" s="6" t="s">
        <v>7138</v>
      </c>
      <c r="B71" s="6" t="s">
        <v>143</v>
      </c>
      <c r="C71" s="6" t="s">
        <v>133</v>
      </c>
      <c r="D71" s="6" t="s">
        <v>44</v>
      </c>
      <c r="E71" s="6" t="n">
        <f aca="false">ROUND(11543*1.05,2)</f>
        <v>12120.15</v>
      </c>
      <c r="F71" s="6" t="s">
        <v>45</v>
      </c>
      <c r="G71" s="6" t="s">
        <v>30</v>
      </c>
      <c r="H71" s="6" t="n">
        <f aca="true">ROUND(RAND()*4+6,1)</f>
        <v>9.1</v>
      </c>
      <c r="I71" s="6" t="s">
        <v>46</v>
      </c>
      <c r="J71" s="6" t="str">
        <f aca="false">ROUND(97*1,0)&amp;"%"</f>
        <v>97%</v>
      </c>
    </row>
    <row r="72" customFormat="false" ht="15" hidden="false" customHeight="false" outlineLevel="0" collapsed="false">
      <c r="A72" s="5" t="s">
        <v>7139</v>
      </c>
      <c r="B72" s="5" t="s">
        <v>145</v>
      </c>
      <c r="C72" s="5" t="s">
        <v>133</v>
      </c>
      <c r="D72" s="5" t="s">
        <v>16</v>
      </c>
      <c r="E72" s="5" t="n">
        <f aca="false">ROUND(4090*1.05,2)</f>
        <v>4294.5</v>
      </c>
      <c r="F72" s="5" t="s">
        <v>49</v>
      </c>
      <c r="G72" s="5" t="s">
        <v>18</v>
      </c>
      <c r="H72" s="5" t="n">
        <f aca="true">ROUND(RAND()*4+6,1)</f>
        <v>7.6</v>
      </c>
      <c r="I72" s="5" t="s">
        <v>19</v>
      </c>
      <c r="J72" s="5" t="str">
        <f aca="false">ROUND(71*1,0)&amp;"%"</f>
        <v>71%</v>
      </c>
    </row>
    <row r="73" customFormat="false" ht="15" hidden="false" customHeight="false" outlineLevel="0" collapsed="false">
      <c r="A73" s="6" t="s">
        <v>7140</v>
      </c>
      <c r="B73" s="6" t="s">
        <v>147</v>
      </c>
      <c r="C73" s="6" t="s">
        <v>133</v>
      </c>
      <c r="D73" s="6" t="s">
        <v>22</v>
      </c>
      <c r="E73" s="6" t="n">
        <f aca="false">ROUND(9098*1.05,2)</f>
        <v>9552.9</v>
      </c>
      <c r="F73" s="6" t="s">
        <v>52</v>
      </c>
      <c r="G73" s="6" t="s">
        <v>24</v>
      </c>
      <c r="H73" s="6" t="n">
        <f aca="true">ROUND(RAND()*4+6,1)</f>
        <v>7.9</v>
      </c>
      <c r="I73" s="6" t="s">
        <v>25</v>
      </c>
      <c r="J73" s="6" t="str">
        <f aca="false">ROUND(69*1,0)&amp;"%"</f>
        <v>69%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7141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7142</v>
      </c>
      <c r="B78" s="5" t="s">
        <v>151</v>
      </c>
      <c r="C78" s="5" t="s">
        <v>152</v>
      </c>
      <c r="D78" s="5" t="s">
        <v>16</v>
      </c>
      <c r="E78" s="5" t="n">
        <f aca="false">ROUND(8510*1.05,2)</f>
        <v>8935.5</v>
      </c>
      <c r="F78" s="5" t="s">
        <v>17</v>
      </c>
      <c r="G78" s="5" t="s">
        <v>18</v>
      </c>
      <c r="H78" s="5" t="n">
        <f aca="true">ROUND(RAND()*4+6,1)</f>
        <v>7.4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7143</v>
      </c>
      <c r="B79" s="6" t="s">
        <v>154</v>
      </c>
      <c r="C79" s="6" t="s">
        <v>152</v>
      </c>
      <c r="D79" s="6" t="s">
        <v>22</v>
      </c>
      <c r="E79" s="6" t="n">
        <f aca="false">ROUND(17692*1.05,2)</f>
        <v>18576.6</v>
      </c>
      <c r="F79" s="6" t="s">
        <v>23</v>
      </c>
      <c r="G79" s="6" t="s">
        <v>24</v>
      </c>
      <c r="H79" s="6" t="n">
        <f aca="true">ROUND(RAND()*4+6,1)</f>
        <v>8.8</v>
      </c>
      <c r="I79" s="6" t="s">
        <v>25</v>
      </c>
      <c r="J79" s="6" t="str">
        <f aca="false">ROUND(79*1,0)&amp;"%"</f>
        <v>79%</v>
      </c>
    </row>
    <row r="80" customFormat="false" ht="15" hidden="false" customHeight="false" outlineLevel="0" collapsed="false">
      <c r="A80" s="5" t="s">
        <v>7144</v>
      </c>
      <c r="B80" s="5" t="s">
        <v>156</v>
      </c>
      <c r="C80" s="5" t="s">
        <v>152</v>
      </c>
      <c r="D80" s="5" t="s">
        <v>28</v>
      </c>
      <c r="E80" s="5" t="n">
        <f aca="false">ROUND(15506*1.05,2)</f>
        <v>16281.3</v>
      </c>
      <c r="F80" s="5" t="s">
        <v>29</v>
      </c>
      <c r="G80" s="5" t="s">
        <v>30</v>
      </c>
      <c r="H80" s="5" t="n">
        <f aca="true">ROUND(RAND()*4+6,1)</f>
        <v>8.3</v>
      </c>
      <c r="I80" s="5" t="s">
        <v>31</v>
      </c>
      <c r="J80" s="5" t="str">
        <f aca="false">ROUND(89*1,0)&amp;"%"</f>
        <v>89%</v>
      </c>
    </row>
    <row r="81" customFormat="false" ht="15" hidden="false" customHeight="false" outlineLevel="0" collapsed="false">
      <c r="A81" s="6" t="s">
        <v>7145</v>
      </c>
      <c r="B81" s="6" t="s">
        <v>158</v>
      </c>
      <c r="C81" s="6" t="s">
        <v>152</v>
      </c>
      <c r="D81" s="6" t="s">
        <v>34</v>
      </c>
      <c r="E81" s="6" t="n">
        <f aca="false">ROUND(9659*1.05,2)</f>
        <v>10141.95</v>
      </c>
      <c r="F81" s="6" t="s">
        <v>35</v>
      </c>
      <c r="G81" s="6" t="s">
        <v>18</v>
      </c>
      <c r="H81" s="6" t="n">
        <f aca="true">ROUND(RAND()*4+6,1)</f>
        <v>8.9</v>
      </c>
      <c r="I81" s="6" t="s">
        <v>36</v>
      </c>
      <c r="J81" s="6" t="str">
        <f aca="false">ROUND(72*1,0)&amp;"%"</f>
        <v>72%</v>
      </c>
    </row>
    <row r="82" customFormat="false" ht="15" hidden="false" customHeight="false" outlineLevel="0" collapsed="false">
      <c r="A82" s="5" t="s">
        <v>7146</v>
      </c>
      <c r="B82" s="5" t="s">
        <v>160</v>
      </c>
      <c r="C82" s="5" t="s">
        <v>152</v>
      </c>
      <c r="D82" s="5" t="s">
        <v>39</v>
      </c>
      <c r="E82" s="5" t="n">
        <f aca="false">ROUND(12167*1.05,2)</f>
        <v>12775.35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ROUND(61*1,0)&amp;"%"</f>
        <v>61%</v>
      </c>
    </row>
    <row r="83" customFormat="false" ht="15" hidden="false" customHeight="false" outlineLevel="0" collapsed="false">
      <c r="A83" s="6" t="s">
        <v>7147</v>
      </c>
      <c r="B83" s="6" t="s">
        <v>162</v>
      </c>
      <c r="C83" s="6" t="s">
        <v>152</v>
      </c>
      <c r="D83" s="6" t="s">
        <v>44</v>
      </c>
      <c r="E83" s="6" t="n">
        <f aca="false">ROUND(17228*1.05,2)</f>
        <v>18089.4</v>
      </c>
      <c r="F83" s="6" t="s">
        <v>45</v>
      </c>
      <c r="G83" s="6" t="s">
        <v>30</v>
      </c>
      <c r="H83" s="6" t="n">
        <f aca="true">ROUND(RAND()*4+6,1)</f>
        <v>8.1</v>
      </c>
      <c r="I83" s="6" t="s">
        <v>46</v>
      </c>
      <c r="J83" s="6" t="str">
        <f aca="false">ROUND(92*1,0)&amp;"%"</f>
        <v>92%</v>
      </c>
    </row>
    <row r="84" customFormat="false" ht="15" hidden="false" customHeight="false" outlineLevel="0" collapsed="false">
      <c r="A84" s="5" t="s">
        <v>7148</v>
      </c>
      <c r="B84" s="5" t="s">
        <v>164</v>
      </c>
      <c r="C84" s="5" t="s">
        <v>152</v>
      </c>
      <c r="D84" s="5" t="s">
        <v>16</v>
      </c>
      <c r="E84" s="5" t="n">
        <f aca="false">ROUND(17891*1.05,2)</f>
        <v>18785.55</v>
      </c>
      <c r="F84" s="5" t="s">
        <v>49</v>
      </c>
      <c r="G84" s="5" t="s">
        <v>18</v>
      </c>
      <c r="H84" s="5" t="n">
        <f aca="true">ROUND(RAND()*4+6,1)</f>
        <v>8.3</v>
      </c>
      <c r="I84" s="5" t="s">
        <v>19</v>
      </c>
      <c r="J84" s="5" t="str">
        <f aca="false">ROUND(71*1,0)&amp;"%"</f>
        <v>71%</v>
      </c>
    </row>
    <row r="85" customFormat="false" ht="15" hidden="false" customHeight="false" outlineLevel="0" collapsed="false">
      <c r="A85" s="6" t="s">
        <v>7149</v>
      </c>
      <c r="B85" s="6" t="s">
        <v>166</v>
      </c>
      <c r="C85" s="6" t="s">
        <v>152</v>
      </c>
      <c r="D85" s="6" t="s">
        <v>22</v>
      </c>
      <c r="E85" s="6" t="n">
        <f aca="false">ROUND(13614*1.05,2)</f>
        <v>14294.7</v>
      </c>
      <c r="F85" s="6" t="s">
        <v>52</v>
      </c>
      <c r="G85" s="6" t="s">
        <v>24</v>
      </c>
      <c r="H85" s="6" t="n">
        <f aca="true">ROUND(RAND()*4+6,1)</f>
        <v>7.8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7150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7151</v>
      </c>
      <c r="B90" s="5" t="s">
        <v>170</v>
      </c>
      <c r="C90" s="5" t="s">
        <v>15</v>
      </c>
      <c r="D90" s="5" t="s">
        <v>16</v>
      </c>
      <c r="E90" s="5" t="n">
        <f aca="false">ROUND(6286*1.05,2)</f>
        <v>6600.3</v>
      </c>
      <c r="F90" s="5" t="s">
        <v>17</v>
      </c>
      <c r="G90" s="5" t="s">
        <v>18</v>
      </c>
      <c r="H90" s="5" t="n">
        <f aca="true">ROUND(RAND()*4+6,1)</f>
        <v>6.3</v>
      </c>
      <c r="I90" s="5" t="s">
        <v>19</v>
      </c>
      <c r="J90" s="5" t="str">
        <f aca="false">ROUND(85*1,0)&amp;"%"</f>
        <v>85%</v>
      </c>
    </row>
    <row r="91" customFormat="false" ht="15" hidden="false" customHeight="false" outlineLevel="0" collapsed="false">
      <c r="A91" s="6" t="s">
        <v>7152</v>
      </c>
      <c r="B91" s="6" t="s">
        <v>172</v>
      </c>
      <c r="C91" s="6" t="s">
        <v>15</v>
      </c>
      <c r="D91" s="6" t="s">
        <v>22</v>
      </c>
      <c r="E91" s="6" t="n">
        <f aca="false">ROUND(13489*1.05,2)</f>
        <v>14163.45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ROUND(78*1,0)&amp;"%"</f>
        <v>78%</v>
      </c>
    </row>
    <row r="92" customFormat="false" ht="15" hidden="false" customHeight="false" outlineLevel="0" collapsed="false">
      <c r="A92" s="5" t="s">
        <v>7153</v>
      </c>
      <c r="B92" s="5" t="s">
        <v>174</v>
      </c>
      <c r="C92" s="5" t="s">
        <v>15</v>
      </c>
      <c r="D92" s="5" t="s">
        <v>28</v>
      </c>
      <c r="E92" s="5" t="n">
        <f aca="false">ROUND(9572*1.05,2)</f>
        <v>10050.6</v>
      </c>
      <c r="F92" s="5" t="s">
        <v>29</v>
      </c>
      <c r="G92" s="5" t="s">
        <v>30</v>
      </c>
      <c r="H92" s="5" t="n">
        <f aca="true">ROUND(RAND()*4+6,1)</f>
        <v>7.1</v>
      </c>
      <c r="I92" s="5" t="s">
        <v>31</v>
      </c>
      <c r="J92" s="5" t="str">
        <f aca="false">ROUND(72*1,0)&amp;"%"</f>
        <v>72%</v>
      </c>
    </row>
    <row r="93" customFormat="false" ht="15" hidden="false" customHeight="false" outlineLevel="0" collapsed="false">
      <c r="A93" s="6" t="s">
        <v>7154</v>
      </c>
      <c r="B93" s="6" t="s">
        <v>176</v>
      </c>
      <c r="C93" s="6" t="s">
        <v>15</v>
      </c>
      <c r="D93" s="6" t="s">
        <v>34</v>
      </c>
      <c r="E93" s="6" t="n">
        <f aca="false">ROUND(6112*1.05,2)</f>
        <v>6417.6</v>
      </c>
      <c r="F93" s="6" t="s">
        <v>35</v>
      </c>
      <c r="G93" s="6" t="s">
        <v>18</v>
      </c>
      <c r="H93" s="6" t="n">
        <f aca="true">ROUND(RAND()*4+6,1)</f>
        <v>7.1</v>
      </c>
      <c r="I93" s="6" t="s">
        <v>36</v>
      </c>
      <c r="J93" s="6" t="str">
        <f aca="false">ROUND(94*1,0)&amp;"%"</f>
        <v>94%</v>
      </c>
    </row>
    <row r="94" customFormat="false" ht="15" hidden="false" customHeight="false" outlineLevel="0" collapsed="false">
      <c r="A94" s="5" t="s">
        <v>7155</v>
      </c>
      <c r="B94" s="5" t="s">
        <v>178</v>
      </c>
      <c r="C94" s="5" t="s">
        <v>15</v>
      </c>
      <c r="D94" s="5" t="s">
        <v>39</v>
      </c>
      <c r="E94" s="5" t="n">
        <f aca="false">ROUND(12730*1.05,2)</f>
        <v>13366.5</v>
      </c>
      <c r="F94" s="5" t="s">
        <v>40</v>
      </c>
      <c r="G94" s="5" t="s">
        <v>24</v>
      </c>
      <c r="H94" s="5" t="n">
        <f aca="true">ROUND(RAND()*4+6,1)</f>
        <v>6.4</v>
      </c>
      <c r="I94" s="5" t="s">
        <v>41</v>
      </c>
      <c r="J94" s="5" t="str">
        <f aca="false">ROUND(66*1,0)&amp;"%"</f>
        <v>66%</v>
      </c>
    </row>
    <row r="95" customFormat="false" ht="15" hidden="false" customHeight="false" outlineLevel="0" collapsed="false">
      <c r="A95" s="6" t="s">
        <v>7156</v>
      </c>
      <c r="B95" s="6" t="s">
        <v>180</v>
      </c>
      <c r="C95" s="6" t="s">
        <v>15</v>
      </c>
      <c r="D95" s="6" t="s">
        <v>44</v>
      </c>
      <c r="E95" s="6" t="n">
        <f aca="false">ROUND(17196*1.05,2)</f>
        <v>18055.8</v>
      </c>
      <c r="F95" s="6" t="s">
        <v>45</v>
      </c>
      <c r="G95" s="6" t="s">
        <v>30</v>
      </c>
      <c r="H95" s="6" t="n">
        <f aca="true">ROUND(RAND()*4+6,1)</f>
        <v>8.1</v>
      </c>
      <c r="I95" s="6" t="s">
        <v>46</v>
      </c>
      <c r="J95" s="6" t="str">
        <f aca="false">ROUND(71*1,0)&amp;"%"</f>
        <v>71%</v>
      </c>
    </row>
    <row r="96" customFormat="false" ht="15" hidden="false" customHeight="false" outlineLevel="0" collapsed="false">
      <c r="A96" s="5" t="s">
        <v>7157</v>
      </c>
      <c r="B96" s="5" t="s">
        <v>182</v>
      </c>
      <c r="C96" s="5" t="s">
        <v>15</v>
      </c>
      <c r="D96" s="5" t="s">
        <v>16</v>
      </c>
      <c r="E96" s="5" t="n">
        <f aca="false">ROUND(7103*1.05,2)</f>
        <v>7458.15</v>
      </c>
      <c r="F96" s="5" t="s">
        <v>49</v>
      </c>
      <c r="G96" s="5" t="s">
        <v>18</v>
      </c>
      <c r="H96" s="5" t="n">
        <f aca="true">ROUND(RAND()*4+6,1)</f>
        <v>8.4</v>
      </c>
      <c r="I96" s="5" t="s">
        <v>19</v>
      </c>
      <c r="J96" s="5" t="str">
        <f aca="false">ROUND(62*1,0)&amp;"%"</f>
        <v>62%</v>
      </c>
    </row>
    <row r="97" customFormat="false" ht="15" hidden="false" customHeight="false" outlineLevel="0" collapsed="false">
      <c r="A97" s="6" t="s">
        <v>7158</v>
      </c>
      <c r="B97" s="6" t="s">
        <v>184</v>
      </c>
      <c r="C97" s="6" t="s">
        <v>15</v>
      </c>
      <c r="D97" s="6" t="s">
        <v>22</v>
      </c>
      <c r="E97" s="6" t="n">
        <f aca="false">ROUND(9829*1.05,2)</f>
        <v>10320.45</v>
      </c>
      <c r="F97" s="6" t="s">
        <v>52</v>
      </c>
      <c r="G97" s="6" t="s">
        <v>24</v>
      </c>
      <c r="H97" s="6" t="n">
        <f aca="true">ROUND(RAND()*4+6,1)</f>
        <v>8.4</v>
      </c>
      <c r="I97" s="6" t="s">
        <v>25</v>
      </c>
      <c r="J97" s="6" t="str">
        <f aca="false">ROUND(90*1,0)&amp;"%"</f>
        <v>90%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7159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7160</v>
      </c>
      <c r="B102" s="5" t="s">
        <v>188</v>
      </c>
      <c r="C102" s="5" t="s">
        <v>57</v>
      </c>
      <c r="D102" s="5" t="s">
        <v>16</v>
      </c>
      <c r="E102" s="5" t="n">
        <f aca="false">ROUND(5757*1.05,2)</f>
        <v>6044.85</v>
      </c>
      <c r="F102" s="5" t="s">
        <v>17</v>
      </c>
      <c r="G102" s="5" t="s">
        <v>18</v>
      </c>
      <c r="H102" s="5" t="n">
        <f aca="true">ROUND(RAND()*4+6,1)</f>
        <v>8.6</v>
      </c>
      <c r="I102" s="5" t="s">
        <v>19</v>
      </c>
      <c r="J102" s="5" t="str">
        <f aca="false">ROUND(80*1,0)&amp;"%"</f>
        <v>80%</v>
      </c>
    </row>
    <row r="103" customFormat="false" ht="15" hidden="false" customHeight="false" outlineLevel="0" collapsed="false">
      <c r="A103" s="6" t="s">
        <v>7161</v>
      </c>
      <c r="B103" s="6" t="s">
        <v>190</v>
      </c>
      <c r="C103" s="6" t="s">
        <v>57</v>
      </c>
      <c r="D103" s="6" t="s">
        <v>22</v>
      </c>
      <c r="E103" s="6" t="n">
        <f aca="false">ROUND(15782*1.05,2)</f>
        <v>16571.1</v>
      </c>
      <c r="F103" s="6" t="s">
        <v>23</v>
      </c>
      <c r="G103" s="6" t="s">
        <v>24</v>
      </c>
      <c r="H103" s="6" t="n">
        <f aca="true">ROUND(RAND()*4+6,1)</f>
        <v>6.6</v>
      </c>
      <c r="I103" s="6" t="s">
        <v>25</v>
      </c>
      <c r="J103" s="6" t="str">
        <f aca="false">ROUND(78*1,0)&amp;"%"</f>
        <v>78%</v>
      </c>
    </row>
    <row r="104" customFormat="false" ht="15" hidden="false" customHeight="false" outlineLevel="0" collapsed="false">
      <c r="A104" s="5" t="s">
        <v>7162</v>
      </c>
      <c r="B104" s="5" t="s">
        <v>192</v>
      </c>
      <c r="C104" s="5" t="s">
        <v>57</v>
      </c>
      <c r="D104" s="5" t="s">
        <v>28</v>
      </c>
      <c r="E104" s="5" t="n">
        <f aca="false">ROUND(9159*1.05,2)</f>
        <v>9616.95</v>
      </c>
      <c r="F104" s="5" t="s">
        <v>29</v>
      </c>
      <c r="G104" s="5" t="s">
        <v>30</v>
      </c>
      <c r="H104" s="5" t="n">
        <f aca="true">ROUND(RAND()*4+6,1)</f>
        <v>9.7</v>
      </c>
      <c r="I104" s="5" t="s">
        <v>31</v>
      </c>
      <c r="J104" s="5" t="str">
        <f aca="false">ROUND(85*1,0)&amp;"%"</f>
        <v>85%</v>
      </c>
    </row>
    <row r="105" customFormat="false" ht="15" hidden="false" customHeight="false" outlineLevel="0" collapsed="false">
      <c r="A105" s="6" t="s">
        <v>7163</v>
      </c>
      <c r="B105" s="6" t="s">
        <v>194</v>
      </c>
      <c r="C105" s="6" t="s">
        <v>57</v>
      </c>
      <c r="D105" s="6" t="s">
        <v>34</v>
      </c>
      <c r="E105" s="6" t="n">
        <f aca="false">ROUND(15176*1.05,2)</f>
        <v>15934.8</v>
      </c>
      <c r="F105" s="6" t="s">
        <v>35</v>
      </c>
      <c r="G105" s="6" t="s">
        <v>18</v>
      </c>
      <c r="H105" s="6" t="n">
        <f aca="true">ROUND(RAND()*4+6,1)</f>
        <v>6.7</v>
      </c>
      <c r="I105" s="6" t="s">
        <v>36</v>
      </c>
      <c r="J105" s="6" t="str">
        <f aca="false">ROUND(83*1,0)&amp;"%"</f>
        <v>83%</v>
      </c>
    </row>
    <row r="106" customFormat="false" ht="15" hidden="false" customHeight="false" outlineLevel="0" collapsed="false">
      <c r="A106" s="5" t="s">
        <v>7164</v>
      </c>
      <c r="B106" s="5" t="s">
        <v>196</v>
      </c>
      <c r="C106" s="5" t="s">
        <v>57</v>
      </c>
      <c r="D106" s="5" t="s">
        <v>39</v>
      </c>
      <c r="E106" s="5" t="n">
        <f aca="false">ROUND(17541*1.05,2)</f>
        <v>18418.05</v>
      </c>
      <c r="F106" s="5" t="s">
        <v>40</v>
      </c>
      <c r="G106" s="5" t="s">
        <v>24</v>
      </c>
      <c r="H106" s="5" t="n">
        <f aca="true">ROUND(RAND()*4+6,1)</f>
        <v>7.5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7165</v>
      </c>
      <c r="B107" s="6" t="s">
        <v>198</v>
      </c>
      <c r="C107" s="6" t="s">
        <v>57</v>
      </c>
      <c r="D107" s="6" t="s">
        <v>44</v>
      </c>
      <c r="E107" s="6" t="n">
        <f aca="false">ROUND(13946*1.05,2)</f>
        <v>14643.3</v>
      </c>
      <c r="F107" s="6" t="s">
        <v>45</v>
      </c>
      <c r="G107" s="6" t="s">
        <v>30</v>
      </c>
      <c r="H107" s="6" t="n">
        <f aca="true">ROUND(RAND()*4+6,1)</f>
        <v>6</v>
      </c>
      <c r="I107" s="6" t="s">
        <v>46</v>
      </c>
      <c r="J107" s="6" t="str">
        <f aca="false">ROUND(65*1,0)&amp;"%"</f>
        <v>65%</v>
      </c>
    </row>
    <row r="108" customFormat="false" ht="15" hidden="false" customHeight="false" outlineLevel="0" collapsed="false">
      <c r="A108" s="5" t="s">
        <v>7166</v>
      </c>
      <c r="B108" s="5" t="s">
        <v>200</v>
      </c>
      <c r="C108" s="5" t="s">
        <v>57</v>
      </c>
      <c r="D108" s="5" t="s">
        <v>16</v>
      </c>
      <c r="E108" s="5" t="n">
        <f aca="false">ROUND(7547*1.05,2)</f>
        <v>7924.35</v>
      </c>
      <c r="F108" s="5" t="s">
        <v>49</v>
      </c>
      <c r="G108" s="5" t="s">
        <v>18</v>
      </c>
      <c r="H108" s="5" t="n">
        <f aca="true">ROUND(RAND()*4+6,1)</f>
        <v>7.5</v>
      </c>
      <c r="I108" s="5" t="s">
        <v>19</v>
      </c>
      <c r="J108" s="5" t="str">
        <f aca="false">ROUND(99*1,0)&amp;"%"</f>
        <v>99%</v>
      </c>
    </row>
    <row r="109" customFormat="false" ht="15" hidden="false" customHeight="false" outlineLevel="0" collapsed="false">
      <c r="A109" s="6" t="s">
        <v>7167</v>
      </c>
      <c r="B109" s="6" t="s">
        <v>202</v>
      </c>
      <c r="C109" s="6" t="s">
        <v>57</v>
      </c>
      <c r="D109" s="6" t="s">
        <v>22</v>
      </c>
      <c r="E109" s="6" t="n">
        <f aca="false">ROUND(13447*1.05,2)</f>
        <v>14119.35</v>
      </c>
      <c r="F109" s="6" t="s">
        <v>52</v>
      </c>
      <c r="G109" s="6" t="s">
        <v>24</v>
      </c>
      <c r="H109" s="6" t="n">
        <f aca="true">ROUND(RAND()*4+6,1)</f>
        <v>8.7</v>
      </c>
      <c r="I109" s="6" t="s">
        <v>25</v>
      </c>
      <c r="J109" s="6" t="str">
        <f aca="false">ROUND(95*1,0)&amp;"%"</f>
        <v>95%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7168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7169</v>
      </c>
      <c r="B114" s="5" t="s">
        <v>206</v>
      </c>
      <c r="C114" s="5" t="s">
        <v>76</v>
      </c>
      <c r="D114" s="5" t="s">
        <v>16</v>
      </c>
      <c r="E114" s="5" t="n">
        <f aca="false">ROUND(16741*1.05,2)</f>
        <v>17578.05</v>
      </c>
      <c r="F114" s="5" t="s">
        <v>17</v>
      </c>
      <c r="G114" s="5" t="s">
        <v>18</v>
      </c>
      <c r="H114" s="5" t="n">
        <f aca="true">ROUND(RAND()*4+6,1)</f>
        <v>9.9</v>
      </c>
      <c r="I114" s="5" t="s">
        <v>19</v>
      </c>
      <c r="J114" s="5" t="str">
        <f aca="false">ROUND(98*1,0)&amp;"%"</f>
        <v>98%</v>
      </c>
    </row>
    <row r="115" customFormat="false" ht="15" hidden="false" customHeight="false" outlineLevel="0" collapsed="false">
      <c r="A115" s="6" t="s">
        <v>7170</v>
      </c>
      <c r="B115" s="6" t="s">
        <v>208</v>
      </c>
      <c r="C115" s="6" t="s">
        <v>76</v>
      </c>
      <c r="D115" s="6" t="s">
        <v>22</v>
      </c>
      <c r="E115" s="6" t="n">
        <f aca="false">ROUND(11289*1.05,2)</f>
        <v>11853.45</v>
      </c>
      <c r="F115" s="6" t="s">
        <v>23</v>
      </c>
      <c r="G115" s="6" t="s">
        <v>24</v>
      </c>
      <c r="H115" s="6" t="n">
        <f aca="true">ROUND(RAND()*4+6,1)</f>
        <v>7.9</v>
      </c>
      <c r="I115" s="6" t="s">
        <v>25</v>
      </c>
      <c r="J115" s="6" t="str">
        <f aca="false">ROUND(85*1,0)&amp;"%"</f>
        <v>85%</v>
      </c>
    </row>
    <row r="116" customFormat="false" ht="15" hidden="false" customHeight="false" outlineLevel="0" collapsed="false">
      <c r="A116" s="5" t="s">
        <v>7171</v>
      </c>
      <c r="B116" s="5" t="s">
        <v>210</v>
      </c>
      <c r="C116" s="5" t="s">
        <v>76</v>
      </c>
      <c r="D116" s="5" t="s">
        <v>28</v>
      </c>
      <c r="E116" s="5" t="n">
        <f aca="false">ROUND(7039*1.05,2)</f>
        <v>7390.95</v>
      </c>
      <c r="F116" s="5" t="s">
        <v>29</v>
      </c>
      <c r="G116" s="5" t="s">
        <v>30</v>
      </c>
      <c r="H116" s="5" t="n">
        <f aca="true">ROUND(RAND()*4+6,1)</f>
        <v>6.9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7172</v>
      </c>
      <c r="B117" s="6" t="s">
        <v>212</v>
      </c>
      <c r="C117" s="6" t="s">
        <v>76</v>
      </c>
      <c r="D117" s="6" t="s">
        <v>34</v>
      </c>
      <c r="E117" s="6" t="n">
        <f aca="false">ROUND(4604*1.05,2)</f>
        <v>4834.2</v>
      </c>
      <c r="F117" s="6" t="s">
        <v>35</v>
      </c>
      <c r="G117" s="6" t="s">
        <v>18</v>
      </c>
      <c r="H117" s="6" t="n">
        <f aca="true">ROUND(RAND()*4+6,1)</f>
        <v>7.9</v>
      </c>
      <c r="I117" s="6" t="s">
        <v>36</v>
      </c>
      <c r="J117" s="6" t="str">
        <f aca="false">ROUND(100*1,0)&amp;"%"</f>
        <v>100%</v>
      </c>
    </row>
    <row r="118" customFormat="false" ht="15" hidden="false" customHeight="false" outlineLevel="0" collapsed="false">
      <c r="A118" s="5" t="s">
        <v>7173</v>
      </c>
      <c r="B118" s="5" t="s">
        <v>214</v>
      </c>
      <c r="C118" s="5" t="s">
        <v>76</v>
      </c>
      <c r="D118" s="5" t="s">
        <v>39</v>
      </c>
      <c r="E118" s="5" t="n">
        <f aca="false">ROUND(6259*1.05,2)</f>
        <v>6571.95</v>
      </c>
      <c r="F118" s="5" t="s">
        <v>40</v>
      </c>
      <c r="G118" s="5" t="s">
        <v>24</v>
      </c>
      <c r="H118" s="5" t="n">
        <f aca="true">ROUND(RAND()*4+6,1)</f>
        <v>7.2</v>
      </c>
      <c r="I118" s="5" t="s">
        <v>41</v>
      </c>
      <c r="J118" s="5" t="str">
        <f aca="false">ROUND(98*1,0)&amp;"%"</f>
        <v>98%</v>
      </c>
    </row>
    <row r="119" customFormat="false" ht="15" hidden="false" customHeight="false" outlineLevel="0" collapsed="false">
      <c r="A119" s="6" t="s">
        <v>7174</v>
      </c>
      <c r="B119" s="6" t="s">
        <v>216</v>
      </c>
      <c r="C119" s="6" t="s">
        <v>76</v>
      </c>
      <c r="D119" s="6" t="s">
        <v>44</v>
      </c>
      <c r="E119" s="6" t="n">
        <f aca="false">ROUND(13268*1.05,2)</f>
        <v>13931.4</v>
      </c>
      <c r="F119" s="6" t="s">
        <v>45</v>
      </c>
      <c r="G119" s="6" t="s">
        <v>30</v>
      </c>
      <c r="H119" s="6" t="n">
        <f aca="true">ROUND(RAND()*4+6,1)</f>
        <v>6.5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7175</v>
      </c>
      <c r="B120" s="5" t="s">
        <v>218</v>
      </c>
      <c r="C120" s="5" t="s">
        <v>76</v>
      </c>
      <c r="D120" s="5" t="s">
        <v>16</v>
      </c>
      <c r="E120" s="5" t="n">
        <f aca="false">ROUND(6515*1.05,2)</f>
        <v>6840.75</v>
      </c>
      <c r="F120" s="5" t="s">
        <v>49</v>
      </c>
      <c r="G120" s="5" t="s">
        <v>18</v>
      </c>
      <c r="H120" s="5" t="n">
        <f aca="true">ROUND(RAND()*4+6,1)</f>
        <v>7.6</v>
      </c>
      <c r="I120" s="5" t="s">
        <v>19</v>
      </c>
      <c r="J120" s="5" t="str">
        <f aca="false">ROUND(60*1,0)&amp;"%"</f>
        <v>60%</v>
      </c>
    </row>
    <row r="121" customFormat="false" ht="15" hidden="false" customHeight="false" outlineLevel="0" collapsed="false">
      <c r="A121" s="6" t="s">
        <v>7176</v>
      </c>
      <c r="B121" s="6" t="s">
        <v>220</v>
      </c>
      <c r="C121" s="6" t="s">
        <v>76</v>
      </c>
      <c r="D121" s="6" t="s">
        <v>22</v>
      </c>
      <c r="E121" s="6" t="n">
        <f aca="false">ROUND(7681*1.05,2)</f>
        <v>8065.05</v>
      </c>
      <c r="F121" s="6" t="s">
        <v>52</v>
      </c>
      <c r="G121" s="6" t="s">
        <v>24</v>
      </c>
      <c r="H121" s="6" t="n">
        <f aca="true">ROUND(RAND()*4+6,1)</f>
        <v>8.8</v>
      </c>
      <c r="I121" s="6" t="s">
        <v>25</v>
      </c>
      <c r="J121" s="6" t="str">
        <f aca="false">ROUND(71*1,0)&amp;"%"</f>
        <v>71%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7177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7178</v>
      </c>
      <c r="B126" s="5" t="s">
        <v>224</v>
      </c>
      <c r="C126" s="5" t="s">
        <v>95</v>
      </c>
      <c r="D126" s="5" t="s">
        <v>16</v>
      </c>
      <c r="E126" s="5" t="n">
        <f aca="false">ROUND(6019*1.05,2)</f>
        <v>6319.95</v>
      </c>
      <c r="F126" s="5" t="s">
        <v>17</v>
      </c>
      <c r="G126" s="5" t="s">
        <v>18</v>
      </c>
      <c r="H126" s="5" t="n">
        <f aca="true">ROUND(RAND()*4+6,1)</f>
        <v>8.8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7179</v>
      </c>
      <c r="B127" s="6" t="s">
        <v>226</v>
      </c>
      <c r="C127" s="6" t="s">
        <v>95</v>
      </c>
      <c r="D127" s="6" t="s">
        <v>22</v>
      </c>
      <c r="E127" s="6" t="n">
        <f aca="false">ROUND(7393*1.05,2)</f>
        <v>7762.65</v>
      </c>
      <c r="F127" s="6" t="s">
        <v>23</v>
      </c>
      <c r="G127" s="6" t="s">
        <v>24</v>
      </c>
      <c r="H127" s="6" t="n">
        <f aca="true">ROUND(RAND()*4+6,1)</f>
        <v>9</v>
      </c>
      <c r="I127" s="6" t="s">
        <v>25</v>
      </c>
      <c r="J127" s="6" t="str">
        <f aca="false">ROUND(93*1,0)&amp;"%"</f>
        <v>93%</v>
      </c>
    </row>
    <row r="128" customFormat="false" ht="15" hidden="false" customHeight="false" outlineLevel="0" collapsed="false">
      <c r="A128" s="5" t="s">
        <v>7180</v>
      </c>
      <c r="B128" s="5" t="s">
        <v>228</v>
      </c>
      <c r="C128" s="5" t="s">
        <v>95</v>
      </c>
      <c r="D128" s="5" t="s">
        <v>28</v>
      </c>
      <c r="E128" s="5" t="n">
        <f aca="false">ROUND(15957*1.05,2)</f>
        <v>16754.85</v>
      </c>
      <c r="F128" s="5" t="s">
        <v>29</v>
      </c>
      <c r="G128" s="5" t="s">
        <v>30</v>
      </c>
      <c r="H128" s="5" t="n">
        <f aca="true">ROUND(RAND()*4+6,1)</f>
        <v>7.2</v>
      </c>
      <c r="I128" s="5" t="s">
        <v>31</v>
      </c>
      <c r="J128" s="5" t="str">
        <f aca="false">ROUND(100*1,0)&amp;"%"</f>
        <v>100%</v>
      </c>
    </row>
    <row r="129" customFormat="false" ht="15" hidden="false" customHeight="false" outlineLevel="0" collapsed="false">
      <c r="A129" s="6" t="s">
        <v>7181</v>
      </c>
      <c r="B129" s="6" t="s">
        <v>230</v>
      </c>
      <c r="C129" s="6" t="s">
        <v>95</v>
      </c>
      <c r="D129" s="6" t="s">
        <v>34</v>
      </c>
      <c r="E129" s="6" t="n">
        <f aca="false">ROUND(10738*1.05,2)</f>
        <v>11274.9</v>
      </c>
      <c r="F129" s="6" t="s">
        <v>35</v>
      </c>
      <c r="G129" s="6" t="s">
        <v>18</v>
      </c>
      <c r="H129" s="6" t="n">
        <f aca="true">ROUND(RAND()*4+6,1)</f>
        <v>6.6</v>
      </c>
      <c r="I129" s="6" t="s">
        <v>36</v>
      </c>
      <c r="J129" s="6" t="str">
        <f aca="false">ROUND(73*1,0)&amp;"%"</f>
        <v>73%</v>
      </c>
    </row>
    <row r="130" customFormat="false" ht="15" hidden="false" customHeight="false" outlineLevel="0" collapsed="false">
      <c r="A130" s="5" t="s">
        <v>7182</v>
      </c>
      <c r="B130" s="5" t="s">
        <v>232</v>
      </c>
      <c r="C130" s="5" t="s">
        <v>95</v>
      </c>
      <c r="D130" s="5" t="s">
        <v>39</v>
      </c>
      <c r="E130" s="5" t="n">
        <f aca="false">ROUND(10651*1.05,2)</f>
        <v>11183.55</v>
      </c>
      <c r="F130" s="5" t="s">
        <v>40</v>
      </c>
      <c r="G130" s="5" t="s">
        <v>24</v>
      </c>
      <c r="H130" s="5" t="n">
        <f aca="true">ROUND(RAND()*4+6,1)</f>
        <v>6.3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7183</v>
      </c>
      <c r="B131" s="6" t="s">
        <v>234</v>
      </c>
      <c r="C131" s="6" t="s">
        <v>95</v>
      </c>
      <c r="D131" s="6" t="s">
        <v>44</v>
      </c>
      <c r="E131" s="6" t="n">
        <f aca="false">ROUND(5527*1.05,2)</f>
        <v>5803.35</v>
      </c>
      <c r="F131" s="6" t="s">
        <v>45</v>
      </c>
      <c r="G131" s="6" t="s">
        <v>30</v>
      </c>
      <c r="H131" s="6" t="n">
        <f aca="true">ROUND(RAND()*4+6,1)</f>
        <v>9.5</v>
      </c>
      <c r="I131" s="6" t="s">
        <v>46</v>
      </c>
      <c r="J131" s="6" t="str">
        <f aca="false">ROUND(83*1,0)&amp;"%"</f>
        <v>83%</v>
      </c>
    </row>
    <row r="132" customFormat="false" ht="15" hidden="false" customHeight="false" outlineLevel="0" collapsed="false">
      <c r="A132" s="5" t="s">
        <v>7184</v>
      </c>
      <c r="B132" s="5" t="s">
        <v>236</v>
      </c>
      <c r="C132" s="5" t="s">
        <v>95</v>
      </c>
      <c r="D132" s="5" t="s">
        <v>16</v>
      </c>
      <c r="E132" s="5" t="n">
        <f aca="false">ROUND(4385*1.05,2)</f>
        <v>4604.25</v>
      </c>
      <c r="F132" s="5" t="s">
        <v>49</v>
      </c>
      <c r="G132" s="5" t="s">
        <v>18</v>
      </c>
      <c r="H132" s="5" t="n">
        <f aca="true">ROUND(RAND()*4+6,1)</f>
        <v>7.4</v>
      </c>
      <c r="I132" s="5" t="s">
        <v>19</v>
      </c>
      <c r="J132" s="5" t="str">
        <f aca="false">ROUND(80*1,0)&amp;"%"</f>
        <v>80%</v>
      </c>
    </row>
    <row r="133" customFormat="false" ht="15" hidden="false" customHeight="false" outlineLevel="0" collapsed="false">
      <c r="A133" s="6" t="s">
        <v>7185</v>
      </c>
      <c r="B133" s="6" t="s">
        <v>238</v>
      </c>
      <c r="C133" s="6" t="s">
        <v>95</v>
      </c>
      <c r="D133" s="6" t="s">
        <v>22</v>
      </c>
      <c r="E133" s="6" t="n">
        <f aca="false">ROUND(14451*1.05,2)</f>
        <v>15173.55</v>
      </c>
      <c r="F133" s="6" t="s">
        <v>52</v>
      </c>
      <c r="G133" s="6" t="s">
        <v>24</v>
      </c>
      <c r="H133" s="6" t="n">
        <f aca="true">ROUND(RAND()*4+6,1)</f>
        <v>8.4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7186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7187</v>
      </c>
      <c r="B138" s="5" t="s">
        <v>242</v>
      </c>
      <c r="C138" s="5" t="s">
        <v>114</v>
      </c>
      <c r="D138" s="5" t="s">
        <v>16</v>
      </c>
      <c r="E138" s="5" t="n">
        <f aca="false">ROUND(4907*1.05,2)</f>
        <v>5152.35</v>
      </c>
      <c r="F138" s="5" t="s">
        <v>17</v>
      </c>
      <c r="G138" s="5" t="s">
        <v>18</v>
      </c>
      <c r="H138" s="5" t="n">
        <f aca="true">ROUND(RAND()*4+6,1)</f>
        <v>8.7</v>
      </c>
      <c r="I138" s="5" t="s">
        <v>19</v>
      </c>
      <c r="J138" s="5" t="str">
        <f aca="false">ROUND(66*1,0)&amp;"%"</f>
        <v>66%</v>
      </c>
    </row>
    <row r="139" customFormat="false" ht="15" hidden="false" customHeight="false" outlineLevel="0" collapsed="false">
      <c r="A139" s="6" t="s">
        <v>7188</v>
      </c>
      <c r="B139" s="6" t="s">
        <v>244</v>
      </c>
      <c r="C139" s="6" t="s">
        <v>114</v>
      </c>
      <c r="D139" s="6" t="s">
        <v>22</v>
      </c>
      <c r="E139" s="6" t="n">
        <f aca="false">ROUND(16284*1.05,2)</f>
        <v>17098.2</v>
      </c>
      <c r="F139" s="6" t="s">
        <v>23</v>
      </c>
      <c r="G139" s="6" t="s">
        <v>24</v>
      </c>
      <c r="H139" s="6" t="n">
        <f aca="true">ROUND(RAND()*4+6,1)</f>
        <v>9.2</v>
      </c>
      <c r="I139" s="6" t="s">
        <v>25</v>
      </c>
      <c r="J139" s="6" t="str">
        <f aca="false">ROUND(81*1,0)&amp;"%"</f>
        <v>81%</v>
      </c>
    </row>
    <row r="140" customFormat="false" ht="15" hidden="false" customHeight="false" outlineLevel="0" collapsed="false">
      <c r="A140" s="5" t="s">
        <v>7189</v>
      </c>
      <c r="B140" s="5" t="s">
        <v>246</v>
      </c>
      <c r="C140" s="5" t="s">
        <v>114</v>
      </c>
      <c r="D140" s="5" t="s">
        <v>28</v>
      </c>
      <c r="E140" s="5" t="n">
        <f aca="false">ROUND(8455*1.05,2)</f>
        <v>8877.75</v>
      </c>
      <c r="F140" s="5" t="s">
        <v>29</v>
      </c>
      <c r="G140" s="5" t="s">
        <v>30</v>
      </c>
      <c r="H140" s="5" t="n">
        <f aca="true">ROUND(RAND()*4+6,1)</f>
        <v>8.9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7190</v>
      </c>
      <c r="B141" s="6" t="s">
        <v>248</v>
      </c>
      <c r="C141" s="6" t="s">
        <v>114</v>
      </c>
      <c r="D141" s="6" t="s">
        <v>34</v>
      </c>
      <c r="E141" s="6" t="n">
        <f aca="false">ROUND(14810*1.05,2)</f>
        <v>15550.5</v>
      </c>
      <c r="F141" s="6" t="s">
        <v>35</v>
      </c>
      <c r="G141" s="6" t="s">
        <v>18</v>
      </c>
      <c r="H141" s="6" t="n">
        <f aca="true">ROUND(RAND()*4+6,1)</f>
        <v>9.7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7191</v>
      </c>
      <c r="B142" s="5" t="s">
        <v>250</v>
      </c>
      <c r="C142" s="5" t="s">
        <v>114</v>
      </c>
      <c r="D142" s="5" t="s">
        <v>39</v>
      </c>
      <c r="E142" s="5" t="n">
        <f aca="false">ROUND(5894*1.05,2)</f>
        <v>6188.7</v>
      </c>
      <c r="F142" s="5" t="s">
        <v>40</v>
      </c>
      <c r="G142" s="5" t="s">
        <v>24</v>
      </c>
      <c r="H142" s="5" t="n">
        <f aca="true">ROUND(RAND()*4+6,1)</f>
        <v>8.3</v>
      </c>
      <c r="I142" s="5" t="s">
        <v>41</v>
      </c>
      <c r="J142" s="5" t="str">
        <f aca="false">ROUND(78*1,0)&amp;"%"</f>
        <v>78%</v>
      </c>
    </row>
    <row r="143" customFormat="false" ht="15" hidden="false" customHeight="false" outlineLevel="0" collapsed="false">
      <c r="A143" s="6" t="s">
        <v>7192</v>
      </c>
      <c r="B143" s="6" t="s">
        <v>252</v>
      </c>
      <c r="C143" s="6" t="s">
        <v>114</v>
      </c>
      <c r="D143" s="6" t="s">
        <v>44</v>
      </c>
      <c r="E143" s="6" t="n">
        <f aca="false">ROUND(11735*1.05,2)</f>
        <v>12321.75</v>
      </c>
      <c r="F143" s="6" t="s">
        <v>45</v>
      </c>
      <c r="G143" s="6" t="s">
        <v>30</v>
      </c>
      <c r="H143" s="6" t="n">
        <f aca="true">ROUND(RAND()*4+6,1)</f>
        <v>9.9</v>
      </c>
      <c r="I143" s="6" t="s">
        <v>46</v>
      </c>
      <c r="J143" s="6" t="str">
        <f aca="false">ROUND(72*1,0)&amp;"%"</f>
        <v>72%</v>
      </c>
    </row>
    <row r="144" customFormat="false" ht="15" hidden="false" customHeight="false" outlineLevel="0" collapsed="false">
      <c r="A144" s="5" t="s">
        <v>7193</v>
      </c>
      <c r="B144" s="5" t="s">
        <v>254</v>
      </c>
      <c r="C144" s="5" t="s">
        <v>114</v>
      </c>
      <c r="D144" s="5" t="s">
        <v>16</v>
      </c>
      <c r="E144" s="5" t="n">
        <f aca="false">ROUND(11274*1.05,2)</f>
        <v>11837.7</v>
      </c>
      <c r="F144" s="5" t="s">
        <v>49</v>
      </c>
      <c r="G144" s="5" t="s">
        <v>18</v>
      </c>
      <c r="H144" s="5" t="n">
        <f aca="true">ROUND(RAND()*4+6,1)</f>
        <v>9</v>
      </c>
      <c r="I144" s="5" t="s">
        <v>19</v>
      </c>
      <c r="J144" s="5" t="str">
        <f aca="false">ROUND(68*1,0)&amp;"%"</f>
        <v>68%</v>
      </c>
    </row>
    <row r="145" customFormat="false" ht="15" hidden="false" customHeight="false" outlineLevel="0" collapsed="false">
      <c r="A145" s="6" t="s">
        <v>7194</v>
      </c>
      <c r="B145" s="6" t="s">
        <v>256</v>
      </c>
      <c r="C145" s="6" t="s">
        <v>114</v>
      </c>
      <c r="D145" s="6" t="s">
        <v>22</v>
      </c>
      <c r="E145" s="6" t="n">
        <f aca="false">ROUND(17033*1.05,2)</f>
        <v>17884.65</v>
      </c>
      <c r="F145" s="6" t="s">
        <v>52</v>
      </c>
      <c r="G145" s="6" t="s">
        <v>24</v>
      </c>
      <c r="H145" s="6" t="n">
        <f aca="true">ROUND(RAND()*4+6,1)</f>
        <v>9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7195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7196</v>
      </c>
      <c r="B150" s="5" t="s">
        <v>260</v>
      </c>
      <c r="C150" s="5" t="s">
        <v>133</v>
      </c>
      <c r="D150" s="5" t="s">
        <v>16</v>
      </c>
      <c r="E150" s="5" t="n">
        <f aca="false">ROUND(13418*1.05,2)</f>
        <v>14088.9</v>
      </c>
      <c r="F150" s="5" t="s">
        <v>17</v>
      </c>
      <c r="G150" s="5" t="s">
        <v>18</v>
      </c>
      <c r="H150" s="5" t="n">
        <f aca="true">ROUND(RAND()*4+6,1)</f>
        <v>9.6</v>
      </c>
      <c r="I150" s="5" t="s">
        <v>19</v>
      </c>
      <c r="J150" s="5" t="str">
        <f aca="false">ROUND(90*1,0)&amp;"%"</f>
        <v>90%</v>
      </c>
    </row>
    <row r="151" customFormat="false" ht="15" hidden="false" customHeight="false" outlineLevel="0" collapsed="false">
      <c r="A151" s="6" t="s">
        <v>7197</v>
      </c>
      <c r="B151" s="6" t="s">
        <v>262</v>
      </c>
      <c r="C151" s="6" t="s">
        <v>133</v>
      </c>
      <c r="D151" s="6" t="s">
        <v>22</v>
      </c>
      <c r="E151" s="6" t="n">
        <f aca="false">ROUND(11376*1.05,2)</f>
        <v>11944.8</v>
      </c>
      <c r="F151" s="6" t="s">
        <v>23</v>
      </c>
      <c r="G151" s="6" t="s">
        <v>24</v>
      </c>
      <c r="H151" s="6" t="n">
        <f aca="true">ROUND(RAND()*4+6,1)</f>
        <v>9</v>
      </c>
      <c r="I151" s="6" t="s">
        <v>25</v>
      </c>
      <c r="J151" s="6" t="str">
        <f aca="false">ROUND(87*1,0)&amp;"%"</f>
        <v>87%</v>
      </c>
    </row>
    <row r="152" customFormat="false" ht="15" hidden="false" customHeight="false" outlineLevel="0" collapsed="false">
      <c r="A152" s="5" t="s">
        <v>7198</v>
      </c>
      <c r="B152" s="5" t="s">
        <v>264</v>
      </c>
      <c r="C152" s="5" t="s">
        <v>133</v>
      </c>
      <c r="D152" s="5" t="s">
        <v>28</v>
      </c>
      <c r="E152" s="5" t="n">
        <f aca="false">ROUND(5360*1.05,2)</f>
        <v>5628</v>
      </c>
      <c r="F152" s="5" t="s">
        <v>29</v>
      </c>
      <c r="G152" s="5" t="s">
        <v>30</v>
      </c>
      <c r="H152" s="5" t="n">
        <f aca="true">ROUND(RAND()*4+6,1)</f>
        <v>7.2</v>
      </c>
      <c r="I152" s="5" t="s">
        <v>31</v>
      </c>
      <c r="J152" s="5" t="str">
        <f aca="false">ROUND(79*1,0)&amp;"%"</f>
        <v>79%</v>
      </c>
    </row>
    <row r="153" customFormat="false" ht="15" hidden="false" customHeight="false" outlineLevel="0" collapsed="false">
      <c r="A153" s="6" t="s">
        <v>7199</v>
      </c>
      <c r="B153" s="6" t="s">
        <v>266</v>
      </c>
      <c r="C153" s="6" t="s">
        <v>133</v>
      </c>
      <c r="D153" s="6" t="s">
        <v>34</v>
      </c>
      <c r="E153" s="6" t="n">
        <f aca="false">ROUND(6275*1.05,2)</f>
        <v>6588.75</v>
      </c>
      <c r="F153" s="6" t="s">
        <v>35</v>
      </c>
      <c r="G153" s="6" t="s">
        <v>18</v>
      </c>
      <c r="H153" s="6" t="n">
        <f aca="true">ROUND(RAND()*4+6,1)</f>
        <v>8.1</v>
      </c>
      <c r="I153" s="6" t="s">
        <v>36</v>
      </c>
      <c r="J153" s="6" t="str">
        <f aca="false">ROUND(87*1,0)&amp;"%"</f>
        <v>87%</v>
      </c>
    </row>
    <row r="154" customFormat="false" ht="15" hidden="false" customHeight="false" outlineLevel="0" collapsed="false">
      <c r="A154" s="5" t="s">
        <v>7200</v>
      </c>
      <c r="B154" s="5" t="s">
        <v>268</v>
      </c>
      <c r="C154" s="5" t="s">
        <v>133</v>
      </c>
      <c r="D154" s="5" t="s">
        <v>39</v>
      </c>
      <c r="E154" s="5" t="n">
        <f aca="false">ROUND(7163*1.05,2)</f>
        <v>7521.15</v>
      </c>
      <c r="F154" s="5" t="s">
        <v>40</v>
      </c>
      <c r="G154" s="5" t="s">
        <v>24</v>
      </c>
      <c r="H154" s="5" t="n">
        <f aca="true">ROUND(RAND()*4+6,1)</f>
        <v>9.2</v>
      </c>
      <c r="I154" s="5" t="s">
        <v>41</v>
      </c>
      <c r="J154" s="5" t="str">
        <f aca="false">ROUND(78*1,0)&amp;"%"</f>
        <v>78%</v>
      </c>
    </row>
    <row r="155" customFormat="false" ht="15" hidden="false" customHeight="false" outlineLevel="0" collapsed="false">
      <c r="A155" s="6" t="s">
        <v>7201</v>
      </c>
      <c r="B155" s="6" t="s">
        <v>270</v>
      </c>
      <c r="C155" s="6" t="s">
        <v>133</v>
      </c>
      <c r="D155" s="6" t="s">
        <v>44</v>
      </c>
      <c r="E155" s="6" t="n">
        <f aca="false">ROUND(16355*1.05,2)</f>
        <v>17172.75</v>
      </c>
      <c r="F155" s="6" t="s">
        <v>45</v>
      </c>
      <c r="G155" s="6" t="s">
        <v>30</v>
      </c>
      <c r="H155" s="6" t="n">
        <f aca="true">ROUND(RAND()*4+6,1)</f>
        <v>7.5</v>
      </c>
      <c r="I155" s="6" t="s">
        <v>46</v>
      </c>
      <c r="J155" s="6" t="str">
        <f aca="false">ROUND(83*1,0)&amp;"%"</f>
        <v>83%</v>
      </c>
    </row>
    <row r="156" customFormat="false" ht="15" hidden="false" customHeight="false" outlineLevel="0" collapsed="false">
      <c r="A156" s="5" t="s">
        <v>7202</v>
      </c>
      <c r="B156" s="5" t="s">
        <v>272</v>
      </c>
      <c r="C156" s="5" t="s">
        <v>133</v>
      </c>
      <c r="D156" s="5" t="s">
        <v>16</v>
      </c>
      <c r="E156" s="5" t="n">
        <f aca="false">ROUND(17829*1.05,2)</f>
        <v>18720.45</v>
      </c>
      <c r="F156" s="5" t="s">
        <v>49</v>
      </c>
      <c r="G156" s="5" t="s">
        <v>18</v>
      </c>
      <c r="H156" s="5" t="n">
        <f aca="true">ROUND(RAND()*4+6,1)</f>
        <v>7.3</v>
      </c>
      <c r="I156" s="5" t="s">
        <v>19</v>
      </c>
      <c r="J156" s="5" t="str">
        <f aca="false">ROUND(74*1,0)&amp;"%"</f>
        <v>74%</v>
      </c>
    </row>
    <row r="157" customFormat="false" ht="15" hidden="false" customHeight="false" outlineLevel="0" collapsed="false">
      <c r="A157" s="6" t="s">
        <v>7203</v>
      </c>
      <c r="B157" s="6" t="s">
        <v>274</v>
      </c>
      <c r="C157" s="6" t="s">
        <v>133</v>
      </c>
      <c r="D157" s="6" t="s">
        <v>22</v>
      </c>
      <c r="E157" s="6" t="n">
        <f aca="false">ROUND(12437*1.05,2)</f>
        <v>13058.85</v>
      </c>
      <c r="F157" s="6" t="s">
        <v>52</v>
      </c>
      <c r="G157" s="6" t="s">
        <v>24</v>
      </c>
      <c r="H157" s="6" t="n">
        <f aca="true">ROUND(RAND()*4+6,1)</f>
        <v>7.4</v>
      </c>
      <c r="I157" s="6" t="s">
        <v>25</v>
      </c>
      <c r="J157" s="6" t="str">
        <f aca="false">ROUND(68*1,0)&amp;"%"</f>
        <v>68%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7204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7205</v>
      </c>
      <c r="B162" s="5" t="s">
        <v>278</v>
      </c>
      <c r="C162" s="5" t="s">
        <v>152</v>
      </c>
      <c r="D162" s="5" t="s">
        <v>16</v>
      </c>
      <c r="E162" s="5" t="n">
        <f aca="false">ROUND(13794*1.05,2)</f>
        <v>14483.7</v>
      </c>
      <c r="F162" s="5" t="s">
        <v>17</v>
      </c>
      <c r="G162" s="5" t="s">
        <v>18</v>
      </c>
      <c r="H162" s="5" t="n">
        <f aca="true">ROUND(RAND()*4+6,1)</f>
        <v>9.5</v>
      </c>
      <c r="I162" s="5" t="s">
        <v>19</v>
      </c>
      <c r="J162" s="5" t="str">
        <f aca="false">ROUND(79*1,0)&amp;"%"</f>
        <v>79%</v>
      </c>
    </row>
    <row r="163" customFormat="false" ht="15" hidden="false" customHeight="false" outlineLevel="0" collapsed="false">
      <c r="A163" s="6" t="s">
        <v>7206</v>
      </c>
      <c r="B163" s="6" t="s">
        <v>280</v>
      </c>
      <c r="C163" s="6" t="s">
        <v>152</v>
      </c>
      <c r="D163" s="6" t="s">
        <v>22</v>
      </c>
      <c r="E163" s="6" t="n">
        <f aca="false">ROUND(10868*1.05,2)</f>
        <v>11411.4</v>
      </c>
      <c r="F163" s="6" t="s">
        <v>23</v>
      </c>
      <c r="G163" s="6" t="s">
        <v>24</v>
      </c>
      <c r="H163" s="6" t="n">
        <f aca="true">ROUND(RAND()*4+6,1)</f>
        <v>6.5</v>
      </c>
      <c r="I163" s="6" t="s">
        <v>25</v>
      </c>
      <c r="J163" s="6" t="str">
        <f aca="false">ROUND(94*1,0)&amp;"%"</f>
        <v>94%</v>
      </c>
    </row>
    <row r="164" customFormat="false" ht="15" hidden="false" customHeight="false" outlineLevel="0" collapsed="false">
      <c r="A164" s="5" t="s">
        <v>7207</v>
      </c>
      <c r="B164" s="5" t="s">
        <v>282</v>
      </c>
      <c r="C164" s="5" t="s">
        <v>152</v>
      </c>
      <c r="D164" s="5" t="s">
        <v>28</v>
      </c>
      <c r="E164" s="5" t="n">
        <f aca="false">ROUND(10014*1.05,2)</f>
        <v>10514.7</v>
      </c>
      <c r="F164" s="5" t="s">
        <v>29</v>
      </c>
      <c r="G164" s="5" t="s">
        <v>30</v>
      </c>
      <c r="H164" s="5" t="n">
        <f aca="true">ROUND(RAND()*4+6,1)</f>
        <v>7.3</v>
      </c>
      <c r="I164" s="5" t="s">
        <v>31</v>
      </c>
      <c r="J164" s="5" t="str">
        <f aca="false">ROUND(73*1,0)&amp;"%"</f>
        <v>73%</v>
      </c>
    </row>
    <row r="165" customFormat="false" ht="15" hidden="false" customHeight="false" outlineLevel="0" collapsed="false">
      <c r="A165" s="6" t="s">
        <v>7208</v>
      </c>
      <c r="B165" s="6" t="s">
        <v>284</v>
      </c>
      <c r="C165" s="6" t="s">
        <v>152</v>
      </c>
      <c r="D165" s="6" t="s">
        <v>34</v>
      </c>
      <c r="E165" s="6" t="n">
        <f aca="false">ROUND(17326*1.05,2)</f>
        <v>18192.3</v>
      </c>
      <c r="F165" s="6" t="s">
        <v>35</v>
      </c>
      <c r="G165" s="6" t="s">
        <v>18</v>
      </c>
      <c r="H165" s="6" t="n">
        <f aca="true">ROUND(RAND()*4+6,1)</f>
        <v>6.5</v>
      </c>
      <c r="I165" s="6" t="s">
        <v>36</v>
      </c>
      <c r="J165" s="6" t="str">
        <f aca="false">ROUND(76*1,0)&amp;"%"</f>
        <v>76%</v>
      </c>
    </row>
    <row r="166" customFormat="false" ht="15" hidden="false" customHeight="false" outlineLevel="0" collapsed="false">
      <c r="A166" s="5" t="s">
        <v>7209</v>
      </c>
      <c r="B166" s="5" t="s">
        <v>286</v>
      </c>
      <c r="C166" s="5" t="s">
        <v>152</v>
      </c>
      <c r="D166" s="5" t="s">
        <v>39</v>
      </c>
      <c r="E166" s="5" t="n">
        <f aca="false">ROUND(8825*1.05,2)</f>
        <v>9266.25</v>
      </c>
      <c r="F166" s="5" t="s">
        <v>40</v>
      </c>
      <c r="G166" s="5" t="s">
        <v>24</v>
      </c>
      <c r="H166" s="5" t="n">
        <f aca="true">ROUND(RAND()*4+6,1)</f>
        <v>10</v>
      </c>
      <c r="I166" s="5" t="s">
        <v>41</v>
      </c>
      <c r="J166" s="5" t="str">
        <f aca="false">ROUND(60*1,0)&amp;"%"</f>
        <v>60%</v>
      </c>
    </row>
    <row r="167" customFormat="false" ht="15" hidden="false" customHeight="false" outlineLevel="0" collapsed="false">
      <c r="A167" s="6" t="s">
        <v>7210</v>
      </c>
      <c r="B167" s="6" t="s">
        <v>288</v>
      </c>
      <c r="C167" s="6" t="s">
        <v>152</v>
      </c>
      <c r="D167" s="6" t="s">
        <v>44</v>
      </c>
      <c r="E167" s="6" t="n">
        <f aca="false">ROUND(9864*1.05,2)</f>
        <v>10357.2</v>
      </c>
      <c r="F167" s="6" t="s">
        <v>45</v>
      </c>
      <c r="G167" s="6" t="s">
        <v>30</v>
      </c>
      <c r="H167" s="6" t="n">
        <f aca="true">ROUND(RAND()*4+6,1)</f>
        <v>9.6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7211</v>
      </c>
      <c r="B168" s="5" t="s">
        <v>290</v>
      </c>
      <c r="C168" s="5" t="s">
        <v>152</v>
      </c>
      <c r="D168" s="5" t="s">
        <v>16</v>
      </c>
      <c r="E168" s="5" t="n">
        <f aca="false">ROUND(10584*1.05,2)</f>
        <v>11113.2</v>
      </c>
      <c r="F168" s="5" t="s">
        <v>49</v>
      </c>
      <c r="G168" s="5" t="s">
        <v>18</v>
      </c>
      <c r="H168" s="5" t="n">
        <f aca="true">ROUND(RAND()*4+6,1)</f>
        <v>8.8</v>
      </c>
      <c r="I168" s="5" t="s">
        <v>19</v>
      </c>
      <c r="J168" s="5" t="str">
        <f aca="false">ROUND(63*1,0)&amp;"%"</f>
        <v>63%</v>
      </c>
    </row>
    <row r="169" customFormat="false" ht="15" hidden="false" customHeight="false" outlineLevel="0" collapsed="false">
      <c r="A169" s="6" t="s">
        <v>7212</v>
      </c>
      <c r="B169" s="6" t="s">
        <v>292</v>
      </c>
      <c r="C169" s="6" t="s">
        <v>152</v>
      </c>
      <c r="D169" s="6" t="s">
        <v>22</v>
      </c>
      <c r="E169" s="6" t="n">
        <f aca="false">ROUND(9046*1.05,2)</f>
        <v>9498.3</v>
      </c>
      <c r="F169" s="6" t="s">
        <v>52</v>
      </c>
      <c r="G169" s="6" t="s">
        <v>24</v>
      </c>
      <c r="H169" s="6" t="n">
        <f aca="true">ROUND(RAND()*4+6,1)</f>
        <v>9.3</v>
      </c>
      <c r="I169" s="6" t="s">
        <v>25</v>
      </c>
      <c r="J169" s="6" t="str">
        <f aca="false">ROUND(77*1,0)&amp;"%"</f>
        <v>77%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7213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7214</v>
      </c>
      <c r="B174" s="5" t="s">
        <v>296</v>
      </c>
      <c r="C174" s="5" t="s">
        <v>15</v>
      </c>
      <c r="D174" s="5" t="s">
        <v>16</v>
      </c>
      <c r="E174" s="5" t="n">
        <f aca="false">ROUND(14658*1.05,2)</f>
        <v>15390.9</v>
      </c>
      <c r="F174" s="5" t="s">
        <v>17</v>
      </c>
      <c r="G174" s="5" t="s">
        <v>18</v>
      </c>
      <c r="H174" s="5" t="n">
        <f aca="true">ROUND(RAND()*4+6,1)</f>
        <v>8.1</v>
      </c>
      <c r="I174" s="5" t="s">
        <v>19</v>
      </c>
      <c r="J174" s="5" t="str">
        <f aca="false">ROUND(83*1,0)&amp;"%"</f>
        <v>83%</v>
      </c>
    </row>
    <row r="175" customFormat="false" ht="15" hidden="false" customHeight="false" outlineLevel="0" collapsed="false">
      <c r="A175" s="6" t="s">
        <v>7215</v>
      </c>
      <c r="B175" s="6" t="s">
        <v>298</v>
      </c>
      <c r="C175" s="6" t="s">
        <v>15</v>
      </c>
      <c r="D175" s="6" t="s">
        <v>22</v>
      </c>
      <c r="E175" s="6" t="n">
        <f aca="false">ROUND(17494*1.05,2)</f>
        <v>18368.7</v>
      </c>
      <c r="F175" s="6" t="s">
        <v>23</v>
      </c>
      <c r="G175" s="6" t="s">
        <v>24</v>
      </c>
      <c r="H175" s="6" t="n">
        <f aca="true">ROUND(RAND()*4+6,1)</f>
        <v>8</v>
      </c>
      <c r="I175" s="6" t="s">
        <v>25</v>
      </c>
      <c r="J175" s="6" t="str">
        <f aca="false">ROUND(95*1,0)&amp;"%"</f>
        <v>95%</v>
      </c>
    </row>
    <row r="176" customFormat="false" ht="15" hidden="false" customHeight="false" outlineLevel="0" collapsed="false">
      <c r="A176" s="5" t="s">
        <v>7216</v>
      </c>
      <c r="B176" s="5" t="s">
        <v>300</v>
      </c>
      <c r="C176" s="5" t="s">
        <v>15</v>
      </c>
      <c r="D176" s="5" t="s">
        <v>28</v>
      </c>
      <c r="E176" s="5" t="n">
        <f aca="false">ROUND(7235*1.05,2)</f>
        <v>7596.75</v>
      </c>
      <c r="F176" s="5" t="s">
        <v>29</v>
      </c>
      <c r="G176" s="5" t="s">
        <v>30</v>
      </c>
      <c r="H176" s="5" t="n">
        <f aca="true">ROUND(RAND()*4+6,1)</f>
        <v>6.5</v>
      </c>
      <c r="I176" s="5" t="s">
        <v>31</v>
      </c>
      <c r="J176" s="5" t="str">
        <f aca="false">ROUND(96*1,0)&amp;"%"</f>
        <v>96%</v>
      </c>
    </row>
    <row r="177" customFormat="false" ht="15" hidden="false" customHeight="false" outlineLevel="0" collapsed="false">
      <c r="A177" s="6" t="s">
        <v>7217</v>
      </c>
      <c r="B177" s="6" t="s">
        <v>302</v>
      </c>
      <c r="C177" s="6" t="s">
        <v>15</v>
      </c>
      <c r="D177" s="6" t="s">
        <v>34</v>
      </c>
      <c r="E177" s="6" t="n">
        <f aca="false">ROUND(10174*1.05,2)</f>
        <v>10682.7</v>
      </c>
      <c r="F177" s="6" t="s">
        <v>35</v>
      </c>
      <c r="G177" s="6" t="s">
        <v>18</v>
      </c>
      <c r="H177" s="6" t="n">
        <f aca="true">ROUND(RAND()*4+6,1)</f>
        <v>8.3</v>
      </c>
      <c r="I177" s="6" t="s">
        <v>36</v>
      </c>
      <c r="J177" s="6" t="str">
        <f aca="false">ROUND(98*1,0)&amp;"%"</f>
        <v>98%</v>
      </c>
    </row>
    <row r="178" customFormat="false" ht="15" hidden="false" customHeight="false" outlineLevel="0" collapsed="false">
      <c r="A178" s="5" t="s">
        <v>7218</v>
      </c>
      <c r="B178" s="5" t="s">
        <v>304</v>
      </c>
      <c r="C178" s="5" t="s">
        <v>15</v>
      </c>
      <c r="D178" s="5" t="s">
        <v>39</v>
      </c>
      <c r="E178" s="5" t="n">
        <f aca="false">ROUND(12796*1.05,2)</f>
        <v>13435.8</v>
      </c>
      <c r="F178" s="5" t="s">
        <v>40</v>
      </c>
      <c r="G178" s="5" t="s">
        <v>24</v>
      </c>
      <c r="H178" s="5" t="n">
        <f aca="true">ROUND(RAND()*4+6,1)</f>
        <v>6.6</v>
      </c>
      <c r="I178" s="5" t="s">
        <v>41</v>
      </c>
      <c r="J178" s="5" t="str">
        <f aca="false">ROUND(74*1,0)&amp;"%"</f>
        <v>74%</v>
      </c>
    </row>
    <row r="179" customFormat="false" ht="15" hidden="false" customHeight="false" outlineLevel="0" collapsed="false">
      <c r="A179" s="6" t="s">
        <v>7219</v>
      </c>
      <c r="B179" s="6" t="s">
        <v>306</v>
      </c>
      <c r="C179" s="6" t="s">
        <v>15</v>
      </c>
      <c r="D179" s="6" t="s">
        <v>44</v>
      </c>
      <c r="E179" s="6" t="n">
        <f aca="false">ROUND(8407*1.05,2)</f>
        <v>8827.35</v>
      </c>
      <c r="F179" s="6" t="s">
        <v>45</v>
      </c>
      <c r="G179" s="6" t="s">
        <v>30</v>
      </c>
      <c r="H179" s="6" t="n">
        <f aca="true">ROUND(RAND()*4+6,1)</f>
        <v>9.4</v>
      </c>
      <c r="I179" s="6" t="s">
        <v>46</v>
      </c>
      <c r="J179" s="6" t="str">
        <f aca="false">ROUND(67*1,0)&amp;"%"</f>
        <v>67%</v>
      </c>
    </row>
    <row r="180" customFormat="false" ht="15" hidden="false" customHeight="false" outlineLevel="0" collapsed="false">
      <c r="A180" s="5" t="s">
        <v>7220</v>
      </c>
      <c r="B180" s="5" t="s">
        <v>308</v>
      </c>
      <c r="C180" s="5" t="s">
        <v>15</v>
      </c>
      <c r="D180" s="5" t="s">
        <v>16</v>
      </c>
      <c r="E180" s="5" t="n">
        <f aca="false">ROUND(14036*1.05,2)</f>
        <v>14737.8</v>
      </c>
      <c r="F180" s="5" t="s">
        <v>49</v>
      </c>
      <c r="G180" s="5" t="s">
        <v>18</v>
      </c>
      <c r="H180" s="5" t="n">
        <f aca="true">ROUND(RAND()*4+6,1)</f>
        <v>6.9</v>
      </c>
      <c r="I180" s="5" t="s">
        <v>19</v>
      </c>
      <c r="J180" s="5" t="str">
        <f aca="false">ROUND(70*1,0)&amp;"%"</f>
        <v>70%</v>
      </c>
    </row>
    <row r="181" customFormat="false" ht="15" hidden="false" customHeight="false" outlineLevel="0" collapsed="false">
      <c r="A181" s="6" t="s">
        <v>7221</v>
      </c>
      <c r="B181" s="6" t="s">
        <v>310</v>
      </c>
      <c r="C181" s="6" t="s">
        <v>15</v>
      </c>
      <c r="D181" s="6" t="s">
        <v>22</v>
      </c>
      <c r="E181" s="6" t="n">
        <f aca="false">ROUND(16571*1.05,2)</f>
        <v>17399.55</v>
      </c>
      <c r="F181" s="6" t="s">
        <v>52</v>
      </c>
      <c r="G181" s="6" t="s">
        <v>24</v>
      </c>
      <c r="H181" s="6" t="n">
        <f aca="true">ROUND(RAND()*4+6,1)</f>
        <v>6.7</v>
      </c>
      <c r="I181" s="6" t="s">
        <v>25</v>
      </c>
      <c r="J181" s="6" t="str">
        <f aca="false">ROUND(85*1,0)&amp;"%"</f>
        <v>85%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7222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7223</v>
      </c>
      <c r="B186" s="5" t="s">
        <v>314</v>
      </c>
      <c r="C186" s="5" t="s">
        <v>57</v>
      </c>
      <c r="D186" s="5" t="s">
        <v>16</v>
      </c>
      <c r="E186" s="5" t="n">
        <f aca="false">ROUND(11949*1.05,2)</f>
        <v>12546.45</v>
      </c>
      <c r="F186" s="5" t="s">
        <v>17</v>
      </c>
      <c r="G186" s="5" t="s">
        <v>18</v>
      </c>
      <c r="H186" s="5" t="n">
        <f aca="true">ROUND(RAND()*4+6,1)</f>
        <v>6.9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7224</v>
      </c>
      <c r="B187" s="6" t="s">
        <v>316</v>
      </c>
      <c r="C187" s="6" t="s">
        <v>57</v>
      </c>
      <c r="D187" s="6" t="s">
        <v>22</v>
      </c>
      <c r="E187" s="6" t="n">
        <f aca="false">ROUND(17813*1.05,2)</f>
        <v>18703.65</v>
      </c>
      <c r="F187" s="6" t="s">
        <v>23</v>
      </c>
      <c r="G187" s="6" t="s">
        <v>24</v>
      </c>
      <c r="H187" s="6" t="n">
        <f aca="true">ROUND(RAND()*4+6,1)</f>
        <v>8.2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7225</v>
      </c>
      <c r="B188" s="5" t="s">
        <v>318</v>
      </c>
      <c r="C188" s="5" t="s">
        <v>57</v>
      </c>
      <c r="D188" s="5" t="s">
        <v>28</v>
      </c>
      <c r="E188" s="5" t="n">
        <f aca="false">ROUND(9647*1.05,2)</f>
        <v>10129.35</v>
      </c>
      <c r="F188" s="5" t="s">
        <v>29</v>
      </c>
      <c r="G188" s="5" t="s">
        <v>30</v>
      </c>
      <c r="H188" s="5" t="n">
        <f aca="true">ROUND(RAND()*4+6,1)</f>
        <v>9.2</v>
      </c>
      <c r="I188" s="5" t="s">
        <v>31</v>
      </c>
      <c r="J188" s="5" t="str">
        <f aca="false">ROUND(100*1,0)&amp;"%"</f>
        <v>100%</v>
      </c>
    </row>
    <row r="189" customFormat="false" ht="15" hidden="false" customHeight="false" outlineLevel="0" collapsed="false">
      <c r="A189" s="6" t="s">
        <v>7226</v>
      </c>
      <c r="B189" s="6" t="s">
        <v>320</v>
      </c>
      <c r="C189" s="6" t="s">
        <v>57</v>
      </c>
      <c r="D189" s="6" t="s">
        <v>34</v>
      </c>
      <c r="E189" s="6" t="n">
        <f aca="false">ROUND(4528*1.05,2)</f>
        <v>4754.4</v>
      </c>
      <c r="F189" s="6" t="s">
        <v>35</v>
      </c>
      <c r="G189" s="6" t="s">
        <v>18</v>
      </c>
      <c r="H189" s="6" t="n">
        <f aca="true">ROUND(RAND()*4+6,1)</f>
        <v>9.8</v>
      </c>
      <c r="I189" s="6" t="s">
        <v>36</v>
      </c>
      <c r="J189" s="6" t="str">
        <f aca="false">ROUND(76*1,0)&amp;"%"</f>
        <v>76%</v>
      </c>
    </row>
    <row r="190" customFormat="false" ht="15" hidden="false" customHeight="false" outlineLevel="0" collapsed="false">
      <c r="A190" s="5" t="s">
        <v>7227</v>
      </c>
      <c r="B190" s="5" t="s">
        <v>322</v>
      </c>
      <c r="C190" s="5" t="s">
        <v>57</v>
      </c>
      <c r="D190" s="5" t="s">
        <v>39</v>
      </c>
      <c r="E190" s="5" t="n">
        <f aca="false">ROUND(15338*1.05,2)</f>
        <v>16104.9</v>
      </c>
      <c r="F190" s="5" t="s">
        <v>40</v>
      </c>
      <c r="G190" s="5" t="s">
        <v>24</v>
      </c>
      <c r="H190" s="5" t="n">
        <f aca="true">ROUND(RAND()*4+6,1)</f>
        <v>9.4</v>
      </c>
      <c r="I190" s="5" t="s">
        <v>41</v>
      </c>
      <c r="J190" s="5" t="str">
        <f aca="false">ROUND(96*1,0)&amp;"%"</f>
        <v>96%</v>
      </c>
    </row>
    <row r="191" customFormat="false" ht="15" hidden="false" customHeight="false" outlineLevel="0" collapsed="false">
      <c r="A191" s="6" t="s">
        <v>7228</v>
      </c>
      <c r="B191" s="6" t="s">
        <v>324</v>
      </c>
      <c r="C191" s="6" t="s">
        <v>57</v>
      </c>
      <c r="D191" s="6" t="s">
        <v>44</v>
      </c>
      <c r="E191" s="6" t="n">
        <f aca="false">ROUND(11071*1.05,2)</f>
        <v>11624.55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ROUND(86*1,0)&amp;"%"</f>
        <v>86%</v>
      </c>
    </row>
    <row r="192" customFormat="false" ht="15" hidden="false" customHeight="false" outlineLevel="0" collapsed="false">
      <c r="A192" s="5" t="s">
        <v>7229</v>
      </c>
      <c r="B192" s="5" t="s">
        <v>326</v>
      </c>
      <c r="C192" s="5" t="s">
        <v>57</v>
      </c>
      <c r="D192" s="5" t="s">
        <v>16</v>
      </c>
      <c r="E192" s="5" t="n">
        <f aca="false">ROUND(15311*1.05,2)</f>
        <v>16076.55</v>
      </c>
      <c r="F192" s="5" t="s">
        <v>49</v>
      </c>
      <c r="G192" s="5" t="s">
        <v>18</v>
      </c>
      <c r="H192" s="5" t="n">
        <f aca="true">ROUND(RAND()*4+6,1)</f>
        <v>7.6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7230</v>
      </c>
      <c r="B193" s="6" t="s">
        <v>328</v>
      </c>
      <c r="C193" s="6" t="s">
        <v>57</v>
      </c>
      <c r="D193" s="6" t="s">
        <v>22</v>
      </c>
      <c r="E193" s="6" t="n">
        <f aca="false">ROUND(14433*1.05,2)</f>
        <v>15154.65</v>
      </c>
      <c r="F193" s="6" t="s">
        <v>52</v>
      </c>
      <c r="G193" s="6" t="s">
        <v>24</v>
      </c>
      <c r="H193" s="6" t="n">
        <f aca="true">ROUND(RAND()*4+6,1)</f>
        <v>10</v>
      </c>
      <c r="I193" s="6" t="s">
        <v>25</v>
      </c>
      <c r="J193" s="6" t="str">
        <f aca="false">ROUND(80*1,0)&amp;"%"</f>
        <v>80%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7231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7232</v>
      </c>
      <c r="B198" s="5" t="s">
        <v>332</v>
      </c>
      <c r="C198" s="5" t="s">
        <v>76</v>
      </c>
      <c r="D198" s="5" t="s">
        <v>16</v>
      </c>
      <c r="E198" s="5" t="n">
        <f aca="false">ROUND(6319*1.05,2)</f>
        <v>6634.95</v>
      </c>
      <c r="F198" s="5" t="s">
        <v>17</v>
      </c>
      <c r="G198" s="5" t="s">
        <v>18</v>
      </c>
      <c r="H198" s="5" t="n">
        <f aca="true">ROUND(RAND()*4+6,1)</f>
        <v>7.4</v>
      </c>
      <c r="I198" s="5" t="s">
        <v>19</v>
      </c>
      <c r="J198" s="5" t="str">
        <f aca="false">ROUND(63*1,0)&amp;"%"</f>
        <v>63%</v>
      </c>
    </row>
    <row r="199" customFormat="false" ht="15" hidden="false" customHeight="false" outlineLevel="0" collapsed="false">
      <c r="A199" s="6" t="s">
        <v>7233</v>
      </c>
      <c r="B199" s="6" t="s">
        <v>334</v>
      </c>
      <c r="C199" s="6" t="s">
        <v>76</v>
      </c>
      <c r="D199" s="6" t="s">
        <v>22</v>
      </c>
      <c r="E199" s="6" t="n">
        <f aca="false">ROUND(15513*1.05,2)</f>
        <v>16288.65</v>
      </c>
      <c r="F199" s="6" t="s">
        <v>23</v>
      </c>
      <c r="G199" s="6" t="s">
        <v>24</v>
      </c>
      <c r="H199" s="6" t="n">
        <f aca="true">ROUND(RAND()*4+6,1)</f>
        <v>8.4</v>
      </c>
      <c r="I199" s="6" t="s">
        <v>25</v>
      </c>
      <c r="J199" s="6" t="str">
        <f aca="false">ROUND(83*1,0)&amp;"%"</f>
        <v>83%</v>
      </c>
    </row>
    <row r="200" customFormat="false" ht="15" hidden="false" customHeight="false" outlineLevel="0" collapsed="false">
      <c r="A200" s="5" t="s">
        <v>7234</v>
      </c>
      <c r="B200" s="5" t="s">
        <v>336</v>
      </c>
      <c r="C200" s="5" t="s">
        <v>76</v>
      </c>
      <c r="D200" s="5" t="s">
        <v>28</v>
      </c>
      <c r="E200" s="5" t="n">
        <f aca="false">ROUND(8863*1.05,2)</f>
        <v>9306.15</v>
      </c>
      <c r="F200" s="5" t="s">
        <v>29</v>
      </c>
      <c r="G200" s="5" t="s">
        <v>30</v>
      </c>
      <c r="H200" s="5" t="n">
        <f aca="true">ROUND(RAND()*4+6,1)</f>
        <v>6.3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7235</v>
      </c>
      <c r="B201" s="6" t="s">
        <v>338</v>
      </c>
      <c r="C201" s="6" t="s">
        <v>76</v>
      </c>
      <c r="D201" s="6" t="s">
        <v>34</v>
      </c>
      <c r="E201" s="6" t="n">
        <f aca="false">ROUND(9580*1.05,2)</f>
        <v>10059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ROUND(100*1,0)&amp;"%"</f>
        <v>100%</v>
      </c>
    </row>
    <row r="202" customFormat="false" ht="15" hidden="false" customHeight="false" outlineLevel="0" collapsed="false">
      <c r="A202" s="5" t="s">
        <v>7236</v>
      </c>
      <c r="B202" s="5" t="s">
        <v>340</v>
      </c>
      <c r="C202" s="5" t="s">
        <v>76</v>
      </c>
      <c r="D202" s="5" t="s">
        <v>39</v>
      </c>
      <c r="E202" s="5" t="n">
        <f aca="false">ROUND(15373*1.05,2)</f>
        <v>16141.65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ROUND(76*1,0)&amp;"%"</f>
        <v>76%</v>
      </c>
    </row>
    <row r="203" customFormat="false" ht="15" hidden="false" customHeight="false" outlineLevel="0" collapsed="false">
      <c r="A203" s="6" t="s">
        <v>7237</v>
      </c>
      <c r="B203" s="6" t="s">
        <v>342</v>
      </c>
      <c r="C203" s="6" t="s">
        <v>76</v>
      </c>
      <c r="D203" s="6" t="s">
        <v>44</v>
      </c>
      <c r="E203" s="6" t="n">
        <f aca="false">ROUND(7389*1.05,2)</f>
        <v>7758.45</v>
      </c>
      <c r="F203" s="6" t="s">
        <v>45</v>
      </c>
      <c r="G203" s="6" t="s">
        <v>30</v>
      </c>
      <c r="H203" s="6" t="n">
        <f aca="true">ROUND(RAND()*4+6,1)</f>
        <v>8.3</v>
      </c>
      <c r="I203" s="6" t="s">
        <v>46</v>
      </c>
      <c r="J203" s="6" t="str">
        <f aca="false">ROUND(94*1,0)&amp;"%"</f>
        <v>94%</v>
      </c>
    </row>
    <row r="204" customFormat="false" ht="15" hidden="false" customHeight="false" outlineLevel="0" collapsed="false">
      <c r="A204" s="5" t="s">
        <v>7238</v>
      </c>
      <c r="B204" s="5" t="s">
        <v>344</v>
      </c>
      <c r="C204" s="5" t="s">
        <v>76</v>
      </c>
      <c r="D204" s="5" t="s">
        <v>16</v>
      </c>
      <c r="E204" s="5" t="n">
        <f aca="false">ROUND(16750*1.05,2)</f>
        <v>17587.5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ROUND(73*1,0)&amp;"%"</f>
        <v>73%</v>
      </c>
    </row>
    <row r="205" customFormat="false" ht="15" hidden="false" customHeight="false" outlineLevel="0" collapsed="false">
      <c r="A205" s="6" t="s">
        <v>7239</v>
      </c>
      <c r="B205" s="6" t="s">
        <v>346</v>
      </c>
      <c r="C205" s="6" t="s">
        <v>76</v>
      </c>
      <c r="D205" s="6" t="s">
        <v>22</v>
      </c>
      <c r="E205" s="6" t="n">
        <f aca="false">ROUND(7252*1.05,2)</f>
        <v>7614.6</v>
      </c>
      <c r="F205" s="6" t="s">
        <v>52</v>
      </c>
      <c r="G205" s="6" t="s">
        <v>24</v>
      </c>
      <c r="H205" s="6" t="n">
        <f aca="true">ROUND(RAND()*4+6,1)</f>
        <v>8.5</v>
      </c>
      <c r="I205" s="6" t="s">
        <v>25</v>
      </c>
      <c r="J205" s="6" t="str">
        <f aca="false">ROUND(66*1,0)&amp;"%"</f>
        <v>66%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7240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7241</v>
      </c>
      <c r="B210" s="5" t="s">
        <v>350</v>
      </c>
      <c r="C210" s="5" t="s">
        <v>95</v>
      </c>
      <c r="D210" s="5" t="s">
        <v>16</v>
      </c>
      <c r="E210" s="5" t="n">
        <f aca="false">ROUND(17507*1.05,2)</f>
        <v>18382.35</v>
      </c>
      <c r="F210" s="5" t="s">
        <v>17</v>
      </c>
      <c r="G210" s="5" t="s">
        <v>18</v>
      </c>
      <c r="H210" s="5" t="n">
        <f aca="true">ROUND(RAND()*4+6,1)</f>
        <v>9.8</v>
      </c>
      <c r="I210" s="5" t="s">
        <v>19</v>
      </c>
      <c r="J210" s="5" t="str">
        <f aca="false">ROUND(98*1,0)&amp;"%"</f>
        <v>98%</v>
      </c>
    </row>
    <row r="211" customFormat="false" ht="15" hidden="false" customHeight="false" outlineLevel="0" collapsed="false">
      <c r="A211" s="6" t="s">
        <v>7242</v>
      </c>
      <c r="B211" s="6" t="s">
        <v>352</v>
      </c>
      <c r="C211" s="6" t="s">
        <v>95</v>
      </c>
      <c r="D211" s="6" t="s">
        <v>22</v>
      </c>
      <c r="E211" s="6" t="n">
        <f aca="false">ROUND(10617*1.05,2)</f>
        <v>11147.85</v>
      </c>
      <c r="F211" s="6" t="s">
        <v>23</v>
      </c>
      <c r="G211" s="6" t="s">
        <v>24</v>
      </c>
      <c r="H211" s="6" t="n">
        <f aca="true">ROUND(RAND()*4+6,1)</f>
        <v>9.3</v>
      </c>
      <c r="I211" s="6" t="s">
        <v>25</v>
      </c>
      <c r="J211" s="6" t="str">
        <f aca="false">ROUND(97*1,0)&amp;"%"</f>
        <v>97%</v>
      </c>
    </row>
    <row r="212" customFormat="false" ht="15" hidden="false" customHeight="false" outlineLevel="0" collapsed="false">
      <c r="A212" s="5" t="s">
        <v>7243</v>
      </c>
      <c r="B212" s="5" t="s">
        <v>354</v>
      </c>
      <c r="C212" s="5" t="s">
        <v>95</v>
      </c>
      <c r="D212" s="5" t="s">
        <v>28</v>
      </c>
      <c r="E212" s="5" t="n">
        <f aca="false">ROUND(8232*1.05,2)</f>
        <v>8643.6</v>
      </c>
      <c r="F212" s="5" t="s">
        <v>29</v>
      </c>
      <c r="G212" s="5" t="s">
        <v>30</v>
      </c>
      <c r="H212" s="5" t="n">
        <f aca="true">ROUND(RAND()*4+6,1)</f>
        <v>8.7</v>
      </c>
      <c r="I212" s="5" t="s">
        <v>31</v>
      </c>
      <c r="J212" s="5" t="str">
        <f aca="false">ROUND(82*1,0)&amp;"%"</f>
        <v>82%</v>
      </c>
    </row>
    <row r="213" customFormat="false" ht="15" hidden="false" customHeight="false" outlineLevel="0" collapsed="false">
      <c r="A213" s="6" t="s">
        <v>7244</v>
      </c>
      <c r="B213" s="6" t="s">
        <v>356</v>
      </c>
      <c r="C213" s="6" t="s">
        <v>95</v>
      </c>
      <c r="D213" s="6" t="s">
        <v>34</v>
      </c>
      <c r="E213" s="6" t="n">
        <f aca="false">ROUND(11434*1.05,2)</f>
        <v>12005.7</v>
      </c>
      <c r="F213" s="6" t="s">
        <v>35</v>
      </c>
      <c r="G213" s="6" t="s">
        <v>18</v>
      </c>
      <c r="H213" s="6" t="n">
        <f aca="true">ROUND(RAND()*4+6,1)</f>
        <v>7.1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7245</v>
      </c>
      <c r="B214" s="5" t="s">
        <v>358</v>
      </c>
      <c r="C214" s="5" t="s">
        <v>95</v>
      </c>
      <c r="D214" s="5" t="s">
        <v>39</v>
      </c>
      <c r="E214" s="5" t="n">
        <f aca="false">ROUND(12104*1.05,2)</f>
        <v>12709.2</v>
      </c>
      <c r="F214" s="5" t="s">
        <v>40</v>
      </c>
      <c r="G214" s="5" t="s">
        <v>24</v>
      </c>
      <c r="H214" s="5" t="n">
        <f aca="true">ROUND(RAND()*4+6,1)</f>
        <v>7.8</v>
      </c>
      <c r="I214" s="5" t="s">
        <v>41</v>
      </c>
      <c r="J214" s="5" t="str">
        <f aca="false">ROUND(82*1,0)&amp;"%"</f>
        <v>82%</v>
      </c>
    </row>
    <row r="215" customFormat="false" ht="15" hidden="false" customHeight="false" outlineLevel="0" collapsed="false">
      <c r="A215" s="6" t="s">
        <v>7246</v>
      </c>
      <c r="B215" s="6" t="s">
        <v>360</v>
      </c>
      <c r="C215" s="6" t="s">
        <v>95</v>
      </c>
      <c r="D215" s="6" t="s">
        <v>44</v>
      </c>
      <c r="E215" s="6" t="n">
        <f aca="false">ROUND(13662*1.05,2)</f>
        <v>14345.1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ROUND(82*1,0)&amp;"%"</f>
        <v>82%</v>
      </c>
    </row>
    <row r="216" customFormat="false" ht="15" hidden="false" customHeight="false" outlineLevel="0" collapsed="false">
      <c r="A216" s="5" t="s">
        <v>7247</v>
      </c>
      <c r="B216" s="5" t="s">
        <v>362</v>
      </c>
      <c r="C216" s="5" t="s">
        <v>95</v>
      </c>
      <c r="D216" s="5" t="s">
        <v>16</v>
      </c>
      <c r="E216" s="5" t="n">
        <f aca="false">ROUND(16321*1.05,2)</f>
        <v>17137.05</v>
      </c>
      <c r="F216" s="5" t="s">
        <v>49</v>
      </c>
      <c r="G216" s="5" t="s">
        <v>18</v>
      </c>
      <c r="H216" s="5" t="n">
        <f aca="true">ROUND(RAND()*4+6,1)</f>
        <v>9.4</v>
      </c>
      <c r="I216" s="5" t="s">
        <v>19</v>
      </c>
      <c r="J216" s="5" t="str">
        <f aca="false">ROUND(81*1,0)&amp;"%"</f>
        <v>81%</v>
      </c>
    </row>
    <row r="217" customFormat="false" ht="15" hidden="false" customHeight="false" outlineLevel="0" collapsed="false">
      <c r="A217" s="6" t="s">
        <v>7248</v>
      </c>
      <c r="B217" s="6" t="s">
        <v>364</v>
      </c>
      <c r="C217" s="6" t="s">
        <v>95</v>
      </c>
      <c r="D217" s="6" t="s">
        <v>22</v>
      </c>
      <c r="E217" s="6" t="n">
        <f aca="false">ROUND(12244*1.05,2)</f>
        <v>12856.2</v>
      </c>
      <c r="F217" s="6" t="s">
        <v>52</v>
      </c>
      <c r="G217" s="6" t="s">
        <v>24</v>
      </c>
      <c r="H217" s="6" t="n">
        <f aca="true">ROUND(RAND()*4+6,1)</f>
        <v>8.3</v>
      </c>
      <c r="I217" s="6" t="s">
        <v>25</v>
      </c>
      <c r="J217" s="6" t="str">
        <f aca="false">ROUND(94*1,0)&amp;"%"</f>
        <v>94%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7249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7250</v>
      </c>
      <c r="B222" s="5" t="s">
        <v>368</v>
      </c>
      <c r="C222" s="5" t="s">
        <v>114</v>
      </c>
      <c r="D222" s="5" t="s">
        <v>16</v>
      </c>
      <c r="E222" s="5" t="n">
        <f aca="false">ROUND(16934*1.05,2)</f>
        <v>17780.7</v>
      </c>
      <c r="F222" s="5" t="s">
        <v>17</v>
      </c>
      <c r="G222" s="5" t="s">
        <v>18</v>
      </c>
      <c r="H222" s="5" t="n">
        <f aca="true">ROUND(RAND()*4+6,1)</f>
        <v>6.1</v>
      </c>
      <c r="I222" s="5" t="s">
        <v>19</v>
      </c>
      <c r="J222" s="5" t="str">
        <f aca="false">ROUND(98*1,0)&amp;"%"</f>
        <v>98%</v>
      </c>
    </row>
    <row r="223" customFormat="false" ht="15" hidden="false" customHeight="false" outlineLevel="0" collapsed="false">
      <c r="A223" s="6" t="s">
        <v>7251</v>
      </c>
      <c r="B223" s="6" t="s">
        <v>370</v>
      </c>
      <c r="C223" s="6" t="s">
        <v>114</v>
      </c>
      <c r="D223" s="6" t="s">
        <v>22</v>
      </c>
      <c r="E223" s="6" t="n">
        <f aca="false">ROUND(12751*1.05,2)</f>
        <v>13388.55</v>
      </c>
      <c r="F223" s="6" t="s">
        <v>23</v>
      </c>
      <c r="G223" s="6" t="s">
        <v>24</v>
      </c>
      <c r="H223" s="6" t="n">
        <f aca="true">ROUND(RAND()*4+6,1)</f>
        <v>9.2</v>
      </c>
      <c r="I223" s="6" t="s">
        <v>25</v>
      </c>
      <c r="J223" s="6" t="str">
        <f aca="false">ROUND(60*1,0)&amp;"%"</f>
        <v>60%</v>
      </c>
    </row>
    <row r="224" customFormat="false" ht="15" hidden="false" customHeight="false" outlineLevel="0" collapsed="false">
      <c r="A224" s="5" t="s">
        <v>7252</v>
      </c>
      <c r="B224" s="5" t="s">
        <v>372</v>
      </c>
      <c r="C224" s="5" t="s">
        <v>114</v>
      </c>
      <c r="D224" s="5" t="s">
        <v>28</v>
      </c>
      <c r="E224" s="5" t="n">
        <f aca="false">ROUND(15812*1.05,2)</f>
        <v>16602.6</v>
      </c>
      <c r="F224" s="5" t="s">
        <v>29</v>
      </c>
      <c r="G224" s="5" t="s">
        <v>30</v>
      </c>
      <c r="H224" s="5" t="n">
        <f aca="true">ROUND(RAND()*4+6,1)</f>
        <v>6.6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7253</v>
      </c>
      <c r="B225" s="6" t="s">
        <v>374</v>
      </c>
      <c r="C225" s="6" t="s">
        <v>114</v>
      </c>
      <c r="D225" s="6" t="s">
        <v>34</v>
      </c>
      <c r="E225" s="6" t="n">
        <f aca="false">ROUND(6531*1.05,2)</f>
        <v>6857.55</v>
      </c>
      <c r="F225" s="6" t="s">
        <v>35</v>
      </c>
      <c r="G225" s="6" t="s">
        <v>18</v>
      </c>
      <c r="H225" s="6" t="n">
        <f aca="true">ROUND(RAND()*4+6,1)</f>
        <v>6.3</v>
      </c>
      <c r="I225" s="6" t="s">
        <v>36</v>
      </c>
      <c r="J225" s="6" t="str">
        <f aca="false">ROUND(85*1,0)&amp;"%"</f>
        <v>85%</v>
      </c>
    </row>
    <row r="226" customFormat="false" ht="15" hidden="false" customHeight="false" outlineLevel="0" collapsed="false">
      <c r="A226" s="5" t="s">
        <v>7254</v>
      </c>
      <c r="B226" s="5" t="s">
        <v>376</v>
      </c>
      <c r="C226" s="5" t="s">
        <v>114</v>
      </c>
      <c r="D226" s="5" t="s">
        <v>39</v>
      </c>
      <c r="E226" s="5" t="n">
        <f aca="false">ROUND(10750*1.05,2)</f>
        <v>11287.5</v>
      </c>
      <c r="F226" s="5" t="s">
        <v>40</v>
      </c>
      <c r="G226" s="5" t="s">
        <v>24</v>
      </c>
      <c r="H226" s="5" t="n">
        <f aca="true">ROUND(RAND()*4+6,1)</f>
        <v>9.6</v>
      </c>
      <c r="I226" s="5" t="s">
        <v>41</v>
      </c>
      <c r="J226" s="5" t="str">
        <f aca="false">ROUND(97*1,0)&amp;"%"</f>
        <v>97%</v>
      </c>
    </row>
    <row r="227" customFormat="false" ht="15" hidden="false" customHeight="false" outlineLevel="0" collapsed="false">
      <c r="A227" s="6" t="s">
        <v>7255</v>
      </c>
      <c r="B227" s="6" t="s">
        <v>378</v>
      </c>
      <c r="C227" s="6" t="s">
        <v>114</v>
      </c>
      <c r="D227" s="6" t="s">
        <v>44</v>
      </c>
      <c r="E227" s="6" t="n">
        <f aca="false">ROUND(11948*1.05,2)</f>
        <v>12545.4</v>
      </c>
      <c r="F227" s="6" t="s">
        <v>45</v>
      </c>
      <c r="G227" s="6" t="s">
        <v>30</v>
      </c>
      <c r="H227" s="6" t="n">
        <f aca="true">ROUND(RAND()*4+6,1)</f>
        <v>6</v>
      </c>
      <c r="I227" s="6" t="s">
        <v>46</v>
      </c>
      <c r="J227" s="6" t="str">
        <f aca="false">ROUND(78*1,0)&amp;"%"</f>
        <v>78%</v>
      </c>
    </row>
    <row r="228" customFormat="false" ht="15" hidden="false" customHeight="false" outlineLevel="0" collapsed="false">
      <c r="A228" s="5" t="s">
        <v>7256</v>
      </c>
      <c r="B228" s="5" t="s">
        <v>380</v>
      </c>
      <c r="C228" s="5" t="s">
        <v>114</v>
      </c>
      <c r="D228" s="5" t="s">
        <v>16</v>
      </c>
      <c r="E228" s="5" t="n">
        <f aca="false">ROUND(11785*1.05,2)</f>
        <v>12374.25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ROUND(67*1,0)&amp;"%"</f>
        <v>67%</v>
      </c>
    </row>
    <row r="229" customFormat="false" ht="15" hidden="false" customHeight="false" outlineLevel="0" collapsed="false">
      <c r="A229" s="6" t="s">
        <v>7257</v>
      </c>
      <c r="B229" s="6" t="s">
        <v>382</v>
      </c>
      <c r="C229" s="6" t="s">
        <v>114</v>
      </c>
      <c r="D229" s="6" t="s">
        <v>22</v>
      </c>
      <c r="E229" s="6" t="n">
        <f aca="false">ROUND(4484*1.05,2)</f>
        <v>4708.2</v>
      </c>
      <c r="F229" s="6" t="s">
        <v>52</v>
      </c>
      <c r="G229" s="6" t="s">
        <v>24</v>
      </c>
      <c r="H229" s="6" t="n">
        <f aca="true">ROUND(RAND()*4+6,1)</f>
        <v>8.9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7258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7259</v>
      </c>
      <c r="B234" s="5" t="s">
        <v>386</v>
      </c>
      <c r="C234" s="5" t="s">
        <v>133</v>
      </c>
      <c r="D234" s="5" t="s">
        <v>16</v>
      </c>
      <c r="E234" s="5" t="n">
        <f aca="false">ROUND(8389*1.05,2)</f>
        <v>8808.45</v>
      </c>
      <c r="F234" s="5" t="s">
        <v>17</v>
      </c>
      <c r="G234" s="5" t="s">
        <v>18</v>
      </c>
      <c r="H234" s="5" t="n">
        <f aca="true">ROUND(RAND()*4+6,1)</f>
        <v>7.6</v>
      </c>
      <c r="I234" s="5" t="s">
        <v>19</v>
      </c>
      <c r="J234" s="5" t="str">
        <f aca="false">ROUND(79*1,0)&amp;"%"</f>
        <v>79%</v>
      </c>
    </row>
    <row r="235" customFormat="false" ht="15" hidden="false" customHeight="false" outlineLevel="0" collapsed="false">
      <c r="A235" s="6" t="s">
        <v>7260</v>
      </c>
      <c r="B235" s="6" t="s">
        <v>388</v>
      </c>
      <c r="C235" s="6" t="s">
        <v>133</v>
      </c>
      <c r="D235" s="6" t="s">
        <v>22</v>
      </c>
      <c r="E235" s="6" t="n">
        <f aca="false">ROUND(4616*1.05,2)</f>
        <v>4846.8</v>
      </c>
      <c r="F235" s="6" t="s">
        <v>23</v>
      </c>
      <c r="G235" s="6" t="s">
        <v>24</v>
      </c>
      <c r="H235" s="6" t="n">
        <f aca="true">ROUND(RAND()*4+6,1)</f>
        <v>7.5</v>
      </c>
      <c r="I235" s="6" t="s">
        <v>25</v>
      </c>
      <c r="J235" s="6" t="str">
        <f aca="false">ROUND(63*1,0)&amp;"%"</f>
        <v>63%</v>
      </c>
    </row>
    <row r="236" customFormat="false" ht="15" hidden="false" customHeight="false" outlineLevel="0" collapsed="false">
      <c r="A236" s="5" t="s">
        <v>7261</v>
      </c>
      <c r="B236" s="5" t="s">
        <v>390</v>
      </c>
      <c r="C236" s="5" t="s">
        <v>133</v>
      </c>
      <c r="D236" s="5" t="s">
        <v>28</v>
      </c>
      <c r="E236" s="5" t="n">
        <f aca="false">ROUND(13090*1.05,2)</f>
        <v>13744.5</v>
      </c>
      <c r="F236" s="5" t="s">
        <v>29</v>
      </c>
      <c r="G236" s="5" t="s">
        <v>30</v>
      </c>
      <c r="H236" s="5" t="n">
        <f aca="true">ROUND(RAND()*4+6,1)</f>
        <v>8.7</v>
      </c>
      <c r="I236" s="5" t="s">
        <v>31</v>
      </c>
      <c r="J236" s="5" t="str">
        <f aca="false">ROUND(87*1,0)&amp;"%"</f>
        <v>87%</v>
      </c>
    </row>
    <row r="237" customFormat="false" ht="15" hidden="false" customHeight="false" outlineLevel="0" collapsed="false">
      <c r="A237" s="6" t="s">
        <v>7262</v>
      </c>
      <c r="B237" s="6" t="s">
        <v>392</v>
      </c>
      <c r="C237" s="6" t="s">
        <v>133</v>
      </c>
      <c r="D237" s="6" t="s">
        <v>34</v>
      </c>
      <c r="E237" s="6" t="n">
        <f aca="false">ROUND(11448*1.05,2)</f>
        <v>12020.4</v>
      </c>
      <c r="F237" s="6" t="s">
        <v>35</v>
      </c>
      <c r="G237" s="6" t="s">
        <v>18</v>
      </c>
      <c r="H237" s="6" t="n">
        <f aca="true">ROUND(RAND()*4+6,1)</f>
        <v>8.4</v>
      </c>
      <c r="I237" s="6" t="s">
        <v>36</v>
      </c>
      <c r="J237" s="6" t="str">
        <f aca="false">ROUND(89*1,0)&amp;"%"</f>
        <v>89%</v>
      </c>
    </row>
    <row r="238" customFormat="false" ht="15" hidden="false" customHeight="false" outlineLevel="0" collapsed="false">
      <c r="A238" s="5" t="s">
        <v>7263</v>
      </c>
      <c r="B238" s="5" t="s">
        <v>394</v>
      </c>
      <c r="C238" s="5" t="s">
        <v>133</v>
      </c>
      <c r="D238" s="5" t="s">
        <v>39</v>
      </c>
      <c r="E238" s="5" t="n">
        <f aca="false">ROUND(15532*1.05,2)</f>
        <v>16308.6</v>
      </c>
      <c r="F238" s="5" t="s">
        <v>40</v>
      </c>
      <c r="G238" s="5" t="s">
        <v>24</v>
      </c>
      <c r="H238" s="5" t="n">
        <f aca="true">ROUND(RAND()*4+6,1)</f>
        <v>8.8</v>
      </c>
      <c r="I238" s="5" t="s">
        <v>41</v>
      </c>
      <c r="J238" s="5" t="str">
        <f aca="false">ROUND(71*1,0)&amp;"%"</f>
        <v>71%</v>
      </c>
    </row>
    <row r="239" customFormat="false" ht="15" hidden="false" customHeight="false" outlineLevel="0" collapsed="false">
      <c r="A239" s="6" t="s">
        <v>7264</v>
      </c>
      <c r="B239" s="6" t="s">
        <v>396</v>
      </c>
      <c r="C239" s="6" t="s">
        <v>133</v>
      </c>
      <c r="D239" s="6" t="s">
        <v>44</v>
      </c>
      <c r="E239" s="6" t="n">
        <f aca="false">ROUND(15507*1.05,2)</f>
        <v>16282.35</v>
      </c>
      <c r="F239" s="6" t="s">
        <v>45</v>
      </c>
      <c r="G239" s="6" t="s">
        <v>30</v>
      </c>
      <c r="H239" s="6" t="n">
        <f aca="true">ROUND(RAND()*4+6,1)</f>
        <v>7.4</v>
      </c>
      <c r="I239" s="6" t="s">
        <v>46</v>
      </c>
      <c r="J239" s="6" t="str">
        <f aca="false">ROUND(90*1,0)&amp;"%"</f>
        <v>90%</v>
      </c>
    </row>
    <row r="240" customFormat="false" ht="15" hidden="false" customHeight="false" outlineLevel="0" collapsed="false">
      <c r="A240" s="5" t="s">
        <v>7265</v>
      </c>
      <c r="B240" s="5" t="s">
        <v>398</v>
      </c>
      <c r="C240" s="5" t="s">
        <v>133</v>
      </c>
      <c r="D240" s="5" t="s">
        <v>16</v>
      </c>
      <c r="E240" s="5" t="n">
        <f aca="false">ROUND(16340*1.05,2)</f>
        <v>17157</v>
      </c>
      <c r="F240" s="5" t="s">
        <v>49</v>
      </c>
      <c r="G240" s="5" t="s">
        <v>18</v>
      </c>
      <c r="H240" s="5" t="n">
        <f aca="true">ROUND(RAND()*4+6,1)</f>
        <v>6.7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7266</v>
      </c>
      <c r="B241" s="6" t="s">
        <v>400</v>
      </c>
      <c r="C241" s="6" t="s">
        <v>133</v>
      </c>
      <c r="D241" s="6" t="s">
        <v>22</v>
      </c>
      <c r="E241" s="6" t="n">
        <f aca="false">ROUND(5226*1.05,2)</f>
        <v>5487.3</v>
      </c>
      <c r="F241" s="6" t="s">
        <v>52</v>
      </c>
      <c r="G241" s="6" t="s">
        <v>24</v>
      </c>
      <c r="H241" s="6" t="n">
        <f aca="true">ROUND(RAND()*4+6,1)</f>
        <v>9</v>
      </c>
      <c r="I241" s="6" t="s">
        <v>25</v>
      </c>
      <c r="J241" s="6" t="str">
        <f aca="false">ROUND(91*1,0)&amp;"%"</f>
        <v>91%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7267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7268</v>
      </c>
      <c r="B246" s="5" t="s">
        <v>404</v>
      </c>
      <c r="C246" s="5" t="s">
        <v>152</v>
      </c>
      <c r="D246" s="5" t="s">
        <v>16</v>
      </c>
      <c r="E246" s="5" t="n">
        <f aca="false">ROUND(16547*1.05,2)</f>
        <v>17374.35</v>
      </c>
      <c r="F246" s="5" t="s">
        <v>17</v>
      </c>
      <c r="G246" s="5" t="s">
        <v>18</v>
      </c>
      <c r="H246" s="5" t="n">
        <f aca="true">ROUND(RAND()*4+6,1)</f>
        <v>9.3</v>
      </c>
      <c r="I246" s="5" t="s">
        <v>19</v>
      </c>
      <c r="J246" s="5" t="str">
        <f aca="false">ROUND(64*1,0)&amp;"%"</f>
        <v>64%</v>
      </c>
    </row>
    <row r="247" customFormat="false" ht="15" hidden="false" customHeight="false" outlineLevel="0" collapsed="false">
      <c r="A247" s="6" t="s">
        <v>7269</v>
      </c>
      <c r="B247" s="6" t="s">
        <v>406</v>
      </c>
      <c r="C247" s="6" t="s">
        <v>152</v>
      </c>
      <c r="D247" s="6" t="s">
        <v>22</v>
      </c>
      <c r="E247" s="6" t="n">
        <f aca="false">ROUND(9010*1.05,2)</f>
        <v>9460.5</v>
      </c>
      <c r="F247" s="6" t="s">
        <v>23</v>
      </c>
      <c r="G247" s="6" t="s">
        <v>24</v>
      </c>
      <c r="H247" s="6" t="n">
        <f aca="true">ROUND(RAND()*4+6,1)</f>
        <v>8.6</v>
      </c>
      <c r="I247" s="6" t="s">
        <v>25</v>
      </c>
      <c r="J247" s="6" t="str">
        <f aca="false">ROUND(82*1,0)&amp;"%"</f>
        <v>82%</v>
      </c>
    </row>
    <row r="248" customFormat="false" ht="15" hidden="false" customHeight="false" outlineLevel="0" collapsed="false">
      <c r="A248" s="5" t="s">
        <v>7270</v>
      </c>
      <c r="B248" s="5" t="s">
        <v>408</v>
      </c>
      <c r="C248" s="5" t="s">
        <v>152</v>
      </c>
      <c r="D248" s="5" t="s">
        <v>28</v>
      </c>
      <c r="E248" s="5" t="n">
        <f aca="false">ROUND(9341*1.05,2)</f>
        <v>9808.05</v>
      </c>
      <c r="F248" s="5" t="s">
        <v>29</v>
      </c>
      <c r="G248" s="5" t="s">
        <v>30</v>
      </c>
      <c r="H248" s="5" t="n">
        <f aca="true">ROUND(RAND()*4+6,1)</f>
        <v>6.4</v>
      </c>
      <c r="I248" s="5" t="s">
        <v>31</v>
      </c>
      <c r="J248" s="5" t="str">
        <f aca="false">ROUND(73*1,0)&amp;"%"</f>
        <v>73%</v>
      </c>
    </row>
    <row r="249" customFormat="false" ht="15" hidden="false" customHeight="false" outlineLevel="0" collapsed="false">
      <c r="A249" s="6" t="s">
        <v>7271</v>
      </c>
      <c r="B249" s="6" t="s">
        <v>410</v>
      </c>
      <c r="C249" s="6" t="s">
        <v>152</v>
      </c>
      <c r="D249" s="6" t="s">
        <v>34</v>
      </c>
      <c r="E249" s="6" t="n">
        <f aca="false">ROUND(17422*1.05,2)</f>
        <v>18293.1</v>
      </c>
      <c r="F249" s="6" t="s">
        <v>35</v>
      </c>
      <c r="G249" s="6" t="s">
        <v>18</v>
      </c>
      <c r="H249" s="6" t="n">
        <f aca="true">ROUND(RAND()*4+6,1)</f>
        <v>8.6</v>
      </c>
      <c r="I249" s="6" t="s">
        <v>36</v>
      </c>
      <c r="J249" s="6" t="str">
        <f aca="false">ROUND(92*1,0)&amp;"%"</f>
        <v>92%</v>
      </c>
    </row>
    <row r="250" customFormat="false" ht="15" hidden="false" customHeight="false" outlineLevel="0" collapsed="false">
      <c r="A250" s="5" t="s">
        <v>7272</v>
      </c>
      <c r="B250" s="5" t="s">
        <v>412</v>
      </c>
      <c r="C250" s="5" t="s">
        <v>152</v>
      </c>
      <c r="D250" s="5" t="s">
        <v>39</v>
      </c>
      <c r="E250" s="5" t="n">
        <f aca="false">ROUND(16683*1.05,2)</f>
        <v>17517.15</v>
      </c>
      <c r="F250" s="5" t="s">
        <v>40</v>
      </c>
      <c r="G250" s="5" t="s">
        <v>24</v>
      </c>
      <c r="H250" s="5" t="n">
        <f aca="true">ROUND(RAND()*4+6,1)</f>
        <v>9</v>
      </c>
      <c r="I250" s="5" t="s">
        <v>41</v>
      </c>
      <c r="J250" s="5" t="str">
        <f aca="false">ROUND(90*1,0)&amp;"%"</f>
        <v>90%</v>
      </c>
    </row>
    <row r="251" customFormat="false" ht="15" hidden="false" customHeight="false" outlineLevel="0" collapsed="false">
      <c r="A251" s="6" t="s">
        <v>7273</v>
      </c>
      <c r="B251" s="6" t="s">
        <v>414</v>
      </c>
      <c r="C251" s="6" t="s">
        <v>152</v>
      </c>
      <c r="D251" s="6" t="s">
        <v>44</v>
      </c>
      <c r="E251" s="6" t="n">
        <f aca="false">ROUND(16155*1.05,2)</f>
        <v>16962.75</v>
      </c>
      <c r="F251" s="6" t="s">
        <v>45</v>
      </c>
      <c r="G251" s="6" t="s">
        <v>30</v>
      </c>
      <c r="H251" s="6" t="n">
        <f aca="true">ROUND(RAND()*4+6,1)</f>
        <v>6.8</v>
      </c>
      <c r="I251" s="6" t="s">
        <v>46</v>
      </c>
      <c r="J251" s="6" t="str">
        <f aca="false">ROUND(62*1,0)&amp;"%"</f>
        <v>62%</v>
      </c>
    </row>
    <row r="252" customFormat="false" ht="15" hidden="false" customHeight="false" outlineLevel="0" collapsed="false">
      <c r="A252" s="5" t="s">
        <v>7274</v>
      </c>
      <c r="B252" s="5" t="s">
        <v>416</v>
      </c>
      <c r="C252" s="5" t="s">
        <v>152</v>
      </c>
      <c r="D252" s="5" t="s">
        <v>16</v>
      </c>
      <c r="E252" s="5" t="n">
        <f aca="false">ROUND(4199*1.05,2)</f>
        <v>4408.95</v>
      </c>
      <c r="F252" s="5" t="s">
        <v>49</v>
      </c>
      <c r="G252" s="5" t="s">
        <v>18</v>
      </c>
      <c r="H252" s="5" t="n">
        <f aca="true">ROUND(RAND()*4+6,1)</f>
        <v>9.6</v>
      </c>
      <c r="I252" s="5" t="s">
        <v>19</v>
      </c>
      <c r="J252" s="5" t="str">
        <f aca="false">ROUND(69*1,0)&amp;"%"</f>
        <v>69%</v>
      </c>
    </row>
    <row r="253" customFormat="false" ht="15" hidden="false" customHeight="false" outlineLevel="0" collapsed="false">
      <c r="A253" s="6" t="s">
        <v>7275</v>
      </c>
      <c r="B253" s="6" t="s">
        <v>418</v>
      </c>
      <c r="C253" s="6" t="s">
        <v>152</v>
      </c>
      <c r="D253" s="6" t="s">
        <v>22</v>
      </c>
      <c r="E253" s="6" t="n">
        <f aca="false">ROUND(12452*1.05,2)</f>
        <v>13074.6</v>
      </c>
      <c r="F253" s="6" t="s">
        <v>52</v>
      </c>
      <c r="G253" s="6" t="s">
        <v>24</v>
      </c>
      <c r="H253" s="6" t="n">
        <f aca="true">ROUND(RAND()*4+6,1)</f>
        <v>7.9</v>
      </c>
      <c r="I253" s="6" t="s">
        <v>25</v>
      </c>
      <c r="J253" s="6" t="str">
        <f aca="false">ROUND(93*1,0)&amp;"%"</f>
        <v>93%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7276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7277</v>
      </c>
      <c r="B258" s="5" t="s">
        <v>422</v>
      </c>
      <c r="C258" s="5" t="s">
        <v>15</v>
      </c>
      <c r="D258" s="5" t="s">
        <v>16</v>
      </c>
      <c r="E258" s="5" t="n">
        <f aca="false">ROUND(6814*1.05,2)</f>
        <v>7154.7</v>
      </c>
      <c r="F258" s="5" t="s">
        <v>17</v>
      </c>
      <c r="G258" s="5" t="s">
        <v>18</v>
      </c>
      <c r="H258" s="5" t="n">
        <f aca="true">ROUND(RAND()*4+6,1)</f>
        <v>7.8</v>
      </c>
      <c r="I258" s="5" t="s">
        <v>19</v>
      </c>
      <c r="J258" s="5" t="str">
        <f aca="false">ROUND(72*1,0)&amp;"%"</f>
        <v>72%</v>
      </c>
    </row>
    <row r="259" customFormat="false" ht="15" hidden="false" customHeight="false" outlineLevel="0" collapsed="false">
      <c r="A259" s="6" t="s">
        <v>7278</v>
      </c>
      <c r="B259" s="6" t="s">
        <v>424</v>
      </c>
      <c r="C259" s="6" t="s">
        <v>15</v>
      </c>
      <c r="D259" s="6" t="s">
        <v>22</v>
      </c>
      <c r="E259" s="6" t="n">
        <f aca="false">ROUND(16701*1.05,2)</f>
        <v>17536.05</v>
      </c>
      <c r="F259" s="6" t="s">
        <v>23</v>
      </c>
      <c r="G259" s="6" t="s">
        <v>24</v>
      </c>
      <c r="H259" s="6" t="n">
        <f aca="true">ROUND(RAND()*4+6,1)</f>
        <v>6.6</v>
      </c>
      <c r="I259" s="6" t="s">
        <v>25</v>
      </c>
      <c r="J259" s="6" t="str">
        <f aca="false">ROUND(66*1,0)&amp;"%"</f>
        <v>66%</v>
      </c>
    </row>
    <row r="260" customFormat="false" ht="15" hidden="false" customHeight="false" outlineLevel="0" collapsed="false">
      <c r="A260" s="5" t="s">
        <v>7279</v>
      </c>
      <c r="B260" s="5" t="s">
        <v>426</v>
      </c>
      <c r="C260" s="5" t="s">
        <v>15</v>
      </c>
      <c r="D260" s="5" t="s">
        <v>28</v>
      </c>
      <c r="E260" s="5" t="n">
        <f aca="false">ROUND(15439*1.05,2)</f>
        <v>16210.95</v>
      </c>
      <c r="F260" s="5" t="s">
        <v>29</v>
      </c>
      <c r="G260" s="5" t="s">
        <v>30</v>
      </c>
      <c r="H260" s="5" t="n">
        <f aca="true">ROUND(RAND()*4+6,1)</f>
        <v>8.9</v>
      </c>
      <c r="I260" s="5" t="s">
        <v>31</v>
      </c>
      <c r="J260" s="5" t="str">
        <f aca="false">ROUND(87*1,0)&amp;"%"</f>
        <v>87%</v>
      </c>
    </row>
    <row r="261" customFormat="false" ht="15" hidden="false" customHeight="false" outlineLevel="0" collapsed="false">
      <c r="A261" s="6" t="s">
        <v>7280</v>
      </c>
      <c r="B261" s="6" t="s">
        <v>428</v>
      </c>
      <c r="C261" s="6" t="s">
        <v>15</v>
      </c>
      <c r="D261" s="6" t="s">
        <v>34</v>
      </c>
      <c r="E261" s="6" t="n">
        <f aca="false">ROUND(11838*1.05,2)</f>
        <v>12429.9</v>
      </c>
      <c r="F261" s="6" t="s">
        <v>35</v>
      </c>
      <c r="G261" s="6" t="s">
        <v>18</v>
      </c>
      <c r="H261" s="6" t="n">
        <f aca="true">ROUND(RAND()*4+6,1)</f>
        <v>7.9</v>
      </c>
      <c r="I261" s="6" t="s">
        <v>36</v>
      </c>
      <c r="J261" s="6" t="str">
        <f aca="false">ROUND(63*1,0)&amp;"%"</f>
        <v>63%</v>
      </c>
    </row>
    <row r="262" customFormat="false" ht="15" hidden="false" customHeight="false" outlineLevel="0" collapsed="false">
      <c r="A262" s="5" t="s">
        <v>7281</v>
      </c>
      <c r="B262" s="5" t="s">
        <v>430</v>
      </c>
      <c r="C262" s="5" t="s">
        <v>15</v>
      </c>
      <c r="D262" s="5" t="s">
        <v>39</v>
      </c>
      <c r="E262" s="5" t="n">
        <f aca="false">ROUND(4633*1.05,2)</f>
        <v>4864.65</v>
      </c>
      <c r="F262" s="5" t="s">
        <v>40</v>
      </c>
      <c r="G262" s="5" t="s">
        <v>24</v>
      </c>
      <c r="H262" s="5" t="n">
        <f aca="true">ROUND(RAND()*4+6,1)</f>
        <v>6.9</v>
      </c>
      <c r="I262" s="5" t="s">
        <v>41</v>
      </c>
      <c r="J262" s="5" t="str">
        <f aca="false">ROUND(62*1,0)&amp;"%"</f>
        <v>62%</v>
      </c>
    </row>
    <row r="263" customFormat="false" ht="15" hidden="false" customHeight="false" outlineLevel="0" collapsed="false">
      <c r="A263" s="6" t="s">
        <v>7282</v>
      </c>
      <c r="B263" s="6" t="s">
        <v>432</v>
      </c>
      <c r="C263" s="6" t="s">
        <v>15</v>
      </c>
      <c r="D263" s="6" t="s">
        <v>44</v>
      </c>
      <c r="E263" s="6" t="n">
        <f aca="false">ROUND(9629*1.05,2)</f>
        <v>10110.45</v>
      </c>
      <c r="F263" s="6" t="s">
        <v>45</v>
      </c>
      <c r="G263" s="6" t="s">
        <v>30</v>
      </c>
      <c r="H263" s="6" t="n">
        <f aca="true">ROUND(RAND()*4+6,1)</f>
        <v>7.5</v>
      </c>
      <c r="I263" s="6" t="s">
        <v>46</v>
      </c>
      <c r="J263" s="6" t="str">
        <f aca="false">ROUND(90*1,0)&amp;"%"</f>
        <v>90%</v>
      </c>
    </row>
    <row r="264" customFormat="false" ht="15" hidden="false" customHeight="false" outlineLevel="0" collapsed="false">
      <c r="A264" s="5" t="s">
        <v>7283</v>
      </c>
      <c r="B264" s="5" t="s">
        <v>434</v>
      </c>
      <c r="C264" s="5" t="s">
        <v>15</v>
      </c>
      <c r="D264" s="5" t="s">
        <v>16</v>
      </c>
      <c r="E264" s="5" t="n">
        <f aca="false">ROUND(9483*1.05,2)</f>
        <v>9957.15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ROUND(69*1,0)&amp;"%"</f>
        <v>69%</v>
      </c>
    </row>
    <row r="265" customFormat="false" ht="15" hidden="false" customHeight="false" outlineLevel="0" collapsed="false">
      <c r="A265" s="6" t="s">
        <v>7284</v>
      </c>
      <c r="B265" s="6" t="s">
        <v>436</v>
      </c>
      <c r="C265" s="6" t="s">
        <v>15</v>
      </c>
      <c r="D265" s="6" t="s">
        <v>22</v>
      </c>
      <c r="E265" s="6" t="n">
        <f aca="false">ROUND(6574*1.05,2)</f>
        <v>6902.7</v>
      </c>
      <c r="F265" s="6" t="s">
        <v>52</v>
      </c>
      <c r="G265" s="6" t="s">
        <v>24</v>
      </c>
      <c r="H265" s="6" t="n">
        <f aca="true">ROUND(RAND()*4+6,1)</f>
        <v>7.9</v>
      </c>
      <c r="I265" s="6" t="s">
        <v>25</v>
      </c>
      <c r="J265" s="6" t="str">
        <f aca="false">ROUND(97*1,0)&amp;"%"</f>
        <v>97%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7285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7286</v>
      </c>
      <c r="B270" s="5" t="s">
        <v>440</v>
      </c>
      <c r="C270" s="5" t="s">
        <v>57</v>
      </c>
      <c r="D270" s="5" t="s">
        <v>16</v>
      </c>
      <c r="E270" s="5" t="n">
        <f aca="false">ROUND(7374*1.05,2)</f>
        <v>7742.7</v>
      </c>
      <c r="F270" s="5" t="s">
        <v>17</v>
      </c>
      <c r="G270" s="5" t="s">
        <v>18</v>
      </c>
      <c r="H270" s="5" t="n">
        <f aca="true">ROUND(RAND()*4+6,1)</f>
        <v>7.5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7287</v>
      </c>
      <c r="B271" s="6" t="s">
        <v>442</v>
      </c>
      <c r="C271" s="6" t="s">
        <v>57</v>
      </c>
      <c r="D271" s="6" t="s">
        <v>22</v>
      </c>
      <c r="E271" s="6" t="n">
        <f aca="false">ROUND(7389*1.05,2)</f>
        <v>7758.45</v>
      </c>
      <c r="F271" s="6" t="s">
        <v>23</v>
      </c>
      <c r="G271" s="6" t="s">
        <v>24</v>
      </c>
      <c r="H271" s="6" t="n">
        <f aca="true">ROUND(RAND()*4+6,1)</f>
        <v>9.2</v>
      </c>
      <c r="I271" s="6" t="s">
        <v>25</v>
      </c>
      <c r="J271" s="6" t="str">
        <f aca="false">ROUND(79*1,0)&amp;"%"</f>
        <v>79%</v>
      </c>
    </row>
    <row r="272" customFormat="false" ht="15" hidden="false" customHeight="false" outlineLevel="0" collapsed="false">
      <c r="A272" s="5" t="s">
        <v>7288</v>
      </c>
      <c r="B272" s="5" t="s">
        <v>444</v>
      </c>
      <c r="C272" s="5" t="s">
        <v>57</v>
      </c>
      <c r="D272" s="5" t="s">
        <v>28</v>
      </c>
      <c r="E272" s="5" t="n">
        <f aca="false">ROUND(15734*1.05,2)</f>
        <v>16520.7</v>
      </c>
      <c r="F272" s="5" t="s">
        <v>29</v>
      </c>
      <c r="G272" s="5" t="s">
        <v>30</v>
      </c>
      <c r="H272" s="5" t="n">
        <f aca="true">ROUND(RAND()*4+6,1)</f>
        <v>9.5</v>
      </c>
      <c r="I272" s="5" t="s">
        <v>31</v>
      </c>
      <c r="J272" s="5" t="str">
        <f aca="false">ROUND(65*1,0)&amp;"%"</f>
        <v>65%</v>
      </c>
    </row>
    <row r="273" customFormat="false" ht="15" hidden="false" customHeight="false" outlineLevel="0" collapsed="false">
      <c r="A273" s="6" t="s">
        <v>7289</v>
      </c>
      <c r="B273" s="6" t="s">
        <v>446</v>
      </c>
      <c r="C273" s="6" t="s">
        <v>57</v>
      </c>
      <c r="D273" s="6" t="s">
        <v>34</v>
      </c>
      <c r="E273" s="6" t="n">
        <f aca="false">ROUND(14275*1.05,2)</f>
        <v>14988.75</v>
      </c>
      <c r="F273" s="6" t="s">
        <v>35</v>
      </c>
      <c r="G273" s="6" t="s">
        <v>18</v>
      </c>
      <c r="H273" s="6" t="n">
        <f aca="true">ROUND(RAND()*4+6,1)</f>
        <v>9.1</v>
      </c>
      <c r="I273" s="6" t="s">
        <v>36</v>
      </c>
      <c r="J273" s="6" t="str">
        <f aca="false">ROUND(80*1,0)&amp;"%"</f>
        <v>80%</v>
      </c>
    </row>
    <row r="274" customFormat="false" ht="15" hidden="false" customHeight="false" outlineLevel="0" collapsed="false">
      <c r="A274" s="5" t="s">
        <v>7290</v>
      </c>
      <c r="B274" s="5" t="s">
        <v>448</v>
      </c>
      <c r="C274" s="5" t="s">
        <v>57</v>
      </c>
      <c r="D274" s="5" t="s">
        <v>39</v>
      </c>
      <c r="E274" s="5" t="n">
        <f aca="false">ROUND(10980*1.05,2)</f>
        <v>11529</v>
      </c>
      <c r="F274" s="5" t="s">
        <v>40</v>
      </c>
      <c r="G274" s="5" t="s">
        <v>24</v>
      </c>
      <c r="H274" s="5" t="n">
        <f aca="true">ROUND(RAND()*4+6,1)</f>
        <v>8.8</v>
      </c>
      <c r="I274" s="5" t="s">
        <v>41</v>
      </c>
      <c r="J274" s="5" t="str">
        <f aca="false">ROUND(77*1,0)&amp;"%"</f>
        <v>77%</v>
      </c>
    </row>
    <row r="275" customFormat="false" ht="15" hidden="false" customHeight="false" outlineLevel="0" collapsed="false">
      <c r="A275" s="6" t="s">
        <v>7291</v>
      </c>
      <c r="B275" s="6" t="s">
        <v>450</v>
      </c>
      <c r="C275" s="6" t="s">
        <v>57</v>
      </c>
      <c r="D275" s="6" t="s">
        <v>44</v>
      </c>
      <c r="E275" s="6" t="n">
        <f aca="false">ROUND(14370*1.05,2)</f>
        <v>15088.5</v>
      </c>
      <c r="F275" s="6" t="s">
        <v>45</v>
      </c>
      <c r="G275" s="6" t="s">
        <v>30</v>
      </c>
      <c r="H275" s="6" t="n">
        <f aca="true">ROUND(RAND()*4+6,1)</f>
        <v>7.2</v>
      </c>
      <c r="I275" s="6" t="s">
        <v>46</v>
      </c>
      <c r="J275" s="6" t="str">
        <f aca="false">ROUND(79*1,0)&amp;"%"</f>
        <v>79%</v>
      </c>
    </row>
    <row r="276" customFormat="false" ht="15" hidden="false" customHeight="false" outlineLevel="0" collapsed="false">
      <c r="A276" s="5" t="s">
        <v>7292</v>
      </c>
      <c r="B276" s="5" t="s">
        <v>452</v>
      </c>
      <c r="C276" s="5" t="s">
        <v>57</v>
      </c>
      <c r="D276" s="5" t="s">
        <v>16</v>
      </c>
      <c r="E276" s="5" t="n">
        <f aca="false">ROUND(7419*1.05,2)</f>
        <v>7789.95</v>
      </c>
      <c r="F276" s="5" t="s">
        <v>49</v>
      </c>
      <c r="G276" s="5" t="s">
        <v>18</v>
      </c>
      <c r="H276" s="5" t="n">
        <f aca="true">ROUND(RAND()*4+6,1)</f>
        <v>6.3</v>
      </c>
      <c r="I276" s="5" t="s">
        <v>19</v>
      </c>
      <c r="J276" s="5" t="str">
        <f aca="false">ROUND(93*1,0)&amp;"%"</f>
        <v>93%</v>
      </c>
    </row>
    <row r="277" customFormat="false" ht="15" hidden="false" customHeight="false" outlineLevel="0" collapsed="false">
      <c r="A277" s="6" t="s">
        <v>7293</v>
      </c>
      <c r="B277" s="6" t="s">
        <v>454</v>
      </c>
      <c r="C277" s="6" t="s">
        <v>57</v>
      </c>
      <c r="D277" s="6" t="s">
        <v>22</v>
      </c>
      <c r="E277" s="6" t="n">
        <f aca="false">ROUND(5544*1.05,2)</f>
        <v>5821.2</v>
      </c>
      <c r="F277" s="6" t="s">
        <v>52</v>
      </c>
      <c r="G277" s="6" t="s">
        <v>24</v>
      </c>
      <c r="H277" s="6" t="n">
        <f aca="true">ROUND(RAND()*4+6,1)</f>
        <v>6.5</v>
      </c>
      <c r="I277" s="6" t="s">
        <v>25</v>
      </c>
      <c r="J277" s="6" t="str">
        <f aca="false">ROUND(81*1,0)&amp;"%"</f>
        <v>81%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7294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7295</v>
      </c>
      <c r="B282" s="5" t="s">
        <v>458</v>
      </c>
      <c r="C282" s="5" t="s">
        <v>76</v>
      </c>
      <c r="D282" s="5" t="s">
        <v>16</v>
      </c>
      <c r="E282" s="5" t="n">
        <f aca="false">ROUND(6745*1.05,2)</f>
        <v>7082.25</v>
      </c>
      <c r="F282" s="5" t="s">
        <v>17</v>
      </c>
      <c r="G282" s="5" t="s">
        <v>18</v>
      </c>
      <c r="H282" s="5" t="n">
        <f aca="true">ROUND(RAND()*4+6,1)</f>
        <v>8.4</v>
      </c>
      <c r="I282" s="5" t="s">
        <v>19</v>
      </c>
      <c r="J282" s="5" t="str">
        <f aca="false">ROUND(92*1,0)&amp;"%"</f>
        <v>92%</v>
      </c>
    </row>
    <row r="283" customFormat="false" ht="15" hidden="false" customHeight="false" outlineLevel="0" collapsed="false">
      <c r="A283" s="6" t="s">
        <v>7296</v>
      </c>
      <c r="B283" s="6" t="s">
        <v>460</v>
      </c>
      <c r="C283" s="6" t="s">
        <v>76</v>
      </c>
      <c r="D283" s="6" t="s">
        <v>22</v>
      </c>
      <c r="E283" s="6" t="n">
        <f aca="false">ROUND(14243*1.05,2)</f>
        <v>14955.15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ROUND(74*1,0)&amp;"%"</f>
        <v>74%</v>
      </c>
    </row>
    <row r="284" customFormat="false" ht="15" hidden="false" customHeight="false" outlineLevel="0" collapsed="false">
      <c r="A284" s="5" t="s">
        <v>7297</v>
      </c>
      <c r="B284" s="5" t="s">
        <v>462</v>
      </c>
      <c r="C284" s="5" t="s">
        <v>76</v>
      </c>
      <c r="D284" s="5" t="s">
        <v>28</v>
      </c>
      <c r="E284" s="5" t="n">
        <f aca="false">ROUND(4318*1.05,2)</f>
        <v>4533.9</v>
      </c>
      <c r="F284" s="5" t="s">
        <v>29</v>
      </c>
      <c r="G284" s="5" t="s">
        <v>30</v>
      </c>
      <c r="H284" s="5" t="n">
        <f aca="true">ROUND(RAND()*4+6,1)</f>
        <v>9.8</v>
      </c>
      <c r="I284" s="5" t="s">
        <v>31</v>
      </c>
      <c r="J284" s="5" t="str">
        <f aca="false">ROUND(86*1,0)&amp;"%"</f>
        <v>86%</v>
      </c>
    </row>
    <row r="285" customFormat="false" ht="15" hidden="false" customHeight="false" outlineLevel="0" collapsed="false">
      <c r="A285" s="6" t="s">
        <v>7298</v>
      </c>
      <c r="B285" s="6" t="s">
        <v>464</v>
      </c>
      <c r="C285" s="6" t="s">
        <v>76</v>
      </c>
      <c r="D285" s="6" t="s">
        <v>34</v>
      </c>
      <c r="E285" s="6" t="n">
        <f aca="false">ROUND(15508*1.05,2)</f>
        <v>16283.4</v>
      </c>
      <c r="F285" s="6" t="s">
        <v>35</v>
      </c>
      <c r="G285" s="6" t="s">
        <v>18</v>
      </c>
      <c r="H285" s="6" t="n">
        <f aca="true">ROUND(RAND()*4+6,1)</f>
        <v>8.7</v>
      </c>
      <c r="I285" s="6" t="s">
        <v>36</v>
      </c>
      <c r="J285" s="6" t="str">
        <f aca="false">ROUND(65*1,0)&amp;"%"</f>
        <v>65%</v>
      </c>
    </row>
    <row r="286" customFormat="false" ht="15" hidden="false" customHeight="false" outlineLevel="0" collapsed="false">
      <c r="A286" s="5" t="s">
        <v>7299</v>
      </c>
      <c r="B286" s="5" t="s">
        <v>466</v>
      </c>
      <c r="C286" s="5" t="s">
        <v>76</v>
      </c>
      <c r="D286" s="5" t="s">
        <v>39</v>
      </c>
      <c r="E286" s="5" t="n">
        <f aca="false">ROUND(17676*1.05,2)</f>
        <v>18559.8</v>
      </c>
      <c r="F286" s="5" t="s">
        <v>40</v>
      </c>
      <c r="G286" s="5" t="s">
        <v>24</v>
      </c>
      <c r="H286" s="5" t="n">
        <f aca="true">ROUND(RAND()*4+6,1)</f>
        <v>8.7</v>
      </c>
      <c r="I286" s="5" t="s">
        <v>41</v>
      </c>
      <c r="J286" s="5" t="str">
        <f aca="false">ROUND(70*1,0)&amp;"%"</f>
        <v>70%</v>
      </c>
    </row>
    <row r="287" customFormat="false" ht="15" hidden="false" customHeight="false" outlineLevel="0" collapsed="false">
      <c r="A287" s="6" t="s">
        <v>7300</v>
      </c>
      <c r="B287" s="6" t="s">
        <v>468</v>
      </c>
      <c r="C287" s="6" t="s">
        <v>76</v>
      </c>
      <c r="D287" s="6" t="s">
        <v>44</v>
      </c>
      <c r="E287" s="6" t="n">
        <f aca="false">ROUND(8221*1.05,2)</f>
        <v>8632.05</v>
      </c>
      <c r="F287" s="6" t="s">
        <v>45</v>
      </c>
      <c r="G287" s="6" t="s">
        <v>30</v>
      </c>
      <c r="H287" s="6" t="n">
        <f aca="true">ROUND(RAND()*4+6,1)</f>
        <v>8.8</v>
      </c>
      <c r="I287" s="6" t="s">
        <v>46</v>
      </c>
      <c r="J287" s="6" t="str">
        <f aca="false">ROUND(62*1,0)&amp;"%"</f>
        <v>62%</v>
      </c>
    </row>
    <row r="288" customFormat="false" ht="15" hidden="false" customHeight="false" outlineLevel="0" collapsed="false">
      <c r="A288" s="5" t="s">
        <v>7301</v>
      </c>
      <c r="B288" s="5" t="s">
        <v>470</v>
      </c>
      <c r="C288" s="5" t="s">
        <v>76</v>
      </c>
      <c r="D288" s="5" t="s">
        <v>16</v>
      </c>
      <c r="E288" s="5" t="n">
        <f aca="false">ROUND(6768*1.05,2)</f>
        <v>7106.4</v>
      </c>
      <c r="F288" s="5" t="s">
        <v>49</v>
      </c>
      <c r="G288" s="5" t="s">
        <v>18</v>
      </c>
      <c r="H288" s="5" t="n">
        <f aca="true">ROUND(RAND()*4+6,1)</f>
        <v>8.4</v>
      </c>
      <c r="I288" s="5" t="s">
        <v>19</v>
      </c>
      <c r="J288" s="5" t="str">
        <f aca="false">ROUND(79*1,0)&amp;"%"</f>
        <v>79%</v>
      </c>
    </row>
    <row r="289" customFormat="false" ht="15" hidden="false" customHeight="false" outlineLevel="0" collapsed="false">
      <c r="A289" s="6" t="s">
        <v>7302</v>
      </c>
      <c r="B289" s="6" t="s">
        <v>472</v>
      </c>
      <c r="C289" s="6" t="s">
        <v>76</v>
      </c>
      <c r="D289" s="6" t="s">
        <v>22</v>
      </c>
      <c r="E289" s="6" t="n">
        <f aca="false">ROUND(13707*1.05,2)</f>
        <v>14392.35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ROUND(89*1,0)&amp;"%"</f>
        <v>89%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7303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7304</v>
      </c>
      <c r="B294" s="5" t="s">
        <v>476</v>
      </c>
      <c r="C294" s="5" t="s">
        <v>95</v>
      </c>
      <c r="D294" s="5" t="s">
        <v>16</v>
      </c>
      <c r="E294" s="5" t="n">
        <f aca="false">ROUND(12731*1.05,2)</f>
        <v>13367.55</v>
      </c>
      <c r="F294" s="5" t="s">
        <v>17</v>
      </c>
      <c r="G294" s="5" t="s">
        <v>18</v>
      </c>
      <c r="H294" s="5" t="n">
        <f aca="true">ROUND(RAND()*4+6,1)</f>
        <v>6.4</v>
      </c>
      <c r="I294" s="5" t="s">
        <v>19</v>
      </c>
      <c r="J294" s="5" t="str">
        <f aca="false">ROUND(76*1,0)&amp;"%"</f>
        <v>76%</v>
      </c>
    </row>
    <row r="295" customFormat="false" ht="15" hidden="false" customHeight="false" outlineLevel="0" collapsed="false">
      <c r="A295" s="6" t="s">
        <v>7305</v>
      </c>
      <c r="B295" s="6" t="s">
        <v>478</v>
      </c>
      <c r="C295" s="6" t="s">
        <v>95</v>
      </c>
      <c r="D295" s="6" t="s">
        <v>22</v>
      </c>
      <c r="E295" s="6" t="n">
        <f aca="false">ROUND(16972*1.05,2)</f>
        <v>17820.6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ROUND(78*1,0)&amp;"%"</f>
        <v>78%</v>
      </c>
    </row>
    <row r="296" customFormat="false" ht="15" hidden="false" customHeight="false" outlineLevel="0" collapsed="false">
      <c r="A296" s="5" t="s">
        <v>7306</v>
      </c>
      <c r="B296" s="5" t="s">
        <v>480</v>
      </c>
      <c r="C296" s="5" t="s">
        <v>95</v>
      </c>
      <c r="D296" s="5" t="s">
        <v>28</v>
      </c>
      <c r="E296" s="5" t="n">
        <f aca="false">ROUND(16979*1.05,2)</f>
        <v>17827.95</v>
      </c>
      <c r="F296" s="5" t="s">
        <v>29</v>
      </c>
      <c r="G296" s="5" t="s">
        <v>30</v>
      </c>
      <c r="H296" s="5" t="n">
        <f aca="true">ROUND(RAND()*4+6,1)</f>
        <v>9.3</v>
      </c>
      <c r="I296" s="5" t="s">
        <v>31</v>
      </c>
      <c r="J296" s="5" t="str">
        <f aca="false">ROUND(60*1,0)&amp;"%"</f>
        <v>60%</v>
      </c>
    </row>
    <row r="297" customFormat="false" ht="15" hidden="false" customHeight="false" outlineLevel="0" collapsed="false">
      <c r="A297" s="6" t="s">
        <v>7307</v>
      </c>
      <c r="B297" s="6" t="s">
        <v>482</v>
      </c>
      <c r="C297" s="6" t="s">
        <v>95</v>
      </c>
      <c r="D297" s="6" t="s">
        <v>34</v>
      </c>
      <c r="E297" s="6" t="n">
        <f aca="false">ROUND(16049*1.05,2)</f>
        <v>16851.45</v>
      </c>
      <c r="F297" s="6" t="s">
        <v>35</v>
      </c>
      <c r="G297" s="6" t="s">
        <v>18</v>
      </c>
      <c r="H297" s="6" t="n">
        <f aca="true">ROUND(RAND()*4+6,1)</f>
        <v>6.5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7308</v>
      </c>
      <c r="B298" s="5" t="s">
        <v>484</v>
      </c>
      <c r="C298" s="5" t="s">
        <v>95</v>
      </c>
      <c r="D298" s="5" t="s">
        <v>39</v>
      </c>
      <c r="E298" s="5" t="n">
        <f aca="false">ROUND(4586*1.05,2)</f>
        <v>4815.3</v>
      </c>
      <c r="F298" s="5" t="s">
        <v>40</v>
      </c>
      <c r="G298" s="5" t="s">
        <v>24</v>
      </c>
      <c r="H298" s="5" t="n">
        <f aca="true">ROUND(RAND()*4+6,1)</f>
        <v>9.2</v>
      </c>
      <c r="I298" s="5" t="s">
        <v>41</v>
      </c>
      <c r="J298" s="5" t="str">
        <f aca="false">ROUND(62*1,0)&amp;"%"</f>
        <v>62%</v>
      </c>
    </row>
    <row r="299" customFormat="false" ht="15" hidden="false" customHeight="false" outlineLevel="0" collapsed="false">
      <c r="A299" s="6" t="s">
        <v>7309</v>
      </c>
      <c r="B299" s="6" t="s">
        <v>486</v>
      </c>
      <c r="C299" s="6" t="s">
        <v>95</v>
      </c>
      <c r="D299" s="6" t="s">
        <v>44</v>
      </c>
      <c r="E299" s="6" t="n">
        <f aca="false">ROUND(12408*1.05,2)</f>
        <v>13028.4</v>
      </c>
      <c r="F299" s="6" t="s">
        <v>45</v>
      </c>
      <c r="G299" s="6" t="s">
        <v>30</v>
      </c>
      <c r="H299" s="6" t="n">
        <f aca="true">ROUND(RAND()*4+6,1)</f>
        <v>7.6</v>
      </c>
      <c r="I299" s="6" t="s">
        <v>46</v>
      </c>
      <c r="J299" s="6" t="str">
        <f aca="false">ROUND(79*1,0)&amp;"%"</f>
        <v>79%</v>
      </c>
    </row>
    <row r="300" customFormat="false" ht="15" hidden="false" customHeight="false" outlineLevel="0" collapsed="false">
      <c r="A300" s="5" t="s">
        <v>7310</v>
      </c>
      <c r="B300" s="5" t="s">
        <v>488</v>
      </c>
      <c r="C300" s="5" t="s">
        <v>95</v>
      </c>
      <c r="D300" s="5" t="s">
        <v>16</v>
      </c>
      <c r="E300" s="5" t="n">
        <f aca="false">ROUND(11295*1.05,2)</f>
        <v>11859.75</v>
      </c>
      <c r="F300" s="5" t="s">
        <v>49</v>
      </c>
      <c r="G300" s="5" t="s">
        <v>18</v>
      </c>
      <c r="H300" s="5" t="n">
        <f aca="true">ROUND(RAND()*4+6,1)</f>
        <v>8.6</v>
      </c>
      <c r="I300" s="5" t="s">
        <v>19</v>
      </c>
      <c r="J300" s="5" t="str">
        <f aca="false">ROUND(99*1,0)&amp;"%"</f>
        <v>99%</v>
      </c>
    </row>
    <row r="301" customFormat="false" ht="15" hidden="false" customHeight="false" outlineLevel="0" collapsed="false">
      <c r="A301" s="6" t="s">
        <v>7311</v>
      </c>
      <c r="B301" s="6" t="s">
        <v>490</v>
      </c>
      <c r="C301" s="6" t="s">
        <v>95</v>
      </c>
      <c r="D301" s="6" t="s">
        <v>22</v>
      </c>
      <c r="E301" s="6" t="n">
        <f aca="false">ROUND(15153*1.05,2)</f>
        <v>15910.65</v>
      </c>
      <c r="F301" s="6" t="s">
        <v>52</v>
      </c>
      <c r="G301" s="6" t="s">
        <v>24</v>
      </c>
      <c r="H301" s="6" t="n">
        <f aca="true">ROUND(RAND()*4+6,1)</f>
        <v>9.6</v>
      </c>
      <c r="I301" s="6" t="s">
        <v>25</v>
      </c>
      <c r="J301" s="6" t="str">
        <f aca="false">ROUND(81*1,0)&amp;"%"</f>
        <v>81%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7312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7313</v>
      </c>
      <c r="B306" s="5" t="s">
        <v>494</v>
      </c>
      <c r="C306" s="5" t="s">
        <v>114</v>
      </c>
      <c r="D306" s="5" t="s">
        <v>16</v>
      </c>
      <c r="E306" s="5" t="n">
        <f aca="false">ROUND(9924*1.05,2)</f>
        <v>10420.2</v>
      </c>
      <c r="F306" s="5" t="s">
        <v>17</v>
      </c>
      <c r="G306" s="5" t="s">
        <v>18</v>
      </c>
      <c r="H306" s="5" t="n">
        <f aca="true">ROUND(RAND()*4+6,1)</f>
        <v>9.2</v>
      </c>
      <c r="I306" s="5" t="s">
        <v>19</v>
      </c>
      <c r="J306" s="5" t="str">
        <f aca="false">ROUND(76*1,0)&amp;"%"</f>
        <v>76%</v>
      </c>
    </row>
    <row r="307" customFormat="false" ht="15" hidden="false" customHeight="false" outlineLevel="0" collapsed="false">
      <c r="A307" s="6" t="s">
        <v>7314</v>
      </c>
      <c r="B307" s="6" t="s">
        <v>496</v>
      </c>
      <c r="C307" s="6" t="s">
        <v>114</v>
      </c>
      <c r="D307" s="6" t="s">
        <v>22</v>
      </c>
      <c r="E307" s="6" t="n">
        <f aca="false">ROUND(17254*1.05,2)</f>
        <v>18116.7</v>
      </c>
      <c r="F307" s="6" t="s">
        <v>23</v>
      </c>
      <c r="G307" s="6" t="s">
        <v>24</v>
      </c>
      <c r="H307" s="6" t="n">
        <f aca="true">ROUND(RAND()*4+6,1)</f>
        <v>9.8</v>
      </c>
      <c r="I307" s="6" t="s">
        <v>25</v>
      </c>
      <c r="J307" s="6" t="str">
        <f aca="false">ROUND(73*1,0)&amp;"%"</f>
        <v>73%</v>
      </c>
    </row>
    <row r="308" customFormat="false" ht="15" hidden="false" customHeight="false" outlineLevel="0" collapsed="false">
      <c r="A308" s="5" t="s">
        <v>7315</v>
      </c>
      <c r="B308" s="5" t="s">
        <v>498</v>
      </c>
      <c r="C308" s="5" t="s">
        <v>114</v>
      </c>
      <c r="D308" s="5" t="s">
        <v>28</v>
      </c>
      <c r="E308" s="5" t="n">
        <f aca="false">ROUND(16973*1.05,2)</f>
        <v>17821.65</v>
      </c>
      <c r="F308" s="5" t="s">
        <v>29</v>
      </c>
      <c r="G308" s="5" t="s">
        <v>30</v>
      </c>
      <c r="H308" s="5" t="n">
        <f aca="true">ROUND(RAND()*4+6,1)</f>
        <v>7.3</v>
      </c>
      <c r="I308" s="5" t="s">
        <v>31</v>
      </c>
      <c r="J308" s="5" t="str">
        <f aca="false">ROUND(66*1,0)&amp;"%"</f>
        <v>66%</v>
      </c>
    </row>
    <row r="309" customFormat="false" ht="15" hidden="false" customHeight="false" outlineLevel="0" collapsed="false">
      <c r="A309" s="6" t="s">
        <v>7316</v>
      </c>
      <c r="B309" s="6" t="s">
        <v>500</v>
      </c>
      <c r="C309" s="6" t="s">
        <v>114</v>
      </c>
      <c r="D309" s="6" t="s">
        <v>34</v>
      </c>
      <c r="E309" s="6" t="n">
        <f aca="false">ROUND(14568*1.05,2)</f>
        <v>15296.4</v>
      </c>
      <c r="F309" s="6" t="s">
        <v>35</v>
      </c>
      <c r="G309" s="6" t="s">
        <v>18</v>
      </c>
      <c r="H309" s="6" t="n">
        <f aca="true">ROUND(RAND()*4+6,1)</f>
        <v>9.3</v>
      </c>
      <c r="I309" s="6" t="s">
        <v>36</v>
      </c>
      <c r="J309" s="6" t="str">
        <f aca="false">ROUND(76*1,0)&amp;"%"</f>
        <v>76%</v>
      </c>
    </row>
    <row r="310" customFormat="false" ht="15" hidden="false" customHeight="false" outlineLevel="0" collapsed="false">
      <c r="A310" s="5" t="s">
        <v>7317</v>
      </c>
      <c r="B310" s="5" t="s">
        <v>502</v>
      </c>
      <c r="C310" s="5" t="s">
        <v>114</v>
      </c>
      <c r="D310" s="5" t="s">
        <v>39</v>
      </c>
      <c r="E310" s="5" t="n">
        <f aca="false">ROUND(17593*1.05,2)</f>
        <v>18472.65</v>
      </c>
      <c r="F310" s="5" t="s">
        <v>40</v>
      </c>
      <c r="G310" s="5" t="s">
        <v>24</v>
      </c>
      <c r="H310" s="5" t="n">
        <f aca="true">ROUND(RAND()*4+6,1)</f>
        <v>9.5</v>
      </c>
      <c r="I310" s="5" t="s">
        <v>41</v>
      </c>
      <c r="J310" s="5" t="str">
        <f aca="false">ROUND(64*1,0)&amp;"%"</f>
        <v>64%</v>
      </c>
    </row>
    <row r="311" customFormat="false" ht="15" hidden="false" customHeight="false" outlineLevel="0" collapsed="false">
      <c r="A311" s="6" t="s">
        <v>7318</v>
      </c>
      <c r="B311" s="6" t="s">
        <v>504</v>
      </c>
      <c r="C311" s="6" t="s">
        <v>114</v>
      </c>
      <c r="D311" s="6" t="s">
        <v>44</v>
      </c>
      <c r="E311" s="6" t="n">
        <f aca="false">ROUND(7546*1.05,2)</f>
        <v>7923.3</v>
      </c>
      <c r="F311" s="6" t="s">
        <v>45</v>
      </c>
      <c r="G311" s="6" t="s">
        <v>30</v>
      </c>
      <c r="H311" s="6" t="n">
        <f aca="true">ROUND(RAND()*4+6,1)</f>
        <v>8.6</v>
      </c>
      <c r="I311" s="6" t="s">
        <v>46</v>
      </c>
      <c r="J311" s="6" t="str">
        <f aca="false">ROUND(83*1,0)&amp;"%"</f>
        <v>83%</v>
      </c>
    </row>
    <row r="312" customFormat="false" ht="15" hidden="false" customHeight="false" outlineLevel="0" collapsed="false">
      <c r="A312" s="5" t="s">
        <v>7319</v>
      </c>
      <c r="B312" s="5" t="s">
        <v>506</v>
      </c>
      <c r="C312" s="5" t="s">
        <v>114</v>
      </c>
      <c r="D312" s="5" t="s">
        <v>16</v>
      </c>
      <c r="E312" s="5" t="n">
        <f aca="false">ROUND(5157*1.05,2)</f>
        <v>5414.85</v>
      </c>
      <c r="F312" s="5" t="s">
        <v>49</v>
      </c>
      <c r="G312" s="5" t="s">
        <v>18</v>
      </c>
      <c r="H312" s="5" t="n">
        <f aca="true">ROUND(RAND()*4+6,1)</f>
        <v>6.4</v>
      </c>
      <c r="I312" s="5" t="s">
        <v>19</v>
      </c>
      <c r="J312" s="5" t="str">
        <f aca="false">ROUND(69*1,0)&amp;"%"</f>
        <v>69%</v>
      </c>
    </row>
    <row r="313" customFormat="false" ht="15" hidden="false" customHeight="false" outlineLevel="0" collapsed="false">
      <c r="A313" s="6" t="s">
        <v>7320</v>
      </c>
      <c r="B313" s="6" t="s">
        <v>508</v>
      </c>
      <c r="C313" s="6" t="s">
        <v>114</v>
      </c>
      <c r="D313" s="6" t="s">
        <v>22</v>
      </c>
      <c r="E313" s="6" t="n">
        <f aca="false">ROUND(4843*1.05,2)</f>
        <v>5085.15</v>
      </c>
      <c r="F313" s="6" t="s">
        <v>52</v>
      </c>
      <c r="G313" s="6" t="s">
        <v>24</v>
      </c>
      <c r="H313" s="6" t="n">
        <f aca="true">ROUND(RAND()*4+6,1)</f>
        <v>8.5</v>
      </c>
      <c r="I313" s="6" t="s">
        <v>25</v>
      </c>
      <c r="J313" s="6" t="str">
        <f aca="false">ROUND(87*1,0)&amp;"%"</f>
        <v>87%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7321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7322</v>
      </c>
      <c r="B318" s="5" t="s">
        <v>512</v>
      </c>
      <c r="C318" s="5" t="s">
        <v>133</v>
      </c>
      <c r="D318" s="5" t="s">
        <v>16</v>
      </c>
      <c r="E318" s="5" t="n">
        <f aca="false">ROUND(9217*1.05,2)</f>
        <v>9677.85</v>
      </c>
      <c r="F318" s="5" t="s">
        <v>17</v>
      </c>
      <c r="G318" s="5" t="s">
        <v>18</v>
      </c>
      <c r="H318" s="5" t="n">
        <f aca="true">ROUND(RAND()*4+6,1)</f>
        <v>8.7</v>
      </c>
      <c r="I318" s="5" t="s">
        <v>19</v>
      </c>
      <c r="J318" s="5" t="str">
        <f aca="false">ROUND(61*1,0)&amp;"%"</f>
        <v>61%</v>
      </c>
    </row>
    <row r="319" customFormat="false" ht="15" hidden="false" customHeight="false" outlineLevel="0" collapsed="false">
      <c r="A319" s="6" t="s">
        <v>7323</v>
      </c>
      <c r="B319" s="6" t="s">
        <v>514</v>
      </c>
      <c r="C319" s="6" t="s">
        <v>133</v>
      </c>
      <c r="D319" s="6" t="s">
        <v>22</v>
      </c>
      <c r="E319" s="6" t="n">
        <f aca="false">ROUND(17313*1.05,2)</f>
        <v>18178.65</v>
      </c>
      <c r="F319" s="6" t="s">
        <v>23</v>
      </c>
      <c r="G319" s="6" t="s">
        <v>24</v>
      </c>
      <c r="H319" s="6" t="n">
        <f aca="true">ROUND(RAND()*4+6,1)</f>
        <v>9.2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7324</v>
      </c>
      <c r="B320" s="5" t="s">
        <v>516</v>
      </c>
      <c r="C320" s="5" t="s">
        <v>133</v>
      </c>
      <c r="D320" s="5" t="s">
        <v>28</v>
      </c>
      <c r="E320" s="5" t="n">
        <f aca="false">ROUND(11927*1.05,2)</f>
        <v>12523.35</v>
      </c>
      <c r="F320" s="5" t="s">
        <v>29</v>
      </c>
      <c r="G320" s="5" t="s">
        <v>30</v>
      </c>
      <c r="H320" s="5" t="n">
        <f aca="true">ROUND(RAND()*4+6,1)</f>
        <v>8.3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7325</v>
      </c>
      <c r="B321" s="6" t="s">
        <v>518</v>
      </c>
      <c r="C321" s="6" t="s">
        <v>133</v>
      </c>
      <c r="D321" s="6" t="s">
        <v>34</v>
      </c>
      <c r="E321" s="6" t="n">
        <f aca="false">ROUND(16307*1.05,2)</f>
        <v>17122.35</v>
      </c>
      <c r="F321" s="6" t="s">
        <v>35</v>
      </c>
      <c r="G321" s="6" t="s">
        <v>18</v>
      </c>
      <c r="H321" s="6" t="n">
        <f aca="true">ROUND(RAND()*4+6,1)</f>
        <v>6.8</v>
      </c>
      <c r="I321" s="6" t="s">
        <v>36</v>
      </c>
      <c r="J321" s="6" t="str">
        <f aca="false">ROUND(87*1,0)&amp;"%"</f>
        <v>87%</v>
      </c>
    </row>
    <row r="322" customFormat="false" ht="15" hidden="false" customHeight="false" outlineLevel="0" collapsed="false">
      <c r="A322" s="5" t="s">
        <v>7326</v>
      </c>
      <c r="B322" s="5" t="s">
        <v>520</v>
      </c>
      <c r="C322" s="5" t="s">
        <v>133</v>
      </c>
      <c r="D322" s="5" t="s">
        <v>39</v>
      </c>
      <c r="E322" s="5" t="n">
        <f aca="false">ROUND(4056*1.05,2)</f>
        <v>4258.8</v>
      </c>
      <c r="F322" s="5" t="s">
        <v>40</v>
      </c>
      <c r="G322" s="5" t="s">
        <v>24</v>
      </c>
      <c r="H322" s="5" t="n">
        <f aca="true">ROUND(RAND()*4+6,1)</f>
        <v>6.1</v>
      </c>
      <c r="I322" s="5" t="s">
        <v>41</v>
      </c>
      <c r="J322" s="5" t="str">
        <f aca="false">ROUND(66*1,0)&amp;"%"</f>
        <v>66%</v>
      </c>
    </row>
    <row r="323" customFormat="false" ht="15" hidden="false" customHeight="false" outlineLevel="0" collapsed="false">
      <c r="A323" s="6" t="s">
        <v>7327</v>
      </c>
      <c r="B323" s="6" t="s">
        <v>522</v>
      </c>
      <c r="C323" s="6" t="s">
        <v>133</v>
      </c>
      <c r="D323" s="6" t="s">
        <v>44</v>
      </c>
      <c r="E323" s="6" t="n">
        <f aca="false">ROUND(16237*1.05,2)</f>
        <v>17048.85</v>
      </c>
      <c r="F323" s="6" t="s">
        <v>45</v>
      </c>
      <c r="G323" s="6" t="s">
        <v>30</v>
      </c>
      <c r="H323" s="6" t="n">
        <f aca="true">ROUND(RAND()*4+6,1)</f>
        <v>9.4</v>
      </c>
      <c r="I323" s="6" t="s">
        <v>46</v>
      </c>
      <c r="J323" s="6" t="str">
        <f aca="false">ROUND(69*1,0)&amp;"%"</f>
        <v>69%</v>
      </c>
    </row>
    <row r="324" customFormat="false" ht="15" hidden="false" customHeight="false" outlineLevel="0" collapsed="false">
      <c r="A324" s="5" t="s">
        <v>7328</v>
      </c>
      <c r="B324" s="5" t="s">
        <v>524</v>
      </c>
      <c r="C324" s="5" t="s">
        <v>133</v>
      </c>
      <c r="D324" s="5" t="s">
        <v>16</v>
      </c>
      <c r="E324" s="5" t="n">
        <f aca="false">ROUND(5650*1.05,2)</f>
        <v>5932.5</v>
      </c>
      <c r="F324" s="5" t="s">
        <v>49</v>
      </c>
      <c r="G324" s="5" t="s">
        <v>18</v>
      </c>
      <c r="H324" s="5" t="n">
        <f aca="true">ROUND(RAND()*4+6,1)</f>
        <v>9.7</v>
      </c>
      <c r="I324" s="5" t="s">
        <v>19</v>
      </c>
      <c r="J324" s="5" t="str">
        <f aca="false">ROUND(91*1,0)&amp;"%"</f>
        <v>91%</v>
      </c>
    </row>
    <row r="325" customFormat="false" ht="15" hidden="false" customHeight="false" outlineLevel="0" collapsed="false">
      <c r="A325" s="6" t="s">
        <v>7329</v>
      </c>
      <c r="B325" s="6" t="s">
        <v>526</v>
      </c>
      <c r="C325" s="6" t="s">
        <v>133</v>
      </c>
      <c r="D325" s="6" t="s">
        <v>22</v>
      </c>
      <c r="E325" s="6" t="n">
        <f aca="false">ROUND(11877*1.05,2)</f>
        <v>12470.85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ROUND(71*1,0)&amp;"%"</f>
        <v>71%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7330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7331</v>
      </c>
      <c r="B330" s="5" t="s">
        <v>530</v>
      </c>
      <c r="C330" s="5" t="s">
        <v>152</v>
      </c>
      <c r="D330" s="5" t="s">
        <v>16</v>
      </c>
      <c r="E330" s="5" t="n">
        <f aca="false">ROUND(7105*1.05,2)</f>
        <v>7460.25</v>
      </c>
      <c r="F330" s="5" t="s">
        <v>17</v>
      </c>
      <c r="G330" s="5" t="s">
        <v>18</v>
      </c>
      <c r="H330" s="5" t="n">
        <f aca="true">ROUND(RAND()*4+6,1)</f>
        <v>7.1</v>
      </c>
      <c r="I330" s="5" t="s">
        <v>19</v>
      </c>
      <c r="J330" s="5" t="str">
        <f aca="false">ROUND(60*1,0)&amp;"%"</f>
        <v>60%</v>
      </c>
    </row>
    <row r="331" customFormat="false" ht="15" hidden="false" customHeight="false" outlineLevel="0" collapsed="false">
      <c r="A331" s="6" t="s">
        <v>7332</v>
      </c>
      <c r="B331" s="6" t="s">
        <v>532</v>
      </c>
      <c r="C331" s="6" t="s">
        <v>152</v>
      </c>
      <c r="D331" s="6" t="s">
        <v>22</v>
      </c>
      <c r="E331" s="6" t="n">
        <f aca="false">ROUND(10889*1.05,2)</f>
        <v>11433.45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ROUND(61*1,0)&amp;"%"</f>
        <v>61%</v>
      </c>
    </row>
    <row r="332" customFormat="false" ht="15" hidden="false" customHeight="false" outlineLevel="0" collapsed="false">
      <c r="A332" s="5" t="s">
        <v>7333</v>
      </c>
      <c r="B332" s="5" t="s">
        <v>534</v>
      </c>
      <c r="C332" s="5" t="s">
        <v>152</v>
      </c>
      <c r="D332" s="5" t="s">
        <v>28</v>
      </c>
      <c r="E332" s="5" t="n">
        <f aca="false">ROUND(16083*1.05,2)</f>
        <v>16887.15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ROUND(94*1,0)&amp;"%"</f>
        <v>94%</v>
      </c>
    </row>
    <row r="333" customFormat="false" ht="15" hidden="false" customHeight="false" outlineLevel="0" collapsed="false">
      <c r="A333" s="6" t="s">
        <v>7334</v>
      </c>
      <c r="B333" s="6" t="s">
        <v>536</v>
      </c>
      <c r="C333" s="6" t="s">
        <v>152</v>
      </c>
      <c r="D333" s="6" t="s">
        <v>34</v>
      </c>
      <c r="E333" s="6" t="n">
        <f aca="false">ROUND(7565*1.05,2)</f>
        <v>7943.25</v>
      </c>
      <c r="F333" s="6" t="s">
        <v>35</v>
      </c>
      <c r="G333" s="6" t="s">
        <v>18</v>
      </c>
      <c r="H333" s="6" t="n">
        <f aca="true">ROUND(RAND()*4+6,1)</f>
        <v>8.4</v>
      </c>
      <c r="I333" s="6" t="s">
        <v>36</v>
      </c>
      <c r="J333" s="6" t="str">
        <f aca="false">ROUND(70*1,0)&amp;"%"</f>
        <v>70%</v>
      </c>
    </row>
    <row r="334" customFormat="false" ht="15" hidden="false" customHeight="false" outlineLevel="0" collapsed="false">
      <c r="A334" s="5" t="s">
        <v>7335</v>
      </c>
      <c r="B334" s="5" t="s">
        <v>538</v>
      </c>
      <c r="C334" s="5" t="s">
        <v>152</v>
      </c>
      <c r="D334" s="5" t="s">
        <v>39</v>
      </c>
      <c r="E334" s="5" t="n">
        <f aca="false">ROUND(4937*1.05,2)</f>
        <v>5183.85</v>
      </c>
      <c r="F334" s="5" t="s">
        <v>40</v>
      </c>
      <c r="G334" s="5" t="s">
        <v>24</v>
      </c>
      <c r="H334" s="5" t="n">
        <f aca="true">ROUND(RAND()*4+6,1)</f>
        <v>7.3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7336</v>
      </c>
      <c r="B335" s="6" t="s">
        <v>540</v>
      </c>
      <c r="C335" s="6" t="s">
        <v>152</v>
      </c>
      <c r="D335" s="6" t="s">
        <v>44</v>
      </c>
      <c r="E335" s="6" t="n">
        <f aca="false">ROUND(7705*1.05,2)</f>
        <v>8090.25</v>
      </c>
      <c r="F335" s="6" t="s">
        <v>45</v>
      </c>
      <c r="G335" s="6" t="s">
        <v>30</v>
      </c>
      <c r="H335" s="6" t="n">
        <f aca="true">ROUND(RAND()*4+6,1)</f>
        <v>8.5</v>
      </c>
      <c r="I335" s="6" t="s">
        <v>46</v>
      </c>
      <c r="J335" s="6" t="str">
        <f aca="false">ROUND(86*1,0)&amp;"%"</f>
        <v>86%</v>
      </c>
    </row>
    <row r="336" customFormat="false" ht="15" hidden="false" customHeight="false" outlineLevel="0" collapsed="false">
      <c r="A336" s="5" t="s">
        <v>7337</v>
      </c>
      <c r="B336" s="5" t="s">
        <v>542</v>
      </c>
      <c r="C336" s="5" t="s">
        <v>152</v>
      </c>
      <c r="D336" s="5" t="s">
        <v>16</v>
      </c>
      <c r="E336" s="5" t="n">
        <f aca="false">ROUND(15456*1.05,2)</f>
        <v>16228.8</v>
      </c>
      <c r="F336" s="5" t="s">
        <v>49</v>
      </c>
      <c r="G336" s="5" t="s">
        <v>18</v>
      </c>
      <c r="H336" s="5" t="n">
        <f aca="true">ROUND(RAND()*4+6,1)</f>
        <v>8.4</v>
      </c>
      <c r="I336" s="5" t="s">
        <v>19</v>
      </c>
      <c r="J336" s="5" t="str">
        <f aca="false">ROUND(79*1,0)&amp;"%"</f>
        <v>79%</v>
      </c>
    </row>
    <row r="337" customFormat="false" ht="15" hidden="false" customHeight="false" outlineLevel="0" collapsed="false">
      <c r="A337" s="6" t="s">
        <v>7338</v>
      </c>
      <c r="B337" s="6" t="s">
        <v>544</v>
      </c>
      <c r="C337" s="6" t="s">
        <v>152</v>
      </c>
      <c r="D337" s="6" t="s">
        <v>22</v>
      </c>
      <c r="E337" s="6" t="n">
        <f aca="false">ROUND(6577*1.05,2)</f>
        <v>6905.85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ROUND(65*1,0)&amp;"%"</f>
        <v>65%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7339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7340</v>
      </c>
      <c r="B342" s="5" t="s">
        <v>548</v>
      </c>
      <c r="C342" s="5" t="s">
        <v>15</v>
      </c>
      <c r="D342" s="5" t="s">
        <v>16</v>
      </c>
      <c r="E342" s="5" t="n">
        <f aca="false">ROUND(12534*1.05,2)</f>
        <v>13160.7</v>
      </c>
      <c r="F342" s="5" t="s">
        <v>17</v>
      </c>
      <c r="G342" s="5" t="s">
        <v>18</v>
      </c>
      <c r="H342" s="5" t="n">
        <f aca="true">ROUND(RAND()*4+6,1)</f>
        <v>7.6</v>
      </c>
      <c r="I342" s="5" t="s">
        <v>19</v>
      </c>
      <c r="J342" s="5" t="str">
        <f aca="false">ROUND(88*1,0)&amp;"%"</f>
        <v>88%</v>
      </c>
    </row>
    <row r="343" customFormat="false" ht="15" hidden="false" customHeight="false" outlineLevel="0" collapsed="false">
      <c r="A343" s="6" t="s">
        <v>7341</v>
      </c>
      <c r="B343" s="6" t="s">
        <v>550</v>
      </c>
      <c r="C343" s="6" t="s">
        <v>15</v>
      </c>
      <c r="D343" s="6" t="s">
        <v>22</v>
      </c>
      <c r="E343" s="6" t="n">
        <f aca="false">ROUND(14055*1.05,2)</f>
        <v>14757.75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ROUND(79*1,0)&amp;"%"</f>
        <v>79%</v>
      </c>
    </row>
    <row r="344" customFormat="false" ht="15" hidden="false" customHeight="false" outlineLevel="0" collapsed="false">
      <c r="A344" s="5" t="s">
        <v>7342</v>
      </c>
      <c r="B344" s="5" t="s">
        <v>552</v>
      </c>
      <c r="C344" s="5" t="s">
        <v>15</v>
      </c>
      <c r="D344" s="5" t="s">
        <v>28</v>
      </c>
      <c r="E344" s="5" t="n">
        <f aca="false">ROUND(6870*1.05,2)</f>
        <v>7213.5</v>
      </c>
      <c r="F344" s="5" t="s">
        <v>29</v>
      </c>
      <c r="G344" s="5" t="s">
        <v>30</v>
      </c>
      <c r="H344" s="5" t="n">
        <f aca="true">ROUND(RAND()*4+6,1)</f>
        <v>7.8</v>
      </c>
      <c r="I344" s="5" t="s">
        <v>31</v>
      </c>
      <c r="J344" s="5" t="str">
        <f aca="false">ROUND(63*1,0)&amp;"%"</f>
        <v>63%</v>
      </c>
    </row>
    <row r="345" customFormat="false" ht="15" hidden="false" customHeight="false" outlineLevel="0" collapsed="false">
      <c r="A345" s="6" t="s">
        <v>7343</v>
      </c>
      <c r="B345" s="6" t="s">
        <v>554</v>
      </c>
      <c r="C345" s="6" t="s">
        <v>15</v>
      </c>
      <c r="D345" s="6" t="s">
        <v>34</v>
      </c>
      <c r="E345" s="6" t="n">
        <f aca="false">ROUND(14635*1.05,2)</f>
        <v>15366.75</v>
      </c>
      <c r="F345" s="6" t="s">
        <v>35</v>
      </c>
      <c r="G345" s="6" t="s">
        <v>18</v>
      </c>
      <c r="H345" s="6" t="n">
        <f aca="true">ROUND(RAND()*4+6,1)</f>
        <v>6</v>
      </c>
      <c r="I345" s="6" t="s">
        <v>36</v>
      </c>
      <c r="J345" s="6" t="str">
        <f aca="false">ROUND(96*1,0)&amp;"%"</f>
        <v>96%</v>
      </c>
    </row>
    <row r="346" customFormat="false" ht="15" hidden="false" customHeight="false" outlineLevel="0" collapsed="false">
      <c r="A346" s="5" t="s">
        <v>7344</v>
      </c>
      <c r="B346" s="5" t="s">
        <v>556</v>
      </c>
      <c r="C346" s="5" t="s">
        <v>15</v>
      </c>
      <c r="D346" s="5" t="s">
        <v>39</v>
      </c>
      <c r="E346" s="5" t="n">
        <f aca="false">ROUND(7761*1.05,2)</f>
        <v>8149.05</v>
      </c>
      <c r="F346" s="5" t="s">
        <v>40</v>
      </c>
      <c r="G346" s="5" t="s">
        <v>24</v>
      </c>
      <c r="H346" s="5" t="n">
        <f aca="true">ROUND(RAND()*4+6,1)</f>
        <v>9.3</v>
      </c>
      <c r="I346" s="5" t="s">
        <v>41</v>
      </c>
      <c r="J346" s="5" t="str">
        <f aca="false">ROUND(83*1,0)&amp;"%"</f>
        <v>83%</v>
      </c>
    </row>
    <row r="347" customFormat="false" ht="15" hidden="false" customHeight="false" outlineLevel="0" collapsed="false">
      <c r="A347" s="6" t="s">
        <v>7345</v>
      </c>
      <c r="B347" s="6" t="s">
        <v>558</v>
      </c>
      <c r="C347" s="6" t="s">
        <v>15</v>
      </c>
      <c r="D347" s="6" t="s">
        <v>44</v>
      </c>
      <c r="E347" s="6" t="n">
        <f aca="false">ROUND(12084*1.05,2)</f>
        <v>12688.2</v>
      </c>
      <c r="F347" s="6" t="s">
        <v>45</v>
      </c>
      <c r="G347" s="6" t="s">
        <v>30</v>
      </c>
      <c r="H347" s="6" t="n">
        <f aca="true">ROUND(RAND()*4+6,1)</f>
        <v>6.3</v>
      </c>
      <c r="I347" s="6" t="s">
        <v>46</v>
      </c>
      <c r="J347" s="6" t="str">
        <f aca="false">ROUND(85*1,0)&amp;"%"</f>
        <v>85%</v>
      </c>
    </row>
    <row r="348" customFormat="false" ht="15" hidden="false" customHeight="false" outlineLevel="0" collapsed="false">
      <c r="A348" s="5" t="s">
        <v>7346</v>
      </c>
      <c r="B348" s="5" t="s">
        <v>560</v>
      </c>
      <c r="C348" s="5" t="s">
        <v>15</v>
      </c>
      <c r="D348" s="5" t="s">
        <v>16</v>
      </c>
      <c r="E348" s="5" t="n">
        <f aca="false">ROUND(8163*1.05,2)</f>
        <v>8571.15</v>
      </c>
      <c r="F348" s="5" t="s">
        <v>49</v>
      </c>
      <c r="G348" s="5" t="s">
        <v>18</v>
      </c>
      <c r="H348" s="5" t="n">
        <f aca="true">ROUND(RAND()*4+6,1)</f>
        <v>7.7</v>
      </c>
      <c r="I348" s="5" t="s">
        <v>19</v>
      </c>
      <c r="J348" s="5" t="str">
        <f aca="false">ROUND(100*1,0)&amp;"%"</f>
        <v>100%</v>
      </c>
    </row>
    <row r="349" customFormat="false" ht="15" hidden="false" customHeight="false" outlineLevel="0" collapsed="false">
      <c r="A349" s="6" t="s">
        <v>7347</v>
      </c>
      <c r="B349" s="6" t="s">
        <v>562</v>
      </c>
      <c r="C349" s="6" t="s">
        <v>15</v>
      </c>
      <c r="D349" s="6" t="s">
        <v>22</v>
      </c>
      <c r="E349" s="6" t="n">
        <f aca="false">ROUND(11035*1.05,2)</f>
        <v>11586.75</v>
      </c>
      <c r="F349" s="6" t="s">
        <v>52</v>
      </c>
      <c r="G349" s="6" t="s">
        <v>24</v>
      </c>
      <c r="H349" s="6" t="n">
        <f aca="true">ROUND(RAND()*4+6,1)</f>
        <v>8.1</v>
      </c>
      <c r="I349" s="6" t="s">
        <v>25</v>
      </c>
      <c r="J349" s="6" t="str">
        <f aca="false">ROUND(76*1,0)&amp;"%"</f>
        <v>76%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7348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7349</v>
      </c>
      <c r="B354" s="5" t="s">
        <v>566</v>
      </c>
      <c r="C354" s="5" t="s">
        <v>57</v>
      </c>
      <c r="D354" s="5" t="s">
        <v>16</v>
      </c>
      <c r="E354" s="5" t="n">
        <f aca="false">ROUND(11403*1.05,2)</f>
        <v>11973.15</v>
      </c>
      <c r="F354" s="5" t="s">
        <v>17</v>
      </c>
      <c r="G354" s="5" t="s">
        <v>18</v>
      </c>
      <c r="H354" s="5" t="n">
        <f aca="true">ROUND(RAND()*4+6,1)</f>
        <v>7.5</v>
      </c>
      <c r="I354" s="5" t="s">
        <v>19</v>
      </c>
      <c r="J354" s="5" t="str">
        <f aca="false">ROUND(95*1,0)&amp;"%"</f>
        <v>95%</v>
      </c>
    </row>
    <row r="355" customFormat="false" ht="15" hidden="false" customHeight="false" outlineLevel="0" collapsed="false">
      <c r="A355" s="6" t="s">
        <v>7350</v>
      </c>
      <c r="B355" s="6" t="s">
        <v>568</v>
      </c>
      <c r="C355" s="6" t="s">
        <v>57</v>
      </c>
      <c r="D355" s="6" t="s">
        <v>22</v>
      </c>
      <c r="E355" s="6" t="n">
        <f aca="false">ROUND(11906*1.05,2)</f>
        <v>12501.3</v>
      </c>
      <c r="F355" s="6" t="s">
        <v>23</v>
      </c>
      <c r="G355" s="6" t="s">
        <v>24</v>
      </c>
      <c r="H355" s="6" t="n">
        <f aca="true">ROUND(RAND()*4+6,1)</f>
        <v>7.8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7351</v>
      </c>
      <c r="B356" s="5" t="s">
        <v>570</v>
      </c>
      <c r="C356" s="5" t="s">
        <v>57</v>
      </c>
      <c r="D356" s="5" t="s">
        <v>28</v>
      </c>
      <c r="E356" s="5" t="n">
        <f aca="false">ROUND(14941*1.05,2)</f>
        <v>15688.05</v>
      </c>
      <c r="F356" s="5" t="s">
        <v>29</v>
      </c>
      <c r="G356" s="5" t="s">
        <v>30</v>
      </c>
      <c r="H356" s="5" t="n">
        <f aca="true">ROUND(RAND()*4+6,1)</f>
        <v>8.6</v>
      </c>
      <c r="I356" s="5" t="s">
        <v>31</v>
      </c>
      <c r="J356" s="5" t="str">
        <f aca="false">ROUND(75*1,0)&amp;"%"</f>
        <v>75%</v>
      </c>
    </row>
    <row r="357" customFormat="false" ht="15" hidden="false" customHeight="false" outlineLevel="0" collapsed="false">
      <c r="A357" s="6" t="s">
        <v>7352</v>
      </c>
      <c r="B357" s="6" t="s">
        <v>572</v>
      </c>
      <c r="C357" s="6" t="s">
        <v>57</v>
      </c>
      <c r="D357" s="6" t="s">
        <v>34</v>
      </c>
      <c r="E357" s="6" t="n">
        <f aca="false">ROUND(5618*1.05,2)</f>
        <v>5898.9</v>
      </c>
      <c r="F357" s="6" t="s">
        <v>35</v>
      </c>
      <c r="G357" s="6" t="s">
        <v>18</v>
      </c>
      <c r="H357" s="6" t="n">
        <f aca="true">ROUND(RAND()*4+6,1)</f>
        <v>6.5</v>
      </c>
      <c r="I357" s="6" t="s">
        <v>36</v>
      </c>
      <c r="J357" s="6" t="str">
        <f aca="false">ROUND(61*1,0)&amp;"%"</f>
        <v>61%</v>
      </c>
    </row>
    <row r="358" customFormat="false" ht="15" hidden="false" customHeight="false" outlineLevel="0" collapsed="false">
      <c r="A358" s="5" t="s">
        <v>7353</v>
      </c>
      <c r="B358" s="5" t="s">
        <v>574</v>
      </c>
      <c r="C358" s="5" t="s">
        <v>57</v>
      </c>
      <c r="D358" s="5" t="s">
        <v>39</v>
      </c>
      <c r="E358" s="5" t="n">
        <f aca="false">ROUND(13972*1.05,2)</f>
        <v>14670.6</v>
      </c>
      <c r="F358" s="5" t="s">
        <v>40</v>
      </c>
      <c r="G358" s="5" t="s">
        <v>24</v>
      </c>
      <c r="H358" s="5" t="n">
        <f aca="true">ROUND(RAND()*4+6,1)</f>
        <v>8.1</v>
      </c>
      <c r="I358" s="5" t="s">
        <v>41</v>
      </c>
      <c r="J358" s="5" t="str">
        <f aca="false">ROUND(93*1,0)&amp;"%"</f>
        <v>93%</v>
      </c>
    </row>
    <row r="359" customFormat="false" ht="15" hidden="false" customHeight="false" outlineLevel="0" collapsed="false">
      <c r="A359" s="6" t="s">
        <v>7354</v>
      </c>
      <c r="B359" s="6" t="s">
        <v>576</v>
      </c>
      <c r="C359" s="6" t="s">
        <v>57</v>
      </c>
      <c r="D359" s="6" t="s">
        <v>44</v>
      </c>
      <c r="E359" s="6" t="n">
        <f aca="false">ROUND(16991*1.05,2)</f>
        <v>17840.55</v>
      </c>
      <c r="F359" s="6" t="s">
        <v>45</v>
      </c>
      <c r="G359" s="6" t="s">
        <v>30</v>
      </c>
      <c r="H359" s="6" t="n">
        <f aca="true">ROUND(RAND()*4+6,1)</f>
        <v>8</v>
      </c>
      <c r="I359" s="6" t="s">
        <v>46</v>
      </c>
      <c r="J359" s="6" t="str">
        <f aca="false">ROUND(67*1,0)&amp;"%"</f>
        <v>67%</v>
      </c>
    </row>
    <row r="360" customFormat="false" ht="15" hidden="false" customHeight="false" outlineLevel="0" collapsed="false">
      <c r="A360" s="5" t="s">
        <v>7355</v>
      </c>
      <c r="B360" s="5" t="s">
        <v>578</v>
      </c>
      <c r="C360" s="5" t="s">
        <v>57</v>
      </c>
      <c r="D360" s="5" t="s">
        <v>16</v>
      </c>
      <c r="E360" s="5" t="n">
        <f aca="false">ROUND(10738*1.05,2)</f>
        <v>11274.9</v>
      </c>
      <c r="F360" s="5" t="s">
        <v>49</v>
      </c>
      <c r="G360" s="5" t="s">
        <v>18</v>
      </c>
      <c r="H360" s="5" t="n">
        <f aca="true">ROUND(RAND()*4+6,1)</f>
        <v>9.9</v>
      </c>
      <c r="I360" s="5" t="s">
        <v>19</v>
      </c>
      <c r="J360" s="5" t="str">
        <f aca="false">ROUND(63*1,0)&amp;"%"</f>
        <v>63%</v>
      </c>
    </row>
    <row r="361" customFormat="false" ht="15" hidden="false" customHeight="false" outlineLevel="0" collapsed="false">
      <c r="A361" s="6" t="s">
        <v>7356</v>
      </c>
      <c r="B361" s="6" t="s">
        <v>580</v>
      </c>
      <c r="C361" s="6" t="s">
        <v>57</v>
      </c>
      <c r="D361" s="6" t="s">
        <v>22</v>
      </c>
      <c r="E361" s="6" t="n">
        <f aca="false">ROUND(12028*1.05,2)</f>
        <v>12629.4</v>
      </c>
      <c r="F361" s="6" t="s">
        <v>52</v>
      </c>
      <c r="G361" s="6" t="s">
        <v>24</v>
      </c>
      <c r="H361" s="6" t="n">
        <f aca="true">ROUND(RAND()*4+6,1)</f>
        <v>6</v>
      </c>
      <c r="I361" s="6" t="s">
        <v>25</v>
      </c>
      <c r="J361" s="6" t="str">
        <f aca="false">ROUND(87*1,0)&amp;"%"</f>
        <v>87%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7357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7358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7359</v>
      </c>
      <c r="B6" s="5" t="s">
        <v>14</v>
      </c>
      <c r="C6" s="5" t="s">
        <v>15</v>
      </c>
      <c r="D6" s="5" t="s">
        <v>16</v>
      </c>
      <c r="E6" s="5" t="n">
        <f aca="false">ROUND(16116*1.05,2)</f>
        <v>16921.8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ROUND(81*1,0)&amp;"%"</f>
        <v>81%</v>
      </c>
    </row>
    <row r="7" customFormat="false" ht="15" hidden="false" customHeight="false" outlineLevel="0" collapsed="false">
      <c r="A7" s="6" t="s">
        <v>7360</v>
      </c>
      <c r="B7" s="6" t="s">
        <v>21</v>
      </c>
      <c r="C7" s="6" t="s">
        <v>15</v>
      </c>
      <c r="D7" s="6" t="s">
        <v>22</v>
      </c>
      <c r="E7" s="6" t="n">
        <f aca="false">ROUND(14732*1.05,2)</f>
        <v>15468.6</v>
      </c>
      <c r="F7" s="6" t="s">
        <v>23</v>
      </c>
      <c r="G7" s="6" t="s">
        <v>24</v>
      </c>
      <c r="H7" s="6" t="n">
        <f aca="true">ROUND(RAND()*4+6,1)</f>
        <v>10</v>
      </c>
      <c r="I7" s="6" t="s">
        <v>25</v>
      </c>
      <c r="J7" s="6" t="str">
        <f aca="false">ROUND(81*1,0)&amp;"%"</f>
        <v>81%</v>
      </c>
    </row>
    <row r="8" customFormat="false" ht="15" hidden="false" customHeight="false" outlineLevel="0" collapsed="false">
      <c r="A8" s="5" t="s">
        <v>7361</v>
      </c>
      <c r="B8" s="5" t="s">
        <v>27</v>
      </c>
      <c r="C8" s="5" t="s">
        <v>15</v>
      </c>
      <c r="D8" s="5" t="s">
        <v>28</v>
      </c>
      <c r="E8" s="5" t="n">
        <f aca="false">ROUND(9663*1.05,2)</f>
        <v>10146.15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ROUND(76*1,0)&amp;"%"</f>
        <v>76%</v>
      </c>
    </row>
    <row r="9" customFormat="false" ht="15" hidden="false" customHeight="false" outlineLevel="0" collapsed="false">
      <c r="A9" s="6" t="s">
        <v>7362</v>
      </c>
      <c r="B9" s="6" t="s">
        <v>33</v>
      </c>
      <c r="C9" s="6" t="s">
        <v>15</v>
      </c>
      <c r="D9" s="6" t="s">
        <v>34</v>
      </c>
      <c r="E9" s="6" t="n">
        <f aca="false">ROUND(12693*1.05,2)</f>
        <v>13327.65</v>
      </c>
      <c r="F9" s="6" t="s">
        <v>35</v>
      </c>
      <c r="G9" s="6" t="s">
        <v>18</v>
      </c>
      <c r="H9" s="6" t="n">
        <f aca="true">ROUND(RAND()*4+6,1)</f>
        <v>7.9</v>
      </c>
      <c r="I9" s="6" t="s">
        <v>36</v>
      </c>
      <c r="J9" s="6" t="str">
        <f aca="false">ROUND(94*1,0)&amp;"%"</f>
        <v>94%</v>
      </c>
    </row>
    <row r="10" customFormat="false" ht="15" hidden="false" customHeight="false" outlineLevel="0" collapsed="false">
      <c r="A10" s="5" t="s">
        <v>7363</v>
      </c>
      <c r="B10" s="5" t="s">
        <v>38</v>
      </c>
      <c r="C10" s="5" t="s">
        <v>15</v>
      </c>
      <c r="D10" s="5" t="s">
        <v>39</v>
      </c>
      <c r="E10" s="5" t="n">
        <f aca="false">ROUND(15745*1.05,2)</f>
        <v>16532.25</v>
      </c>
      <c r="F10" s="5" t="s">
        <v>40</v>
      </c>
      <c r="G10" s="5" t="s">
        <v>24</v>
      </c>
      <c r="H10" s="5" t="n">
        <f aca="true">ROUND(RAND()*4+6,1)</f>
        <v>9</v>
      </c>
      <c r="I10" s="5" t="s">
        <v>41</v>
      </c>
      <c r="J10" s="5" t="str">
        <f aca="false">ROUND(74*1,0)&amp;"%"</f>
        <v>74%</v>
      </c>
    </row>
    <row r="11" customFormat="false" ht="15" hidden="false" customHeight="false" outlineLevel="0" collapsed="false">
      <c r="A11" s="6" t="s">
        <v>7364</v>
      </c>
      <c r="B11" s="6" t="s">
        <v>43</v>
      </c>
      <c r="C11" s="6" t="s">
        <v>15</v>
      </c>
      <c r="D11" s="6" t="s">
        <v>44</v>
      </c>
      <c r="E11" s="6" t="n">
        <f aca="false">ROUND(10362*1.05,2)</f>
        <v>10880.1</v>
      </c>
      <c r="F11" s="6" t="s">
        <v>45</v>
      </c>
      <c r="G11" s="6" t="s">
        <v>30</v>
      </c>
      <c r="H11" s="6" t="n">
        <f aca="true">ROUND(RAND()*4+6,1)</f>
        <v>7.8</v>
      </c>
      <c r="I11" s="6" t="s">
        <v>46</v>
      </c>
      <c r="J11" s="6" t="str">
        <f aca="false">ROUND(70*1,0)&amp;"%"</f>
        <v>70%</v>
      </c>
    </row>
    <row r="12" customFormat="false" ht="15" hidden="false" customHeight="false" outlineLevel="0" collapsed="false">
      <c r="A12" s="5" t="s">
        <v>7365</v>
      </c>
      <c r="B12" s="5" t="s">
        <v>48</v>
      </c>
      <c r="C12" s="5" t="s">
        <v>15</v>
      </c>
      <c r="D12" s="5" t="s">
        <v>16</v>
      </c>
      <c r="E12" s="5" t="n">
        <f aca="false">ROUND(16563*1.05,2)</f>
        <v>17391.15</v>
      </c>
      <c r="F12" s="5" t="s">
        <v>49</v>
      </c>
      <c r="G12" s="5" t="s">
        <v>18</v>
      </c>
      <c r="H12" s="5" t="n">
        <f aca="true">ROUND(RAND()*4+6,1)</f>
        <v>9.8</v>
      </c>
      <c r="I12" s="5" t="s">
        <v>19</v>
      </c>
      <c r="J12" s="5" t="str">
        <f aca="false">ROUND(81*1,0)&amp;"%"</f>
        <v>81%</v>
      </c>
    </row>
    <row r="13" customFormat="false" ht="15" hidden="false" customHeight="false" outlineLevel="0" collapsed="false">
      <c r="A13" s="6" t="s">
        <v>7366</v>
      </c>
      <c r="B13" s="6" t="s">
        <v>51</v>
      </c>
      <c r="C13" s="6" t="s">
        <v>15</v>
      </c>
      <c r="D13" s="6" t="s">
        <v>22</v>
      </c>
      <c r="E13" s="6" t="n">
        <f aca="false">ROUND(13123*1.05,2)</f>
        <v>13779.15</v>
      </c>
      <c r="F13" s="6" t="s">
        <v>52</v>
      </c>
      <c r="G13" s="6" t="s">
        <v>24</v>
      </c>
      <c r="H13" s="6" t="n">
        <f aca="true">ROUND(RAND()*4+6,1)</f>
        <v>10</v>
      </c>
      <c r="I13" s="6" t="s">
        <v>25</v>
      </c>
      <c r="J13" s="6" t="str">
        <f aca="false">ROUND(91*1,0)&amp;"%"</f>
        <v>91%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7367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7368</v>
      </c>
      <c r="B18" s="5" t="s">
        <v>56</v>
      </c>
      <c r="C18" s="5" t="s">
        <v>57</v>
      </c>
      <c r="D18" s="5" t="s">
        <v>16</v>
      </c>
      <c r="E18" s="5" t="n">
        <f aca="false">ROUND(17560*1.05,2)</f>
        <v>18438</v>
      </c>
      <c r="F18" s="5" t="s">
        <v>17</v>
      </c>
      <c r="G18" s="5" t="s">
        <v>18</v>
      </c>
      <c r="H18" s="5" t="n">
        <f aca="true">ROUND(RAND()*4+6,1)</f>
        <v>9.3</v>
      </c>
      <c r="I18" s="5" t="s">
        <v>19</v>
      </c>
      <c r="J18" s="5" t="str">
        <f aca="false">ROUND(90*1,0)&amp;"%"</f>
        <v>90%</v>
      </c>
    </row>
    <row r="19" customFormat="false" ht="15" hidden="false" customHeight="false" outlineLevel="0" collapsed="false">
      <c r="A19" s="6" t="s">
        <v>7369</v>
      </c>
      <c r="B19" s="6" t="s">
        <v>59</v>
      </c>
      <c r="C19" s="6" t="s">
        <v>57</v>
      </c>
      <c r="D19" s="6" t="s">
        <v>22</v>
      </c>
      <c r="E19" s="6" t="n">
        <f aca="false">ROUND(12838*1.05,2)</f>
        <v>13479.9</v>
      </c>
      <c r="F19" s="6" t="s">
        <v>23</v>
      </c>
      <c r="G19" s="6" t="s">
        <v>24</v>
      </c>
      <c r="H19" s="6" t="n">
        <f aca="true">ROUND(RAND()*4+6,1)</f>
        <v>6.1</v>
      </c>
      <c r="I19" s="6" t="s">
        <v>25</v>
      </c>
      <c r="J19" s="6" t="str">
        <f aca="false">ROUND(98*1,0)&amp;"%"</f>
        <v>98%</v>
      </c>
    </row>
    <row r="20" customFormat="false" ht="15" hidden="false" customHeight="false" outlineLevel="0" collapsed="false">
      <c r="A20" s="5" t="s">
        <v>7370</v>
      </c>
      <c r="B20" s="5" t="s">
        <v>61</v>
      </c>
      <c r="C20" s="5" t="s">
        <v>57</v>
      </c>
      <c r="D20" s="5" t="s">
        <v>28</v>
      </c>
      <c r="E20" s="5" t="n">
        <f aca="false">ROUND(5504*1.05,2)</f>
        <v>5779.2</v>
      </c>
      <c r="F20" s="5" t="s">
        <v>29</v>
      </c>
      <c r="G20" s="5" t="s">
        <v>30</v>
      </c>
      <c r="H20" s="5" t="n">
        <f aca="true">ROUND(RAND()*4+6,1)</f>
        <v>8.2</v>
      </c>
      <c r="I20" s="5" t="s">
        <v>31</v>
      </c>
      <c r="J20" s="5" t="str">
        <f aca="false">ROUND(67*1,0)&amp;"%"</f>
        <v>67%</v>
      </c>
    </row>
    <row r="21" customFormat="false" ht="15" hidden="false" customHeight="false" outlineLevel="0" collapsed="false">
      <c r="A21" s="6" t="s">
        <v>7371</v>
      </c>
      <c r="B21" s="6" t="s">
        <v>63</v>
      </c>
      <c r="C21" s="6" t="s">
        <v>57</v>
      </c>
      <c r="D21" s="6" t="s">
        <v>34</v>
      </c>
      <c r="E21" s="6" t="n">
        <f aca="false">ROUND(12483*1.05,2)</f>
        <v>13107.15</v>
      </c>
      <c r="F21" s="6" t="s">
        <v>35</v>
      </c>
      <c r="G21" s="6" t="s">
        <v>18</v>
      </c>
      <c r="H21" s="6" t="n">
        <f aca="true">ROUND(RAND()*4+6,1)</f>
        <v>8.9</v>
      </c>
      <c r="I21" s="6" t="s">
        <v>36</v>
      </c>
      <c r="J21" s="6" t="str">
        <f aca="false">ROUND(81*1,0)&amp;"%"</f>
        <v>81%</v>
      </c>
    </row>
    <row r="22" customFormat="false" ht="15" hidden="false" customHeight="false" outlineLevel="0" collapsed="false">
      <c r="A22" s="5" t="s">
        <v>7372</v>
      </c>
      <c r="B22" s="5" t="s">
        <v>65</v>
      </c>
      <c r="C22" s="5" t="s">
        <v>57</v>
      </c>
      <c r="D22" s="5" t="s">
        <v>39</v>
      </c>
      <c r="E22" s="5" t="n">
        <f aca="false">ROUND(8924*1.05,2)</f>
        <v>9370.2</v>
      </c>
      <c r="F22" s="5" t="s">
        <v>40</v>
      </c>
      <c r="G22" s="5" t="s">
        <v>24</v>
      </c>
      <c r="H22" s="5" t="n">
        <f aca="true">ROUND(RAND()*4+6,1)</f>
        <v>9.2</v>
      </c>
      <c r="I22" s="5" t="s">
        <v>41</v>
      </c>
      <c r="J22" s="5" t="str">
        <f aca="false">ROUND(88*1,0)&amp;"%"</f>
        <v>88%</v>
      </c>
    </row>
    <row r="23" customFormat="false" ht="15" hidden="false" customHeight="false" outlineLevel="0" collapsed="false">
      <c r="A23" s="6" t="s">
        <v>7373</v>
      </c>
      <c r="B23" s="6" t="s">
        <v>67</v>
      </c>
      <c r="C23" s="6" t="s">
        <v>57</v>
      </c>
      <c r="D23" s="6" t="s">
        <v>44</v>
      </c>
      <c r="E23" s="6" t="n">
        <f aca="false">ROUND(16225*1.05,2)</f>
        <v>17036.25</v>
      </c>
      <c r="F23" s="6" t="s">
        <v>45</v>
      </c>
      <c r="G23" s="6" t="s">
        <v>30</v>
      </c>
      <c r="H23" s="6" t="n">
        <f aca="true">ROUND(RAND()*4+6,1)</f>
        <v>8.9</v>
      </c>
      <c r="I23" s="6" t="s">
        <v>46</v>
      </c>
      <c r="J23" s="6" t="str">
        <f aca="false">ROUND(100*1,0)&amp;"%"</f>
        <v>100%</v>
      </c>
    </row>
    <row r="24" customFormat="false" ht="15" hidden="false" customHeight="false" outlineLevel="0" collapsed="false">
      <c r="A24" s="5" t="s">
        <v>7374</v>
      </c>
      <c r="B24" s="5" t="s">
        <v>69</v>
      </c>
      <c r="C24" s="5" t="s">
        <v>57</v>
      </c>
      <c r="D24" s="5" t="s">
        <v>16</v>
      </c>
      <c r="E24" s="5" t="n">
        <f aca="false">ROUND(11752*1.05,2)</f>
        <v>12339.6</v>
      </c>
      <c r="F24" s="5" t="s">
        <v>49</v>
      </c>
      <c r="G24" s="5" t="s">
        <v>18</v>
      </c>
      <c r="H24" s="5" t="n">
        <f aca="true">ROUND(RAND()*4+6,1)</f>
        <v>6.2</v>
      </c>
      <c r="I24" s="5" t="s">
        <v>19</v>
      </c>
      <c r="J24" s="5" t="str">
        <f aca="false">ROUND(87*1,0)&amp;"%"</f>
        <v>87%</v>
      </c>
    </row>
    <row r="25" customFormat="false" ht="15" hidden="false" customHeight="false" outlineLevel="0" collapsed="false">
      <c r="A25" s="6" t="s">
        <v>7375</v>
      </c>
      <c r="B25" s="6" t="s">
        <v>71</v>
      </c>
      <c r="C25" s="6" t="s">
        <v>57</v>
      </c>
      <c r="D25" s="6" t="s">
        <v>22</v>
      </c>
      <c r="E25" s="6" t="n">
        <f aca="false">ROUND(5731*1.05,2)</f>
        <v>6017.55</v>
      </c>
      <c r="F25" s="6" t="s">
        <v>52</v>
      </c>
      <c r="G25" s="6" t="s">
        <v>24</v>
      </c>
      <c r="H25" s="6" t="n">
        <f aca="true">ROUND(RAND()*4+6,1)</f>
        <v>6.1</v>
      </c>
      <c r="I25" s="6" t="s">
        <v>25</v>
      </c>
      <c r="J25" s="6" t="str">
        <f aca="false">ROUND(97*1,0)&amp;"%"</f>
        <v>97%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7376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7377</v>
      </c>
      <c r="B30" s="5" t="s">
        <v>75</v>
      </c>
      <c r="C30" s="5" t="s">
        <v>76</v>
      </c>
      <c r="D30" s="5" t="s">
        <v>16</v>
      </c>
      <c r="E30" s="5" t="n">
        <f aca="false">ROUND(4209*1.05,2)</f>
        <v>4419.45</v>
      </c>
      <c r="F30" s="5" t="s">
        <v>17</v>
      </c>
      <c r="G30" s="5" t="s">
        <v>18</v>
      </c>
      <c r="H30" s="5" t="n">
        <f aca="true">ROUND(RAND()*4+6,1)</f>
        <v>8.4</v>
      </c>
      <c r="I30" s="5" t="s">
        <v>19</v>
      </c>
      <c r="J30" s="5" t="str">
        <f aca="false">ROUND(80*1,0)&amp;"%"</f>
        <v>80%</v>
      </c>
    </row>
    <row r="31" customFormat="false" ht="15" hidden="false" customHeight="false" outlineLevel="0" collapsed="false">
      <c r="A31" s="6" t="s">
        <v>7378</v>
      </c>
      <c r="B31" s="6" t="s">
        <v>78</v>
      </c>
      <c r="C31" s="6" t="s">
        <v>76</v>
      </c>
      <c r="D31" s="6" t="s">
        <v>22</v>
      </c>
      <c r="E31" s="6" t="n">
        <f aca="false">ROUND(10153*1.05,2)</f>
        <v>10660.65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ROUND(65*1,0)&amp;"%"</f>
        <v>65%</v>
      </c>
    </row>
    <row r="32" customFormat="false" ht="15" hidden="false" customHeight="false" outlineLevel="0" collapsed="false">
      <c r="A32" s="5" t="s">
        <v>7379</v>
      </c>
      <c r="B32" s="5" t="s">
        <v>80</v>
      </c>
      <c r="C32" s="5" t="s">
        <v>76</v>
      </c>
      <c r="D32" s="5" t="s">
        <v>28</v>
      </c>
      <c r="E32" s="5" t="n">
        <f aca="false">ROUND(7038*1.05,2)</f>
        <v>7389.9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ROUND(61*1,0)&amp;"%"</f>
        <v>61%</v>
      </c>
    </row>
    <row r="33" customFormat="false" ht="15" hidden="false" customHeight="false" outlineLevel="0" collapsed="false">
      <c r="A33" s="6" t="s">
        <v>7380</v>
      </c>
      <c r="B33" s="6" t="s">
        <v>82</v>
      </c>
      <c r="C33" s="6" t="s">
        <v>76</v>
      </c>
      <c r="D33" s="6" t="s">
        <v>34</v>
      </c>
      <c r="E33" s="6" t="n">
        <f aca="false">ROUND(10195*1.05,2)</f>
        <v>10704.75</v>
      </c>
      <c r="F33" s="6" t="s">
        <v>35</v>
      </c>
      <c r="G33" s="6" t="s">
        <v>18</v>
      </c>
      <c r="H33" s="6" t="n">
        <f aca="true">ROUND(RAND()*4+6,1)</f>
        <v>8.2</v>
      </c>
      <c r="I33" s="6" t="s">
        <v>36</v>
      </c>
      <c r="J33" s="6" t="str">
        <f aca="false">ROUND(60*1,0)&amp;"%"</f>
        <v>60%</v>
      </c>
    </row>
    <row r="34" customFormat="false" ht="15" hidden="false" customHeight="false" outlineLevel="0" collapsed="false">
      <c r="A34" s="5" t="s">
        <v>7381</v>
      </c>
      <c r="B34" s="5" t="s">
        <v>84</v>
      </c>
      <c r="C34" s="5" t="s">
        <v>76</v>
      </c>
      <c r="D34" s="5" t="s">
        <v>39</v>
      </c>
      <c r="E34" s="5" t="n">
        <f aca="false">ROUND(4653*1.05,2)</f>
        <v>4885.65</v>
      </c>
      <c r="F34" s="5" t="s">
        <v>40</v>
      </c>
      <c r="G34" s="5" t="s">
        <v>24</v>
      </c>
      <c r="H34" s="5" t="n">
        <f aca="true">ROUND(RAND()*4+6,1)</f>
        <v>9.7</v>
      </c>
      <c r="I34" s="5" t="s">
        <v>41</v>
      </c>
      <c r="J34" s="5" t="str">
        <f aca="false">ROUND(74*1,0)&amp;"%"</f>
        <v>74%</v>
      </c>
    </row>
    <row r="35" customFormat="false" ht="15" hidden="false" customHeight="false" outlineLevel="0" collapsed="false">
      <c r="A35" s="6" t="s">
        <v>7382</v>
      </c>
      <c r="B35" s="6" t="s">
        <v>86</v>
      </c>
      <c r="C35" s="6" t="s">
        <v>76</v>
      </c>
      <c r="D35" s="6" t="s">
        <v>44</v>
      </c>
      <c r="E35" s="6" t="n">
        <f aca="false">ROUND(15863*1.05,2)</f>
        <v>16656.15</v>
      </c>
      <c r="F35" s="6" t="s">
        <v>45</v>
      </c>
      <c r="G35" s="6" t="s">
        <v>30</v>
      </c>
      <c r="H35" s="6" t="n">
        <f aca="true">ROUND(RAND()*4+6,1)</f>
        <v>9.4</v>
      </c>
      <c r="I35" s="6" t="s">
        <v>46</v>
      </c>
      <c r="J35" s="6" t="str">
        <f aca="false">ROUND(90*1,0)&amp;"%"</f>
        <v>90%</v>
      </c>
    </row>
    <row r="36" customFormat="false" ht="15" hidden="false" customHeight="false" outlineLevel="0" collapsed="false">
      <c r="A36" s="5" t="s">
        <v>7383</v>
      </c>
      <c r="B36" s="5" t="s">
        <v>88</v>
      </c>
      <c r="C36" s="5" t="s">
        <v>76</v>
      </c>
      <c r="D36" s="5" t="s">
        <v>16</v>
      </c>
      <c r="E36" s="5" t="n">
        <f aca="false">ROUND(12783*1.05,2)</f>
        <v>13422.15</v>
      </c>
      <c r="F36" s="5" t="s">
        <v>49</v>
      </c>
      <c r="G36" s="5" t="s">
        <v>18</v>
      </c>
      <c r="H36" s="5" t="n">
        <f aca="true">ROUND(RAND()*4+6,1)</f>
        <v>9.2</v>
      </c>
      <c r="I36" s="5" t="s">
        <v>19</v>
      </c>
      <c r="J36" s="5" t="str">
        <f aca="false">ROUND(90*1,0)&amp;"%"</f>
        <v>90%</v>
      </c>
    </row>
    <row r="37" customFormat="false" ht="15" hidden="false" customHeight="false" outlineLevel="0" collapsed="false">
      <c r="A37" s="6" t="s">
        <v>7384</v>
      </c>
      <c r="B37" s="6" t="s">
        <v>90</v>
      </c>
      <c r="C37" s="6" t="s">
        <v>76</v>
      </c>
      <c r="D37" s="6" t="s">
        <v>22</v>
      </c>
      <c r="E37" s="6" t="n">
        <f aca="false">ROUND(5044*1.05,2)</f>
        <v>5296.2</v>
      </c>
      <c r="F37" s="6" t="s">
        <v>52</v>
      </c>
      <c r="G37" s="6" t="s">
        <v>24</v>
      </c>
      <c r="H37" s="6" t="n">
        <f aca="true">ROUND(RAND()*4+6,1)</f>
        <v>9.7</v>
      </c>
      <c r="I37" s="6" t="s">
        <v>25</v>
      </c>
      <c r="J37" s="6" t="str">
        <f aca="false">ROUND(85*1,0)&amp;"%"</f>
        <v>85%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7385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7386</v>
      </c>
      <c r="B42" s="5" t="s">
        <v>94</v>
      </c>
      <c r="C42" s="5" t="s">
        <v>95</v>
      </c>
      <c r="D42" s="5" t="s">
        <v>16</v>
      </c>
      <c r="E42" s="5" t="n">
        <f aca="false">ROUND(16755*1.05,2)</f>
        <v>17592.75</v>
      </c>
      <c r="F42" s="5" t="s">
        <v>17</v>
      </c>
      <c r="G42" s="5" t="s">
        <v>18</v>
      </c>
      <c r="H42" s="5" t="n">
        <f aca="true">ROUND(RAND()*4+6,1)</f>
        <v>7.7</v>
      </c>
      <c r="I42" s="5" t="s">
        <v>19</v>
      </c>
      <c r="J42" s="5" t="str">
        <f aca="false">ROUND(95*1,0)&amp;"%"</f>
        <v>95%</v>
      </c>
    </row>
    <row r="43" customFormat="false" ht="15" hidden="false" customHeight="false" outlineLevel="0" collapsed="false">
      <c r="A43" s="6" t="s">
        <v>7387</v>
      </c>
      <c r="B43" s="6" t="s">
        <v>97</v>
      </c>
      <c r="C43" s="6" t="s">
        <v>95</v>
      </c>
      <c r="D43" s="6" t="s">
        <v>22</v>
      </c>
      <c r="E43" s="6" t="n">
        <f aca="false">ROUND(15465*1.05,2)</f>
        <v>16238.25</v>
      </c>
      <c r="F43" s="6" t="s">
        <v>23</v>
      </c>
      <c r="G43" s="6" t="s">
        <v>24</v>
      </c>
      <c r="H43" s="6" t="n">
        <f aca="true">ROUND(RAND()*4+6,1)</f>
        <v>8.5</v>
      </c>
      <c r="I43" s="6" t="s">
        <v>25</v>
      </c>
      <c r="J43" s="6" t="str">
        <f aca="false">ROUND(63*1,0)&amp;"%"</f>
        <v>63%</v>
      </c>
    </row>
    <row r="44" customFormat="false" ht="15" hidden="false" customHeight="false" outlineLevel="0" collapsed="false">
      <c r="A44" s="5" t="s">
        <v>7388</v>
      </c>
      <c r="B44" s="5" t="s">
        <v>99</v>
      </c>
      <c r="C44" s="5" t="s">
        <v>95</v>
      </c>
      <c r="D44" s="5" t="s">
        <v>28</v>
      </c>
      <c r="E44" s="5" t="n">
        <f aca="false">ROUND(13259*1.05,2)</f>
        <v>13921.95</v>
      </c>
      <c r="F44" s="5" t="s">
        <v>29</v>
      </c>
      <c r="G44" s="5" t="s">
        <v>30</v>
      </c>
      <c r="H44" s="5" t="n">
        <f aca="true">ROUND(RAND()*4+6,1)</f>
        <v>6.7</v>
      </c>
      <c r="I44" s="5" t="s">
        <v>31</v>
      </c>
      <c r="J44" s="5" t="str">
        <f aca="false">ROUND(68*1,0)&amp;"%"</f>
        <v>68%</v>
      </c>
    </row>
    <row r="45" customFormat="false" ht="15" hidden="false" customHeight="false" outlineLevel="0" collapsed="false">
      <c r="A45" s="6" t="s">
        <v>7389</v>
      </c>
      <c r="B45" s="6" t="s">
        <v>101</v>
      </c>
      <c r="C45" s="6" t="s">
        <v>95</v>
      </c>
      <c r="D45" s="6" t="s">
        <v>34</v>
      </c>
      <c r="E45" s="6" t="n">
        <f aca="false">ROUND(12084*1.05,2)</f>
        <v>12688.2</v>
      </c>
      <c r="F45" s="6" t="s">
        <v>35</v>
      </c>
      <c r="G45" s="6" t="s">
        <v>18</v>
      </c>
      <c r="H45" s="6" t="n">
        <f aca="true">ROUND(RAND()*4+6,1)</f>
        <v>6.9</v>
      </c>
      <c r="I45" s="6" t="s">
        <v>36</v>
      </c>
      <c r="J45" s="6" t="str">
        <f aca="false">ROUND(75*1,0)&amp;"%"</f>
        <v>75%</v>
      </c>
    </row>
    <row r="46" customFormat="false" ht="15" hidden="false" customHeight="false" outlineLevel="0" collapsed="false">
      <c r="A46" s="5" t="s">
        <v>7390</v>
      </c>
      <c r="B46" s="5" t="s">
        <v>103</v>
      </c>
      <c r="C46" s="5" t="s">
        <v>95</v>
      </c>
      <c r="D46" s="5" t="s">
        <v>39</v>
      </c>
      <c r="E46" s="5" t="n">
        <f aca="false">ROUND(11518*1.05,2)</f>
        <v>12093.9</v>
      </c>
      <c r="F46" s="5" t="s">
        <v>40</v>
      </c>
      <c r="G46" s="5" t="s">
        <v>24</v>
      </c>
      <c r="H46" s="5" t="n">
        <f aca="true">ROUND(RAND()*4+6,1)</f>
        <v>6.6</v>
      </c>
      <c r="I46" s="5" t="s">
        <v>41</v>
      </c>
      <c r="J46" s="5" t="str">
        <f aca="false">ROUND(62*1,0)&amp;"%"</f>
        <v>62%</v>
      </c>
    </row>
    <row r="47" customFormat="false" ht="15" hidden="false" customHeight="false" outlineLevel="0" collapsed="false">
      <c r="A47" s="6" t="s">
        <v>7391</v>
      </c>
      <c r="B47" s="6" t="s">
        <v>105</v>
      </c>
      <c r="C47" s="6" t="s">
        <v>95</v>
      </c>
      <c r="D47" s="6" t="s">
        <v>44</v>
      </c>
      <c r="E47" s="6" t="n">
        <f aca="false">ROUND(4593*1.05,2)</f>
        <v>4822.65</v>
      </c>
      <c r="F47" s="6" t="s">
        <v>45</v>
      </c>
      <c r="G47" s="6" t="s">
        <v>30</v>
      </c>
      <c r="H47" s="6" t="n">
        <f aca="true">ROUND(RAND()*4+6,1)</f>
        <v>9.1</v>
      </c>
      <c r="I47" s="6" t="s">
        <v>46</v>
      </c>
      <c r="J47" s="6" t="str">
        <f aca="false">ROUND(99*1,0)&amp;"%"</f>
        <v>99%</v>
      </c>
    </row>
    <row r="48" customFormat="false" ht="15" hidden="false" customHeight="false" outlineLevel="0" collapsed="false">
      <c r="A48" s="5" t="s">
        <v>7392</v>
      </c>
      <c r="B48" s="5" t="s">
        <v>107</v>
      </c>
      <c r="C48" s="5" t="s">
        <v>95</v>
      </c>
      <c r="D48" s="5" t="s">
        <v>16</v>
      </c>
      <c r="E48" s="5" t="n">
        <f aca="false">ROUND(9037*1.05,2)</f>
        <v>9488.85</v>
      </c>
      <c r="F48" s="5" t="s">
        <v>49</v>
      </c>
      <c r="G48" s="5" t="s">
        <v>18</v>
      </c>
      <c r="H48" s="5" t="n">
        <f aca="true">ROUND(RAND()*4+6,1)</f>
        <v>8.2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7393</v>
      </c>
      <c r="B49" s="6" t="s">
        <v>109</v>
      </c>
      <c r="C49" s="6" t="s">
        <v>95</v>
      </c>
      <c r="D49" s="6" t="s">
        <v>22</v>
      </c>
      <c r="E49" s="6" t="n">
        <f aca="false">ROUND(13897*1.05,2)</f>
        <v>14591.85</v>
      </c>
      <c r="F49" s="6" t="s">
        <v>52</v>
      </c>
      <c r="G49" s="6" t="s">
        <v>24</v>
      </c>
      <c r="H49" s="6" t="n">
        <f aca="true">ROUND(RAND()*4+6,1)</f>
        <v>7.4</v>
      </c>
      <c r="I49" s="6" t="s">
        <v>25</v>
      </c>
      <c r="J49" s="6" t="str">
        <f aca="false">ROUND(86*1,0)&amp;"%"</f>
        <v>86%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7394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7395</v>
      </c>
      <c r="B54" s="5" t="s">
        <v>113</v>
      </c>
      <c r="C54" s="5" t="s">
        <v>114</v>
      </c>
      <c r="D54" s="5" t="s">
        <v>16</v>
      </c>
      <c r="E54" s="5" t="n">
        <f aca="false">ROUND(16770*1.05,2)</f>
        <v>17608.5</v>
      </c>
      <c r="F54" s="5" t="s">
        <v>17</v>
      </c>
      <c r="G54" s="5" t="s">
        <v>18</v>
      </c>
      <c r="H54" s="5" t="n">
        <f aca="true">ROUND(RAND()*4+6,1)</f>
        <v>9.6</v>
      </c>
      <c r="I54" s="5" t="s">
        <v>19</v>
      </c>
      <c r="J54" s="5" t="str">
        <f aca="false">ROUND(99*1,0)&amp;"%"</f>
        <v>99%</v>
      </c>
    </row>
    <row r="55" customFormat="false" ht="15" hidden="false" customHeight="false" outlineLevel="0" collapsed="false">
      <c r="A55" s="6" t="s">
        <v>7396</v>
      </c>
      <c r="B55" s="6" t="s">
        <v>116</v>
      </c>
      <c r="C55" s="6" t="s">
        <v>114</v>
      </c>
      <c r="D55" s="6" t="s">
        <v>22</v>
      </c>
      <c r="E55" s="6" t="n">
        <f aca="false">ROUND(13877*1.05,2)</f>
        <v>14570.85</v>
      </c>
      <c r="F55" s="6" t="s">
        <v>23</v>
      </c>
      <c r="G55" s="6" t="s">
        <v>24</v>
      </c>
      <c r="H55" s="6" t="n">
        <f aca="true">ROUND(RAND()*4+6,1)</f>
        <v>7.6</v>
      </c>
      <c r="I55" s="6" t="s">
        <v>25</v>
      </c>
      <c r="J55" s="6" t="str">
        <f aca="false">ROUND(71*1,0)&amp;"%"</f>
        <v>71%</v>
      </c>
    </row>
    <row r="56" customFormat="false" ht="15" hidden="false" customHeight="false" outlineLevel="0" collapsed="false">
      <c r="A56" s="5" t="s">
        <v>7397</v>
      </c>
      <c r="B56" s="5" t="s">
        <v>118</v>
      </c>
      <c r="C56" s="5" t="s">
        <v>114</v>
      </c>
      <c r="D56" s="5" t="s">
        <v>28</v>
      </c>
      <c r="E56" s="5" t="n">
        <f aca="false">ROUND(8849*1.05,2)</f>
        <v>9291.45</v>
      </c>
      <c r="F56" s="5" t="s">
        <v>29</v>
      </c>
      <c r="G56" s="5" t="s">
        <v>30</v>
      </c>
      <c r="H56" s="5" t="n">
        <f aca="true">ROUND(RAND()*4+6,1)</f>
        <v>9.7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7398</v>
      </c>
      <c r="B57" s="6" t="s">
        <v>120</v>
      </c>
      <c r="C57" s="6" t="s">
        <v>114</v>
      </c>
      <c r="D57" s="6" t="s">
        <v>34</v>
      </c>
      <c r="E57" s="6" t="n">
        <f aca="false">ROUND(11702*1.05,2)</f>
        <v>12287.1</v>
      </c>
      <c r="F57" s="6" t="s">
        <v>35</v>
      </c>
      <c r="G57" s="6" t="s">
        <v>18</v>
      </c>
      <c r="H57" s="6" t="n">
        <f aca="true">ROUND(RAND()*4+6,1)</f>
        <v>9.9</v>
      </c>
      <c r="I57" s="6" t="s">
        <v>36</v>
      </c>
      <c r="J57" s="6" t="str">
        <f aca="false">ROUND(68*1,0)&amp;"%"</f>
        <v>68%</v>
      </c>
    </row>
    <row r="58" customFormat="false" ht="15" hidden="false" customHeight="false" outlineLevel="0" collapsed="false">
      <c r="A58" s="5" t="s">
        <v>7399</v>
      </c>
      <c r="B58" s="5" t="s">
        <v>122</v>
      </c>
      <c r="C58" s="5" t="s">
        <v>114</v>
      </c>
      <c r="D58" s="5" t="s">
        <v>39</v>
      </c>
      <c r="E58" s="5" t="n">
        <f aca="false">ROUND(6637*1.05,2)</f>
        <v>6968.85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ROUND(69*1,0)&amp;"%"</f>
        <v>69%</v>
      </c>
    </row>
    <row r="59" customFormat="false" ht="15" hidden="false" customHeight="false" outlineLevel="0" collapsed="false">
      <c r="A59" s="6" t="s">
        <v>7400</v>
      </c>
      <c r="B59" s="6" t="s">
        <v>124</v>
      </c>
      <c r="C59" s="6" t="s">
        <v>114</v>
      </c>
      <c r="D59" s="6" t="s">
        <v>44</v>
      </c>
      <c r="E59" s="6" t="n">
        <f aca="false">ROUND(15948*1.05,2)</f>
        <v>16745.4</v>
      </c>
      <c r="F59" s="6" t="s">
        <v>45</v>
      </c>
      <c r="G59" s="6" t="s">
        <v>30</v>
      </c>
      <c r="H59" s="6" t="n">
        <f aca="true">ROUND(RAND()*4+6,1)</f>
        <v>9.2</v>
      </c>
      <c r="I59" s="6" t="s">
        <v>46</v>
      </c>
      <c r="J59" s="6" t="str">
        <f aca="false">ROUND(75*1,0)&amp;"%"</f>
        <v>75%</v>
      </c>
    </row>
    <row r="60" customFormat="false" ht="15" hidden="false" customHeight="false" outlineLevel="0" collapsed="false">
      <c r="A60" s="5" t="s">
        <v>7401</v>
      </c>
      <c r="B60" s="5" t="s">
        <v>126</v>
      </c>
      <c r="C60" s="5" t="s">
        <v>114</v>
      </c>
      <c r="D60" s="5" t="s">
        <v>16</v>
      </c>
      <c r="E60" s="5" t="n">
        <f aca="false">ROUND(16784*1.05,2)</f>
        <v>17623.2</v>
      </c>
      <c r="F60" s="5" t="s">
        <v>49</v>
      </c>
      <c r="G60" s="5" t="s">
        <v>18</v>
      </c>
      <c r="H60" s="5" t="n">
        <f aca="true">ROUND(RAND()*4+6,1)</f>
        <v>8</v>
      </c>
      <c r="I60" s="5" t="s">
        <v>19</v>
      </c>
      <c r="J60" s="5" t="str">
        <f aca="false">ROUND(73*1,0)&amp;"%"</f>
        <v>73%</v>
      </c>
    </row>
    <row r="61" customFormat="false" ht="15" hidden="false" customHeight="false" outlineLevel="0" collapsed="false">
      <c r="A61" s="6" t="s">
        <v>7402</v>
      </c>
      <c r="B61" s="6" t="s">
        <v>128</v>
      </c>
      <c r="C61" s="6" t="s">
        <v>114</v>
      </c>
      <c r="D61" s="6" t="s">
        <v>22</v>
      </c>
      <c r="E61" s="6" t="n">
        <f aca="false">ROUND(4729*1.05,2)</f>
        <v>4965.45</v>
      </c>
      <c r="F61" s="6" t="s">
        <v>52</v>
      </c>
      <c r="G61" s="6" t="s">
        <v>24</v>
      </c>
      <c r="H61" s="6" t="n">
        <f aca="true">ROUND(RAND()*4+6,1)</f>
        <v>7.1</v>
      </c>
      <c r="I61" s="6" t="s">
        <v>25</v>
      </c>
      <c r="J61" s="6" t="str">
        <f aca="false">ROUND(61*1,0)&amp;"%"</f>
        <v>61%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7403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7404</v>
      </c>
      <c r="B66" s="5" t="s">
        <v>132</v>
      </c>
      <c r="C66" s="5" t="s">
        <v>133</v>
      </c>
      <c r="D66" s="5" t="s">
        <v>16</v>
      </c>
      <c r="E66" s="5" t="n">
        <f aca="false">ROUND(16979*1.05,2)</f>
        <v>17827.95</v>
      </c>
      <c r="F66" s="5" t="s">
        <v>17</v>
      </c>
      <c r="G66" s="5" t="s">
        <v>18</v>
      </c>
      <c r="H66" s="5" t="n">
        <f aca="true">ROUND(RAND()*4+6,1)</f>
        <v>7.2</v>
      </c>
      <c r="I66" s="5" t="s">
        <v>19</v>
      </c>
      <c r="J66" s="5" t="str">
        <f aca="false">ROUND(89*1,0)&amp;"%"</f>
        <v>89%</v>
      </c>
    </row>
    <row r="67" customFormat="false" ht="15" hidden="false" customHeight="false" outlineLevel="0" collapsed="false">
      <c r="A67" s="6" t="s">
        <v>7405</v>
      </c>
      <c r="B67" s="6" t="s">
        <v>135</v>
      </c>
      <c r="C67" s="6" t="s">
        <v>133</v>
      </c>
      <c r="D67" s="6" t="s">
        <v>22</v>
      </c>
      <c r="E67" s="6" t="n">
        <f aca="false">ROUND(8725*1.05,2)</f>
        <v>9161.25</v>
      </c>
      <c r="F67" s="6" t="s">
        <v>23</v>
      </c>
      <c r="G67" s="6" t="s">
        <v>24</v>
      </c>
      <c r="H67" s="6" t="n">
        <f aca="true">ROUND(RAND()*4+6,1)</f>
        <v>6.3</v>
      </c>
      <c r="I67" s="6" t="s">
        <v>25</v>
      </c>
      <c r="J67" s="6" t="str">
        <f aca="false">ROUND(94*1,0)&amp;"%"</f>
        <v>94%</v>
      </c>
    </row>
    <row r="68" customFormat="false" ht="15" hidden="false" customHeight="false" outlineLevel="0" collapsed="false">
      <c r="A68" s="5" t="s">
        <v>7406</v>
      </c>
      <c r="B68" s="5" t="s">
        <v>137</v>
      </c>
      <c r="C68" s="5" t="s">
        <v>133</v>
      </c>
      <c r="D68" s="5" t="s">
        <v>28</v>
      </c>
      <c r="E68" s="5" t="n">
        <f aca="false">ROUND(8703*1.05,2)</f>
        <v>9138.15</v>
      </c>
      <c r="F68" s="5" t="s">
        <v>29</v>
      </c>
      <c r="G68" s="5" t="s">
        <v>30</v>
      </c>
      <c r="H68" s="5" t="n">
        <f aca="true">ROUND(RAND()*4+6,1)</f>
        <v>7.3</v>
      </c>
      <c r="I68" s="5" t="s">
        <v>31</v>
      </c>
      <c r="J68" s="5" t="str">
        <f aca="false">ROUND(80*1,0)&amp;"%"</f>
        <v>80%</v>
      </c>
    </row>
    <row r="69" customFormat="false" ht="15" hidden="false" customHeight="false" outlineLevel="0" collapsed="false">
      <c r="A69" s="6" t="s">
        <v>7407</v>
      </c>
      <c r="B69" s="6" t="s">
        <v>139</v>
      </c>
      <c r="C69" s="6" t="s">
        <v>133</v>
      </c>
      <c r="D69" s="6" t="s">
        <v>34</v>
      </c>
      <c r="E69" s="6" t="n">
        <f aca="false">ROUND(14415*1.05,2)</f>
        <v>15135.75</v>
      </c>
      <c r="F69" s="6" t="s">
        <v>35</v>
      </c>
      <c r="G69" s="6" t="s">
        <v>18</v>
      </c>
      <c r="H69" s="6" t="n">
        <f aca="true">ROUND(RAND()*4+6,1)</f>
        <v>9.2</v>
      </c>
      <c r="I69" s="6" t="s">
        <v>36</v>
      </c>
      <c r="J69" s="6" t="str">
        <f aca="false">ROUND(100*1,0)&amp;"%"</f>
        <v>100%</v>
      </c>
    </row>
    <row r="70" customFormat="false" ht="15" hidden="false" customHeight="false" outlineLevel="0" collapsed="false">
      <c r="A70" s="5" t="s">
        <v>7408</v>
      </c>
      <c r="B70" s="5" t="s">
        <v>141</v>
      </c>
      <c r="C70" s="5" t="s">
        <v>133</v>
      </c>
      <c r="D70" s="5" t="s">
        <v>39</v>
      </c>
      <c r="E70" s="5" t="n">
        <f aca="false">ROUND(7852*1.05,2)</f>
        <v>8244.6</v>
      </c>
      <c r="F70" s="5" t="s">
        <v>40</v>
      </c>
      <c r="G70" s="5" t="s">
        <v>24</v>
      </c>
      <c r="H70" s="5" t="n">
        <f aca="true">ROUND(RAND()*4+6,1)</f>
        <v>6.6</v>
      </c>
      <c r="I70" s="5" t="s">
        <v>41</v>
      </c>
      <c r="J70" s="5" t="str">
        <f aca="false">ROUND(79*1,0)&amp;"%"</f>
        <v>79%</v>
      </c>
    </row>
    <row r="71" customFormat="false" ht="15" hidden="false" customHeight="false" outlineLevel="0" collapsed="false">
      <c r="A71" s="6" t="s">
        <v>7409</v>
      </c>
      <c r="B71" s="6" t="s">
        <v>143</v>
      </c>
      <c r="C71" s="6" t="s">
        <v>133</v>
      </c>
      <c r="D71" s="6" t="s">
        <v>44</v>
      </c>
      <c r="E71" s="6" t="n">
        <f aca="false">ROUND(13955*1.05,2)</f>
        <v>14652.75</v>
      </c>
      <c r="F71" s="6" t="s">
        <v>45</v>
      </c>
      <c r="G71" s="6" t="s">
        <v>30</v>
      </c>
      <c r="H71" s="6" t="n">
        <f aca="true">ROUND(RAND()*4+6,1)</f>
        <v>7.3</v>
      </c>
      <c r="I71" s="6" t="s">
        <v>46</v>
      </c>
      <c r="J71" s="6" t="str">
        <f aca="false">ROUND(97*1,0)&amp;"%"</f>
        <v>97%</v>
      </c>
    </row>
    <row r="72" customFormat="false" ht="15" hidden="false" customHeight="false" outlineLevel="0" collapsed="false">
      <c r="A72" s="5" t="s">
        <v>7410</v>
      </c>
      <c r="B72" s="5" t="s">
        <v>145</v>
      </c>
      <c r="C72" s="5" t="s">
        <v>133</v>
      </c>
      <c r="D72" s="5" t="s">
        <v>16</v>
      </c>
      <c r="E72" s="5" t="n">
        <f aca="false">ROUND(7184*1.05,2)</f>
        <v>7543.2</v>
      </c>
      <c r="F72" s="5" t="s">
        <v>49</v>
      </c>
      <c r="G72" s="5" t="s">
        <v>18</v>
      </c>
      <c r="H72" s="5" t="n">
        <f aca="true">ROUND(RAND()*4+6,1)</f>
        <v>8.4</v>
      </c>
      <c r="I72" s="5" t="s">
        <v>19</v>
      </c>
      <c r="J72" s="5" t="str">
        <f aca="false">ROUND(67*1,0)&amp;"%"</f>
        <v>67%</v>
      </c>
    </row>
    <row r="73" customFormat="false" ht="15" hidden="false" customHeight="false" outlineLevel="0" collapsed="false">
      <c r="A73" s="6" t="s">
        <v>7411</v>
      </c>
      <c r="B73" s="6" t="s">
        <v>147</v>
      </c>
      <c r="C73" s="6" t="s">
        <v>133</v>
      </c>
      <c r="D73" s="6" t="s">
        <v>22</v>
      </c>
      <c r="E73" s="6" t="n">
        <f aca="false">ROUND(11443*1.05,2)</f>
        <v>12015.15</v>
      </c>
      <c r="F73" s="6" t="s">
        <v>52</v>
      </c>
      <c r="G73" s="6" t="s">
        <v>24</v>
      </c>
      <c r="H73" s="6" t="n">
        <f aca="true">ROUND(RAND()*4+6,1)</f>
        <v>7.1</v>
      </c>
      <c r="I73" s="6" t="s">
        <v>25</v>
      </c>
      <c r="J73" s="6" t="str">
        <f aca="false">ROUND(96*1,0)&amp;"%"</f>
        <v>96%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7412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7413</v>
      </c>
      <c r="B78" s="5" t="s">
        <v>151</v>
      </c>
      <c r="C78" s="5" t="s">
        <v>152</v>
      </c>
      <c r="D78" s="5" t="s">
        <v>16</v>
      </c>
      <c r="E78" s="5" t="n">
        <f aca="false">ROUND(5363*1.05,2)</f>
        <v>5631.15</v>
      </c>
      <c r="F78" s="5" t="s">
        <v>17</v>
      </c>
      <c r="G78" s="5" t="s">
        <v>18</v>
      </c>
      <c r="H78" s="5" t="n">
        <f aca="true">ROUND(RAND()*4+6,1)</f>
        <v>7.2</v>
      </c>
      <c r="I78" s="5" t="s">
        <v>19</v>
      </c>
      <c r="J78" s="5" t="str">
        <f aca="false">ROUND(83*1,0)&amp;"%"</f>
        <v>83%</v>
      </c>
    </row>
    <row r="79" customFormat="false" ht="15" hidden="false" customHeight="false" outlineLevel="0" collapsed="false">
      <c r="A79" s="6" t="s">
        <v>7414</v>
      </c>
      <c r="B79" s="6" t="s">
        <v>154</v>
      </c>
      <c r="C79" s="6" t="s">
        <v>152</v>
      </c>
      <c r="D79" s="6" t="s">
        <v>22</v>
      </c>
      <c r="E79" s="6" t="n">
        <f aca="false">ROUND(7570*1.05,2)</f>
        <v>7948.5</v>
      </c>
      <c r="F79" s="6" t="s">
        <v>23</v>
      </c>
      <c r="G79" s="6" t="s">
        <v>24</v>
      </c>
      <c r="H79" s="6" t="n">
        <f aca="true">ROUND(RAND()*4+6,1)</f>
        <v>8.3</v>
      </c>
      <c r="I79" s="6" t="s">
        <v>25</v>
      </c>
      <c r="J79" s="6" t="str">
        <f aca="false">ROUND(85*1,0)&amp;"%"</f>
        <v>85%</v>
      </c>
    </row>
    <row r="80" customFormat="false" ht="15" hidden="false" customHeight="false" outlineLevel="0" collapsed="false">
      <c r="A80" s="5" t="s">
        <v>7415</v>
      </c>
      <c r="B80" s="5" t="s">
        <v>156</v>
      </c>
      <c r="C80" s="5" t="s">
        <v>152</v>
      </c>
      <c r="D80" s="5" t="s">
        <v>28</v>
      </c>
      <c r="E80" s="5" t="n">
        <f aca="false">ROUND(14143*1.05,2)</f>
        <v>14850.15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ROUND(87*1,0)&amp;"%"</f>
        <v>87%</v>
      </c>
    </row>
    <row r="81" customFormat="false" ht="15" hidden="false" customHeight="false" outlineLevel="0" collapsed="false">
      <c r="A81" s="6" t="s">
        <v>7416</v>
      </c>
      <c r="B81" s="6" t="s">
        <v>158</v>
      </c>
      <c r="C81" s="6" t="s">
        <v>152</v>
      </c>
      <c r="D81" s="6" t="s">
        <v>34</v>
      </c>
      <c r="E81" s="6" t="n">
        <f aca="false">ROUND(9249*1.05,2)</f>
        <v>9711.45</v>
      </c>
      <c r="F81" s="6" t="s">
        <v>35</v>
      </c>
      <c r="G81" s="6" t="s">
        <v>18</v>
      </c>
      <c r="H81" s="6" t="n">
        <f aca="true">ROUND(RAND()*4+6,1)</f>
        <v>9.7</v>
      </c>
      <c r="I81" s="6" t="s">
        <v>36</v>
      </c>
      <c r="J81" s="6" t="str">
        <f aca="false">ROUND(71*1,0)&amp;"%"</f>
        <v>71%</v>
      </c>
    </row>
    <row r="82" customFormat="false" ht="15" hidden="false" customHeight="false" outlineLevel="0" collapsed="false">
      <c r="A82" s="5" t="s">
        <v>7417</v>
      </c>
      <c r="B82" s="5" t="s">
        <v>160</v>
      </c>
      <c r="C82" s="5" t="s">
        <v>152</v>
      </c>
      <c r="D82" s="5" t="s">
        <v>39</v>
      </c>
      <c r="E82" s="5" t="n">
        <f aca="false">ROUND(12619*1.05,2)</f>
        <v>13249.95</v>
      </c>
      <c r="F82" s="5" t="s">
        <v>40</v>
      </c>
      <c r="G82" s="5" t="s">
        <v>24</v>
      </c>
      <c r="H82" s="5" t="n">
        <f aca="true">ROUND(RAND()*4+6,1)</f>
        <v>7.5</v>
      </c>
      <c r="I82" s="5" t="s">
        <v>41</v>
      </c>
      <c r="J82" s="5" t="str">
        <f aca="false">ROUND(77*1,0)&amp;"%"</f>
        <v>77%</v>
      </c>
    </row>
    <row r="83" customFormat="false" ht="15" hidden="false" customHeight="false" outlineLevel="0" collapsed="false">
      <c r="A83" s="6" t="s">
        <v>7418</v>
      </c>
      <c r="B83" s="6" t="s">
        <v>162</v>
      </c>
      <c r="C83" s="6" t="s">
        <v>152</v>
      </c>
      <c r="D83" s="6" t="s">
        <v>44</v>
      </c>
      <c r="E83" s="6" t="n">
        <f aca="false">ROUND(4524*1.05,2)</f>
        <v>4750.2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ROUND(60*1,0)&amp;"%"</f>
        <v>60%</v>
      </c>
    </row>
    <row r="84" customFormat="false" ht="15" hidden="false" customHeight="false" outlineLevel="0" collapsed="false">
      <c r="A84" s="5" t="s">
        <v>7419</v>
      </c>
      <c r="B84" s="5" t="s">
        <v>164</v>
      </c>
      <c r="C84" s="5" t="s">
        <v>152</v>
      </c>
      <c r="D84" s="5" t="s">
        <v>16</v>
      </c>
      <c r="E84" s="5" t="n">
        <f aca="false">ROUND(4493*1.05,2)</f>
        <v>4717.65</v>
      </c>
      <c r="F84" s="5" t="s">
        <v>49</v>
      </c>
      <c r="G84" s="5" t="s">
        <v>18</v>
      </c>
      <c r="H84" s="5" t="n">
        <f aca="true">ROUND(RAND()*4+6,1)</f>
        <v>9.1</v>
      </c>
      <c r="I84" s="5" t="s">
        <v>19</v>
      </c>
      <c r="J84" s="5" t="str">
        <f aca="false">ROUND(90*1,0)&amp;"%"</f>
        <v>90%</v>
      </c>
    </row>
    <row r="85" customFormat="false" ht="15" hidden="false" customHeight="false" outlineLevel="0" collapsed="false">
      <c r="A85" s="6" t="s">
        <v>7420</v>
      </c>
      <c r="B85" s="6" t="s">
        <v>166</v>
      </c>
      <c r="C85" s="6" t="s">
        <v>152</v>
      </c>
      <c r="D85" s="6" t="s">
        <v>22</v>
      </c>
      <c r="E85" s="6" t="n">
        <f aca="false">ROUND(4292*1.05,2)</f>
        <v>4506.6</v>
      </c>
      <c r="F85" s="6" t="s">
        <v>52</v>
      </c>
      <c r="G85" s="6" t="s">
        <v>24</v>
      </c>
      <c r="H85" s="6" t="n">
        <f aca="true">ROUND(RAND()*4+6,1)</f>
        <v>6.1</v>
      </c>
      <c r="I85" s="6" t="s">
        <v>25</v>
      </c>
      <c r="J85" s="6" t="str">
        <f aca="false">ROUND(79*1,0)&amp;"%"</f>
        <v>79%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7421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7422</v>
      </c>
      <c r="B90" s="5" t="s">
        <v>170</v>
      </c>
      <c r="C90" s="5" t="s">
        <v>15</v>
      </c>
      <c r="D90" s="5" t="s">
        <v>16</v>
      </c>
      <c r="E90" s="5" t="n">
        <f aca="false">ROUND(7566*1.05,2)</f>
        <v>7944.3</v>
      </c>
      <c r="F90" s="5" t="s">
        <v>17</v>
      </c>
      <c r="G90" s="5" t="s">
        <v>18</v>
      </c>
      <c r="H90" s="5" t="n">
        <f aca="true">ROUND(RAND()*4+6,1)</f>
        <v>8.7</v>
      </c>
      <c r="I90" s="5" t="s">
        <v>19</v>
      </c>
      <c r="J90" s="5" t="str">
        <f aca="false">ROUND(87*1,0)&amp;"%"</f>
        <v>87%</v>
      </c>
    </row>
    <row r="91" customFormat="false" ht="15" hidden="false" customHeight="false" outlineLevel="0" collapsed="false">
      <c r="A91" s="6" t="s">
        <v>7423</v>
      </c>
      <c r="B91" s="6" t="s">
        <v>172</v>
      </c>
      <c r="C91" s="6" t="s">
        <v>15</v>
      </c>
      <c r="D91" s="6" t="s">
        <v>22</v>
      </c>
      <c r="E91" s="6" t="n">
        <f aca="false">ROUND(14496*1.05,2)</f>
        <v>15220.8</v>
      </c>
      <c r="F91" s="6" t="s">
        <v>23</v>
      </c>
      <c r="G91" s="6" t="s">
        <v>24</v>
      </c>
      <c r="H91" s="6" t="n">
        <f aca="true">ROUND(RAND()*4+6,1)</f>
        <v>6.5</v>
      </c>
      <c r="I91" s="6" t="s">
        <v>25</v>
      </c>
      <c r="J91" s="6" t="str">
        <f aca="false">ROUND(97*1,0)&amp;"%"</f>
        <v>97%</v>
      </c>
    </row>
    <row r="92" customFormat="false" ht="15" hidden="false" customHeight="false" outlineLevel="0" collapsed="false">
      <c r="A92" s="5" t="s">
        <v>7424</v>
      </c>
      <c r="B92" s="5" t="s">
        <v>174</v>
      </c>
      <c r="C92" s="5" t="s">
        <v>15</v>
      </c>
      <c r="D92" s="5" t="s">
        <v>28</v>
      </c>
      <c r="E92" s="5" t="n">
        <f aca="false">ROUND(9903*1.05,2)</f>
        <v>10398.15</v>
      </c>
      <c r="F92" s="5" t="s">
        <v>29</v>
      </c>
      <c r="G92" s="5" t="s">
        <v>30</v>
      </c>
      <c r="H92" s="5" t="n">
        <f aca="true">ROUND(RAND()*4+6,1)</f>
        <v>9.7</v>
      </c>
      <c r="I92" s="5" t="s">
        <v>31</v>
      </c>
      <c r="J92" s="5" t="str">
        <f aca="false">ROUND(86*1,0)&amp;"%"</f>
        <v>86%</v>
      </c>
    </row>
    <row r="93" customFormat="false" ht="15" hidden="false" customHeight="false" outlineLevel="0" collapsed="false">
      <c r="A93" s="6" t="s">
        <v>7425</v>
      </c>
      <c r="B93" s="6" t="s">
        <v>176</v>
      </c>
      <c r="C93" s="6" t="s">
        <v>15</v>
      </c>
      <c r="D93" s="6" t="s">
        <v>34</v>
      </c>
      <c r="E93" s="6" t="n">
        <f aca="false">ROUND(6261*1.05,2)</f>
        <v>6574.05</v>
      </c>
      <c r="F93" s="6" t="s">
        <v>35</v>
      </c>
      <c r="G93" s="6" t="s">
        <v>18</v>
      </c>
      <c r="H93" s="6" t="n">
        <f aca="true">ROUND(RAND()*4+6,1)</f>
        <v>6.4</v>
      </c>
      <c r="I93" s="6" t="s">
        <v>36</v>
      </c>
      <c r="J93" s="6" t="str">
        <f aca="false">ROUND(70*1,0)&amp;"%"</f>
        <v>70%</v>
      </c>
    </row>
    <row r="94" customFormat="false" ht="15" hidden="false" customHeight="false" outlineLevel="0" collapsed="false">
      <c r="A94" s="5" t="s">
        <v>7426</v>
      </c>
      <c r="B94" s="5" t="s">
        <v>178</v>
      </c>
      <c r="C94" s="5" t="s">
        <v>15</v>
      </c>
      <c r="D94" s="5" t="s">
        <v>39</v>
      </c>
      <c r="E94" s="5" t="n">
        <f aca="false">ROUND(8837*1.05,2)</f>
        <v>9278.85</v>
      </c>
      <c r="F94" s="5" t="s">
        <v>40</v>
      </c>
      <c r="G94" s="5" t="s">
        <v>24</v>
      </c>
      <c r="H94" s="5" t="n">
        <f aca="true">ROUND(RAND()*4+6,1)</f>
        <v>7.8</v>
      </c>
      <c r="I94" s="5" t="s">
        <v>41</v>
      </c>
      <c r="J94" s="5" t="str">
        <f aca="false">ROUND(92*1,0)&amp;"%"</f>
        <v>92%</v>
      </c>
    </row>
    <row r="95" customFormat="false" ht="15" hidden="false" customHeight="false" outlineLevel="0" collapsed="false">
      <c r="A95" s="6" t="s">
        <v>7427</v>
      </c>
      <c r="B95" s="6" t="s">
        <v>180</v>
      </c>
      <c r="C95" s="6" t="s">
        <v>15</v>
      </c>
      <c r="D95" s="6" t="s">
        <v>44</v>
      </c>
      <c r="E95" s="6" t="n">
        <f aca="false">ROUND(8319*1.05,2)</f>
        <v>8734.95</v>
      </c>
      <c r="F95" s="6" t="s">
        <v>45</v>
      </c>
      <c r="G95" s="6" t="s">
        <v>30</v>
      </c>
      <c r="H95" s="6" t="n">
        <f aca="true">ROUND(RAND()*4+6,1)</f>
        <v>8.1</v>
      </c>
      <c r="I95" s="6" t="s">
        <v>46</v>
      </c>
      <c r="J95" s="6" t="str">
        <f aca="false">ROUND(61*1,0)&amp;"%"</f>
        <v>61%</v>
      </c>
    </row>
    <row r="96" customFormat="false" ht="15" hidden="false" customHeight="false" outlineLevel="0" collapsed="false">
      <c r="A96" s="5" t="s">
        <v>7428</v>
      </c>
      <c r="B96" s="5" t="s">
        <v>182</v>
      </c>
      <c r="C96" s="5" t="s">
        <v>15</v>
      </c>
      <c r="D96" s="5" t="s">
        <v>16</v>
      </c>
      <c r="E96" s="5" t="n">
        <f aca="false">ROUND(16659*1.05,2)</f>
        <v>17491.95</v>
      </c>
      <c r="F96" s="5" t="s">
        <v>49</v>
      </c>
      <c r="G96" s="5" t="s">
        <v>18</v>
      </c>
      <c r="H96" s="5" t="n">
        <f aca="true">ROUND(RAND()*4+6,1)</f>
        <v>9.9</v>
      </c>
      <c r="I96" s="5" t="s">
        <v>19</v>
      </c>
      <c r="J96" s="5" t="str">
        <f aca="false">ROUND(81*1,0)&amp;"%"</f>
        <v>81%</v>
      </c>
    </row>
    <row r="97" customFormat="false" ht="15" hidden="false" customHeight="false" outlineLevel="0" collapsed="false">
      <c r="A97" s="6" t="s">
        <v>7429</v>
      </c>
      <c r="B97" s="6" t="s">
        <v>184</v>
      </c>
      <c r="C97" s="6" t="s">
        <v>15</v>
      </c>
      <c r="D97" s="6" t="s">
        <v>22</v>
      </c>
      <c r="E97" s="6" t="n">
        <f aca="false">ROUND(9943*1.05,2)</f>
        <v>10440.15</v>
      </c>
      <c r="F97" s="6" t="s">
        <v>52</v>
      </c>
      <c r="G97" s="6" t="s">
        <v>24</v>
      </c>
      <c r="H97" s="6" t="n">
        <f aca="true">ROUND(RAND()*4+6,1)</f>
        <v>7.1</v>
      </c>
      <c r="I97" s="6" t="s">
        <v>25</v>
      </c>
      <c r="J97" s="6" t="str">
        <f aca="false">ROUND(96*1,0)&amp;"%"</f>
        <v>96%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7430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7431</v>
      </c>
      <c r="B102" s="5" t="s">
        <v>188</v>
      </c>
      <c r="C102" s="5" t="s">
        <v>57</v>
      </c>
      <c r="D102" s="5" t="s">
        <v>16</v>
      </c>
      <c r="E102" s="5" t="n">
        <f aca="false">ROUND(7372*1.05,2)</f>
        <v>7740.6</v>
      </c>
      <c r="F102" s="5" t="s">
        <v>17</v>
      </c>
      <c r="G102" s="5" t="s">
        <v>18</v>
      </c>
      <c r="H102" s="5" t="n">
        <f aca="true">ROUND(RAND()*4+6,1)</f>
        <v>9.4</v>
      </c>
      <c r="I102" s="5" t="s">
        <v>19</v>
      </c>
      <c r="J102" s="5" t="str">
        <f aca="false">ROUND(69*1,0)&amp;"%"</f>
        <v>69%</v>
      </c>
    </row>
    <row r="103" customFormat="false" ht="15" hidden="false" customHeight="false" outlineLevel="0" collapsed="false">
      <c r="A103" s="6" t="s">
        <v>7432</v>
      </c>
      <c r="B103" s="6" t="s">
        <v>190</v>
      </c>
      <c r="C103" s="6" t="s">
        <v>57</v>
      </c>
      <c r="D103" s="6" t="s">
        <v>22</v>
      </c>
      <c r="E103" s="6" t="n">
        <f aca="false">ROUND(4239*1.05,2)</f>
        <v>4450.95</v>
      </c>
      <c r="F103" s="6" t="s">
        <v>23</v>
      </c>
      <c r="G103" s="6" t="s">
        <v>24</v>
      </c>
      <c r="H103" s="6" t="n">
        <f aca="true">ROUND(RAND()*4+6,1)</f>
        <v>8.1</v>
      </c>
      <c r="I103" s="6" t="s">
        <v>25</v>
      </c>
      <c r="J103" s="6" t="str">
        <f aca="false">ROUND(72*1,0)&amp;"%"</f>
        <v>72%</v>
      </c>
    </row>
    <row r="104" customFormat="false" ht="15" hidden="false" customHeight="false" outlineLevel="0" collapsed="false">
      <c r="A104" s="5" t="s">
        <v>7433</v>
      </c>
      <c r="B104" s="5" t="s">
        <v>192</v>
      </c>
      <c r="C104" s="5" t="s">
        <v>57</v>
      </c>
      <c r="D104" s="5" t="s">
        <v>28</v>
      </c>
      <c r="E104" s="5" t="n">
        <f aca="false">ROUND(6344*1.05,2)</f>
        <v>6661.2</v>
      </c>
      <c r="F104" s="5" t="s">
        <v>29</v>
      </c>
      <c r="G104" s="5" t="s">
        <v>30</v>
      </c>
      <c r="H104" s="5" t="n">
        <f aca="true">ROUND(RAND()*4+6,1)</f>
        <v>8.9</v>
      </c>
      <c r="I104" s="5" t="s">
        <v>31</v>
      </c>
      <c r="J104" s="5" t="str">
        <f aca="false">ROUND(68*1,0)&amp;"%"</f>
        <v>68%</v>
      </c>
    </row>
    <row r="105" customFormat="false" ht="15" hidden="false" customHeight="false" outlineLevel="0" collapsed="false">
      <c r="A105" s="6" t="s">
        <v>7434</v>
      </c>
      <c r="B105" s="6" t="s">
        <v>194</v>
      </c>
      <c r="C105" s="6" t="s">
        <v>57</v>
      </c>
      <c r="D105" s="6" t="s">
        <v>34</v>
      </c>
      <c r="E105" s="6" t="n">
        <f aca="false">ROUND(10100*1.05,2)</f>
        <v>10605</v>
      </c>
      <c r="F105" s="6" t="s">
        <v>35</v>
      </c>
      <c r="G105" s="6" t="s">
        <v>18</v>
      </c>
      <c r="H105" s="6" t="n">
        <f aca="true">ROUND(RAND()*4+6,1)</f>
        <v>8.7</v>
      </c>
      <c r="I105" s="6" t="s">
        <v>36</v>
      </c>
      <c r="J105" s="6" t="str">
        <f aca="false">ROUND(96*1,0)&amp;"%"</f>
        <v>96%</v>
      </c>
    </row>
    <row r="106" customFormat="false" ht="15" hidden="false" customHeight="false" outlineLevel="0" collapsed="false">
      <c r="A106" s="5" t="s">
        <v>7435</v>
      </c>
      <c r="B106" s="5" t="s">
        <v>196</v>
      </c>
      <c r="C106" s="5" t="s">
        <v>57</v>
      </c>
      <c r="D106" s="5" t="s">
        <v>39</v>
      </c>
      <c r="E106" s="5" t="n">
        <f aca="false">ROUND(8183*1.05,2)</f>
        <v>8592.15</v>
      </c>
      <c r="F106" s="5" t="s">
        <v>40</v>
      </c>
      <c r="G106" s="5" t="s">
        <v>24</v>
      </c>
      <c r="H106" s="5" t="n">
        <f aca="true">ROUND(RAND()*4+6,1)</f>
        <v>9.9</v>
      </c>
      <c r="I106" s="5" t="s">
        <v>41</v>
      </c>
      <c r="J106" s="5" t="str">
        <f aca="false">ROUND(67*1,0)&amp;"%"</f>
        <v>67%</v>
      </c>
    </row>
    <row r="107" customFormat="false" ht="15" hidden="false" customHeight="false" outlineLevel="0" collapsed="false">
      <c r="A107" s="6" t="s">
        <v>7436</v>
      </c>
      <c r="B107" s="6" t="s">
        <v>198</v>
      </c>
      <c r="C107" s="6" t="s">
        <v>57</v>
      </c>
      <c r="D107" s="6" t="s">
        <v>44</v>
      </c>
      <c r="E107" s="6" t="n">
        <f aca="false">ROUND(13622*1.05,2)</f>
        <v>14303.1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ROUND(70*1,0)&amp;"%"</f>
        <v>70%</v>
      </c>
    </row>
    <row r="108" customFormat="false" ht="15" hidden="false" customHeight="false" outlineLevel="0" collapsed="false">
      <c r="A108" s="5" t="s">
        <v>7437</v>
      </c>
      <c r="B108" s="5" t="s">
        <v>200</v>
      </c>
      <c r="C108" s="5" t="s">
        <v>57</v>
      </c>
      <c r="D108" s="5" t="s">
        <v>16</v>
      </c>
      <c r="E108" s="5" t="n">
        <f aca="false">ROUND(5509*1.05,2)</f>
        <v>5784.45</v>
      </c>
      <c r="F108" s="5" t="s">
        <v>49</v>
      </c>
      <c r="G108" s="5" t="s">
        <v>18</v>
      </c>
      <c r="H108" s="5" t="n">
        <f aca="true">ROUND(RAND()*4+6,1)</f>
        <v>7.9</v>
      </c>
      <c r="I108" s="5" t="s">
        <v>19</v>
      </c>
      <c r="J108" s="5" t="str">
        <f aca="false">ROUND(87*1,0)&amp;"%"</f>
        <v>87%</v>
      </c>
    </row>
    <row r="109" customFormat="false" ht="15" hidden="false" customHeight="false" outlineLevel="0" collapsed="false">
      <c r="A109" s="6" t="s">
        <v>7438</v>
      </c>
      <c r="B109" s="6" t="s">
        <v>202</v>
      </c>
      <c r="C109" s="6" t="s">
        <v>57</v>
      </c>
      <c r="D109" s="6" t="s">
        <v>22</v>
      </c>
      <c r="E109" s="6" t="n">
        <f aca="false">ROUND(11435*1.05,2)</f>
        <v>12006.75</v>
      </c>
      <c r="F109" s="6" t="s">
        <v>52</v>
      </c>
      <c r="G109" s="6" t="s">
        <v>24</v>
      </c>
      <c r="H109" s="6" t="n">
        <f aca="true">ROUND(RAND()*4+6,1)</f>
        <v>6.7</v>
      </c>
      <c r="I109" s="6" t="s">
        <v>25</v>
      </c>
      <c r="J109" s="6" t="str">
        <f aca="false">ROUND(86*1,0)&amp;"%"</f>
        <v>86%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7439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7440</v>
      </c>
      <c r="B114" s="5" t="s">
        <v>206</v>
      </c>
      <c r="C114" s="5" t="s">
        <v>76</v>
      </c>
      <c r="D114" s="5" t="s">
        <v>16</v>
      </c>
      <c r="E114" s="5" t="n">
        <f aca="false">ROUND(15276*1.05,2)</f>
        <v>16039.8</v>
      </c>
      <c r="F114" s="5" t="s">
        <v>17</v>
      </c>
      <c r="G114" s="5" t="s">
        <v>18</v>
      </c>
      <c r="H114" s="5" t="n">
        <f aca="true">ROUND(RAND()*4+6,1)</f>
        <v>6</v>
      </c>
      <c r="I114" s="5" t="s">
        <v>19</v>
      </c>
      <c r="J114" s="5" t="str">
        <f aca="false">ROUND(67*1,0)&amp;"%"</f>
        <v>67%</v>
      </c>
    </row>
    <row r="115" customFormat="false" ht="15" hidden="false" customHeight="false" outlineLevel="0" collapsed="false">
      <c r="A115" s="6" t="s">
        <v>7441</v>
      </c>
      <c r="B115" s="6" t="s">
        <v>208</v>
      </c>
      <c r="C115" s="6" t="s">
        <v>76</v>
      </c>
      <c r="D115" s="6" t="s">
        <v>22</v>
      </c>
      <c r="E115" s="6" t="n">
        <f aca="false">ROUND(17428*1.05,2)</f>
        <v>18299.4</v>
      </c>
      <c r="F115" s="6" t="s">
        <v>23</v>
      </c>
      <c r="G115" s="6" t="s">
        <v>24</v>
      </c>
      <c r="H115" s="6" t="n">
        <f aca="true">ROUND(RAND()*4+6,1)</f>
        <v>9.2</v>
      </c>
      <c r="I115" s="6" t="s">
        <v>25</v>
      </c>
      <c r="J115" s="6" t="str">
        <f aca="false">ROUND(90*1,0)&amp;"%"</f>
        <v>90%</v>
      </c>
    </row>
    <row r="116" customFormat="false" ht="15" hidden="false" customHeight="false" outlineLevel="0" collapsed="false">
      <c r="A116" s="5" t="s">
        <v>7442</v>
      </c>
      <c r="B116" s="5" t="s">
        <v>210</v>
      </c>
      <c r="C116" s="5" t="s">
        <v>76</v>
      </c>
      <c r="D116" s="5" t="s">
        <v>28</v>
      </c>
      <c r="E116" s="5" t="n">
        <f aca="false">ROUND(11299*1.05,2)</f>
        <v>11863.95</v>
      </c>
      <c r="F116" s="5" t="s">
        <v>29</v>
      </c>
      <c r="G116" s="5" t="s">
        <v>30</v>
      </c>
      <c r="H116" s="5" t="n">
        <f aca="true">ROUND(RAND()*4+6,1)</f>
        <v>10</v>
      </c>
      <c r="I116" s="5" t="s">
        <v>31</v>
      </c>
      <c r="J116" s="5" t="str">
        <f aca="false">ROUND(80*1,0)&amp;"%"</f>
        <v>80%</v>
      </c>
    </row>
    <row r="117" customFormat="false" ht="15" hidden="false" customHeight="false" outlineLevel="0" collapsed="false">
      <c r="A117" s="6" t="s">
        <v>7443</v>
      </c>
      <c r="B117" s="6" t="s">
        <v>212</v>
      </c>
      <c r="C117" s="6" t="s">
        <v>76</v>
      </c>
      <c r="D117" s="6" t="s">
        <v>34</v>
      </c>
      <c r="E117" s="6" t="n">
        <f aca="false">ROUND(9025*1.05,2)</f>
        <v>9476.25</v>
      </c>
      <c r="F117" s="6" t="s">
        <v>35</v>
      </c>
      <c r="G117" s="6" t="s">
        <v>18</v>
      </c>
      <c r="H117" s="6" t="n">
        <f aca="true">ROUND(RAND()*4+6,1)</f>
        <v>9.3</v>
      </c>
      <c r="I117" s="6" t="s">
        <v>36</v>
      </c>
      <c r="J117" s="6" t="str">
        <f aca="false">ROUND(100*1,0)&amp;"%"</f>
        <v>100%</v>
      </c>
    </row>
    <row r="118" customFormat="false" ht="15" hidden="false" customHeight="false" outlineLevel="0" collapsed="false">
      <c r="A118" s="5" t="s">
        <v>7444</v>
      </c>
      <c r="B118" s="5" t="s">
        <v>214</v>
      </c>
      <c r="C118" s="5" t="s">
        <v>76</v>
      </c>
      <c r="D118" s="5" t="s">
        <v>39</v>
      </c>
      <c r="E118" s="5" t="n">
        <f aca="false">ROUND(15436*1.05,2)</f>
        <v>16207.8</v>
      </c>
      <c r="F118" s="5" t="s">
        <v>40</v>
      </c>
      <c r="G118" s="5" t="s">
        <v>24</v>
      </c>
      <c r="H118" s="5" t="n">
        <f aca="true">ROUND(RAND()*4+6,1)</f>
        <v>7.3</v>
      </c>
      <c r="I118" s="5" t="s">
        <v>41</v>
      </c>
      <c r="J118" s="5" t="str">
        <f aca="false">ROUND(85*1,0)&amp;"%"</f>
        <v>85%</v>
      </c>
    </row>
    <row r="119" customFormat="false" ht="15" hidden="false" customHeight="false" outlineLevel="0" collapsed="false">
      <c r="A119" s="6" t="s">
        <v>7445</v>
      </c>
      <c r="B119" s="6" t="s">
        <v>216</v>
      </c>
      <c r="C119" s="6" t="s">
        <v>76</v>
      </c>
      <c r="D119" s="6" t="s">
        <v>44</v>
      </c>
      <c r="E119" s="6" t="n">
        <f aca="false">ROUND(5477*1.05,2)</f>
        <v>5750.85</v>
      </c>
      <c r="F119" s="6" t="s">
        <v>45</v>
      </c>
      <c r="G119" s="6" t="s">
        <v>30</v>
      </c>
      <c r="H119" s="6" t="n">
        <f aca="true">ROUND(RAND()*4+6,1)</f>
        <v>6.4</v>
      </c>
      <c r="I119" s="6" t="s">
        <v>46</v>
      </c>
      <c r="J119" s="6" t="str">
        <f aca="false">ROUND(68*1,0)&amp;"%"</f>
        <v>68%</v>
      </c>
    </row>
    <row r="120" customFormat="false" ht="15" hidden="false" customHeight="false" outlineLevel="0" collapsed="false">
      <c r="A120" s="5" t="s">
        <v>7446</v>
      </c>
      <c r="B120" s="5" t="s">
        <v>218</v>
      </c>
      <c r="C120" s="5" t="s">
        <v>76</v>
      </c>
      <c r="D120" s="5" t="s">
        <v>16</v>
      </c>
      <c r="E120" s="5" t="n">
        <f aca="false">ROUND(14261*1.05,2)</f>
        <v>14974.05</v>
      </c>
      <c r="F120" s="5" t="s">
        <v>49</v>
      </c>
      <c r="G120" s="5" t="s">
        <v>18</v>
      </c>
      <c r="H120" s="5" t="n">
        <f aca="true">ROUND(RAND()*4+6,1)</f>
        <v>6.6</v>
      </c>
      <c r="I120" s="5" t="s">
        <v>19</v>
      </c>
      <c r="J120" s="5" t="str">
        <f aca="false">ROUND(86*1,0)&amp;"%"</f>
        <v>86%</v>
      </c>
    </row>
    <row r="121" customFormat="false" ht="15" hidden="false" customHeight="false" outlineLevel="0" collapsed="false">
      <c r="A121" s="6" t="s">
        <v>7447</v>
      </c>
      <c r="B121" s="6" t="s">
        <v>220</v>
      </c>
      <c r="C121" s="6" t="s">
        <v>76</v>
      </c>
      <c r="D121" s="6" t="s">
        <v>22</v>
      </c>
      <c r="E121" s="6" t="n">
        <f aca="false">ROUND(17805*1.05,2)</f>
        <v>18695.25</v>
      </c>
      <c r="F121" s="6" t="s">
        <v>52</v>
      </c>
      <c r="G121" s="6" t="s">
        <v>24</v>
      </c>
      <c r="H121" s="6" t="n">
        <f aca="true">ROUND(RAND()*4+6,1)</f>
        <v>8.4</v>
      </c>
      <c r="I121" s="6" t="s">
        <v>25</v>
      </c>
      <c r="J121" s="6" t="str">
        <f aca="false">ROUND(96*1,0)&amp;"%"</f>
        <v>96%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7448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7449</v>
      </c>
      <c r="B126" s="5" t="s">
        <v>224</v>
      </c>
      <c r="C126" s="5" t="s">
        <v>95</v>
      </c>
      <c r="D126" s="5" t="s">
        <v>16</v>
      </c>
      <c r="E126" s="5" t="n">
        <f aca="false">ROUND(14882*1.05,2)</f>
        <v>15626.1</v>
      </c>
      <c r="F126" s="5" t="s">
        <v>17</v>
      </c>
      <c r="G126" s="5" t="s">
        <v>18</v>
      </c>
      <c r="H126" s="5" t="n">
        <f aca="true">ROUND(RAND()*4+6,1)</f>
        <v>9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7450</v>
      </c>
      <c r="B127" s="6" t="s">
        <v>226</v>
      </c>
      <c r="C127" s="6" t="s">
        <v>95</v>
      </c>
      <c r="D127" s="6" t="s">
        <v>22</v>
      </c>
      <c r="E127" s="6" t="n">
        <f aca="false">ROUND(5512*1.05,2)</f>
        <v>5787.6</v>
      </c>
      <c r="F127" s="6" t="s">
        <v>23</v>
      </c>
      <c r="G127" s="6" t="s">
        <v>24</v>
      </c>
      <c r="H127" s="6" t="n">
        <f aca="true">ROUND(RAND()*4+6,1)</f>
        <v>8.3</v>
      </c>
      <c r="I127" s="6" t="s">
        <v>25</v>
      </c>
      <c r="J127" s="6" t="str">
        <f aca="false">ROUND(94*1,0)&amp;"%"</f>
        <v>94%</v>
      </c>
    </row>
    <row r="128" customFormat="false" ht="15" hidden="false" customHeight="false" outlineLevel="0" collapsed="false">
      <c r="A128" s="5" t="s">
        <v>7451</v>
      </c>
      <c r="B128" s="5" t="s">
        <v>228</v>
      </c>
      <c r="C128" s="5" t="s">
        <v>95</v>
      </c>
      <c r="D128" s="5" t="s">
        <v>28</v>
      </c>
      <c r="E128" s="5" t="n">
        <f aca="false">ROUND(17871*1.05,2)</f>
        <v>18764.55</v>
      </c>
      <c r="F128" s="5" t="s">
        <v>29</v>
      </c>
      <c r="G128" s="5" t="s">
        <v>30</v>
      </c>
      <c r="H128" s="5" t="n">
        <f aca="true">ROUND(RAND()*4+6,1)</f>
        <v>9.8</v>
      </c>
      <c r="I128" s="5" t="s">
        <v>31</v>
      </c>
      <c r="J128" s="5" t="str">
        <f aca="false">ROUND(69*1,0)&amp;"%"</f>
        <v>69%</v>
      </c>
    </row>
    <row r="129" customFormat="false" ht="15" hidden="false" customHeight="false" outlineLevel="0" collapsed="false">
      <c r="A129" s="6" t="s">
        <v>7452</v>
      </c>
      <c r="B129" s="6" t="s">
        <v>230</v>
      </c>
      <c r="C129" s="6" t="s">
        <v>95</v>
      </c>
      <c r="D129" s="6" t="s">
        <v>34</v>
      </c>
      <c r="E129" s="6" t="n">
        <f aca="false">ROUND(15284*1.05,2)</f>
        <v>16048.2</v>
      </c>
      <c r="F129" s="6" t="s">
        <v>35</v>
      </c>
      <c r="G129" s="6" t="s">
        <v>18</v>
      </c>
      <c r="H129" s="6" t="n">
        <f aca="true">ROUND(RAND()*4+6,1)</f>
        <v>7.2</v>
      </c>
      <c r="I129" s="6" t="s">
        <v>36</v>
      </c>
      <c r="J129" s="6" t="str">
        <f aca="false">ROUND(100*1,0)&amp;"%"</f>
        <v>100%</v>
      </c>
    </row>
    <row r="130" customFormat="false" ht="15" hidden="false" customHeight="false" outlineLevel="0" collapsed="false">
      <c r="A130" s="5" t="s">
        <v>7453</v>
      </c>
      <c r="B130" s="5" t="s">
        <v>232</v>
      </c>
      <c r="C130" s="5" t="s">
        <v>95</v>
      </c>
      <c r="D130" s="5" t="s">
        <v>39</v>
      </c>
      <c r="E130" s="5" t="n">
        <f aca="false">ROUND(9875*1.05,2)</f>
        <v>10368.75</v>
      </c>
      <c r="F130" s="5" t="s">
        <v>40</v>
      </c>
      <c r="G130" s="5" t="s">
        <v>24</v>
      </c>
      <c r="H130" s="5" t="n">
        <f aca="true">ROUND(RAND()*4+6,1)</f>
        <v>9.8</v>
      </c>
      <c r="I130" s="5" t="s">
        <v>41</v>
      </c>
      <c r="J130" s="5" t="str">
        <f aca="false">ROUND(67*1,0)&amp;"%"</f>
        <v>67%</v>
      </c>
    </row>
    <row r="131" customFormat="false" ht="15" hidden="false" customHeight="false" outlineLevel="0" collapsed="false">
      <c r="A131" s="6" t="s">
        <v>7454</v>
      </c>
      <c r="B131" s="6" t="s">
        <v>234</v>
      </c>
      <c r="C131" s="6" t="s">
        <v>95</v>
      </c>
      <c r="D131" s="6" t="s">
        <v>44</v>
      </c>
      <c r="E131" s="6" t="n">
        <f aca="false">ROUND(6381*1.05,2)</f>
        <v>6700.05</v>
      </c>
      <c r="F131" s="6" t="s">
        <v>45</v>
      </c>
      <c r="G131" s="6" t="s">
        <v>30</v>
      </c>
      <c r="H131" s="6" t="n">
        <f aca="true">ROUND(RAND()*4+6,1)</f>
        <v>8.5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7455</v>
      </c>
      <c r="B132" s="5" t="s">
        <v>236</v>
      </c>
      <c r="C132" s="5" t="s">
        <v>95</v>
      </c>
      <c r="D132" s="5" t="s">
        <v>16</v>
      </c>
      <c r="E132" s="5" t="n">
        <f aca="false">ROUND(7776*1.05,2)</f>
        <v>8164.8</v>
      </c>
      <c r="F132" s="5" t="s">
        <v>49</v>
      </c>
      <c r="G132" s="5" t="s">
        <v>18</v>
      </c>
      <c r="H132" s="5" t="n">
        <f aca="true">ROUND(RAND()*4+6,1)</f>
        <v>8.5</v>
      </c>
      <c r="I132" s="5" t="s">
        <v>19</v>
      </c>
      <c r="J132" s="5" t="str">
        <f aca="false">ROUND(75*1,0)&amp;"%"</f>
        <v>75%</v>
      </c>
    </row>
    <row r="133" customFormat="false" ht="15" hidden="false" customHeight="false" outlineLevel="0" collapsed="false">
      <c r="A133" s="6" t="s">
        <v>7456</v>
      </c>
      <c r="B133" s="6" t="s">
        <v>238</v>
      </c>
      <c r="C133" s="6" t="s">
        <v>95</v>
      </c>
      <c r="D133" s="6" t="s">
        <v>22</v>
      </c>
      <c r="E133" s="6" t="n">
        <f aca="false">ROUND(6093*1.05,2)</f>
        <v>6397.65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ROUND(85*1,0)&amp;"%"</f>
        <v>85%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7457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7458</v>
      </c>
      <c r="B138" s="5" t="s">
        <v>242</v>
      </c>
      <c r="C138" s="5" t="s">
        <v>114</v>
      </c>
      <c r="D138" s="5" t="s">
        <v>16</v>
      </c>
      <c r="E138" s="5" t="n">
        <f aca="false">ROUND(8802*1.05,2)</f>
        <v>9242.1</v>
      </c>
      <c r="F138" s="5" t="s">
        <v>17</v>
      </c>
      <c r="G138" s="5" t="s">
        <v>18</v>
      </c>
      <c r="H138" s="5" t="n">
        <f aca="true">ROUND(RAND()*4+6,1)</f>
        <v>6.9</v>
      </c>
      <c r="I138" s="5" t="s">
        <v>19</v>
      </c>
      <c r="J138" s="5" t="str">
        <f aca="false">ROUND(74*1,0)&amp;"%"</f>
        <v>74%</v>
      </c>
    </row>
    <row r="139" customFormat="false" ht="15" hidden="false" customHeight="false" outlineLevel="0" collapsed="false">
      <c r="A139" s="6" t="s">
        <v>7459</v>
      </c>
      <c r="B139" s="6" t="s">
        <v>244</v>
      </c>
      <c r="C139" s="6" t="s">
        <v>114</v>
      </c>
      <c r="D139" s="6" t="s">
        <v>22</v>
      </c>
      <c r="E139" s="6" t="n">
        <f aca="false">ROUND(9761*1.05,2)</f>
        <v>10249.05</v>
      </c>
      <c r="F139" s="6" t="s">
        <v>23</v>
      </c>
      <c r="G139" s="6" t="s">
        <v>24</v>
      </c>
      <c r="H139" s="6" t="n">
        <f aca="true">ROUND(RAND()*4+6,1)</f>
        <v>8.5</v>
      </c>
      <c r="I139" s="6" t="s">
        <v>25</v>
      </c>
      <c r="J139" s="6" t="str">
        <f aca="false">ROUND(73*1,0)&amp;"%"</f>
        <v>73%</v>
      </c>
    </row>
    <row r="140" customFormat="false" ht="15" hidden="false" customHeight="false" outlineLevel="0" collapsed="false">
      <c r="A140" s="5" t="s">
        <v>7460</v>
      </c>
      <c r="B140" s="5" t="s">
        <v>246</v>
      </c>
      <c r="C140" s="5" t="s">
        <v>114</v>
      </c>
      <c r="D140" s="5" t="s">
        <v>28</v>
      </c>
      <c r="E140" s="5" t="n">
        <f aca="false">ROUND(5640*1.05,2)</f>
        <v>5922</v>
      </c>
      <c r="F140" s="5" t="s">
        <v>29</v>
      </c>
      <c r="G140" s="5" t="s">
        <v>30</v>
      </c>
      <c r="H140" s="5" t="n">
        <f aca="true">ROUND(RAND()*4+6,1)</f>
        <v>8</v>
      </c>
      <c r="I140" s="5" t="s">
        <v>31</v>
      </c>
      <c r="J140" s="5" t="str">
        <f aca="false">ROUND(80*1,0)&amp;"%"</f>
        <v>80%</v>
      </c>
    </row>
    <row r="141" customFormat="false" ht="15" hidden="false" customHeight="false" outlineLevel="0" collapsed="false">
      <c r="A141" s="6" t="s">
        <v>7461</v>
      </c>
      <c r="B141" s="6" t="s">
        <v>248</v>
      </c>
      <c r="C141" s="6" t="s">
        <v>114</v>
      </c>
      <c r="D141" s="6" t="s">
        <v>34</v>
      </c>
      <c r="E141" s="6" t="n">
        <f aca="false">ROUND(6931*1.05,2)</f>
        <v>7277.55</v>
      </c>
      <c r="F141" s="6" t="s">
        <v>35</v>
      </c>
      <c r="G141" s="6" t="s">
        <v>18</v>
      </c>
      <c r="H141" s="6" t="n">
        <f aca="true">ROUND(RAND()*4+6,1)</f>
        <v>8.2</v>
      </c>
      <c r="I141" s="6" t="s">
        <v>36</v>
      </c>
      <c r="J141" s="6" t="str">
        <f aca="false">ROUND(81*1,0)&amp;"%"</f>
        <v>81%</v>
      </c>
    </row>
    <row r="142" customFormat="false" ht="15" hidden="false" customHeight="false" outlineLevel="0" collapsed="false">
      <c r="A142" s="5" t="s">
        <v>7462</v>
      </c>
      <c r="B142" s="5" t="s">
        <v>250</v>
      </c>
      <c r="C142" s="5" t="s">
        <v>114</v>
      </c>
      <c r="D142" s="5" t="s">
        <v>39</v>
      </c>
      <c r="E142" s="5" t="n">
        <f aca="false">ROUND(9914*1.05,2)</f>
        <v>10409.7</v>
      </c>
      <c r="F142" s="5" t="s">
        <v>40</v>
      </c>
      <c r="G142" s="5" t="s">
        <v>24</v>
      </c>
      <c r="H142" s="5" t="n">
        <f aca="true">ROUND(RAND()*4+6,1)</f>
        <v>7.3</v>
      </c>
      <c r="I142" s="5" t="s">
        <v>41</v>
      </c>
      <c r="J142" s="5" t="str">
        <f aca="false">ROUND(86*1,0)&amp;"%"</f>
        <v>86%</v>
      </c>
    </row>
    <row r="143" customFormat="false" ht="15" hidden="false" customHeight="false" outlineLevel="0" collapsed="false">
      <c r="A143" s="6" t="s">
        <v>7463</v>
      </c>
      <c r="B143" s="6" t="s">
        <v>252</v>
      </c>
      <c r="C143" s="6" t="s">
        <v>114</v>
      </c>
      <c r="D143" s="6" t="s">
        <v>44</v>
      </c>
      <c r="E143" s="6" t="n">
        <f aca="false">ROUND(12950*1.05,2)</f>
        <v>13597.5</v>
      </c>
      <c r="F143" s="6" t="s">
        <v>45</v>
      </c>
      <c r="G143" s="6" t="s">
        <v>30</v>
      </c>
      <c r="H143" s="6" t="n">
        <f aca="true">ROUND(RAND()*4+6,1)</f>
        <v>7.9</v>
      </c>
      <c r="I143" s="6" t="s">
        <v>46</v>
      </c>
      <c r="J143" s="6" t="str">
        <f aca="false">ROUND(78*1,0)&amp;"%"</f>
        <v>78%</v>
      </c>
    </row>
    <row r="144" customFormat="false" ht="15" hidden="false" customHeight="false" outlineLevel="0" collapsed="false">
      <c r="A144" s="5" t="s">
        <v>7464</v>
      </c>
      <c r="B144" s="5" t="s">
        <v>254</v>
      </c>
      <c r="C144" s="5" t="s">
        <v>114</v>
      </c>
      <c r="D144" s="5" t="s">
        <v>16</v>
      </c>
      <c r="E144" s="5" t="n">
        <f aca="false">ROUND(6778*1.05,2)</f>
        <v>7116.9</v>
      </c>
      <c r="F144" s="5" t="s">
        <v>49</v>
      </c>
      <c r="G144" s="5" t="s">
        <v>18</v>
      </c>
      <c r="H144" s="5" t="n">
        <f aca="true">ROUND(RAND()*4+6,1)</f>
        <v>7.4</v>
      </c>
      <c r="I144" s="5" t="s">
        <v>19</v>
      </c>
      <c r="J144" s="5" t="str">
        <f aca="false">ROUND(88*1,0)&amp;"%"</f>
        <v>88%</v>
      </c>
    </row>
    <row r="145" customFormat="false" ht="15" hidden="false" customHeight="false" outlineLevel="0" collapsed="false">
      <c r="A145" s="6" t="s">
        <v>7465</v>
      </c>
      <c r="B145" s="6" t="s">
        <v>256</v>
      </c>
      <c r="C145" s="6" t="s">
        <v>114</v>
      </c>
      <c r="D145" s="6" t="s">
        <v>22</v>
      </c>
      <c r="E145" s="6" t="n">
        <f aca="false">ROUND(8465*1.05,2)</f>
        <v>8888.25</v>
      </c>
      <c r="F145" s="6" t="s">
        <v>52</v>
      </c>
      <c r="G145" s="6" t="s">
        <v>24</v>
      </c>
      <c r="H145" s="6" t="n">
        <f aca="true">ROUND(RAND()*4+6,1)</f>
        <v>6.6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7466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7467</v>
      </c>
      <c r="B150" s="5" t="s">
        <v>260</v>
      </c>
      <c r="C150" s="5" t="s">
        <v>133</v>
      </c>
      <c r="D150" s="5" t="s">
        <v>16</v>
      </c>
      <c r="E150" s="5" t="n">
        <f aca="false">ROUND(16736*1.05,2)</f>
        <v>17572.8</v>
      </c>
      <c r="F150" s="5" t="s">
        <v>17</v>
      </c>
      <c r="G150" s="5" t="s">
        <v>18</v>
      </c>
      <c r="H150" s="5" t="n">
        <f aca="true">ROUND(RAND()*4+6,1)</f>
        <v>6.3</v>
      </c>
      <c r="I150" s="5" t="s">
        <v>19</v>
      </c>
      <c r="J150" s="5" t="str">
        <f aca="false">ROUND(60*1,0)&amp;"%"</f>
        <v>60%</v>
      </c>
    </row>
    <row r="151" customFormat="false" ht="15" hidden="false" customHeight="false" outlineLevel="0" collapsed="false">
      <c r="A151" s="6" t="s">
        <v>7468</v>
      </c>
      <c r="B151" s="6" t="s">
        <v>262</v>
      </c>
      <c r="C151" s="6" t="s">
        <v>133</v>
      </c>
      <c r="D151" s="6" t="s">
        <v>22</v>
      </c>
      <c r="E151" s="6" t="n">
        <f aca="false">ROUND(16007*1.05,2)</f>
        <v>16807.35</v>
      </c>
      <c r="F151" s="6" t="s">
        <v>23</v>
      </c>
      <c r="G151" s="6" t="s">
        <v>24</v>
      </c>
      <c r="H151" s="6" t="n">
        <f aca="true">ROUND(RAND()*4+6,1)</f>
        <v>9.7</v>
      </c>
      <c r="I151" s="6" t="s">
        <v>25</v>
      </c>
      <c r="J151" s="6" t="str">
        <f aca="false">ROUND(93*1,0)&amp;"%"</f>
        <v>93%</v>
      </c>
    </row>
    <row r="152" customFormat="false" ht="15" hidden="false" customHeight="false" outlineLevel="0" collapsed="false">
      <c r="A152" s="5" t="s">
        <v>7469</v>
      </c>
      <c r="B152" s="5" t="s">
        <v>264</v>
      </c>
      <c r="C152" s="5" t="s">
        <v>133</v>
      </c>
      <c r="D152" s="5" t="s">
        <v>28</v>
      </c>
      <c r="E152" s="5" t="n">
        <f aca="false">ROUND(7807*1.05,2)</f>
        <v>8197.35</v>
      </c>
      <c r="F152" s="5" t="s">
        <v>29</v>
      </c>
      <c r="G152" s="5" t="s">
        <v>30</v>
      </c>
      <c r="H152" s="5" t="n">
        <f aca="true">ROUND(RAND()*4+6,1)</f>
        <v>9.2</v>
      </c>
      <c r="I152" s="5" t="s">
        <v>31</v>
      </c>
      <c r="J152" s="5" t="str">
        <f aca="false">ROUND(74*1,0)&amp;"%"</f>
        <v>74%</v>
      </c>
    </row>
    <row r="153" customFormat="false" ht="15" hidden="false" customHeight="false" outlineLevel="0" collapsed="false">
      <c r="A153" s="6" t="s">
        <v>7470</v>
      </c>
      <c r="B153" s="6" t="s">
        <v>266</v>
      </c>
      <c r="C153" s="6" t="s">
        <v>133</v>
      </c>
      <c r="D153" s="6" t="s">
        <v>34</v>
      </c>
      <c r="E153" s="6" t="n">
        <f aca="false">ROUND(10158*1.05,2)</f>
        <v>10665.9</v>
      </c>
      <c r="F153" s="6" t="s">
        <v>35</v>
      </c>
      <c r="G153" s="6" t="s">
        <v>18</v>
      </c>
      <c r="H153" s="6" t="n">
        <f aca="true">ROUND(RAND()*4+6,1)</f>
        <v>7.8</v>
      </c>
      <c r="I153" s="6" t="s">
        <v>36</v>
      </c>
      <c r="J153" s="6" t="str">
        <f aca="false">ROUND(84*1,0)&amp;"%"</f>
        <v>84%</v>
      </c>
    </row>
    <row r="154" customFormat="false" ht="15" hidden="false" customHeight="false" outlineLevel="0" collapsed="false">
      <c r="A154" s="5" t="s">
        <v>7471</v>
      </c>
      <c r="B154" s="5" t="s">
        <v>268</v>
      </c>
      <c r="C154" s="5" t="s">
        <v>133</v>
      </c>
      <c r="D154" s="5" t="s">
        <v>39</v>
      </c>
      <c r="E154" s="5" t="n">
        <f aca="false">ROUND(10736*1.05,2)</f>
        <v>11272.8</v>
      </c>
      <c r="F154" s="5" t="s">
        <v>40</v>
      </c>
      <c r="G154" s="5" t="s">
        <v>24</v>
      </c>
      <c r="H154" s="5" t="n">
        <f aca="true">ROUND(RAND()*4+6,1)</f>
        <v>6.4</v>
      </c>
      <c r="I154" s="5" t="s">
        <v>41</v>
      </c>
      <c r="J154" s="5" t="str">
        <f aca="false">ROUND(65*1,0)&amp;"%"</f>
        <v>65%</v>
      </c>
    </row>
    <row r="155" customFormat="false" ht="15" hidden="false" customHeight="false" outlineLevel="0" collapsed="false">
      <c r="A155" s="6" t="s">
        <v>7472</v>
      </c>
      <c r="B155" s="6" t="s">
        <v>270</v>
      </c>
      <c r="C155" s="6" t="s">
        <v>133</v>
      </c>
      <c r="D155" s="6" t="s">
        <v>44</v>
      </c>
      <c r="E155" s="6" t="n">
        <f aca="false">ROUND(8719*1.05,2)</f>
        <v>9154.95</v>
      </c>
      <c r="F155" s="6" t="s">
        <v>45</v>
      </c>
      <c r="G155" s="6" t="s">
        <v>30</v>
      </c>
      <c r="H155" s="6" t="n">
        <f aca="true">ROUND(RAND()*4+6,1)</f>
        <v>6.5</v>
      </c>
      <c r="I155" s="6" t="s">
        <v>46</v>
      </c>
      <c r="J155" s="6" t="str">
        <f aca="false">ROUND(84*1,0)&amp;"%"</f>
        <v>84%</v>
      </c>
    </row>
    <row r="156" customFormat="false" ht="15" hidden="false" customHeight="false" outlineLevel="0" collapsed="false">
      <c r="A156" s="5" t="s">
        <v>7473</v>
      </c>
      <c r="B156" s="5" t="s">
        <v>272</v>
      </c>
      <c r="C156" s="5" t="s">
        <v>133</v>
      </c>
      <c r="D156" s="5" t="s">
        <v>16</v>
      </c>
      <c r="E156" s="5" t="n">
        <f aca="false">ROUND(11518*1.05,2)</f>
        <v>12093.9</v>
      </c>
      <c r="F156" s="5" t="s">
        <v>49</v>
      </c>
      <c r="G156" s="5" t="s">
        <v>18</v>
      </c>
      <c r="H156" s="5" t="n">
        <f aca="true">ROUND(RAND()*4+6,1)</f>
        <v>9.3</v>
      </c>
      <c r="I156" s="5" t="s">
        <v>19</v>
      </c>
      <c r="J156" s="5" t="str">
        <f aca="false">ROUND(93*1,0)&amp;"%"</f>
        <v>93%</v>
      </c>
    </row>
    <row r="157" customFormat="false" ht="15" hidden="false" customHeight="false" outlineLevel="0" collapsed="false">
      <c r="A157" s="6" t="s">
        <v>7474</v>
      </c>
      <c r="B157" s="6" t="s">
        <v>274</v>
      </c>
      <c r="C157" s="6" t="s">
        <v>133</v>
      </c>
      <c r="D157" s="6" t="s">
        <v>22</v>
      </c>
      <c r="E157" s="6" t="n">
        <f aca="false">ROUND(14042*1.05,2)</f>
        <v>14744.1</v>
      </c>
      <c r="F157" s="6" t="s">
        <v>52</v>
      </c>
      <c r="G157" s="6" t="s">
        <v>24</v>
      </c>
      <c r="H157" s="6" t="n">
        <f aca="true">ROUND(RAND()*4+6,1)</f>
        <v>9</v>
      </c>
      <c r="I157" s="6" t="s">
        <v>25</v>
      </c>
      <c r="J157" s="6" t="str">
        <f aca="false">ROUND(74*1,0)&amp;"%"</f>
        <v>74%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7475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7476</v>
      </c>
      <c r="B162" s="5" t="s">
        <v>278</v>
      </c>
      <c r="C162" s="5" t="s">
        <v>152</v>
      </c>
      <c r="D162" s="5" t="s">
        <v>16</v>
      </c>
      <c r="E162" s="5" t="n">
        <f aca="false">ROUND(5052*1.05,2)</f>
        <v>5304.6</v>
      </c>
      <c r="F162" s="5" t="s">
        <v>17</v>
      </c>
      <c r="G162" s="5" t="s">
        <v>18</v>
      </c>
      <c r="H162" s="5" t="n">
        <f aca="true">ROUND(RAND()*4+6,1)</f>
        <v>7.3</v>
      </c>
      <c r="I162" s="5" t="s">
        <v>19</v>
      </c>
      <c r="J162" s="5" t="str">
        <f aca="false">ROUND(62*1,0)&amp;"%"</f>
        <v>62%</v>
      </c>
    </row>
    <row r="163" customFormat="false" ht="15" hidden="false" customHeight="false" outlineLevel="0" collapsed="false">
      <c r="A163" s="6" t="s">
        <v>7477</v>
      </c>
      <c r="B163" s="6" t="s">
        <v>280</v>
      </c>
      <c r="C163" s="6" t="s">
        <v>152</v>
      </c>
      <c r="D163" s="6" t="s">
        <v>22</v>
      </c>
      <c r="E163" s="6" t="n">
        <f aca="false">ROUND(16638*1.05,2)</f>
        <v>17469.9</v>
      </c>
      <c r="F163" s="6" t="s">
        <v>23</v>
      </c>
      <c r="G163" s="6" t="s">
        <v>24</v>
      </c>
      <c r="H163" s="6" t="n">
        <f aca="true">ROUND(RAND()*4+6,1)</f>
        <v>6.7</v>
      </c>
      <c r="I163" s="6" t="s">
        <v>25</v>
      </c>
      <c r="J163" s="6" t="str">
        <f aca="false">ROUND(84*1,0)&amp;"%"</f>
        <v>84%</v>
      </c>
    </row>
    <row r="164" customFormat="false" ht="15" hidden="false" customHeight="false" outlineLevel="0" collapsed="false">
      <c r="A164" s="5" t="s">
        <v>7478</v>
      </c>
      <c r="B164" s="5" t="s">
        <v>282</v>
      </c>
      <c r="C164" s="5" t="s">
        <v>152</v>
      </c>
      <c r="D164" s="5" t="s">
        <v>28</v>
      </c>
      <c r="E164" s="5" t="n">
        <f aca="false">ROUND(6241*1.05,2)</f>
        <v>6553.05</v>
      </c>
      <c r="F164" s="5" t="s">
        <v>29</v>
      </c>
      <c r="G164" s="5" t="s">
        <v>30</v>
      </c>
      <c r="H164" s="5" t="n">
        <f aca="true">ROUND(RAND()*4+6,1)</f>
        <v>6.8</v>
      </c>
      <c r="I164" s="5" t="s">
        <v>31</v>
      </c>
      <c r="J164" s="5" t="str">
        <f aca="false">ROUND(65*1,0)&amp;"%"</f>
        <v>65%</v>
      </c>
    </row>
    <row r="165" customFormat="false" ht="15" hidden="false" customHeight="false" outlineLevel="0" collapsed="false">
      <c r="A165" s="6" t="s">
        <v>7479</v>
      </c>
      <c r="B165" s="6" t="s">
        <v>284</v>
      </c>
      <c r="C165" s="6" t="s">
        <v>152</v>
      </c>
      <c r="D165" s="6" t="s">
        <v>34</v>
      </c>
      <c r="E165" s="6" t="n">
        <f aca="false">ROUND(12731*1.05,2)</f>
        <v>13367.55</v>
      </c>
      <c r="F165" s="6" t="s">
        <v>35</v>
      </c>
      <c r="G165" s="6" t="s">
        <v>18</v>
      </c>
      <c r="H165" s="6" t="n">
        <f aca="true">ROUND(RAND()*4+6,1)</f>
        <v>8.3</v>
      </c>
      <c r="I165" s="6" t="s">
        <v>36</v>
      </c>
      <c r="J165" s="6" t="str">
        <f aca="false">ROUND(86*1,0)&amp;"%"</f>
        <v>86%</v>
      </c>
    </row>
    <row r="166" customFormat="false" ht="15" hidden="false" customHeight="false" outlineLevel="0" collapsed="false">
      <c r="A166" s="5" t="s">
        <v>7480</v>
      </c>
      <c r="B166" s="5" t="s">
        <v>286</v>
      </c>
      <c r="C166" s="5" t="s">
        <v>152</v>
      </c>
      <c r="D166" s="5" t="s">
        <v>39</v>
      </c>
      <c r="E166" s="5" t="n">
        <f aca="false">ROUND(9970*1.05,2)</f>
        <v>10468.5</v>
      </c>
      <c r="F166" s="5" t="s">
        <v>40</v>
      </c>
      <c r="G166" s="5" t="s">
        <v>24</v>
      </c>
      <c r="H166" s="5" t="n">
        <f aca="true">ROUND(RAND()*4+6,1)</f>
        <v>9.8</v>
      </c>
      <c r="I166" s="5" t="s">
        <v>41</v>
      </c>
      <c r="J166" s="5" t="str">
        <f aca="false">ROUND(78*1,0)&amp;"%"</f>
        <v>78%</v>
      </c>
    </row>
    <row r="167" customFormat="false" ht="15" hidden="false" customHeight="false" outlineLevel="0" collapsed="false">
      <c r="A167" s="6" t="s">
        <v>7481</v>
      </c>
      <c r="B167" s="6" t="s">
        <v>288</v>
      </c>
      <c r="C167" s="6" t="s">
        <v>152</v>
      </c>
      <c r="D167" s="6" t="s">
        <v>44</v>
      </c>
      <c r="E167" s="6" t="n">
        <f aca="false">ROUND(10377*1.05,2)</f>
        <v>10895.85</v>
      </c>
      <c r="F167" s="6" t="s">
        <v>45</v>
      </c>
      <c r="G167" s="6" t="s">
        <v>30</v>
      </c>
      <c r="H167" s="6" t="n">
        <f aca="true">ROUND(RAND()*4+6,1)</f>
        <v>8.8</v>
      </c>
      <c r="I167" s="6" t="s">
        <v>46</v>
      </c>
      <c r="J167" s="6" t="str">
        <f aca="false">ROUND(87*1,0)&amp;"%"</f>
        <v>87%</v>
      </c>
    </row>
    <row r="168" customFormat="false" ht="15" hidden="false" customHeight="false" outlineLevel="0" collapsed="false">
      <c r="A168" s="5" t="s">
        <v>7482</v>
      </c>
      <c r="B168" s="5" t="s">
        <v>290</v>
      </c>
      <c r="C168" s="5" t="s">
        <v>152</v>
      </c>
      <c r="D168" s="5" t="s">
        <v>16</v>
      </c>
      <c r="E168" s="5" t="n">
        <f aca="false">ROUND(17548*1.05,2)</f>
        <v>18425.4</v>
      </c>
      <c r="F168" s="5" t="s">
        <v>49</v>
      </c>
      <c r="G168" s="5" t="s">
        <v>18</v>
      </c>
      <c r="H168" s="5" t="n">
        <f aca="true">ROUND(RAND()*4+6,1)</f>
        <v>6</v>
      </c>
      <c r="I168" s="5" t="s">
        <v>19</v>
      </c>
      <c r="J168" s="5" t="str">
        <f aca="false">ROUND(81*1,0)&amp;"%"</f>
        <v>81%</v>
      </c>
    </row>
    <row r="169" customFormat="false" ht="15" hidden="false" customHeight="false" outlineLevel="0" collapsed="false">
      <c r="A169" s="6" t="s">
        <v>7483</v>
      </c>
      <c r="B169" s="6" t="s">
        <v>292</v>
      </c>
      <c r="C169" s="6" t="s">
        <v>152</v>
      </c>
      <c r="D169" s="6" t="s">
        <v>22</v>
      </c>
      <c r="E169" s="6" t="n">
        <f aca="false">ROUND(8362*1.05,2)</f>
        <v>8780.1</v>
      </c>
      <c r="F169" s="6" t="s">
        <v>52</v>
      </c>
      <c r="G169" s="6" t="s">
        <v>24</v>
      </c>
      <c r="H169" s="6" t="n">
        <f aca="true">ROUND(RAND()*4+6,1)</f>
        <v>9.5</v>
      </c>
      <c r="I169" s="6" t="s">
        <v>25</v>
      </c>
      <c r="J169" s="6" t="str">
        <f aca="false">ROUND(74*1,0)&amp;"%"</f>
        <v>74%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7484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7485</v>
      </c>
      <c r="B174" s="5" t="s">
        <v>296</v>
      </c>
      <c r="C174" s="5" t="s">
        <v>15</v>
      </c>
      <c r="D174" s="5" t="s">
        <v>16</v>
      </c>
      <c r="E174" s="5" t="n">
        <f aca="false">ROUND(7760*1.05,2)</f>
        <v>8148</v>
      </c>
      <c r="F174" s="5" t="s">
        <v>17</v>
      </c>
      <c r="G174" s="5" t="s">
        <v>18</v>
      </c>
      <c r="H174" s="5" t="n">
        <f aca="true">ROUND(RAND()*4+6,1)</f>
        <v>7.2</v>
      </c>
      <c r="I174" s="5" t="s">
        <v>19</v>
      </c>
      <c r="J174" s="5" t="str">
        <f aca="false">ROUND(83*1,0)&amp;"%"</f>
        <v>83%</v>
      </c>
    </row>
    <row r="175" customFormat="false" ht="15" hidden="false" customHeight="false" outlineLevel="0" collapsed="false">
      <c r="A175" s="6" t="s">
        <v>7486</v>
      </c>
      <c r="B175" s="6" t="s">
        <v>298</v>
      </c>
      <c r="C175" s="6" t="s">
        <v>15</v>
      </c>
      <c r="D175" s="6" t="s">
        <v>22</v>
      </c>
      <c r="E175" s="6" t="n">
        <f aca="false">ROUND(14161*1.05,2)</f>
        <v>14869.05</v>
      </c>
      <c r="F175" s="6" t="s">
        <v>23</v>
      </c>
      <c r="G175" s="6" t="s">
        <v>24</v>
      </c>
      <c r="H175" s="6" t="n">
        <f aca="true">ROUND(RAND()*4+6,1)</f>
        <v>7.3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7487</v>
      </c>
      <c r="B176" s="5" t="s">
        <v>300</v>
      </c>
      <c r="C176" s="5" t="s">
        <v>15</v>
      </c>
      <c r="D176" s="5" t="s">
        <v>28</v>
      </c>
      <c r="E176" s="5" t="n">
        <f aca="false">ROUND(7552*1.05,2)</f>
        <v>7929.6</v>
      </c>
      <c r="F176" s="5" t="s">
        <v>29</v>
      </c>
      <c r="G176" s="5" t="s">
        <v>30</v>
      </c>
      <c r="H176" s="5" t="n">
        <f aca="true">ROUND(RAND()*4+6,1)</f>
        <v>9.6</v>
      </c>
      <c r="I176" s="5" t="s">
        <v>31</v>
      </c>
      <c r="J176" s="5" t="str">
        <f aca="false">ROUND(79*1,0)&amp;"%"</f>
        <v>79%</v>
      </c>
    </row>
    <row r="177" customFormat="false" ht="15" hidden="false" customHeight="false" outlineLevel="0" collapsed="false">
      <c r="A177" s="6" t="s">
        <v>7488</v>
      </c>
      <c r="B177" s="6" t="s">
        <v>302</v>
      </c>
      <c r="C177" s="6" t="s">
        <v>15</v>
      </c>
      <c r="D177" s="6" t="s">
        <v>34</v>
      </c>
      <c r="E177" s="6" t="n">
        <f aca="false">ROUND(4263*1.05,2)</f>
        <v>4476.15</v>
      </c>
      <c r="F177" s="6" t="s">
        <v>35</v>
      </c>
      <c r="G177" s="6" t="s">
        <v>18</v>
      </c>
      <c r="H177" s="6" t="n">
        <f aca="true">ROUND(RAND()*4+6,1)</f>
        <v>7.1</v>
      </c>
      <c r="I177" s="6" t="s">
        <v>36</v>
      </c>
      <c r="J177" s="6" t="str">
        <f aca="false">ROUND(71*1,0)&amp;"%"</f>
        <v>71%</v>
      </c>
    </row>
    <row r="178" customFormat="false" ht="15" hidden="false" customHeight="false" outlineLevel="0" collapsed="false">
      <c r="A178" s="5" t="s">
        <v>7489</v>
      </c>
      <c r="B178" s="5" t="s">
        <v>304</v>
      </c>
      <c r="C178" s="5" t="s">
        <v>15</v>
      </c>
      <c r="D178" s="5" t="s">
        <v>39</v>
      </c>
      <c r="E178" s="5" t="n">
        <f aca="false">ROUND(10530*1.05,2)</f>
        <v>11056.5</v>
      </c>
      <c r="F178" s="5" t="s">
        <v>40</v>
      </c>
      <c r="G178" s="5" t="s">
        <v>24</v>
      </c>
      <c r="H178" s="5" t="n">
        <f aca="true">ROUND(RAND()*4+6,1)</f>
        <v>10</v>
      </c>
      <c r="I178" s="5" t="s">
        <v>41</v>
      </c>
      <c r="J178" s="5" t="str">
        <f aca="false">ROUND(82*1,0)&amp;"%"</f>
        <v>82%</v>
      </c>
    </row>
    <row r="179" customFormat="false" ht="15" hidden="false" customHeight="false" outlineLevel="0" collapsed="false">
      <c r="A179" s="6" t="s">
        <v>7490</v>
      </c>
      <c r="B179" s="6" t="s">
        <v>306</v>
      </c>
      <c r="C179" s="6" t="s">
        <v>15</v>
      </c>
      <c r="D179" s="6" t="s">
        <v>44</v>
      </c>
      <c r="E179" s="6" t="n">
        <f aca="false">ROUND(4706*1.05,2)</f>
        <v>4941.3</v>
      </c>
      <c r="F179" s="6" t="s">
        <v>45</v>
      </c>
      <c r="G179" s="6" t="s">
        <v>30</v>
      </c>
      <c r="H179" s="6" t="n">
        <f aca="true">ROUND(RAND()*4+6,1)</f>
        <v>6.6</v>
      </c>
      <c r="I179" s="6" t="s">
        <v>46</v>
      </c>
      <c r="J179" s="6" t="str">
        <f aca="false">ROUND(81*1,0)&amp;"%"</f>
        <v>81%</v>
      </c>
    </row>
    <row r="180" customFormat="false" ht="15" hidden="false" customHeight="false" outlineLevel="0" collapsed="false">
      <c r="A180" s="5" t="s">
        <v>7491</v>
      </c>
      <c r="B180" s="5" t="s">
        <v>308</v>
      </c>
      <c r="C180" s="5" t="s">
        <v>15</v>
      </c>
      <c r="D180" s="5" t="s">
        <v>16</v>
      </c>
      <c r="E180" s="5" t="n">
        <f aca="false">ROUND(12965*1.05,2)</f>
        <v>13613.25</v>
      </c>
      <c r="F180" s="5" t="s">
        <v>49</v>
      </c>
      <c r="G180" s="5" t="s">
        <v>18</v>
      </c>
      <c r="H180" s="5" t="n">
        <f aca="true">ROUND(RAND()*4+6,1)</f>
        <v>9.8</v>
      </c>
      <c r="I180" s="5" t="s">
        <v>19</v>
      </c>
      <c r="J180" s="5" t="str">
        <f aca="false">ROUND(89*1,0)&amp;"%"</f>
        <v>89%</v>
      </c>
    </row>
    <row r="181" customFormat="false" ht="15" hidden="false" customHeight="false" outlineLevel="0" collapsed="false">
      <c r="A181" s="6" t="s">
        <v>7492</v>
      </c>
      <c r="B181" s="6" t="s">
        <v>310</v>
      </c>
      <c r="C181" s="6" t="s">
        <v>15</v>
      </c>
      <c r="D181" s="6" t="s">
        <v>22</v>
      </c>
      <c r="E181" s="6" t="n">
        <f aca="false">ROUND(6767*1.05,2)</f>
        <v>7105.35</v>
      </c>
      <c r="F181" s="6" t="s">
        <v>52</v>
      </c>
      <c r="G181" s="6" t="s">
        <v>24</v>
      </c>
      <c r="H181" s="6" t="n">
        <f aca="true">ROUND(RAND()*4+6,1)</f>
        <v>8.7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7493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7494</v>
      </c>
      <c r="B186" s="5" t="s">
        <v>314</v>
      </c>
      <c r="C186" s="5" t="s">
        <v>57</v>
      </c>
      <c r="D186" s="5" t="s">
        <v>16</v>
      </c>
      <c r="E186" s="5" t="n">
        <f aca="false">ROUND(15974*1.05,2)</f>
        <v>16772.7</v>
      </c>
      <c r="F186" s="5" t="s">
        <v>17</v>
      </c>
      <c r="G186" s="5" t="s">
        <v>18</v>
      </c>
      <c r="H186" s="5" t="n">
        <f aca="true">ROUND(RAND()*4+6,1)</f>
        <v>7.7</v>
      </c>
      <c r="I186" s="5" t="s">
        <v>19</v>
      </c>
      <c r="J186" s="5" t="str">
        <f aca="false">ROUND(98*1,0)&amp;"%"</f>
        <v>98%</v>
      </c>
    </row>
    <row r="187" customFormat="false" ht="15" hidden="false" customHeight="false" outlineLevel="0" collapsed="false">
      <c r="A187" s="6" t="s">
        <v>7495</v>
      </c>
      <c r="B187" s="6" t="s">
        <v>316</v>
      </c>
      <c r="C187" s="6" t="s">
        <v>57</v>
      </c>
      <c r="D187" s="6" t="s">
        <v>22</v>
      </c>
      <c r="E187" s="6" t="n">
        <f aca="false">ROUND(13226*1.05,2)</f>
        <v>13887.3</v>
      </c>
      <c r="F187" s="6" t="s">
        <v>23</v>
      </c>
      <c r="G187" s="6" t="s">
        <v>24</v>
      </c>
      <c r="H187" s="6" t="n">
        <f aca="true">ROUND(RAND()*4+6,1)</f>
        <v>9.2</v>
      </c>
      <c r="I187" s="6" t="s">
        <v>25</v>
      </c>
      <c r="J187" s="6" t="str">
        <f aca="false">ROUND(83*1,0)&amp;"%"</f>
        <v>83%</v>
      </c>
    </row>
    <row r="188" customFormat="false" ht="15" hidden="false" customHeight="false" outlineLevel="0" collapsed="false">
      <c r="A188" s="5" t="s">
        <v>7496</v>
      </c>
      <c r="B188" s="5" t="s">
        <v>318</v>
      </c>
      <c r="C188" s="5" t="s">
        <v>57</v>
      </c>
      <c r="D188" s="5" t="s">
        <v>28</v>
      </c>
      <c r="E188" s="5" t="n">
        <f aca="false">ROUND(6902*1.05,2)</f>
        <v>7247.1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ROUND(82*1,0)&amp;"%"</f>
        <v>82%</v>
      </c>
    </row>
    <row r="189" customFormat="false" ht="15" hidden="false" customHeight="false" outlineLevel="0" collapsed="false">
      <c r="A189" s="6" t="s">
        <v>7497</v>
      </c>
      <c r="B189" s="6" t="s">
        <v>320</v>
      </c>
      <c r="C189" s="6" t="s">
        <v>57</v>
      </c>
      <c r="D189" s="6" t="s">
        <v>34</v>
      </c>
      <c r="E189" s="6" t="n">
        <f aca="false">ROUND(9966*1.05,2)</f>
        <v>10464.3</v>
      </c>
      <c r="F189" s="6" t="s">
        <v>35</v>
      </c>
      <c r="G189" s="6" t="s">
        <v>18</v>
      </c>
      <c r="H189" s="6" t="n">
        <f aca="true">ROUND(RAND()*4+6,1)</f>
        <v>8.5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7498</v>
      </c>
      <c r="B190" s="5" t="s">
        <v>322</v>
      </c>
      <c r="C190" s="5" t="s">
        <v>57</v>
      </c>
      <c r="D190" s="5" t="s">
        <v>39</v>
      </c>
      <c r="E190" s="5" t="n">
        <f aca="false">ROUND(10216*1.05,2)</f>
        <v>10726.8</v>
      </c>
      <c r="F190" s="5" t="s">
        <v>40</v>
      </c>
      <c r="G190" s="5" t="s">
        <v>24</v>
      </c>
      <c r="H190" s="5" t="n">
        <f aca="true">ROUND(RAND()*4+6,1)</f>
        <v>8.6</v>
      </c>
      <c r="I190" s="5" t="s">
        <v>41</v>
      </c>
      <c r="J190" s="5" t="str">
        <f aca="false">ROUND(61*1,0)&amp;"%"</f>
        <v>61%</v>
      </c>
    </row>
    <row r="191" customFormat="false" ht="15" hidden="false" customHeight="false" outlineLevel="0" collapsed="false">
      <c r="A191" s="6" t="s">
        <v>7499</v>
      </c>
      <c r="B191" s="6" t="s">
        <v>324</v>
      </c>
      <c r="C191" s="6" t="s">
        <v>57</v>
      </c>
      <c r="D191" s="6" t="s">
        <v>44</v>
      </c>
      <c r="E191" s="6" t="n">
        <f aca="false">ROUND(16434*1.05,2)</f>
        <v>17255.7</v>
      </c>
      <c r="F191" s="6" t="s">
        <v>45</v>
      </c>
      <c r="G191" s="6" t="s">
        <v>30</v>
      </c>
      <c r="H191" s="6" t="n">
        <f aca="true">ROUND(RAND()*4+6,1)</f>
        <v>8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7500</v>
      </c>
      <c r="B192" s="5" t="s">
        <v>326</v>
      </c>
      <c r="C192" s="5" t="s">
        <v>57</v>
      </c>
      <c r="D192" s="5" t="s">
        <v>16</v>
      </c>
      <c r="E192" s="5" t="n">
        <f aca="false">ROUND(17585*1.05,2)</f>
        <v>18464.25</v>
      </c>
      <c r="F192" s="5" t="s">
        <v>49</v>
      </c>
      <c r="G192" s="5" t="s">
        <v>18</v>
      </c>
      <c r="H192" s="5" t="n">
        <f aca="true">ROUND(RAND()*4+6,1)</f>
        <v>6.8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7501</v>
      </c>
      <c r="B193" s="6" t="s">
        <v>328</v>
      </c>
      <c r="C193" s="6" t="s">
        <v>57</v>
      </c>
      <c r="D193" s="6" t="s">
        <v>22</v>
      </c>
      <c r="E193" s="6" t="n">
        <f aca="false">ROUND(7860*1.05,2)</f>
        <v>8253</v>
      </c>
      <c r="F193" s="6" t="s">
        <v>52</v>
      </c>
      <c r="G193" s="6" t="s">
        <v>24</v>
      </c>
      <c r="H193" s="6" t="n">
        <f aca="true">ROUND(RAND()*4+6,1)</f>
        <v>6.2</v>
      </c>
      <c r="I193" s="6" t="s">
        <v>25</v>
      </c>
      <c r="J193" s="6" t="str">
        <f aca="false">ROUND(72*1,0)&amp;"%"</f>
        <v>72%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7502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7503</v>
      </c>
      <c r="B198" s="5" t="s">
        <v>332</v>
      </c>
      <c r="C198" s="5" t="s">
        <v>76</v>
      </c>
      <c r="D198" s="5" t="s">
        <v>16</v>
      </c>
      <c r="E198" s="5" t="n">
        <f aca="false">ROUND(11446*1.05,2)</f>
        <v>12018.3</v>
      </c>
      <c r="F198" s="5" t="s">
        <v>17</v>
      </c>
      <c r="G198" s="5" t="s">
        <v>18</v>
      </c>
      <c r="H198" s="5" t="n">
        <f aca="true">ROUND(RAND()*4+6,1)</f>
        <v>9.6</v>
      </c>
      <c r="I198" s="5" t="s">
        <v>19</v>
      </c>
      <c r="J198" s="5" t="str">
        <f aca="false">ROUND(99*1,0)&amp;"%"</f>
        <v>99%</v>
      </c>
    </row>
    <row r="199" customFormat="false" ht="15" hidden="false" customHeight="false" outlineLevel="0" collapsed="false">
      <c r="A199" s="6" t="s">
        <v>7504</v>
      </c>
      <c r="B199" s="6" t="s">
        <v>334</v>
      </c>
      <c r="C199" s="6" t="s">
        <v>76</v>
      </c>
      <c r="D199" s="6" t="s">
        <v>22</v>
      </c>
      <c r="E199" s="6" t="n">
        <f aca="false">ROUND(6768*1.05,2)</f>
        <v>7106.4</v>
      </c>
      <c r="F199" s="6" t="s">
        <v>23</v>
      </c>
      <c r="G199" s="6" t="s">
        <v>24</v>
      </c>
      <c r="H199" s="6" t="n">
        <f aca="true">ROUND(RAND()*4+6,1)</f>
        <v>7.2</v>
      </c>
      <c r="I199" s="6" t="s">
        <v>25</v>
      </c>
      <c r="J199" s="6" t="str">
        <f aca="false">ROUND(60*1,0)&amp;"%"</f>
        <v>60%</v>
      </c>
    </row>
    <row r="200" customFormat="false" ht="15" hidden="false" customHeight="false" outlineLevel="0" collapsed="false">
      <c r="A200" s="5" t="s">
        <v>7505</v>
      </c>
      <c r="B200" s="5" t="s">
        <v>336</v>
      </c>
      <c r="C200" s="5" t="s">
        <v>76</v>
      </c>
      <c r="D200" s="5" t="s">
        <v>28</v>
      </c>
      <c r="E200" s="5" t="n">
        <f aca="false">ROUND(9751*1.05,2)</f>
        <v>10238.55</v>
      </c>
      <c r="F200" s="5" t="s">
        <v>29</v>
      </c>
      <c r="G200" s="5" t="s">
        <v>30</v>
      </c>
      <c r="H200" s="5" t="n">
        <f aca="true">ROUND(RAND()*4+6,1)</f>
        <v>7</v>
      </c>
      <c r="I200" s="5" t="s">
        <v>31</v>
      </c>
      <c r="J200" s="5" t="str">
        <f aca="false">ROUND(69*1,0)&amp;"%"</f>
        <v>69%</v>
      </c>
    </row>
    <row r="201" customFormat="false" ht="15" hidden="false" customHeight="false" outlineLevel="0" collapsed="false">
      <c r="A201" s="6" t="s">
        <v>7506</v>
      </c>
      <c r="B201" s="6" t="s">
        <v>338</v>
      </c>
      <c r="C201" s="6" t="s">
        <v>76</v>
      </c>
      <c r="D201" s="6" t="s">
        <v>34</v>
      </c>
      <c r="E201" s="6" t="n">
        <f aca="false">ROUND(13413*1.05,2)</f>
        <v>14083.65</v>
      </c>
      <c r="F201" s="6" t="s">
        <v>35</v>
      </c>
      <c r="G201" s="6" t="s">
        <v>18</v>
      </c>
      <c r="H201" s="6" t="n">
        <f aca="true">ROUND(RAND()*4+6,1)</f>
        <v>6.2</v>
      </c>
      <c r="I201" s="6" t="s">
        <v>36</v>
      </c>
      <c r="J201" s="6" t="str">
        <f aca="false">ROUND(64*1,0)&amp;"%"</f>
        <v>64%</v>
      </c>
    </row>
    <row r="202" customFormat="false" ht="15" hidden="false" customHeight="false" outlineLevel="0" collapsed="false">
      <c r="A202" s="5" t="s">
        <v>7507</v>
      </c>
      <c r="B202" s="5" t="s">
        <v>340</v>
      </c>
      <c r="C202" s="5" t="s">
        <v>76</v>
      </c>
      <c r="D202" s="5" t="s">
        <v>39</v>
      </c>
      <c r="E202" s="5" t="n">
        <f aca="false">ROUND(13735*1.05,2)</f>
        <v>14421.75</v>
      </c>
      <c r="F202" s="5" t="s">
        <v>40</v>
      </c>
      <c r="G202" s="5" t="s">
        <v>24</v>
      </c>
      <c r="H202" s="5" t="n">
        <f aca="true">ROUND(RAND()*4+6,1)</f>
        <v>6.2</v>
      </c>
      <c r="I202" s="5" t="s">
        <v>41</v>
      </c>
      <c r="J202" s="5" t="str">
        <f aca="false">ROUND(83*1,0)&amp;"%"</f>
        <v>83%</v>
      </c>
    </row>
    <row r="203" customFormat="false" ht="15" hidden="false" customHeight="false" outlineLevel="0" collapsed="false">
      <c r="A203" s="6" t="s">
        <v>7508</v>
      </c>
      <c r="B203" s="6" t="s">
        <v>342</v>
      </c>
      <c r="C203" s="6" t="s">
        <v>76</v>
      </c>
      <c r="D203" s="6" t="s">
        <v>44</v>
      </c>
      <c r="E203" s="6" t="n">
        <f aca="false">ROUND(6790*1.05,2)</f>
        <v>7129.5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ROUND(95*1,0)&amp;"%"</f>
        <v>95%</v>
      </c>
    </row>
    <row r="204" customFormat="false" ht="15" hidden="false" customHeight="false" outlineLevel="0" collapsed="false">
      <c r="A204" s="5" t="s">
        <v>7509</v>
      </c>
      <c r="B204" s="5" t="s">
        <v>344</v>
      </c>
      <c r="C204" s="5" t="s">
        <v>76</v>
      </c>
      <c r="D204" s="5" t="s">
        <v>16</v>
      </c>
      <c r="E204" s="5" t="n">
        <f aca="false">ROUND(7129*1.05,2)</f>
        <v>7485.45</v>
      </c>
      <c r="F204" s="5" t="s">
        <v>49</v>
      </c>
      <c r="G204" s="5" t="s">
        <v>18</v>
      </c>
      <c r="H204" s="5" t="n">
        <f aca="true">ROUND(RAND()*4+6,1)</f>
        <v>6.8</v>
      </c>
      <c r="I204" s="5" t="s">
        <v>19</v>
      </c>
      <c r="J204" s="5" t="str">
        <f aca="false">ROUND(83*1,0)&amp;"%"</f>
        <v>83%</v>
      </c>
    </row>
    <row r="205" customFormat="false" ht="15" hidden="false" customHeight="false" outlineLevel="0" collapsed="false">
      <c r="A205" s="6" t="s">
        <v>7510</v>
      </c>
      <c r="B205" s="6" t="s">
        <v>346</v>
      </c>
      <c r="C205" s="6" t="s">
        <v>76</v>
      </c>
      <c r="D205" s="6" t="s">
        <v>22</v>
      </c>
      <c r="E205" s="6" t="n">
        <f aca="false">ROUND(5021*1.05,2)</f>
        <v>5272.05</v>
      </c>
      <c r="F205" s="6" t="s">
        <v>52</v>
      </c>
      <c r="G205" s="6" t="s">
        <v>24</v>
      </c>
      <c r="H205" s="6" t="n">
        <f aca="true">ROUND(RAND()*4+6,1)</f>
        <v>8.1</v>
      </c>
      <c r="I205" s="6" t="s">
        <v>25</v>
      </c>
      <c r="J205" s="6" t="str">
        <f aca="false">ROUND(74*1,0)&amp;"%"</f>
        <v>74%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7511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7512</v>
      </c>
      <c r="B210" s="5" t="s">
        <v>350</v>
      </c>
      <c r="C210" s="5" t="s">
        <v>95</v>
      </c>
      <c r="D210" s="5" t="s">
        <v>16</v>
      </c>
      <c r="E210" s="5" t="n">
        <f aca="false">ROUND(13184*1.05,2)</f>
        <v>13843.2</v>
      </c>
      <c r="F210" s="5" t="s">
        <v>17</v>
      </c>
      <c r="G210" s="5" t="s">
        <v>18</v>
      </c>
      <c r="H210" s="5" t="n">
        <f aca="true">ROUND(RAND()*4+6,1)</f>
        <v>8.6</v>
      </c>
      <c r="I210" s="5" t="s">
        <v>19</v>
      </c>
      <c r="J210" s="5" t="str">
        <f aca="false">ROUND(73*1,0)&amp;"%"</f>
        <v>73%</v>
      </c>
    </row>
    <row r="211" customFormat="false" ht="15" hidden="false" customHeight="false" outlineLevel="0" collapsed="false">
      <c r="A211" s="6" t="s">
        <v>7513</v>
      </c>
      <c r="B211" s="6" t="s">
        <v>352</v>
      </c>
      <c r="C211" s="6" t="s">
        <v>95</v>
      </c>
      <c r="D211" s="6" t="s">
        <v>22</v>
      </c>
      <c r="E211" s="6" t="n">
        <f aca="false">ROUND(8127*1.05,2)</f>
        <v>8533.35</v>
      </c>
      <c r="F211" s="6" t="s">
        <v>23</v>
      </c>
      <c r="G211" s="6" t="s">
        <v>24</v>
      </c>
      <c r="H211" s="6" t="n">
        <f aca="true">ROUND(RAND()*4+6,1)</f>
        <v>7.7</v>
      </c>
      <c r="I211" s="6" t="s">
        <v>25</v>
      </c>
      <c r="J211" s="6" t="str">
        <f aca="false">ROUND(67*1,0)&amp;"%"</f>
        <v>67%</v>
      </c>
    </row>
    <row r="212" customFormat="false" ht="15" hidden="false" customHeight="false" outlineLevel="0" collapsed="false">
      <c r="A212" s="5" t="s">
        <v>7514</v>
      </c>
      <c r="B212" s="5" t="s">
        <v>354</v>
      </c>
      <c r="C212" s="5" t="s">
        <v>95</v>
      </c>
      <c r="D212" s="5" t="s">
        <v>28</v>
      </c>
      <c r="E212" s="5" t="n">
        <f aca="false">ROUND(4234*1.05,2)</f>
        <v>4445.7</v>
      </c>
      <c r="F212" s="5" t="s">
        <v>29</v>
      </c>
      <c r="G212" s="5" t="s">
        <v>30</v>
      </c>
      <c r="H212" s="5" t="n">
        <f aca="true">ROUND(RAND()*4+6,1)</f>
        <v>7</v>
      </c>
      <c r="I212" s="5" t="s">
        <v>31</v>
      </c>
      <c r="J212" s="5" t="str">
        <f aca="false">ROUND(90*1,0)&amp;"%"</f>
        <v>90%</v>
      </c>
    </row>
    <row r="213" customFormat="false" ht="15" hidden="false" customHeight="false" outlineLevel="0" collapsed="false">
      <c r="A213" s="6" t="s">
        <v>7515</v>
      </c>
      <c r="B213" s="6" t="s">
        <v>356</v>
      </c>
      <c r="C213" s="6" t="s">
        <v>95</v>
      </c>
      <c r="D213" s="6" t="s">
        <v>34</v>
      </c>
      <c r="E213" s="6" t="n">
        <f aca="false">ROUND(4504*1.05,2)</f>
        <v>4729.2</v>
      </c>
      <c r="F213" s="6" t="s">
        <v>35</v>
      </c>
      <c r="G213" s="6" t="s">
        <v>18</v>
      </c>
      <c r="H213" s="6" t="n">
        <f aca="true">ROUND(RAND()*4+6,1)</f>
        <v>9.7</v>
      </c>
      <c r="I213" s="6" t="s">
        <v>36</v>
      </c>
      <c r="J213" s="6" t="str">
        <f aca="false">ROUND(72*1,0)&amp;"%"</f>
        <v>72%</v>
      </c>
    </row>
    <row r="214" customFormat="false" ht="15" hidden="false" customHeight="false" outlineLevel="0" collapsed="false">
      <c r="A214" s="5" t="s">
        <v>7516</v>
      </c>
      <c r="B214" s="5" t="s">
        <v>358</v>
      </c>
      <c r="C214" s="5" t="s">
        <v>95</v>
      </c>
      <c r="D214" s="5" t="s">
        <v>39</v>
      </c>
      <c r="E214" s="5" t="n">
        <f aca="false">ROUND(6702*1.05,2)</f>
        <v>7037.1</v>
      </c>
      <c r="F214" s="5" t="s">
        <v>40</v>
      </c>
      <c r="G214" s="5" t="s">
        <v>24</v>
      </c>
      <c r="H214" s="5" t="n">
        <f aca="true">ROUND(RAND()*4+6,1)</f>
        <v>9.6</v>
      </c>
      <c r="I214" s="5" t="s">
        <v>41</v>
      </c>
      <c r="J214" s="5" t="str">
        <f aca="false">ROUND(83*1,0)&amp;"%"</f>
        <v>83%</v>
      </c>
    </row>
    <row r="215" customFormat="false" ht="15" hidden="false" customHeight="false" outlineLevel="0" collapsed="false">
      <c r="A215" s="6" t="s">
        <v>7517</v>
      </c>
      <c r="B215" s="6" t="s">
        <v>360</v>
      </c>
      <c r="C215" s="6" t="s">
        <v>95</v>
      </c>
      <c r="D215" s="6" t="s">
        <v>44</v>
      </c>
      <c r="E215" s="6" t="n">
        <f aca="false">ROUND(6403*1.05,2)</f>
        <v>6723.15</v>
      </c>
      <c r="F215" s="6" t="s">
        <v>45</v>
      </c>
      <c r="G215" s="6" t="s">
        <v>30</v>
      </c>
      <c r="H215" s="6" t="n">
        <f aca="true">ROUND(RAND()*4+6,1)</f>
        <v>8.6</v>
      </c>
      <c r="I215" s="6" t="s">
        <v>46</v>
      </c>
      <c r="J215" s="6" t="str">
        <f aca="false">ROUND(87*1,0)&amp;"%"</f>
        <v>87%</v>
      </c>
    </row>
    <row r="216" customFormat="false" ht="15" hidden="false" customHeight="false" outlineLevel="0" collapsed="false">
      <c r="A216" s="5" t="s">
        <v>7518</v>
      </c>
      <c r="B216" s="5" t="s">
        <v>362</v>
      </c>
      <c r="C216" s="5" t="s">
        <v>95</v>
      </c>
      <c r="D216" s="5" t="s">
        <v>16</v>
      </c>
      <c r="E216" s="5" t="n">
        <f aca="false">ROUND(16474*1.05,2)</f>
        <v>17297.7</v>
      </c>
      <c r="F216" s="5" t="s">
        <v>49</v>
      </c>
      <c r="G216" s="5" t="s">
        <v>18</v>
      </c>
      <c r="H216" s="5" t="n">
        <f aca="true">ROUND(RAND()*4+6,1)</f>
        <v>8</v>
      </c>
      <c r="I216" s="5" t="s">
        <v>19</v>
      </c>
      <c r="J216" s="5" t="str">
        <f aca="false">ROUND(76*1,0)&amp;"%"</f>
        <v>76%</v>
      </c>
    </row>
    <row r="217" customFormat="false" ht="15" hidden="false" customHeight="false" outlineLevel="0" collapsed="false">
      <c r="A217" s="6" t="s">
        <v>7519</v>
      </c>
      <c r="B217" s="6" t="s">
        <v>364</v>
      </c>
      <c r="C217" s="6" t="s">
        <v>95</v>
      </c>
      <c r="D217" s="6" t="s">
        <v>22</v>
      </c>
      <c r="E217" s="6" t="n">
        <f aca="false">ROUND(17700*1.05,2)</f>
        <v>18585</v>
      </c>
      <c r="F217" s="6" t="s">
        <v>52</v>
      </c>
      <c r="G217" s="6" t="s">
        <v>24</v>
      </c>
      <c r="H217" s="6" t="n">
        <f aca="true">ROUND(RAND()*4+6,1)</f>
        <v>9.9</v>
      </c>
      <c r="I217" s="6" t="s">
        <v>25</v>
      </c>
      <c r="J217" s="6" t="str">
        <f aca="false">ROUND(67*1,0)&amp;"%"</f>
        <v>67%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7520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7521</v>
      </c>
      <c r="B222" s="5" t="s">
        <v>368</v>
      </c>
      <c r="C222" s="5" t="s">
        <v>114</v>
      </c>
      <c r="D222" s="5" t="s">
        <v>16</v>
      </c>
      <c r="E222" s="5" t="n">
        <f aca="false">ROUND(8411*1.05,2)</f>
        <v>8831.55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ROUND(91*1,0)&amp;"%"</f>
        <v>91%</v>
      </c>
    </row>
    <row r="223" customFormat="false" ht="15" hidden="false" customHeight="false" outlineLevel="0" collapsed="false">
      <c r="A223" s="6" t="s">
        <v>7522</v>
      </c>
      <c r="B223" s="6" t="s">
        <v>370</v>
      </c>
      <c r="C223" s="6" t="s">
        <v>114</v>
      </c>
      <c r="D223" s="6" t="s">
        <v>22</v>
      </c>
      <c r="E223" s="6" t="n">
        <f aca="false">ROUND(17100*1.05,2)</f>
        <v>17955</v>
      </c>
      <c r="F223" s="6" t="s">
        <v>23</v>
      </c>
      <c r="G223" s="6" t="s">
        <v>24</v>
      </c>
      <c r="H223" s="6" t="n">
        <f aca="true">ROUND(RAND()*4+6,1)</f>
        <v>6.1</v>
      </c>
      <c r="I223" s="6" t="s">
        <v>25</v>
      </c>
      <c r="J223" s="6" t="str">
        <f aca="false">ROUND(73*1,0)&amp;"%"</f>
        <v>73%</v>
      </c>
    </row>
    <row r="224" customFormat="false" ht="15" hidden="false" customHeight="false" outlineLevel="0" collapsed="false">
      <c r="A224" s="5" t="s">
        <v>7523</v>
      </c>
      <c r="B224" s="5" t="s">
        <v>372</v>
      </c>
      <c r="C224" s="5" t="s">
        <v>114</v>
      </c>
      <c r="D224" s="5" t="s">
        <v>28</v>
      </c>
      <c r="E224" s="5" t="n">
        <f aca="false">ROUND(8640*1.05,2)</f>
        <v>9072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ROUND(71*1,0)&amp;"%"</f>
        <v>71%</v>
      </c>
    </row>
    <row r="225" customFormat="false" ht="15" hidden="false" customHeight="false" outlineLevel="0" collapsed="false">
      <c r="A225" s="6" t="s">
        <v>7524</v>
      </c>
      <c r="B225" s="6" t="s">
        <v>374</v>
      </c>
      <c r="C225" s="6" t="s">
        <v>114</v>
      </c>
      <c r="D225" s="6" t="s">
        <v>34</v>
      </c>
      <c r="E225" s="6" t="n">
        <f aca="false">ROUND(7785*1.05,2)</f>
        <v>8174.25</v>
      </c>
      <c r="F225" s="6" t="s">
        <v>35</v>
      </c>
      <c r="G225" s="6" t="s">
        <v>18</v>
      </c>
      <c r="H225" s="6" t="n">
        <f aca="true">ROUND(RAND()*4+6,1)</f>
        <v>6.2</v>
      </c>
      <c r="I225" s="6" t="s">
        <v>36</v>
      </c>
      <c r="J225" s="6" t="str">
        <f aca="false">ROUND(96*1,0)&amp;"%"</f>
        <v>96%</v>
      </c>
    </row>
    <row r="226" customFormat="false" ht="15" hidden="false" customHeight="false" outlineLevel="0" collapsed="false">
      <c r="A226" s="5" t="s">
        <v>7525</v>
      </c>
      <c r="B226" s="5" t="s">
        <v>376</v>
      </c>
      <c r="C226" s="5" t="s">
        <v>114</v>
      </c>
      <c r="D226" s="5" t="s">
        <v>39</v>
      </c>
      <c r="E226" s="5" t="n">
        <f aca="false">ROUND(14545*1.05,2)</f>
        <v>15272.25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ROUND(85*1,0)&amp;"%"</f>
        <v>85%</v>
      </c>
    </row>
    <row r="227" customFormat="false" ht="15" hidden="false" customHeight="false" outlineLevel="0" collapsed="false">
      <c r="A227" s="6" t="s">
        <v>7526</v>
      </c>
      <c r="B227" s="6" t="s">
        <v>378</v>
      </c>
      <c r="C227" s="6" t="s">
        <v>114</v>
      </c>
      <c r="D227" s="6" t="s">
        <v>44</v>
      </c>
      <c r="E227" s="6" t="n">
        <f aca="false">ROUND(10093*1.05,2)</f>
        <v>10597.65</v>
      </c>
      <c r="F227" s="6" t="s">
        <v>45</v>
      </c>
      <c r="G227" s="6" t="s">
        <v>30</v>
      </c>
      <c r="H227" s="6" t="n">
        <f aca="true">ROUND(RAND()*4+6,1)</f>
        <v>8.4</v>
      </c>
      <c r="I227" s="6" t="s">
        <v>46</v>
      </c>
      <c r="J227" s="6" t="str">
        <f aca="false">ROUND(74*1,0)&amp;"%"</f>
        <v>74%</v>
      </c>
    </row>
    <row r="228" customFormat="false" ht="15" hidden="false" customHeight="false" outlineLevel="0" collapsed="false">
      <c r="A228" s="5" t="s">
        <v>7527</v>
      </c>
      <c r="B228" s="5" t="s">
        <v>380</v>
      </c>
      <c r="C228" s="5" t="s">
        <v>114</v>
      </c>
      <c r="D228" s="5" t="s">
        <v>16</v>
      </c>
      <c r="E228" s="5" t="n">
        <f aca="false">ROUND(4098*1.05,2)</f>
        <v>4302.9</v>
      </c>
      <c r="F228" s="5" t="s">
        <v>49</v>
      </c>
      <c r="G228" s="5" t="s">
        <v>18</v>
      </c>
      <c r="H228" s="5" t="n">
        <f aca="true">ROUND(RAND()*4+6,1)</f>
        <v>6.7</v>
      </c>
      <c r="I228" s="5" t="s">
        <v>19</v>
      </c>
      <c r="J228" s="5" t="str">
        <f aca="false">ROUND(93*1,0)&amp;"%"</f>
        <v>93%</v>
      </c>
    </row>
    <row r="229" customFormat="false" ht="15" hidden="false" customHeight="false" outlineLevel="0" collapsed="false">
      <c r="A229" s="6" t="s">
        <v>7528</v>
      </c>
      <c r="B229" s="6" t="s">
        <v>382</v>
      </c>
      <c r="C229" s="6" t="s">
        <v>114</v>
      </c>
      <c r="D229" s="6" t="s">
        <v>22</v>
      </c>
      <c r="E229" s="6" t="n">
        <f aca="false">ROUND(11307*1.05,2)</f>
        <v>11872.35</v>
      </c>
      <c r="F229" s="6" t="s">
        <v>52</v>
      </c>
      <c r="G229" s="6" t="s">
        <v>24</v>
      </c>
      <c r="H229" s="6" t="n">
        <f aca="true">ROUND(RAND()*4+6,1)</f>
        <v>8.6</v>
      </c>
      <c r="I229" s="6" t="s">
        <v>25</v>
      </c>
      <c r="J229" s="6" t="str">
        <f aca="false">ROUND(62*1,0)&amp;"%"</f>
        <v>62%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7529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7530</v>
      </c>
      <c r="B234" s="5" t="s">
        <v>386</v>
      </c>
      <c r="C234" s="5" t="s">
        <v>133</v>
      </c>
      <c r="D234" s="5" t="s">
        <v>16</v>
      </c>
      <c r="E234" s="5" t="n">
        <f aca="false">ROUND(17615*1.05,2)</f>
        <v>18495.75</v>
      </c>
      <c r="F234" s="5" t="s">
        <v>17</v>
      </c>
      <c r="G234" s="5" t="s">
        <v>18</v>
      </c>
      <c r="H234" s="5" t="n">
        <f aca="true">ROUND(RAND()*4+6,1)</f>
        <v>7.3</v>
      </c>
      <c r="I234" s="5" t="s">
        <v>19</v>
      </c>
      <c r="J234" s="5" t="str">
        <f aca="false">ROUND(96*1,0)&amp;"%"</f>
        <v>96%</v>
      </c>
    </row>
    <row r="235" customFormat="false" ht="15" hidden="false" customHeight="false" outlineLevel="0" collapsed="false">
      <c r="A235" s="6" t="s">
        <v>7531</v>
      </c>
      <c r="B235" s="6" t="s">
        <v>388</v>
      </c>
      <c r="C235" s="6" t="s">
        <v>133</v>
      </c>
      <c r="D235" s="6" t="s">
        <v>22</v>
      </c>
      <c r="E235" s="6" t="n">
        <f aca="false">ROUND(11534*1.05,2)</f>
        <v>12110.7</v>
      </c>
      <c r="F235" s="6" t="s">
        <v>23</v>
      </c>
      <c r="G235" s="6" t="s">
        <v>24</v>
      </c>
      <c r="H235" s="6" t="n">
        <f aca="true">ROUND(RAND()*4+6,1)</f>
        <v>8.9</v>
      </c>
      <c r="I235" s="6" t="s">
        <v>25</v>
      </c>
      <c r="J235" s="6" t="str">
        <f aca="false">ROUND(93*1,0)&amp;"%"</f>
        <v>93%</v>
      </c>
    </row>
    <row r="236" customFormat="false" ht="15" hidden="false" customHeight="false" outlineLevel="0" collapsed="false">
      <c r="A236" s="5" t="s">
        <v>7532</v>
      </c>
      <c r="B236" s="5" t="s">
        <v>390</v>
      </c>
      <c r="C236" s="5" t="s">
        <v>133</v>
      </c>
      <c r="D236" s="5" t="s">
        <v>28</v>
      </c>
      <c r="E236" s="5" t="n">
        <f aca="false">ROUND(10989*1.05,2)</f>
        <v>11538.45</v>
      </c>
      <c r="F236" s="5" t="s">
        <v>29</v>
      </c>
      <c r="G236" s="5" t="s">
        <v>30</v>
      </c>
      <c r="H236" s="5" t="n">
        <f aca="true">ROUND(RAND()*4+6,1)</f>
        <v>9.1</v>
      </c>
      <c r="I236" s="5" t="s">
        <v>31</v>
      </c>
      <c r="J236" s="5" t="str">
        <f aca="false">ROUND(81*1,0)&amp;"%"</f>
        <v>81%</v>
      </c>
    </row>
    <row r="237" customFormat="false" ht="15" hidden="false" customHeight="false" outlineLevel="0" collapsed="false">
      <c r="A237" s="6" t="s">
        <v>7533</v>
      </c>
      <c r="B237" s="6" t="s">
        <v>392</v>
      </c>
      <c r="C237" s="6" t="s">
        <v>133</v>
      </c>
      <c r="D237" s="6" t="s">
        <v>34</v>
      </c>
      <c r="E237" s="6" t="n">
        <f aca="false">ROUND(17383*1.05,2)</f>
        <v>18252.15</v>
      </c>
      <c r="F237" s="6" t="s">
        <v>35</v>
      </c>
      <c r="G237" s="6" t="s">
        <v>18</v>
      </c>
      <c r="H237" s="6" t="n">
        <f aca="true">ROUND(RAND()*4+6,1)</f>
        <v>7.3</v>
      </c>
      <c r="I237" s="6" t="s">
        <v>36</v>
      </c>
      <c r="J237" s="6" t="str">
        <f aca="false">ROUND(86*1,0)&amp;"%"</f>
        <v>86%</v>
      </c>
    </row>
    <row r="238" customFormat="false" ht="15" hidden="false" customHeight="false" outlineLevel="0" collapsed="false">
      <c r="A238" s="5" t="s">
        <v>7534</v>
      </c>
      <c r="B238" s="5" t="s">
        <v>394</v>
      </c>
      <c r="C238" s="5" t="s">
        <v>133</v>
      </c>
      <c r="D238" s="5" t="s">
        <v>39</v>
      </c>
      <c r="E238" s="5" t="n">
        <f aca="false">ROUND(6494*1.05,2)</f>
        <v>6818.7</v>
      </c>
      <c r="F238" s="5" t="s">
        <v>40</v>
      </c>
      <c r="G238" s="5" t="s">
        <v>24</v>
      </c>
      <c r="H238" s="5" t="n">
        <f aca="true">ROUND(RAND()*4+6,1)</f>
        <v>9.7</v>
      </c>
      <c r="I238" s="5" t="s">
        <v>41</v>
      </c>
      <c r="J238" s="5" t="str">
        <f aca="false">ROUND(78*1,0)&amp;"%"</f>
        <v>78%</v>
      </c>
    </row>
    <row r="239" customFormat="false" ht="15" hidden="false" customHeight="false" outlineLevel="0" collapsed="false">
      <c r="A239" s="6" t="s">
        <v>7535</v>
      </c>
      <c r="B239" s="6" t="s">
        <v>396</v>
      </c>
      <c r="C239" s="6" t="s">
        <v>133</v>
      </c>
      <c r="D239" s="6" t="s">
        <v>44</v>
      </c>
      <c r="E239" s="6" t="n">
        <f aca="false">ROUND(4699*1.05,2)</f>
        <v>4933.95</v>
      </c>
      <c r="F239" s="6" t="s">
        <v>45</v>
      </c>
      <c r="G239" s="6" t="s">
        <v>30</v>
      </c>
      <c r="H239" s="6" t="n">
        <f aca="true">ROUND(RAND()*4+6,1)</f>
        <v>8.2</v>
      </c>
      <c r="I239" s="6" t="s">
        <v>46</v>
      </c>
      <c r="J239" s="6" t="str">
        <f aca="false">ROUND(88*1,0)&amp;"%"</f>
        <v>88%</v>
      </c>
    </row>
    <row r="240" customFormat="false" ht="15" hidden="false" customHeight="false" outlineLevel="0" collapsed="false">
      <c r="A240" s="5" t="s">
        <v>7536</v>
      </c>
      <c r="B240" s="5" t="s">
        <v>398</v>
      </c>
      <c r="C240" s="5" t="s">
        <v>133</v>
      </c>
      <c r="D240" s="5" t="s">
        <v>16</v>
      </c>
      <c r="E240" s="5" t="n">
        <f aca="false">ROUND(13904*1.05,2)</f>
        <v>14599.2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ROUND(63*1,0)&amp;"%"</f>
        <v>63%</v>
      </c>
    </row>
    <row r="241" customFormat="false" ht="15" hidden="false" customHeight="false" outlineLevel="0" collapsed="false">
      <c r="A241" s="6" t="s">
        <v>7537</v>
      </c>
      <c r="B241" s="6" t="s">
        <v>400</v>
      </c>
      <c r="C241" s="6" t="s">
        <v>133</v>
      </c>
      <c r="D241" s="6" t="s">
        <v>22</v>
      </c>
      <c r="E241" s="6" t="n">
        <f aca="false">ROUND(17120*1.05,2)</f>
        <v>17976</v>
      </c>
      <c r="F241" s="6" t="s">
        <v>52</v>
      </c>
      <c r="G241" s="6" t="s">
        <v>24</v>
      </c>
      <c r="H241" s="6" t="n">
        <f aca="true">ROUND(RAND()*4+6,1)</f>
        <v>8.6</v>
      </c>
      <c r="I241" s="6" t="s">
        <v>25</v>
      </c>
      <c r="J241" s="6" t="str">
        <f aca="false">ROUND(95*1,0)&amp;"%"</f>
        <v>95%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7538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7539</v>
      </c>
      <c r="B246" s="5" t="s">
        <v>404</v>
      </c>
      <c r="C246" s="5" t="s">
        <v>152</v>
      </c>
      <c r="D246" s="5" t="s">
        <v>16</v>
      </c>
      <c r="E246" s="5" t="n">
        <f aca="false">ROUND(15340*1.05,2)</f>
        <v>16107</v>
      </c>
      <c r="F246" s="5" t="s">
        <v>17</v>
      </c>
      <c r="G246" s="5" t="s">
        <v>18</v>
      </c>
      <c r="H246" s="5" t="n">
        <f aca="true">ROUND(RAND()*4+6,1)</f>
        <v>8.9</v>
      </c>
      <c r="I246" s="5" t="s">
        <v>19</v>
      </c>
      <c r="J246" s="5" t="str">
        <f aca="false">ROUND(74*1,0)&amp;"%"</f>
        <v>74%</v>
      </c>
    </row>
    <row r="247" customFormat="false" ht="15" hidden="false" customHeight="false" outlineLevel="0" collapsed="false">
      <c r="A247" s="6" t="s">
        <v>7540</v>
      </c>
      <c r="B247" s="6" t="s">
        <v>406</v>
      </c>
      <c r="C247" s="6" t="s">
        <v>152</v>
      </c>
      <c r="D247" s="6" t="s">
        <v>22</v>
      </c>
      <c r="E247" s="6" t="n">
        <f aca="false">ROUND(10804*1.05,2)</f>
        <v>11344.2</v>
      </c>
      <c r="F247" s="6" t="s">
        <v>23</v>
      </c>
      <c r="G247" s="6" t="s">
        <v>24</v>
      </c>
      <c r="H247" s="6" t="n">
        <f aca="true">ROUND(RAND()*4+6,1)</f>
        <v>8.3</v>
      </c>
      <c r="I247" s="6" t="s">
        <v>25</v>
      </c>
      <c r="J247" s="6" t="str">
        <f aca="false">ROUND(62*1,0)&amp;"%"</f>
        <v>62%</v>
      </c>
    </row>
    <row r="248" customFormat="false" ht="15" hidden="false" customHeight="false" outlineLevel="0" collapsed="false">
      <c r="A248" s="5" t="s">
        <v>7541</v>
      </c>
      <c r="B248" s="5" t="s">
        <v>408</v>
      </c>
      <c r="C248" s="5" t="s">
        <v>152</v>
      </c>
      <c r="D248" s="5" t="s">
        <v>28</v>
      </c>
      <c r="E248" s="5" t="n">
        <f aca="false">ROUND(14160*1.05,2)</f>
        <v>14868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ROUND(79*1,0)&amp;"%"</f>
        <v>79%</v>
      </c>
    </row>
    <row r="249" customFormat="false" ht="15" hidden="false" customHeight="false" outlineLevel="0" collapsed="false">
      <c r="A249" s="6" t="s">
        <v>7542</v>
      </c>
      <c r="B249" s="6" t="s">
        <v>410</v>
      </c>
      <c r="C249" s="6" t="s">
        <v>152</v>
      </c>
      <c r="D249" s="6" t="s">
        <v>34</v>
      </c>
      <c r="E249" s="6" t="n">
        <f aca="false">ROUND(16610*1.05,2)</f>
        <v>17440.5</v>
      </c>
      <c r="F249" s="6" t="s">
        <v>35</v>
      </c>
      <c r="G249" s="6" t="s">
        <v>18</v>
      </c>
      <c r="H249" s="6" t="n">
        <f aca="true">ROUND(RAND()*4+6,1)</f>
        <v>8.2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7543</v>
      </c>
      <c r="B250" s="5" t="s">
        <v>412</v>
      </c>
      <c r="C250" s="5" t="s">
        <v>152</v>
      </c>
      <c r="D250" s="5" t="s">
        <v>39</v>
      </c>
      <c r="E250" s="5" t="n">
        <f aca="false">ROUND(10089*1.05,2)</f>
        <v>10593.45</v>
      </c>
      <c r="F250" s="5" t="s">
        <v>40</v>
      </c>
      <c r="G250" s="5" t="s">
        <v>24</v>
      </c>
      <c r="H250" s="5" t="n">
        <f aca="true">ROUND(RAND()*4+6,1)</f>
        <v>6.3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7544</v>
      </c>
      <c r="B251" s="6" t="s">
        <v>414</v>
      </c>
      <c r="C251" s="6" t="s">
        <v>152</v>
      </c>
      <c r="D251" s="6" t="s">
        <v>44</v>
      </c>
      <c r="E251" s="6" t="n">
        <f aca="false">ROUND(16803*1.05,2)</f>
        <v>17643.15</v>
      </c>
      <c r="F251" s="6" t="s">
        <v>45</v>
      </c>
      <c r="G251" s="6" t="s">
        <v>30</v>
      </c>
      <c r="H251" s="6" t="n">
        <f aca="true">ROUND(RAND()*4+6,1)</f>
        <v>9.7</v>
      </c>
      <c r="I251" s="6" t="s">
        <v>46</v>
      </c>
      <c r="J251" s="6" t="str">
        <f aca="false">ROUND(95*1,0)&amp;"%"</f>
        <v>95%</v>
      </c>
    </row>
    <row r="252" customFormat="false" ht="15" hidden="false" customHeight="false" outlineLevel="0" collapsed="false">
      <c r="A252" s="5" t="s">
        <v>7545</v>
      </c>
      <c r="B252" s="5" t="s">
        <v>416</v>
      </c>
      <c r="C252" s="5" t="s">
        <v>152</v>
      </c>
      <c r="D252" s="5" t="s">
        <v>16</v>
      </c>
      <c r="E252" s="5" t="n">
        <f aca="false">ROUND(9184*1.05,2)</f>
        <v>9643.2</v>
      </c>
      <c r="F252" s="5" t="s">
        <v>49</v>
      </c>
      <c r="G252" s="5" t="s">
        <v>18</v>
      </c>
      <c r="H252" s="5" t="n">
        <f aca="true">ROUND(RAND()*4+6,1)</f>
        <v>7.7</v>
      </c>
      <c r="I252" s="5" t="s">
        <v>19</v>
      </c>
      <c r="J252" s="5" t="str">
        <f aca="false">ROUND(66*1,0)&amp;"%"</f>
        <v>66%</v>
      </c>
    </row>
    <row r="253" customFormat="false" ht="15" hidden="false" customHeight="false" outlineLevel="0" collapsed="false">
      <c r="A253" s="6" t="s">
        <v>7546</v>
      </c>
      <c r="B253" s="6" t="s">
        <v>418</v>
      </c>
      <c r="C253" s="6" t="s">
        <v>152</v>
      </c>
      <c r="D253" s="6" t="s">
        <v>22</v>
      </c>
      <c r="E253" s="6" t="n">
        <f aca="false">ROUND(5439*1.05,2)</f>
        <v>5710.95</v>
      </c>
      <c r="F253" s="6" t="s">
        <v>52</v>
      </c>
      <c r="G253" s="6" t="s">
        <v>24</v>
      </c>
      <c r="H253" s="6" t="n">
        <f aca="true">ROUND(RAND()*4+6,1)</f>
        <v>7.1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7547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7548</v>
      </c>
      <c r="B258" s="5" t="s">
        <v>422</v>
      </c>
      <c r="C258" s="5" t="s">
        <v>15</v>
      </c>
      <c r="D258" s="5" t="s">
        <v>16</v>
      </c>
      <c r="E258" s="5" t="n">
        <f aca="false">ROUND(13996*1.05,2)</f>
        <v>14695.8</v>
      </c>
      <c r="F258" s="5" t="s">
        <v>17</v>
      </c>
      <c r="G258" s="5" t="s">
        <v>18</v>
      </c>
      <c r="H258" s="5" t="n">
        <f aca="true">ROUND(RAND()*4+6,1)</f>
        <v>8.1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7549</v>
      </c>
      <c r="B259" s="6" t="s">
        <v>424</v>
      </c>
      <c r="C259" s="6" t="s">
        <v>15</v>
      </c>
      <c r="D259" s="6" t="s">
        <v>22</v>
      </c>
      <c r="E259" s="6" t="n">
        <f aca="false">ROUND(10733*1.05,2)</f>
        <v>11269.65</v>
      </c>
      <c r="F259" s="6" t="s">
        <v>23</v>
      </c>
      <c r="G259" s="6" t="s">
        <v>24</v>
      </c>
      <c r="H259" s="6" t="n">
        <f aca="true">ROUND(RAND()*4+6,1)</f>
        <v>8.8</v>
      </c>
      <c r="I259" s="6" t="s">
        <v>25</v>
      </c>
      <c r="J259" s="6" t="str">
        <f aca="false">ROUND(60*1,0)&amp;"%"</f>
        <v>60%</v>
      </c>
    </row>
    <row r="260" customFormat="false" ht="15" hidden="false" customHeight="false" outlineLevel="0" collapsed="false">
      <c r="A260" s="5" t="s">
        <v>7550</v>
      </c>
      <c r="B260" s="5" t="s">
        <v>426</v>
      </c>
      <c r="C260" s="5" t="s">
        <v>15</v>
      </c>
      <c r="D260" s="5" t="s">
        <v>28</v>
      </c>
      <c r="E260" s="5" t="n">
        <f aca="false">ROUND(16272*1.05,2)</f>
        <v>17085.6</v>
      </c>
      <c r="F260" s="5" t="s">
        <v>29</v>
      </c>
      <c r="G260" s="5" t="s">
        <v>30</v>
      </c>
      <c r="H260" s="5" t="n">
        <f aca="true">ROUND(RAND()*4+6,1)</f>
        <v>7.1</v>
      </c>
      <c r="I260" s="5" t="s">
        <v>31</v>
      </c>
      <c r="J260" s="5" t="str">
        <f aca="false">ROUND(76*1,0)&amp;"%"</f>
        <v>76%</v>
      </c>
    </row>
    <row r="261" customFormat="false" ht="15" hidden="false" customHeight="false" outlineLevel="0" collapsed="false">
      <c r="A261" s="6" t="s">
        <v>7551</v>
      </c>
      <c r="B261" s="6" t="s">
        <v>428</v>
      </c>
      <c r="C261" s="6" t="s">
        <v>15</v>
      </c>
      <c r="D261" s="6" t="s">
        <v>34</v>
      </c>
      <c r="E261" s="6" t="n">
        <f aca="false">ROUND(8473*1.05,2)</f>
        <v>8896.65</v>
      </c>
      <c r="F261" s="6" t="s">
        <v>35</v>
      </c>
      <c r="G261" s="6" t="s">
        <v>18</v>
      </c>
      <c r="H261" s="6" t="n">
        <f aca="true">ROUND(RAND()*4+6,1)</f>
        <v>6.8</v>
      </c>
      <c r="I261" s="6" t="s">
        <v>36</v>
      </c>
      <c r="J261" s="6" t="str">
        <f aca="false">ROUND(60*1,0)&amp;"%"</f>
        <v>60%</v>
      </c>
    </row>
    <row r="262" customFormat="false" ht="15" hidden="false" customHeight="false" outlineLevel="0" collapsed="false">
      <c r="A262" s="5" t="s">
        <v>7552</v>
      </c>
      <c r="B262" s="5" t="s">
        <v>430</v>
      </c>
      <c r="C262" s="5" t="s">
        <v>15</v>
      </c>
      <c r="D262" s="5" t="s">
        <v>39</v>
      </c>
      <c r="E262" s="5" t="n">
        <f aca="false">ROUND(8786*1.05,2)</f>
        <v>9225.3</v>
      </c>
      <c r="F262" s="5" t="s">
        <v>40</v>
      </c>
      <c r="G262" s="5" t="s">
        <v>24</v>
      </c>
      <c r="H262" s="5" t="n">
        <f aca="true">ROUND(RAND()*4+6,1)</f>
        <v>6.4</v>
      </c>
      <c r="I262" s="5" t="s">
        <v>41</v>
      </c>
      <c r="J262" s="5" t="str">
        <f aca="false">ROUND(63*1,0)&amp;"%"</f>
        <v>63%</v>
      </c>
    </row>
    <row r="263" customFormat="false" ht="15" hidden="false" customHeight="false" outlineLevel="0" collapsed="false">
      <c r="A263" s="6" t="s">
        <v>7553</v>
      </c>
      <c r="B263" s="6" t="s">
        <v>432</v>
      </c>
      <c r="C263" s="6" t="s">
        <v>15</v>
      </c>
      <c r="D263" s="6" t="s">
        <v>44</v>
      </c>
      <c r="E263" s="6" t="n">
        <f aca="false">ROUND(10304*1.05,2)</f>
        <v>10819.2</v>
      </c>
      <c r="F263" s="6" t="s">
        <v>45</v>
      </c>
      <c r="G263" s="6" t="s">
        <v>30</v>
      </c>
      <c r="H263" s="6" t="n">
        <f aca="true">ROUND(RAND()*4+6,1)</f>
        <v>8</v>
      </c>
      <c r="I263" s="6" t="s">
        <v>46</v>
      </c>
      <c r="J263" s="6" t="str">
        <f aca="false">ROUND(81*1,0)&amp;"%"</f>
        <v>81%</v>
      </c>
    </row>
    <row r="264" customFormat="false" ht="15" hidden="false" customHeight="false" outlineLevel="0" collapsed="false">
      <c r="A264" s="5" t="s">
        <v>7554</v>
      </c>
      <c r="B264" s="5" t="s">
        <v>434</v>
      </c>
      <c r="C264" s="5" t="s">
        <v>15</v>
      </c>
      <c r="D264" s="5" t="s">
        <v>16</v>
      </c>
      <c r="E264" s="5" t="n">
        <f aca="false">ROUND(10051*1.05,2)</f>
        <v>10553.55</v>
      </c>
      <c r="F264" s="5" t="s">
        <v>49</v>
      </c>
      <c r="G264" s="5" t="s">
        <v>18</v>
      </c>
      <c r="H264" s="5" t="n">
        <f aca="true">ROUND(RAND()*4+6,1)</f>
        <v>7.7</v>
      </c>
      <c r="I264" s="5" t="s">
        <v>19</v>
      </c>
      <c r="J264" s="5" t="str">
        <f aca="false">ROUND(92*1,0)&amp;"%"</f>
        <v>92%</v>
      </c>
    </row>
    <row r="265" customFormat="false" ht="15" hidden="false" customHeight="false" outlineLevel="0" collapsed="false">
      <c r="A265" s="6" t="s">
        <v>7555</v>
      </c>
      <c r="B265" s="6" t="s">
        <v>436</v>
      </c>
      <c r="C265" s="6" t="s">
        <v>15</v>
      </c>
      <c r="D265" s="6" t="s">
        <v>22</v>
      </c>
      <c r="E265" s="6" t="n">
        <f aca="false">ROUND(7327*1.05,2)</f>
        <v>7693.35</v>
      </c>
      <c r="F265" s="6" t="s">
        <v>52</v>
      </c>
      <c r="G265" s="6" t="s">
        <v>24</v>
      </c>
      <c r="H265" s="6" t="n">
        <f aca="true">ROUND(RAND()*4+6,1)</f>
        <v>8.2</v>
      </c>
      <c r="I265" s="6" t="s">
        <v>25</v>
      </c>
      <c r="J265" s="6" t="str">
        <f aca="false">ROUND(69*1,0)&amp;"%"</f>
        <v>69%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7556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7557</v>
      </c>
      <c r="B270" s="5" t="s">
        <v>440</v>
      </c>
      <c r="C270" s="5" t="s">
        <v>57</v>
      </c>
      <c r="D270" s="5" t="s">
        <v>16</v>
      </c>
      <c r="E270" s="5" t="n">
        <f aca="false">ROUND(4556*1.05,2)</f>
        <v>4783.8</v>
      </c>
      <c r="F270" s="5" t="s">
        <v>17</v>
      </c>
      <c r="G270" s="5" t="s">
        <v>18</v>
      </c>
      <c r="H270" s="5" t="n">
        <f aca="true">ROUND(RAND()*4+6,1)</f>
        <v>8.1</v>
      </c>
      <c r="I270" s="5" t="s">
        <v>19</v>
      </c>
      <c r="J270" s="5" t="str">
        <f aca="false">ROUND(93*1,0)&amp;"%"</f>
        <v>93%</v>
      </c>
    </row>
    <row r="271" customFormat="false" ht="15" hidden="false" customHeight="false" outlineLevel="0" collapsed="false">
      <c r="A271" s="6" t="s">
        <v>7558</v>
      </c>
      <c r="B271" s="6" t="s">
        <v>442</v>
      </c>
      <c r="C271" s="6" t="s">
        <v>57</v>
      </c>
      <c r="D271" s="6" t="s">
        <v>22</v>
      </c>
      <c r="E271" s="6" t="n">
        <f aca="false">ROUND(15520*1.05,2)</f>
        <v>16296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ROUND(94*1,0)&amp;"%"</f>
        <v>94%</v>
      </c>
    </row>
    <row r="272" customFormat="false" ht="15" hidden="false" customHeight="false" outlineLevel="0" collapsed="false">
      <c r="A272" s="5" t="s">
        <v>7559</v>
      </c>
      <c r="B272" s="5" t="s">
        <v>444</v>
      </c>
      <c r="C272" s="5" t="s">
        <v>57</v>
      </c>
      <c r="D272" s="5" t="s">
        <v>28</v>
      </c>
      <c r="E272" s="5" t="n">
        <f aca="false">ROUND(13810*1.05,2)</f>
        <v>14500.5</v>
      </c>
      <c r="F272" s="5" t="s">
        <v>29</v>
      </c>
      <c r="G272" s="5" t="s">
        <v>30</v>
      </c>
      <c r="H272" s="5" t="n">
        <f aca="true">ROUND(RAND()*4+6,1)</f>
        <v>7</v>
      </c>
      <c r="I272" s="5" t="s">
        <v>31</v>
      </c>
      <c r="J272" s="5" t="str">
        <f aca="false">ROUND(61*1,0)&amp;"%"</f>
        <v>61%</v>
      </c>
    </row>
    <row r="273" customFormat="false" ht="15" hidden="false" customHeight="false" outlineLevel="0" collapsed="false">
      <c r="A273" s="6" t="s">
        <v>7560</v>
      </c>
      <c r="B273" s="6" t="s">
        <v>446</v>
      </c>
      <c r="C273" s="6" t="s">
        <v>57</v>
      </c>
      <c r="D273" s="6" t="s">
        <v>34</v>
      </c>
      <c r="E273" s="6" t="n">
        <f aca="false">ROUND(7828*1.05,2)</f>
        <v>8219.4</v>
      </c>
      <c r="F273" s="6" t="s">
        <v>35</v>
      </c>
      <c r="G273" s="6" t="s">
        <v>18</v>
      </c>
      <c r="H273" s="6" t="n">
        <f aca="true">ROUND(RAND()*4+6,1)</f>
        <v>9</v>
      </c>
      <c r="I273" s="6" t="s">
        <v>36</v>
      </c>
      <c r="J273" s="6" t="str">
        <f aca="false">ROUND(86*1,0)&amp;"%"</f>
        <v>86%</v>
      </c>
    </row>
    <row r="274" customFormat="false" ht="15" hidden="false" customHeight="false" outlineLevel="0" collapsed="false">
      <c r="A274" s="5" t="s">
        <v>7561</v>
      </c>
      <c r="B274" s="5" t="s">
        <v>448</v>
      </c>
      <c r="C274" s="5" t="s">
        <v>57</v>
      </c>
      <c r="D274" s="5" t="s">
        <v>39</v>
      </c>
      <c r="E274" s="5" t="n">
        <f aca="false">ROUND(7604*1.05,2)</f>
        <v>7984.2</v>
      </c>
      <c r="F274" s="5" t="s">
        <v>40</v>
      </c>
      <c r="G274" s="5" t="s">
        <v>24</v>
      </c>
      <c r="H274" s="5" t="n">
        <f aca="true">ROUND(RAND()*4+6,1)</f>
        <v>9.6</v>
      </c>
      <c r="I274" s="5" t="s">
        <v>41</v>
      </c>
      <c r="J274" s="5" t="str">
        <f aca="false">ROUND(76*1,0)&amp;"%"</f>
        <v>76%</v>
      </c>
    </row>
    <row r="275" customFormat="false" ht="15" hidden="false" customHeight="false" outlineLevel="0" collapsed="false">
      <c r="A275" s="6" t="s">
        <v>7562</v>
      </c>
      <c r="B275" s="6" t="s">
        <v>450</v>
      </c>
      <c r="C275" s="6" t="s">
        <v>57</v>
      </c>
      <c r="D275" s="6" t="s">
        <v>44</v>
      </c>
      <c r="E275" s="6" t="n">
        <f aca="false">ROUND(13980*1.05,2)</f>
        <v>14679</v>
      </c>
      <c r="F275" s="6" t="s">
        <v>45</v>
      </c>
      <c r="G275" s="6" t="s">
        <v>30</v>
      </c>
      <c r="H275" s="6" t="n">
        <f aca="true">ROUND(RAND()*4+6,1)</f>
        <v>9.5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7563</v>
      </c>
      <c r="B276" s="5" t="s">
        <v>452</v>
      </c>
      <c r="C276" s="5" t="s">
        <v>57</v>
      </c>
      <c r="D276" s="5" t="s">
        <v>16</v>
      </c>
      <c r="E276" s="5" t="n">
        <f aca="false">ROUND(17430*1.05,2)</f>
        <v>18301.5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ROUND(91*1,0)&amp;"%"</f>
        <v>91%</v>
      </c>
    </row>
    <row r="277" customFormat="false" ht="15" hidden="false" customHeight="false" outlineLevel="0" collapsed="false">
      <c r="A277" s="6" t="s">
        <v>7564</v>
      </c>
      <c r="B277" s="6" t="s">
        <v>454</v>
      </c>
      <c r="C277" s="6" t="s">
        <v>57</v>
      </c>
      <c r="D277" s="6" t="s">
        <v>22</v>
      </c>
      <c r="E277" s="6" t="n">
        <f aca="false">ROUND(15930*1.05,2)</f>
        <v>16726.5</v>
      </c>
      <c r="F277" s="6" t="s">
        <v>52</v>
      </c>
      <c r="G277" s="6" t="s">
        <v>24</v>
      </c>
      <c r="H277" s="6" t="n">
        <f aca="true">ROUND(RAND()*4+6,1)</f>
        <v>6.8</v>
      </c>
      <c r="I277" s="6" t="s">
        <v>25</v>
      </c>
      <c r="J277" s="6" t="str">
        <f aca="false">ROUND(79*1,0)&amp;"%"</f>
        <v>79%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7565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7566</v>
      </c>
      <c r="B282" s="5" t="s">
        <v>458</v>
      </c>
      <c r="C282" s="5" t="s">
        <v>76</v>
      </c>
      <c r="D282" s="5" t="s">
        <v>16</v>
      </c>
      <c r="E282" s="5" t="n">
        <f aca="false">ROUND(16344*1.05,2)</f>
        <v>17161.2</v>
      </c>
      <c r="F282" s="5" t="s">
        <v>17</v>
      </c>
      <c r="G282" s="5" t="s">
        <v>18</v>
      </c>
      <c r="H282" s="5" t="n">
        <f aca="true">ROUND(RAND()*4+6,1)</f>
        <v>9.3</v>
      </c>
      <c r="I282" s="5" t="s">
        <v>19</v>
      </c>
      <c r="J282" s="5" t="str">
        <f aca="false">ROUND(83*1,0)&amp;"%"</f>
        <v>83%</v>
      </c>
    </row>
    <row r="283" customFormat="false" ht="15" hidden="false" customHeight="false" outlineLevel="0" collapsed="false">
      <c r="A283" s="6" t="s">
        <v>7567</v>
      </c>
      <c r="B283" s="6" t="s">
        <v>460</v>
      </c>
      <c r="C283" s="6" t="s">
        <v>76</v>
      </c>
      <c r="D283" s="6" t="s">
        <v>22</v>
      </c>
      <c r="E283" s="6" t="n">
        <f aca="false">ROUND(6401*1.05,2)</f>
        <v>6721.05</v>
      </c>
      <c r="F283" s="6" t="s">
        <v>23</v>
      </c>
      <c r="G283" s="6" t="s">
        <v>24</v>
      </c>
      <c r="H283" s="6" t="n">
        <f aca="true">ROUND(RAND()*4+6,1)</f>
        <v>7.6</v>
      </c>
      <c r="I283" s="6" t="s">
        <v>25</v>
      </c>
      <c r="J283" s="6" t="str">
        <f aca="false">ROUND(69*1,0)&amp;"%"</f>
        <v>69%</v>
      </c>
    </row>
    <row r="284" customFormat="false" ht="15" hidden="false" customHeight="false" outlineLevel="0" collapsed="false">
      <c r="A284" s="5" t="s">
        <v>7568</v>
      </c>
      <c r="B284" s="5" t="s">
        <v>462</v>
      </c>
      <c r="C284" s="5" t="s">
        <v>76</v>
      </c>
      <c r="D284" s="5" t="s">
        <v>28</v>
      </c>
      <c r="E284" s="5" t="n">
        <f aca="false">ROUND(14361*1.05,2)</f>
        <v>15079.05</v>
      </c>
      <c r="F284" s="5" t="s">
        <v>29</v>
      </c>
      <c r="G284" s="5" t="s">
        <v>30</v>
      </c>
      <c r="H284" s="5" t="n">
        <f aca="true">ROUND(RAND()*4+6,1)</f>
        <v>6</v>
      </c>
      <c r="I284" s="5" t="s">
        <v>31</v>
      </c>
      <c r="J284" s="5" t="str">
        <f aca="false">ROUND(96*1,0)&amp;"%"</f>
        <v>96%</v>
      </c>
    </row>
    <row r="285" customFormat="false" ht="15" hidden="false" customHeight="false" outlineLevel="0" collapsed="false">
      <c r="A285" s="6" t="s">
        <v>7569</v>
      </c>
      <c r="B285" s="6" t="s">
        <v>464</v>
      </c>
      <c r="C285" s="6" t="s">
        <v>76</v>
      </c>
      <c r="D285" s="6" t="s">
        <v>34</v>
      </c>
      <c r="E285" s="6" t="n">
        <f aca="false">ROUND(15501*1.05,2)</f>
        <v>16276.05</v>
      </c>
      <c r="F285" s="6" t="s">
        <v>35</v>
      </c>
      <c r="G285" s="6" t="s">
        <v>18</v>
      </c>
      <c r="H285" s="6" t="n">
        <f aca="true">ROUND(RAND()*4+6,1)</f>
        <v>7.9</v>
      </c>
      <c r="I285" s="6" t="s">
        <v>36</v>
      </c>
      <c r="J285" s="6" t="str">
        <f aca="false">ROUND(76*1,0)&amp;"%"</f>
        <v>76%</v>
      </c>
    </row>
    <row r="286" customFormat="false" ht="15" hidden="false" customHeight="false" outlineLevel="0" collapsed="false">
      <c r="A286" s="5" t="s">
        <v>7570</v>
      </c>
      <c r="B286" s="5" t="s">
        <v>466</v>
      </c>
      <c r="C286" s="5" t="s">
        <v>76</v>
      </c>
      <c r="D286" s="5" t="s">
        <v>39</v>
      </c>
      <c r="E286" s="5" t="n">
        <f aca="false">ROUND(7240*1.05,2)</f>
        <v>7602</v>
      </c>
      <c r="F286" s="5" t="s">
        <v>40</v>
      </c>
      <c r="G286" s="5" t="s">
        <v>24</v>
      </c>
      <c r="H286" s="5" t="n">
        <f aca="true">ROUND(RAND()*4+6,1)</f>
        <v>7.7</v>
      </c>
      <c r="I286" s="5" t="s">
        <v>41</v>
      </c>
      <c r="J286" s="5" t="str">
        <f aca="false">ROUND(80*1,0)&amp;"%"</f>
        <v>80%</v>
      </c>
    </row>
    <row r="287" customFormat="false" ht="15" hidden="false" customHeight="false" outlineLevel="0" collapsed="false">
      <c r="A287" s="6" t="s">
        <v>7571</v>
      </c>
      <c r="B287" s="6" t="s">
        <v>468</v>
      </c>
      <c r="C287" s="6" t="s">
        <v>76</v>
      </c>
      <c r="D287" s="6" t="s">
        <v>44</v>
      </c>
      <c r="E287" s="6" t="n">
        <f aca="false">ROUND(17659*1.05,2)</f>
        <v>18541.95</v>
      </c>
      <c r="F287" s="6" t="s">
        <v>45</v>
      </c>
      <c r="G287" s="6" t="s">
        <v>30</v>
      </c>
      <c r="H287" s="6" t="n">
        <f aca="true">ROUND(RAND()*4+6,1)</f>
        <v>7.6</v>
      </c>
      <c r="I287" s="6" t="s">
        <v>46</v>
      </c>
      <c r="J287" s="6" t="str">
        <f aca="false">ROUND(96*1,0)&amp;"%"</f>
        <v>96%</v>
      </c>
    </row>
    <row r="288" customFormat="false" ht="15" hidden="false" customHeight="false" outlineLevel="0" collapsed="false">
      <c r="A288" s="5" t="s">
        <v>7572</v>
      </c>
      <c r="B288" s="5" t="s">
        <v>470</v>
      </c>
      <c r="C288" s="5" t="s">
        <v>76</v>
      </c>
      <c r="D288" s="5" t="s">
        <v>16</v>
      </c>
      <c r="E288" s="5" t="n">
        <f aca="false">ROUND(6437*1.05,2)</f>
        <v>6758.85</v>
      </c>
      <c r="F288" s="5" t="s">
        <v>49</v>
      </c>
      <c r="G288" s="5" t="s">
        <v>18</v>
      </c>
      <c r="H288" s="5" t="n">
        <f aca="true">ROUND(RAND()*4+6,1)</f>
        <v>9.8</v>
      </c>
      <c r="I288" s="5" t="s">
        <v>19</v>
      </c>
      <c r="J288" s="5" t="str">
        <f aca="false">ROUND(89*1,0)&amp;"%"</f>
        <v>89%</v>
      </c>
    </row>
    <row r="289" customFormat="false" ht="15" hidden="false" customHeight="false" outlineLevel="0" collapsed="false">
      <c r="A289" s="6" t="s">
        <v>7573</v>
      </c>
      <c r="B289" s="6" t="s">
        <v>472</v>
      </c>
      <c r="C289" s="6" t="s">
        <v>76</v>
      </c>
      <c r="D289" s="6" t="s">
        <v>22</v>
      </c>
      <c r="E289" s="6" t="n">
        <f aca="false">ROUND(13853*1.05,2)</f>
        <v>14545.65</v>
      </c>
      <c r="F289" s="6" t="s">
        <v>52</v>
      </c>
      <c r="G289" s="6" t="s">
        <v>24</v>
      </c>
      <c r="H289" s="6" t="n">
        <f aca="true">ROUND(RAND()*4+6,1)</f>
        <v>8.8</v>
      </c>
      <c r="I289" s="6" t="s">
        <v>25</v>
      </c>
      <c r="J289" s="6" t="str">
        <f aca="false">ROUND(64*1,0)&amp;"%"</f>
        <v>64%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7574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7575</v>
      </c>
      <c r="B294" s="5" t="s">
        <v>476</v>
      </c>
      <c r="C294" s="5" t="s">
        <v>95</v>
      </c>
      <c r="D294" s="5" t="s">
        <v>16</v>
      </c>
      <c r="E294" s="5" t="n">
        <f aca="false">ROUND(4148*1.05,2)</f>
        <v>4355.4</v>
      </c>
      <c r="F294" s="5" t="s">
        <v>17</v>
      </c>
      <c r="G294" s="5" t="s">
        <v>18</v>
      </c>
      <c r="H294" s="5" t="n">
        <f aca="true">ROUND(RAND()*4+6,1)</f>
        <v>6.1</v>
      </c>
      <c r="I294" s="5" t="s">
        <v>19</v>
      </c>
      <c r="J294" s="5" t="str">
        <f aca="false">ROUND(80*1,0)&amp;"%"</f>
        <v>80%</v>
      </c>
    </row>
    <row r="295" customFormat="false" ht="15" hidden="false" customHeight="false" outlineLevel="0" collapsed="false">
      <c r="A295" s="6" t="s">
        <v>7576</v>
      </c>
      <c r="B295" s="6" t="s">
        <v>478</v>
      </c>
      <c r="C295" s="6" t="s">
        <v>95</v>
      </c>
      <c r="D295" s="6" t="s">
        <v>22</v>
      </c>
      <c r="E295" s="6" t="n">
        <f aca="false">ROUND(9927*1.05,2)</f>
        <v>10423.35</v>
      </c>
      <c r="F295" s="6" t="s">
        <v>23</v>
      </c>
      <c r="G295" s="6" t="s">
        <v>24</v>
      </c>
      <c r="H295" s="6" t="n">
        <f aca="true">ROUND(RAND()*4+6,1)</f>
        <v>8.2</v>
      </c>
      <c r="I295" s="6" t="s">
        <v>25</v>
      </c>
      <c r="J295" s="6" t="str">
        <f aca="false">ROUND(97*1,0)&amp;"%"</f>
        <v>97%</v>
      </c>
    </row>
    <row r="296" customFormat="false" ht="15" hidden="false" customHeight="false" outlineLevel="0" collapsed="false">
      <c r="A296" s="5" t="s">
        <v>7577</v>
      </c>
      <c r="B296" s="5" t="s">
        <v>480</v>
      </c>
      <c r="C296" s="5" t="s">
        <v>95</v>
      </c>
      <c r="D296" s="5" t="s">
        <v>28</v>
      </c>
      <c r="E296" s="5" t="n">
        <f aca="false">ROUND(15861*1.05,2)</f>
        <v>16654.05</v>
      </c>
      <c r="F296" s="5" t="s">
        <v>29</v>
      </c>
      <c r="G296" s="5" t="s">
        <v>30</v>
      </c>
      <c r="H296" s="5" t="n">
        <f aca="true">ROUND(RAND()*4+6,1)</f>
        <v>8.7</v>
      </c>
      <c r="I296" s="5" t="s">
        <v>31</v>
      </c>
      <c r="J296" s="5" t="str">
        <f aca="false">ROUND(82*1,0)&amp;"%"</f>
        <v>82%</v>
      </c>
    </row>
    <row r="297" customFormat="false" ht="15" hidden="false" customHeight="false" outlineLevel="0" collapsed="false">
      <c r="A297" s="6" t="s">
        <v>7578</v>
      </c>
      <c r="B297" s="6" t="s">
        <v>482</v>
      </c>
      <c r="C297" s="6" t="s">
        <v>95</v>
      </c>
      <c r="D297" s="6" t="s">
        <v>34</v>
      </c>
      <c r="E297" s="6" t="n">
        <f aca="false">ROUND(7967*1.05,2)</f>
        <v>8365.35</v>
      </c>
      <c r="F297" s="6" t="s">
        <v>35</v>
      </c>
      <c r="G297" s="6" t="s">
        <v>18</v>
      </c>
      <c r="H297" s="6" t="n">
        <f aca="true">ROUND(RAND()*4+6,1)</f>
        <v>8.3</v>
      </c>
      <c r="I297" s="6" t="s">
        <v>36</v>
      </c>
      <c r="J297" s="6" t="str">
        <f aca="false">ROUND(62*1,0)&amp;"%"</f>
        <v>62%</v>
      </c>
    </row>
    <row r="298" customFormat="false" ht="15" hidden="false" customHeight="false" outlineLevel="0" collapsed="false">
      <c r="A298" s="5" t="s">
        <v>7579</v>
      </c>
      <c r="B298" s="5" t="s">
        <v>484</v>
      </c>
      <c r="C298" s="5" t="s">
        <v>95</v>
      </c>
      <c r="D298" s="5" t="s">
        <v>39</v>
      </c>
      <c r="E298" s="5" t="n">
        <f aca="false">ROUND(8236*1.05,2)</f>
        <v>8647.8</v>
      </c>
      <c r="F298" s="5" t="s">
        <v>40</v>
      </c>
      <c r="G298" s="5" t="s">
        <v>24</v>
      </c>
      <c r="H298" s="5" t="n">
        <f aca="true">ROUND(RAND()*4+6,1)</f>
        <v>8.3</v>
      </c>
      <c r="I298" s="5" t="s">
        <v>41</v>
      </c>
      <c r="J298" s="5" t="str">
        <f aca="false">ROUND(61*1,0)&amp;"%"</f>
        <v>61%</v>
      </c>
    </row>
    <row r="299" customFormat="false" ht="15" hidden="false" customHeight="false" outlineLevel="0" collapsed="false">
      <c r="A299" s="6" t="s">
        <v>7580</v>
      </c>
      <c r="B299" s="6" t="s">
        <v>486</v>
      </c>
      <c r="C299" s="6" t="s">
        <v>95</v>
      </c>
      <c r="D299" s="6" t="s">
        <v>44</v>
      </c>
      <c r="E299" s="6" t="n">
        <f aca="false">ROUND(7821*1.05,2)</f>
        <v>8212.05</v>
      </c>
      <c r="F299" s="6" t="s">
        <v>45</v>
      </c>
      <c r="G299" s="6" t="s">
        <v>30</v>
      </c>
      <c r="H299" s="6" t="n">
        <f aca="true">ROUND(RAND()*4+6,1)</f>
        <v>6.8</v>
      </c>
      <c r="I299" s="6" t="s">
        <v>46</v>
      </c>
      <c r="J299" s="6" t="str">
        <f aca="false">ROUND(64*1,0)&amp;"%"</f>
        <v>64%</v>
      </c>
    </row>
    <row r="300" customFormat="false" ht="15" hidden="false" customHeight="false" outlineLevel="0" collapsed="false">
      <c r="A300" s="5" t="s">
        <v>7581</v>
      </c>
      <c r="B300" s="5" t="s">
        <v>488</v>
      </c>
      <c r="C300" s="5" t="s">
        <v>95</v>
      </c>
      <c r="D300" s="5" t="s">
        <v>16</v>
      </c>
      <c r="E300" s="5" t="n">
        <f aca="false">ROUND(17065*1.05,2)</f>
        <v>17918.25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ROUND(86*1,0)&amp;"%"</f>
        <v>86%</v>
      </c>
    </row>
    <row r="301" customFormat="false" ht="15" hidden="false" customHeight="false" outlineLevel="0" collapsed="false">
      <c r="A301" s="6" t="s">
        <v>7582</v>
      </c>
      <c r="B301" s="6" t="s">
        <v>490</v>
      </c>
      <c r="C301" s="6" t="s">
        <v>95</v>
      </c>
      <c r="D301" s="6" t="s">
        <v>22</v>
      </c>
      <c r="E301" s="6" t="n">
        <f aca="false">ROUND(16813*1.05,2)</f>
        <v>17653.65</v>
      </c>
      <c r="F301" s="6" t="s">
        <v>52</v>
      </c>
      <c r="G301" s="6" t="s">
        <v>24</v>
      </c>
      <c r="H301" s="6" t="n">
        <f aca="true">ROUND(RAND()*4+6,1)</f>
        <v>6.3</v>
      </c>
      <c r="I301" s="6" t="s">
        <v>25</v>
      </c>
      <c r="J301" s="6" t="str">
        <f aca="false">ROUND(64*1,0)&amp;"%"</f>
        <v>64%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7583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7584</v>
      </c>
      <c r="B306" s="5" t="s">
        <v>494</v>
      </c>
      <c r="C306" s="5" t="s">
        <v>114</v>
      </c>
      <c r="D306" s="5" t="s">
        <v>16</v>
      </c>
      <c r="E306" s="5" t="n">
        <f aca="false">ROUND(4644*1.05,2)</f>
        <v>4876.2</v>
      </c>
      <c r="F306" s="5" t="s">
        <v>17</v>
      </c>
      <c r="G306" s="5" t="s">
        <v>18</v>
      </c>
      <c r="H306" s="5" t="n">
        <f aca="true">ROUND(RAND()*4+6,1)</f>
        <v>9.6</v>
      </c>
      <c r="I306" s="5" t="s">
        <v>19</v>
      </c>
      <c r="J306" s="5" t="str">
        <f aca="false">ROUND(79*1,0)&amp;"%"</f>
        <v>79%</v>
      </c>
    </row>
    <row r="307" customFormat="false" ht="15" hidden="false" customHeight="false" outlineLevel="0" collapsed="false">
      <c r="A307" s="6" t="s">
        <v>7585</v>
      </c>
      <c r="B307" s="6" t="s">
        <v>496</v>
      </c>
      <c r="C307" s="6" t="s">
        <v>114</v>
      </c>
      <c r="D307" s="6" t="s">
        <v>22</v>
      </c>
      <c r="E307" s="6" t="n">
        <f aca="false">ROUND(16401*1.05,2)</f>
        <v>17221.05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ROUND(95*1,0)&amp;"%"</f>
        <v>95%</v>
      </c>
    </row>
    <row r="308" customFormat="false" ht="15" hidden="false" customHeight="false" outlineLevel="0" collapsed="false">
      <c r="A308" s="5" t="s">
        <v>7586</v>
      </c>
      <c r="B308" s="5" t="s">
        <v>498</v>
      </c>
      <c r="C308" s="5" t="s">
        <v>114</v>
      </c>
      <c r="D308" s="5" t="s">
        <v>28</v>
      </c>
      <c r="E308" s="5" t="n">
        <f aca="false">ROUND(14217*1.05,2)</f>
        <v>14927.85</v>
      </c>
      <c r="F308" s="5" t="s">
        <v>29</v>
      </c>
      <c r="G308" s="5" t="s">
        <v>30</v>
      </c>
      <c r="H308" s="5" t="n">
        <f aca="true">ROUND(RAND()*4+6,1)</f>
        <v>6.9</v>
      </c>
      <c r="I308" s="5" t="s">
        <v>31</v>
      </c>
      <c r="J308" s="5" t="str">
        <f aca="false">ROUND(97*1,0)&amp;"%"</f>
        <v>97%</v>
      </c>
    </row>
    <row r="309" customFormat="false" ht="15" hidden="false" customHeight="false" outlineLevel="0" collapsed="false">
      <c r="A309" s="6" t="s">
        <v>7587</v>
      </c>
      <c r="B309" s="6" t="s">
        <v>500</v>
      </c>
      <c r="C309" s="6" t="s">
        <v>114</v>
      </c>
      <c r="D309" s="6" t="s">
        <v>34</v>
      </c>
      <c r="E309" s="6" t="n">
        <f aca="false">ROUND(17547*1.05,2)</f>
        <v>18424.35</v>
      </c>
      <c r="F309" s="6" t="s">
        <v>35</v>
      </c>
      <c r="G309" s="6" t="s">
        <v>18</v>
      </c>
      <c r="H309" s="6" t="n">
        <f aca="true">ROUND(RAND()*4+6,1)</f>
        <v>8.8</v>
      </c>
      <c r="I309" s="6" t="s">
        <v>36</v>
      </c>
      <c r="J309" s="6" t="str">
        <f aca="false">ROUND(78*1,0)&amp;"%"</f>
        <v>78%</v>
      </c>
    </row>
    <row r="310" customFormat="false" ht="15" hidden="false" customHeight="false" outlineLevel="0" collapsed="false">
      <c r="A310" s="5" t="s">
        <v>7588</v>
      </c>
      <c r="B310" s="5" t="s">
        <v>502</v>
      </c>
      <c r="C310" s="5" t="s">
        <v>114</v>
      </c>
      <c r="D310" s="5" t="s">
        <v>39</v>
      </c>
      <c r="E310" s="5" t="n">
        <f aca="false">ROUND(17062*1.05,2)</f>
        <v>17915.1</v>
      </c>
      <c r="F310" s="5" t="s">
        <v>40</v>
      </c>
      <c r="G310" s="5" t="s">
        <v>24</v>
      </c>
      <c r="H310" s="5" t="n">
        <f aca="true">ROUND(RAND()*4+6,1)</f>
        <v>9.7</v>
      </c>
      <c r="I310" s="5" t="s">
        <v>41</v>
      </c>
      <c r="J310" s="5" t="str">
        <f aca="false">ROUND(72*1,0)&amp;"%"</f>
        <v>72%</v>
      </c>
    </row>
    <row r="311" customFormat="false" ht="15" hidden="false" customHeight="false" outlineLevel="0" collapsed="false">
      <c r="A311" s="6" t="s">
        <v>7589</v>
      </c>
      <c r="B311" s="6" t="s">
        <v>504</v>
      </c>
      <c r="C311" s="6" t="s">
        <v>114</v>
      </c>
      <c r="D311" s="6" t="s">
        <v>44</v>
      </c>
      <c r="E311" s="6" t="n">
        <f aca="false">ROUND(16152*1.05,2)</f>
        <v>16959.6</v>
      </c>
      <c r="F311" s="6" t="s">
        <v>45</v>
      </c>
      <c r="G311" s="6" t="s">
        <v>30</v>
      </c>
      <c r="H311" s="6" t="n">
        <f aca="true">ROUND(RAND()*4+6,1)</f>
        <v>7.5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7590</v>
      </c>
      <c r="B312" s="5" t="s">
        <v>506</v>
      </c>
      <c r="C312" s="5" t="s">
        <v>114</v>
      </c>
      <c r="D312" s="5" t="s">
        <v>16</v>
      </c>
      <c r="E312" s="5" t="n">
        <f aca="false">ROUND(16231*1.05,2)</f>
        <v>17042.55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ROUND(98*1,0)&amp;"%"</f>
        <v>98%</v>
      </c>
    </row>
    <row r="313" customFormat="false" ht="15" hidden="false" customHeight="false" outlineLevel="0" collapsed="false">
      <c r="A313" s="6" t="s">
        <v>7591</v>
      </c>
      <c r="B313" s="6" t="s">
        <v>508</v>
      </c>
      <c r="C313" s="6" t="s">
        <v>114</v>
      </c>
      <c r="D313" s="6" t="s">
        <v>22</v>
      </c>
      <c r="E313" s="6" t="n">
        <f aca="false">ROUND(5029*1.05,2)</f>
        <v>5280.45</v>
      </c>
      <c r="F313" s="6" t="s">
        <v>52</v>
      </c>
      <c r="G313" s="6" t="s">
        <v>24</v>
      </c>
      <c r="H313" s="6" t="n">
        <f aca="true">ROUND(RAND()*4+6,1)</f>
        <v>6.6</v>
      </c>
      <c r="I313" s="6" t="s">
        <v>25</v>
      </c>
      <c r="J313" s="6" t="str">
        <f aca="false">ROUND(83*1,0)&amp;"%"</f>
        <v>83%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7592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7593</v>
      </c>
      <c r="B318" s="5" t="s">
        <v>512</v>
      </c>
      <c r="C318" s="5" t="s">
        <v>133</v>
      </c>
      <c r="D318" s="5" t="s">
        <v>16</v>
      </c>
      <c r="E318" s="5" t="n">
        <f aca="false">ROUND(7140*1.05,2)</f>
        <v>7497</v>
      </c>
      <c r="F318" s="5" t="s">
        <v>17</v>
      </c>
      <c r="G318" s="5" t="s">
        <v>18</v>
      </c>
      <c r="H318" s="5" t="n">
        <f aca="true">ROUND(RAND()*4+6,1)</f>
        <v>6.4</v>
      </c>
      <c r="I318" s="5" t="s">
        <v>19</v>
      </c>
      <c r="J318" s="5" t="str">
        <f aca="false">ROUND(84*1,0)&amp;"%"</f>
        <v>84%</v>
      </c>
    </row>
    <row r="319" customFormat="false" ht="15" hidden="false" customHeight="false" outlineLevel="0" collapsed="false">
      <c r="A319" s="6" t="s">
        <v>7594</v>
      </c>
      <c r="B319" s="6" t="s">
        <v>514</v>
      </c>
      <c r="C319" s="6" t="s">
        <v>133</v>
      </c>
      <c r="D319" s="6" t="s">
        <v>22</v>
      </c>
      <c r="E319" s="6" t="n">
        <f aca="false">ROUND(13882*1.05,2)</f>
        <v>14576.1</v>
      </c>
      <c r="F319" s="6" t="s">
        <v>23</v>
      </c>
      <c r="G319" s="6" t="s">
        <v>24</v>
      </c>
      <c r="H319" s="6" t="n">
        <f aca="true">ROUND(RAND()*4+6,1)</f>
        <v>9.4</v>
      </c>
      <c r="I319" s="6" t="s">
        <v>25</v>
      </c>
      <c r="J319" s="6" t="str">
        <f aca="false">ROUND(88*1,0)&amp;"%"</f>
        <v>88%</v>
      </c>
    </row>
    <row r="320" customFormat="false" ht="15" hidden="false" customHeight="false" outlineLevel="0" collapsed="false">
      <c r="A320" s="5" t="s">
        <v>7595</v>
      </c>
      <c r="B320" s="5" t="s">
        <v>516</v>
      </c>
      <c r="C320" s="5" t="s">
        <v>133</v>
      </c>
      <c r="D320" s="5" t="s">
        <v>28</v>
      </c>
      <c r="E320" s="5" t="n">
        <f aca="false">ROUND(12375*1.05,2)</f>
        <v>12993.75</v>
      </c>
      <c r="F320" s="5" t="s">
        <v>29</v>
      </c>
      <c r="G320" s="5" t="s">
        <v>30</v>
      </c>
      <c r="H320" s="5" t="n">
        <f aca="true">ROUND(RAND()*4+6,1)</f>
        <v>6.8</v>
      </c>
      <c r="I320" s="5" t="s">
        <v>31</v>
      </c>
      <c r="J320" s="5" t="str">
        <f aca="false">ROUND(69*1,0)&amp;"%"</f>
        <v>69%</v>
      </c>
    </row>
    <row r="321" customFormat="false" ht="15" hidden="false" customHeight="false" outlineLevel="0" collapsed="false">
      <c r="A321" s="6" t="s">
        <v>7596</v>
      </c>
      <c r="B321" s="6" t="s">
        <v>518</v>
      </c>
      <c r="C321" s="6" t="s">
        <v>133</v>
      </c>
      <c r="D321" s="6" t="s">
        <v>34</v>
      </c>
      <c r="E321" s="6" t="n">
        <f aca="false">ROUND(7121*1.05,2)</f>
        <v>7477.05</v>
      </c>
      <c r="F321" s="6" t="s">
        <v>35</v>
      </c>
      <c r="G321" s="6" t="s">
        <v>18</v>
      </c>
      <c r="H321" s="6" t="n">
        <f aca="true">ROUND(RAND()*4+6,1)</f>
        <v>8.6</v>
      </c>
      <c r="I321" s="6" t="s">
        <v>36</v>
      </c>
      <c r="J321" s="6" t="str">
        <f aca="false">ROUND(77*1,0)&amp;"%"</f>
        <v>77%</v>
      </c>
    </row>
    <row r="322" customFormat="false" ht="15" hidden="false" customHeight="false" outlineLevel="0" collapsed="false">
      <c r="A322" s="5" t="s">
        <v>7597</v>
      </c>
      <c r="B322" s="5" t="s">
        <v>520</v>
      </c>
      <c r="C322" s="5" t="s">
        <v>133</v>
      </c>
      <c r="D322" s="5" t="s">
        <v>39</v>
      </c>
      <c r="E322" s="5" t="n">
        <f aca="false">ROUND(9727*1.05,2)</f>
        <v>10213.35</v>
      </c>
      <c r="F322" s="5" t="s">
        <v>40</v>
      </c>
      <c r="G322" s="5" t="s">
        <v>24</v>
      </c>
      <c r="H322" s="5" t="n">
        <f aca="true">ROUND(RAND()*4+6,1)</f>
        <v>6.2</v>
      </c>
      <c r="I322" s="5" t="s">
        <v>41</v>
      </c>
      <c r="J322" s="5" t="str">
        <f aca="false">ROUND(64*1,0)&amp;"%"</f>
        <v>64%</v>
      </c>
    </row>
    <row r="323" customFormat="false" ht="15" hidden="false" customHeight="false" outlineLevel="0" collapsed="false">
      <c r="A323" s="6" t="s">
        <v>7598</v>
      </c>
      <c r="B323" s="6" t="s">
        <v>522</v>
      </c>
      <c r="C323" s="6" t="s">
        <v>133</v>
      </c>
      <c r="D323" s="6" t="s">
        <v>44</v>
      </c>
      <c r="E323" s="6" t="n">
        <f aca="false">ROUND(6027*1.05,2)</f>
        <v>6328.35</v>
      </c>
      <c r="F323" s="6" t="s">
        <v>45</v>
      </c>
      <c r="G323" s="6" t="s">
        <v>30</v>
      </c>
      <c r="H323" s="6" t="n">
        <f aca="true">ROUND(RAND()*4+6,1)</f>
        <v>8.9</v>
      </c>
      <c r="I323" s="6" t="s">
        <v>46</v>
      </c>
      <c r="J323" s="6" t="str">
        <f aca="false">ROUND(85*1,0)&amp;"%"</f>
        <v>85%</v>
      </c>
    </row>
    <row r="324" customFormat="false" ht="15" hidden="false" customHeight="false" outlineLevel="0" collapsed="false">
      <c r="A324" s="5" t="s">
        <v>7599</v>
      </c>
      <c r="B324" s="5" t="s">
        <v>524</v>
      </c>
      <c r="C324" s="5" t="s">
        <v>133</v>
      </c>
      <c r="D324" s="5" t="s">
        <v>16</v>
      </c>
      <c r="E324" s="5" t="n">
        <f aca="false">ROUND(13518*1.05,2)</f>
        <v>14193.9</v>
      </c>
      <c r="F324" s="5" t="s">
        <v>49</v>
      </c>
      <c r="G324" s="5" t="s">
        <v>18</v>
      </c>
      <c r="H324" s="5" t="n">
        <f aca="true">ROUND(RAND()*4+6,1)</f>
        <v>6.5</v>
      </c>
      <c r="I324" s="5" t="s">
        <v>19</v>
      </c>
      <c r="J324" s="5" t="str">
        <f aca="false">ROUND(64*1,0)&amp;"%"</f>
        <v>64%</v>
      </c>
    </row>
    <row r="325" customFormat="false" ht="15" hidden="false" customHeight="false" outlineLevel="0" collapsed="false">
      <c r="A325" s="6" t="s">
        <v>7600</v>
      </c>
      <c r="B325" s="6" t="s">
        <v>526</v>
      </c>
      <c r="C325" s="6" t="s">
        <v>133</v>
      </c>
      <c r="D325" s="6" t="s">
        <v>22</v>
      </c>
      <c r="E325" s="6" t="n">
        <f aca="false">ROUND(10898*1.05,2)</f>
        <v>11442.9</v>
      </c>
      <c r="F325" s="6" t="s">
        <v>52</v>
      </c>
      <c r="G325" s="6" t="s">
        <v>24</v>
      </c>
      <c r="H325" s="6" t="n">
        <f aca="true">ROUND(RAND()*4+6,1)</f>
        <v>6.1</v>
      </c>
      <c r="I325" s="6" t="s">
        <v>25</v>
      </c>
      <c r="J325" s="6" t="str">
        <f aca="false">ROUND(80*1,0)&amp;"%"</f>
        <v>80%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7601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7602</v>
      </c>
      <c r="B330" s="5" t="s">
        <v>530</v>
      </c>
      <c r="C330" s="5" t="s">
        <v>152</v>
      </c>
      <c r="D330" s="5" t="s">
        <v>16</v>
      </c>
      <c r="E330" s="5" t="n">
        <f aca="false">ROUND(15323*1.05,2)</f>
        <v>16089.15</v>
      </c>
      <c r="F330" s="5" t="s">
        <v>17</v>
      </c>
      <c r="G330" s="5" t="s">
        <v>18</v>
      </c>
      <c r="H330" s="5" t="n">
        <f aca="true">ROUND(RAND()*4+6,1)</f>
        <v>7.6</v>
      </c>
      <c r="I330" s="5" t="s">
        <v>19</v>
      </c>
      <c r="J330" s="5" t="str">
        <f aca="false">ROUND(60*1,0)&amp;"%"</f>
        <v>60%</v>
      </c>
    </row>
    <row r="331" customFormat="false" ht="15" hidden="false" customHeight="false" outlineLevel="0" collapsed="false">
      <c r="A331" s="6" t="s">
        <v>7603</v>
      </c>
      <c r="B331" s="6" t="s">
        <v>532</v>
      </c>
      <c r="C331" s="6" t="s">
        <v>152</v>
      </c>
      <c r="D331" s="6" t="s">
        <v>22</v>
      </c>
      <c r="E331" s="6" t="n">
        <f aca="false">ROUND(15355*1.05,2)</f>
        <v>16122.75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ROUND(93*1,0)&amp;"%"</f>
        <v>93%</v>
      </c>
    </row>
    <row r="332" customFormat="false" ht="15" hidden="false" customHeight="false" outlineLevel="0" collapsed="false">
      <c r="A332" s="5" t="s">
        <v>7604</v>
      </c>
      <c r="B332" s="5" t="s">
        <v>534</v>
      </c>
      <c r="C332" s="5" t="s">
        <v>152</v>
      </c>
      <c r="D332" s="5" t="s">
        <v>28</v>
      </c>
      <c r="E332" s="5" t="n">
        <f aca="false">ROUND(4351*1.05,2)</f>
        <v>4568.55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7605</v>
      </c>
      <c r="B333" s="6" t="s">
        <v>536</v>
      </c>
      <c r="C333" s="6" t="s">
        <v>152</v>
      </c>
      <c r="D333" s="6" t="s">
        <v>34</v>
      </c>
      <c r="E333" s="6" t="n">
        <f aca="false">ROUND(11617*1.05,2)</f>
        <v>12197.85</v>
      </c>
      <c r="F333" s="6" t="s">
        <v>35</v>
      </c>
      <c r="G333" s="6" t="s">
        <v>18</v>
      </c>
      <c r="H333" s="6" t="n">
        <f aca="true">ROUND(RAND()*4+6,1)</f>
        <v>8.5</v>
      </c>
      <c r="I333" s="6" t="s">
        <v>36</v>
      </c>
      <c r="J333" s="6" t="str">
        <f aca="false">ROUND(66*1,0)&amp;"%"</f>
        <v>66%</v>
      </c>
    </row>
    <row r="334" customFormat="false" ht="15" hidden="false" customHeight="false" outlineLevel="0" collapsed="false">
      <c r="A334" s="5" t="s">
        <v>7606</v>
      </c>
      <c r="B334" s="5" t="s">
        <v>538</v>
      </c>
      <c r="C334" s="5" t="s">
        <v>152</v>
      </c>
      <c r="D334" s="5" t="s">
        <v>39</v>
      </c>
      <c r="E334" s="5" t="n">
        <f aca="false">ROUND(7542*1.05,2)</f>
        <v>7919.1</v>
      </c>
      <c r="F334" s="5" t="s">
        <v>40</v>
      </c>
      <c r="G334" s="5" t="s">
        <v>24</v>
      </c>
      <c r="H334" s="5" t="n">
        <f aca="true">ROUND(RAND()*4+6,1)</f>
        <v>7.5</v>
      </c>
      <c r="I334" s="5" t="s">
        <v>41</v>
      </c>
      <c r="J334" s="5" t="str">
        <f aca="false">ROUND(79*1,0)&amp;"%"</f>
        <v>79%</v>
      </c>
    </row>
    <row r="335" customFormat="false" ht="15" hidden="false" customHeight="false" outlineLevel="0" collapsed="false">
      <c r="A335" s="6" t="s">
        <v>7607</v>
      </c>
      <c r="B335" s="6" t="s">
        <v>540</v>
      </c>
      <c r="C335" s="6" t="s">
        <v>152</v>
      </c>
      <c r="D335" s="6" t="s">
        <v>44</v>
      </c>
      <c r="E335" s="6" t="n">
        <f aca="false">ROUND(15951*1.05,2)</f>
        <v>16748.55</v>
      </c>
      <c r="F335" s="6" t="s">
        <v>45</v>
      </c>
      <c r="G335" s="6" t="s">
        <v>30</v>
      </c>
      <c r="H335" s="6" t="n">
        <f aca="true">ROUND(RAND()*4+6,1)</f>
        <v>9.2</v>
      </c>
      <c r="I335" s="6" t="s">
        <v>46</v>
      </c>
      <c r="J335" s="6" t="str">
        <f aca="false">ROUND(62*1,0)&amp;"%"</f>
        <v>62%</v>
      </c>
    </row>
    <row r="336" customFormat="false" ht="15" hidden="false" customHeight="false" outlineLevel="0" collapsed="false">
      <c r="A336" s="5" t="s">
        <v>7608</v>
      </c>
      <c r="B336" s="5" t="s">
        <v>542</v>
      </c>
      <c r="C336" s="5" t="s">
        <v>152</v>
      </c>
      <c r="D336" s="5" t="s">
        <v>16</v>
      </c>
      <c r="E336" s="5" t="n">
        <f aca="false">ROUND(17856*1.05,2)</f>
        <v>18748.8</v>
      </c>
      <c r="F336" s="5" t="s">
        <v>49</v>
      </c>
      <c r="G336" s="5" t="s">
        <v>18</v>
      </c>
      <c r="H336" s="5" t="n">
        <f aca="true">ROUND(RAND()*4+6,1)</f>
        <v>8.6</v>
      </c>
      <c r="I336" s="5" t="s">
        <v>19</v>
      </c>
      <c r="J336" s="5" t="str">
        <f aca="false">ROUND(66*1,0)&amp;"%"</f>
        <v>66%</v>
      </c>
    </row>
    <row r="337" customFormat="false" ht="15" hidden="false" customHeight="false" outlineLevel="0" collapsed="false">
      <c r="A337" s="6" t="s">
        <v>7609</v>
      </c>
      <c r="B337" s="6" t="s">
        <v>544</v>
      </c>
      <c r="C337" s="6" t="s">
        <v>152</v>
      </c>
      <c r="D337" s="6" t="s">
        <v>22</v>
      </c>
      <c r="E337" s="6" t="n">
        <f aca="false">ROUND(10824*1.05,2)</f>
        <v>11365.2</v>
      </c>
      <c r="F337" s="6" t="s">
        <v>52</v>
      </c>
      <c r="G337" s="6" t="s">
        <v>24</v>
      </c>
      <c r="H337" s="6" t="n">
        <f aca="true">ROUND(RAND()*4+6,1)</f>
        <v>6.2</v>
      </c>
      <c r="I337" s="6" t="s">
        <v>25</v>
      </c>
      <c r="J337" s="6" t="str">
        <f aca="false">ROUND(100*1,0)&amp;"%"</f>
        <v>100%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7610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7611</v>
      </c>
      <c r="B342" s="5" t="s">
        <v>548</v>
      </c>
      <c r="C342" s="5" t="s">
        <v>15</v>
      </c>
      <c r="D342" s="5" t="s">
        <v>16</v>
      </c>
      <c r="E342" s="5" t="n">
        <f aca="false">ROUND(11595*1.05,2)</f>
        <v>12174.75</v>
      </c>
      <c r="F342" s="5" t="s">
        <v>17</v>
      </c>
      <c r="G342" s="5" t="s">
        <v>18</v>
      </c>
      <c r="H342" s="5" t="n">
        <f aca="true">ROUND(RAND()*4+6,1)</f>
        <v>7.1</v>
      </c>
      <c r="I342" s="5" t="s">
        <v>19</v>
      </c>
      <c r="J342" s="5" t="str">
        <f aca="false">ROUND(64*1,0)&amp;"%"</f>
        <v>64%</v>
      </c>
    </row>
    <row r="343" customFormat="false" ht="15" hidden="false" customHeight="false" outlineLevel="0" collapsed="false">
      <c r="A343" s="6" t="s">
        <v>7612</v>
      </c>
      <c r="B343" s="6" t="s">
        <v>550</v>
      </c>
      <c r="C343" s="6" t="s">
        <v>15</v>
      </c>
      <c r="D343" s="6" t="s">
        <v>22</v>
      </c>
      <c r="E343" s="6" t="n">
        <f aca="false">ROUND(13709*1.05,2)</f>
        <v>14394.45</v>
      </c>
      <c r="F343" s="6" t="s">
        <v>23</v>
      </c>
      <c r="G343" s="6" t="s">
        <v>24</v>
      </c>
      <c r="H343" s="6" t="n">
        <f aca="true">ROUND(RAND()*4+6,1)</f>
        <v>7.2</v>
      </c>
      <c r="I343" s="6" t="s">
        <v>25</v>
      </c>
      <c r="J343" s="6" t="str">
        <f aca="false">ROUND(76*1,0)&amp;"%"</f>
        <v>76%</v>
      </c>
    </row>
    <row r="344" customFormat="false" ht="15" hidden="false" customHeight="false" outlineLevel="0" collapsed="false">
      <c r="A344" s="5" t="s">
        <v>7613</v>
      </c>
      <c r="B344" s="5" t="s">
        <v>552</v>
      </c>
      <c r="C344" s="5" t="s">
        <v>15</v>
      </c>
      <c r="D344" s="5" t="s">
        <v>28</v>
      </c>
      <c r="E344" s="5" t="n">
        <f aca="false">ROUND(6887*1.05,2)</f>
        <v>7231.35</v>
      </c>
      <c r="F344" s="5" t="s">
        <v>29</v>
      </c>
      <c r="G344" s="5" t="s">
        <v>30</v>
      </c>
      <c r="H344" s="5" t="n">
        <f aca="true">ROUND(RAND()*4+6,1)</f>
        <v>9.4</v>
      </c>
      <c r="I344" s="5" t="s">
        <v>31</v>
      </c>
      <c r="J344" s="5" t="str">
        <f aca="false">ROUND(74*1,0)&amp;"%"</f>
        <v>74%</v>
      </c>
    </row>
    <row r="345" customFormat="false" ht="15" hidden="false" customHeight="false" outlineLevel="0" collapsed="false">
      <c r="A345" s="6" t="s">
        <v>7614</v>
      </c>
      <c r="B345" s="6" t="s">
        <v>554</v>
      </c>
      <c r="C345" s="6" t="s">
        <v>15</v>
      </c>
      <c r="D345" s="6" t="s">
        <v>34</v>
      </c>
      <c r="E345" s="6" t="n">
        <f aca="false">ROUND(4813*1.05,2)</f>
        <v>5053.65</v>
      </c>
      <c r="F345" s="6" t="s">
        <v>35</v>
      </c>
      <c r="G345" s="6" t="s">
        <v>18</v>
      </c>
      <c r="H345" s="6" t="n">
        <f aca="true">ROUND(RAND()*4+6,1)</f>
        <v>6.9</v>
      </c>
      <c r="I345" s="6" t="s">
        <v>36</v>
      </c>
      <c r="J345" s="6" t="str">
        <f aca="false">ROUND(60*1,0)&amp;"%"</f>
        <v>60%</v>
      </c>
    </row>
    <row r="346" customFormat="false" ht="15" hidden="false" customHeight="false" outlineLevel="0" collapsed="false">
      <c r="A346" s="5" t="s">
        <v>7615</v>
      </c>
      <c r="B346" s="5" t="s">
        <v>556</v>
      </c>
      <c r="C346" s="5" t="s">
        <v>15</v>
      </c>
      <c r="D346" s="5" t="s">
        <v>39</v>
      </c>
      <c r="E346" s="5" t="n">
        <f aca="false">ROUND(8337*1.05,2)</f>
        <v>8753.85</v>
      </c>
      <c r="F346" s="5" t="s">
        <v>40</v>
      </c>
      <c r="G346" s="5" t="s">
        <v>24</v>
      </c>
      <c r="H346" s="5" t="n">
        <f aca="true">ROUND(RAND()*4+6,1)</f>
        <v>8</v>
      </c>
      <c r="I346" s="5" t="s">
        <v>41</v>
      </c>
      <c r="J346" s="5" t="str">
        <f aca="false">ROUND(87*1,0)&amp;"%"</f>
        <v>87%</v>
      </c>
    </row>
    <row r="347" customFormat="false" ht="15" hidden="false" customHeight="false" outlineLevel="0" collapsed="false">
      <c r="A347" s="6" t="s">
        <v>7616</v>
      </c>
      <c r="B347" s="6" t="s">
        <v>558</v>
      </c>
      <c r="C347" s="6" t="s">
        <v>15</v>
      </c>
      <c r="D347" s="6" t="s">
        <v>44</v>
      </c>
      <c r="E347" s="6" t="n">
        <f aca="false">ROUND(5189*1.05,2)</f>
        <v>5448.45</v>
      </c>
      <c r="F347" s="6" t="s">
        <v>45</v>
      </c>
      <c r="G347" s="6" t="s">
        <v>30</v>
      </c>
      <c r="H347" s="6" t="n">
        <f aca="true">ROUND(RAND()*4+6,1)</f>
        <v>6.3</v>
      </c>
      <c r="I347" s="6" t="s">
        <v>46</v>
      </c>
      <c r="J347" s="6" t="str">
        <f aca="false">ROUND(61*1,0)&amp;"%"</f>
        <v>61%</v>
      </c>
    </row>
    <row r="348" customFormat="false" ht="15" hidden="false" customHeight="false" outlineLevel="0" collapsed="false">
      <c r="A348" s="5" t="s">
        <v>7617</v>
      </c>
      <c r="B348" s="5" t="s">
        <v>560</v>
      </c>
      <c r="C348" s="5" t="s">
        <v>15</v>
      </c>
      <c r="D348" s="5" t="s">
        <v>16</v>
      </c>
      <c r="E348" s="5" t="n">
        <f aca="false">ROUND(10824*1.05,2)</f>
        <v>11365.2</v>
      </c>
      <c r="F348" s="5" t="s">
        <v>49</v>
      </c>
      <c r="G348" s="5" t="s">
        <v>18</v>
      </c>
      <c r="H348" s="5" t="n">
        <f aca="true">ROUND(RAND()*4+6,1)</f>
        <v>6</v>
      </c>
      <c r="I348" s="5" t="s">
        <v>19</v>
      </c>
      <c r="J348" s="5" t="str">
        <f aca="false">ROUND(70*1,0)&amp;"%"</f>
        <v>70%</v>
      </c>
    </row>
    <row r="349" customFormat="false" ht="15" hidden="false" customHeight="false" outlineLevel="0" collapsed="false">
      <c r="A349" s="6" t="s">
        <v>7618</v>
      </c>
      <c r="B349" s="6" t="s">
        <v>562</v>
      </c>
      <c r="C349" s="6" t="s">
        <v>15</v>
      </c>
      <c r="D349" s="6" t="s">
        <v>22</v>
      </c>
      <c r="E349" s="6" t="n">
        <f aca="false">ROUND(5288*1.05,2)</f>
        <v>5552.4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ROUND(93*1,0)&amp;"%"</f>
        <v>93%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7619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7620</v>
      </c>
      <c r="B354" s="5" t="s">
        <v>566</v>
      </c>
      <c r="C354" s="5" t="s">
        <v>57</v>
      </c>
      <c r="D354" s="5" t="s">
        <v>16</v>
      </c>
      <c r="E354" s="5" t="n">
        <f aca="false">ROUND(5565*1.05,2)</f>
        <v>5843.25</v>
      </c>
      <c r="F354" s="5" t="s">
        <v>17</v>
      </c>
      <c r="G354" s="5" t="s">
        <v>18</v>
      </c>
      <c r="H354" s="5" t="n">
        <f aca="true">ROUND(RAND()*4+6,1)</f>
        <v>9.7</v>
      </c>
      <c r="I354" s="5" t="s">
        <v>19</v>
      </c>
      <c r="J354" s="5" t="str">
        <f aca="false">ROUND(98*1,0)&amp;"%"</f>
        <v>98%</v>
      </c>
    </row>
    <row r="355" customFormat="false" ht="15" hidden="false" customHeight="false" outlineLevel="0" collapsed="false">
      <c r="A355" s="6" t="s">
        <v>7621</v>
      </c>
      <c r="B355" s="6" t="s">
        <v>568</v>
      </c>
      <c r="C355" s="6" t="s">
        <v>57</v>
      </c>
      <c r="D355" s="6" t="s">
        <v>22</v>
      </c>
      <c r="E355" s="6" t="n">
        <f aca="false">ROUND(4934*1.05,2)</f>
        <v>5180.7</v>
      </c>
      <c r="F355" s="6" t="s">
        <v>23</v>
      </c>
      <c r="G355" s="6" t="s">
        <v>24</v>
      </c>
      <c r="H355" s="6" t="n">
        <f aca="true">ROUND(RAND()*4+6,1)</f>
        <v>6.9</v>
      </c>
      <c r="I355" s="6" t="s">
        <v>25</v>
      </c>
      <c r="J355" s="6" t="str">
        <f aca="false">ROUND(93*1,0)&amp;"%"</f>
        <v>93%</v>
      </c>
    </row>
    <row r="356" customFormat="false" ht="15" hidden="false" customHeight="false" outlineLevel="0" collapsed="false">
      <c r="A356" s="5" t="s">
        <v>7622</v>
      </c>
      <c r="B356" s="5" t="s">
        <v>570</v>
      </c>
      <c r="C356" s="5" t="s">
        <v>57</v>
      </c>
      <c r="D356" s="5" t="s">
        <v>28</v>
      </c>
      <c r="E356" s="5" t="n">
        <f aca="false">ROUND(12791*1.05,2)</f>
        <v>13430.55</v>
      </c>
      <c r="F356" s="5" t="s">
        <v>29</v>
      </c>
      <c r="G356" s="5" t="s">
        <v>30</v>
      </c>
      <c r="H356" s="5" t="n">
        <f aca="true">ROUND(RAND()*4+6,1)</f>
        <v>6.6</v>
      </c>
      <c r="I356" s="5" t="s">
        <v>31</v>
      </c>
      <c r="J356" s="5" t="str">
        <f aca="false">ROUND(64*1,0)&amp;"%"</f>
        <v>64%</v>
      </c>
    </row>
    <row r="357" customFormat="false" ht="15" hidden="false" customHeight="false" outlineLevel="0" collapsed="false">
      <c r="A357" s="6" t="s">
        <v>7623</v>
      </c>
      <c r="B357" s="6" t="s">
        <v>572</v>
      </c>
      <c r="C357" s="6" t="s">
        <v>57</v>
      </c>
      <c r="D357" s="6" t="s">
        <v>34</v>
      </c>
      <c r="E357" s="6" t="n">
        <f aca="false">ROUND(15778*1.05,2)</f>
        <v>16566.9</v>
      </c>
      <c r="F357" s="6" t="s">
        <v>35</v>
      </c>
      <c r="G357" s="6" t="s">
        <v>18</v>
      </c>
      <c r="H357" s="6" t="n">
        <f aca="true">ROUND(RAND()*4+6,1)</f>
        <v>8.7</v>
      </c>
      <c r="I357" s="6" t="s">
        <v>36</v>
      </c>
      <c r="J357" s="6" t="str">
        <f aca="false">ROUND(60*1,0)&amp;"%"</f>
        <v>60%</v>
      </c>
    </row>
    <row r="358" customFormat="false" ht="15" hidden="false" customHeight="false" outlineLevel="0" collapsed="false">
      <c r="A358" s="5" t="s">
        <v>7624</v>
      </c>
      <c r="B358" s="5" t="s">
        <v>574</v>
      </c>
      <c r="C358" s="5" t="s">
        <v>57</v>
      </c>
      <c r="D358" s="5" t="s">
        <v>39</v>
      </c>
      <c r="E358" s="5" t="n">
        <f aca="false">ROUND(14737*1.05,2)</f>
        <v>15473.85</v>
      </c>
      <c r="F358" s="5" t="s">
        <v>40</v>
      </c>
      <c r="G358" s="5" t="s">
        <v>24</v>
      </c>
      <c r="H358" s="5" t="n">
        <f aca="true">ROUND(RAND()*4+6,1)</f>
        <v>9</v>
      </c>
      <c r="I358" s="5" t="s">
        <v>41</v>
      </c>
      <c r="J358" s="5" t="str">
        <f aca="false">ROUND(84*1,0)&amp;"%"</f>
        <v>84%</v>
      </c>
    </row>
    <row r="359" customFormat="false" ht="15" hidden="false" customHeight="false" outlineLevel="0" collapsed="false">
      <c r="A359" s="6" t="s">
        <v>7625</v>
      </c>
      <c r="B359" s="6" t="s">
        <v>576</v>
      </c>
      <c r="C359" s="6" t="s">
        <v>57</v>
      </c>
      <c r="D359" s="6" t="s">
        <v>44</v>
      </c>
      <c r="E359" s="6" t="n">
        <f aca="false">ROUND(16969*1.05,2)</f>
        <v>17817.45</v>
      </c>
      <c r="F359" s="6" t="s">
        <v>45</v>
      </c>
      <c r="G359" s="6" t="s">
        <v>30</v>
      </c>
      <c r="H359" s="6" t="n">
        <f aca="true">ROUND(RAND()*4+6,1)</f>
        <v>9.4</v>
      </c>
      <c r="I359" s="6" t="s">
        <v>46</v>
      </c>
      <c r="J359" s="6" t="str">
        <f aca="false">ROUND(78*1,0)&amp;"%"</f>
        <v>78%</v>
      </c>
    </row>
    <row r="360" customFormat="false" ht="15" hidden="false" customHeight="false" outlineLevel="0" collapsed="false">
      <c r="A360" s="5" t="s">
        <v>7626</v>
      </c>
      <c r="B360" s="5" t="s">
        <v>578</v>
      </c>
      <c r="C360" s="5" t="s">
        <v>57</v>
      </c>
      <c r="D360" s="5" t="s">
        <v>16</v>
      </c>
      <c r="E360" s="5" t="n">
        <f aca="false">ROUND(17244*1.05,2)</f>
        <v>18106.2</v>
      </c>
      <c r="F360" s="5" t="s">
        <v>49</v>
      </c>
      <c r="G360" s="5" t="s">
        <v>18</v>
      </c>
      <c r="H360" s="5" t="n">
        <f aca="true">ROUND(RAND()*4+6,1)</f>
        <v>6.3</v>
      </c>
      <c r="I360" s="5" t="s">
        <v>19</v>
      </c>
      <c r="J360" s="5" t="str">
        <f aca="false">ROUND(66*1,0)&amp;"%"</f>
        <v>66%</v>
      </c>
    </row>
    <row r="361" customFormat="false" ht="15" hidden="false" customHeight="false" outlineLevel="0" collapsed="false">
      <c r="A361" s="6" t="s">
        <v>7627</v>
      </c>
      <c r="B361" s="6" t="s">
        <v>580</v>
      </c>
      <c r="C361" s="6" t="s">
        <v>57</v>
      </c>
      <c r="D361" s="6" t="s">
        <v>22</v>
      </c>
      <c r="E361" s="6" t="n">
        <f aca="false">ROUND(13884*1.05,2)</f>
        <v>14578.2</v>
      </c>
      <c r="F361" s="6" t="s">
        <v>52</v>
      </c>
      <c r="G361" s="6" t="s">
        <v>24</v>
      </c>
      <c r="H361" s="6" t="n">
        <f aca="true">ROUND(RAND()*4+6,1)</f>
        <v>9.6</v>
      </c>
      <c r="I361" s="6" t="s">
        <v>25</v>
      </c>
      <c r="J361" s="6" t="str">
        <f aca="false">ROUND(85*1,0)&amp;"%"</f>
        <v>85%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7628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7629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7630</v>
      </c>
      <c r="B6" s="5" t="s">
        <v>14</v>
      </c>
      <c r="C6" s="5" t="s">
        <v>15</v>
      </c>
      <c r="D6" s="5" t="s">
        <v>16</v>
      </c>
      <c r="E6" s="5" t="n">
        <f aca="false">ROUND(7182*1.05,2)</f>
        <v>7541.1</v>
      </c>
      <c r="F6" s="5" t="s">
        <v>17</v>
      </c>
      <c r="G6" s="5" t="s">
        <v>18</v>
      </c>
      <c r="H6" s="5" t="n">
        <f aca="true">ROUND(RAND()*4+6,1)</f>
        <v>8.8</v>
      </c>
      <c r="I6" s="5" t="s">
        <v>19</v>
      </c>
      <c r="J6" s="5" t="str">
        <f aca="false">ROUND(93*1,0)&amp;"%"</f>
        <v>93%</v>
      </c>
    </row>
    <row r="7" customFormat="false" ht="15" hidden="false" customHeight="false" outlineLevel="0" collapsed="false">
      <c r="A7" s="6" t="s">
        <v>7631</v>
      </c>
      <c r="B7" s="6" t="s">
        <v>21</v>
      </c>
      <c r="C7" s="6" t="s">
        <v>15</v>
      </c>
      <c r="D7" s="6" t="s">
        <v>22</v>
      </c>
      <c r="E7" s="6" t="n">
        <f aca="false">ROUND(16330*1.05,2)</f>
        <v>17146.5</v>
      </c>
      <c r="F7" s="6" t="s">
        <v>23</v>
      </c>
      <c r="G7" s="6" t="s">
        <v>24</v>
      </c>
      <c r="H7" s="6" t="n">
        <f aca="true">ROUND(RAND()*4+6,1)</f>
        <v>8.8</v>
      </c>
      <c r="I7" s="6" t="s">
        <v>25</v>
      </c>
      <c r="J7" s="6" t="str">
        <f aca="false">ROUND(95*1,0)&amp;"%"</f>
        <v>95%</v>
      </c>
    </row>
    <row r="8" customFormat="false" ht="15" hidden="false" customHeight="false" outlineLevel="0" collapsed="false">
      <c r="A8" s="5" t="s">
        <v>7632</v>
      </c>
      <c r="B8" s="5" t="s">
        <v>27</v>
      </c>
      <c r="C8" s="5" t="s">
        <v>15</v>
      </c>
      <c r="D8" s="5" t="s">
        <v>28</v>
      </c>
      <c r="E8" s="5" t="n">
        <f aca="false">ROUND(11530*1.05,2)</f>
        <v>12106.5</v>
      </c>
      <c r="F8" s="5" t="s">
        <v>29</v>
      </c>
      <c r="G8" s="5" t="s">
        <v>30</v>
      </c>
      <c r="H8" s="5" t="n">
        <f aca="true">ROUND(RAND()*4+6,1)</f>
        <v>8.5</v>
      </c>
      <c r="I8" s="5" t="s">
        <v>31</v>
      </c>
      <c r="J8" s="5" t="str">
        <f aca="false">ROUND(75*1,0)&amp;"%"</f>
        <v>75%</v>
      </c>
    </row>
    <row r="9" customFormat="false" ht="15" hidden="false" customHeight="false" outlineLevel="0" collapsed="false">
      <c r="A9" s="6" t="s">
        <v>7633</v>
      </c>
      <c r="B9" s="6" t="s">
        <v>33</v>
      </c>
      <c r="C9" s="6" t="s">
        <v>15</v>
      </c>
      <c r="D9" s="6" t="s">
        <v>34</v>
      </c>
      <c r="E9" s="6" t="n">
        <f aca="false">ROUND(12944*1.05,2)</f>
        <v>13591.2</v>
      </c>
      <c r="F9" s="6" t="s">
        <v>35</v>
      </c>
      <c r="G9" s="6" t="s">
        <v>18</v>
      </c>
      <c r="H9" s="6" t="n">
        <f aca="true">ROUND(RAND()*4+6,1)</f>
        <v>7.6</v>
      </c>
      <c r="I9" s="6" t="s">
        <v>36</v>
      </c>
      <c r="J9" s="6" t="str">
        <f aca="false">ROUND(91*1,0)&amp;"%"</f>
        <v>91%</v>
      </c>
    </row>
    <row r="10" customFormat="false" ht="15" hidden="false" customHeight="false" outlineLevel="0" collapsed="false">
      <c r="A10" s="5" t="s">
        <v>7634</v>
      </c>
      <c r="B10" s="5" t="s">
        <v>38</v>
      </c>
      <c r="C10" s="5" t="s">
        <v>15</v>
      </c>
      <c r="D10" s="5" t="s">
        <v>39</v>
      </c>
      <c r="E10" s="5" t="n">
        <f aca="false">ROUND(7065*1.05,2)</f>
        <v>7418.25</v>
      </c>
      <c r="F10" s="5" t="s">
        <v>40</v>
      </c>
      <c r="G10" s="5" t="s">
        <v>24</v>
      </c>
      <c r="H10" s="5" t="n">
        <f aca="true">ROUND(RAND()*4+6,1)</f>
        <v>8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7635</v>
      </c>
      <c r="B11" s="6" t="s">
        <v>43</v>
      </c>
      <c r="C11" s="6" t="s">
        <v>15</v>
      </c>
      <c r="D11" s="6" t="s">
        <v>44</v>
      </c>
      <c r="E11" s="6" t="n">
        <f aca="false">ROUND(4053*1.05,2)</f>
        <v>4255.65</v>
      </c>
      <c r="F11" s="6" t="s">
        <v>45</v>
      </c>
      <c r="G11" s="6" t="s">
        <v>30</v>
      </c>
      <c r="H11" s="6" t="n">
        <f aca="true">ROUND(RAND()*4+6,1)</f>
        <v>8.7</v>
      </c>
      <c r="I11" s="6" t="s">
        <v>46</v>
      </c>
      <c r="J11" s="6" t="str">
        <f aca="false">ROUND(92*1,0)&amp;"%"</f>
        <v>92%</v>
      </c>
    </row>
    <row r="12" customFormat="false" ht="15" hidden="false" customHeight="false" outlineLevel="0" collapsed="false">
      <c r="A12" s="5" t="s">
        <v>7636</v>
      </c>
      <c r="B12" s="5" t="s">
        <v>48</v>
      </c>
      <c r="C12" s="5" t="s">
        <v>15</v>
      </c>
      <c r="D12" s="5" t="s">
        <v>16</v>
      </c>
      <c r="E12" s="5" t="n">
        <f aca="false">ROUND(17219*1.05,2)</f>
        <v>18079.95</v>
      </c>
      <c r="F12" s="5" t="s">
        <v>49</v>
      </c>
      <c r="G12" s="5" t="s">
        <v>18</v>
      </c>
      <c r="H12" s="5" t="n">
        <f aca="true">ROUND(RAND()*4+6,1)</f>
        <v>9</v>
      </c>
      <c r="I12" s="5" t="s">
        <v>19</v>
      </c>
      <c r="J12" s="5" t="str">
        <f aca="false">ROUND(61*1,0)&amp;"%"</f>
        <v>61%</v>
      </c>
    </row>
    <row r="13" customFormat="false" ht="15" hidden="false" customHeight="false" outlineLevel="0" collapsed="false">
      <c r="A13" s="6" t="s">
        <v>7637</v>
      </c>
      <c r="B13" s="6" t="s">
        <v>51</v>
      </c>
      <c r="C13" s="6" t="s">
        <v>15</v>
      </c>
      <c r="D13" s="6" t="s">
        <v>22</v>
      </c>
      <c r="E13" s="6" t="n">
        <f aca="false">ROUND(11654*1.05,2)</f>
        <v>12236.7</v>
      </c>
      <c r="F13" s="6" t="s">
        <v>52</v>
      </c>
      <c r="G13" s="6" t="s">
        <v>24</v>
      </c>
      <c r="H13" s="6" t="n">
        <f aca="true">ROUND(RAND()*4+6,1)</f>
        <v>8.4</v>
      </c>
      <c r="I13" s="6" t="s">
        <v>25</v>
      </c>
      <c r="J13" s="6" t="str">
        <f aca="false">ROUND(66*1,0)&amp;"%"</f>
        <v>66%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7638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7639</v>
      </c>
      <c r="B18" s="5" t="s">
        <v>56</v>
      </c>
      <c r="C18" s="5" t="s">
        <v>57</v>
      </c>
      <c r="D18" s="5" t="s">
        <v>16</v>
      </c>
      <c r="E18" s="5" t="n">
        <f aca="false">ROUND(14319*1.05,2)</f>
        <v>15034.95</v>
      </c>
      <c r="F18" s="5" t="s">
        <v>17</v>
      </c>
      <c r="G18" s="5" t="s">
        <v>18</v>
      </c>
      <c r="H18" s="5" t="n">
        <f aca="true">ROUND(RAND()*4+6,1)</f>
        <v>9.3</v>
      </c>
      <c r="I18" s="5" t="s">
        <v>19</v>
      </c>
      <c r="J18" s="5" t="str">
        <f aca="false">ROUND(62*1,0)&amp;"%"</f>
        <v>62%</v>
      </c>
    </row>
    <row r="19" customFormat="false" ht="15" hidden="false" customHeight="false" outlineLevel="0" collapsed="false">
      <c r="A19" s="6" t="s">
        <v>7640</v>
      </c>
      <c r="B19" s="6" t="s">
        <v>59</v>
      </c>
      <c r="C19" s="6" t="s">
        <v>57</v>
      </c>
      <c r="D19" s="6" t="s">
        <v>22</v>
      </c>
      <c r="E19" s="6" t="n">
        <f aca="false">ROUND(17249*1.05,2)</f>
        <v>18111.45</v>
      </c>
      <c r="F19" s="6" t="s">
        <v>23</v>
      </c>
      <c r="G19" s="6" t="s">
        <v>24</v>
      </c>
      <c r="H19" s="6" t="n">
        <f aca="true">ROUND(RAND()*4+6,1)</f>
        <v>7</v>
      </c>
      <c r="I19" s="6" t="s">
        <v>25</v>
      </c>
      <c r="J19" s="6" t="str">
        <f aca="false">ROUND(80*1,0)&amp;"%"</f>
        <v>80%</v>
      </c>
    </row>
    <row r="20" customFormat="false" ht="15" hidden="false" customHeight="false" outlineLevel="0" collapsed="false">
      <c r="A20" s="5" t="s">
        <v>7641</v>
      </c>
      <c r="B20" s="5" t="s">
        <v>61</v>
      </c>
      <c r="C20" s="5" t="s">
        <v>57</v>
      </c>
      <c r="D20" s="5" t="s">
        <v>28</v>
      </c>
      <c r="E20" s="5" t="n">
        <f aca="false">ROUND(8755*1.05,2)</f>
        <v>9192.75</v>
      </c>
      <c r="F20" s="5" t="s">
        <v>29</v>
      </c>
      <c r="G20" s="5" t="s">
        <v>30</v>
      </c>
      <c r="H20" s="5" t="n">
        <f aca="true">ROUND(RAND()*4+6,1)</f>
        <v>7.2</v>
      </c>
      <c r="I20" s="5" t="s">
        <v>31</v>
      </c>
      <c r="J20" s="5" t="str">
        <f aca="false">ROUND(84*1,0)&amp;"%"</f>
        <v>84%</v>
      </c>
    </row>
    <row r="21" customFormat="false" ht="15" hidden="false" customHeight="false" outlineLevel="0" collapsed="false">
      <c r="A21" s="6" t="s">
        <v>7642</v>
      </c>
      <c r="B21" s="6" t="s">
        <v>63</v>
      </c>
      <c r="C21" s="6" t="s">
        <v>57</v>
      </c>
      <c r="D21" s="6" t="s">
        <v>34</v>
      </c>
      <c r="E21" s="6" t="n">
        <f aca="false">ROUND(15632*1.05,2)</f>
        <v>16413.6</v>
      </c>
      <c r="F21" s="6" t="s">
        <v>35</v>
      </c>
      <c r="G21" s="6" t="s">
        <v>18</v>
      </c>
      <c r="H21" s="6" t="n">
        <f aca="true">ROUND(RAND()*4+6,1)</f>
        <v>6.5</v>
      </c>
      <c r="I21" s="6" t="s">
        <v>36</v>
      </c>
      <c r="J21" s="6" t="str">
        <f aca="false">ROUND(94*1,0)&amp;"%"</f>
        <v>94%</v>
      </c>
    </row>
    <row r="22" customFormat="false" ht="15" hidden="false" customHeight="false" outlineLevel="0" collapsed="false">
      <c r="A22" s="5" t="s">
        <v>7643</v>
      </c>
      <c r="B22" s="5" t="s">
        <v>65</v>
      </c>
      <c r="C22" s="5" t="s">
        <v>57</v>
      </c>
      <c r="D22" s="5" t="s">
        <v>39</v>
      </c>
      <c r="E22" s="5" t="n">
        <f aca="false">ROUND(17363*1.05,2)</f>
        <v>18231.15</v>
      </c>
      <c r="F22" s="5" t="s">
        <v>40</v>
      </c>
      <c r="G22" s="5" t="s">
        <v>24</v>
      </c>
      <c r="H22" s="5" t="n">
        <f aca="true">ROUND(RAND()*4+6,1)</f>
        <v>6.9</v>
      </c>
      <c r="I22" s="5" t="s">
        <v>41</v>
      </c>
      <c r="J22" s="5" t="str">
        <f aca="false">ROUND(62*1,0)&amp;"%"</f>
        <v>62%</v>
      </c>
    </row>
    <row r="23" customFormat="false" ht="15" hidden="false" customHeight="false" outlineLevel="0" collapsed="false">
      <c r="A23" s="6" t="s">
        <v>7644</v>
      </c>
      <c r="B23" s="6" t="s">
        <v>67</v>
      </c>
      <c r="C23" s="6" t="s">
        <v>57</v>
      </c>
      <c r="D23" s="6" t="s">
        <v>44</v>
      </c>
      <c r="E23" s="6" t="n">
        <f aca="false">ROUND(10361*1.05,2)</f>
        <v>10879.05</v>
      </c>
      <c r="F23" s="6" t="s">
        <v>45</v>
      </c>
      <c r="G23" s="6" t="s">
        <v>30</v>
      </c>
      <c r="H23" s="6" t="n">
        <f aca="true">ROUND(RAND()*4+6,1)</f>
        <v>8.1</v>
      </c>
      <c r="I23" s="6" t="s">
        <v>46</v>
      </c>
      <c r="J23" s="6" t="str">
        <f aca="false">ROUND(92*1,0)&amp;"%"</f>
        <v>92%</v>
      </c>
    </row>
    <row r="24" customFormat="false" ht="15" hidden="false" customHeight="false" outlineLevel="0" collapsed="false">
      <c r="A24" s="5" t="s">
        <v>7645</v>
      </c>
      <c r="B24" s="5" t="s">
        <v>69</v>
      </c>
      <c r="C24" s="5" t="s">
        <v>57</v>
      </c>
      <c r="D24" s="5" t="s">
        <v>16</v>
      </c>
      <c r="E24" s="5" t="n">
        <f aca="false">ROUND(16452*1.05,2)</f>
        <v>17274.6</v>
      </c>
      <c r="F24" s="5" t="s">
        <v>49</v>
      </c>
      <c r="G24" s="5" t="s">
        <v>18</v>
      </c>
      <c r="H24" s="5" t="n">
        <f aca="true">ROUND(RAND()*4+6,1)</f>
        <v>9.7</v>
      </c>
      <c r="I24" s="5" t="s">
        <v>19</v>
      </c>
      <c r="J24" s="5" t="str">
        <f aca="false">ROUND(86*1,0)&amp;"%"</f>
        <v>86%</v>
      </c>
    </row>
    <row r="25" customFormat="false" ht="15" hidden="false" customHeight="false" outlineLevel="0" collapsed="false">
      <c r="A25" s="6" t="s">
        <v>7646</v>
      </c>
      <c r="B25" s="6" t="s">
        <v>71</v>
      </c>
      <c r="C25" s="6" t="s">
        <v>57</v>
      </c>
      <c r="D25" s="6" t="s">
        <v>22</v>
      </c>
      <c r="E25" s="6" t="n">
        <f aca="false">ROUND(7768*1.05,2)</f>
        <v>8156.4</v>
      </c>
      <c r="F25" s="6" t="s">
        <v>52</v>
      </c>
      <c r="G25" s="6" t="s">
        <v>24</v>
      </c>
      <c r="H25" s="6" t="n">
        <f aca="true">ROUND(RAND()*4+6,1)</f>
        <v>7.2</v>
      </c>
      <c r="I25" s="6" t="s">
        <v>25</v>
      </c>
      <c r="J25" s="6" t="str">
        <f aca="false">ROUND(61*1,0)&amp;"%"</f>
        <v>61%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7647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7648</v>
      </c>
      <c r="B30" s="5" t="s">
        <v>75</v>
      </c>
      <c r="C30" s="5" t="s">
        <v>76</v>
      </c>
      <c r="D30" s="5" t="s">
        <v>16</v>
      </c>
      <c r="E30" s="5" t="n">
        <f aca="false">ROUND(6401*1.05,2)</f>
        <v>6721.05</v>
      </c>
      <c r="F30" s="5" t="s">
        <v>17</v>
      </c>
      <c r="G30" s="5" t="s">
        <v>18</v>
      </c>
      <c r="H30" s="5" t="n">
        <f aca="true">ROUND(RAND()*4+6,1)</f>
        <v>7.9</v>
      </c>
      <c r="I30" s="5" t="s">
        <v>19</v>
      </c>
      <c r="J30" s="5" t="str">
        <f aca="false">ROUND(71*1,0)&amp;"%"</f>
        <v>71%</v>
      </c>
    </row>
    <row r="31" customFormat="false" ht="15" hidden="false" customHeight="false" outlineLevel="0" collapsed="false">
      <c r="A31" s="6" t="s">
        <v>7649</v>
      </c>
      <c r="B31" s="6" t="s">
        <v>78</v>
      </c>
      <c r="C31" s="6" t="s">
        <v>76</v>
      </c>
      <c r="D31" s="6" t="s">
        <v>22</v>
      </c>
      <c r="E31" s="6" t="n">
        <f aca="false">ROUND(4684*1.05,2)</f>
        <v>4918.2</v>
      </c>
      <c r="F31" s="6" t="s">
        <v>23</v>
      </c>
      <c r="G31" s="6" t="s">
        <v>24</v>
      </c>
      <c r="H31" s="6" t="n">
        <f aca="true">ROUND(RAND()*4+6,1)</f>
        <v>9</v>
      </c>
      <c r="I31" s="6" t="s">
        <v>25</v>
      </c>
      <c r="J31" s="6" t="str">
        <f aca="false">ROUND(65*1,0)&amp;"%"</f>
        <v>65%</v>
      </c>
    </row>
    <row r="32" customFormat="false" ht="15" hidden="false" customHeight="false" outlineLevel="0" collapsed="false">
      <c r="A32" s="5" t="s">
        <v>7650</v>
      </c>
      <c r="B32" s="5" t="s">
        <v>80</v>
      </c>
      <c r="C32" s="5" t="s">
        <v>76</v>
      </c>
      <c r="D32" s="5" t="s">
        <v>28</v>
      </c>
      <c r="E32" s="5" t="n">
        <f aca="false">ROUND(13876*1.05,2)</f>
        <v>14569.8</v>
      </c>
      <c r="F32" s="5" t="s">
        <v>29</v>
      </c>
      <c r="G32" s="5" t="s">
        <v>30</v>
      </c>
      <c r="H32" s="5" t="n">
        <f aca="true">ROUND(RAND()*4+6,1)</f>
        <v>9.7</v>
      </c>
      <c r="I32" s="5" t="s">
        <v>31</v>
      </c>
      <c r="J32" s="5" t="str">
        <f aca="false">ROUND(83*1,0)&amp;"%"</f>
        <v>83%</v>
      </c>
    </row>
    <row r="33" customFormat="false" ht="15" hidden="false" customHeight="false" outlineLevel="0" collapsed="false">
      <c r="A33" s="6" t="s">
        <v>7651</v>
      </c>
      <c r="B33" s="6" t="s">
        <v>82</v>
      </c>
      <c r="C33" s="6" t="s">
        <v>76</v>
      </c>
      <c r="D33" s="6" t="s">
        <v>34</v>
      </c>
      <c r="E33" s="6" t="n">
        <f aca="false">ROUND(6922*1.05,2)</f>
        <v>7268.1</v>
      </c>
      <c r="F33" s="6" t="s">
        <v>35</v>
      </c>
      <c r="G33" s="6" t="s">
        <v>18</v>
      </c>
      <c r="H33" s="6" t="n">
        <f aca="true">ROUND(RAND()*4+6,1)</f>
        <v>6.4</v>
      </c>
      <c r="I33" s="6" t="s">
        <v>36</v>
      </c>
      <c r="J33" s="6" t="str">
        <f aca="false">ROUND(86*1,0)&amp;"%"</f>
        <v>86%</v>
      </c>
    </row>
    <row r="34" customFormat="false" ht="15" hidden="false" customHeight="false" outlineLevel="0" collapsed="false">
      <c r="A34" s="5" t="s">
        <v>7652</v>
      </c>
      <c r="B34" s="5" t="s">
        <v>84</v>
      </c>
      <c r="C34" s="5" t="s">
        <v>76</v>
      </c>
      <c r="D34" s="5" t="s">
        <v>39</v>
      </c>
      <c r="E34" s="5" t="n">
        <f aca="false">ROUND(16432*1.05,2)</f>
        <v>17253.6</v>
      </c>
      <c r="F34" s="5" t="s">
        <v>40</v>
      </c>
      <c r="G34" s="5" t="s">
        <v>24</v>
      </c>
      <c r="H34" s="5" t="n">
        <f aca="true">ROUND(RAND()*4+6,1)</f>
        <v>8.7</v>
      </c>
      <c r="I34" s="5" t="s">
        <v>41</v>
      </c>
      <c r="J34" s="5" t="str">
        <f aca="false">ROUND(76*1,0)&amp;"%"</f>
        <v>76%</v>
      </c>
    </row>
    <row r="35" customFormat="false" ht="15" hidden="false" customHeight="false" outlineLevel="0" collapsed="false">
      <c r="A35" s="6" t="s">
        <v>7653</v>
      </c>
      <c r="B35" s="6" t="s">
        <v>86</v>
      </c>
      <c r="C35" s="6" t="s">
        <v>76</v>
      </c>
      <c r="D35" s="6" t="s">
        <v>44</v>
      </c>
      <c r="E35" s="6" t="n">
        <f aca="false">ROUND(7269*1.05,2)</f>
        <v>7632.45</v>
      </c>
      <c r="F35" s="6" t="s">
        <v>45</v>
      </c>
      <c r="G35" s="6" t="s">
        <v>30</v>
      </c>
      <c r="H35" s="6" t="n">
        <f aca="true">ROUND(RAND()*4+6,1)</f>
        <v>7.5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7654</v>
      </c>
      <c r="B36" s="5" t="s">
        <v>88</v>
      </c>
      <c r="C36" s="5" t="s">
        <v>76</v>
      </c>
      <c r="D36" s="5" t="s">
        <v>16</v>
      </c>
      <c r="E36" s="5" t="n">
        <f aca="false">ROUND(11481*1.05,2)</f>
        <v>12055.05</v>
      </c>
      <c r="F36" s="5" t="s">
        <v>49</v>
      </c>
      <c r="G36" s="5" t="s">
        <v>18</v>
      </c>
      <c r="H36" s="5" t="n">
        <f aca="true">ROUND(RAND()*4+6,1)</f>
        <v>6.1</v>
      </c>
      <c r="I36" s="5" t="s">
        <v>19</v>
      </c>
      <c r="J36" s="5" t="str">
        <f aca="false">ROUND(98*1,0)&amp;"%"</f>
        <v>98%</v>
      </c>
    </row>
    <row r="37" customFormat="false" ht="15" hidden="false" customHeight="false" outlineLevel="0" collapsed="false">
      <c r="A37" s="6" t="s">
        <v>7655</v>
      </c>
      <c r="B37" s="6" t="s">
        <v>90</v>
      </c>
      <c r="C37" s="6" t="s">
        <v>76</v>
      </c>
      <c r="D37" s="6" t="s">
        <v>22</v>
      </c>
      <c r="E37" s="6" t="n">
        <f aca="false">ROUND(8173*1.05,2)</f>
        <v>8581.65</v>
      </c>
      <c r="F37" s="6" t="s">
        <v>52</v>
      </c>
      <c r="G37" s="6" t="s">
        <v>24</v>
      </c>
      <c r="H37" s="6" t="n">
        <f aca="true">ROUND(RAND()*4+6,1)</f>
        <v>9.6</v>
      </c>
      <c r="I37" s="6" t="s">
        <v>25</v>
      </c>
      <c r="J37" s="6" t="str">
        <f aca="false">ROUND(90*1,0)&amp;"%"</f>
        <v>90%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7656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7657</v>
      </c>
      <c r="B42" s="5" t="s">
        <v>94</v>
      </c>
      <c r="C42" s="5" t="s">
        <v>95</v>
      </c>
      <c r="D42" s="5" t="s">
        <v>16</v>
      </c>
      <c r="E42" s="5" t="n">
        <f aca="false">ROUND(15104*1.05,2)</f>
        <v>15859.2</v>
      </c>
      <c r="F42" s="5" t="s">
        <v>17</v>
      </c>
      <c r="G42" s="5" t="s">
        <v>18</v>
      </c>
      <c r="H42" s="5" t="n">
        <f aca="true">ROUND(RAND()*4+6,1)</f>
        <v>9.4</v>
      </c>
      <c r="I42" s="5" t="s">
        <v>19</v>
      </c>
      <c r="J42" s="5" t="str">
        <f aca="false">ROUND(81*1,0)&amp;"%"</f>
        <v>81%</v>
      </c>
    </row>
    <row r="43" customFormat="false" ht="15" hidden="false" customHeight="false" outlineLevel="0" collapsed="false">
      <c r="A43" s="6" t="s">
        <v>7658</v>
      </c>
      <c r="B43" s="6" t="s">
        <v>97</v>
      </c>
      <c r="C43" s="6" t="s">
        <v>95</v>
      </c>
      <c r="D43" s="6" t="s">
        <v>22</v>
      </c>
      <c r="E43" s="6" t="n">
        <f aca="false">ROUND(12908*1.05,2)</f>
        <v>13553.4</v>
      </c>
      <c r="F43" s="6" t="s">
        <v>23</v>
      </c>
      <c r="G43" s="6" t="s">
        <v>24</v>
      </c>
      <c r="H43" s="6" t="n">
        <f aca="true">ROUND(RAND()*4+6,1)</f>
        <v>8</v>
      </c>
      <c r="I43" s="6" t="s">
        <v>25</v>
      </c>
      <c r="J43" s="6" t="str">
        <f aca="false">ROUND(95*1,0)&amp;"%"</f>
        <v>95%</v>
      </c>
    </row>
    <row r="44" customFormat="false" ht="15" hidden="false" customHeight="false" outlineLevel="0" collapsed="false">
      <c r="A44" s="5" t="s">
        <v>7659</v>
      </c>
      <c r="B44" s="5" t="s">
        <v>99</v>
      </c>
      <c r="C44" s="5" t="s">
        <v>95</v>
      </c>
      <c r="D44" s="5" t="s">
        <v>28</v>
      </c>
      <c r="E44" s="5" t="n">
        <f aca="false">ROUND(4164*1.05,2)</f>
        <v>4372.2</v>
      </c>
      <c r="F44" s="5" t="s">
        <v>29</v>
      </c>
      <c r="G44" s="5" t="s">
        <v>30</v>
      </c>
      <c r="H44" s="5" t="n">
        <f aca="true">ROUND(RAND()*4+6,1)</f>
        <v>9.9</v>
      </c>
      <c r="I44" s="5" t="s">
        <v>31</v>
      </c>
      <c r="J44" s="5" t="str">
        <f aca="false">ROUND(65*1,0)&amp;"%"</f>
        <v>65%</v>
      </c>
    </row>
    <row r="45" customFormat="false" ht="15" hidden="false" customHeight="false" outlineLevel="0" collapsed="false">
      <c r="A45" s="6" t="s">
        <v>7660</v>
      </c>
      <c r="B45" s="6" t="s">
        <v>101</v>
      </c>
      <c r="C45" s="6" t="s">
        <v>95</v>
      </c>
      <c r="D45" s="6" t="s">
        <v>34</v>
      </c>
      <c r="E45" s="6" t="n">
        <f aca="false">ROUND(13656*1.05,2)</f>
        <v>14338.8</v>
      </c>
      <c r="F45" s="6" t="s">
        <v>35</v>
      </c>
      <c r="G45" s="6" t="s">
        <v>18</v>
      </c>
      <c r="H45" s="6" t="n">
        <f aca="true">ROUND(RAND()*4+6,1)</f>
        <v>6.1</v>
      </c>
      <c r="I45" s="6" t="s">
        <v>36</v>
      </c>
      <c r="J45" s="6" t="str">
        <f aca="false">ROUND(78*1,0)&amp;"%"</f>
        <v>78%</v>
      </c>
    </row>
    <row r="46" customFormat="false" ht="15" hidden="false" customHeight="false" outlineLevel="0" collapsed="false">
      <c r="A46" s="5" t="s">
        <v>7661</v>
      </c>
      <c r="B46" s="5" t="s">
        <v>103</v>
      </c>
      <c r="C46" s="5" t="s">
        <v>95</v>
      </c>
      <c r="D46" s="5" t="s">
        <v>39</v>
      </c>
      <c r="E46" s="5" t="n">
        <f aca="false">ROUND(17985*1.05,2)</f>
        <v>18884.25</v>
      </c>
      <c r="F46" s="5" t="s">
        <v>40</v>
      </c>
      <c r="G46" s="5" t="s">
        <v>24</v>
      </c>
      <c r="H46" s="5" t="n">
        <f aca="true">ROUND(RAND()*4+6,1)</f>
        <v>7.8</v>
      </c>
      <c r="I46" s="5" t="s">
        <v>41</v>
      </c>
      <c r="J46" s="5" t="str">
        <f aca="false">ROUND(88*1,0)&amp;"%"</f>
        <v>88%</v>
      </c>
    </row>
    <row r="47" customFormat="false" ht="15" hidden="false" customHeight="false" outlineLevel="0" collapsed="false">
      <c r="A47" s="6" t="s">
        <v>7662</v>
      </c>
      <c r="B47" s="6" t="s">
        <v>105</v>
      </c>
      <c r="C47" s="6" t="s">
        <v>95</v>
      </c>
      <c r="D47" s="6" t="s">
        <v>44</v>
      </c>
      <c r="E47" s="6" t="n">
        <f aca="false">ROUND(11475*1.05,2)</f>
        <v>12048.75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7663</v>
      </c>
      <c r="B48" s="5" t="s">
        <v>107</v>
      </c>
      <c r="C48" s="5" t="s">
        <v>95</v>
      </c>
      <c r="D48" s="5" t="s">
        <v>16</v>
      </c>
      <c r="E48" s="5" t="n">
        <f aca="false">ROUND(4962*1.05,2)</f>
        <v>5210.1</v>
      </c>
      <c r="F48" s="5" t="s">
        <v>49</v>
      </c>
      <c r="G48" s="5" t="s">
        <v>18</v>
      </c>
      <c r="H48" s="5" t="n">
        <f aca="true">ROUND(RAND()*4+6,1)</f>
        <v>10</v>
      </c>
      <c r="I48" s="5" t="s">
        <v>19</v>
      </c>
      <c r="J48" s="5" t="str">
        <f aca="false">ROUND(66*1,0)&amp;"%"</f>
        <v>66%</v>
      </c>
    </row>
    <row r="49" customFormat="false" ht="15" hidden="false" customHeight="false" outlineLevel="0" collapsed="false">
      <c r="A49" s="6" t="s">
        <v>7664</v>
      </c>
      <c r="B49" s="6" t="s">
        <v>109</v>
      </c>
      <c r="C49" s="6" t="s">
        <v>95</v>
      </c>
      <c r="D49" s="6" t="s">
        <v>22</v>
      </c>
      <c r="E49" s="6" t="n">
        <f aca="false">ROUND(14220*1.05,2)</f>
        <v>14931</v>
      </c>
      <c r="F49" s="6" t="s">
        <v>52</v>
      </c>
      <c r="G49" s="6" t="s">
        <v>24</v>
      </c>
      <c r="H49" s="6" t="n">
        <f aca="true">ROUND(RAND()*4+6,1)</f>
        <v>8.2</v>
      </c>
      <c r="I49" s="6" t="s">
        <v>25</v>
      </c>
      <c r="J49" s="6" t="str">
        <f aca="false">ROUND(73*1,0)&amp;"%"</f>
        <v>73%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7665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7666</v>
      </c>
      <c r="B54" s="5" t="s">
        <v>113</v>
      </c>
      <c r="C54" s="5" t="s">
        <v>114</v>
      </c>
      <c r="D54" s="5" t="s">
        <v>16</v>
      </c>
      <c r="E54" s="5" t="n">
        <f aca="false">ROUND(4091*1.05,2)</f>
        <v>4295.55</v>
      </c>
      <c r="F54" s="5" t="s">
        <v>17</v>
      </c>
      <c r="G54" s="5" t="s">
        <v>18</v>
      </c>
      <c r="H54" s="5" t="n">
        <f aca="true">ROUND(RAND()*4+6,1)</f>
        <v>9.8</v>
      </c>
      <c r="I54" s="5" t="s">
        <v>19</v>
      </c>
      <c r="J54" s="5" t="str">
        <f aca="false">ROUND(98*1,0)&amp;"%"</f>
        <v>98%</v>
      </c>
    </row>
    <row r="55" customFormat="false" ht="15" hidden="false" customHeight="false" outlineLevel="0" collapsed="false">
      <c r="A55" s="6" t="s">
        <v>7667</v>
      </c>
      <c r="B55" s="6" t="s">
        <v>116</v>
      </c>
      <c r="C55" s="6" t="s">
        <v>114</v>
      </c>
      <c r="D55" s="6" t="s">
        <v>22</v>
      </c>
      <c r="E55" s="6" t="n">
        <f aca="false">ROUND(12250*1.05,2)</f>
        <v>12862.5</v>
      </c>
      <c r="F55" s="6" t="s">
        <v>23</v>
      </c>
      <c r="G55" s="6" t="s">
        <v>24</v>
      </c>
      <c r="H55" s="6" t="n">
        <f aca="true">ROUND(RAND()*4+6,1)</f>
        <v>6.4</v>
      </c>
      <c r="I55" s="6" t="s">
        <v>25</v>
      </c>
      <c r="J55" s="6" t="str">
        <f aca="false">ROUND(76*1,0)&amp;"%"</f>
        <v>76%</v>
      </c>
    </row>
    <row r="56" customFormat="false" ht="15" hidden="false" customHeight="false" outlineLevel="0" collapsed="false">
      <c r="A56" s="5" t="s">
        <v>7668</v>
      </c>
      <c r="B56" s="5" t="s">
        <v>118</v>
      </c>
      <c r="C56" s="5" t="s">
        <v>114</v>
      </c>
      <c r="D56" s="5" t="s">
        <v>28</v>
      </c>
      <c r="E56" s="5" t="n">
        <f aca="false">ROUND(14228*1.05,2)</f>
        <v>14939.4</v>
      </c>
      <c r="F56" s="5" t="s">
        <v>29</v>
      </c>
      <c r="G56" s="5" t="s">
        <v>30</v>
      </c>
      <c r="H56" s="5" t="n">
        <f aca="true">ROUND(RAND()*4+6,1)</f>
        <v>7.2</v>
      </c>
      <c r="I56" s="5" t="s">
        <v>31</v>
      </c>
      <c r="J56" s="5" t="str">
        <f aca="false">ROUND(92*1,0)&amp;"%"</f>
        <v>92%</v>
      </c>
    </row>
    <row r="57" customFormat="false" ht="15" hidden="false" customHeight="false" outlineLevel="0" collapsed="false">
      <c r="A57" s="6" t="s">
        <v>7669</v>
      </c>
      <c r="B57" s="6" t="s">
        <v>120</v>
      </c>
      <c r="C57" s="6" t="s">
        <v>114</v>
      </c>
      <c r="D57" s="6" t="s">
        <v>34</v>
      </c>
      <c r="E57" s="6" t="n">
        <f aca="false">ROUND(8232*1.05,2)</f>
        <v>8643.6</v>
      </c>
      <c r="F57" s="6" t="s">
        <v>35</v>
      </c>
      <c r="G57" s="6" t="s">
        <v>18</v>
      </c>
      <c r="H57" s="6" t="n">
        <f aca="true">ROUND(RAND()*4+6,1)</f>
        <v>8.9</v>
      </c>
      <c r="I57" s="6" t="s">
        <v>36</v>
      </c>
      <c r="J57" s="6" t="str">
        <f aca="false">ROUND(67*1,0)&amp;"%"</f>
        <v>67%</v>
      </c>
    </row>
    <row r="58" customFormat="false" ht="15" hidden="false" customHeight="false" outlineLevel="0" collapsed="false">
      <c r="A58" s="5" t="s">
        <v>7670</v>
      </c>
      <c r="B58" s="5" t="s">
        <v>122</v>
      </c>
      <c r="C58" s="5" t="s">
        <v>114</v>
      </c>
      <c r="D58" s="5" t="s">
        <v>39</v>
      </c>
      <c r="E58" s="5" t="n">
        <f aca="false">ROUND(4737*1.05,2)</f>
        <v>4973.85</v>
      </c>
      <c r="F58" s="5" t="s">
        <v>40</v>
      </c>
      <c r="G58" s="5" t="s">
        <v>24</v>
      </c>
      <c r="H58" s="5" t="n">
        <f aca="true">ROUND(RAND()*4+6,1)</f>
        <v>7</v>
      </c>
      <c r="I58" s="5" t="s">
        <v>41</v>
      </c>
      <c r="J58" s="5" t="str">
        <f aca="false">ROUND(100*1,0)&amp;"%"</f>
        <v>100%</v>
      </c>
    </row>
    <row r="59" customFormat="false" ht="15" hidden="false" customHeight="false" outlineLevel="0" collapsed="false">
      <c r="A59" s="6" t="s">
        <v>7671</v>
      </c>
      <c r="B59" s="6" t="s">
        <v>124</v>
      </c>
      <c r="C59" s="6" t="s">
        <v>114</v>
      </c>
      <c r="D59" s="6" t="s">
        <v>44</v>
      </c>
      <c r="E59" s="6" t="n">
        <f aca="false">ROUND(11400*1.05,2)</f>
        <v>11970</v>
      </c>
      <c r="F59" s="6" t="s">
        <v>45</v>
      </c>
      <c r="G59" s="6" t="s">
        <v>30</v>
      </c>
      <c r="H59" s="6" t="n">
        <f aca="true">ROUND(RAND()*4+6,1)</f>
        <v>8.4</v>
      </c>
      <c r="I59" s="6" t="s">
        <v>46</v>
      </c>
      <c r="J59" s="6" t="str">
        <f aca="false">ROUND(70*1,0)&amp;"%"</f>
        <v>70%</v>
      </c>
    </row>
    <row r="60" customFormat="false" ht="15" hidden="false" customHeight="false" outlineLevel="0" collapsed="false">
      <c r="A60" s="5" t="s">
        <v>7672</v>
      </c>
      <c r="B60" s="5" t="s">
        <v>126</v>
      </c>
      <c r="C60" s="5" t="s">
        <v>114</v>
      </c>
      <c r="D60" s="5" t="s">
        <v>16</v>
      </c>
      <c r="E60" s="5" t="n">
        <f aca="false">ROUND(15171*1.05,2)</f>
        <v>15929.55</v>
      </c>
      <c r="F60" s="5" t="s">
        <v>49</v>
      </c>
      <c r="G60" s="5" t="s">
        <v>18</v>
      </c>
      <c r="H60" s="5" t="n">
        <f aca="true">ROUND(RAND()*4+6,1)</f>
        <v>6.9</v>
      </c>
      <c r="I60" s="5" t="s">
        <v>19</v>
      </c>
      <c r="J60" s="5" t="str">
        <f aca="false">ROUND(75*1,0)&amp;"%"</f>
        <v>75%</v>
      </c>
    </row>
    <row r="61" customFormat="false" ht="15" hidden="false" customHeight="false" outlineLevel="0" collapsed="false">
      <c r="A61" s="6" t="s">
        <v>7673</v>
      </c>
      <c r="B61" s="6" t="s">
        <v>128</v>
      </c>
      <c r="C61" s="6" t="s">
        <v>114</v>
      </c>
      <c r="D61" s="6" t="s">
        <v>22</v>
      </c>
      <c r="E61" s="6" t="n">
        <f aca="false">ROUND(6473*1.05,2)</f>
        <v>6796.65</v>
      </c>
      <c r="F61" s="6" t="s">
        <v>52</v>
      </c>
      <c r="G61" s="6" t="s">
        <v>24</v>
      </c>
      <c r="H61" s="6" t="n">
        <f aca="true">ROUND(RAND()*4+6,1)</f>
        <v>7</v>
      </c>
      <c r="I61" s="6" t="s">
        <v>25</v>
      </c>
      <c r="J61" s="6" t="str">
        <f aca="false">ROUND(70*1,0)&amp;"%"</f>
        <v>70%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7674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7675</v>
      </c>
      <c r="B66" s="5" t="s">
        <v>132</v>
      </c>
      <c r="C66" s="5" t="s">
        <v>133</v>
      </c>
      <c r="D66" s="5" t="s">
        <v>16</v>
      </c>
      <c r="E66" s="5" t="n">
        <f aca="false">ROUND(11063*1.05,2)</f>
        <v>11616.15</v>
      </c>
      <c r="F66" s="5" t="s">
        <v>17</v>
      </c>
      <c r="G66" s="5" t="s">
        <v>18</v>
      </c>
      <c r="H66" s="5" t="n">
        <f aca="true">ROUND(RAND()*4+6,1)</f>
        <v>7.4</v>
      </c>
      <c r="I66" s="5" t="s">
        <v>19</v>
      </c>
      <c r="J66" s="5" t="str">
        <f aca="false">ROUND(96*1,0)&amp;"%"</f>
        <v>96%</v>
      </c>
    </row>
    <row r="67" customFormat="false" ht="15" hidden="false" customHeight="false" outlineLevel="0" collapsed="false">
      <c r="A67" s="6" t="s">
        <v>7676</v>
      </c>
      <c r="B67" s="6" t="s">
        <v>135</v>
      </c>
      <c r="C67" s="6" t="s">
        <v>133</v>
      </c>
      <c r="D67" s="6" t="s">
        <v>22</v>
      </c>
      <c r="E67" s="6" t="n">
        <f aca="false">ROUND(12944*1.05,2)</f>
        <v>13591.2</v>
      </c>
      <c r="F67" s="6" t="s">
        <v>23</v>
      </c>
      <c r="G67" s="6" t="s">
        <v>24</v>
      </c>
      <c r="H67" s="6" t="n">
        <f aca="true">ROUND(RAND()*4+6,1)</f>
        <v>8.4</v>
      </c>
      <c r="I67" s="6" t="s">
        <v>25</v>
      </c>
      <c r="J67" s="6" t="str">
        <f aca="false">ROUND(73*1,0)&amp;"%"</f>
        <v>73%</v>
      </c>
    </row>
    <row r="68" customFormat="false" ht="15" hidden="false" customHeight="false" outlineLevel="0" collapsed="false">
      <c r="A68" s="5" t="s">
        <v>7677</v>
      </c>
      <c r="B68" s="5" t="s">
        <v>137</v>
      </c>
      <c r="C68" s="5" t="s">
        <v>133</v>
      </c>
      <c r="D68" s="5" t="s">
        <v>28</v>
      </c>
      <c r="E68" s="5" t="n">
        <f aca="false">ROUND(13050*1.05,2)</f>
        <v>13702.5</v>
      </c>
      <c r="F68" s="5" t="s">
        <v>29</v>
      </c>
      <c r="G68" s="5" t="s">
        <v>30</v>
      </c>
      <c r="H68" s="5" t="n">
        <f aca="true">ROUND(RAND()*4+6,1)</f>
        <v>7.5</v>
      </c>
      <c r="I68" s="5" t="s">
        <v>31</v>
      </c>
      <c r="J68" s="5" t="str">
        <f aca="false">ROUND(80*1,0)&amp;"%"</f>
        <v>80%</v>
      </c>
    </row>
    <row r="69" customFormat="false" ht="15" hidden="false" customHeight="false" outlineLevel="0" collapsed="false">
      <c r="A69" s="6" t="s">
        <v>7678</v>
      </c>
      <c r="B69" s="6" t="s">
        <v>139</v>
      </c>
      <c r="C69" s="6" t="s">
        <v>133</v>
      </c>
      <c r="D69" s="6" t="s">
        <v>34</v>
      </c>
      <c r="E69" s="6" t="n">
        <f aca="false">ROUND(14482*1.05,2)</f>
        <v>15206.1</v>
      </c>
      <c r="F69" s="6" t="s">
        <v>35</v>
      </c>
      <c r="G69" s="6" t="s">
        <v>18</v>
      </c>
      <c r="H69" s="6" t="n">
        <f aca="true">ROUND(RAND()*4+6,1)</f>
        <v>9.1</v>
      </c>
      <c r="I69" s="6" t="s">
        <v>36</v>
      </c>
      <c r="J69" s="6" t="str">
        <f aca="false">ROUND(79*1,0)&amp;"%"</f>
        <v>79%</v>
      </c>
    </row>
    <row r="70" customFormat="false" ht="15" hidden="false" customHeight="false" outlineLevel="0" collapsed="false">
      <c r="A70" s="5" t="s">
        <v>7679</v>
      </c>
      <c r="B70" s="5" t="s">
        <v>141</v>
      </c>
      <c r="C70" s="5" t="s">
        <v>133</v>
      </c>
      <c r="D70" s="5" t="s">
        <v>39</v>
      </c>
      <c r="E70" s="5" t="n">
        <f aca="false">ROUND(14693*1.05,2)</f>
        <v>15427.65</v>
      </c>
      <c r="F70" s="5" t="s">
        <v>40</v>
      </c>
      <c r="G70" s="5" t="s">
        <v>24</v>
      </c>
      <c r="H70" s="5" t="n">
        <f aca="true">ROUND(RAND()*4+6,1)</f>
        <v>9</v>
      </c>
      <c r="I70" s="5" t="s">
        <v>41</v>
      </c>
      <c r="J70" s="5" t="str">
        <f aca="false">ROUND(77*1,0)&amp;"%"</f>
        <v>77%</v>
      </c>
    </row>
    <row r="71" customFormat="false" ht="15" hidden="false" customHeight="false" outlineLevel="0" collapsed="false">
      <c r="A71" s="6" t="s">
        <v>7680</v>
      </c>
      <c r="B71" s="6" t="s">
        <v>143</v>
      </c>
      <c r="C71" s="6" t="s">
        <v>133</v>
      </c>
      <c r="D71" s="6" t="s">
        <v>44</v>
      </c>
      <c r="E71" s="6" t="n">
        <f aca="false">ROUND(10735*1.05,2)</f>
        <v>11271.75</v>
      </c>
      <c r="F71" s="6" t="s">
        <v>45</v>
      </c>
      <c r="G71" s="6" t="s">
        <v>30</v>
      </c>
      <c r="H71" s="6" t="n">
        <f aca="true">ROUND(RAND()*4+6,1)</f>
        <v>7.2</v>
      </c>
      <c r="I71" s="6" t="s">
        <v>46</v>
      </c>
      <c r="J71" s="6" t="str">
        <f aca="false">ROUND(66*1,0)&amp;"%"</f>
        <v>66%</v>
      </c>
    </row>
    <row r="72" customFormat="false" ht="15" hidden="false" customHeight="false" outlineLevel="0" collapsed="false">
      <c r="A72" s="5" t="s">
        <v>7681</v>
      </c>
      <c r="B72" s="5" t="s">
        <v>145</v>
      </c>
      <c r="C72" s="5" t="s">
        <v>133</v>
      </c>
      <c r="D72" s="5" t="s">
        <v>16</v>
      </c>
      <c r="E72" s="5" t="n">
        <f aca="false">ROUND(10223*1.05,2)</f>
        <v>10734.15</v>
      </c>
      <c r="F72" s="5" t="s">
        <v>49</v>
      </c>
      <c r="G72" s="5" t="s">
        <v>18</v>
      </c>
      <c r="H72" s="5" t="n">
        <f aca="true">ROUND(RAND()*4+6,1)</f>
        <v>7.6</v>
      </c>
      <c r="I72" s="5" t="s">
        <v>19</v>
      </c>
      <c r="J72" s="5" t="str">
        <f aca="false">ROUND(73*1,0)&amp;"%"</f>
        <v>73%</v>
      </c>
    </row>
    <row r="73" customFormat="false" ht="15" hidden="false" customHeight="false" outlineLevel="0" collapsed="false">
      <c r="A73" s="6" t="s">
        <v>7682</v>
      </c>
      <c r="B73" s="6" t="s">
        <v>147</v>
      </c>
      <c r="C73" s="6" t="s">
        <v>133</v>
      </c>
      <c r="D73" s="6" t="s">
        <v>22</v>
      </c>
      <c r="E73" s="6" t="n">
        <f aca="false">ROUND(13464*1.05,2)</f>
        <v>14137.2</v>
      </c>
      <c r="F73" s="6" t="s">
        <v>52</v>
      </c>
      <c r="G73" s="6" t="s">
        <v>24</v>
      </c>
      <c r="H73" s="6" t="n">
        <f aca="true">ROUND(RAND()*4+6,1)</f>
        <v>7.2</v>
      </c>
      <c r="I73" s="6" t="s">
        <v>25</v>
      </c>
      <c r="J73" s="6" t="str">
        <f aca="false">ROUND(63*1,0)&amp;"%"</f>
        <v>63%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7683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7684</v>
      </c>
      <c r="B78" s="5" t="s">
        <v>151</v>
      </c>
      <c r="C78" s="5" t="s">
        <v>152</v>
      </c>
      <c r="D78" s="5" t="s">
        <v>16</v>
      </c>
      <c r="E78" s="5" t="n">
        <f aca="false">ROUND(13355*1.05,2)</f>
        <v>14022.75</v>
      </c>
      <c r="F78" s="5" t="s">
        <v>17</v>
      </c>
      <c r="G78" s="5" t="s">
        <v>18</v>
      </c>
      <c r="H78" s="5" t="n">
        <f aca="true">ROUND(RAND()*4+6,1)</f>
        <v>6.6</v>
      </c>
      <c r="I78" s="5" t="s">
        <v>19</v>
      </c>
      <c r="J78" s="5" t="str">
        <f aca="false">ROUND(73*1,0)&amp;"%"</f>
        <v>73%</v>
      </c>
    </row>
    <row r="79" customFormat="false" ht="15" hidden="false" customHeight="false" outlineLevel="0" collapsed="false">
      <c r="A79" s="6" t="s">
        <v>7685</v>
      </c>
      <c r="B79" s="6" t="s">
        <v>154</v>
      </c>
      <c r="C79" s="6" t="s">
        <v>152</v>
      </c>
      <c r="D79" s="6" t="s">
        <v>22</v>
      </c>
      <c r="E79" s="6" t="n">
        <f aca="false">ROUND(14280*1.05,2)</f>
        <v>14994</v>
      </c>
      <c r="F79" s="6" t="s">
        <v>23</v>
      </c>
      <c r="G79" s="6" t="s">
        <v>24</v>
      </c>
      <c r="H79" s="6" t="n">
        <f aca="true">ROUND(RAND()*4+6,1)</f>
        <v>6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7686</v>
      </c>
      <c r="B80" s="5" t="s">
        <v>156</v>
      </c>
      <c r="C80" s="5" t="s">
        <v>152</v>
      </c>
      <c r="D80" s="5" t="s">
        <v>28</v>
      </c>
      <c r="E80" s="5" t="n">
        <f aca="false">ROUND(4702*1.05,2)</f>
        <v>4937.1</v>
      </c>
      <c r="F80" s="5" t="s">
        <v>29</v>
      </c>
      <c r="G80" s="5" t="s">
        <v>30</v>
      </c>
      <c r="H80" s="5" t="n">
        <f aca="true">ROUND(RAND()*4+6,1)</f>
        <v>7.3</v>
      </c>
      <c r="I80" s="5" t="s">
        <v>31</v>
      </c>
      <c r="J80" s="5" t="str">
        <f aca="false">ROUND(67*1,0)&amp;"%"</f>
        <v>67%</v>
      </c>
    </row>
    <row r="81" customFormat="false" ht="15" hidden="false" customHeight="false" outlineLevel="0" collapsed="false">
      <c r="A81" s="6" t="s">
        <v>7687</v>
      </c>
      <c r="B81" s="6" t="s">
        <v>158</v>
      </c>
      <c r="C81" s="6" t="s">
        <v>152</v>
      </c>
      <c r="D81" s="6" t="s">
        <v>34</v>
      </c>
      <c r="E81" s="6" t="n">
        <f aca="false">ROUND(16713*1.05,2)</f>
        <v>17548.65</v>
      </c>
      <c r="F81" s="6" t="s">
        <v>35</v>
      </c>
      <c r="G81" s="6" t="s">
        <v>18</v>
      </c>
      <c r="H81" s="6" t="n">
        <f aca="true">ROUND(RAND()*4+6,1)</f>
        <v>6.7</v>
      </c>
      <c r="I81" s="6" t="s">
        <v>36</v>
      </c>
      <c r="J81" s="6" t="str">
        <f aca="false">ROUND(68*1,0)&amp;"%"</f>
        <v>68%</v>
      </c>
    </row>
    <row r="82" customFormat="false" ht="15" hidden="false" customHeight="false" outlineLevel="0" collapsed="false">
      <c r="A82" s="5" t="s">
        <v>7688</v>
      </c>
      <c r="B82" s="5" t="s">
        <v>160</v>
      </c>
      <c r="C82" s="5" t="s">
        <v>152</v>
      </c>
      <c r="D82" s="5" t="s">
        <v>39</v>
      </c>
      <c r="E82" s="5" t="n">
        <f aca="false">ROUND(6697*1.05,2)</f>
        <v>7031.85</v>
      </c>
      <c r="F82" s="5" t="s">
        <v>40</v>
      </c>
      <c r="G82" s="5" t="s">
        <v>24</v>
      </c>
      <c r="H82" s="5" t="n">
        <f aca="true">ROUND(RAND()*4+6,1)</f>
        <v>8.5</v>
      </c>
      <c r="I82" s="5" t="s">
        <v>41</v>
      </c>
      <c r="J82" s="5" t="str">
        <f aca="false">ROUND(93*1,0)&amp;"%"</f>
        <v>93%</v>
      </c>
    </row>
    <row r="83" customFormat="false" ht="15" hidden="false" customHeight="false" outlineLevel="0" collapsed="false">
      <c r="A83" s="6" t="s">
        <v>7689</v>
      </c>
      <c r="B83" s="6" t="s">
        <v>162</v>
      </c>
      <c r="C83" s="6" t="s">
        <v>152</v>
      </c>
      <c r="D83" s="6" t="s">
        <v>44</v>
      </c>
      <c r="E83" s="6" t="n">
        <f aca="false">ROUND(9889*1.05,2)</f>
        <v>10383.45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ROUND(65*1,0)&amp;"%"</f>
        <v>65%</v>
      </c>
    </row>
    <row r="84" customFormat="false" ht="15" hidden="false" customHeight="false" outlineLevel="0" collapsed="false">
      <c r="A84" s="5" t="s">
        <v>7690</v>
      </c>
      <c r="B84" s="5" t="s">
        <v>164</v>
      </c>
      <c r="C84" s="5" t="s">
        <v>152</v>
      </c>
      <c r="D84" s="5" t="s">
        <v>16</v>
      </c>
      <c r="E84" s="5" t="n">
        <f aca="false">ROUND(7147*1.05,2)</f>
        <v>7504.35</v>
      </c>
      <c r="F84" s="5" t="s">
        <v>49</v>
      </c>
      <c r="G84" s="5" t="s">
        <v>18</v>
      </c>
      <c r="H84" s="5" t="n">
        <f aca="true">ROUND(RAND()*4+6,1)</f>
        <v>6.9</v>
      </c>
      <c r="I84" s="5" t="s">
        <v>19</v>
      </c>
      <c r="J84" s="5" t="str">
        <f aca="false">ROUND(66*1,0)&amp;"%"</f>
        <v>66%</v>
      </c>
    </row>
    <row r="85" customFormat="false" ht="15" hidden="false" customHeight="false" outlineLevel="0" collapsed="false">
      <c r="A85" s="6" t="s">
        <v>7691</v>
      </c>
      <c r="B85" s="6" t="s">
        <v>166</v>
      </c>
      <c r="C85" s="6" t="s">
        <v>152</v>
      </c>
      <c r="D85" s="6" t="s">
        <v>22</v>
      </c>
      <c r="E85" s="6" t="n">
        <f aca="false">ROUND(13453*1.05,2)</f>
        <v>14125.65</v>
      </c>
      <c r="F85" s="6" t="s">
        <v>52</v>
      </c>
      <c r="G85" s="6" t="s">
        <v>24</v>
      </c>
      <c r="H85" s="6" t="n">
        <f aca="true">ROUND(RAND()*4+6,1)</f>
        <v>6.5</v>
      </c>
      <c r="I85" s="6" t="s">
        <v>25</v>
      </c>
      <c r="J85" s="6" t="str">
        <f aca="false">ROUND(68*1,0)&amp;"%"</f>
        <v>68%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7692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7693</v>
      </c>
      <c r="B90" s="5" t="s">
        <v>170</v>
      </c>
      <c r="C90" s="5" t="s">
        <v>15</v>
      </c>
      <c r="D90" s="5" t="s">
        <v>16</v>
      </c>
      <c r="E90" s="5" t="n">
        <f aca="false">ROUND(13896*1.05,2)</f>
        <v>14590.8</v>
      </c>
      <c r="F90" s="5" t="s">
        <v>17</v>
      </c>
      <c r="G90" s="5" t="s">
        <v>18</v>
      </c>
      <c r="H90" s="5" t="n">
        <f aca="true">ROUND(RAND()*4+6,1)</f>
        <v>6.3</v>
      </c>
      <c r="I90" s="5" t="s">
        <v>19</v>
      </c>
      <c r="J90" s="5" t="str">
        <f aca="false">ROUND(92*1,0)&amp;"%"</f>
        <v>92%</v>
      </c>
    </row>
    <row r="91" customFormat="false" ht="15" hidden="false" customHeight="false" outlineLevel="0" collapsed="false">
      <c r="A91" s="6" t="s">
        <v>7694</v>
      </c>
      <c r="B91" s="6" t="s">
        <v>172</v>
      </c>
      <c r="C91" s="6" t="s">
        <v>15</v>
      </c>
      <c r="D91" s="6" t="s">
        <v>22</v>
      </c>
      <c r="E91" s="6" t="n">
        <f aca="false">ROUND(6772*1.05,2)</f>
        <v>7110.6</v>
      </c>
      <c r="F91" s="6" t="s">
        <v>23</v>
      </c>
      <c r="G91" s="6" t="s">
        <v>24</v>
      </c>
      <c r="H91" s="6" t="n">
        <f aca="true">ROUND(RAND()*4+6,1)</f>
        <v>7</v>
      </c>
      <c r="I91" s="6" t="s">
        <v>25</v>
      </c>
      <c r="J91" s="6" t="str">
        <f aca="false">ROUND(88*1,0)&amp;"%"</f>
        <v>88%</v>
      </c>
    </row>
    <row r="92" customFormat="false" ht="15" hidden="false" customHeight="false" outlineLevel="0" collapsed="false">
      <c r="A92" s="5" t="s">
        <v>7695</v>
      </c>
      <c r="B92" s="5" t="s">
        <v>174</v>
      </c>
      <c r="C92" s="5" t="s">
        <v>15</v>
      </c>
      <c r="D92" s="5" t="s">
        <v>28</v>
      </c>
      <c r="E92" s="5" t="n">
        <f aca="false">ROUND(8049*1.05,2)</f>
        <v>8451.45</v>
      </c>
      <c r="F92" s="5" t="s">
        <v>29</v>
      </c>
      <c r="G92" s="5" t="s">
        <v>30</v>
      </c>
      <c r="H92" s="5" t="n">
        <f aca="true">ROUND(RAND()*4+6,1)</f>
        <v>7.1</v>
      </c>
      <c r="I92" s="5" t="s">
        <v>31</v>
      </c>
      <c r="J92" s="5" t="str">
        <f aca="false">ROUND(96*1,0)&amp;"%"</f>
        <v>96%</v>
      </c>
    </row>
    <row r="93" customFormat="false" ht="15" hidden="false" customHeight="false" outlineLevel="0" collapsed="false">
      <c r="A93" s="6" t="s">
        <v>7696</v>
      </c>
      <c r="B93" s="6" t="s">
        <v>176</v>
      </c>
      <c r="C93" s="6" t="s">
        <v>15</v>
      </c>
      <c r="D93" s="6" t="s">
        <v>34</v>
      </c>
      <c r="E93" s="6" t="n">
        <f aca="false">ROUND(12611*1.05,2)</f>
        <v>13241.55</v>
      </c>
      <c r="F93" s="6" t="s">
        <v>35</v>
      </c>
      <c r="G93" s="6" t="s">
        <v>18</v>
      </c>
      <c r="H93" s="6" t="n">
        <f aca="true">ROUND(RAND()*4+6,1)</f>
        <v>8.8</v>
      </c>
      <c r="I93" s="6" t="s">
        <v>36</v>
      </c>
      <c r="J93" s="6" t="str">
        <f aca="false">ROUND(60*1,0)&amp;"%"</f>
        <v>60%</v>
      </c>
    </row>
    <row r="94" customFormat="false" ht="15" hidden="false" customHeight="false" outlineLevel="0" collapsed="false">
      <c r="A94" s="5" t="s">
        <v>7697</v>
      </c>
      <c r="B94" s="5" t="s">
        <v>178</v>
      </c>
      <c r="C94" s="5" t="s">
        <v>15</v>
      </c>
      <c r="D94" s="5" t="s">
        <v>39</v>
      </c>
      <c r="E94" s="5" t="n">
        <f aca="false">ROUND(16899*1.05,2)</f>
        <v>17743.95</v>
      </c>
      <c r="F94" s="5" t="s">
        <v>40</v>
      </c>
      <c r="G94" s="5" t="s">
        <v>24</v>
      </c>
      <c r="H94" s="5" t="n">
        <f aca="true">ROUND(RAND()*4+6,1)</f>
        <v>8.4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7698</v>
      </c>
      <c r="B95" s="6" t="s">
        <v>180</v>
      </c>
      <c r="C95" s="6" t="s">
        <v>15</v>
      </c>
      <c r="D95" s="6" t="s">
        <v>44</v>
      </c>
      <c r="E95" s="6" t="n">
        <f aca="false">ROUND(17059*1.05,2)</f>
        <v>17911.95</v>
      </c>
      <c r="F95" s="6" t="s">
        <v>45</v>
      </c>
      <c r="G95" s="6" t="s">
        <v>30</v>
      </c>
      <c r="H95" s="6" t="n">
        <f aca="true">ROUND(RAND()*4+6,1)</f>
        <v>6.6</v>
      </c>
      <c r="I95" s="6" t="s">
        <v>46</v>
      </c>
      <c r="J95" s="6" t="str">
        <f aca="false">ROUND(70*1,0)&amp;"%"</f>
        <v>70%</v>
      </c>
    </row>
    <row r="96" customFormat="false" ht="15" hidden="false" customHeight="false" outlineLevel="0" collapsed="false">
      <c r="A96" s="5" t="s">
        <v>7699</v>
      </c>
      <c r="B96" s="5" t="s">
        <v>182</v>
      </c>
      <c r="C96" s="5" t="s">
        <v>15</v>
      </c>
      <c r="D96" s="5" t="s">
        <v>16</v>
      </c>
      <c r="E96" s="5" t="n">
        <f aca="false">ROUND(14805*1.05,2)</f>
        <v>15545.25</v>
      </c>
      <c r="F96" s="5" t="s">
        <v>49</v>
      </c>
      <c r="G96" s="5" t="s">
        <v>18</v>
      </c>
      <c r="H96" s="5" t="n">
        <f aca="true">ROUND(RAND()*4+6,1)</f>
        <v>7</v>
      </c>
      <c r="I96" s="5" t="s">
        <v>19</v>
      </c>
      <c r="J96" s="5" t="str">
        <f aca="false">ROUND(61*1,0)&amp;"%"</f>
        <v>61%</v>
      </c>
    </row>
    <row r="97" customFormat="false" ht="15" hidden="false" customHeight="false" outlineLevel="0" collapsed="false">
      <c r="A97" s="6" t="s">
        <v>7700</v>
      </c>
      <c r="B97" s="6" t="s">
        <v>184</v>
      </c>
      <c r="C97" s="6" t="s">
        <v>15</v>
      </c>
      <c r="D97" s="6" t="s">
        <v>22</v>
      </c>
      <c r="E97" s="6" t="n">
        <f aca="false">ROUND(14529*1.05,2)</f>
        <v>15255.45</v>
      </c>
      <c r="F97" s="6" t="s">
        <v>52</v>
      </c>
      <c r="G97" s="6" t="s">
        <v>24</v>
      </c>
      <c r="H97" s="6" t="n">
        <f aca="true">ROUND(RAND()*4+6,1)</f>
        <v>6.6</v>
      </c>
      <c r="I97" s="6" t="s">
        <v>25</v>
      </c>
      <c r="J97" s="6" t="str">
        <f aca="false">ROUND(78*1,0)&amp;"%"</f>
        <v>78%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7701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7702</v>
      </c>
      <c r="B102" s="5" t="s">
        <v>188</v>
      </c>
      <c r="C102" s="5" t="s">
        <v>57</v>
      </c>
      <c r="D102" s="5" t="s">
        <v>16</v>
      </c>
      <c r="E102" s="5" t="n">
        <f aca="false">ROUND(15899*1.05,2)</f>
        <v>16693.95</v>
      </c>
      <c r="F102" s="5" t="s">
        <v>17</v>
      </c>
      <c r="G102" s="5" t="s">
        <v>18</v>
      </c>
      <c r="H102" s="5" t="n">
        <f aca="true">ROUND(RAND()*4+6,1)</f>
        <v>6.3</v>
      </c>
      <c r="I102" s="5" t="s">
        <v>19</v>
      </c>
      <c r="J102" s="5" t="str">
        <f aca="false">ROUND(75*1,0)&amp;"%"</f>
        <v>75%</v>
      </c>
    </row>
    <row r="103" customFormat="false" ht="15" hidden="false" customHeight="false" outlineLevel="0" collapsed="false">
      <c r="A103" s="6" t="s">
        <v>7703</v>
      </c>
      <c r="B103" s="6" t="s">
        <v>190</v>
      </c>
      <c r="C103" s="6" t="s">
        <v>57</v>
      </c>
      <c r="D103" s="6" t="s">
        <v>22</v>
      </c>
      <c r="E103" s="6" t="n">
        <f aca="false">ROUND(6237*1.05,2)</f>
        <v>6548.85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ROUND(83*1,0)&amp;"%"</f>
        <v>83%</v>
      </c>
    </row>
    <row r="104" customFormat="false" ht="15" hidden="false" customHeight="false" outlineLevel="0" collapsed="false">
      <c r="A104" s="5" t="s">
        <v>7704</v>
      </c>
      <c r="B104" s="5" t="s">
        <v>192</v>
      </c>
      <c r="C104" s="5" t="s">
        <v>57</v>
      </c>
      <c r="D104" s="5" t="s">
        <v>28</v>
      </c>
      <c r="E104" s="5" t="n">
        <f aca="false">ROUND(16304*1.05,2)</f>
        <v>17119.2</v>
      </c>
      <c r="F104" s="5" t="s">
        <v>29</v>
      </c>
      <c r="G104" s="5" t="s">
        <v>30</v>
      </c>
      <c r="H104" s="5" t="n">
        <f aca="true">ROUND(RAND()*4+6,1)</f>
        <v>8.1</v>
      </c>
      <c r="I104" s="5" t="s">
        <v>31</v>
      </c>
      <c r="J104" s="5" t="str">
        <f aca="false">ROUND(83*1,0)&amp;"%"</f>
        <v>83%</v>
      </c>
    </row>
    <row r="105" customFormat="false" ht="15" hidden="false" customHeight="false" outlineLevel="0" collapsed="false">
      <c r="A105" s="6" t="s">
        <v>7705</v>
      </c>
      <c r="B105" s="6" t="s">
        <v>194</v>
      </c>
      <c r="C105" s="6" t="s">
        <v>57</v>
      </c>
      <c r="D105" s="6" t="s">
        <v>34</v>
      </c>
      <c r="E105" s="6" t="n">
        <f aca="false">ROUND(6350*1.05,2)</f>
        <v>6667.5</v>
      </c>
      <c r="F105" s="6" t="s">
        <v>35</v>
      </c>
      <c r="G105" s="6" t="s">
        <v>18</v>
      </c>
      <c r="H105" s="6" t="n">
        <f aca="true">ROUND(RAND()*4+6,1)</f>
        <v>8.1</v>
      </c>
      <c r="I105" s="6" t="s">
        <v>36</v>
      </c>
      <c r="J105" s="6" t="str">
        <f aca="false">ROUND(88*1,0)&amp;"%"</f>
        <v>88%</v>
      </c>
    </row>
    <row r="106" customFormat="false" ht="15" hidden="false" customHeight="false" outlineLevel="0" collapsed="false">
      <c r="A106" s="5" t="s">
        <v>7706</v>
      </c>
      <c r="B106" s="5" t="s">
        <v>196</v>
      </c>
      <c r="C106" s="5" t="s">
        <v>57</v>
      </c>
      <c r="D106" s="5" t="s">
        <v>39</v>
      </c>
      <c r="E106" s="5" t="n">
        <f aca="false">ROUND(4734*1.05,2)</f>
        <v>4970.7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7707</v>
      </c>
      <c r="B107" s="6" t="s">
        <v>198</v>
      </c>
      <c r="C107" s="6" t="s">
        <v>57</v>
      </c>
      <c r="D107" s="6" t="s">
        <v>44</v>
      </c>
      <c r="E107" s="6" t="n">
        <f aca="false">ROUND(5933*1.05,2)</f>
        <v>6229.65</v>
      </c>
      <c r="F107" s="6" t="s">
        <v>45</v>
      </c>
      <c r="G107" s="6" t="s">
        <v>30</v>
      </c>
      <c r="H107" s="6" t="n">
        <f aca="true">ROUND(RAND()*4+6,1)</f>
        <v>7.3</v>
      </c>
      <c r="I107" s="6" t="s">
        <v>46</v>
      </c>
      <c r="J107" s="6" t="str">
        <f aca="false">ROUND(98*1,0)&amp;"%"</f>
        <v>98%</v>
      </c>
    </row>
    <row r="108" customFormat="false" ht="15" hidden="false" customHeight="false" outlineLevel="0" collapsed="false">
      <c r="A108" s="5" t="s">
        <v>7708</v>
      </c>
      <c r="B108" s="5" t="s">
        <v>200</v>
      </c>
      <c r="C108" s="5" t="s">
        <v>57</v>
      </c>
      <c r="D108" s="5" t="s">
        <v>16</v>
      </c>
      <c r="E108" s="5" t="n">
        <f aca="false">ROUND(11585*1.05,2)</f>
        <v>12164.25</v>
      </c>
      <c r="F108" s="5" t="s">
        <v>49</v>
      </c>
      <c r="G108" s="5" t="s">
        <v>18</v>
      </c>
      <c r="H108" s="5" t="n">
        <f aca="true">ROUND(RAND()*4+6,1)</f>
        <v>7.3</v>
      </c>
      <c r="I108" s="5" t="s">
        <v>19</v>
      </c>
      <c r="J108" s="5" t="str">
        <f aca="false">ROUND(64*1,0)&amp;"%"</f>
        <v>64%</v>
      </c>
    </row>
    <row r="109" customFormat="false" ht="15" hidden="false" customHeight="false" outlineLevel="0" collapsed="false">
      <c r="A109" s="6" t="s">
        <v>7709</v>
      </c>
      <c r="B109" s="6" t="s">
        <v>202</v>
      </c>
      <c r="C109" s="6" t="s">
        <v>57</v>
      </c>
      <c r="D109" s="6" t="s">
        <v>22</v>
      </c>
      <c r="E109" s="6" t="n">
        <f aca="false">ROUND(12266*1.05,2)</f>
        <v>12879.3</v>
      </c>
      <c r="F109" s="6" t="s">
        <v>52</v>
      </c>
      <c r="G109" s="6" t="s">
        <v>24</v>
      </c>
      <c r="H109" s="6" t="n">
        <f aca="true">ROUND(RAND()*4+6,1)</f>
        <v>7.4</v>
      </c>
      <c r="I109" s="6" t="s">
        <v>25</v>
      </c>
      <c r="J109" s="6" t="str">
        <f aca="false">ROUND(82*1,0)&amp;"%"</f>
        <v>82%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7710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7711</v>
      </c>
      <c r="B114" s="5" t="s">
        <v>206</v>
      </c>
      <c r="C114" s="5" t="s">
        <v>76</v>
      </c>
      <c r="D114" s="5" t="s">
        <v>16</v>
      </c>
      <c r="E114" s="5" t="n">
        <f aca="false">ROUND(9217*1.05,2)</f>
        <v>9677.85</v>
      </c>
      <c r="F114" s="5" t="s">
        <v>17</v>
      </c>
      <c r="G114" s="5" t="s">
        <v>18</v>
      </c>
      <c r="H114" s="5" t="n">
        <f aca="true">ROUND(RAND()*4+6,1)</f>
        <v>9.6</v>
      </c>
      <c r="I114" s="5" t="s">
        <v>19</v>
      </c>
      <c r="J114" s="5" t="str">
        <f aca="false">ROUND(86*1,0)&amp;"%"</f>
        <v>86%</v>
      </c>
    </row>
    <row r="115" customFormat="false" ht="15" hidden="false" customHeight="false" outlineLevel="0" collapsed="false">
      <c r="A115" s="6" t="s">
        <v>7712</v>
      </c>
      <c r="B115" s="6" t="s">
        <v>208</v>
      </c>
      <c r="C115" s="6" t="s">
        <v>76</v>
      </c>
      <c r="D115" s="6" t="s">
        <v>22</v>
      </c>
      <c r="E115" s="6" t="n">
        <f aca="false">ROUND(4338*1.05,2)</f>
        <v>4554.9</v>
      </c>
      <c r="F115" s="6" t="s">
        <v>23</v>
      </c>
      <c r="G115" s="6" t="s">
        <v>24</v>
      </c>
      <c r="H115" s="6" t="n">
        <f aca="true">ROUND(RAND()*4+6,1)</f>
        <v>7.7</v>
      </c>
      <c r="I115" s="6" t="s">
        <v>25</v>
      </c>
      <c r="J115" s="6" t="str">
        <f aca="false">ROUND(76*1,0)&amp;"%"</f>
        <v>76%</v>
      </c>
    </row>
    <row r="116" customFormat="false" ht="15" hidden="false" customHeight="false" outlineLevel="0" collapsed="false">
      <c r="A116" s="5" t="s">
        <v>7713</v>
      </c>
      <c r="B116" s="5" t="s">
        <v>210</v>
      </c>
      <c r="C116" s="5" t="s">
        <v>76</v>
      </c>
      <c r="D116" s="5" t="s">
        <v>28</v>
      </c>
      <c r="E116" s="5" t="n">
        <f aca="false">ROUND(8670*1.05,2)</f>
        <v>9103.5</v>
      </c>
      <c r="F116" s="5" t="s">
        <v>29</v>
      </c>
      <c r="G116" s="5" t="s">
        <v>30</v>
      </c>
      <c r="H116" s="5" t="n">
        <f aca="true">ROUND(RAND()*4+6,1)</f>
        <v>6.4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7714</v>
      </c>
      <c r="B117" s="6" t="s">
        <v>212</v>
      </c>
      <c r="C117" s="6" t="s">
        <v>76</v>
      </c>
      <c r="D117" s="6" t="s">
        <v>34</v>
      </c>
      <c r="E117" s="6" t="n">
        <f aca="false">ROUND(4862*1.05,2)</f>
        <v>5105.1</v>
      </c>
      <c r="F117" s="6" t="s">
        <v>35</v>
      </c>
      <c r="G117" s="6" t="s">
        <v>18</v>
      </c>
      <c r="H117" s="6" t="n">
        <f aca="true">ROUND(RAND()*4+6,1)</f>
        <v>9.1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7715</v>
      </c>
      <c r="B118" s="5" t="s">
        <v>214</v>
      </c>
      <c r="C118" s="5" t="s">
        <v>76</v>
      </c>
      <c r="D118" s="5" t="s">
        <v>39</v>
      </c>
      <c r="E118" s="5" t="n">
        <f aca="false">ROUND(10832*1.05,2)</f>
        <v>11373.6</v>
      </c>
      <c r="F118" s="5" t="s">
        <v>40</v>
      </c>
      <c r="G118" s="5" t="s">
        <v>24</v>
      </c>
      <c r="H118" s="5" t="n">
        <f aca="true">ROUND(RAND()*4+6,1)</f>
        <v>9.2</v>
      </c>
      <c r="I118" s="5" t="s">
        <v>41</v>
      </c>
      <c r="J118" s="5" t="str">
        <f aca="false">ROUND(97*1,0)&amp;"%"</f>
        <v>97%</v>
      </c>
    </row>
    <row r="119" customFormat="false" ht="15" hidden="false" customHeight="false" outlineLevel="0" collapsed="false">
      <c r="A119" s="6" t="s">
        <v>7716</v>
      </c>
      <c r="B119" s="6" t="s">
        <v>216</v>
      </c>
      <c r="C119" s="6" t="s">
        <v>76</v>
      </c>
      <c r="D119" s="6" t="s">
        <v>44</v>
      </c>
      <c r="E119" s="6" t="n">
        <f aca="false">ROUND(7180*1.05,2)</f>
        <v>7539</v>
      </c>
      <c r="F119" s="6" t="s">
        <v>45</v>
      </c>
      <c r="G119" s="6" t="s">
        <v>30</v>
      </c>
      <c r="H119" s="6" t="n">
        <f aca="true">ROUND(RAND()*4+6,1)</f>
        <v>7.9</v>
      </c>
      <c r="I119" s="6" t="s">
        <v>46</v>
      </c>
      <c r="J119" s="6" t="str">
        <f aca="false">ROUND(68*1,0)&amp;"%"</f>
        <v>68%</v>
      </c>
    </row>
    <row r="120" customFormat="false" ht="15" hidden="false" customHeight="false" outlineLevel="0" collapsed="false">
      <c r="A120" s="5" t="s">
        <v>7717</v>
      </c>
      <c r="B120" s="5" t="s">
        <v>218</v>
      </c>
      <c r="C120" s="5" t="s">
        <v>76</v>
      </c>
      <c r="D120" s="5" t="s">
        <v>16</v>
      </c>
      <c r="E120" s="5" t="n">
        <f aca="false">ROUND(11500*1.05,2)</f>
        <v>12075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7718</v>
      </c>
      <c r="B121" s="6" t="s">
        <v>220</v>
      </c>
      <c r="C121" s="6" t="s">
        <v>76</v>
      </c>
      <c r="D121" s="6" t="s">
        <v>22</v>
      </c>
      <c r="E121" s="6" t="n">
        <f aca="false">ROUND(8072*1.05,2)</f>
        <v>8475.6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ROUND(96*1,0)&amp;"%"</f>
        <v>96%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7719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7720</v>
      </c>
      <c r="B126" s="5" t="s">
        <v>224</v>
      </c>
      <c r="C126" s="5" t="s">
        <v>95</v>
      </c>
      <c r="D126" s="5" t="s">
        <v>16</v>
      </c>
      <c r="E126" s="5" t="n">
        <f aca="false">ROUND(16210*1.05,2)</f>
        <v>17020.5</v>
      </c>
      <c r="F126" s="5" t="s">
        <v>17</v>
      </c>
      <c r="G126" s="5" t="s">
        <v>18</v>
      </c>
      <c r="H126" s="5" t="n">
        <f aca="true">ROUND(RAND()*4+6,1)</f>
        <v>8.8</v>
      </c>
      <c r="I126" s="5" t="s">
        <v>19</v>
      </c>
      <c r="J126" s="5" t="str">
        <f aca="false">ROUND(83*1,0)&amp;"%"</f>
        <v>83%</v>
      </c>
    </row>
    <row r="127" customFormat="false" ht="15" hidden="false" customHeight="false" outlineLevel="0" collapsed="false">
      <c r="A127" s="6" t="s">
        <v>7721</v>
      </c>
      <c r="B127" s="6" t="s">
        <v>226</v>
      </c>
      <c r="C127" s="6" t="s">
        <v>95</v>
      </c>
      <c r="D127" s="6" t="s">
        <v>22</v>
      </c>
      <c r="E127" s="6" t="n">
        <f aca="false">ROUND(17621*1.05,2)</f>
        <v>18502.05</v>
      </c>
      <c r="F127" s="6" t="s">
        <v>23</v>
      </c>
      <c r="G127" s="6" t="s">
        <v>24</v>
      </c>
      <c r="H127" s="6" t="n">
        <f aca="true">ROUND(RAND()*4+6,1)</f>
        <v>9.5</v>
      </c>
      <c r="I127" s="6" t="s">
        <v>25</v>
      </c>
      <c r="J127" s="6" t="str">
        <f aca="false">ROUND(65*1,0)&amp;"%"</f>
        <v>65%</v>
      </c>
    </row>
    <row r="128" customFormat="false" ht="15" hidden="false" customHeight="false" outlineLevel="0" collapsed="false">
      <c r="A128" s="5" t="s">
        <v>7722</v>
      </c>
      <c r="B128" s="5" t="s">
        <v>228</v>
      </c>
      <c r="C128" s="5" t="s">
        <v>95</v>
      </c>
      <c r="D128" s="5" t="s">
        <v>28</v>
      </c>
      <c r="E128" s="5" t="n">
        <f aca="false">ROUND(5924*1.05,2)</f>
        <v>6220.2</v>
      </c>
      <c r="F128" s="5" t="s">
        <v>29</v>
      </c>
      <c r="G128" s="5" t="s">
        <v>30</v>
      </c>
      <c r="H128" s="5" t="n">
        <f aca="true">ROUND(RAND()*4+6,1)</f>
        <v>6.7</v>
      </c>
      <c r="I128" s="5" t="s">
        <v>31</v>
      </c>
      <c r="J128" s="5" t="str">
        <f aca="false">ROUND(72*1,0)&amp;"%"</f>
        <v>72%</v>
      </c>
    </row>
    <row r="129" customFormat="false" ht="15" hidden="false" customHeight="false" outlineLevel="0" collapsed="false">
      <c r="A129" s="6" t="s">
        <v>7723</v>
      </c>
      <c r="B129" s="6" t="s">
        <v>230</v>
      </c>
      <c r="C129" s="6" t="s">
        <v>95</v>
      </c>
      <c r="D129" s="6" t="s">
        <v>34</v>
      </c>
      <c r="E129" s="6" t="n">
        <f aca="false">ROUND(6859*1.05,2)</f>
        <v>7201.95</v>
      </c>
      <c r="F129" s="6" t="s">
        <v>35</v>
      </c>
      <c r="G129" s="6" t="s">
        <v>18</v>
      </c>
      <c r="H129" s="6" t="n">
        <f aca="true">ROUND(RAND()*4+6,1)</f>
        <v>8.4</v>
      </c>
      <c r="I129" s="6" t="s">
        <v>36</v>
      </c>
      <c r="J129" s="6" t="str">
        <f aca="false">ROUND(61*1,0)&amp;"%"</f>
        <v>61%</v>
      </c>
    </row>
    <row r="130" customFormat="false" ht="15" hidden="false" customHeight="false" outlineLevel="0" collapsed="false">
      <c r="A130" s="5" t="s">
        <v>7724</v>
      </c>
      <c r="B130" s="5" t="s">
        <v>232</v>
      </c>
      <c r="C130" s="5" t="s">
        <v>95</v>
      </c>
      <c r="D130" s="5" t="s">
        <v>39</v>
      </c>
      <c r="E130" s="5" t="n">
        <f aca="false">ROUND(16626*1.05,2)</f>
        <v>17457.3</v>
      </c>
      <c r="F130" s="5" t="s">
        <v>40</v>
      </c>
      <c r="G130" s="5" t="s">
        <v>24</v>
      </c>
      <c r="H130" s="5" t="n">
        <f aca="true">ROUND(RAND()*4+6,1)</f>
        <v>6.5</v>
      </c>
      <c r="I130" s="5" t="s">
        <v>41</v>
      </c>
      <c r="J130" s="5" t="str">
        <f aca="false">ROUND(81*1,0)&amp;"%"</f>
        <v>81%</v>
      </c>
    </row>
    <row r="131" customFormat="false" ht="15" hidden="false" customHeight="false" outlineLevel="0" collapsed="false">
      <c r="A131" s="6" t="s">
        <v>7725</v>
      </c>
      <c r="B131" s="6" t="s">
        <v>234</v>
      </c>
      <c r="C131" s="6" t="s">
        <v>95</v>
      </c>
      <c r="D131" s="6" t="s">
        <v>44</v>
      </c>
      <c r="E131" s="6" t="n">
        <f aca="false">ROUND(13460*1.05,2)</f>
        <v>14133</v>
      </c>
      <c r="F131" s="6" t="s">
        <v>45</v>
      </c>
      <c r="G131" s="6" t="s">
        <v>30</v>
      </c>
      <c r="H131" s="6" t="n">
        <f aca="true">ROUND(RAND()*4+6,1)</f>
        <v>6.3</v>
      </c>
      <c r="I131" s="6" t="s">
        <v>46</v>
      </c>
      <c r="J131" s="6" t="str">
        <f aca="false">ROUND(67*1,0)&amp;"%"</f>
        <v>67%</v>
      </c>
    </row>
    <row r="132" customFormat="false" ht="15" hidden="false" customHeight="false" outlineLevel="0" collapsed="false">
      <c r="A132" s="5" t="s">
        <v>7726</v>
      </c>
      <c r="B132" s="5" t="s">
        <v>236</v>
      </c>
      <c r="C132" s="5" t="s">
        <v>95</v>
      </c>
      <c r="D132" s="5" t="s">
        <v>16</v>
      </c>
      <c r="E132" s="5" t="n">
        <f aca="false">ROUND(8453*1.05,2)</f>
        <v>8875.65</v>
      </c>
      <c r="F132" s="5" t="s">
        <v>49</v>
      </c>
      <c r="G132" s="5" t="s">
        <v>18</v>
      </c>
      <c r="H132" s="5" t="n">
        <f aca="true">ROUND(RAND()*4+6,1)</f>
        <v>6.5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7727</v>
      </c>
      <c r="B133" s="6" t="s">
        <v>238</v>
      </c>
      <c r="C133" s="6" t="s">
        <v>95</v>
      </c>
      <c r="D133" s="6" t="s">
        <v>22</v>
      </c>
      <c r="E133" s="6" t="n">
        <f aca="false">ROUND(17814*1.05,2)</f>
        <v>18704.7</v>
      </c>
      <c r="F133" s="6" t="s">
        <v>52</v>
      </c>
      <c r="G133" s="6" t="s">
        <v>24</v>
      </c>
      <c r="H133" s="6" t="n">
        <f aca="true">ROUND(RAND()*4+6,1)</f>
        <v>7.8</v>
      </c>
      <c r="I133" s="6" t="s">
        <v>25</v>
      </c>
      <c r="J133" s="6" t="str">
        <f aca="false">ROUND(68*1,0)&amp;"%"</f>
        <v>68%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7728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7729</v>
      </c>
      <c r="B138" s="5" t="s">
        <v>242</v>
      </c>
      <c r="C138" s="5" t="s">
        <v>114</v>
      </c>
      <c r="D138" s="5" t="s">
        <v>16</v>
      </c>
      <c r="E138" s="5" t="n">
        <f aca="false">ROUND(5165*1.05,2)</f>
        <v>5423.25</v>
      </c>
      <c r="F138" s="5" t="s">
        <v>17</v>
      </c>
      <c r="G138" s="5" t="s">
        <v>18</v>
      </c>
      <c r="H138" s="5" t="n">
        <f aca="true">ROUND(RAND()*4+6,1)</f>
        <v>6.8</v>
      </c>
      <c r="I138" s="5" t="s">
        <v>19</v>
      </c>
      <c r="J138" s="5" t="str">
        <f aca="false">ROUND(85*1,0)&amp;"%"</f>
        <v>85%</v>
      </c>
    </row>
    <row r="139" customFormat="false" ht="15" hidden="false" customHeight="false" outlineLevel="0" collapsed="false">
      <c r="A139" s="6" t="s">
        <v>7730</v>
      </c>
      <c r="B139" s="6" t="s">
        <v>244</v>
      </c>
      <c r="C139" s="6" t="s">
        <v>114</v>
      </c>
      <c r="D139" s="6" t="s">
        <v>22</v>
      </c>
      <c r="E139" s="6" t="n">
        <f aca="false">ROUND(15773*1.05,2)</f>
        <v>16561.65</v>
      </c>
      <c r="F139" s="6" t="s">
        <v>23</v>
      </c>
      <c r="G139" s="6" t="s">
        <v>24</v>
      </c>
      <c r="H139" s="6" t="n">
        <f aca="true">ROUND(RAND()*4+6,1)</f>
        <v>7.6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7731</v>
      </c>
      <c r="B140" s="5" t="s">
        <v>246</v>
      </c>
      <c r="C140" s="5" t="s">
        <v>114</v>
      </c>
      <c r="D140" s="5" t="s">
        <v>28</v>
      </c>
      <c r="E140" s="5" t="n">
        <f aca="false">ROUND(7279*1.05,2)</f>
        <v>7642.95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ROUND(74*1,0)&amp;"%"</f>
        <v>74%</v>
      </c>
    </row>
    <row r="141" customFormat="false" ht="15" hidden="false" customHeight="false" outlineLevel="0" collapsed="false">
      <c r="A141" s="6" t="s">
        <v>7732</v>
      </c>
      <c r="B141" s="6" t="s">
        <v>248</v>
      </c>
      <c r="C141" s="6" t="s">
        <v>114</v>
      </c>
      <c r="D141" s="6" t="s">
        <v>34</v>
      </c>
      <c r="E141" s="6" t="n">
        <f aca="false">ROUND(13302*1.05,2)</f>
        <v>13967.1</v>
      </c>
      <c r="F141" s="6" t="s">
        <v>35</v>
      </c>
      <c r="G141" s="6" t="s">
        <v>18</v>
      </c>
      <c r="H141" s="6" t="n">
        <f aca="true">ROUND(RAND()*4+6,1)</f>
        <v>6.1</v>
      </c>
      <c r="I141" s="6" t="s">
        <v>36</v>
      </c>
      <c r="J141" s="6" t="str">
        <f aca="false">ROUND(88*1,0)&amp;"%"</f>
        <v>88%</v>
      </c>
    </row>
    <row r="142" customFormat="false" ht="15" hidden="false" customHeight="false" outlineLevel="0" collapsed="false">
      <c r="A142" s="5" t="s">
        <v>7733</v>
      </c>
      <c r="B142" s="5" t="s">
        <v>250</v>
      </c>
      <c r="C142" s="5" t="s">
        <v>114</v>
      </c>
      <c r="D142" s="5" t="s">
        <v>39</v>
      </c>
      <c r="E142" s="5" t="n">
        <f aca="false">ROUND(16214*1.05,2)</f>
        <v>17024.7</v>
      </c>
      <c r="F142" s="5" t="s">
        <v>40</v>
      </c>
      <c r="G142" s="5" t="s">
        <v>24</v>
      </c>
      <c r="H142" s="5" t="n">
        <f aca="true">ROUND(RAND()*4+6,1)</f>
        <v>9.5</v>
      </c>
      <c r="I142" s="5" t="s">
        <v>41</v>
      </c>
      <c r="J142" s="5" t="str">
        <f aca="false">ROUND(88*1,0)&amp;"%"</f>
        <v>88%</v>
      </c>
    </row>
    <row r="143" customFormat="false" ht="15" hidden="false" customHeight="false" outlineLevel="0" collapsed="false">
      <c r="A143" s="6" t="s">
        <v>7734</v>
      </c>
      <c r="B143" s="6" t="s">
        <v>252</v>
      </c>
      <c r="C143" s="6" t="s">
        <v>114</v>
      </c>
      <c r="D143" s="6" t="s">
        <v>44</v>
      </c>
      <c r="E143" s="6" t="n">
        <f aca="false">ROUND(7859*1.05,2)</f>
        <v>8251.95</v>
      </c>
      <c r="F143" s="6" t="s">
        <v>45</v>
      </c>
      <c r="G143" s="6" t="s">
        <v>30</v>
      </c>
      <c r="H143" s="6" t="n">
        <f aca="true">ROUND(RAND()*4+6,1)</f>
        <v>9.1</v>
      </c>
      <c r="I143" s="6" t="s">
        <v>46</v>
      </c>
      <c r="J143" s="6" t="str">
        <f aca="false">ROUND(91*1,0)&amp;"%"</f>
        <v>91%</v>
      </c>
    </row>
    <row r="144" customFormat="false" ht="15" hidden="false" customHeight="false" outlineLevel="0" collapsed="false">
      <c r="A144" s="5" t="s">
        <v>7735</v>
      </c>
      <c r="B144" s="5" t="s">
        <v>254</v>
      </c>
      <c r="C144" s="5" t="s">
        <v>114</v>
      </c>
      <c r="D144" s="5" t="s">
        <v>16</v>
      </c>
      <c r="E144" s="5" t="n">
        <f aca="false">ROUND(10582*1.05,2)</f>
        <v>11111.1</v>
      </c>
      <c r="F144" s="5" t="s">
        <v>49</v>
      </c>
      <c r="G144" s="5" t="s">
        <v>18</v>
      </c>
      <c r="H144" s="5" t="n">
        <f aca="true">ROUND(RAND()*4+6,1)</f>
        <v>9.5</v>
      </c>
      <c r="I144" s="5" t="s">
        <v>19</v>
      </c>
      <c r="J144" s="5" t="str">
        <f aca="false">ROUND(99*1,0)&amp;"%"</f>
        <v>99%</v>
      </c>
    </row>
    <row r="145" customFormat="false" ht="15" hidden="false" customHeight="false" outlineLevel="0" collapsed="false">
      <c r="A145" s="6" t="s">
        <v>7736</v>
      </c>
      <c r="B145" s="6" t="s">
        <v>256</v>
      </c>
      <c r="C145" s="6" t="s">
        <v>114</v>
      </c>
      <c r="D145" s="6" t="s">
        <v>22</v>
      </c>
      <c r="E145" s="6" t="n">
        <f aca="false">ROUND(11341*1.05,2)</f>
        <v>11908.05</v>
      </c>
      <c r="F145" s="6" t="s">
        <v>52</v>
      </c>
      <c r="G145" s="6" t="s">
        <v>24</v>
      </c>
      <c r="H145" s="6" t="n">
        <f aca="true">ROUND(RAND()*4+6,1)</f>
        <v>10</v>
      </c>
      <c r="I145" s="6" t="s">
        <v>25</v>
      </c>
      <c r="J145" s="6" t="str">
        <f aca="false">ROUND(79*1,0)&amp;"%"</f>
        <v>79%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7737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7738</v>
      </c>
      <c r="B150" s="5" t="s">
        <v>260</v>
      </c>
      <c r="C150" s="5" t="s">
        <v>133</v>
      </c>
      <c r="D150" s="5" t="s">
        <v>16</v>
      </c>
      <c r="E150" s="5" t="n">
        <f aca="false">ROUND(13446*1.05,2)</f>
        <v>14118.3</v>
      </c>
      <c r="F150" s="5" t="s">
        <v>17</v>
      </c>
      <c r="G150" s="5" t="s">
        <v>18</v>
      </c>
      <c r="H150" s="5" t="n">
        <f aca="true">ROUND(RAND()*4+6,1)</f>
        <v>6.1</v>
      </c>
      <c r="I150" s="5" t="s">
        <v>19</v>
      </c>
      <c r="J150" s="5" t="str">
        <f aca="false">ROUND(94*1,0)&amp;"%"</f>
        <v>94%</v>
      </c>
    </row>
    <row r="151" customFormat="false" ht="15" hidden="false" customHeight="false" outlineLevel="0" collapsed="false">
      <c r="A151" s="6" t="s">
        <v>7739</v>
      </c>
      <c r="B151" s="6" t="s">
        <v>262</v>
      </c>
      <c r="C151" s="6" t="s">
        <v>133</v>
      </c>
      <c r="D151" s="6" t="s">
        <v>22</v>
      </c>
      <c r="E151" s="6" t="n">
        <f aca="false">ROUND(10494*1.05,2)</f>
        <v>11018.7</v>
      </c>
      <c r="F151" s="6" t="s">
        <v>23</v>
      </c>
      <c r="G151" s="6" t="s">
        <v>24</v>
      </c>
      <c r="H151" s="6" t="n">
        <f aca="true">ROUND(RAND()*4+6,1)</f>
        <v>6.4</v>
      </c>
      <c r="I151" s="6" t="s">
        <v>25</v>
      </c>
      <c r="J151" s="6" t="str">
        <f aca="false">ROUND(73*1,0)&amp;"%"</f>
        <v>73%</v>
      </c>
    </row>
    <row r="152" customFormat="false" ht="15" hidden="false" customHeight="false" outlineLevel="0" collapsed="false">
      <c r="A152" s="5" t="s">
        <v>7740</v>
      </c>
      <c r="B152" s="5" t="s">
        <v>264</v>
      </c>
      <c r="C152" s="5" t="s">
        <v>133</v>
      </c>
      <c r="D152" s="5" t="s">
        <v>28</v>
      </c>
      <c r="E152" s="5" t="n">
        <f aca="false">ROUND(16095*1.05,2)</f>
        <v>16899.75</v>
      </c>
      <c r="F152" s="5" t="s">
        <v>29</v>
      </c>
      <c r="G152" s="5" t="s">
        <v>30</v>
      </c>
      <c r="H152" s="5" t="n">
        <f aca="true">ROUND(RAND()*4+6,1)</f>
        <v>9.5</v>
      </c>
      <c r="I152" s="5" t="s">
        <v>31</v>
      </c>
      <c r="J152" s="5" t="str">
        <f aca="false">ROUND(86*1,0)&amp;"%"</f>
        <v>86%</v>
      </c>
    </row>
    <row r="153" customFormat="false" ht="15" hidden="false" customHeight="false" outlineLevel="0" collapsed="false">
      <c r="A153" s="6" t="s">
        <v>7741</v>
      </c>
      <c r="B153" s="6" t="s">
        <v>266</v>
      </c>
      <c r="C153" s="6" t="s">
        <v>133</v>
      </c>
      <c r="D153" s="6" t="s">
        <v>34</v>
      </c>
      <c r="E153" s="6" t="n">
        <f aca="false">ROUND(4098*1.05,2)</f>
        <v>4302.9</v>
      </c>
      <c r="F153" s="6" t="s">
        <v>35</v>
      </c>
      <c r="G153" s="6" t="s">
        <v>18</v>
      </c>
      <c r="H153" s="6" t="n">
        <f aca="true">ROUND(RAND()*4+6,1)</f>
        <v>8.2</v>
      </c>
      <c r="I153" s="6" t="s">
        <v>36</v>
      </c>
      <c r="J153" s="6" t="str">
        <f aca="false">ROUND(91*1,0)&amp;"%"</f>
        <v>91%</v>
      </c>
    </row>
    <row r="154" customFormat="false" ht="15" hidden="false" customHeight="false" outlineLevel="0" collapsed="false">
      <c r="A154" s="5" t="s">
        <v>7742</v>
      </c>
      <c r="B154" s="5" t="s">
        <v>268</v>
      </c>
      <c r="C154" s="5" t="s">
        <v>133</v>
      </c>
      <c r="D154" s="5" t="s">
        <v>39</v>
      </c>
      <c r="E154" s="5" t="n">
        <f aca="false">ROUND(10016*1.05,2)</f>
        <v>10516.8</v>
      </c>
      <c r="F154" s="5" t="s">
        <v>40</v>
      </c>
      <c r="G154" s="5" t="s">
        <v>24</v>
      </c>
      <c r="H154" s="5" t="n">
        <f aca="true">ROUND(RAND()*4+6,1)</f>
        <v>6.8</v>
      </c>
      <c r="I154" s="5" t="s">
        <v>41</v>
      </c>
      <c r="J154" s="5" t="str">
        <f aca="false">ROUND(92*1,0)&amp;"%"</f>
        <v>92%</v>
      </c>
    </row>
    <row r="155" customFormat="false" ht="15" hidden="false" customHeight="false" outlineLevel="0" collapsed="false">
      <c r="A155" s="6" t="s">
        <v>7743</v>
      </c>
      <c r="B155" s="6" t="s">
        <v>270</v>
      </c>
      <c r="C155" s="6" t="s">
        <v>133</v>
      </c>
      <c r="D155" s="6" t="s">
        <v>44</v>
      </c>
      <c r="E155" s="6" t="n">
        <f aca="false">ROUND(9677*1.05,2)</f>
        <v>10160.85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ROUND(86*1,0)&amp;"%"</f>
        <v>86%</v>
      </c>
    </row>
    <row r="156" customFormat="false" ht="15" hidden="false" customHeight="false" outlineLevel="0" collapsed="false">
      <c r="A156" s="5" t="s">
        <v>7744</v>
      </c>
      <c r="B156" s="5" t="s">
        <v>272</v>
      </c>
      <c r="C156" s="5" t="s">
        <v>133</v>
      </c>
      <c r="D156" s="5" t="s">
        <v>16</v>
      </c>
      <c r="E156" s="5" t="n">
        <f aca="false">ROUND(8729*1.05,2)</f>
        <v>9165.45</v>
      </c>
      <c r="F156" s="5" t="s">
        <v>49</v>
      </c>
      <c r="G156" s="5" t="s">
        <v>18</v>
      </c>
      <c r="H156" s="5" t="n">
        <f aca="true">ROUND(RAND()*4+6,1)</f>
        <v>7.3</v>
      </c>
      <c r="I156" s="5" t="s">
        <v>19</v>
      </c>
      <c r="J156" s="5" t="str">
        <f aca="false">ROUND(65*1,0)&amp;"%"</f>
        <v>65%</v>
      </c>
    </row>
    <row r="157" customFormat="false" ht="15" hidden="false" customHeight="false" outlineLevel="0" collapsed="false">
      <c r="A157" s="6" t="s">
        <v>7745</v>
      </c>
      <c r="B157" s="6" t="s">
        <v>274</v>
      </c>
      <c r="C157" s="6" t="s">
        <v>133</v>
      </c>
      <c r="D157" s="6" t="s">
        <v>22</v>
      </c>
      <c r="E157" s="6" t="n">
        <f aca="false">ROUND(12596*1.05,2)</f>
        <v>13225.8</v>
      </c>
      <c r="F157" s="6" t="s">
        <v>52</v>
      </c>
      <c r="G157" s="6" t="s">
        <v>24</v>
      </c>
      <c r="H157" s="6" t="n">
        <f aca="true">ROUND(RAND()*4+6,1)</f>
        <v>6.7</v>
      </c>
      <c r="I157" s="6" t="s">
        <v>25</v>
      </c>
      <c r="J157" s="6" t="str">
        <f aca="false">ROUND(77*1,0)&amp;"%"</f>
        <v>77%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7746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7747</v>
      </c>
      <c r="B162" s="5" t="s">
        <v>278</v>
      </c>
      <c r="C162" s="5" t="s">
        <v>152</v>
      </c>
      <c r="D162" s="5" t="s">
        <v>16</v>
      </c>
      <c r="E162" s="5" t="n">
        <f aca="false">ROUND(12847*1.05,2)</f>
        <v>13489.35</v>
      </c>
      <c r="F162" s="5" t="s">
        <v>17</v>
      </c>
      <c r="G162" s="5" t="s">
        <v>18</v>
      </c>
      <c r="H162" s="5" t="n">
        <f aca="true">ROUND(RAND()*4+6,1)</f>
        <v>8.4</v>
      </c>
      <c r="I162" s="5" t="s">
        <v>19</v>
      </c>
      <c r="J162" s="5" t="str">
        <f aca="false">ROUND(72*1,0)&amp;"%"</f>
        <v>72%</v>
      </c>
    </row>
    <row r="163" customFormat="false" ht="15" hidden="false" customHeight="false" outlineLevel="0" collapsed="false">
      <c r="A163" s="6" t="s">
        <v>7748</v>
      </c>
      <c r="B163" s="6" t="s">
        <v>280</v>
      </c>
      <c r="C163" s="6" t="s">
        <v>152</v>
      </c>
      <c r="D163" s="6" t="s">
        <v>22</v>
      </c>
      <c r="E163" s="6" t="n">
        <f aca="false">ROUND(10783*1.05,2)</f>
        <v>11322.15</v>
      </c>
      <c r="F163" s="6" t="s">
        <v>23</v>
      </c>
      <c r="G163" s="6" t="s">
        <v>24</v>
      </c>
      <c r="H163" s="6" t="n">
        <f aca="true">ROUND(RAND()*4+6,1)</f>
        <v>9.9</v>
      </c>
      <c r="I163" s="6" t="s">
        <v>25</v>
      </c>
      <c r="J163" s="6" t="str">
        <f aca="false">ROUND(77*1,0)&amp;"%"</f>
        <v>77%</v>
      </c>
    </row>
    <row r="164" customFormat="false" ht="15" hidden="false" customHeight="false" outlineLevel="0" collapsed="false">
      <c r="A164" s="5" t="s">
        <v>7749</v>
      </c>
      <c r="B164" s="5" t="s">
        <v>282</v>
      </c>
      <c r="C164" s="5" t="s">
        <v>152</v>
      </c>
      <c r="D164" s="5" t="s">
        <v>28</v>
      </c>
      <c r="E164" s="5" t="n">
        <f aca="false">ROUND(16276*1.05,2)</f>
        <v>17089.8</v>
      </c>
      <c r="F164" s="5" t="s">
        <v>29</v>
      </c>
      <c r="G164" s="5" t="s">
        <v>30</v>
      </c>
      <c r="H164" s="5" t="n">
        <f aca="true">ROUND(RAND()*4+6,1)</f>
        <v>7.2</v>
      </c>
      <c r="I164" s="5" t="s">
        <v>31</v>
      </c>
      <c r="J164" s="5" t="str">
        <f aca="false">ROUND(63*1,0)&amp;"%"</f>
        <v>63%</v>
      </c>
    </row>
    <row r="165" customFormat="false" ht="15" hidden="false" customHeight="false" outlineLevel="0" collapsed="false">
      <c r="A165" s="6" t="s">
        <v>7750</v>
      </c>
      <c r="B165" s="6" t="s">
        <v>284</v>
      </c>
      <c r="C165" s="6" t="s">
        <v>152</v>
      </c>
      <c r="D165" s="6" t="s">
        <v>34</v>
      </c>
      <c r="E165" s="6" t="n">
        <f aca="false">ROUND(10883*1.05,2)</f>
        <v>11427.15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ROUND(89*1,0)&amp;"%"</f>
        <v>89%</v>
      </c>
    </row>
    <row r="166" customFormat="false" ht="15" hidden="false" customHeight="false" outlineLevel="0" collapsed="false">
      <c r="A166" s="5" t="s">
        <v>7751</v>
      </c>
      <c r="B166" s="5" t="s">
        <v>286</v>
      </c>
      <c r="C166" s="5" t="s">
        <v>152</v>
      </c>
      <c r="D166" s="5" t="s">
        <v>39</v>
      </c>
      <c r="E166" s="5" t="n">
        <f aca="false">ROUND(7395*1.05,2)</f>
        <v>7764.75</v>
      </c>
      <c r="F166" s="5" t="s">
        <v>40</v>
      </c>
      <c r="G166" s="5" t="s">
        <v>24</v>
      </c>
      <c r="H166" s="5" t="n">
        <f aca="true">ROUND(RAND()*4+6,1)</f>
        <v>8.3</v>
      </c>
      <c r="I166" s="5" t="s">
        <v>41</v>
      </c>
      <c r="J166" s="5" t="str">
        <f aca="false">ROUND(82*1,0)&amp;"%"</f>
        <v>82%</v>
      </c>
    </row>
    <row r="167" customFormat="false" ht="15" hidden="false" customHeight="false" outlineLevel="0" collapsed="false">
      <c r="A167" s="6" t="s">
        <v>7752</v>
      </c>
      <c r="B167" s="6" t="s">
        <v>288</v>
      </c>
      <c r="C167" s="6" t="s">
        <v>152</v>
      </c>
      <c r="D167" s="6" t="s">
        <v>44</v>
      </c>
      <c r="E167" s="6" t="n">
        <f aca="false">ROUND(17115*1.05,2)</f>
        <v>17970.75</v>
      </c>
      <c r="F167" s="6" t="s">
        <v>45</v>
      </c>
      <c r="G167" s="6" t="s">
        <v>30</v>
      </c>
      <c r="H167" s="6" t="n">
        <f aca="true">ROUND(RAND()*4+6,1)</f>
        <v>8.1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7753</v>
      </c>
      <c r="B168" s="5" t="s">
        <v>290</v>
      </c>
      <c r="C168" s="5" t="s">
        <v>152</v>
      </c>
      <c r="D168" s="5" t="s">
        <v>16</v>
      </c>
      <c r="E168" s="5" t="n">
        <f aca="false">ROUND(8837*1.05,2)</f>
        <v>9278.85</v>
      </c>
      <c r="F168" s="5" t="s">
        <v>49</v>
      </c>
      <c r="G168" s="5" t="s">
        <v>18</v>
      </c>
      <c r="H168" s="5" t="n">
        <f aca="true">ROUND(RAND()*4+6,1)</f>
        <v>6.3</v>
      </c>
      <c r="I168" s="5" t="s">
        <v>19</v>
      </c>
      <c r="J168" s="5" t="str">
        <f aca="false">ROUND(70*1,0)&amp;"%"</f>
        <v>70%</v>
      </c>
    </row>
    <row r="169" customFormat="false" ht="15" hidden="false" customHeight="false" outlineLevel="0" collapsed="false">
      <c r="A169" s="6" t="s">
        <v>7754</v>
      </c>
      <c r="B169" s="6" t="s">
        <v>292</v>
      </c>
      <c r="C169" s="6" t="s">
        <v>152</v>
      </c>
      <c r="D169" s="6" t="s">
        <v>22</v>
      </c>
      <c r="E169" s="6" t="n">
        <f aca="false">ROUND(14622*1.05,2)</f>
        <v>15353.1</v>
      </c>
      <c r="F169" s="6" t="s">
        <v>52</v>
      </c>
      <c r="G169" s="6" t="s">
        <v>24</v>
      </c>
      <c r="H169" s="6" t="n">
        <f aca="true">ROUND(RAND()*4+6,1)</f>
        <v>8.7</v>
      </c>
      <c r="I169" s="6" t="s">
        <v>25</v>
      </c>
      <c r="J169" s="6" t="str">
        <f aca="false">ROUND(90*1,0)&amp;"%"</f>
        <v>90%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7755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7756</v>
      </c>
      <c r="B174" s="5" t="s">
        <v>296</v>
      </c>
      <c r="C174" s="5" t="s">
        <v>15</v>
      </c>
      <c r="D174" s="5" t="s">
        <v>16</v>
      </c>
      <c r="E174" s="5" t="n">
        <f aca="false">ROUND(9357*1.05,2)</f>
        <v>9824.85</v>
      </c>
      <c r="F174" s="5" t="s">
        <v>17</v>
      </c>
      <c r="G174" s="5" t="s">
        <v>18</v>
      </c>
      <c r="H174" s="5" t="n">
        <f aca="true">ROUND(RAND()*4+6,1)</f>
        <v>6.8</v>
      </c>
      <c r="I174" s="5" t="s">
        <v>19</v>
      </c>
      <c r="J174" s="5" t="str">
        <f aca="false">ROUND(82*1,0)&amp;"%"</f>
        <v>82%</v>
      </c>
    </row>
    <row r="175" customFormat="false" ht="15" hidden="false" customHeight="false" outlineLevel="0" collapsed="false">
      <c r="A175" s="6" t="s">
        <v>7757</v>
      </c>
      <c r="B175" s="6" t="s">
        <v>298</v>
      </c>
      <c r="C175" s="6" t="s">
        <v>15</v>
      </c>
      <c r="D175" s="6" t="s">
        <v>22</v>
      </c>
      <c r="E175" s="6" t="n">
        <f aca="false">ROUND(11641*1.05,2)</f>
        <v>12223.05</v>
      </c>
      <c r="F175" s="6" t="s">
        <v>23</v>
      </c>
      <c r="G175" s="6" t="s">
        <v>24</v>
      </c>
      <c r="H175" s="6" t="n">
        <f aca="true">ROUND(RAND()*4+6,1)</f>
        <v>8.6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7758</v>
      </c>
      <c r="B176" s="5" t="s">
        <v>300</v>
      </c>
      <c r="C176" s="5" t="s">
        <v>15</v>
      </c>
      <c r="D176" s="5" t="s">
        <v>28</v>
      </c>
      <c r="E176" s="5" t="n">
        <f aca="false">ROUND(17147*1.05,2)</f>
        <v>18004.35</v>
      </c>
      <c r="F176" s="5" t="s">
        <v>29</v>
      </c>
      <c r="G176" s="5" t="s">
        <v>30</v>
      </c>
      <c r="H176" s="5" t="n">
        <f aca="true">ROUND(RAND()*4+6,1)</f>
        <v>6.2</v>
      </c>
      <c r="I176" s="5" t="s">
        <v>31</v>
      </c>
      <c r="J176" s="5" t="str">
        <f aca="false">ROUND(83*1,0)&amp;"%"</f>
        <v>83%</v>
      </c>
    </row>
    <row r="177" customFormat="false" ht="15" hidden="false" customHeight="false" outlineLevel="0" collapsed="false">
      <c r="A177" s="6" t="s">
        <v>7759</v>
      </c>
      <c r="B177" s="6" t="s">
        <v>302</v>
      </c>
      <c r="C177" s="6" t="s">
        <v>15</v>
      </c>
      <c r="D177" s="6" t="s">
        <v>34</v>
      </c>
      <c r="E177" s="6" t="n">
        <f aca="false">ROUND(8656*1.05,2)</f>
        <v>9088.8</v>
      </c>
      <c r="F177" s="6" t="s">
        <v>35</v>
      </c>
      <c r="G177" s="6" t="s">
        <v>18</v>
      </c>
      <c r="H177" s="6" t="n">
        <f aca="true">ROUND(RAND()*4+6,1)</f>
        <v>8</v>
      </c>
      <c r="I177" s="6" t="s">
        <v>36</v>
      </c>
      <c r="J177" s="6" t="str">
        <f aca="false">ROUND(75*1,0)&amp;"%"</f>
        <v>75%</v>
      </c>
    </row>
    <row r="178" customFormat="false" ht="15" hidden="false" customHeight="false" outlineLevel="0" collapsed="false">
      <c r="A178" s="5" t="s">
        <v>7760</v>
      </c>
      <c r="B178" s="5" t="s">
        <v>304</v>
      </c>
      <c r="C178" s="5" t="s">
        <v>15</v>
      </c>
      <c r="D178" s="5" t="s">
        <v>39</v>
      </c>
      <c r="E178" s="5" t="n">
        <f aca="false">ROUND(8873*1.05,2)</f>
        <v>9316.65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ROUND(93*1,0)&amp;"%"</f>
        <v>93%</v>
      </c>
    </row>
    <row r="179" customFormat="false" ht="15" hidden="false" customHeight="false" outlineLevel="0" collapsed="false">
      <c r="A179" s="6" t="s">
        <v>7761</v>
      </c>
      <c r="B179" s="6" t="s">
        <v>306</v>
      </c>
      <c r="C179" s="6" t="s">
        <v>15</v>
      </c>
      <c r="D179" s="6" t="s">
        <v>44</v>
      </c>
      <c r="E179" s="6" t="n">
        <f aca="false">ROUND(6014*1.05,2)</f>
        <v>6314.7</v>
      </c>
      <c r="F179" s="6" t="s">
        <v>45</v>
      </c>
      <c r="G179" s="6" t="s">
        <v>30</v>
      </c>
      <c r="H179" s="6" t="n">
        <f aca="true">ROUND(RAND()*4+6,1)</f>
        <v>9.9</v>
      </c>
      <c r="I179" s="6" t="s">
        <v>46</v>
      </c>
      <c r="J179" s="6" t="str">
        <f aca="false">ROUND(100*1,0)&amp;"%"</f>
        <v>100%</v>
      </c>
    </row>
    <row r="180" customFormat="false" ht="15" hidden="false" customHeight="false" outlineLevel="0" collapsed="false">
      <c r="A180" s="5" t="s">
        <v>7762</v>
      </c>
      <c r="B180" s="5" t="s">
        <v>308</v>
      </c>
      <c r="C180" s="5" t="s">
        <v>15</v>
      </c>
      <c r="D180" s="5" t="s">
        <v>16</v>
      </c>
      <c r="E180" s="5" t="n">
        <f aca="false">ROUND(5730*1.05,2)</f>
        <v>6016.5</v>
      </c>
      <c r="F180" s="5" t="s">
        <v>49</v>
      </c>
      <c r="G180" s="5" t="s">
        <v>18</v>
      </c>
      <c r="H180" s="5" t="n">
        <f aca="true">ROUND(RAND()*4+6,1)</f>
        <v>9.6</v>
      </c>
      <c r="I180" s="5" t="s">
        <v>19</v>
      </c>
      <c r="J180" s="5" t="str">
        <f aca="false">ROUND(88*1,0)&amp;"%"</f>
        <v>88%</v>
      </c>
    </row>
    <row r="181" customFormat="false" ht="15" hidden="false" customHeight="false" outlineLevel="0" collapsed="false">
      <c r="A181" s="6" t="s">
        <v>7763</v>
      </c>
      <c r="B181" s="6" t="s">
        <v>310</v>
      </c>
      <c r="C181" s="6" t="s">
        <v>15</v>
      </c>
      <c r="D181" s="6" t="s">
        <v>22</v>
      </c>
      <c r="E181" s="6" t="n">
        <f aca="false">ROUND(15098*1.05,2)</f>
        <v>15852.9</v>
      </c>
      <c r="F181" s="6" t="s">
        <v>52</v>
      </c>
      <c r="G181" s="6" t="s">
        <v>24</v>
      </c>
      <c r="H181" s="6" t="n">
        <f aca="true">ROUND(RAND()*4+6,1)</f>
        <v>7</v>
      </c>
      <c r="I181" s="6" t="s">
        <v>25</v>
      </c>
      <c r="J181" s="6" t="str">
        <f aca="false">ROUND(74*1,0)&amp;"%"</f>
        <v>74%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7764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7765</v>
      </c>
      <c r="B186" s="5" t="s">
        <v>314</v>
      </c>
      <c r="C186" s="5" t="s">
        <v>57</v>
      </c>
      <c r="D186" s="5" t="s">
        <v>16</v>
      </c>
      <c r="E186" s="5" t="n">
        <f aca="false">ROUND(15555*1.05,2)</f>
        <v>16332.75</v>
      </c>
      <c r="F186" s="5" t="s">
        <v>17</v>
      </c>
      <c r="G186" s="5" t="s">
        <v>18</v>
      </c>
      <c r="H186" s="5" t="n">
        <f aca="true">ROUND(RAND()*4+6,1)</f>
        <v>9.6</v>
      </c>
      <c r="I186" s="5" t="s">
        <v>19</v>
      </c>
      <c r="J186" s="5" t="str">
        <f aca="false">ROUND(67*1,0)&amp;"%"</f>
        <v>67%</v>
      </c>
    </row>
    <row r="187" customFormat="false" ht="15" hidden="false" customHeight="false" outlineLevel="0" collapsed="false">
      <c r="A187" s="6" t="s">
        <v>7766</v>
      </c>
      <c r="B187" s="6" t="s">
        <v>316</v>
      </c>
      <c r="C187" s="6" t="s">
        <v>57</v>
      </c>
      <c r="D187" s="6" t="s">
        <v>22</v>
      </c>
      <c r="E187" s="6" t="n">
        <f aca="false">ROUND(11766*1.05,2)</f>
        <v>12354.3</v>
      </c>
      <c r="F187" s="6" t="s">
        <v>23</v>
      </c>
      <c r="G187" s="6" t="s">
        <v>24</v>
      </c>
      <c r="H187" s="6" t="n">
        <f aca="true">ROUND(RAND()*4+6,1)</f>
        <v>6.4</v>
      </c>
      <c r="I187" s="6" t="s">
        <v>25</v>
      </c>
      <c r="J187" s="6" t="str">
        <f aca="false">ROUND(65*1,0)&amp;"%"</f>
        <v>65%</v>
      </c>
    </row>
    <row r="188" customFormat="false" ht="15" hidden="false" customHeight="false" outlineLevel="0" collapsed="false">
      <c r="A188" s="5" t="s">
        <v>7767</v>
      </c>
      <c r="B188" s="5" t="s">
        <v>318</v>
      </c>
      <c r="C188" s="5" t="s">
        <v>57</v>
      </c>
      <c r="D188" s="5" t="s">
        <v>28</v>
      </c>
      <c r="E188" s="5" t="n">
        <f aca="false">ROUND(6457*1.05,2)</f>
        <v>6779.85</v>
      </c>
      <c r="F188" s="5" t="s">
        <v>29</v>
      </c>
      <c r="G188" s="5" t="s">
        <v>30</v>
      </c>
      <c r="H188" s="5" t="n">
        <f aca="true">ROUND(RAND()*4+6,1)</f>
        <v>9.5</v>
      </c>
      <c r="I188" s="5" t="s">
        <v>31</v>
      </c>
      <c r="J188" s="5" t="str">
        <f aca="false">ROUND(68*1,0)&amp;"%"</f>
        <v>68%</v>
      </c>
    </row>
    <row r="189" customFormat="false" ht="15" hidden="false" customHeight="false" outlineLevel="0" collapsed="false">
      <c r="A189" s="6" t="s">
        <v>7768</v>
      </c>
      <c r="B189" s="6" t="s">
        <v>320</v>
      </c>
      <c r="C189" s="6" t="s">
        <v>57</v>
      </c>
      <c r="D189" s="6" t="s">
        <v>34</v>
      </c>
      <c r="E189" s="6" t="n">
        <f aca="false">ROUND(9875*1.05,2)</f>
        <v>10368.75</v>
      </c>
      <c r="F189" s="6" t="s">
        <v>35</v>
      </c>
      <c r="G189" s="6" t="s">
        <v>18</v>
      </c>
      <c r="H189" s="6" t="n">
        <f aca="true">ROUND(RAND()*4+6,1)</f>
        <v>6.5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7769</v>
      </c>
      <c r="B190" s="5" t="s">
        <v>322</v>
      </c>
      <c r="C190" s="5" t="s">
        <v>57</v>
      </c>
      <c r="D190" s="5" t="s">
        <v>39</v>
      </c>
      <c r="E190" s="5" t="n">
        <f aca="false">ROUND(12906*1.05,2)</f>
        <v>13551.3</v>
      </c>
      <c r="F190" s="5" t="s">
        <v>40</v>
      </c>
      <c r="G190" s="5" t="s">
        <v>24</v>
      </c>
      <c r="H190" s="5" t="n">
        <f aca="true">ROUND(RAND()*4+6,1)</f>
        <v>7.2</v>
      </c>
      <c r="I190" s="5" t="s">
        <v>41</v>
      </c>
      <c r="J190" s="5" t="str">
        <f aca="false">ROUND(87*1,0)&amp;"%"</f>
        <v>87%</v>
      </c>
    </row>
    <row r="191" customFormat="false" ht="15" hidden="false" customHeight="false" outlineLevel="0" collapsed="false">
      <c r="A191" s="6" t="s">
        <v>7770</v>
      </c>
      <c r="B191" s="6" t="s">
        <v>324</v>
      </c>
      <c r="C191" s="6" t="s">
        <v>57</v>
      </c>
      <c r="D191" s="6" t="s">
        <v>44</v>
      </c>
      <c r="E191" s="6" t="n">
        <f aca="false">ROUND(14026*1.05,2)</f>
        <v>14727.3</v>
      </c>
      <c r="F191" s="6" t="s">
        <v>45</v>
      </c>
      <c r="G191" s="6" t="s">
        <v>30</v>
      </c>
      <c r="H191" s="6" t="n">
        <f aca="true">ROUND(RAND()*4+6,1)</f>
        <v>6.9</v>
      </c>
      <c r="I191" s="6" t="s">
        <v>46</v>
      </c>
      <c r="J191" s="6" t="str">
        <f aca="false">ROUND(64*1,0)&amp;"%"</f>
        <v>64%</v>
      </c>
    </row>
    <row r="192" customFormat="false" ht="15" hidden="false" customHeight="false" outlineLevel="0" collapsed="false">
      <c r="A192" s="5" t="s">
        <v>7771</v>
      </c>
      <c r="B192" s="5" t="s">
        <v>326</v>
      </c>
      <c r="C192" s="5" t="s">
        <v>57</v>
      </c>
      <c r="D192" s="5" t="s">
        <v>16</v>
      </c>
      <c r="E192" s="5" t="n">
        <f aca="false">ROUND(5857*1.05,2)</f>
        <v>6149.85</v>
      </c>
      <c r="F192" s="5" t="s">
        <v>49</v>
      </c>
      <c r="G192" s="5" t="s">
        <v>18</v>
      </c>
      <c r="H192" s="5" t="n">
        <f aca="true">ROUND(RAND()*4+6,1)</f>
        <v>8.7</v>
      </c>
      <c r="I192" s="5" t="s">
        <v>19</v>
      </c>
      <c r="J192" s="5" t="str">
        <f aca="false">ROUND(81*1,0)&amp;"%"</f>
        <v>81%</v>
      </c>
    </row>
    <row r="193" customFormat="false" ht="15" hidden="false" customHeight="false" outlineLevel="0" collapsed="false">
      <c r="A193" s="6" t="s">
        <v>7772</v>
      </c>
      <c r="B193" s="6" t="s">
        <v>328</v>
      </c>
      <c r="C193" s="6" t="s">
        <v>57</v>
      </c>
      <c r="D193" s="6" t="s">
        <v>22</v>
      </c>
      <c r="E193" s="6" t="n">
        <f aca="false">ROUND(4790*1.05,2)</f>
        <v>5029.5</v>
      </c>
      <c r="F193" s="6" t="s">
        <v>52</v>
      </c>
      <c r="G193" s="6" t="s">
        <v>24</v>
      </c>
      <c r="H193" s="6" t="n">
        <f aca="true">ROUND(RAND()*4+6,1)</f>
        <v>7.2</v>
      </c>
      <c r="I193" s="6" t="s">
        <v>25</v>
      </c>
      <c r="J193" s="6" t="str">
        <f aca="false">ROUND(86*1,0)&amp;"%"</f>
        <v>86%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7773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7774</v>
      </c>
      <c r="B198" s="5" t="s">
        <v>332</v>
      </c>
      <c r="C198" s="5" t="s">
        <v>76</v>
      </c>
      <c r="D198" s="5" t="s">
        <v>16</v>
      </c>
      <c r="E198" s="5" t="n">
        <f aca="false">ROUND(8332*1.05,2)</f>
        <v>8748.6</v>
      </c>
      <c r="F198" s="5" t="s">
        <v>17</v>
      </c>
      <c r="G198" s="5" t="s">
        <v>18</v>
      </c>
      <c r="H198" s="5" t="n">
        <f aca="true">ROUND(RAND()*4+6,1)</f>
        <v>7.6</v>
      </c>
      <c r="I198" s="5" t="s">
        <v>19</v>
      </c>
      <c r="J198" s="5" t="str">
        <f aca="false">ROUND(69*1,0)&amp;"%"</f>
        <v>69%</v>
      </c>
    </row>
    <row r="199" customFormat="false" ht="15" hidden="false" customHeight="false" outlineLevel="0" collapsed="false">
      <c r="A199" s="6" t="s">
        <v>7775</v>
      </c>
      <c r="B199" s="6" t="s">
        <v>334</v>
      </c>
      <c r="C199" s="6" t="s">
        <v>76</v>
      </c>
      <c r="D199" s="6" t="s">
        <v>22</v>
      </c>
      <c r="E199" s="6" t="n">
        <f aca="false">ROUND(6445*1.05,2)</f>
        <v>6767.25</v>
      </c>
      <c r="F199" s="6" t="s">
        <v>23</v>
      </c>
      <c r="G199" s="6" t="s">
        <v>24</v>
      </c>
      <c r="H199" s="6" t="n">
        <f aca="true">ROUND(RAND()*4+6,1)</f>
        <v>7.6</v>
      </c>
      <c r="I199" s="6" t="s">
        <v>25</v>
      </c>
      <c r="J199" s="6" t="str">
        <f aca="false">ROUND(66*1,0)&amp;"%"</f>
        <v>66%</v>
      </c>
    </row>
    <row r="200" customFormat="false" ht="15" hidden="false" customHeight="false" outlineLevel="0" collapsed="false">
      <c r="A200" s="5" t="s">
        <v>7776</v>
      </c>
      <c r="B200" s="5" t="s">
        <v>336</v>
      </c>
      <c r="C200" s="5" t="s">
        <v>76</v>
      </c>
      <c r="D200" s="5" t="s">
        <v>28</v>
      </c>
      <c r="E200" s="5" t="n">
        <f aca="false">ROUND(10479*1.05,2)</f>
        <v>11002.95</v>
      </c>
      <c r="F200" s="5" t="s">
        <v>29</v>
      </c>
      <c r="G200" s="5" t="s">
        <v>30</v>
      </c>
      <c r="H200" s="5" t="n">
        <f aca="true">ROUND(RAND()*4+6,1)</f>
        <v>7.6</v>
      </c>
      <c r="I200" s="5" t="s">
        <v>31</v>
      </c>
      <c r="J200" s="5" t="str">
        <f aca="false">ROUND(93*1,0)&amp;"%"</f>
        <v>93%</v>
      </c>
    </row>
    <row r="201" customFormat="false" ht="15" hidden="false" customHeight="false" outlineLevel="0" collapsed="false">
      <c r="A201" s="6" t="s">
        <v>7777</v>
      </c>
      <c r="B201" s="6" t="s">
        <v>338</v>
      </c>
      <c r="C201" s="6" t="s">
        <v>76</v>
      </c>
      <c r="D201" s="6" t="s">
        <v>34</v>
      </c>
      <c r="E201" s="6" t="n">
        <f aca="false">ROUND(7350*1.05,2)</f>
        <v>7717.5</v>
      </c>
      <c r="F201" s="6" t="s">
        <v>35</v>
      </c>
      <c r="G201" s="6" t="s">
        <v>18</v>
      </c>
      <c r="H201" s="6" t="n">
        <f aca="true">ROUND(RAND()*4+6,1)</f>
        <v>6.2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7778</v>
      </c>
      <c r="B202" s="5" t="s">
        <v>340</v>
      </c>
      <c r="C202" s="5" t="s">
        <v>76</v>
      </c>
      <c r="D202" s="5" t="s">
        <v>39</v>
      </c>
      <c r="E202" s="5" t="n">
        <f aca="false">ROUND(13484*1.05,2)</f>
        <v>14158.2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ROUND(82*1,0)&amp;"%"</f>
        <v>82%</v>
      </c>
    </row>
    <row r="203" customFormat="false" ht="15" hidden="false" customHeight="false" outlineLevel="0" collapsed="false">
      <c r="A203" s="6" t="s">
        <v>7779</v>
      </c>
      <c r="B203" s="6" t="s">
        <v>342</v>
      </c>
      <c r="C203" s="6" t="s">
        <v>76</v>
      </c>
      <c r="D203" s="6" t="s">
        <v>44</v>
      </c>
      <c r="E203" s="6" t="n">
        <f aca="false">ROUND(12661*1.05,2)</f>
        <v>13294.05</v>
      </c>
      <c r="F203" s="6" t="s">
        <v>45</v>
      </c>
      <c r="G203" s="6" t="s">
        <v>30</v>
      </c>
      <c r="H203" s="6" t="n">
        <f aca="true">ROUND(RAND()*4+6,1)</f>
        <v>8.3</v>
      </c>
      <c r="I203" s="6" t="s">
        <v>46</v>
      </c>
      <c r="J203" s="6" t="str">
        <f aca="false">ROUND(78*1,0)&amp;"%"</f>
        <v>78%</v>
      </c>
    </row>
    <row r="204" customFormat="false" ht="15" hidden="false" customHeight="false" outlineLevel="0" collapsed="false">
      <c r="A204" s="5" t="s">
        <v>7780</v>
      </c>
      <c r="B204" s="5" t="s">
        <v>344</v>
      </c>
      <c r="C204" s="5" t="s">
        <v>76</v>
      </c>
      <c r="D204" s="5" t="s">
        <v>16</v>
      </c>
      <c r="E204" s="5" t="n">
        <f aca="false">ROUND(12865*1.05,2)</f>
        <v>13508.25</v>
      </c>
      <c r="F204" s="5" t="s">
        <v>49</v>
      </c>
      <c r="G204" s="5" t="s">
        <v>18</v>
      </c>
      <c r="H204" s="5" t="n">
        <f aca="true">ROUND(RAND()*4+6,1)</f>
        <v>8.2</v>
      </c>
      <c r="I204" s="5" t="s">
        <v>19</v>
      </c>
      <c r="J204" s="5" t="str">
        <f aca="false">ROUND(84*1,0)&amp;"%"</f>
        <v>84%</v>
      </c>
    </row>
    <row r="205" customFormat="false" ht="15" hidden="false" customHeight="false" outlineLevel="0" collapsed="false">
      <c r="A205" s="6" t="s">
        <v>7781</v>
      </c>
      <c r="B205" s="6" t="s">
        <v>346</v>
      </c>
      <c r="C205" s="6" t="s">
        <v>76</v>
      </c>
      <c r="D205" s="6" t="s">
        <v>22</v>
      </c>
      <c r="E205" s="6" t="n">
        <f aca="false">ROUND(9394*1.05,2)</f>
        <v>9863.7</v>
      </c>
      <c r="F205" s="6" t="s">
        <v>52</v>
      </c>
      <c r="G205" s="6" t="s">
        <v>24</v>
      </c>
      <c r="H205" s="6" t="n">
        <f aca="true">ROUND(RAND()*4+6,1)</f>
        <v>6.1</v>
      </c>
      <c r="I205" s="6" t="s">
        <v>25</v>
      </c>
      <c r="J205" s="6" t="str">
        <f aca="false">ROUND(89*1,0)&amp;"%"</f>
        <v>89%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7782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7783</v>
      </c>
      <c r="B210" s="5" t="s">
        <v>350</v>
      </c>
      <c r="C210" s="5" t="s">
        <v>95</v>
      </c>
      <c r="D210" s="5" t="s">
        <v>16</v>
      </c>
      <c r="E210" s="5" t="n">
        <f aca="false">ROUND(14549*1.05,2)</f>
        <v>15276.45</v>
      </c>
      <c r="F210" s="5" t="s">
        <v>17</v>
      </c>
      <c r="G210" s="5" t="s">
        <v>18</v>
      </c>
      <c r="H210" s="5" t="n">
        <f aca="true">ROUND(RAND()*4+6,1)</f>
        <v>9.1</v>
      </c>
      <c r="I210" s="5" t="s">
        <v>19</v>
      </c>
      <c r="J210" s="5" t="str">
        <f aca="false">ROUND(89*1,0)&amp;"%"</f>
        <v>89%</v>
      </c>
    </row>
    <row r="211" customFormat="false" ht="15" hidden="false" customHeight="false" outlineLevel="0" collapsed="false">
      <c r="A211" s="6" t="s">
        <v>7784</v>
      </c>
      <c r="B211" s="6" t="s">
        <v>352</v>
      </c>
      <c r="C211" s="6" t="s">
        <v>95</v>
      </c>
      <c r="D211" s="6" t="s">
        <v>22</v>
      </c>
      <c r="E211" s="6" t="n">
        <f aca="false">ROUND(16291*1.05,2)</f>
        <v>17105.55</v>
      </c>
      <c r="F211" s="6" t="s">
        <v>23</v>
      </c>
      <c r="G211" s="6" t="s">
        <v>24</v>
      </c>
      <c r="H211" s="6" t="n">
        <f aca="true">ROUND(RAND()*4+6,1)</f>
        <v>9.2</v>
      </c>
      <c r="I211" s="6" t="s">
        <v>25</v>
      </c>
      <c r="J211" s="6" t="str">
        <f aca="false">ROUND(84*1,0)&amp;"%"</f>
        <v>84%</v>
      </c>
    </row>
    <row r="212" customFormat="false" ht="15" hidden="false" customHeight="false" outlineLevel="0" collapsed="false">
      <c r="A212" s="5" t="s">
        <v>7785</v>
      </c>
      <c r="B212" s="5" t="s">
        <v>354</v>
      </c>
      <c r="C212" s="5" t="s">
        <v>95</v>
      </c>
      <c r="D212" s="5" t="s">
        <v>28</v>
      </c>
      <c r="E212" s="5" t="n">
        <f aca="false">ROUND(7169*1.05,2)</f>
        <v>7527.45</v>
      </c>
      <c r="F212" s="5" t="s">
        <v>29</v>
      </c>
      <c r="G212" s="5" t="s">
        <v>30</v>
      </c>
      <c r="H212" s="5" t="n">
        <f aca="true">ROUND(RAND()*4+6,1)</f>
        <v>6.8</v>
      </c>
      <c r="I212" s="5" t="s">
        <v>31</v>
      </c>
      <c r="J212" s="5" t="str">
        <f aca="false">ROUND(95*1,0)&amp;"%"</f>
        <v>95%</v>
      </c>
    </row>
    <row r="213" customFormat="false" ht="15" hidden="false" customHeight="false" outlineLevel="0" collapsed="false">
      <c r="A213" s="6" t="s">
        <v>7786</v>
      </c>
      <c r="B213" s="6" t="s">
        <v>356</v>
      </c>
      <c r="C213" s="6" t="s">
        <v>95</v>
      </c>
      <c r="D213" s="6" t="s">
        <v>34</v>
      </c>
      <c r="E213" s="6" t="n">
        <f aca="false">ROUND(9502*1.05,2)</f>
        <v>9977.1</v>
      </c>
      <c r="F213" s="6" t="s">
        <v>35</v>
      </c>
      <c r="G213" s="6" t="s">
        <v>18</v>
      </c>
      <c r="H213" s="6" t="n">
        <f aca="true">ROUND(RAND()*4+6,1)</f>
        <v>7.6</v>
      </c>
      <c r="I213" s="6" t="s">
        <v>36</v>
      </c>
      <c r="J213" s="6" t="str">
        <f aca="false">ROUND(87*1,0)&amp;"%"</f>
        <v>87%</v>
      </c>
    </row>
    <row r="214" customFormat="false" ht="15" hidden="false" customHeight="false" outlineLevel="0" collapsed="false">
      <c r="A214" s="5" t="s">
        <v>7787</v>
      </c>
      <c r="B214" s="5" t="s">
        <v>358</v>
      </c>
      <c r="C214" s="5" t="s">
        <v>95</v>
      </c>
      <c r="D214" s="5" t="s">
        <v>39</v>
      </c>
      <c r="E214" s="5" t="n">
        <f aca="false">ROUND(4146*1.05,2)</f>
        <v>4353.3</v>
      </c>
      <c r="F214" s="5" t="s">
        <v>40</v>
      </c>
      <c r="G214" s="5" t="s">
        <v>24</v>
      </c>
      <c r="H214" s="5" t="n">
        <f aca="true">ROUND(RAND()*4+6,1)</f>
        <v>6.5</v>
      </c>
      <c r="I214" s="5" t="s">
        <v>41</v>
      </c>
      <c r="J214" s="5" t="str">
        <f aca="false">ROUND(97*1,0)&amp;"%"</f>
        <v>97%</v>
      </c>
    </row>
    <row r="215" customFormat="false" ht="15" hidden="false" customHeight="false" outlineLevel="0" collapsed="false">
      <c r="A215" s="6" t="s">
        <v>7788</v>
      </c>
      <c r="B215" s="6" t="s">
        <v>360</v>
      </c>
      <c r="C215" s="6" t="s">
        <v>95</v>
      </c>
      <c r="D215" s="6" t="s">
        <v>44</v>
      </c>
      <c r="E215" s="6" t="n">
        <f aca="false">ROUND(4729*1.05,2)</f>
        <v>4965.45</v>
      </c>
      <c r="F215" s="6" t="s">
        <v>45</v>
      </c>
      <c r="G215" s="6" t="s">
        <v>30</v>
      </c>
      <c r="H215" s="6" t="n">
        <f aca="true">ROUND(RAND()*4+6,1)</f>
        <v>8.4</v>
      </c>
      <c r="I215" s="6" t="s">
        <v>46</v>
      </c>
      <c r="J215" s="6" t="str">
        <f aca="false">ROUND(97*1,0)&amp;"%"</f>
        <v>97%</v>
      </c>
    </row>
    <row r="216" customFormat="false" ht="15" hidden="false" customHeight="false" outlineLevel="0" collapsed="false">
      <c r="A216" s="5" t="s">
        <v>7789</v>
      </c>
      <c r="B216" s="5" t="s">
        <v>362</v>
      </c>
      <c r="C216" s="5" t="s">
        <v>95</v>
      </c>
      <c r="D216" s="5" t="s">
        <v>16</v>
      </c>
      <c r="E216" s="5" t="n">
        <f aca="false">ROUND(10052*1.05,2)</f>
        <v>10554.6</v>
      </c>
      <c r="F216" s="5" t="s">
        <v>49</v>
      </c>
      <c r="G216" s="5" t="s">
        <v>18</v>
      </c>
      <c r="H216" s="5" t="n">
        <f aca="true">ROUND(RAND()*4+6,1)</f>
        <v>9</v>
      </c>
      <c r="I216" s="5" t="s">
        <v>19</v>
      </c>
      <c r="J216" s="5" t="str">
        <f aca="false">ROUND(67*1,0)&amp;"%"</f>
        <v>67%</v>
      </c>
    </row>
    <row r="217" customFormat="false" ht="15" hidden="false" customHeight="false" outlineLevel="0" collapsed="false">
      <c r="A217" s="6" t="s">
        <v>7790</v>
      </c>
      <c r="B217" s="6" t="s">
        <v>364</v>
      </c>
      <c r="C217" s="6" t="s">
        <v>95</v>
      </c>
      <c r="D217" s="6" t="s">
        <v>22</v>
      </c>
      <c r="E217" s="6" t="n">
        <f aca="false">ROUND(16932*1.05,2)</f>
        <v>17778.6</v>
      </c>
      <c r="F217" s="6" t="s">
        <v>52</v>
      </c>
      <c r="G217" s="6" t="s">
        <v>24</v>
      </c>
      <c r="H217" s="6" t="n">
        <f aca="true">ROUND(RAND()*4+6,1)</f>
        <v>6.5</v>
      </c>
      <c r="I217" s="6" t="s">
        <v>25</v>
      </c>
      <c r="J217" s="6" t="str">
        <f aca="false">ROUND(93*1,0)&amp;"%"</f>
        <v>93%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7791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7792</v>
      </c>
      <c r="B222" s="5" t="s">
        <v>368</v>
      </c>
      <c r="C222" s="5" t="s">
        <v>114</v>
      </c>
      <c r="D222" s="5" t="s">
        <v>16</v>
      </c>
      <c r="E222" s="5" t="n">
        <f aca="false">ROUND(12177*1.05,2)</f>
        <v>12785.85</v>
      </c>
      <c r="F222" s="5" t="s">
        <v>17</v>
      </c>
      <c r="G222" s="5" t="s">
        <v>18</v>
      </c>
      <c r="H222" s="5" t="n">
        <f aca="true">ROUND(RAND()*4+6,1)</f>
        <v>9.3</v>
      </c>
      <c r="I222" s="5" t="s">
        <v>19</v>
      </c>
      <c r="J222" s="5" t="str">
        <f aca="false">ROUND(88*1,0)&amp;"%"</f>
        <v>88%</v>
      </c>
    </row>
    <row r="223" customFormat="false" ht="15" hidden="false" customHeight="false" outlineLevel="0" collapsed="false">
      <c r="A223" s="6" t="s">
        <v>7793</v>
      </c>
      <c r="B223" s="6" t="s">
        <v>370</v>
      </c>
      <c r="C223" s="6" t="s">
        <v>114</v>
      </c>
      <c r="D223" s="6" t="s">
        <v>22</v>
      </c>
      <c r="E223" s="6" t="n">
        <f aca="false">ROUND(11914*1.05,2)</f>
        <v>12509.7</v>
      </c>
      <c r="F223" s="6" t="s">
        <v>23</v>
      </c>
      <c r="G223" s="6" t="s">
        <v>24</v>
      </c>
      <c r="H223" s="6" t="n">
        <f aca="true">ROUND(RAND()*4+6,1)</f>
        <v>9.4</v>
      </c>
      <c r="I223" s="6" t="s">
        <v>25</v>
      </c>
      <c r="J223" s="6" t="str">
        <f aca="false">ROUND(68*1,0)&amp;"%"</f>
        <v>68%</v>
      </c>
    </row>
    <row r="224" customFormat="false" ht="15" hidden="false" customHeight="false" outlineLevel="0" collapsed="false">
      <c r="A224" s="5" t="s">
        <v>7794</v>
      </c>
      <c r="B224" s="5" t="s">
        <v>372</v>
      </c>
      <c r="C224" s="5" t="s">
        <v>114</v>
      </c>
      <c r="D224" s="5" t="s">
        <v>28</v>
      </c>
      <c r="E224" s="5" t="n">
        <f aca="false">ROUND(8158*1.05,2)</f>
        <v>8565.9</v>
      </c>
      <c r="F224" s="5" t="s">
        <v>29</v>
      </c>
      <c r="G224" s="5" t="s">
        <v>30</v>
      </c>
      <c r="H224" s="5" t="n">
        <f aca="true">ROUND(RAND()*4+6,1)</f>
        <v>7.4</v>
      </c>
      <c r="I224" s="5" t="s">
        <v>31</v>
      </c>
      <c r="J224" s="5" t="str">
        <f aca="false">ROUND(93*1,0)&amp;"%"</f>
        <v>93%</v>
      </c>
    </row>
    <row r="225" customFormat="false" ht="15" hidden="false" customHeight="false" outlineLevel="0" collapsed="false">
      <c r="A225" s="6" t="s">
        <v>7795</v>
      </c>
      <c r="B225" s="6" t="s">
        <v>374</v>
      </c>
      <c r="C225" s="6" t="s">
        <v>114</v>
      </c>
      <c r="D225" s="6" t="s">
        <v>34</v>
      </c>
      <c r="E225" s="6" t="n">
        <f aca="false">ROUND(5074*1.05,2)</f>
        <v>5327.7</v>
      </c>
      <c r="F225" s="6" t="s">
        <v>35</v>
      </c>
      <c r="G225" s="6" t="s">
        <v>18</v>
      </c>
      <c r="H225" s="6" t="n">
        <f aca="true">ROUND(RAND()*4+6,1)</f>
        <v>6.9</v>
      </c>
      <c r="I225" s="6" t="s">
        <v>36</v>
      </c>
      <c r="J225" s="6" t="str">
        <f aca="false">ROUND(70*1,0)&amp;"%"</f>
        <v>70%</v>
      </c>
    </row>
    <row r="226" customFormat="false" ht="15" hidden="false" customHeight="false" outlineLevel="0" collapsed="false">
      <c r="A226" s="5" t="s">
        <v>7796</v>
      </c>
      <c r="B226" s="5" t="s">
        <v>376</v>
      </c>
      <c r="C226" s="5" t="s">
        <v>114</v>
      </c>
      <c r="D226" s="5" t="s">
        <v>39</v>
      </c>
      <c r="E226" s="5" t="n">
        <f aca="false">ROUND(7412*1.05,2)</f>
        <v>7782.6</v>
      </c>
      <c r="F226" s="5" t="s">
        <v>40</v>
      </c>
      <c r="G226" s="5" t="s">
        <v>24</v>
      </c>
      <c r="H226" s="5" t="n">
        <f aca="true">ROUND(RAND()*4+6,1)</f>
        <v>8.2</v>
      </c>
      <c r="I226" s="5" t="s">
        <v>41</v>
      </c>
      <c r="J226" s="5" t="str">
        <f aca="false">ROUND(79*1,0)&amp;"%"</f>
        <v>79%</v>
      </c>
    </row>
    <row r="227" customFormat="false" ht="15" hidden="false" customHeight="false" outlineLevel="0" collapsed="false">
      <c r="A227" s="6" t="s">
        <v>7797</v>
      </c>
      <c r="B227" s="6" t="s">
        <v>378</v>
      </c>
      <c r="C227" s="6" t="s">
        <v>114</v>
      </c>
      <c r="D227" s="6" t="s">
        <v>44</v>
      </c>
      <c r="E227" s="6" t="n">
        <f aca="false">ROUND(10614*1.05,2)</f>
        <v>11144.7</v>
      </c>
      <c r="F227" s="6" t="s">
        <v>45</v>
      </c>
      <c r="G227" s="6" t="s">
        <v>30</v>
      </c>
      <c r="H227" s="6" t="n">
        <f aca="true">ROUND(RAND()*4+6,1)</f>
        <v>6.5</v>
      </c>
      <c r="I227" s="6" t="s">
        <v>46</v>
      </c>
      <c r="J227" s="6" t="str">
        <f aca="false">ROUND(96*1,0)&amp;"%"</f>
        <v>96%</v>
      </c>
    </row>
    <row r="228" customFormat="false" ht="15" hidden="false" customHeight="false" outlineLevel="0" collapsed="false">
      <c r="A228" s="5" t="s">
        <v>7798</v>
      </c>
      <c r="B228" s="5" t="s">
        <v>380</v>
      </c>
      <c r="C228" s="5" t="s">
        <v>114</v>
      </c>
      <c r="D228" s="5" t="s">
        <v>16</v>
      </c>
      <c r="E228" s="5" t="n">
        <f aca="false">ROUND(5304*1.05,2)</f>
        <v>5569.2</v>
      </c>
      <c r="F228" s="5" t="s">
        <v>49</v>
      </c>
      <c r="G228" s="5" t="s">
        <v>18</v>
      </c>
      <c r="H228" s="5" t="n">
        <f aca="true">ROUND(RAND()*4+6,1)</f>
        <v>8.3</v>
      </c>
      <c r="I228" s="5" t="s">
        <v>19</v>
      </c>
      <c r="J228" s="5" t="str">
        <f aca="false">ROUND(81*1,0)&amp;"%"</f>
        <v>81%</v>
      </c>
    </row>
    <row r="229" customFormat="false" ht="15" hidden="false" customHeight="false" outlineLevel="0" collapsed="false">
      <c r="A229" s="6" t="s">
        <v>7799</v>
      </c>
      <c r="B229" s="6" t="s">
        <v>382</v>
      </c>
      <c r="C229" s="6" t="s">
        <v>114</v>
      </c>
      <c r="D229" s="6" t="s">
        <v>22</v>
      </c>
      <c r="E229" s="6" t="n">
        <f aca="false">ROUND(14311*1.05,2)</f>
        <v>15026.55</v>
      </c>
      <c r="F229" s="6" t="s">
        <v>52</v>
      </c>
      <c r="G229" s="6" t="s">
        <v>24</v>
      </c>
      <c r="H229" s="6" t="n">
        <f aca="true">ROUND(RAND()*4+6,1)</f>
        <v>9.6</v>
      </c>
      <c r="I229" s="6" t="s">
        <v>25</v>
      </c>
      <c r="J229" s="6" t="str">
        <f aca="false">ROUND(76*1,0)&amp;"%"</f>
        <v>76%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7800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7801</v>
      </c>
      <c r="B234" s="5" t="s">
        <v>386</v>
      </c>
      <c r="C234" s="5" t="s">
        <v>133</v>
      </c>
      <c r="D234" s="5" t="s">
        <v>16</v>
      </c>
      <c r="E234" s="5" t="n">
        <f aca="false">ROUND(17446*1.05,2)</f>
        <v>18318.3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ROUND(60*1,0)&amp;"%"</f>
        <v>60%</v>
      </c>
    </row>
    <row r="235" customFormat="false" ht="15" hidden="false" customHeight="false" outlineLevel="0" collapsed="false">
      <c r="A235" s="6" t="s">
        <v>7802</v>
      </c>
      <c r="B235" s="6" t="s">
        <v>388</v>
      </c>
      <c r="C235" s="6" t="s">
        <v>133</v>
      </c>
      <c r="D235" s="6" t="s">
        <v>22</v>
      </c>
      <c r="E235" s="6" t="n">
        <f aca="false">ROUND(9022*1.05,2)</f>
        <v>9473.1</v>
      </c>
      <c r="F235" s="6" t="s">
        <v>23</v>
      </c>
      <c r="G235" s="6" t="s">
        <v>24</v>
      </c>
      <c r="H235" s="6" t="n">
        <f aca="true">ROUND(RAND()*4+6,1)</f>
        <v>7</v>
      </c>
      <c r="I235" s="6" t="s">
        <v>25</v>
      </c>
      <c r="J235" s="6" t="str">
        <f aca="false">ROUND(82*1,0)&amp;"%"</f>
        <v>82%</v>
      </c>
    </row>
    <row r="236" customFormat="false" ht="15" hidden="false" customHeight="false" outlineLevel="0" collapsed="false">
      <c r="A236" s="5" t="s">
        <v>7803</v>
      </c>
      <c r="B236" s="5" t="s">
        <v>390</v>
      </c>
      <c r="C236" s="5" t="s">
        <v>133</v>
      </c>
      <c r="D236" s="5" t="s">
        <v>28</v>
      </c>
      <c r="E236" s="5" t="n">
        <f aca="false">ROUND(14236*1.05,2)</f>
        <v>14947.8</v>
      </c>
      <c r="F236" s="5" t="s">
        <v>29</v>
      </c>
      <c r="G236" s="5" t="s">
        <v>30</v>
      </c>
      <c r="H236" s="5" t="n">
        <f aca="true">ROUND(RAND()*4+6,1)</f>
        <v>9.1</v>
      </c>
      <c r="I236" s="5" t="s">
        <v>31</v>
      </c>
      <c r="J236" s="5" t="str">
        <f aca="false">ROUND(60*1,0)&amp;"%"</f>
        <v>60%</v>
      </c>
    </row>
    <row r="237" customFormat="false" ht="15" hidden="false" customHeight="false" outlineLevel="0" collapsed="false">
      <c r="A237" s="6" t="s">
        <v>7804</v>
      </c>
      <c r="B237" s="6" t="s">
        <v>392</v>
      </c>
      <c r="C237" s="6" t="s">
        <v>133</v>
      </c>
      <c r="D237" s="6" t="s">
        <v>34</v>
      </c>
      <c r="E237" s="6" t="n">
        <f aca="false">ROUND(6101*1.05,2)</f>
        <v>6406.05</v>
      </c>
      <c r="F237" s="6" t="s">
        <v>35</v>
      </c>
      <c r="G237" s="6" t="s">
        <v>18</v>
      </c>
      <c r="H237" s="6" t="n">
        <f aca="true">ROUND(RAND()*4+6,1)</f>
        <v>7.7</v>
      </c>
      <c r="I237" s="6" t="s">
        <v>36</v>
      </c>
      <c r="J237" s="6" t="str">
        <f aca="false">ROUND(69*1,0)&amp;"%"</f>
        <v>69%</v>
      </c>
    </row>
    <row r="238" customFormat="false" ht="15" hidden="false" customHeight="false" outlineLevel="0" collapsed="false">
      <c r="A238" s="5" t="s">
        <v>7805</v>
      </c>
      <c r="B238" s="5" t="s">
        <v>394</v>
      </c>
      <c r="C238" s="5" t="s">
        <v>133</v>
      </c>
      <c r="D238" s="5" t="s">
        <v>39</v>
      </c>
      <c r="E238" s="5" t="n">
        <f aca="false">ROUND(9252*1.05,2)</f>
        <v>9714.6</v>
      </c>
      <c r="F238" s="5" t="s">
        <v>40</v>
      </c>
      <c r="G238" s="5" t="s">
        <v>24</v>
      </c>
      <c r="H238" s="5" t="n">
        <f aca="true">ROUND(RAND()*4+6,1)</f>
        <v>6.3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7806</v>
      </c>
      <c r="B239" s="6" t="s">
        <v>396</v>
      </c>
      <c r="C239" s="6" t="s">
        <v>133</v>
      </c>
      <c r="D239" s="6" t="s">
        <v>44</v>
      </c>
      <c r="E239" s="6" t="n">
        <f aca="false">ROUND(13441*1.05,2)</f>
        <v>14113.05</v>
      </c>
      <c r="F239" s="6" t="s">
        <v>45</v>
      </c>
      <c r="G239" s="6" t="s">
        <v>30</v>
      </c>
      <c r="H239" s="6" t="n">
        <f aca="true">ROUND(RAND()*4+6,1)</f>
        <v>9.3</v>
      </c>
      <c r="I239" s="6" t="s">
        <v>46</v>
      </c>
      <c r="J239" s="6" t="str">
        <f aca="false">ROUND(97*1,0)&amp;"%"</f>
        <v>97%</v>
      </c>
    </row>
    <row r="240" customFormat="false" ht="15" hidden="false" customHeight="false" outlineLevel="0" collapsed="false">
      <c r="A240" s="5" t="s">
        <v>7807</v>
      </c>
      <c r="B240" s="5" t="s">
        <v>398</v>
      </c>
      <c r="C240" s="5" t="s">
        <v>133</v>
      </c>
      <c r="D240" s="5" t="s">
        <v>16</v>
      </c>
      <c r="E240" s="5" t="n">
        <f aca="false">ROUND(16119*1.05,2)</f>
        <v>16924.95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ROUND(76*1,0)&amp;"%"</f>
        <v>76%</v>
      </c>
    </row>
    <row r="241" customFormat="false" ht="15" hidden="false" customHeight="false" outlineLevel="0" collapsed="false">
      <c r="A241" s="6" t="s">
        <v>7808</v>
      </c>
      <c r="B241" s="6" t="s">
        <v>400</v>
      </c>
      <c r="C241" s="6" t="s">
        <v>133</v>
      </c>
      <c r="D241" s="6" t="s">
        <v>22</v>
      </c>
      <c r="E241" s="6" t="n">
        <f aca="false">ROUND(17367*1.05,2)</f>
        <v>18235.35</v>
      </c>
      <c r="F241" s="6" t="s">
        <v>52</v>
      </c>
      <c r="G241" s="6" t="s">
        <v>24</v>
      </c>
      <c r="H241" s="6" t="n">
        <f aca="true">ROUND(RAND()*4+6,1)</f>
        <v>8.8</v>
      </c>
      <c r="I241" s="6" t="s">
        <v>25</v>
      </c>
      <c r="J241" s="6" t="str">
        <f aca="false">ROUND(77*1,0)&amp;"%"</f>
        <v>77%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7809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7810</v>
      </c>
      <c r="B246" s="5" t="s">
        <v>404</v>
      </c>
      <c r="C246" s="5" t="s">
        <v>152</v>
      </c>
      <c r="D246" s="5" t="s">
        <v>16</v>
      </c>
      <c r="E246" s="5" t="n">
        <f aca="false">ROUND(9886*1.05,2)</f>
        <v>10380.3</v>
      </c>
      <c r="F246" s="5" t="s">
        <v>17</v>
      </c>
      <c r="G246" s="5" t="s">
        <v>18</v>
      </c>
      <c r="H246" s="5" t="n">
        <f aca="true">ROUND(RAND()*4+6,1)</f>
        <v>7.7</v>
      </c>
      <c r="I246" s="5" t="s">
        <v>19</v>
      </c>
      <c r="J246" s="5" t="str">
        <f aca="false">ROUND(72*1,0)&amp;"%"</f>
        <v>72%</v>
      </c>
    </row>
    <row r="247" customFormat="false" ht="15" hidden="false" customHeight="false" outlineLevel="0" collapsed="false">
      <c r="A247" s="6" t="s">
        <v>7811</v>
      </c>
      <c r="B247" s="6" t="s">
        <v>406</v>
      </c>
      <c r="C247" s="6" t="s">
        <v>152</v>
      </c>
      <c r="D247" s="6" t="s">
        <v>22</v>
      </c>
      <c r="E247" s="6" t="n">
        <f aca="false">ROUND(15653*1.05,2)</f>
        <v>16435.65</v>
      </c>
      <c r="F247" s="6" t="s">
        <v>23</v>
      </c>
      <c r="G247" s="6" t="s">
        <v>24</v>
      </c>
      <c r="H247" s="6" t="n">
        <f aca="true">ROUND(RAND()*4+6,1)</f>
        <v>6.2</v>
      </c>
      <c r="I247" s="6" t="s">
        <v>25</v>
      </c>
      <c r="J247" s="6" t="str">
        <f aca="false">ROUND(75*1,0)&amp;"%"</f>
        <v>75%</v>
      </c>
    </row>
    <row r="248" customFormat="false" ht="15" hidden="false" customHeight="false" outlineLevel="0" collapsed="false">
      <c r="A248" s="5" t="s">
        <v>7812</v>
      </c>
      <c r="B248" s="5" t="s">
        <v>408</v>
      </c>
      <c r="C248" s="5" t="s">
        <v>152</v>
      </c>
      <c r="D248" s="5" t="s">
        <v>28</v>
      </c>
      <c r="E248" s="5" t="n">
        <f aca="false">ROUND(4720*1.05,2)</f>
        <v>4956</v>
      </c>
      <c r="F248" s="5" t="s">
        <v>29</v>
      </c>
      <c r="G248" s="5" t="s">
        <v>30</v>
      </c>
      <c r="H248" s="5" t="n">
        <f aca="true">ROUND(RAND()*4+6,1)</f>
        <v>7.4</v>
      </c>
      <c r="I248" s="5" t="s">
        <v>31</v>
      </c>
      <c r="J248" s="5" t="str">
        <f aca="false">ROUND(84*1,0)&amp;"%"</f>
        <v>84%</v>
      </c>
    </row>
    <row r="249" customFormat="false" ht="15" hidden="false" customHeight="false" outlineLevel="0" collapsed="false">
      <c r="A249" s="6" t="s">
        <v>7813</v>
      </c>
      <c r="B249" s="6" t="s">
        <v>410</v>
      </c>
      <c r="C249" s="6" t="s">
        <v>152</v>
      </c>
      <c r="D249" s="6" t="s">
        <v>34</v>
      </c>
      <c r="E249" s="6" t="n">
        <f aca="false">ROUND(10350*1.05,2)</f>
        <v>10867.5</v>
      </c>
      <c r="F249" s="6" t="s">
        <v>35</v>
      </c>
      <c r="G249" s="6" t="s">
        <v>18</v>
      </c>
      <c r="H249" s="6" t="n">
        <f aca="true">ROUND(RAND()*4+6,1)</f>
        <v>7.4</v>
      </c>
      <c r="I249" s="6" t="s">
        <v>36</v>
      </c>
      <c r="J249" s="6" t="str">
        <f aca="false">ROUND(83*1,0)&amp;"%"</f>
        <v>83%</v>
      </c>
    </row>
    <row r="250" customFormat="false" ht="15" hidden="false" customHeight="false" outlineLevel="0" collapsed="false">
      <c r="A250" s="5" t="s">
        <v>7814</v>
      </c>
      <c r="B250" s="5" t="s">
        <v>412</v>
      </c>
      <c r="C250" s="5" t="s">
        <v>152</v>
      </c>
      <c r="D250" s="5" t="s">
        <v>39</v>
      </c>
      <c r="E250" s="5" t="n">
        <f aca="false">ROUND(13700*1.05,2)</f>
        <v>14385</v>
      </c>
      <c r="F250" s="5" t="s">
        <v>40</v>
      </c>
      <c r="G250" s="5" t="s">
        <v>24</v>
      </c>
      <c r="H250" s="5" t="n">
        <f aca="true">ROUND(RAND()*4+6,1)</f>
        <v>6.4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7815</v>
      </c>
      <c r="B251" s="6" t="s">
        <v>414</v>
      </c>
      <c r="C251" s="6" t="s">
        <v>152</v>
      </c>
      <c r="D251" s="6" t="s">
        <v>44</v>
      </c>
      <c r="E251" s="6" t="n">
        <f aca="false">ROUND(8958*1.05,2)</f>
        <v>9405.9</v>
      </c>
      <c r="F251" s="6" t="s">
        <v>45</v>
      </c>
      <c r="G251" s="6" t="s">
        <v>30</v>
      </c>
      <c r="H251" s="6" t="n">
        <f aca="true">ROUND(RAND()*4+6,1)</f>
        <v>9.4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7816</v>
      </c>
      <c r="B252" s="5" t="s">
        <v>416</v>
      </c>
      <c r="C252" s="5" t="s">
        <v>152</v>
      </c>
      <c r="D252" s="5" t="s">
        <v>16</v>
      </c>
      <c r="E252" s="5" t="n">
        <f aca="false">ROUND(14975*1.05,2)</f>
        <v>15723.75</v>
      </c>
      <c r="F252" s="5" t="s">
        <v>49</v>
      </c>
      <c r="G252" s="5" t="s">
        <v>18</v>
      </c>
      <c r="H252" s="5" t="n">
        <f aca="true">ROUND(RAND()*4+6,1)</f>
        <v>8.6</v>
      </c>
      <c r="I252" s="5" t="s">
        <v>19</v>
      </c>
      <c r="J252" s="5" t="str">
        <f aca="false">ROUND(63*1,0)&amp;"%"</f>
        <v>63%</v>
      </c>
    </row>
    <row r="253" customFormat="false" ht="15" hidden="false" customHeight="false" outlineLevel="0" collapsed="false">
      <c r="A253" s="6" t="s">
        <v>7817</v>
      </c>
      <c r="B253" s="6" t="s">
        <v>418</v>
      </c>
      <c r="C253" s="6" t="s">
        <v>152</v>
      </c>
      <c r="D253" s="6" t="s">
        <v>22</v>
      </c>
      <c r="E253" s="6" t="n">
        <f aca="false">ROUND(13707*1.05,2)</f>
        <v>14392.35</v>
      </c>
      <c r="F253" s="6" t="s">
        <v>52</v>
      </c>
      <c r="G253" s="6" t="s">
        <v>24</v>
      </c>
      <c r="H253" s="6" t="n">
        <f aca="true">ROUND(RAND()*4+6,1)</f>
        <v>6.7</v>
      </c>
      <c r="I253" s="6" t="s">
        <v>25</v>
      </c>
      <c r="J253" s="6" t="str">
        <f aca="false">ROUND(95*1,0)&amp;"%"</f>
        <v>95%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7818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7819</v>
      </c>
      <c r="B258" s="5" t="s">
        <v>422</v>
      </c>
      <c r="C258" s="5" t="s">
        <v>15</v>
      </c>
      <c r="D258" s="5" t="s">
        <v>16</v>
      </c>
      <c r="E258" s="5" t="n">
        <f aca="false">ROUND(6092*1.05,2)</f>
        <v>6396.6</v>
      </c>
      <c r="F258" s="5" t="s">
        <v>17</v>
      </c>
      <c r="G258" s="5" t="s">
        <v>18</v>
      </c>
      <c r="H258" s="5" t="n">
        <f aca="true">ROUND(RAND()*4+6,1)</f>
        <v>7.1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7820</v>
      </c>
      <c r="B259" s="6" t="s">
        <v>424</v>
      </c>
      <c r="C259" s="6" t="s">
        <v>15</v>
      </c>
      <c r="D259" s="6" t="s">
        <v>22</v>
      </c>
      <c r="E259" s="6" t="n">
        <f aca="false">ROUND(13235*1.05,2)</f>
        <v>13896.75</v>
      </c>
      <c r="F259" s="6" t="s">
        <v>23</v>
      </c>
      <c r="G259" s="6" t="s">
        <v>24</v>
      </c>
      <c r="H259" s="6" t="n">
        <f aca="true">ROUND(RAND()*4+6,1)</f>
        <v>9.4</v>
      </c>
      <c r="I259" s="6" t="s">
        <v>25</v>
      </c>
      <c r="J259" s="6" t="str">
        <f aca="false">ROUND(95*1,0)&amp;"%"</f>
        <v>95%</v>
      </c>
    </row>
    <row r="260" customFormat="false" ht="15" hidden="false" customHeight="false" outlineLevel="0" collapsed="false">
      <c r="A260" s="5" t="s">
        <v>7821</v>
      </c>
      <c r="B260" s="5" t="s">
        <v>426</v>
      </c>
      <c r="C260" s="5" t="s">
        <v>15</v>
      </c>
      <c r="D260" s="5" t="s">
        <v>28</v>
      </c>
      <c r="E260" s="5" t="n">
        <f aca="false">ROUND(12752*1.05,2)</f>
        <v>13389.6</v>
      </c>
      <c r="F260" s="5" t="s">
        <v>29</v>
      </c>
      <c r="G260" s="5" t="s">
        <v>30</v>
      </c>
      <c r="H260" s="5" t="n">
        <f aca="true">ROUND(RAND()*4+6,1)</f>
        <v>6.9</v>
      </c>
      <c r="I260" s="5" t="s">
        <v>31</v>
      </c>
      <c r="J260" s="5" t="str">
        <f aca="false">ROUND(81*1,0)&amp;"%"</f>
        <v>81%</v>
      </c>
    </row>
    <row r="261" customFormat="false" ht="15" hidden="false" customHeight="false" outlineLevel="0" collapsed="false">
      <c r="A261" s="6" t="s">
        <v>7822</v>
      </c>
      <c r="B261" s="6" t="s">
        <v>428</v>
      </c>
      <c r="C261" s="6" t="s">
        <v>15</v>
      </c>
      <c r="D261" s="6" t="s">
        <v>34</v>
      </c>
      <c r="E261" s="6" t="n">
        <f aca="false">ROUND(12415*1.05,2)</f>
        <v>13035.75</v>
      </c>
      <c r="F261" s="6" t="s">
        <v>35</v>
      </c>
      <c r="G261" s="6" t="s">
        <v>18</v>
      </c>
      <c r="H261" s="6" t="n">
        <f aca="true">ROUND(RAND()*4+6,1)</f>
        <v>9</v>
      </c>
      <c r="I261" s="6" t="s">
        <v>36</v>
      </c>
      <c r="J261" s="6" t="str">
        <f aca="false">ROUND(63*1,0)&amp;"%"</f>
        <v>63%</v>
      </c>
    </row>
    <row r="262" customFormat="false" ht="15" hidden="false" customHeight="false" outlineLevel="0" collapsed="false">
      <c r="A262" s="5" t="s">
        <v>7823</v>
      </c>
      <c r="B262" s="5" t="s">
        <v>430</v>
      </c>
      <c r="C262" s="5" t="s">
        <v>15</v>
      </c>
      <c r="D262" s="5" t="s">
        <v>39</v>
      </c>
      <c r="E262" s="5" t="n">
        <f aca="false">ROUND(11515*1.05,2)</f>
        <v>12090.75</v>
      </c>
      <c r="F262" s="5" t="s">
        <v>40</v>
      </c>
      <c r="G262" s="5" t="s">
        <v>24</v>
      </c>
      <c r="H262" s="5" t="n">
        <f aca="true">ROUND(RAND()*4+6,1)</f>
        <v>6.6</v>
      </c>
      <c r="I262" s="5" t="s">
        <v>41</v>
      </c>
      <c r="J262" s="5" t="str">
        <f aca="false">ROUND(98*1,0)&amp;"%"</f>
        <v>98%</v>
      </c>
    </row>
    <row r="263" customFormat="false" ht="15" hidden="false" customHeight="false" outlineLevel="0" collapsed="false">
      <c r="A263" s="6" t="s">
        <v>7824</v>
      </c>
      <c r="B263" s="6" t="s">
        <v>432</v>
      </c>
      <c r="C263" s="6" t="s">
        <v>15</v>
      </c>
      <c r="D263" s="6" t="s">
        <v>44</v>
      </c>
      <c r="E263" s="6" t="n">
        <f aca="false">ROUND(17892*1.05,2)</f>
        <v>18786.6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ROUND(86*1,0)&amp;"%"</f>
        <v>86%</v>
      </c>
    </row>
    <row r="264" customFormat="false" ht="15" hidden="false" customHeight="false" outlineLevel="0" collapsed="false">
      <c r="A264" s="5" t="s">
        <v>7825</v>
      </c>
      <c r="B264" s="5" t="s">
        <v>434</v>
      </c>
      <c r="C264" s="5" t="s">
        <v>15</v>
      </c>
      <c r="D264" s="5" t="s">
        <v>16</v>
      </c>
      <c r="E264" s="5" t="n">
        <f aca="false">ROUND(6035*1.05,2)</f>
        <v>6336.75</v>
      </c>
      <c r="F264" s="5" t="s">
        <v>49</v>
      </c>
      <c r="G264" s="5" t="s">
        <v>18</v>
      </c>
      <c r="H264" s="5" t="n">
        <f aca="true">ROUND(RAND()*4+6,1)</f>
        <v>7.5</v>
      </c>
      <c r="I264" s="5" t="s">
        <v>19</v>
      </c>
      <c r="J264" s="5" t="str">
        <f aca="false">ROUND(64*1,0)&amp;"%"</f>
        <v>64%</v>
      </c>
    </row>
    <row r="265" customFormat="false" ht="15" hidden="false" customHeight="false" outlineLevel="0" collapsed="false">
      <c r="A265" s="6" t="s">
        <v>7826</v>
      </c>
      <c r="B265" s="6" t="s">
        <v>436</v>
      </c>
      <c r="C265" s="6" t="s">
        <v>15</v>
      </c>
      <c r="D265" s="6" t="s">
        <v>22</v>
      </c>
      <c r="E265" s="6" t="n">
        <f aca="false">ROUND(17080*1.05,2)</f>
        <v>17934</v>
      </c>
      <c r="F265" s="6" t="s">
        <v>52</v>
      </c>
      <c r="G265" s="6" t="s">
        <v>24</v>
      </c>
      <c r="H265" s="6" t="n">
        <f aca="true">ROUND(RAND()*4+6,1)</f>
        <v>8.1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7827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7828</v>
      </c>
      <c r="B270" s="5" t="s">
        <v>440</v>
      </c>
      <c r="C270" s="5" t="s">
        <v>57</v>
      </c>
      <c r="D270" s="5" t="s">
        <v>16</v>
      </c>
      <c r="E270" s="5" t="n">
        <f aca="false">ROUND(9934*1.05,2)</f>
        <v>10430.7</v>
      </c>
      <c r="F270" s="5" t="s">
        <v>17</v>
      </c>
      <c r="G270" s="5" t="s">
        <v>18</v>
      </c>
      <c r="H270" s="5" t="n">
        <f aca="true">ROUND(RAND()*4+6,1)</f>
        <v>7.8</v>
      </c>
      <c r="I270" s="5" t="s">
        <v>19</v>
      </c>
      <c r="J270" s="5" t="str">
        <f aca="false">ROUND(75*1,0)&amp;"%"</f>
        <v>75%</v>
      </c>
    </row>
    <row r="271" customFormat="false" ht="15" hidden="false" customHeight="false" outlineLevel="0" collapsed="false">
      <c r="A271" s="6" t="s">
        <v>7829</v>
      </c>
      <c r="B271" s="6" t="s">
        <v>442</v>
      </c>
      <c r="C271" s="6" t="s">
        <v>57</v>
      </c>
      <c r="D271" s="6" t="s">
        <v>22</v>
      </c>
      <c r="E271" s="6" t="n">
        <f aca="false">ROUND(16969*1.05,2)</f>
        <v>17817.45</v>
      </c>
      <c r="F271" s="6" t="s">
        <v>23</v>
      </c>
      <c r="G271" s="6" t="s">
        <v>24</v>
      </c>
      <c r="H271" s="6" t="n">
        <f aca="true">ROUND(RAND()*4+6,1)</f>
        <v>7.2</v>
      </c>
      <c r="I271" s="6" t="s">
        <v>25</v>
      </c>
      <c r="J271" s="6" t="str">
        <f aca="false">ROUND(84*1,0)&amp;"%"</f>
        <v>84%</v>
      </c>
    </row>
    <row r="272" customFormat="false" ht="15" hidden="false" customHeight="false" outlineLevel="0" collapsed="false">
      <c r="A272" s="5" t="s">
        <v>7830</v>
      </c>
      <c r="B272" s="5" t="s">
        <v>444</v>
      </c>
      <c r="C272" s="5" t="s">
        <v>57</v>
      </c>
      <c r="D272" s="5" t="s">
        <v>28</v>
      </c>
      <c r="E272" s="5" t="n">
        <f aca="false">ROUND(5190*1.05,2)</f>
        <v>5449.5</v>
      </c>
      <c r="F272" s="5" t="s">
        <v>29</v>
      </c>
      <c r="G272" s="5" t="s">
        <v>30</v>
      </c>
      <c r="H272" s="5" t="n">
        <f aca="true">ROUND(RAND()*4+6,1)</f>
        <v>8.3</v>
      </c>
      <c r="I272" s="5" t="s">
        <v>31</v>
      </c>
      <c r="J272" s="5" t="str">
        <f aca="false">ROUND(71*1,0)&amp;"%"</f>
        <v>71%</v>
      </c>
    </row>
    <row r="273" customFormat="false" ht="15" hidden="false" customHeight="false" outlineLevel="0" collapsed="false">
      <c r="A273" s="6" t="s">
        <v>7831</v>
      </c>
      <c r="B273" s="6" t="s">
        <v>446</v>
      </c>
      <c r="C273" s="6" t="s">
        <v>57</v>
      </c>
      <c r="D273" s="6" t="s">
        <v>34</v>
      </c>
      <c r="E273" s="6" t="n">
        <f aca="false">ROUND(11865*1.05,2)</f>
        <v>12458.25</v>
      </c>
      <c r="F273" s="6" t="s">
        <v>35</v>
      </c>
      <c r="G273" s="6" t="s">
        <v>18</v>
      </c>
      <c r="H273" s="6" t="n">
        <f aca="true">ROUND(RAND()*4+6,1)</f>
        <v>8.8</v>
      </c>
      <c r="I273" s="6" t="s">
        <v>36</v>
      </c>
      <c r="J273" s="6" t="str">
        <f aca="false">ROUND(72*1,0)&amp;"%"</f>
        <v>72%</v>
      </c>
    </row>
    <row r="274" customFormat="false" ht="15" hidden="false" customHeight="false" outlineLevel="0" collapsed="false">
      <c r="A274" s="5" t="s">
        <v>7832</v>
      </c>
      <c r="B274" s="5" t="s">
        <v>448</v>
      </c>
      <c r="C274" s="5" t="s">
        <v>57</v>
      </c>
      <c r="D274" s="5" t="s">
        <v>39</v>
      </c>
      <c r="E274" s="5" t="n">
        <f aca="false">ROUND(8157*1.05,2)</f>
        <v>8564.85</v>
      </c>
      <c r="F274" s="5" t="s">
        <v>40</v>
      </c>
      <c r="G274" s="5" t="s">
        <v>24</v>
      </c>
      <c r="H274" s="5" t="n">
        <f aca="true">ROUND(RAND()*4+6,1)</f>
        <v>8.6</v>
      </c>
      <c r="I274" s="5" t="s">
        <v>41</v>
      </c>
      <c r="J274" s="5" t="str">
        <f aca="false">ROUND(88*1,0)&amp;"%"</f>
        <v>88%</v>
      </c>
    </row>
    <row r="275" customFormat="false" ht="15" hidden="false" customHeight="false" outlineLevel="0" collapsed="false">
      <c r="A275" s="6" t="s">
        <v>7833</v>
      </c>
      <c r="B275" s="6" t="s">
        <v>450</v>
      </c>
      <c r="C275" s="6" t="s">
        <v>57</v>
      </c>
      <c r="D275" s="6" t="s">
        <v>44</v>
      </c>
      <c r="E275" s="6" t="n">
        <f aca="false">ROUND(16746*1.05,2)</f>
        <v>17583.3</v>
      </c>
      <c r="F275" s="6" t="s">
        <v>45</v>
      </c>
      <c r="G275" s="6" t="s">
        <v>30</v>
      </c>
      <c r="H275" s="6" t="n">
        <f aca="true">ROUND(RAND()*4+6,1)</f>
        <v>7.3</v>
      </c>
      <c r="I275" s="6" t="s">
        <v>46</v>
      </c>
      <c r="J275" s="6" t="str">
        <f aca="false">ROUND(66*1,0)&amp;"%"</f>
        <v>66%</v>
      </c>
    </row>
    <row r="276" customFormat="false" ht="15" hidden="false" customHeight="false" outlineLevel="0" collapsed="false">
      <c r="A276" s="5" t="s">
        <v>7834</v>
      </c>
      <c r="B276" s="5" t="s">
        <v>452</v>
      </c>
      <c r="C276" s="5" t="s">
        <v>57</v>
      </c>
      <c r="D276" s="5" t="s">
        <v>16</v>
      </c>
      <c r="E276" s="5" t="n">
        <f aca="false">ROUND(16057*1.05,2)</f>
        <v>16859.85</v>
      </c>
      <c r="F276" s="5" t="s">
        <v>49</v>
      </c>
      <c r="G276" s="5" t="s">
        <v>18</v>
      </c>
      <c r="H276" s="5" t="n">
        <f aca="true">ROUND(RAND()*4+6,1)</f>
        <v>6.2</v>
      </c>
      <c r="I276" s="5" t="s">
        <v>19</v>
      </c>
      <c r="J276" s="5" t="str">
        <f aca="false">ROUND(81*1,0)&amp;"%"</f>
        <v>81%</v>
      </c>
    </row>
    <row r="277" customFormat="false" ht="15" hidden="false" customHeight="false" outlineLevel="0" collapsed="false">
      <c r="A277" s="6" t="s">
        <v>7835</v>
      </c>
      <c r="B277" s="6" t="s">
        <v>454</v>
      </c>
      <c r="C277" s="6" t="s">
        <v>57</v>
      </c>
      <c r="D277" s="6" t="s">
        <v>22</v>
      </c>
      <c r="E277" s="6" t="n">
        <f aca="false">ROUND(13287*1.05,2)</f>
        <v>13951.35</v>
      </c>
      <c r="F277" s="6" t="s">
        <v>52</v>
      </c>
      <c r="G277" s="6" t="s">
        <v>24</v>
      </c>
      <c r="H277" s="6" t="n">
        <f aca="true">ROUND(RAND()*4+6,1)</f>
        <v>8.2</v>
      </c>
      <c r="I277" s="6" t="s">
        <v>25</v>
      </c>
      <c r="J277" s="6" t="str">
        <f aca="false">ROUND(62*1,0)&amp;"%"</f>
        <v>62%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7836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7837</v>
      </c>
      <c r="B282" s="5" t="s">
        <v>458</v>
      </c>
      <c r="C282" s="5" t="s">
        <v>76</v>
      </c>
      <c r="D282" s="5" t="s">
        <v>16</v>
      </c>
      <c r="E282" s="5" t="n">
        <f aca="false">ROUND(5814*1.05,2)</f>
        <v>6104.7</v>
      </c>
      <c r="F282" s="5" t="s">
        <v>17</v>
      </c>
      <c r="G282" s="5" t="s">
        <v>18</v>
      </c>
      <c r="H282" s="5" t="n">
        <f aca="true">ROUND(RAND()*4+6,1)</f>
        <v>6.2</v>
      </c>
      <c r="I282" s="5" t="s">
        <v>19</v>
      </c>
      <c r="J282" s="5" t="str">
        <f aca="false">ROUND(96*1,0)&amp;"%"</f>
        <v>96%</v>
      </c>
    </row>
    <row r="283" customFormat="false" ht="15" hidden="false" customHeight="false" outlineLevel="0" collapsed="false">
      <c r="A283" s="6" t="s">
        <v>7838</v>
      </c>
      <c r="B283" s="6" t="s">
        <v>460</v>
      </c>
      <c r="C283" s="6" t="s">
        <v>76</v>
      </c>
      <c r="D283" s="6" t="s">
        <v>22</v>
      </c>
      <c r="E283" s="6" t="n">
        <f aca="false">ROUND(13085*1.05,2)</f>
        <v>13739.25</v>
      </c>
      <c r="F283" s="6" t="s">
        <v>23</v>
      </c>
      <c r="G283" s="6" t="s">
        <v>24</v>
      </c>
      <c r="H283" s="6" t="n">
        <f aca="true">ROUND(RAND()*4+6,1)</f>
        <v>7.1</v>
      </c>
      <c r="I283" s="6" t="s">
        <v>25</v>
      </c>
      <c r="J283" s="6" t="str">
        <f aca="false">ROUND(60*1,0)&amp;"%"</f>
        <v>60%</v>
      </c>
    </row>
    <row r="284" customFormat="false" ht="15" hidden="false" customHeight="false" outlineLevel="0" collapsed="false">
      <c r="A284" s="5" t="s">
        <v>7839</v>
      </c>
      <c r="B284" s="5" t="s">
        <v>462</v>
      </c>
      <c r="C284" s="5" t="s">
        <v>76</v>
      </c>
      <c r="D284" s="5" t="s">
        <v>28</v>
      </c>
      <c r="E284" s="5" t="n">
        <f aca="false">ROUND(14183*1.05,2)</f>
        <v>14892.15</v>
      </c>
      <c r="F284" s="5" t="s">
        <v>29</v>
      </c>
      <c r="G284" s="5" t="s">
        <v>30</v>
      </c>
      <c r="H284" s="5" t="n">
        <f aca="true">ROUND(RAND()*4+6,1)</f>
        <v>7.1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7840</v>
      </c>
      <c r="B285" s="6" t="s">
        <v>464</v>
      </c>
      <c r="C285" s="6" t="s">
        <v>76</v>
      </c>
      <c r="D285" s="6" t="s">
        <v>34</v>
      </c>
      <c r="E285" s="6" t="n">
        <f aca="false">ROUND(8642*1.05,2)</f>
        <v>9074.1</v>
      </c>
      <c r="F285" s="6" t="s">
        <v>35</v>
      </c>
      <c r="G285" s="6" t="s">
        <v>18</v>
      </c>
      <c r="H285" s="6" t="n">
        <f aca="true">ROUND(RAND()*4+6,1)</f>
        <v>8.8</v>
      </c>
      <c r="I285" s="6" t="s">
        <v>36</v>
      </c>
      <c r="J285" s="6" t="str">
        <f aca="false">ROUND(68*1,0)&amp;"%"</f>
        <v>68%</v>
      </c>
    </row>
    <row r="286" customFormat="false" ht="15" hidden="false" customHeight="false" outlineLevel="0" collapsed="false">
      <c r="A286" s="5" t="s">
        <v>7841</v>
      </c>
      <c r="B286" s="5" t="s">
        <v>466</v>
      </c>
      <c r="C286" s="5" t="s">
        <v>76</v>
      </c>
      <c r="D286" s="5" t="s">
        <v>39</v>
      </c>
      <c r="E286" s="5" t="n">
        <f aca="false">ROUND(17933*1.05,2)</f>
        <v>18829.65</v>
      </c>
      <c r="F286" s="5" t="s">
        <v>40</v>
      </c>
      <c r="G286" s="5" t="s">
        <v>24</v>
      </c>
      <c r="H286" s="5" t="n">
        <f aca="true">ROUND(RAND()*4+6,1)</f>
        <v>6.4</v>
      </c>
      <c r="I286" s="5" t="s">
        <v>41</v>
      </c>
      <c r="J286" s="5" t="str">
        <f aca="false">ROUND(70*1,0)&amp;"%"</f>
        <v>70%</v>
      </c>
    </row>
    <row r="287" customFormat="false" ht="15" hidden="false" customHeight="false" outlineLevel="0" collapsed="false">
      <c r="A287" s="6" t="s">
        <v>7842</v>
      </c>
      <c r="B287" s="6" t="s">
        <v>468</v>
      </c>
      <c r="C287" s="6" t="s">
        <v>76</v>
      </c>
      <c r="D287" s="6" t="s">
        <v>44</v>
      </c>
      <c r="E287" s="6" t="n">
        <f aca="false">ROUND(5981*1.05,2)</f>
        <v>6280.05</v>
      </c>
      <c r="F287" s="6" t="s">
        <v>45</v>
      </c>
      <c r="G287" s="6" t="s">
        <v>30</v>
      </c>
      <c r="H287" s="6" t="n">
        <f aca="true">ROUND(RAND()*4+6,1)</f>
        <v>8.6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7843</v>
      </c>
      <c r="B288" s="5" t="s">
        <v>470</v>
      </c>
      <c r="C288" s="5" t="s">
        <v>76</v>
      </c>
      <c r="D288" s="5" t="s">
        <v>16</v>
      </c>
      <c r="E288" s="5" t="n">
        <f aca="false">ROUND(6081*1.05,2)</f>
        <v>6385.05</v>
      </c>
      <c r="F288" s="5" t="s">
        <v>49</v>
      </c>
      <c r="G288" s="5" t="s">
        <v>18</v>
      </c>
      <c r="H288" s="5" t="n">
        <f aca="true">ROUND(RAND()*4+6,1)</f>
        <v>7.5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7844</v>
      </c>
      <c r="B289" s="6" t="s">
        <v>472</v>
      </c>
      <c r="C289" s="6" t="s">
        <v>76</v>
      </c>
      <c r="D289" s="6" t="s">
        <v>22</v>
      </c>
      <c r="E289" s="6" t="n">
        <f aca="false">ROUND(9432*1.05,2)</f>
        <v>9903.6</v>
      </c>
      <c r="F289" s="6" t="s">
        <v>52</v>
      </c>
      <c r="G289" s="6" t="s">
        <v>24</v>
      </c>
      <c r="H289" s="6" t="n">
        <f aca="true">ROUND(RAND()*4+6,1)</f>
        <v>7.4</v>
      </c>
      <c r="I289" s="6" t="s">
        <v>25</v>
      </c>
      <c r="J289" s="6" t="str">
        <f aca="false">ROUND(94*1,0)&amp;"%"</f>
        <v>94%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7845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7846</v>
      </c>
      <c r="B294" s="5" t="s">
        <v>476</v>
      </c>
      <c r="C294" s="5" t="s">
        <v>95</v>
      </c>
      <c r="D294" s="5" t="s">
        <v>16</v>
      </c>
      <c r="E294" s="5" t="n">
        <f aca="false">ROUND(5085*1.05,2)</f>
        <v>5339.25</v>
      </c>
      <c r="F294" s="5" t="s">
        <v>17</v>
      </c>
      <c r="G294" s="5" t="s">
        <v>18</v>
      </c>
      <c r="H294" s="5" t="n">
        <f aca="true">ROUND(RAND()*4+6,1)</f>
        <v>7.4</v>
      </c>
      <c r="I294" s="5" t="s">
        <v>19</v>
      </c>
      <c r="J294" s="5" t="str">
        <f aca="false">ROUND(91*1,0)&amp;"%"</f>
        <v>91%</v>
      </c>
    </row>
    <row r="295" customFormat="false" ht="15" hidden="false" customHeight="false" outlineLevel="0" collapsed="false">
      <c r="A295" s="6" t="s">
        <v>7847</v>
      </c>
      <c r="B295" s="6" t="s">
        <v>478</v>
      </c>
      <c r="C295" s="6" t="s">
        <v>95</v>
      </c>
      <c r="D295" s="6" t="s">
        <v>22</v>
      </c>
      <c r="E295" s="6" t="n">
        <f aca="false">ROUND(9218*1.05,2)</f>
        <v>9678.9</v>
      </c>
      <c r="F295" s="6" t="s">
        <v>23</v>
      </c>
      <c r="G295" s="6" t="s">
        <v>24</v>
      </c>
      <c r="H295" s="6" t="n">
        <f aca="true">ROUND(RAND()*4+6,1)</f>
        <v>9.1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7848</v>
      </c>
      <c r="B296" s="5" t="s">
        <v>480</v>
      </c>
      <c r="C296" s="5" t="s">
        <v>95</v>
      </c>
      <c r="D296" s="5" t="s">
        <v>28</v>
      </c>
      <c r="E296" s="5" t="n">
        <f aca="false">ROUND(14973*1.05,2)</f>
        <v>15721.65</v>
      </c>
      <c r="F296" s="5" t="s">
        <v>29</v>
      </c>
      <c r="G296" s="5" t="s">
        <v>30</v>
      </c>
      <c r="H296" s="5" t="n">
        <f aca="true">ROUND(RAND()*4+6,1)</f>
        <v>8.2</v>
      </c>
      <c r="I296" s="5" t="s">
        <v>31</v>
      </c>
      <c r="J296" s="5" t="str">
        <f aca="false">ROUND(76*1,0)&amp;"%"</f>
        <v>76%</v>
      </c>
    </row>
    <row r="297" customFormat="false" ht="15" hidden="false" customHeight="false" outlineLevel="0" collapsed="false">
      <c r="A297" s="6" t="s">
        <v>7849</v>
      </c>
      <c r="B297" s="6" t="s">
        <v>482</v>
      </c>
      <c r="C297" s="6" t="s">
        <v>95</v>
      </c>
      <c r="D297" s="6" t="s">
        <v>34</v>
      </c>
      <c r="E297" s="6" t="n">
        <f aca="false">ROUND(7716*1.05,2)</f>
        <v>8101.8</v>
      </c>
      <c r="F297" s="6" t="s">
        <v>35</v>
      </c>
      <c r="G297" s="6" t="s">
        <v>18</v>
      </c>
      <c r="H297" s="6" t="n">
        <f aca="true">ROUND(RAND()*4+6,1)</f>
        <v>6.1</v>
      </c>
      <c r="I297" s="6" t="s">
        <v>36</v>
      </c>
      <c r="J297" s="6" t="str">
        <f aca="false">ROUND(87*1,0)&amp;"%"</f>
        <v>87%</v>
      </c>
    </row>
    <row r="298" customFormat="false" ht="15" hidden="false" customHeight="false" outlineLevel="0" collapsed="false">
      <c r="A298" s="5" t="s">
        <v>7850</v>
      </c>
      <c r="B298" s="5" t="s">
        <v>484</v>
      </c>
      <c r="C298" s="5" t="s">
        <v>95</v>
      </c>
      <c r="D298" s="5" t="s">
        <v>39</v>
      </c>
      <c r="E298" s="5" t="n">
        <f aca="false">ROUND(8172*1.05,2)</f>
        <v>8580.6</v>
      </c>
      <c r="F298" s="5" t="s">
        <v>40</v>
      </c>
      <c r="G298" s="5" t="s">
        <v>24</v>
      </c>
      <c r="H298" s="5" t="n">
        <f aca="true">ROUND(RAND()*4+6,1)</f>
        <v>9.3</v>
      </c>
      <c r="I298" s="5" t="s">
        <v>41</v>
      </c>
      <c r="J298" s="5" t="str">
        <f aca="false">ROUND(72*1,0)&amp;"%"</f>
        <v>72%</v>
      </c>
    </row>
    <row r="299" customFormat="false" ht="15" hidden="false" customHeight="false" outlineLevel="0" collapsed="false">
      <c r="A299" s="6" t="s">
        <v>7851</v>
      </c>
      <c r="B299" s="6" t="s">
        <v>486</v>
      </c>
      <c r="C299" s="6" t="s">
        <v>95</v>
      </c>
      <c r="D299" s="6" t="s">
        <v>44</v>
      </c>
      <c r="E299" s="6" t="n">
        <f aca="false">ROUND(14252*1.05,2)</f>
        <v>14964.6</v>
      </c>
      <c r="F299" s="6" t="s">
        <v>45</v>
      </c>
      <c r="G299" s="6" t="s">
        <v>30</v>
      </c>
      <c r="H299" s="6" t="n">
        <f aca="true">ROUND(RAND()*4+6,1)</f>
        <v>8.5</v>
      </c>
      <c r="I299" s="6" t="s">
        <v>46</v>
      </c>
      <c r="J299" s="6" t="str">
        <f aca="false">ROUND(96*1,0)&amp;"%"</f>
        <v>96%</v>
      </c>
    </row>
    <row r="300" customFormat="false" ht="15" hidden="false" customHeight="false" outlineLevel="0" collapsed="false">
      <c r="A300" s="5" t="s">
        <v>7852</v>
      </c>
      <c r="B300" s="5" t="s">
        <v>488</v>
      </c>
      <c r="C300" s="5" t="s">
        <v>95</v>
      </c>
      <c r="D300" s="5" t="s">
        <v>16</v>
      </c>
      <c r="E300" s="5" t="n">
        <f aca="false">ROUND(16950*1.05,2)</f>
        <v>17797.5</v>
      </c>
      <c r="F300" s="5" t="s">
        <v>49</v>
      </c>
      <c r="G300" s="5" t="s">
        <v>18</v>
      </c>
      <c r="H300" s="5" t="n">
        <f aca="true">ROUND(RAND()*4+6,1)</f>
        <v>9.3</v>
      </c>
      <c r="I300" s="5" t="s">
        <v>19</v>
      </c>
      <c r="J300" s="5" t="str">
        <f aca="false">ROUND(79*1,0)&amp;"%"</f>
        <v>79%</v>
      </c>
    </row>
    <row r="301" customFormat="false" ht="15" hidden="false" customHeight="false" outlineLevel="0" collapsed="false">
      <c r="A301" s="6" t="s">
        <v>7853</v>
      </c>
      <c r="B301" s="6" t="s">
        <v>490</v>
      </c>
      <c r="C301" s="6" t="s">
        <v>95</v>
      </c>
      <c r="D301" s="6" t="s">
        <v>22</v>
      </c>
      <c r="E301" s="6" t="n">
        <f aca="false">ROUND(11881*1.05,2)</f>
        <v>12475.05</v>
      </c>
      <c r="F301" s="6" t="s">
        <v>52</v>
      </c>
      <c r="G301" s="6" t="s">
        <v>24</v>
      </c>
      <c r="H301" s="6" t="n">
        <f aca="true">ROUND(RAND()*4+6,1)</f>
        <v>8.5</v>
      </c>
      <c r="I301" s="6" t="s">
        <v>25</v>
      </c>
      <c r="J301" s="6" t="str">
        <f aca="false">ROUND(76*1,0)&amp;"%"</f>
        <v>76%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7854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7855</v>
      </c>
      <c r="B306" s="5" t="s">
        <v>494</v>
      </c>
      <c r="C306" s="5" t="s">
        <v>114</v>
      </c>
      <c r="D306" s="5" t="s">
        <v>16</v>
      </c>
      <c r="E306" s="5" t="n">
        <f aca="false">ROUND(4164*1.05,2)</f>
        <v>4372.2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ROUND(97*1,0)&amp;"%"</f>
        <v>97%</v>
      </c>
    </row>
    <row r="307" customFormat="false" ht="15" hidden="false" customHeight="false" outlineLevel="0" collapsed="false">
      <c r="A307" s="6" t="s">
        <v>7856</v>
      </c>
      <c r="B307" s="6" t="s">
        <v>496</v>
      </c>
      <c r="C307" s="6" t="s">
        <v>114</v>
      </c>
      <c r="D307" s="6" t="s">
        <v>22</v>
      </c>
      <c r="E307" s="6" t="n">
        <f aca="false">ROUND(5469*1.05,2)</f>
        <v>5742.45</v>
      </c>
      <c r="F307" s="6" t="s">
        <v>23</v>
      </c>
      <c r="G307" s="6" t="s">
        <v>24</v>
      </c>
      <c r="H307" s="6" t="n">
        <f aca="true">ROUND(RAND()*4+6,1)</f>
        <v>7.6</v>
      </c>
      <c r="I307" s="6" t="s">
        <v>25</v>
      </c>
      <c r="J307" s="6" t="str">
        <f aca="false">ROUND(74*1,0)&amp;"%"</f>
        <v>74%</v>
      </c>
    </row>
    <row r="308" customFormat="false" ht="15" hidden="false" customHeight="false" outlineLevel="0" collapsed="false">
      <c r="A308" s="5" t="s">
        <v>7857</v>
      </c>
      <c r="B308" s="5" t="s">
        <v>498</v>
      </c>
      <c r="C308" s="5" t="s">
        <v>114</v>
      </c>
      <c r="D308" s="5" t="s">
        <v>28</v>
      </c>
      <c r="E308" s="5" t="n">
        <f aca="false">ROUND(14244*1.05,2)</f>
        <v>14956.2</v>
      </c>
      <c r="F308" s="5" t="s">
        <v>29</v>
      </c>
      <c r="G308" s="5" t="s">
        <v>30</v>
      </c>
      <c r="H308" s="5" t="n">
        <f aca="true">ROUND(RAND()*4+6,1)</f>
        <v>8.1</v>
      </c>
      <c r="I308" s="5" t="s">
        <v>31</v>
      </c>
      <c r="J308" s="5" t="str">
        <f aca="false">ROUND(92*1,0)&amp;"%"</f>
        <v>92%</v>
      </c>
    </row>
    <row r="309" customFormat="false" ht="15" hidden="false" customHeight="false" outlineLevel="0" collapsed="false">
      <c r="A309" s="6" t="s">
        <v>7858</v>
      </c>
      <c r="B309" s="6" t="s">
        <v>500</v>
      </c>
      <c r="C309" s="6" t="s">
        <v>114</v>
      </c>
      <c r="D309" s="6" t="s">
        <v>34</v>
      </c>
      <c r="E309" s="6" t="n">
        <f aca="false">ROUND(13844*1.05,2)</f>
        <v>14536.2</v>
      </c>
      <c r="F309" s="6" t="s">
        <v>35</v>
      </c>
      <c r="G309" s="6" t="s">
        <v>18</v>
      </c>
      <c r="H309" s="6" t="n">
        <f aca="true">ROUND(RAND()*4+6,1)</f>
        <v>7.2</v>
      </c>
      <c r="I309" s="6" t="s">
        <v>36</v>
      </c>
      <c r="J309" s="6" t="str">
        <f aca="false">ROUND(71*1,0)&amp;"%"</f>
        <v>71%</v>
      </c>
    </row>
    <row r="310" customFormat="false" ht="15" hidden="false" customHeight="false" outlineLevel="0" collapsed="false">
      <c r="A310" s="5" t="s">
        <v>7859</v>
      </c>
      <c r="B310" s="5" t="s">
        <v>502</v>
      </c>
      <c r="C310" s="5" t="s">
        <v>114</v>
      </c>
      <c r="D310" s="5" t="s">
        <v>39</v>
      </c>
      <c r="E310" s="5" t="n">
        <f aca="false">ROUND(5157*1.05,2)</f>
        <v>5414.85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ROUND(79*1,0)&amp;"%"</f>
        <v>79%</v>
      </c>
    </row>
    <row r="311" customFormat="false" ht="15" hidden="false" customHeight="false" outlineLevel="0" collapsed="false">
      <c r="A311" s="6" t="s">
        <v>7860</v>
      </c>
      <c r="B311" s="6" t="s">
        <v>504</v>
      </c>
      <c r="C311" s="6" t="s">
        <v>114</v>
      </c>
      <c r="D311" s="6" t="s">
        <v>44</v>
      </c>
      <c r="E311" s="6" t="n">
        <f aca="false">ROUND(13577*1.05,2)</f>
        <v>14255.85</v>
      </c>
      <c r="F311" s="6" t="s">
        <v>45</v>
      </c>
      <c r="G311" s="6" t="s">
        <v>30</v>
      </c>
      <c r="H311" s="6" t="n">
        <f aca="true">ROUND(RAND()*4+6,1)</f>
        <v>9.2</v>
      </c>
      <c r="I311" s="6" t="s">
        <v>46</v>
      </c>
      <c r="J311" s="6" t="str">
        <f aca="false">ROUND(69*1,0)&amp;"%"</f>
        <v>69%</v>
      </c>
    </row>
    <row r="312" customFormat="false" ht="15" hidden="false" customHeight="false" outlineLevel="0" collapsed="false">
      <c r="A312" s="5" t="s">
        <v>7861</v>
      </c>
      <c r="B312" s="5" t="s">
        <v>506</v>
      </c>
      <c r="C312" s="5" t="s">
        <v>114</v>
      </c>
      <c r="D312" s="5" t="s">
        <v>16</v>
      </c>
      <c r="E312" s="5" t="n">
        <f aca="false">ROUND(6630*1.05,2)</f>
        <v>6961.5</v>
      </c>
      <c r="F312" s="5" t="s">
        <v>49</v>
      </c>
      <c r="G312" s="5" t="s">
        <v>18</v>
      </c>
      <c r="H312" s="5" t="n">
        <f aca="true">ROUND(RAND()*4+6,1)</f>
        <v>8.3</v>
      </c>
      <c r="I312" s="5" t="s">
        <v>19</v>
      </c>
      <c r="J312" s="5" t="str">
        <f aca="false">ROUND(80*1,0)&amp;"%"</f>
        <v>80%</v>
      </c>
    </row>
    <row r="313" customFormat="false" ht="15" hidden="false" customHeight="false" outlineLevel="0" collapsed="false">
      <c r="A313" s="6" t="s">
        <v>7862</v>
      </c>
      <c r="B313" s="6" t="s">
        <v>508</v>
      </c>
      <c r="C313" s="6" t="s">
        <v>114</v>
      </c>
      <c r="D313" s="6" t="s">
        <v>22</v>
      </c>
      <c r="E313" s="6" t="n">
        <f aca="false">ROUND(14092*1.05,2)</f>
        <v>14796.6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ROUND(72*1,0)&amp;"%"</f>
        <v>72%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7863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7864</v>
      </c>
      <c r="B318" s="5" t="s">
        <v>512</v>
      </c>
      <c r="C318" s="5" t="s">
        <v>133</v>
      </c>
      <c r="D318" s="5" t="s">
        <v>16</v>
      </c>
      <c r="E318" s="5" t="n">
        <f aca="false">ROUND(12891*1.05,2)</f>
        <v>13535.55</v>
      </c>
      <c r="F318" s="5" t="s">
        <v>17</v>
      </c>
      <c r="G318" s="5" t="s">
        <v>18</v>
      </c>
      <c r="H318" s="5" t="n">
        <f aca="true">ROUND(RAND()*4+6,1)</f>
        <v>8.7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7865</v>
      </c>
      <c r="B319" s="6" t="s">
        <v>514</v>
      </c>
      <c r="C319" s="6" t="s">
        <v>133</v>
      </c>
      <c r="D319" s="6" t="s">
        <v>22</v>
      </c>
      <c r="E319" s="6" t="n">
        <f aca="false">ROUND(8333*1.05,2)</f>
        <v>8749.65</v>
      </c>
      <c r="F319" s="6" t="s">
        <v>23</v>
      </c>
      <c r="G319" s="6" t="s">
        <v>24</v>
      </c>
      <c r="H319" s="6" t="n">
        <f aca="true">ROUND(RAND()*4+6,1)</f>
        <v>6.8</v>
      </c>
      <c r="I319" s="6" t="s">
        <v>25</v>
      </c>
      <c r="J319" s="6" t="str">
        <f aca="false">ROUND(65*1,0)&amp;"%"</f>
        <v>65%</v>
      </c>
    </row>
    <row r="320" customFormat="false" ht="15" hidden="false" customHeight="false" outlineLevel="0" collapsed="false">
      <c r="A320" s="5" t="s">
        <v>7866</v>
      </c>
      <c r="B320" s="5" t="s">
        <v>516</v>
      </c>
      <c r="C320" s="5" t="s">
        <v>133</v>
      </c>
      <c r="D320" s="5" t="s">
        <v>28</v>
      </c>
      <c r="E320" s="5" t="n">
        <f aca="false">ROUND(17956*1.05,2)</f>
        <v>18853.8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ROUND(71*1,0)&amp;"%"</f>
        <v>71%</v>
      </c>
    </row>
    <row r="321" customFormat="false" ht="15" hidden="false" customHeight="false" outlineLevel="0" collapsed="false">
      <c r="A321" s="6" t="s">
        <v>7867</v>
      </c>
      <c r="B321" s="6" t="s">
        <v>518</v>
      </c>
      <c r="C321" s="6" t="s">
        <v>133</v>
      </c>
      <c r="D321" s="6" t="s">
        <v>34</v>
      </c>
      <c r="E321" s="6" t="n">
        <f aca="false">ROUND(9521*1.05,2)</f>
        <v>9997.05</v>
      </c>
      <c r="F321" s="6" t="s">
        <v>35</v>
      </c>
      <c r="G321" s="6" t="s">
        <v>18</v>
      </c>
      <c r="H321" s="6" t="n">
        <f aca="true">ROUND(RAND()*4+6,1)</f>
        <v>8.4</v>
      </c>
      <c r="I321" s="6" t="s">
        <v>36</v>
      </c>
      <c r="J321" s="6" t="str">
        <f aca="false">ROUND(62*1,0)&amp;"%"</f>
        <v>62%</v>
      </c>
    </row>
    <row r="322" customFormat="false" ht="15" hidden="false" customHeight="false" outlineLevel="0" collapsed="false">
      <c r="A322" s="5" t="s">
        <v>7868</v>
      </c>
      <c r="B322" s="5" t="s">
        <v>520</v>
      </c>
      <c r="C322" s="5" t="s">
        <v>133</v>
      </c>
      <c r="D322" s="5" t="s">
        <v>39</v>
      </c>
      <c r="E322" s="5" t="n">
        <f aca="false">ROUND(5117*1.05,2)</f>
        <v>5372.85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ROUND(81*1,0)&amp;"%"</f>
        <v>81%</v>
      </c>
    </row>
    <row r="323" customFormat="false" ht="15" hidden="false" customHeight="false" outlineLevel="0" collapsed="false">
      <c r="A323" s="6" t="s">
        <v>7869</v>
      </c>
      <c r="B323" s="6" t="s">
        <v>522</v>
      </c>
      <c r="C323" s="6" t="s">
        <v>133</v>
      </c>
      <c r="D323" s="6" t="s">
        <v>44</v>
      </c>
      <c r="E323" s="6" t="n">
        <f aca="false">ROUND(16459*1.05,2)</f>
        <v>17281.95</v>
      </c>
      <c r="F323" s="6" t="s">
        <v>45</v>
      </c>
      <c r="G323" s="6" t="s">
        <v>30</v>
      </c>
      <c r="H323" s="6" t="n">
        <f aca="true">ROUND(RAND()*4+6,1)</f>
        <v>9.1</v>
      </c>
      <c r="I323" s="6" t="s">
        <v>46</v>
      </c>
      <c r="J323" s="6" t="str">
        <f aca="false">ROUND(72*1,0)&amp;"%"</f>
        <v>72%</v>
      </c>
    </row>
    <row r="324" customFormat="false" ht="15" hidden="false" customHeight="false" outlineLevel="0" collapsed="false">
      <c r="A324" s="5" t="s">
        <v>7870</v>
      </c>
      <c r="B324" s="5" t="s">
        <v>524</v>
      </c>
      <c r="C324" s="5" t="s">
        <v>133</v>
      </c>
      <c r="D324" s="5" t="s">
        <v>16</v>
      </c>
      <c r="E324" s="5" t="n">
        <f aca="false">ROUND(10039*1.05,2)</f>
        <v>10540.95</v>
      </c>
      <c r="F324" s="5" t="s">
        <v>49</v>
      </c>
      <c r="G324" s="5" t="s">
        <v>18</v>
      </c>
      <c r="H324" s="5" t="n">
        <f aca="true">ROUND(RAND()*4+6,1)</f>
        <v>7.2</v>
      </c>
      <c r="I324" s="5" t="s">
        <v>19</v>
      </c>
      <c r="J324" s="5" t="str">
        <f aca="false">ROUND(72*1,0)&amp;"%"</f>
        <v>72%</v>
      </c>
    </row>
    <row r="325" customFormat="false" ht="15" hidden="false" customHeight="false" outlineLevel="0" collapsed="false">
      <c r="A325" s="6" t="s">
        <v>7871</v>
      </c>
      <c r="B325" s="6" t="s">
        <v>526</v>
      </c>
      <c r="C325" s="6" t="s">
        <v>133</v>
      </c>
      <c r="D325" s="6" t="s">
        <v>22</v>
      </c>
      <c r="E325" s="6" t="n">
        <f aca="false">ROUND(12998*1.05,2)</f>
        <v>13647.9</v>
      </c>
      <c r="F325" s="6" t="s">
        <v>52</v>
      </c>
      <c r="G325" s="6" t="s">
        <v>24</v>
      </c>
      <c r="H325" s="6" t="n">
        <f aca="true">ROUND(RAND()*4+6,1)</f>
        <v>6.5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7872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7873</v>
      </c>
      <c r="B330" s="5" t="s">
        <v>530</v>
      </c>
      <c r="C330" s="5" t="s">
        <v>152</v>
      </c>
      <c r="D330" s="5" t="s">
        <v>16</v>
      </c>
      <c r="E330" s="5" t="n">
        <f aca="false">ROUND(11199*1.05,2)</f>
        <v>11758.95</v>
      </c>
      <c r="F330" s="5" t="s">
        <v>17</v>
      </c>
      <c r="G330" s="5" t="s">
        <v>18</v>
      </c>
      <c r="H330" s="5" t="n">
        <f aca="true">ROUND(RAND()*4+6,1)</f>
        <v>6.3</v>
      </c>
      <c r="I330" s="5" t="s">
        <v>19</v>
      </c>
      <c r="J330" s="5" t="str">
        <f aca="false">ROUND(63*1,0)&amp;"%"</f>
        <v>63%</v>
      </c>
    </row>
    <row r="331" customFormat="false" ht="15" hidden="false" customHeight="false" outlineLevel="0" collapsed="false">
      <c r="A331" s="6" t="s">
        <v>7874</v>
      </c>
      <c r="B331" s="6" t="s">
        <v>532</v>
      </c>
      <c r="C331" s="6" t="s">
        <v>152</v>
      </c>
      <c r="D331" s="6" t="s">
        <v>22</v>
      </c>
      <c r="E331" s="6" t="n">
        <f aca="false">ROUND(5337*1.05,2)</f>
        <v>5603.85</v>
      </c>
      <c r="F331" s="6" t="s">
        <v>23</v>
      </c>
      <c r="G331" s="6" t="s">
        <v>24</v>
      </c>
      <c r="H331" s="6" t="n">
        <f aca="true">ROUND(RAND()*4+6,1)</f>
        <v>8.2</v>
      </c>
      <c r="I331" s="6" t="s">
        <v>25</v>
      </c>
      <c r="J331" s="6" t="str">
        <f aca="false">ROUND(93*1,0)&amp;"%"</f>
        <v>93%</v>
      </c>
    </row>
    <row r="332" customFormat="false" ht="15" hidden="false" customHeight="false" outlineLevel="0" collapsed="false">
      <c r="A332" s="5" t="s">
        <v>7875</v>
      </c>
      <c r="B332" s="5" t="s">
        <v>534</v>
      </c>
      <c r="C332" s="5" t="s">
        <v>152</v>
      </c>
      <c r="D332" s="5" t="s">
        <v>28</v>
      </c>
      <c r="E332" s="5" t="n">
        <f aca="false">ROUND(6121*1.05,2)</f>
        <v>6427.05</v>
      </c>
      <c r="F332" s="5" t="s">
        <v>29</v>
      </c>
      <c r="G332" s="5" t="s">
        <v>30</v>
      </c>
      <c r="H332" s="5" t="n">
        <f aca="true">ROUND(RAND()*4+6,1)</f>
        <v>6.8</v>
      </c>
      <c r="I332" s="5" t="s">
        <v>31</v>
      </c>
      <c r="J332" s="5" t="str">
        <f aca="false">ROUND(90*1,0)&amp;"%"</f>
        <v>90%</v>
      </c>
    </row>
    <row r="333" customFormat="false" ht="15" hidden="false" customHeight="false" outlineLevel="0" collapsed="false">
      <c r="A333" s="6" t="s">
        <v>7876</v>
      </c>
      <c r="B333" s="6" t="s">
        <v>536</v>
      </c>
      <c r="C333" s="6" t="s">
        <v>152</v>
      </c>
      <c r="D333" s="6" t="s">
        <v>34</v>
      </c>
      <c r="E333" s="6" t="n">
        <f aca="false">ROUND(4887*1.05,2)</f>
        <v>5131.35</v>
      </c>
      <c r="F333" s="6" t="s">
        <v>35</v>
      </c>
      <c r="G333" s="6" t="s">
        <v>18</v>
      </c>
      <c r="H333" s="6" t="n">
        <f aca="true">ROUND(RAND()*4+6,1)</f>
        <v>9.3</v>
      </c>
      <c r="I333" s="6" t="s">
        <v>36</v>
      </c>
      <c r="J333" s="6" t="str">
        <f aca="false">ROUND(83*1,0)&amp;"%"</f>
        <v>83%</v>
      </c>
    </row>
    <row r="334" customFormat="false" ht="15" hidden="false" customHeight="false" outlineLevel="0" collapsed="false">
      <c r="A334" s="5" t="s">
        <v>7877</v>
      </c>
      <c r="B334" s="5" t="s">
        <v>538</v>
      </c>
      <c r="C334" s="5" t="s">
        <v>152</v>
      </c>
      <c r="D334" s="5" t="s">
        <v>39</v>
      </c>
      <c r="E334" s="5" t="n">
        <f aca="false">ROUND(7372*1.05,2)</f>
        <v>7740.6</v>
      </c>
      <c r="F334" s="5" t="s">
        <v>40</v>
      </c>
      <c r="G334" s="5" t="s">
        <v>24</v>
      </c>
      <c r="H334" s="5" t="n">
        <f aca="true">ROUND(RAND()*4+6,1)</f>
        <v>9.1</v>
      </c>
      <c r="I334" s="5" t="s">
        <v>41</v>
      </c>
      <c r="J334" s="5" t="str">
        <f aca="false">ROUND(71*1,0)&amp;"%"</f>
        <v>71%</v>
      </c>
    </row>
    <row r="335" customFormat="false" ht="15" hidden="false" customHeight="false" outlineLevel="0" collapsed="false">
      <c r="A335" s="6" t="s">
        <v>7878</v>
      </c>
      <c r="B335" s="6" t="s">
        <v>540</v>
      </c>
      <c r="C335" s="6" t="s">
        <v>152</v>
      </c>
      <c r="D335" s="6" t="s">
        <v>44</v>
      </c>
      <c r="E335" s="6" t="n">
        <f aca="false">ROUND(10204*1.05,2)</f>
        <v>10714.2</v>
      </c>
      <c r="F335" s="6" t="s">
        <v>45</v>
      </c>
      <c r="G335" s="6" t="s">
        <v>30</v>
      </c>
      <c r="H335" s="6" t="n">
        <f aca="true">ROUND(RAND()*4+6,1)</f>
        <v>7.2</v>
      </c>
      <c r="I335" s="6" t="s">
        <v>46</v>
      </c>
      <c r="J335" s="6" t="str">
        <f aca="false">ROUND(70*1,0)&amp;"%"</f>
        <v>70%</v>
      </c>
    </row>
    <row r="336" customFormat="false" ht="15" hidden="false" customHeight="false" outlineLevel="0" collapsed="false">
      <c r="A336" s="5" t="s">
        <v>7879</v>
      </c>
      <c r="B336" s="5" t="s">
        <v>542</v>
      </c>
      <c r="C336" s="5" t="s">
        <v>152</v>
      </c>
      <c r="D336" s="5" t="s">
        <v>16</v>
      </c>
      <c r="E336" s="5" t="n">
        <f aca="false">ROUND(14896*1.05,2)</f>
        <v>15640.8</v>
      </c>
      <c r="F336" s="5" t="s">
        <v>49</v>
      </c>
      <c r="G336" s="5" t="s">
        <v>18</v>
      </c>
      <c r="H336" s="5" t="n">
        <f aca="true">ROUND(RAND()*4+6,1)</f>
        <v>7.6</v>
      </c>
      <c r="I336" s="5" t="s">
        <v>19</v>
      </c>
      <c r="J336" s="5" t="str">
        <f aca="false">ROUND(83*1,0)&amp;"%"</f>
        <v>83%</v>
      </c>
    </row>
    <row r="337" customFormat="false" ht="15" hidden="false" customHeight="false" outlineLevel="0" collapsed="false">
      <c r="A337" s="6" t="s">
        <v>7880</v>
      </c>
      <c r="B337" s="6" t="s">
        <v>544</v>
      </c>
      <c r="C337" s="6" t="s">
        <v>152</v>
      </c>
      <c r="D337" s="6" t="s">
        <v>22</v>
      </c>
      <c r="E337" s="6" t="n">
        <f aca="false">ROUND(12667*1.05,2)</f>
        <v>13300.35</v>
      </c>
      <c r="F337" s="6" t="s">
        <v>52</v>
      </c>
      <c r="G337" s="6" t="s">
        <v>24</v>
      </c>
      <c r="H337" s="6" t="n">
        <f aca="true">ROUND(RAND()*4+6,1)</f>
        <v>8.5</v>
      </c>
      <c r="I337" s="6" t="s">
        <v>25</v>
      </c>
      <c r="J337" s="6" t="str">
        <f aca="false">ROUND(68*1,0)&amp;"%"</f>
        <v>68%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7881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7882</v>
      </c>
      <c r="B342" s="5" t="s">
        <v>548</v>
      </c>
      <c r="C342" s="5" t="s">
        <v>15</v>
      </c>
      <c r="D342" s="5" t="s">
        <v>16</v>
      </c>
      <c r="E342" s="5" t="n">
        <f aca="false">ROUND(15025*1.05,2)</f>
        <v>15776.25</v>
      </c>
      <c r="F342" s="5" t="s">
        <v>17</v>
      </c>
      <c r="G342" s="5" t="s">
        <v>18</v>
      </c>
      <c r="H342" s="5" t="n">
        <f aca="true">ROUND(RAND()*4+6,1)</f>
        <v>6.9</v>
      </c>
      <c r="I342" s="5" t="s">
        <v>19</v>
      </c>
      <c r="J342" s="5" t="str">
        <f aca="false">ROUND(72*1,0)&amp;"%"</f>
        <v>72%</v>
      </c>
    </row>
    <row r="343" customFormat="false" ht="15" hidden="false" customHeight="false" outlineLevel="0" collapsed="false">
      <c r="A343" s="6" t="s">
        <v>7883</v>
      </c>
      <c r="B343" s="6" t="s">
        <v>550</v>
      </c>
      <c r="C343" s="6" t="s">
        <v>15</v>
      </c>
      <c r="D343" s="6" t="s">
        <v>22</v>
      </c>
      <c r="E343" s="6" t="n">
        <f aca="false">ROUND(4202*1.05,2)</f>
        <v>4412.1</v>
      </c>
      <c r="F343" s="6" t="s">
        <v>23</v>
      </c>
      <c r="G343" s="6" t="s">
        <v>24</v>
      </c>
      <c r="H343" s="6" t="n">
        <f aca="true">ROUND(RAND()*4+6,1)</f>
        <v>7.5</v>
      </c>
      <c r="I343" s="6" t="s">
        <v>25</v>
      </c>
      <c r="J343" s="6" t="str">
        <f aca="false">ROUND(65*1,0)&amp;"%"</f>
        <v>65%</v>
      </c>
    </row>
    <row r="344" customFormat="false" ht="15" hidden="false" customHeight="false" outlineLevel="0" collapsed="false">
      <c r="A344" s="5" t="s">
        <v>7884</v>
      </c>
      <c r="B344" s="5" t="s">
        <v>552</v>
      </c>
      <c r="C344" s="5" t="s">
        <v>15</v>
      </c>
      <c r="D344" s="5" t="s">
        <v>28</v>
      </c>
      <c r="E344" s="5" t="n">
        <f aca="false">ROUND(8450*1.05,2)</f>
        <v>8872.5</v>
      </c>
      <c r="F344" s="5" t="s">
        <v>29</v>
      </c>
      <c r="G344" s="5" t="s">
        <v>30</v>
      </c>
      <c r="H344" s="5" t="n">
        <f aca="true">ROUND(RAND()*4+6,1)</f>
        <v>9.8</v>
      </c>
      <c r="I344" s="5" t="s">
        <v>31</v>
      </c>
      <c r="J344" s="5" t="str">
        <f aca="false">ROUND(68*1,0)&amp;"%"</f>
        <v>68%</v>
      </c>
    </row>
    <row r="345" customFormat="false" ht="15" hidden="false" customHeight="false" outlineLevel="0" collapsed="false">
      <c r="A345" s="6" t="s">
        <v>7885</v>
      </c>
      <c r="B345" s="6" t="s">
        <v>554</v>
      </c>
      <c r="C345" s="6" t="s">
        <v>15</v>
      </c>
      <c r="D345" s="6" t="s">
        <v>34</v>
      </c>
      <c r="E345" s="6" t="n">
        <f aca="false">ROUND(13646*1.05,2)</f>
        <v>14328.3</v>
      </c>
      <c r="F345" s="6" t="s">
        <v>35</v>
      </c>
      <c r="G345" s="6" t="s">
        <v>18</v>
      </c>
      <c r="H345" s="6" t="n">
        <f aca="true">ROUND(RAND()*4+6,1)</f>
        <v>7.9</v>
      </c>
      <c r="I345" s="6" t="s">
        <v>36</v>
      </c>
      <c r="J345" s="6" t="str">
        <f aca="false">ROUND(65*1,0)&amp;"%"</f>
        <v>65%</v>
      </c>
    </row>
    <row r="346" customFormat="false" ht="15" hidden="false" customHeight="false" outlineLevel="0" collapsed="false">
      <c r="A346" s="5" t="s">
        <v>7886</v>
      </c>
      <c r="B346" s="5" t="s">
        <v>556</v>
      </c>
      <c r="C346" s="5" t="s">
        <v>15</v>
      </c>
      <c r="D346" s="5" t="s">
        <v>39</v>
      </c>
      <c r="E346" s="5" t="n">
        <f aca="false">ROUND(11463*1.05,2)</f>
        <v>12036.15</v>
      </c>
      <c r="F346" s="5" t="s">
        <v>40</v>
      </c>
      <c r="G346" s="5" t="s">
        <v>24</v>
      </c>
      <c r="H346" s="5" t="n">
        <f aca="true">ROUND(RAND()*4+6,1)</f>
        <v>6.9</v>
      </c>
      <c r="I346" s="5" t="s">
        <v>41</v>
      </c>
      <c r="J346" s="5" t="str">
        <f aca="false">ROUND(74*1,0)&amp;"%"</f>
        <v>74%</v>
      </c>
    </row>
    <row r="347" customFormat="false" ht="15" hidden="false" customHeight="false" outlineLevel="0" collapsed="false">
      <c r="A347" s="6" t="s">
        <v>7887</v>
      </c>
      <c r="B347" s="6" t="s">
        <v>558</v>
      </c>
      <c r="C347" s="6" t="s">
        <v>15</v>
      </c>
      <c r="D347" s="6" t="s">
        <v>44</v>
      </c>
      <c r="E347" s="6" t="n">
        <f aca="false">ROUND(6428*1.05,2)</f>
        <v>6749.4</v>
      </c>
      <c r="F347" s="6" t="s">
        <v>45</v>
      </c>
      <c r="G347" s="6" t="s">
        <v>30</v>
      </c>
      <c r="H347" s="6" t="n">
        <f aca="true">ROUND(RAND()*4+6,1)</f>
        <v>7.1</v>
      </c>
      <c r="I347" s="6" t="s">
        <v>46</v>
      </c>
      <c r="J347" s="6" t="str">
        <f aca="false">ROUND(72*1,0)&amp;"%"</f>
        <v>72%</v>
      </c>
    </row>
    <row r="348" customFormat="false" ht="15" hidden="false" customHeight="false" outlineLevel="0" collapsed="false">
      <c r="A348" s="5" t="s">
        <v>7888</v>
      </c>
      <c r="B348" s="5" t="s">
        <v>560</v>
      </c>
      <c r="C348" s="5" t="s">
        <v>15</v>
      </c>
      <c r="D348" s="5" t="s">
        <v>16</v>
      </c>
      <c r="E348" s="5" t="n">
        <f aca="false">ROUND(15673*1.05,2)</f>
        <v>16456.65</v>
      </c>
      <c r="F348" s="5" t="s">
        <v>49</v>
      </c>
      <c r="G348" s="5" t="s">
        <v>18</v>
      </c>
      <c r="H348" s="5" t="n">
        <f aca="true">ROUND(RAND()*4+6,1)</f>
        <v>9.8</v>
      </c>
      <c r="I348" s="5" t="s">
        <v>19</v>
      </c>
      <c r="J348" s="5" t="str">
        <f aca="false">ROUND(65*1,0)&amp;"%"</f>
        <v>65%</v>
      </c>
    </row>
    <row r="349" customFormat="false" ht="15" hidden="false" customHeight="false" outlineLevel="0" collapsed="false">
      <c r="A349" s="6" t="s">
        <v>7889</v>
      </c>
      <c r="B349" s="6" t="s">
        <v>562</v>
      </c>
      <c r="C349" s="6" t="s">
        <v>15</v>
      </c>
      <c r="D349" s="6" t="s">
        <v>22</v>
      </c>
      <c r="E349" s="6" t="n">
        <f aca="false">ROUND(9642*1.05,2)</f>
        <v>10124.1</v>
      </c>
      <c r="F349" s="6" t="s">
        <v>52</v>
      </c>
      <c r="G349" s="6" t="s">
        <v>24</v>
      </c>
      <c r="H349" s="6" t="n">
        <f aca="true">ROUND(RAND()*4+6,1)</f>
        <v>7.4</v>
      </c>
      <c r="I349" s="6" t="s">
        <v>25</v>
      </c>
      <c r="J349" s="6" t="str">
        <f aca="false">ROUND(92*1,0)&amp;"%"</f>
        <v>92%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7890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7891</v>
      </c>
      <c r="B354" s="5" t="s">
        <v>566</v>
      </c>
      <c r="C354" s="5" t="s">
        <v>57</v>
      </c>
      <c r="D354" s="5" t="s">
        <v>16</v>
      </c>
      <c r="E354" s="5" t="n">
        <f aca="false">ROUND(15520*1.05,2)</f>
        <v>16296</v>
      </c>
      <c r="F354" s="5" t="s">
        <v>17</v>
      </c>
      <c r="G354" s="5" t="s">
        <v>18</v>
      </c>
      <c r="H354" s="5" t="n">
        <f aca="true">ROUND(RAND()*4+6,1)</f>
        <v>8.8</v>
      </c>
      <c r="I354" s="5" t="s">
        <v>19</v>
      </c>
      <c r="J354" s="5" t="str">
        <f aca="false">ROUND(66*1,0)&amp;"%"</f>
        <v>66%</v>
      </c>
    </row>
    <row r="355" customFormat="false" ht="15" hidden="false" customHeight="false" outlineLevel="0" collapsed="false">
      <c r="A355" s="6" t="s">
        <v>7892</v>
      </c>
      <c r="B355" s="6" t="s">
        <v>568</v>
      </c>
      <c r="C355" s="6" t="s">
        <v>57</v>
      </c>
      <c r="D355" s="6" t="s">
        <v>22</v>
      </c>
      <c r="E355" s="6" t="n">
        <f aca="false">ROUND(16512*1.05,2)</f>
        <v>17337.6</v>
      </c>
      <c r="F355" s="6" t="s">
        <v>23</v>
      </c>
      <c r="G355" s="6" t="s">
        <v>24</v>
      </c>
      <c r="H355" s="6" t="n">
        <f aca="true">ROUND(RAND()*4+6,1)</f>
        <v>8.8</v>
      </c>
      <c r="I355" s="6" t="s">
        <v>25</v>
      </c>
      <c r="J355" s="6" t="str">
        <f aca="false">ROUND(63*1,0)&amp;"%"</f>
        <v>63%</v>
      </c>
    </row>
    <row r="356" customFormat="false" ht="15" hidden="false" customHeight="false" outlineLevel="0" collapsed="false">
      <c r="A356" s="5" t="s">
        <v>7893</v>
      </c>
      <c r="B356" s="5" t="s">
        <v>570</v>
      </c>
      <c r="C356" s="5" t="s">
        <v>57</v>
      </c>
      <c r="D356" s="5" t="s">
        <v>28</v>
      </c>
      <c r="E356" s="5" t="n">
        <f aca="false">ROUND(4580*1.05,2)</f>
        <v>4809</v>
      </c>
      <c r="F356" s="5" t="s">
        <v>29</v>
      </c>
      <c r="G356" s="5" t="s">
        <v>30</v>
      </c>
      <c r="H356" s="5" t="n">
        <f aca="true">ROUND(RAND()*4+6,1)</f>
        <v>6.7</v>
      </c>
      <c r="I356" s="5" t="s">
        <v>31</v>
      </c>
      <c r="J356" s="5" t="str">
        <f aca="false">ROUND(88*1,0)&amp;"%"</f>
        <v>88%</v>
      </c>
    </row>
    <row r="357" customFormat="false" ht="15" hidden="false" customHeight="false" outlineLevel="0" collapsed="false">
      <c r="A357" s="6" t="s">
        <v>7894</v>
      </c>
      <c r="B357" s="6" t="s">
        <v>572</v>
      </c>
      <c r="C357" s="6" t="s">
        <v>57</v>
      </c>
      <c r="D357" s="6" t="s">
        <v>34</v>
      </c>
      <c r="E357" s="6" t="n">
        <f aca="false">ROUND(9468*1.05,2)</f>
        <v>9941.4</v>
      </c>
      <c r="F357" s="6" t="s">
        <v>35</v>
      </c>
      <c r="G357" s="6" t="s">
        <v>18</v>
      </c>
      <c r="H357" s="6" t="n">
        <f aca="true">ROUND(RAND()*4+6,1)</f>
        <v>7.3</v>
      </c>
      <c r="I357" s="6" t="s">
        <v>36</v>
      </c>
      <c r="J357" s="6" t="str">
        <f aca="false">ROUND(91*1,0)&amp;"%"</f>
        <v>91%</v>
      </c>
    </row>
    <row r="358" customFormat="false" ht="15" hidden="false" customHeight="false" outlineLevel="0" collapsed="false">
      <c r="A358" s="5" t="s">
        <v>7895</v>
      </c>
      <c r="B358" s="5" t="s">
        <v>574</v>
      </c>
      <c r="C358" s="5" t="s">
        <v>57</v>
      </c>
      <c r="D358" s="5" t="s">
        <v>39</v>
      </c>
      <c r="E358" s="5" t="n">
        <f aca="false">ROUND(6787*1.05,2)</f>
        <v>7126.35</v>
      </c>
      <c r="F358" s="5" t="s">
        <v>40</v>
      </c>
      <c r="G358" s="5" t="s">
        <v>24</v>
      </c>
      <c r="H358" s="5" t="n">
        <f aca="true">ROUND(RAND()*4+6,1)</f>
        <v>7.8</v>
      </c>
      <c r="I358" s="5" t="s">
        <v>41</v>
      </c>
      <c r="J358" s="5" t="str">
        <f aca="false">ROUND(80*1,0)&amp;"%"</f>
        <v>80%</v>
      </c>
    </row>
    <row r="359" customFormat="false" ht="15" hidden="false" customHeight="false" outlineLevel="0" collapsed="false">
      <c r="A359" s="6" t="s">
        <v>7896</v>
      </c>
      <c r="B359" s="6" t="s">
        <v>576</v>
      </c>
      <c r="C359" s="6" t="s">
        <v>57</v>
      </c>
      <c r="D359" s="6" t="s">
        <v>44</v>
      </c>
      <c r="E359" s="6" t="n">
        <f aca="false">ROUND(12310*1.05,2)</f>
        <v>12925.5</v>
      </c>
      <c r="F359" s="6" t="s">
        <v>45</v>
      </c>
      <c r="G359" s="6" t="s">
        <v>30</v>
      </c>
      <c r="H359" s="6" t="n">
        <f aca="true">ROUND(RAND()*4+6,1)</f>
        <v>8.2</v>
      </c>
      <c r="I359" s="6" t="s">
        <v>46</v>
      </c>
      <c r="J359" s="6" t="str">
        <f aca="false">ROUND(99*1,0)&amp;"%"</f>
        <v>99%</v>
      </c>
    </row>
    <row r="360" customFormat="false" ht="15" hidden="false" customHeight="false" outlineLevel="0" collapsed="false">
      <c r="A360" s="5" t="s">
        <v>7897</v>
      </c>
      <c r="B360" s="5" t="s">
        <v>578</v>
      </c>
      <c r="C360" s="5" t="s">
        <v>57</v>
      </c>
      <c r="D360" s="5" t="s">
        <v>16</v>
      </c>
      <c r="E360" s="5" t="n">
        <f aca="false">ROUND(16169*1.05,2)</f>
        <v>16977.45</v>
      </c>
      <c r="F360" s="5" t="s">
        <v>49</v>
      </c>
      <c r="G360" s="5" t="s">
        <v>18</v>
      </c>
      <c r="H360" s="5" t="n">
        <f aca="true">ROUND(RAND()*4+6,1)</f>
        <v>9.5</v>
      </c>
      <c r="I360" s="5" t="s">
        <v>19</v>
      </c>
      <c r="J360" s="5" t="str">
        <f aca="false">ROUND(100*1,0)&amp;"%"</f>
        <v>100%</v>
      </c>
    </row>
    <row r="361" customFormat="false" ht="15" hidden="false" customHeight="false" outlineLevel="0" collapsed="false">
      <c r="A361" s="6" t="s">
        <v>7898</v>
      </c>
      <c r="B361" s="6" t="s">
        <v>580</v>
      </c>
      <c r="C361" s="6" t="s">
        <v>57</v>
      </c>
      <c r="D361" s="6" t="s">
        <v>22</v>
      </c>
      <c r="E361" s="6" t="n">
        <f aca="false">ROUND(4495*1.05,2)</f>
        <v>4719.75</v>
      </c>
      <c r="F361" s="6" t="s">
        <v>52</v>
      </c>
      <c r="G361" s="6" t="s">
        <v>24</v>
      </c>
      <c r="H361" s="6" t="n">
        <f aca="true">ROUND(RAND()*4+6,1)</f>
        <v>6.9</v>
      </c>
      <c r="I361" s="6" t="s">
        <v>25</v>
      </c>
      <c r="J361" s="6" t="str">
        <f aca="false">ROUND(84*1,0)&amp;"%"</f>
        <v>84%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7899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7900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7901</v>
      </c>
      <c r="B6" s="5" t="s">
        <v>14</v>
      </c>
      <c r="C6" s="5" t="s">
        <v>15</v>
      </c>
      <c r="D6" s="5" t="s">
        <v>16</v>
      </c>
      <c r="E6" s="5" t="n">
        <f aca="false">ROUND(4074*1.05,2)</f>
        <v>4277.7</v>
      </c>
      <c r="F6" s="5" t="s">
        <v>17</v>
      </c>
      <c r="G6" s="5" t="s">
        <v>18</v>
      </c>
      <c r="H6" s="5" t="n">
        <f aca="true">ROUND(RAND()*4+6,1)</f>
        <v>6.9</v>
      </c>
      <c r="I6" s="5" t="s">
        <v>19</v>
      </c>
      <c r="J6" s="5" t="str">
        <f aca="false">ROUND(76*1,0)&amp;"%"</f>
        <v>76%</v>
      </c>
    </row>
    <row r="7" customFormat="false" ht="15" hidden="false" customHeight="false" outlineLevel="0" collapsed="false">
      <c r="A7" s="6" t="s">
        <v>7902</v>
      </c>
      <c r="B7" s="6" t="s">
        <v>21</v>
      </c>
      <c r="C7" s="6" t="s">
        <v>15</v>
      </c>
      <c r="D7" s="6" t="s">
        <v>22</v>
      </c>
      <c r="E7" s="6" t="n">
        <f aca="false">ROUND(12543*1.05,2)</f>
        <v>13170.15</v>
      </c>
      <c r="F7" s="6" t="s">
        <v>23</v>
      </c>
      <c r="G7" s="6" t="s">
        <v>24</v>
      </c>
      <c r="H7" s="6" t="n">
        <f aca="true">ROUND(RAND()*4+6,1)</f>
        <v>6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7903</v>
      </c>
      <c r="B8" s="5" t="s">
        <v>27</v>
      </c>
      <c r="C8" s="5" t="s">
        <v>15</v>
      </c>
      <c r="D8" s="5" t="s">
        <v>28</v>
      </c>
      <c r="E8" s="5" t="n">
        <f aca="false">ROUND(5600*1.05,2)</f>
        <v>5880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ROUND(89*1,0)&amp;"%"</f>
        <v>89%</v>
      </c>
    </row>
    <row r="9" customFormat="false" ht="15" hidden="false" customHeight="false" outlineLevel="0" collapsed="false">
      <c r="A9" s="6" t="s">
        <v>7904</v>
      </c>
      <c r="B9" s="6" t="s">
        <v>33</v>
      </c>
      <c r="C9" s="6" t="s">
        <v>15</v>
      </c>
      <c r="D9" s="6" t="s">
        <v>34</v>
      </c>
      <c r="E9" s="6" t="n">
        <f aca="false">ROUND(8805*1.05,2)</f>
        <v>9245.25</v>
      </c>
      <c r="F9" s="6" t="s">
        <v>35</v>
      </c>
      <c r="G9" s="6" t="s">
        <v>18</v>
      </c>
      <c r="H9" s="6" t="n">
        <f aca="true">ROUND(RAND()*4+6,1)</f>
        <v>8.1</v>
      </c>
      <c r="I9" s="6" t="s">
        <v>36</v>
      </c>
      <c r="J9" s="6" t="str">
        <f aca="false">ROUND(62*1,0)&amp;"%"</f>
        <v>62%</v>
      </c>
    </row>
    <row r="10" customFormat="false" ht="15" hidden="false" customHeight="false" outlineLevel="0" collapsed="false">
      <c r="A10" s="5" t="s">
        <v>7905</v>
      </c>
      <c r="B10" s="5" t="s">
        <v>38</v>
      </c>
      <c r="C10" s="5" t="s">
        <v>15</v>
      </c>
      <c r="D10" s="5" t="s">
        <v>39</v>
      </c>
      <c r="E10" s="5" t="n">
        <f aca="false">ROUND(12310*1.05,2)</f>
        <v>12925.5</v>
      </c>
      <c r="F10" s="5" t="s">
        <v>40</v>
      </c>
      <c r="G10" s="5" t="s">
        <v>24</v>
      </c>
      <c r="H10" s="5" t="n">
        <f aca="true">ROUND(RAND()*4+6,1)</f>
        <v>8.9</v>
      </c>
      <c r="I10" s="5" t="s">
        <v>41</v>
      </c>
      <c r="J10" s="5" t="str">
        <f aca="false">ROUND(97*1,0)&amp;"%"</f>
        <v>97%</v>
      </c>
    </row>
    <row r="11" customFormat="false" ht="15" hidden="false" customHeight="false" outlineLevel="0" collapsed="false">
      <c r="A11" s="6" t="s">
        <v>7906</v>
      </c>
      <c r="B11" s="6" t="s">
        <v>43</v>
      </c>
      <c r="C11" s="6" t="s">
        <v>15</v>
      </c>
      <c r="D11" s="6" t="s">
        <v>44</v>
      </c>
      <c r="E11" s="6" t="n">
        <f aca="false">ROUND(12697*1.05,2)</f>
        <v>13331.85</v>
      </c>
      <c r="F11" s="6" t="s">
        <v>45</v>
      </c>
      <c r="G11" s="6" t="s">
        <v>30</v>
      </c>
      <c r="H11" s="6" t="n">
        <f aca="true">ROUND(RAND()*4+6,1)</f>
        <v>6.2</v>
      </c>
      <c r="I11" s="6" t="s">
        <v>46</v>
      </c>
      <c r="J11" s="6" t="str">
        <f aca="false">ROUND(78*1,0)&amp;"%"</f>
        <v>78%</v>
      </c>
    </row>
    <row r="12" customFormat="false" ht="15" hidden="false" customHeight="false" outlineLevel="0" collapsed="false">
      <c r="A12" s="5" t="s">
        <v>7907</v>
      </c>
      <c r="B12" s="5" t="s">
        <v>48</v>
      </c>
      <c r="C12" s="5" t="s">
        <v>15</v>
      </c>
      <c r="D12" s="5" t="s">
        <v>16</v>
      </c>
      <c r="E12" s="5" t="n">
        <f aca="false">ROUND(6206*1.05,2)</f>
        <v>6516.3</v>
      </c>
      <c r="F12" s="5" t="s">
        <v>49</v>
      </c>
      <c r="G12" s="5" t="s">
        <v>18</v>
      </c>
      <c r="H12" s="5" t="n">
        <f aca="true">ROUND(RAND()*4+6,1)</f>
        <v>7.8</v>
      </c>
      <c r="I12" s="5" t="s">
        <v>19</v>
      </c>
      <c r="J12" s="5" t="str">
        <f aca="false">ROUND(81*1,0)&amp;"%"</f>
        <v>81%</v>
      </c>
    </row>
    <row r="13" customFormat="false" ht="15" hidden="false" customHeight="false" outlineLevel="0" collapsed="false">
      <c r="A13" s="6" t="s">
        <v>7908</v>
      </c>
      <c r="B13" s="6" t="s">
        <v>51</v>
      </c>
      <c r="C13" s="6" t="s">
        <v>15</v>
      </c>
      <c r="D13" s="6" t="s">
        <v>22</v>
      </c>
      <c r="E13" s="6" t="n">
        <f aca="false">ROUND(9326*1.05,2)</f>
        <v>9792.3</v>
      </c>
      <c r="F13" s="6" t="s">
        <v>52</v>
      </c>
      <c r="G13" s="6" t="s">
        <v>24</v>
      </c>
      <c r="H13" s="6" t="n">
        <f aca="true">ROUND(RAND()*4+6,1)</f>
        <v>8.4</v>
      </c>
      <c r="I13" s="6" t="s">
        <v>25</v>
      </c>
      <c r="J13" s="6" t="str">
        <f aca="false">ROUND(68*1,0)&amp;"%"</f>
        <v>68%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7909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7910</v>
      </c>
      <c r="B18" s="5" t="s">
        <v>56</v>
      </c>
      <c r="C18" s="5" t="s">
        <v>57</v>
      </c>
      <c r="D18" s="5" t="s">
        <v>16</v>
      </c>
      <c r="E18" s="5" t="n">
        <f aca="false">ROUND(17208*1.05,2)</f>
        <v>18068.4</v>
      </c>
      <c r="F18" s="5" t="s">
        <v>17</v>
      </c>
      <c r="G18" s="5" t="s">
        <v>18</v>
      </c>
      <c r="H18" s="5" t="n">
        <f aca="true">ROUND(RAND()*4+6,1)</f>
        <v>9.4</v>
      </c>
      <c r="I18" s="5" t="s">
        <v>19</v>
      </c>
      <c r="J18" s="5" t="str">
        <f aca="false">ROUND(79*1,0)&amp;"%"</f>
        <v>79%</v>
      </c>
    </row>
    <row r="19" customFormat="false" ht="15" hidden="false" customHeight="false" outlineLevel="0" collapsed="false">
      <c r="A19" s="6" t="s">
        <v>7911</v>
      </c>
      <c r="B19" s="6" t="s">
        <v>59</v>
      </c>
      <c r="C19" s="6" t="s">
        <v>57</v>
      </c>
      <c r="D19" s="6" t="s">
        <v>22</v>
      </c>
      <c r="E19" s="6" t="n">
        <f aca="false">ROUND(7751*1.05,2)</f>
        <v>8138.55</v>
      </c>
      <c r="F19" s="6" t="s">
        <v>23</v>
      </c>
      <c r="G19" s="6" t="s">
        <v>24</v>
      </c>
      <c r="H19" s="6" t="n">
        <f aca="true">ROUND(RAND()*4+6,1)</f>
        <v>8.8</v>
      </c>
      <c r="I19" s="6" t="s">
        <v>25</v>
      </c>
      <c r="J19" s="6" t="str">
        <f aca="false">ROUND(73*1,0)&amp;"%"</f>
        <v>73%</v>
      </c>
    </row>
    <row r="20" customFormat="false" ht="15" hidden="false" customHeight="false" outlineLevel="0" collapsed="false">
      <c r="A20" s="5" t="s">
        <v>7912</v>
      </c>
      <c r="B20" s="5" t="s">
        <v>61</v>
      </c>
      <c r="C20" s="5" t="s">
        <v>57</v>
      </c>
      <c r="D20" s="5" t="s">
        <v>28</v>
      </c>
      <c r="E20" s="5" t="n">
        <f aca="false">ROUND(11350*1.05,2)</f>
        <v>11917.5</v>
      </c>
      <c r="F20" s="5" t="s">
        <v>29</v>
      </c>
      <c r="G20" s="5" t="s">
        <v>30</v>
      </c>
      <c r="H20" s="5" t="n">
        <f aca="true">ROUND(RAND()*4+6,1)</f>
        <v>9.5</v>
      </c>
      <c r="I20" s="5" t="s">
        <v>31</v>
      </c>
      <c r="J20" s="5" t="str">
        <f aca="false">ROUND(68*1,0)&amp;"%"</f>
        <v>68%</v>
      </c>
    </row>
    <row r="21" customFormat="false" ht="15" hidden="false" customHeight="false" outlineLevel="0" collapsed="false">
      <c r="A21" s="6" t="s">
        <v>7913</v>
      </c>
      <c r="B21" s="6" t="s">
        <v>63</v>
      </c>
      <c r="C21" s="6" t="s">
        <v>57</v>
      </c>
      <c r="D21" s="6" t="s">
        <v>34</v>
      </c>
      <c r="E21" s="6" t="n">
        <f aca="false">ROUND(15206*1.05,2)</f>
        <v>15966.3</v>
      </c>
      <c r="F21" s="6" t="s">
        <v>35</v>
      </c>
      <c r="G21" s="6" t="s">
        <v>18</v>
      </c>
      <c r="H21" s="6" t="n">
        <f aca="true">ROUND(RAND()*4+6,1)</f>
        <v>7.8</v>
      </c>
      <c r="I21" s="6" t="s">
        <v>36</v>
      </c>
      <c r="J21" s="6" t="str">
        <f aca="false">ROUND(65*1,0)&amp;"%"</f>
        <v>65%</v>
      </c>
    </row>
    <row r="22" customFormat="false" ht="15" hidden="false" customHeight="false" outlineLevel="0" collapsed="false">
      <c r="A22" s="5" t="s">
        <v>7914</v>
      </c>
      <c r="B22" s="5" t="s">
        <v>65</v>
      </c>
      <c r="C22" s="5" t="s">
        <v>57</v>
      </c>
      <c r="D22" s="5" t="s">
        <v>39</v>
      </c>
      <c r="E22" s="5" t="n">
        <f aca="false">ROUND(11939*1.05,2)</f>
        <v>12535.95</v>
      </c>
      <c r="F22" s="5" t="s">
        <v>40</v>
      </c>
      <c r="G22" s="5" t="s">
        <v>24</v>
      </c>
      <c r="H22" s="5" t="n">
        <f aca="true">ROUND(RAND()*4+6,1)</f>
        <v>8.7</v>
      </c>
      <c r="I22" s="5" t="s">
        <v>41</v>
      </c>
      <c r="J22" s="5" t="str">
        <f aca="false">ROUND(64*1,0)&amp;"%"</f>
        <v>64%</v>
      </c>
    </row>
    <row r="23" customFormat="false" ht="15" hidden="false" customHeight="false" outlineLevel="0" collapsed="false">
      <c r="A23" s="6" t="s">
        <v>7915</v>
      </c>
      <c r="B23" s="6" t="s">
        <v>67</v>
      </c>
      <c r="C23" s="6" t="s">
        <v>57</v>
      </c>
      <c r="D23" s="6" t="s">
        <v>44</v>
      </c>
      <c r="E23" s="6" t="n">
        <f aca="false">ROUND(9367*1.05,2)</f>
        <v>9835.35</v>
      </c>
      <c r="F23" s="6" t="s">
        <v>45</v>
      </c>
      <c r="G23" s="6" t="s">
        <v>30</v>
      </c>
      <c r="H23" s="6" t="n">
        <f aca="true">ROUND(RAND()*4+6,1)</f>
        <v>6.9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7916</v>
      </c>
      <c r="B24" s="5" t="s">
        <v>69</v>
      </c>
      <c r="C24" s="5" t="s">
        <v>57</v>
      </c>
      <c r="D24" s="5" t="s">
        <v>16</v>
      </c>
      <c r="E24" s="5" t="n">
        <f aca="false">ROUND(7624*1.05,2)</f>
        <v>8005.2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ROUND(73*1,0)&amp;"%"</f>
        <v>73%</v>
      </c>
    </row>
    <row r="25" customFormat="false" ht="15" hidden="false" customHeight="false" outlineLevel="0" collapsed="false">
      <c r="A25" s="6" t="s">
        <v>7917</v>
      </c>
      <c r="B25" s="6" t="s">
        <v>71</v>
      </c>
      <c r="C25" s="6" t="s">
        <v>57</v>
      </c>
      <c r="D25" s="6" t="s">
        <v>22</v>
      </c>
      <c r="E25" s="6" t="n">
        <f aca="false">ROUND(12977*1.05,2)</f>
        <v>13625.85</v>
      </c>
      <c r="F25" s="6" t="s">
        <v>52</v>
      </c>
      <c r="G25" s="6" t="s">
        <v>24</v>
      </c>
      <c r="H25" s="6" t="n">
        <f aca="true">ROUND(RAND()*4+6,1)</f>
        <v>8.1</v>
      </c>
      <c r="I25" s="6" t="s">
        <v>25</v>
      </c>
      <c r="J25" s="6" t="str">
        <f aca="false">ROUND(91*1,0)&amp;"%"</f>
        <v>91%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7918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7919</v>
      </c>
      <c r="B30" s="5" t="s">
        <v>75</v>
      </c>
      <c r="C30" s="5" t="s">
        <v>76</v>
      </c>
      <c r="D30" s="5" t="s">
        <v>16</v>
      </c>
      <c r="E30" s="5" t="n">
        <f aca="false">ROUND(7555*1.05,2)</f>
        <v>7932.75</v>
      </c>
      <c r="F30" s="5" t="s">
        <v>17</v>
      </c>
      <c r="G30" s="5" t="s">
        <v>18</v>
      </c>
      <c r="H30" s="5" t="n">
        <f aca="true">ROUND(RAND()*4+6,1)</f>
        <v>8.2</v>
      </c>
      <c r="I30" s="5" t="s">
        <v>19</v>
      </c>
      <c r="J30" s="5" t="str">
        <f aca="false">ROUND(71*1,0)&amp;"%"</f>
        <v>71%</v>
      </c>
    </row>
    <row r="31" customFormat="false" ht="15" hidden="false" customHeight="false" outlineLevel="0" collapsed="false">
      <c r="A31" s="6" t="s">
        <v>7920</v>
      </c>
      <c r="B31" s="6" t="s">
        <v>78</v>
      </c>
      <c r="C31" s="6" t="s">
        <v>76</v>
      </c>
      <c r="D31" s="6" t="s">
        <v>22</v>
      </c>
      <c r="E31" s="6" t="n">
        <f aca="false">ROUND(5441*1.05,2)</f>
        <v>5713.05</v>
      </c>
      <c r="F31" s="6" t="s">
        <v>23</v>
      </c>
      <c r="G31" s="6" t="s">
        <v>24</v>
      </c>
      <c r="H31" s="6" t="n">
        <f aca="true">ROUND(RAND()*4+6,1)</f>
        <v>8.4</v>
      </c>
      <c r="I31" s="6" t="s">
        <v>25</v>
      </c>
      <c r="J31" s="6" t="str">
        <f aca="false">ROUND(85*1,0)&amp;"%"</f>
        <v>85%</v>
      </c>
    </row>
    <row r="32" customFormat="false" ht="15" hidden="false" customHeight="false" outlineLevel="0" collapsed="false">
      <c r="A32" s="5" t="s">
        <v>7921</v>
      </c>
      <c r="B32" s="5" t="s">
        <v>80</v>
      </c>
      <c r="C32" s="5" t="s">
        <v>76</v>
      </c>
      <c r="D32" s="5" t="s">
        <v>28</v>
      </c>
      <c r="E32" s="5" t="n">
        <f aca="false">ROUND(13952*1.05,2)</f>
        <v>14649.6</v>
      </c>
      <c r="F32" s="5" t="s">
        <v>29</v>
      </c>
      <c r="G32" s="5" t="s">
        <v>30</v>
      </c>
      <c r="H32" s="5" t="n">
        <f aca="true">ROUND(RAND()*4+6,1)</f>
        <v>6.7</v>
      </c>
      <c r="I32" s="5" t="s">
        <v>31</v>
      </c>
      <c r="J32" s="5" t="str">
        <f aca="false">ROUND(79*1,0)&amp;"%"</f>
        <v>79%</v>
      </c>
    </row>
    <row r="33" customFormat="false" ht="15" hidden="false" customHeight="false" outlineLevel="0" collapsed="false">
      <c r="A33" s="6" t="s">
        <v>7922</v>
      </c>
      <c r="B33" s="6" t="s">
        <v>82</v>
      </c>
      <c r="C33" s="6" t="s">
        <v>76</v>
      </c>
      <c r="D33" s="6" t="s">
        <v>34</v>
      </c>
      <c r="E33" s="6" t="n">
        <f aca="false">ROUND(4499*1.05,2)</f>
        <v>4723.95</v>
      </c>
      <c r="F33" s="6" t="s">
        <v>35</v>
      </c>
      <c r="G33" s="6" t="s">
        <v>18</v>
      </c>
      <c r="H33" s="6" t="n">
        <f aca="true">ROUND(RAND()*4+6,1)</f>
        <v>8.7</v>
      </c>
      <c r="I33" s="6" t="s">
        <v>36</v>
      </c>
      <c r="J33" s="6" t="str">
        <f aca="false">ROUND(88*1,0)&amp;"%"</f>
        <v>88%</v>
      </c>
    </row>
    <row r="34" customFormat="false" ht="15" hidden="false" customHeight="false" outlineLevel="0" collapsed="false">
      <c r="A34" s="5" t="s">
        <v>7923</v>
      </c>
      <c r="B34" s="5" t="s">
        <v>84</v>
      </c>
      <c r="C34" s="5" t="s">
        <v>76</v>
      </c>
      <c r="D34" s="5" t="s">
        <v>39</v>
      </c>
      <c r="E34" s="5" t="n">
        <f aca="false">ROUND(9804*1.05,2)</f>
        <v>10294.2</v>
      </c>
      <c r="F34" s="5" t="s">
        <v>40</v>
      </c>
      <c r="G34" s="5" t="s">
        <v>24</v>
      </c>
      <c r="H34" s="5" t="n">
        <f aca="true">ROUND(RAND()*4+6,1)</f>
        <v>8.9</v>
      </c>
      <c r="I34" s="5" t="s">
        <v>41</v>
      </c>
      <c r="J34" s="5" t="str">
        <f aca="false">ROUND(87*1,0)&amp;"%"</f>
        <v>87%</v>
      </c>
    </row>
    <row r="35" customFormat="false" ht="15" hidden="false" customHeight="false" outlineLevel="0" collapsed="false">
      <c r="A35" s="6" t="s">
        <v>7924</v>
      </c>
      <c r="B35" s="6" t="s">
        <v>86</v>
      </c>
      <c r="C35" s="6" t="s">
        <v>76</v>
      </c>
      <c r="D35" s="6" t="s">
        <v>44</v>
      </c>
      <c r="E35" s="6" t="n">
        <f aca="false">ROUND(10276*1.05,2)</f>
        <v>10789.8</v>
      </c>
      <c r="F35" s="6" t="s">
        <v>45</v>
      </c>
      <c r="G35" s="6" t="s">
        <v>30</v>
      </c>
      <c r="H35" s="6" t="n">
        <f aca="true">ROUND(RAND()*4+6,1)</f>
        <v>9.1</v>
      </c>
      <c r="I35" s="6" t="s">
        <v>46</v>
      </c>
      <c r="J35" s="6" t="str">
        <f aca="false">ROUND(74*1,0)&amp;"%"</f>
        <v>74%</v>
      </c>
    </row>
    <row r="36" customFormat="false" ht="15" hidden="false" customHeight="false" outlineLevel="0" collapsed="false">
      <c r="A36" s="5" t="s">
        <v>7925</v>
      </c>
      <c r="B36" s="5" t="s">
        <v>88</v>
      </c>
      <c r="C36" s="5" t="s">
        <v>76</v>
      </c>
      <c r="D36" s="5" t="s">
        <v>16</v>
      </c>
      <c r="E36" s="5" t="n">
        <f aca="false">ROUND(10732*1.05,2)</f>
        <v>11268.6</v>
      </c>
      <c r="F36" s="5" t="s">
        <v>49</v>
      </c>
      <c r="G36" s="5" t="s">
        <v>18</v>
      </c>
      <c r="H36" s="5" t="n">
        <f aca="true">ROUND(RAND()*4+6,1)</f>
        <v>7.9</v>
      </c>
      <c r="I36" s="5" t="s">
        <v>19</v>
      </c>
      <c r="J36" s="5" t="str">
        <f aca="false">ROUND(72*1,0)&amp;"%"</f>
        <v>72%</v>
      </c>
    </row>
    <row r="37" customFormat="false" ht="15" hidden="false" customHeight="false" outlineLevel="0" collapsed="false">
      <c r="A37" s="6" t="s">
        <v>7926</v>
      </c>
      <c r="B37" s="6" t="s">
        <v>90</v>
      </c>
      <c r="C37" s="6" t="s">
        <v>76</v>
      </c>
      <c r="D37" s="6" t="s">
        <v>22</v>
      </c>
      <c r="E37" s="6" t="n">
        <f aca="false">ROUND(4967*1.05,2)</f>
        <v>5215.35</v>
      </c>
      <c r="F37" s="6" t="s">
        <v>52</v>
      </c>
      <c r="G37" s="6" t="s">
        <v>24</v>
      </c>
      <c r="H37" s="6" t="n">
        <f aca="true">ROUND(RAND()*4+6,1)</f>
        <v>9.8</v>
      </c>
      <c r="I37" s="6" t="s">
        <v>25</v>
      </c>
      <c r="J37" s="6" t="str">
        <f aca="false">ROUND(65*1,0)&amp;"%"</f>
        <v>65%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7927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7928</v>
      </c>
      <c r="B42" s="5" t="s">
        <v>94</v>
      </c>
      <c r="C42" s="5" t="s">
        <v>95</v>
      </c>
      <c r="D42" s="5" t="s">
        <v>16</v>
      </c>
      <c r="E42" s="5" t="n">
        <f aca="false">ROUND(9938*1.05,2)</f>
        <v>10434.9</v>
      </c>
      <c r="F42" s="5" t="s">
        <v>17</v>
      </c>
      <c r="G42" s="5" t="s">
        <v>18</v>
      </c>
      <c r="H42" s="5" t="n">
        <f aca="true">ROUND(RAND()*4+6,1)</f>
        <v>7.8</v>
      </c>
      <c r="I42" s="5" t="s">
        <v>19</v>
      </c>
      <c r="J42" s="5" t="str">
        <f aca="false">ROUND(86*1,0)&amp;"%"</f>
        <v>86%</v>
      </c>
    </row>
    <row r="43" customFormat="false" ht="15" hidden="false" customHeight="false" outlineLevel="0" collapsed="false">
      <c r="A43" s="6" t="s">
        <v>7929</v>
      </c>
      <c r="B43" s="6" t="s">
        <v>97</v>
      </c>
      <c r="C43" s="6" t="s">
        <v>95</v>
      </c>
      <c r="D43" s="6" t="s">
        <v>22</v>
      </c>
      <c r="E43" s="6" t="n">
        <f aca="false">ROUND(16999*1.05,2)</f>
        <v>17848.95</v>
      </c>
      <c r="F43" s="6" t="s">
        <v>23</v>
      </c>
      <c r="G43" s="6" t="s">
        <v>24</v>
      </c>
      <c r="H43" s="6" t="n">
        <f aca="true">ROUND(RAND()*4+6,1)</f>
        <v>7.1</v>
      </c>
      <c r="I43" s="6" t="s">
        <v>25</v>
      </c>
      <c r="J43" s="6" t="str">
        <f aca="false">ROUND(78*1,0)&amp;"%"</f>
        <v>78%</v>
      </c>
    </row>
    <row r="44" customFormat="false" ht="15" hidden="false" customHeight="false" outlineLevel="0" collapsed="false">
      <c r="A44" s="5" t="s">
        <v>7930</v>
      </c>
      <c r="B44" s="5" t="s">
        <v>99</v>
      </c>
      <c r="C44" s="5" t="s">
        <v>95</v>
      </c>
      <c r="D44" s="5" t="s">
        <v>28</v>
      </c>
      <c r="E44" s="5" t="n">
        <f aca="false">ROUND(14681*1.05,2)</f>
        <v>15415.05</v>
      </c>
      <c r="F44" s="5" t="s">
        <v>29</v>
      </c>
      <c r="G44" s="5" t="s">
        <v>30</v>
      </c>
      <c r="H44" s="5" t="n">
        <f aca="true">ROUND(RAND()*4+6,1)</f>
        <v>7.6</v>
      </c>
      <c r="I44" s="5" t="s">
        <v>31</v>
      </c>
      <c r="J44" s="5" t="str">
        <f aca="false">ROUND(82*1,0)&amp;"%"</f>
        <v>82%</v>
      </c>
    </row>
    <row r="45" customFormat="false" ht="15" hidden="false" customHeight="false" outlineLevel="0" collapsed="false">
      <c r="A45" s="6" t="s">
        <v>7931</v>
      </c>
      <c r="B45" s="6" t="s">
        <v>101</v>
      </c>
      <c r="C45" s="6" t="s">
        <v>95</v>
      </c>
      <c r="D45" s="6" t="s">
        <v>34</v>
      </c>
      <c r="E45" s="6" t="n">
        <f aca="false">ROUND(17662*1.05,2)</f>
        <v>18545.1</v>
      </c>
      <c r="F45" s="6" t="s">
        <v>35</v>
      </c>
      <c r="G45" s="6" t="s">
        <v>18</v>
      </c>
      <c r="H45" s="6" t="n">
        <f aca="true">ROUND(RAND()*4+6,1)</f>
        <v>6.8</v>
      </c>
      <c r="I45" s="6" t="s">
        <v>36</v>
      </c>
      <c r="J45" s="6" t="str">
        <f aca="false">ROUND(98*1,0)&amp;"%"</f>
        <v>98%</v>
      </c>
    </row>
    <row r="46" customFormat="false" ht="15" hidden="false" customHeight="false" outlineLevel="0" collapsed="false">
      <c r="A46" s="5" t="s">
        <v>7932</v>
      </c>
      <c r="B46" s="5" t="s">
        <v>103</v>
      </c>
      <c r="C46" s="5" t="s">
        <v>95</v>
      </c>
      <c r="D46" s="5" t="s">
        <v>39</v>
      </c>
      <c r="E46" s="5" t="n">
        <f aca="false">ROUND(11938*1.05,2)</f>
        <v>12534.9</v>
      </c>
      <c r="F46" s="5" t="s">
        <v>40</v>
      </c>
      <c r="G46" s="5" t="s">
        <v>24</v>
      </c>
      <c r="H46" s="5" t="n">
        <f aca="true">ROUND(RAND()*4+6,1)</f>
        <v>7.8</v>
      </c>
      <c r="I46" s="5" t="s">
        <v>41</v>
      </c>
      <c r="J46" s="5" t="str">
        <f aca="false">ROUND(71*1,0)&amp;"%"</f>
        <v>71%</v>
      </c>
    </row>
    <row r="47" customFormat="false" ht="15" hidden="false" customHeight="false" outlineLevel="0" collapsed="false">
      <c r="A47" s="6" t="s">
        <v>7933</v>
      </c>
      <c r="B47" s="6" t="s">
        <v>105</v>
      </c>
      <c r="C47" s="6" t="s">
        <v>95</v>
      </c>
      <c r="D47" s="6" t="s">
        <v>44</v>
      </c>
      <c r="E47" s="6" t="n">
        <f aca="false">ROUND(5625*1.05,2)</f>
        <v>5906.25</v>
      </c>
      <c r="F47" s="6" t="s">
        <v>45</v>
      </c>
      <c r="G47" s="6" t="s">
        <v>30</v>
      </c>
      <c r="H47" s="6" t="n">
        <f aca="true">ROUND(RAND()*4+6,1)</f>
        <v>7.4</v>
      </c>
      <c r="I47" s="6" t="s">
        <v>46</v>
      </c>
      <c r="J47" s="6" t="str">
        <f aca="false">ROUND(70*1,0)&amp;"%"</f>
        <v>70%</v>
      </c>
    </row>
    <row r="48" customFormat="false" ht="15" hidden="false" customHeight="false" outlineLevel="0" collapsed="false">
      <c r="A48" s="5" t="s">
        <v>7934</v>
      </c>
      <c r="B48" s="5" t="s">
        <v>107</v>
      </c>
      <c r="C48" s="5" t="s">
        <v>95</v>
      </c>
      <c r="D48" s="5" t="s">
        <v>16</v>
      </c>
      <c r="E48" s="5" t="n">
        <f aca="false">ROUND(16205*1.05,2)</f>
        <v>17015.25</v>
      </c>
      <c r="F48" s="5" t="s">
        <v>49</v>
      </c>
      <c r="G48" s="5" t="s">
        <v>18</v>
      </c>
      <c r="H48" s="5" t="n">
        <f aca="true">ROUND(RAND()*4+6,1)</f>
        <v>9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7935</v>
      </c>
      <c r="B49" s="6" t="s">
        <v>109</v>
      </c>
      <c r="C49" s="6" t="s">
        <v>95</v>
      </c>
      <c r="D49" s="6" t="s">
        <v>22</v>
      </c>
      <c r="E49" s="6" t="n">
        <f aca="false">ROUND(10980*1.05,2)</f>
        <v>11529</v>
      </c>
      <c r="F49" s="6" t="s">
        <v>52</v>
      </c>
      <c r="G49" s="6" t="s">
        <v>24</v>
      </c>
      <c r="H49" s="6" t="n">
        <f aca="true">ROUND(RAND()*4+6,1)</f>
        <v>9.4</v>
      </c>
      <c r="I49" s="6" t="s">
        <v>25</v>
      </c>
      <c r="J49" s="6" t="str">
        <f aca="false">ROUND(63*1,0)&amp;"%"</f>
        <v>63%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7936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7937</v>
      </c>
      <c r="B54" s="5" t="s">
        <v>113</v>
      </c>
      <c r="C54" s="5" t="s">
        <v>114</v>
      </c>
      <c r="D54" s="5" t="s">
        <v>16</v>
      </c>
      <c r="E54" s="5" t="n">
        <f aca="false">ROUND(4277*1.05,2)</f>
        <v>4490.85</v>
      </c>
      <c r="F54" s="5" t="s">
        <v>17</v>
      </c>
      <c r="G54" s="5" t="s">
        <v>18</v>
      </c>
      <c r="H54" s="5" t="n">
        <f aca="true">ROUND(RAND()*4+6,1)</f>
        <v>6.8</v>
      </c>
      <c r="I54" s="5" t="s">
        <v>19</v>
      </c>
      <c r="J54" s="5" t="str">
        <f aca="false">ROUND(81*1,0)&amp;"%"</f>
        <v>81%</v>
      </c>
    </row>
    <row r="55" customFormat="false" ht="15" hidden="false" customHeight="false" outlineLevel="0" collapsed="false">
      <c r="A55" s="6" t="s">
        <v>7938</v>
      </c>
      <c r="B55" s="6" t="s">
        <v>116</v>
      </c>
      <c r="C55" s="6" t="s">
        <v>114</v>
      </c>
      <c r="D55" s="6" t="s">
        <v>22</v>
      </c>
      <c r="E55" s="6" t="n">
        <f aca="false">ROUND(9230*1.05,2)</f>
        <v>9691.5</v>
      </c>
      <c r="F55" s="6" t="s">
        <v>23</v>
      </c>
      <c r="G55" s="6" t="s">
        <v>24</v>
      </c>
      <c r="H55" s="6" t="n">
        <f aca="true">ROUND(RAND()*4+6,1)</f>
        <v>8.2</v>
      </c>
      <c r="I55" s="6" t="s">
        <v>25</v>
      </c>
      <c r="J55" s="6" t="str">
        <f aca="false">ROUND(97*1,0)&amp;"%"</f>
        <v>97%</v>
      </c>
    </row>
    <row r="56" customFormat="false" ht="15" hidden="false" customHeight="false" outlineLevel="0" collapsed="false">
      <c r="A56" s="5" t="s">
        <v>7939</v>
      </c>
      <c r="B56" s="5" t="s">
        <v>118</v>
      </c>
      <c r="C56" s="5" t="s">
        <v>114</v>
      </c>
      <c r="D56" s="5" t="s">
        <v>28</v>
      </c>
      <c r="E56" s="5" t="n">
        <f aca="false">ROUND(12088*1.05,2)</f>
        <v>12692.4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ROUND(71*1,0)&amp;"%"</f>
        <v>71%</v>
      </c>
    </row>
    <row r="57" customFormat="false" ht="15" hidden="false" customHeight="false" outlineLevel="0" collapsed="false">
      <c r="A57" s="6" t="s">
        <v>7940</v>
      </c>
      <c r="B57" s="6" t="s">
        <v>120</v>
      </c>
      <c r="C57" s="6" t="s">
        <v>114</v>
      </c>
      <c r="D57" s="6" t="s">
        <v>34</v>
      </c>
      <c r="E57" s="6" t="n">
        <f aca="false">ROUND(17261*1.05,2)</f>
        <v>18124.05</v>
      </c>
      <c r="F57" s="6" t="s">
        <v>35</v>
      </c>
      <c r="G57" s="6" t="s">
        <v>18</v>
      </c>
      <c r="H57" s="6" t="n">
        <f aca="true">ROUND(RAND()*4+6,1)</f>
        <v>6.6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7941</v>
      </c>
      <c r="B58" s="5" t="s">
        <v>122</v>
      </c>
      <c r="C58" s="5" t="s">
        <v>114</v>
      </c>
      <c r="D58" s="5" t="s">
        <v>39</v>
      </c>
      <c r="E58" s="5" t="n">
        <f aca="false">ROUND(4394*1.05,2)</f>
        <v>4613.7</v>
      </c>
      <c r="F58" s="5" t="s">
        <v>40</v>
      </c>
      <c r="G58" s="5" t="s">
        <v>24</v>
      </c>
      <c r="H58" s="5" t="n">
        <f aca="true">ROUND(RAND()*4+6,1)</f>
        <v>8.6</v>
      </c>
      <c r="I58" s="5" t="s">
        <v>41</v>
      </c>
      <c r="J58" s="5" t="str">
        <f aca="false">ROUND(86*1,0)&amp;"%"</f>
        <v>86%</v>
      </c>
    </row>
    <row r="59" customFormat="false" ht="15" hidden="false" customHeight="false" outlineLevel="0" collapsed="false">
      <c r="A59" s="6" t="s">
        <v>7942</v>
      </c>
      <c r="B59" s="6" t="s">
        <v>124</v>
      </c>
      <c r="C59" s="6" t="s">
        <v>114</v>
      </c>
      <c r="D59" s="6" t="s">
        <v>44</v>
      </c>
      <c r="E59" s="6" t="n">
        <f aca="false">ROUND(7776*1.05,2)</f>
        <v>8164.8</v>
      </c>
      <c r="F59" s="6" t="s">
        <v>45</v>
      </c>
      <c r="G59" s="6" t="s">
        <v>30</v>
      </c>
      <c r="H59" s="6" t="n">
        <f aca="true">ROUND(RAND()*4+6,1)</f>
        <v>7.2</v>
      </c>
      <c r="I59" s="6" t="s">
        <v>46</v>
      </c>
      <c r="J59" s="6" t="str">
        <f aca="false">ROUND(67*1,0)&amp;"%"</f>
        <v>67%</v>
      </c>
    </row>
    <row r="60" customFormat="false" ht="15" hidden="false" customHeight="false" outlineLevel="0" collapsed="false">
      <c r="A60" s="5" t="s">
        <v>7943</v>
      </c>
      <c r="B60" s="5" t="s">
        <v>126</v>
      </c>
      <c r="C60" s="5" t="s">
        <v>114</v>
      </c>
      <c r="D60" s="5" t="s">
        <v>16</v>
      </c>
      <c r="E60" s="5" t="n">
        <f aca="false">ROUND(9902*1.05,2)</f>
        <v>10397.1</v>
      </c>
      <c r="F60" s="5" t="s">
        <v>49</v>
      </c>
      <c r="G60" s="5" t="s">
        <v>18</v>
      </c>
      <c r="H60" s="5" t="n">
        <f aca="true">ROUND(RAND()*4+6,1)</f>
        <v>9</v>
      </c>
      <c r="I60" s="5" t="s">
        <v>19</v>
      </c>
      <c r="J60" s="5" t="str">
        <f aca="false">ROUND(99*1,0)&amp;"%"</f>
        <v>99%</v>
      </c>
    </row>
    <row r="61" customFormat="false" ht="15" hidden="false" customHeight="false" outlineLevel="0" collapsed="false">
      <c r="A61" s="6" t="s">
        <v>7944</v>
      </c>
      <c r="B61" s="6" t="s">
        <v>128</v>
      </c>
      <c r="C61" s="6" t="s">
        <v>114</v>
      </c>
      <c r="D61" s="6" t="s">
        <v>22</v>
      </c>
      <c r="E61" s="6" t="n">
        <f aca="false">ROUND(13544*1.05,2)</f>
        <v>14221.2</v>
      </c>
      <c r="F61" s="6" t="s">
        <v>52</v>
      </c>
      <c r="G61" s="6" t="s">
        <v>24</v>
      </c>
      <c r="H61" s="6" t="n">
        <f aca="true">ROUND(RAND()*4+6,1)</f>
        <v>6.9</v>
      </c>
      <c r="I61" s="6" t="s">
        <v>25</v>
      </c>
      <c r="J61" s="6" t="str">
        <f aca="false">ROUND(94*1,0)&amp;"%"</f>
        <v>94%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7945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7946</v>
      </c>
      <c r="B66" s="5" t="s">
        <v>132</v>
      </c>
      <c r="C66" s="5" t="s">
        <v>133</v>
      </c>
      <c r="D66" s="5" t="s">
        <v>16</v>
      </c>
      <c r="E66" s="5" t="n">
        <f aca="false">ROUND(7375*1.05,2)</f>
        <v>7743.75</v>
      </c>
      <c r="F66" s="5" t="s">
        <v>17</v>
      </c>
      <c r="G66" s="5" t="s">
        <v>18</v>
      </c>
      <c r="H66" s="5" t="n">
        <f aca="true">ROUND(RAND()*4+6,1)</f>
        <v>7.8</v>
      </c>
      <c r="I66" s="5" t="s">
        <v>19</v>
      </c>
      <c r="J66" s="5" t="str">
        <f aca="false">ROUND(73*1,0)&amp;"%"</f>
        <v>73%</v>
      </c>
    </row>
    <row r="67" customFormat="false" ht="15" hidden="false" customHeight="false" outlineLevel="0" collapsed="false">
      <c r="A67" s="6" t="s">
        <v>7947</v>
      </c>
      <c r="B67" s="6" t="s">
        <v>135</v>
      </c>
      <c r="C67" s="6" t="s">
        <v>133</v>
      </c>
      <c r="D67" s="6" t="s">
        <v>22</v>
      </c>
      <c r="E67" s="6" t="n">
        <f aca="false">ROUND(13222*1.05,2)</f>
        <v>13883.1</v>
      </c>
      <c r="F67" s="6" t="s">
        <v>23</v>
      </c>
      <c r="G67" s="6" t="s">
        <v>24</v>
      </c>
      <c r="H67" s="6" t="n">
        <f aca="true">ROUND(RAND()*4+6,1)</f>
        <v>6.3</v>
      </c>
      <c r="I67" s="6" t="s">
        <v>25</v>
      </c>
      <c r="J67" s="6" t="str">
        <f aca="false">ROUND(98*1,0)&amp;"%"</f>
        <v>98%</v>
      </c>
    </row>
    <row r="68" customFormat="false" ht="15" hidden="false" customHeight="false" outlineLevel="0" collapsed="false">
      <c r="A68" s="5" t="s">
        <v>7948</v>
      </c>
      <c r="B68" s="5" t="s">
        <v>137</v>
      </c>
      <c r="C68" s="5" t="s">
        <v>133</v>
      </c>
      <c r="D68" s="5" t="s">
        <v>28</v>
      </c>
      <c r="E68" s="5" t="n">
        <f aca="false">ROUND(13294*1.05,2)</f>
        <v>13958.7</v>
      </c>
      <c r="F68" s="5" t="s">
        <v>29</v>
      </c>
      <c r="G68" s="5" t="s">
        <v>30</v>
      </c>
      <c r="H68" s="5" t="n">
        <f aca="true">ROUND(RAND()*4+6,1)</f>
        <v>8.6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7949</v>
      </c>
      <c r="B69" s="6" t="s">
        <v>139</v>
      </c>
      <c r="C69" s="6" t="s">
        <v>133</v>
      </c>
      <c r="D69" s="6" t="s">
        <v>34</v>
      </c>
      <c r="E69" s="6" t="n">
        <f aca="false">ROUND(10283*1.05,2)</f>
        <v>10797.15</v>
      </c>
      <c r="F69" s="6" t="s">
        <v>35</v>
      </c>
      <c r="G69" s="6" t="s">
        <v>18</v>
      </c>
      <c r="H69" s="6" t="n">
        <f aca="true">ROUND(RAND()*4+6,1)</f>
        <v>7</v>
      </c>
      <c r="I69" s="6" t="s">
        <v>36</v>
      </c>
      <c r="J69" s="6" t="str">
        <f aca="false">ROUND(74*1,0)&amp;"%"</f>
        <v>74%</v>
      </c>
    </row>
    <row r="70" customFormat="false" ht="15" hidden="false" customHeight="false" outlineLevel="0" collapsed="false">
      <c r="A70" s="5" t="s">
        <v>7950</v>
      </c>
      <c r="B70" s="5" t="s">
        <v>141</v>
      </c>
      <c r="C70" s="5" t="s">
        <v>133</v>
      </c>
      <c r="D70" s="5" t="s">
        <v>39</v>
      </c>
      <c r="E70" s="5" t="n">
        <f aca="false">ROUND(4553*1.05,2)</f>
        <v>4780.65</v>
      </c>
      <c r="F70" s="5" t="s">
        <v>40</v>
      </c>
      <c r="G70" s="5" t="s">
        <v>24</v>
      </c>
      <c r="H70" s="5" t="n">
        <f aca="true">ROUND(RAND()*4+6,1)</f>
        <v>8.2</v>
      </c>
      <c r="I70" s="5" t="s">
        <v>41</v>
      </c>
      <c r="J70" s="5" t="str">
        <f aca="false">ROUND(99*1,0)&amp;"%"</f>
        <v>99%</v>
      </c>
    </row>
    <row r="71" customFormat="false" ht="15" hidden="false" customHeight="false" outlineLevel="0" collapsed="false">
      <c r="A71" s="6" t="s">
        <v>7951</v>
      </c>
      <c r="B71" s="6" t="s">
        <v>143</v>
      </c>
      <c r="C71" s="6" t="s">
        <v>133</v>
      </c>
      <c r="D71" s="6" t="s">
        <v>44</v>
      </c>
      <c r="E71" s="6" t="n">
        <f aca="false">ROUND(16715*1.05,2)</f>
        <v>17550.75</v>
      </c>
      <c r="F71" s="6" t="s">
        <v>45</v>
      </c>
      <c r="G71" s="6" t="s">
        <v>30</v>
      </c>
      <c r="H71" s="6" t="n">
        <f aca="true">ROUND(RAND()*4+6,1)</f>
        <v>7.7</v>
      </c>
      <c r="I71" s="6" t="s">
        <v>46</v>
      </c>
      <c r="J71" s="6" t="str">
        <f aca="false">ROUND(96*1,0)&amp;"%"</f>
        <v>96%</v>
      </c>
    </row>
    <row r="72" customFormat="false" ht="15" hidden="false" customHeight="false" outlineLevel="0" collapsed="false">
      <c r="A72" s="5" t="s">
        <v>7952</v>
      </c>
      <c r="B72" s="5" t="s">
        <v>145</v>
      </c>
      <c r="C72" s="5" t="s">
        <v>133</v>
      </c>
      <c r="D72" s="5" t="s">
        <v>16</v>
      </c>
      <c r="E72" s="5" t="n">
        <f aca="false">ROUND(4146*1.05,2)</f>
        <v>4353.3</v>
      </c>
      <c r="F72" s="5" t="s">
        <v>49</v>
      </c>
      <c r="G72" s="5" t="s">
        <v>18</v>
      </c>
      <c r="H72" s="5" t="n">
        <f aca="true">ROUND(RAND()*4+6,1)</f>
        <v>9.5</v>
      </c>
      <c r="I72" s="5" t="s">
        <v>19</v>
      </c>
      <c r="J72" s="5" t="str">
        <f aca="false">ROUND(75*1,0)&amp;"%"</f>
        <v>75%</v>
      </c>
    </row>
    <row r="73" customFormat="false" ht="15" hidden="false" customHeight="false" outlineLevel="0" collapsed="false">
      <c r="A73" s="6" t="s">
        <v>7953</v>
      </c>
      <c r="B73" s="6" t="s">
        <v>147</v>
      </c>
      <c r="C73" s="6" t="s">
        <v>133</v>
      </c>
      <c r="D73" s="6" t="s">
        <v>22</v>
      </c>
      <c r="E73" s="6" t="n">
        <f aca="false">ROUND(13070*1.05,2)</f>
        <v>13723.5</v>
      </c>
      <c r="F73" s="6" t="s">
        <v>52</v>
      </c>
      <c r="G73" s="6" t="s">
        <v>24</v>
      </c>
      <c r="H73" s="6" t="n">
        <f aca="true">ROUND(RAND()*4+6,1)</f>
        <v>9.6</v>
      </c>
      <c r="I73" s="6" t="s">
        <v>25</v>
      </c>
      <c r="J73" s="6" t="str">
        <f aca="false">ROUND(64*1,0)&amp;"%"</f>
        <v>64%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7954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7955</v>
      </c>
      <c r="B78" s="5" t="s">
        <v>151</v>
      </c>
      <c r="C78" s="5" t="s">
        <v>152</v>
      </c>
      <c r="D78" s="5" t="s">
        <v>16</v>
      </c>
      <c r="E78" s="5" t="n">
        <f aca="false">ROUND(7966*1.05,2)</f>
        <v>8364.3</v>
      </c>
      <c r="F78" s="5" t="s">
        <v>17</v>
      </c>
      <c r="G78" s="5" t="s">
        <v>18</v>
      </c>
      <c r="H78" s="5" t="n">
        <f aca="true">ROUND(RAND()*4+6,1)</f>
        <v>6.1</v>
      </c>
      <c r="I78" s="5" t="s">
        <v>19</v>
      </c>
      <c r="J78" s="5" t="str">
        <f aca="false">ROUND(79*1,0)&amp;"%"</f>
        <v>79%</v>
      </c>
    </row>
    <row r="79" customFormat="false" ht="15" hidden="false" customHeight="false" outlineLevel="0" collapsed="false">
      <c r="A79" s="6" t="s">
        <v>7956</v>
      </c>
      <c r="B79" s="6" t="s">
        <v>154</v>
      </c>
      <c r="C79" s="6" t="s">
        <v>152</v>
      </c>
      <c r="D79" s="6" t="s">
        <v>22</v>
      </c>
      <c r="E79" s="6" t="n">
        <f aca="false">ROUND(15914*1.05,2)</f>
        <v>16709.7</v>
      </c>
      <c r="F79" s="6" t="s">
        <v>23</v>
      </c>
      <c r="G79" s="6" t="s">
        <v>24</v>
      </c>
      <c r="H79" s="6" t="n">
        <f aca="true">ROUND(RAND()*4+6,1)</f>
        <v>9.5</v>
      </c>
      <c r="I79" s="6" t="s">
        <v>25</v>
      </c>
      <c r="J79" s="6" t="str">
        <f aca="false">ROUND(71*1,0)&amp;"%"</f>
        <v>71%</v>
      </c>
    </row>
    <row r="80" customFormat="false" ht="15" hidden="false" customHeight="false" outlineLevel="0" collapsed="false">
      <c r="A80" s="5" t="s">
        <v>7957</v>
      </c>
      <c r="B80" s="5" t="s">
        <v>156</v>
      </c>
      <c r="C80" s="5" t="s">
        <v>152</v>
      </c>
      <c r="D80" s="5" t="s">
        <v>28</v>
      </c>
      <c r="E80" s="5" t="n">
        <f aca="false">ROUND(11291*1.05,2)</f>
        <v>11855.55</v>
      </c>
      <c r="F80" s="5" t="s">
        <v>29</v>
      </c>
      <c r="G80" s="5" t="s">
        <v>30</v>
      </c>
      <c r="H80" s="5" t="n">
        <f aca="true">ROUND(RAND()*4+6,1)</f>
        <v>7.1</v>
      </c>
      <c r="I80" s="5" t="s">
        <v>31</v>
      </c>
      <c r="J80" s="5" t="str">
        <f aca="false">ROUND(77*1,0)&amp;"%"</f>
        <v>77%</v>
      </c>
    </row>
    <row r="81" customFormat="false" ht="15" hidden="false" customHeight="false" outlineLevel="0" collapsed="false">
      <c r="A81" s="6" t="s">
        <v>7958</v>
      </c>
      <c r="B81" s="6" t="s">
        <v>158</v>
      </c>
      <c r="C81" s="6" t="s">
        <v>152</v>
      </c>
      <c r="D81" s="6" t="s">
        <v>34</v>
      </c>
      <c r="E81" s="6" t="n">
        <f aca="false">ROUND(17657*1.05,2)</f>
        <v>18539.85</v>
      </c>
      <c r="F81" s="6" t="s">
        <v>35</v>
      </c>
      <c r="G81" s="6" t="s">
        <v>18</v>
      </c>
      <c r="H81" s="6" t="n">
        <f aca="true">ROUND(RAND()*4+6,1)</f>
        <v>9.1</v>
      </c>
      <c r="I81" s="6" t="s">
        <v>36</v>
      </c>
      <c r="J81" s="6" t="str">
        <f aca="false">ROUND(97*1,0)&amp;"%"</f>
        <v>97%</v>
      </c>
    </row>
    <row r="82" customFormat="false" ht="15" hidden="false" customHeight="false" outlineLevel="0" collapsed="false">
      <c r="A82" s="5" t="s">
        <v>7959</v>
      </c>
      <c r="B82" s="5" t="s">
        <v>160</v>
      </c>
      <c r="C82" s="5" t="s">
        <v>152</v>
      </c>
      <c r="D82" s="5" t="s">
        <v>39</v>
      </c>
      <c r="E82" s="5" t="n">
        <f aca="false">ROUND(4207*1.05,2)</f>
        <v>4417.35</v>
      </c>
      <c r="F82" s="5" t="s">
        <v>40</v>
      </c>
      <c r="G82" s="5" t="s">
        <v>24</v>
      </c>
      <c r="H82" s="5" t="n">
        <f aca="true">ROUND(RAND()*4+6,1)</f>
        <v>6.1</v>
      </c>
      <c r="I82" s="5" t="s">
        <v>41</v>
      </c>
      <c r="J82" s="5" t="str">
        <f aca="false">ROUND(96*1,0)&amp;"%"</f>
        <v>96%</v>
      </c>
    </row>
    <row r="83" customFormat="false" ht="15" hidden="false" customHeight="false" outlineLevel="0" collapsed="false">
      <c r="A83" s="6" t="s">
        <v>7960</v>
      </c>
      <c r="B83" s="6" t="s">
        <v>162</v>
      </c>
      <c r="C83" s="6" t="s">
        <v>152</v>
      </c>
      <c r="D83" s="6" t="s">
        <v>44</v>
      </c>
      <c r="E83" s="6" t="n">
        <f aca="false">ROUND(10575*1.05,2)</f>
        <v>11103.75</v>
      </c>
      <c r="F83" s="6" t="s">
        <v>45</v>
      </c>
      <c r="G83" s="6" t="s">
        <v>30</v>
      </c>
      <c r="H83" s="6" t="n">
        <f aca="true">ROUND(RAND()*4+6,1)</f>
        <v>7.2</v>
      </c>
      <c r="I83" s="6" t="s">
        <v>46</v>
      </c>
      <c r="J83" s="6" t="str">
        <f aca="false">ROUND(76*1,0)&amp;"%"</f>
        <v>76%</v>
      </c>
    </row>
    <row r="84" customFormat="false" ht="15" hidden="false" customHeight="false" outlineLevel="0" collapsed="false">
      <c r="A84" s="5" t="s">
        <v>7961</v>
      </c>
      <c r="B84" s="5" t="s">
        <v>164</v>
      </c>
      <c r="C84" s="5" t="s">
        <v>152</v>
      </c>
      <c r="D84" s="5" t="s">
        <v>16</v>
      </c>
      <c r="E84" s="5" t="n">
        <f aca="false">ROUND(9491*1.05,2)</f>
        <v>9965.55</v>
      </c>
      <c r="F84" s="5" t="s">
        <v>49</v>
      </c>
      <c r="G84" s="5" t="s">
        <v>18</v>
      </c>
      <c r="H84" s="5" t="n">
        <f aca="true">ROUND(RAND()*4+6,1)</f>
        <v>8.5</v>
      </c>
      <c r="I84" s="5" t="s">
        <v>19</v>
      </c>
      <c r="J84" s="5" t="str">
        <f aca="false">ROUND(75*1,0)&amp;"%"</f>
        <v>75%</v>
      </c>
    </row>
    <row r="85" customFormat="false" ht="15" hidden="false" customHeight="false" outlineLevel="0" collapsed="false">
      <c r="A85" s="6" t="s">
        <v>7962</v>
      </c>
      <c r="B85" s="6" t="s">
        <v>166</v>
      </c>
      <c r="C85" s="6" t="s">
        <v>152</v>
      </c>
      <c r="D85" s="6" t="s">
        <v>22</v>
      </c>
      <c r="E85" s="6" t="n">
        <f aca="false">ROUND(4719*1.05,2)</f>
        <v>4954.95</v>
      </c>
      <c r="F85" s="6" t="s">
        <v>52</v>
      </c>
      <c r="G85" s="6" t="s">
        <v>24</v>
      </c>
      <c r="H85" s="6" t="n">
        <f aca="true">ROUND(RAND()*4+6,1)</f>
        <v>6</v>
      </c>
      <c r="I85" s="6" t="s">
        <v>25</v>
      </c>
      <c r="J85" s="6" t="str">
        <f aca="false">ROUND(81*1,0)&amp;"%"</f>
        <v>81%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7963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7964</v>
      </c>
      <c r="B90" s="5" t="s">
        <v>170</v>
      </c>
      <c r="C90" s="5" t="s">
        <v>15</v>
      </c>
      <c r="D90" s="5" t="s">
        <v>16</v>
      </c>
      <c r="E90" s="5" t="n">
        <f aca="false">ROUND(7131*1.05,2)</f>
        <v>7487.55</v>
      </c>
      <c r="F90" s="5" t="s">
        <v>17</v>
      </c>
      <c r="G90" s="5" t="s">
        <v>18</v>
      </c>
      <c r="H90" s="5" t="n">
        <f aca="true">ROUND(RAND()*4+6,1)</f>
        <v>8.5</v>
      </c>
      <c r="I90" s="5" t="s">
        <v>19</v>
      </c>
      <c r="J90" s="5" t="str">
        <f aca="false">ROUND(73*1,0)&amp;"%"</f>
        <v>73%</v>
      </c>
    </row>
    <row r="91" customFormat="false" ht="15" hidden="false" customHeight="false" outlineLevel="0" collapsed="false">
      <c r="A91" s="6" t="s">
        <v>7965</v>
      </c>
      <c r="B91" s="6" t="s">
        <v>172</v>
      </c>
      <c r="C91" s="6" t="s">
        <v>15</v>
      </c>
      <c r="D91" s="6" t="s">
        <v>22</v>
      </c>
      <c r="E91" s="6" t="n">
        <f aca="false">ROUND(9641*1.05,2)</f>
        <v>10123.05</v>
      </c>
      <c r="F91" s="6" t="s">
        <v>23</v>
      </c>
      <c r="G91" s="6" t="s">
        <v>24</v>
      </c>
      <c r="H91" s="6" t="n">
        <f aca="true">ROUND(RAND()*4+6,1)</f>
        <v>9.7</v>
      </c>
      <c r="I91" s="6" t="s">
        <v>25</v>
      </c>
      <c r="J91" s="6" t="str">
        <f aca="false">ROUND(98*1,0)&amp;"%"</f>
        <v>98%</v>
      </c>
    </row>
    <row r="92" customFormat="false" ht="15" hidden="false" customHeight="false" outlineLevel="0" collapsed="false">
      <c r="A92" s="5" t="s">
        <v>7966</v>
      </c>
      <c r="B92" s="5" t="s">
        <v>174</v>
      </c>
      <c r="C92" s="5" t="s">
        <v>15</v>
      </c>
      <c r="D92" s="5" t="s">
        <v>28</v>
      </c>
      <c r="E92" s="5" t="n">
        <f aca="false">ROUND(10561*1.05,2)</f>
        <v>11089.05</v>
      </c>
      <c r="F92" s="5" t="s">
        <v>29</v>
      </c>
      <c r="G92" s="5" t="s">
        <v>30</v>
      </c>
      <c r="H92" s="5" t="n">
        <f aca="true">ROUND(RAND()*4+6,1)</f>
        <v>9.7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7967</v>
      </c>
      <c r="B93" s="6" t="s">
        <v>176</v>
      </c>
      <c r="C93" s="6" t="s">
        <v>15</v>
      </c>
      <c r="D93" s="6" t="s">
        <v>34</v>
      </c>
      <c r="E93" s="6" t="n">
        <f aca="false">ROUND(15575*1.05,2)</f>
        <v>16353.75</v>
      </c>
      <c r="F93" s="6" t="s">
        <v>35</v>
      </c>
      <c r="G93" s="6" t="s">
        <v>18</v>
      </c>
      <c r="H93" s="6" t="n">
        <f aca="true">ROUND(RAND()*4+6,1)</f>
        <v>8.5</v>
      </c>
      <c r="I93" s="6" t="s">
        <v>36</v>
      </c>
      <c r="J93" s="6" t="str">
        <f aca="false">ROUND(65*1,0)&amp;"%"</f>
        <v>65%</v>
      </c>
    </row>
    <row r="94" customFormat="false" ht="15" hidden="false" customHeight="false" outlineLevel="0" collapsed="false">
      <c r="A94" s="5" t="s">
        <v>7968</v>
      </c>
      <c r="B94" s="5" t="s">
        <v>178</v>
      </c>
      <c r="C94" s="5" t="s">
        <v>15</v>
      </c>
      <c r="D94" s="5" t="s">
        <v>39</v>
      </c>
      <c r="E94" s="5" t="n">
        <f aca="false">ROUND(5875*1.05,2)</f>
        <v>6168.75</v>
      </c>
      <c r="F94" s="5" t="s">
        <v>40</v>
      </c>
      <c r="G94" s="5" t="s">
        <v>24</v>
      </c>
      <c r="H94" s="5" t="n">
        <f aca="true">ROUND(RAND()*4+6,1)</f>
        <v>8.8</v>
      </c>
      <c r="I94" s="5" t="s">
        <v>41</v>
      </c>
      <c r="J94" s="5" t="str">
        <f aca="false">ROUND(69*1,0)&amp;"%"</f>
        <v>69%</v>
      </c>
    </row>
    <row r="95" customFormat="false" ht="15" hidden="false" customHeight="false" outlineLevel="0" collapsed="false">
      <c r="A95" s="6" t="s">
        <v>7969</v>
      </c>
      <c r="B95" s="6" t="s">
        <v>180</v>
      </c>
      <c r="C95" s="6" t="s">
        <v>15</v>
      </c>
      <c r="D95" s="6" t="s">
        <v>44</v>
      </c>
      <c r="E95" s="6" t="n">
        <f aca="false">ROUND(13972*1.05,2)</f>
        <v>14670.6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ROUND(76*1,0)&amp;"%"</f>
        <v>76%</v>
      </c>
    </row>
    <row r="96" customFormat="false" ht="15" hidden="false" customHeight="false" outlineLevel="0" collapsed="false">
      <c r="A96" s="5" t="s">
        <v>7970</v>
      </c>
      <c r="B96" s="5" t="s">
        <v>182</v>
      </c>
      <c r="C96" s="5" t="s">
        <v>15</v>
      </c>
      <c r="D96" s="5" t="s">
        <v>16</v>
      </c>
      <c r="E96" s="5" t="n">
        <f aca="false">ROUND(17802*1.05,2)</f>
        <v>18692.1</v>
      </c>
      <c r="F96" s="5" t="s">
        <v>49</v>
      </c>
      <c r="G96" s="5" t="s">
        <v>18</v>
      </c>
      <c r="H96" s="5" t="n">
        <f aca="true">ROUND(RAND()*4+6,1)</f>
        <v>7.5</v>
      </c>
      <c r="I96" s="5" t="s">
        <v>19</v>
      </c>
      <c r="J96" s="5" t="str">
        <f aca="false">ROUND(81*1,0)&amp;"%"</f>
        <v>81%</v>
      </c>
    </row>
    <row r="97" customFormat="false" ht="15" hidden="false" customHeight="false" outlineLevel="0" collapsed="false">
      <c r="A97" s="6" t="s">
        <v>7971</v>
      </c>
      <c r="B97" s="6" t="s">
        <v>184</v>
      </c>
      <c r="C97" s="6" t="s">
        <v>15</v>
      </c>
      <c r="D97" s="6" t="s">
        <v>22</v>
      </c>
      <c r="E97" s="6" t="n">
        <f aca="false">ROUND(13070*1.05,2)</f>
        <v>13723.5</v>
      </c>
      <c r="F97" s="6" t="s">
        <v>52</v>
      </c>
      <c r="G97" s="6" t="s">
        <v>24</v>
      </c>
      <c r="H97" s="6" t="n">
        <f aca="true">ROUND(RAND()*4+6,1)</f>
        <v>8.2</v>
      </c>
      <c r="I97" s="6" t="s">
        <v>25</v>
      </c>
      <c r="J97" s="6" t="str">
        <f aca="false">ROUND(75*1,0)&amp;"%"</f>
        <v>75%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7972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7973</v>
      </c>
      <c r="B102" s="5" t="s">
        <v>188</v>
      </c>
      <c r="C102" s="5" t="s">
        <v>57</v>
      </c>
      <c r="D102" s="5" t="s">
        <v>16</v>
      </c>
      <c r="E102" s="5" t="n">
        <f aca="false">ROUND(7785*1.05,2)</f>
        <v>8174.25</v>
      </c>
      <c r="F102" s="5" t="s">
        <v>17</v>
      </c>
      <c r="G102" s="5" t="s">
        <v>18</v>
      </c>
      <c r="H102" s="5" t="n">
        <f aca="true">ROUND(RAND()*4+6,1)</f>
        <v>9.4</v>
      </c>
      <c r="I102" s="5" t="s">
        <v>19</v>
      </c>
      <c r="J102" s="5" t="str">
        <f aca="false">ROUND(78*1,0)&amp;"%"</f>
        <v>78%</v>
      </c>
    </row>
    <row r="103" customFormat="false" ht="15" hidden="false" customHeight="false" outlineLevel="0" collapsed="false">
      <c r="A103" s="6" t="s">
        <v>7974</v>
      </c>
      <c r="B103" s="6" t="s">
        <v>190</v>
      </c>
      <c r="C103" s="6" t="s">
        <v>57</v>
      </c>
      <c r="D103" s="6" t="s">
        <v>22</v>
      </c>
      <c r="E103" s="6" t="n">
        <f aca="false">ROUND(16513*1.05,2)</f>
        <v>17338.65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ROUND(82*1,0)&amp;"%"</f>
        <v>82%</v>
      </c>
    </row>
    <row r="104" customFormat="false" ht="15" hidden="false" customHeight="false" outlineLevel="0" collapsed="false">
      <c r="A104" s="5" t="s">
        <v>7975</v>
      </c>
      <c r="B104" s="5" t="s">
        <v>192</v>
      </c>
      <c r="C104" s="5" t="s">
        <v>57</v>
      </c>
      <c r="D104" s="5" t="s">
        <v>28</v>
      </c>
      <c r="E104" s="5" t="n">
        <f aca="false">ROUND(12580*1.05,2)</f>
        <v>13209</v>
      </c>
      <c r="F104" s="5" t="s">
        <v>29</v>
      </c>
      <c r="G104" s="5" t="s">
        <v>30</v>
      </c>
      <c r="H104" s="5" t="n">
        <f aca="true">ROUND(RAND()*4+6,1)</f>
        <v>7.9</v>
      </c>
      <c r="I104" s="5" t="s">
        <v>31</v>
      </c>
      <c r="J104" s="5" t="str">
        <f aca="false">ROUND(72*1,0)&amp;"%"</f>
        <v>72%</v>
      </c>
    </row>
    <row r="105" customFormat="false" ht="15" hidden="false" customHeight="false" outlineLevel="0" collapsed="false">
      <c r="A105" s="6" t="s">
        <v>7976</v>
      </c>
      <c r="B105" s="6" t="s">
        <v>194</v>
      </c>
      <c r="C105" s="6" t="s">
        <v>57</v>
      </c>
      <c r="D105" s="6" t="s">
        <v>34</v>
      </c>
      <c r="E105" s="6" t="n">
        <f aca="false">ROUND(15734*1.05,2)</f>
        <v>16520.7</v>
      </c>
      <c r="F105" s="6" t="s">
        <v>35</v>
      </c>
      <c r="G105" s="6" t="s">
        <v>18</v>
      </c>
      <c r="H105" s="6" t="n">
        <f aca="true">ROUND(RAND()*4+6,1)</f>
        <v>6.5</v>
      </c>
      <c r="I105" s="6" t="s">
        <v>36</v>
      </c>
      <c r="J105" s="6" t="str">
        <f aca="false">ROUND(79*1,0)&amp;"%"</f>
        <v>79%</v>
      </c>
    </row>
    <row r="106" customFormat="false" ht="15" hidden="false" customHeight="false" outlineLevel="0" collapsed="false">
      <c r="A106" s="5" t="s">
        <v>7977</v>
      </c>
      <c r="B106" s="5" t="s">
        <v>196</v>
      </c>
      <c r="C106" s="5" t="s">
        <v>57</v>
      </c>
      <c r="D106" s="5" t="s">
        <v>39</v>
      </c>
      <c r="E106" s="5" t="n">
        <f aca="false">ROUND(10940*1.05,2)</f>
        <v>11487</v>
      </c>
      <c r="F106" s="5" t="s">
        <v>40</v>
      </c>
      <c r="G106" s="5" t="s">
        <v>24</v>
      </c>
      <c r="H106" s="5" t="n">
        <f aca="true">ROUND(RAND()*4+6,1)</f>
        <v>7.4</v>
      </c>
      <c r="I106" s="5" t="s">
        <v>41</v>
      </c>
      <c r="J106" s="5" t="str">
        <f aca="false">ROUND(65*1,0)&amp;"%"</f>
        <v>65%</v>
      </c>
    </row>
    <row r="107" customFormat="false" ht="15" hidden="false" customHeight="false" outlineLevel="0" collapsed="false">
      <c r="A107" s="6" t="s">
        <v>7978</v>
      </c>
      <c r="B107" s="6" t="s">
        <v>198</v>
      </c>
      <c r="C107" s="6" t="s">
        <v>57</v>
      </c>
      <c r="D107" s="6" t="s">
        <v>44</v>
      </c>
      <c r="E107" s="6" t="n">
        <f aca="false">ROUND(6917*1.05,2)</f>
        <v>7262.85</v>
      </c>
      <c r="F107" s="6" t="s">
        <v>45</v>
      </c>
      <c r="G107" s="6" t="s">
        <v>30</v>
      </c>
      <c r="H107" s="6" t="n">
        <f aca="true">ROUND(RAND()*4+6,1)</f>
        <v>8.6</v>
      </c>
      <c r="I107" s="6" t="s">
        <v>46</v>
      </c>
      <c r="J107" s="6" t="str">
        <f aca="false">ROUND(90*1,0)&amp;"%"</f>
        <v>90%</v>
      </c>
    </row>
    <row r="108" customFormat="false" ht="15" hidden="false" customHeight="false" outlineLevel="0" collapsed="false">
      <c r="A108" s="5" t="s">
        <v>7979</v>
      </c>
      <c r="B108" s="5" t="s">
        <v>200</v>
      </c>
      <c r="C108" s="5" t="s">
        <v>57</v>
      </c>
      <c r="D108" s="5" t="s">
        <v>16</v>
      </c>
      <c r="E108" s="5" t="n">
        <f aca="false">ROUND(14763*1.05,2)</f>
        <v>15501.15</v>
      </c>
      <c r="F108" s="5" t="s">
        <v>49</v>
      </c>
      <c r="G108" s="5" t="s">
        <v>18</v>
      </c>
      <c r="H108" s="5" t="n">
        <f aca="true">ROUND(RAND()*4+6,1)</f>
        <v>8.8</v>
      </c>
      <c r="I108" s="5" t="s">
        <v>19</v>
      </c>
      <c r="J108" s="5" t="str">
        <f aca="false">ROUND(73*1,0)&amp;"%"</f>
        <v>73%</v>
      </c>
    </row>
    <row r="109" customFormat="false" ht="15" hidden="false" customHeight="false" outlineLevel="0" collapsed="false">
      <c r="A109" s="6" t="s">
        <v>7980</v>
      </c>
      <c r="B109" s="6" t="s">
        <v>202</v>
      </c>
      <c r="C109" s="6" t="s">
        <v>57</v>
      </c>
      <c r="D109" s="6" t="s">
        <v>22</v>
      </c>
      <c r="E109" s="6" t="n">
        <f aca="false">ROUND(15214*1.05,2)</f>
        <v>15974.7</v>
      </c>
      <c r="F109" s="6" t="s">
        <v>52</v>
      </c>
      <c r="G109" s="6" t="s">
        <v>24</v>
      </c>
      <c r="H109" s="6" t="n">
        <f aca="true">ROUND(RAND()*4+6,1)</f>
        <v>9.2</v>
      </c>
      <c r="I109" s="6" t="s">
        <v>25</v>
      </c>
      <c r="J109" s="6" t="str">
        <f aca="false">ROUND(87*1,0)&amp;"%"</f>
        <v>87%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7981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7982</v>
      </c>
      <c r="B114" s="5" t="s">
        <v>206</v>
      </c>
      <c r="C114" s="5" t="s">
        <v>76</v>
      </c>
      <c r="D114" s="5" t="s">
        <v>16</v>
      </c>
      <c r="E114" s="5" t="n">
        <f aca="false">ROUND(8085*1.05,2)</f>
        <v>8489.25</v>
      </c>
      <c r="F114" s="5" t="s">
        <v>17</v>
      </c>
      <c r="G114" s="5" t="s">
        <v>18</v>
      </c>
      <c r="H114" s="5" t="n">
        <f aca="true">ROUND(RAND()*4+6,1)</f>
        <v>9</v>
      </c>
      <c r="I114" s="5" t="s">
        <v>19</v>
      </c>
      <c r="J114" s="5" t="str">
        <f aca="false">ROUND(93*1,0)&amp;"%"</f>
        <v>93%</v>
      </c>
    </row>
    <row r="115" customFormat="false" ht="15" hidden="false" customHeight="false" outlineLevel="0" collapsed="false">
      <c r="A115" s="6" t="s">
        <v>7983</v>
      </c>
      <c r="B115" s="6" t="s">
        <v>208</v>
      </c>
      <c r="C115" s="6" t="s">
        <v>76</v>
      </c>
      <c r="D115" s="6" t="s">
        <v>22</v>
      </c>
      <c r="E115" s="6" t="n">
        <f aca="false">ROUND(7113*1.05,2)</f>
        <v>7468.65</v>
      </c>
      <c r="F115" s="6" t="s">
        <v>23</v>
      </c>
      <c r="G115" s="6" t="s">
        <v>24</v>
      </c>
      <c r="H115" s="6" t="n">
        <f aca="true">ROUND(RAND()*4+6,1)</f>
        <v>8.5</v>
      </c>
      <c r="I115" s="6" t="s">
        <v>25</v>
      </c>
      <c r="J115" s="6" t="str">
        <f aca="false">ROUND(65*1,0)&amp;"%"</f>
        <v>65%</v>
      </c>
    </row>
    <row r="116" customFormat="false" ht="15" hidden="false" customHeight="false" outlineLevel="0" collapsed="false">
      <c r="A116" s="5" t="s">
        <v>7984</v>
      </c>
      <c r="B116" s="5" t="s">
        <v>210</v>
      </c>
      <c r="C116" s="5" t="s">
        <v>76</v>
      </c>
      <c r="D116" s="5" t="s">
        <v>28</v>
      </c>
      <c r="E116" s="5" t="n">
        <f aca="false">ROUND(10089*1.05,2)</f>
        <v>10593.45</v>
      </c>
      <c r="F116" s="5" t="s">
        <v>29</v>
      </c>
      <c r="G116" s="5" t="s">
        <v>30</v>
      </c>
      <c r="H116" s="5" t="n">
        <f aca="true">ROUND(RAND()*4+6,1)</f>
        <v>9.4</v>
      </c>
      <c r="I116" s="5" t="s">
        <v>31</v>
      </c>
      <c r="J116" s="5" t="str">
        <f aca="false">ROUND(88*1,0)&amp;"%"</f>
        <v>88%</v>
      </c>
    </row>
    <row r="117" customFormat="false" ht="15" hidden="false" customHeight="false" outlineLevel="0" collapsed="false">
      <c r="A117" s="6" t="s">
        <v>7985</v>
      </c>
      <c r="B117" s="6" t="s">
        <v>212</v>
      </c>
      <c r="C117" s="6" t="s">
        <v>76</v>
      </c>
      <c r="D117" s="6" t="s">
        <v>34</v>
      </c>
      <c r="E117" s="6" t="n">
        <f aca="false">ROUND(6351*1.05,2)</f>
        <v>6668.55</v>
      </c>
      <c r="F117" s="6" t="s">
        <v>35</v>
      </c>
      <c r="G117" s="6" t="s">
        <v>18</v>
      </c>
      <c r="H117" s="6" t="n">
        <f aca="true">ROUND(RAND()*4+6,1)</f>
        <v>9.1</v>
      </c>
      <c r="I117" s="6" t="s">
        <v>36</v>
      </c>
      <c r="J117" s="6" t="str">
        <f aca="false">ROUND(93*1,0)&amp;"%"</f>
        <v>93%</v>
      </c>
    </row>
    <row r="118" customFormat="false" ht="15" hidden="false" customHeight="false" outlineLevel="0" collapsed="false">
      <c r="A118" s="5" t="s">
        <v>7986</v>
      </c>
      <c r="B118" s="5" t="s">
        <v>214</v>
      </c>
      <c r="C118" s="5" t="s">
        <v>76</v>
      </c>
      <c r="D118" s="5" t="s">
        <v>39</v>
      </c>
      <c r="E118" s="5" t="n">
        <f aca="false">ROUND(16957*1.05,2)</f>
        <v>17804.85</v>
      </c>
      <c r="F118" s="5" t="s">
        <v>40</v>
      </c>
      <c r="G118" s="5" t="s">
        <v>24</v>
      </c>
      <c r="H118" s="5" t="n">
        <f aca="true">ROUND(RAND()*4+6,1)</f>
        <v>6.6</v>
      </c>
      <c r="I118" s="5" t="s">
        <v>41</v>
      </c>
      <c r="J118" s="5" t="str">
        <f aca="false">ROUND(89*1,0)&amp;"%"</f>
        <v>89%</v>
      </c>
    </row>
    <row r="119" customFormat="false" ht="15" hidden="false" customHeight="false" outlineLevel="0" collapsed="false">
      <c r="A119" s="6" t="s">
        <v>7987</v>
      </c>
      <c r="B119" s="6" t="s">
        <v>216</v>
      </c>
      <c r="C119" s="6" t="s">
        <v>76</v>
      </c>
      <c r="D119" s="6" t="s">
        <v>44</v>
      </c>
      <c r="E119" s="6" t="n">
        <f aca="false">ROUND(11072*1.05,2)</f>
        <v>11625.6</v>
      </c>
      <c r="F119" s="6" t="s">
        <v>45</v>
      </c>
      <c r="G119" s="6" t="s">
        <v>30</v>
      </c>
      <c r="H119" s="6" t="n">
        <f aca="true">ROUND(RAND()*4+6,1)</f>
        <v>6.9</v>
      </c>
      <c r="I119" s="6" t="s">
        <v>46</v>
      </c>
      <c r="J119" s="6" t="str">
        <f aca="false">ROUND(72*1,0)&amp;"%"</f>
        <v>72%</v>
      </c>
    </row>
    <row r="120" customFormat="false" ht="15" hidden="false" customHeight="false" outlineLevel="0" collapsed="false">
      <c r="A120" s="5" t="s">
        <v>7988</v>
      </c>
      <c r="B120" s="5" t="s">
        <v>218</v>
      </c>
      <c r="C120" s="5" t="s">
        <v>76</v>
      </c>
      <c r="D120" s="5" t="s">
        <v>16</v>
      </c>
      <c r="E120" s="5" t="n">
        <f aca="false">ROUND(7880*1.05,2)</f>
        <v>8274</v>
      </c>
      <c r="F120" s="5" t="s">
        <v>49</v>
      </c>
      <c r="G120" s="5" t="s">
        <v>18</v>
      </c>
      <c r="H120" s="5" t="n">
        <f aca="true">ROUND(RAND()*4+6,1)</f>
        <v>7.1</v>
      </c>
      <c r="I120" s="5" t="s">
        <v>19</v>
      </c>
      <c r="J120" s="5" t="str">
        <f aca="false">ROUND(87*1,0)&amp;"%"</f>
        <v>87%</v>
      </c>
    </row>
    <row r="121" customFormat="false" ht="15" hidden="false" customHeight="false" outlineLevel="0" collapsed="false">
      <c r="A121" s="6" t="s">
        <v>7989</v>
      </c>
      <c r="B121" s="6" t="s">
        <v>220</v>
      </c>
      <c r="C121" s="6" t="s">
        <v>76</v>
      </c>
      <c r="D121" s="6" t="s">
        <v>22</v>
      </c>
      <c r="E121" s="6" t="n">
        <f aca="false">ROUND(17463*1.05,2)</f>
        <v>18336.15</v>
      </c>
      <c r="F121" s="6" t="s">
        <v>52</v>
      </c>
      <c r="G121" s="6" t="s">
        <v>24</v>
      </c>
      <c r="H121" s="6" t="n">
        <f aca="true">ROUND(RAND()*4+6,1)</f>
        <v>9.2</v>
      </c>
      <c r="I121" s="6" t="s">
        <v>25</v>
      </c>
      <c r="J121" s="6" t="str">
        <f aca="false">ROUND(80*1,0)&amp;"%"</f>
        <v>80%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7990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7991</v>
      </c>
      <c r="B126" s="5" t="s">
        <v>224</v>
      </c>
      <c r="C126" s="5" t="s">
        <v>95</v>
      </c>
      <c r="D126" s="5" t="s">
        <v>16</v>
      </c>
      <c r="E126" s="5" t="n">
        <f aca="false">ROUND(11806*1.05,2)</f>
        <v>12396.3</v>
      </c>
      <c r="F126" s="5" t="s">
        <v>17</v>
      </c>
      <c r="G126" s="5" t="s">
        <v>18</v>
      </c>
      <c r="H126" s="5" t="n">
        <f aca="true">ROUND(RAND()*4+6,1)</f>
        <v>7.6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7992</v>
      </c>
      <c r="B127" s="6" t="s">
        <v>226</v>
      </c>
      <c r="C127" s="6" t="s">
        <v>95</v>
      </c>
      <c r="D127" s="6" t="s">
        <v>22</v>
      </c>
      <c r="E127" s="6" t="n">
        <f aca="false">ROUND(13933*1.05,2)</f>
        <v>14629.65</v>
      </c>
      <c r="F127" s="6" t="s">
        <v>23</v>
      </c>
      <c r="G127" s="6" t="s">
        <v>24</v>
      </c>
      <c r="H127" s="6" t="n">
        <f aca="true">ROUND(RAND()*4+6,1)</f>
        <v>8</v>
      </c>
      <c r="I127" s="6" t="s">
        <v>25</v>
      </c>
      <c r="J127" s="6" t="str">
        <f aca="false">ROUND(64*1,0)&amp;"%"</f>
        <v>64%</v>
      </c>
    </row>
    <row r="128" customFormat="false" ht="15" hidden="false" customHeight="false" outlineLevel="0" collapsed="false">
      <c r="A128" s="5" t="s">
        <v>7993</v>
      </c>
      <c r="B128" s="5" t="s">
        <v>228</v>
      </c>
      <c r="C128" s="5" t="s">
        <v>95</v>
      </c>
      <c r="D128" s="5" t="s">
        <v>28</v>
      </c>
      <c r="E128" s="5" t="n">
        <f aca="false">ROUND(12771*1.05,2)</f>
        <v>13409.55</v>
      </c>
      <c r="F128" s="5" t="s">
        <v>29</v>
      </c>
      <c r="G128" s="5" t="s">
        <v>30</v>
      </c>
      <c r="H128" s="5" t="n">
        <f aca="true">ROUND(RAND()*4+6,1)</f>
        <v>6.2</v>
      </c>
      <c r="I128" s="5" t="s">
        <v>31</v>
      </c>
      <c r="J128" s="5" t="str">
        <f aca="false">ROUND(87*1,0)&amp;"%"</f>
        <v>87%</v>
      </c>
    </row>
    <row r="129" customFormat="false" ht="15" hidden="false" customHeight="false" outlineLevel="0" collapsed="false">
      <c r="A129" s="6" t="s">
        <v>7994</v>
      </c>
      <c r="B129" s="6" t="s">
        <v>230</v>
      </c>
      <c r="C129" s="6" t="s">
        <v>95</v>
      </c>
      <c r="D129" s="6" t="s">
        <v>34</v>
      </c>
      <c r="E129" s="6" t="n">
        <f aca="false">ROUND(12000*1.05,2)</f>
        <v>12600</v>
      </c>
      <c r="F129" s="6" t="s">
        <v>35</v>
      </c>
      <c r="G129" s="6" t="s">
        <v>18</v>
      </c>
      <c r="H129" s="6" t="n">
        <f aca="true">ROUND(RAND()*4+6,1)</f>
        <v>9.2</v>
      </c>
      <c r="I129" s="6" t="s">
        <v>36</v>
      </c>
      <c r="J129" s="6" t="str">
        <f aca="false">ROUND(99*1,0)&amp;"%"</f>
        <v>99%</v>
      </c>
    </row>
    <row r="130" customFormat="false" ht="15" hidden="false" customHeight="false" outlineLevel="0" collapsed="false">
      <c r="A130" s="5" t="s">
        <v>7995</v>
      </c>
      <c r="B130" s="5" t="s">
        <v>232</v>
      </c>
      <c r="C130" s="5" t="s">
        <v>95</v>
      </c>
      <c r="D130" s="5" t="s">
        <v>39</v>
      </c>
      <c r="E130" s="5" t="n">
        <f aca="false">ROUND(9665*1.05,2)</f>
        <v>10148.25</v>
      </c>
      <c r="F130" s="5" t="s">
        <v>40</v>
      </c>
      <c r="G130" s="5" t="s">
        <v>24</v>
      </c>
      <c r="H130" s="5" t="n">
        <f aca="true">ROUND(RAND()*4+6,1)</f>
        <v>9.2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7996</v>
      </c>
      <c r="B131" s="6" t="s">
        <v>234</v>
      </c>
      <c r="C131" s="6" t="s">
        <v>95</v>
      </c>
      <c r="D131" s="6" t="s">
        <v>44</v>
      </c>
      <c r="E131" s="6" t="n">
        <f aca="false">ROUND(7097*1.05,2)</f>
        <v>7451.85</v>
      </c>
      <c r="F131" s="6" t="s">
        <v>45</v>
      </c>
      <c r="G131" s="6" t="s">
        <v>30</v>
      </c>
      <c r="H131" s="6" t="n">
        <f aca="true">ROUND(RAND()*4+6,1)</f>
        <v>8.3</v>
      </c>
      <c r="I131" s="6" t="s">
        <v>46</v>
      </c>
      <c r="J131" s="6" t="str">
        <f aca="false">ROUND(97*1,0)&amp;"%"</f>
        <v>97%</v>
      </c>
    </row>
    <row r="132" customFormat="false" ht="15" hidden="false" customHeight="false" outlineLevel="0" collapsed="false">
      <c r="A132" s="5" t="s">
        <v>7997</v>
      </c>
      <c r="B132" s="5" t="s">
        <v>236</v>
      </c>
      <c r="C132" s="5" t="s">
        <v>95</v>
      </c>
      <c r="D132" s="5" t="s">
        <v>16</v>
      </c>
      <c r="E132" s="5" t="n">
        <f aca="false">ROUND(12442*1.05,2)</f>
        <v>13064.1</v>
      </c>
      <c r="F132" s="5" t="s">
        <v>49</v>
      </c>
      <c r="G132" s="5" t="s">
        <v>18</v>
      </c>
      <c r="H132" s="5" t="n">
        <f aca="true">ROUND(RAND()*4+6,1)</f>
        <v>9.1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7998</v>
      </c>
      <c r="B133" s="6" t="s">
        <v>238</v>
      </c>
      <c r="C133" s="6" t="s">
        <v>95</v>
      </c>
      <c r="D133" s="6" t="s">
        <v>22</v>
      </c>
      <c r="E133" s="6" t="n">
        <f aca="false">ROUND(6737*1.05,2)</f>
        <v>7073.85</v>
      </c>
      <c r="F133" s="6" t="s">
        <v>52</v>
      </c>
      <c r="G133" s="6" t="s">
        <v>24</v>
      </c>
      <c r="H133" s="6" t="n">
        <f aca="true">ROUND(RAND()*4+6,1)</f>
        <v>6.2</v>
      </c>
      <c r="I133" s="6" t="s">
        <v>25</v>
      </c>
      <c r="J133" s="6" t="str">
        <f aca="false">ROUND(67*1,0)&amp;"%"</f>
        <v>67%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7999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8000</v>
      </c>
      <c r="B138" s="5" t="s">
        <v>242</v>
      </c>
      <c r="C138" s="5" t="s">
        <v>114</v>
      </c>
      <c r="D138" s="5" t="s">
        <v>16</v>
      </c>
      <c r="E138" s="5" t="n">
        <f aca="false">ROUND(14212*1.05,2)</f>
        <v>14922.6</v>
      </c>
      <c r="F138" s="5" t="s">
        <v>17</v>
      </c>
      <c r="G138" s="5" t="s">
        <v>18</v>
      </c>
      <c r="H138" s="5" t="n">
        <f aca="true">ROUND(RAND()*4+6,1)</f>
        <v>8.6</v>
      </c>
      <c r="I138" s="5" t="s">
        <v>19</v>
      </c>
      <c r="J138" s="5" t="str">
        <f aca="false">ROUND(62*1,0)&amp;"%"</f>
        <v>62%</v>
      </c>
    </row>
    <row r="139" customFormat="false" ht="15" hidden="false" customHeight="false" outlineLevel="0" collapsed="false">
      <c r="A139" s="6" t="s">
        <v>8001</v>
      </c>
      <c r="B139" s="6" t="s">
        <v>244</v>
      </c>
      <c r="C139" s="6" t="s">
        <v>114</v>
      </c>
      <c r="D139" s="6" t="s">
        <v>22</v>
      </c>
      <c r="E139" s="6" t="n">
        <f aca="false">ROUND(12772*1.05,2)</f>
        <v>13410.6</v>
      </c>
      <c r="F139" s="6" t="s">
        <v>23</v>
      </c>
      <c r="G139" s="6" t="s">
        <v>24</v>
      </c>
      <c r="H139" s="6" t="n">
        <f aca="true">ROUND(RAND()*4+6,1)</f>
        <v>6.7</v>
      </c>
      <c r="I139" s="6" t="s">
        <v>25</v>
      </c>
      <c r="J139" s="6" t="str">
        <f aca="false">ROUND(67*1,0)&amp;"%"</f>
        <v>67%</v>
      </c>
    </row>
    <row r="140" customFormat="false" ht="15" hidden="false" customHeight="false" outlineLevel="0" collapsed="false">
      <c r="A140" s="5" t="s">
        <v>8002</v>
      </c>
      <c r="B140" s="5" t="s">
        <v>246</v>
      </c>
      <c r="C140" s="5" t="s">
        <v>114</v>
      </c>
      <c r="D140" s="5" t="s">
        <v>28</v>
      </c>
      <c r="E140" s="5" t="n">
        <f aca="false">ROUND(6310*1.05,2)</f>
        <v>6625.5</v>
      </c>
      <c r="F140" s="5" t="s">
        <v>29</v>
      </c>
      <c r="G140" s="5" t="s">
        <v>30</v>
      </c>
      <c r="H140" s="5" t="n">
        <f aca="true">ROUND(RAND()*4+6,1)</f>
        <v>7.1</v>
      </c>
      <c r="I140" s="5" t="s">
        <v>31</v>
      </c>
      <c r="J140" s="5" t="str">
        <f aca="false">ROUND(66*1,0)&amp;"%"</f>
        <v>66%</v>
      </c>
    </row>
    <row r="141" customFormat="false" ht="15" hidden="false" customHeight="false" outlineLevel="0" collapsed="false">
      <c r="A141" s="6" t="s">
        <v>8003</v>
      </c>
      <c r="B141" s="6" t="s">
        <v>248</v>
      </c>
      <c r="C141" s="6" t="s">
        <v>114</v>
      </c>
      <c r="D141" s="6" t="s">
        <v>34</v>
      </c>
      <c r="E141" s="6" t="n">
        <f aca="false">ROUND(6145*1.05,2)</f>
        <v>6452.25</v>
      </c>
      <c r="F141" s="6" t="s">
        <v>35</v>
      </c>
      <c r="G141" s="6" t="s">
        <v>18</v>
      </c>
      <c r="H141" s="6" t="n">
        <f aca="true">ROUND(RAND()*4+6,1)</f>
        <v>8</v>
      </c>
      <c r="I141" s="6" t="s">
        <v>36</v>
      </c>
      <c r="J141" s="6" t="str">
        <f aca="false">ROUND(86*1,0)&amp;"%"</f>
        <v>86%</v>
      </c>
    </row>
    <row r="142" customFormat="false" ht="15" hidden="false" customHeight="false" outlineLevel="0" collapsed="false">
      <c r="A142" s="5" t="s">
        <v>8004</v>
      </c>
      <c r="B142" s="5" t="s">
        <v>250</v>
      </c>
      <c r="C142" s="5" t="s">
        <v>114</v>
      </c>
      <c r="D142" s="5" t="s">
        <v>39</v>
      </c>
      <c r="E142" s="5" t="n">
        <f aca="false">ROUND(9068*1.05,2)</f>
        <v>9521.4</v>
      </c>
      <c r="F142" s="5" t="s">
        <v>40</v>
      </c>
      <c r="G142" s="5" t="s">
        <v>24</v>
      </c>
      <c r="H142" s="5" t="n">
        <f aca="true">ROUND(RAND()*4+6,1)</f>
        <v>6.7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8005</v>
      </c>
      <c r="B143" s="6" t="s">
        <v>252</v>
      </c>
      <c r="C143" s="6" t="s">
        <v>114</v>
      </c>
      <c r="D143" s="6" t="s">
        <v>44</v>
      </c>
      <c r="E143" s="6" t="n">
        <f aca="false">ROUND(13504*1.05,2)</f>
        <v>14179.2</v>
      </c>
      <c r="F143" s="6" t="s">
        <v>45</v>
      </c>
      <c r="G143" s="6" t="s">
        <v>30</v>
      </c>
      <c r="H143" s="6" t="n">
        <f aca="true">ROUND(RAND()*4+6,1)</f>
        <v>9.4</v>
      </c>
      <c r="I143" s="6" t="s">
        <v>46</v>
      </c>
      <c r="J143" s="6" t="str">
        <f aca="false">ROUND(91*1,0)&amp;"%"</f>
        <v>91%</v>
      </c>
    </row>
    <row r="144" customFormat="false" ht="15" hidden="false" customHeight="false" outlineLevel="0" collapsed="false">
      <c r="A144" s="5" t="s">
        <v>8006</v>
      </c>
      <c r="B144" s="5" t="s">
        <v>254</v>
      </c>
      <c r="C144" s="5" t="s">
        <v>114</v>
      </c>
      <c r="D144" s="5" t="s">
        <v>16</v>
      </c>
      <c r="E144" s="5" t="n">
        <f aca="false">ROUND(17395*1.05,2)</f>
        <v>18264.75</v>
      </c>
      <c r="F144" s="5" t="s">
        <v>49</v>
      </c>
      <c r="G144" s="5" t="s">
        <v>18</v>
      </c>
      <c r="H144" s="5" t="n">
        <f aca="true">ROUND(RAND()*4+6,1)</f>
        <v>9.5</v>
      </c>
      <c r="I144" s="5" t="s">
        <v>19</v>
      </c>
      <c r="J144" s="5" t="str">
        <f aca="false">ROUND(73*1,0)&amp;"%"</f>
        <v>73%</v>
      </c>
    </row>
    <row r="145" customFormat="false" ht="15" hidden="false" customHeight="false" outlineLevel="0" collapsed="false">
      <c r="A145" s="6" t="s">
        <v>8007</v>
      </c>
      <c r="B145" s="6" t="s">
        <v>256</v>
      </c>
      <c r="C145" s="6" t="s">
        <v>114</v>
      </c>
      <c r="D145" s="6" t="s">
        <v>22</v>
      </c>
      <c r="E145" s="6" t="n">
        <f aca="false">ROUND(10244*1.05,2)</f>
        <v>10756.2</v>
      </c>
      <c r="F145" s="6" t="s">
        <v>52</v>
      </c>
      <c r="G145" s="6" t="s">
        <v>24</v>
      </c>
      <c r="H145" s="6" t="n">
        <f aca="true">ROUND(RAND()*4+6,1)</f>
        <v>6.5</v>
      </c>
      <c r="I145" s="6" t="s">
        <v>25</v>
      </c>
      <c r="J145" s="6" t="str">
        <f aca="false">ROUND(93*1,0)&amp;"%"</f>
        <v>93%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8008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8009</v>
      </c>
      <c r="B150" s="5" t="s">
        <v>260</v>
      </c>
      <c r="C150" s="5" t="s">
        <v>133</v>
      </c>
      <c r="D150" s="5" t="s">
        <v>16</v>
      </c>
      <c r="E150" s="5" t="n">
        <f aca="false">ROUND(17583*1.05,2)</f>
        <v>18462.15</v>
      </c>
      <c r="F150" s="5" t="s">
        <v>17</v>
      </c>
      <c r="G150" s="5" t="s">
        <v>18</v>
      </c>
      <c r="H150" s="5" t="n">
        <f aca="true">ROUND(RAND()*4+6,1)</f>
        <v>6.4</v>
      </c>
      <c r="I150" s="5" t="s">
        <v>19</v>
      </c>
      <c r="J150" s="5" t="str">
        <f aca="false">ROUND(87*1,0)&amp;"%"</f>
        <v>87%</v>
      </c>
    </row>
    <row r="151" customFormat="false" ht="15" hidden="false" customHeight="false" outlineLevel="0" collapsed="false">
      <c r="A151" s="6" t="s">
        <v>8010</v>
      </c>
      <c r="B151" s="6" t="s">
        <v>262</v>
      </c>
      <c r="C151" s="6" t="s">
        <v>133</v>
      </c>
      <c r="D151" s="6" t="s">
        <v>22</v>
      </c>
      <c r="E151" s="6" t="n">
        <f aca="false">ROUND(11748*1.05,2)</f>
        <v>12335.4</v>
      </c>
      <c r="F151" s="6" t="s">
        <v>23</v>
      </c>
      <c r="G151" s="6" t="s">
        <v>24</v>
      </c>
      <c r="H151" s="6" t="n">
        <f aca="true">ROUND(RAND()*4+6,1)</f>
        <v>7.4</v>
      </c>
      <c r="I151" s="6" t="s">
        <v>25</v>
      </c>
      <c r="J151" s="6" t="str">
        <f aca="false">ROUND(71*1,0)&amp;"%"</f>
        <v>71%</v>
      </c>
    </row>
    <row r="152" customFormat="false" ht="15" hidden="false" customHeight="false" outlineLevel="0" collapsed="false">
      <c r="A152" s="5" t="s">
        <v>8011</v>
      </c>
      <c r="B152" s="5" t="s">
        <v>264</v>
      </c>
      <c r="C152" s="5" t="s">
        <v>133</v>
      </c>
      <c r="D152" s="5" t="s">
        <v>28</v>
      </c>
      <c r="E152" s="5" t="n">
        <f aca="false">ROUND(8336*1.05,2)</f>
        <v>8752.8</v>
      </c>
      <c r="F152" s="5" t="s">
        <v>29</v>
      </c>
      <c r="G152" s="5" t="s">
        <v>30</v>
      </c>
      <c r="H152" s="5" t="n">
        <f aca="true">ROUND(RAND()*4+6,1)</f>
        <v>7.9</v>
      </c>
      <c r="I152" s="5" t="s">
        <v>31</v>
      </c>
      <c r="J152" s="5" t="str">
        <f aca="false">ROUND(70*1,0)&amp;"%"</f>
        <v>70%</v>
      </c>
    </row>
    <row r="153" customFormat="false" ht="15" hidden="false" customHeight="false" outlineLevel="0" collapsed="false">
      <c r="A153" s="6" t="s">
        <v>8012</v>
      </c>
      <c r="B153" s="6" t="s">
        <v>266</v>
      </c>
      <c r="C153" s="6" t="s">
        <v>133</v>
      </c>
      <c r="D153" s="6" t="s">
        <v>34</v>
      </c>
      <c r="E153" s="6" t="n">
        <f aca="false">ROUND(10749*1.05,2)</f>
        <v>11286.45</v>
      </c>
      <c r="F153" s="6" t="s">
        <v>35</v>
      </c>
      <c r="G153" s="6" t="s">
        <v>18</v>
      </c>
      <c r="H153" s="6" t="n">
        <f aca="true">ROUND(RAND()*4+6,1)</f>
        <v>6.4</v>
      </c>
      <c r="I153" s="6" t="s">
        <v>36</v>
      </c>
      <c r="J153" s="6" t="str">
        <f aca="false">ROUND(81*1,0)&amp;"%"</f>
        <v>81%</v>
      </c>
    </row>
    <row r="154" customFormat="false" ht="15" hidden="false" customHeight="false" outlineLevel="0" collapsed="false">
      <c r="A154" s="5" t="s">
        <v>8013</v>
      </c>
      <c r="B154" s="5" t="s">
        <v>268</v>
      </c>
      <c r="C154" s="5" t="s">
        <v>133</v>
      </c>
      <c r="D154" s="5" t="s">
        <v>39</v>
      </c>
      <c r="E154" s="5" t="n">
        <f aca="false">ROUND(9968*1.05,2)</f>
        <v>10466.4</v>
      </c>
      <c r="F154" s="5" t="s">
        <v>40</v>
      </c>
      <c r="G154" s="5" t="s">
        <v>24</v>
      </c>
      <c r="H154" s="5" t="n">
        <f aca="true">ROUND(RAND()*4+6,1)</f>
        <v>6.6</v>
      </c>
      <c r="I154" s="5" t="s">
        <v>41</v>
      </c>
      <c r="J154" s="5" t="str">
        <f aca="false">ROUND(100*1,0)&amp;"%"</f>
        <v>100%</v>
      </c>
    </row>
    <row r="155" customFormat="false" ht="15" hidden="false" customHeight="false" outlineLevel="0" collapsed="false">
      <c r="A155" s="6" t="s">
        <v>8014</v>
      </c>
      <c r="B155" s="6" t="s">
        <v>270</v>
      </c>
      <c r="C155" s="6" t="s">
        <v>133</v>
      </c>
      <c r="D155" s="6" t="s">
        <v>44</v>
      </c>
      <c r="E155" s="6" t="n">
        <f aca="false">ROUND(12697*1.05,2)</f>
        <v>13331.85</v>
      </c>
      <c r="F155" s="6" t="s">
        <v>45</v>
      </c>
      <c r="G155" s="6" t="s">
        <v>30</v>
      </c>
      <c r="H155" s="6" t="n">
        <f aca="true">ROUND(RAND()*4+6,1)</f>
        <v>8.4</v>
      </c>
      <c r="I155" s="6" t="s">
        <v>46</v>
      </c>
      <c r="J155" s="6" t="str">
        <f aca="false">ROUND(68*1,0)&amp;"%"</f>
        <v>68%</v>
      </c>
    </row>
    <row r="156" customFormat="false" ht="15" hidden="false" customHeight="false" outlineLevel="0" collapsed="false">
      <c r="A156" s="5" t="s">
        <v>8015</v>
      </c>
      <c r="B156" s="5" t="s">
        <v>272</v>
      </c>
      <c r="C156" s="5" t="s">
        <v>133</v>
      </c>
      <c r="D156" s="5" t="s">
        <v>16</v>
      </c>
      <c r="E156" s="5" t="n">
        <f aca="false">ROUND(16904*1.05,2)</f>
        <v>17749.2</v>
      </c>
      <c r="F156" s="5" t="s">
        <v>49</v>
      </c>
      <c r="G156" s="5" t="s">
        <v>18</v>
      </c>
      <c r="H156" s="5" t="n">
        <f aca="true">ROUND(RAND()*4+6,1)</f>
        <v>7.1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8016</v>
      </c>
      <c r="B157" s="6" t="s">
        <v>274</v>
      </c>
      <c r="C157" s="6" t="s">
        <v>133</v>
      </c>
      <c r="D157" s="6" t="s">
        <v>22</v>
      </c>
      <c r="E157" s="6" t="n">
        <f aca="false">ROUND(8577*1.05,2)</f>
        <v>9005.85</v>
      </c>
      <c r="F157" s="6" t="s">
        <v>52</v>
      </c>
      <c r="G157" s="6" t="s">
        <v>24</v>
      </c>
      <c r="H157" s="6" t="n">
        <f aca="true">ROUND(RAND()*4+6,1)</f>
        <v>7.7</v>
      </c>
      <c r="I157" s="6" t="s">
        <v>25</v>
      </c>
      <c r="J157" s="6" t="str">
        <f aca="false">ROUND(92*1,0)&amp;"%"</f>
        <v>92%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8017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8018</v>
      </c>
      <c r="B162" s="5" t="s">
        <v>278</v>
      </c>
      <c r="C162" s="5" t="s">
        <v>152</v>
      </c>
      <c r="D162" s="5" t="s">
        <v>16</v>
      </c>
      <c r="E162" s="5" t="n">
        <f aca="false">ROUND(12417*1.05,2)</f>
        <v>13037.85</v>
      </c>
      <c r="F162" s="5" t="s">
        <v>17</v>
      </c>
      <c r="G162" s="5" t="s">
        <v>18</v>
      </c>
      <c r="H162" s="5" t="n">
        <f aca="true">ROUND(RAND()*4+6,1)</f>
        <v>9.3</v>
      </c>
      <c r="I162" s="5" t="s">
        <v>19</v>
      </c>
      <c r="J162" s="5" t="str">
        <f aca="false">ROUND(93*1,0)&amp;"%"</f>
        <v>93%</v>
      </c>
    </row>
    <row r="163" customFormat="false" ht="15" hidden="false" customHeight="false" outlineLevel="0" collapsed="false">
      <c r="A163" s="6" t="s">
        <v>8019</v>
      </c>
      <c r="B163" s="6" t="s">
        <v>280</v>
      </c>
      <c r="C163" s="6" t="s">
        <v>152</v>
      </c>
      <c r="D163" s="6" t="s">
        <v>22</v>
      </c>
      <c r="E163" s="6" t="n">
        <f aca="false">ROUND(5230*1.05,2)</f>
        <v>5491.5</v>
      </c>
      <c r="F163" s="6" t="s">
        <v>23</v>
      </c>
      <c r="G163" s="6" t="s">
        <v>24</v>
      </c>
      <c r="H163" s="6" t="n">
        <f aca="true">ROUND(RAND()*4+6,1)</f>
        <v>8.7</v>
      </c>
      <c r="I163" s="6" t="s">
        <v>25</v>
      </c>
      <c r="J163" s="6" t="str">
        <f aca="false">ROUND(74*1,0)&amp;"%"</f>
        <v>74%</v>
      </c>
    </row>
    <row r="164" customFormat="false" ht="15" hidden="false" customHeight="false" outlineLevel="0" collapsed="false">
      <c r="A164" s="5" t="s">
        <v>8020</v>
      </c>
      <c r="B164" s="5" t="s">
        <v>282</v>
      </c>
      <c r="C164" s="5" t="s">
        <v>152</v>
      </c>
      <c r="D164" s="5" t="s">
        <v>28</v>
      </c>
      <c r="E164" s="5" t="n">
        <f aca="false">ROUND(12231*1.05,2)</f>
        <v>12842.55</v>
      </c>
      <c r="F164" s="5" t="s">
        <v>29</v>
      </c>
      <c r="G164" s="5" t="s">
        <v>30</v>
      </c>
      <c r="H164" s="5" t="n">
        <f aca="true">ROUND(RAND()*4+6,1)</f>
        <v>7</v>
      </c>
      <c r="I164" s="5" t="s">
        <v>31</v>
      </c>
      <c r="J164" s="5" t="str">
        <f aca="false">ROUND(60*1,0)&amp;"%"</f>
        <v>60%</v>
      </c>
    </row>
    <row r="165" customFormat="false" ht="15" hidden="false" customHeight="false" outlineLevel="0" collapsed="false">
      <c r="A165" s="6" t="s">
        <v>8021</v>
      </c>
      <c r="B165" s="6" t="s">
        <v>284</v>
      </c>
      <c r="C165" s="6" t="s">
        <v>152</v>
      </c>
      <c r="D165" s="6" t="s">
        <v>34</v>
      </c>
      <c r="E165" s="6" t="n">
        <f aca="false">ROUND(15946*1.05,2)</f>
        <v>16743.3</v>
      </c>
      <c r="F165" s="6" t="s">
        <v>35</v>
      </c>
      <c r="G165" s="6" t="s">
        <v>18</v>
      </c>
      <c r="H165" s="6" t="n">
        <f aca="true">ROUND(RAND()*4+6,1)</f>
        <v>6.1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8022</v>
      </c>
      <c r="B166" s="5" t="s">
        <v>286</v>
      </c>
      <c r="C166" s="5" t="s">
        <v>152</v>
      </c>
      <c r="D166" s="5" t="s">
        <v>39</v>
      </c>
      <c r="E166" s="5" t="n">
        <f aca="false">ROUND(11465*1.05,2)</f>
        <v>12038.25</v>
      </c>
      <c r="F166" s="5" t="s">
        <v>40</v>
      </c>
      <c r="G166" s="5" t="s">
        <v>24</v>
      </c>
      <c r="H166" s="5" t="n">
        <f aca="true">ROUND(RAND()*4+6,1)</f>
        <v>9.8</v>
      </c>
      <c r="I166" s="5" t="s">
        <v>41</v>
      </c>
      <c r="J166" s="5" t="str">
        <f aca="false">ROUND(97*1,0)&amp;"%"</f>
        <v>97%</v>
      </c>
    </row>
    <row r="167" customFormat="false" ht="15" hidden="false" customHeight="false" outlineLevel="0" collapsed="false">
      <c r="A167" s="6" t="s">
        <v>8023</v>
      </c>
      <c r="B167" s="6" t="s">
        <v>288</v>
      </c>
      <c r="C167" s="6" t="s">
        <v>152</v>
      </c>
      <c r="D167" s="6" t="s">
        <v>44</v>
      </c>
      <c r="E167" s="6" t="n">
        <f aca="false">ROUND(7730*1.05,2)</f>
        <v>8116.5</v>
      </c>
      <c r="F167" s="6" t="s">
        <v>45</v>
      </c>
      <c r="G167" s="6" t="s">
        <v>30</v>
      </c>
      <c r="H167" s="6" t="n">
        <f aca="true">ROUND(RAND()*4+6,1)</f>
        <v>7.7</v>
      </c>
      <c r="I167" s="6" t="s">
        <v>46</v>
      </c>
      <c r="J167" s="6" t="str">
        <f aca="false">ROUND(96*1,0)&amp;"%"</f>
        <v>96%</v>
      </c>
    </row>
    <row r="168" customFormat="false" ht="15" hidden="false" customHeight="false" outlineLevel="0" collapsed="false">
      <c r="A168" s="5" t="s">
        <v>8024</v>
      </c>
      <c r="B168" s="5" t="s">
        <v>290</v>
      </c>
      <c r="C168" s="5" t="s">
        <v>152</v>
      </c>
      <c r="D168" s="5" t="s">
        <v>16</v>
      </c>
      <c r="E168" s="5" t="n">
        <f aca="false">ROUND(4993*1.05,2)</f>
        <v>5242.65</v>
      </c>
      <c r="F168" s="5" t="s">
        <v>49</v>
      </c>
      <c r="G168" s="5" t="s">
        <v>18</v>
      </c>
      <c r="H168" s="5" t="n">
        <f aca="true">ROUND(RAND()*4+6,1)</f>
        <v>8.4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8025</v>
      </c>
      <c r="B169" s="6" t="s">
        <v>292</v>
      </c>
      <c r="C169" s="6" t="s">
        <v>152</v>
      </c>
      <c r="D169" s="6" t="s">
        <v>22</v>
      </c>
      <c r="E169" s="6" t="n">
        <f aca="false">ROUND(11823*1.05,2)</f>
        <v>12414.15</v>
      </c>
      <c r="F169" s="6" t="s">
        <v>52</v>
      </c>
      <c r="G169" s="6" t="s">
        <v>24</v>
      </c>
      <c r="H169" s="6" t="n">
        <f aca="true">ROUND(RAND()*4+6,1)</f>
        <v>7.1</v>
      </c>
      <c r="I169" s="6" t="s">
        <v>25</v>
      </c>
      <c r="J169" s="6" t="str">
        <f aca="false">ROUND(92*1,0)&amp;"%"</f>
        <v>92%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8026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8027</v>
      </c>
      <c r="B174" s="5" t="s">
        <v>296</v>
      </c>
      <c r="C174" s="5" t="s">
        <v>15</v>
      </c>
      <c r="D174" s="5" t="s">
        <v>16</v>
      </c>
      <c r="E174" s="5" t="n">
        <f aca="false">ROUND(13380*1.05,2)</f>
        <v>14049</v>
      </c>
      <c r="F174" s="5" t="s">
        <v>17</v>
      </c>
      <c r="G174" s="5" t="s">
        <v>18</v>
      </c>
      <c r="H174" s="5" t="n">
        <f aca="true">ROUND(RAND()*4+6,1)</f>
        <v>9.6</v>
      </c>
      <c r="I174" s="5" t="s">
        <v>19</v>
      </c>
      <c r="J174" s="5" t="str">
        <f aca="false">ROUND(77*1,0)&amp;"%"</f>
        <v>77%</v>
      </c>
    </row>
    <row r="175" customFormat="false" ht="15" hidden="false" customHeight="false" outlineLevel="0" collapsed="false">
      <c r="A175" s="6" t="s">
        <v>8028</v>
      </c>
      <c r="B175" s="6" t="s">
        <v>298</v>
      </c>
      <c r="C175" s="6" t="s">
        <v>15</v>
      </c>
      <c r="D175" s="6" t="s">
        <v>22</v>
      </c>
      <c r="E175" s="6" t="n">
        <f aca="false">ROUND(10162*1.05,2)</f>
        <v>10670.1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ROUND(95*1,0)&amp;"%"</f>
        <v>95%</v>
      </c>
    </row>
    <row r="176" customFormat="false" ht="15" hidden="false" customHeight="false" outlineLevel="0" collapsed="false">
      <c r="A176" s="5" t="s">
        <v>8029</v>
      </c>
      <c r="B176" s="5" t="s">
        <v>300</v>
      </c>
      <c r="C176" s="5" t="s">
        <v>15</v>
      </c>
      <c r="D176" s="5" t="s">
        <v>28</v>
      </c>
      <c r="E176" s="5" t="n">
        <f aca="false">ROUND(15602*1.05,2)</f>
        <v>16382.1</v>
      </c>
      <c r="F176" s="5" t="s">
        <v>29</v>
      </c>
      <c r="G176" s="5" t="s">
        <v>30</v>
      </c>
      <c r="H176" s="5" t="n">
        <f aca="true">ROUND(RAND()*4+6,1)</f>
        <v>8</v>
      </c>
      <c r="I176" s="5" t="s">
        <v>31</v>
      </c>
      <c r="J176" s="5" t="str">
        <f aca="false">ROUND(93*1,0)&amp;"%"</f>
        <v>93%</v>
      </c>
    </row>
    <row r="177" customFormat="false" ht="15" hidden="false" customHeight="false" outlineLevel="0" collapsed="false">
      <c r="A177" s="6" t="s">
        <v>8030</v>
      </c>
      <c r="B177" s="6" t="s">
        <v>302</v>
      </c>
      <c r="C177" s="6" t="s">
        <v>15</v>
      </c>
      <c r="D177" s="6" t="s">
        <v>34</v>
      </c>
      <c r="E177" s="6" t="n">
        <f aca="false">ROUND(5518*1.05,2)</f>
        <v>5793.9</v>
      </c>
      <c r="F177" s="6" t="s">
        <v>35</v>
      </c>
      <c r="G177" s="6" t="s">
        <v>18</v>
      </c>
      <c r="H177" s="6" t="n">
        <f aca="true">ROUND(RAND()*4+6,1)</f>
        <v>7.3</v>
      </c>
      <c r="I177" s="6" t="s">
        <v>36</v>
      </c>
      <c r="J177" s="6" t="str">
        <f aca="false">ROUND(98*1,0)&amp;"%"</f>
        <v>98%</v>
      </c>
    </row>
    <row r="178" customFormat="false" ht="15" hidden="false" customHeight="false" outlineLevel="0" collapsed="false">
      <c r="A178" s="5" t="s">
        <v>8031</v>
      </c>
      <c r="B178" s="5" t="s">
        <v>304</v>
      </c>
      <c r="C178" s="5" t="s">
        <v>15</v>
      </c>
      <c r="D178" s="5" t="s">
        <v>39</v>
      </c>
      <c r="E178" s="5" t="n">
        <f aca="false">ROUND(17670*1.05,2)</f>
        <v>18553.5</v>
      </c>
      <c r="F178" s="5" t="s">
        <v>40</v>
      </c>
      <c r="G178" s="5" t="s">
        <v>24</v>
      </c>
      <c r="H178" s="5" t="n">
        <f aca="true">ROUND(RAND()*4+6,1)</f>
        <v>9.1</v>
      </c>
      <c r="I178" s="5" t="s">
        <v>41</v>
      </c>
      <c r="J178" s="5" t="str">
        <f aca="false">ROUND(63*1,0)&amp;"%"</f>
        <v>63%</v>
      </c>
    </row>
    <row r="179" customFormat="false" ht="15" hidden="false" customHeight="false" outlineLevel="0" collapsed="false">
      <c r="A179" s="6" t="s">
        <v>8032</v>
      </c>
      <c r="B179" s="6" t="s">
        <v>306</v>
      </c>
      <c r="C179" s="6" t="s">
        <v>15</v>
      </c>
      <c r="D179" s="6" t="s">
        <v>44</v>
      </c>
      <c r="E179" s="6" t="n">
        <f aca="false">ROUND(9778*1.05,2)</f>
        <v>10266.9</v>
      </c>
      <c r="F179" s="6" t="s">
        <v>45</v>
      </c>
      <c r="G179" s="6" t="s">
        <v>30</v>
      </c>
      <c r="H179" s="6" t="n">
        <f aca="true">ROUND(RAND()*4+6,1)</f>
        <v>6.9</v>
      </c>
      <c r="I179" s="6" t="s">
        <v>46</v>
      </c>
      <c r="J179" s="6" t="str">
        <f aca="false">ROUND(70*1,0)&amp;"%"</f>
        <v>70%</v>
      </c>
    </row>
    <row r="180" customFormat="false" ht="15" hidden="false" customHeight="false" outlineLevel="0" collapsed="false">
      <c r="A180" s="5" t="s">
        <v>8033</v>
      </c>
      <c r="B180" s="5" t="s">
        <v>308</v>
      </c>
      <c r="C180" s="5" t="s">
        <v>15</v>
      </c>
      <c r="D180" s="5" t="s">
        <v>16</v>
      </c>
      <c r="E180" s="5" t="n">
        <f aca="false">ROUND(11728*1.05,2)</f>
        <v>12314.4</v>
      </c>
      <c r="F180" s="5" t="s">
        <v>49</v>
      </c>
      <c r="G180" s="5" t="s">
        <v>18</v>
      </c>
      <c r="H180" s="5" t="n">
        <f aca="true">ROUND(RAND()*4+6,1)</f>
        <v>6.1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8034</v>
      </c>
      <c r="B181" s="6" t="s">
        <v>310</v>
      </c>
      <c r="C181" s="6" t="s">
        <v>15</v>
      </c>
      <c r="D181" s="6" t="s">
        <v>22</v>
      </c>
      <c r="E181" s="6" t="n">
        <f aca="false">ROUND(16280*1.05,2)</f>
        <v>17094</v>
      </c>
      <c r="F181" s="6" t="s">
        <v>52</v>
      </c>
      <c r="G181" s="6" t="s">
        <v>24</v>
      </c>
      <c r="H181" s="6" t="n">
        <f aca="true">ROUND(RAND()*4+6,1)</f>
        <v>9.6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8035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8036</v>
      </c>
      <c r="B186" s="5" t="s">
        <v>314</v>
      </c>
      <c r="C186" s="5" t="s">
        <v>57</v>
      </c>
      <c r="D186" s="5" t="s">
        <v>16</v>
      </c>
      <c r="E186" s="5" t="n">
        <f aca="false">ROUND(6394*1.05,2)</f>
        <v>6713.7</v>
      </c>
      <c r="F186" s="5" t="s">
        <v>17</v>
      </c>
      <c r="G186" s="5" t="s">
        <v>18</v>
      </c>
      <c r="H186" s="5" t="n">
        <f aca="true">ROUND(RAND()*4+6,1)</f>
        <v>6.7</v>
      </c>
      <c r="I186" s="5" t="s">
        <v>19</v>
      </c>
      <c r="J186" s="5" t="str">
        <f aca="false">ROUND(86*1,0)&amp;"%"</f>
        <v>86%</v>
      </c>
    </row>
    <row r="187" customFormat="false" ht="15" hidden="false" customHeight="false" outlineLevel="0" collapsed="false">
      <c r="A187" s="6" t="s">
        <v>8037</v>
      </c>
      <c r="B187" s="6" t="s">
        <v>316</v>
      </c>
      <c r="C187" s="6" t="s">
        <v>57</v>
      </c>
      <c r="D187" s="6" t="s">
        <v>22</v>
      </c>
      <c r="E187" s="6" t="n">
        <f aca="false">ROUND(10913*1.05,2)</f>
        <v>11458.65</v>
      </c>
      <c r="F187" s="6" t="s">
        <v>23</v>
      </c>
      <c r="G187" s="6" t="s">
        <v>24</v>
      </c>
      <c r="H187" s="6" t="n">
        <f aca="true">ROUND(RAND()*4+6,1)</f>
        <v>9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8038</v>
      </c>
      <c r="B188" s="5" t="s">
        <v>318</v>
      </c>
      <c r="C188" s="5" t="s">
        <v>57</v>
      </c>
      <c r="D188" s="5" t="s">
        <v>28</v>
      </c>
      <c r="E188" s="5" t="n">
        <f aca="false">ROUND(13776*1.05,2)</f>
        <v>14464.8</v>
      </c>
      <c r="F188" s="5" t="s">
        <v>29</v>
      </c>
      <c r="G188" s="5" t="s">
        <v>30</v>
      </c>
      <c r="H188" s="5" t="n">
        <f aca="true">ROUND(RAND()*4+6,1)</f>
        <v>9.9</v>
      </c>
      <c r="I188" s="5" t="s">
        <v>31</v>
      </c>
      <c r="J188" s="5" t="str">
        <f aca="false">ROUND(100*1,0)&amp;"%"</f>
        <v>100%</v>
      </c>
    </row>
    <row r="189" customFormat="false" ht="15" hidden="false" customHeight="false" outlineLevel="0" collapsed="false">
      <c r="A189" s="6" t="s">
        <v>8039</v>
      </c>
      <c r="B189" s="6" t="s">
        <v>320</v>
      </c>
      <c r="C189" s="6" t="s">
        <v>57</v>
      </c>
      <c r="D189" s="6" t="s">
        <v>34</v>
      </c>
      <c r="E189" s="6" t="n">
        <f aca="false">ROUND(13757*1.05,2)</f>
        <v>14444.85</v>
      </c>
      <c r="F189" s="6" t="s">
        <v>35</v>
      </c>
      <c r="G189" s="6" t="s">
        <v>18</v>
      </c>
      <c r="H189" s="6" t="n">
        <f aca="true">ROUND(RAND()*4+6,1)</f>
        <v>7</v>
      </c>
      <c r="I189" s="6" t="s">
        <v>36</v>
      </c>
      <c r="J189" s="6" t="str">
        <f aca="false">ROUND(67*1,0)&amp;"%"</f>
        <v>67%</v>
      </c>
    </row>
    <row r="190" customFormat="false" ht="15" hidden="false" customHeight="false" outlineLevel="0" collapsed="false">
      <c r="A190" s="5" t="s">
        <v>8040</v>
      </c>
      <c r="B190" s="5" t="s">
        <v>322</v>
      </c>
      <c r="C190" s="5" t="s">
        <v>57</v>
      </c>
      <c r="D190" s="5" t="s">
        <v>39</v>
      </c>
      <c r="E190" s="5" t="n">
        <f aca="false">ROUND(12604*1.05,2)</f>
        <v>13234.2</v>
      </c>
      <c r="F190" s="5" t="s">
        <v>40</v>
      </c>
      <c r="G190" s="5" t="s">
        <v>24</v>
      </c>
      <c r="H190" s="5" t="n">
        <f aca="true">ROUND(RAND()*4+6,1)</f>
        <v>9.5</v>
      </c>
      <c r="I190" s="5" t="s">
        <v>41</v>
      </c>
      <c r="J190" s="5" t="str">
        <f aca="false">ROUND(65*1,0)&amp;"%"</f>
        <v>65%</v>
      </c>
    </row>
    <row r="191" customFormat="false" ht="15" hidden="false" customHeight="false" outlineLevel="0" collapsed="false">
      <c r="A191" s="6" t="s">
        <v>8041</v>
      </c>
      <c r="B191" s="6" t="s">
        <v>324</v>
      </c>
      <c r="C191" s="6" t="s">
        <v>57</v>
      </c>
      <c r="D191" s="6" t="s">
        <v>44</v>
      </c>
      <c r="E191" s="6" t="n">
        <f aca="false">ROUND(16013*1.05,2)</f>
        <v>16813.65</v>
      </c>
      <c r="F191" s="6" t="s">
        <v>45</v>
      </c>
      <c r="G191" s="6" t="s">
        <v>30</v>
      </c>
      <c r="H191" s="6" t="n">
        <f aca="true">ROUND(RAND()*4+6,1)</f>
        <v>8.3</v>
      </c>
      <c r="I191" s="6" t="s">
        <v>46</v>
      </c>
      <c r="J191" s="6" t="str">
        <f aca="false">ROUND(66*1,0)&amp;"%"</f>
        <v>66%</v>
      </c>
    </row>
    <row r="192" customFormat="false" ht="15" hidden="false" customHeight="false" outlineLevel="0" collapsed="false">
      <c r="A192" s="5" t="s">
        <v>8042</v>
      </c>
      <c r="B192" s="5" t="s">
        <v>326</v>
      </c>
      <c r="C192" s="5" t="s">
        <v>57</v>
      </c>
      <c r="D192" s="5" t="s">
        <v>16</v>
      </c>
      <c r="E192" s="5" t="n">
        <f aca="false">ROUND(16851*1.05,2)</f>
        <v>17693.55</v>
      </c>
      <c r="F192" s="5" t="s">
        <v>49</v>
      </c>
      <c r="G192" s="5" t="s">
        <v>18</v>
      </c>
      <c r="H192" s="5" t="n">
        <f aca="true">ROUND(RAND()*4+6,1)</f>
        <v>8.9</v>
      </c>
      <c r="I192" s="5" t="s">
        <v>19</v>
      </c>
      <c r="J192" s="5" t="str">
        <f aca="false">ROUND(66*1,0)&amp;"%"</f>
        <v>66%</v>
      </c>
    </row>
    <row r="193" customFormat="false" ht="15" hidden="false" customHeight="false" outlineLevel="0" collapsed="false">
      <c r="A193" s="6" t="s">
        <v>8043</v>
      </c>
      <c r="B193" s="6" t="s">
        <v>328</v>
      </c>
      <c r="C193" s="6" t="s">
        <v>57</v>
      </c>
      <c r="D193" s="6" t="s">
        <v>22</v>
      </c>
      <c r="E193" s="6" t="n">
        <f aca="false">ROUND(10550*1.05,2)</f>
        <v>11077.5</v>
      </c>
      <c r="F193" s="6" t="s">
        <v>52</v>
      </c>
      <c r="G193" s="6" t="s">
        <v>24</v>
      </c>
      <c r="H193" s="6" t="n">
        <f aca="true">ROUND(RAND()*4+6,1)</f>
        <v>9.7</v>
      </c>
      <c r="I193" s="6" t="s">
        <v>25</v>
      </c>
      <c r="J193" s="6" t="str">
        <f aca="false">ROUND(96*1,0)&amp;"%"</f>
        <v>96%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8044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8045</v>
      </c>
      <c r="B198" s="5" t="s">
        <v>332</v>
      </c>
      <c r="C198" s="5" t="s">
        <v>76</v>
      </c>
      <c r="D198" s="5" t="s">
        <v>16</v>
      </c>
      <c r="E198" s="5" t="n">
        <f aca="false">ROUND(10022*1.05,2)</f>
        <v>10523.1</v>
      </c>
      <c r="F198" s="5" t="s">
        <v>17</v>
      </c>
      <c r="G198" s="5" t="s">
        <v>18</v>
      </c>
      <c r="H198" s="5" t="n">
        <f aca="true">ROUND(RAND()*4+6,1)</f>
        <v>9.9</v>
      </c>
      <c r="I198" s="5" t="s">
        <v>19</v>
      </c>
      <c r="J198" s="5" t="str">
        <f aca="false">ROUND(64*1,0)&amp;"%"</f>
        <v>64%</v>
      </c>
    </row>
    <row r="199" customFormat="false" ht="15" hidden="false" customHeight="false" outlineLevel="0" collapsed="false">
      <c r="A199" s="6" t="s">
        <v>8046</v>
      </c>
      <c r="B199" s="6" t="s">
        <v>334</v>
      </c>
      <c r="C199" s="6" t="s">
        <v>76</v>
      </c>
      <c r="D199" s="6" t="s">
        <v>22</v>
      </c>
      <c r="E199" s="6" t="n">
        <f aca="false">ROUND(10287*1.05,2)</f>
        <v>10801.35</v>
      </c>
      <c r="F199" s="6" t="s">
        <v>23</v>
      </c>
      <c r="G199" s="6" t="s">
        <v>24</v>
      </c>
      <c r="H199" s="6" t="n">
        <f aca="true">ROUND(RAND()*4+6,1)</f>
        <v>9.8</v>
      </c>
      <c r="I199" s="6" t="s">
        <v>25</v>
      </c>
      <c r="J199" s="6" t="str">
        <f aca="false">ROUND(83*1,0)&amp;"%"</f>
        <v>83%</v>
      </c>
    </row>
    <row r="200" customFormat="false" ht="15" hidden="false" customHeight="false" outlineLevel="0" collapsed="false">
      <c r="A200" s="5" t="s">
        <v>8047</v>
      </c>
      <c r="B200" s="5" t="s">
        <v>336</v>
      </c>
      <c r="C200" s="5" t="s">
        <v>76</v>
      </c>
      <c r="D200" s="5" t="s">
        <v>28</v>
      </c>
      <c r="E200" s="5" t="n">
        <f aca="false">ROUND(9613*1.05,2)</f>
        <v>10093.65</v>
      </c>
      <c r="F200" s="5" t="s">
        <v>29</v>
      </c>
      <c r="G200" s="5" t="s">
        <v>30</v>
      </c>
      <c r="H200" s="5" t="n">
        <f aca="true">ROUND(RAND()*4+6,1)</f>
        <v>6.5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8048</v>
      </c>
      <c r="B201" s="6" t="s">
        <v>338</v>
      </c>
      <c r="C201" s="6" t="s">
        <v>76</v>
      </c>
      <c r="D201" s="6" t="s">
        <v>34</v>
      </c>
      <c r="E201" s="6" t="n">
        <f aca="false">ROUND(12735*1.05,2)</f>
        <v>13371.75</v>
      </c>
      <c r="F201" s="6" t="s">
        <v>35</v>
      </c>
      <c r="G201" s="6" t="s">
        <v>18</v>
      </c>
      <c r="H201" s="6" t="n">
        <f aca="true">ROUND(RAND()*4+6,1)</f>
        <v>9.8</v>
      </c>
      <c r="I201" s="6" t="s">
        <v>36</v>
      </c>
      <c r="J201" s="6" t="str">
        <f aca="false">ROUND(78*1,0)&amp;"%"</f>
        <v>78%</v>
      </c>
    </row>
    <row r="202" customFormat="false" ht="15" hidden="false" customHeight="false" outlineLevel="0" collapsed="false">
      <c r="A202" s="5" t="s">
        <v>8049</v>
      </c>
      <c r="B202" s="5" t="s">
        <v>340</v>
      </c>
      <c r="C202" s="5" t="s">
        <v>76</v>
      </c>
      <c r="D202" s="5" t="s">
        <v>39</v>
      </c>
      <c r="E202" s="5" t="n">
        <f aca="false">ROUND(4505*1.05,2)</f>
        <v>4730.25</v>
      </c>
      <c r="F202" s="5" t="s">
        <v>40</v>
      </c>
      <c r="G202" s="5" t="s">
        <v>24</v>
      </c>
      <c r="H202" s="5" t="n">
        <f aca="true">ROUND(RAND()*4+6,1)</f>
        <v>9.4</v>
      </c>
      <c r="I202" s="5" t="s">
        <v>41</v>
      </c>
      <c r="J202" s="5" t="str">
        <f aca="false">ROUND(100*1,0)&amp;"%"</f>
        <v>100%</v>
      </c>
    </row>
    <row r="203" customFormat="false" ht="15" hidden="false" customHeight="false" outlineLevel="0" collapsed="false">
      <c r="A203" s="6" t="s">
        <v>8050</v>
      </c>
      <c r="B203" s="6" t="s">
        <v>342</v>
      </c>
      <c r="C203" s="6" t="s">
        <v>76</v>
      </c>
      <c r="D203" s="6" t="s">
        <v>44</v>
      </c>
      <c r="E203" s="6" t="n">
        <f aca="false">ROUND(13627*1.05,2)</f>
        <v>14308.35</v>
      </c>
      <c r="F203" s="6" t="s">
        <v>45</v>
      </c>
      <c r="G203" s="6" t="s">
        <v>30</v>
      </c>
      <c r="H203" s="6" t="n">
        <f aca="true">ROUND(RAND()*4+6,1)</f>
        <v>6.8</v>
      </c>
      <c r="I203" s="6" t="s">
        <v>46</v>
      </c>
      <c r="J203" s="6" t="str">
        <f aca="false">ROUND(94*1,0)&amp;"%"</f>
        <v>94%</v>
      </c>
    </row>
    <row r="204" customFormat="false" ht="15" hidden="false" customHeight="false" outlineLevel="0" collapsed="false">
      <c r="A204" s="5" t="s">
        <v>8051</v>
      </c>
      <c r="B204" s="5" t="s">
        <v>344</v>
      </c>
      <c r="C204" s="5" t="s">
        <v>76</v>
      </c>
      <c r="D204" s="5" t="s">
        <v>16</v>
      </c>
      <c r="E204" s="5" t="n">
        <f aca="false">ROUND(16658*1.05,2)</f>
        <v>17490.9</v>
      </c>
      <c r="F204" s="5" t="s">
        <v>49</v>
      </c>
      <c r="G204" s="5" t="s">
        <v>18</v>
      </c>
      <c r="H204" s="5" t="n">
        <f aca="true">ROUND(RAND()*4+6,1)</f>
        <v>7.4</v>
      </c>
      <c r="I204" s="5" t="s">
        <v>19</v>
      </c>
      <c r="J204" s="5" t="str">
        <f aca="false">ROUND(76*1,0)&amp;"%"</f>
        <v>76%</v>
      </c>
    </row>
    <row r="205" customFormat="false" ht="15" hidden="false" customHeight="false" outlineLevel="0" collapsed="false">
      <c r="A205" s="6" t="s">
        <v>8052</v>
      </c>
      <c r="B205" s="6" t="s">
        <v>346</v>
      </c>
      <c r="C205" s="6" t="s">
        <v>76</v>
      </c>
      <c r="D205" s="6" t="s">
        <v>22</v>
      </c>
      <c r="E205" s="6" t="n">
        <f aca="false">ROUND(6535*1.05,2)</f>
        <v>6861.75</v>
      </c>
      <c r="F205" s="6" t="s">
        <v>52</v>
      </c>
      <c r="G205" s="6" t="s">
        <v>24</v>
      </c>
      <c r="H205" s="6" t="n">
        <f aca="true">ROUND(RAND()*4+6,1)</f>
        <v>8.9</v>
      </c>
      <c r="I205" s="6" t="s">
        <v>25</v>
      </c>
      <c r="J205" s="6" t="str">
        <f aca="false">ROUND(75*1,0)&amp;"%"</f>
        <v>75%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8053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8054</v>
      </c>
      <c r="B210" s="5" t="s">
        <v>350</v>
      </c>
      <c r="C210" s="5" t="s">
        <v>95</v>
      </c>
      <c r="D210" s="5" t="s">
        <v>16</v>
      </c>
      <c r="E210" s="5" t="n">
        <f aca="false">ROUND(6079*1.05,2)</f>
        <v>6382.95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ROUND(62*1,0)&amp;"%"</f>
        <v>62%</v>
      </c>
    </row>
    <row r="211" customFormat="false" ht="15" hidden="false" customHeight="false" outlineLevel="0" collapsed="false">
      <c r="A211" s="6" t="s">
        <v>8055</v>
      </c>
      <c r="B211" s="6" t="s">
        <v>352</v>
      </c>
      <c r="C211" s="6" t="s">
        <v>95</v>
      </c>
      <c r="D211" s="6" t="s">
        <v>22</v>
      </c>
      <c r="E211" s="6" t="n">
        <f aca="false">ROUND(7257*1.05,2)</f>
        <v>7619.85</v>
      </c>
      <c r="F211" s="6" t="s">
        <v>23</v>
      </c>
      <c r="G211" s="6" t="s">
        <v>24</v>
      </c>
      <c r="H211" s="6" t="n">
        <f aca="true">ROUND(RAND()*4+6,1)</f>
        <v>6.1</v>
      </c>
      <c r="I211" s="6" t="s">
        <v>25</v>
      </c>
      <c r="J211" s="6" t="str">
        <f aca="false">ROUND(78*1,0)&amp;"%"</f>
        <v>78%</v>
      </c>
    </row>
    <row r="212" customFormat="false" ht="15" hidden="false" customHeight="false" outlineLevel="0" collapsed="false">
      <c r="A212" s="5" t="s">
        <v>8056</v>
      </c>
      <c r="B212" s="5" t="s">
        <v>354</v>
      </c>
      <c r="C212" s="5" t="s">
        <v>95</v>
      </c>
      <c r="D212" s="5" t="s">
        <v>28</v>
      </c>
      <c r="E212" s="5" t="n">
        <f aca="false">ROUND(4575*1.05,2)</f>
        <v>4803.75</v>
      </c>
      <c r="F212" s="5" t="s">
        <v>29</v>
      </c>
      <c r="G212" s="5" t="s">
        <v>30</v>
      </c>
      <c r="H212" s="5" t="n">
        <f aca="true">ROUND(RAND()*4+6,1)</f>
        <v>9.7</v>
      </c>
      <c r="I212" s="5" t="s">
        <v>31</v>
      </c>
      <c r="J212" s="5" t="str">
        <f aca="false">ROUND(92*1,0)&amp;"%"</f>
        <v>92%</v>
      </c>
    </row>
    <row r="213" customFormat="false" ht="15" hidden="false" customHeight="false" outlineLevel="0" collapsed="false">
      <c r="A213" s="6" t="s">
        <v>8057</v>
      </c>
      <c r="B213" s="6" t="s">
        <v>356</v>
      </c>
      <c r="C213" s="6" t="s">
        <v>95</v>
      </c>
      <c r="D213" s="6" t="s">
        <v>34</v>
      </c>
      <c r="E213" s="6" t="n">
        <f aca="false">ROUND(16667*1.05,2)</f>
        <v>17500.35</v>
      </c>
      <c r="F213" s="6" t="s">
        <v>35</v>
      </c>
      <c r="G213" s="6" t="s">
        <v>18</v>
      </c>
      <c r="H213" s="6" t="n">
        <f aca="true">ROUND(RAND()*4+6,1)</f>
        <v>9.9</v>
      </c>
      <c r="I213" s="6" t="s">
        <v>36</v>
      </c>
      <c r="J213" s="6" t="str">
        <f aca="false">ROUND(83*1,0)&amp;"%"</f>
        <v>83%</v>
      </c>
    </row>
    <row r="214" customFormat="false" ht="15" hidden="false" customHeight="false" outlineLevel="0" collapsed="false">
      <c r="A214" s="5" t="s">
        <v>8058</v>
      </c>
      <c r="B214" s="5" t="s">
        <v>358</v>
      </c>
      <c r="C214" s="5" t="s">
        <v>95</v>
      </c>
      <c r="D214" s="5" t="s">
        <v>39</v>
      </c>
      <c r="E214" s="5" t="n">
        <f aca="false">ROUND(17179*1.05,2)</f>
        <v>18037.95</v>
      </c>
      <c r="F214" s="5" t="s">
        <v>40</v>
      </c>
      <c r="G214" s="5" t="s">
        <v>24</v>
      </c>
      <c r="H214" s="5" t="n">
        <f aca="true">ROUND(RAND()*4+6,1)</f>
        <v>6.8</v>
      </c>
      <c r="I214" s="5" t="s">
        <v>41</v>
      </c>
      <c r="J214" s="5" t="str">
        <f aca="false">ROUND(63*1,0)&amp;"%"</f>
        <v>63%</v>
      </c>
    </row>
    <row r="215" customFormat="false" ht="15" hidden="false" customHeight="false" outlineLevel="0" collapsed="false">
      <c r="A215" s="6" t="s">
        <v>8059</v>
      </c>
      <c r="B215" s="6" t="s">
        <v>360</v>
      </c>
      <c r="C215" s="6" t="s">
        <v>95</v>
      </c>
      <c r="D215" s="6" t="s">
        <v>44</v>
      </c>
      <c r="E215" s="6" t="n">
        <f aca="false">ROUND(13174*1.05,2)</f>
        <v>13832.7</v>
      </c>
      <c r="F215" s="6" t="s">
        <v>45</v>
      </c>
      <c r="G215" s="6" t="s">
        <v>30</v>
      </c>
      <c r="H215" s="6" t="n">
        <f aca="true">ROUND(RAND()*4+6,1)</f>
        <v>7.1</v>
      </c>
      <c r="I215" s="6" t="s">
        <v>46</v>
      </c>
      <c r="J215" s="6" t="str">
        <f aca="false">ROUND(69*1,0)&amp;"%"</f>
        <v>69%</v>
      </c>
    </row>
    <row r="216" customFormat="false" ht="15" hidden="false" customHeight="false" outlineLevel="0" collapsed="false">
      <c r="A216" s="5" t="s">
        <v>8060</v>
      </c>
      <c r="B216" s="5" t="s">
        <v>362</v>
      </c>
      <c r="C216" s="5" t="s">
        <v>95</v>
      </c>
      <c r="D216" s="5" t="s">
        <v>16</v>
      </c>
      <c r="E216" s="5" t="n">
        <f aca="false">ROUND(10143*1.05,2)</f>
        <v>10650.15</v>
      </c>
      <c r="F216" s="5" t="s">
        <v>49</v>
      </c>
      <c r="G216" s="5" t="s">
        <v>18</v>
      </c>
      <c r="H216" s="5" t="n">
        <f aca="true">ROUND(RAND()*4+6,1)</f>
        <v>8.8</v>
      </c>
      <c r="I216" s="5" t="s">
        <v>19</v>
      </c>
      <c r="J216" s="5" t="str">
        <f aca="false">ROUND(78*1,0)&amp;"%"</f>
        <v>78%</v>
      </c>
    </row>
    <row r="217" customFormat="false" ht="15" hidden="false" customHeight="false" outlineLevel="0" collapsed="false">
      <c r="A217" s="6" t="s">
        <v>8061</v>
      </c>
      <c r="B217" s="6" t="s">
        <v>364</v>
      </c>
      <c r="C217" s="6" t="s">
        <v>95</v>
      </c>
      <c r="D217" s="6" t="s">
        <v>22</v>
      </c>
      <c r="E217" s="6" t="n">
        <f aca="false">ROUND(7363*1.05,2)</f>
        <v>7731.15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ROUND(89*1,0)&amp;"%"</f>
        <v>89%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8062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8063</v>
      </c>
      <c r="B222" s="5" t="s">
        <v>368</v>
      </c>
      <c r="C222" s="5" t="s">
        <v>114</v>
      </c>
      <c r="D222" s="5" t="s">
        <v>16</v>
      </c>
      <c r="E222" s="5" t="n">
        <f aca="false">ROUND(12770*1.05,2)</f>
        <v>13408.5</v>
      </c>
      <c r="F222" s="5" t="s">
        <v>17</v>
      </c>
      <c r="G222" s="5" t="s">
        <v>18</v>
      </c>
      <c r="H222" s="5" t="n">
        <f aca="true">ROUND(RAND()*4+6,1)</f>
        <v>9.8</v>
      </c>
      <c r="I222" s="5" t="s">
        <v>19</v>
      </c>
      <c r="J222" s="5" t="str">
        <f aca="false">ROUND(76*1,0)&amp;"%"</f>
        <v>76%</v>
      </c>
    </row>
    <row r="223" customFormat="false" ht="15" hidden="false" customHeight="false" outlineLevel="0" collapsed="false">
      <c r="A223" s="6" t="s">
        <v>8064</v>
      </c>
      <c r="B223" s="6" t="s">
        <v>370</v>
      </c>
      <c r="C223" s="6" t="s">
        <v>114</v>
      </c>
      <c r="D223" s="6" t="s">
        <v>22</v>
      </c>
      <c r="E223" s="6" t="n">
        <f aca="false">ROUND(16517*1.05,2)</f>
        <v>17342.85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ROUND(83*1,0)&amp;"%"</f>
        <v>83%</v>
      </c>
    </row>
    <row r="224" customFormat="false" ht="15" hidden="false" customHeight="false" outlineLevel="0" collapsed="false">
      <c r="A224" s="5" t="s">
        <v>8065</v>
      </c>
      <c r="B224" s="5" t="s">
        <v>372</v>
      </c>
      <c r="C224" s="5" t="s">
        <v>114</v>
      </c>
      <c r="D224" s="5" t="s">
        <v>28</v>
      </c>
      <c r="E224" s="5" t="n">
        <f aca="false">ROUND(13977*1.05,2)</f>
        <v>14675.85</v>
      </c>
      <c r="F224" s="5" t="s">
        <v>29</v>
      </c>
      <c r="G224" s="5" t="s">
        <v>30</v>
      </c>
      <c r="H224" s="5" t="n">
        <f aca="true">ROUND(RAND()*4+6,1)</f>
        <v>6.8</v>
      </c>
      <c r="I224" s="5" t="s">
        <v>31</v>
      </c>
      <c r="J224" s="5" t="str">
        <f aca="false">ROUND(66*1,0)&amp;"%"</f>
        <v>66%</v>
      </c>
    </row>
    <row r="225" customFormat="false" ht="15" hidden="false" customHeight="false" outlineLevel="0" collapsed="false">
      <c r="A225" s="6" t="s">
        <v>8066</v>
      </c>
      <c r="B225" s="6" t="s">
        <v>374</v>
      </c>
      <c r="C225" s="6" t="s">
        <v>114</v>
      </c>
      <c r="D225" s="6" t="s">
        <v>34</v>
      </c>
      <c r="E225" s="6" t="n">
        <f aca="false">ROUND(15679*1.05,2)</f>
        <v>16462.95</v>
      </c>
      <c r="F225" s="6" t="s">
        <v>35</v>
      </c>
      <c r="G225" s="6" t="s">
        <v>18</v>
      </c>
      <c r="H225" s="6" t="n">
        <f aca="true">ROUND(RAND()*4+6,1)</f>
        <v>7.8</v>
      </c>
      <c r="I225" s="6" t="s">
        <v>36</v>
      </c>
      <c r="J225" s="6" t="str">
        <f aca="false">ROUND(93*1,0)&amp;"%"</f>
        <v>93%</v>
      </c>
    </row>
    <row r="226" customFormat="false" ht="15" hidden="false" customHeight="false" outlineLevel="0" collapsed="false">
      <c r="A226" s="5" t="s">
        <v>8067</v>
      </c>
      <c r="B226" s="5" t="s">
        <v>376</v>
      </c>
      <c r="C226" s="5" t="s">
        <v>114</v>
      </c>
      <c r="D226" s="5" t="s">
        <v>39</v>
      </c>
      <c r="E226" s="5" t="n">
        <f aca="false">ROUND(11566*1.05,2)</f>
        <v>12144.3</v>
      </c>
      <c r="F226" s="5" t="s">
        <v>40</v>
      </c>
      <c r="G226" s="5" t="s">
        <v>24</v>
      </c>
      <c r="H226" s="5" t="n">
        <f aca="true">ROUND(RAND()*4+6,1)</f>
        <v>9.6</v>
      </c>
      <c r="I226" s="5" t="s">
        <v>41</v>
      </c>
      <c r="J226" s="5" t="str">
        <f aca="false">ROUND(78*1,0)&amp;"%"</f>
        <v>78%</v>
      </c>
    </row>
    <row r="227" customFormat="false" ht="15" hidden="false" customHeight="false" outlineLevel="0" collapsed="false">
      <c r="A227" s="6" t="s">
        <v>8068</v>
      </c>
      <c r="B227" s="6" t="s">
        <v>378</v>
      </c>
      <c r="C227" s="6" t="s">
        <v>114</v>
      </c>
      <c r="D227" s="6" t="s">
        <v>44</v>
      </c>
      <c r="E227" s="6" t="n">
        <f aca="false">ROUND(4179*1.05,2)</f>
        <v>4387.95</v>
      </c>
      <c r="F227" s="6" t="s">
        <v>45</v>
      </c>
      <c r="G227" s="6" t="s">
        <v>30</v>
      </c>
      <c r="H227" s="6" t="n">
        <f aca="true">ROUND(RAND()*4+6,1)</f>
        <v>6.3</v>
      </c>
      <c r="I227" s="6" t="s">
        <v>46</v>
      </c>
      <c r="J227" s="6" t="str">
        <f aca="false">ROUND(81*1,0)&amp;"%"</f>
        <v>81%</v>
      </c>
    </row>
    <row r="228" customFormat="false" ht="15" hidden="false" customHeight="false" outlineLevel="0" collapsed="false">
      <c r="A228" s="5" t="s">
        <v>8069</v>
      </c>
      <c r="B228" s="5" t="s">
        <v>380</v>
      </c>
      <c r="C228" s="5" t="s">
        <v>114</v>
      </c>
      <c r="D228" s="5" t="s">
        <v>16</v>
      </c>
      <c r="E228" s="5" t="n">
        <f aca="false">ROUND(12904*1.05,2)</f>
        <v>13549.2</v>
      </c>
      <c r="F228" s="5" t="s">
        <v>49</v>
      </c>
      <c r="G228" s="5" t="s">
        <v>18</v>
      </c>
      <c r="H228" s="5" t="n">
        <f aca="true">ROUND(RAND()*4+6,1)</f>
        <v>9.5</v>
      </c>
      <c r="I228" s="5" t="s">
        <v>19</v>
      </c>
      <c r="J228" s="5" t="str">
        <f aca="false">ROUND(60*1,0)&amp;"%"</f>
        <v>60%</v>
      </c>
    </row>
    <row r="229" customFormat="false" ht="15" hidden="false" customHeight="false" outlineLevel="0" collapsed="false">
      <c r="A229" s="6" t="s">
        <v>8070</v>
      </c>
      <c r="B229" s="6" t="s">
        <v>382</v>
      </c>
      <c r="C229" s="6" t="s">
        <v>114</v>
      </c>
      <c r="D229" s="6" t="s">
        <v>22</v>
      </c>
      <c r="E229" s="6" t="n">
        <f aca="false">ROUND(17633*1.05,2)</f>
        <v>18514.65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ROUND(65*1,0)&amp;"%"</f>
        <v>65%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8071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8072</v>
      </c>
      <c r="B234" s="5" t="s">
        <v>386</v>
      </c>
      <c r="C234" s="5" t="s">
        <v>133</v>
      </c>
      <c r="D234" s="5" t="s">
        <v>16</v>
      </c>
      <c r="E234" s="5" t="n">
        <f aca="false">ROUND(16920*1.05,2)</f>
        <v>17766</v>
      </c>
      <c r="F234" s="5" t="s">
        <v>17</v>
      </c>
      <c r="G234" s="5" t="s">
        <v>18</v>
      </c>
      <c r="H234" s="5" t="n">
        <f aca="true">ROUND(RAND()*4+6,1)</f>
        <v>7.6</v>
      </c>
      <c r="I234" s="5" t="s">
        <v>19</v>
      </c>
      <c r="J234" s="5" t="str">
        <f aca="false">ROUND(88*1,0)&amp;"%"</f>
        <v>88%</v>
      </c>
    </row>
    <row r="235" customFormat="false" ht="15" hidden="false" customHeight="false" outlineLevel="0" collapsed="false">
      <c r="A235" s="6" t="s">
        <v>8073</v>
      </c>
      <c r="B235" s="6" t="s">
        <v>388</v>
      </c>
      <c r="C235" s="6" t="s">
        <v>133</v>
      </c>
      <c r="D235" s="6" t="s">
        <v>22</v>
      </c>
      <c r="E235" s="6" t="n">
        <f aca="false">ROUND(13216*1.05,2)</f>
        <v>13876.8</v>
      </c>
      <c r="F235" s="6" t="s">
        <v>23</v>
      </c>
      <c r="G235" s="6" t="s">
        <v>24</v>
      </c>
      <c r="H235" s="6" t="n">
        <f aca="true">ROUND(RAND()*4+6,1)</f>
        <v>6.9</v>
      </c>
      <c r="I235" s="6" t="s">
        <v>25</v>
      </c>
      <c r="J235" s="6" t="str">
        <f aca="false">ROUND(93*1,0)&amp;"%"</f>
        <v>93%</v>
      </c>
    </row>
    <row r="236" customFormat="false" ht="15" hidden="false" customHeight="false" outlineLevel="0" collapsed="false">
      <c r="A236" s="5" t="s">
        <v>8074</v>
      </c>
      <c r="B236" s="5" t="s">
        <v>390</v>
      </c>
      <c r="C236" s="5" t="s">
        <v>133</v>
      </c>
      <c r="D236" s="5" t="s">
        <v>28</v>
      </c>
      <c r="E236" s="5" t="n">
        <f aca="false">ROUND(5948*1.05,2)</f>
        <v>6245.4</v>
      </c>
      <c r="F236" s="5" t="s">
        <v>29</v>
      </c>
      <c r="G236" s="5" t="s">
        <v>30</v>
      </c>
      <c r="H236" s="5" t="n">
        <f aca="true">ROUND(RAND()*4+6,1)</f>
        <v>7.3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8075</v>
      </c>
      <c r="B237" s="6" t="s">
        <v>392</v>
      </c>
      <c r="C237" s="6" t="s">
        <v>133</v>
      </c>
      <c r="D237" s="6" t="s">
        <v>34</v>
      </c>
      <c r="E237" s="6" t="n">
        <f aca="false">ROUND(10596*1.05,2)</f>
        <v>11125.8</v>
      </c>
      <c r="F237" s="6" t="s">
        <v>35</v>
      </c>
      <c r="G237" s="6" t="s">
        <v>18</v>
      </c>
      <c r="H237" s="6" t="n">
        <f aca="true">ROUND(RAND()*4+6,1)</f>
        <v>7.3</v>
      </c>
      <c r="I237" s="6" t="s">
        <v>36</v>
      </c>
      <c r="J237" s="6" t="str">
        <f aca="false">ROUND(90*1,0)&amp;"%"</f>
        <v>90%</v>
      </c>
    </row>
    <row r="238" customFormat="false" ht="15" hidden="false" customHeight="false" outlineLevel="0" collapsed="false">
      <c r="A238" s="5" t="s">
        <v>8076</v>
      </c>
      <c r="B238" s="5" t="s">
        <v>394</v>
      </c>
      <c r="C238" s="5" t="s">
        <v>133</v>
      </c>
      <c r="D238" s="5" t="s">
        <v>39</v>
      </c>
      <c r="E238" s="5" t="n">
        <f aca="false">ROUND(17650*1.05,2)</f>
        <v>18532.5</v>
      </c>
      <c r="F238" s="5" t="s">
        <v>40</v>
      </c>
      <c r="G238" s="5" t="s">
        <v>24</v>
      </c>
      <c r="H238" s="5" t="n">
        <f aca="true">ROUND(RAND()*4+6,1)</f>
        <v>7.2</v>
      </c>
      <c r="I238" s="5" t="s">
        <v>41</v>
      </c>
      <c r="J238" s="5" t="str">
        <f aca="false">ROUND(71*1,0)&amp;"%"</f>
        <v>71%</v>
      </c>
    </row>
    <row r="239" customFormat="false" ht="15" hidden="false" customHeight="false" outlineLevel="0" collapsed="false">
      <c r="A239" s="6" t="s">
        <v>8077</v>
      </c>
      <c r="B239" s="6" t="s">
        <v>396</v>
      </c>
      <c r="C239" s="6" t="s">
        <v>133</v>
      </c>
      <c r="D239" s="6" t="s">
        <v>44</v>
      </c>
      <c r="E239" s="6" t="n">
        <f aca="false">ROUND(5735*1.05,2)</f>
        <v>6021.75</v>
      </c>
      <c r="F239" s="6" t="s">
        <v>45</v>
      </c>
      <c r="G239" s="6" t="s">
        <v>30</v>
      </c>
      <c r="H239" s="6" t="n">
        <f aca="true">ROUND(RAND()*4+6,1)</f>
        <v>6</v>
      </c>
      <c r="I239" s="6" t="s">
        <v>46</v>
      </c>
      <c r="J239" s="6" t="str">
        <f aca="false">ROUND(66*1,0)&amp;"%"</f>
        <v>66%</v>
      </c>
    </row>
    <row r="240" customFormat="false" ht="15" hidden="false" customHeight="false" outlineLevel="0" collapsed="false">
      <c r="A240" s="5" t="s">
        <v>8078</v>
      </c>
      <c r="B240" s="5" t="s">
        <v>398</v>
      </c>
      <c r="C240" s="5" t="s">
        <v>133</v>
      </c>
      <c r="D240" s="5" t="s">
        <v>16</v>
      </c>
      <c r="E240" s="5" t="n">
        <f aca="false">ROUND(17197*1.05,2)</f>
        <v>18056.85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ROUND(64*1,0)&amp;"%"</f>
        <v>64%</v>
      </c>
    </row>
    <row r="241" customFormat="false" ht="15" hidden="false" customHeight="false" outlineLevel="0" collapsed="false">
      <c r="A241" s="6" t="s">
        <v>8079</v>
      </c>
      <c r="B241" s="6" t="s">
        <v>400</v>
      </c>
      <c r="C241" s="6" t="s">
        <v>133</v>
      </c>
      <c r="D241" s="6" t="s">
        <v>22</v>
      </c>
      <c r="E241" s="6" t="n">
        <f aca="false">ROUND(7633*1.05,2)</f>
        <v>8014.65</v>
      </c>
      <c r="F241" s="6" t="s">
        <v>52</v>
      </c>
      <c r="G241" s="6" t="s">
        <v>24</v>
      </c>
      <c r="H241" s="6" t="n">
        <f aca="true">ROUND(RAND()*4+6,1)</f>
        <v>9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8080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8081</v>
      </c>
      <c r="B246" s="5" t="s">
        <v>404</v>
      </c>
      <c r="C246" s="5" t="s">
        <v>152</v>
      </c>
      <c r="D246" s="5" t="s">
        <v>16</v>
      </c>
      <c r="E246" s="5" t="n">
        <f aca="false">ROUND(6919*1.05,2)</f>
        <v>7264.95</v>
      </c>
      <c r="F246" s="5" t="s">
        <v>17</v>
      </c>
      <c r="G246" s="5" t="s">
        <v>18</v>
      </c>
      <c r="H246" s="5" t="n">
        <f aca="true">ROUND(RAND()*4+6,1)</f>
        <v>7.9</v>
      </c>
      <c r="I246" s="5" t="s">
        <v>19</v>
      </c>
      <c r="J246" s="5" t="str">
        <f aca="false">ROUND(62*1,0)&amp;"%"</f>
        <v>62%</v>
      </c>
    </row>
    <row r="247" customFormat="false" ht="15" hidden="false" customHeight="false" outlineLevel="0" collapsed="false">
      <c r="A247" s="6" t="s">
        <v>8082</v>
      </c>
      <c r="B247" s="6" t="s">
        <v>406</v>
      </c>
      <c r="C247" s="6" t="s">
        <v>152</v>
      </c>
      <c r="D247" s="6" t="s">
        <v>22</v>
      </c>
      <c r="E247" s="6" t="n">
        <f aca="false">ROUND(17256*1.05,2)</f>
        <v>18118.8</v>
      </c>
      <c r="F247" s="6" t="s">
        <v>23</v>
      </c>
      <c r="G247" s="6" t="s">
        <v>24</v>
      </c>
      <c r="H247" s="6" t="n">
        <f aca="true">ROUND(RAND()*4+6,1)</f>
        <v>9.5</v>
      </c>
      <c r="I247" s="6" t="s">
        <v>25</v>
      </c>
      <c r="J247" s="6" t="str">
        <f aca="false">ROUND(90*1,0)&amp;"%"</f>
        <v>90%</v>
      </c>
    </row>
    <row r="248" customFormat="false" ht="15" hidden="false" customHeight="false" outlineLevel="0" collapsed="false">
      <c r="A248" s="5" t="s">
        <v>8083</v>
      </c>
      <c r="B248" s="5" t="s">
        <v>408</v>
      </c>
      <c r="C248" s="5" t="s">
        <v>152</v>
      </c>
      <c r="D248" s="5" t="s">
        <v>28</v>
      </c>
      <c r="E248" s="5" t="n">
        <f aca="false">ROUND(17210*1.05,2)</f>
        <v>18070.5</v>
      </c>
      <c r="F248" s="5" t="s">
        <v>29</v>
      </c>
      <c r="G248" s="5" t="s">
        <v>30</v>
      </c>
      <c r="H248" s="5" t="n">
        <f aca="true">ROUND(RAND()*4+6,1)</f>
        <v>7</v>
      </c>
      <c r="I248" s="5" t="s">
        <v>31</v>
      </c>
      <c r="J248" s="5" t="str">
        <f aca="false">ROUND(75*1,0)&amp;"%"</f>
        <v>75%</v>
      </c>
    </row>
    <row r="249" customFormat="false" ht="15" hidden="false" customHeight="false" outlineLevel="0" collapsed="false">
      <c r="A249" s="6" t="s">
        <v>8084</v>
      </c>
      <c r="B249" s="6" t="s">
        <v>410</v>
      </c>
      <c r="C249" s="6" t="s">
        <v>152</v>
      </c>
      <c r="D249" s="6" t="s">
        <v>34</v>
      </c>
      <c r="E249" s="6" t="n">
        <f aca="false">ROUND(12283*1.05,2)</f>
        <v>12897.15</v>
      </c>
      <c r="F249" s="6" t="s">
        <v>35</v>
      </c>
      <c r="G249" s="6" t="s">
        <v>18</v>
      </c>
      <c r="H249" s="6" t="n">
        <f aca="true">ROUND(RAND()*4+6,1)</f>
        <v>8.9</v>
      </c>
      <c r="I249" s="6" t="s">
        <v>36</v>
      </c>
      <c r="J249" s="6" t="str">
        <f aca="false">ROUND(71*1,0)&amp;"%"</f>
        <v>71%</v>
      </c>
    </row>
    <row r="250" customFormat="false" ht="15" hidden="false" customHeight="false" outlineLevel="0" collapsed="false">
      <c r="A250" s="5" t="s">
        <v>8085</v>
      </c>
      <c r="B250" s="5" t="s">
        <v>412</v>
      </c>
      <c r="C250" s="5" t="s">
        <v>152</v>
      </c>
      <c r="D250" s="5" t="s">
        <v>39</v>
      </c>
      <c r="E250" s="5" t="n">
        <f aca="false">ROUND(6980*1.05,2)</f>
        <v>7329</v>
      </c>
      <c r="F250" s="5" t="s">
        <v>40</v>
      </c>
      <c r="G250" s="5" t="s">
        <v>24</v>
      </c>
      <c r="H250" s="5" t="n">
        <f aca="true">ROUND(RAND()*4+6,1)</f>
        <v>6.7</v>
      </c>
      <c r="I250" s="5" t="s">
        <v>41</v>
      </c>
      <c r="J250" s="5" t="str">
        <f aca="false">ROUND(72*1,0)&amp;"%"</f>
        <v>72%</v>
      </c>
    </row>
    <row r="251" customFormat="false" ht="15" hidden="false" customHeight="false" outlineLevel="0" collapsed="false">
      <c r="A251" s="6" t="s">
        <v>8086</v>
      </c>
      <c r="B251" s="6" t="s">
        <v>414</v>
      </c>
      <c r="C251" s="6" t="s">
        <v>152</v>
      </c>
      <c r="D251" s="6" t="s">
        <v>44</v>
      </c>
      <c r="E251" s="6" t="n">
        <f aca="false">ROUND(12197*1.05,2)</f>
        <v>12806.85</v>
      </c>
      <c r="F251" s="6" t="s">
        <v>45</v>
      </c>
      <c r="G251" s="6" t="s">
        <v>30</v>
      </c>
      <c r="H251" s="6" t="n">
        <f aca="true">ROUND(RAND()*4+6,1)</f>
        <v>9.6</v>
      </c>
      <c r="I251" s="6" t="s">
        <v>46</v>
      </c>
      <c r="J251" s="6" t="str">
        <f aca="false">ROUND(85*1,0)&amp;"%"</f>
        <v>85%</v>
      </c>
    </row>
    <row r="252" customFormat="false" ht="15" hidden="false" customHeight="false" outlineLevel="0" collapsed="false">
      <c r="A252" s="5" t="s">
        <v>8087</v>
      </c>
      <c r="B252" s="5" t="s">
        <v>416</v>
      </c>
      <c r="C252" s="5" t="s">
        <v>152</v>
      </c>
      <c r="D252" s="5" t="s">
        <v>16</v>
      </c>
      <c r="E252" s="5" t="n">
        <f aca="false">ROUND(13573*1.05,2)</f>
        <v>14251.65</v>
      </c>
      <c r="F252" s="5" t="s">
        <v>49</v>
      </c>
      <c r="G252" s="5" t="s">
        <v>18</v>
      </c>
      <c r="H252" s="5" t="n">
        <f aca="true">ROUND(RAND()*4+6,1)</f>
        <v>9.2</v>
      </c>
      <c r="I252" s="5" t="s">
        <v>19</v>
      </c>
      <c r="J252" s="5" t="str">
        <f aca="false">ROUND(100*1,0)&amp;"%"</f>
        <v>100%</v>
      </c>
    </row>
    <row r="253" customFormat="false" ht="15" hidden="false" customHeight="false" outlineLevel="0" collapsed="false">
      <c r="A253" s="6" t="s">
        <v>8088</v>
      </c>
      <c r="B253" s="6" t="s">
        <v>418</v>
      </c>
      <c r="C253" s="6" t="s">
        <v>152</v>
      </c>
      <c r="D253" s="6" t="s">
        <v>22</v>
      </c>
      <c r="E253" s="6" t="n">
        <f aca="false">ROUND(11576*1.05,2)</f>
        <v>12154.8</v>
      </c>
      <c r="F253" s="6" t="s">
        <v>52</v>
      </c>
      <c r="G253" s="6" t="s">
        <v>24</v>
      </c>
      <c r="H253" s="6" t="n">
        <f aca="true">ROUND(RAND()*4+6,1)</f>
        <v>9.2</v>
      </c>
      <c r="I253" s="6" t="s">
        <v>25</v>
      </c>
      <c r="J253" s="6" t="str">
        <f aca="false">ROUND(90*1,0)&amp;"%"</f>
        <v>90%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8089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8090</v>
      </c>
      <c r="B258" s="5" t="s">
        <v>422</v>
      </c>
      <c r="C258" s="5" t="s">
        <v>15</v>
      </c>
      <c r="D258" s="5" t="s">
        <v>16</v>
      </c>
      <c r="E258" s="5" t="n">
        <f aca="false">ROUND(5372*1.05,2)</f>
        <v>5640.6</v>
      </c>
      <c r="F258" s="5" t="s">
        <v>17</v>
      </c>
      <c r="G258" s="5" t="s">
        <v>18</v>
      </c>
      <c r="H258" s="5" t="n">
        <f aca="true">ROUND(RAND()*4+6,1)</f>
        <v>8.2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8091</v>
      </c>
      <c r="B259" s="6" t="s">
        <v>424</v>
      </c>
      <c r="C259" s="6" t="s">
        <v>15</v>
      </c>
      <c r="D259" s="6" t="s">
        <v>22</v>
      </c>
      <c r="E259" s="6" t="n">
        <f aca="false">ROUND(13412*1.05,2)</f>
        <v>14082.6</v>
      </c>
      <c r="F259" s="6" t="s">
        <v>23</v>
      </c>
      <c r="G259" s="6" t="s">
        <v>24</v>
      </c>
      <c r="H259" s="6" t="n">
        <f aca="true">ROUND(RAND()*4+6,1)</f>
        <v>7.5</v>
      </c>
      <c r="I259" s="6" t="s">
        <v>25</v>
      </c>
      <c r="J259" s="6" t="str">
        <f aca="false">ROUND(85*1,0)&amp;"%"</f>
        <v>85%</v>
      </c>
    </row>
    <row r="260" customFormat="false" ht="15" hidden="false" customHeight="false" outlineLevel="0" collapsed="false">
      <c r="A260" s="5" t="s">
        <v>8092</v>
      </c>
      <c r="B260" s="5" t="s">
        <v>426</v>
      </c>
      <c r="C260" s="5" t="s">
        <v>15</v>
      </c>
      <c r="D260" s="5" t="s">
        <v>28</v>
      </c>
      <c r="E260" s="5" t="n">
        <f aca="false">ROUND(14728*1.05,2)</f>
        <v>15464.4</v>
      </c>
      <c r="F260" s="5" t="s">
        <v>29</v>
      </c>
      <c r="G260" s="5" t="s">
        <v>30</v>
      </c>
      <c r="H260" s="5" t="n">
        <f aca="true">ROUND(RAND()*4+6,1)</f>
        <v>8.6</v>
      </c>
      <c r="I260" s="5" t="s">
        <v>31</v>
      </c>
      <c r="J260" s="5" t="str">
        <f aca="false">ROUND(67*1,0)&amp;"%"</f>
        <v>67%</v>
      </c>
    </row>
    <row r="261" customFormat="false" ht="15" hidden="false" customHeight="false" outlineLevel="0" collapsed="false">
      <c r="A261" s="6" t="s">
        <v>8093</v>
      </c>
      <c r="B261" s="6" t="s">
        <v>428</v>
      </c>
      <c r="C261" s="6" t="s">
        <v>15</v>
      </c>
      <c r="D261" s="6" t="s">
        <v>34</v>
      </c>
      <c r="E261" s="6" t="n">
        <f aca="false">ROUND(4348*1.05,2)</f>
        <v>4565.4</v>
      </c>
      <c r="F261" s="6" t="s">
        <v>35</v>
      </c>
      <c r="G261" s="6" t="s">
        <v>18</v>
      </c>
      <c r="H261" s="6" t="n">
        <f aca="true">ROUND(RAND()*4+6,1)</f>
        <v>7.8</v>
      </c>
      <c r="I261" s="6" t="s">
        <v>36</v>
      </c>
      <c r="J261" s="6" t="str">
        <f aca="false">ROUND(92*1,0)&amp;"%"</f>
        <v>92%</v>
      </c>
    </row>
    <row r="262" customFormat="false" ht="15" hidden="false" customHeight="false" outlineLevel="0" collapsed="false">
      <c r="A262" s="5" t="s">
        <v>8094</v>
      </c>
      <c r="B262" s="5" t="s">
        <v>430</v>
      </c>
      <c r="C262" s="5" t="s">
        <v>15</v>
      </c>
      <c r="D262" s="5" t="s">
        <v>39</v>
      </c>
      <c r="E262" s="5" t="n">
        <f aca="false">ROUND(12102*1.05,2)</f>
        <v>12707.1</v>
      </c>
      <c r="F262" s="5" t="s">
        <v>40</v>
      </c>
      <c r="G262" s="5" t="s">
        <v>24</v>
      </c>
      <c r="H262" s="5" t="n">
        <f aca="true">ROUND(RAND()*4+6,1)</f>
        <v>9.8</v>
      </c>
      <c r="I262" s="5" t="s">
        <v>41</v>
      </c>
      <c r="J262" s="5" t="str">
        <f aca="false">ROUND(75*1,0)&amp;"%"</f>
        <v>75%</v>
      </c>
    </row>
    <row r="263" customFormat="false" ht="15" hidden="false" customHeight="false" outlineLevel="0" collapsed="false">
      <c r="A263" s="6" t="s">
        <v>8095</v>
      </c>
      <c r="B263" s="6" t="s">
        <v>432</v>
      </c>
      <c r="C263" s="6" t="s">
        <v>15</v>
      </c>
      <c r="D263" s="6" t="s">
        <v>44</v>
      </c>
      <c r="E263" s="6" t="n">
        <f aca="false">ROUND(10893*1.05,2)</f>
        <v>11437.65</v>
      </c>
      <c r="F263" s="6" t="s">
        <v>45</v>
      </c>
      <c r="G263" s="6" t="s">
        <v>30</v>
      </c>
      <c r="H263" s="6" t="n">
        <f aca="true">ROUND(RAND()*4+6,1)</f>
        <v>6.2</v>
      </c>
      <c r="I263" s="6" t="s">
        <v>46</v>
      </c>
      <c r="J263" s="6" t="str">
        <f aca="false">ROUND(73*1,0)&amp;"%"</f>
        <v>73%</v>
      </c>
    </row>
    <row r="264" customFormat="false" ht="15" hidden="false" customHeight="false" outlineLevel="0" collapsed="false">
      <c r="A264" s="5" t="s">
        <v>8096</v>
      </c>
      <c r="B264" s="5" t="s">
        <v>434</v>
      </c>
      <c r="C264" s="5" t="s">
        <v>15</v>
      </c>
      <c r="D264" s="5" t="s">
        <v>16</v>
      </c>
      <c r="E264" s="5" t="n">
        <f aca="false">ROUND(10920*1.05,2)</f>
        <v>11466</v>
      </c>
      <c r="F264" s="5" t="s">
        <v>49</v>
      </c>
      <c r="G264" s="5" t="s">
        <v>18</v>
      </c>
      <c r="H264" s="5" t="n">
        <f aca="true">ROUND(RAND()*4+6,1)</f>
        <v>8.9</v>
      </c>
      <c r="I264" s="5" t="s">
        <v>19</v>
      </c>
      <c r="J264" s="5" t="str">
        <f aca="false">ROUND(98*1,0)&amp;"%"</f>
        <v>98%</v>
      </c>
    </row>
    <row r="265" customFormat="false" ht="15" hidden="false" customHeight="false" outlineLevel="0" collapsed="false">
      <c r="A265" s="6" t="s">
        <v>8097</v>
      </c>
      <c r="B265" s="6" t="s">
        <v>436</v>
      </c>
      <c r="C265" s="6" t="s">
        <v>15</v>
      </c>
      <c r="D265" s="6" t="s">
        <v>22</v>
      </c>
      <c r="E265" s="6" t="n">
        <f aca="false">ROUND(7165*1.05,2)</f>
        <v>7523.25</v>
      </c>
      <c r="F265" s="6" t="s">
        <v>52</v>
      </c>
      <c r="G265" s="6" t="s">
        <v>24</v>
      </c>
      <c r="H265" s="6" t="n">
        <f aca="true">ROUND(RAND()*4+6,1)</f>
        <v>8.8</v>
      </c>
      <c r="I265" s="6" t="s">
        <v>25</v>
      </c>
      <c r="J265" s="6" t="str">
        <f aca="false">ROUND(95*1,0)&amp;"%"</f>
        <v>95%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8098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8099</v>
      </c>
      <c r="B270" s="5" t="s">
        <v>440</v>
      </c>
      <c r="C270" s="5" t="s">
        <v>57</v>
      </c>
      <c r="D270" s="5" t="s">
        <v>16</v>
      </c>
      <c r="E270" s="5" t="n">
        <f aca="false">ROUND(5900*1.05,2)</f>
        <v>6195</v>
      </c>
      <c r="F270" s="5" t="s">
        <v>17</v>
      </c>
      <c r="G270" s="5" t="s">
        <v>18</v>
      </c>
      <c r="H270" s="5" t="n">
        <f aca="true">ROUND(RAND()*4+6,1)</f>
        <v>9.6</v>
      </c>
      <c r="I270" s="5" t="s">
        <v>19</v>
      </c>
      <c r="J270" s="5" t="str">
        <f aca="false">ROUND(64*1,0)&amp;"%"</f>
        <v>64%</v>
      </c>
    </row>
    <row r="271" customFormat="false" ht="15" hidden="false" customHeight="false" outlineLevel="0" collapsed="false">
      <c r="A271" s="6" t="s">
        <v>8100</v>
      </c>
      <c r="B271" s="6" t="s">
        <v>442</v>
      </c>
      <c r="C271" s="6" t="s">
        <v>57</v>
      </c>
      <c r="D271" s="6" t="s">
        <v>22</v>
      </c>
      <c r="E271" s="6" t="n">
        <f aca="false">ROUND(5167*1.05,2)</f>
        <v>5425.35</v>
      </c>
      <c r="F271" s="6" t="s">
        <v>23</v>
      </c>
      <c r="G271" s="6" t="s">
        <v>24</v>
      </c>
      <c r="H271" s="6" t="n">
        <f aca="true">ROUND(RAND()*4+6,1)</f>
        <v>7.9</v>
      </c>
      <c r="I271" s="6" t="s">
        <v>25</v>
      </c>
      <c r="J271" s="6" t="str">
        <f aca="false">ROUND(68*1,0)&amp;"%"</f>
        <v>68%</v>
      </c>
    </row>
    <row r="272" customFormat="false" ht="15" hidden="false" customHeight="false" outlineLevel="0" collapsed="false">
      <c r="A272" s="5" t="s">
        <v>8101</v>
      </c>
      <c r="B272" s="5" t="s">
        <v>444</v>
      </c>
      <c r="C272" s="5" t="s">
        <v>57</v>
      </c>
      <c r="D272" s="5" t="s">
        <v>28</v>
      </c>
      <c r="E272" s="5" t="n">
        <f aca="false">ROUND(15036*1.05,2)</f>
        <v>15787.8</v>
      </c>
      <c r="F272" s="5" t="s">
        <v>29</v>
      </c>
      <c r="G272" s="5" t="s">
        <v>30</v>
      </c>
      <c r="H272" s="5" t="n">
        <f aca="true">ROUND(RAND()*4+6,1)</f>
        <v>8.9</v>
      </c>
      <c r="I272" s="5" t="s">
        <v>31</v>
      </c>
      <c r="J272" s="5" t="str">
        <f aca="false">ROUND(86*1,0)&amp;"%"</f>
        <v>86%</v>
      </c>
    </row>
    <row r="273" customFormat="false" ht="15" hidden="false" customHeight="false" outlineLevel="0" collapsed="false">
      <c r="A273" s="6" t="s">
        <v>8102</v>
      </c>
      <c r="B273" s="6" t="s">
        <v>446</v>
      </c>
      <c r="C273" s="6" t="s">
        <v>57</v>
      </c>
      <c r="D273" s="6" t="s">
        <v>34</v>
      </c>
      <c r="E273" s="6" t="n">
        <f aca="false">ROUND(10985*1.05,2)</f>
        <v>11534.25</v>
      </c>
      <c r="F273" s="6" t="s">
        <v>35</v>
      </c>
      <c r="G273" s="6" t="s">
        <v>18</v>
      </c>
      <c r="H273" s="6" t="n">
        <f aca="true">ROUND(RAND()*4+6,1)</f>
        <v>9.2</v>
      </c>
      <c r="I273" s="6" t="s">
        <v>36</v>
      </c>
      <c r="J273" s="6" t="str">
        <f aca="false">ROUND(94*1,0)&amp;"%"</f>
        <v>94%</v>
      </c>
    </row>
    <row r="274" customFormat="false" ht="15" hidden="false" customHeight="false" outlineLevel="0" collapsed="false">
      <c r="A274" s="5" t="s">
        <v>8103</v>
      </c>
      <c r="B274" s="5" t="s">
        <v>448</v>
      </c>
      <c r="C274" s="5" t="s">
        <v>57</v>
      </c>
      <c r="D274" s="5" t="s">
        <v>39</v>
      </c>
      <c r="E274" s="5" t="n">
        <f aca="false">ROUND(13500*1.05,2)</f>
        <v>14175</v>
      </c>
      <c r="F274" s="5" t="s">
        <v>40</v>
      </c>
      <c r="G274" s="5" t="s">
        <v>24</v>
      </c>
      <c r="H274" s="5" t="n">
        <f aca="true">ROUND(RAND()*4+6,1)</f>
        <v>7.1</v>
      </c>
      <c r="I274" s="5" t="s">
        <v>41</v>
      </c>
      <c r="J274" s="5" t="str">
        <f aca="false">ROUND(62*1,0)&amp;"%"</f>
        <v>62%</v>
      </c>
    </row>
    <row r="275" customFormat="false" ht="15" hidden="false" customHeight="false" outlineLevel="0" collapsed="false">
      <c r="A275" s="6" t="s">
        <v>8104</v>
      </c>
      <c r="B275" s="6" t="s">
        <v>450</v>
      </c>
      <c r="C275" s="6" t="s">
        <v>57</v>
      </c>
      <c r="D275" s="6" t="s">
        <v>44</v>
      </c>
      <c r="E275" s="6" t="n">
        <f aca="false">ROUND(13663*1.05,2)</f>
        <v>14346.15</v>
      </c>
      <c r="F275" s="6" t="s">
        <v>45</v>
      </c>
      <c r="G275" s="6" t="s">
        <v>30</v>
      </c>
      <c r="H275" s="6" t="n">
        <f aca="true">ROUND(RAND()*4+6,1)</f>
        <v>7.6</v>
      </c>
      <c r="I275" s="6" t="s">
        <v>46</v>
      </c>
      <c r="J275" s="6" t="str">
        <f aca="false">ROUND(75*1,0)&amp;"%"</f>
        <v>75%</v>
      </c>
    </row>
    <row r="276" customFormat="false" ht="15" hidden="false" customHeight="false" outlineLevel="0" collapsed="false">
      <c r="A276" s="5" t="s">
        <v>8105</v>
      </c>
      <c r="B276" s="5" t="s">
        <v>452</v>
      </c>
      <c r="C276" s="5" t="s">
        <v>57</v>
      </c>
      <c r="D276" s="5" t="s">
        <v>16</v>
      </c>
      <c r="E276" s="5" t="n">
        <f aca="false">ROUND(5898*1.05,2)</f>
        <v>6192.9</v>
      </c>
      <c r="F276" s="5" t="s">
        <v>49</v>
      </c>
      <c r="G276" s="5" t="s">
        <v>18</v>
      </c>
      <c r="H276" s="5" t="n">
        <f aca="true">ROUND(RAND()*4+6,1)</f>
        <v>10</v>
      </c>
      <c r="I276" s="5" t="s">
        <v>19</v>
      </c>
      <c r="J276" s="5" t="str">
        <f aca="false">ROUND(90*1,0)&amp;"%"</f>
        <v>90%</v>
      </c>
    </row>
    <row r="277" customFormat="false" ht="15" hidden="false" customHeight="false" outlineLevel="0" collapsed="false">
      <c r="A277" s="6" t="s">
        <v>8106</v>
      </c>
      <c r="B277" s="6" t="s">
        <v>454</v>
      </c>
      <c r="C277" s="6" t="s">
        <v>57</v>
      </c>
      <c r="D277" s="6" t="s">
        <v>22</v>
      </c>
      <c r="E277" s="6" t="n">
        <f aca="false">ROUND(7156*1.05,2)</f>
        <v>7513.8</v>
      </c>
      <c r="F277" s="6" t="s">
        <v>52</v>
      </c>
      <c r="G277" s="6" t="s">
        <v>24</v>
      </c>
      <c r="H277" s="6" t="n">
        <f aca="true">ROUND(RAND()*4+6,1)</f>
        <v>9.4</v>
      </c>
      <c r="I277" s="6" t="s">
        <v>25</v>
      </c>
      <c r="J277" s="6" t="str">
        <f aca="false">ROUND(85*1,0)&amp;"%"</f>
        <v>85%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8107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8108</v>
      </c>
      <c r="B282" s="5" t="s">
        <v>458</v>
      </c>
      <c r="C282" s="5" t="s">
        <v>76</v>
      </c>
      <c r="D282" s="5" t="s">
        <v>16</v>
      </c>
      <c r="E282" s="5" t="n">
        <f aca="false">ROUND(11912*1.05,2)</f>
        <v>12507.6</v>
      </c>
      <c r="F282" s="5" t="s">
        <v>17</v>
      </c>
      <c r="G282" s="5" t="s">
        <v>18</v>
      </c>
      <c r="H282" s="5" t="n">
        <f aca="true">ROUND(RAND()*4+6,1)</f>
        <v>8.6</v>
      </c>
      <c r="I282" s="5" t="s">
        <v>19</v>
      </c>
      <c r="J282" s="5" t="str">
        <f aca="false">ROUND(92*1,0)&amp;"%"</f>
        <v>92%</v>
      </c>
    </row>
    <row r="283" customFormat="false" ht="15" hidden="false" customHeight="false" outlineLevel="0" collapsed="false">
      <c r="A283" s="6" t="s">
        <v>8109</v>
      </c>
      <c r="B283" s="6" t="s">
        <v>460</v>
      </c>
      <c r="C283" s="6" t="s">
        <v>76</v>
      </c>
      <c r="D283" s="6" t="s">
        <v>22</v>
      </c>
      <c r="E283" s="6" t="n">
        <f aca="false">ROUND(5848*1.05,2)</f>
        <v>6140.4</v>
      </c>
      <c r="F283" s="6" t="s">
        <v>23</v>
      </c>
      <c r="G283" s="6" t="s">
        <v>24</v>
      </c>
      <c r="H283" s="6" t="n">
        <f aca="true">ROUND(RAND()*4+6,1)</f>
        <v>8.2</v>
      </c>
      <c r="I283" s="6" t="s">
        <v>25</v>
      </c>
      <c r="J283" s="6" t="str">
        <f aca="false">ROUND(89*1,0)&amp;"%"</f>
        <v>89%</v>
      </c>
    </row>
    <row r="284" customFormat="false" ht="15" hidden="false" customHeight="false" outlineLevel="0" collapsed="false">
      <c r="A284" s="5" t="s">
        <v>8110</v>
      </c>
      <c r="B284" s="5" t="s">
        <v>462</v>
      </c>
      <c r="C284" s="5" t="s">
        <v>76</v>
      </c>
      <c r="D284" s="5" t="s">
        <v>28</v>
      </c>
      <c r="E284" s="5" t="n">
        <f aca="false">ROUND(6985*1.05,2)</f>
        <v>7334.25</v>
      </c>
      <c r="F284" s="5" t="s">
        <v>29</v>
      </c>
      <c r="G284" s="5" t="s">
        <v>30</v>
      </c>
      <c r="H284" s="5" t="n">
        <f aca="true">ROUND(RAND()*4+6,1)</f>
        <v>7.6</v>
      </c>
      <c r="I284" s="5" t="s">
        <v>31</v>
      </c>
      <c r="J284" s="5" t="str">
        <f aca="false">ROUND(75*1,0)&amp;"%"</f>
        <v>75%</v>
      </c>
    </row>
    <row r="285" customFormat="false" ht="15" hidden="false" customHeight="false" outlineLevel="0" collapsed="false">
      <c r="A285" s="6" t="s">
        <v>8111</v>
      </c>
      <c r="B285" s="6" t="s">
        <v>464</v>
      </c>
      <c r="C285" s="6" t="s">
        <v>76</v>
      </c>
      <c r="D285" s="6" t="s">
        <v>34</v>
      </c>
      <c r="E285" s="6" t="n">
        <f aca="false">ROUND(12883*1.05,2)</f>
        <v>13527.15</v>
      </c>
      <c r="F285" s="6" t="s">
        <v>35</v>
      </c>
      <c r="G285" s="6" t="s">
        <v>18</v>
      </c>
      <c r="H285" s="6" t="n">
        <f aca="true">ROUND(RAND()*4+6,1)</f>
        <v>8.7</v>
      </c>
      <c r="I285" s="6" t="s">
        <v>36</v>
      </c>
      <c r="J285" s="6" t="str">
        <f aca="false">ROUND(100*1,0)&amp;"%"</f>
        <v>100%</v>
      </c>
    </row>
    <row r="286" customFormat="false" ht="15" hidden="false" customHeight="false" outlineLevel="0" collapsed="false">
      <c r="A286" s="5" t="s">
        <v>8112</v>
      </c>
      <c r="B286" s="5" t="s">
        <v>466</v>
      </c>
      <c r="C286" s="5" t="s">
        <v>76</v>
      </c>
      <c r="D286" s="5" t="s">
        <v>39</v>
      </c>
      <c r="E286" s="5" t="n">
        <f aca="false">ROUND(12487*1.05,2)</f>
        <v>13111.35</v>
      </c>
      <c r="F286" s="5" t="s">
        <v>40</v>
      </c>
      <c r="G286" s="5" t="s">
        <v>24</v>
      </c>
      <c r="H286" s="5" t="n">
        <f aca="true">ROUND(RAND()*4+6,1)</f>
        <v>6</v>
      </c>
      <c r="I286" s="5" t="s">
        <v>41</v>
      </c>
      <c r="J286" s="5" t="str">
        <f aca="false">ROUND(65*1,0)&amp;"%"</f>
        <v>65%</v>
      </c>
    </row>
    <row r="287" customFormat="false" ht="15" hidden="false" customHeight="false" outlineLevel="0" collapsed="false">
      <c r="A287" s="6" t="s">
        <v>8113</v>
      </c>
      <c r="B287" s="6" t="s">
        <v>468</v>
      </c>
      <c r="C287" s="6" t="s">
        <v>76</v>
      </c>
      <c r="D287" s="6" t="s">
        <v>44</v>
      </c>
      <c r="E287" s="6" t="n">
        <f aca="false">ROUND(14531*1.05,2)</f>
        <v>15257.55</v>
      </c>
      <c r="F287" s="6" t="s">
        <v>45</v>
      </c>
      <c r="G287" s="6" t="s">
        <v>30</v>
      </c>
      <c r="H287" s="6" t="n">
        <f aca="true">ROUND(RAND()*4+6,1)</f>
        <v>9.7</v>
      </c>
      <c r="I287" s="6" t="s">
        <v>46</v>
      </c>
      <c r="J287" s="6" t="str">
        <f aca="false">ROUND(65*1,0)&amp;"%"</f>
        <v>65%</v>
      </c>
    </row>
    <row r="288" customFormat="false" ht="15" hidden="false" customHeight="false" outlineLevel="0" collapsed="false">
      <c r="A288" s="5" t="s">
        <v>8114</v>
      </c>
      <c r="B288" s="5" t="s">
        <v>470</v>
      </c>
      <c r="C288" s="5" t="s">
        <v>76</v>
      </c>
      <c r="D288" s="5" t="s">
        <v>16</v>
      </c>
      <c r="E288" s="5" t="n">
        <f aca="false">ROUND(10975*1.05,2)</f>
        <v>11523.75</v>
      </c>
      <c r="F288" s="5" t="s">
        <v>49</v>
      </c>
      <c r="G288" s="5" t="s">
        <v>18</v>
      </c>
      <c r="H288" s="5" t="n">
        <f aca="true">ROUND(RAND()*4+6,1)</f>
        <v>9.9</v>
      </c>
      <c r="I288" s="5" t="s">
        <v>19</v>
      </c>
      <c r="J288" s="5" t="str">
        <f aca="false">ROUND(60*1,0)&amp;"%"</f>
        <v>60%</v>
      </c>
    </row>
    <row r="289" customFormat="false" ht="15" hidden="false" customHeight="false" outlineLevel="0" collapsed="false">
      <c r="A289" s="6" t="s">
        <v>8115</v>
      </c>
      <c r="B289" s="6" t="s">
        <v>472</v>
      </c>
      <c r="C289" s="6" t="s">
        <v>76</v>
      </c>
      <c r="D289" s="6" t="s">
        <v>22</v>
      </c>
      <c r="E289" s="6" t="n">
        <f aca="false">ROUND(17073*1.05,2)</f>
        <v>17926.65</v>
      </c>
      <c r="F289" s="6" t="s">
        <v>52</v>
      </c>
      <c r="G289" s="6" t="s">
        <v>24</v>
      </c>
      <c r="H289" s="6" t="n">
        <f aca="true">ROUND(RAND()*4+6,1)</f>
        <v>6.7</v>
      </c>
      <c r="I289" s="6" t="s">
        <v>25</v>
      </c>
      <c r="J289" s="6" t="str">
        <f aca="false">ROUND(68*1,0)&amp;"%"</f>
        <v>68%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8116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8117</v>
      </c>
      <c r="B294" s="5" t="s">
        <v>476</v>
      </c>
      <c r="C294" s="5" t="s">
        <v>95</v>
      </c>
      <c r="D294" s="5" t="s">
        <v>16</v>
      </c>
      <c r="E294" s="5" t="n">
        <f aca="false">ROUND(10996*1.05,2)</f>
        <v>11545.8</v>
      </c>
      <c r="F294" s="5" t="s">
        <v>17</v>
      </c>
      <c r="G294" s="5" t="s">
        <v>18</v>
      </c>
      <c r="H294" s="5" t="n">
        <f aca="true">ROUND(RAND()*4+6,1)</f>
        <v>8.3</v>
      </c>
      <c r="I294" s="5" t="s">
        <v>19</v>
      </c>
      <c r="J294" s="5" t="str">
        <f aca="false">ROUND(90*1,0)&amp;"%"</f>
        <v>90%</v>
      </c>
    </row>
    <row r="295" customFormat="false" ht="15" hidden="false" customHeight="false" outlineLevel="0" collapsed="false">
      <c r="A295" s="6" t="s">
        <v>8118</v>
      </c>
      <c r="B295" s="6" t="s">
        <v>478</v>
      </c>
      <c r="C295" s="6" t="s">
        <v>95</v>
      </c>
      <c r="D295" s="6" t="s">
        <v>22</v>
      </c>
      <c r="E295" s="6" t="n">
        <f aca="false">ROUND(7307*1.05,2)</f>
        <v>7672.35</v>
      </c>
      <c r="F295" s="6" t="s">
        <v>23</v>
      </c>
      <c r="G295" s="6" t="s">
        <v>24</v>
      </c>
      <c r="H295" s="6" t="n">
        <f aca="true">ROUND(RAND()*4+6,1)</f>
        <v>7.4</v>
      </c>
      <c r="I295" s="6" t="s">
        <v>25</v>
      </c>
      <c r="J295" s="6" t="str">
        <f aca="false">ROUND(89*1,0)&amp;"%"</f>
        <v>89%</v>
      </c>
    </row>
    <row r="296" customFormat="false" ht="15" hidden="false" customHeight="false" outlineLevel="0" collapsed="false">
      <c r="A296" s="5" t="s">
        <v>8119</v>
      </c>
      <c r="B296" s="5" t="s">
        <v>480</v>
      </c>
      <c r="C296" s="5" t="s">
        <v>95</v>
      </c>
      <c r="D296" s="5" t="s">
        <v>28</v>
      </c>
      <c r="E296" s="5" t="n">
        <f aca="false">ROUND(12621*1.05,2)</f>
        <v>13252.05</v>
      </c>
      <c r="F296" s="5" t="s">
        <v>29</v>
      </c>
      <c r="G296" s="5" t="s">
        <v>30</v>
      </c>
      <c r="H296" s="5" t="n">
        <f aca="true">ROUND(RAND()*4+6,1)</f>
        <v>10</v>
      </c>
      <c r="I296" s="5" t="s">
        <v>31</v>
      </c>
      <c r="J296" s="5" t="str">
        <f aca="false">ROUND(100*1,0)&amp;"%"</f>
        <v>100%</v>
      </c>
    </row>
    <row r="297" customFormat="false" ht="15" hidden="false" customHeight="false" outlineLevel="0" collapsed="false">
      <c r="A297" s="6" t="s">
        <v>8120</v>
      </c>
      <c r="B297" s="6" t="s">
        <v>482</v>
      </c>
      <c r="C297" s="6" t="s">
        <v>95</v>
      </c>
      <c r="D297" s="6" t="s">
        <v>34</v>
      </c>
      <c r="E297" s="6" t="n">
        <f aca="false">ROUND(6674*1.05,2)</f>
        <v>7007.7</v>
      </c>
      <c r="F297" s="6" t="s">
        <v>35</v>
      </c>
      <c r="G297" s="6" t="s">
        <v>18</v>
      </c>
      <c r="H297" s="6" t="n">
        <f aca="true">ROUND(RAND()*4+6,1)</f>
        <v>6.9</v>
      </c>
      <c r="I297" s="6" t="s">
        <v>36</v>
      </c>
      <c r="J297" s="6" t="str">
        <f aca="false">ROUND(94*1,0)&amp;"%"</f>
        <v>94%</v>
      </c>
    </row>
    <row r="298" customFormat="false" ht="15" hidden="false" customHeight="false" outlineLevel="0" collapsed="false">
      <c r="A298" s="5" t="s">
        <v>8121</v>
      </c>
      <c r="B298" s="5" t="s">
        <v>484</v>
      </c>
      <c r="C298" s="5" t="s">
        <v>95</v>
      </c>
      <c r="D298" s="5" t="s">
        <v>39</v>
      </c>
      <c r="E298" s="5" t="n">
        <f aca="false">ROUND(14357*1.05,2)</f>
        <v>15074.85</v>
      </c>
      <c r="F298" s="5" t="s">
        <v>40</v>
      </c>
      <c r="G298" s="5" t="s">
        <v>24</v>
      </c>
      <c r="H298" s="5" t="n">
        <f aca="true">ROUND(RAND()*4+6,1)</f>
        <v>9.3</v>
      </c>
      <c r="I298" s="5" t="s">
        <v>41</v>
      </c>
      <c r="J298" s="5" t="str">
        <f aca="false">ROUND(81*1,0)&amp;"%"</f>
        <v>81%</v>
      </c>
    </row>
    <row r="299" customFormat="false" ht="15" hidden="false" customHeight="false" outlineLevel="0" collapsed="false">
      <c r="A299" s="6" t="s">
        <v>8122</v>
      </c>
      <c r="B299" s="6" t="s">
        <v>486</v>
      </c>
      <c r="C299" s="6" t="s">
        <v>95</v>
      </c>
      <c r="D299" s="6" t="s">
        <v>44</v>
      </c>
      <c r="E299" s="6" t="n">
        <f aca="false">ROUND(12151*1.05,2)</f>
        <v>12758.55</v>
      </c>
      <c r="F299" s="6" t="s">
        <v>45</v>
      </c>
      <c r="G299" s="6" t="s">
        <v>30</v>
      </c>
      <c r="H299" s="6" t="n">
        <f aca="true">ROUND(RAND()*4+6,1)</f>
        <v>8.3</v>
      </c>
      <c r="I299" s="6" t="s">
        <v>46</v>
      </c>
      <c r="J299" s="6" t="str">
        <f aca="false">ROUND(66*1,0)&amp;"%"</f>
        <v>66%</v>
      </c>
    </row>
    <row r="300" customFormat="false" ht="15" hidden="false" customHeight="false" outlineLevel="0" collapsed="false">
      <c r="A300" s="5" t="s">
        <v>8123</v>
      </c>
      <c r="B300" s="5" t="s">
        <v>488</v>
      </c>
      <c r="C300" s="5" t="s">
        <v>95</v>
      </c>
      <c r="D300" s="5" t="s">
        <v>16</v>
      </c>
      <c r="E300" s="5" t="n">
        <f aca="false">ROUND(16008*1.05,2)</f>
        <v>16808.4</v>
      </c>
      <c r="F300" s="5" t="s">
        <v>49</v>
      </c>
      <c r="G300" s="5" t="s">
        <v>18</v>
      </c>
      <c r="H300" s="5" t="n">
        <f aca="true">ROUND(RAND()*4+6,1)</f>
        <v>7.6</v>
      </c>
      <c r="I300" s="5" t="s">
        <v>19</v>
      </c>
      <c r="J300" s="5" t="str">
        <f aca="false">ROUND(63*1,0)&amp;"%"</f>
        <v>63%</v>
      </c>
    </row>
    <row r="301" customFormat="false" ht="15" hidden="false" customHeight="false" outlineLevel="0" collapsed="false">
      <c r="A301" s="6" t="s">
        <v>8124</v>
      </c>
      <c r="B301" s="6" t="s">
        <v>490</v>
      </c>
      <c r="C301" s="6" t="s">
        <v>95</v>
      </c>
      <c r="D301" s="6" t="s">
        <v>22</v>
      </c>
      <c r="E301" s="6" t="n">
        <f aca="false">ROUND(8080*1.05,2)</f>
        <v>8484</v>
      </c>
      <c r="F301" s="6" t="s">
        <v>52</v>
      </c>
      <c r="G301" s="6" t="s">
        <v>24</v>
      </c>
      <c r="H301" s="6" t="n">
        <f aca="true">ROUND(RAND()*4+6,1)</f>
        <v>7.7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8125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8126</v>
      </c>
      <c r="B306" s="5" t="s">
        <v>494</v>
      </c>
      <c r="C306" s="5" t="s">
        <v>114</v>
      </c>
      <c r="D306" s="5" t="s">
        <v>16</v>
      </c>
      <c r="E306" s="5" t="n">
        <f aca="false">ROUND(16687*1.05,2)</f>
        <v>17521.35</v>
      </c>
      <c r="F306" s="5" t="s">
        <v>17</v>
      </c>
      <c r="G306" s="5" t="s">
        <v>18</v>
      </c>
      <c r="H306" s="5" t="n">
        <f aca="true">ROUND(RAND()*4+6,1)</f>
        <v>6.3</v>
      </c>
      <c r="I306" s="5" t="s">
        <v>19</v>
      </c>
      <c r="J306" s="5" t="str">
        <f aca="false">ROUND(86*1,0)&amp;"%"</f>
        <v>86%</v>
      </c>
    </row>
    <row r="307" customFormat="false" ht="15" hidden="false" customHeight="false" outlineLevel="0" collapsed="false">
      <c r="A307" s="6" t="s">
        <v>8127</v>
      </c>
      <c r="B307" s="6" t="s">
        <v>496</v>
      </c>
      <c r="C307" s="6" t="s">
        <v>114</v>
      </c>
      <c r="D307" s="6" t="s">
        <v>22</v>
      </c>
      <c r="E307" s="6" t="n">
        <f aca="false">ROUND(13716*1.05,2)</f>
        <v>14401.8</v>
      </c>
      <c r="F307" s="6" t="s">
        <v>23</v>
      </c>
      <c r="G307" s="6" t="s">
        <v>24</v>
      </c>
      <c r="H307" s="6" t="n">
        <f aca="true">ROUND(RAND()*4+6,1)</f>
        <v>8.7</v>
      </c>
      <c r="I307" s="6" t="s">
        <v>25</v>
      </c>
      <c r="J307" s="6" t="str">
        <f aca="false">ROUND(68*1,0)&amp;"%"</f>
        <v>68%</v>
      </c>
    </row>
    <row r="308" customFormat="false" ht="15" hidden="false" customHeight="false" outlineLevel="0" collapsed="false">
      <c r="A308" s="5" t="s">
        <v>8128</v>
      </c>
      <c r="B308" s="5" t="s">
        <v>498</v>
      </c>
      <c r="C308" s="5" t="s">
        <v>114</v>
      </c>
      <c r="D308" s="5" t="s">
        <v>28</v>
      </c>
      <c r="E308" s="5" t="n">
        <f aca="false">ROUND(5356*1.05,2)</f>
        <v>5623.8</v>
      </c>
      <c r="F308" s="5" t="s">
        <v>29</v>
      </c>
      <c r="G308" s="5" t="s">
        <v>30</v>
      </c>
      <c r="H308" s="5" t="n">
        <f aca="true">ROUND(RAND()*4+6,1)</f>
        <v>7.9</v>
      </c>
      <c r="I308" s="5" t="s">
        <v>31</v>
      </c>
      <c r="J308" s="5" t="str">
        <f aca="false">ROUND(67*1,0)&amp;"%"</f>
        <v>67%</v>
      </c>
    </row>
    <row r="309" customFormat="false" ht="15" hidden="false" customHeight="false" outlineLevel="0" collapsed="false">
      <c r="A309" s="6" t="s">
        <v>8129</v>
      </c>
      <c r="B309" s="6" t="s">
        <v>500</v>
      </c>
      <c r="C309" s="6" t="s">
        <v>114</v>
      </c>
      <c r="D309" s="6" t="s">
        <v>34</v>
      </c>
      <c r="E309" s="6" t="n">
        <f aca="false">ROUND(16570*1.05,2)</f>
        <v>17398.5</v>
      </c>
      <c r="F309" s="6" t="s">
        <v>35</v>
      </c>
      <c r="G309" s="6" t="s">
        <v>18</v>
      </c>
      <c r="H309" s="6" t="n">
        <f aca="true">ROUND(RAND()*4+6,1)</f>
        <v>7</v>
      </c>
      <c r="I309" s="6" t="s">
        <v>36</v>
      </c>
      <c r="J309" s="6" t="str">
        <f aca="false">ROUND(72*1,0)&amp;"%"</f>
        <v>72%</v>
      </c>
    </row>
    <row r="310" customFormat="false" ht="15" hidden="false" customHeight="false" outlineLevel="0" collapsed="false">
      <c r="A310" s="5" t="s">
        <v>8130</v>
      </c>
      <c r="B310" s="5" t="s">
        <v>502</v>
      </c>
      <c r="C310" s="5" t="s">
        <v>114</v>
      </c>
      <c r="D310" s="5" t="s">
        <v>39</v>
      </c>
      <c r="E310" s="5" t="n">
        <f aca="false">ROUND(7038*1.05,2)</f>
        <v>7389.9</v>
      </c>
      <c r="F310" s="5" t="s">
        <v>40</v>
      </c>
      <c r="G310" s="5" t="s">
        <v>24</v>
      </c>
      <c r="H310" s="5" t="n">
        <f aca="true">ROUND(RAND()*4+6,1)</f>
        <v>7.8</v>
      </c>
      <c r="I310" s="5" t="s">
        <v>41</v>
      </c>
      <c r="J310" s="5" t="str">
        <f aca="false">ROUND(84*1,0)&amp;"%"</f>
        <v>84%</v>
      </c>
    </row>
    <row r="311" customFormat="false" ht="15" hidden="false" customHeight="false" outlineLevel="0" collapsed="false">
      <c r="A311" s="6" t="s">
        <v>8131</v>
      </c>
      <c r="B311" s="6" t="s">
        <v>504</v>
      </c>
      <c r="C311" s="6" t="s">
        <v>114</v>
      </c>
      <c r="D311" s="6" t="s">
        <v>44</v>
      </c>
      <c r="E311" s="6" t="n">
        <f aca="false">ROUND(14885*1.05,2)</f>
        <v>15629.25</v>
      </c>
      <c r="F311" s="6" t="s">
        <v>45</v>
      </c>
      <c r="G311" s="6" t="s">
        <v>30</v>
      </c>
      <c r="H311" s="6" t="n">
        <f aca="true">ROUND(RAND()*4+6,1)</f>
        <v>8.2</v>
      </c>
      <c r="I311" s="6" t="s">
        <v>46</v>
      </c>
      <c r="J311" s="6" t="str">
        <f aca="false">ROUND(83*1,0)&amp;"%"</f>
        <v>83%</v>
      </c>
    </row>
    <row r="312" customFormat="false" ht="15" hidden="false" customHeight="false" outlineLevel="0" collapsed="false">
      <c r="A312" s="5" t="s">
        <v>8132</v>
      </c>
      <c r="B312" s="5" t="s">
        <v>506</v>
      </c>
      <c r="C312" s="5" t="s">
        <v>114</v>
      </c>
      <c r="D312" s="5" t="s">
        <v>16</v>
      </c>
      <c r="E312" s="5" t="n">
        <f aca="false">ROUND(5071*1.05,2)</f>
        <v>5324.55</v>
      </c>
      <c r="F312" s="5" t="s">
        <v>49</v>
      </c>
      <c r="G312" s="5" t="s">
        <v>18</v>
      </c>
      <c r="H312" s="5" t="n">
        <f aca="true">ROUND(RAND()*4+6,1)</f>
        <v>8.6</v>
      </c>
      <c r="I312" s="5" t="s">
        <v>19</v>
      </c>
      <c r="J312" s="5" t="str">
        <f aca="false">ROUND(72*1,0)&amp;"%"</f>
        <v>72%</v>
      </c>
    </row>
    <row r="313" customFormat="false" ht="15" hidden="false" customHeight="false" outlineLevel="0" collapsed="false">
      <c r="A313" s="6" t="s">
        <v>8133</v>
      </c>
      <c r="B313" s="6" t="s">
        <v>508</v>
      </c>
      <c r="C313" s="6" t="s">
        <v>114</v>
      </c>
      <c r="D313" s="6" t="s">
        <v>22</v>
      </c>
      <c r="E313" s="6" t="n">
        <f aca="false">ROUND(11587*1.05,2)</f>
        <v>12166.35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8134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8135</v>
      </c>
      <c r="B318" s="5" t="s">
        <v>512</v>
      </c>
      <c r="C318" s="5" t="s">
        <v>133</v>
      </c>
      <c r="D318" s="5" t="s">
        <v>16</v>
      </c>
      <c r="E318" s="5" t="n">
        <f aca="false">ROUND(5422*1.05,2)</f>
        <v>5693.1</v>
      </c>
      <c r="F318" s="5" t="s">
        <v>17</v>
      </c>
      <c r="G318" s="5" t="s">
        <v>18</v>
      </c>
      <c r="H318" s="5" t="n">
        <f aca="true">ROUND(RAND()*4+6,1)</f>
        <v>7.5</v>
      </c>
      <c r="I318" s="5" t="s">
        <v>19</v>
      </c>
      <c r="J318" s="5" t="str">
        <f aca="false">ROUND(79*1,0)&amp;"%"</f>
        <v>79%</v>
      </c>
    </row>
    <row r="319" customFormat="false" ht="15" hidden="false" customHeight="false" outlineLevel="0" collapsed="false">
      <c r="A319" s="6" t="s">
        <v>8136</v>
      </c>
      <c r="B319" s="6" t="s">
        <v>514</v>
      </c>
      <c r="C319" s="6" t="s">
        <v>133</v>
      </c>
      <c r="D319" s="6" t="s">
        <v>22</v>
      </c>
      <c r="E319" s="6" t="n">
        <f aca="false">ROUND(5532*1.05,2)</f>
        <v>5808.6</v>
      </c>
      <c r="F319" s="6" t="s">
        <v>23</v>
      </c>
      <c r="G319" s="6" t="s">
        <v>24</v>
      </c>
      <c r="H319" s="6" t="n">
        <f aca="true">ROUND(RAND()*4+6,1)</f>
        <v>6.1</v>
      </c>
      <c r="I319" s="6" t="s">
        <v>25</v>
      </c>
      <c r="J319" s="6" t="str">
        <f aca="false">ROUND(94*1,0)&amp;"%"</f>
        <v>94%</v>
      </c>
    </row>
    <row r="320" customFormat="false" ht="15" hidden="false" customHeight="false" outlineLevel="0" collapsed="false">
      <c r="A320" s="5" t="s">
        <v>8137</v>
      </c>
      <c r="B320" s="5" t="s">
        <v>516</v>
      </c>
      <c r="C320" s="5" t="s">
        <v>133</v>
      </c>
      <c r="D320" s="5" t="s">
        <v>28</v>
      </c>
      <c r="E320" s="5" t="n">
        <f aca="false">ROUND(15512*1.05,2)</f>
        <v>16287.6</v>
      </c>
      <c r="F320" s="5" t="s">
        <v>29</v>
      </c>
      <c r="G320" s="5" t="s">
        <v>30</v>
      </c>
      <c r="H320" s="5" t="n">
        <f aca="true">ROUND(RAND()*4+6,1)</f>
        <v>9.1</v>
      </c>
      <c r="I320" s="5" t="s">
        <v>31</v>
      </c>
      <c r="J320" s="5" t="str">
        <f aca="false">ROUND(86*1,0)&amp;"%"</f>
        <v>86%</v>
      </c>
    </row>
    <row r="321" customFormat="false" ht="15" hidden="false" customHeight="false" outlineLevel="0" collapsed="false">
      <c r="A321" s="6" t="s">
        <v>8138</v>
      </c>
      <c r="B321" s="6" t="s">
        <v>518</v>
      </c>
      <c r="C321" s="6" t="s">
        <v>133</v>
      </c>
      <c r="D321" s="6" t="s">
        <v>34</v>
      </c>
      <c r="E321" s="6" t="n">
        <f aca="false">ROUND(15370*1.05,2)</f>
        <v>16138.5</v>
      </c>
      <c r="F321" s="6" t="s">
        <v>35</v>
      </c>
      <c r="G321" s="6" t="s">
        <v>18</v>
      </c>
      <c r="H321" s="6" t="n">
        <f aca="true">ROUND(RAND()*4+6,1)</f>
        <v>7.4</v>
      </c>
      <c r="I321" s="6" t="s">
        <v>36</v>
      </c>
      <c r="J321" s="6" t="str">
        <f aca="false">ROUND(95*1,0)&amp;"%"</f>
        <v>95%</v>
      </c>
    </row>
    <row r="322" customFormat="false" ht="15" hidden="false" customHeight="false" outlineLevel="0" collapsed="false">
      <c r="A322" s="5" t="s">
        <v>8139</v>
      </c>
      <c r="B322" s="5" t="s">
        <v>520</v>
      </c>
      <c r="C322" s="5" t="s">
        <v>133</v>
      </c>
      <c r="D322" s="5" t="s">
        <v>39</v>
      </c>
      <c r="E322" s="5" t="n">
        <f aca="false">ROUND(10124*1.05,2)</f>
        <v>10630.2</v>
      </c>
      <c r="F322" s="5" t="s">
        <v>40</v>
      </c>
      <c r="G322" s="5" t="s">
        <v>24</v>
      </c>
      <c r="H322" s="5" t="n">
        <f aca="true">ROUND(RAND()*4+6,1)</f>
        <v>8.8</v>
      </c>
      <c r="I322" s="5" t="s">
        <v>41</v>
      </c>
      <c r="J322" s="5" t="str">
        <f aca="false">ROUND(90*1,0)&amp;"%"</f>
        <v>90%</v>
      </c>
    </row>
    <row r="323" customFormat="false" ht="15" hidden="false" customHeight="false" outlineLevel="0" collapsed="false">
      <c r="A323" s="6" t="s">
        <v>8140</v>
      </c>
      <c r="B323" s="6" t="s">
        <v>522</v>
      </c>
      <c r="C323" s="6" t="s">
        <v>133</v>
      </c>
      <c r="D323" s="6" t="s">
        <v>44</v>
      </c>
      <c r="E323" s="6" t="n">
        <f aca="false">ROUND(6990*1.05,2)</f>
        <v>7339.5</v>
      </c>
      <c r="F323" s="6" t="s">
        <v>45</v>
      </c>
      <c r="G323" s="6" t="s">
        <v>30</v>
      </c>
      <c r="H323" s="6" t="n">
        <f aca="true">ROUND(RAND()*4+6,1)</f>
        <v>10</v>
      </c>
      <c r="I323" s="6" t="s">
        <v>46</v>
      </c>
      <c r="J323" s="6" t="str">
        <f aca="false">ROUND(90*1,0)&amp;"%"</f>
        <v>90%</v>
      </c>
    </row>
    <row r="324" customFormat="false" ht="15" hidden="false" customHeight="false" outlineLevel="0" collapsed="false">
      <c r="A324" s="5" t="s">
        <v>8141</v>
      </c>
      <c r="B324" s="5" t="s">
        <v>524</v>
      </c>
      <c r="C324" s="5" t="s">
        <v>133</v>
      </c>
      <c r="D324" s="5" t="s">
        <v>16</v>
      </c>
      <c r="E324" s="5" t="n">
        <f aca="false">ROUND(7716*1.05,2)</f>
        <v>8101.8</v>
      </c>
      <c r="F324" s="5" t="s">
        <v>49</v>
      </c>
      <c r="G324" s="5" t="s">
        <v>18</v>
      </c>
      <c r="H324" s="5" t="n">
        <f aca="true">ROUND(RAND()*4+6,1)</f>
        <v>8.1</v>
      </c>
      <c r="I324" s="5" t="s">
        <v>19</v>
      </c>
      <c r="J324" s="5" t="str">
        <f aca="false">ROUND(95*1,0)&amp;"%"</f>
        <v>95%</v>
      </c>
    </row>
    <row r="325" customFormat="false" ht="15" hidden="false" customHeight="false" outlineLevel="0" collapsed="false">
      <c r="A325" s="6" t="s">
        <v>8142</v>
      </c>
      <c r="B325" s="6" t="s">
        <v>526</v>
      </c>
      <c r="C325" s="6" t="s">
        <v>133</v>
      </c>
      <c r="D325" s="6" t="s">
        <v>22</v>
      </c>
      <c r="E325" s="6" t="n">
        <f aca="false">ROUND(10418*1.05,2)</f>
        <v>10938.9</v>
      </c>
      <c r="F325" s="6" t="s">
        <v>52</v>
      </c>
      <c r="G325" s="6" t="s">
        <v>24</v>
      </c>
      <c r="H325" s="6" t="n">
        <f aca="true">ROUND(RAND()*4+6,1)</f>
        <v>6.6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8143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8144</v>
      </c>
      <c r="B330" s="5" t="s">
        <v>530</v>
      </c>
      <c r="C330" s="5" t="s">
        <v>152</v>
      </c>
      <c r="D330" s="5" t="s">
        <v>16</v>
      </c>
      <c r="E330" s="5" t="n">
        <f aca="false">ROUND(4966*1.05,2)</f>
        <v>5214.3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ROUND(91*1,0)&amp;"%"</f>
        <v>91%</v>
      </c>
    </row>
    <row r="331" customFormat="false" ht="15" hidden="false" customHeight="false" outlineLevel="0" collapsed="false">
      <c r="A331" s="6" t="s">
        <v>8145</v>
      </c>
      <c r="B331" s="6" t="s">
        <v>532</v>
      </c>
      <c r="C331" s="6" t="s">
        <v>152</v>
      </c>
      <c r="D331" s="6" t="s">
        <v>22</v>
      </c>
      <c r="E331" s="6" t="n">
        <f aca="false">ROUND(8876*1.05,2)</f>
        <v>9319.8</v>
      </c>
      <c r="F331" s="6" t="s">
        <v>23</v>
      </c>
      <c r="G331" s="6" t="s">
        <v>24</v>
      </c>
      <c r="H331" s="6" t="n">
        <f aca="true">ROUND(RAND()*4+6,1)</f>
        <v>7.6</v>
      </c>
      <c r="I331" s="6" t="s">
        <v>25</v>
      </c>
      <c r="J331" s="6" t="str">
        <f aca="false">ROUND(96*1,0)&amp;"%"</f>
        <v>96%</v>
      </c>
    </row>
    <row r="332" customFormat="false" ht="15" hidden="false" customHeight="false" outlineLevel="0" collapsed="false">
      <c r="A332" s="5" t="s">
        <v>8146</v>
      </c>
      <c r="B332" s="5" t="s">
        <v>534</v>
      </c>
      <c r="C332" s="5" t="s">
        <v>152</v>
      </c>
      <c r="D332" s="5" t="s">
        <v>28</v>
      </c>
      <c r="E332" s="5" t="n">
        <f aca="false">ROUND(6982*1.05,2)</f>
        <v>7331.1</v>
      </c>
      <c r="F332" s="5" t="s">
        <v>29</v>
      </c>
      <c r="G332" s="5" t="s">
        <v>30</v>
      </c>
      <c r="H332" s="5" t="n">
        <f aca="true">ROUND(RAND()*4+6,1)</f>
        <v>7.7</v>
      </c>
      <c r="I332" s="5" t="s">
        <v>31</v>
      </c>
      <c r="J332" s="5" t="str">
        <f aca="false">ROUND(73*1,0)&amp;"%"</f>
        <v>73%</v>
      </c>
    </row>
    <row r="333" customFormat="false" ht="15" hidden="false" customHeight="false" outlineLevel="0" collapsed="false">
      <c r="A333" s="6" t="s">
        <v>8147</v>
      </c>
      <c r="B333" s="6" t="s">
        <v>536</v>
      </c>
      <c r="C333" s="6" t="s">
        <v>152</v>
      </c>
      <c r="D333" s="6" t="s">
        <v>34</v>
      </c>
      <c r="E333" s="6" t="n">
        <f aca="false">ROUND(9327*1.05,2)</f>
        <v>9793.35</v>
      </c>
      <c r="F333" s="6" t="s">
        <v>35</v>
      </c>
      <c r="G333" s="6" t="s">
        <v>18</v>
      </c>
      <c r="H333" s="6" t="n">
        <f aca="true">ROUND(RAND()*4+6,1)</f>
        <v>9.6</v>
      </c>
      <c r="I333" s="6" t="s">
        <v>36</v>
      </c>
      <c r="J333" s="6" t="str">
        <f aca="false">ROUND(68*1,0)&amp;"%"</f>
        <v>68%</v>
      </c>
    </row>
    <row r="334" customFormat="false" ht="15" hidden="false" customHeight="false" outlineLevel="0" collapsed="false">
      <c r="A334" s="5" t="s">
        <v>8148</v>
      </c>
      <c r="B334" s="5" t="s">
        <v>538</v>
      </c>
      <c r="C334" s="5" t="s">
        <v>152</v>
      </c>
      <c r="D334" s="5" t="s">
        <v>39</v>
      </c>
      <c r="E334" s="5" t="n">
        <f aca="false">ROUND(13947*1.05,2)</f>
        <v>14644.35</v>
      </c>
      <c r="F334" s="5" t="s">
        <v>40</v>
      </c>
      <c r="G334" s="5" t="s">
        <v>24</v>
      </c>
      <c r="H334" s="5" t="n">
        <f aca="true">ROUND(RAND()*4+6,1)</f>
        <v>7.5</v>
      </c>
      <c r="I334" s="5" t="s">
        <v>41</v>
      </c>
      <c r="J334" s="5" t="str">
        <f aca="false">ROUND(68*1,0)&amp;"%"</f>
        <v>68%</v>
      </c>
    </row>
    <row r="335" customFormat="false" ht="15" hidden="false" customHeight="false" outlineLevel="0" collapsed="false">
      <c r="A335" s="6" t="s">
        <v>8149</v>
      </c>
      <c r="B335" s="6" t="s">
        <v>540</v>
      </c>
      <c r="C335" s="6" t="s">
        <v>152</v>
      </c>
      <c r="D335" s="6" t="s">
        <v>44</v>
      </c>
      <c r="E335" s="6" t="n">
        <f aca="false">ROUND(13798*1.05,2)</f>
        <v>14487.9</v>
      </c>
      <c r="F335" s="6" t="s">
        <v>45</v>
      </c>
      <c r="G335" s="6" t="s">
        <v>30</v>
      </c>
      <c r="H335" s="6" t="n">
        <f aca="true">ROUND(RAND()*4+6,1)</f>
        <v>7.4</v>
      </c>
      <c r="I335" s="6" t="s">
        <v>46</v>
      </c>
      <c r="J335" s="6" t="str">
        <f aca="false">ROUND(86*1,0)&amp;"%"</f>
        <v>86%</v>
      </c>
    </row>
    <row r="336" customFormat="false" ht="15" hidden="false" customHeight="false" outlineLevel="0" collapsed="false">
      <c r="A336" s="5" t="s">
        <v>8150</v>
      </c>
      <c r="B336" s="5" t="s">
        <v>542</v>
      </c>
      <c r="C336" s="5" t="s">
        <v>152</v>
      </c>
      <c r="D336" s="5" t="s">
        <v>16</v>
      </c>
      <c r="E336" s="5" t="n">
        <f aca="false">ROUND(10144*1.05,2)</f>
        <v>10651.2</v>
      </c>
      <c r="F336" s="5" t="s">
        <v>49</v>
      </c>
      <c r="G336" s="5" t="s">
        <v>18</v>
      </c>
      <c r="H336" s="5" t="n">
        <f aca="true">ROUND(RAND()*4+6,1)</f>
        <v>8.8</v>
      </c>
      <c r="I336" s="5" t="s">
        <v>19</v>
      </c>
      <c r="J336" s="5" t="str">
        <f aca="false">ROUND(99*1,0)&amp;"%"</f>
        <v>99%</v>
      </c>
    </row>
    <row r="337" customFormat="false" ht="15" hidden="false" customHeight="false" outlineLevel="0" collapsed="false">
      <c r="A337" s="6" t="s">
        <v>8151</v>
      </c>
      <c r="B337" s="6" t="s">
        <v>544</v>
      </c>
      <c r="C337" s="6" t="s">
        <v>152</v>
      </c>
      <c r="D337" s="6" t="s">
        <v>22</v>
      </c>
      <c r="E337" s="6" t="n">
        <f aca="false">ROUND(6074*1.05,2)</f>
        <v>6377.7</v>
      </c>
      <c r="F337" s="6" t="s">
        <v>52</v>
      </c>
      <c r="G337" s="6" t="s">
        <v>24</v>
      </c>
      <c r="H337" s="6" t="n">
        <f aca="true">ROUND(RAND()*4+6,1)</f>
        <v>8.2</v>
      </c>
      <c r="I337" s="6" t="s">
        <v>25</v>
      </c>
      <c r="J337" s="6" t="str">
        <f aca="false">ROUND(64*1,0)&amp;"%"</f>
        <v>64%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8152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8153</v>
      </c>
      <c r="B342" s="5" t="s">
        <v>548</v>
      </c>
      <c r="C342" s="5" t="s">
        <v>15</v>
      </c>
      <c r="D342" s="5" t="s">
        <v>16</v>
      </c>
      <c r="E342" s="5" t="n">
        <f aca="false">ROUND(17049*1.05,2)</f>
        <v>17901.45</v>
      </c>
      <c r="F342" s="5" t="s">
        <v>17</v>
      </c>
      <c r="G342" s="5" t="s">
        <v>18</v>
      </c>
      <c r="H342" s="5" t="n">
        <f aca="true">ROUND(RAND()*4+6,1)</f>
        <v>9.4</v>
      </c>
      <c r="I342" s="5" t="s">
        <v>19</v>
      </c>
      <c r="J342" s="5" t="str">
        <f aca="false">ROUND(60*1,0)&amp;"%"</f>
        <v>60%</v>
      </c>
    </row>
    <row r="343" customFormat="false" ht="15" hidden="false" customHeight="false" outlineLevel="0" collapsed="false">
      <c r="A343" s="6" t="s">
        <v>8154</v>
      </c>
      <c r="B343" s="6" t="s">
        <v>550</v>
      </c>
      <c r="C343" s="6" t="s">
        <v>15</v>
      </c>
      <c r="D343" s="6" t="s">
        <v>22</v>
      </c>
      <c r="E343" s="6" t="n">
        <f aca="false">ROUND(15387*1.05,2)</f>
        <v>16156.35</v>
      </c>
      <c r="F343" s="6" t="s">
        <v>23</v>
      </c>
      <c r="G343" s="6" t="s">
        <v>24</v>
      </c>
      <c r="H343" s="6" t="n">
        <f aca="true">ROUND(RAND()*4+6,1)</f>
        <v>8.3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8155</v>
      </c>
      <c r="B344" s="5" t="s">
        <v>552</v>
      </c>
      <c r="C344" s="5" t="s">
        <v>15</v>
      </c>
      <c r="D344" s="5" t="s">
        <v>28</v>
      </c>
      <c r="E344" s="5" t="n">
        <f aca="false">ROUND(4195*1.05,2)</f>
        <v>4404.75</v>
      </c>
      <c r="F344" s="5" t="s">
        <v>29</v>
      </c>
      <c r="G344" s="5" t="s">
        <v>30</v>
      </c>
      <c r="H344" s="5" t="n">
        <f aca="true">ROUND(RAND()*4+6,1)</f>
        <v>7.4</v>
      </c>
      <c r="I344" s="5" t="s">
        <v>31</v>
      </c>
      <c r="J344" s="5" t="str">
        <f aca="false">ROUND(91*1,0)&amp;"%"</f>
        <v>91%</v>
      </c>
    </row>
    <row r="345" customFormat="false" ht="15" hidden="false" customHeight="false" outlineLevel="0" collapsed="false">
      <c r="A345" s="6" t="s">
        <v>8156</v>
      </c>
      <c r="B345" s="6" t="s">
        <v>554</v>
      </c>
      <c r="C345" s="6" t="s">
        <v>15</v>
      </c>
      <c r="D345" s="6" t="s">
        <v>34</v>
      </c>
      <c r="E345" s="6" t="n">
        <f aca="false">ROUND(16428*1.05,2)</f>
        <v>17249.4</v>
      </c>
      <c r="F345" s="6" t="s">
        <v>35</v>
      </c>
      <c r="G345" s="6" t="s">
        <v>18</v>
      </c>
      <c r="H345" s="6" t="n">
        <f aca="true">ROUND(RAND()*4+6,1)</f>
        <v>6.7</v>
      </c>
      <c r="I345" s="6" t="s">
        <v>36</v>
      </c>
      <c r="J345" s="6" t="str">
        <f aca="false">ROUND(82*1,0)&amp;"%"</f>
        <v>82%</v>
      </c>
    </row>
    <row r="346" customFormat="false" ht="15" hidden="false" customHeight="false" outlineLevel="0" collapsed="false">
      <c r="A346" s="5" t="s">
        <v>8157</v>
      </c>
      <c r="B346" s="5" t="s">
        <v>556</v>
      </c>
      <c r="C346" s="5" t="s">
        <v>15</v>
      </c>
      <c r="D346" s="5" t="s">
        <v>39</v>
      </c>
      <c r="E346" s="5" t="n">
        <f aca="false">ROUND(15521*1.05,2)</f>
        <v>16297.05</v>
      </c>
      <c r="F346" s="5" t="s">
        <v>40</v>
      </c>
      <c r="G346" s="5" t="s">
        <v>24</v>
      </c>
      <c r="H346" s="5" t="n">
        <f aca="true">ROUND(RAND()*4+6,1)</f>
        <v>6.5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8158</v>
      </c>
      <c r="B347" s="6" t="s">
        <v>558</v>
      </c>
      <c r="C347" s="6" t="s">
        <v>15</v>
      </c>
      <c r="D347" s="6" t="s">
        <v>44</v>
      </c>
      <c r="E347" s="6" t="n">
        <f aca="false">ROUND(8547*1.05,2)</f>
        <v>8974.35</v>
      </c>
      <c r="F347" s="6" t="s">
        <v>45</v>
      </c>
      <c r="G347" s="6" t="s">
        <v>30</v>
      </c>
      <c r="H347" s="6" t="n">
        <f aca="true">ROUND(RAND()*4+6,1)</f>
        <v>8.8</v>
      </c>
      <c r="I347" s="6" t="s">
        <v>46</v>
      </c>
      <c r="J347" s="6" t="str">
        <f aca="false">ROUND(95*1,0)&amp;"%"</f>
        <v>95%</v>
      </c>
    </row>
    <row r="348" customFormat="false" ht="15" hidden="false" customHeight="false" outlineLevel="0" collapsed="false">
      <c r="A348" s="5" t="s">
        <v>8159</v>
      </c>
      <c r="B348" s="5" t="s">
        <v>560</v>
      </c>
      <c r="C348" s="5" t="s">
        <v>15</v>
      </c>
      <c r="D348" s="5" t="s">
        <v>16</v>
      </c>
      <c r="E348" s="5" t="n">
        <f aca="false">ROUND(13501*1.05,2)</f>
        <v>14176.05</v>
      </c>
      <c r="F348" s="5" t="s">
        <v>49</v>
      </c>
      <c r="G348" s="5" t="s">
        <v>18</v>
      </c>
      <c r="H348" s="5" t="n">
        <f aca="true">ROUND(RAND()*4+6,1)</f>
        <v>7.4</v>
      </c>
      <c r="I348" s="5" t="s">
        <v>19</v>
      </c>
      <c r="J348" s="5" t="str">
        <f aca="false">ROUND(82*1,0)&amp;"%"</f>
        <v>82%</v>
      </c>
    </row>
    <row r="349" customFormat="false" ht="15" hidden="false" customHeight="false" outlineLevel="0" collapsed="false">
      <c r="A349" s="6" t="s">
        <v>8160</v>
      </c>
      <c r="B349" s="6" t="s">
        <v>562</v>
      </c>
      <c r="C349" s="6" t="s">
        <v>15</v>
      </c>
      <c r="D349" s="6" t="s">
        <v>22</v>
      </c>
      <c r="E349" s="6" t="n">
        <f aca="false">ROUND(4262*1.05,2)</f>
        <v>4475.1</v>
      </c>
      <c r="F349" s="6" t="s">
        <v>52</v>
      </c>
      <c r="G349" s="6" t="s">
        <v>24</v>
      </c>
      <c r="H349" s="6" t="n">
        <f aca="true">ROUND(RAND()*4+6,1)</f>
        <v>8.2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8161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8162</v>
      </c>
      <c r="B354" s="5" t="s">
        <v>566</v>
      </c>
      <c r="C354" s="5" t="s">
        <v>57</v>
      </c>
      <c r="D354" s="5" t="s">
        <v>16</v>
      </c>
      <c r="E354" s="5" t="n">
        <f aca="false">ROUND(9884*1.05,2)</f>
        <v>10378.2</v>
      </c>
      <c r="F354" s="5" t="s">
        <v>17</v>
      </c>
      <c r="G354" s="5" t="s">
        <v>18</v>
      </c>
      <c r="H354" s="5" t="n">
        <f aca="true">ROUND(RAND()*4+6,1)</f>
        <v>9</v>
      </c>
      <c r="I354" s="5" t="s">
        <v>19</v>
      </c>
      <c r="J354" s="5" t="str">
        <f aca="false">ROUND(85*1,0)&amp;"%"</f>
        <v>85%</v>
      </c>
    </row>
    <row r="355" customFormat="false" ht="15" hidden="false" customHeight="false" outlineLevel="0" collapsed="false">
      <c r="A355" s="6" t="s">
        <v>8163</v>
      </c>
      <c r="B355" s="6" t="s">
        <v>568</v>
      </c>
      <c r="C355" s="6" t="s">
        <v>57</v>
      </c>
      <c r="D355" s="6" t="s">
        <v>22</v>
      </c>
      <c r="E355" s="6" t="n">
        <f aca="false">ROUND(11324*1.05,2)</f>
        <v>11890.2</v>
      </c>
      <c r="F355" s="6" t="s">
        <v>23</v>
      </c>
      <c r="G355" s="6" t="s">
        <v>24</v>
      </c>
      <c r="H355" s="6" t="n">
        <f aca="true">ROUND(RAND()*4+6,1)</f>
        <v>9.7</v>
      </c>
      <c r="I355" s="6" t="s">
        <v>25</v>
      </c>
      <c r="J355" s="6" t="str">
        <f aca="false">ROUND(87*1,0)&amp;"%"</f>
        <v>87%</v>
      </c>
    </row>
    <row r="356" customFormat="false" ht="15" hidden="false" customHeight="false" outlineLevel="0" collapsed="false">
      <c r="A356" s="5" t="s">
        <v>8164</v>
      </c>
      <c r="B356" s="5" t="s">
        <v>570</v>
      </c>
      <c r="C356" s="5" t="s">
        <v>57</v>
      </c>
      <c r="D356" s="5" t="s">
        <v>28</v>
      </c>
      <c r="E356" s="5" t="n">
        <f aca="false">ROUND(15554*1.05,2)</f>
        <v>16331.7</v>
      </c>
      <c r="F356" s="5" t="s">
        <v>29</v>
      </c>
      <c r="G356" s="5" t="s">
        <v>30</v>
      </c>
      <c r="H356" s="5" t="n">
        <f aca="true">ROUND(RAND()*4+6,1)</f>
        <v>8.6</v>
      </c>
      <c r="I356" s="5" t="s">
        <v>31</v>
      </c>
      <c r="J356" s="5" t="str">
        <f aca="false">ROUND(72*1,0)&amp;"%"</f>
        <v>72%</v>
      </c>
    </row>
    <row r="357" customFormat="false" ht="15" hidden="false" customHeight="false" outlineLevel="0" collapsed="false">
      <c r="A357" s="6" t="s">
        <v>8165</v>
      </c>
      <c r="B357" s="6" t="s">
        <v>572</v>
      </c>
      <c r="C357" s="6" t="s">
        <v>57</v>
      </c>
      <c r="D357" s="6" t="s">
        <v>34</v>
      </c>
      <c r="E357" s="6" t="n">
        <f aca="false">ROUND(9366*1.05,2)</f>
        <v>9834.3</v>
      </c>
      <c r="F357" s="6" t="s">
        <v>35</v>
      </c>
      <c r="G357" s="6" t="s">
        <v>18</v>
      </c>
      <c r="H357" s="6" t="n">
        <f aca="true">ROUND(RAND()*4+6,1)</f>
        <v>8.7</v>
      </c>
      <c r="I357" s="6" t="s">
        <v>36</v>
      </c>
      <c r="J357" s="6" t="str">
        <f aca="false">ROUND(82*1,0)&amp;"%"</f>
        <v>82%</v>
      </c>
    </row>
    <row r="358" customFormat="false" ht="15" hidden="false" customHeight="false" outlineLevel="0" collapsed="false">
      <c r="A358" s="5" t="s">
        <v>8166</v>
      </c>
      <c r="B358" s="5" t="s">
        <v>574</v>
      </c>
      <c r="C358" s="5" t="s">
        <v>57</v>
      </c>
      <c r="D358" s="5" t="s">
        <v>39</v>
      </c>
      <c r="E358" s="5" t="n">
        <f aca="false">ROUND(7597*1.05,2)</f>
        <v>7976.85</v>
      </c>
      <c r="F358" s="5" t="s">
        <v>40</v>
      </c>
      <c r="G358" s="5" t="s">
        <v>24</v>
      </c>
      <c r="H358" s="5" t="n">
        <f aca="true">ROUND(RAND()*4+6,1)</f>
        <v>6.1</v>
      </c>
      <c r="I358" s="5" t="s">
        <v>41</v>
      </c>
      <c r="J358" s="5" t="str">
        <f aca="false">ROUND(91*1,0)&amp;"%"</f>
        <v>91%</v>
      </c>
    </row>
    <row r="359" customFormat="false" ht="15" hidden="false" customHeight="false" outlineLevel="0" collapsed="false">
      <c r="A359" s="6" t="s">
        <v>8167</v>
      </c>
      <c r="B359" s="6" t="s">
        <v>576</v>
      </c>
      <c r="C359" s="6" t="s">
        <v>57</v>
      </c>
      <c r="D359" s="6" t="s">
        <v>44</v>
      </c>
      <c r="E359" s="6" t="n">
        <f aca="false">ROUND(12811*1.05,2)</f>
        <v>13451.55</v>
      </c>
      <c r="F359" s="6" t="s">
        <v>45</v>
      </c>
      <c r="G359" s="6" t="s">
        <v>30</v>
      </c>
      <c r="H359" s="6" t="n">
        <f aca="true">ROUND(RAND()*4+6,1)</f>
        <v>8.6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8168</v>
      </c>
      <c r="B360" s="5" t="s">
        <v>578</v>
      </c>
      <c r="C360" s="5" t="s">
        <v>57</v>
      </c>
      <c r="D360" s="5" t="s">
        <v>16</v>
      </c>
      <c r="E360" s="5" t="n">
        <f aca="false">ROUND(17369*1.05,2)</f>
        <v>18237.45</v>
      </c>
      <c r="F360" s="5" t="s">
        <v>49</v>
      </c>
      <c r="G360" s="5" t="s">
        <v>18</v>
      </c>
      <c r="H360" s="5" t="n">
        <f aca="true">ROUND(RAND()*4+6,1)</f>
        <v>8.6</v>
      </c>
      <c r="I360" s="5" t="s">
        <v>19</v>
      </c>
      <c r="J360" s="5" t="str">
        <f aca="false">ROUND(92*1,0)&amp;"%"</f>
        <v>92%</v>
      </c>
    </row>
    <row r="361" customFormat="false" ht="15" hidden="false" customHeight="false" outlineLevel="0" collapsed="false">
      <c r="A361" s="6" t="s">
        <v>8169</v>
      </c>
      <c r="B361" s="6" t="s">
        <v>580</v>
      </c>
      <c r="C361" s="6" t="s">
        <v>57</v>
      </c>
      <c r="D361" s="6" t="s">
        <v>22</v>
      </c>
      <c r="E361" s="6" t="n">
        <f aca="false">ROUND(5523*1.05,2)</f>
        <v>5799.15</v>
      </c>
      <c r="F361" s="6" t="s">
        <v>52</v>
      </c>
      <c r="G361" s="6" t="s">
        <v>24</v>
      </c>
      <c r="H361" s="6" t="n">
        <f aca="true">ROUND(RAND()*4+6,1)</f>
        <v>8.4</v>
      </c>
      <c r="I361" s="6" t="s">
        <v>25</v>
      </c>
      <c r="J361" s="6" t="str">
        <f aca="false">ROUND(60*1,0)&amp;"%"</f>
        <v>60%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8170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8171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8172</v>
      </c>
      <c r="B6" s="5" t="s">
        <v>14</v>
      </c>
      <c r="C6" s="5" t="s">
        <v>15</v>
      </c>
      <c r="D6" s="5" t="s">
        <v>16</v>
      </c>
      <c r="E6" s="5" t="n">
        <f aca="false">ROUND(5830*1.05,2)</f>
        <v>6121.5</v>
      </c>
      <c r="F6" s="5" t="s">
        <v>17</v>
      </c>
      <c r="G6" s="5" t="s">
        <v>18</v>
      </c>
      <c r="H6" s="5" t="n">
        <f aca="true">ROUND(RAND()*4+6,1)</f>
        <v>9.3</v>
      </c>
      <c r="I6" s="5" t="s">
        <v>19</v>
      </c>
      <c r="J6" s="5" t="str">
        <f aca="false">ROUND(70*1,0)&amp;"%"</f>
        <v>70%</v>
      </c>
    </row>
    <row r="7" customFormat="false" ht="15" hidden="false" customHeight="false" outlineLevel="0" collapsed="false">
      <c r="A7" s="6" t="s">
        <v>8173</v>
      </c>
      <c r="B7" s="6" t="s">
        <v>21</v>
      </c>
      <c r="C7" s="6" t="s">
        <v>15</v>
      </c>
      <c r="D7" s="6" t="s">
        <v>22</v>
      </c>
      <c r="E7" s="6" t="n">
        <f aca="false">ROUND(12036*1.05,2)</f>
        <v>12637.8</v>
      </c>
      <c r="F7" s="6" t="s">
        <v>23</v>
      </c>
      <c r="G7" s="6" t="s">
        <v>24</v>
      </c>
      <c r="H7" s="6" t="n">
        <f aca="true">ROUND(RAND()*4+6,1)</f>
        <v>8.7</v>
      </c>
      <c r="I7" s="6" t="s">
        <v>25</v>
      </c>
      <c r="J7" s="6" t="str">
        <f aca="false">ROUND(76*1,0)&amp;"%"</f>
        <v>76%</v>
      </c>
    </row>
    <row r="8" customFormat="false" ht="15" hidden="false" customHeight="false" outlineLevel="0" collapsed="false">
      <c r="A8" s="5" t="s">
        <v>8174</v>
      </c>
      <c r="B8" s="5" t="s">
        <v>27</v>
      </c>
      <c r="C8" s="5" t="s">
        <v>15</v>
      </c>
      <c r="D8" s="5" t="s">
        <v>28</v>
      </c>
      <c r="E8" s="5" t="n">
        <f aca="false">ROUND(15334*1.05,2)</f>
        <v>16100.7</v>
      </c>
      <c r="F8" s="5" t="s">
        <v>29</v>
      </c>
      <c r="G8" s="5" t="s">
        <v>30</v>
      </c>
      <c r="H8" s="5" t="n">
        <f aca="true">ROUND(RAND()*4+6,1)</f>
        <v>6.8</v>
      </c>
      <c r="I8" s="5" t="s">
        <v>31</v>
      </c>
      <c r="J8" s="5" t="str">
        <f aca="false">ROUND(64*1,0)&amp;"%"</f>
        <v>64%</v>
      </c>
    </row>
    <row r="9" customFormat="false" ht="15" hidden="false" customHeight="false" outlineLevel="0" collapsed="false">
      <c r="A9" s="6" t="s">
        <v>8175</v>
      </c>
      <c r="B9" s="6" t="s">
        <v>33</v>
      </c>
      <c r="C9" s="6" t="s">
        <v>15</v>
      </c>
      <c r="D9" s="6" t="s">
        <v>34</v>
      </c>
      <c r="E9" s="6" t="n">
        <f aca="false">ROUND(17473*1.05,2)</f>
        <v>18346.65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8176</v>
      </c>
      <c r="B10" s="5" t="s">
        <v>38</v>
      </c>
      <c r="C10" s="5" t="s">
        <v>15</v>
      </c>
      <c r="D10" s="5" t="s">
        <v>39</v>
      </c>
      <c r="E10" s="5" t="n">
        <f aca="false">ROUND(10168*1.05,2)</f>
        <v>10676.4</v>
      </c>
      <c r="F10" s="5" t="s">
        <v>40</v>
      </c>
      <c r="G10" s="5" t="s">
        <v>24</v>
      </c>
      <c r="H10" s="5" t="n">
        <f aca="true">ROUND(RAND()*4+6,1)</f>
        <v>8.6</v>
      </c>
      <c r="I10" s="5" t="s">
        <v>41</v>
      </c>
      <c r="J10" s="5" t="str">
        <f aca="false">ROUND(74*1,0)&amp;"%"</f>
        <v>74%</v>
      </c>
    </row>
    <row r="11" customFormat="false" ht="15" hidden="false" customHeight="false" outlineLevel="0" collapsed="false">
      <c r="A11" s="6" t="s">
        <v>8177</v>
      </c>
      <c r="B11" s="6" t="s">
        <v>43</v>
      </c>
      <c r="C11" s="6" t="s">
        <v>15</v>
      </c>
      <c r="D11" s="6" t="s">
        <v>44</v>
      </c>
      <c r="E11" s="6" t="n">
        <f aca="false">ROUND(9126*1.05,2)</f>
        <v>9582.3</v>
      </c>
      <c r="F11" s="6" t="s">
        <v>45</v>
      </c>
      <c r="G11" s="6" t="s">
        <v>30</v>
      </c>
      <c r="H11" s="6" t="n">
        <f aca="true">ROUND(RAND()*4+6,1)</f>
        <v>7.7</v>
      </c>
      <c r="I11" s="6" t="s">
        <v>46</v>
      </c>
      <c r="J11" s="6" t="str">
        <f aca="false">ROUND(63*1,0)&amp;"%"</f>
        <v>63%</v>
      </c>
    </row>
    <row r="12" customFormat="false" ht="15" hidden="false" customHeight="false" outlineLevel="0" collapsed="false">
      <c r="A12" s="5" t="s">
        <v>8178</v>
      </c>
      <c r="B12" s="5" t="s">
        <v>48</v>
      </c>
      <c r="C12" s="5" t="s">
        <v>15</v>
      </c>
      <c r="D12" s="5" t="s">
        <v>16</v>
      </c>
      <c r="E12" s="5" t="n">
        <f aca="false">ROUND(11272*1.05,2)</f>
        <v>11835.6</v>
      </c>
      <c r="F12" s="5" t="s">
        <v>49</v>
      </c>
      <c r="G12" s="5" t="s">
        <v>18</v>
      </c>
      <c r="H12" s="5" t="n">
        <f aca="true">ROUND(RAND()*4+6,1)</f>
        <v>6.9</v>
      </c>
      <c r="I12" s="5" t="s">
        <v>19</v>
      </c>
      <c r="J12" s="5" t="str">
        <f aca="false">ROUND(73*1,0)&amp;"%"</f>
        <v>73%</v>
      </c>
    </row>
    <row r="13" customFormat="false" ht="15" hidden="false" customHeight="false" outlineLevel="0" collapsed="false">
      <c r="A13" s="6" t="s">
        <v>8179</v>
      </c>
      <c r="B13" s="6" t="s">
        <v>51</v>
      </c>
      <c r="C13" s="6" t="s">
        <v>15</v>
      </c>
      <c r="D13" s="6" t="s">
        <v>22</v>
      </c>
      <c r="E13" s="6" t="n">
        <f aca="false">ROUND(7324*1.05,2)</f>
        <v>7690.2</v>
      </c>
      <c r="F13" s="6" t="s">
        <v>52</v>
      </c>
      <c r="G13" s="6" t="s">
        <v>24</v>
      </c>
      <c r="H13" s="6" t="n">
        <f aca="true">ROUND(RAND()*4+6,1)</f>
        <v>6.8</v>
      </c>
      <c r="I13" s="6" t="s">
        <v>25</v>
      </c>
      <c r="J13" s="6" t="str">
        <f aca="false">ROUND(67*1,0)&amp;"%"</f>
        <v>67%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8180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8181</v>
      </c>
      <c r="B18" s="5" t="s">
        <v>56</v>
      </c>
      <c r="C18" s="5" t="s">
        <v>57</v>
      </c>
      <c r="D18" s="5" t="s">
        <v>16</v>
      </c>
      <c r="E18" s="5" t="n">
        <f aca="false">ROUND(5615*1.05,2)</f>
        <v>5895.75</v>
      </c>
      <c r="F18" s="5" t="s">
        <v>17</v>
      </c>
      <c r="G18" s="5" t="s">
        <v>18</v>
      </c>
      <c r="H18" s="5" t="n">
        <f aca="true">ROUND(RAND()*4+6,1)</f>
        <v>6.7</v>
      </c>
      <c r="I18" s="5" t="s">
        <v>19</v>
      </c>
      <c r="J18" s="5" t="str">
        <f aca="false">ROUND(63*1,0)&amp;"%"</f>
        <v>63%</v>
      </c>
    </row>
    <row r="19" customFormat="false" ht="15" hidden="false" customHeight="false" outlineLevel="0" collapsed="false">
      <c r="A19" s="6" t="s">
        <v>8182</v>
      </c>
      <c r="B19" s="6" t="s">
        <v>59</v>
      </c>
      <c r="C19" s="6" t="s">
        <v>57</v>
      </c>
      <c r="D19" s="6" t="s">
        <v>22</v>
      </c>
      <c r="E19" s="6" t="n">
        <f aca="false">ROUND(6794*1.05,2)</f>
        <v>7133.7</v>
      </c>
      <c r="F19" s="6" t="s">
        <v>23</v>
      </c>
      <c r="G19" s="6" t="s">
        <v>24</v>
      </c>
      <c r="H19" s="6" t="n">
        <f aca="true">ROUND(RAND()*4+6,1)</f>
        <v>7.4</v>
      </c>
      <c r="I19" s="6" t="s">
        <v>25</v>
      </c>
      <c r="J19" s="6" t="str">
        <f aca="false">ROUND(74*1,0)&amp;"%"</f>
        <v>74%</v>
      </c>
    </row>
    <row r="20" customFormat="false" ht="15" hidden="false" customHeight="false" outlineLevel="0" collapsed="false">
      <c r="A20" s="5" t="s">
        <v>8183</v>
      </c>
      <c r="B20" s="5" t="s">
        <v>61</v>
      </c>
      <c r="C20" s="5" t="s">
        <v>57</v>
      </c>
      <c r="D20" s="5" t="s">
        <v>28</v>
      </c>
      <c r="E20" s="5" t="n">
        <f aca="false">ROUND(5739*1.05,2)</f>
        <v>6025.95</v>
      </c>
      <c r="F20" s="5" t="s">
        <v>29</v>
      </c>
      <c r="G20" s="5" t="s">
        <v>30</v>
      </c>
      <c r="H20" s="5" t="n">
        <f aca="true">ROUND(RAND()*4+6,1)</f>
        <v>7</v>
      </c>
      <c r="I20" s="5" t="s">
        <v>31</v>
      </c>
      <c r="J20" s="5" t="str">
        <f aca="false">ROUND(78*1,0)&amp;"%"</f>
        <v>78%</v>
      </c>
    </row>
    <row r="21" customFormat="false" ht="15" hidden="false" customHeight="false" outlineLevel="0" collapsed="false">
      <c r="A21" s="6" t="s">
        <v>8184</v>
      </c>
      <c r="B21" s="6" t="s">
        <v>63</v>
      </c>
      <c r="C21" s="6" t="s">
        <v>57</v>
      </c>
      <c r="D21" s="6" t="s">
        <v>34</v>
      </c>
      <c r="E21" s="6" t="n">
        <f aca="false">ROUND(9221*1.05,2)</f>
        <v>9682.05</v>
      </c>
      <c r="F21" s="6" t="s">
        <v>35</v>
      </c>
      <c r="G21" s="6" t="s">
        <v>18</v>
      </c>
      <c r="H21" s="6" t="n">
        <f aca="true">ROUND(RAND()*4+6,1)</f>
        <v>7.8</v>
      </c>
      <c r="I21" s="6" t="s">
        <v>36</v>
      </c>
      <c r="J21" s="6" t="str">
        <f aca="false">ROUND(88*1,0)&amp;"%"</f>
        <v>88%</v>
      </c>
    </row>
    <row r="22" customFormat="false" ht="15" hidden="false" customHeight="false" outlineLevel="0" collapsed="false">
      <c r="A22" s="5" t="s">
        <v>8185</v>
      </c>
      <c r="B22" s="5" t="s">
        <v>65</v>
      </c>
      <c r="C22" s="5" t="s">
        <v>57</v>
      </c>
      <c r="D22" s="5" t="s">
        <v>39</v>
      </c>
      <c r="E22" s="5" t="n">
        <f aca="false">ROUND(5268*1.05,2)</f>
        <v>5531.4</v>
      </c>
      <c r="F22" s="5" t="s">
        <v>40</v>
      </c>
      <c r="G22" s="5" t="s">
        <v>24</v>
      </c>
      <c r="H22" s="5" t="n">
        <f aca="true">ROUND(RAND()*4+6,1)</f>
        <v>9.7</v>
      </c>
      <c r="I22" s="5" t="s">
        <v>41</v>
      </c>
      <c r="J22" s="5" t="str">
        <f aca="false">ROUND(82*1,0)&amp;"%"</f>
        <v>82%</v>
      </c>
    </row>
    <row r="23" customFormat="false" ht="15" hidden="false" customHeight="false" outlineLevel="0" collapsed="false">
      <c r="A23" s="6" t="s">
        <v>8186</v>
      </c>
      <c r="B23" s="6" t="s">
        <v>67</v>
      </c>
      <c r="C23" s="6" t="s">
        <v>57</v>
      </c>
      <c r="D23" s="6" t="s">
        <v>44</v>
      </c>
      <c r="E23" s="6" t="n">
        <f aca="false">ROUND(6994*1.05,2)</f>
        <v>7343.7</v>
      </c>
      <c r="F23" s="6" t="s">
        <v>45</v>
      </c>
      <c r="G23" s="6" t="s">
        <v>30</v>
      </c>
      <c r="H23" s="6" t="n">
        <f aca="true">ROUND(RAND()*4+6,1)</f>
        <v>7.5</v>
      </c>
      <c r="I23" s="6" t="s">
        <v>46</v>
      </c>
      <c r="J23" s="6" t="str">
        <f aca="false">ROUND(87*1,0)&amp;"%"</f>
        <v>87%</v>
      </c>
    </row>
    <row r="24" customFormat="false" ht="15" hidden="false" customHeight="false" outlineLevel="0" collapsed="false">
      <c r="A24" s="5" t="s">
        <v>8187</v>
      </c>
      <c r="B24" s="5" t="s">
        <v>69</v>
      </c>
      <c r="C24" s="5" t="s">
        <v>57</v>
      </c>
      <c r="D24" s="5" t="s">
        <v>16</v>
      </c>
      <c r="E24" s="5" t="n">
        <f aca="false">ROUND(17022*1.05,2)</f>
        <v>17873.1</v>
      </c>
      <c r="F24" s="5" t="s">
        <v>49</v>
      </c>
      <c r="G24" s="5" t="s">
        <v>18</v>
      </c>
      <c r="H24" s="5" t="n">
        <f aca="true">ROUND(RAND()*4+6,1)</f>
        <v>7</v>
      </c>
      <c r="I24" s="5" t="s">
        <v>19</v>
      </c>
      <c r="J24" s="5" t="str">
        <f aca="false">ROUND(68*1,0)&amp;"%"</f>
        <v>68%</v>
      </c>
    </row>
    <row r="25" customFormat="false" ht="15" hidden="false" customHeight="false" outlineLevel="0" collapsed="false">
      <c r="A25" s="6" t="s">
        <v>8188</v>
      </c>
      <c r="B25" s="6" t="s">
        <v>71</v>
      </c>
      <c r="C25" s="6" t="s">
        <v>57</v>
      </c>
      <c r="D25" s="6" t="s">
        <v>22</v>
      </c>
      <c r="E25" s="6" t="n">
        <f aca="false">ROUND(14649*1.05,2)</f>
        <v>15381.45</v>
      </c>
      <c r="F25" s="6" t="s">
        <v>52</v>
      </c>
      <c r="G25" s="6" t="s">
        <v>24</v>
      </c>
      <c r="H25" s="6" t="n">
        <f aca="true">ROUND(RAND()*4+6,1)</f>
        <v>9</v>
      </c>
      <c r="I25" s="6" t="s">
        <v>25</v>
      </c>
      <c r="J25" s="6" t="str">
        <f aca="false">ROUND(97*1,0)&amp;"%"</f>
        <v>97%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8189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8190</v>
      </c>
      <c r="B30" s="5" t="s">
        <v>75</v>
      </c>
      <c r="C30" s="5" t="s">
        <v>76</v>
      </c>
      <c r="D30" s="5" t="s">
        <v>16</v>
      </c>
      <c r="E30" s="5" t="n">
        <f aca="false">ROUND(15793*1.05,2)</f>
        <v>16582.65</v>
      </c>
      <c r="F30" s="5" t="s">
        <v>17</v>
      </c>
      <c r="G30" s="5" t="s">
        <v>18</v>
      </c>
      <c r="H30" s="5" t="n">
        <f aca="true">ROUND(RAND()*4+6,1)</f>
        <v>9.2</v>
      </c>
      <c r="I30" s="5" t="s">
        <v>19</v>
      </c>
      <c r="J30" s="5" t="str">
        <f aca="false">ROUND(60*1,0)&amp;"%"</f>
        <v>60%</v>
      </c>
    </row>
    <row r="31" customFormat="false" ht="15" hidden="false" customHeight="false" outlineLevel="0" collapsed="false">
      <c r="A31" s="6" t="s">
        <v>8191</v>
      </c>
      <c r="B31" s="6" t="s">
        <v>78</v>
      </c>
      <c r="C31" s="6" t="s">
        <v>76</v>
      </c>
      <c r="D31" s="6" t="s">
        <v>22</v>
      </c>
      <c r="E31" s="6" t="n">
        <f aca="false">ROUND(5682*1.05,2)</f>
        <v>5966.1</v>
      </c>
      <c r="F31" s="6" t="s">
        <v>23</v>
      </c>
      <c r="G31" s="6" t="s">
        <v>24</v>
      </c>
      <c r="H31" s="6" t="n">
        <f aca="true">ROUND(RAND()*4+6,1)</f>
        <v>9.1</v>
      </c>
      <c r="I31" s="6" t="s">
        <v>25</v>
      </c>
      <c r="J31" s="6" t="str">
        <f aca="false">ROUND(64*1,0)&amp;"%"</f>
        <v>64%</v>
      </c>
    </row>
    <row r="32" customFormat="false" ht="15" hidden="false" customHeight="false" outlineLevel="0" collapsed="false">
      <c r="A32" s="5" t="s">
        <v>8192</v>
      </c>
      <c r="B32" s="5" t="s">
        <v>80</v>
      </c>
      <c r="C32" s="5" t="s">
        <v>76</v>
      </c>
      <c r="D32" s="5" t="s">
        <v>28</v>
      </c>
      <c r="E32" s="5" t="n">
        <f aca="false">ROUND(4410*1.05,2)</f>
        <v>4630.5</v>
      </c>
      <c r="F32" s="5" t="s">
        <v>29</v>
      </c>
      <c r="G32" s="5" t="s">
        <v>30</v>
      </c>
      <c r="H32" s="5" t="n">
        <f aca="true">ROUND(RAND()*4+6,1)</f>
        <v>6.3</v>
      </c>
      <c r="I32" s="5" t="s">
        <v>31</v>
      </c>
      <c r="J32" s="5" t="str">
        <f aca="false">ROUND(71*1,0)&amp;"%"</f>
        <v>71%</v>
      </c>
    </row>
    <row r="33" customFormat="false" ht="15" hidden="false" customHeight="false" outlineLevel="0" collapsed="false">
      <c r="A33" s="6" t="s">
        <v>8193</v>
      </c>
      <c r="B33" s="6" t="s">
        <v>82</v>
      </c>
      <c r="C33" s="6" t="s">
        <v>76</v>
      </c>
      <c r="D33" s="6" t="s">
        <v>34</v>
      </c>
      <c r="E33" s="6" t="n">
        <f aca="false">ROUND(12085*1.05,2)</f>
        <v>12689.25</v>
      </c>
      <c r="F33" s="6" t="s">
        <v>35</v>
      </c>
      <c r="G33" s="6" t="s">
        <v>18</v>
      </c>
      <c r="H33" s="6" t="n">
        <f aca="true">ROUND(RAND()*4+6,1)</f>
        <v>9.8</v>
      </c>
      <c r="I33" s="6" t="s">
        <v>36</v>
      </c>
      <c r="J33" s="6" t="str">
        <f aca="false">ROUND(70*1,0)&amp;"%"</f>
        <v>70%</v>
      </c>
    </row>
    <row r="34" customFormat="false" ht="15" hidden="false" customHeight="false" outlineLevel="0" collapsed="false">
      <c r="A34" s="5" t="s">
        <v>8194</v>
      </c>
      <c r="B34" s="5" t="s">
        <v>84</v>
      </c>
      <c r="C34" s="5" t="s">
        <v>76</v>
      </c>
      <c r="D34" s="5" t="s">
        <v>39</v>
      </c>
      <c r="E34" s="5" t="n">
        <f aca="false">ROUND(5439*1.05,2)</f>
        <v>5710.95</v>
      </c>
      <c r="F34" s="5" t="s">
        <v>40</v>
      </c>
      <c r="G34" s="5" t="s">
        <v>24</v>
      </c>
      <c r="H34" s="5" t="n">
        <f aca="true">ROUND(RAND()*4+6,1)</f>
        <v>7.1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8195</v>
      </c>
      <c r="B35" s="6" t="s">
        <v>86</v>
      </c>
      <c r="C35" s="6" t="s">
        <v>76</v>
      </c>
      <c r="D35" s="6" t="s">
        <v>44</v>
      </c>
      <c r="E35" s="6" t="n">
        <f aca="false">ROUND(12591*1.05,2)</f>
        <v>13220.55</v>
      </c>
      <c r="F35" s="6" t="s">
        <v>45</v>
      </c>
      <c r="G35" s="6" t="s">
        <v>30</v>
      </c>
      <c r="H35" s="6" t="n">
        <f aca="true">ROUND(RAND()*4+6,1)</f>
        <v>6.9</v>
      </c>
      <c r="I35" s="6" t="s">
        <v>46</v>
      </c>
      <c r="J35" s="6" t="str">
        <f aca="false">ROUND(92*1,0)&amp;"%"</f>
        <v>92%</v>
      </c>
    </row>
    <row r="36" customFormat="false" ht="15" hidden="false" customHeight="false" outlineLevel="0" collapsed="false">
      <c r="A36" s="5" t="s">
        <v>8196</v>
      </c>
      <c r="B36" s="5" t="s">
        <v>88</v>
      </c>
      <c r="C36" s="5" t="s">
        <v>76</v>
      </c>
      <c r="D36" s="5" t="s">
        <v>16</v>
      </c>
      <c r="E36" s="5" t="n">
        <f aca="false">ROUND(11452*1.05,2)</f>
        <v>12024.6</v>
      </c>
      <c r="F36" s="5" t="s">
        <v>49</v>
      </c>
      <c r="G36" s="5" t="s">
        <v>18</v>
      </c>
      <c r="H36" s="5" t="n">
        <f aca="true">ROUND(RAND()*4+6,1)</f>
        <v>6.3</v>
      </c>
      <c r="I36" s="5" t="s">
        <v>19</v>
      </c>
      <c r="J36" s="5" t="str">
        <f aca="false">ROUND(84*1,0)&amp;"%"</f>
        <v>84%</v>
      </c>
    </row>
    <row r="37" customFormat="false" ht="15" hidden="false" customHeight="false" outlineLevel="0" collapsed="false">
      <c r="A37" s="6" t="s">
        <v>8197</v>
      </c>
      <c r="B37" s="6" t="s">
        <v>90</v>
      </c>
      <c r="C37" s="6" t="s">
        <v>76</v>
      </c>
      <c r="D37" s="6" t="s">
        <v>22</v>
      </c>
      <c r="E37" s="6" t="n">
        <f aca="false">ROUND(13096*1.05,2)</f>
        <v>13750.8</v>
      </c>
      <c r="F37" s="6" t="s">
        <v>52</v>
      </c>
      <c r="G37" s="6" t="s">
        <v>24</v>
      </c>
      <c r="H37" s="6" t="n">
        <f aca="true">ROUND(RAND()*4+6,1)</f>
        <v>6.6</v>
      </c>
      <c r="I37" s="6" t="s">
        <v>25</v>
      </c>
      <c r="J37" s="6" t="str">
        <f aca="false">ROUND(86*1,0)&amp;"%"</f>
        <v>86%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8198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8199</v>
      </c>
      <c r="B42" s="5" t="s">
        <v>94</v>
      </c>
      <c r="C42" s="5" t="s">
        <v>95</v>
      </c>
      <c r="D42" s="5" t="s">
        <v>16</v>
      </c>
      <c r="E42" s="5" t="n">
        <f aca="false">ROUND(7108*1.05,2)</f>
        <v>7463.4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ROUND(65*1,0)&amp;"%"</f>
        <v>65%</v>
      </c>
    </row>
    <row r="43" customFormat="false" ht="15" hidden="false" customHeight="false" outlineLevel="0" collapsed="false">
      <c r="A43" s="6" t="s">
        <v>8200</v>
      </c>
      <c r="B43" s="6" t="s">
        <v>97</v>
      </c>
      <c r="C43" s="6" t="s">
        <v>95</v>
      </c>
      <c r="D43" s="6" t="s">
        <v>22</v>
      </c>
      <c r="E43" s="6" t="n">
        <f aca="false">ROUND(16091*1.05,2)</f>
        <v>16895.55</v>
      </c>
      <c r="F43" s="6" t="s">
        <v>23</v>
      </c>
      <c r="G43" s="6" t="s">
        <v>24</v>
      </c>
      <c r="H43" s="6" t="n">
        <f aca="true">ROUND(RAND()*4+6,1)</f>
        <v>8.6</v>
      </c>
      <c r="I43" s="6" t="s">
        <v>25</v>
      </c>
      <c r="J43" s="6" t="str">
        <f aca="false">ROUND(68*1,0)&amp;"%"</f>
        <v>68%</v>
      </c>
    </row>
    <row r="44" customFormat="false" ht="15" hidden="false" customHeight="false" outlineLevel="0" collapsed="false">
      <c r="A44" s="5" t="s">
        <v>8201</v>
      </c>
      <c r="B44" s="5" t="s">
        <v>99</v>
      </c>
      <c r="C44" s="5" t="s">
        <v>95</v>
      </c>
      <c r="D44" s="5" t="s">
        <v>28</v>
      </c>
      <c r="E44" s="5" t="n">
        <f aca="false">ROUND(9923*1.05,2)</f>
        <v>10419.15</v>
      </c>
      <c r="F44" s="5" t="s">
        <v>29</v>
      </c>
      <c r="G44" s="5" t="s">
        <v>30</v>
      </c>
      <c r="H44" s="5" t="n">
        <f aca="true">ROUND(RAND()*4+6,1)</f>
        <v>7.2</v>
      </c>
      <c r="I44" s="5" t="s">
        <v>31</v>
      </c>
      <c r="J44" s="5" t="str">
        <f aca="false">ROUND(85*1,0)&amp;"%"</f>
        <v>85%</v>
      </c>
    </row>
    <row r="45" customFormat="false" ht="15" hidden="false" customHeight="false" outlineLevel="0" collapsed="false">
      <c r="A45" s="6" t="s">
        <v>8202</v>
      </c>
      <c r="B45" s="6" t="s">
        <v>101</v>
      </c>
      <c r="C45" s="6" t="s">
        <v>95</v>
      </c>
      <c r="D45" s="6" t="s">
        <v>34</v>
      </c>
      <c r="E45" s="6" t="n">
        <f aca="false">ROUND(16010*1.05,2)</f>
        <v>16810.5</v>
      </c>
      <c r="F45" s="6" t="s">
        <v>35</v>
      </c>
      <c r="G45" s="6" t="s">
        <v>18</v>
      </c>
      <c r="H45" s="6" t="n">
        <f aca="true">ROUND(RAND()*4+6,1)</f>
        <v>8.8</v>
      </c>
      <c r="I45" s="6" t="s">
        <v>36</v>
      </c>
      <c r="J45" s="6" t="str">
        <f aca="false">ROUND(89*1,0)&amp;"%"</f>
        <v>89%</v>
      </c>
    </row>
    <row r="46" customFormat="false" ht="15" hidden="false" customHeight="false" outlineLevel="0" collapsed="false">
      <c r="A46" s="5" t="s">
        <v>8203</v>
      </c>
      <c r="B46" s="5" t="s">
        <v>103</v>
      </c>
      <c r="C46" s="5" t="s">
        <v>95</v>
      </c>
      <c r="D46" s="5" t="s">
        <v>39</v>
      </c>
      <c r="E46" s="5" t="n">
        <f aca="false">ROUND(8819*1.05,2)</f>
        <v>9259.95</v>
      </c>
      <c r="F46" s="5" t="s">
        <v>40</v>
      </c>
      <c r="G46" s="5" t="s">
        <v>24</v>
      </c>
      <c r="H46" s="5" t="n">
        <f aca="true">ROUND(RAND()*4+6,1)</f>
        <v>9.6</v>
      </c>
      <c r="I46" s="5" t="s">
        <v>41</v>
      </c>
      <c r="J46" s="5" t="str">
        <f aca="false">ROUND(73*1,0)&amp;"%"</f>
        <v>73%</v>
      </c>
    </row>
    <row r="47" customFormat="false" ht="15" hidden="false" customHeight="false" outlineLevel="0" collapsed="false">
      <c r="A47" s="6" t="s">
        <v>8204</v>
      </c>
      <c r="B47" s="6" t="s">
        <v>105</v>
      </c>
      <c r="C47" s="6" t="s">
        <v>95</v>
      </c>
      <c r="D47" s="6" t="s">
        <v>44</v>
      </c>
      <c r="E47" s="6" t="n">
        <f aca="false">ROUND(13880*1.05,2)</f>
        <v>14574</v>
      </c>
      <c r="F47" s="6" t="s">
        <v>45</v>
      </c>
      <c r="G47" s="6" t="s">
        <v>30</v>
      </c>
      <c r="H47" s="6" t="n">
        <f aca="true">ROUND(RAND()*4+6,1)</f>
        <v>7.4</v>
      </c>
      <c r="I47" s="6" t="s">
        <v>46</v>
      </c>
      <c r="J47" s="6" t="str">
        <f aca="false">ROUND(66*1,0)&amp;"%"</f>
        <v>66%</v>
      </c>
    </row>
    <row r="48" customFormat="false" ht="15" hidden="false" customHeight="false" outlineLevel="0" collapsed="false">
      <c r="A48" s="5" t="s">
        <v>8205</v>
      </c>
      <c r="B48" s="5" t="s">
        <v>107</v>
      </c>
      <c r="C48" s="5" t="s">
        <v>95</v>
      </c>
      <c r="D48" s="5" t="s">
        <v>16</v>
      </c>
      <c r="E48" s="5" t="n">
        <f aca="false">ROUND(14908*1.05,2)</f>
        <v>15653.4</v>
      </c>
      <c r="F48" s="5" t="s">
        <v>49</v>
      </c>
      <c r="G48" s="5" t="s">
        <v>18</v>
      </c>
      <c r="H48" s="5" t="n">
        <f aca="true">ROUND(RAND()*4+6,1)</f>
        <v>7.4</v>
      </c>
      <c r="I48" s="5" t="s">
        <v>19</v>
      </c>
      <c r="J48" s="5" t="str">
        <f aca="false">ROUND(100*1,0)&amp;"%"</f>
        <v>100%</v>
      </c>
    </row>
    <row r="49" customFormat="false" ht="15" hidden="false" customHeight="false" outlineLevel="0" collapsed="false">
      <c r="A49" s="6" t="s">
        <v>8206</v>
      </c>
      <c r="B49" s="6" t="s">
        <v>109</v>
      </c>
      <c r="C49" s="6" t="s">
        <v>95</v>
      </c>
      <c r="D49" s="6" t="s">
        <v>22</v>
      </c>
      <c r="E49" s="6" t="n">
        <f aca="false">ROUND(7047*1.05,2)</f>
        <v>7399.35</v>
      </c>
      <c r="F49" s="6" t="s">
        <v>52</v>
      </c>
      <c r="G49" s="6" t="s">
        <v>24</v>
      </c>
      <c r="H49" s="6" t="n">
        <f aca="true">ROUND(RAND()*4+6,1)</f>
        <v>7</v>
      </c>
      <c r="I49" s="6" t="s">
        <v>25</v>
      </c>
      <c r="J49" s="6" t="str">
        <f aca="false">ROUND(72*1,0)&amp;"%"</f>
        <v>72%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8207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8208</v>
      </c>
      <c r="B54" s="5" t="s">
        <v>113</v>
      </c>
      <c r="C54" s="5" t="s">
        <v>114</v>
      </c>
      <c r="D54" s="5" t="s">
        <v>16</v>
      </c>
      <c r="E54" s="5" t="n">
        <f aca="false">ROUND(16221*1.05,2)</f>
        <v>17032.05</v>
      </c>
      <c r="F54" s="5" t="s">
        <v>17</v>
      </c>
      <c r="G54" s="5" t="s">
        <v>18</v>
      </c>
      <c r="H54" s="5" t="n">
        <f aca="true">ROUND(RAND()*4+6,1)</f>
        <v>7.6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8209</v>
      </c>
      <c r="B55" s="6" t="s">
        <v>116</v>
      </c>
      <c r="C55" s="6" t="s">
        <v>114</v>
      </c>
      <c r="D55" s="6" t="s">
        <v>22</v>
      </c>
      <c r="E55" s="6" t="n">
        <f aca="false">ROUND(10350*1.05,2)</f>
        <v>10867.5</v>
      </c>
      <c r="F55" s="6" t="s">
        <v>23</v>
      </c>
      <c r="G55" s="6" t="s">
        <v>24</v>
      </c>
      <c r="H55" s="6" t="n">
        <f aca="true">ROUND(RAND()*4+6,1)</f>
        <v>8</v>
      </c>
      <c r="I55" s="6" t="s">
        <v>25</v>
      </c>
      <c r="J55" s="6" t="str">
        <f aca="false">ROUND(62*1,0)&amp;"%"</f>
        <v>62%</v>
      </c>
    </row>
    <row r="56" customFormat="false" ht="15" hidden="false" customHeight="false" outlineLevel="0" collapsed="false">
      <c r="A56" s="5" t="s">
        <v>8210</v>
      </c>
      <c r="B56" s="5" t="s">
        <v>118</v>
      </c>
      <c r="C56" s="5" t="s">
        <v>114</v>
      </c>
      <c r="D56" s="5" t="s">
        <v>28</v>
      </c>
      <c r="E56" s="5" t="n">
        <f aca="false">ROUND(6784*1.05,2)</f>
        <v>7123.2</v>
      </c>
      <c r="F56" s="5" t="s">
        <v>29</v>
      </c>
      <c r="G56" s="5" t="s">
        <v>30</v>
      </c>
      <c r="H56" s="5" t="n">
        <f aca="true">ROUND(RAND()*4+6,1)</f>
        <v>8.4</v>
      </c>
      <c r="I56" s="5" t="s">
        <v>31</v>
      </c>
      <c r="J56" s="5" t="str">
        <f aca="false">ROUND(86*1,0)&amp;"%"</f>
        <v>86%</v>
      </c>
    </row>
    <row r="57" customFormat="false" ht="15" hidden="false" customHeight="false" outlineLevel="0" collapsed="false">
      <c r="A57" s="6" t="s">
        <v>8211</v>
      </c>
      <c r="B57" s="6" t="s">
        <v>120</v>
      </c>
      <c r="C57" s="6" t="s">
        <v>114</v>
      </c>
      <c r="D57" s="6" t="s">
        <v>34</v>
      </c>
      <c r="E57" s="6" t="n">
        <f aca="false">ROUND(14639*1.05,2)</f>
        <v>15370.95</v>
      </c>
      <c r="F57" s="6" t="s">
        <v>35</v>
      </c>
      <c r="G57" s="6" t="s">
        <v>18</v>
      </c>
      <c r="H57" s="6" t="n">
        <f aca="true">ROUND(RAND()*4+6,1)</f>
        <v>7.3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8212</v>
      </c>
      <c r="B58" s="5" t="s">
        <v>122</v>
      </c>
      <c r="C58" s="5" t="s">
        <v>114</v>
      </c>
      <c r="D58" s="5" t="s">
        <v>39</v>
      </c>
      <c r="E58" s="5" t="n">
        <f aca="false">ROUND(11422*1.05,2)</f>
        <v>11993.1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ROUND(65*1,0)&amp;"%"</f>
        <v>65%</v>
      </c>
    </row>
    <row r="59" customFormat="false" ht="15" hidden="false" customHeight="false" outlineLevel="0" collapsed="false">
      <c r="A59" s="6" t="s">
        <v>8213</v>
      </c>
      <c r="B59" s="6" t="s">
        <v>124</v>
      </c>
      <c r="C59" s="6" t="s">
        <v>114</v>
      </c>
      <c r="D59" s="6" t="s">
        <v>44</v>
      </c>
      <c r="E59" s="6" t="n">
        <f aca="false">ROUND(15820*1.05,2)</f>
        <v>16611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ROUND(72*1,0)&amp;"%"</f>
        <v>72%</v>
      </c>
    </row>
    <row r="60" customFormat="false" ht="15" hidden="false" customHeight="false" outlineLevel="0" collapsed="false">
      <c r="A60" s="5" t="s">
        <v>8214</v>
      </c>
      <c r="B60" s="5" t="s">
        <v>126</v>
      </c>
      <c r="C60" s="5" t="s">
        <v>114</v>
      </c>
      <c r="D60" s="5" t="s">
        <v>16</v>
      </c>
      <c r="E60" s="5" t="n">
        <f aca="false">ROUND(5802*1.05,2)</f>
        <v>6092.1</v>
      </c>
      <c r="F60" s="5" t="s">
        <v>49</v>
      </c>
      <c r="G60" s="5" t="s">
        <v>18</v>
      </c>
      <c r="H60" s="5" t="n">
        <f aca="true">ROUND(RAND()*4+6,1)</f>
        <v>7.4</v>
      </c>
      <c r="I60" s="5" t="s">
        <v>19</v>
      </c>
      <c r="J60" s="5" t="str">
        <f aca="false">ROUND(86*1,0)&amp;"%"</f>
        <v>86%</v>
      </c>
    </row>
    <row r="61" customFormat="false" ht="15" hidden="false" customHeight="false" outlineLevel="0" collapsed="false">
      <c r="A61" s="6" t="s">
        <v>8215</v>
      </c>
      <c r="B61" s="6" t="s">
        <v>128</v>
      </c>
      <c r="C61" s="6" t="s">
        <v>114</v>
      </c>
      <c r="D61" s="6" t="s">
        <v>22</v>
      </c>
      <c r="E61" s="6" t="n">
        <f aca="false">ROUND(12207*1.05,2)</f>
        <v>12817.35</v>
      </c>
      <c r="F61" s="6" t="s">
        <v>52</v>
      </c>
      <c r="G61" s="6" t="s">
        <v>24</v>
      </c>
      <c r="H61" s="6" t="n">
        <f aca="true">ROUND(RAND()*4+6,1)</f>
        <v>9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8216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8217</v>
      </c>
      <c r="B66" s="5" t="s">
        <v>132</v>
      </c>
      <c r="C66" s="5" t="s">
        <v>133</v>
      </c>
      <c r="D66" s="5" t="s">
        <v>16</v>
      </c>
      <c r="E66" s="5" t="n">
        <f aca="false">ROUND(7536*1.05,2)</f>
        <v>7912.8</v>
      </c>
      <c r="F66" s="5" t="s">
        <v>17</v>
      </c>
      <c r="G66" s="5" t="s">
        <v>18</v>
      </c>
      <c r="H66" s="5" t="n">
        <f aca="true">ROUND(RAND()*4+6,1)</f>
        <v>6.4</v>
      </c>
      <c r="I66" s="5" t="s">
        <v>19</v>
      </c>
      <c r="J66" s="5" t="str">
        <f aca="false">ROUND(99*1,0)&amp;"%"</f>
        <v>99%</v>
      </c>
    </row>
    <row r="67" customFormat="false" ht="15" hidden="false" customHeight="false" outlineLevel="0" collapsed="false">
      <c r="A67" s="6" t="s">
        <v>8218</v>
      </c>
      <c r="B67" s="6" t="s">
        <v>135</v>
      </c>
      <c r="C67" s="6" t="s">
        <v>133</v>
      </c>
      <c r="D67" s="6" t="s">
        <v>22</v>
      </c>
      <c r="E67" s="6" t="n">
        <f aca="false">ROUND(9430*1.05,2)</f>
        <v>9901.5</v>
      </c>
      <c r="F67" s="6" t="s">
        <v>23</v>
      </c>
      <c r="G67" s="6" t="s">
        <v>24</v>
      </c>
      <c r="H67" s="6" t="n">
        <f aca="true">ROUND(RAND()*4+6,1)</f>
        <v>9.6</v>
      </c>
      <c r="I67" s="6" t="s">
        <v>25</v>
      </c>
      <c r="J67" s="6" t="str">
        <f aca="false">ROUND(75*1,0)&amp;"%"</f>
        <v>75%</v>
      </c>
    </row>
    <row r="68" customFormat="false" ht="15" hidden="false" customHeight="false" outlineLevel="0" collapsed="false">
      <c r="A68" s="5" t="s">
        <v>8219</v>
      </c>
      <c r="B68" s="5" t="s">
        <v>137</v>
      </c>
      <c r="C68" s="5" t="s">
        <v>133</v>
      </c>
      <c r="D68" s="5" t="s">
        <v>28</v>
      </c>
      <c r="E68" s="5" t="n">
        <f aca="false">ROUND(17782*1.05,2)</f>
        <v>18671.1</v>
      </c>
      <c r="F68" s="5" t="s">
        <v>29</v>
      </c>
      <c r="G68" s="5" t="s">
        <v>30</v>
      </c>
      <c r="H68" s="5" t="n">
        <f aca="true">ROUND(RAND()*4+6,1)</f>
        <v>9.6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8220</v>
      </c>
      <c r="B69" s="6" t="s">
        <v>139</v>
      </c>
      <c r="C69" s="6" t="s">
        <v>133</v>
      </c>
      <c r="D69" s="6" t="s">
        <v>34</v>
      </c>
      <c r="E69" s="6" t="n">
        <f aca="false">ROUND(12995*1.05,2)</f>
        <v>13644.75</v>
      </c>
      <c r="F69" s="6" t="s">
        <v>35</v>
      </c>
      <c r="G69" s="6" t="s">
        <v>18</v>
      </c>
      <c r="H69" s="6" t="n">
        <f aca="true">ROUND(RAND()*4+6,1)</f>
        <v>7.2</v>
      </c>
      <c r="I69" s="6" t="s">
        <v>36</v>
      </c>
      <c r="J69" s="6" t="str">
        <f aca="false">ROUND(81*1,0)&amp;"%"</f>
        <v>81%</v>
      </c>
    </row>
    <row r="70" customFormat="false" ht="15" hidden="false" customHeight="false" outlineLevel="0" collapsed="false">
      <c r="A70" s="5" t="s">
        <v>8221</v>
      </c>
      <c r="B70" s="5" t="s">
        <v>141</v>
      </c>
      <c r="C70" s="5" t="s">
        <v>133</v>
      </c>
      <c r="D70" s="5" t="s">
        <v>39</v>
      </c>
      <c r="E70" s="5" t="n">
        <f aca="false">ROUND(15850*1.05,2)</f>
        <v>16642.5</v>
      </c>
      <c r="F70" s="5" t="s">
        <v>40</v>
      </c>
      <c r="G70" s="5" t="s">
        <v>24</v>
      </c>
      <c r="H70" s="5" t="n">
        <f aca="true">ROUND(RAND()*4+6,1)</f>
        <v>7.3</v>
      </c>
      <c r="I70" s="5" t="s">
        <v>41</v>
      </c>
      <c r="J70" s="5" t="str">
        <f aca="false">ROUND(81*1,0)&amp;"%"</f>
        <v>81%</v>
      </c>
    </row>
    <row r="71" customFormat="false" ht="15" hidden="false" customHeight="false" outlineLevel="0" collapsed="false">
      <c r="A71" s="6" t="s">
        <v>8222</v>
      </c>
      <c r="B71" s="6" t="s">
        <v>143</v>
      </c>
      <c r="C71" s="6" t="s">
        <v>133</v>
      </c>
      <c r="D71" s="6" t="s">
        <v>44</v>
      </c>
      <c r="E71" s="6" t="n">
        <f aca="false">ROUND(13037*1.05,2)</f>
        <v>13688.85</v>
      </c>
      <c r="F71" s="6" t="s">
        <v>45</v>
      </c>
      <c r="G71" s="6" t="s">
        <v>30</v>
      </c>
      <c r="H71" s="6" t="n">
        <f aca="true">ROUND(RAND()*4+6,1)</f>
        <v>7.5</v>
      </c>
      <c r="I71" s="6" t="s">
        <v>46</v>
      </c>
      <c r="J71" s="6" t="str">
        <f aca="false">ROUND(87*1,0)&amp;"%"</f>
        <v>87%</v>
      </c>
    </row>
    <row r="72" customFormat="false" ht="15" hidden="false" customHeight="false" outlineLevel="0" collapsed="false">
      <c r="A72" s="5" t="s">
        <v>8223</v>
      </c>
      <c r="B72" s="5" t="s">
        <v>145</v>
      </c>
      <c r="C72" s="5" t="s">
        <v>133</v>
      </c>
      <c r="D72" s="5" t="s">
        <v>16</v>
      </c>
      <c r="E72" s="5" t="n">
        <f aca="false">ROUND(6300*1.05,2)</f>
        <v>6615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8224</v>
      </c>
      <c r="B73" s="6" t="s">
        <v>147</v>
      </c>
      <c r="C73" s="6" t="s">
        <v>133</v>
      </c>
      <c r="D73" s="6" t="s">
        <v>22</v>
      </c>
      <c r="E73" s="6" t="n">
        <f aca="false">ROUND(16487*1.05,2)</f>
        <v>17311.35</v>
      </c>
      <c r="F73" s="6" t="s">
        <v>52</v>
      </c>
      <c r="G73" s="6" t="s">
        <v>24</v>
      </c>
      <c r="H73" s="6" t="n">
        <f aca="true">ROUND(RAND()*4+6,1)</f>
        <v>9.7</v>
      </c>
      <c r="I73" s="6" t="s">
        <v>25</v>
      </c>
      <c r="J73" s="6" t="str">
        <f aca="false">ROUND(64*1,0)&amp;"%"</f>
        <v>64%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8225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8226</v>
      </c>
      <c r="B78" s="5" t="s">
        <v>151</v>
      </c>
      <c r="C78" s="5" t="s">
        <v>152</v>
      </c>
      <c r="D78" s="5" t="s">
        <v>16</v>
      </c>
      <c r="E78" s="5" t="n">
        <f aca="false">ROUND(4054*1.05,2)</f>
        <v>4256.7</v>
      </c>
      <c r="F78" s="5" t="s">
        <v>17</v>
      </c>
      <c r="G78" s="5" t="s">
        <v>18</v>
      </c>
      <c r="H78" s="5" t="n">
        <f aca="true">ROUND(RAND()*4+6,1)</f>
        <v>7.6</v>
      </c>
      <c r="I78" s="5" t="s">
        <v>19</v>
      </c>
      <c r="J78" s="5" t="str">
        <f aca="false">ROUND(60*1,0)&amp;"%"</f>
        <v>60%</v>
      </c>
    </row>
    <row r="79" customFormat="false" ht="15" hidden="false" customHeight="false" outlineLevel="0" collapsed="false">
      <c r="A79" s="6" t="s">
        <v>8227</v>
      </c>
      <c r="B79" s="6" t="s">
        <v>154</v>
      </c>
      <c r="C79" s="6" t="s">
        <v>152</v>
      </c>
      <c r="D79" s="6" t="s">
        <v>22</v>
      </c>
      <c r="E79" s="6" t="n">
        <f aca="false">ROUND(9038*1.05,2)</f>
        <v>9489.9</v>
      </c>
      <c r="F79" s="6" t="s">
        <v>23</v>
      </c>
      <c r="G79" s="6" t="s">
        <v>24</v>
      </c>
      <c r="H79" s="6" t="n">
        <f aca="true">ROUND(RAND()*4+6,1)</f>
        <v>9.9</v>
      </c>
      <c r="I79" s="6" t="s">
        <v>25</v>
      </c>
      <c r="J79" s="6" t="str">
        <f aca="false">ROUND(84*1,0)&amp;"%"</f>
        <v>84%</v>
      </c>
    </row>
    <row r="80" customFormat="false" ht="15" hidden="false" customHeight="false" outlineLevel="0" collapsed="false">
      <c r="A80" s="5" t="s">
        <v>8228</v>
      </c>
      <c r="B80" s="5" t="s">
        <v>156</v>
      </c>
      <c r="C80" s="5" t="s">
        <v>152</v>
      </c>
      <c r="D80" s="5" t="s">
        <v>28</v>
      </c>
      <c r="E80" s="5" t="n">
        <f aca="false">ROUND(7671*1.05,2)</f>
        <v>8054.55</v>
      </c>
      <c r="F80" s="5" t="s">
        <v>29</v>
      </c>
      <c r="G80" s="5" t="s">
        <v>30</v>
      </c>
      <c r="H80" s="5" t="n">
        <f aca="true">ROUND(RAND()*4+6,1)</f>
        <v>8.6</v>
      </c>
      <c r="I80" s="5" t="s">
        <v>31</v>
      </c>
      <c r="J80" s="5" t="str">
        <f aca="false">ROUND(70*1,0)&amp;"%"</f>
        <v>70%</v>
      </c>
    </row>
    <row r="81" customFormat="false" ht="15" hidden="false" customHeight="false" outlineLevel="0" collapsed="false">
      <c r="A81" s="6" t="s">
        <v>8229</v>
      </c>
      <c r="B81" s="6" t="s">
        <v>158</v>
      </c>
      <c r="C81" s="6" t="s">
        <v>152</v>
      </c>
      <c r="D81" s="6" t="s">
        <v>34</v>
      </c>
      <c r="E81" s="6" t="n">
        <f aca="false">ROUND(5400*1.05,2)</f>
        <v>5670</v>
      </c>
      <c r="F81" s="6" t="s">
        <v>35</v>
      </c>
      <c r="G81" s="6" t="s">
        <v>18</v>
      </c>
      <c r="H81" s="6" t="n">
        <f aca="true">ROUND(RAND()*4+6,1)</f>
        <v>9.7</v>
      </c>
      <c r="I81" s="6" t="s">
        <v>36</v>
      </c>
      <c r="J81" s="6" t="str">
        <f aca="false">ROUND(100*1,0)&amp;"%"</f>
        <v>100%</v>
      </c>
    </row>
    <row r="82" customFormat="false" ht="15" hidden="false" customHeight="false" outlineLevel="0" collapsed="false">
      <c r="A82" s="5" t="s">
        <v>8230</v>
      </c>
      <c r="B82" s="5" t="s">
        <v>160</v>
      </c>
      <c r="C82" s="5" t="s">
        <v>152</v>
      </c>
      <c r="D82" s="5" t="s">
        <v>39</v>
      </c>
      <c r="E82" s="5" t="n">
        <f aca="false">ROUND(14334*1.05,2)</f>
        <v>15050.7</v>
      </c>
      <c r="F82" s="5" t="s">
        <v>40</v>
      </c>
      <c r="G82" s="5" t="s">
        <v>24</v>
      </c>
      <c r="H82" s="5" t="n">
        <f aca="true">ROUND(RAND()*4+6,1)</f>
        <v>6.5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8231</v>
      </c>
      <c r="B83" s="6" t="s">
        <v>162</v>
      </c>
      <c r="C83" s="6" t="s">
        <v>152</v>
      </c>
      <c r="D83" s="6" t="s">
        <v>44</v>
      </c>
      <c r="E83" s="6" t="n">
        <f aca="false">ROUND(15105*1.05,2)</f>
        <v>15860.25</v>
      </c>
      <c r="F83" s="6" t="s">
        <v>45</v>
      </c>
      <c r="G83" s="6" t="s">
        <v>30</v>
      </c>
      <c r="H83" s="6" t="n">
        <f aca="true">ROUND(RAND()*4+6,1)</f>
        <v>9.5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8232</v>
      </c>
      <c r="B84" s="5" t="s">
        <v>164</v>
      </c>
      <c r="C84" s="5" t="s">
        <v>152</v>
      </c>
      <c r="D84" s="5" t="s">
        <v>16</v>
      </c>
      <c r="E84" s="5" t="n">
        <f aca="false">ROUND(17214*1.05,2)</f>
        <v>18074.7</v>
      </c>
      <c r="F84" s="5" t="s">
        <v>49</v>
      </c>
      <c r="G84" s="5" t="s">
        <v>18</v>
      </c>
      <c r="H84" s="5" t="n">
        <f aca="true">ROUND(RAND()*4+6,1)</f>
        <v>6.5</v>
      </c>
      <c r="I84" s="5" t="s">
        <v>19</v>
      </c>
      <c r="J84" s="5" t="str">
        <f aca="false">ROUND(62*1,0)&amp;"%"</f>
        <v>62%</v>
      </c>
    </row>
    <row r="85" customFormat="false" ht="15" hidden="false" customHeight="false" outlineLevel="0" collapsed="false">
      <c r="A85" s="6" t="s">
        <v>8233</v>
      </c>
      <c r="B85" s="6" t="s">
        <v>166</v>
      </c>
      <c r="C85" s="6" t="s">
        <v>152</v>
      </c>
      <c r="D85" s="6" t="s">
        <v>22</v>
      </c>
      <c r="E85" s="6" t="n">
        <f aca="false">ROUND(9286*1.05,2)</f>
        <v>9750.3</v>
      </c>
      <c r="F85" s="6" t="s">
        <v>52</v>
      </c>
      <c r="G85" s="6" t="s">
        <v>24</v>
      </c>
      <c r="H85" s="6" t="n">
        <f aca="true">ROUND(RAND()*4+6,1)</f>
        <v>9.6</v>
      </c>
      <c r="I85" s="6" t="s">
        <v>25</v>
      </c>
      <c r="J85" s="6" t="str">
        <f aca="false">ROUND(97*1,0)&amp;"%"</f>
        <v>97%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8234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8235</v>
      </c>
      <c r="B90" s="5" t="s">
        <v>170</v>
      </c>
      <c r="C90" s="5" t="s">
        <v>15</v>
      </c>
      <c r="D90" s="5" t="s">
        <v>16</v>
      </c>
      <c r="E90" s="5" t="n">
        <f aca="false">ROUND(16795*1.05,2)</f>
        <v>17634.75</v>
      </c>
      <c r="F90" s="5" t="s">
        <v>17</v>
      </c>
      <c r="G90" s="5" t="s">
        <v>18</v>
      </c>
      <c r="H90" s="5" t="n">
        <f aca="true">ROUND(RAND()*4+6,1)</f>
        <v>8.5</v>
      </c>
      <c r="I90" s="5" t="s">
        <v>19</v>
      </c>
      <c r="J90" s="5" t="str">
        <f aca="false">ROUND(86*1,0)&amp;"%"</f>
        <v>86%</v>
      </c>
    </row>
    <row r="91" customFormat="false" ht="15" hidden="false" customHeight="false" outlineLevel="0" collapsed="false">
      <c r="A91" s="6" t="s">
        <v>8236</v>
      </c>
      <c r="B91" s="6" t="s">
        <v>172</v>
      </c>
      <c r="C91" s="6" t="s">
        <v>15</v>
      </c>
      <c r="D91" s="6" t="s">
        <v>22</v>
      </c>
      <c r="E91" s="6" t="n">
        <f aca="false">ROUND(12027*1.05,2)</f>
        <v>12628.35</v>
      </c>
      <c r="F91" s="6" t="s">
        <v>23</v>
      </c>
      <c r="G91" s="6" t="s">
        <v>24</v>
      </c>
      <c r="H91" s="6" t="n">
        <f aca="true">ROUND(RAND()*4+6,1)</f>
        <v>8.2</v>
      </c>
      <c r="I91" s="6" t="s">
        <v>25</v>
      </c>
      <c r="J91" s="6" t="str">
        <f aca="false">ROUND(80*1,0)&amp;"%"</f>
        <v>80%</v>
      </c>
    </row>
    <row r="92" customFormat="false" ht="15" hidden="false" customHeight="false" outlineLevel="0" collapsed="false">
      <c r="A92" s="5" t="s">
        <v>8237</v>
      </c>
      <c r="B92" s="5" t="s">
        <v>174</v>
      </c>
      <c r="C92" s="5" t="s">
        <v>15</v>
      </c>
      <c r="D92" s="5" t="s">
        <v>28</v>
      </c>
      <c r="E92" s="5" t="n">
        <f aca="false">ROUND(6605*1.05,2)</f>
        <v>6935.25</v>
      </c>
      <c r="F92" s="5" t="s">
        <v>29</v>
      </c>
      <c r="G92" s="5" t="s">
        <v>30</v>
      </c>
      <c r="H92" s="5" t="n">
        <f aca="true">ROUND(RAND()*4+6,1)</f>
        <v>6.8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8238</v>
      </c>
      <c r="B93" s="6" t="s">
        <v>176</v>
      </c>
      <c r="C93" s="6" t="s">
        <v>15</v>
      </c>
      <c r="D93" s="6" t="s">
        <v>34</v>
      </c>
      <c r="E93" s="6" t="n">
        <f aca="false">ROUND(4855*1.05,2)</f>
        <v>5097.75</v>
      </c>
      <c r="F93" s="6" t="s">
        <v>35</v>
      </c>
      <c r="G93" s="6" t="s">
        <v>18</v>
      </c>
      <c r="H93" s="6" t="n">
        <f aca="true">ROUND(RAND()*4+6,1)</f>
        <v>8.2</v>
      </c>
      <c r="I93" s="6" t="s">
        <v>36</v>
      </c>
      <c r="J93" s="6" t="str">
        <f aca="false">ROUND(64*1,0)&amp;"%"</f>
        <v>64%</v>
      </c>
    </row>
    <row r="94" customFormat="false" ht="15" hidden="false" customHeight="false" outlineLevel="0" collapsed="false">
      <c r="A94" s="5" t="s">
        <v>8239</v>
      </c>
      <c r="B94" s="5" t="s">
        <v>178</v>
      </c>
      <c r="C94" s="5" t="s">
        <v>15</v>
      </c>
      <c r="D94" s="5" t="s">
        <v>39</v>
      </c>
      <c r="E94" s="5" t="n">
        <f aca="false">ROUND(8288*1.05,2)</f>
        <v>8702.4</v>
      </c>
      <c r="F94" s="5" t="s">
        <v>40</v>
      </c>
      <c r="G94" s="5" t="s">
        <v>24</v>
      </c>
      <c r="H94" s="5" t="n">
        <f aca="true">ROUND(RAND()*4+6,1)</f>
        <v>6.2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8240</v>
      </c>
      <c r="B95" s="6" t="s">
        <v>180</v>
      </c>
      <c r="C95" s="6" t="s">
        <v>15</v>
      </c>
      <c r="D95" s="6" t="s">
        <v>44</v>
      </c>
      <c r="E95" s="6" t="n">
        <f aca="false">ROUND(17237*1.05,2)</f>
        <v>18098.85</v>
      </c>
      <c r="F95" s="6" t="s">
        <v>45</v>
      </c>
      <c r="G95" s="6" t="s">
        <v>30</v>
      </c>
      <c r="H95" s="6" t="n">
        <f aca="true">ROUND(RAND()*4+6,1)</f>
        <v>7.3</v>
      </c>
      <c r="I95" s="6" t="s">
        <v>46</v>
      </c>
      <c r="J95" s="6" t="str">
        <f aca="false">ROUND(91*1,0)&amp;"%"</f>
        <v>91%</v>
      </c>
    </row>
    <row r="96" customFormat="false" ht="15" hidden="false" customHeight="false" outlineLevel="0" collapsed="false">
      <c r="A96" s="5" t="s">
        <v>8241</v>
      </c>
      <c r="B96" s="5" t="s">
        <v>182</v>
      </c>
      <c r="C96" s="5" t="s">
        <v>15</v>
      </c>
      <c r="D96" s="5" t="s">
        <v>16</v>
      </c>
      <c r="E96" s="5" t="n">
        <f aca="false">ROUND(12922*1.05,2)</f>
        <v>13568.1</v>
      </c>
      <c r="F96" s="5" t="s">
        <v>49</v>
      </c>
      <c r="G96" s="5" t="s">
        <v>18</v>
      </c>
      <c r="H96" s="5" t="n">
        <f aca="true">ROUND(RAND()*4+6,1)</f>
        <v>8.8</v>
      </c>
      <c r="I96" s="5" t="s">
        <v>19</v>
      </c>
      <c r="J96" s="5" t="str">
        <f aca="false">ROUND(91*1,0)&amp;"%"</f>
        <v>91%</v>
      </c>
    </row>
    <row r="97" customFormat="false" ht="15" hidden="false" customHeight="false" outlineLevel="0" collapsed="false">
      <c r="A97" s="6" t="s">
        <v>8242</v>
      </c>
      <c r="B97" s="6" t="s">
        <v>184</v>
      </c>
      <c r="C97" s="6" t="s">
        <v>15</v>
      </c>
      <c r="D97" s="6" t="s">
        <v>22</v>
      </c>
      <c r="E97" s="6" t="n">
        <f aca="false">ROUND(16617*1.05,2)</f>
        <v>17447.85</v>
      </c>
      <c r="F97" s="6" t="s">
        <v>52</v>
      </c>
      <c r="G97" s="6" t="s">
        <v>24</v>
      </c>
      <c r="H97" s="6" t="n">
        <f aca="true">ROUND(RAND()*4+6,1)</f>
        <v>7</v>
      </c>
      <c r="I97" s="6" t="s">
        <v>25</v>
      </c>
      <c r="J97" s="6" t="str">
        <f aca="false">ROUND(83*1,0)&amp;"%"</f>
        <v>83%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8243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8244</v>
      </c>
      <c r="B102" s="5" t="s">
        <v>188</v>
      </c>
      <c r="C102" s="5" t="s">
        <v>57</v>
      </c>
      <c r="D102" s="5" t="s">
        <v>16</v>
      </c>
      <c r="E102" s="5" t="n">
        <f aca="false">ROUND(8501*1.05,2)</f>
        <v>8926.05</v>
      </c>
      <c r="F102" s="5" t="s">
        <v>17</v>
      </c>
      <c r="G102" s="5" t="s">
        <v>18</v>
      </c>
      <c r="H102" s="5" t="n">
        <f aca="true">ROUND(RAND()*4+6,1)</f>
        <v>7.1</v>
      </c>
      <c r="I102" s="5" t="s">
        <v>19</v>
      </c>
      <c r="J102" s="5" t="str">
        <f aca="false">ROUND(85*1,0)&amp;"%"</f>
        <v>85%</v>
      </c>
    </row>
    <row r="103" customFormat="false" ht="15" hidden="false" customHeight="false" outlineLevel="0" collapsed="false">
      <c r="A103" s="6" t="s">
        <v>8245</v>
      </c>
      <c r="B103" s="6" t="s">
        <v>190</v>
      </c>
      <c r="C103" s="6" t="s">
        <v>57</v>
      </c>
      <c r="D103" s="6" t="s">
        <v>22</v>
      </c>
      <c r="E103" s="6" t="n">
        <f aca="false">ROUND(9131*1.05,2)</f>
        <v>9587.55</v>
      </c>
      <c r="F103" s="6" t="s">
        <v>23</v>
      </c>
      <c r="G103" s="6" t="s">
        <v>24</v>
      </c>
      <c r="H103" s="6" t="n">
        <f aca="true">ROUND(RAND()*4+6,1)</f>
        <v>7.7</v>
      </c>
      <c r="I103" s="6" t="s">
        <v>25</v>
      </c>
      <c r="J103" s="6" t="str">
        <f aca="false">ROUND(86*1,0)&amp;"%"</f>
        <v>86%</v>
      </c>
    </row>
    <row r="104" customFormat="false" ht="15" hidden="false" customHeight="false" outlineLevel="0" collapsed="false">
      <c r="A104" s="5" t="s">
        <v>8246</v>
      </c>
      <c r="B104" s="5" t="s">
        <v>192</v>
      </c>
      <c r="C104" s="5" t="s">
        <v>57</v>
      </c>
      <c r="D104" s="5" t="s">
        <v>28</v>
      </c>
      <c r="E104" s="5" t="n">
        <f aca="false">ROUND(13608*1.05,2)</f>
        <v>14288.4</v>
      </c>
      <c r="F104" s="5" t="s">
        <v>29</v>
      </c>
      <c r="G104" s="5" t="s">
        <v>30</v>
      </c>
      <c r="H104" s="5" t="n">
        <f aca="true">ROUND(RAND()*4+6,1)</f>
        <v>8.7</v>
      </c>
      <c r="I104" s="5" t="s">
        <v>31</v>
      </c>
      <c r="J104" s="5" t="str">
        <f aca="false">ROUND(71*1,0)&amp;"%"</f>
        <v>71%</v>
      </c>
    </row>
    <row r="105" customFormat="false" ht="15" hidden="false" customHeight="false" outlineLevel="0" collapsed="false">
      <c r="A105" s="6" t="s">
        <v>8247</v>
      </c>
      <c r="B105" s="6" t="s">
        <v>194</v>
      </c>
      <c r="C105" s="6" t="s">
        <v>57</v>
      </c>
      <c r="D105" s="6" t="s">
        <v>34</v>
      </c>
      <c r="E105" s="6" t="n">
        <f aca="false">ROUND(6274*1.05,2)</f>
        <v>6587.7</v>
      </c>
      <c r="F105" s="6" t="s">
        <v>35</v>
      </c>
      <c r="G105" s="6" t="s">
        <v>18</v>
      </c>
      <c r="H105" s="6" t="n">
        <f aca="true">ROUND(RAND()*4+6,1)</f>
        <v>8.4</v>
      </c>
      <c r="I105" s="6" t="s">
        <v>36</v>
      </c>
      <c r="J105" s="6" t="str">
        <f aca="false">ROUND(89*1,0)&amp;"%"</f>
        <v>89%</v>
      </c>
    </row>
    <row r="106" customFormat="false" ht="15" hidden="false" customHeight="false" outlineLevel="0" collapsed="false">
      <c r="A106" s="5" t="s">
        <v>8248</v>
      </c>
      <c r="B106" s="5" t="s">
        <v>196</v>
      </c>
      <c r="C106" s="5" t="s">
        <v>57</v>
      </c>
      <c r="D106" s="5" t="s">
        <v>39</v>
      </c>
      <c r="E106" s="5" t="n">
        <f aca="false">ROUND(15697*1.05,2)</f>
        <v>16481.85</v>
      </c>
      <c r="F106" s="5" t="s">
        <v>40</v>
      </c>
      <c r="G106" s="5" t="s">
        <v>24</v>
      </c>
      <c r="H106" s="5" t="n">
        <f aca="true">ROUND(RAND()*4+6,1)</f>
        <v>6.2</v>
      </c>
      <c r="I106" s="5" t="s">
        <v>41</v>
      </c>
      <c r="J106" s="5" t="str">
        <f aca="false">ROUND(83*1,0)&amp;"%"</f>
        <v>83%</v>
      </c>
    </row>
    <row r="107" customFormat="false" ht="15" hidden="false" customHeight="false" outlineLevel="0" collapsed="false">
      <c r="A107" s="6" t="s">
        <v>8249</v>
      </c>
      <c r="B107" s="6" t="s">
        <v>198</v>
      </c>
      <c r="C107" s="6" t="s">
        <v>57</v>
      </c>
      <c r="D107" s="6" t="s">
        <v>44</v>
      </c>
      <c r="E107" s="6" t="n">
        <f aca="false">ROUND(10922*1.05,2)</f>
        <v>11468.1</v>
      </c>
      <c r="F107" s="6" t="s">
        <v>45</v>
      </c>
      <c r="G107" s="6" t="s">
        <v>30</v>
      </c>
      <c r="H107" s="6" t="n">
        <f aca="true">ROUND(RAND()*4+6,1)</f>
        <v>8.7</v>
      </c>
      <c r="I107" s="6" t="s">
        <v>46</v>
      </c>
      <c r="J107" s="6" t="str">
        <f aca="false">ROUND(75*1,0)&amp;"%"</f>
        <v>75%</v>
      </c>
    </row>
    <row r="108" customFormat="false" ht="15" hidden="false" customHeight="false" outlineLevel="0" collapsed="false">
      <c r="A108" s="5" t="s">
        <v>8250</v>
      </c>
      <c r="B108" s="5" t="s">
        <v>200</v>
      </c>
      <c r="C108" s="5" t="s">
        <v>57</v>
      </c>
      <c r="D108" s="5" t="s">
        <v>16</v>
      </c>
      <c r="E108" s="5" t="n">
        <f aca="false">ROUND(14274*1.05,2)</f>
        <v>14987.7</v>
      </c>
      <c r="F108" s="5" t="s">
        <v>49</v>
      </c>
      <c r="G108" s="5" t="s">
        <v>18</v>
      </c>
      <c r="H108" s="5" t="n">
        <f aca="true">ROUND(RAND()*4+6,1)</f>
        <v>9.7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8251</v>
      </c>
      <c r="B109" s="6" t="s">
        <v>202</v>
      </c>
      <c r="C109" s="6" t="s">
        <v>57</v>
      </c>
      <c r="D109" s="6" t="s">
        <v>22</v>
      </c>
      <c r="E109" s="6" t="n">
        <f aca="false">ROUND(16680*1.05,2)</f>
        <v>17514</v>
      </c>
      <c r="F109" s="6" t="s">
        <v>52</v>
      </c>
      <c r="G109" s="6" t="s">
        <v>24</v>
      </c>
      <c r="H109" s="6" t="n">
        <f aca="true">ROUND(RAND()*4+6,1)</f>
        <v>7.7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8252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8253</v>
      </c>
      <c r="B114" s="5" t="s">
        <v>206</v>
      </c>
      <c r="C114" s="5" t="s">
        <v>76</v>
      </c>
      <c r="D114" s="5" t="s">
        <v>16</v>
      </c>
      <c r="E114" s="5" t="n">
        <f aca="false">ROUND(15236*1.05,2)</f>
        <v>15997.8</v>
      </c>
      <c r="F114" s="5" t="s">
        <v>17</v>
      </c>
      <c r="G114" s="5" t="s">
        <v>18</v>
      </c>
      <c r="H114" s="5" t="n">
        <f aca="true">ROUND(RAND()*4+6,1)</f>
        <v>6</v>
      </c>
      <c r="I114" s="5" t="s">
        <v>19</v>
      </c>
      <c r="J114" s="5" t="str">
        <f aca="false">ROUND(87*1,0)&amp;"%"</f>
        <v>87%</v>
      </c>
    </row>
    <row r="115" customFormat="false" ht="15" hidden="false" customHeight="false" outlineLevel="0" collapsed="false">
      <c r="A115" s="6" t="s">
        <v>8254</v>
      </c>
      <c r="B115" s="6" t="s">
        <v>208</v>
      </c>
      <c r="C115" s="6" t="s">
        <v>76</v>
      </c>
      <c r="D115" s="6" t="s">
        <v>22</v>
      </c>
      <c r="E115" s="6" t="n">
        <f aca="false">ROUND(17707*1.05,2)</f>
        <v>18592.35</v>
      </c>
      <c r="F115" s="6" t="s">
        <v>23</v>
      </c>
      <c r="G115" s="6" t="s">
        <v>24</v>
      </c>
      <c r="H115" s="6" t="n">
        <f aca="true">ROUND(RAND()*4+6,1)</f>
        <v>6</v>
      </c>
      <c r="I115" s="6" t="s">
        <v>25</v>
      </c>
      <c r="J115" s="6" t="str">
        <f aca="false">ROUND(61*1,0)&amp;"%"</f>
        <v>61%</v>
      </c>
    </row>
    <row r="116" customFormat="false" ht="15" hidden="false" customHeight="false" outlineLevel="0" collapsed="false">
      <c r="A116" s="5" t="s">
        <v>8255</v>
      </c>
      <c r="B116" s="5" t="s">
        <v>210</v>
      </c>
      <c r="C116" s="5" t="s">
        <v>76</v>
      </c>
      <c r="D116" s="5" t="s">
        <v>28</v>
      </c>
      <c r="E116" s="5" t="n">
        <f aca="false">ROUND(7774*1.05,2)</f>
        <v>8162.7</v>
      </c>
      <c r="F116" s="5" t="s">
        <v>29</v>
      </c>
      <c r="G116" s="5" t="s">
        <v>30</v>
      </c>
      <c r="H116" s="5" t="n">
        <f aca="true">ROUND(RAND()*4+6,1)</f>
        <v>8.4</v>
      </c>
      <c r="I116" s="5" t="s">
        <v>31</v>
      </c>
      <c r="J116" s="5" t="str">
        <f aca="false">ROUND(98*1,0)&amp;"%"</f>
        <v>98%</v>
      </c>
    </row>
    <row r="117" customFormat="false" ht="15" hidden="false" customHeight="false" outlineLevel="0" collapsed="false">
      <c r="A117" s="6" t="s">
        <v>8256</v>
      </c>
      <c r="B117" s="6" t="s">
        <v>212</v>
      </c>
      <c r="C117" s="6" t="s">
        <v>76</v>
      </c>
      <c r="D117" s="6" t="s">
        <v>34</v>
      </c>
      <c r="E117" s="6" t="n">
        <f aca="false">ROUND(4159*1.05,2)</f>
        <v>4366.95</v>
      </c>
      <c r="F117" s="6" t="s">
        <v>35</v>
      </c>
      <c r="G117" s="6" t="s">
        <v>18</v>
      </c>
      <c r="H117" s="6" t="n">
        <f aca="true">ROUND(RAND()*4+6,1)</f>
        <v>6</v>
      </c>
      <c r="I117" s="6" t="s">
        <v>36</v>
      </c>
      <c r="J117" s="6" t="str">
        <f aca="false">ROUND(94*1,0)&amp;"%"</f>
        <v>94%</v>
      </c>
    </row>
    <row r="118" customFormat="false" ht="15" hidden="false" customHeight="false" outlineLevel="0" collapsed="false">
      <c r="A118" s="5" t="s">
        <v>8257</v>
      </c>
      <c r="B118" s="5" t="s">
        <v>214</v>
      </c>
      <c r="C118" s="5" t="s">
        <v>76</v>
      </c>
      <c r="D118" s="5" t="s">
        <v>39</v>
      </c>
      <c r="E118" s="5" t="n">
        <f aca="false">ROUND(4372*1.05,2)</f>
        <v>4590.6</v>
      </c>
      <c r="F118" s="5" t="s">
        <v>40</v>
      </c>
      <c r="G118" s="5" t="s">
        <v>24</v>
      </c>
      <c r="H118" s="5" t="n">
        <f aca="true">ROUND(RAND()*4+6,1)</f>
        <v>6.8</v>
      </c>
      <c r="I118" s="5" t="s">
        <v>41</v>
      </c>
      <c r="J118" s="5" t="str">
        <f aca="false">ROUND(65*1,0)&amp;"%"</f>
        <v>65%</v>
      </c>
    </row>
    <row r="119" customFormat="false" ht="15" hidden="false" customHeight="false" outlineLevel="0" collapsed="false">
      <c r="A119" s="6" t="s">
        <v>8258</v>
      </c>
      <c r="B119" s="6" t="s">
        <v>216</v>
      </c>
      <c r="C119" s="6" t="s">
        <v>76</v>
      </c>
      <c r="D119" s="6" t="s">
        <v>44</v>
      </c>
      <c r="E119" s="6" t="n">
        <f aca="false">ROUND(6824*1.05,2)</f>
        <v>7165.2</v>
      </c>
      <c r="F119" s="6" t="s">
        <v>45</v>
      </c>
      <c r="G119" s="6" t="s">
        <v>30</v>
      </c>
      <c r="H119" s="6" t="n">
        <f aca="true">ROUND(RAND()*4+6,1)</f>
        <v>6.6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8259</v>
      </c>
      <c r="B120" s="5" t="s">
        <v>218</v>
      </c>
      <c r="C120" s="5" t="s">
        <v>76</v>
      </c>
      <c r="D120" s="5" t="s">
        <v>16</v>
      </c>
      <c r="E120" s="5" t="n">
        <f aca="false">ROUND(9613*1.05,2)</f>
        <v>10093.65</v>
      </c>
      <c r="F120" s="5" t="s">
        <v>49</v>
      </c>
      <c r="G120" s="5" t="s">
        <v>18</v>
      </c>
      <c r="H120" s="5" t="n">
        <f aca="true">ROUND(RAND()*4+6,1)</f>
        <v>8.5</v>
      </c>
      <c r="I120" s="5" t="s">
        <v>19</v>
      </c>
      <c r="J120" s="5" t="str">
        <f aca="false">ROUND(63*1,0)&amp;"%"</f>
        <v>63%</v>
      </c>
    </row>
    <row r="121" customFormat="false" ht="15" hidden="false" customHeight="false" outlineLevel="0" collapsed="false">
      <c r="A121" s="6" t="s">
        <v>8260</v>
      </c>
      <c r="B121" s="6" t="s">
        <v>220</v>
      </c>
      <c r="C121" s="6" t="s">
        <v>76</v>
      </c>
      <c r="D121" s="6" t="s">
        <v>22</v>
      </c>
      <c r="E121" s="6" t="n">
        <f aca="false">ROUND(8849*1.05,2)</f>
        <v>9291.45</v>
      </c>
      <c r="F121" s="6" t="s">
        <v>52</v>
      </c>
      <c r="G121" s="6" t="s">
        <v>24</v>
      </c>
      <c r="H121" s="6" t="n">
        <f aca="true">ROUND(RAND()*4+6,1)</f>
        <v>7.6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8261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8262</v>
      </c>
      <c r="B126" s="5" t="s">
        <v>224</v>
      </c>
      <c r="C126" s="5" t="s">
        <v>95</v>
      </c>
      <c r="D126" s="5" t="s">
        <v>16</v>
      </c>
      <c r="E126" s="5" t="n">
        <f aca="false">ROUND(8270*1.05,2)</f>
        <v>8683.5</v>
      </c>
      <c r="F126" s="5" t="s">
        <v>17</v>
      </c>
      <c r="G126" s="5" t="s">
        <v>18</v>
      </c>
      <c r="H126" s="5" t="n">
        <f aca="true">ROUND(RAND()*4+6,1)</f>
        <v>6.9</v>
      </c>
      <c r="I126" s="5" t="s">
        <v>19</v>
      </c>
      <c r="J126" s="5" t="str">
        <f aca="false">ROUND(85*1,0)&amp;"%"</f>
        <v>85%</v>
      </c>
    </row>
    <row r="127" customFormat="false" ht="15" hidden="false" customHeight="false" outlineLevel="0" collapsed="false">
      <c r="A127" s="6" t="s">
        <v>8263</v>
      </c>
      <c r="B127" s="6" t="s">
        <v>226</v>
      </c>
      <c r="C127" s="6" t="s">
        <v>95</v>
      </c>
      <c r="D127" s="6" t="s">
        <v>22</v>
      </c>
      <c r="E127" s="6" t="n">
        <f aca="false">ROUND(9791*1.05,2)</f>
        <v>10280.55</v>
      </c>
      <c r="F127" s="6" t="s">
        <v>23</v>
      </c>
      <c r="G127" s="6" t="s">
        <v>24</v>
      </c>
      <c r="H127" s="6" t="n">
        <f aca="true">ROUND(RAND()*4+6,1)</f>
        <v>6.3</v>
      </c>
      <c r="I127" s="6" t="s">
        <v>25</v>
      </c>
      <c r="J127" s="6" t="str">
        <f aca="false">ROUND(79*1,0)&amp;"%"</f>
        <v>79%</v>
      </c>
    </row>
    <row r="128" customFormat="false" ht="15" hidden="false" customHeight="false" outlineLevel="0" collapsed="false">
      <c r="A128" s="5" t="s">
        <v>8264</v>
      </c>
      <c r="B128" s="5" t="s">
        <v>228</v>
      </c>
      <c r="C128" s="5" t="s">
        <v>95</v>
      </c>
      <c r="D128" s="5" t="s">
        <v>28</v>
      </c>
      <c r="E128" s="5" t="n">
        <f aca="false">ROUND(6219*1.05,2)</f>
        <v>6529.95</v>
      </c>
      <c r="F128" s="5" t="s">
        <v>29</v>
      </c>
      <c r="G128" s="5" t="s">
        <v>30</v>
      </c>
      <c r="H128" s="5" t="n">
        <f aca="true">ROUND(RAND()*4+6,1)</f>
        <v>9.1</v>
      </c>
      <c r="I128" s="5" t="s">
        <v>31</v>
      </c>
      <c r="J128" s="5" t="str">
        <f aca="false">ROUND(76*1,0)&amp;"%"</f>
        <v>76%</v>
      </c>
    </row>
    <row r="129" customFormat="false" ht="15" hidden="false" customHeight="false" outlineLevel="0" collapsed="false">
      <c r="A129" s="6" t="s">
        <v>8265</v>
      </c>
      <c r="B129" s="6" t="s">
        <v>230</v>
      </c>
      <c r="C129" s="6" t="s">
        <v>95</v>
      </c>
      <c r="D129" s="6" t="s">
        <v>34</v>
      </c>
      <c r="E129" s="6" t="n">
        <f aca="false">ROUND(7724*1.05,2)</f>
        <v>8110.2</v>
      </c>
      <c r="F129" s="6" t="s">
        <v>35</v>
      </c>
      <c r="G129" s="6" t="s">
        <v>18</v>
      </c>
      <c r="H129" s="6" t="n">
        <f aca="true">ROUND(RAND()*4+6,1)</f>
        <v>8</v>
      </c>
      <c r="I129" s="6" t="s">
        <v>36</v>
      </c>
      <c r="J129" s="6" t="str">
        <f aca="false">ROUND(65*1,0)&amp;"%"</f>
        <v>65%</v>
      </c>
    </row>
    <row r="130" customFormat="false" ht="15" hidden="false" customHeight="false" outlineLevel="0" collapsed="false">
      <c r="A130" s="5" t="s">
        <v>8266</v>
      </c>
      <c r="B130" s="5" t="s">
        <v>232</v>
      </c>
      <c r="C130" s="5" t="s">
        <v>95</v>
      </c>
      <c r="D130" s="5" t="s">
        <v>39</v>
      </c>
      <c r="E130" s="5" t="n">
        <f aca="false">ROUND(8961*1.05,2)</f>
        <v>9409.05</v>
      </c>
      <c r="F130" s="5" t="s">
        <v>40</v>
      </c>
      <c r="G130" s="5" t="s">
        <v>24</v>
      </c>
      <c r="H130" s="5" t="n">
        <f aca="true">ROUND(RAND()*4+6,1)</f>
        <v>9.4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8267</v>
      </c>
      <c r="B131" s="6" t="s">
        <v>234</v>
      </c>
      <c r="C131" s="6" t="s">
        <v>95</v>
      </c>
      <c r="D131" s="6" t="s">
        <v>44</v>
      </c>
      <c r="E131" s="6" t="n">
        <f aca="false">ROUND(15862*1.05,2)</f>
        <v>16655.1</v>
      </c>
      <c r="F131" s="6" t="s">
        <v>45</v>
      </c>
      <c r="G131" s="6" t="s">
        <v>30</v>
      </c>
      <c r="H131" s="6" t="n">
        <f aca="true">ROUND(RAND()*4+6,1)</f>
        <v>7.6</v>
      </c>
      <c r="I131" s="6" t="s">
        <v>46</v>
      </c>
      <c r="J131" s="6" t="str">
        <f aca="false">ROUND(87*1,0)&amp;"%"</f>
        <v>87%</v>
      </c>
    </row>
    <row r="132" customFormat="false" ht="15" hidden="false" customHeight="false" outlineLevel="0" collapsed="false">
      <c r="A132" s="5" t="s">
        <v>8268</v>
      </c>
      <c r="B132" s="5" t="s">
        <v>236</v>
      </c>
      <c r="C132" s="5" t="s">
        <v>95</v>
      </c>
      <c r="D132" s="5" t="s">
        <v>16</v>
      </c>
      <c r="E132" s="5" t="n">
        <f aca="false">ROUND(6149*1.05,2)</f>
        <v>6456.45</v>
      </c>
      <c r="F132" s="5" t="s">
        <v>49</v>
      </c>
      <c r="G132" s="5" t="s">
        <v>18</v>
      </c>
      <c r="H132" s="5" t="n">
        <f aca="true">ROUND(RAND()*4+6,1)</f>
        <v>8.6</v>
      </c>
      <c r="I132" s="5" t="s">
        <v>19</v>
      </c>
      <c r="J132" s="5" t="str">
        <f aca="false">ROUND(81*1,0)&amp;"%"</f>
        <v>81%</v>
      </c>
    </row>
    <row r="133" customFormat="false" ht="15" hidden="false" customHeight="false" outlineLevel="0" collapsed="false">
      <c r="A133" s="6" t="s">
        <v>8269</v>
      </c>
      <c r="B133" s="6" t="s">
        <v>238</v>
      </c>
      <c r="C133" s="6" t="s">
        <v>95</v>
      </c>
      <c r="D133" s="6" t="s">
        <v>22</v>
      </c>
      <c r="E133" s="6" t="n">
        <f aca="false">ROUND(12076*1.05,2)</f>
        <v>12679.8</v>
      </c>
      <c r="F133" s="6" t="s">
        <v>52</v>
      </c>
      <c r="G133" s="6" t="s">
        <v>24</v>
      </c>
      <c r="H133" s="6" t="n">
        <f aca="true">ROUND(RAND()*4+6,1)</f>
        <v>8.4</v>
      </c>
      <c r="I133" s="6" t="s">
        <v>25</v>
      </c>
      <c r="J133" s="6" t="str">
        <f aca="false">ROUND(62*1,0)&amp;"%"</f>
        <v>62%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8270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8271</v>
      </c>
      <c r="B138" s="5" t="s">
        <v>242</v>
      </c>
      <c r="C138" s="5" t="s">
        <v>114</v>
      </c>
      <c r="D138" s="5" t="s">
        <v>16</v>
      </c>
      <c r="E138" s="5" t="n">
        <f aca="false">ROUND(13211*1.05,2)</f>
        <v>13871.55</v>
      </c>
      <c r="F138" s="5" t="s">
        <v>17</v>
      </c>
      <c r="G138" s="5" t="s">
        <v>18</v>
      </c>
      <c r="H138" s="5" t="n">
        <f aca="true">ROUND(RAND()*4+6,1)</f>
        <v>7.1</v>
      </c>
      <c r="I138" s="5" t="s">
        <v>19</v>
      </c>
      <c r="J138" s="5" t="str">
        <f aca="false">ROUND(67*1,0)&amp;"%"</f>
        <v>67%</v>
      </c>
    </row>
    <row r="139" customFormat="false" ht="15" hidden="false" customHeight="false" outlineLevel="0" collapsed="false">
      <c r="A139" s="6" t="s">
        <v>8272</v>
      </c>
      <c r="B139" s="6" t="s">
        <v>244</v>
      </c>
      <c r="C139" s="6" t="s">
        <v>114</v>
      </c>
      <c r="D139" s="6" t="s">
        <v>22</v>
      </c>
      <c r="E139" s="6" t="n">
        <f aca="false">ROUND(9440*1.05,2)</f>
        <v>9912</v>
      </c>
      <c r="F139" s="6" t="s">
        <v>23</v>
      </c>
      <c r="G139" s="6" t="s">
        <v>24</v>
      </c>
      <c r="H139" s="6" t="n">
        <f aca="true">ROUND(RAND()*4+6,1)</f>
        <v>9.9</v>
      </c>
      <c r="I139" s="6" t="s">
        <v>25</v>
      </c>
      <c r="J139" s="6" t="str">
        <f aca="false">ROUND(93*1,0)&amp;"%"</f>
        <v>93%</v>
      </c>
    </row>
    <row r="140" customFormat="false" ht="15" hidden="false" customHeight="false" outlineLevel="0" collapsed="false">
      <c r="A140" s="5" t="s">
        <v>8273</v>
      </c>
      <c r="B140" s="5" t="s">
        <v>246</v>
      </c>
      <c r="C140" s="5" t="s">
        <v>114</v>
      </c>
      <c r="D140" s="5" t="s">
        <v>28</v>
      </c>
      <c r="E140" s="5" t="n">
        <f aca="false">ROUND(14300*1.05,2)</f>
        <v>15015</v>
      </c>
      <c r="F140" s="5" t="s">
        <v>29</v>
      </c>
      <c r="G140" s="5" t="s">
        <v>30</v>
      </c>
      <c r="H140" s="5" t="n">
        <f aca="true">ROUND(RAND()*4+6,1)</f>
        <v>8</v>
      </c>
      <c r="I140" s="5" t="s">
        <v>31</v>
      </c>
      <c r="J140" s="5" t="str">
        <f aca="false">ROUND(68*1,0)&amp;"%"</f>
        <v>68%</v>
      </c>
    </row>
    <row r="141" customFormat="false" ht="15" hidden="false" customHeight="false" outlineLevel="0" collapsed="false">
      <c r="A141" s="6" t="s">
        <v>8274</v>
      </c>
      <c r="B141" s="6" t="s">
        <v>248</v>
      </c>
      <c r="C141" s="6" t="s">
        <v>114</v>
      </c>
      <c r="D141" s="6" t="s">
        <v>34</v>
      </c>
      <c r="E141" s="6" t="n">
        <f aca="false">ROUND(15519*1.05,2)</f>
        <v>16294.95</v>
      </c>
      <c r="F141" s="6" t="s">
        <v>35</v>
      </c>
      <c r="G141" s="6" t="s">
        <v>18</v>
      </c>
      <c r="H141" s="6" t="n">
        <f aca="true">ROUND(RAND()*4+6,1)</f>
        <v>6.7</v>
      </c>
      <c r="I141" s="6" t="s">
        <v>36</v>
      </c>
      <c r="J141" s="6" t="str">
        <f aca="false">ROUND(81*1,0)&amp;"%"</f>
        <v>81%</v>
      </c>
    </row>
    <row r="142" customFormat="false" ht="15" hidden="false" customHeight="false" outlineLevel="0" collapsed="false">
      <c r="A142" s="5" t="s">
        <v>8275</v>
      </c>
      <c r="B142" s="5" t="s">
        <v>250</v>
      </c>
      <c r="C142" s="5" t="s">
        <v>114</v>
      </c>
      <c r="D142" s="5" t="s">
        <v>39</v>
      </c>
      <c r="E142" s="5" t="n">
        <f aca="false">ROUND(12466*1.05,2)</f>
        <v>13089.3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ROUND(63*1,0)&amp;"%"</f>
        <v>63%</v>
      </c>
    </row>
    <row r="143" customFormat="false" ht="15" hidden="false" customHeight="false" outlineLevel="0" collapsed="false">
      <c r="A143" s="6" t="s">
        <v>8276</v>
      </c>
      <c r="B143" s="6" t="s">
        <v>252</v>
      </c>
      <c r="C143" s="6" t="s">
        <v>114</v>
      </c>
      <c r="D143" s="6" t="s">
        <v>44</v>
      </c>
      <c r="E143" s="6" t="n">
        <f aca="false">ROUND(15794*1.05,2)</f>
        <v>16583.7</v>
      </c>
      <c r="F143" s="6" t="s">
        <v>45</v>
      </c>
      <c r="G143" s="6" t="s">
        <v>30</v>
      </c>
      <c r="H143" s="6" t="n">
        <f aca="true">ROUND(RAND()*4+6,1)</f>
        <v>8.8</v>
      </c>
      <c r="I143" s="6" t="s">
        <v>46</v>
      </c>
      <c r="J143" s="6" t="str">
        <f aca="false">ROUND(84*1,0)&amp;"%"</f>
        <v>84%</v>
      </c>
    </row>
    <row r="144" customFormat="false" ht="15" hidden="false" customHeight="false" outlineLevel="0" collapsed="false">
      <c r="A144" s="5" t="s">
        <v>8277</v>
      </c>
      <c r="B144" s="5" t="s">
        <v>254</v>
      </c>
      <c r="C144" s="5" t="s">
        <v>114</v>
      </c>
      <c r="D144" s="5" t="s">
        <v>16</v>
      </c>
      <c r="E144" s="5" t="n">
        <f aca="false">ROUND(6074*1.05,2)</f>
        <v>6377.7</v>
      </c>
      <c r="F144" s="5" t="s">
        <v>49</v>
      </c>
      <c r="G144" s="5" t="s">
        <v>18</v>
      </c>
      <c r="H144" s="5" t="n">
        <f aca="true">ROUND(RAND()*4+6,1)</f>
        <v>9.8</v>
      </c>
      <c r="I144" s="5" t="s">
        <v>19</v>
      </c>
      <c r="J144" s="5" t="str">
        <f aca="false">ROUND(80*1,0)&amp;"%"</f>
        <v>80%</v>
      </c>
    </row>
    <row r="145" customFormat="false" ht="15" hidden="false" customHeight="false" outlineLevel="0" collapsed="false">
      <c r="A145" s="6" t="s">
        <v>8278</v>
      </c>
      <c r="B145" s="6" t="s">
        <v>256</v>
      </c>
      <c r="C145" s="6" t="s">
        <v>114</v>
      </c>
      <c r="D145" s="6" t="s">
        <v>22</v>
      </c>
      <c r="E145" s="6" t="n">
        <f aca="false">ROUND(7365*1.05,2)</f>
        <v>7733.25</v>
      </c>
      <c r="F145" s="6" t="s">
        <v>52</v>
      </c>
      <c r="G145" s="6" t="s">
        <v>24</v>
      </c>
      <c r="H145" s="6" t="n">
        <f aca="true">ROUND(RAND()*4+6,1)</f>
        <v>6.9</v>
      </c>
      <c r="I145" s="6" t="s">
        <v>25</v>
      </c>
      <c r="J145" s="6" t="str">
        <f aca="false">ROUND(88*1,0)&amp;"%"</f>
        <v>88%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8279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8280</v>
      </c>
      <c r="B150" s="5" t="s">
        <v>260</v>
      </c>
      <c r="C150" s="5" t="s">
        <v>133</v>
      </c>
      <c r="D150" s="5" t="s">
        <v>16</v>
      </c>
      <c r="E150" s="5" t="n">
        <f aca="false">ROUND(15947*1.05,2)</f>
        <v>16744.35</v>
      </c>
      <c r="F150" s="5" t="s">
        <v>17</v>
      </c>
      <c r="G150" s="5" t="s">
        <v>18</v>
      </c>
      <c r="H150" s="5" t="n">
        <f aca="true">ROUND(RAND()*4+6,1)</f>
        <v>8</v>
      </c>
      <c r="I150" s="5" t="s">
        <v>19</v>
      </c>
      <c r="J150" s="5" t="str">
        <f aca="false">ROUND(84*1,0)&amp;"%"</f>
        <v>84%</v>
      </c>
    </row>
    <row r="151" customFormat="false" ht="15" hidden="false" customHeight="false" outlineLevel="0" collapsed="false">
      <c r="A151" s="6" t="s">
        <v>8281</v>
      </c>
      <c r="B151" s="6" t="s">
        <v>262</v>
      </c>
      <c r="C151" s="6" t="s">
        <v>133</v>
      </c>
      <c r="D151" s="6" t="s">
        <v>22</v>
      </c>
      <c r="E151" s="6" t="n">
        <f aca="false">ROUND(9154*1.05,2)</f>
        <v>9611.7</v>
      </c>
      <c r="F151" s="6" t="s">
        <v>23</v>
      </c>
      <c r="G151" s="6" t="s">
        <v>24</v>
      </c>
      <c r="H151" s="6" t="n">
        <f aca="true">ROUND(RAND()*4+6,1)</f>
        <v>8.9</v>
      </c>
      <c r="I151" s="6" t="s">
        <v>25</v>
      </c>
      <c r="J151" s="6" t="str">
        <f aca="false">ROUND(72*1,0)&amp;"%"</f>
        <v>72%</v>
      </c>
    </row>
    <row r="152" customFormat="false" ht="15" hidden="false" customHeight="false" outlineLevel="0" collapsed="false">
      <c r="A152" s="5" t="s">
        <v>8282</v>
      </c>
      <c r="B152" s="5" t="s">
        <v>264</v>
      </c>
      <c r="C152" s="5" t="s">
        <v>133</v>
      </c>
      <c r="D152" s="5" t="s">
        <v>28</v>
      </c>
      <c r="E152" s="5" t="n">
        <f aca="false">ROUND(5565*1.05,2)</f>
        <v>5843.25</v>
      </c>
      <c r="F152" s="5" t="s">
        <v>29</v>
      </c>
      <c r="G152" s="5" t="s">
        <v>30</v>
      </c>
      <c r="H152" s="5" t="n">
        <f aca="true">ROUND(RAND()*4+6,1)</f>
        <v>9.9</v>
      </c>
      <c r="I152" s="5" t="s">
        <v>31</v>
      </c>
      <c r="J152" s="5" t="str">
        <f aca="false">ROUND(79*1,0)&amp;"%"</f>
        <v>79%</v>
      </c>
    </row>
    <row r="153" customFormat="false" ht="15" hidden="false" customHeight="false" outlineLevel="0" collapsed="false">
      <c r="A153" s="6" t="s">
        <v>8283</v>
      </c>
      <c r="B153" s="6" t="s">
        <v>266</v>
      </c>
      <c r="C153" s="6" t="s">
        <v>133</v>
      </c>
      <c r="D153" s="6" t="s">
        <v>34</v>
      </c>
      <c r="E153" s="6" t="n">
        <f aca="false">ROUND(7524*1.05,2)</f>
        <v>7900.2</v>
      </c>
      <c r="F153" s="6" t="s">
        <v>35</v>
      </c>
      <c r="G153" s="6" t="s">
        <v>18</v>
      </c>
      <c r="H153" s="6" t="n">
        <f aca="true">ROUND(RAND()*4+6,1)</f>
        <v>6.4</v>
      </c>
      <c r="I153" s="6" t="s">
        <v>36</v>
      </c>
      <c r="J153" s="6" t="str">
        <f aca="false">ROUND(67*1,0)&amp;"%"</f>
        <v>67%</v>
      </c>
    </row>
    <row r="154" customFormat="false" ht="15" hidden="false" customHeight="false" outlineLevel="0" collapsed="false">
      <c r="A154" s="5" t="s">
        <v>8284</v>
      </c>
      <c r="B154" s="5" t="s">
        <v>268</v>
      </c>
      <c r="C154" s="5" t="s">
        <v>133</v>
      </c>
      <c r="D154" s="5" t="s">
        <v>39</v>
      </c>
      <c r="E154" s="5" t="n">
        <f aca="false">ROUND(9237*1.05,2)</f>
        <v>9698.85</v>
      </c>
      <c r="F154" s="5" t="s">
        <v>40</v>
      </c>
      <c r="G154" s="5" t="s">
        <v>24</v>
      </c>
      <c r="H154" s="5" t="n">
        <f aca="true">ROUND(RAND()*4+6,1)</f>
        <v>7.6</v>
      </c>
      <c r="I154" s="5" t="s">
        <v>41</v>
      </c>
      <c r="J154" s="5" t="str">
        <f aca="false">ROUND(63*1,0)&amp;"%"</f>
        <v>63%</v>
      </c>
    </row>
    <row r="155" customFormat="false" ht="15" hidden="false" customHeight="false" outlineLevel="0" collapsed="false">
      <c r="A155" s="6" t="s">
        <v>8285</v>
      </c>
      <c r="B155" s="6" t="s">
        <v>270</v>
      </c>
      <c r="C155" s="6" t="s">
        <v>133</v>
      </c>
      <c r="D155" s="6" t="s">
        <v>44</v>
      </c>
      <c r="E155" s="6" t="n">
        <f aca="false">ROUND(6038*1.05,2)</f>
        <v>6339.9</v>
      </c>
      <c r="F155" s="6" t="s">
        <v>45</v>
      </c>
      <c r="G155" s="6" t="s">
        <v>30</v>
      </c>
      <c r="H155" s="6" t="n">
        <f aca="true">ROUND(RAND()*4+6,1)</f>
        <v>7.7</v>
      </c>
      <c r="I155" s="6" t="s">
        <v>46</v>
      </c>
      <c r="J155" s="6" t="str">
        <f aca="false">ROUND(86*1,0)&amp;"%"</f>
        <v>86%</v>
      </c>
    </row>
    <row r="156" customFormat="false" ht="15" hidden="false" customHeight="false" outlineLevel="0" collapsed="false">
      <c r="A156" s="5" t="s">
        <v>8286</v>
      </c>
      <c r="B156" s="5" t="s">
        <v>272</v>
      </c>
      <c r="C156" s="5" t="s">
        <v>133</v>
      </c>
      <c r="D156" s="5" t="s">
        <v>16</v>
      </c>
      <c r="E156" s="5" t="n">
        <f aca="false">ROUND(14938*1.05,2)</f>
        <v>15684.9</v>
      </c>
      <c r="F156" s="5" t="s">
        <v>49</v>
      </c>
      <c r="G156" s="5" t="s">
        <v>18</v>
      </c>
      <c r="H156" s="5" t="n">
        <f aca="true">ROUND(RAND()*4+6,1)</f>
        <v>8.2</v>
      </c>
      <c r="I156" s="5" t="s">
        <v>19</v>
      </c>
      <c r="J156" s="5" t="str">
        <f aca="false">ROUND(66*1,0)&amp;"%"</f>
        <v>66%</v>
      </c>
    </row>
    <row r="157" customFormat="false" ht="15" hidden="false" customHeight="false" outlineLevel="0" collapsed="false">
      <c r="A157" s="6" t="s">
        <v>8287</v>
      </c>
      <c r="B157" s="6" t="s">
        <v>274</v>
      </c>
      <c r="C157" s="6" t="s">
        <v>133</v>
      </c>
      <c r="D157" s="6" t="s">
        <v>22</v>
      </c>
      <c r="E157" s="6" t="n">
        <f aca="false">ROUND(8093*1.05,2)</f>
        <v>8497.65</v>
      </c>
      <c r="F157" s="6" t="s">
        <v>52</v>
      </c>
      <c r="G157" s="6" t="s">
        <v>24</v>
      </c>
      <c r="H157" s="6" t="n">
        <f aca="true">ROUND(RAND()*4+6,1)</f>
        <v>6.2</v>
      </c>
      <c r="I157" s="6" t="s">
        <v>25</v>
      </c>
      <c r="J157" s="6" t="str">
        <f aca="false">ROUND(87*1,0)&amp;"%"</f>
        <v>87%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8288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8289</v>
      </c>
      <c r="B162" s="5" t="s">
        <v>278</v>
      </c>
      <c r="C162" s="5" t="s">
        <v>152</v>
      </c>
      <c r="D162" s="5" t="s">
        <v>16</v>
      </c>
      <c r="E162" s="5" t="n">
        <f aca="false">ROUND(5986*1.05,2)</f>
        <v>6285.3</v>
      </c>
      <c r="F162" s="5" t="s">
        <v>17</v>
      </c>
      <c r="G162" s="5" t="s">
        <v>18</v>
      </c>
      <c r="H162" s="5" t="n">
        <f aca="true">ROUND(RAND()*4+6,1)</f>
        <v>7.7</v>
      </c>
      <c r="I162" s="5" t="s">
        <v>19</v>
      </c>
      <c r="J162" s="5" t="str">
        <f aca="false">ROUND(64*1,0)&amp;"%"</f>
        <v>64%</v>
      </c>
    </row>
    <row r="163" customFormat="false" ht="15" hidden="false" customHeight="false" outlineLevel="0" collapsed="false">
      <c r="A163" s="6" t="s">
        <v>8290</v>
      </c>
      <c r="B163" s="6" t="s">
        <v>280</v>
      </c>
      <c r="C163" s="6" t="s">
        <v>152</v>
      </c>
      <c r="D163" s="6" t="s">
        <v>22</v>
      </c>
      <c r="E163" s="6" t="n">
        <f aca="false">ROUND(8290*1.05,2)</f>
        <v>8704.5</v>
      </c>
      <c r="F163" s="6" t="s">
        <v>23</v>
      </c>
      <c r="G163" s="6" t="s">
        <v>24</v>
      </c>
      <c r="H163" s="6" t="n">
        <f aca="true">ROUND(RAND()*4+6,1)</f>
        <v>9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8291</v>
      </c>
      <c r="B164" s="5" t="s">
        <v>282</v>
      </c>
      <c r="C164" s="5" t="s">
        <v>152</v>
      </c>
      <c r="D164" s="5" t="s">
        <v>28</v>
      </c>
      <c r="E164" s="5" t="n">
        <f aca="false">ROUND(7800*1.05,2)</f>
        <v>8190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ROUND(87*1,0)&amp;"%"</f>
        <v>87%</v>
      </c>
    </row>
    <row r="165" customFormat="false" ht="15" hidden="false" customHeight="false" outlineLevel="0" collapsed="false">
      <c r="A165" s="6" t="s">
        <v>8292</v>
      </c>
      <c r="B165" s="6" t="s">
        <v>284</v>
      </c>
      <c r="C165" s="6" t="s">
        <v>152</v>
      </c>
      <c r="D165" s="6" t="s">
        <v>34</v>
      </c>
      <c r="E165" s="6" t="n">
        <f aca="false">ROUND(4238*1.05,2)</f>
        <v>4449.9</v>
      </c>
      <c r="F165" s="6" t="s">
        <v>35</v>
      </c>
      <c r="G165" s="6" t="s">
        <v>18</v>
      </c>
      <c r="H165" s="6" t="n">
        <f aca="true">ROUND(RAND()*4+6,1)</f>
        <v>7.5</v>
      </c>
      <c r="I165" s="6" t="s">
        <v>36</v>
      </c>
      <c r="J165" s="6" t="str">
        <f aca="false">ROUND(61*1,0)&amp;"%"</f>
        <v>61%</v>
      </c>
    </row>
    <row r="166" customFormat="false" ht="15" hidden="false" customHeight="false" outlineLevel="0" collapsed="false">
      <c r="A166" s="5" t="s">
        <v>8293</v>
      </c>
      <c r="B166" s="5" t="s">
        <v>286</v>
      </c>
      <c r="C166" s="5" t="s">
        <v>152</v>
      </c>
      <c r="D166" s="5" t="s">
        <v>39</v>
      </c>
      <c r="E166" s="5" t="n">
        <f aca="false">ROUND(13613*1.05,2)</f>
        <v>14293.65</v>
      </c>
      <c r="F166" s="5" t="s">
        <v>40</v>
      </c>
      <c r="G166" s="5" t="s">
        <v>24</v>
      </c>
      <c r="H166" s="5" t="n">
        <f aca="true">ROUND(RAND()*4+6,1)</f>
        <v>7.8</v>
      </c>
      <c r="I166" s="5" t="s">
        <v>41</v>
      </c>
      <c r="J166" s="5" t="str">
        <f aca="false">ROUND(88*1,0)&amp;"%"</f>
        <v>88%</v>
      </c>
    </row>
    <row r="167" customFormat="false" ht="15" hidden="false" customHeight="false" outlineLevel="0" collapsed="false">
      <c r="A167" s="6" t="s">
        <v>8294</v>
      </c>
      <c r="B167" s="6" t="s">
        <v>288</v>
      </c>
      <c r="C167" s="6" t="s">
        <v>152</v>
      </c>
      <c r="D167" s="6" t="s">
        <v>44</v>
      </c>
      <c r="E167" s="6" t="n">
        <f aca="false">ROUND(6494*1.05,2)</f>
        <v>6818.7</v>
      </c>
      <c r="F167" s="6" t="s">
        <v>45</v>
      </c>
      <c r="G167" s="6" t="s">
        <v>30</v>
      </c>
      <c r="H167" s="6" t="n">
        <f aca="true">ROUND(RAND()*4+6,1)</f>
        <v>7.8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8295</v>
      </c>
      <c r="B168" s="5" t="s">
        <v>290</v>
      </c>
      <c r="C168" s="5" t="s">
        <v>152</v>
      </c>
      <c r="D168" s="5" t="s">
        <v>16</v>
      </c>
      <c r="E168" s="5" t="n">
        <f aca="false">ROUND(7325*1.05,2)</f>
        <v>7691.25</v>
      </c>
      <c r="F168" s="5" t="s">
        <v>49</v>
      </c>
      <c r="G168" s="5" t="s">
        <v>18</v>
      </c>
      <c r="H168" s="5" t="n">
        <f aca="true">ROUND(RAND()*4+6,1)</f>
        <v>8.2</v>
      </c>
      <c r="I168" s="5" t="s">
        <v>19</v>
      </c>
      <c r="J168" s="5" t="str">
        <f aca="false">ROUND(73*1,0)&amp;"%"</f>
        <v>73%</v>
      </c>
    </row>
    <row r="169" customFormat="false" ht="15" hidden="false" customHeight="false" outlineLevel="0" collapsed="false">
      <c r="A169" s="6" t="s">
        <v>8296</v>
      </c>
      <c r="B169" s="6" t="s">
        <v>292</v>
      </c>
      <c r="C169" s="6" t="s">
        <v>152</v>
      </c>
      <c r="D169" s="6" t="s">
        <v>22</v>
      </c>
      <c r="E169" s="6" t="n">
        <f aca="false">ROUND(14351*1.05,2)</f>
        <v>15068.55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ROUND(95*1,0)&amp;"%"</f>
        <v>95%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8297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8298</v>
      </c>
      <c r="B174" s="5" t="s">
        <v>296</v>
      </c>
      <c r="C174" s="5" t="s">
        <v>15</v>
      </c>
      <c r="D174" s="5" t="s">
        <v>16</v>
      </c>
      <c r="E174" s="5" t="n">
        <f aca="false">ROUND(6977*1.05,2)</f>
        <v>7325.85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ROUND(90*1,0)&amp;"%"</f>
        <v>90%</v>
      </c>
    </row>
    <row r="175" customFormat="false" ht="15" hidden="false" customHeight="false" outlineLevel="0" collapsed="false">
      <c r="A175" s="6" t="s">
        <v>8299</v>
      </c>
      <c r="B175" s="6" t="s">
        <v>298</v>
      </c>
      <c r="C175" s="6" t="s">
        <v>15</v>
      </c>
      <c r="D175" s="6" t="s">
        <v>22</v>
      </c>
      <c r="E175" s="6" t="n">
        <f aca="false">ROUND(11652*1.05,2)</f>
        <v>12234.6</v>
      </c>
      <c r="F175" s="6" t="s">
        <v>23</v>
      </c>
      <c r="G175" s="6" t="s">
        <v>24</v>
      </c>
      <c r="H175" s="6" t="n">
        <f aca="true">ROUND(RAND()*4+6,1)</f>
        <v>7.6</v>
      </c>
      <c r="I175" s="6" t="s">
        <v>25</v>
      </c>
      <c r="J175" s="6" t="str">
        <f aca="false">ROUND(78*1,0)&amp;"%"</f>
        <v>78%</v>
      </c>
    </row>
    <row r="176" customFormat="false" ht="15" hidden="false" customHeight="false" outlineLevel="0" collapsed="false">
      <c r="A176" s="5" t="s">
        <v>8300</v>
      </c>
      <c r="B176" s="5" t="s">
        <v>300</v>
      </c>
      <c r="C176" s="5" t="s">
        <v>15</v>
      </c>
      <c r="D176" s="5" t="s">
        <v>28</v>
      </c>
      <c r="E176" s="5" t="n">
        <f aca="false">ROUND(6857*1.05,2)</f>
        <v>7199.85</v>
      </c>
      <c r="F176" s="5" t="s">
        <v>29</v>
      </c>
      <c r="G176" s="5" t="s">
        <v>30</v>
      </c>
      <c r="H176" s="5" t="n">
        <f aca="true">ROUND(RAND()*4+6,1)</f>
        <v>9</v>
      </c>
      <c r="I176" s="5" t="s">
        <v>31</v>
      </c>
      <c r="J176" s="5" t="str">
        <f aca="false">ROUND(97*1,0)&amp;"%"</f>
        <v>97%</v>
      </c>
    </row>
    <row r="177" customFormat="false" ht="15" hidden="false" customHeight="false" outlineLevel="0" collapsed="false">
      <c r="A177" s="6" t="s">
        <v>8301</v>
      </c>
      <c r="B177" s="6" t="s">
        <v>302</v>
      </c>
      <c r="C177" s="6" t="s">
        <v>15</v>
      </c>
      <c r="D177" s="6" t="s">
        <v>34</v>
      </c>
      <c r="E177" s="6" t="n">
        <f aca="false">ROUND(6286*1.05,2)</f>
        <v>6600.3</v>
      </c>
      <c r="F177" s="6" t="s">
        <v>35</v>
      </c>
      <c r="G177" s="6" t="s">
        <v>18</v>
      </c>
      <c r="H177" s="6" t="n">
        <f aca="true">ROUND(RAND()*4+6,1)</f>
        <v>6.3</v>
      </c>
      <c r="I177" s="6" t="s">
        <v>36</v>
      </c>
      <c r="J177" s="6" t="str">
        <f aca="false">ROUND(96*1,0)&amp;"%"</f>
        <v>96%</v>
      </c>
    </row>
    <row r="178" customFormat="false" ht="15" hidden="false" customHeight="false" outlineLevel="0" collapsed="false">
      <c r="A178" s="5" t="s">
        <v>8302</v>
      </c>
      <c r="B178" s="5" t="s">
        <v>304</v>
      </c>
      <c r="C178" s="5" t="s">
        <v>15</v>
      </c>
      <c r="D178" s="5" t="s">
        <v>39</v>
      </c>
      <c r="E178" s="5" t="n">
        <f aca="false">ROUND(10312*1.05,2)</f>
        <v>10827.6</v>
      </c>
      <c r="F178" s="5" t="s">
        <v>40</v>
      </c>
      <c r="G178" s="5" t="s">
        <v>24</v>
      </c>
      <c r="H178" s="5" t="n">
        <f aca="true">ROUND(RAND()*4+6,1)</f>
        <v>7</v>
      </c>
      <c r="I178" s="5" t="s">
        <v>41</v>
      </c>
      <c r="J178" s="5" t="str">
        <f aca="false">ROUND(90*1,0)&amp;"%"</f>
        <v>90%</v>
      </c>
    </row>
    <row r="179" customFormat="false" ht="15" hidden="false" customHeight="false" outlineLevel="0" collapsed="false">
      <c r="A179" s="6" t="s">
        <v>8303</v>
      </c>
      <c r="B179" s="6" t="s">
        <v>306</v>
      </c>
      <c r="C179" s="6" t="s">
        <v>15</v>
      </c>
      <c r="D179" s="6" t="s">
        <v>44</v>
      </c>
      <c r="E179" s="6" t="n">
        <f aca="false">ROUND(5259*1.05,2)</f>
        <v>5521.95</v>
      </c>
      <c r="F179" s="6" t="s">
        <v>45</v>
      </c>
      <c r="G179" s="6" t="s">
        <v>30</v>
      </c>
      <c r="H179" s="6" t="n">
        <f aca="true">ROUND(RAND()*4+6,1)</f>
        <v>6.2</v>
      </c>
      <c r="I179" s="6" t="s">
        <v>46</v>
      </c>
      <c r="J179" s="6" t="str">
        <f aca="false">ROUND(83*1,0)&amp;"%"</f>
        <v>83%</v>
      </c>
    </row>
    <row r="180" customFormat="false" ht="15" hidden="false" customHeight="false" outlineLevel="0" collapsed="false">
      <c r="A180" s="5" t="s">
        <v>8304</v>
      </c>
      <c r="B180" s="5" t="s">
        <v>308</v>
      </c>
      <c r="C180" s="5" t="s">
        <v>15</v>
      </c>
      <c r="D180" s="5" t="s">
        <v>16</v>
      </c>
      <c r="E180" s="5" t="n">
        <f aca="false">ROUND(8424*1.05,2)</f>
        <v>8845.2</v>
      </c>
      <c r="F180" s="5" t="s">
        <v>49</v>
      </c>
      <c r="G180" s="5" t="s">
        <v>18</v>
      </c>
      <c r="H180" s="5" t="n">
        <f aca="true">ROUND(RAND()*4+6,1)</f>
        <v>7.9</v>
      </c>
      <c r="I180" s="5" t="s">
        <v>19</v>
      </c>
      <c r="J180" s="5" t="str">
        <f aca="false">ROUND(60*1,0)&amp;"%"</f>
        <v>60%</v>
      </c>
    </row>
    <row r="181" customFormat="false" ht="15" hidden="false" customHeight="false" outlineLevel="0" collapsed="false">
      <c r="A181" s="6" t="s">
        <v>8305</v>
      </c>
      <c r="B181" s="6" t="s">
        <v>310</v>
      </c>
      <c r="C181" s="6" t="s">
        <v>15</v>
      </c>
      <c r="D181" s="6" t="s">
        <v>22</v>
      </c>
      <c r="E181" s="6" t="n">
        <f aca="false">ROUND(9001*1.05,2)</f>
        <v>9451.05</v>
      </c>
      <c r="F181" s="6" t="s">
        <v>52</v>
      </c>
      <c r="G181" s="6" t="s">
        <v>24</v>
      </c>
      <c r="H181" s="6" t="n">
        <f aca="true">ROUND(RAND()*4+6,1)</f>
        <v>10</v>
      </c>
      <c r="I181" s="6" t="s">
        <v>25</v>
      </c>
      <c r="J181" s="6" t="str">
        <f aca="false">ROUND(78*1,0)&amp;"%"</f>
        <v>78%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8306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8307</v>
      </c>
      <c r="B186" s="5" t="s">
        <v>314</v>
      </c>
      <c r="C186" s="5" t="s">
        <v>57</v>
      </c>
      <c r="D186" s="5" t="s">
        <v>16</v>
      </c>
      <c r="E186" s="5" t="n">
        <f aca="false">ROUND(5971*1.05,2)</f>
        <v>6269.55</v>
      </c>
      <c r="F186" s="5" t="s">
        <v>17</v>
      </c>
      <c r="G186" s="5" t="s">
        <v>18</v>
      </c>
      <c r="H186" s="5" t="n">
        <f aca="true">ROUND(RAND()*4+6,1)</f>
        <v>6.2</v>
      </c>
      <c r="I186" s="5" t="s">
        <v>19</v>
      </c>
      <c r="J186" s="5" t="str">
        <f aca="false">ROUND(91*1,0)&amp;"%"</f>
        <v>91%</v>
      </c>
    </row>
    <row r="187" customFormat="false" ht="15" hidden="false" customHeight="false" outlineLevel="0" collapsed="false">
      <c r="A187" s="6" t="s">
        <v>8308</v>
      </c>
      <c r="B187" s="6" t="s">
        <v>316</v>
      </c>
      <c r="C187" s="6" t="s">
        <v>57</v>
      </c>
      <c r="D187" s="6" t="s">
        <v>22</v>
      </c>
      <c r="E187" s="6" t="n">
        <f aca="false">ROUND(8248*1.05,2)</f>
        <v>8660.4</v>
      </c>
      <c r="F187" s="6" t="s">
        <v>23</v>
      </c>
      <c r="G187" s="6" t="s">
        <v>24</v>
      </c>
      <c r="H187" s="6" t="n">
        <f aca="true">ROUND(RAND()*4+6,1)</f>
        <v>9.1</v>
      </c>
      <c r="I187" s="6" t="s">
        <v>25</v>
      </c>
      <c r="J187" s="6" t="str">
        <f aca="false">ROUND(70*1,0)&amp;"%"</f>
        <v>70%</v>
      </c>
    </row>
    <row r="188" customFormat="false" ht="15" hidden="false" customHeight="false" outlineLevel="0" collapsed="false">
      <c r="A188" s="5" t="s">
        <v>8309</v>
      </c>
      <c r="B188" s="5" t="s">
        <v>318</v>
      </c>
      <c r="C188" s="5" t="s">
        <v>57</v>
      </c>
      <c r="D188" s="5" t="s">
        <v>28</v>
      </c>
      <c r="E188" s="5" t="n">
        <f aca="false">ROUND(16920*1.05,2)</f>
        <v>17766</v>
      </c>
      <c r="F188" s="5" t="s">
        <v>29</v>
      </c>
      <c r="G188" s="5" t="s">
        <v>30</v>
      </c>
      <c r="H188" s="5" t="n">
        <f aca="true">ROUND(RAND()*4+6,1)</f>
        <v>9.1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8310</v>
      </c>
      <c r="B189" s="6" t="s">
        <v>320</v>
      </c>
      <c r="C189" s="6" t="s">
        <v>57</v>
      </c>
      <c r="D189" s="6" t="s">
        <v>34</v>
      </c>
      <c r="E189" s="6" t="n">
        <f aca="false">ROUND(6614*1.05,2)</f>
        <v>6944.7</v>
      </c>
      <c r="F189" s="6" t="s">
        <v>35</v>
      </c>
      <c r="G189" s="6" t="s">
        <v>18</v>
      </c>
      <c r="H189" s="6" t="n">
        <f aca="true">ROUND(RAND()*4+6,1)</f>
        <v>9.6</v>
      </c>
      <c r="I189" s="6" t="s">
        <v>36</v>
      </c>
      <c r="J189" s="6" t="str">
        <f aca="false">ROUND(74*1,0)&amp;"%"</f>
        <v>74%</v>
      </c>
    </row>
    <row r="190" customFormat="false" ht="15" hidden="false" customHeight="false" outlineLevel="0" collapsed="false">
      <c r="A190" s="5" t="s">
        <v>8311</v>
      </c>
      <c r="B190" s="5" t="s">
        <v>322</v>
      </c>
      <c r="C190" s="5" t="s">
        <v>57</v>
      </c>
      <c r="D190" s="5" t="s">
        <v>39</v>
      </c>
      <c r="E190" s="5" t="n">
        <f aca="false">ROUND(17951*1.05,2)</f>
        <v>18848.55</v>
      </c>
      <c r="F190" s="5" t="s">
        <v>40</v>
      </c>
      <c r="G190" s="5" t="s">
        <v>24</v>
      </c>
      <c r="H190" s="5" t="n">
        <f aca="true">ROUND(RAND()*4+6,1)</f>
        <v>6.9</v>
      </c>
      <c r="I190" s="5" t="s">
        <v>41</v>
      </c>
      <c r="J190" s="5" t="str">
        <f aca="false">ROUND(76*1,0)&amp;"%"</f>
        <v>76%</v>
      </c>
    </row>
    <row r="191" customFormat="false" ht="15" hidden="false" customHeight="false" outlineLevel="0" collapsed="false">
      <c r="A191" s="6" t="s">
        <v>8312</v>
      </c>
      <c r="B191" s="6" t="s">
        <v>324</v>
      </c>
      <c r="C191" s="6" t="s">
        <v>57</v>
      </c>
      <c r="D191" s="6" t="s">
        <v>44</v>
      </c>
      <c r="E191" s="6" t="n">
        <f aca="false">ROUND(11360*1.05,2)</f>
        <v>11928</v>
      </c>
      <c r="F191" s="6" t="s">
        <v>45</v>
      </c>
      <c r="G191" s="6" t="s">
        <v>30</v>
      </c>
      <c r="H191" s="6" t="n">
        <f aca="true">ROUND(RAND()*4+6,1)</f>
        <v>6.8</v>
      </c>
      <c r="I191" s="6" t="s">
        <v>46</v>
      </c>
      <c r="J191" s="6" t="str">
        <f aca="false">ROUND(60*1,0)&amp;"%"</f>
        <v>60%</v>
      </c>
    </row>
    <row r="192" customFormat="false" ht="15" hidden="false" customHeight="false" outlineLevel="0" collapsed="false">
      <c r="A192" s="5" t="s">
        <v>8313</v>
      </c>
      <c r="B192" s="5" t="s">
        <v>326</v>
      </c>
      <c r="C192" s="5" t="s">
        <v>57</v>
      </c>
      <c r="D192" s="5" t="s">
        <v>16</v>
      </c>
      <c r="E192" s="5" t="n">
        <f aca="false">ROUND(4819*1.05,2)</f>
        <v>5059.95</v>
      </c>
      <c r="F192" s="5" t="s">
        <v>49</v>
      </c>
      <c r="G192" s="5" t="s">
        <v>18</v>
      </c>
      <c r="H192" s="5" t="n">
        <f aca="true">ROUND(RAND()*4+6,1)</f>
        <v>9.5</v>
      </c>
      <c r="I192" s="5" t="s">
        <v>19</v>
      </c>
      <c r="J192" s="5" t="str">
        <f aca="false">ROUND(64*1,0)&amp;"%"</f>
        <v>64%</v>
      </c>
    </row>
    <row r="193" customFormat="false" ht="15" hidden="false" customHeight="false" outlineLevel="0" collapsed="false">
      <c r="A193" s="6" t="s">
        <v>8314</v>
      </c>
      <c r="B193" s="6" t="s">
        <v>328</v>
      </c>
      <c r="C193" s="6" t="s">
        <v>57</v>
      </c>
      <c r="D193" s="6" t="s">
        <v>22</v>
      </c>
      <c r="E193" s="6" t="n">
        <f aca="false">ROUND(11589*1.05,2)</f>
        <v>12168.45</v>
      </c>
      <c r="F193" s="6" t="s">
        <v>52</v>
      </c>
      <c r="G193" s="6" t="s">
        <v>24</v>
      </c>
      <c r="H193" s="6" t="n">
        <f aca="true">ROUND(RAND()*4+6,1)</f>
        <v>6.7</v>
      </c>
      <c r="I193" s="6" t="s">
        <v>25</v>
      </c>
      <c r="J193" s="6" t="str">
        <f aca="false">ROUND(81*1,0)&amp;"%"</f>
        <v>81%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8315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8316</v>
      </c>
      <c r="B198" s="5" t="s">
        <v>332</v>
      </c>
      <c r="C198" s="5" t="s">
        <v>76</v>
      </c>
      <c r="D198" s="5" t="s">
        <v>16</v>
      </c>
      <c r="E198" s="5" t="n">
        <f aca="false">ROUND(6845*1.05,2)</f>
        <v>7187.25</v>
      </c>
      <c r="F198" s="5" t="s">
        <v>17</v>
      </c>
      <c r="G198" s="5" t="s">
        <v>18</v>
      </c>
      <c r="H198" s="5" t="n">
        <f aca="true">ROUND(RAND()*4+6,1)</f>
        <v>6</v>
      </c>
      <c r="I198" s="5" t="s">
        <v>19</v>
      </c>
      <c r="J198" s="5" t="str">
        <f aca="false">ROUND(84*1,0)&amp;"%"</f>
        <v>84%</v>
      </c>
    </row>
    <row r="199" customFormat="false" ht="15" hidden="false" customHeight="false" outlineLevel="0" collapsed="false">
      <c r="A199" s="6" t="s">
        <v>8317</v>
      </c>
      <c r="B199" s="6" t="s">
        <v>334</v>
      </c>
      <c r="C199" s="6" t="s">
        <v>76</v>
      </c>
      <c r="D199" s="6" t="s">
        <v>22</v>
      </c>
      <c r="E199" s="6" t="n">
        <f aca="false">ROUND(6397*1.05,2)</f>
        <v>6716.85</v>
      </c>
      <c r="F199" s="6" t="s">
        <v>23</v>
      </c>
      <c r="G199" s="6" t="s">
        <v>24</v>
      </c>
      <c r="H199" s="6" t="n">
        <f aca="true">ROUND(RAND()*4+6,1)</f>
        <v>6.8</v>
      </c>
      <c r="I199" s="6" t="s">
        <v>25</v>
      </c>
      <c r="J199" s="6" t="str">
        <f aca="false">ROUND(87*1,0)&amp;"%"</f>
        <v>87%</v>
      </c>
    </row>
    <row r="200" customFormat="false" ht="15" hidden="false" customHeight="false" outlineLevel="0" collapsed="false">
      <c r="A200" s="5" t="s">
        <v>8318</v>
      </c>
      <c r="B200" s="5" t="s">
        <v>336</v>
      </c>
      <c r="C200" s="5" t="s">
        <v>76</v>
      </c>
      <c r="D200" s="5" t="s">
        <v>28</v>
      </c>
      <c r="E200" s="5" t="n">
        <f aca="false">ROUND(8387*1.05,2)</f>
        <v>8806.35</v>
      </c>
      <c r="F200" s="5" t="s">
        <v>29</v>
      </c>
      <c r="G200" s="5" t="s">
        <v>30</v>
      </c>
      <c r="H200" s="5" t="n">
        <f aca="true">ROUND(RAND()*4+6,1)</f>
        <v>8.7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8319</v>
      </c>
      <c r="B201" s="6" t="s">
        <v>338</v>
      </c>
      <c r="C201" s="6" t="s">
        <v>76</v>
      </c>
      <c r="D201" s="6" t="s">
        <v>34</v>
      </c>
      <c r="E201" s="6" t="n">
        <f aca="false">ROUND(6408*1.05,2)</f>
        <v>6728.4</v>
      </c>
      <c r="F201" s="6" t="s">
        <v>35</v>
      </c>
      <c r="G201" s="6" t="s">
        <v>18</v>
      </c>
      <c r="H201" s="6" t="n">
        <f aca="true">ROUND(RAND()*4+6,1)</f>
        <v>7.8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8320</v>
      </c>
      <c r="B202" s="5" t="s">
        <v>340</v>
      </c>
      <c r="C202" s="5" t="s">
        <v>76</v>
      </c>
      <c r="D202" s="5" t="s">
        <v>39</v>
      </c>
      <c r="E202" s="5" t="n">
        <f aca="false">ROUND(12565*1.05,2)</f>
        <v>13193.25</v>
      </c>
      <c r="F202" s="5" t="s">
        <v>40</v>
      </c>
      <c r="G202" s="5" t="s">
        <v>24</v>
      </c>
      <c r="H202" s="5" t="n">
        <f aca="true">ROUND(RAND()*4+6,1)</f>
        <v>8</v>
      </c>
      <c r="I202" s="5" t="s">
        <v>41</v>
      </c>
      <c r="J202" s="5" t="str">
        <f aca="false">ROUND(92*1,0)&amp;"%"</f>
        <v>92%</v>
      </c>
    </row>
    <row r="203" customFormat="false" ht="15" hidden="false" customHeight="false" outlineLevel="0" collapsed="false">
      <c r="A203" s="6" t="s">
        <v>8321</v>
      </c>
      <c r="B203" s="6" t="s">
        <v>342</v>
      </c>
      <c r="C203" s="6" t="s">
        <v>76</v>
      </c>
      <c r="D203" s="6" t="s">
        <v>44</v>
      </c>
      <c r="E203" s="6" t="n">
        <f aca="false">ROUND(14857*1.05,2)</f>
        <v>15599.85</v>
      </c>
      <c r="F203" s="6" t="s">
        <v>45</v>
      </c>
      <c r="G203" s="6" t="s">
        <v>30</v>
      </c>
      <c r="H203" s="6" t="n">
        <f aca="true">ROUND(RAND()*4+6,1)</f>
        <v>8.9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8322</v>
      </c>
      <c r="B204" s="5" t="s">
        <v>344</v>
      </c>
      <c r="C204" s="5" t="s">
        <v>76</v>
      </c>
      <c r="D204" s="5" t="s">
        <v>16</v>
      </c>
      <c r="E204" s="5" t="n">
        <f aca="false">ROUND(12244*1.05,2)</f>
        <v>12856.2</v>
      </c>
      <c r="F204" s="5" t="s">
        <v>49</v>
      </c>
      <c r="G204" s="5" t="s">
        <v>18</v>
      </c>
      <c r="H204" s="5" t="n">
        <f aca="true">ROUND(RAND()*4+6,1)</f>
        <v>9.8</v>
      </c>
      <c r="I204" s="5" t="s">
        <v>19</v>
      </c>
      <c r="J204" s="5" t="str">
        <f aca="false">ROUND(86*1,0)&amp;"%"</f>
        <v>86%</v>
      </c>
    </row>
    <row r="205" customFormat="false" ht="15" hidden="false" customHeight="false" outlineLevel="0" collapsed="false">
      <c r="A205" s="6" t="s">
        <v>8323</v>
      </c>
      <c r="B205" s="6" t="s">
        <v>346</v>
      </c>
      <c r="C205" s="6" t="s">
        <v>76</v>
      </c>
      <c r="D205" s="6" t="s">
        <v>22</v>
      </c>
      <c r="E205" s="6" t="n">
        <f aca="false">ROUND(12394*1.05,2)</f>
        <v>13013.7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8324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8325</v>
      </c>
      <c r="B210" s="5" t="s">
        <v>350</v>
      </c>
      <c r="C210" s="5" t="s">
        <v>95</v>
      </c>
      <c r="D210" s="5" t="s">
        <v>16</v>
      </c>
      <c r="E210" s="5" t="n">
        <f aca="false">ROUND(7786*1.05,2)</f>
        <v>8175.3</v>
      </c>
      <c r="F210" s="5" t="s">
        <v>17</v>
      </c>
      <c r="G210" s="5" t="s">
        <v>18</v>
      </c>
      <c r="H210" s="5" t="n">
        <f aca="true">ROUND(RAND()*4+6,1)</f>
        <v>8.4</v>
      </c>
      <c r="I210" s="5" t="s">
        <v>19</v>
      </c>
      <c r="J210" s="5" t="str">
        <f aca="false">ROUND(80*1,0)&amp;"%"</f>
        <v>80%</v>
      </c>
    </row>
    <row r="211" customFormat="false" ht="15" hidden="false" customHeight="false" outlineLevel="0" collapsed="false">
      <c r="A211" s="6" t="s">
        <v>8326</v>
      </c>
      <c r="B211" s="6" t="s">
        <v>352</v>
      </c>
      <c r="C211" s="6" t="s">
        <v>95</v>
      </c>
      <c r="D211" s="6" t="s">
        <v>22</v>
      </c>
      <c r="E211" s="6" t="n">
        <f aca="false">ROUND(9104*1.05,2)</f>
        <v>9559.2</v>
      </c>
      <c r="F211" s="6" t="s">
        <v>23</v>
      </c>
      <c r="G211" s="6" t="s">
        <v>24</v>
      </c>
      <c r="H211" s="6" t="n">
        <f aca="true">ROUND(RAND()*4+6,1)</f>
        <v>6.4</v>
      </c>
      <c r="I211" s="6" t="s">
        <v>25</v>
      </c>
      <c r="J211" s="6" t="str">
        <f aca="false">ROUND(88*1,0)&amp;"%"</f>
        <v>88%</v>
      </c>
    </row>
    <row r="212" customFormat="false" ht="15" hidden="false" customHeight="false" outlineLevel="0" collapsed="false">
      <c r="A212" s="5" t="s">
        <v>8327</v>
      </c>
      <c r="B212" s="5" t="s">
        <v>354</v>
      </c>
      <c r="C212" s="5" t="s">
        <v>95</v>
      </c>
      <c r="D212" s="5" t="s">
        <v>28</v>
      </c>
      <c r="E212" s="5" t="n">
        <f aca="false">ROUND(17648*1.05,2)</f>
        <v>18530.4</v>
      </c>
      <c r="F212" s="5" t="s">
        <v>29</v>
      </c>
      <c r="G212" s="5" t="s">
        <v>30</v>
      </c>
      <c r="H212" s="5" t="n">
        <f aca="true">ROUND(RAND()*4+6,1)</f>
        <v>10</v>
      </c>
      <c r="I212" s="5" t="s">
        <v>31</v>
      </c>
      <c r="J212" s="5" t="str">
        <f aca="false">ROUND(88*1,0)&amp;"%"</f>
        <v>88%</v>
      </c>
    </row>
    <row r="213" customFormat="false" ht="15" hidden="false" customHeight="false" outlineLevel="0" collapsed="false">
      <c r="A213" s="6" t="s">
        <v>8328</v>
      </c>
      <c r="B213" s="6" t="s">
        <v>356</v>
      </c>
      <c r="C213" s="6" t="s">
        <v>95</v>
      </c>
      <c r="D213" s="6" t="s">
        <v>34</v>
      </c>
      <c r="E213" s="6" t="n">
        <f aca="false">ROUND(8731*1.05,2)</f>
        <v>9167.55</v>
      </c>
      <c r="F213" s="6" t="s">
        <v>35</v>
      </c>
      <c r="G213" s="6" t="s">
        <v>18</v>
      </c>
      <c r="H213" s="6" t="n">
        <f aca="true">ROUND(RAND()*4+6,1)</f>
        <v>6.2</v>
      </c>
      <c r="I213" s="6" t="s">
        <v>36</v>
      </c>
      <c r="J213" s="6" t="str">
        <f aca="false">ROUND(60*1,0)&amp;"%"</f>
        <v>60%</v>
      </c>
    </row>
    <row r="214" customFormat="false" ht="15" hidden="false" customHeight="false" outlineLevel="0" collapsed="false">
      <c r="A214" s="5" t="s">
        <v>8329</v>
      </c>
      <c r="B214" s="5" t="s">
        <v>358</v>
      </c>
      <c r="C214" s="5" t="s">
        <v>95</v>
      </c>
      <c r="D214" s="5" t="s">
        <v>39</v>
      </c>
      <c r="E214" s="5" t="n">
        <f aca="false">ROUND(15724*1.05,2)</f>
        <v>16510.2</v>
      </c>
      <c r="F214" s="5" t="s">
        <v>40</v>
      </c>
      <c r="G214" s="5" t="s">
        <v>24</v>
      </c>
      <c r="H214" s="5" t="n">
        <f aca="true">ROUND(RAND()*4+6,1)</f>
        <v>6.7</v>
      </c>
      <c r="I214" s="5" t="s">
        <v>41</v>
      </c>
      <c r="J214" s="5" t="str">
        <f aca="false">ROUND(95*1,0)&amp;"%"</f>
        <v>95%</v>
      </c>
    </row>
    <row r="215" customFormat="false" ht="15" hidden="false" customHeight="false" outlineLevel="0" collapsed="false">
      <c r="A215" s="6" t="s">
        <v>8330</v>
      </c>
      <c r="B215" s="6" t="s">
        <v>360</v>
      </c>
      <c r="C215" s="6" t="s">
        <v>95</v>
      </c>
      <c r="D215" s="6" t="s">
        <v>44</v>
      </c>
      <c r="E215" s="6" t="n">
        <f aca="false">ROUND(10617*1.05,2)</f>
        <v>11147.85</v>
      </c>
      <c r="F215" s="6" t="s">
        <v>45</v>
      </c>
      <c r="G215" s="6" t="s">
        <v>30</v>
      </c>
      <c r="H215" s="6" t="n">
        <f aca="true">ROUND(RAND()*4+6,1)</f>
        <v>8.7</v>
      </c>
      <c r="I215" s="6" t="s">
        <v>46</v>
      </c>
      <c r="J215" s="6" t="str">
        <f aca="false">ROUND(69*1,0)&amp;"%"</f>
        <v>69%</v>
      </c>
    </row>
    <row r="216" customFormat="false" ht="15" hidden="false" customHeight="false" outlineLevel="0" collapsed="false">
      <c r="A216" s="5" t="s">
        <v>8331</v>
      </c>
      <c r="B216" s="5" t="s">
        <v>362</v>
      </c>
      <c r="C216" s="5" t="s">
        <v>95</v>
      </c>
      <c r="D216" s="5" t="s">
        <v>16</v>
      </c>
      <c r="E216" s="5" t="n">
        <f aca="false">ROUND(17478*1.05,2)</f>
        <v>18351.9</v>
      </c>
      <c r="F216" s="5" t="s">
        <v>49</v>
      </c>
      <c r="G216" s="5" t="s">
        <v>18</v>
      </c>
      <c r="H216" s="5" t="n">
        <f aca="true">ROUND(RAND()*4+6,1)</f>
        <v>9.3</v>
      </c>
      <c r="I216" s="5" t="s">
        <v>19</v>
      </c>
      <c r="J216" s="5" t="str">
        <f aca="false">ROUND(99*1,0)&amp;"%"</f>
        <v>99%</v>
      </c>
    </row>
    <row r="217" customFormat="false" ht="15" hidden="false" customHeight="false" outlineLevel="0" collapsed="false">
      <c r="A217" s="6" t="s">
        <v>8332</v>
      </c>
      <c r="B217" s="6" t="s">
        <v>364</v>
      </c>
      <c r="C217" s="6" t="s">
        <v>95</v>
      </c>
      <c r="D217" s="6" t="s">
        <v>22</v>
      </c>
      <c r="E217" s="6" t="n">
        <f aca="false">ROUND(6835*1.05,2)</f>
        <v>7176.75</v>
      </c>
      <c r="F217" s="6" t="s">
        <v>52</v>
      </c>
      <c r="G217" s="6" t="s">
        <v>24</v>
      </c>
      <c r="H217" s="6" t="n">
        <f aca="true">ROUND(RAND()*4+6,1)</f>
        <v>9.8</v>
      </c>
      <c r="I217" s="6" t="s">
        <v>25</v>
      </c>
      <c r="J217" s="6" t="str">
        <f aca="false">ROUND(68*1,0)&amp;"%"</f>
        <v>68%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8333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8334</v>
      </c>
      <c r="B222" s="5" t="s">
        <v>368</v>
      </c>
      <c r="C222" s="5" t="s">
        <v>114</v>
      </c>
      <c r="D222" s="5" t="s">
        <v>16</v>
      </c>
      <c r="E222" s="5" t="n">
        <f aca="false">ROUND(12232*1.05,2)</f>
        <v>12843.6</v>
      </c>
      <c r="F222" s="5" t="s">
        <v>17</v>
      </c>
      <c r="G222" s="5" t="s">
        <v>18</v>
      </c>
      <c r="H222" s="5" t="n">
        <f aca="true">ROUND(RAND()*4+6,1)</f>
        <v>7.2</v>
      </c>
      <c r="I222" s="5" t="s">
        <v>19</v>
      </c>
      <c r="J222" s="5" t="str">
        <f aca="false">ROUND(84*1,0)&amp;"%"</f>
        <v>84%</v>
      </c>
    </row>
    <row r="223" customFormat="false" ht="15" hidden="false" customHeight="false" outlineLevel="0" collapsed="false">
      <c r="A223" s="6" t="s">
        <v>8335</v>
      </c>
      <c r="B223" s="6" t="s">
        <v>370</v>
      </c>
      <c r="C223" s="6" t="s">
        <v>114</v>
      </c>
      <c r="D223" s="6" t="s">
        <v>22</v>
      </c>
      <c r="E223" s="6" t="n">
        <f aca="false">ROUND(11314*1.05,2)</f>
        <v>11879.7</v>
      </c>
      <c r="F223" s="6" t="s">
        <v>23</v>
      </c>
      <c r="G223" s="6" t="s">
        <v>24</v>
      </c>
      <c r="H223" s="6" t="n">
        <f aca="true">ROUND(RAND()*4+6,1)</f>
        <v>10</v>
      </c>
      <c r="I223" s="6" t="s">
        <v>25</v>
      </c>
      <c r="J223" s="6" t="str">
        <f aca="false">ROUND(90*1,0)&amp;"%"</f>
        <v>90%</v>
      </c>
    </row>
    <row r="224" customFormat="false" ht="15" hidden="false" customHeight="false" outlineLevel="0" collapsed="false">
      <c r="A224" s="5" t="s">
        <v>8336</v>
      </c>
      <c r="B224" s="5" t="s">
        <v>372</v>
      </c>
      <c r="C224" s="5" t="s">
        <v>114</v>
      </c>
      <c r="D224" s="5" t="s">
        <v>28</v>
      </c>
      <c r="E224" s="5" t="n">
        <f aca="false">ROUND(15765*1.05,2)</f>
        <v>16553.25</v>
      </c>
      <c r="F224" s="5" t="s">
        <v>29</v>
      </c>
      <c r="G224" s="5" t="s">
        <v>30</v>
      </c>
      <c r="H224" s="5" t="n">
        <f aca="true">ROUND(RAND()*4+6,1)</f>
        <v>6.6</v>
      </c>
      <c r="I224" s="5" t="s">
        <v>31</v>
      </c>
      <c r="J224" s="5" t="str">
        <f aca="false">ROUND(75*1,0)&amp;"%"</f>
        <v>75%</v>
      </c>
    </row>
    <row r="225" customFormat="false" ht="15" hidden="false" customHeight="false" outlineLevel="0" collapsed="false">
      <c r="A225" s="6" t="s">
        <v>8337</v>
      </c>
      <c r="B225" s="6" t="s">
        <v>374</v>
      </c>
      <c r="C225" s="6" t="s">
        <v>114</v>
      </c>
      <c r="D225" s="6" t="s">
        <v>34</v>
      </c>
      <c r="E225" s="6" t="n">
        <f aca="false">ROUND(7392*1.05,2)</f>
        <v>7761.6</v>
      </c>
      <c r="F225" s="6" t="s">
        <v>35</v>
      </c>
      <c r="G225" s="6" t="s">
        <v>18</v>
      </c>
      <c r="H225" s="6" t="n">
        <f aca="true">ROUND(RAND()*4+6,1)</f>
        <v>8.6</v>
      </c>
      <c r="I225" s="6" t="s">
        <v>36</v>
      </c>
      <c r="J225" s="6" t="str">
        <f aca="false">ROUND(65*1,0)&amp;"%"</f>
        <v>65%</v>
      </c>
    </row>
    <row r="226" customFormat="false" ht="15" hidden="false" customHeight="false" outlineLevel="0" collapsed="false">
      <c r="A226" s="5" t="s">
        <v>8338</v>
      </c>
      <c r="B226" s="5" t="s">
        <v>376</v>
      </c>
      <c r="C226" s="5" t="s">
        <v>114</v>
      </c>
      <c r="D226" s="5" t="s">
        <v>39</v>
      </c>
      <c r="E226" s="5" t="n">
        <f aca="false">ROUND(10192*1.05,2)</f>
        <v>10701.6</v>
      </c>
      <c r="F226" s="5" t="s">
        <v>40</v>
      </c>
      <c r="G226" s="5" t="s">
        <v>24</v>
      </c>
      <c r="H226" s="5" t="n">
        <f aca="true">ROUND(RAND()*4+6,1)</f>
        <v>8.5</v>
      </c>
      <c r="I226" s="5" t="s">
        <v>41</v>
      </c>
      <c r="J226" s="5" t="str">
        <f aca="false">ROUND(63*1,0)&amp;"%"</f>
        <v>63%</v>
      </c>
    </row>
    <row r="227" customFormat="false" ht="15" hidden="false" customHeight="false" outlineLevel="0" collapsed="false">
      <c r="A227" s="6" t="s">
        <v>8339</v>
      </c>
      <c r="B227" s="6" t="s">
        <v>378</v>
      </c>
      <c r="C227" s="6" t="s">
        <v>114</v>
      </c>
      <c r="D227" s="6" t="s">
        <v>44</v>
      </c>
      <c r="E227" s="6" t="n">
        <f aca="false">ROUND(12515*1.05,2)</f>
        <v>13140.75</v>
      </c>
      <c r="F227" s="6" t="s">
        <v>45</v>
      </c>
      <c r="G227" s="6" t="s">
        <v>30</v>
      </c>
      <c r="H227" s="6" t="n">
        <f aca="true">ROUND(RAND()*4+6,1)</f>
        <v>8.3</v>
      </c>
      <c r="I227" s="6" t="s">
        <v>46</v>
      </c>
      <c r="J227" s="6" t="str">
        <f aca="false">ROUND(83*1,0)&amp;"%"</f>
        <v>83%</v>
      </c>
    </row>
    <row r="228" customFormat="false" ht="15" hidden="false" customHeight="false" outlineLevel="0" collapsed="false">
      <c r="A228" s="5" t="s">
        <v>8340</v>
      </c>
      <c r="B228" s="5" t="s">
        <v>380</v>
      </c>
      <c r="C228" s="5" t="s">
        <v>114</v>
      </c>
      <c r="D228" s="5" t="s">
        <v>16</v>
      </c>
      <c r="E228" s="5" t="n">
        <f aca="false">ROUND(4997*1.05,2)</f>
        <v>5246.85</v>
      </c>
      <c r="F228" s="5" t="s">
        <v>49</v>
      </c>
      <c r="G228" s="5" t="s">
        <v>18</v>
      </c>
      <c r="H228" s="5" t="n">
        <f aca="true">ROUND(RAND()*4+6,1)</f>
        <v>6.9</v>
      </c>
      <c r="I228" s="5" t="s">
        <v>19</v>
      </c>
      <c r="J228" s="5" t="str">
        <f aca="false">ROUND(97*1,0)&amp;"%"</f>
        <v>97%</v>
      </c>
    </row>
    <row r="229" customFormat="false" ht="15" hidden="false" customHeight="false" outlineLevel="0" collapsed="false">
      <c r="A229" s="6" t="s">
        <v>8341</v>
      </c>
      <c r="B229" s="6" t="s">
        <v>382</v>
      </c>
      <c r="C229" s="6" t="s">
        <v>114</v>
      </c>
      <c r="D229" s="6" t="s">
        <v>22</v>
      </c>
      <c r="E229" s="6" t="n">
        <f aca="false">ROUND(17523*1.05,2)</f>
        <v>18399.15</v>
      </c>
      <c r="F229" s="6" t="s">
        <v>52</v>
      </c>
      <c r="G229" s="6" t="s">
        <v>24</v>
      </c>
      <c r="H229" s="6" t="n">
        <f aca="true">ROUND(RAND()*4+6,1)</f>
        <v>7.5</v>
      </c>
      <c r="I229" s="6" t="s">
        <v>25</v>
      </c>
      <c r="J229" s="6" t="str">
        <f aca="false">ROUND(65*1,0)&amp;"%"</f>
        <v>65%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8342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8343</v>
      </c>
      <c r="B234" s="5" t="s">
        <v>386</v>
      </c>
      <c r="C234" s="5" t="s">
        <v>133</v>
      </c>
      <c r="D234" s="5" t="s">
        <v>16</v>
      </c>
      <c r="E234" s="5" t="n">
        <f aca="false">ROUND(12288*1.05,2)</f>
        <v>12902.4</v>
      </c>
      <c r="F234" s="5" t="s">
        <v>17</v>
      </c>
      <c r="G234" s="5" t="s">
        <v>18</v>
      </c>
      <c r="H234" s="5" t="n">
        <f aca="true">ROUND(RAND()*4+6,1)</f>
        <v>9.3</v>
      </c>
      <c r="I234" s="5" t="s">
        <v>19</v>
      </c>
      <c r="J234" s="5" t="str">
        <f aca="false">ROUND(98*1,0)&amp;"%"</f>
        <v>98%</v>
      </c>
    </row>
    <row r="235" customFormat="false" ht="15" hidden="false" customHeight="false" outlineLevel="0" collapsed="false">
      <c r="A235" s="6" t="s">
        <v>8344</v>
      </c>
      <c r="B235" s="6" t="s">
        <v>388</v>
      </c>
      <c r="C235" s="6" t="s">
        <v>133</v>
      </c>
      <c r="D235" s="6" t="s">
        <v>22</v>
      </c>
      <c r="E235" s="6" t="n">
        <f aca="false">ROUND(16480*1.05,2)</f>
        <v>17304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ROUND(90*1,0)&amp;"%"</f>
        <v>90%</v>
      </c>
    </row>
    <row r="236" customFormat="false" ht="15" hidden="false" customHeight="false" outlineLevel="0" collapsed="false">
      <c r="A236" s="5" t="s">
        <v>8345</v>
      </c>
      <c r="B236" s="5" t="s">
        <v>390</v>
      </c>
      <c r="C236" s="5" t="s">
        <v>133</v>
      </c>
      <c r="D236" s="5" t="s">
        <v>28</v>
      </c>
      <c r="E236" s="5" t="n">
        <f aca="false">ROUND(12712*1.05,2)</f>
        <v>13347.6</v>
      </c>
      <c r="F236" s="5" t="s">
        <v>29</v>
      </c>
      <c r="G236" s="5" t="s">
        <v>30</v>
      </c>
      <c r="H236" s="5" t="n">
        <f aca="true">ROUND(RAND()*4+6,1)</f>
        <v>9.5</v>
      </c>
      <c r="I236" s="5" t="s">
        <v>31</v>
      </c>
      <c r="J236" s="5" t="str">
        <f aca="false">ROUND(86*1,0)&amp;"%"</f>
        <v>86%</v>
      </c>
    </row>
    <row r="237" customFormat="false" ht="15" hidden="false" customHeight="false" outlineLevel="0" collapsed="false">
      <c r="A237" s="6" t="s">
        <v>8346</v>
      </c>
      <c r="B237" s="6" t="s">
        <v>392</v>
      </c>
      <c r="C237" s="6" t="s">
        <v>133</v>
      </c>
      <c r="D237" s="6" t="s">
        <v>34</v>
      </c>
      <c r="E237" s="6" t="n">
        <f aca="false">ROUND(8845*1.05,2)</f>
        <v>9287.25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8347</v>
      </c>
      <c r="B238" s="5" t="s">
        <v>394</v>
      </c>
      <c r="C238" s="5" t="s">
        <v>133</v>
      </c>
      <c r="D238" s="5" t="s">
        <v>39</v>
      </c>
      <c r="E238" s="5" t="n">
        <f aca="false">ROUND(5453*1.05,2)</f>
        <v>5725.65</v>
      </c>
      <c r="F238" s="5" t="s">
        <v>40</v>
      </c>
      <c r="G238" s="5" t="s">
        <v>24</v>
      </c>
      <c r="H238" s="5" t="n">
        <f aca="true">ROUND(RAND()*4+6,1)</f>
        <v>8</v>
      </c>
      <c r="I238" s="5" t="s">
        <v>41</v>
      </c>
      <c r="J238" s="5" t="str">
        <f aca="false">ROUND(100*1,0)&amp;"%"</f>
        <v>100%</v>
      </c>
    </row>
    <row r="239" customFormat="false" ht="15" hidden="false" customHeight="false" outlineLevel="0" collapsed="false">
      <c r="A239" s="6" t="s">
        <v>8348</v>
      </c>
      <c r="B239" s="6" t="s">
        <v>396</v>
      </c>
      <c r="C239" s="6" t="s">
        <v>133</v>
      </c>
      <c r="D239" s="6" t="s">
        <v>44</v>
      </c>
      <c r="E239" s="6" t="n">
        <f aca="false">ROUND(4449*1.05,2)</f>
        <v>4671.45</v>
      </c>
      <c r="F239" s="6" t="s">
        <v>45</v>
      </c>
      <c r="G239" s="6" t="s">
        <v>30</v>
      </c>
      <c r="H239" s="6" t="n">
        <f aca="true">ROUND(RAND()*4+6,1)</f>
        <v>9</v>
      </c>
      <c r="I239" s="6" t="s">
        <v>46</v>
      </c>
      <c r="J239" s="6" t="str">
        <f aca="false">ROUND(96*1,0)&amp;"%"</f>
        <v>96%</v>
      </c>
    </row>
    <row r="240" customFormat="false" ht="15" hidden="false" customHeight="false" outlineLevel="0" collapsed="false">
      <c r="A240" s="5" t="s">
        <v>8349</v>
      </c>
      <c r="B240" s="5" t="s">
        <v>398</v>
      </c>
      <c r="C240" s="5" t="s">
        <v>133</v>
      </c>
      <c r="D240" s="5" t="s">
        <v>16</v>
      </c>
      <c r="E240" s="5" t="n">
        <f aca="false">ROUND(16599*1.05,2)</f>
        <v>17428.95</v>
      </c>
      <c r="F240" s="5" t="s">
        <v>49</v>
      </c>
      <c r="G240" s="5" t="s">
        <v>18</v>
      </c>
      <c r="H240" s="5" t="n">
        <f aca="true">ROUND(RAND()*4+6,1)</f>
        <v>9.3</v>
      </c>
      <c r="I240" s="5" t="s">
        <v>19</v>
      </c>
      <c r="J240" s="5" t="str">
        <f aca="false">ROUND(63*1,0)&amp;"%"</f>
        <v>63%</v>
      </c>
    </row>
    <row r="241" customFormat="false" ht="15" hidden="false" customHeight="false" outlineLevel="0" collapsed="false">
      <c r="A241" s="6" t="s">
        <v>8350</v>
      </c>
      <c r="B241" s="6" t="s">
        <v>400</v>
      </c>
      <c r="C241" s="6" t="s">
        <v>133</v>
      </c>
      <c r="D241" s="6" t="s">
        <v>22</v>
      </c>
      <c r="E241" s="6" t="n">
        <f aca="false">ROUND(10611*1.05,2)</f>
        <v>11141.55</v>
      </c>
      <c r="F241" s="6" t="s">
        <v>52</v>
      </c>
      <c r="G241" s="6" t="s">
        <v>24</v>
      </c>
      <c r="H241" s="6" t="n">
        <f aca="true">ROUND(RAND()*4+6,1)</f>
        <v>7.1</v>
      </c>
      <c r="I241" s="6" t="s">
        <v>25</v>
      </c>
      <c r="J241" s="6" t="str">
        <f aca="false">ROUND(71*1,0)&amp;"%"</f>
        <v>71%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8351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8352</v>
      </c>
      <c r="B246" s="5" t="s">
        <v>404</v>
      </c>
      <c r="C246" s="5" t="s">
        <v>152</v>
      </c>
      <c r="D246" s="5" t="s">
        <v>16</v>
      </c>
      <c r="E246" s="5" t="n">
        <f aca="false">ROUND(12204*1.05,2)</f>
        <v>12814.2</v>
      </c>
      <c r="F246" s="5" t="s">
        <v>17</v>
      </c>
      <c r="G246" s="5" t="s">
        <v>18</v>
      </c>
      <c r="H246" s="5" t="n">
        <f aca="true">ROUND(RAND()*4+6,1)</f>
        <v>6.7</v>
      </c>
      <c r="I246" s="5" t="s">
        <v>19</v>
      </c>
      <c r="J246" s="5" t="str">
        <f aca="false">ROUND(86*1,0)&amp;"%"</f>
        <v>86%</v>
      </c>
    </row>
    <row r="247" customFormat="false" ht="15" hidden="false" customHeight="false" outlineLevel="0" collapsed="false">
      <c r="A247" s="6" t="s">
        <v>8353</v>
      </c>
      <c r="B247" s="6" t="s">
        <v>406</v>
      </c>
      <c r="C247" s="6" t="s">
        <v>152</v>
      </c>
      <c r="D247" s="6" t="s">
        <v>22</v>
      </c>
      <c r="E247" s="6" t="n">
        <f aca="false">ROUND(10523*1.05,2)</f>
        <v>11049.15</v>
      </c>
      <c r="F247" s="6" t="s">
        <v>23</v>
      </c>
      <c r="G247" s="6" t="s">
        <v>24</v>
      </c>
      <c r="H247" s="6" t="n">
        <f aca="true">ROUND(RAND()*4+6,1)</f>
        <v>9.9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8354</v>
      </c>
      <c r="B248" s="5" t="s">
        <v>408</v>
      </c>
      <c r="C248" s="5" t="s">
        <v>152</v>
      </c>
      <c r="D248" s="5" t="s">
        <v>28</v>
      </c>
      <c r="E248" s="5" t="n">
        <f aca="false">ROUND(5985*1.05,2)</f>
        <v>6284.25</v>
      </c>
      <c r="F248" s="5" t="s">
        <v>29</v>
      </c>
      <c r="G248" s="5" t="s">
        <v>30</v>
      </c>
      <c r="H248" s="5" t="n">
        <f aca="true">ROUND(RAND()*4+6,1)</f>
        <v>7.9</v>
      </c>
      <c r="I248" s="5" t="s">
        <v>31</v>
      </c>
      <c r="J248" s="5" t="str">
        <f aca="false">ROUND(67*1,0)&amp;"%"</f>
        <v>67%</v>
      </c>
    </row>
    <row r="249" customFormat="false" ht="15" hidden="false" customHeight="false" outlineLevel="0" collapsed="false">
      <c r="A249" s="6" t="s">
        <v>8355</v>
      </c>
      <c r="B249" s="6" t="s">
        <v>410</v>
      </c>
      <c r="C249" s="6" t="s">
        <v>152</v>
      </c>
      <c r="D249" s="6" t="s">
        <v>34</v>
      </c>
      <c r="E249" s="6" t="n">
        <f aca="false">ROUND(6258*1.05,2)</f>
        <v>6570.9</v>
      </c>
      <c r="F249" s="6" t="s">
        <v>35</v>
      </c>
      <c r="G249" s="6" t="s">
        <v>18</v>
      </c>
      <c r="H249" s="6" t="n">
        <f aca="true">ROUND(RAND()*4+6,1)</f>
        <v>9.4</v>
      </c>
      <c r="I249" s="6" t="s">
        <v>36</v>
      </c>
      <c r="J249" s="6" t="str">
        <f aca="false">ROUND(93*1,0)&amp;"%"</f>
        <v>93%</v>
      </c>
    </row>
    <row r="250" customFormat="false" ht="15" hidden="false" customHeight="false" outlineLevel="0" collapsed="false">
      <c r="A250" s="5" t="s">
        <v>8356</v>
      </c>
      <c r="B250" s="5" t="s">
        <v>412</v>
      </c>
      <c r="C250" s="5" t="s">
        <v>152</v>
      </c>
      <c r="D250" s="5" t="s">
        <v>39</v>
      </c>
      <c r="E250" s="5" t="n">
        <f aca="false">ROUND(16392*1.05,2)</f>
        <v>17211.6</v>
      </c>
      <c r="F250" s="5" t="s">
        <v>40</v>
      </c>
      <c r="G250" s="5" t="s">
        <v>24</v>
      </c>
      <c r="H250" s="5" t="n">
        <f aca="true">ROUND(RAND()*4+6,1)</f>
        <v>9.4</v>
      </c>
      <c r="I250" s="5" t="s">
        <v>41</v>
      </c>
      <c r="J250" s="5" t="str">
        <f aca="false">ROUND(93*1,0)&amp;"%"</f>
        <v>93%</v>
      </c>
    </row>
    <row r="251" customFormat="false" ht="15" hidden="false" customHeight="false" outlineLevel="0" collapsed="false">
      <c r="A251" s="6" t="s">
        <v>8357</v>
      </c>
      <c r="B251" s="6" t="s">
        <v>414</v>
      </c>
      <c r="C251" s="6" t="s">
        <v>152</v>
      </c>
      <c r="D251" s="6" t="s">
        <v>44</v>
      </c>
      <c r="E251" s="6" t="n">
        <f aca="false">ROUND(4753*1.05,2)</f>
        <v>4990.65</v>
      </c>
      <c r="F251" s="6" t="s">
        <v>45</v>
      </c>
      <c r="G251" s="6" t="s">
        <v>30</v>
      </c>
      <c r="H251" s="6" t="n">
        <f aca="true">ROUND(RAND()*4+6,1)</f>
        <v>9.3</v>
      </c>
      <c r="I251" s="6" t="s">
        <v>46</v>
      </c>
      <c r="J251" s="6" t="str">
        <f aca="false">ROUND(74*1,0)&amp;"%"</f>
        <v>74%</v>
      </c>
    </row>
    <row r="252" customFormat="false" ht="15" hidden="false" customHeight="false" outlineLevel="0" collapsed="false">
      <c r="A252" s="5" t="s">
        <v>8358</v>
      </c>
      <c r="B252" s="5" t="s">
        <v>416</v>
      </c>
      <c r="C252" s="5" t="s">
        <v>152</v>
      </c>
      <c r="D252" s="5" t="s">
        <v>16</v>
      </c>
      <c r="E252" s="5" t="n">
        <f aca="false">ROUND(4535*1.05,2)</f>
        <v>4761.75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ROUND(91*1,0)&amp;"%"</f>
        <v>91%</v>
      </c>
    </row>
    <row r="253" customFormat="false" ht="15" hidden="false" customHeight="false" outlineLevel="0" collapsed="false">
      <c r="A253" s="6" t="s">
        <v>8359</v>
      </c>
      <c r="B253" s="6" t="s">
        <v>418</v>
      </c>
      <c r="C253" s="6" t="s">
        <v>152</v>
      </c>
      <c r="D253" s="6" t="s">
        <v>22</v>
      </c>
      <c r="E253" s="6" t="n">
        <f aca="false">ROUND(6829*1.05,2)</f>
        <v>7170.45</v>
      </c>
      <c r="F253" s="6" t="s">
        <v>52</v>
      </c>
      <c r="G253" s="6" t="s">
        <v>24</v>
      </c>
      <c r="H253" s="6" t="n">
        <f aca="true">ROUND(RAND()*4+6,1)</f>
        <v>7</v>
      </c>
      <c r="I253" s="6" t="s">
        <v>25</v>
      </c>
      <c r="J253" s="6" t="str">
        <f aca="false">ROUND(61*1,0)&amp;"%"</f>
        <v>61%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8360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8361</v>
      </c>
      <c r="B258" s="5" t="s">
        <v>422</v>
      </c>
      <c r="C258" s="5" t="s">
        <v>15</v>
      </c>
      <c r="D258" s="5" t="s">
        <v>16</v>
      </c>
      <c r="E258" s="5" t="n">
        <f aca="false">ROUND(4312*1.05,2)</f>
        <v>4527.6</v>
      </c>
      <c r="F258" s="5" t="s">
        <v>17</v>
      </c>
      <c r="G258" s="5" t="s">
        <v>18</v>
      </c>
      <c r="H258" s="5" t="n">
        <f aca="true">ROUND(RAND()*4+6,1)</f>
        <v>9.4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8362</v>
      </c>
      <c r="B259" s="6" t="s">
        <v>424</v>
      </c>
      <c r="C259" s="6" t="s">
        <v>15</v>
      </c>
      <c r="D259" s="6" t="s">
        <v>22</v>
      </c>
      <c r="E259" s="6" t="n">
        <f aca="false">ROUND(13463*1.05,2)</f>
        <v>14136.15</v>
      </c>
      <c r="F259" s="6" t="s">
        <v>23</v>
      </c>
      <c r="G259" s="6" t="s">
        <v>24</v>
      </c>
      <c r="H259" s="6" t="n">
        <f aca="true">ROUND(RAND()*4+6,1)</f>
        <v>9.1</v>
      </c>
      <c r="I259" s="6" t="s">
        <v>25</v>
      </c>
      <c r="J259" s="6" t="str">
        <f aca="false">ROUND(72*1,0)&amp;"%"</f>
        <v>72%</v>
      </c>
    </row>
    <row r="260" customFormat="false" ht="15" hidden="false" customHeight="false" outlineLevel="0" collapsed="false">
      <c r="A260" s="5" t="s">
        <v>8363</v>
      </c>
      <c r="B260" s="5" t="s">
        <v>426</v>
      </c>
      <c r="C260" s="5" t="s">
        <v>15</v>
      </c>
      <c r="D260" s="5" t="s">
        <v>28</v>
      </c>
      <c r="E260" s="5" t="n">
        <f aca="false">ROUND(13862*1.05,2)</f>
        <v>14555.1</v>
      </c>
      <c r="F260" s="5" t="s">
        <v>29</v>
      </c>
      <c r="G260" s="5" t="s">
        <v>30</v>
      </c>
      <c r="H260" s="5" t="n">
        <f aca="true">ROUND(RAND()*4+6,1)</f>
        <v>7.5</v>
      </c>
      <c r="I260" s="5" t="s">
        <v>31</v>
      </c>
      <c r="J260" s="5" t="str">
        <f aca="false">ROUND(92*1,0)&amp;"%"</f>
        <v>92%</v>
      </c>
    </row>
    <row r="261" customFormat="false" ht="15" hidden="false" customHeight="false" outlineLevel="0" collapsed="false">
      <c r="A261" s="6" t="s">
        <v>8364</v>
      </c>
      <c r="B261" s="6" t="s">
        <v>428</v>
      </c>
      <c r="C261" s="6" t="s">
        <v>15</v>
      </c>
      <c r="D261" s="6" t="s">
        <v>34</v>
      </c>
      <c r="E261" s="6" t="n">
        <f aca="false">ROUND(13278*1.05,2)</f>
        <v>13941.9</v>
      </c>
      <c r="F261" s="6" t="s">
        <v>35</v>
      </c>
      <c r="G261" s="6" t="s">
        <v>18</v>
      </c>
      <c r="H261" s="6" t="n">
        <f aca="true">ROUND(RAND()*4+6,1)</f>
        <v>9.2</v>
      </c>
      <c r="I261" s="6" t="s">
        <v>36</v>
      </c>
      <c r="J261" s="6" t="str">
        <f aca="false">ROUND(74*1,0)&amp;"%"</f>
        <v>74%</v>
      </c>
    </row>
    <row r="262" customFormat="false" ht="15" hidden="false" customHeight="false" outlineLevel="0" collapsed="false">
      <c r="A262" s="5" t="s">
        <v>8365</v>
      </c>
      <c r="B262" s="5" t="s">
        <v>430</v>
      </c>
      <c r="C262" s="5" t="s">
        <v>15</v>
      </c>
      <c r="D262" s="5" t="s">
        <v>39</v>
      </c>
      <c r="E262" s="5" t="n">
        <f aca="false">ROUND(4116*1.05,2)</f>
        <v>4321.8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ROUND(69*1,0)&amp;"%"</f>
        <v>69%</v>
      </c>
    </row>
    <row r="263" customFormat="false" ht="15" hidden="false" customHeight="false" outlineLevel="0" collapsed="false">
      <c r="A263" s="6" t="s">
        <v>8366</v>
      </c>
      <c r="B263" s="6" t="s">
        <v>432</v>
      </c>
      <c r="C263" s="6" t="s">
        <v>15</v>
      </c>
      <c r="D263" s="6" t="s">
        <v>44</v>
      </c>
      <c r="E263" s="6" t="n">
        <f aca="false">ROUND(9848*1.05,2)</f>
        <v>10340.4</v>
      </c>
      <c r="F263" s="6" t="s">
        <v>45</v>
      </c>
      <c r="G263" s="6" t="s">
        <v>30</v>
      </c>
      <c r="H263" s="6" t="n">
        <f aca="true">ROUND(RAND()*4+6,1)</f>
        <v>8.9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8367</v>
      </c>
      <c r="B264" s="5" t="s">
        <v>434</v>
      </c>
      <c r="C264" s="5" t="s">
        <v>15</v>
      </c>
      <c r="D264" s="5" t="s">
        <v>16</v>
      </c>
      <c r="E264" s="5" t="n">
        <f aca="false">ROUND(5467*1.05,2)</f>
        <v>5740.35</v>
      </c>
      <c r="F264" s="5" t="s">
        <v>49</v>
      </c>
      <c r="G264" s="5" t="s">
        <v>18</v>
      </c>
      <c r="H264" s="5" t="n">
        <f aca="true">ROUND(RAND()*4+6,1)</f>
        <v>6.6</v>
      </c>
      <c r="I264" s="5" t="s">
        <v>19</v>
      </c>
      <c r="J264" s="5" t="str">
        <f aca="false">ROUND(85*1,0)&amp;"%"</f>
        <v>85%</v>
      </c>
    </row>
    <row r="265" customFormat="false" ht="15" hidden="false" customHeight="false" outlineLevel="0" collapsed="false">
      <c r="A265" s="6" t="s">
        <v>8368</v>
      </c>
      <c r="B265" s="6" t="s">
        <v>436</v>
      </c>
      <c r="C265" s="6" t="s">
        <v>15</v>
      </c>
      <c r="D265" s="6" t="s">
        <v>22</v>
      </c>
      <c r="E265" s="6" t="n">
        <f aca="false">ROUND(17397*1.05,2)</f>
        <v>18266.85</v>
      </c>
      <c r="F265" s="6" t="s">
        <v>52</v>
      </c>
      <c r="G265" s="6" t="s">
        <v>24</v>
      </c>
      <c r="H265" s="6" t="n">
        <f aca="true">ROUND(RAND()*4+6,1)</f>
        <v>9.4</v>
      </c>
      <c r="I265" s="6" t="s">
        <v>25</v>
      </c>
      <c r="J265" s="6" t="str">
        <f aca="false">ROUND(76*1,0)&amp;"%"</f>
        <v>76%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8369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8370</v>
      </c>
      <c r="B270" s="5" t="s">
        <v>440</v>
      </c>
      <c r="C270" s="5" t="s">
        <v>57</v>
      </c>
      <c r="D270" s="5" t="s">
        <v>16</v>
      </c>
      <c r="E270" s="5" t="n">
        <f aca="false">ROUND(10503*1.05,2)</f>
        <v>11028.15</v>
      </c>
      <c r="F270" s="5" t="s">
        <v>17</v>
      </c>
      <c r="G270" s="5" t="s">
        <v>18</v>
      </c>
      <c r="H270" s="5" t="n">
        <f aca="true">ROUND(RAND()*4+6,1)</f>
        <v>6.7</v>
      </c>
      <c r="I270" s="5" t="s">
        <v>19</v>
      </c>
      <c r="J270" s="5" t="str">
        <f aca="false">ROUND(61*1,0)&amp;"%"</f>
        <v>61%</v>
      </c>
    </row>
    <row r="271" customFormat="false" ht="15" hidden="false" customHeight="false" outlineLevel="0" collapsed="false">
      <c r="A271" s="6" t="s">
        <v>8371</v>
      </c>
      <c r="B271" s="6" t="s">
        <v>442</v>
      </c>
      <c r="C271" s="6" t="s">
        <v>57</v>
      </c>
      <c r="D271" s="6" t="s">
        <v>22</v>
      </c>
      <c r="E271" s="6" t="n">
        <f aca="false">ROUND(11646*1.05,2)</f>
        <v>12228.3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ROUND(92*1,0)&amp;"%"</f>
        <v>92%</v>
      </c>
    </row>
    <row r="272" customFormat="false" ht="15" hidden="false" customHeight="false" outlineLevel="0" collapsed="false">
      <c r="A272" s="5" t="s">
        <v>8372</v>
      </c>
      <c r="B272" s="5" t="s">
        <v>444</v>
      </c>
      <c r="C272" s="5" t="s">
        <v>57</v>
      </c>
      <c r="D272" s="5" t="s">
        <v>28</v>
      </c>
      <c r="E272" s="5" t="n">
        <f aca="false">ROUND(9044*1.05,2)</f>
        <v>9496.2</v>
      </c>
      <c r="F272" s="5" t="s">
        <v>29</v>
      </c>
      <c r="G272" s="5" t="s">
        <v>30</v>
      </c>
      <c r="H272" s="5" t="n">
        <f aca="true">ROUND(RAND()*4+6,1)</f>
        <v>7.5</v>
      </c>
      <c r="I272" s="5" t="s">
        <v>31</v>
      </c>
      <c r="J272" s="5" t="str">
        <f aca="false">ROUND(71*1,0)&amp;"%"</f>
        <v>71%</v>
      </c>
    </row>
    <row r="273" customFormat="false" ht="15" hidden="false" customHeight="false" outlineLevel="0" collapsed="false">
      <c r="A273" s="6" t="s">
        <v>8373</v>
      </c>
      <c r="B273" s="6" t="s">
        <v>446</v>
      </c>
      <c r="C273" s="6" t="s">
        <v>57</v>
      </c>
      <c r="D273" s="6" t="s">
        <v>34</v>
      </c>
      <c r="E273" s="6" t="n">
        <f aca="false">ROUND(7334*1.05,2)</f>
        <v>7700.7</v>
      </c>
      <c r="F273" s="6" t="s">
        <v>35</v>
      </c>
      <c r="G273" s="6" t="s">
        <v>18</v>
      </c>
      <c r="H273" s="6" t="n">
        <f aca="true">ROUND(RAND()*4+6,1)</f>
        <v>8.1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8374</v>
      </c>
      <c r="B274" s="5" t="s">
        <v>448</v>
      </c>
      <c r="C274" s="5" t="s">
        <v>57</v>
      </c>
      <c r="D274" s="5" t="s">
        <v>39</v>
      </c>
      <c r="E274" s="5" t="n">
        <f aca="false">ROUND(8393*1.05,2)</f>
        <v>8812.65</v>
      </c>
      <c r="F274" s="5" t="s">
        <v>40</v>
      </c>
      <c r="G274" s="5" t="s">
        <v>24</v>
      </c>
      <c r="H274" s="5" t="n">
        <f aca="true">ROUND(RAND()*4+6,1)</f>
        <v>9.8</v>
      </c>
      <c r="I274" s="5" t="s">
        <v>41</v>
      </c>
      <c r="J274" s="5" t="str">
        <f aca="false">ROUND(80*1,0)&amp;"%"</f>
        <v>80%</v>
      </c>
    </row>
    <row r="275" customFormat="false" ht="15" hidden="false" customHeight="false" outlineLevel="0" collapsed="false">
      <c r="A275" s="6" t="s">
        <v>8375</v>
      </c>
      <c r="B275" s="6" t="s">
        <v>450</v>
      </c>
      <c r="C275" s="6" t="s">
        <v>57</v>
      </c>
      <c r="D275" s="6" t="s">
        <v>44</v>
      </c>
      <c r="E275" s="6" t="n">
        <f aca="false">ROUND(15403*1.05,2)</f>
        <v>16173.15</v>
      </c>
      <c r="F275" s="6" t="s">
        <v>45</v>
      </c>
      <c r="G275" s="6" t="s">
        <v>30</v>
      </c>
      <c r="H275" s="6" t="n">
        <f aca="true">ROUND(RAND()*4+6,1)</f>
        <v>9.5</v>
      </c>
      <c r="I275" s="6" t="s">
        <v>46</v>
      </c>
      <c r="J275" s="6" t="str">
        <f aca="false">ROUND(74*1,0)&amp;"%"</f>
        <v>74%</v>
      </c>
    </row>
    <row r="276" customFormat="false" ht="15" hidden="false" customHeight="false" outlineLevel="0" collapsed="false">
      <c r="A276" s="5" t="s">
        <v>8376</v>
      </c>
      <c r="B276" s="5" t="s">
        <v>452</v>
      </c>
      <c r="C276" s="5" t="s">
        <v>57</v>
      </c>
      <c r="D276" s="5" t="s">
        <v>16</v>
      </c>
      <c r="E276" s="5" t="n">
        <f aca="false">ROUND(13508*1.05,2)</f>
        <v>14183.4</v>
      </c>
      <c r="F276" s="5" t="s">
        <v>49</v>
      </c>
      <c r="G276" s="5" t="s">
        <v>18</v>
      </c>
      <c r="H276" s="5" t="n">
        <f aca="true">ROUND(RAND()*4+6,1)</f>
        <v>7.4</v>
      </c>
      <c r="I276" s="5" t="s">
        <v>19</v>
      </c>
      <c r="J276" s="5" t="str">
        <f aca="false">ROUND(69*1,0)&amp;"%"</f>
        <v>69%</v>
      </c>
    </row>
    <row r="277" customFormat="false" ht="15" hidden="false" customHeight="false" outlineLevel="0" collapsed="false">
      <c r="A277" s="6" t="s">
        <v>8377</v>
      </c>
      <c r="B277" s="6" t="s">
        <v>454</v>
      </c>
      <c r="C277" s="6" t="s">
        <v>57</v>
      </c>
      <c r="D277" s="6" t="s">
        <v>22</v>
      </c>
      <c r="E277" s="6" t="n">
        <f aca="false">ROUND(5742*1.05,2)</f>
        <v>6029.1</v>
      </c>
      <c r="F277" s="6" t="s">
        <v>52</v>
      </c>
      <c r="G277" s="6" t="s">
        <v>24</v>
      </c>
      <c r="H277" s="6" t="n">
        <f aca="true">ROUND(RAND()*4+6,1)</f>
        <v>8.1</v>
      </c>
      <c r="I277" s="6" t="s">
        <v>25</v>
      </c>
      <c r="J277" s="6" t="str">
        <f aca="false">ROUND(60*1,0)&amp;"%"</f>
        <v>60%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8378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8379</v>
      </c>
      <c r="B282" s="5" t="s">
        <v>458</v>
      </c>
      <c r="C282" s="5" t="s">
        <v>76</v>
      </c>
      <c r="D282" s="5" t="s">
        <v>16</v>
      </c>
      <c r="E282" s="5" t="n">
        <f aca="false">ROUND(11744*1.05,2)</f>
        <v>12331.2</v>
      </c>
      <c r="F282" s="5" t="s">
        <v>17</v>
      </c>
      <c r="G282" s="5" t="s">
        <v>18</v>
      </c>
      <c r="H282" s="5" t="n">
        <f aca="true">ROUND(RAND()*4+6,1)</f>
        <v>6.3</v>
      </c>
      <c r="I282" s="5" t="s">
        <v>19</v>
      </c>
      <c r="J282" s="5" t="str">
        <f aca="false">ROUND(72*1,0)&amp;"%"</f>
        <v>72%</v>
      </c>
    </row>
    <row r="283" customFormat="false" ht="15" hidden="false" customHeight="false" outlineLevel="0" collapsed="false">
      <c r="A283" s="6" t="s">
        <v>8380</v>
      </c>
      <c r="B283" s="6" t="s">
        <v>460</v>
      </c>
      <c r="C283" s="6" t="s">
        <v>76</v>
      </c>
      <c r="D283" s="6" t="s">
        <v>22</v>
      </c>
      <c r="E283" s="6" t="n">
        <f aca="false">ROUND(4491*1.05,2)</f>
        <v>4715.55</v>
      </c>
      <c r="F283" s="6" t="s">
        <v>23</v>
      </c>
      <c r="G283" s="6" t="s">
        <v>24</v>
      </c>
      <c r="H283" s="6" t="n">
        <f aca="true">ROUND(RAND()*4+6,1)</f>
        <v>8.7</v>
      </c>
      <c r="I283" s="6" t="s">
        <v>25</v>
      </c>
      <c r="J283" s="6" t="str">
        <f aca="false">ROUND(91*1,0)&amp;"%"</f>
        <v>91%</v>
      </c>
    </row>
    <row r="284" customFormat="false" ht="15" hidden="false" customHeight="false" outlineLevel="0" collapsed="false">
      <c r="A284" s="5" t="s">
        <v>8381</v>
      </c>
      <c r="B284" s="5" t="s">
        <v>462</v>
      </c>
      <c r="C284" s="5" t="s">
        <v>76</v>
      </c>
      <c r="D284" s="5" t="s">
        <v>28</v>
      </c>
      <c r="E284" s="5" t="n">
        <f aca="false">ROUND(13052*1.05,2)</f>
        <v>13704.6</v>
      </c>
      <c r="F284" s="5" t="s">
        <v>29</v>
      </c>
      <c r="G284" s="5" t="s">
        <v>30</v>
      </c>
      <c r="H284" s="5" t="n">
        <f aca="true">ROUND(RAND()*4+6,1)</f>
        <v>9.4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8382</v>
      </c>
      <c r="B285" s="6" t="s">
        <v>464</v>
      </c>
      <c r="C285" s="6" t="s">
        <v>76</v>
      </c>
      <c r="D285" s="6" t="s">
        <v>34</v>
      </c>
      <c r="E285" s="6" t="n">
        <f aca="false">ROUND(16157*1.05,2)</f>
        <v>16964.85</v>
      </c>
      <c r="F285" s="6" t="s">
        <v>35</v>
      </c>
      <c r="G285" s="6" t="s">
        <v>18</v>
      </c>
      <c r="H285" s="6" t="n">
        <f aca="true">ROUND(RAND()*4+6,1)</f>
        <v>8.2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8383</v>
      </c>
      <c r="B286" s="5" t="s">
        <v>466</v>
      </c>
      <c r="C286" s="5" t="s">
        <v>76</v>
      </c>
      <c r="D286" s="5" t="s">
        <v>39</v>
      </c>
      <c r="E286" s="5" t="n">
        <f aca="false">ROUND(16772*1.05,2)</f>
        <v>17610.6</v>
      </c>
      <c r="F286" s="5" t="s">
        <v>40</v>
      </c>
      <c r="G286" s="5" t="s">
        <v>24</v>
      </c>
      <c r="H286" s="5" t="n">
        <f aca="true">ROUND(RAND()*4+6,1)</f>
        <v>9.6</v>
      </c>
      <c r="I286" s="5" t="s">
        <v>41</v>
      </c>
      <c r="J286" s="5" t="str">
        <f aca="false">ROUND(97*1,0)&amp;"%"</f>
        <v>97%</v>
      </c>
    </row>
    <row r="287" customFormat="false" ht="15" hidden="false" customHeight="false" outlineLevel="0" collapsed="false">
      <c r="A287" s="6" t="s">
        <v>8384</v>
      </c>
      <c r="B287" s="6" t="s">
        <v>468</v>
      </c>
      <c r="C287" s="6" t="s">
        <v>76</v>
      </c>
      <c r="D287" s="6" t="s">
        <v>44</v>
      </c>
      <c r="E287" s="6" t="n">
        <f aca="false">ROUND(17982*1.05,2)</f>
        <v>18881.1</v>
      </c>
      <c r="F287" s="6" t="s">
        <v>45</v>
      </c>
      <c r="G287" s="6" t="s">
        <v>30</v>
      </c>
      <c r="H287" s="6" t="n">
        <f aca="true">ROUND(RAND()*4+6,1)</f>
        <v>7.2</v>
      </c>
      <c r="I287" s="6" t="s">
        <v>46</v>
      </c>
      <c r="J287" s="6" t="str">
        <f aca="false">ROUND(77*1,0)&amp;"%"</f>
        <v>77%</v>
      </c>
    </row>
    <row r="288" customFormat="false" ht="15" hidden="false" customHeight="false" outlineLevel="0" collapsed="false">
      <c r="A288" s="5" t="s">
        <v>8385</v>
      </c>
      <c r="B288" s="5" t="s">
        <v>470</v>
      </c>
      <c r="C288" s="5" t="s">
        <v>76</v>
      </c>
      <c r="D288" s="5" t="s">
        <v>16</v>
      </c>
      <c r="E288" s="5" t="n">
        <f aca="false">ROUND(12952*1.05,2)</f>
        <v>13599.6</v>
      </c>
      <c r="F288" s="5" t="s">
        <v>49</v>
      </c>
      <c r="G288" s="5" t="s">
        <v>18</v>
      </c>
      <c r="H288" s="5" t="n">
        <f aca="true">ROUND(RAND()*4+6,1)</f>
        <v>7.3</v>
      </c>
      <c r="I288" s="5" t="s">
        <v>19</v>
      </c>
      <c r="J288" s="5" t="str">
        <f aca="false">ROUND(72*1,0)&amp;"%"</f>
        <v>72%</v>
      </c>
    </row>
    <row r="289" customFormat="false" ht="15" hidden="false" customHeight="false" outlineLevel="0" collapsed="false">
      <c r="A289" s="6" t="s">
        <v>8386</v>
      </c>
      <c r="B289" s="6" t="s">
        <v>472</v>
      </c>
      <c r="C289" s="6" t="s">
        <v>76</v>
      </c>
      <c r="D289" s="6" t="s">
        <v>22</v>
      </c>
      <c r="E289" s="6" t="n">
        <f aca="false">ROUND(9781*1.05,2)</f>
        <v>10270.05</v>
      </c>
      <c r="F289" s="6" t="s">
        <v>52</v>
      </c>
      <c r="G289" s="6" t="s">
        <v>24</v>
      </c>
      <c r="H289" s="6" t="n">
        <f aca="true">ROUND(RAND()*4+6,1)</f>
        <v>7.7</v>
      </c>
      <c r="I289" s="6" t="s">
        <v>25</v>
      </c>
      <c r="J289" s="6" t="str">
        <f aca="false">ROUND(60*1,0)&amp;"%"</f>
        <v>60%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8387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8388</v>
      </c>
      <c r="B294" s="5" t="s">
        <v>476</v>
      </c>
      <c r="C294" s="5" t="s">
        <v>95</v>
      </c>
      <c r="D294" s="5" t="s">
        <v>16</v>
      </c>
      <c r="E294" s="5" t="n">
        <f aca="false">ROUND(17800*1.05,2)</f>
        <v>18690</v>
      </c>
      <c r="F294" s="5" t="s">
        <v>17</v>
      </c>
      <c r="G294" s="5" t="s">
        <v>18</v>
      </c>
      <c r="H294" s="5" t="n">
        <f aca="true">ROUND(RAND()*4+6,1)</f>
        <v>6.5</v>
      </c>
      <c r="I294" s="5" t="s">
        <v>19</v>
      </c>
      <c r="J294" s="5" t="str">
        <f aca="false">ROUND(100*1,0)&amp;"%"</f>
        <v>100%</v>
      </c>
    </row>
    <row r="295" customFormat="false" ht="15" hidden="false" customHeight="false" outlineLevel="0" collapsed="false">
      <c r="A295" s="6" t="s">
        <v>8389</v>
      </c>
      <c r="B295" s="6" t="s">
        <v>478</v>
      </c>
      <c r="C295" s="6" t="s">
        <v>95</v>
      </c>
      <c r="D295" s="6" t="s">
        <v>22</v>
      </c>
      <c r="E295" s="6" t="n">
        <f aca="false">ROUND(5229*1.05,2)</f>
        <v>5490.45</v>
      </c>
      <c r="F295" s="6" t="s">
        <v>23</v>
      </c>
      <c r="G295" s="6" t="s">
        <v>24</v>
      </c>
      <c r="H295" s="6" t="n">
        <f aca="true">ROUND(RAND()*4+6,1)</f>
        <v>9.1</v>
      </c>
      <c r="I295" s="6" t="s">
        <v>25</v>
      </c>
      <c r="J295" s="6" t="str">
        <f aca="false">ROUND(90*1,0)&amp;"%"</f>
        <v>90%</v>
      </c>
    </row>
    <row r="296" customFormat="false" ht="15" hidden="false" customHeight="false" outlineLevel="0" collapsed="false">
      <c r="A296" s="5" t="s">
        <v>8390</v>
      </c>
      <c r="B296" s="5" t="s">
        <v>480</v>
      </c>
      <c r="C296" s="5" t="s">
        <v>95</v>
      </c>
      <c r="D296" s="5" t="s">
        <v>28</v>
      </c>
      <c r="E296" s="5" t="n">
        <f aca="false">ROUND(13061*1.05,2)</f>
        <v>13714.05</v>
      </c>
      <c r="F296" s="5" t="s">
        <v>29</v>
      </c>
      <c r="G296" s="5" t="s">
        <v>30</v>
      </c>
      <c r="H296" s="5" t="n">
        <f aca="true">ROUND(RAND()*4+6,1)</f>
        <v>7</v>
      </c>
      <c r="I296" s="5" t="s">
        <v>31</v>
      </c>
      <c r="J296" s="5" t="str">
        <f aca="false">ROUND(95*1,0)&amp;"%"</f>
        <v>95%</v>
      </c>
    </row>
    <row r="297" customFormat="false" ht="15" hidden="false" customHeight="false" outlineLevel="0" collapsed="false">
      <c r="A297" s="6" t="s">
        <v>8391</v>
      </c>
      <c r="B297" s="6" t="s">
        <v>482</v>
      </c>
      <c r="C297" s="6" t="s">
        <v>95</v>
      </c>
      <c r="D297" s="6" t="s">
        <v>34</v>
      </c>
      <c r="E297" s="6" t="n">
        <f aca="false">ROUND(7441*1.05,2)</f>
        <v>7813.05</v>
      </c>
      <c r="F297" s="6" t="s">
        <v>35</v>
      </c>
      <c r="G297" s="6" t="s">
        <v>18</v>
      </c>
      <c r="H297" s="6" t="n">
        <f aca="true">ROUND(RAND()*4+6,1)</f>
        <v>9.6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8392</v>
      </c>
      <c r="B298" s="5" t="s">
        <v>484</v>
      </c>
      <c r="C298" s="5" t="s">
        <v>95</v>
      </c>
      <c r="D298" s="5" t="s">
        <v>39</v>
      </c>
      <c r="E298" s="5" t="n">
        <f aca="false">ROUND(13028*1.05,2)</f>
        <v>13679.4</v>
      </c>
      <c r="F298" s="5" t="s">
        <v>40</v>
      </c>
      <c r="G298" s="5" t="s">
        <v>24</v>
      </c>
      <c r="H298" s="5" t="n">
        <f aca="true">ROUND(RAND()*4+6,1)</f>
        <v>6.7</v>
      </c>
      <c r="I298" s="5" t="s">
        <v>41</v>
      </c>
      <c r="J298" s="5" t="str">
        <f aca="false">ROUND(87*1,0)&amp;"%"</f>
        <v>87%</v>
      </c>
    </row>
    <row r="299" customFormat="false" ht="15" hidden="false" customHeight="false" outlineLevel="0" collapsed="false">
      <c r="A299" s="6" t="s">
        <v>8393</v>
      </c>
      <c r="B299" s="6" t="s">
        <v>486</v>
      </c>
      <c r="C299" s="6" t="s">
        <v>95</v>
      </c>
      <c r="D299" s="6" t="s">
        <v>44</v>
      </c>
      <c r="E299" s="6" t="n">
        <f aca="false">ROUND(9314*1.05,2)</f>
        <v>9779.7</v>
      </c>
      <c r="F299" s="6" t="s">
        <v>45</v>
      </c>
      <c r="G299" s="6" t="s">
        <v>30</v>
      </c>
      <c r="H299" s="6" t="n">
        <f aca="true">ROUND(RAND()*4+6,1)</f>
        <v>9.2</v>
      </c>
      <c r="I299" s="6" t="s">
        <v>46</v>
      </c>
      <c r="J299" s="6" t="str">
        <f aca="false">ROUND(72*1,0)&amp;"%"</f>
        <v>72%</v>
      </c>
    </row>
    <row r="300" customFormat="false" ht="15" hidden="false" customHeight="false" outlineLevel="0" collapsed="false">
      <c r="A300" s="5" t="s">
        <v>8394</v>
      </c>
      <c r="B300" s="5" t="s">
        <v>488</v>
      </c>
      <c r="C300" s="5" t="s">
        <v>95</v>
      </c>
      <c r="D300" s="5" t="s">
        <v>16</v>
      </c>
      <c r="E300" s="5" t="n">
        <f aca="false">ROUND(6606*1.05,2)</f>
        <v>6936.3</v>
      </c>
      <c r="F300" s="5" t="s">
        <v>49</v>
      </c>
      <c r="G300" s="5" t="s">
        <v>18</v>
      </c>
      <c r="H300" s="5" t="n">
        <f aca="true">ROUND(RAND()*4+6,1)</f>
        <v>8.9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8395</v>
      </c>
      <c r="B301" s="6" t="s">
        <v>490</v>
      </c>
      <c r="C301" s="6" t="s">
        <v>95</v>
      </c>
      <c r="D301" s="6" t="s">
        <v>22</v>
      </c>
      <c r="E301" s="6" t="n">
        <f aca="false">ROUND(13916*1.05,2)</f>
        <v>14611.8</v>
      </c>
      <c r="F301" s="6" t="s">
        <v>52</v>
      </c>
      <c r="G301" s="6" t="s">
        <v>24</v>
      </c>
      <c r="H301" s="6" t="n">
        <f aca="true">ROUND(RAND()*4+6,1)</f>
        <v>9.5</v>
      </c>
      <c r="I301" s="6" t="s">
        <v>25</v>
      </c>
      <c r="J301" s="6" t="str">
        <f aca="false">ROUND(93*1,0)&amp;"%"</f>
        <v>93%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8396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8397</v>
      </c>
      <c r="B306" s="5" t="s">
        <v>494</v>
      </c>
      <c r="C306" s="5" t="s">
        <v>114</v>
      </c>
      <c r="D306" s="5" t="s">
        <v>16</v>
      </c>
      <c r="E306" s="5" t="n">
        <f aca="false">ROUND(15790*1.05,2)</f>
        <v>16579.5</v>
      </c>
      <c r="F306" s="5" t="s">
        <v>17</v>
      </c>
      <c r="G306" s="5" t="s">
        <v>18</v>
      </c>
      <c r="H306" s="5" t="n">
        <f aca="true">ROUND(RAND()*4+6,1)</f>
        <v>9.1</v>
      </c>
      <c r="I306" s="5" t="s">
        <v>19</v>
      </c>
      <c r="J306" s="5" t="str">
        <f aca="false">ROUND(89*1,0)&amp;"%"</f>
        <v>89%</v>
      </c>
    </row>
    <row r="307" customFormat="false" ht="15" hidden="false" customHeight="false" outlineLevel="0" collapsed="false">
      <c r="A307" s="6" t="s">
        <v>8398</v>
      </c>
      <c r="B307" s="6" t="s">
        <v>496</v>
      </c>
      <c r="C307" s="6" t="s">
        <v>114</v>
      </c>
      <c r="D307" s="6" t="s">
        <v>22</v>
      </c>
      <c r="E307" s="6" t="n">
        <f aca="false">ROUND(10510*1.05,2)</f>
        <v>11035.5</v>
      </c>
      <c r="F307" s="6" t="s">
        <v>23</v>
      </c>
      <c r="G307" s="6" t="s">
        <v>24</v>
      </c>
      <c r="H307" s="6" t="n">
        <f aca="true">ROUND(RAND()*4+6,1)</f>
        <v>7.1</v>
      </c>
      <c r="I307" s="6" t="s">
        <v>25</v>
      </c>
      <c r="J307" s="6" t="str">
        <f aca="false">ROUND(98*1,0)&amp;"%"</f>
        <v>98%</v>
      </c>
    </row>
    <row r="308" customFormat="false" ht="15" hidden="false" customHeight="false" outlineLevel="0" collapsed="false">
      <c r="A308" s="5" t="s">
        <v>8399</v>
      </c>
      <c r="B308" s="5" t="s">
        <v>498</v>
      </c>
      <c r="C308" s="5" t="s">
        <v>114</v>
      </c>
      <c r="D308" s="5" t="s">
        <v>28</v>
      </c>
      <c r="E308" s="5" t="n">
        <f aca="false">ROUND(13811*1.05,2)</f>
        <v>14501.55</v>
      </c>
      <c r="F308" s="5" t="s">
        <v>29</v>
      </c>
      <c r="G308" s="5" t="s">
        <v>30</v>
      </c>
      <c r="H308" s="5" t="n">
        <f aca="true">ROUND(RAND()*4+6,1)</f>
        <v>9.1</v>
      </c>
      <c r="I308" s="5" t="s">
        <v>31</v>
      </c>
      <c r="J308" s="5" t="str">
        <f aca="false">ROUND(84*1,0)&amp;"%"</f>
        <v>84%</v>
      </c>
    </row>
    <row r="309" customFormat="false" ht="15" hidden="false" customHeight="false" outlineLevel="0" collapsed="false">
      <c r="A309" s="6" t="s">
        <v>8400</v>
      </c>
      <c r="B309" s="6" t="s">
        <v>500</v>
      </c>
      <c r="C309" s="6" t="s">
        <v>114</v>
      </c>
      <c r="D309" s="6" t="s">
        <v>34</v>
      </c>
      <c r="E309" s="6" t="n">
        <f aca="false">ROUND(5667*1.05,2)</f>
        <v>5950.35</v>
      </c>
      <c r="F309" s="6" t="s">
        <v>35</v>
      </c>
      <c r="G309" s="6" t="s">
        <v>18</v>
      </c>
      <c r="H309" s="6" t="n">
        <f aca="true">ROUND(RAND()*4+6,1)</f>
        <v>8.9</v>
      </c>
      <c r="I309" s="6" t="s">
        <v>36</v>
      </c>
      <c r="J309" s="6" t="str">
        <f aca="false">ROUND(100*1,0)&amp;"%"</f>
        <v>100%</v>
      </c>
    </row>
    <row r="310" customFormat="false" ht="15" hidden="false" customHeight="false" outlineLevel="0" collapsed="false">
      <c r="A310" s="5" t="s">
        <v>8401</v>
      </c>
      <c r="B310" s="5" t="s">
        <v>502</v>
      </c>
      <c r="C310" s="5" t="s">
        <v>114</v>
      </c>
      <c r="D310" s="5" t="s">
        <v>39</v>
      </c>
      <c r="E310" s="5" t="n">
        <f aca="false">ROUND(6200*1.05,2)</f>
        <v>6510</v>
      </c>
      <c r="F310" s="5" t="s">
        <v>40</v>
      </c>
      <c r="G310" s="5" t="s">
        <v>24</v>
      </c>
      <c r="H310" s="5" t="n">
        <f aca="true">ROUND(RAND()*4+6,1)</f>
        <v>9.1</v>
      </c>
      <c r="I310" s="5" t="s">
        <v>41</v>
      </c>
      <c r="J310" s="5" t="str">
        <f aca="false">ROUND(77*1,0)&amp;"%"</f>
        <v>77%</v>
      </c>
    </row>
    <row r="311" customFormat="false" ht="15" hidden="false" customHeight="false" outlineLevel="0" collapsed="false">
      <c r="A311" s="6" t="s">
        <v>8402</v>
      </c>
      <c r="B311" s="6" t="s">
        <v>504</v>
      </c>
      <c r="C311" s="6" t="s">
        <v>114</v>
      </c>
      <c r="D311" s="6" t="s">
        <v>44</v>
      </c>
      <c r="E311" s="6" t="n">
        <f aca="false">ROUND(13224*1.05,2)</f>
        <v>13885.2</v>
      </c>
      <c r="F311" s="6" t="s">
        <v>45</v>
      </c>
      <c r="G311" s="6" t="s">
        <v>30</v>
      </c>
      <c r="H311" s="6" t="n">
        <f aca="true">ROUND(RAND()*4+6,1)</f>
        <v>7.6</v>
      </c>
      <c r="I311" s="6" t="s">
        <v>46</v>
      </c>
      <c r="J311" s="6" t="str">
        <f aca="false">ROUND(70*1,0)&amp;"%"</f>
        <v>70%</v>
      </c>
    </row>
    <row r="312" customFormat="false" ht="15" hidden="false" customHeight="false" outlineLevel="0" collapsed="false">
      <c r="A312" s="5" t="s">
        <v>8403</v>
      </c>
      <c r="B312" s="5" t="s">
        <v>506</v>
      </c>
      <c r="C312" s="5" t="s">
        <v>114</v>
      </c>
      <c r="D312" s="5" t="s">
        <v>16</v>
      </c>
      <c r="E312" s="5" t="n">
        <f aca="false">ROUND(6345*1.05,2)</f>
        <v>6662.25</v>
      </c>
      <c r="F312" s="5" t="s">
        <v>49</v>
      </c>
      <c r="G312" s="5" t="s">
        <v>18</v>
      </c>
      <c r="H312" s="5" t="n">
        <f aca="true">ROUND(RAND()*4+6,1)</f>
        <v>8.9</v>
      </c>
      <c r="I312" s="5" t="s">
        <v>19</v>
      </c>
      <c r="J312" s="5" t="str">
        <f aca="false">ROUND(76*1,0)&amp;"%"</f>
        <v>76%</v>
      </c>
    </row>
    <row r="313" customFormat="false" ht="15" hidden="false" customHeight="false" outlineLevel="0" collapsed="false">
      <c r="A313" s="6" t="s">
        <v>8404</v>
      </c>
      <c r="B313" s="6" t="s">
        <v>508</v>
      </c>
      <c r="C313" s="6" t="s">
        <v>114</v>
      </c>
      <c r="D313" s="6" t="s">
        <v>22</v>
      </c>
      <c r="E313" s="6" t="n">
        <f aca="false">ROUND(14146*1.05,2)</f>
        <v>14853.3</v>
      </c>
      <c r="F313" s="6" t="s">
        <v>52</v>
      </c>
      <c r="G313" s="6" t="s">
        <v>24</v>
      </c>
      <c r="H313" s="6" t="n">
        <f aca="true">ROUND(RAND()*4+6,1)</f>
        <v>6.8</v>
      </c>
      <c r="I313" s="6" t="s">
        <v>25</v>
      </c>
      <c r="J313" s="6" t="str">
        <f aca="false">ROUND(78*1,0)&amp;"%"</f>
        <v>78%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8405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8406</v>
      </c>
      <c r="B318" s="5" t="s">
        <v>512</v>
      </c>
      <c r="C318" s="5" t="s">
        <v>133</v>
      </c>
      <c r="D318" s="5" t="s">
        <v>16</v>
      </c>
      <c r="E318" s="5" t="n">
        <f aca="false">ROUND(10797*1.05,2)</f>
        <v>11336.85</v>
      </c>
      <c r="F318" s="5" t="s">
        <v>17</v>
      </c>
      <c r="G318" s="5" t="s">
        <v>18</v>
      </c>
      <c r="H318" s="5" t="n">
        <f aca="true">ROUND(RAND()*4+6,1)</f>
        <v>8.4</v>
      </c>
      <c r="I318" s="5" t="s">
        <v>19</v>
      </c>
      <c r="J318" s="5" t="str">
        <f aca="false">ROUND(83*1,0)&amp;"%"</f>
        <v>83%</v>
      </c>
    </row>
    <row r="319" customFormat="false" ht="15" hidden="false" customHeight="false" outlineLevel="0" collapsed="false">
      <c r="A319" s="6" t="s">
        <v>8407</v>
      </c>
      <c r="B319" s="6" t="s">
        <v>514</v>
      </c>
      <c r="C319" s="6" t="s">
        <v>133</v>
      </c>
      <c r="D319" s="6" t="s">
        <v>22</v>
      </c>
      <c r="E319" s="6" t="n">
        <f aca="false">ROUND(9602*1.05,2)</f>
        <v>10082.1</v>
      </c>
      <c r="F319" s="6" t="s">
        <v>23</v>
      </c>
      <c r="G319" s="6" t="s">
        <v>24</v>
      </c>
      <c r="H319" s="6" t="n">
        <f aca="true">ROUND(RAND()*4+6,1)</f>
        <v>9.2</v>
      </c>
      <c r="I319" s="6" t="s">
        <v>25</v>
      </c>
      <c r="J319" s="6" t="str">
        <f aca="false">ROUND(75*1,0)&amp;"%"</f>
        <v>75%</v>
      </c>
    </row>
    <row r="320" customFormat="false" ht="15" hidden="false" customHeight="false" outlineLevel="0" collapsed="false">
      <c r="A320" s="5" t="s">
        <v>8408</v>
      </c>
      <c r="B320" s="5" t="s">
        <v>516</v>
      </c>
      <c r="C320" s="5" t="s">
        <v>133</v>
      </c>
      <c r="D320" s="5" t="s">
        <v>28</v>
      </c>
      <c r="E320" s="5" t="n">
        <f aca="false">ROUND(17783*1.05,2)</f>
        <v>18672.15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8409</v>
      </c>
      <c r="B321" s="6" t="s">
        <v>518</v>
      </c>
      <c r="C321" s="6" t="s">
        <v>133</v>
      </c>
      <c r="D321" s="6" t="s">
        <v>34</v>
      </c>
      <c r="E321" s="6" t="n">
        <f aca="false">ROUND(15810*1.05,2)</f>
        <v>16600.5</v>
      </c>
      <c r="F321" s="6" t="s">
        <v>35</v>
      </c>
      <c r="G321" s="6" t="s">
        <v>18</v>
      </c>
      <c r="H321" s="6" t="n">
        <f aca="true">ROUND(RAND()*4+6,1)</f>
        <v>9.6</v>
      </c>
      <c r="I321" s="6" t="s">
        <v>36</v>
      </c>
      <c r="J321" s="6" t="str">
        <f aca="false">ROUND(71*1,0)&amp;"%"</f>
        <v>71%</v>
      </c>
    </row>
    <row r="322" customFormat="false" ht="15" hidden="false" customHeight="false" outlineLevel="0" collapsed="false">
      <c r="A322" s="5" t="s">
        <v>8410</v>
      </c>
      <c r="B322" s="5" t="s">
        <v>520</v>
      </c>
      <c r="C322" s="5" t="s">
        <v>133</v>
      </c>
      <c r="D322" s="5" t="s">
        <v>39</v>
      </c>
      <c r="E322" s="5" t="n">
        <f aca="false">ROUND(16281*1.05,2)</f>
        <v>17095.05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ROUND(98*1,0)&amp;"%"</f>
        <v>98%</v>
      </c>
    </row>
    <row r="323" customFormat="false" ht="15" hidden="false" customHeight="false" outlineLevel="0" collapsed="false">
      <c r="A323" s="6" t="s">
        <v>8411</v>
      </c>
      <c r="B323" s="6" t="s">
        <v>522</v>
      </c>
      <c r="C323" s="6" t="s">
        <v>133</v>
      </c>
      <c r="D323" s="6" t="s">
        <v>44</v>
      </c>
      <c r="E323" s="6" t="n">
        <f aca="false">ROUND(5399*1.05,2)</f>
        <v>5668.95</v>
      </c>
      <c r="F323" s="6" t="s">
        <v>45</v>
      </c>
      <c r="G323" s="6" t="s">
        <v>30</v>
      </c>
      <c r="H323" s="6" t="n">
        <f aca="true">ROUND(RAND()*4+6,1)</f>
        <v>7.9</v>
      </c>
      <c r="I323" s="6" t="s">
        <v>46</v>
      </c>
      <c r="J323" s="6" t="str">
        <f aca="false">ROUND(93*1,0)&amp;"%"</f>
        <v>93%</v>
      </c>
    </row>
    <row r="324" customFormat="false" ht="15" hidden="false" customHeight="false" outlineLevel="0" collapsed="false">
      <c r="A324" s="5" t="s">
        <v>8412</v>
      </c>
      <c r="B324" s="5" t="s">
        <v>524</v>
      </c>
      <c r="C324" s="5" t="s">
        <v>133</v>
      </c>
      <c r="D324" s="5" t="s">
        <v>16</v>
      </c>
      <c r="E324" s="5" t="n">
        <f aca="false">ROUND(7982*1.05,2)</f>
        <v>8381.1</v>
      </c>
      <c r="F324" s="5" t="s">
        <v>49</v>
      </c>
      <c r="G324" s="5" t="s">
        <v>18</v>
      </c>
      <c r="H324" s="5" t="n">
        <f aca="true">ROUND(RAND()*4+6,1)</f>
        <v>7.8</v>
      </c>
      <c r="I324" s="5" t="s">
        <v>19</v>
      </c>
      <c r="J324" s="5" t="str">
        <f aca="false">ROUND(93*1,0)&amp;"%"</f>
        <v>93%</v>
      </c>
    </row>
    <row r="325" customFormat="false" ht="15" hidden="false" customHeight="false" outlineLevel="0" collapsed="false">
      <c r="A325" s="6" t="s">
        <v>8413</v>
      </c>
      <c r="B325" s="6" t="s">
        <v>526</v>
      </c>
      <c r="C325" s="6" t="s">
        <v>133</v>
      </c>
      <c r="D325" s="6" t="s">
        <v>22</v>
      </c>
      <c r="E325" s="6" t="n">
        <f aca="false">ROUND(9456*1.05,2)</f>
        <v>9928.8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ROUND(81*1,0)&amp;"%"</f>
        <v>81%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8414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8415</v>
      </c>
      <c r="B330" s="5" t="s">
        <v>530</v>
      </c>
      <c r="C330" s="5" t="s">
        <v>152</v>
      </c>
      <c r="D330" s="5" t="s">
        <v>16</v>
      </c>
      <c r="E330" s="5" t="n">
        <f aca="false">ROUND(9265*1.05,2)</f>
        <v>9728.25</v>
      </c>
      <c r="F330" s="5" t="s">
        <v>17</v>
      </c>
      <c r="G330" s="5" t="s">
        <v>18</v>
      </c>
      <c r="H330" s="5" t="n">
        <f aca="true">ROUND(RAND()*4+6,1)</f>
        <v>9.2</v>
      </c>
      <c r="I330" s="5" t="s">
        <v>19</v>
      </c>
      <c r="J330" s="5" t="str">
        <f aca="false">ROUND(80*1,0)&amp;"%"</f>
        <v>80%</v>
      </c>
    </row>
    <row r="331" customFormat="false" ht="15" hidden="false" customHeight="false" outlineLevel="0" collapsed="false">
      <c r="A331" s="6" t="s">
        <v>8416</v>
      </c>
      <c r="B331" s="6" t="s">
        <v>532</v>
      </c>
      <c r="C331" s="6" t="s">
        <v>152</v>
      </c>
      <c r="D331" s="6" t="s">
        <v>22</v>
      </c>
      <c r="E331" s="6" t="n">
        <f aca="false">ROUND(12955*1.05,2)</f>
        <v>13602.75</v>
      </c>
      <c r="F331" s="6" t="s">
        <v>23</v>
      </c>
      <c r="G331" s="6" t="s">
        <v>24</v>
      </c>
      <c r="H331" s="6" t="n">
        <f aca="true">ROUND(RAND()*4+6,1)</f>
        <v>7.6</v>
      </c>
      <c r="I331" s="6" t="s">
        <v>25</v>
      </c>
      <c r="J331" s="6" t="str">
        <f aca="false">ROUND(63*1,0)&amp;"%"</f>
        <v>63%</v>
      </c>
    </row>
    <row r="332" customFormat="false" ht="15" hidden="false" customHeight="false" outlineLevel="0" collapsed="false">
      <c r="A332" s="5" t="s">
        <v>8417</v>
      </c>
      <c r="B332" s="5" t="s">
        <v>534</v>
      </c>
      <c r="C332" s="5" t="s">
        <v>152</v>
      </c>
      <c r="D332" s="5" t="s">
        <v>28</v>
      </c>
      <c r="E332" s="5" t="n">
        <f aca="false">ROUND(17063*1.05,2)</f>
        <v>17916.15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ROUND(76*1,0)&amp;"%"</f>
        <v>76%</v>
      </c>
    </row>
    <row r="333" customFormat="false" ht="15" hidden="false" customHeight="false" outlineLevel="0" collapsed="false">
      <c r="A333" s="6" t="s">
        <v>8418</v>
      </c>
      <c r="B333" s="6" t="s">
        <v>536</v>
      </c>
      <c r="C333" s="6" t="s">
        <v>152</v>
      </c>
      <c r="D333" s="6" t="s">
        <v>34</v>
      </c>
      <c r="E333" s="6" t="n">
        <f aca="false">ROUND(9204*1.05,2)</f>
        <v>9664.2</v>
      </c>
      <c r="F333" s="6" t="s">
        <v>35</v>
      </c>
      <c r="G333" s="6" t="s">
        <v>18</v>
      </c>
      <c r="H333" s="6" t="n">
        <f aca="true">ROUND(RAND()*4+6,1)</f>
        <v>9.5</v>
      </c>
      <c r="I333" s="6" t="s">
        <v>36</v>
      </c>
      <c r="J333" s="6" t="str">
        <f aca="false">ROUND(66*1,0)&amp;"%"</f>
        <v>66%</v>
      </c>
    </row>
    <row r="334" customFormat="false" ht="15" hidden="false" customHeight="false" outlineLevel="0" collapsed="false">
      <c r="A334" s="5" t="s">
        <v>8419</v>
      </c>
      <c r="B334" s="5" t="s">
        <v>538</v>
      </c>
      <c r="C334" s="5" t="s">
        <v>152</v>
      </c>
      <c r="D334" s="5" t="s">
        <v>39</v>
      </c>
      <c r="E334" s="5" t="n">
        <f aca="false">ROUND(12037*1.05,2)</f>
        <v>12638.85</v>
      </c>
      <c r="F334" s="5" t="s">
        <v>40</v>
      </c>
      <c r="G334" s="5" t="s">
        <v>24</v>
      </c>
      <c r="H334" s="5" t="n">
        <f aca="true">ROUND(RAND()*4+6,1)</f>
        <v>6.5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8420</v>
      </c>
      <c r="B335" s="6" t="s">
        <v>540</v>
      </c>
      <c r="C335" s="6" t="s">
        <v>152</v>
      </c>
      <c r="D335" s="6" t="s">
        <v>44</v>
      </c>
      <c r="E335" s="6" t="n">
        <f aca="false">ROUND(12305*1.05,2)</f>
        <v>12920.25</v>
      </c>
      <c r="F335" s="6" t="s">
        <v>45</v>
      </c>
      <c r="G335" s="6" t="s">
        <v>30</v>
      </c>
      <c r="H335" s="6" t="n">
        <f aca="true">ROUND(RAND()*4+6,1)</f>
        <v>8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8421</v>
      </c>
      <c r="B336" s="5" t="s">
        <v>542</v>
      </c>
      <c r="C336" s="5" t="s">
        <v>152</v>
      </c>
      <c r="D336" s="5" t="s">
        <v>16</v>
      </c>
      <c r="E336" s="5" t="n">
        <f aca="false">ROUND(15073*1.05,2)</f>
        <v>15826.65</v>
      </c>
      <c r="F336" s="5" t="s">
        <v>49</v>
      </c>
      <c r="G336" s="5" t="s">
        <v>18</v>
      </c>
      <c r="H336" s="5" t="n">
        <f aca="true">ROUND(RAND()*4+6,1)</f>
        <v>8.5</v>
      </c>
      <c r="I336" s="5" t="s">
        <v>19</v>
      </c>
      <c r="J336" s="5" t="str">
        <f aca="false">ROUND(86*1,0)&amp;"%"</f>
        <v>86%</v>
      </c>
    </row>
    <row r="337" customFormat="false" ht="15" hidden="false" customHeight="false" outlineLevel="0" collapsed="false">
      <c r="A337" s="6" t="s">
        <v>8422</v>
      </c>
      <c r="B337" s="6" t="s">
        <v>544</v>
      </c>
      <c r="C337" s="6" t="s">
        <v>152</v>
      </c>
      <c r="D337" s="6" t="s">
        <v>22</v>
      </c>
      <c r="E337" s="6" t="n">
        <f aca="false">ROUND(4660*1.05,2)</f>
        <v>4893</v>
      </c>
      <c r="F337" s="6" t="s">
        <v>52</v>
      </c>
      <c r="G337" s="6" t="s">
        <v>24</v>
      </c>
      <c r="H337" s="6" t="n">
        <f aca="true">ROUND(RAND()*4+6,1)</f>
        <v>6.6</v>
      </c>
      <c r="I337" s="6" t="s">
        <v>25</v>
      </c>
      <c r="J337" s="6" t="str">
        <f aca="false">ROUND(62*1,0)&amp;"%"</f>
        <v>62%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8423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8424</v>
      </c>
      <c r="B342" s="5" t="s">
        <v>548</v>
      </c>
      <c r="C342" s="5" t="s">
        <v>15</v>
      </c>
      <c r="D342" s="5" t="s">
        <v>16</v>
      </c>
      <c r="E342" s="5" t="n">
        <f aca="false">ROUND(8625*1.05,2)</f>
        <v>9056.25</v>
      </c>
      <c r="F342" s="5" t="s">
        <v>17</v>
      </c>
      <c r="G342" s="5" t="s">
        <v>18</v>
      </c>
      <c r="H342" s="5" t="n">
        <f aca="true">ROUND(RAND()*4+6,1)</f>
        <v>6.7</v>
      </c>
      <c r="I342" s="5" t="s">
        <v>19</v>
      </c>
      <c r="J342" s="5" t="str">
        <f aca="false">ROUND(70*1,0)&amp;"%"</f>
        <v>70%</v>
      </c>
    </row>
    <row r="343" customFormat="false" ht="15" hidden="false" customHeight="false" outlineLevel="0" collapsed="false">
      <c r="A343" s="6" t="s">
        <v>8425</v>
      </c>
      <c r="B343" s="6" t="s">
        <v>550</v>
      </c>
      <c r="C343" s="6" t="s">
        <v>15</v>
      </c>
      <c r="D343" s="6" t="s">
        <v>22</v>
      </c>
      <c r="E343" s="6" t="n">
        <f aca="false">ROUND(14422*1.05,2)</f>
        <v>15143.1</v>
      </c>
      <c r="F343" s="6" t="s">
        <v>23</v>
      </c>
      <c r="G343" s="6" t="s">
        <v>24</v>
      </c>
      <c r="H343" s="6" t="n">
        <f aca="true">ROUND(RAND()*4+6,1)</f>
        <v>7.8</v>
      </c>
      <c r="I343" s="6" t="s">
        <v>25</v>
      </c>
      <c r="J343" s="6" t="str">
        <f aca="false">ROUND(97*1,0)&amp;"%"</f>
        <v>97%</v>
      </c>
    </row>
    <row r="344" customFormat="false" ht="15" hidden="false" customHeight="false" outlineLevel="0" collapsed="false">
      <c r="A344" s="5" t="s">
        <v>8426</v>
      </c>
      <c r="B344" s="5" t="s">
        <v>552</v>
      </c>
      <c r="C344" s="5" t="s">
        <v>15</v>
      </c>
      <c r="D344" s="5" t="s">
        <v>28</v>
      </c>
      <c r="E344" s="5" t="n">
        <f aca="false">ROUND(9120*1.05,2)</f>
        <v>9576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ROUND(82*1,0)&amp;"%"</f>
        <v>82%</v>
      </c>
    </row>
    <row r="345" customFormat="false" ht="15" hidden="false" customHeight="false" outlineLevel="0" collapsed="false">
      <c r="A345" s="6" t="s">
        <v>8427</v>
      </c>
      <c r="B345" s="6" t="s">
        <v>554</v>
      </c>
      <c r="C345" s="6" t="s">
        <v>15</v>
      </c>
      <c r="D345" s="6" t="s">
        <v>34</v>
      </c>
      <c r="E345" s="6" t="n">
        <f aca="false">ROUND(16663*1.05,2)</f>
        <v>17496.15</v>
      </c>
      <c r="F345" s="6" t="s">
        <v>35</v>
      </c>
      <c r="G345" s="6" t="s">
        <v>18</v>
      </c>
      <c r="H345" s="6" t="n">
        <f aca="true">ROUND(RAND()*4+6,1)</f>
        <v>8.1</v>
      </c>
      <c r="I345" s="6" t="s">
        <v>36</v>
      </c>
      <c r="J345" s="6" t="str">
        <f aca="false">ROUND(85*1,0)&amp;"%"</f>
        <v>85%</v>
      </c>
    </row>
    <row r="346" customFormat="false" ht="15" hidden="false" customHeight="false" outlineLevel="0" collapsed="false">
      <c r="A346" s="5" t="s">
        <v>8428</v>
      </c>
      <c r="B346" s="5" t="s">
        <v>556</v>
      </c>
      <c r="C346" s="5" t="s">
        <v>15</v>
      </c>
      <c r="D346" s="5" t="s">
        <v>39</v>
      </c>
      <c r="E346" s="5" t="n">
        <f aca="false">ROUND(4652*1.05,2)</f>
        <v>4884.6</v>
      </c>
      <c r="F346" s="5" t="s">
        <v>40</v>
      </c>
      <c r="G346" s="5" t="s">
        <v>24</v>
      </c>
      <c r="H346" s="5" t="n">
        <f aca="true">ROUND(RAND()*4+6,1)</f>
        <v>8.6</v>
      </c>
      <c r="I346" s="5" t="s">
        <v>41</v>
      </c>
      <c r="J346" s="5" t="str">
        <f aca="false">ROUND(75*1,0)&amp;"%"</f>
        <v>75%</v>
      </c>
    </row>
    <row r="347" customFormat="false" ht="15" hidden="false" customHeight="false" outlineLevel="0" collapsed="false">
      <c r="A347" s="6" t="s">
        <v>8429</v>
      </c>
      <c r="B347" s="6" t="s">
        <v>558</v>
      </c>
      <c r="C347" s="6" t="s">
        <v>15</v>
      </c>
      <c r="D347" s="6" t="s">
        <v>44</v>
      </c>
      <c r="E347" s="6" t="n">
        <f aca="false">ROUND(17455*1.05,2)</f>
        <v>18327.75</v>
      </c>
      <c r="F347" s="6" t="s">
        <v>45</v>
      </c>
      <c r="G347" s="6" t="s">
        <v>30</v>
      </c>
      <c r="H347" s="6" t="n">
        <f aca="true">ROUND(RAND()*4+6,1)</f>
        <v>6.8</v>
      </c>
      <c r="I347" s="6" t="s">
        <v>46</v>
      </c>
      <c r="J347" s="6" t="str">
        <f aca="false">ROUND(83*1,0)&amp;"%"</f>
        <v>83%</v>
      </c>
    </row>
    <row r="348" customFormat="false" ht="15" hidden="false" customHeight="false" outlineLevel="0" collapsed="false">
      <c r="A348" s="5" t="s">
        <v>8430</v>
      </c>
      <c r="B348" s="5" t="s">
        <v>560</v>
      </c>
      <c r="C348" s="5" t="s">
        <v>15</v>
      </c>
      <c r="D348" s="5" t="s">
        <v>16</v>
      </c>
      <c r="E348" s="5" t="n">
        <f aca="false">ROUND(11791*1.05,2)</f>
        <v>12380.55</v>
      </c>
      <c r="F348" s="5" t="s">
        <v>49</v>
      </c>
      <c r="G348" s="5" t="s">
        <v>18</v>
      </c>
      <c r="H348" s="5" t="n">
        <f aca="true">ROUND(RAND()*4+6,1)</f>
        <v>8.7</v>
      </c>
      <c r="I348" s="5" t="s">
        <v>19</v>
      </c>
      <c r="J348" s="5" t="str">
        <f aca="false">ROUND(62*1,0)&amp;"%"</f>
        <v>62%</v>
      </c>
    </row>
    <row r="349" customFormat="false" ht="15" hidden="false" customHeight="false" outlineLevel="0" collapsed="false">
      <c r="A349" s="6" t="s">
        <v>8431</v>
      </c>
      <c r="B349" s="6" t="s">
        <v>562</v>
      </c>
      <c r="C349" s="6" t="s">
        <v>15</v>
      </c>
      <c r="D349" s="6" t="s">
        <v>22</v>
      </c>
      <c r="E349" s="6" t="n">
        <f aca="false">ROUND(16747*1.05,2)</f>
        <v>17584.35</v>
      </c>
      <c r="F349" s="6" t="s">
        <v>52</v>
      </c>
      <c r="G349" s="6" t="s">
        <v>24</v>
      </c>
      <c r="H349" s="6" t="n">
        <f aca="true">ROUND(RAND()*4+6,1)</f>
        <v>7.8</v>
      </c>
      <c r="I349" s="6" t="s">
        <v>25</v>
      </c>
      <c r="J349" s="6" t="str">
        <f aca="false">ROUND(63*1,0)&amp;"%"</f>
        <v>63%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8432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8433</v>
      </c>
      <c r="B354" s="5" t="s">
        <v>566</v>
      </c>
      <c r="C354" s="5" t="s">
        <v>57</v>
      </c>
      <c r="D354" s="5" t="s">
        <v>16</v>
      </c>
      <c r="E354" s="5" t="n">
        <f aca="false">ROUND(8308*1.05,2)</f>
        <v>8723.4</v>
      </c>
      <c r="F354" s="5" t="s">
        <v>17</v>
      </c>
      <c r="G354" s="5" t="s">
        <v>18</v>
      </c>
      <c r="H354" s="5" t="n">
        <f aca="true">ROUND(RAND()*4+6,1)</f>
        <v>9.8</v>
      </c>
      <c r="I354" s="5" t="s">
        <v>19</v>
      </c>
      <c r="J354" s="5" t="str">
        <f aca="false">ROUND(68*1,0)&amp;"%"</f>
        <v>68%</v>
      </c>
    </row>
    <row r="355" customFormat="false" ht="15" hidden="false" customHeight="false" outlineLevel="0" collapsed="false">
      <c r="A355" s="6" t="s">
        <v>8434</v>
      </c>
      <c r="B355" s="6" t="s">
        <v>568</v>
      </c>
      <c r="C355" s="6" t="s">
        <v>57</v>
      </c>
      <c r="D355" s="6" t="s">
        <v>22</v>
      </c>
      <c r="E355" s="6" t="n">
        <f aca="false">ROUND(17551*1.05,2)</f>
        <v>18428.55</v>
      </c>
      <c r="F355" s="6" t="s">
        <v>23</v>
      </c>
      <c r="G355" s="6" t="s">
        <v>24</v>
      </c>
      <c r="H355" s="6" t="n">
        <f aca="true">ROUND(RAND()*4+6,1)</f>
        <v>9.9</v>
      </c>
      <c r="I355" s="6" t="s">
        <v>25</v>
      </c>
      <c r="J355" s="6" t="str">
        <f aca="false">ROUND(95*1,0)&amp;"%"</f>
        <v>95%</v>
      </c>
    </row>
    <row r="356" customFormat="false" ht="15" hidden="false" customHeight="false" outlineLevel="0" collapsed="false">
      <c r="A356" s="5" t="s">
        <v>8435</v>
      </c>
      <c r="B356" s="5" t="s">
        <v>570</v>
      </c>
      <c r="C356" s="5" t="s">
        <v>57</v>
      </c>
      <c r="D356" s="5" t="s">
        <v>28</v>
      </c>
      <c r="E356" s="5" t="n">
        <f aca="false">ROUND(5439*1.05,2)</f>
        <v>5710.95</v>
      </c>
      <c r="F356" s="5" t="s">
        <v>29</v>
      </c>
      <c r="G356" s="5" t="s">
        <v>30</v>
      </c>
      <c r="H356" s="5" t="n">
        <f aca="true">ROUND(RAND()*4+6,1)</f>
        <v>6.9</v>
      </c>
      <c r="I356" s="5" t="s">
        <v>31</v>
      </c>
      <c r="J356" s="5" t="str">
        <f aca="false">ROUND(73*1,0)&amp;"%"</f>
        <v>73%</v>
      </c>
    </row>
    <row r="357" customFormat="false" ht="15" hidden="false" customHeight="false" outlineLevel="0" collapsed="false">
      <c r="A357" s="6" t="s">
        <v>8436</v>
      </c>
      <c r="B357" s="6" t="s">
        <v>572</v>
      </c>
      <c r="C357" s="6" t="s">
        <v>57</v>
      </c>
      <c r="D357" s="6" t="s">
        <v>34</v>
      </c>
      <c r="E357" s="6" t="n">
        <f aca="false">ROUND(10802*1.05,2)</f>
        <v>11342.1</v>
      </c>
      <c r="F357" s="6" t="s">
        <v>35</v>
      </c>
      <c r="G357" s="6" t="s">
        <v>18</v>
      </c>
      <c r="H357" s="6" t="n">
        <f aca="true">ROUND(RAND()*4+6,1)</f>
        <v>6.3</v>
      </c>
      <c r="I357" s="6" t="s">
        <v>36</v>
      </c>
      <c r="J357" s="6" t="str">
        <f aca="false">ROUND(79*1,0)&amp;"%"</f>
        <v>79%</v>
      </c>
    </row>
    <row r="358" customFormat="false" ht="15" hidden="false" customHeight="false" outlineLevel="0" collapsed="false">
      <c r="A358" s="5" t="s">
        <v>8437</v>
      </c>
      <c r="B358" s="5" t="s">
        <v>574</v>
      </c>
      <c r="C358" s="5" t="s">
        <v>57</v>
      </c>
      <c r="D358" s="5" t="s">
        <v>39</v>
      </c>
      <c r="E358" s="5" t="n">
        <f aca="false">ROUND(17259*1.05,2)</f>
        <v>18121.95</v>
      </c>
      <c r="F358" s="5" t="s">
        <v>40</v>
      </c>
      <c r="G358" s="5" t="s">
        <v>24</v>
      </c>
      <c r="H358" s="5" t="n">
        <f aca="true">ROUND(RAND()*4+6,1)</f>
        <v>9.5</v>
      </c>
      <c r="I358" s="5" t="s">
        <v>41</v>
      </c>
      <c r="J358" s="5" t="str">
        <f aca="false">ROUND(68*1,0)&amp;"%"</f>
        <v>68%</v>
      </c>
    </row>
    <row r="359" customFormat="false" ht="15" hidden="false" customHeight="false" outlineLevel="0" collapsed="false">
      <c r="A359" s="6" t="s">
        <v>8438</v>
      </c>
      <c r="B359" s="6" t="s">
        <v>576</v>
      </c>
      <c r="C359" s="6" t="s">
        <v>57</v>
      </c>
      <c r="D359" s="6" t="s">
        <v>44</v>
      </c>
      <c r="E359" s="6" t="n">
        <f aca="false">ROUND(12214*1.05,2)</f>
        <v>12824.7</v>
      </c>
      <c r="F359" s="6" t="s">
        <v>45</v>
      </c>
      <c r="G359" s="6" t="s">
        <v>30</v>
      </c>
      <c r="H359" s="6" t="n">
        <f aca="true">ROUND(RAND()*4+6,1)</f>
        <v>9.6</v>
      </c>
      <c r="I359" s="6" t="s">
        <v>46</v>
      </c>
      <c r="J359" s="6" t="str">
        <f aca="false">ROUND(84*1,0)&amp;"%"</f>
        <v>84%</v>
      </c>
    </row>
    <row r="360" customFormat="false" ht="15" hidden="false" customHeight="false" outlineLevel="0" collapsed="false">
      <c r="A360" s="5" t="s">
        <v>8439</v>
      </c>
      <c r="B360" s="5" t="s">
        <v>578</v>
      </c>
      <c r="C360" s="5" t="s">
        <v>57</v>
      </c>
      <c r="D360" s="5" t="s">
        <v>16</v>
      </c>
      <c r="E360" s="5" t="n">
        <f aca="false">ROUND(11745*1.05,2)</f>
        <v>12332.25</v>
      </c>
      <c r="F360" s="5" t="s">
        <v>49</v>
      </c>
      <c r="G360" s="5" t="s">
        <v>18</v>
      </c>
      <c r="H360" s="5" t="n">
        <f aca="true">ROUND(RAND()*4+6,1)</f>
        <v>7.1</v>
      </c>
      <c r="I360" s="5" t="s">
        <v>19</v>
      </c>
      <c r="J360" s="5" t="str">
        <f aca="false">ROUND(91*1,0)&amp;"%"</f>
        <v>91%</v>
      </c>
    </row>
    <row r="361" customFormat="false" ht="15" hidden="false" customHeight="false" outlineLevel="0" collapsed="false">
      <c r="A361" s="6" t="s">
        <v>8440</v>
      </c>
      <c r="B361" s="6" t="s">
        <v>580</v>
      </c>
      <c r="C361" s="6" t="s">
        <v>57</v>
      </c>
      <c r="D361" s="6" t="s">
        <v>22</v>
      </c>
      <c r="E361" s="6" t="n">
        <f aca="false">ROUND(17491*1.05,2)</f>
        <v>18365.55</v>
      </c>
      <c r="F361" s="6" t="s">
        <v>52</v>
      </c>
      <c r="G361" s="6" t="s">
        <v>24</v>
      </c>
      <c r="H361" s="6" t="n">
        <f aca="true">ROUND(RAND()*4+6,1)</f>
        <v>6.2</v>
      </c>
      <c r="I361" s="6" t="s">
        <v>25</v>
      </c>
      <c r="J361" s="6" t="str">
        <f aca="false">ROUND(90*1,0)&amp;"%"</f>
        <v>90%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8441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8442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8443</v>
      </c>
      <c r="B6" s="5" t="s">
        <v>14</v>
      </c>
      <c r="C6" s="5" t="s">
        <v>15</v>
      </c>
      <c r="D6" s="5" t="s">
        <v>16</v>
      </c>
      <c r="E6" s="5" t="n">
        <f aca="false">ROUND(17902*1.05,2)</f>
        <v>18797.1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ROUND(67*1,0)&amp;"%"</f>
        <v>67%</v>
      </c>
    </row>
    <row r="7" customFormat="false" ht="15" hidden="false" customHeight="false" outlineLevel="0" collapsed="false">
      <c r="A7" s="6" t="s">
        <v>8444</v>
      </c>
      <c r="B7" s="6" t="s">
        <v>21</v>
      </c>
      <c r="C7" s="6" t="s">
        <v>15</v>
      </c>
      <c r="D7" s="6" t="s">
        <v>22</v>
      </c>
      <c r="E7" s="6" t="n">
        <f aca="false">ROUND(7877*1.05,2)</f>
        <v>8270.85</v>
      </c>
      <c r="F7" s="6" t="s">
        <v>23</v>
      </c>
      <c r="G7" s="6" t="s">
        <v>24</v>
      </c>
      <c r="H7" s="6" t="n">
        <f aca="true">ROUND(RAND()*4+6,1)</f>
        <v>7.6</v>
      </c>
      <c r="I7" s="6" t="s">
        <v>25</v>
      </c>
      <c r="J7" s="6" t="str">
        <f aca="false">ROUND(77*1,0)&amp;"%"</f>
        <v>77%</v>
      </c>
    </row>
    <row r="8" customFormat="false" ht="15" hidden="false" customHeight="false" outlineLevel="0" collapsed="false">
      <c r="A8" s="5" t="s">
        <v>8445</v>
      </c>
      <c r="B8" s="5" t="s">
        <v>27</v>
      </c>
      <c r="C8" s="5" t="s">
        <v>15</v>
      </c>
      <c r="D8" s="5" t="s">
        <v>28</v>
      </c>
      <c r="E8" s="5" t="n">
        <f aca="false">ROUND(8034*1.05,2)</f>
        <v>8435.7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ROUND(96*1,0)&amp;"%"</f>
        <v>96%</v>
      </c>
    </row>
    <row r="9" customFormat="false" ht="15" hidden="false" customHeight="false" outlineLevel="0" collapsed="false">
      <c r="A9" s="6" t="s">
        <v>8446</v>
      </c>
      <c r="B9" s="6" t="s">
        <v>33</v>
      </c>
      <c r="C9" s="6" t="s">
        <v>15</v>
      </c>
      <c r="D9" s="6" t="s">
        <v>34</v>
      </c>
      <c r="E9" s="6" t="n">
        <f aca="false">ROUND(5438*1.05,2)</f>
        <v>5709.9</v>
      </c>
      <c r="F9" s="6" t="s">
        <v>35</v>
      </c>
      <c r="G9" s="6" t="s">
        <v>18</v>
      </c>
      <c r="H9" s="6" t="n">
        <f aca="true">ROUND(RAND()*4+6,1)</f>
        <v>9.5</v>
      </c>
      <c r="I9" s="6" t="s">
        <v>36</v>
      </c>
      <c r="J9" s="6" t="str">
        <f aca="false">ROUND(66*1,0)&amp;"%"</f>
        <v>66%</v>
      </c>
    </row>
    <row r="10" customFormat="false" ht="15" hidden="false" customHeight="false" outlineLevel="0" collapsed="false">
      <c r="A10" s="5" t="s">
        <v>8447</v>
      </c>
      <c r="B10" s="5" t="s">
        <v>38</v>
      </c>
      <c r="C10" s="5" t="s">
        <v>15</v>
      </c>
      <c r="D10" s="5" t="s">
        <v>39</v>
      </c>
      <c r="E10" s="5" t="n">
        <f aca="false">ROUND(8542*1.05,2)</f>
        <v>8969.1</v>
      </c>
      <c r="F10" s="5" t="s">
        <v>40</v>
      </c>
      <c r="G10" s="5" t="s">
        <v>24</v>
      </c>
      <c r="H10" s="5" t="n">
        <f aca="true">ROUND(RAND()*4+6,1)</f>
        <v>6.7</v>
      </c>
      <c r="I10" s="5" t="s">
        <v>41</v>
      </c>
      <c r="J10" s="5" t="str">
        <f aca="false">ROUND(88*1,0)&amp;"%"</f>
        <v>88%</v>
      </c>
    </row>
    <row r="11" customFormat="false" ht="15" hidden="false" customHeight="false" outlineLevel="0" collapsed="false">
      <c r="A11" s="6" t="s">
        <v>8448</v>
      </c>
      <c r="B11" s="6" t="s">
        <v>43</v>
      </c>
      <c r="C11" s="6" t="s">
        <v>15</v>
      </c>
      <c r="D11" s="6" t="s">
        <v>44</v>
      </c>
      <c r="E11" s="6" t="n">
        <f aca="false">ROUND(9268*1.05,2)</f>
        <v>9731.4</v>
      </c>
      <c r="F11" s="6" t="s">
        <v>45</v>
      </c>
      <c r="G11" s="6" t="s">
        <v>30</v>
      </c>
      <c r="H11" s="6" t="n">
        <f aca="true">ROUND(RAND()*4+6,1)</f>
        <v>8.9</v>
      </c>
      <c r="I11" s="6" t="s">
        <v>46</v>
      </c>
      <c r="J11" s="6" t="str">
        <f aca="false">ROUND(70*1,0)&amp;"%"</f>
        <v>70%</v>
      </c>
    </row>
    <row r="12" customFormat="false" ht="15" hidden="false" customHeight="false" outlineLevel="0" collapsed="false">
      <c r="A12" s="5" t="s">
        <v>8449</v>
      </c>
      <c r="B12" s="5" t="s">
        <v>48</v>
      </c>
      <c r="C12" s="5" t="s">
        <v>15</v>
      </c>
      <c r="D12" s="5" t="s">
        <v>16</v>
      </c>
      <c r="E12" s="5" t="n">
        <f aca="false">ROUND(4630*1.05,2)</f>
        <v>4861.5</v>
      </c>
      <c r="F12" s="5" t="s">
        <v>49</v>
      </c>
      <c r="G12" s="5" t="s">
        <v>18</v>
      </c>
      <c r="H12" s="5" t="n">
        <f aca="true">ROUND(RAND()*4+6,1)</f>
        <v>7.4</v>
      </c>
      <c r="I12" s="5" t="s">
        <v>19</v>
      </c>
      <c r="J12" s="5" t="str">
        <f aca="false">ROUND(65*1,0)&amp;"%"</f>
        <v>65%</v>
      </c>
    </row>
    <row r="13" customFormat="false" ht="15" hidden="false" customHeight="false" outlineLevel="0" collapsed="false">
      <c r="A13" s="6" t="s">
        <v>8450</v>
      </c>
      <c r="B13" s="6" t="s">
        <v>51</v>
      </c>
      <c r="C13" s="6" t="s">
        <v>15</v>
      </c>
      <c r="D13" s="6" t="s">
        <v>22</v>
      </c>
      <c r="E13" s="6" t="n">
        <f aca="false">ROUND(9854*1.05,2)</f>
        <v>10346.7</v>
      </c>
      <c r="F13" s="6" t="s">
        <v>52</v>
      </c>
      <c r="G13" s="6" t="s">
        <v>24</v>
      </c>
      <c r="H13" s="6" t="n">
        <f aca="true">ROUND(RAND()*4+6,1)</f>
        <v>6.5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8451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8452</v>
      </c>
      <c r="B18" s="5" t="s">
        <v>56</v>
      </c>
      <c r="C18" s="5" t="s">
        <v>57</v>
      </c>
      <c r="D18" s="5" t="s">
        <v>16</v>
      </c>
      <c r="E18" s="5" t="n">
        <f aca="false">ROUND(11916*1.05,2)</f>
        <v>12511.8</v>
      </c>
      <c r="F18" s="5" t="s">
        <v>17</v>
      </c>
      <c r="G18" s="5" t="s">
        <v>18</v>
      </c>
      <c r="H18" s="5" t="n">
        <f aca="true">ROUND(RAND()*4+6,1)</f>
        <v>6.3</v>
      </c>
      <c r="I18" s="5" t="s">
        <v>19</v>
      </c>
      <c r="J18" s="5" t="str">
        <f aca="false">ROUND(97*1,0)&amp;"%"</f>
        <v>97%</v>
      </c>
    </row>
    <row r="19" customFormat="false" ht="15" hidden="false" customHeight="false" outlineLevel="0" collapsed="false">
      <c r="A19" s="6" t="s">
        <v>8453</v>
      </c>
      <c r="B19" s="6" t="s">
        <v>59</v>
      </c>
      <c r="C19" s="6" t="s">
        <v>57</v>
      </c>
      <c r="D19" s="6" t="s">
        <v>22</v>
      </c>
      <c r="E19" s="6" t="n">
        <f aca="false">ROUND(7227*1.05,2)</f>
        <v>7588.35</v>
      </c>
      <c r="F19" s="6" t="s">
        <v>23</v>
      </c>
      <c r="G19" s="6" t="s">
        <v>24</v>
      </c>
      <c r="H19" s="6" t="n">
        <f aca="true">ROUND(RAND()*4+6,1)</f>
        <v>6.1</v>
      </c>
      <c r="I19" s="6" t="s">
        <v>25</v>
      </c>
      <c r="J19" s="6" t="str">
        <f aca="false">ROUND(86*1,0)&amp;"%"</f>
        <v>86%</v>
      </c>
    </row>
    <row r="20" customFormat="false" ht="15" hidden="false" customHeight="false" outlineLevel="0" collapsed="false">
      <c r="A20" s="5" t="s">
        <v>8454</v>
      </c>
      <c r="B20" s="5" t="s">
        <v>61</v>
      </c>
      <c r="C20" s="5" t="s">
        <v>57</v>
      </c>
      <c r="D20" s="5" t="s">
        <v>28</v>
      </c>
      <c r="E20" s="5" t="n">
        <f aca="false">ROUND(14155*1.05,2)</f>
        <v>14862.75</v>
      </c>
      <c r="F20" s="5" t="s">
        <v>29</v>
      </c>
      <c r="G20" s="5" t="s">
        <v>30</v>
      </c>
      <c r="H20" s="5" t="n">
        <f aca="true">ROUND(RAND()*4+6,1)</f>
        <v>6.5</v>
      </c>
      <c r="I20" s="5" t="s">
        <v>31</v>
      </c>
      <c r="J20" s="5" t="str">
        <f aca="false">ROUND(76*1,0)&amp;"%"</f>
        <v>76%</v>
      </c>
    </row>
    <row r="21" customFormat="false" ht="15" hidden="false" customHeight="false" outlineLevel="0" collapsed="false">
      <c r="A21" s="6" t="s">
        <v>8455</v>
      </c>
      <c r="B21" s="6" t="s">
        <v>63</v>
      </c>
      <c r="C21" s="6" t="s">
        <v>57</v>
      </c>
      <c r="D21" s="6" t="s">
        <v>34</v>
      </c>
      <c r="E21" s="6" t="n">
        <f aca="false">ROUND(16933*1.05,2)</f>
        <v>17779.65</v>
      </c>
      <c r="F21" s="6" t="s">
        <v>35</v>
      </c>
      <c r="G21" s="6" t="s">
        <v>18</v>
      </c>
      <c r="H21" s="6" t="n">
        <f aca="true">ROUND(RAND()*4+6,1)</f>
        <v>6.1</v>
      </c>
      <c r="I21" s="6" t="s">
        <v>36</v>
      </c>
      <c r="J21" s="6" t="str">
        <f aca="false">ROUND(78*1,0)&amp;"%"</f>
        <v>78%</v>
      </c>
    </row>
    <row r="22" customFormat="false" ht="15" hidden="false" customHeight="false" outlineLevel="0" collapsed="false">
      <c r="A22" s="5" t="s">
        <v>8456</v>
      </c>
      <c r="B22" s="5" t="s">
        <v>65</v>
      </c>
      <c r="C22" s="5" t="s">
        <v>57</v>
      </c>
      <c r="D22" s="5" t="s">
        <v>39</v>
      </c>
      <c r="E22" s="5" t="n">
        <f aca="false">ROUND(13362*1.05,2)</f>
        <v>14030.1</v>
      </c>
      <c r="F22" s="5" t="s">
        <v>40</v>
      </c>
      <c r="G22" s="5" t="s">
        <v>24</v>
      </c>
      <c r="H22" s="5" t="n">
        <f aca="true">ROUND(RAND()*4+6,1)</f>
        <v>9.5</v>
      </c>
      <c r="I22" s="5" t="s">
        <v>41</v>
      </c>
      <c r="J22" s="5" t="str">
        <f aca="false">ROUND(74*1,0)&amp;"%"</f>
        <v>74%</v>
      </c>
    </row>
    <row r="23" customFormat="false" ht="15" hidden="false" customHeight="false" outlineLevel="0" collapsed="false">
      <c r="A23" s="6" t="s">
        <v>8457</v>
      </c>
      <c r="B23" s="6" t="s">
        <v>67</v>
      </c>
      <c r="C23" s="6" t="s">
        <v>57</v>
      </c>
      <c r="D23" s="6" t="s">
        <v>44</v>
      </c>
      <c r="E23" s="6" t="n">
        <f aca="false">ROUND(4877*1.05,2)</f>
        <v>5120.85</v>
      </c>
      <c r="F23" s="6" t="s">
        <v>45</v>
      </c>
      <c r="G23" s="6" t="s">
        <v>30</v>
      </c>
      <c r="H23" s="6" t="n">
        <f aca="true">ROUND(RAND()*4+6,1)</f>
        <v>6.3</v>
      </c>
      <c r="I23" s="6" t="s">
        <v>46</v>
      </c>
      <c r="J23" s="6" t="str">
        <f aca="false">ROUND(60*1,0)&amp;"%"</f>
        <v>60%</v>
      </c>
    </row>
    <row r="24" customFormat="false" ht="15" hidden="false" customHeight="false" outlineLevel="0" collapsed="false">
      <c r="A24" s="5" t="s">
        <v>8458</v>
      </c>
      <c r="B24" s="5" t="s">
        <v>69</v>
      </c>
      <c r="C24" s="5" t="s">
        <v>57</v>
      </c>
      <c r="D24" s="5" t="s">
        <v>16</v>
      </c>
      <c r="E24" s="5" t="n">
        <f aca="false">ROUND(5954*1.05,2)</f>
        <v>6251.7</v>
      </c>
      <c r="F24" s="5" t="s">
        <v>49</v>
      </c>
      <c r="G24" s="5" t="s">
        <v>18</v>
      </c>
      <c r="H24" s="5" t="n">
        <f aca="true">ROUND(RAND()*4+6,1)</f>
        <v>9.7</v>
      </c>
      <c r="I24" s="5" t="s">
        <v>19</v>
      </c>
      <c r="J24" s="5" t="str">
        <f aca="false">ROUND(82*1,0)&amp;"%"</f>
        <v>82%</v>
      </c>
    </row>
    <row r="25" customFormat="false" ht="15" hidden="false" customHeight="false" outlineLevel="0" collapsed="false">
      <c r="A25" s="6" t="s">
        <v>8459</v>
      </c>
      <c r="B25" s="6" t="s">
        <v>71</v>
      </c>
      <c r="C25" s="6" t="s">
        <v>57</v>
      </c>
      <c r="D25" s="6" t="s">
        <v>22</v>
      </c>
      <c r="E25" s="6" t="n">
        <f aca="false">ROUND(5516*1.05,2)</f>
        <v>5791.8</v>
      </c>
      <c r="F25" s="6" t="s">
        <v>52</v>
      </c>
      <c r="G25" s="6" t="s">
        <v>24</v>
      </c>
      <c r="H25" s="6" t="n">
        <f aca="true">ROUND(RAND()*4+6,1)</f>
        <v>7.1</v>
      </c>
      <c r="I25" s="6" t="s">
        <v>25</v>
      </c>
      <c r="J25" s="6" t="str">
        <f aca="false">ROUND(72*1,0)&amp;"%"</f>
        <v>72%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8460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8461</v>
      </c>
      <c r="B30" s="5" t="s">
        <v>75</v>
      </c>
      <c r="C30" s="5" t="s">
        <v>76</v>
      </c>
      <c r="D30" s="5" t="s">
        <v>16</v>
      </c>
      <c r="E30" s="5" t="n">
        <f aca="false">ROUND(10974*1.05,2)</f>
        <v>11522.7</v>
      </c>
      <c r="F30" s="5" t="s">
        <v>17</v>
      </c>
      <c r="G30" s="5" t="s">
        <v>18</v>
      </c>
      <c r="H30" s="5" t="n">
        <f aca="true">ROUND(RAND()*4+6,1)</f>
        <v>9.8</v>
      </c>
      <c r="I30" s="5" t="s">
        <v>19</v>
      </c>
      <c r="J30" s="5" t="str">
        <f aca="false">ROUND(98*1,0)&amp;"%"</f>
        <v>98%</v>
      </c>
    </row>
    <row r="31" customFormat="false" ht="15" hidden="false" customHeight="false" outlineLevel="0" collapsed="false">
      <c r="A31" s="6" t="s">
        <v>8462</v>
      </c>
      <c r="B31" s="6" t="s">
        <v>78</v>
      </c>
      <c r="C31" s="6" t="s">
        <v>76</v>
      </c>
      <c r="D31" s="6" t="s">
        <v>22</v>
      </c>
      <c r="E31" s="6" t="n">
        <f aca="false">ROUND(13629*1.05,2)</f>
        <v>14310.45</v>
      </c>
      <c r="F31" s="6" t="s">
        <v>23</v>
      </c>
      <c r="G31" s="6" t="s">
        <v>24</v>
      </c>
      <c r="H31" s="6" t="n">
        <f aca="true">ROUND(RAND()*4+6,1)</f>
        <v>6.1</v>
      </c>
      <c r="I31" s="6" t="s">
        <v>25</v>
      </c>
      <c r="J31" s="6" t="str">
        <f aca="false">ROUND(71*1,0)&amp;"%"</f>
        <v>71%</v>
      </c>
    </row>
    <row r="32" customFormat="false" ht="15" hidden="false" customHeight="false" outlineLevel="0" collapsed="false">
      <c r="A32" s="5" t="s">
        <v>8463</v>
      </c>
      <c r="B32" s="5" t="s">
        <v>80</v>
      </c>
      <c r="C32" s="5" t="s">
        <v>76</v>
      </c>
      <c r="D32" s="5" t="s">
        <v>28</v>
      </c>
      <c r="E32" s="5" t="n">
        <f aca="false">ROUND(16205*1.05,2)</f>
        <v>17015.25</v>
      </c>
      <c r="F32" s="5" t="s">
        <v>29</v>
      </c>
      <c r="G32" s="5" t="s">
        <v>30</v>
      </c>
      <c r="H32" s="5" t="n">
        <f aca="true">ROUND(RAND()*4+6,1)</f>
        <v>7.4</v>
      </c>
      <c r="I32" s="5" t="s">
        <v>31</v>
      </c>
      <c r="J32" s="5" t="str">
        <f aca="false">ROUND(66*1,0)&amp;"%"</f>
        <v>66%</v>
      </c>
    </row>
    <row r="33" customFormat="false" ht="15" hidden="false" customHeight="false" outlineLevel="0" collapsed="false">
      <c r="A33" s="6" t="s">
        <v>8464</v>
      </c>
      <c r="B33" s="6" t="s">
        <v>82</v>
      </c>
      <c r="C33" s="6" t="s">
        <v>76</v>
      </c>
      <c r="D33" s="6" t="s">
        <v>34</v>
      </c>
      <c r="E33" s="6" t="n">
        <f aca="false">ROUND(5215*1.05,2)</f>
        <v>5475.75</v>
      </c>
      <c r="F33" s="6" t="s">
        <v>35</v>
      </c>
      <c r="G33" s="6" t="s">
        <v>18</v>
      </c>
      <c r="H33" s="6" t="n">
        <f aca="true">ROUND(RAND()*4+6,1)</f>
        <v>9.9</v>
      </c>
      <c r="I33" s="6" t="s">
        <v>36</v>
      </c>
      <c r="J33" s="6" t="str">
        <f aca="false">ROUND(89*1,0)&amp;"%"</f>
        <v>89%</v>
      </c>
    </row>
    <row r="34" customFormat="false" ht="15" hidden="false" customHeight="false" outlineLevel="0" collapsed="false">
      <c r="A34" s="5" t="s">
        <v>8465</v>
      </c>
      <c r="B34" s="5" t="s">
        <v>84</v>
      </c>
      <c r="C34" s="5" t="s">
        <v>76</v>
      </c>
      <c r="D34" s="5" t="s">
        <v>39</v>
      </c>
      <c r="E34" s="5" t="n">
        <f aca="false">ROUND(8001*1.05,2)</f>
        <v>8401.05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ROUND(79*1,0)&amp;"%"</f>
        <v>79%</v>
      </c>
    </row>
    <row r="35" customFormat="false" ht="15" hidden="false" customHeight="false" outlineLevel="0" collapsed="false">
      <c r="A35" s="6" t="s">
        <v>8466</v>
      </c>
      <c r="B35" s="6" t="s">
        <v>86</v>
      </c>
      <c r="C35" s="6" t="s">
        <v>76</v>
      </c>
      <c r="D35" s="6" t="s">
        <v>44</v>
      </c>
      <c r="E35" s="6" t="n">
        <f aca="false">ROUND(11661*1.05,2)</f>
        <v>12244.05</v>
      </c>
      <c r="F35" s="6" t="s">
        <v>45</v>
      </c>
      <c r="G35" s="6" t="s">
        <v>30</v>
      </c>
      <c r="H35" s="6" t="n">
        <f aca="true">ROUND(RAND()*4+6,1)</f>
        <v>7.5</v>
      </c>
      <c r="I35" s="6" t="s">
        <v>46</v>
      </c>
      <c r="J35" s="6" t="str">
        <f aca="false">ROUND(72*1,0)&amp;"%"</f>
        <v>72%</v>
      </c>
    </row>
    <row r="36" customFormat="false" ht="15" hidden="false" customHeight="false" outlineLevel="0" collapsed="false">
      <c r="A36" s="5" t="s">
        <v>8467</v>
      </c>
      <c r="B36" s="5" t="s">
        <v>88</v>
      </c>
      <c r="C36" s="5" t="s">
        <v>76</v>
      </c>
      <c r="D36" s="5" t="s">
        <v>16</v>
      </c>
      <c r="E36" s="5" t="n">
        <f aca="false">ROUND(15438*1.05,2)</f>
        <v>16209.9</v>
      </c>
      <c r="F36" s="5" t="s">
        <v>49</v>
      </c>
      <c r="G36" s="5" t="s">
        <v>18</v>
      </c>
      <c r="H36" s="5" t="n">
        <f aca="true">ROUND(RAND()*4+6,1)</f>
        <v>8.1</v>
      </c>
      <c r="I36" s="5" t="s">
        <v>19</v>
      </c>
      <c r="J36" s="5" t="str">
        <f aca="false">ROUND(100*1,0)&amp;"%"</f>
        <v>100%</v>
      </c>
    </row>
    <row r="37" customFormat="false" ht="15" hidden="false" customHeight="false" outlineLevel="0" collapsed="false">
      <c r="A37" s="6" t="s">
        <v>8468</v>
      </c>
      <c r="B37" s="6" t="s">
        <v>90</v>
      </c>
      <c r="C37" s="6" t="s">
        <v>76</v>
      </c>
      <c r="D37" s="6" t="s">
        <v>22</v>
      </c>
      <c r="E37" s="6" t="n">
        <f aca="false">ROUND(4325*1.05,2)</f>
        <v>4541.25</v>
      </c>
      <c r="F37" s="6" t="s">
        <v>52</v>
      </c>
      <c r="G37" s="6" t="s">
        <v>24</v>
      </c>
      <c r="H37" s="6" t="n">
        <f aca="true">ROUND(RAND()*4+6,1)</f>
        <v>6.8</v>
      </c>
      <c r="I37" s="6" t="s">
        <v>25</v>
      </c>
      <c r="J37" s="6" t="str">
        <f aca="false">ROUND(61*1,0)&amp;"%"</f>
        <v>61%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8469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8470</v>
      </c>
      <c r="B42" s="5" t="s">
        <v>94</v>
      </c>
      <c r="C42" s="5" t="s">
        <v>95</v>
      </c>
      <c r="D42" s="5" t="s">
        <v>16</v>
      </c>
      <c r="E42" s="5" t="n">
        <f aca="false">ROUND(6088*1.05,2)</f>
        <v>6392.4</v>
      </c>
      <c r="F42" s="5" t="s">
        <v>17</v>
      </c>
      <c r="G42" s="5" t="s">
        <v>18</v>
      </c>
      <c r="H42" s="5" t="n">
        <f aca="true">ROUND(RAND()*4+6,1)</f>
        <v>7.1</v>
      </c>
      <c r="I42" s="5" t="s">
        <v>19</v>
      </c>
      <c r="J42" s="5" t="str">
        <f aca="false">ROUND(83*1,0)&amp;"%"</f>
        <v>83%</v>
      </c>
    </row>
    <row r="43" customFormat="false" ht="15" hidden="false" customHeight="false" outlineLevel="0" collapsed="false">
      <c r="A43" s="6" t="s">
        <v>8471</v>
      </c>
      <c r="B43" s="6" t="s">
        <v>97</v>
      </c>
      <c r="C43" s="6" t="s">
        <v>95</v>
      </c>
      <c r="D43" s="6" t="s">
        <v>22</v>
      </c>
      <c r="E43" s="6" t="n">
        <f aca="false">ROUND(11176*1.05,2)</f>
        <v>11734.8</v>
      </c>
      <c r="F43" s="6" t="s">
        <v>23</v>
      </c>
      <c r="G43" s="6" t="s">
        <v>24</v>
      </c>
      <c r="H43" s="6" t="n">
        <f aca="true">ROUND(RAND()*4+6,1)</f>
        <v>6.8</v>
      </c>
      <c r="I43" s="6" t="s">
        <v>25</v>
      </c>
      <c r="J43" s="6" t="str">
        <f aca="false">ROUND(96*1,0)&amp;"%"</f>
        <v>96%</v>
      </c>
    </row>
    <row r="44" customFormat="false" ht="15" hidden="false" customHeight="false" outlineLevel="0" collapsed="false">
      <c r="A44" s="5" t="s">
        <v>8472</v>
      </c>
      <c r="B44" s="5" t="s">
        <v>99</v>
      </c>
      <c r="C44" s="5" t="s">
        <v>95</v>
      </c>
      <c r="D44" s="5" t="s">
        <v>28</v>
      </c>
      <c r="E44" s="5" t="n">
        <f aca="false">ROUND(11753*1.05,2)</f>
        <v>12340.65</v>
      </c>
      <c r="F44" s="5" t="s">
        <v>29</v>
      </c>
      <c r="G44" s="5" t="s">
        <v>30</v>
      </c>
      <c r="H44" s="5" t="n">
        <f aca="true">ROUND(RAND()*4+6,1)</f>
        <v>6.3</v>
      </c>
      <c r="I44" s="5" t="s">
        <v>31</v>
      </c>
      <c r="J44" s="5" t="str">
        <f aca="false">ROUND(69*1,0)&amp;"%"</f>
        <v>69%</v>
      </c>
    </row>
    <row r="45" customFormat="false" ht="15" hidden="false" customHeight="false" outlineLevel="0" collapsed="false">
      <c r="A45" s="6" t="s">
        <v>8473</v>
      </c>
      <c r="B45" s="6" t="s">
        <v>101</v>
      </c>
      <c r="C45" s="6" t="s">
        <v>95</v>
      </c>
      <c r="D45" s="6" t="s">
        <v>34</v>
      </c>
      <c r="E45" s="6" t="n">
        <f aca="false">ROUND(6659*1.05,2)</f>
        <v>6991.95</v>
      </c>
      <c r="F45" s="6" t="s">
        <v>35</v>
      </c>
      <c r="G45" s="6" t="s">
        <v>18</v>
      </c>
      <c r="H45" s="6" t="n">
        <f aca="true">ROUND(RAND()*4+6,1)</f>
        <v>8.9</v>
      </c>
      <c r="I45" s="6" t="s">
        <v>36</v>
      </c>
      <c r="J45" s="6" t="str">
        <f aca="false">ROUND(79*1,0)&amp;"%"</f>
        <v>79%</v>
      </c>
    </row>
    <row r="46" customFormat="false" ht="15" hidden="false" customHeight="false" outlineLevel="0" collapsed="false">
      <c r="A46" s="5" t="s">
        <v>8474</v>
      </c>
      <c r="B46" s="5" t="s">
        <v>103</v>
      </c>
      <c r="C46" s="5" t="s">
        <v>95</v>
      </c>
      <c r="D46" s="5" t="s">
        <v>39</v>
      </c>
      <c r="E46" s="5" t="n">
        <f aca="false">ROUND(7835*1.05,2)</f>
        <v>8226.75</v>
      </c>
      <c r="F46" s="5" t="s">
        <v>40</v>
      </c>
      <c r="G46" s="5" t="s">
        <v>24</v>
      </c>
      <c r="H46" s="5" t="n">
        <f aca="true">ROUND(RAND()*4+6,1)</f>
        <v>7</v>
      </c>
      <c r="I46" s="5" t="s">
        <v>41</v>
      </c>
      <c r="J46" s="5" t="str">
        <f aca="false">ROUND(93*1,0)&amp;"%"</f>
        <v>93%</v>
      </c>
    </row>
    <row r="47" customFormat="false" ht="15" hidden="false" customHeight="false" outlineLevel="0" collapsed="false">
      <c r="A47" s="6" t="s">
        <v>8475</v>
      </c>
      <c r="B47" s="6" t="s">
        <v>105</v>
      </c>
      <c r="C47" s="6" t="s">
        <v>95</v>
      </c>
      <c r="D47" s="6" t="s">
        <v>44</v>
      </c>
      <c r="E47" s="6" t="n">
        <f aca="false">ROUND(8627*1.05,2)</f>
        <v>9058.35</v>
      </c>
      <c r="F47" s="6" t="s">
        <v>45</v>
      </c>
      <c r="G47" s="6" t="s">
        <v>30</v>
      </c>
      <c r="H47" s="6" t="n">
        <f aca="true">ROUND(RAND()*4+6,1)</f>
        <v>9.4</v>
      </c>
      <c r="I47" s="6" t="s">
        <v>46</v>
      </c>
      <c r="J47" s="6" t="str">
        <f aca="false">ROUND(68*1,0)&amp;"%"</f>
        <v>68%</v>
      </c>
    </row>
    <row r="48" customFormat="false" ht="15" hidden="false" customHeight="false" outlineLevel="0" collapsed="false">
      <c r="A48" s="5" t="s">
        <v>8476</v>
      </c>
      <c r="B48" s="5" t="s">
        <v>107</v>
      </c>
      <c r="C48" s="5" t="s">
        <v>95</v>
      </c>
      <c r="D48" s="5" t="s">
        <v>16</v>
      </c>
      <c r="E48" s="5" t="n">
        <f aca="false">ROUND(6994*1.05,2)</f>
        <v>7343.7</v>
      </c>
      <c r="F48" s="5" t="s">
        <v>49</v>
      </c>
      <c r="G48" s="5" t="s">
        <v>18</v>
      </c>
      <c r="H48" s="5" t="n">
        <f aca="true">ROUND(RAND()*4+6,1)</f>
        <v>9.4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8477</v>
      </c>
      <c r="B49" s="6" t="s">
        <v>109</v>
      </c>
      <c r="C49" s="6" t="s">
        <v>95</v>
      </c>
      <c r="D49" s="6" t="s">
        <v>22</v>
      </c>
      <c r="E49" s="6" t="n">
        <f aca="false">ROUND(11795*1.05,2)</f>
        <v>12384.75</v>
      </c>
      <c r="F49" s="6" t="s">
        <v>52</v>
      </c>
      <c r="G49" s="6" t="s">
        <v>24</v>
      </c>
      <c r="H49" s="6" t="n">
        <f aca="true">ROUND(RAND()*4+6,1)</f>
        <v>7.4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8478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8479</v>
      </c>
      <c r="B54" s="5" t="s">
        <v>113</v>
      </c>
      <c r="C54" s="5" t="s">
        <v>114</v>
      </c>
      <c r="D54" s="5" t="s">
        <v>16</v>
      </c>
      <c r="E54" s="5" t="n">
        <f aca="false">ROUND(4391*1.05,2)</f>
        <v>4610.55</v>
      </c>
      <c r="F54" s="5" t="s">
        <v>17</v>
      </c>
      <c r="G54" s="5" t="s">
        <v>18</v>
      </c>
      <c r="H54" s="5" t="n">
        <f aca="true">ROUND(RAND()*4+6,1)</f>
        <v>8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8480</v>
      </c>
      <c r="B55" s="6" t="s">
        <v>116</v>
      </c>
      <c r="C55" s="6" t="s">
        <v>114</v>
      </c>
      <c r="D55" s="6" t="s">
        <v>22</v>
      </c>
      <c r="E55" s="6" t="n">
        <f aca="false">ROUND(9576*1.05,2)</f>
        <v>10054.8</v>
      </c>
      <c r="F55" s="6" t="s">
        <v>23</v>
      </c>
      <c r="G55" s="6" t="s">
        <v>24</v>
      </c>
      <c r="H55" s="6" t="n">
        <f aca="true">ROUND(RAND()*4+6,1)</f>
        <v>9.4</v>
      </c>
      <c r="I55" s="6" t="s">
        <v>25</v>
      </c>
      <c r="J55" s="6" t="str">
        <f aca="false">ROUND(64*1,0)&amp;"%"</f>
        <v>64%</v>
      </c>
    </row>
    <row r="56" customFormat="false" ht="15" hidden="false" customHeight="false" outlineLevel="0" collapsed="false">
      <c r="A56" s="5" t="s">
        <v>8481</v>
      </c>
      <c r="B56" s="5" t="s">
        <v>118</v>
      </c>
      <c r="C56" s="5" t="s">
        <v>114</v>
      </c>
      <c r="D56" s="5" t="s">
        <v>28</v>
      </c>
      <c r="E56" s="5" t="n">
        <f aca="false">ROUND(14621*1.05,2)</f>
        <v>15352.05</v>
      </c>
      <c r="F56" s="5" t="s">
        <v>29</v>
      </c>
      <c r="G56" s="5" t="s">
        <v>30</v>
      </c>
      <c r="H56" s="5" t="n">
        <f aca="true">ROUND(RAND()*4+6,1)</f>
        <v>8.5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8482</v>
      </c>
      <c r="B57" s="6" t="s">
        <v>120</v>
      </c>
      <c r="C57" s="6" t="s">
        <v>114</v>
      </c>
      <c r="D57" s="6" t="s">
        <v>34</v>
      </c>
      <c r="E57" s="6" t="n">
        <f aca="false">ROUND(16188*1.05,2)</f>
        <v>16997.4</v>
      </c>
      <c r="F57" s="6" t="s">
        <v>35</v>
      </c>
      <c r="G57" s="6" t="s">
        <v>18</v>
      </c>
      <c r="H57" s="6" t="n">
        <f aca="true">ROUND(RAND()*4+6,1)</f>
        <v>8.4</v>
      </c>
      <c r="I57" s="6" t="s">
        <v>36</v>
      </c>
      <c r="J57" s="6" t="str">
        <f aca="false">ROUND(77*1,0)&amp;"%"</f>
        <v>77%</v>
      </c>
    </row>
    <row r="58" customFormat="false" ht="15" hidden="false" customHeight="false" outlineLevel="0" collapsed="false">
      <c r="A58" s="5" t="s">
        <v>8483</v>
      </c>
      <c r="B58" s="5" t="s">
        <v>122</v>
      </c>
      <c r="C58" s="5" t="s">
        <v>114</v>
      </c>
      <c r="D58" s="5" t="s">
        <v>39</v>
      </c>
      <c r="E58" s="5" t="n">
        <f aca="false">ROUND(10878*1.05,2)</f>
        <v>11421.9</v>
      </c>
      <c r="F58" s="5" t="s">
        <v>40</v>
      </c>
      <c r="G58" s="5" t="s">
        <v>24</v>
      </c>
      <c r="H58" s="5" t="n">
        <f aca="true">ROUND(RAND()*4+6,1)</f>
        <v>9.8</v>
      </c>
      <c r="I58" s="5" t="s">
        <v>41</v>
      </c>
      <c r="J58" s="5" t="str">
        <f aca="false">ROUND(74*1,0)&amp;"%"</f>
        <v>74%</v>
      </c>
    </row>
    <row r="59" customFormat="false" ht="15" hidden="false" customHeight="false" outlineLevel="0" collapsed="false">
      <c r="A59" s="6" t="s">
        <v>8484</v>
      </c>
      <c r="B59" s="6" t="s">
        <v>124</v>
      </c>
      <c r="C59" s="6" t="s">
        <v>114</v>
      </c>
      <c r="D59" s="6" t="s">
        <v>44</v>
      </c>
      <c r="E59" s="6" t="n">
        <f aca="false">ROUND(5667*1.05,2)</f>
        <v>5950.35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ROUND(76*1,0)&amp;"%"</f>
        <v>76%</v>
      </c>
    </row>
    <row r="60" customFormat="false" ht="15" hidden="false" customHeight="false" outlineLevel="0" collapsed="false">
      <c r="A60" s="5" t="s">
        <v>8485</v>
      </c>
      <c r="B60" s="5" t="s">
        <v>126</v>
      </c>
      <c r="C60" s="5" t="s">
        <v>114</v>
      </c>
      <c r="D60" s="5" t="s">
        <v>16</v>
      </c>
      <c r="E60" s="5" t="n">
        <f aca="false">ROUND(14187*1.05,2)</f>
        <v>14896.35</v>
      </c>
      <c r="F60" s="5" t="s">
        <v>49</v>
      </c>
      <c r="G60" s="5" t="s">
        <v>18</v>
      </c>
      <c r="H60" s="5" t="n">
        <f aca="true">ROUND(RAND()*4+6,1)</f>
        <v>6</v>
      </c>
      <c r="I60" s="5" t="s">
        <v>19</v>
      </c>
      <c r="J60" s="5" t="str">
        <f aca="false">ROUND(81*1,0)&amp;"%"</f>
        <v>81%</v>
      </c>
    </row>
    <row r="61" customFormat="false" ht="15" hidden="false" customHeight="false" outlineLevel="0" collapsed="false">
      <c r="A61" s="6" t="s">
        <v>8486</v>
      </c>
      <c r="B61" s="6" t="s">
        <v>128</v>
      </c>
      <c r="C61" s="6" t="s">
        <v>114</v>
      </c>
      <c r="D61" s="6" t="s">
        <v>22</v>
      </c>
      <c r="E61" s="6" t="n">
        <f aca="false">ROUND(12316*1.05,2)</f>
        <v>12931.8</v>
      </c>
      <c r="F61" s="6" t="s">
        <v>52</v>
      </c>
      <c r="G61" s="6" t="s">
        <v>24</v>
      </c>
      <c r="H61" s="6" t="n">
        <f aca="true">ROUND(RAND()*4+6,1)</f>
        <v>9.9</v>
      </c>
      <c r="I61" s="6" t="s">
        <v>25</v>
      </c>
      <c r="J61" s="6" t="str">
        <f aca="false">ROUND(83*1,0)&amp;"%"</f>
        <v>83%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8487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8488</v>
      </c>
      <c r="B66" s="5" t="s">
        <v>132</v>
      </c>
      <c r="C66" s="5" t="s">
        <v>133</v>
      </c>
      <c r="D66" s="5" t="s">
        <v>16</v>
      </c>
      <c r="E66" s="5" t="n">
        <f aca="false">ROUND(5385*1.05,2)</f>
        <v>5654.25</v>
      </c>
      <c r="F66" s="5" t="s">
        <v>17</v>
      </c>
      <c r="G66" s="5" t="s">
        <v>18</v>
      </c>
      <c r="H66" s="5" t="n">
        <f aca="true">ROUND(RAND()*4+6,1)</f>
        <v>7.9</v>
      </c>
      <c r="I66" s="5" t="s">
        <v>19</v>
      </c>
      <c r="J66" s="5" t="str">
        <f aca="false">ROUND(79*1,0)&amp;"%"</f>
        <v>79%</v>
      </c>
    </row>
    <row r="67" customFormat="false" ht="15" hidden="false" customHeight="false" outlineLevel="0" collapsed="false">
      <c r="A67" s="6" t="s">
        <v>8489</v>
      </c>
      <c r="B67" s="6" t="s">
        <v>135</v>
      </c>
      <c r="C67" s="6" t="s">
        <v>133</v>
      </c>
      <c r="D67" s="6" t="s">
        <v>22</v>
      </c>
      <c r="E67" s="6" t="n">
        <f aca="false">ROUND(16733*1.05,2)</f>
        <v>17569.65</v>
      </c>
      <c r="F67" s="6" t="s">
        <v>23</v>
      </c>
      <c r="G67" s="6" t="s">
        <v>24</v>
      </c>
      <c r="H67" s="6" t="n">
        <f aca="true">ROUND(RAND()*4+6,1)</f>
        <v>7.7</v>
      </c>
      <c r="I67" s="6" t="s">
        <v>25</v>
      </c>
      <c r="J67" s="6" t="str">
        <f aca="false">ROUND(96*1,0)&amp;"%"</f>
        <v>96%</v>
      </c>
    </row>
    <row r="68" customFormat="false" ht="15" hidden="false" customHeight="false" outlineLevel="0" collapsed="false">
      <c r="A68" s="5" t="s">
        <v>8490</v>
      </c>
      <c r="B68" s="5" t="s">
        <v>137</v>
      </c>
      <c r="C68" s="5" t="s">
        <v>133</v>
      </c>
      <c r="D68" s="5" t="s">
        <v>28</v>
      </c>
      <c r="E68" s="5" t="n">
        <f aca="false">ROUND(7957*1.05,2)</f>
        <v>8354.85</v>
      </c>
      <c r="F68" s="5" t="s">
        <v>29</v>
      </c>
      <c r="G68" s="5" t="s">
        <v>30</v>
      </c>
      <c r="H68" s="5" t="n">
        <f aca="true">ROUND(RAND()*4+6,1)</f>
        <v>7</v>
      </c>
      <c r="I68" s="5" t="s">
        <v>31</v>
      </c>
      <c r="J68" s="5" t="str">
        <f aca="false">ROUND(63*1,0)&amp;"%"</f>
        <v>63%</v>
      </c>
    </row>
    <row r="69" customFormat="false" ht="15" hidden="false" customHeight="false" outlineLevel="0" collapsed="false">
      <c r="A69" s="6" t="s">
        <v>8491</v>
      </c>
      <c r="B69" s="6" t="s">
        <v>139</v>
      </c>
      <c r="C69" s="6" t="s">
        <v>133</v>
      </c>
      <c r="D69" s="6" t="s">
        <v>34</v>
      </c>
      <c r="E69" s="6" t="n">
        <f aca="false">ROUND(13455*1.05,2)</f>
        <v>14127.75</v>
      </c>
      <c r="F69" s="6" t="s">
        <v>35</v>
      </c>
      <c r="G69" s="6" t="s">
        <v>18</v>
      </c>
      <c r="H69" s="6" t="n">
        <f aca="true">ROUND(RAND()*4+6,1)</f>
        <v>6.8</v>
      </c>
      <c r="I69" s="6" t="s">
        <v>36</v>
      </c>
      <c r="J69" s="6" t="str">
        <f aca="false">ROUND(86*1,0)&amp;"%"</f>
        <v>86%</v>
      </c>
    </row>
    <row r="70" customFormat="false" ht="15" hidden="false" customHeight="false" outlineLevel="0" collapsed="false">
      <c r="A70" s="5" t="s">
        <v>8492</v>
      </c>
      <c r="B70" s="5" t="s">
        <v>141</v>
      </c>
      <c r="C70" s="5" t="s">
        <v>133</v>
      </c>
      <c r="D70" s="5" t="s">
        <v>39</v>
      </c>
      <c r="E70" s="5" t="n">
        <f aca="false">ROUND(4186*1.05,2)</f>
        <v>4395.3</v>
      </c>
      <c r="F70" s="5" t="s">
        <v>40</v>
      </c>
      <c r="G70" s="5" t="s">
        <v>24</v>
      </c>
      <c r="H70" s="5" t="n">
        <f aca="true">ROUND(RAND()*4+6,1)</f>
        <v>9.5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8493</v>
      </c>
      <c r="B71" s="6" t="s">
        <v>143</v>
      </c>
      <c r="C71" s="6" t="s">
        <v>133</v>
      </c>
      <c r="D71" s="6" t="s">
        <v>44</v>
      </c>
      <c r="E71" s="6" t="n">
        <f aca="false">ROUND(11257*1.05,2)</f>
        <v>11819.85</v>
      </c>
      <c r="F71" s="6" t="s">
        <v>45</v>
      </c>
      <c r="G71" s="6" t="s">
        <v>30</v>
      </c>
      <c r="H71" s="6" t="n">
        <f aca="true">ROUND(RAND()*4+6,1)</f>
        <v>7.7</v>
      </c>
      <c r="I71" s="6" t="s">
        <v>46</v>
      </c>
      <c r="J71" s="6" t="str">
        <f aca="false">ROUND(80*1,0)&amp;"%"</f>
        <v>80%</v>
      </c>
    </row>
    <row r="72" customFormat="false" ht="15" hidden="false" customHeight="false" outlineLevel="0" collapsed="false">
      <c r="A72" s="5" t="s">
        <v>8494</v>
      </c>
      <c r="B72" s="5" t="s">
        <v>145</v>
      </c>
      <c r="C72" s="5" t="s">
        <v>133</v>
      </c>
      <c r="D72" s="5" t="s">
        <v>16</v>
      </c>
      <c r="E72" s="5" t="n">
        <f aca="false">ROUND(4885*1.05,2)</f>
        <v>5129.25</v>
      </c>
      <c r="F72" s="5" t="s">
        <v>49</v>
      </c>
      <c r="G72" s="5" t="s">
        <v>18</v>
      </c>
      <c r="H72" s="5" t="n">
        <f aca="true">ROUND(RAND()*4+6,1)</f>
        <v>6.4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8495</v>
      </c>
      <c r="B73" s="6" t="s">
        <v>147</v>
      </c>
      <c r="C73" s="6" t="s">
        <v>133</v>
      </c>
      <c r="D73" s="6" t="s">
        <v>22</v>
      </c>
      <c r="E73" s="6" t="n">
        <f aca="false">ROUND(17674*1.05,2)</f>
        <v>18557.7</v>
      </c>
      <c r="F73" s="6" t="s">
        <v>52</v>
      </c>
      <c r="G73" s="6" t="s">
        <v>24</v>
      </c>
      <c r="H73" s="6" t="n">
        <f aca="true">ROUND(RAND()*4+6,1)</f>
        <v>7.5</v>
      </c>
      <c r="I73" s="6" t="s">
        <v>25</v>
      </c>
      <c r="J73" s="6" t="str">
        <f aca="false">ROUND(90*1,0)&amp;"%"</f>
        <v>90%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8496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8497</v>
      </c>
      <c r="B78" s="5" t="s">
        <v>151</v>
      </c>
      <c r="C78" s="5" t="s">
        <v>152</v>
      </c>
      <c r="D78" s="5" t="s">
        <v>16</v>
      </c>
      <c r="E78" s="5" t="n">
        <f aca="false">ROUND(5278*1.05,2)</f>
        <v>5541.9</v>
      </c>
      <c r="F78" s="5" t="s">
        <v>17</v>
      </c>
      <c r="G78" s="5" t="s">
        <v>18</v>
      </c>
      <c r="H78" s="5" t="n">
        <f aca="true">ROUND(RAND()*4+6,1)</f>
        <v>7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8498</v>
      </c>
      <c r="B79" s="6" t="s">
        <v>154</v>
      </c>
      <c r="C79" s="6" t="s">
        <v>152</v>
      </c>
      <c r="D79" s="6" t="s">
        <v>22</v>
      </c>
      <c r="E79" s="6" t="n">
        <f aca="false">ROUND(6639*1.05,2)</f>
        <v>6970.95</v>
      </c>
      <c r="F79" s="6" t="s">
        <v>23</v>
      </c>
      <c r="G79" s="6" t="s">
        <v>24</v>
      </c>
      <c r="H79" s="6" t="n">
        <f aca="true">ROUND(RAND()*4+6,1)</f>
        <v>6.6</v>
      </c>
      <c r="I79" s="6" t="s">
        <v>25</v>
      </c>
      <c r="J79" s="6" t="str">
        <f aca="false">ROUND(77*1,0)&amp;"%"</f>
        <v>77%</v>
      </c>
    </row>
    <row r="80" customFormat="false" ht="15" hidden="false" customHeight="false" outlineLevel="0" collapsed="false">
      <c r="A80" s="5" t="s">
        <v>8499</v>
      </c>
      <c r="B80" s="5" t="s">
        <v>156</v>
      </c>
      <c r="C80" s="5" t="s">
        <v>152</v>
      </c>
      <c r="D80" s="5" t="s">
        <v>28</v>
      </c>
      <c r="E80" s="5" t="n">
        <f aca="false">ROUND(17321*1.05,2)</f>
        <v>18187.05</v>
      </c>
      <c r="F80" s="5" t="s">
        <v>29</v>
      </c>
      <c r="G80" s="5" t="s">
        <v>30</v>
      </c>
      <c r="H80" s="5" t="n">
        <f aca="true">ROUND(RAND()*4+6,1)</f>
        <v>6.6</v>
      </c>
      <c r="I80" s="5" t="s">
        <v>31</v>
      </c>
      <c r="J80" s="5" t="str">
        <f aca="false">ROUND(75*1,0)&amp;"%"</f>
        <v>75%</v>
      </c>
    </row>
    <row r="81" customFormat="false" ht="15" hidden="false" customHeight="false" outlineLevel="0" collapsed="false">
      <c r="A81" s="6" t="s">
        <v>8500</v>
      </c>
      <c r="B81" s="6" t="s">
        <v>158</v>
      </c>
      <c r="C81" s="6" t="s">
        <v>152</v>
      </c>
      <c r="D81" s="6" t="s">
        <v>34</v>
      </c>
      <c r="E81" s="6" t="n">
        <f aca="false">ROUND(12442*1.05,2)</f>
        <v>13064.1</v>
      </c>
      <c r="F81" s="6" t="s">
        <v>35</v>
      </c>
      <c r="G81" s="6" t="s">
        <v>18</v>
      </c>
      <c r="H81" s="6" t="n">
        <f aca="true">ROUND(RAND()*4+6,1)</f>
        <v>9</v>
      </c>
      <c r="I81" s="6" t="s">
        <v>36</v>
      </c>
      <c r="J81" s="6" t="str">
        <f aca="false">ROUND(97*1,0)&amp;"%"</f>
        <v>97%</v>
      </c>
    </row>
    <row r="82" customFormat="false" ht="15" hidden="false" customHeight="false" outlineLevel="0" collapsed="false">
      <c r="A82" s="5" t="s">
        <v>8501</v>
      </c>
      <c r="B82" s="5" t="s">
        <v>160</v>
      </c>
      <c r="C82" s="5" t="s">
        <v>152</v>
      </c>
      <c r="D82" s="5" t="s">
        <v>39</v>
      </c>
      <c r="E82" s="5" t="n">
        <f aca="false">ROUND(10879*1.05,2)</f>
        <v>11422.95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ROUND(83*1,0)&amp;"%"</f>
        <v>83%</v>
      </c>
    </row>
    <row r="83" customFormat="false" ht="15" hidden="false" customHeight="false" outlineLevel="0" collapsed="false">
      <c r="A83" s="6" t="s">
        <v>8502</v>
      </c>
      <c r="B83" s="6" t="s">
        <v>162</v>
      </c>
      <c r="C83" s="6" t="s">
        <v>152</v>
      </c>
      <c r="D83" s="6" t="s">
        <v>44</v>
      </c>
      <c r="E83" s="6" t="n">
        <f aca="false">ROUND(12298*1.05,2)</f>
        <v>12912.9</v>
      </c>
      <c r="F83" s="6" t="s">
        <v>45</v>
      </c>
      <c r="G83" s="6" t="s">
        <v>30</v>
      </c>
      <c r="H83" s="6" t="n">
        <f aca="true">ROUND(RAND()*4+6,1)</f>
        <v>6.3</v>
      </c>
      <c r="I83" s="6" t="s">
        <v>46</v>
      </c>
      <c r="J83" s="6" t="str">
        <f aca="false">ROUND(94*1,0)&amp;"%"</f>
        <v>94%</v>
      </c>
    </row>
    <row r="84" customFormat="false" ht="15" hidden="false" customHeight="false" outlineLevel="0" collapsed="false">
      <c r="A84" s="5" t="s">
        <v>8503</v>
      </c>
      <c r="B84" s="5" t="s">
        <v>164</v>
      </c>
      <c r="C84" s="5" t="s">
        <v>152</v>
      </c>
      <c r="D84" s="5" t="s">
        <v>16</v>
      </c>
      <c r="E84" s="5" t="n">
        <f aca="false">ROUND(8927*1.05,2)</f>
        <v>9373.35</v>
      </c>
      <c r="F84" s="5" t="s">
        <v>49</v>
      </c>
      <c r="G84" s="5" t="s">
        <v>18</v>
      </c>
      <c r="H84" s="5" t="n">
        <f aca="true">ROUND(RAND()*4+6,1)</f>
        <v>6.5</v>
      </c>
      <c r="I84" s="5" t="s">
        <v>19</v>
      </c>
      <c r="J84" s="5" t="str">
        <f aca="false">ROUND(89*1,0)&amp;"%"</f>
        <v>89%</v>
      </c>
    </row>
    <row r="85" customFormat="false" ht="15" hidden="false" customHeight="false" outlineLevel="0" collapsed="false">
      <c r="A85" s="6" t="s">
        <v>8504</v>
      </c>
      <c r="B85" s="6" t="s">
        <v>166</v>
      </c>
      <c r="C85" s="6" t="s">
        <v>152</v>
      </c>
      <c r="D85" s="6" t="s">
        <v>22</v>
      </c>
      <c r="E85" s="6" t="n">
        <f aca="false">ROUND(15672*1.05,2)</f>
        <v>16455.6</v>
      </c>
      <c r="F85" s="6" t="s">
        <v>52</v>
      </c>
      <c r="G85" s="6" t="s">
        <v>24</v>
      </c>
      <c r="H85" s="6" t="n">
        <f aca="true">ROUND(RAND()*4+6,1)</f>
        <v>9.3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8505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8506</v>
      </c>
      <c r="B90" s="5" t="s">
        <v>170</v>
      </c>
      <c r="C90" s="5" t="s">
        <v>15</v>
      </c>
      <c r="D90" s="5" t="s">
        <v>16</v>
      </c>
      <c r="E90" s="5" t="n">
        <f aca="false">ROUND(7385*1.05,2)</f>
        <v>7754.25</v>
      </c>
      <c r="F90" s="5" t="s">
        <v>17</v>
      </c>
      <c r="G90" s="5" t="s">
        <v>18</v>
      </c>
      <c r="H90" s="5" t="n">
        <f aca="true">ROUND(RAND()*4+6,1)</f>
        <v>7.9</v>
      </c>
      <c r="I90" s="5" t="s">
        <v>19</v>
      </c>
      <c r="J90" s="5" t="str">
        <f aca="false">ROUND(91*1,0)&amp;"%"</f>
        <v>91%</v>
      </c>
    </row>
    <row r="91" customFormat="false" ht="15" hidden="false" customHeight="false" outlineLevel="0" collapsed="false">
      <c r="A91" s="6" t="s">
        <v>8507</v>
      </c>
      <c r="B91" s="6" t="s">
        <v>172</v>
      </c>
      <c r="C91" s="6" t="s">
        <v>15</v>
      </c>
      <c r="D91" s="6" t="s">
        <v>22</v>
      </c>
      <c r="E91" s="6" t="n">
        <f aca="false">ROUND(11105*1.05,2)</f>
        <v>11660.25</v>
      </c>
      <c r="F91" s="6" t="s">
        <v>23</v>
      </c>
      <c r="G91" s="6" t="s">
        <v>24</v>
      </c>
      <c r="H91" s="6" t="n">
        <f aca="true">ROUND(RAND()*4+6,1)</f>
        <v>8.7</v>
      </c>
      <c r="I91" s="6" t="s">
        <v>25</v>
      </c>
      <c r="J91" s="6" t="str">
        <f aca="false">ROUND(84*1,0)&amp;"%"</f>
        <v>84%</v>
      </c>
    </row>
    <row r="92" customFormat="false" ht="15" hidden="false" customHeight="false" outlineLevel="0" collapsed="false">
      <c r="A92" s="5" t="s">
        <v>8508</v>
      </c>
      <c r="B92" s="5" t="s">
        <v>174</v>
      </c>
      <c r="C92" s="5" t="s">
        <v>15</v>
      </c>
      <c r="D92" s="5" t="s">
        <v>28</v>
      </c>
      <c r="E92" s="5" t="n">
        <f aca="false">ROUND(9429*1.05,2)</f>
        <v>9900.45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ROUND(67*1,0)&amp;"%"</f>
        <v>67%</v>
      </c>
    </row>
    <row r="93" customFormat="false" ht="15" hidden="false" customHeight="false" outlineLevel="0" collapsed="false">
      <c r="A93" s="6" t="s">
        <v>8509</v>
      </c>
      <c r="B93" s="6" t="s">
        <v>176</v>
      </c>
      <c r="C93" s="6" t="s">
        <v>15</v>
      </c>
      <c r="D93" s="6" t="s">
        <v>34</v>
      </c>
      <c r="E93" s="6" t="n">
        <f aca="false">ROUND(17964*1.05,2)</f>
        <v>18862.2</v>
      </c>
      <c r="F93" s="6" t="s">
        <v>35</v>
      </c>
      <c r="G93" s="6" t="s">
        <v>18</v>
      </c>
      <c r="H93" s="6" t="n">
        <f aca="true">ROUND(RAND()*4+6,1)</f>
        <v>7.8</v>
      </c>
      <c r="I93" s="6" t="s">
        <v>36</v>
      </c>
      <c r="J93" s="6" t="str">
        <f aca="false">ROUND(60*1,0)&amp;"%"</f>
        <v>60%</v>
      </c>
    </row>
    <row r="94" customFormat="false" ht="15" hidden="false" customHeight="false" outlineLevel="0" collapsed="false">
      <c r="A94" s="5" t="s">
        <v>8510</v>
      </c>
      <c r="B94" s="5" t="s">
        <v>178</v>
      </c>
      <c r="C94" s="5" t="s">
        <v>15</v>
      </c>
      <c r="D94" s="5" t="s">
        <v>39</v>
      </c>
      <c r="E94" s="5" t="n">
        <f aca="false">ROUND(6009*1.05,2)</f>
        <v>6309.45</v>
      </c>
      <c r="F94" s="5" t="s">
        <v>40</v>
      </c>
      <c r="G94" s="5" t="s">
        <v>24</v>
      </c>
      <c r="H94" s="5" t="n">
        <f aca="true">ROUND(RAND()*4+6,1)</f>
        <v>9.3</v>
      </c>
      <c r="I94" s="5" t="s">
        <v>41</v>
      </c>
      <c r="J94" s="5" t="str">
        <f aca="false">ROUND(95*1,0)&amp;"%"</f>
        <v>95%</v>
      </c>
    </row>
    <row r="95" customFormat="false" ht="15" hidden="false" customHeight="false" outlineLevel="0" collapsed="false">
      <c r="A95" s="6" t="s">
        <v>8511</v>
      </c>
      <c r="B95" s="6" t="s">
        <v>180</v>
      </c>
      <c r="C95" s="6" t="s">
        <v>15</v>
      </c>
      <c r="D95" s="6" t="s">
        <v>44</v>
      </c>
      <c r="E95" s="6" t="n">
        <f aca="false">ROUND(11314*1.05,2)</f>
        <v>11879.7</v>
      </c>
      <c r="F95" s="6" t="s">
        <v>45</v>
      </c>
      <c r="G95" s="6" t="s">
        <v>30</v>
      </c>
      <c r="H95" s="6" t="n">
        <f aca="true">ROUND(RAND()*4+6,1)</f>
        <v>6.3</v>
      </c>
      <c r="I95" s="6" t="s">
        <v>46</v>
      </c>
      <c r="J95" s="6" t="str">
        <f aca="false">ROUND(84*1,0)&amp;"%"</f>
        <v>84%</v>
      </c>
    </row>
    <row r="96" customFormat="false" ht="15" hidden="false" customHeight="false" outlineLevel="0" collapsed="false">
      <c r="A96" s="5" t="s">
        <v>8512</v>
      </c>
      <c r="B96" s="5" t="s">
        <v>182</v>
      </c>
      <c r="C96" s="5" t="s">
        <v>15</v>
      </c>
      <c r="D96" s="5" t="s">
        <v>16</v>
      </c>
      <c r="E96" s="5" t="n">
        <f aca="false">ROUND(16816*1.05,2)</f>
        <v>17656.8</v>
      </c>
      <c r="F96" s="5" t="s">
        <v>49</v>
      </c>
      <c r="G96" s="5" t="s">
        <v>18</v>
      </c>
      <c r="H96" s="5" t="n">
        <f aca="true">ROUND(RAND()*4+6,1)</f>
        <v>8.8</v>
      </c>
      <c r="I96" s="5" t="s">
        <v>19</v>
      </c>
      <c r="J96" s="5" t="str">
        <f aca="false">ROUND(65*1,0)&amp;"%"</f>
        <v>65%</v>
      </c>
    </row>
    <row r="97" customFormat="false" ht="15" hidden="false" customHeight="false" outlineLevel="0" collapsed="false">
      <c r="A97" s="6" t="s">
        <v>8513</v>
      </c>
      <c r="B97" s="6" t="s">
        <v>184</v>
      </c>
      <c r="C97" s="6" t="s">
        <v>15</v>
      </c>
      <c r="D97" s="6" t="s">
        <v>22</v>
      </c>
      <c r="E97" s="6" t="n">
        <f aca="false">ROUND(4648*1.05,2)</f>
        <v>4880.4</v>
      </c>
      <c r="F97" s="6" t="s">
        <v>52</v>
      </c>
      <c r="G97" s="6" t="s">
        <v>24</v>
      </c>
      <c r="H97" s="6" t="n">
        <f aca="true">ROUND(RAND()*4+6,1)</f>
        <v>6.7</v>
      </c>
      <c r="I97" s="6" t="s">
        <v>25</v>
      </c>
      <c r="J97" s="6" t="str">
        <f aca="false">ROUND(87*1,0)&amp;"%"</f>
        <v>87%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8514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8515</v>
      </c>
      <c r="B102" s="5" t="s">
        <v>188</v>
      </c>
      <c r="C102" s="5" t="s">
        <v>57</v>
      </c>
      <c r="D102" s="5" t="s">
        <v>16</v>
      </c>
      <c r="E102" s="5" t="n">
        <f aca="false">ROUND(13990*1.05,2)</f>
        <v>14689.5</v>
      </c>
      <c r="F102" s="5" t="s">
        <v>17</v>
      </c>
      <c r="G102" s="5" t="s">
        <v>18</v>
      </c>
      <c r="H102" s="5" t="n">
        <f aca="true">ROUND(RAND()*4+6,1)</f>
        <v>7.6</v>
      </c>
      <c r="I102" s="5" t="s">
        <v>19</v>
      </c>
      <c r="J102" s="5" t="str">
        <f aca="false">ROUND(69*1,0)&amp;"%"</f>
        <v>69%</v>
      </c>
    </row>
    <row r="103" customFormat="false" ht="15" hidden="false" customHeight="false" outlineLevel="0" collapsed="false">
      <c r="A103" s="6" t="s">
        <v>8516</v>
      </c>
      <c r="B103" s="6" t="s">
        <v>190</v>
      </c>
      <c r="C103" s="6" t="s">
        <v>57</v>
      </c>
      <c r="D103" s="6" t="s">
        <v>22</v>
      </c>
      <c r="E103" s="6" t="n">
        <f aca="false">ROUND(15660*1.05,2)</f>
        <v>16443</v>
      </c>
      <c r="F103" s="6" t="s">
        <v>23</v>
      </c>
      <c r="G103" s="6" t="s">
        <v>24</v>
      </c>
      <c r="H103" s="6" t="n">
        <f aca="true">ROUND(RAND()*4+6,1)</f>
        <v>7.5</v>
      </c>
      <c r="I103" s="6" t="s">
        <v>25</v>
      </c>
      <c r="J103" s="6" t="str">
        <f aca="false">ROUND(95*1,0)&amp;"%"</f>
        <v>95%</v>
      </c>
    </row>
    <row r="104" customFormat="false" ht="15" hidden="false" customHeight="false" outlineLevel="0" collapsed="false">
      <c r="A104" s="5" t="s">
        <v>8517</v>
      </c>
      <c r="B104" s="5" t="s">
        <v>192</v>
      </c>
      <c r="C104" s="5" t="s">
        <v>57</v>
      </c>
      <c r="D104" s="5" t="s">
        <v>28</v>
      </c>
      <c r="E104" s="5" t="n">
        <f aca="false">ROUND(11020*1.05,2)</f>
        <v>11571</v>
      </c>
      <c r="F104" s="5" t="s">
        <v>29</v>
      </c>
      <c r="G104" s="5" t="s">
        <v>30</v>
      </c>
      <c r="H104" s="5" t="n">
        <f aca="true">ROUND(RAND()*4+6,1)</f>
        <v>7.9</v>
      </c>
      <c r="I104" s="5" t="s">
        <v>31</v>
      </c>
      <c r="J104" s="5" t="str">
        <f aca="false">ROUND(98*1,0)&amp;"%"</f>
        <v>98%</v>
      </c>
    </row>
    <row r="105" customFormat="false" ht="15" hidden="false" customHeight="false" outlineLevel="0" collapsed="false">
      <c r="A105" s="6" t="s">
        <v>8518</v>
      </c>
      <c r="B105" s="6" t="s">
        <v>194</v>
      </c>
      <c r="C105" s="6" t="s">
        <v>57</v>
      </c>
      <c r="D105" s="6" t="s">
        <v>34</v>
      </c>
      <c r="E105" s="6" t="n">
        <f aca="false">ROUND(15199*1.05,2)</f>
        <v>15958.95</v>
      </c>
      <c r="F105" s="6" t="s">
        <v>35</v>
      </c>
      <c r="G105" s="6" t="s">
        <v>18</v>
      </c>
      <c r="H105" s="6" t="n">
        <f aca="true">ROUND(RAND()*4+6,1)</f>
        <v>7.2</v>
      </c>
      <c r="I105" s="6" t="s">
        <v>36</v>
      </c>
      <c r="J105" s="6" t="str">
        <f aca="false">ROUND(95*1,0)&amp;"%"</f>
        <v>95%</v>
      </c>
    </row>
    <row r="106" customFormat="false" ht="15" hidden="false" customHeight="false" outlineLevel="0" collapsed="false">
      <c r="A106" s="5" t="s">
        <v>8519</v>
      </c>
      <c r="B106" s="5" t="s">
        <v>196</v>
      </c>
      <c r="C106" s="5" t="s">
        <v>57</v>
      </c>
      <c r="D106" s="5" t="s">
        <v>39</v>
      </c>
      <c r="E106" s="5" t="n">
        <f aca="false">ROUND(16656*1.05,2)</f>
        <v>17488.8</v>
      </c>
      <c r="F106" s="5" t="s">
        <v>40</v>
      </c>
      <c r="G106" s="5" t="s">
        <v>24</v>
      </c>
      <c r="H106" s="5" t="n">
        <f aca="true">ROUND(RAND()*4+6,1)</f>
        <v>7.1</v>
      </c>
      <c r="I106" s="5" t="s">
        <v>41</v>
      </c>
      <c r="J106" s="5" t="str">
        <f aca="false">ROUND(69*1,0)&amp;"%"</f>
        <v>69%</v>
      </c>
    </row>
    <row r="107" customFormat="false" ht="15" hidden="false" customHeight="false" outlineLevel="0" collapsed="false">
      <c r="A107" s="6" t="s">
        <v>8520</v>
      </c>
      <c r="B107" s="6" t="s">
        <v>198</v>
      </c>
      <c r="C107" s="6" t="s">
        <v>57</v>
      </c>
      <c r="D107" s="6" t="s">
        <v>44</v>
      </c>
      <c r="E107" s="6" t="n">
        <f aca="false">ROUND(16498*1.05,2)</f>
        <v>17322.9</v>
      </c>
      <c r="F107" s="6" t="s">
        <v>45</v>
      </c>
      <c r="G107" s="6" t="s">
        <v>30</v>
      </c>
      <c r="H107" s="6" t="n">
        <f aca="true">ROUND(RAND()*4+6,1)</f>
        <v>6.6</v>
      </c>
      <c r="I107" s="6" t="s">
        <v>46</v>
      </c>
      <c r="J107" s="6" t="str">
        <f aca="false">ROUND(90*1,0)&amp;"%"</f>
        <v>90%</v>
      </c>
    </row>
    <row r="108" customFormat="false" ht="15" hidden="false" customHeight="false" outlineLevel="0" collapsed="false">
      <c r="A108" s="5" t="s">
        <v>8521</v>
      </c>
      <c r="B108" s="5" t="s">
        <v>200</v>
      </c>
      <c r="C108" s="5" t="s">
        <v>57</v>
      </c>
      <c r="D108" s="5" t="s">
        <v>16</v>
      </c>
      <c r="E108" s="5" t="n">
        <f aca="false">ROUND(13593*1.05,2)</f>
        <v>14272.65</v>
      </c>
      <c r="F108" s="5" t="s">
        <v>49</v>
      </c>
      <c r="G108" s="5" t="s">
        <v>18</v>
      </c>
      <c r="H108" s="5" t="n">
        <f aca="true">ROUND(RAND()*4+6,1)</f>
        <v>9.2</v>
      </c>
      <c r="I108" s="5" t="s">
        <v>19</v>
      </c>
      <c r="J108" s="5" t="str">
        <f aca="false">ROUND(80*1,0)&amp;"%"</f>
        <v>80%</v>
      </c>
    </row>
    <row r="109" customFormat="false" ht="15" hidden="false" customHeight="false" outlineLevel="0" collapsed="false">
      <c r="A109" s="6" t="s">
        <v>8522</v>
      </c>
      <c r="B109" s="6" t="s">
        <v>202</v>
      </c>
      <c r="C109" s="6" t="s">
        <v>57</v>
      </c>
      <c r="D109" s="6" t="s">
        <v>22</v>
      </c>
      <c r="E109" s="6" t="n">
        <f aca="false">ROUND(4782*1.05,2)</f>
        <v>5021.1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ROUND(79*1,0)&amp;"%"</f>
        <v>79%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8523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8524</v>
      </c>
      <c r="B114" s="5" t="s">
        <v>206</v>
      </c>
      <c r="C114" s="5" t="s">
        <v>76</v>
      </c>
      <c r="D114" s="5" t="s">
        <v>16</v>
      </c>
      <c r="E114" s="5" t="n">
        <f aca="false">ROUND(5019*1.05,2)</f>
        <v>5269.95</v>
      </c>
      <c r="F114" s="5" t="s">
        <v>17</v>
      </c>
      <c r="G114" s="5" t="s">
        <v>18</v>
      </c>
      <c r="H114" s="5" t="n">
        <f aca="true">ROUND(RAND()*4+6,1)</f>
        <v>9.2</v>
      </c>
      <c r="I114" s="5" t="s">
        <v>19</v>
      </c>
      <c r="J114" s="5" t="str">
        <f aca="false">ROUND(76*1,0)&amp;"%"</f>
        <v>76%</v>
      </c>
    </row>
    <row r="115" customFormat="false" ht="15" hidden="false" customHeight="false" outlineLevel="0" collapsed="false">
      <c r="A115" s="6" t="s">
        <v>8525</v>
      </c>
      <c r="B115" s="6" t="s">
        <v>208</v>
      </c>
      <c r="C115" s="6" t="s">
        <v>76</v>
      </c>
      <c r="D115" s="6" t="s">
        <v>22</v>
      </c>
      <c r="E115" s="6" t="n">
        <f aca="false">ROUND(4700*1.05,2)</f>
        <v>4935</v>
      </c>
      <c r="F115" s="6" t="s">
        <v>23</v>
      </c>
      <c r="G115" s="6" t="s">
        <v>24</v>
      </c>
      <c r="H115" s="6" t="n">
        <f aca="true">ROUND(RAND()*4+6,1)</f>
        <v>9.1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8526</v>
      </c>
      <c r="B116" s="5" t="s">
        <v>210</v>
      </c>
      <c r="C116" s="5" t="s">
        <v>76</v>
      </c>
      <c r="D116" s="5" t="s">
        <v>28</v>
      </c>
      <c r="E116" s="5" t="n">
        <f aca="false">ROUND(10622*1.05,2)</f>
        <v>11153.1</v>
      </c>
      <c r="F116" s="5" t="s">
        <v>29</v>
      </c>
      <c r="G116" s="5" t="s">
        <v>30</v>
      </c>
      <c r="H116" s="5" t="n">
        <f aca="true">ROUND(RAND()*4+6,1)</f>
        <v>8.8</v>
      </c>
      <c r="I116" s="5" t="s">
        <v>31</v>
      </c>
      <c r="J116" s="5" t="str">
        <f aca="false">ROUND(62*1,0)&amp;"%"</f>
        <v>62%</v>
      </c>
    </row>
    <row r="117" customFormat="false" ht="15" hidden="false" customHeight="false" outlineLevel="0" collapsed="false">
      <c r="A117" s="6" t="s">
        <v>8527</v>
      </c>
      <c r="B117" s="6" t="s">
        <v>212</v>
      </c>
      <c r="C117" s="6" t="s">
        <v>76</v>
      </c>
      <c r="D117" s="6" t="s">
        <v>34</v>
      </c>
      <c r="E117" s="6" t="n">
        <f aca="false">ROUND(16546*1.05,2)</f>
        <v>17373.3</v>
      </c>
      <c r="F117" s="6" t="s">
        <v>35</v>
      </c>
      <c r="G117" s="6" t="s">
        <v>18</v>
      </c>
      <c r="H117" s="6" t="n">
        <f aca="true">ROUND(RAND()*4+6,1)</f>
        <v>6.8</v>
      </c>
      <c r="I117" s="6" t="s">
        <v>36</v>
      </c>
      <c r="J117" s="6" t="str">
        <f aca="false">ROUND(72*1,0)&amp;"%"</f>
        <v>72%</v>
      </c>
    </row>
    <row r="118" customFormat="false" ht="15" hidden="false" customHeight="false" outlineLevel="0" collapsed="false">
      <c r="A118" s="5" t="s">
        <v>8528</v>
      </c>
      <c r="B118" s="5" t="s">
        <v>214</v>
      </c>
      <c r="C118" s="5" t="s">
        <v>76</v>
      </c>
      <c r="D118" s="5" t="s">
        <v>39</v>
      </c>
      <c r="E118" s="5" t="n">
        <f aca="false">ROUND(9421*1.05,2)</f>
        <v>9892.05</v>
      </c>
      <c r="F118" s="5" t="s">
        <v>40</v>
      </c>
      <c r="G118" s="5" t="s">
        <v>24</v>
      </c>
      <c r="H118" s="5" t="n">
        <f aca="true">ROUND(RAND()*4+6,1)</f>
        <v>7.6</v>
      </c>
      <c r="I118" s="5" t="s">
        <v>41</v>
      </c>
      <c r="J118" s="5" t="str">
        <f aca="false">ROUND(72*1,0)&amp;"%"</f>
        <v>72%</v>
      </c>
    </row>
    <row r="119" customFormat="false" ht="15" hidden="false" customHeight="false" outlineLevel="0" collapsed="false">
      <c r="A119" s="6" t="s">
        <v>8529</v>
      </c>
      <c r="B119" s="6" t="s">
        <v>216</v>
      </c>
      <c r="C119" s="6" t="s">
        <v>76</v>
      </c>
      <c r="D119" s="6" t="s">
        <v>44</v>
      </c>
      <c r="E119" s="6" t="n">
        <f aca="false">ROUND(5442*1.05,2)</f>
        <v>5714.1</v>
      </c>
      <c r="F119" s="6" t="s">
        <v>45</v>
      </c>
      <c r="G119" s="6" t="s">
        <v>30</v>
      </c>
      <c r="H119" s="6" t="n">
        <f aca="true">ROUND(RAND()*4+6,1)</f>
        <v>8.6</v>
      </c>
      <c r="I119" s="6" t="s">
        <v>46</v>
      </c>
      <c r="J119" s="6" t="str">
        <f aca="false">ROUND(83*1,0)&amp;"%"</f>
        <v>83%</v>
      </c>
    </row>
    <row r="120" customFormat="false" ht="15" hidden="false" customHeight="false" outlineLevel="0" collapsed="false">
      <c r="A120" s="5" t="s">
        <v>8530</v>
      </c>
      <c r="B120" s="5" t="s">
        <v>218</v>
      </c>
      <c r="C120" s="5" t="s">
        <v>76</v>
      </c>
      <c r="D120" s="5" t="s">
        <v>16</v>
      </c>
      <c r="E120" s="5" t="n">
        <f aca="false">ROUND(6327*1.05,2)</f>
        <v>6643.35</v>
      </c>
      <c r="F120" s="5" t="s">
        <v>49</v>
      </c>
      <c r="G120" s="5" t="s">
        <v>18</v>
      </c>
      <c r="H120" s="5" t="n">
        <f aca="true">ROUND(RAND()*4+6,1)</f>
        <v>9.7</v>
      </c>
      <c r="I120" s="5" t="s">
        <v>19</v>
      </c>
      <c r="J120" s="5" t="str">
        <f aca="false">ROUND(75*1,0)&amp;"%"</f>
        <v>75%</v>
      </c>
    </row>
    <row r="121" customFormat="false" ht="15" hidden="false" customHeight="false" outlineLevel="0" collapsed="false">
      <c r="A121" s="6" t="s">
        <v>8531</v>
      </c>
      <c r="B121" s="6" t="s">
        <v>220</v>
      </c>
      <c r="C121" s="6" t="s">
        <v>76</v>
      </c>
      <c r="D121" s="6" t="s">
        <v>22</v>
      </c>
      <c r="E121" s="6" t="n">
        <f aca="false">ROUND(16725*1.05,2)</f>
        <v>17561.25</v>
      </c>
      <c r="F121" s="6" t="s">
        <v>52</v>
      </c>
      <c r="G121" s="6" t="s">
        <v>24</v>
      </c>
      <c r="H121" s="6" t="n">
        <f aca="true">ROUND(RAND()*4+6,1)</f>
        <v>7.5</v>
      </c>
      <c r="I121" s="6" t="s">
        <v>25</v>
      </c>
      <c r="J121" s="6" t="str">
        <f aca="false">ROUND(66*1,0)&amp;"%"</f>
        <v>66%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8532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8533</v>
      </c>
      <c r="B126" s="5" t="s">
        <v>224</v>
      </c>
      <c r="C126" s="5" t="s">
        <v>95</v>
      </c>
      <c r="D126" s="5" t="s">
        <v>16</v>
      </c>
      <c r="E126" s="5" t="n">
        <f aca="false">ROUND(4697*1.05,2)</f>
        <v>4931.85</v>
      </c>
      <c r="F126" s="5" t="s">
        <v>17</v>
      </c>
      <c r="G126" s="5" t="s">
        <v>18</v>
      </c>
      <c r="H126" s="5" t="n">
        <f aca="true">ROUND(RAND()*4+6,1)</f>
        <v>6</v>
      </c>
      <c r="I126" s="5" t="s">
        <v>19</v>
      </c>
      <c r="J126" s="5" t="str">
        <f aca="false">ROUND(68*1,0)&amp;"%"</f>
        <v>68%</v>
      </c>
    </row>
    <row r="127" customFormat="false" ht="15" hidden="false" customHeight="false" outlineLevel="0" collapsed="false">
      <c r="A127" s="6" t="s">
        <v>8534</v>
      </c>
      <c r="B127" s="6" t="s">
        <v>226</v>
      </c>
      <c r="C127" s="6" t="s">
        <v>95</v>
      </c>
      <c r="D127" s="6" t="s">
        <v>22</v>
      </c>
      <c r="E127" s="6" t="n">
        <f aca="false">ROUND(6351*1.05,2)</f>
        <v>6668.55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ROUND(80*1,0)&amp;"%"</f>
        <v>80%</v>
      </c>
    </row>
    <row r="128" customFormat="false" ht="15" hidden="false" customHeight="false" outlineLevel="0" collapsed="false">
      <c r="A128" s="5" t="s">
        <v>8535</v>
      </c>
      <c r="B128" s="5" t="s">
        <v>228</v>
      </c>
      <c r="C128" s="5" t="s">
        <v>95</v>
      </c>
      <c r="D128" s="5" t="s">
        <v>28</v>
      </c>
      <c r="E128" s="5" t="n">
        <f aca="false">ROUND(10603*1.05,2)</f>
        <v>11133.15</v>
      </c>
      <c r="F128" s="5" t="s">
        <v>29</v>
      </c>
      <c r="G128" s="5" t="s">
        <v>30</v>
      </c>
      <c r="H128" s="5" t="n">
        <f aca="true">ROUND(RAND()*4+6,1)</f>
        <v>10</v>
      </c>
      <c r="I128" s="5" t="s">
        <v>31</v>
      </c>
      <c r="J128" s="5" t="str">
        <f aca="false">ROUND(76*1,0)&amp;"%"</f>
        <v>76%</v>
      </c>
    </row>
    <row r="129" customFormat="false" ht="15" hidden="false" customHeight="false" outlineLevel="0" collapsed="false">
      <c r="A129" s="6" t="s">
        <v>8536</v>
      </c>
      <c r="B129" s="6" t="s">
        <v>230</v>
      </c>
      <c r="C129" s="6" t="s">
        <v>95</v>
      </c>
      <c r="D129" s="6" t="s">
        <v>34</v>
      </c>
      <c r="E129" s="6" t="n">
        <f aca="false">ROUND(9691*1.05,2)</f>
        <v>10175.55</v>
      </c>
      <c r="F129" s="6" t="s">
        <v>35</v>
      </c>
      <c r="G129" s="6" t="s">
        <v>18</v>
      </c>
      <c r="H129" s="6" t="n">
        <f aca="true">ROUND(RAND()*4+6,1)</f>
        <v>9.9</v>
      </c>
      <c r="I129" s="6" t="s">
        <v>36</v>
      </c>
      <c r="J129" s="6" t="str">
        <f aca="false">ROUND(75*1,0)&amp;"%"</f>
        <v>75%</v>
      </c>
    </row>
    <row r="130" customFormat="false" ht="15" hidden="false" customHeight="false" outlineLevel="0" collapsed="false">
      <c r="A130" s="5" t="s">
        <v>8537</v>
      </c>
      <c r="B130" s="5" t="s">
        <v>232</v>
      </c>
      <c r="C130" s="5" t="s">
        <v>95</v>
      </c>
      <c r="D130" s="5" t="s">
        <v>39</v>
      </c>
      <c r="E130" s="5" t="n">
        <f aca="false">ROUND(16300*1.05,2)</f>
        <v>17115</v>
      </c>
      <c r="F130" s="5" t="s">
        <v>40</v>
      </c>
      <c r="G130" s="5" t="s">
        <v>24</v>
      </c>
      <c r="H130" s="5" t="n">
        <f aca="true">ROUND(RAND()*4+6,1)</f>
        <v>8.1</v>
      </c>
      <c r="I130" s="5" t="s">
        <v>41</v>
      </c>
      <c r="J130" s="5" t="str">
        <f aca="false">ROUND(94*1,0)&amp;"%"</f>
        <v>94%</v>
      </c>
    </row>
    <row r="131" customFormat="false" ht="15" hidden="false" customHeight="false" outlineLevel="0" collapsed="false">
      <c r="A131" s="6" t="s">
        <v>8538</v>
      </c>
      <c r="B131" s="6" t="s">
        <v>234</v>
      </c>
      <c r="C131" s="6" t="s">
        <v>95</v>
      </c>
      <c r="D131" s="6" t="s">
        <v>44</v>
      </c>
      <c r="E131" s="6" t="n">
        <f aca="false">ROUND(7358*1.05,2)</f>
        <v>7725.9</v>
      </c>
      <c r="F131" s="6" t="s">
        <v>45</v>
      </c>
      <c r="G131" s="6" t="s">
        <v>30</v>
      </c>
      <c r="H131" s="6" t="n">
        <f aca="true">ROUND(RAND()*4+6,1)</f>
        <v>7.8</v>
      </c>
      <c r="I131" s="6" t="s">
        <v>46</v>
      </c>
      <c r="J131" s="6" t="str">
        <f aca="false">ROUND(69*1,0)&amp;"%"</f>
        <v>69%</v>
      </c>
    </row>
    <row r="132" customFormat="false" ht="15" hidden="false" customHeight="false" outlineLevel="0" collapsed="false">
      <c r="A132" s="5" t="s">
        <v>8539</v>
      </c>
      <c r="B132" s="5" t="s">
        <v>236</v>
      </c>
      <c r="C132" s="5" t="s">
        <v>95</v>
      </c>
      <c r="D132" s="5" t="s">
        <v>16</v>
      </c>
      <c r="E132" s="5" t="n">
        <f aca="false">ROUND(8312*1.05,2)</f>
        <v>8727.6</v>
      </c>
      <c r="F132" s="5" t="s">
        <v>49</v>
      </c>
      <c r="G132" s="5" t="s">
        <v>18</v>
      </c>
      <c r="H132" s="5" t="n">
        <f aca="true">ROUND(RAND()*4+6,1)</f>
        <v>9.6</v>
      </c>
      <c r="I132" s="5" t="s">
        <v>19</v>
      </c>
      <c r="J132" s="5" t="str">
        <f aca="false">ROUND(76*1,0)&amp;"%"</f>
        <v>76%</v>
      </c>
    </row>
    <row r="133" customFormat="false" ht="15" hidden="false" customHeight="false" outlineLevel="0" collapsed="false">
      <c r="A133" s="6" t="s">
        <v>8540</v>
      </c>
      <c r="B133" s="6" t="s">
        <v>238</v>
      </c>
      <c r="C133" s="6" t="s">
        <v>95</v>
      </c>
      <c r="D133" s="6" t="s">
        <v>22</v>
      </c>
      <c r="E133" s="6" t="n">
        <f aca="false">ROUND(6067*1.05,2)</f>
        <v>6370.35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ROUND(91*1,0)&amp;"%"</f>
        <v>91%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8541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8542</v>
      </c>
      <c r="B138" s="5" t="s">
        <v>242</v>
      </c>
      <c r="C138" s="5" t="s">
        <v>114</v>
      </c>
      <c r="D138" s="5" t="s">
        <v>16</v>
      </c>
      <c r="E138" s="5" t="n">
        <f aca="false">ROUND(14514*1.05,2)</f>
        <v>15239.7</v>
      </c>
      <c r="F138" s="5" t="s">
        <v>17</v>
      </c>
      <c r="G138" s="5" t="s">
        <v>18</v>
      </c>
      <c r="H138" s="5" t="n">
        <f aca="true">ROUND(RAND()*4+6,1)</f>
        <v>8.1</v>
      </c>
      <c r="I138" s="5" t="s">
        <v>19</v>
      </c>
      <c r="J138" s="5" t="str">
        <f aca="false">ROUND(86*1,0)&amp;"%"</f>
        <v>86%</v>
      </c>
    </row>
    <row r="139" customFormat="false" ht="15" hidden="false" customHeight="false" outlineLevel="0" collapsed="false">
      <c r="A139" s="6" t="s">
        <v>8543</v>
      </c>
      <c r="B139" s="6" t="s">
        <v>244</v>
      </c>
      <c r="C139" s="6" t="s">
        <v>114</v>
      </c>
      <c r="D139" s="6" t="s">
        <v>22</v>
      </c>
      <c r="E139" s="6" t="n">
        <f aca="false">ROUND(15709*1.05,2)</f>
        <v>16494.45</v>
      </c>
      <c r="F139" s="6" t="s">
        <v>23</v>
      </c>
      <c r="G139" s="6" t="s">
        <v>24</v>
      </c>
      <c r="H139" s="6" t="n">
        <f aca="true">ROUND(RAND()*4+6,1)</f>
        <v>6.6</v>
      </c>
      <c r="I139" s="6" t="s">
        <v>25</v>
      </c>
      <c r="J139" s="6" t="str">
        <f aca="false">ROUND(98*1,0)&amp;"%"</f>
        <v>98%</v>
      </c>
    </row>
    <row r="140" customFormat="false" ht="15" hidden="false" customHeight="false" outlineLevel="0" collapsed="false">
      <c r="A140" s="5" t="s">
        <v>8544</v>
      </c>
      <c r="B140" s="5" t="s">
        <v>246</v>
      </c>
      <c r="C140" s="5" t="s">
        <v>114</v>
      </c>
      <c r="D140" s="5" t="s">
        <v>28</v>
      </c>
      <c r="E140" s="5" t="n">
        <f aca="false">ROUND(12625*1.05,2)</f>
        <v>13256.25</v>
      </c>
      <c r="F140" s="5" t="s">
        <v>29</v>
      </c>
      <c r="G140" s="5" t="s">
        <v>30</v>
      </c>
      <c r="H140" s="5" t="n">
        <f aca="true">ROUND(RAND()*4+6,1)</f>
        <v>8</v>
      </c>
      <c r="I140" s="5" t="s">
        <v>31</v>
      </c>
      <c r="J140" s="5" t="str">
        <f aca="false">ROUND(97*1,0)&amp;"%"</f>
        <v>97%</v>
      </c>
    </row>
    <row r="141" customFormat="false" ht="15" hidden="false" customHeight="false" outlineLevel="0" collapsed="false">
      <c r="A141" s="6" t="s">
        <v>8545</v>
      </c>
      <c r="B141" s="6" t="s">
        <v>248</v>
      </c>
      <c r="C141" s="6" t="s">
        <v>114</v>
      </c>
      <c r="D141" s="6" t="s">
        <v>34</v>
      </c>
      <c r="E141" s="6" t="n">
        <f aca="false">ROUND(8243*1.05,2)</f>
        <v>8655.15</v>
      </c>
      <c r="F141" s="6" t="s">
        <v>35</v>
      </c>
      <c r="G141" s="6" t="s">
        <v>18</v>
      </c>
      <c r="H141" s="6" t="n">
        <f aca="true">ROUND(RAND()*4+6,1)</f>
        <v>7.3</v>
      </c>
      <c r="I141" s="6" t="s">
        <v>36</v>
      </c>
      <c r="J141" s="6" t="str">
        <f aca="false">ROUND(92*1,0)&amp;"%"</f>
        <v>92%</v>
      </c>
    </row>
    <row r="142" customFormat="false" ht="15" hidden="false" customHeight="false" outlineLevel="0" collapsed="false">
      <c r="A142" s="5" t="s">
        <v>8546</v>
      </c>
      <c r="B142" s="5" t="s">
        <v>250</v>
      </c>
      <c r="C142" s="5" t="s">
        <v>114</v>
      </c>
      <c r="D142" s="5" t="s">
        <v>39</v>
      </c>
      <c r="E142" s="5" t="n">
        <f aca="false">ROUND(10710*1.05,2)</f>
        <v>11245.5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ROUND(80*1,0)&amp;"%"</f>
        <v>80%</v>
      </c>
    </row>
    <row r="143" customFormat="false" ht="15" hidden="false" customHeight="false" outlineLevel="0" collapsed="false">
      <c r="A143" s="6" t="s">
        <v>8547</v>
      </c>
      <c r="B143" s="6" t="s">
        <v>252</v>
      </c>
      <c r="C143" s="6" t="s">
        <v>114</v>
      </c>
      <c r="D143" s="6" t="s">
        <v>44</v>
      </c>
      <c r="E143" s="6" t="n">
        <f aca="false">ROUND(16808*1.05,2)</f>
        <v>17648.4</v>
      </c>
      <c r="F143" s="6" t="s">
        <v>45</v>
      </c>
      <c r="G143" s="6" t="s">
        <v>30</v>
      </c>
      <c r="H143" s="6" t="n">
        <f aca="true">ROUND(RAND()*4+6,1)</f>
        <v>6</v>
      </c>
      <c r="I143" s="6" t="s">
        <v>46</v>
      </c>
      <c r="J143" s="6" t="str">
        <f aca="false">ROUND(97*1,0)&amp;"%"</f>
        <v>97%</v>
      </c>
    </row>
    <row r="144" customFormat="false" ht="15" hidden="false" customHeight="false" outlineLevel="0" collapsed="false">
      <c r="A144" s="5" t="s">
        <v>8548</v>
      </c>
      <c r="B144" s="5" t="s">
        <v>254</v>
      </c>
      <c r="C144" s="5" t="s">
        <v>114</v>
      </c>
      <c r="D144" s="5" t="s">
        <v>16</v>
      </c>
      <c r="E144" s="5" t="n">
        <f aca="false">ROUND(6186*1.05,2)</f>
        <v>6495.3</v>
      </c>
      <c r="F144" s="5" t="s">
        <v>49</v>
      </c>
      <c r="G144" s="5" t="s">
        <v>18</v>
      </c>
      <c r="H144" s="5" t="n">
        <f aca="true">ROUND(RAND()*4+6,1)</f>
        <v>7.3</v>
      </c>
      <c r="I144" s="5" t="s">
        <v>19</v>
      </c>
      <c r="J144" s="5" t="str">
        <f aca="false">ROUND(72*1,0)&amp;"%"</f>
        <v>72%</v>
      </c>
    </row>
    <row r="145" customFormat="false" ht="15" hidden="false" customHeight="false" outlineLevel="0" collapsed="false">
      <c r="A145" s="6" t="s">
        <v>8549</v>
      </c>
      <c r="B145" s="6" t="s">
        <v>256</v>
      </c>
      <c r="C145" s="6" t="s">
        <v>114</v>
      </c>
      <c r="D145" s="6" t="s">
        <v>22</v>
      </c>
      <c r="E145" s="6" t="n">
        <f aca="false">ROUND(14444*1.05,2)</f>
        <v>15166.2</v>
      </c>
      <c r="F145" s="6" t="s">
        <v>52</v>
      </c>
      <c r="G145" s="6" t="s">
        <v>24</v>
      </c>
      <c r="H145" s="6" t="n">
        <f aca="true">ROUND(RAND()*4+6,1)</f>
        <v>6.2</v>
      </c>
      <c r="I145" s="6" t="s">
        <v>25</v>
      </c>
      <c r="J145" s="6" t="str">
        <f aca="false">ROUND(70*1,0)&amp;"%"</f>
        <v>70%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8550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8551</v>
      </c>
      <c r="B150" s="5" t="s">
        <v>260</v>
      </c>
      <c r="C150" s="5" t="s">
        <v>133</v>
      </c>
      <c r="D150" s="5" t="s">
        <v>16</v>
      </c>
      <c r="E150" s="5" t="n">
        <f aca="false">ROUND(6358*1.05,2)</f>
        <v>6675.9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ROUND(98*1,0)&amp;"%"</f>
        <v>98%</v>
      </c>
    </row>
    <row r="151" customFormat="false" ht="15" hidden="false" customHeight="false" outlineLevel="0" collapsed="false">
      <c r="A151" s="6" t="s">
        <v>8552</v>
      </c>
      <c r="B151" s="6" t="s">
        <v>262</v>
      </c>
      <c r="C151" s="6" t="s">
        <v>133</v>
      </c>
      <c r="D151" s="6" t="s">
        <v>22</v>
      </c>
      <c r="E151" s="6" t="n">
        <f aca="false">ROUND(16153*1.05,2)</f>
        <v>16960.65</v>
      </c>
      <c r="F151" s="6" t="s">
        <v>23</v>
      </c>
      <c r="G151" s="6" t="s">
        <v>24</v>
      </c>
      <c r="H151" s="6" t="n">
        <f aca="true">ROUND(RAND()*4+6,1)</f>
        <v>8.7</v>
      </c>
      <c r="I151" s="6" t="s">
        <v>25</v>
      </c>
      <c r="J151" s="6" t="str">
        <f aca="false">ROUND(87*1,0)&amp;"%"</f>
        <v>87%</v>
      </c>
    </row>
    <row r="152" customFormat="false" ht="15" hidden="false" customHeight="false" outlineLevel="0" collapsed="false">
      <c r="A152" s="5" t="s">
        <v>8553</v>
      </c>
      <c r="B152" s="5" t="s">
        <v>264</v>
      </c>
      <c r="C152" s="5" t="s">
        <v>133</v>
      </c>
      <c r="D152" s="5" t="s">
        <v>28</v>
      </c>
      <c r="E152" s="5" t="n">
        <f aca="false">ROUND(15093*1.05,2)</f>
        <v>15847.65</v>
      </c>
      <c r="F152" s="5" t="s">
        <v>29</v>
      </c>
      <c r="G152" s="5" t="s">
        <v>30</v>
      </c>
      <c r="H152" s="5" t="n">
        <f aca="true">ROUND(RAND()*4+6,1)</f>
        <v>7.1</v>
      </c>
      <c r="I152" s="5" t="s">
        <v>31</v>
      </c>
      <c r="J152" s="5" t="str">
        <f aca="false">ROUND(78*1,0)&amp;"%"</f>
        <v>78%</v>
      </c>
    </row>
    <row r="153" customFormat="false" ht="15" hidden="false" customHeight="false" outlineLevel="0" collapsed="false">
      <c r="A153" s="6" t="s">
        <v>8554</v>
      </c>
      <c r="B153" s="6" t="s">
        <v>266</v>
      </c>
      <c r="C153" s="6" t="s">
        <v>133</v>
      </c>
      <c r="D153" s="6" t="s">
        <v>34</v>
      </c>
      <c r="E153" s="6" t="n">
        <f aca="false">ROUND(5057*1.05,2)</f>
        <v>5309.85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ROUND(70*1,0)&amp;"%"</f>
        <v>70%</v>
      </c>
    </row>
    <row r="154" customFormat="false" ht="15" hidden="false" customHeight="false" outlineLevel="0" collapsed="false">
      <c r="A154" s="5" t="s">
        <v>8555</v>
      </c>
      <c r="B154" s="5" t="s">
        <v>268</v>
      </c>
      <c r="C154" s="5" t="s">
        <v>133</v>
      </c>
      <c r="D154" s="5" t="s">
        <v>39</v>
      </c>
      <c r="E154" s="5" t="n">
        <f aca="false">ROUND(11473*1.05,2)</f>
        <v>12046.65</v>
      </c>
      <c r="F154" s="5" t="s">
        <v>40</v>
      </c>
      <c r="G154" s="5" t="s">
        <v>24</v>
      </c>
      <c r="H154" s="5" t="n">
        <f aca="true">ROUND(RAND()*4+6,1)</f>
        <v>6.9</v>
      </c>
      <c r="I154" s="5" t="s">
        <v>41</v>
      </c>
      <c r="J154" s="5" t="str">
        <f aca="false">ROUND(90*1,0)&amp;"%"</f>
        <v>90%</v>
      </c>
    </row>
    <row r="155" customFormat="false" ht="15" hidden="false" customHeight="false" outlineLevel="0" collapsed="false">
      <c r="A155" s="6" t="s">
        <v>8556</v>
      </c>
      <c r="B155" s="6" t="s">
        <v>270</v>
      </c>
      <c r="C155" s="6" t="s">
        <v>133</v>
      </c>
      <c r="D155" s="6" t="s">
        <v>44</v>
      </c>
      <c r="E155" s="6" t="n">
        <f aca="false">ROUND(12118*1.05,2)</f>
        <v>12723.9</v>
      </c>
      <c r="F155" s="6" t="s">
        <v>45</v>
      </c>
      <c r="G155" s="6" t="s">
        <v>30</v>
      </c>
      <c r="H155" s="6" t="n">
        <f aca="true">ROUND(RAND()*4+6,1)</f>
        <v>8.5</v>
      </c>
      <c r="I155" s="6" t="s">
        <v>46</v>
      </c>
      <c r="J155" s="6" t="str">
        <f aca="false">ROUND(83*1,0)&amp;"%"</f>
        <v>83%</v>
      </c>
    </row>
    <row r="156" customFormat="false" ht="15" hidden="false" customHeight="false" outlineLevel="0" collapsed="false">
      <c r="A156" s="5" t="s">
        <v>8557</v>
      </c>
      <c r="B156" s="5" t="s">
        <v>272</v>
      </c>
      <c r="C156" s="5" t="s">
        <v>133</v>
      </c>
      <c r="D156" s="5" t="s">
        <v>16</v>
      </c>
      <c r="E156" s="5" t="n">
        <f aca="false">ROUND(14545*1.05,2)</f>
        <v>15272.25</v>
      </c>
      <c r="F156" s="5" t="s">
        <v>49</v>
      </c>
      <c r="G156" s="5" t="s">
        <v>18</v>
      </c>
      <c r="H156" s="5" t="n">
        <f aca="true">ROUND(RAND()*4+6,1)</f>
        <v>10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8558</v>
      </c>
      <c r="B157" s="6" t="s">
        <v>274</v>
      </c>
      <c r="C157" s="6" t="s">
        <v>133</v>
      </c>
      <c r="D157" s="6" t="s">
        <v>22</v>
      </c>
      <c r="E157" s="6" t="n">
        <f aca="false">ROUND(12604*1.05,2)</f>
        <v>13234.2</v>
      </c>
      <c r="F157" s="6" t="s">
        <v>52</v>
      </c>
      <c r="G157" s="6" t="s">
        <v>24</v>
      </c>
      <c r="H157" s="6" t="n">
        <f aca="true">ROUND(RAND()*4+6,1)</f>
        <v>6.3</v>
      </c>
      <c r="I157" s="6" t="s">
        <v>25</v>
      </c>
      <c r="J157" s="6" t="str">
        <f aca="false">ROUND(78*1,0)&amp;"%"</f>
        <v>78%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8559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8560</v>
      </c>
      <c r="B162" s="5" t="s">
        <v>278</v>
      </c>
      <c r="C162" s="5" t="s">
        <v>152</v>
      </c>
      <c r="D162" s="5" t="s">
        <v>16</v>
      </c>
      <c r="E162" s="5" t="n">
        <f aca="false">ROUND(16652*1.05,2)</f>
        <v>17484.6</v>
      </c>
      <c r="F162" s="5" t="s">
        <v>17</v>
      </c>
      <c r="G162" s="5" t="s">
        <v>18</v>
      </c>
      <c r="H162" s="5" t="n">
        <f aca="true">ROUND(RAND()*4+6,1)</f>
        <v>9.6</v>
      </c>
      <c r="I162" s="5" t="s">
        <v>19</v>
      </c>
      <c r="J162" s="5" t="str">
        <f aca="false">ROUND(94*1,0)&amp;"%"</f>
        <v>94%</v>
      </c>
    </row>
    <row r="163" customFormat="false" ht="15" hidden="false" customHeight="false" outlineLevel="0" collapsed="false">
      <c r="A163" s="6" t="s">
        <v>8561</v>
      </c>
      <c r="B163" s="6" t="s">
        <v>280</v>
      </c>
      <c r="C163" s="6" t="s">
        <v>152</v>
      </c>
      <c r="D163" s="6" t="s">
        <v>22</v>
      </c>
      <c r="E163" s="6" t="n">
        <f aca="false">ROUND(12037*1.05,2)</f>
        <v>12638.85</v>
      </c>
      <c r="F163" s="6" t="s">
        <v>23</v>
      </c>
      <c r="G163" s="6" t="s">
        <v>24</v>
      </c>
      <c r="H163" s="6" t="n">
        <f aca="true">ROUND(RAND()*4+6,1)</f>
        <v>8.4</v>
      </c>
      <c r="I163" s="6" t="s">
        <v>25</v>
      </c>
      <c r="J163" s="6" t="str">
        <f aca="false">ROUND(73*1,0)&amp;"%"</f>
        <v>73%</v>
      </c>
    </row>
    <row r="164" customFormat="false" ht="15" hidden="false" customHeight="false" outlineLevel="0" collapsed="false">
      <c r="A164" s="5" t="s">
        <v>8562</v>
      </c>
      <c r="B164" s="5" t="s">
        <v>282</v>
      </c>
      <c r="C164" s="5" t="s">
        <v>152</v>
      </c>
      <c r="D164" s="5" t="s">
        <v>28</v>
      </c>
      <c r="E164" s="5" t="n">
        <f aca="false">ROUND(13158*1.05,2)</f>
        <v>13815.9</v>
      </c>
      <c r="F164" s="5" t="s">
        <v>29</v>
      </c>
      <c r="G164" s="5" t="s">
        <v>30</v>
      </c>
      <c r="H164" s="5" t="n">
        <f aca="true">ROUND(RAND()*4+6,1)</f>
        <v>9.2</v>
      </c>
      <c r="I164" s="5" t="s">
        <v>31</v>
      </c>
      <c r="J164" s="5" t="str">
        <f aca="false">ROUND(92*1,0)&amp;"%"</f>
        <v>92%</v>
      </c>
    </row>
    <row r="165" customFormat="false" ht="15" hidden="false" customHeight="false" outlineLevel="0" collapsed="false">
      <c r="A165" s="6" t="s">
        <v>8563</v>
      </c>
      <c r="B165" s="6" t="s">
        <v>284</v>
      </c>
      <c r="C165" s="6" t="s">
        <v>152</v>
      </c>
      <c r="D165" s="6" t="s">
        <v>34</v>
      </c>
      <c r="E165" s="6" t="n">
        <f aca="false">ROUND(9314*1.05,2)</f>
        <v>9779.7</v>
      </c>
      <c r="F165" s="6" t="s">
        <v>35</v>
      </c>
      <c r="G165" s="6" t="s">
        <v>18</v>
      </c>
      <c r="H165" s="6" t="n">
        <f aca="true">ROUND(RAND()*4+6,1)</f>
        <v>9.3</v>
      </c>
      <c r="I165" s="6" t="s">
        <v>36</v>
      </c>
      <c r="J165" s="6" t="str">
        <f aca="false">ROUND(92*1,0)&amp;"%"</f>
        <v>92%</v>
      </c>
    </row>
    <row r="166" customFormat="false" ht="15" hidden="false" customHeight="false" outlineLevel="0" collapsed="false">
      <c r="A166" s="5" t="s">
        <v>8564</v>
      </c>
      <c r="B166" s="5" t="s">
        <v>286</v>
      </c>
      <c r="C166" s="5" t="s">
        <v>152</v>
      </c>
      <c r="D166" s="5" t="s">
        <v>39</v>
      </c>
      <c r="E166" s="5" t="n">
        <f aca="false">ROUND(17150*1.05,2)</f>
        <v>18007.5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ROUND(78*1,0)&amp;"%"</f>
        <v>78%</v>
      </c>
    </row>
    <row r="167" customFormat="false" ht="15" hidden="false" customHeight="false" outlineLevel="0" collapsed="false">
      <c r="A167" s="6" t="s">
        <v>8565</v>
      </c>
      <c r="B167" s="6" t="s">
        <v>288</v>
      </c>
      <c r="C167" s="6" t="s">
        <v>152</v>
      </c>
      <c r="D167" s="6" t="s">
        <v>44</v>
      </c>
      <c r="E167" s="6" t="n">
        <f aca="false">ROUND(4488*1.05,2)</f>
        <v>4712.4</v>
      </c>
      <c r="F167" s="6" t="s">
        <v>45</v>
      </c>
      <c r="G167" s="6" t="s">
        <v>30</v>
      </c>
      <c r="H167" s="6" t="n">
        <f aca="true">ROUND(RAND()*4+6,1)</f>
        <v>7.7</v>
      </c>
      <c r="I167" s="6" t="s">
        <v>46</v>
      </c>
      <c r="J167" s="6" t="str">
        <f aca="false">ROUND(75*1,0)&amp;"%"</f>
        <v>75%</v>
      </c>
    </row>
    <row r="168" customFormat="false" ht="15" hidden="false" customHeight="false" outlineLevel="0" collapsed="false">
      <c r="A168" s="5" t="s">
        <v>8566</v>
      </c>
      <c r="B168" s="5" t="s">
        <v>290</v>
      </c>
      <c r="C168" s="5" t="s">
        <v>152</v>
      </c>
      <c r="D168" s="5" t="s">
        <v>16</v>
      </c>
      <c r="E168" s="5" t="n">
        <f aca="false">ROUND(7525*1.05,2)</f>
        <v>7901.25</v>
      </c>
      <c r="F168" s="5" t="s">
        <v>49</v>
      </c>
      <c r="G168" s="5" t="s">
        <v>18</v>
      </c>
      <c r="H168" s="5" t="n">
        <f aca="true">ROUND(RAND()*4+6,1)</f>
        <v>6.4</v>
      </c>
      <c r="I168" s="5" t="s">
        <v>19</v>
      </c>
      <c r="J168" s="5" t="str">
        <f aca="false">ROUND(73*1,0)&amp;"%"</f>
        <v>73%</v>
      </c>
    </row>
    <row r="169" customFormat="false" ht="15" hidden="false" customHeight="false" outlineLevel="0" collapsed="false">
      <c r="A169" s="6" t="s">
        <v>8567</v>
      </c>
      <c r="B169" s="6" t="s">
        <v>292</v>
      </c>
      <c r="C169" s="6" t="s">
        <v>152</v>
      </c>
      <c r="D169" s="6" t="s">
        <v>22</v>
      </c>
      <c r="E169" s="6" t="n">
        <f aca="false">ROUND(13802*1.05,2)</f>
        <v>14492.1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ROUND(93*1,0)&amp;"%"</f>
        <v>93%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8568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8569</v>
      </c>
      <c r="B174" s="5" t="s">
        <v>296</v>
      </c>
      <c r="C174" s="5" t="s">
        <v>15</v>
      </c>
      <c r="D174" s="5" t="s">
        <v>16</v>
      </c>
      <c r="E174" s="5" t="n">
        <f aca="false">ROUND(12122*1.05,2)</f>
        <v>12728.1</v>
      </c>
      <c r="F174" s="5" t="s">
        <v>17</v>
      </c>
      <c r="G174" s="5" t="s">
        <v>18</v>
      </c>
      <c r="H174" s="5" t="n">
        <f aca="true">ROUND(RAND()*4+6,1)</f>
        <v>8.4</v>
      </c>
      <c r="I174" s="5" t="s">
        <v>19</v>
      </c>
      <c r="J174" s="5" t="str">
        <f aca="false">ROUND(90*1,0)&amp;"%"</f>
        <v>90%</v>
      </c>
    </row>
    <row r="175" customFormat="false" ht="15" hidden="false" customHeight="false" outlineLevel="0" collapsed="false">
      <c r="A175" s="6" t="s">
        <v>8570</v>
      </c>
      <c r="B175" s="6" t="s">
        <v>298</v>
      </c>
      <c r="C175" s="6" t="s">
        <v>15</v>
      </c>
      <c r="D175" s="6" t="s">
        <v>22</v>
      </c>
      <c r="E175" s="6" t="n">
        <f aca="false">ROUND(10480*1.05,2)</f>
        <v>11004</v>
      </c>
      <c r="F175" s="6" t="s">
        <v>23</v>
      </c>
      <c r="G175" s="6" t="s">
        <v>24</v>
      </c>
      <c r="H175" s="6" t="n">
        <f aca="true">ROUND(RAND()*4+6,1)</f>
        <v>6.4</v>
      </c>
      <c r="I175" s="6" t="s">
        <v>25</v>
      </c>
      <c r="J175" s="6" t="str">
        <f aca="false">ROUND(79*1,0)&amp;"%"</f>
        <v>79%</v>
      </c>
    </row>
    <row r="176" customFormat="false" ht="15" hidden="false" customHeight="false" outlineLevel="0" collapsed="false">
      <c r="A176" s="5" t="s">
        <v>8571</v>
      </c>
      <c r="B176" s="5" t="s">
        <v>300</v>
      </c>
      <c r="C176" s="5" t="s">
        <v>15</v>
      </c>
      <c r="D176" s="5" t="s">
        <v>28</v>
      </c>
      <c r="E176" s="5" t="n">
        <f aca="false">ROUND(5398*1.05,2)</f>
        <v>5667.9</v>
      </c>
      <c r="F176" s="5" t="s">
        <v>29</v>
      </c>
      <c r="G176" s="5" t="s">
        <v>30</v>
      </c>
      <c r="H176" s="5" t="n">
        <f aca="true">ROUND(RAND()*4+6,1)</f>
        <v>8.7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8572</v>
      </c>
      <c r="B177" s="6" t="s">
        <v>302</v>
      </c>
      <c r="C177" s="6" t="s">
        <v>15</v>
      </c>
      <c r="D177" s="6" t="s">
        <v>34</v>
      </c>
      <c r="E177" s="6" t="n">
        <f aca="false">ROUND(5708*1.05,2)</f>
        <v>5993.4</v>
      </c>
      <c r="F177" s="6" t="s">
        <v>35</v>
      </c>
      <c r="G177" s="6" t="s">
        <v>18</v>
      </c>
      <c r="H177" s="6" t="n">
        <f aca="true">ROUND(RAND()*4+6,1)</f>
        <v>8.9</v>
      </c>
      <c r="I177" s="6" t="s">
        <v>36</v>
      </c>
      <c r="J177" s="6" t="str">
        <f aca="false">ROUND(88*1,0)&amp;"%"</f>
        <v>88%</v>
      </c>
    </row>
    <row r="178" customFormat="false" ht="15" hidden="false" customHeight="false" outlineLevel="0" collapsed="false">
      <c r="A178" s="5" t="s">
        <v>8573</v>
      </c>
      <c r="B178" s="5" t="s">
        <v>304</v>
      </c>
      <c r="C178" s="5" t="s">
        <v>15</v>
      </c>
      <c r="D178" s="5" t="s">
        <v>39</v>
      </c>
      <c r="E178" s="5" t="n">
        <f aca="false">ROUND(11730*1.05,2)</f>
        <v>12316.5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ROUND(99*1,0)&amp;"%"</f>
        <v>99%</v>
      </c>
    </row>
    <row r="179" customFormat="false" ht="15" hidden="false" customHeight="false" outlineLevel="0" collapsed="false">
      <c r="A179" s="6" t="s">
        <v>8574</v>
      </c>
      <c r="B179" s="6" t="s">
        <v>306</v>
      </c>
      <c r="C179" s="6" t="s">
        <v>15</v>
      </c>
      <c r="D179" s="6" t="s">
        <v>44</v>
      </c>
      <c r="E179" s="6" t="n">
        <f aca="false">ROUND(17681*1.05,2)</f>
        <v>18565.05</v>
      </c>
      <c r="F179" s="6" t="s">
        <v>45</v>
      </c>
      <c r="G179" s="6" t="s">
        <v>30</v>
      </c>
      <c r="H179" s="6" t="n">
        <f aca="true">ROUND(RAND()*4+6,1)</f>
        <v>6.6</v>
      </c>
      <c r="I179" s="6" t="s">
        <v>46</v>
      </c>
      <c r="J179" s="6" t="str">
        <f aca="false">ROUND(62*1,0)&amp;"%"</f>
        <v>62%</v>
      </c>
    </row>
    <row r="180" customFormat="false" ht="15" hidden="false" customHeight="false" outlineLevel="0" collapsed="false">
      <c r="A180" s="5" t="s">
        <v>8575</v>
      </c>
      <c r="B180" s="5" t="s">
        <v>308</v>
      </c>
      <c r="C180" s="5" t="s">
        <v>15</v>
      </c>
      <c r="D180" s="5" t="s">
        <v>16</v>
      </c>
      <c r="E180" s="5" t="n">
        <f aca="false">ROUND(15297*1.05,2)</f>
        <v>16061.85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ROUND(61*1,0)&amp;"%"</f>
        <v>61%</v>
      </c>
    </row>
    <row r="181" customFormat="false" ht="15" hidden="false" customHeight="false" outlineLevel="0" collapsed="false">
      <c r="A181" s="6" t="s">
        <v>8576</v>
      </c>
      <c r="B181" s="6" t="s">
        <v>310</v>
      </c>
      <c r="C181" s="6" t="s">
        <v>15</v>
      </c>
      <c r="D181" s="6" t="s">
        <v>22</v>
      </c>
      <c r="E181" s="6" t="n">
        <f aca="false">ROUND(5215*1.05,2)</f>
        <v>5475.75</v>
      </c>
      <c r="F181" s="6" t="s">
        <v>52</v>
      </c>
      <c r="G181" s="6" t="s">
        <v>24</v>
      </c>
      <c r="H181" s="6" t="n">
        <f aca="true">ROUND(RAND()*4+6,1)</f>
        <v>8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8577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8578</v>
      </c>
      <c r="B186" s="5" t="s">
        <v>314</v>
      </c>
      <c r="C186" s="5" t="s">
        <v>57</v>
      </c>
      <c r="D186" s="5" t="s">
        <v>16</v>
      </c>
      <c r="E186" s="5" t="n">
        <f aca="false">ROUND(11037*1.05,2)</f>
        <v>11588.85</v>
      </c>
      <c r="F186" s="5" t="s">
        <v>17</v>
      </c>
      <c r="G186" s="5" t="s">
        <v>18</v>
      </c>
      <c r="H186" s="5" t="n">
        <f aca="true">ROUND(RAND()*4+6,1)</f>
        <v>9.5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8579</v>
      </c>
      <c r="B187" s="6" t="s">
        <v>316</v>
      </c>
      <c r="C187" s="6" t="s">
        <v>57</v>
      </c>
      <c r="D187" s="6" t="s">
        <v>22</v>
      </c>
      <c r="E187" s="6" t="n">
        <f aca="false">ROUND(9003*1.05,2)</f>
        <v>9453.15</v>
      </c>
      <c r="F187" s="6" t="s">
        <v>23</v>
      </c>
      <c r="G187" s="6" t="s">
        <v>24</v>
      </c>
      <c r="H187" s="6" t="n">
        <f aca="true">ROUND(RAND()*4+6,1)</f>
        <v>7.4</v>
      </c>
      <c r="I187" s="6" t="s">
        <v>25</v>
      </c>
      <c r="J187" s="6" t="str">
        <f aca="false">ROUND(69*1,0)&amp;"%"</f>
        <v>69%</v>
      </c>
    </row>
    <row r="188" customFormat="false" ht="15" hidden="false" customHeight="false" outlineLevel="0" collapsed="false">
      <c r="A188" s="5" t="s">
        <v>8580</v>
      </c>
      <c r="B188" s="5" t="s">
        <v>318</v>
      </c>
      <c r="C188" s="5" t="s">
        <v>57</v>
      </c>
      <c r="D188" s="5" t="s">
        <v>28</v>
      </c>
      <c r="E188" s="5" t="n">
        <f aca="false">ROUND(17424*1.05,2)</f>
        <v>18295.2</v>
      </c>
      <c r="F188" s="5" t="s">
        <v>29</v>
      </c>
      <c r="G188" s="5" t="s">
        <v>30</v>
      </c>
      <c r="H188" s="5" t="n">
        <f aca="true">ROUND(RAND()*4+6,1)</f>
        <v>6.4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8581</v>
      </c>
      <c r="B189" s="6" t="s">
        <v>320</v>
      </c>
      <c r="C189" s="6" t="s">
        <v>57</v>
      </c>
      <c r="D189" s="6" t="s">
        <v>34</v>
      </c>
      <c r="E189" s="6" t="n">
        <f aca="false">ROUND(14577*1.05,2)</f>
        <v>15305.85</v>
      </c>
      <c r="F189" s="6" t="s">
        <v>35</v>
      </c>
      <c r="G189" s="6" t="s">
        <v>18</v>
      </c>
      <c r="H189" s="6" t="n">
        <f aca="true">ROUND(RAND()*4+6,1)</f>
        <v>8.4</v>
      </c>
      <c r="I189" s="6" t="s">
        <v>36</v>
      </c>
      <c r="J189" s="6" t="str">
        <f aca="false">ROUND(71*1,0)&amp;"%"</f>
        <v>71%</v>
      </c>
    </row>
    <row r="190" customFormat="false" ht="15" hidden="false" customHeight="false" outlineLevel="0" collapsed="false">
      <c r="A190" s="5" t="s">
        <v>8582</v>
      </c>
      <c r="B190" s="5" t="s">
        <v>322</v>
      </c>
      <c r="C190" s="5" t="s">
        <v>57</v>
      </c>
      <c r="D190" s="5" t="s">
        <v>39</v>
      </c>
      <c r="E190" s="5" t="n">
        <f aca="false">ROUND(10068*1.05,2)</f>
        <v>10571.4</v>
      </c>
      <c r="F190" s="5" t="s">
        <v>40</v>
      </c>
      <c r="G190" s="5" t="s">
        <v>24</v>
      </c>
      <c r="H190" s="5" t="n">
        <f aca="true">ROUND(RAND()*4+6,1)</f>
        <v>6.1</v>
      </c>
      <c r="I190" s="5" t="s">
        <v>41</v>
      </c>
      <c r="J190" s="5" t="str">
        <f aca="false">ROUND(93*1,0)&amp;"%"</f>
        <v>93%</v>
      </c>
    </row>
    <row r="191" customFormat="false" ht="15" hidden="false" customHeight="false" outlineLevel="0" collapsed="false">
      <c r="A191" s="6" t="s">
        <v>8583</v>
      </c>
      <c r="B191" s="6" t="s">
        <v>324</v>
      </c>
      <c r="C191" s="6" t="s">
        <v>57</v>
      </c>
      <c r="D191" s="6" t="s">
        <v>44</v>
      </c>
      <c r="E191" s="6" t="n">
        <f aca="false">ROUND(10750*1.05,2)</f>
        <v>11287.5</v>
      </c>
      <c r="F191" s="6" t="s">
        <v>45</v>
      </c>
      <c r="G191" s="6" t="s">
        <v>30</v>
      </c>
      <c r="H191" s="6" t="n">
        <f aca="true">ROUND(RAND()*4+6,1)</f>
        <v>8.6</v>
      </c>
      <c r="I191" s="6" t="s">
        <v>46</v>
      </c>
      <c r="J191" s="6" t="str">
        <f aca="false">ROUND(66*1,0)&amp;"%"</f>
        <v>66%</v>
      </c>
    </row>
    <row r="192" customFormat="false" ht="15" hidden="false" customHeight="false" outlineLevel="0" collapsed="false">
      <c r="A192" s="5" t="s">
        <v>8584</v>
      </c>
      <c r="B192" s="5" t="s">
        <v>326</v>
      </c>
      <c r="C192" s="5" t="s">
        <v>57</v>
      </c>
      <c r="D192" s="5" t="s">
        <v>16</v>
      </c>
      <c r="E192" s="5" t="n">
        <f aca="false">ROUND(9184*1.05,2)</f>
        <v>9643.2</v>
      </c>
      <c r="F192" s="5" t="s">
        <v>49</v>
      </c>
      <c r="G192" s="5" t="s">
        <v>18</v>
      </c>
      <c r="H192" s="5" t="n">
        <f aca="true">ROUND(RAND()*4+6,1)</f>
        <v>7.6</v>
      </c>
      <c r="I192" s="5" t="s">
        <v>19</v>
      </c>
      <c r="J192" s="5" t="str">
        <f aca="false">ROUND(71*1,0)&amp;"%"</f>
        <v>71%</v>
      </c>
    </row>
    <row r="193" customFormat="false" ht="15" hidden="false" customHeight="false" outlineLevel="0" collapsed="false">
      <c r="A193" s="6" t="s">
        <v>8585</v>
      </c>
      <c r="B193" s="6" t="s">
        <v>328</v>
      </c>
      <c r="C193" s="6" t="s">
        <v>57</v>
      </c>
      <c r="D193" s="6" t="s">
        <v>22</v>
      </c>
      <c r="E193" s="6" t="n">
        <f aca="false">ROUND(9159*1.05,2)</f>
        <v>9616.95</v>
      </c>
      <c r="F193" s="6" t="s">
        <v>52</v>
      </c>
      <c r="G193" s="6" t="s">
        <v>24</v>
      </c>
      <c r="H193" s="6" t="n">
        <f aca="true">ROUND(RAND()*4+6,1)</f>
        <v>7.4</v>
      </c>
      <c r="I193" s="6" t="s">
        <v>25</v>
      </c>
      <c r="J193" s="6" t="str">
        <f aca="false">ROUND(80*1,0)&amp;"%"</f>
        <v>80%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8586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8587</v>
      </c>
      <c r="B198" s="5" t="s">
        <v>332</v>
      </c>
      <c r="C198" s="5" t="s">
        <v>76</v>
      </c>
      <c r="D198" s="5" t="s">
        <v>16</v>
      </c>
      <c r="E198" s="5" t="n">
        <f aca="false">ROUND(10752*1.05,2)</f>
        <v>11289.6</v>
      </c>
      <c r="F198" s="5" t="s">
        <v>17</v>
      </c>
      <c r="G198" s="5" t="s">
        <v>18</v>
      </c>
      <c r="H198" s="5" t="n">
        <f aca="true">ROUND(RAND()*4+6,1)</f>
        <v>6</v>
      </c>
      <c r="I198" s="5" t="s">
        <v>19</v>
      </c>
      <c r="J198" s="5" t="str">
        <f aca="false">ROUND(64*1,0)&amp;"%"</f>
        <v>64%</v>
      </c>
    </row>
    <row r="199" customFormat="false" ht="15" hidden="false" customHeight="false" outlineLevel="0" collapsed="false">
      <c r="A199" s="6" t="s">
        <v>8588</v>
      </c>
      <c r="B199" s="6" t="s">
        <v>334</v>
      </c>
      <c r="C199" s="6" t="s">
        <v>76</v>
      </c>
      <c r="D199" s="6" t="s">
        <v>22</v>
      </c>
      <c r="E199" s="6" t="n">
        <f aca="false">ROUND(12839*1.05,2)</f>
        <v>13480.95</v>
      </c>
      <c r="F199" s="6" t="s">
        <v>23</v>
      </c>
      <c r="G199" s="6" t="s">
        <v>24</v>
      </c>
      <c r="H199" s="6" t="n">
        <f aca="true">ROUND(RAND()*4+6,1)</f>
        <v>6.7</v>
      </c>
      <c r="I199" s="6" t="s">
        <v>25</v>
      </c>
      <c r="J199" s="6" t="str">
        <f aca="false">ROUND(76*1,0)&amp;"%"</f>
        <v>76%</v>
      </c>
    </row>
    <row r="200" customFormat="false" ht="15" hidden="false" customHeight="false" outlineLevel="0" collapsed="false">
      <c r="A200" s="5" t="s">
        <v>8589</v>
      </c>
      <c r="B200" s="5" t="s">
        <v>336</v>
      </c>
      <c r="C200" s="5" t="s">
        <v>76</v>
      </c>
      <c r="D200" s="5" t="s">
        <v>28</v>
      </c>
      <c r="E200" s="5" t="n">
        <f aca="false">ROUND(15992*1.05,2)</f>
        <v>16791.6</v>
      </c>
      <c r="F200" s="5" t="s">
        <v>29</v>
      </c>
      <c r="G200" s="5" t="s">
        <v>30</v>
      </c>
      <c r="H200" s="5" t="n">
        <f aca="true">ROUND(RAND()*4+6,1)</f>
        <v>9.1</v>
      </c>
      <c r="I200" s="5" t="s">
        <v>31</v>
      </c>
      <c r="J200" s="5" t="str">
        <f aca="false">ROUND(66*1,0)&amp;"%"</f>
        <v>66%</v>
      </c>
    </row>
    <row r="201" customFormat="false" ht="15" hidden="false" customHeight="false" outlineLevel="0" collapsed="false">
      <c r="A201" s="6" t="s">
        <v>8590</v>
      </c>
      <c r="B201" s="6" t="s">
        <v>338</v>
      </c>
      <c r="C201" s="6" t="s">
        <v>76</v>
      </c>
      <c r="D201" s="6" t="s">
        <v>34</v>
      </c>
      <c r="E201" s="6" t="n">
        <f aca="false">ROUND(7488*1.05,2)</f>
        <v>7862.4</v>
      </c>
      <c r="F201" s="6" t="s">
        <v>35</v>
      </c>
      <c r="G201" s="6" t="s">
        <v>18</v>
      </c>
      <c r="H201" s="6" t="n">
        <f aca="true">ROUND(RAND()*4+6,1)</f>
        <v>8.4</v>
      </c>
      <c r="I201" s="6" t="s">
        <v>36</v>
      </c>
      <c r="J201" s="6" t="str">
        <f aca="false">ROUND(70*1,0)&amp;"%"</f>
        <v>70%</v>
      </c>
    </row>
    <row r="202" customFormat="false" ht="15" hidden="false" customHeight="false" outlineLevel="0" collapsed="false">
      <c r="A202" s="5" t="s">
        <v>8591</v>
      </c>
      <c r="B202" s="5" t="s">
        <v>340</v>
      </c>
      <c r="C202" s="5" t="s">
        <v>76</v>
      </c>
      <c r="D202" s="5" t="s">
        <v>39</v>
      </c>
      <c r="E202" s="5" t="n">
        <f aca="false">ROUND(8371*1.05,2)</f>
        <v>8789.55</v>
      </c>
      <c r="F202" s="5" t="s">
        <v>40</v>
      </c>
      <c r="G202" s="5" t="s">
        <v>24</v>
      </c>
      <c r="H202" s="5" t="n">
        <f aca="true">ROUND(RAND()*4+6,1)</f>
        <v>9.9</v>
      </c>
      <c r="I202" s="5" t="s">
        <v>41</v>
      </c>
      <c r="J202" s="5" t="str">
        <f aca="false">ROUND(90*1,0)&amp;"%"</f>
        <v>90%</v>
      </c>
    </row>
    <row r="203" customFormat="false" ht="15" hidden="false" customHeight="false" outlineLevel="0" collapsed="false">
      <c r="A203" s="6" t="s">
        <v>8592</v>
      </c>
      <c r="B203" s="6" t="s">
        <v>342</v>
      </c>
      <c r="C203" s="6" t="s">
        <v>76</v>
      </c>
      <c r="D203" s="6" t="s">
        <v>44</v>
      </c>
      <c r="E203" s="6" t="n">
        <f aca="false">ROUND(7242*1.05,2)</f>
        <v>7604.1</v>
      </c>
      <c r="F203" s="6" t="s">
        <v>45</v>
      </c>
      <c r="G203" s="6" t="s">
        <v>30</v>
      </c>
      <c r="H203" s="6" t="n">
        <f aca="true">ROUND(RAND()*4+6,1)</f>
        <v>9.5</v>
      </c>
      <c r="I203" s="6" t="s">
        <v>46</v>
      </c>
      <c r="J203" s="6" t="str">
        <f aca="false">ROUND(91*1,0)&amp;"%"</f>
        <v>91%</v>
      </c>
    </row>
    <row r="204" customFormat="false" ht="15" hidden="false" customHeight="false" outlineLevel="0" collapsed="false">
      <c r="A204" s="5" t="s">
        <v>8593</v>
      </c>
      <c r="B204" s="5" t="s">
        <v>344</v>
      </c>
      <c r="C204" s="5" t="s">
        <v>76</v>
      </c>
      <c r="D204" s="5" t="s">
        <v>16</v>
      </c>
      <c r="E204" s="5" t="n">
        <f aca="false">ROUND(8316*1.05,2)</f>
        <v>8731.8</v>
      </c>
      <c r="F204" s="5" t="s">
        <v>49</v>
      </c>
      <c r="G204" s="5" t="s">
        <v>18</v>
      </c>
      <c r="H204" s="5" t="n">
        <f aca="true">ROUND(RAND()*4+6,1)</f>
        <v>7.8</v>
      </c>
      <c r="I204" s="5" t="s">
        <v>19</v>
      </c>
      <c r="J204" s="5" t="str">
        <f aca="false">ROUND(97*1,0)&amp;"%"</f>
        <v>97%</v>
      </c>
    </row>
    <row r="205" customFormat="false" ht="15" hidden="false" customHeight="false" outlineLevel="0" collapsed="false">
      <c r="A205" s="6" t="s">
        <v>8594</v>
      </c>
      <c r="B205" s="6" t="s">
        <v>346</v>
      </c>
      <c r="C205" s="6" t="s">
        <v>76</v>
      </c>
      <c r="D205" s="6" t="s">
        <v>22</v>
      </c>
      <c r="E205" s="6" t="n">
        <f aca="false">ROUND(15658*1.05,2)</f>
        <v>16440.9</v>
      </c>
      <c r="F205" s="6" t="s">
        <v>52</v>
      </c>
      <c r="G205" s="6" t="s">
        <v>24</v>
      </c>
      <c r="H205" s="6" t="n">
        <f aca="true">ROUND(RAND()*4+6,1)</f>
        <v>8.4</v>
      </c>
      <c r="I205" s="6" t="s">
        <v>25</v>
      </c>
      <c r="J205" s="6" t="str">
        <f aca="false">ROUND(95*1,0)&amp;"%"</f>
        <v>95%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8595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8596</v>
      </c>
      <c r="B210" s="5" t="s">
        <v>350</v>
      </c>
      <c r="C210" s="5" t="s">
        <v>95</v>
      </c>
      <c r="D210" s="5" t="s">
        <v>16</v>
      </c>
      <c r="E210" s="5" t="n">
        <f aca="false">ROUND(17946*1.05,2)</f>
        <v>18843.3</v>
      </c>
      <c r="F210" s="5" t="s">
        <v>17</v>
      </c>
      <c r="G210" s="5" t="s">
        <v>18</v>
      </c>
      <c r="H210" s="5" t="n">
        <f aca="true">ROUND(RAND()*4+6,1)</f>
        <v>7.6</v>
      </c>
      <c r="I210" s="5" t="s">
        <v>19</v>
      </c>
      <c r="J210" s="5" t="str">
        <f aca="false">ROUND(85*1,0)&amp;"%"</f>
        <v>85%</v>
      </c>
    </row>
    <row r="211" customFormat="false" ht="15" hidden="false" customHeight="false" outlineLevel="0" collapsed="false">
      <c r="A211" s="6" t="s">
        <v>8597</v>
      </c>
      <c r="B211" s="6" t="s">
        <v>352</v>
      </c>
      <c r="C211" s="6" t="s">
        <v>95</v>
      </c>
      <c r="D211" s="6" t="s">
        <v>22</v>
      </c>
      <c r="E211" s="6" t="n">
        <f aca="false">ROUND(9182*1.05,2)</f>
        <v>9641.1</v>
      </c>
      <c r="F211" s="6" t="s">
        <v>23</v>
      </c>
      <c r="G211" s="6" t="s">
        <v>24</v>
      </c>
      <c r="H211" s="6" t="n">
        <f aca="true">ROUND(RAND()*4+6,1)</f>
        <v>6.9</v>
      </c>
      <c r="I211" s="6" t="s">
        <v>25</v>
      </c>
      <c r="J211" s="6" t="str">
        <f aca="false">ROUND(87*1,0)&amp;"%"</f>
        <v>87%</v>
      </c>
    </row>
    <row r="212" customFormat="false" ht="15" hidden="false" customHeight="false" outlineLevel="0" collapsed="false">
      <c r="A212" s="5" t="s">
        <v>8598</v>
      </c>
      <c r="B212" s="5" t="s">
        <v>354</v>
      </c>
      <c r="C212" s="5" t="s">
        <v>95</v>
      </c>
      <c r="D212" s="5" t="s">
        <v>28</v>
      </c>
      <c r="E212" s="5" t="n">
        <f aca="false">ROUND(7952*1.05,2)</f>
        <v>8349.6</v>
      </c>
      <c r="F212" s="5" t="s">
        <v>29</v>
      </c>
      <c r="G212" s="5" t="s">
        <v>30</v>
      </c>
      <c r="H212" s="5" t="n">
        <f aca="true">ROUND(RAND()*4+6,1)</f>
        <v>9.8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8599</v>
      </c>
      <c r="B213" s="6" t="s">
        <v>356</v>
      </c>
      <c r="C213" s="6" t="s">
        <v>95</v>
      </c>
      <c r="D213" s="6" t="s">
        <v>34</v>
      </c>
      <c r="E213" s="6" t="n">
        <f aca="false">ROUND(6105*1.05,2)</f>
        <v>6410.25</v>
      </c>
      <c r="F213" s="6" t="s">
        <v>35</v>
      </c>
      <c r="G213" s="6" t="s">
        <v>18</v>
      </c>
      <c r="H213" s="6" t="n">
        <f aca="true">ROUND(RAND()*4+6,1)</f>
        <v>8.3</v>
      </c>
      <c r="I213" s="6" t="s">
        <v>36</v>
      </c>
      <c r="J213" s="6" t="str">
        <f aca="false">ROUND(87*1,0)&amp;"%"</f>
        <v>87%</v>
      </c>
    </row>
    <row r="214" customFormat="false" ht="15" hidden="false" customHeight="false" outlineLevel="0" collapsed="false">
      <c r="A214" s="5" t="s">
        <v>8600</v>
      </c>
      <c r="B214" s="5" t="s">
        <v>358</v>
      </c>
      <c r="C214" s="5" t="s">
        <v>95</v>
      </c>
      <c r="D214" s="5" t="s">
        <v>39</v>
      </c>
      <c r="E214" s="5" t="n">
        <f aca="false">ROUND(7336*1.05,2)</f>
        <v>7702.8</v>
      </c>
      <c r="F214" s="5" t="s">
        <v>40</v>
      </c>
      <c r="G214" s="5" t="s">
        <v>24</v>
      </c>
      <c r="H214" s="5" t="n">
        <f aca="true">ROUND(RAND()*4+6,1)</f>
        <v>9.1</v>
      </c>
      <c r="I214" s="5" t="s">
        <v>41</v>
      </c>
      <c r="J214" s="5" t="str">
        <f aca="false">ROUND(87*1,0)&amp;"%"</f>
        <v>87%</v>
      </c>
    </row>
    <row r="215" customFormat="false" ht="15" hidden="false" customHeight="false" outlineLevel="0" collapsed="false">
      <c r="A215" s="6" t="s">
        <v>8601</v>
      </c>
      <c r="B215" s="6" t="s">
        <v>360</v>
      </c>
      <c r="C215" s="6" t="s">
        <v>95</v>
      </c>
      <c r="D215" s="6" t="s">
        <v>44</v>
      </c>
      <c r="E215" s="6" t="n">
        <f aca="false">ROUND(4055*1.05,2)</f>
        <v>4257.75</v>
      </c>
      <c r="F215" s="6" t="s">
        <v>45</v>
      </c>
      <c r="G215" s="6" t="s">
        <v>30</v>
      </c>
      <c r="H215" s="6" t="n">
        <f aca="true">ROUND(RAND()*4+6,1)</f>
        <v>8.1</v>
      </c>
      <c r="I215" s="6" t="s">
        <v>46</v>
      </c>
      <c r="J215" s="6" t="str">
        <f aca="false">ROUND(77*1,0)&amp;"%"</f>
        <v>77%</v>
      </c>
    </row>
    <row r="216" customFormat="false" ht="15" hidden="false" customHeight="false" outlineLevel="0" collapsed="false">
      <c r="A216" s="5" t="s">
        <v>8602</v>
      </c>
      <c r="B216" s="5" t="s">
        <v>362</v>
      </c>
      <c r="C216" s="5" t="s">
        <v>95</v>
      </c>
      <c r="D216" s="5" t="s">
        <v>16</v>
      </c>
      <c r="E216" s="5" t="n">
        <f aca="false">ROUND(10488*1.05,2)</f>
        <v>11012.4</v>
      </c>
      <c r="F216" s="5" t="s">
        <v>49</v>
      </c>
      <c r="G216" s="5" t="s">
        <v>18</v>
      </c>
      <c r="H216" s="5" t="n">
        <f aca="true">ROUND(RAND()*4+6,1)</f>
        <v>6.8</v>
      </c>
      <c r="I216" s="5" t="s">
        <v>19</v>
      </c>
      <c r="J216" s="5" t="str">
        <f aca="false">ROUND(74*1,0)&amp;"%"</f>
        <v>74%</v>
      </c>
    </row>
    <row r="217" customFormat="false" ht="15" hidden="false" customHeight="false" outlineLevel="0" collapsed="false">
      <c r="A217" s="6" t="s">
        <v>8603</v>
      </c>
      <c r="B217" s="6" t="s">
        <v>364</v>
      </c>
      <c r="C217" s="6" t="s">
        <v>95</v>
      </c>
      <c r="D217" s="6" t="s">
        <v>22</v>
      </c>
      <c r="E217" s="6" t="n">
        <f aca="false">ROUND(7802*1.05,2)</f>
        <v>8192.1</v>
      </c>
      <c r="F217" s="6" t="s">
        <v>52</v>
      </c>
      <c r="G217" s="6" t="s">
        <v>24</v>
      </c>
      <c r="H217" s="6" t="n">
        <f aca="true">ROUND(RAND()*4+6,1)</f>
        <v>6.5</v>
      </c>
      <c r="I217" s="6" t="s">
        <v>25</v>
      </c>
      <c r="J217" s="6" t="str">
        <f aca="false">ROUND(95*1,0)&amp;"%"</f>
        <v>95%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8604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8605</v>
      </c>
      <c r="B222" s="5" t="s">
        <v>368</v>
      </c>
      <c r="C222" s="5" t="s">
        <v>114</v>
      </c>
      <c r="D222" s="5" t="s">
        <v>16</v>
      </c>
      <c r="E222" s="5" t="n">
        <f aca="false">ROUND(8246*1.05,2)</f>
        <v>8658.3</v>
      </c>
      <c r="F222" s="5" t="s">
        <v>17</v>
      </c>
      <c r="G222" s="5" t="s">
        <v>18</v>
      </c>
      <c r="H222" s="5" t="n">
        <f aca="true">ROUND(RAND()*4+6,1)</f>
        <v>8.2</v>
      </c>
      <c r="I222" s="5" t="s">
        <v>19</v>
      </c>
      <c r="J222" s="5" t="str">
        <f aca="false">ROUND(97*1,0)&amp;"%"</f>
        <v>97%</v>
      </c>
    </row>
    <row r="223" customFormat="false" ht="15" hidden="false" customHeight="false" outlineLevel="0" collapsed="false">
      <c r="A223" s="6" t="s">
        <v>8606</v>
      </c>
      <c r="B223" s="6" t="s">
        <v>370</v>
      </c>
      <c r="C223" s="6" t="s">
        <v>114</v>
      </c>
      <c r="D223" s="6" t="s">
        <v>22</v>
      </c>
      <c r="E223" s="6" t="n">
        <f aca="false">ROUND(9970*1.05,2)</f>
        <v>10468.5</v>
      </c>
      <c r="F223" s="6" t="s">
        <v>23</v>
      </c>
      <c r="G223" s="6" t="s">
        <v>24</v>
      </c>
      <c r="H223" s="6" t="n">
        <f aca="true">ROUND(RAND()*4+6,1)</f>
        <v>8.8</v>
      </c>
      <c r="I223" s="6" t="s">
        <v>25</v>
      </c>
      <c r="J223" s="6" t="str">
        <f aca="false">ROUND(89*1,0)&amp;"%"</f>
        <v>89%</v>
      </c>
    </row>
    <row r="224" customFormat="false" ht="15" hidden="false" customHeight="false" outlineLevel="0" collapsed="false">
      <c r="A224" s="5" t="s">
        <v>8607</v>
      </c>
      <c r="B224" s="5" t="s">
        <v>372</v>
      </c>
      <c r="C224" s="5" t="s">
        <v>114</v>
      </c>
      <c r="D224" s="5" t="s">
        <v>28</v>
      </c>
      <c r="E224" s="5" t="n">
        <f aca="false">ROUND(6942*1.05,2)</f>
        <v>7289.1</v>
      </c>
      <c r="F224" s="5" t="s">
        <v>29</v>
      </c>
      <c r="G224" s="5" t="s">
        <v>30</v>
      </c>
      <c r="H224" s="5" t="n">
        <f aca="true">ROUND(RAND()*4+6,1)</f>
        <v>8.7</v>
      </c>
      <c r="I224" s="5" t="s">
        <v>31</v>
      </c>
      <c r="J224" s="5" t="str">
        <f aca="false">ROUND(83*1,0)&amp;"%"</f>
        <v>83%</v>
      </c>
    </row>
    <row r="225" customFormat="false" ht="15" hidden="false" customHeight="false" outlineLevel="0" collapsed="false">
      <c r="A225" s="6" t="s">
        <v>8608</v>
      </c>
      <c r="B225" s="6" t="s">
        <v>374</v>
      </c>
      <c r="C225" s="6" t="s">
        <v>114</v>
      </c>
      <c r="D225" s="6" t="s">
        <v>34</v>
      </c>
      <c r="E225" s="6" t="n">
        <f aca="false">ROUND(6444*1.05,2)</f>
        <v>6766.2</v>
      </c>
      <c r="F225" s="6" t="s">
        <v>35</v>
      </c>
      <c r="G225" s="6" t="s">
        <v>18</v>
      </c>
      <c r="H225" s="6" t="n">
        <f aca="true">ROUND(RAND()*4+6,1)</f>
        <v>6.7</v>
      </c>
      <c r="I225" s="6" t="s">
        <v>36</v>
      </c>
      <c r="J225" s="6" t="str">
        <f aca="false">ROUND(63*1,0)&amp;"%"</f>
        <v>63%</v>
      </c>
    </row>
    <row r="226" customFormat="false" ht="15" hidden="false" customHeight="false" outlineLevel="0" collapsed="false">
      <c r="A226" s="5" t="s">
        <v>8609</v>
      </c>
      <c r="B226" s="5" t="s">
        <v>376</v>
      </c>
      <c r="C226" s="5" t="s">
        <v>114</v>
      </c>
      <c r="D226" s="5" t="s">
        <v>39</v>
      </c>
      <c r="E226" s="5" t="n">
        <f aca="false">ROUND(12990*1.05,2)</f>
        <v>13639.5</v>
      </c>
      <c r="F226" s="5" t="s">
        <v>40</v>
      </c>
      <c r="G226" s="5" t="s">
        <v>24</v>
      </c>
      <c r="H226" s="5" t="n">
        <f aca="true">ROUND(RAND()*4+6,1)</f>
        <v>7.1</v>
      </c>
      <c r="I226" s="5" t="s">
        <v>41</v>
      </c>
      <c r="J226" s="5" t="str">
        <f aca="false">ROUND(70*1,0)&amp;"%"</f>
        <v>70%</v>
      </c>
    </row>
    <row r="227" customFormat="false" ht="15" hidden="false" customHeight="false" outlineLevel="0" collapsed="false">
      <c r="A227" s="6" t="s">
        <v>8610</v>
      </c>
      <c r="B227" s="6" t="s">
        <v>378</v>
      </c>
      <c r="C227" s="6" t="s">
        <v>114</v>
      </c>
      <c r="D227" s="6" t="s">
        <v>44</v>
      </c>
      <c r="E227" s="6" t="n">
        <f aca="false">ROUND(13931*1.05,2)</f>
        <v>14627.55</v>
      </c>
      <c r="F227" s="6" t="s">
        <v>45</v>
      </c>
      <c r="G227" s="6" t="s">
        <v>30</v>
      </c>
      <c r="H227" s="6" t="n">
        <f aca="true">ROUND(RAND()*4+6,1)</f>
        <v>9.4</v>
      </c>
      <c r="I227" s="6" t="s">
        <v>46</v>
      </c>
      <c r="J227" s="6" t="str">
        <f aca="false">ROUND(90*1,0)&amp;"%"</f>
        <v>90%</v>
      </c>
    </row>
    <row r="228" customFormat="false" ht="15" hidden="false" customHeight="false" outlineLevel="0" collapsed="false">
      <c r="A228" s="5" t="s">
        <v>8611</v>
      </c>
      <c r="B228" s="5" t="s">
        <v>380</v>
      </c>
      <c r="C228" s="5" t="s">
        <v>114</v>
      </c>
      <c r="D228" s="5" t="s">
        <v>16</v>
      </c>
      <c r="E228" s="5" t="n">
        <f aca="false">ROUND(14568*1.05,2)</f>
        <v>15296.4</v>
      </c>
      <c r="F228" s="5" t="s">
        <v>49</v>
      </c>
      <c r="G228" s="5" t="s">
        <v>18</v>
      </c>
      <c r="H228" s="5" t="n">
        <f aca="true">ROUND(RAND()*4+6,1)</f>
        <v>7.3</v>
      </c>
      <c r="I228" s="5" t="s">
        <v>19</v>
      </c>
      <c r="J228" s="5" t="str">
        <f aca="false">ROUND(83*1,0)&amp;"%"</f>
        <v>83%</v>
      </c>
    </row>
    <row r="229" customFormat="false" ht="15" hidden="false" customHeight="false" outlineLevel="0" collapsed="false">
      <c r="A229" s="6" t="s">
        <v>8612</v>
      </c>
      <c r="B229" s="6" t="s">
        <v>382</v>
      </c>
      <c r="C229" s="6" t="s">
        <v>114</v>
      </c>
      <c r="D229" s="6" t="s">
        <v>22</v>
      </c>
      <c r="E229" s="6" t="n">
        <f aca="false">ROUND(17199*1.05,2)</f>
        <v>18058.95</v>
      </c>
      <c r="F229" s="6" t="s">
        <v>52</v>
      </c>
      <c r="G229" s="6" t="s">
        <v>24</v>
      </c>
      <c r="H229" s="6" t="n">
        <f aca="true">ROUND(RAND()*4+6,1)</f>
        <v>7.2</v>
      </c>
      <c r="I229" s="6" t="s">
        <v>25</v>
      </c>
      <c r="J229" s="6" t="str">
        <f aca="false">ROUND(60*1,0)&amp;"%"</f>
        <v>60%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8613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8614</v>
      </c>
      <c r="B234" s="5" t="s">
        <v>386</v>
      </c>
      <c r="C234" s="5" t="s">
        <v>133</v>
      </c>
      <c r="D234" s="5" t="s">
        <v>16</v>
      </c>
      <c r="E234" s="5" t="n">
        <f aca="false">ROUND(13684*1.05,2)</f>
        <v>14368.2</v>
      </c>
      <c r="F234" s="5" t="s">
        <v>17</v>
      </c>
      <c r="G234" s="5" t="s">
        <v>18</v>
      </c>
      <c r="H234" s="5" t="n">
        <f aca="true">ROUND(RAND()*4+6,1)</f>
        <v>6.8</v>
      </c>
      <c r="I234" s="5" t="s">
        <v>19</v>
      </c>
      <c r="J234" s="5" t="str">
        <f aca="false">ROUND(95*1,0)&amp;"%"</f>
        <v>95%</v>
      </c>
    </row>
    <row r="235" customFormat="false" ht="15" hidden="false" customHeight="false" outlineLevel="0" collapsed="false">
      <c r="A235" s="6" t="s">
        <v>8615</v>
      </c>
      <c r="B235" s="6" t="s">
        <v>388</v>
      </c>
      <c r="C235" s="6" t="s">
        <v>133</v>
      </c>
      <c r="D235" s="6" t="s">
        <v>22</v>
      </c>
      <c r="E235" s="6" t="n">
        <f aca="false">ROUND(12478*1.05,2)</f>
        <v>13101.9</v>
      </c>
      <c r="F235" s="6" t="s">
        <v>23</v>
      </c>
      <c r="G235" s="6" t="s">
        <v>24</v>
      </c>
      <c r="H235" s="6" t="n">
        <f aca="true">ROUND(RAND()*4+6,1)</f>
        <v>6.4</v>
      </c>
      <c r="I235" s="6" t="s">
        <v>25</v>
      </c>
      <c r="J235" s="6" t="str">
        <f aca="false">ROUND(78*1,0)&amp;"%"</f>
        <v>78%</v>
      </c>
    </row>
    <row r="236" customFormat="false" ht="15" hidden="false" customHeight="false" outlineLevel="0" collapsed="false">
      <c r="A236" s="5" t="s">
        <v>8616</v>
      </c>
      <c r="B236" s="5" t="s">
        <v>390</v>
      </c>
      <c r="C236" s="5" t="s">
        <v>133</v>
      </c>
      <c r="D236" s="5" t="s">
        <v>28</v>
      </c>
      <c r="E236" s="5" t="n">
        <f aca="false">ROUND(4781*1.05,2)</f>
        <v>5020.05</v>
      </c>
      <c r="F236" s="5" t="s">
        <v>29</v>
      </c>
      <c r="G236" s="5" t="s">
        <v>30</v>
      </c>
      <c r="H236" s="5" t="n">
        <f aca="true">ROUND(RAND()*4+6,1)</f>
        <v>7.8</v>
      </c>
      <c r="I236" s="5" t="s">
        <v>31</v>
      </c>
      <c r="J236" s="5" t="str">
        <f aca="false">ROUND(67*1,0)&amp;"%"</f>
        <v>67%</v>
      </c>
    </row>
    <row r="237" customFormat="false" ht="15" hidden="false" customHeight="false" outlineLevel="0" collapsed="false">
      <c r="A237" s="6" t="s">
        <v>8617</v>
      </c>
      <c r="B237" s="6" t="s">
        <v>392</v>
      </c>
      <c r="C237" s="6" t="s">
        <v>133</v>
      </c>
      <c r="D237" s="6" t="s">
        <v>34</v>
      </c>
      <c r="E237" s="6" t="n">
        <f aca="false">ROUND(6512*1.05,2)</f>
        <v>6837.6</v>
      </c>
      <c r="F237" s="6" t="s">
        <v>35</v>
      </c>
      <c r="G237" s="6" t="s">
        <v>18</v>
      </c>
      <c r="H237" s="6" t="n">
        <f aca="true">ROUND(RAND()*4+6,1)</f>
        <v>7.6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8618</v>
      </c>
      <c r="B238" s="5" t="s">
        <v>394</v>
      </c>
      <c r="C238" s="5" t="s">
        <v>133</v>
      </c>
      <c r="D238" s="5" t="s">
        <v>39</v>
      </c>
      <c r="E238" s="5" t="n">
        <f aca="false">ROUND(7227*1.05,2)</f>
        <v>7588.35</v>
      </c>
      <c r="F238" s="5" t="s">
        <v>40</v>
      </c>
      <c r="G238" s="5" t="s">
        <v>24</v>
      </c>
      <c r="H238" s="5" t="n">
        <f aca="true">ROUND(RAND()*4+6,1)</f>
        <v>8.6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8619</v>
      </c>
      <c r="B239" s="6" t="s">
        <v>396</v>
      </c>
      <c r="C239" s="6" t="s">
        <v>133</v>
      </c>
      <c r="D239" s="6" t="s">
        <v>44</v>
      </c>
      <c r="E239" s="6" t="n">
        <f aca="false">ROUND(9495*1.05,2)</f>
        <v>9969.75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ROUND(71*1,0)&amp;"%"</f>
        <v>71%</v>
      </c>
    </row>
    <row r="240" customFormat="false" ht="15" hidden="false" customHeight="false" outlineLevel="0" collapsed="false">
      <c r="A240" s="5" t="s">
        <v>8620</v>
      </c>
      <c r="B240" s="5" t="s">
        <v>398</v>
      </c>
      <c r="C240" s="5" t="s">
        <v>133</v>
      </c>
      <c r="D240" s="5" t="s">
        <v>16</v>
      </c>
      <c r="E240" s="5" t="n">
        <f aca="false">ROUND(5464*1.05,2)</f>
        <v>5737.2</v>
      </c>
      <c r="F240" s="5" t="s">
        <v>49</v>
      </c>
      <c r="G240" s="5" t="s">
        <v>18</v>
      </c>
      <c r="H240" s="5" t="n">
        <f aca="true">ROUND(RAND()*4+6,1)</f>
        <v>7.5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8621</v>
      </c>
      <c r="B241" s="6" t="s">
        <v>400</v>
      </c>
      <c r="C241" s="6" t="s">
        <v>133</v>
      </c>
      <c r="D241" s="6" t="s">
        <v>22</v>
      </c>
      <c r="E241" s="6" t="n">
        <f aca="false">ROUND(5241*1.05,2)</f>
        <v>5503.05</v>
      </c>
      <c r="F241" s="6" t="s">
        <v>52</v>
      </c>
      <c r="G241" s="6" t="s">
        <v>24</v>
      </c>
      <c r="H241" s="6" t="n">
        <f aca="true">ROUND(RAND()*4+6,1)</f>
        <v>7.8</v>
      </c>
      <c r="I241" s="6" t="s">
        <v>25</v>
      </c>
      <c r="J241" s="6" t="str">
        <f aca="false">ROUND(61*1,0)&amp;"%"</f>
        <v>61%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8622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8623</v>
      </c>
      <c r="B246" s="5" t="s">
        <v>404</v>
      </c>
      <c r="C246" s="5" t="s">
        <v>152</v>
      </c>
      <c r="D246" s="5" t="s">
        <v>16</v>
      </c>
      <c r="E246" s="5" t="n">
        <f aca="false">ROUND(12366*1.05,2)</f>
        <v>12984.3</v>
      </c>
      <c r="F246" s="5" t="s">
        <v>17</v>
      </c>
      <c r="G246" s="5" t="s">
        <v>18</v>
      </c>
      <c r="H246" s="5" t="n">
        <f aca="true">ROUND(RAND()*4+6,1)</f>
        <v>9.4</v>
      </c>
      <c r="I246" s="5" t="s">
        <v>19</v>
      </c>
      <c r="J246" s="5" t="str">
        <f aca="false">ROUND(66*1,0)&amp;"%"</f>
        <v>66%</v>
      </c>
    </row>
    <row r="247" customFormat="false" ht="15" hidden="false" customHeight="false" outlineLevel="0" collapsed="false">
      <c r="A247" s="6" t="s">
        <v>8624</v>
      </c>
      <c r="B247" s="6" t="s">
        <v>406</v>
      </c>
      <c r="C247" s="6" t="s">
        <v>152</v>
      </c>
      <c r="D247" s="6" t="s">
        <v>22</v>
      </c>
      <c r="E247" s="6" t="n">
        <f aca="false">ROUND(9674*1.05,2)</f>
        <v>10157.7</v>
      </c>
      <c r="F247" s="6" t="s">
        <v>23</v>
      </c>
      <c r="G247" s="6" t="s">
        <v>24</v>
      </c>
      <c r="H247" s="6" t="n">
        <f aca="true">ROUND(RAND()*4+6,1)</f>
        <v>7</v>
      </c>
      <c r="I247" s="6" t="s">
        <v>25</v>
      </c>
      <c r="J247" s="6" t="str">
        <f aca="false">ROUND(100*1,0)&amp;"%"</f>
        <v>100%</v>
      </c>
    </row>
    <row r="248" customFormat="false" ht="15" hidden="false" customHeight="false" outlineLevel="0" collapsed="false">
      <c r="A248" s="5" t="s">
        <v>8625</v>
      </c>
      <c r="B248" s="5" t="s">
        <v>408</v>
      </c>
      <c r="C248" s="5" t="s">
        <v>152</v>
      </c>
      <c r="D248" s="5" t="s">
        <v>28</v>
      </c>
      <c r="E248" s="5" t="n">
        <f aca="false">ROUND(13222*1.05,2)</f>
        <v>13883.1</v>
      </c>
      <c r="F248" s="5" t="s">
        <v>29</v>
      </c>
      <c r="G248" s="5" t="s">
        <v>30</v>
      </c>
      <c r="H248" s="5" t="n">
        <f aca="true">ROUND(RAND()*4+6,1)</f>
        <v>6.9</v>
      </c>
      <c r="I248" s="5" t="s">
        <v>31</v>
      </c>
      <c r="J248" s="5" t="str">
        <f aca="false">ROUND(79*1,0)&amp;"%"</f>
        <v>79%</v>
      </c>
    </row>
    <row r="249" customFormat="false" ht="15" hidden="false" customHeight="false" outlineLevel="0" collapsed="false">
      <c r="A249" s="6" t="s">
        <v>8626</v>
      </c>
      <c r="B249" s="6" t="s">
        <v>410</v>
      </c>
      <c r="C249" s="6" t="s">
        <v>152</v>
      </c>
      <c r="D249" s="6" t="s">
        <v>34</v>
      </c>
      <c r="E249" s="6" t="n">
        <f aca="false">ROUND(17571*1.05,2)</f>
        <v>18449.55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ROUND(65*1,0)&amp;"%"</f>
        <v>65%</v>
      </c>
    </row>
    <row r="250" customFormat="false" ht="15" hidden="false" customHeight="false" outlineLevel="0" collapsed="false">
      <c r="A250" s="5" t="s">
        <v>8627</v>
      </c>
      <c r="B250" s="5" t="s">
        <v>412</v>
      </c>
      <c r="C250" s="5" t="s">
        <v>152</v>
      </c>
      <c r="D250" s="5" t="s">
        <v>39</v>
      </c>
      <c r="E250" s="5" t="n">
        <f aca="false">ROUND(10567*1.05,2)</f>
        <v>11095.35</v>
      </c>
      <c r="F250" s="5" t="s">
        <v>40</v>
      </c>
      <c r="G250" s="5" t="s">
        <v>24</v>
      </c>
      <c r="H250" s="5" t="n">
        <f aca="true">ROUND(RAND()*4+6,1)</f>
        <v>8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8628</v>
      </c>
      <c r="B251" s="6" t="s">
        <v>414</v>
      </c>
      <c r="C251" s="6" t="s">
        <v>152</v>
      </c>
      <c r="D251" s="6" t="s">
        <v>44</v>
      </c>
      <c r="E251" s="6" t="n">
        <f aca="false">ROUND(15273*1.05,2)</f>
        <v>16036.65</v>
      </c>
      <c r="F251" s="6" t="s">
        <v>45</v>
      </c>
      <c r="G251" s="6" t="s">
        <v>30</v>
      </c>
      <c r="H251" s="6" t="n">
        <f aca="true">ROUND(RAND()*4+6,1)</f>
        <v>8.1</v>
      </c>
      <c r="I251" s="6" t="s">
        <v>46</v>
      </c>
      <c r="J251" s="6" t="str">
        <f aca="false">ROUND(60*1,0)&amp;"%"</f>
        <v>60%</v>
      </c>
    </row>
    <row r="252" customFormat="false" ht="15" hidden="false" customHeight="false" outlineLevel="0" collapsed="false">
      <c r="A252" s="5" t="s">
        <v>8629</v>
      </c>
      <c r="B252" s="5" t="s">
        <v>416</v>
      </c>
      <c r="C252" s="5" t="s">
        <v>152</v>
      </c>
      <c r="D252" s="5" t="s">
        <v>16</v>
      </c>
      <c r="E252" s="5" t="n">
        <f aca="false">ROUND(13330*1.05,2)</f>
        <v>13996.5</v>
      </c>
      <c r="F252" s="5" t="s">
        <v>49</v>
      </c>
      <c r="G252" s="5" t="s">
        <v>18</v>
      </c>
      <c r="H252" s="5" t="n">
        <f aca="true">ROUND(RAND()*4+6,1)</f>
        <v>9</v>
      </c>
      <c r="I252" s="5" t="s">
        <v>19</v>
      </c>
      <c r="J252" s="5" t="str">
        <f aca="false">ROUND(72*1,0)&amp;"%"</f>
        <v>72%</v>
      </c>
    </row>
    <row r="253" customFormat="false" ht="15" hidden="false" customHeight="false" outlineLevel="0" collapsed="false">
      <c r="A253" s="6" t="s">
        <v>8630</v>
      </c>
      <c r="B253" s="6" t="s">
        <v>418</v>
      </c>
      <c r="C253" s="6" t="s">
        <v>152</v>
      </c>
      <c r="D253" s="6" t="s">
        <v>22</v>
      </c>
      <c r="E253" s="6" t="n">
        <f aca="false">ROUND(11630*1.05,2)</f>
        <v>12211.5</v>
      </c>
      <c r="F253" s="6" t="s">
        <v>52</v>
      </c>
      <c r="G253" s="6" t="s">
        <v>24</v>
      </c>
      <c r="H253" s="6" t="n">
        <f aca="true">ROUND(RAND()*4+6,1)</f>
        <v>6.2</v>
      </c>
      <c r="I253" s="6" t="s">
        <v>25</v>
      </c>
      <c r="J253" s="6" t="str">
        <f aca="false">ROUND(73*1,0)&amp;"%"</f>
        <v>73%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8631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8632</v>
      </c>
      <c r="B258" s="5" t="s">
        <v>422</v>
      </c>
      <c r="C258" s="5" t="s">
        <v>15</v>
      </c>
      <c r="D258" s="5" t="s">
        <v>16</v>
      </c>
      <c r="E258" s="5" t="n">
        <f aca="false">ROUND(10990*1.05,2)</f>
        <v>11539.5</v>
      </c>
      <c r="F258" s="5" t="s">
        <v>17</v>
      </c>
      <c r="G258" s="5" t="s">
        <v>18</v>
      </c>
      <c r="H258" s="5" t="n">
        <f aca="true">ROUND(RAND()*4+6,1)</f>
        <v>8.1</v>
      </c>
      <c r="I258" s="5" t="s">
        <v>19</v>
      </c>
      <c r="J258" s="5" t="str">
        <f aca="false">ROUND(95*1,0)&amp;"%"</f>
        <v>95%</v>
      </c>
    </row>
    <row r="259" customFormat="false" ht="15" hidden="false" customHeight="false" outlineLevel="0" collapsed="false">
      <c r="A259" s="6" t="s">
        <v>8633</v>
      </c>
      <c r="B259" s="6" t="s">
        <v>424</v>
      </c>
      <c r="C259" s="6" t="s">
        <v>15</v>
      </c>
      <c r="D259" s="6" t="s">
        <v>22</v>
      </c>
      <c r="E259" s="6" t="n">
        <f aca="false">ROUND(5217*1.05,2)</f>
        <v>5477.85</v>
      </c>
      <c r="F259" s="6" t="s">
        <v>23</v>
      </c>
      <c r="G259" s="6" t="s">
        <v>24</v>
      </c>
      <c r="H259" s="6" t="n">
        <f aca="true">ROUND(RAND()*4+6,1)</f>
        <v>7.8</v>
      </c>
      <c r="I259" s="6" t="s">
        <v>25</v>
      </c>
      <c r="J259" s="6" t="str">
        <f aca="false">ROUND(74*1,0)&amp;"%"</f>
        <v>74%</v>
      </c>
    </row>
    <row r="260" customFormat="false" ht="15" hidden="false" customHeight="false" outlineLevel="0" collapsed="false">
      <c r="A260" s="5" t="s">
        <v>8634</v>
      </c>
      <c r="B260" s="5" t="s">
        <v>426</v>
      </c>
      <c r="C260" s="5" t="s">
        <v>15</v>
      </c>
      <c r="D260" s="5" t="s">
        <v>28</v>
      </c>
      <c r="E260" s="5" t="n">
        <f aca="false">ROUND(16708*1.05,2)</f>
        <v>17543.4</v>
      </c>
      <c r="F260" s="5" t="s">
        <v>29</v>
      </c>
      <c r="G260" s="5" t="s">
        <v>30</v>
      </c>
      <c r="H260" s="5" t="n">
        <f aca="true">ROUND(RAND()*4+6,1)</f>
        <v>6.8</v>
      </c>
      <c r="I260" s="5" t="s">
        <v>31</v>
      </c>
      <c r="J260" s="5" t="str">
        <f aca="false">ROUND(68*1,0)&amp;"%"</f>
        <v>68%</v>
      </c>
    </row>
    <row r="261" customFormat="false" ht="15" hidden="false" customHeight="false" outlineLevel="0" collapsed="false">
      <c r="A261" s="6" t="s">
        <v>8635</v>
      </c>
      <c r="B261" s="6" t="s">
        <v>428</v>
      </c>
      <c r="C261" s="6" t="s">
        <v>15</v>
      </c>
      <c r="D261" s="6" t="s">
        <v>34</v>
      </c>
      <c r="E261" s="6" t="n">
        <f aca="false">ROUND(8092*1.05,2)</f>
        <v>8496.6</v>
      </c>
      <c r="F261" s="6" t="s">
        <v>35</v>
      </c>
      <c r="G261" s="6" t="s">
        <v>18</v>
      </c>
      <c r="H261" s="6" t="n">
        <f aca="true">ROUND(RAND()*4+6,1)</f>
        <v>8.1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8636</v>
      </c>
      <c r="B262" s="5" t="s">
        <v>430</v>
      </c>
      <c r="C262" s="5" t="s">
        <v>15</v>
      </c>
      <c r="D262" s="5" t="s">
        <v>39</v>
      </c>
      <c r="E262" s="5" t="n">
        <f aca="false">ROUND(11681*1.05,2)</f>
        <v>12265.05</v>
      </c>
      <c r="F262" s="5" t="s">
        <v>40</v>
      </c>
      <c r="G262" s="5" t="s">
        <v>24</v>
      </c>
      <c r="H262" s="5" t="n">
        <f aca="true">ROUND(RAND()*4+6,1)</f>
        <v>7.6</v>
      </c>
      <c r="I262" s="5" t="s">
        <v>41</v>
      </c>
      <c r="J262" s="5" t="str">
        <f aca="false">ROUND(69*1,0)&amp;"%"</f>
        <v>69%</v>
      </c>
    </row>
    <row r="263" customFormat="false" ht="15" hidden="false" customHeight="false" outlineLevel="0" collapsed="false">
      <c r="A263" s="6" t="s">
        <v>8637</v>
      </c>
      <c r="B263" s="6" t="s">
        <v>432</v>
      </c>
      <c r="C263" s="6" t="s">
        <v>15</v>
      </c>
      <c r="D263" s="6" t="s">
        <v>44</v>
      </c>
      <c r="E263" s="6" t="n">
        <f aca="false">ROUND(8834*1.05,2)</f>
        <v>9275.7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ROUND(98*1,0)&amp;"%"</f>
        <v>98%</v>
      </c>
    </row>
    <row r="264" customFormat="false" ht="15" hidden="false" customHeight="false" outlineLevel="0" collapsed="false">
      <c r="A264" s="5" t="s">
        <v>8638</v>
      </c>
      <c r="B264" s="5" t="s">
        <v>434</v>
      </c>
      <c r="C264" s="5" t="s">
        <v>15</v>
      </c>
      <c r="D264" s="5" t="s">
        <v>16</v>
      </c>
      <c r="E264" s="5" t="n">
        <f aca="false">ROUND(12046*1.05,2)</f>
        <v>12648.3</v>
      </c>
      <c r="F264" s="5" t="s">
        <v>49</v>
      </c>
      <c r="G264" s="5" t="s">
        <v>18</v>
      </c>
      <c r="H264" s="5" t="n">
        <f aca="true">ROUND(RAND()*4+6,1)</f>
        <v>8.3</v>
      </c>
      <c r="I264" s="5" t="s">
        <v>19</v>
      </c>
      <c r="J264" s="5" t="str">
        <f aca="false">ROUND(83*1,0)&amp;"%"</f>
        <v>83%</v>
      </c>
    </row>
    <row r="265" customFormat="false" ht="15" hidden="false" customHeight="false" outlineLevel="0" collapsed="false">
      <c r="A265" s="6" t="s">
        <v>8639</v>
      </c>
      <c r="B265" s="6" t="s">
        <v>436</v>
      </c>
      <c r="C265" s="6" t="s">
        <v>15</v>
      </c>
      <c r="D265" s="6" t="s">
        <v>22</v>
      </c>
      <c r="E265" s="6" t="n">
        <f aca="false">ROUND(6998*1.05,2)</f>
        <v>7347.9</v>
      </c>
      <c r="F265" s="6" t="s">
        <v>52</v>
      </c>
      <c r="G265" s="6" t="s">
        <v>24</v>
      </c>
      <c r="H265" s="6" t="n">
        <f aca="true">ROUND(RAND()*4+6,1)</f>
        <v>8.1</v>
      </c>
      <c r="I265" s="6" t="s">
        <v>25</v>
      </c>
      <c r="J265" s="6" t="str">
        <f aca="false">ROUND(85*1,0)&amp;"%"</f>
        <v>85%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8640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8641</v>
      </c>
      <c r="B270" s="5" t="s">
        <v>440</v>
      </c>
      <c r="C270" s="5" t="s">
        <v>57</v>
      </c>
      <c r="D270" s="5" t="s">
        <v>16</v>
      </c>
      <c r="E270" s="5" t="n">
        <f aca="false">ROUND(8105*1.05,2)</f>
        <v>8510.25</v>
      </c>
      <c r="F270" s="5" t="s">
        <v>17</v>
      </c>
      <c r="G270" s="5" t="s">
        <v>18</v>
      </c>
      <c r="H270" s="5" t="n">
        <f aca="true">ROUND(RAND()*4+6,1)</f>
        <v>7.4</v>
      </c>
      <c r="I270" s="5" t="s">
        <v>19</v>
      </c>
      <c r="J270" s="5" t="str">
        <f aca="false">ROUND(63*1,0)&amp;"%"</f>
        <v>63%</v>
      </c>
    </row>
    <row r="271" customFormat="false" ht="15" hidden="false" customHeight="false" outlineLevel="0" collapsed="false">
      <c r="A271" s="6" t="s">
        <v>8642</v>
      </c>
      <c r="B271" s="6" t="s">
        <v>442</v>
      </c>
      <c r="C271" s="6" t="s">
        <v>57</v>
      </c>
      <c r="D271" s="6" t="s">
        <v>22</v>
      </c>
      <c r="E271" s="6" t="n">
        <f aca="false">ROUND(15218*1.05,2)</f>
        <v>15978.9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8643</v>
      </c>
      <c r="B272" s="5" t="s">
        <v>444</v>
      </c>
      <c r="C272" s="5" t="s">
        <v>57</v>
      </c>
      <c r="D272" s="5" t="s">
        <v>28</v>
      </c>
      <c r="E272" s="5" t="n">
        <f aca="false">ROUND(15327*1.05,2)</f>
        <v>16093.35</v>
      </c>
      <c r="F272" s="5" t="s">
        <v>29</v>
      </c>
      <c r="G272" s="5" t="s">
        <v>30</v>
      </c>
      <c r="H272" s="5" t="n">
        <f aca="true">ROUND(RAND()*4+6,1)</f>
        <v>8.2</v>
      </c>
      <c r="I272" s="5" t="s">
        <v>31</v>
      </c>
      <c r="J272" s="5" t="str">
        <f aca="false">ROUND(75*1,0)&amp;"%"</f>
        <v>75%</v>
      </c>
    </row>
    <row r="273" customFormat="false" ht="15" hidden="false" customHeight="false" outlineLevel="0" collapsed="false">
      <c r="A273" s="6" t="s">
        <v>8644</v>
      </c>
      <c r="B273" s="6" t="s">
        <v>446</v>
      </c>
      <c r="C273" s="6" t="s">
        <v>57</v>
      </c>
      <c r="D273" s="6" t="s">
        <v>34</v>
      </c>
      <c r="E273" s="6" t="n">
        <f aca="false">ROUND(4910*1.05,2)</f>
        <v>5155.5</v>
      </c>
      <c r="F273" s="6" t="s">
        <v>35</v>
      </c>
      <c r="G273" s="6" t="s">
        <v>18</v>
      </c>
      <c r="H273" s="6" t="n">
        <f aca="true">ROUND(RAND()*4+6,1)</f>
        <v>6.2</v>
      </c>
      <c r="I273" s="6" t="s">
        <v>36</v>
      </c>
      <c r="J273" s="6" t="str">
        <f aca="false">ROUND(77*1,0)&amp;"%"</f>
        <v>77%</v>
      </c>
    </row>
    <row r="274" customFormat="false" ht="15" hidden="false" customHeight="false" outlineLevel="0" collapsed="false">
      <c r="A274" s="5" t="s">
        <v>8645</v>
      </c>
      <c r="B274" s="5" t="s">
        <v>448</v>
      </c>
      <c r="C274" s="5" t="s">
        <v>57</v>
      </c>
      <c r="D274" s="5" t="s">
        <v>39</v>
      </c>
      <c r="E274" s="5" t="n">
        <f aca="false">ROUND(14866*1.05,2)</f>
        <v>15609.3</v>
      </c>
      <c r="F274" s="5" t="s">
        <v>40</v>
      </c>
      <c r="G274" s="5" t="s">
        <v>24</v>
      </c>
      <c r="H274" s="5" t="n">
        <f aca="true">ROUND(RAND()*4+6,1)</f>
        <v>7.1</v>
      </c>
      <c r="I274" s="5" t="s">
        <v>41</v>
      </c>
      <c r="J274" s="5" t="str">
        <f aca="false">ROUND(88*1,0)&amp;"%"</f>
        <v>88%</v>
      </c>
    </row>
    <row r="275" customFormat="false" ht="15" hidden="false" customHeight="false" outlineLevel="0" collapsed="false">
      <c r="A275" s="6" t="s">
        <v>8646</v>
      </c>
      <c r="B275" s="6" t="s">
        <v>450</v>
      </c>
      <c r="C275" s="6" t="s">
        <v>57</v>
      </c>
      <c r="D275" s="6" t="s">
        <v>44</v>
      </c>
      <c r="E275" s="6" t="n">
        <f aca="false">ROUND(4476*1.05,2)</f>
        <v>4699.8</v>
      </c>
      <c r="F275" s="6" t="s">
        <v>45</v>
      </c>
      <c r="G275" s="6" t="s">
        <v>30</v>
      </c>
      <c r="H275" s="6" t="n">
        <f aca="true">ROUND(RAND()*4+6,1)</f>
        <v>8.3</v>
      </c>
      <c r="I275" s="6" t="s">
        <v>46</v>
      </c>
      <c r="J275" s="6" t="str">
        <f aca="false">ROUND(73*1,0)&amp;"%"</f>
        <v>73%</v>
      </c>
    </row>
    <row r="276" customFormat="false" ht="15" hidden="false" customHeight="false" outlineLevel="0" collapsed="false">
      <c r="A276" s="5" t="s">
        <v>8647</v>
      </c>
      <c r="B276" s="5" t="s">
        <v>452</v>
      </c>
      <c r="C276" s="5" t="s">
        <v>57</v>
      </c>
      <c r="D276" s="5" t="s">
        <v>16</v>
      </c>
      <c r="E276" s="5" t="n">
        <f aca="false">ROUND(12436*1.05,2)</f>
        <v>13057.8</v>
      </c>
      <c r="F276" s="5" t="s">
        <v>49</v>
      </c>
      <c r="G276" s="5" t="s">
        <v>18</v>
      </c>
      <c r="H276" s="5" t="n">
        <f aca="true">ROUND(RAND()*4+6,1)</f>
        <v>9.2</v>
      </c>
      <c r="I276" s="5" t="s">
        <v>19</v>
      </c>
      <c r="J276" s="5" t="str">
        <f aca="false">ROUND(79*1,0)&amp;"%"</f>
        <v>79%</v>
      </c>
    </row>
    <row r="277" customFormat="false" ht="15" hidden="false" customHeight="false" outlineLevel="0" collapsed="false">
      <c r="A277" s="6" t="s">
        <v>8648</v>
      </c>
      <c r="B277" s="6" t="s">
        <v>454</v>
      </c>
      <c r="C277" s="6" t="s">
        <v>57</v>
      </c>
      <c r="D277" s="6" t="s">
        <v>22</v>
      </c>
      <c r="E277" s="6" t="n">
        <f aca="false">ROUND(16957*1.05,2)</f>
        <v>17804.85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ROUND(85*1,0)&amp;"%"</f>
        <v>85%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8649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8650</v>
      </c>
      <c r="B282" s="5" t="s">
        <v>458</v>
      </c>
      <c r="C282" s="5" t="s">
        <v>76</v>
      </c>
      <c r="D282" s="5" t="s">
        <v>16</v>
      </c>
      <c r="E282" s="5" t="n">
        <f aca="false">ROUND(15670*1.05,2)</f>
        <v>16453.5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ROUND(72*1,0)&amp;"%"</f>
        <v>72%</v>
      </c>
    </row>
    <row r="283" customFormat="false" ht="15" hidden="false" customHeight="false" outlineLevel="0" collapsed="false">
      <c r="A283" s="6" t="s">
        <v>8651</v>
      </c>
      <c r="B283" s="6" t="s">
        <v>460</v>
      </c>
      <c r="C283" s="6" t="s">
        <v>76</v>
      </c>
      <c r="D283" s="6" t="s">
        <v>22</v>
      </c>
      <c r="E283" s="6" t="n">
        <f aca="false">ROUND(10107*1.05,2)</f>
        <v>10612.35</v>
      </c>
      <c r="F283" s="6" t="s">
        <v>23</v>
      </c>
      <c r="G283" s="6" t="s">
        <v>24</v>
      </c>
      <c r="H283" s="6" t="n">
        <f aca="true">ROUND(RAND()*4+6,1)</f>
        <v>9.3</v>
      </c>
      <c r="I283" s="6" t="s">
        <v>25</v>
      </c>
      <c r="J283" s="6" t="str">
        <f aca="false">ROUND(100*1,0)&amp;"%"</f>
        <v>100%</v>
      </c>
    </row>
    <row r="284" customFormat="false" ht="15" hidden="false" customHeight="false" outlineLevel="0" collapsed="false">
      <c r="A284" s="5" t="s">
        <v>8652</v>
      </c>
      <c r="B284" s="5" t="s">
        <v>462</v>
      </c>
      <c r="C284" s="5" t="s">
        <v>76</v>
      </c>
      <c r="D284" s="5" t="s">
        <v>28</v>
      </c>
      <c r="E284" s="5" t="n">
        <f aca="false">ROUND(13723*1.05,2)</f>
        <v>14409.15</v>
      </c>
      <c r="F284" s="5" t="s">
        <v>29</v>
      </c>
      <c r="G284" s="5" t="s">
        <v>30</v>
      </c>
      <c r="H284" s="5" t="n">
        <f aca="true">ROUND(RAND()*4+6,1)</f>
        <v>9.6</v>
      </c>
      <c r="I284" s="5" t="s">
        <v>31</v>
      </c>
      <c r="J284" s="5" t="str">
        <f aca="false">ROUND(85*1,0)&amp;"%"</f>
        <v>85%</v>
      </c>
    </row>
    <row r="285" customFormat="false" ht="15" hidden="false" customHeight="false" outlineLevel="0" collapsed="false">
      <c r="A285" s="6" t="s">
        <v>8653</v>
      </c>
      <c r="B285" s="6" t="s">
        <v>464</v>
      </c>
      <c r="C285" s="6" t="s">
        <v>76</v>
      </c>
      <c r="D285" s="6" t="s">
        <v>34</v>
      </c>
      <c r="E285" s="6" t="n">
        <f aca="false">ROUND(9008*1.05,2)</f>
        <v>9458.4</v>
      </c>
      <c r="F285" s="6" t="s">
        <v>35</v>
      </c>
      <c r="G285" s="6" t="s">
        <v>18</v>
      </c>
      <c r="H285" s="6" t="n">
        <f aca="true">ROUND(RAND()*4+6,1)</f>
        <v>6.3</v>
      </c>
      <c r="I285" s="6" t="s">
        <v>36</v>
      </c>
      <c r="J285" s="6" t="str">
        <f aca="false">ROUND(87*1,0)&amp;"%"</f>
        <v>87%</v>
      </c>
    </row>
    <row r="286" customFormat="false" ht="15" hidden="false" customHeight="false" outlineLevel="0" collapsed="false">
      <c r="A286" s="5" t="s">
        <v>8654</v>
      </c>
      <c r="B286" s="5" t="s">
        <v>466</v>
      </c>
      <c r="C286" s="5" t="s">
        <v>76</v>
      </c>
      <c r="D286" s="5" t="s">
        <v>39</v>
      </c>
      <c r="E286" s="5" t="n">
        <f aca="false">ROUND(13087*1.05,2)</f>
        <v>13741.35</v>
      </c>
      <c r="F286" s="5" t="s">
        <v>40</v>
      </c>
      <c r="G286" s="5" t="s">
        <v>24</v>
      </c>
      <c r="H286" s="5" t="n">
        <f aca="true">ROUND(RAND()*4+6,1)</f>
        <v>7.7</v>
      </c>
      <c r="I286" s="5" t="s">
        <v>41</v>
      </c>
      <c r="J286" s="5" t="str">
        <f aca="false">ROUND(61*1,0)&amp;"%"</f>
        <v>61%</v>
      </c>
    </row>
    <row r="287" customFormat="false" ht="15" hidden="false" customHeight="false" outlineLevel="0" collapsed="false">
      <c r="A287" s="6" t="s">
        <v>8655</v>
      </c>
      <c r="B287" s="6" t="s">
        <v>468</v>
      </c>
      <c r="C287" s="6" t="s">
        <v>76</v>
      </c>
      <c r="D287" s="6" t="s">
        <v>44</v>
      </c>
      <c r="E287" s="6" t="n">
        <f aca="false">ROUND(9669*1.05,2)</f>
        <v>10152.45</v>
      </c>
      <c r="F287" s="6" t="s">
        <v>45</v>
      </c>
      <c r="G287" s="6" t="s">
        <v>30</v>
      </c>
      <c r="H287" s="6" t="n">
        <f aca="true">ROUND(RAND()*4+6,1)</f>
        <v>9.8</v>
      </c>
      <c r="I287" s="6" t="s">
        <v>46</v>
      </c>
      <c r="J287" s="6" t="str">
        <f aca="false">ROUND(85*1,0)&amp;"%"</f>
        <v>85%</v>
      </c>
    </row>
    <row r="288" customFormat="false" ht="15" hidden="false" customHeight="false" outlineLevel="0" collapsed="false">
      <c r="A288" s="5" t="s">
        <v>8656</v>
      </c>
      <c r="B288" s="5" t="s">
        <v>470</v>
      </c>
      <c r="C288" s="5" t="s">
        <v>76</v>
      </c>
      <c r="D288" s="5" t="s">
        <v>16</v>
      </c>
      <c r="E288" s="5" t="n">
        <f aca="false">ROUND(13583*1.05,2)</f>
        <v>14262.15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ROUND(75*1,0)&amp;"%"</f>
        <v>75%</v>
      </c>
    </row>
    <row r="289" customFormat="false" ht="15" hidden="false" customHeight="false" outlineLevel="0" collapsed="false">
      <c r="A289" s="6" t="s">
        <v>8657</v>
      </c>
      <c r="B289" s="6" t="s">
        <v>472</v>
      </c>
      <c r="C289" s="6" t="s">
        <v>76</v>
      </c>
      <c r="D289" s="6" t="s">
        <v>22</v>
      </c>
      <c r="E289" s="6" t="n">
        <f aca="false">ROUND(11761*1.05,2)</f>
        <v>12349.05</v>
      </c>
      <c r="F289" s="6" t="s">
        <v>52</v>
      </c>
      <c r="G289" s="6" t="s">
        <v>24</v>
      </c>
      <c r="H289" s="6" t="n">
        <f aca="true">ROUND(RAND()*4+6,1)</f>
        <v>9.7</v>
      </c>
      <c r="I289" s="6" t="s">
        <v>25</v>
      </c>
      <c r="J289" s="6" t="str">
        <f aca="false">ROUND(99*1,0)&amp;"%"</f>
        <v>99%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8658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8659</v>
      </c>
      <c r="B294" s="5" t="s">
        <v>476</v>
      </c>
      <c r="C294" s="5" t="s">
        <v>95</v>
      </c>
      <c r="D294" s="5" t="s">
        <v>16</v>
      </c>
      <c r="E294" s="5" t="n">
        <f aca="false">ROUND(4021*1.05,2)</f>
        <v>4222.05</v>
      </c>
      <c r="F294" s="5" t="s">
        <v>17</v>
      </c>
      <c r="G294" s="5" t="s">
        <v>18</v>
      </c>
      <c r="H294" s="5" t="n">
        <f aca="true">ROUND(RAND()*4+6,1)</f>
        <v>9.6</v>
      </c>
      <c r="I294" s="5" t="s">
        <v>19</v>
      </c>
      <c r="J294" s="5" t="str">
        <f aca="false">ROUND(80*1,0)&amp;"%"</f>
        <v>80%</v>
      </c>
    </row>
    <row r="295" customFormat="false" ht="15" hidden="false" customHeight="false" outlineLevel="0" collapsed="false">
      <c r="A295" s="6" t="s">
        <v>8660</v>
      </c>
      <c r="B295" s="6" t="s">
        <v>478</v>
      </c>
      <c r="C295" s="6" t="s">
        <v>95</v>
      </c>
      <c r="D295" s="6" t="s">
        <v>22</v>
      </c>
      <c r="E295" s="6" t="n">
        <f aca="false">ROUND(5663*1.05,2)</f>
        <v>5946.15</v>
      </c>
      <c r="F295" s="6" t="s">
        <v>23</v>
      </c>
      <c r="G295" s="6" t="s">
        <v>24</v>
      </c>
      <c r="H295" s="6" t="n">
        <f aca="true">ROUND(RAND()*4+6,1)</f>
        <v>7.3</v>
      </c>
      <c r="I295" s="6" t="s">
        <v>25</v>
      </c>
      <c r="J295" s="6" t="str">
        <f aca="false">ROUND(92*1,0)&amp;"%"</f>
        <v>92%</v>
      </c>
    </row>
    <row r="296" customFormat="false" ht="15" hidden="false" customHeight="false" outlineLevel="0" collapsed="false">
      <c r="A296" s="5" t="s">
        <v>8661</v>
      </c>
      <c r="B296" s="5" t="s">
        <v>480</v>
      </c>
      <c r="C296" s="5" t="s">
        <v>95</v>
      </c>
      <c r="D296" s="5" t="s">
        <v>28</v>
      </c>
      <c r="E296" s="5" t="n">
        <f aca="false">ROUND(14623*1.05,2)</f>
        <v>15354.15</v>
      </c>
      <c r="F296" s="5" t="s">
        <v>29</v>
      </c>
      <c r="G296" s="5" t="s">
        <v>30</v>
      </c>
      <c r="H296" s="5" t="n">
        <f aca="true">ROUND(RAND()*4+6,1)</f>
        <v>6.1</v>
      </c>
      <c r="I296" s="5" t="s">
        <v>31</v>
      </c>
      <c r="J296" s="5" t="str">
        <f aca="false">ROUND(96*1,0)&amp;"%"</f>
        <v>96%</v>
      </c>
    </row>
    <row r="297" customFormat="false" ht="15" hidden="false" customHeight="false" outlineLevel="0" collapsed="false">
      <c r="A297" s="6" t="s">
        <v>8662</v>
      </c>
      <c r="B297" s="6" t="s">
        <v>482</v>
      </c>
      <c r="C297" s="6" t="s">
        <v>95</v>
      </c>
      <c r="D297" s="6" t="s">
        <v>34</v>
      </c>
      <c r="E297" s="6" t="n">
        <f aca="false">ROUND(10646*1.05,2)</f>
        <v>11178.3</v>
      </c>
      <c r="F297" s="6" t="s">
        <v>35</v>
      </c>
      <c r="G297" s="6" t="s">
        <v>18</v>
      </c>
      <c r="H297" s="6" t="n">
        <f aca="true">ROUND(RAND()*4+6,1)</f>
        <v>8.3</v>
      </c>
      <c r="I297" s="6" t="s">
        <v>36</v>
      </c>
      <c r="J297" s="6" t="str">
        <f aca="false">ROUND(88*1,0)&amp;"%"</f>
        <v>88%</v>
      </c>
    </row>
    <row r="298" customFormat="false" ht="15" hidden="false" customHeight="false" outlineLevel="0" collapsed="false">
      <c r="A298" s="5" t="s">
        <v>8663</v>
      </c>
      <c r="B298" s="5" t="s">
        <v>484</v>
      </c>
      <c r="C298" s="5" t="s">
        <v>95</v>
      </c>
      <c r="D298" s="5" t="s">
        <v>39</v>
      </c>
      <c r="E298" s="5" t="n">
        <f aca="false">ROUND(14077*1.05,2)</f>
        <v>14780.85</v>
      </c>
      <c r="F298" s="5" t="s">
        <v>40</v>
      </c>
      <c r="G298" s="5" t="s">
        <v>24</v>
      </c>
      <c r="H298" s="5" t="n">
        <f aca="true">ROUND(RAND()*4+6,1)</f>
        <v>6.8</v>
      </c>
      <c r="I298" s="5" t="s">
        <v>41</v>
      </c>
      <c r="J298" s="5" t="str">
        <f aca="false">ROUND(99*1,0)&amp;"%"</f>
        <v>99%</v>
      </c>
    </row>
    <row r="299" customFormat="false" ht="15" hidden="false" customHeight="false" outlineLevel="0" collapsed="false">
      <c r="A299" s="6" t="s">
        <v>8664</v>
      </c>
      <c r="B299" s="6" t="s">
        <v>486</v>
      </c>
      <c r="C299" s="6" t="s">
        <v>95</v>
      </c>
      <c r="D299" s="6" t="s">
        <v>44</v>
      </c>
      <c r="E299" s="6" t="n">
        <f aca="false">ROUND(15962*1.05,2)</f>
        <v>16760.1</v>
      </c>
      <c r="F299" s="6" t="s">
        <v>45</v>
      </c>
      <c r="G299" s="6" t="s">
        <v>30</v>
      </c>
      <c r="H299" s="6" t="n">
        <f aca="true">ROUND(RAND()*4+6,1)</f>
        <v>6.5</v>
      </c>
      <c r="I299" s="6" t="s">
        <v>46</v>
      </c>
      <c r="J299" s="6" t="str">
        <f aca="false">ROUND(73*1,0)&amp;"%"</f>
        <v>73%</v>
      </c>
    </row>
    <row r="300" customFormat="false" ht="15" hidden="false" customHeight="false" outlineLevel="0" collapsed="false">
      <c r="A300" s="5" t="s">
        <v>8665</v>
      </c>
      <c r="B300" s="5" t="s">
        <v>488</v>
      </c>
      <c r="C300" s="5" t="s">
        <v>95</v>
      </c>
      <c r="D300" s="5" t="s">
        <v>16</v>
      </c>
      <c r="E300" s="5" t="n">
        <f aca="false">ROUND(9499*1.05,2)</f>
        <v>9973.95</v>
      </c>
      <c r="F300" s="5" t="s">
        <v>49</v>
      </c>
      <c r="G300" s="5" t="s">
        <v>18</v>
      </c>
      <c r="H300" s="5" t="n">
        <f aca="true">ROUND(RAND()*4+6,1)</f>
        <v>7.5</v>
      </c>
      <c r="I300" s="5" t="s">
        <v>19</v>
      </c>
      <c r="J300" s="5" t="str">
        <f aca="false">ROUND(86*1,0)&amp;"%"</f>
        <v>86%</v>
      </c>
    </row>
    <row r="301" customFormat="false" ht="15" hidden="false" customHeight="false" outlineLevel="0" collapsed="false">
      <c r="A301" s="6" t="s">
        <v>8666</v>
      </c>
      <c r="B301" s="6" t="s">
        <v>490</v>
      </c>
      <c r="C301" s="6" t="s">
        <v>95</v>
      </c>
      <c r="D301" s="6" t="s">
        <v>22</v>
      </c>
      <c r="E301" s="6" t="n">
        <f aca="false">ROUND(4343*1.05,2)</f>
        <v>4560.15</v>
      </c>
      <c r="F301" s="6" t="s">
        <v>52</v>
      </c>
      <c r="G301" s="6" t="s">
        <v>24</v>
      </c>
      <c r="H301" s="6" t="n">
        <f aca="true">ROUND(RAND()*4+6,1)</f>
        <v>6.6</v>
      </c>
      <c r="I301" s="6" t="s">
        <v>25</v>
      </c>
      <c r="J301" s="6" t="str">
        <f aca="false">ROUND(85*1,0)&amp;"%"</f>
        <v>85%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8667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8668</v>
      </c>
      <c r="B306" s="5" t="s">
        <v>494</v>
      </c>
      <c r="C306" s="5" t="s">
        <v>114</v>
      </c>
      <c r="D306" s="5" t="s">
        <v>16</v>
      </c>
      <c r="E306" s="5" t="n">
        <f aca="false">ROUND(9451*1.05,2)</f>
        <v>9923.55</v>
      </c>
      <c r="F306" s="5" t="s">
        <v>17</v>
      </c>
      <c r="G306" s="5" t="s">
        <v>18</v>
      </c>
      <c r="H306" s="5" t="n">
        <f aca="true">ROUND(RAND()*4+6,1)</f>
        <v>7.7</v>
      </c>
      <c r="I306" s="5" t="s">
        <v>19</v>
      </c>
      <c r="J306" s="5" t="str">
        <f aca="false">ROUND(67*1,0)&amp;"%"</f>
        <v>67%</v>
      </c>
    </row>
    <row r="307" customFormat="false" ht="15" hidden="false" customHeight="false" outlineLevel="0" collapsed="false">
      <c r="A307" s="6" t="s">
        <v>8669</v>
      </c>
      <c r="B307" s="6" t="s">
        <v>496</v>
      </c>
      <c r="C307" s="6" t="s">
        <v>114</v>
      </c>
      <c r="D307" s="6" t="s">
        <v>22</v>
      </c>
      <c r="E307" s="6" t="n">
        <f aca="false">ROUND(16106*1.05,2)</f>
        <v>16911.3</v>
      </c>
      <c r="F307" s="6" t="s">
        <v>23</v>
      </c>
      <c r="G307" s="6" t="s">
        <v>24</v>
      </c>
      <c r="H307" s="6" t="n">
        <f aca="true">ROUND(RAND()*4+6,1)</f>
        <v>8.9</v>
      </c>
      <c r="I307" s="6" t="s">
        <v>25</v>
      </c>
      <c r="J307" s="6" t="str">
        <f aca="false">ROUND(61*1,0)&amp;"%"</f>
        <v>61%</v>
      </c>
    </row>
    <row r="308" customFormat="false" ht="15" hidden="false" customHeight="false" outlineLevel="0" collapsed="false">
      <c r="A308" s="5" t="s">
        <v>8670</v>
      </c>
      <c r="B308" s="5" t="s">
        <v>498</v>
      </c>
      <c r="C308" s="5" t="s">
        <v>114</v>
      </c>
      <c r="D308" s="5" t="s">
        <v>28</v>
      </c>
      <c r="E308" s="5" t="n">
        <f aca="false">ROUND(6996*1.05,2)</f>
        <v>7345.8</v>
      </c>
      <c r="F308" s="5" t="s">
        <v>29</v>
      </c>
      <c r="G308" s="5" t="s">
        <v>30</v>
      </c>
      <c r="H308" s="5" t="n">
        <f aca="true">ROUND(RAND()*4+6,1)</f>
        <v>9.5</v>
      </c>
      <c r="I308" s="5" t="s">
        <v>31</v>
      </c>
      <c r="J308" s="5" t="str">
        <f aca="false">ROUND(93*1,0)&amp;"%"</f>
        <v>93%</v>
      </c>
    </row>
    <row r="309" customFormat="false" ht="15" hidden="false" customHeight="false" outlineLevel="0" collapsed="false">
      <c r="A309" s="6" t="s">
        <v>8671</v>
      </c>
      <c r="B309" s="6" t="s">
        <v>500</v>
      </c>
      <c r="C309" s="6" t="s">
        <v>114</v>
      </c>
      <c r="D309" s="6" t="s">
        <v>34</v>
      </c>
      <c r="E309" s="6" t="n">
        <f aca="false">ROUND(15021*1.05,2)</f>
        <v>15772.05</v>
      </c>
      <c r="F309" s="6" t="s">
        <v>35</v>
      </c>
      <c r="G309" s="6" t="s">
        <v>18</v>
      </c>
      <c r="H309" s="6" t="n">
        <f aca="true">ROUND(RAND()*4+6,1)</f>
        <v>7.5</v>
      </c>
      <c r="I309" s="6" t="s">
        <v>36</v>
      </c>
      <c r="J309" s="6" t="str">
        <f aca="false">ROUND(84*1,0)&amp;"%"</f>
        <v>84%</v>
      </c>
    </row>
    <row r="310" customFormat="false" ht="15" hidden="false" customHeight="false" outlineLevel="0" collapsed="false">
      <c r="A310" s="5" t="s">
        <v>8672</v>
      </c>
      <c r="B310" s="5" t="s">
        <v>502</v>
      </c>
      <c r="C310" s="5" t="s">
        <v>114</v>
      </c>
      <c r="D310" s="5" t="s">
        <v>39</v>
      </c>
      <c r="E310" s="5" t="n">
        <f aca="false">ROUND(17782*1.05,2)</f>
        <v>18671.1</v>
      </c>
      <c r="F310" s="5" t="s">
        <v>40</v>
      </c>
      <c r="G310" s="5" t="s">
        <v>24</v>
      </c>
      <c r="H310" s="5" t="n">
        <f aca="true">ROUND(RAND()*4+6,1)</f>
        <v>9.4</v>
      </c>
      <c r="I310" s="5" t="s">
        <v>41</v>
      </c>
      <c r="J310" s="5" t="str">
        <f aca="false">ROUND(95*1,0)&amp;"%"</f>
        <v>95%</v>
      </c>
    </row>
    <row r="311" customFormat="false" ht="15" hidden="false" customHeight="false" outlineLevel="0" collapsed="false">
      <c r="A311" s="6" t="s">
        <v>8673</v>
      </c>
      <c r="B311" s="6" t="s">
        <v>504</v>
      </c>
      <c r="C311" s="6" t="s">
        <v>114</v>
      </c>
      <c r="D311" s="6" t="s">
        <v>44</v>
      </c>
      <c r="E311" s="6" t="n">
        <f aca="false">ROUND(15557*1.05,2)</f>
        <v>16334.85</v>
      </c>
      <c r="F311" s="6" t="s">
        <v>45</v>
      </c>
      <c r="G311" s="6" t="s">
        <v>30</v>
      </c>
      <c r="H311" s="6" t="n">
        <f aca="true">ROUND(RAND()*4+6,1)</f>
        <v>8.6</v>
      </c>
      <c r="I311" s="6" t="s">
        <v>46</v>
      </c>
      <c r="J311" s="6" t="str">
        <f aca="false">ROUND(77*1,0)&amp;"%"</f>
        <v>77%</v>
      </c>
    </row>
    <row r="312" customFormat="false" ht="15" hidden="false" customHeight="false" outlineLevel="0" collapsed="false">
      <c r="A312" s="5" t="s">
        <v>8674</v>
      </c>
      <c r="B312" s="5" t="s">
        <v>506</v>
      </c>
      <c r="C312" s="5" t="s">
        <v>114</v>
      </c>
      <c r="D312" s="5" t="s">
        <v>16</v>
      </c>
      <c r="E312" s="5" t="n">
        <f aca="false">ROUND(6736*1.05,2)</f>
        <v>7072.8</v>
      </c>
      <c r="F312" s="5" t="s">
        <v>49</v>
      </c>
      <c r="G312" s="5" t="s">
        <v>18</v>
      </c>
      <c r="H312" s="5" t="n">
        <f aca="true">ROUND(RAND()*4+6,1)</f>
        <v>9.6</v>
      </c>
      <c r="I312" s="5" t="s">
        <v>19</v>
      </c>
      <c r="J312" s="5" t="str">
        <f aca="false">ROUND(96*1,0)&amp;"%"</f>
        <v>96%</v>
      </c>
    </row>
    <row r="313" customFormat="false" ht="15" hidden="false" customHeight="false" outlineLevel="0" collapsed="false">
      <c r="A313" s="6" t="s">
        <v>8675</v>
      </c>
      <c r="B313" s="6" t="s">
        <v>508</v>
      </c>
      <c r="C313" s="6" t="s">
        <v>114</v>
      </c>
      <c r="D313" s="6" t="s">
        <v>22</v>
      </c>
      <c r="E313" s="6" t="n">
        <f aca="false">ROUND(5942*1.05,2)</f>
        <v>6239.1</v>
      </c>
      <c r="F313" s="6" t="s">
        <v>52</v>
      </c>
      <c r="G313" s="6" t="s">
        <v>24</v>
      </c>
      <c r="H313" s="6" t="n">
        <f aca="true">ROUND(RAND()*4+6,1)</f>
        <v>8.7</v>
      </c>
      <c r="I313" s="6" t="s">
        <v>25</v>
      </c>
      <c r="J313" s="6" t="str">
        <f aca="false">ROUND(63*1,0)&amp;"%"</f>
        <v>63%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8676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8677</v>
      </c>
      <c r="B318" s="5" t="s">
        <v>512</v>
      </c>
      <c r="C318" s="5" t="s">
        <v>133</v>
      </c>
      <c r="D318" s="5" t="s">
        <v>16</v>
      </c>
      <c r="E318" s="5" t="n">
        <f aca="false">ROUND(13998*1.05,2)</f>
        <v>14697.9</v>
      </c>
      <c r="F318" s="5" t="s">
        <v>17</v>
      </c>
      <c r="G318" s="5" t="s">
        <v>18</v>
      </c>
      <c r="H318" s="5" t="n">
        <f aca="true">ROUND(RAND()*4+6,1)</f>
        <v>7</v>
      </c>
      <c r="I318" s="5" t="s">
        <v>19</v>
      </c>
      <c r="J318" s="5" t="str">
        <f aca="false">ROUND(84*1,0)&amp;"%"</f>
        <v>84%</v>
      </c>
    </row>
    <row r="319" customFormat="false" ht="15" hidden="false" customHeight="false" outlineLevel="0" collapsed="false">
      <c r="A319" s="6" t="s">
        <v>8678</v>
      </c>
      <c r="B319" s="6" t="s">
        <v>514</v>
      </c>
      <c r="C319" s="6" t="s">
        <v>133</v>
      </c>
      <c r="D319" s="6" t="s">
        <v>22</v>
      </c>
      <c r="E319" s="6" t="n">
        <f aca="false">ROUND(17370*1.05,2)</f>
        <v>18238.5</v>
      </c>
      <c r="F319" s="6" t="s">
        <v>23</v>
      </c>
      <c r="G319" s="6" t="s">
        <v>24</v>
      </c>
      <c r="H319" s="6" t="n">
        <f aca="true">ROUND(RAND()*4+6,1)</f>
        <v>8</v>
      </c>
      <c r="I319" s="6" t="s">
        <v>25</v>
      </c>
      <c r="J319" s="6" t="str">
        <f aca="false">ROUND(63*1,0)&amp;"%"</f>
        <v>63%</v>
      </c>
    </row>
    <row r="320" customFormat="false" ht="15" hidden="false" customHeight="false" outlineLevel="0" collapsed="false">
      <c r="A320" s="5" t="s">
        <v>8679</v>
      </c>
      <c r="B320" s="5" t="s">
        <v>516</v>
      </c>
      <c r="C320" s="5" t="s">
        <v>133</v>
      </c>
      <c r="D320" s="5" t="s">
        <v>28</v>
      </c>
      <c r="E320" s="5" t="n">
        <f aca="false">ROUND(13834*1.05,2)</f>
        <v>14525.7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ROUND(64*1,0)&amp;"%"</f>
        <v>64%</v>
      </c>
    </row>
    <row r="321" customFormat="false" ht="15" hidden="false" customHeight="false" outlineLevel="0" collapsed="false">
      <c r="A321" s="6" t="s">
        <v>8680</v>
      </c>
      <c r="B321" s="6" t="s">
        <v>518</v>
      </c>
      <c r="C321" s="6" t="s">
        <v>133</v>
      </c>
      <c r="D321" s="6" t="s">
        <v>34</v>
      </c>
      <c r="E321" s="6" t="n">
        <f aca="false">ROUND(7415*1.05,2)</f>
        <v>7785.75</v>
      </c>
      <c r="F321" s="6" t="s">
        <v>35</v>
      </c>
      <c r="G321" s="6" t="s">
        <v>18</v>
      </c>
      <c r="H321" s="6" t="n">
        <f aca="true">ROUND(RAND()*4+6,1)</f>
        <v>9.5</v>
      </c>
      <c r="I321" s="6" t="s">
        <v>36</v>
      </c>
      <c r="J321" s="6" t="str">
        <f aca="false">ROUND(96*1,0)&amp;"%"</f>
        <v>96%</v>
      </c>
    </row>
    <row r="322" customFormat="false" ht="15" hidden="false" customHeight="false" outlineLevel="0" collapsed="false">
      <c r="A322" s="5" t="s">
        <v>8681</v>
      </c>
      <c r="B322" s="5" t="s">
        <v>520</v>
      </c>
      <c r="C322" s="5" t="s">
        <v>133</v>
      </c>
      <c r="D322" s="5" t="s">
        <v>39</v>
      </c>
      <c r="E322" s="5" t="n">
        <f aca="false">ROUND(6084*1.05,2)</f>
        <v>6388.2</v>
      </c>
      <c r="F322" s="5" t="s">
        <v>40</v>
      </c>
      <c r="G322" s="5" t="s">
        <v>24</v>
      </c>
      <c r="H322" s="5" t="n">
        <f aca="true">ROUND(RAND()*4+6,1)</f>
        <v>6.9</v>
      </c>
      <c r="I322" s="5" t="s">
        <v>41</v>
      </c>
      <c r="J322" s="5" t="str">
        <f aca="false">ROUND(95*1,0)&amp;"%"</f>
        <v>95%</v>
      </c>
    </row>
    <row r="323" customFormat="false" ht="15" hidden="false" customHeight="false" outlineLevel="0" collapsed="false">
      <c r="A323" s="6" t="s">
        <v>8682</v>
      </c>
      <c r="B323" s="6" t="s">
        <v>522</v>
      </c>
      <c r="C323" s="6" t="s">
        <v>133</v>
      </c>
      <c r="D323" s="6" t="s">
        <v>44</v>
      </c>
      <c r="E323" s="6" t="n">
        <f aca="false">ROUND(15943*1.05,2)</f>
        <v>16740.15</v>
      </c>
      <c r="F323" s="6" t="s">
        <v>45</v>
      </c>
      <c r="G323" s="6" t="s">
        <v>30</v>
      </c>
      <c r="H323" s="6" t="n">
        <f aca="true">ROUND(RAND()*4+6,1)</f>
        <v>6.7</v>
      </c>
      <c r="I323" s="6" t="s">
        <v>46</v>
      </c>
      <c r="J323" s="6" t="str">
        <f aca="false">ROUND(77*1,0)&amp;"%"</f>
        <v>77%</v>
      </c>
    </row>
    <row r="324" customFormat="false" ht="15" hidden="false" customHeight="false" outlineLevel="0" collapsed="false">
      <c r="A324" s="5" t="s">
        <v>8683</v>
      </c>
      <c r="B324" s="5" t="s">
        <v>524</v>
      </c>
      <c r="C324" s="5" t="s">
        <v>133</v>
      </c>
      <c r="D324" s="5" t="s">
        <v>16</v>
      </c>
      <c r="E324" s="5" t="n">
        <f aca="false">ROUND(7977*1.05,2)</f>
        <v>8375.85</v>
      </c>
      <c r="F324" s="5" t="s">
        <v>49</v>
      </c>
      <c r="G324" s="5" t="s">
        <v>18</v>
      </c>
      <c r="H324" s="5" t="n">
        <f aca="true">ROUND(RAND()*4+6,1)</f>
        <v>7.2</v>
      </c>
      <c r="I324" s="5" t="s">
        <v>19</v>
      </c>
      <c r="J324" s="5" t="str">
        <f aca="false">ROUND(66*1,0)&amp;"%"</f>
        <v>66%</v>
      </c>
    </row>
    <row r="325" customFormat="false" ht="15" hidden="false" customHeight="false" outlineLevel="0" collapsed="false">
      <c r="A325" s="6" t="s">
        <v>8684</v>
      </c>
      <c r="B325" s="6" t="s">
        <v>526</v>
      </c>
      <c r="C325" s="6" t="s">
        <v>133</v>
      </c>
      <c r="D325" s="6" t="s">
        <v>22</v>
      </c>
      <c r="E325" s="6" t="n">
        <f aca="false">ROUND(13521*1.05,2)</f>
        <v>14197.05</v>
      </c>
      <c r="F325" s="6" t="s">
        <v>52</v>
      </c>
      <c r="G325" s="6" t="s">
        <v>24</v>
      </c>
      <c r="H325" s="6" t="n">
        <f aca="true">ROUND(RAND()*4+6,1)</f>
        <v>9.6</v>
      </c>
      <c r="I325" s="6" t="s">
        <v>25</v>
      </c>
      <c r="J325" s="6" t="str">
        <f aca="false">ROUND(95*1,0)&amp;"%"</f>
        <v>95%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8685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8686</v>
      </c>
      <c r="B330" s="5" t="s">
        <v>530</v>
      </c>
      <c r="C330" s="5" t="s">
        <v>152</v>
      </c>
      <c r="D330" s="5" t="s">
        <v>16</v>
      </c>
      <c r="E330" s="5" t="n">
        <f aca="false">ROUND(10866*1.05,2)</f>
        <v>11409.3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ROUND(60*1,0)&amp;"%"</f>
        <v>60%</v>
      </c>
    </row>
    <row r="331" customFormat="false" ht="15" hidden="false" customHeight="false" outlineLevel="0" collapsed="false">
      <c r="A331" s="6" t="s">
        <v>8687</v>
      </c>
      <c r="B331" s="6" t="s">
        <v>532</v>
      </c>
      <c r="C331" s="6" t="s">
        <v>152</v>
      </c>
      <c r="D331" s="6" t="s">
        <v>22</v>
      </c>
      <c r="E331" s="6" t="n">
        <f aca="false">ROUND(14575*1.05,2)</f>
        <v>15303.75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ROUND(68*1,0)&amp;"%"</f>
        <v>68%</v>
      </c>
    </row>
    <row r="332" customFormat="false" ht="15" hidden="false" customHeight="false" outlineLevel="0" collapsed="false">
      <c r="A332" s="5" t="s">
        <v>8688</v>
      </c>
      <c r="B332" s="5" t="s">
        <v>534</v>
      </c>
      <c r="C332" s="5" t="s">
        <v>152</v>
      </c>
      <c r="D332" s="5" t="s">
        <v>28</v>
      </c>
      <c r="E332" s="5" t="n">
        <f aca="false">ROUND(8537*1.05,2)</f>
        <v>8963.85</v>
      </c>
      <c r="F332" s="5" t="s">
        <v>29</v>
      </c>
      <c r="G332" s="5" t="s">
        <v>30</v>
      </c>
      <c r="H332" s="5" t="n">
        <f aca="true">ROUND(RAND()*4+6,1)</f>
        <v>8.6</v>
      </c>
      <c r="I332" s="5" t="s">
        <v>31</v>
      </c>
      <c r="J332" s="5" t="str">
        <f aca="false">ROUND(72*1,0)&amp;"%"</f>
        <v>72%</v>
      </c>
    </row>
    <row r="333" customFormat="false" ht="15" hidden="false" customHeight="false" outlineLevel="0" collapsed="false">
      <c r="A333" s="6" t="s">
        <v>8689</v>
      </c>
      <c r="B333" s="6" t="s">
        <v>536</v>
      </c>
      <c r="C333" s="6" t="s">
        <v>152</v>
      </c>
      <c r="D333" s="6" t="s">
        <v>34</v>
      </c>
      <c r="E333" s="6" t="n">
        <f aca="false">ROUND(8746*1.05,2)</f>
        <v>9183.3</v>
      </c>
      <c r="F333" s="6" t="s">
        <v>35</v>
      </c>
      <c r="G333" s="6" t="s">
        <v>18</v>
      </c>
      <c r="H333" s="6" t="n">
        <f aca="true">ROUND(RAND()*4+6,1)</f>
        <v>7.6</v>
      </c>
      <c r="I333" s="6" t="s">
        <v>36</v>
      </c>
      <c r="J333" s="6" t="str">
        <f aca="false">ROUND(85*1,0)&amp;"%"</f>
        <v>85%</v>
      </c>
    </row>
    <row r="334" customFormat="false" ht="15" hidden="false" customHeight="false" outlineLevel="0" collapsed="false">
      <c r="A334" s="5" t="s">
        <v>8690</v>
      </c>
      <c r="B334" s="5" t="s">
        <v>538</v>
      </c>
      <c r="C334" s="5" t="s">
        <v>152</v>
      </c>
      <c r="D334" s="5" t="s">
        <v>39</v>
      </c>
      <c r="E334" s="5" t="n">
        <f aca="false">ROUND(11774*1.05,2)</f>
        <v>12362.7</v>
      </c>
      <c r="F334" s="5" t="s">
        <v>40</v>
      </c>
      <c r="G334" s="5" t="s">
        <v>24</v>
      </c>
      <c r="H334" s="5" t="n">
        <f aca="true">ROUND(RAND()*4+6,1)</f>
        <v>8.1</v>
      </c>
      <c r="I334" s="5" t="s">
        <v>41</v>
      </c>
      <c r="J334" s="5" t="str">
        <f aca="false">ROUND(84*1,0)&amp;"%"</f>
        <v>84%</v>
      </c>
    </row>
    <row r="335" customFormat="false" ht="15" hidden="false" customHeight="false" outlineLevel="0" collapsed="false">
      <c r="A335" s="6" t="s">
        <v>8691</v>
      </c>
      <c r="B335" s="6" t="s">
        <v>540</v>
      </c>
      <c r="C335" s="6" t="s">
        <v>152</v>
      </c>
      <c r="D335" s="6" t="s">
        <v>44</v>
      </c>
      <c r="E335" s="6" t="n">
        <f aca="false">ROUND(17290*1.05,2)</f>
        <v>18154.5</v>
      </c>
      <c r="F335" s="6" t="s">
        <v>45</v>
      </c>
      <c r="G335" s="6" t="s">
        <v>30</v>
      </c>
      <c r="H335" s="6" t="n">
        <f aca="true">ROUND(RAND()*4+6,1)</f>
        <v>8.9</v>
      </c>
      <c r="I335" s="6" t="s">
        <v>46</v>
      </c>
      <c r="J335" s="6" t="str">
        <f aca="false">ROUND(93*1,0)&amp;"%"</f>
        <v>93%</v>
      </c>
    </row>
    <row r="336" customFormat="false" ht="15" hidden="false" customHeight="false" outlineLevel="0" collapsed="false">
      <c r="A336" s="5" t="s">
        <v>8692</v>
      </c>
      <c r="B336" s="5" t="s">
        <v>542</v>
      </c>
      <c r="C336" s="5" t="s">
        <v>152</v>
      </c>
      <c r="D336" s="5" t="s">
        <v>16</v>
      </c>
      <c r="E336" s="5" t="n">
        <f aca="false">ROUND(5515*1.05,2)</f>
        <v>5790.75</v>
      </c>
      <c r="F336" s="5" t="s">
        <v>49</v>
      </c>
      <c r="G336" s="5" t="s">
        <v>18</v>
      </c>
      <c r="H336" s="5" t="n">
        <f aca="true">ROUND(RAND()*4+6,1)</f>
        <v>8.1</v>
      </c>
      <c r="I336" s="5" t="s">
        <v>19</v>
      </c>
      <c r="J336" s="5" t="str">
        <f aca="false">ROUND(74*1,0)&amp;"%"</f>
        <v>74%</v>
      </c>
    </row>
    <row r="337" customFormat="false" ht="15" hidden="false" customHeight="false" outlineLevel="0" collapsed="false">
      <c r="A337" s="6" t="s">
        <v>8693</v>
      </c>
      <c r="B337" s="6" t="s">
        <v>544</v>
      </c>
      <c r="C337" s="6" t="s">
        <v>152</v>
      </c>
      <c r="D337" s="6" t="s">
        <v>22</v>
      </c>
      <c r="E337" s="6" t="n">
        <f aca="false">ROUND(6180*1.05,2)</f>
        <v>6489</v>
      </c>
      <c r="F337" s="6" t="s">
        <v>52</v>
      </c>
      <c r="G337" s="6" t="s">
        <v>24</v>
      </c>
      <c r="H337" s="6" t="n">
        <f aca="true">ROUND(RAND()*4+6,1)</f>
        <v>6.4</v>
      </c>
      <c r="I337" s="6" t="s">
        <v>25</v>
      </c>
      <c r="J337" s="6" t="str">
        <f aca="false">ROUND(100*1,0)&amp;"%"</f>
        <v>100%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8694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8695</v>
      </c>
      <c r="B342" s="5" t="s">
        <v>548</v>
      </c>
      <c r="C342" s="5" t="s">
        <v>15</v>
      </c>
      <c r="D342" s="5" t="s">
        <v>16</v>
      </c>
      <c r="E342" s="5" t="n">
        <f aca="false">ROUND(17535*1.05,2)</f>
        <v>18411.75</v>
      </c>
      <c r="F342" s="5" t="s">
        <v>17</v>
      </c>
      <c r="G342" s="5" t="s">
        <v>18</v>
      </c>
      <c r="H342" s="5" t="n">
        <f aca="true">ROUND(RAND()*4+6,1)</f>
        <v>8.7</v>
      </c>
      <c r="I342" s="5" t="s">
        <v>19</v>
      </c>
      <c r="J342" s="5" t="str">
        <f aca="false">ROUND(92*1,0)&amp;"%"</f>
        <v>92%</v>
      </c>
    </row>
    <row r="343" customFormat="false" ht="15" hidden="false" customHeight="false" outlineLevel="0" collapsed="false">
      <c r="A343" s="6" t="s">
        <v>8696</v>
      </c>
      <c r="B343" s="6" t="s">
        <v>550</v>
      </c>
      <c r="C343" s="6" t="s">
        <v>15</v>
      </c>
      <c r="D343" s="6" t="s">
        <v>22</v>
      </c>
      <c r="E343" s="6" t="n">
        <f aca="false">ROUND(12022*1.05,2)</f>
        <v>12623.1</v>
      </c>
      <c r="F343" s="6" t="s">
        <v>23</v>
      </c>
      <c r="G343" s="6" t="s">
        <v>24</v>
      </c>
      <c r="H343" s="6" t="n">
        <f aca="true">ROUND(RAND()*4+6,1)</f>
        <v>7.8</v>
      </c>
      <c r="I343" s="6" t="s">
        <v>25</v>
      </c>
      <c r="J343" s="6" t="str">
        <f aca="false">ROUND(99*1,0)&amp;"%"</f>
        <v>99%</v>
      </c>
    </row>
    <row r="344" customFormat="false" ht="15" hidden="false" customHeight="false" outlineLevel="0" collapsed="false">
      <c r="A344" s="5" t="s">
        <v>8697</v>
      </c>
      <c r="B344" s="5" t="s">
        <v>552</v>
      </c>
      <c r="C344" s="5" t="s">
        <v>15</v>
      </c>
      <c r="D344" s="5" t="s">
        <v>28</v>
      </c>
      <c r="E344" s="5" t="n">
        <f aca="false">ROUND(6744*1.05,2)</f>
        <v>7081.2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ROUND(93*1,0)&amp;"%"</f>
        <v>93%</v>
      </c>
    </row>
    <row r="345" customFormat="false" ht="15" hidden="false" customHeight="false" outlineLevel="0" collapsed="false">
      <c r="A345" s="6" t="s">
        <v>8698</v>
      </c>
      <c r="B345" s="6" t="s">
        <v>554</v>
      </c>
      <c r="C345" s="6" t="s">
        <v>15</v>
      </c>
      <c r="D345" s="6" t="s">
        <v>34</v>
      </c>
      <c r="E345" s="6" t="n">
        <f aca="false">ROUND(10344*1.05,2)</f>
        <v>10861.2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ROUND(71*1,0)&amp;"%"</f>
        <v>71%</v>
      </c>
    </row>
    <row r="346" customFormat="false" ht="15" hidden="false" customHeight="false" outlineLevel="0" collapsed="false">
      <c r="A346" s="5" t="s">
        <v>8699</v>
      </c>
      <c r="B346" s="5" t="s">
        <v>556</v>
      </c>
      <c r="C346" s="5" t="s">
        <v>15</v>
      </c>
      <c r="D346" s="5" t="s">
        <v>39</v>
      </c>
      <c r="E346" s="5" t="n">
        <f aca="false">ROUND(15501*1.05,2)</f>
        <v>16276.05</v>
      </c>
      <c r="F346" s="5" t="s">
        <v>40</v>
      </c>
      <c r="G346" s="5" t="s">
        <v>24</v>
      </c>
      <c r="H346" s="5" t="n">
        <f aca="true">ROUND(RAND()*4+6,1)</f>
        <v>6</v>
      </c>
      <c r="I346" s="5" t="s">
        <v>41</v>
      </c>
      <c r="J346" s="5" t="str">
        <f aca="false">ROUND(63*1,0)&amp;"%"</f>
        <v>63%</v>
      </c>
    </row>
    <row r="347" customFormat="false" ht="15" hidden="false" customHeight="false" outlineLevel="0" collapsed="false">
      <c r="A347" s="6" t="s">
        <v>8700</v>
      </c>
      <c r="B347" s="6" t="s">
        <v>558</v>
      </c>
      <c r="C347" s="6" t="s">
        <v>15</v>
      </c>
      <c r="D347" s="6" t="s">
        <v>44</v>
      </c>
      <c r="E347" s="6" t="n">
        <f aca="false">ROUND(9154*1.05,2)</f>
        <v>9611.7</v>
      </c>
      <c r="F347" s="6" t="s">
        <v>45</v>
      </c>
      <c r="G347" s="6" t="s">
        <v>30</v>
      </c>
      <c r="H347" s="6" t="n">
        <f aca="true">ROUND(RAND()*4+6,1)</f>
        <v>7.1</v>
      </c>
      <c r="I347" s="6" t="s">
        <v>46</v>
      </c>
      <c r="J347" s="6" t="str">
        <f aca="false">ROUND(91*1,0)&amp;"%"</f>
        <v>91%</v>
      </c>
    </row>
    <row r="348" customFormat="false" ht="15" hidden="false" customHeight="false" outlineLevel="0" collapsed="false">
      <c r="A348" s="5" t="s">
        <v>8701</v>
      </c>
      <c r="B348" s="5" t="s">
        <v>560</v>
      </c>
      <c r="C348" s="5" t="s">
        <v>15</v>
      </c>
      <c r="D348" s="5" t="s">
        <v>16</v>
      </c>
      <c r="E348" s="5" t="n">
        <f aca="false">ROUND(6014*1.05,2)</f>
        <v>6314.7</v>
      </c>
      <c r="F348" s="5" t="s">
        <v>49</v>
      </c>
      <c r="G348" s="5" t="s">
        <v>18</v>
      </c>
      <c r="H348" s="5" t="n">
        <f aca="true">ROUND(RAND()*4+6,1)</f>
        <v>9.6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8702</v>
      </c>
      <c r="B349" s="6" t="s">
        <v>562</v>
      </c>
      <c r="C349" s="6" t="s">
        <v>15</v>
      </c>
      <c r="D349" s="6" t="s">
        <v>22</v>
      </c>
      <c r="E349" s="6" t="n">
        <f aca="false">ROUND(4935*1.05,2)</f>
        <v>5181.75</v>
      </c>
      <c r="F349" s="6" t="s">
        <v>52</v>
      </c>
      <c r="G349" s="6" t="s">
        <v>24</v>
      </c>
      <c r="H349" s="6" t="n">
        <f aca="true">ROUND(RAND()*4+6,1)</f>
        <v>8.2</v>
      </c>
      <c r="I349" s="6" t="s">
        <v>25</v>
      </c>
      <c r="J349" s="6" t="str">
        <f aca="false">ROUND(70*1,0)&amp;"%"</f>
        <v>70%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8703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8704</v>
      </c>
      <c r="B354" s="5" t="s">
        <v>566</v>
      </c>
      <c r="C354" s="5" t="s">
        <v>57</v>
      </c>
      <c r="D354" s="5" t="s">
        <v>16</v>
      </c>
      <c r="E354" s="5" t="n">
        <f aca="false">ROUND(10683*1.05,2)</f>
        <v>11217.15</v>
      </c>
      <c r="F354" s="5" t="s">
        <v>17</v>
      </c>
      <c r="G354" s="5" t="s">
        <v>18</v>
      </c>
      <c r="H354" s="5" t="n">
        <f aca="true">ROUND(RAND()*4+6,1)</f>
        <v>8</v>
      </c>
      <c r="I354" s="5" t="s">
        <v>19</v>
      </c>
      <c r="J354" s="5" t="str">
        <f aca="false">ROUND(75*1,0)&amp;"%"</f>
        <v>75%</v>
      </c>
    </row>
    <row r="355" customFormat="false" ht="15" hidden="false" customHeight="false" outlineLevel="0" collapsed="false">
      <c r="A355" s="6" t="s">
        <v>8705</v>
      </c>
      <c r="B355" s="6" t="s">
        <v>568</v>
      </c>
      <c r="C355" s="6" t="s">
        <v>57</v>
      </c>
      <c r="D355" s="6" t="s">
        <v>22</v>
      </c>
      <c r="E355" s="6" t="n">
        <f aca="false">ROUND(6980*1.05,2)</f>
        <v>7329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ROUND(77*1,0)&amp;"%"</f>
        <v>77%</v>
      </c>
    </row>
    <row r="356" customFormat="false" ht="15" hidden="false" customHeight="false" outlineLevel="0" collapsed="false">
      <c r="A356" s="5" t="s">
        <v>8706</v>
      </c>
      <c r="B356" s="5" t="s">
        <v>570</v>
      </c>
      <c r="C356" s="5" t="s">
        <v>57</v>
      </c>
      <c r="D356" s="5" t="s">
        <v>28</v>
      </c>
      <c r="E356" s="5" t="n">
        <f aca="false">ROUND(9608*1.05,2)</f>
        <v>10088.4</v>
      </c>
      <c r="F356" s="5" t="s">
        <v>29</v>
      </c>
      <c r="G356" s="5" t="s">
        <v>30</v>
      </c>
      <c r="H356" s="5" t="n">
        <f aca="true">ROUND(RAND()*4+6,1)</f>
        <v>7</v>
      </c>
      <c r="I356" s="5" t="s">
        <v>31</v>
      </c>
      <c r="J356" s="5" t="str">
        <f aca="false">ROUND(75*1,0)&amp;"%"</f>
        <v>75%</v>
      </c>
    </row>
    <row r="357" customFormat="false" ht="15" hidden="false" customHeight="false" outlineLevel="0" collapsed="false">
      <c r="A357" s="6" t="s">
        <v>8707</v>
      </c>
      <c r="B357" s="6" t="s">
        <v>572</v>
      </c>
      <c r="C357" s="6" t="s">
        <v>57</v>
      </c>
      <c r="D357" s="6" t="s">
        <v>34</v>
      </c>
      <c r="E357" s="6" t="n">
        <f aca="false">ROUND(10644*1.05,2)</f>
        <v>11176.2</v>
      </c>
      <c r="F357" s="6" t="s">
        <v>35</v>
      </c>
      <c r="G357" s="6" t="s">
        <v>18</v>
      </c>
      <c r="H357" s="6" t="n">
        <f aca="true">ROUND(RAND()*4+6,1)</f>
        <v>6.4</v>
      </c>
      <c r="I357" s="6" t="s">
        <v>36</v>
      </c>
      <c r="J357" s="6" t="str">
        <f aca="false">ROUND(85*1,0)&amp;"%"</f>
        <v>85%</v>
      </c>
    </row>
    <row r="358" customFormat="false" ht="15" hidden="false" customHeight="false" outlineLevel="0" collapsed="false">
      <c r="A358" s="5" t="s">
        <v>8708</v>
      </c>
      <c r="B358" s="5" t="s">
        <v>574</v>
      </c>
      <c r="C358" s="5" t="s">
        <v>57</v>
      </c>
      <c r="D358" s="5" t="s">
        <v>39</v>
      </c>
      <c r="E358" s="5" t="n">
        <f aca="false">ROUND(5181*1.05,2)</f>
        <v>5440.05</v>
      </c>
      <c r="F358" s="5" t="s">
        <v>40</v>
      </c>
      <c r="G358" s="5" t="s">
        <v>24</v>
      </c>
      <c r="H358" s="5" t="n">
        <f aca="true">ROUND(RAND()*4+6,1)</f>
        <v>8.9</v>
      </c>
      <c r="I358" s="5" t="s">
        <v>41</v>
      </c>
      <c r="J358" s="5" t="str">
        <f aca="false">ROUND(95*1,0)&amp;"%"</f>
        <v>95%</v>
      </c>
    </row>
    <row r="359" customFormat="false" ht="15" hidden="false" customHeight="false" outlineLevel="0" collapsed="false">
      <c r="A359" s="6" t="s">
        <v>8709</v>
      </c>
      <c r="B359" s="6" t="s">
        <v>576</v>
      </c>
      <c r="C359" s="6" t="s">
        <v>57</v>
      </c>
      <c r="D359" s="6" t="s">
        <v>44</v>
      </c>
      <c r="E359" s="6" t="n">
        <f aca="false">ROUND(13666*1.05,2)</f>
        <v>14349.3</v>
      </c>
      <c r="F359" s="6" t="s">
        <v>45</v>
      </c>
      <c r="G359" s="6" t="s">
        <v>30</v>
      </c>
      <c r="H359" s="6" t="n">
        <f aca="true">ROUND(RAND()*4+6,1)</f>
        <v>9.8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8710</v>
      </c>
      <c r="B360" s="5" t="s">
        <v>578</v>
      </c>
      <c r="C360" s="5" t="s">
        <v>57</v>
      </c>
      <c r="D360" s="5" t="s">
        <v>16</v>
      </c>
      <c r="E360" s="5" t="n">
        <f aca="false">ROUND(9523*1.05,2)</f>
        <v>9999.15</v>
      </c>
      <c r="F360" s="5" t="s">
        <v>49</v>
      </c>
      <c r="G360" s="5" t="s">
        <v>18</v>
      </c>
      <c r="H360" s="5" t="n">
        <f aca="true">ROUND(RAND()*4+6,1)</f>
        <v>6.3</v>
      </c>
      <c r="I360" s="5" t="s">
        <v>19</v>
      </c>
      <c r="J360" s="5" t="str">
        <f aca="false">ROUND(90*1,0)&amp;"%"</f>
        <v>90%</v>
      </c>
    </row>
    <row r="361" customFormat="false" ht="15" hidden="false" customHeight="false" outlineLevel="0" collapsed="false">
      <c r="A361" s="6" t="s">
        <v>8711</v>
      </c>
      <c r="B361" s="6" t="s">
        <v>580</v>
      </c>
      <c r="C361" s="6" t="s">
        <v>57</v>
      </c>
      <c r="D361" s="6" t="s">
        <v>22</v>
      </c>
      <c r="E361" s="6" t="n">
        <f aca="false">ROUND(8751*1.05,2)</f>
        <v>9188.55</v>
      </c>
      <c r="F361" s="6" t="s">
        <v>52</v>
      </c>
      <c r="G361" s="6" t="s">
        <v>24</v>
      </c>
      <c r="H361" s="6" t="n">
        <f aca="true">ROUND(RAND()*4+6,1)</f>
        <v>8.8</v>
      </c>
      <c r="I361" s="6" t="s">
        <v>25</v>
      </c>
      <c r="J361" s="6" t="str">
        <f aca="false">ROUND(77*1,0)&amp;"%"</f>
        <v>77%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8712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8713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8714</v>
      </c>
      <c r="B6" s="5" t="s">
        <v>14</v>
      </c>
      <c r="C6" s="5" t="s">
        <v>15</v>
      </c>
      <c r="D6" s="5" t="s">
        <v>16</v>
      </c>
      <c r="E6" s="5" t="n">
        <f aca="false">ROUND(10756*1.05,2)</f>
        <v>11293.8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8715</v>
      </c>
      <c r="B7" s="6" t="s">
        <v>21</v>
      </c>
      <c r="C7" s="6" t="s">
        <v>15</v>
      </c>
      <c r="D7" s="6" t="s">
        <v>22</v>
      </c>
      <c r="E7" s="6" t="n">
        <f aca="false">ROUND(15573*1.05,2)</f>
        <v>16351.65</v>
      </c>
      <c r="F7" s="6" t="s">
        <v>23</v>
      </c>
      <c r="G7" s="6" t="s">
        <v>24</v>
      </c>
      <c r="H7" s="6" t="n">
        <f aca="true">ROUND(RAND()*4+6,1)</f>
        <v>6.2</v>
      </c>
      <c r="I7" s="6" t="s">
        <v>25</v>
      </c>
      <c r="J7" s="6" t="str">
        <f aca="false">ROUND(70*1,0)&amp;"%"</f>
        <v>70%</v>
      </c>
    </row>
    <row r="8" customFormat="false" ht="15" hidden="false" customHeight="false" outlineLevel="0" collapsed="false">
      <c r="A8" s="5" t="s">
        <v>8716</v>
      </c>
      <c r="B8" s="5" t="s">
        <v>27</v>
      </c>
      <c r="C8" s="5" t="s">
        <v>15</v>
      </c>
      <c r="D8" s="5" t="s">
        <v>28</v>
      </c>
      <c r="E8" s="5" t="n">
        <f aca="false">ROUND(13298*1.05,2)</f>
        <v>13962.9</v>
      </c>
      <c r="F8" s="5" t="s">
        <v>29</v>
      </c>
      <c r="G8" s="5" t="s">
        <v>30</v>
      </c>
      <c r="H8" s="5" t="n">
        <f aca="true">ROUND(RAND()*4+6,1)</f>
        <v>7.3</v>
      </c>
      <c r="I8" s="5" t="s">
        <v>31</v>
      </c>
      <c r="J8" s="5" t="str">
        <f aca="false">ROUND(93*1,0)&amp;"%"</f>
        <v>93%</v>
      </c>
    </row>
    <row r="9" customFormat="false" ht="15" hidden="false" customHeight="false" outlineLevel="0" collapsed="false">
      <c r="A9" s="6" t="s">
        <v>8717</v>
      </c>
      <c r="B9" s="6" t="s">
        <v>33</v>
      </c>
      <c r="C9" s="6" t="s">
        <v>15</v>
      </c>
      <c r="D9" s="6" t="s">
        <v>34</v>
      </c>
      <c r="E9" s="6" t="n">
        <f aca="false">ROUND(7860*1.05,2)</f>
        <v>8253</v>
      </c>
      <c r="F9" s="6" t="s">
        <v>35</v>
      </c>
      <c r="G9" s="6" t="s">
        <v>18</v>
      </c>
      <c r="H9" s="6" t="n">
        <f aca="true">ROUND(RAND()*4+6,1)</f>
        <v>8.3</v>
      </c>
      <c r="I9" s="6" t="s">
        <v>36</v>
      </c>
      <c r="J9" s="6" t="str">
        <f aca="false">ROUND(80*1,0)&amp;"%"</f>
        <v>80%</v>
      </c>
    </row>
    <row r="10" customFormat="false" ht="15" hidden="false" customHeight="false" outlineLevel="0" collapsed="false">
      <c r="A10" s="5" t="s">
        <v>8718</v>
      </c>
      <c r="B10" s="5" t="s">
        <v>38</v>
      </c>
      <c r="C10" s="5" t="s">
        <v>15</v>
      </c>
      <c r="D10" s="5" t="s">
        <v>39</v>
      </c>
      <c r="E10" s="5" t="n">
        <f aca="false">ROUND(17852*1.05,2)</f>
        <v>18744.6</v>
      </c>
      <c r="F10" s="5" t="s">
        <v>40</v>
      </c>
      <c r="G10" s="5" t="s">
        <v>24</v>
      </c>
      <c r="H10" s="5" t="n">
        <f aca="true">ROUND(RAND()*4+6,1)</f>
        <v>9.5</v>
      </c>
      <c r="I10" s="5" t="s">
        <v>41</v>
      </c>
      <c r="J10" s="5" t="str">
        <f aca="false">ROUND(64*1,0)&amp;"%"</f>
        <v>64%</v>
      </c>
    </row>
    <row r="11" customFormat="false" ht="15" hidden="false" customHeight="false" outlineLevel="0" collapsed="false">
      <c r="A11" s="6" t="s">
        <v>8719</v>
      </c>
      <c r="B11" s="6" t="s">
        <v>43</v>
      </c>
      <c r="C11" s="6" t="s">
        <v>15</v>
      </c>
      <c r="D11" s="6" t="s">
        <v>44</v>
      </c>
      <c r="E11" s="6" t="n">
        <f aca="false">ROUND(16223*1.05,2)</f>
        <v>17034.15</v>
      </c>
      <c r="F11" s="6" t="s">
        <v>45</v>
      </c>
      <c r="G11" s="6" t="s">
        <v>30</v>
      </c>
      <c r="H11" s="6" t="n">
        <f aca="true">ROUND(RAND()*4+6,1)</f>
        <v>9</v>
      </c>
      <c r="I11" s="6" t="s">
        <v>46</v>
      </c>
      <c r="J11" s="6" t="str">
        <f aca="false">ROUND(89*1,0)&amp;"%"</f>
        <v>89%</v>
      </c>
    </row>
    <row r="12" customFormat="false" ht="15" hidden="false" customHeight="false" outlineLevel="0" collapsed="false">
      <c r="A12" s="5" t="s">
        <v>8720</v>
      </c>
      <c r="B12" s="5" t="s">
        <v>48</v>
      </c>
      <c r="C12" s="5" t="s">
        <v>15</v>
      </c>
      <c r="D12" s="5" t="s">
        <v>16</v>
      </c>
      <c r="E12" s="5" t="n">
        <f aca="false">ROUND(16479*1.05,2)</f>
        <v>17302.95</v>
      </c>
      <c r="F12" s="5" t="s">
        <v>49</v>
      </c>
      <c r="G12" s="5" t="s">
        <v>18</v>
      </c>
      <c r="H12" s="5" t="n">
        <f aca="true">ROUND(RAND()*4+6,1)</f>
        <v>7.5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8721</v>
      </c>
      <c r="B13" s="6" t="s">
        <v>51</v>
      </c>
      <c r="C13" s="6" t="s">
        <v>15</v>
      </c>
      <c r="D13" s="6" t="s">
        <v>22</v>
      </c>
      <c r="E13" s="6" t="n">
        <f aca="false">ROUND(10586*1.05,2)</f>
        <v>11115.3</v>
      </c>
      <c r="F13" s="6" t="s">
        <v>52</v>
      </c>
      <c r="G13" s="6" t="s">
        <v>24</v>
      </c>
      <c r="H13" s="6" t="n">
        <f aca="true">ROUND(RAND()*4+6,1)</f>
        <v>6.1</v>
      </c>
      <c r="I13" s="6" t="s">
        <v>25</v>
      </c>
      <c r="J13" s="6" t="str">
        <f aca="false">ROUND(85*1,0)&amp;"%"</f>
        <v>85%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8722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8723</v>
      </c>
      <c r="B18" s="5" t="s">
        <v>56</v>
      </c>
      <c r="C18" s="5" t="s">
        <v>57</v>
      </c>
      <c r="D18" s="5" t="s">
        <v>16</v>
      </c>
      <c r="E18" s="5" t="n">
        <f aca="false">ROUND(12178*1.05,2)</f>
        <v>12786.9</v>
      </c>
      <c r="F18" s="5" t="s">
        <v>17</v>
      </c>
      <c r="G18" s="5" t="s">
        <v>18</v>
      </c>
      <c r="H18" s="5" t="n">
        <f aca="true">ROUND(RAND()*4+6,1)</f>
        <v>6.3</v>
      </c>
      <c r="I18" s="5" t="s">
        <v>19</v>
      </c>
      <c r="J18" s="5" t="str">
        <f aca="false">ROUND(61*1,0)&amp;"%"</f>
        <v>61%</v>
      </c>
    </row>
    <row r="19" customFormat="false" ht="15" hidden="false" customHeight="false" outlineLevel="0" collapsed="false">
      <c r="A19" s="6" t="s">
        <v>8724</v>
      </c>
      <c r="B19" s="6" t="s">
        <v>59</v>
      </c>
      <c r="C19" s="6" t="s">
        <v>57</v>
      </c>
      <c r="D19" s="6" t="s">
        <v>22</v>
      </c>
      <c r="E19" s="6" t="n">
        <f aca="false">ROUND(14823*1.05,2)</f>
        <v>15564.15</v>
      </c>
      <c r="F19" s="6" t="s">
        <v>23</v>
      </c>
      <c r="G19" s="6" t="s">
        <v>24</v>
      </c>
      <c r="H19" s="6" t="n">
        <f aca="true">ROUND(RAND()*4+6,1)</f>
        <v>6.8</v>
      </c>
      <c r="I19" s="6" t="s">
        <v>25</v>
      </c>
      <c r="J19" s="6" t="str">
        <f aca="false">ROUND(86*1,0)&amp;"%"</f>
        <v>86%</v>
      </c>
    </row>
    <row r="20" customFormat="false" ht="15" hidden="false" customHeight="false" outlineLevel="0" collapsed="false">
      <c r="A20" s="5" t="s">
        <v>8725</v>
      </c>
      <c r="B20" s="5" t="s">
        <v>61</v>
      </c>
      <c r="C20" s="5" t="s">
        <v>57</v>
      </c>
      <c r="D20" s="5" t="s">
        <v>28</v>
      </c>
      <c r="E20" s="5" t="n">
        <f aca="false">ROUND(9566*1.05,2)</f>
        <v>10044.3</v>
      </c>
      <c r="F20" s="5" t="s">
        <v>29</v>
      </c>
      <c r="G20" s="5" t="s">
        <v>30</v>
      </c>
      <c r="H20" s="5" t="n">
        <f aca="true">ROUND(RAND()*4+6,1)</f>
        <v>8</v>
      </c>
      <c r="I20" s="5" t="s">
        <v>31</v>
      </c>
      <c r="J20" s="5" t="str">
        <f aca="false">ROUND(79*1,0)&amp;"%"</f>
        <v>79%</v>
      </c>
    </row>
    <row r="21" customFormat="false" ht="15" hidden="false" customHeight="false" outlineLevel="0" collapsed="false">
      <c r="A21" s="6" t="s">
        <v>8726</v>
      </c>
      <c r="B21" s="6" t="s">
        <v>63</v>
      </c>
      <c r="C21" s="6" t="s">
        <v>57</v>
      </c>
      <c r="D21" s="6" t="s">
        <v>34</v>
      </c>
      <c r="E21" s="6" t="n">
        <f aca="false">ROUND(13981*1.05,2)</f>
        <v>14680.05</v>
      </c>
      <c r="F21" s="6" t="s">
        <v>35</v>
      </c>
      <c r="G21" s="6" t="s">
        <v>18</v>
      </c>
      <c r="H21" s="6" t="n">
        <f aca="true">ROUND(RAND()*4+6,1)</f>
        <v>7</v>
      </c>
      <c r="I21" s="6" t="s">
        <v>36</v>
      </c>
      <c r="J21" s="6" t="str">
        <f aca="false">ROUND(93*1,0)&amp;"%"</f>
        <v>93%</v>
      </c>
    </row>
    <row r="22" customFormat="false" ht="15" hidden="false" customHeight="false" outlineLevel="0" collapsed="false">
      <c r="A22" s="5" t="s">
        <v>8727</v>
      </c>
      <c r="B22" s="5" t="s">
        <v>65</v>
      </c>
      <c r="C22" s="5" t="s">
        <v>57</v>
      </c>
      <c r="D22" s="5" t="s">
        <v>39</v>
      </c>
      <c r="E22" s="5" t="n">
        <f aca="false">ROUND(4458*1.05,2)</f>
        <v>4680.9</v>
      </c>
      <c r="F22" s="5" t="s">
        <v>40</v>
      </c>
      <c r="G22" s="5" t="s">
        <v>24</v>
      </c>
      <c r="H22" s="5" t="n">
        <f aca="true">ROUND(RAND()*4+6,1)</f>
        <v>7.8</v>
      </c>
      <c r="I22" s="5" t="s">
        <v>41</v>
      </c>
      <c r="J22" s="5" t="str">
        <f aca="false">ROUND(73*1,0)&amp;"%"</f>
        <v>73%</v>
      </c>
    </row>
    <row r="23" customFormat="false" ht="15" hidden="false" customHeight="false" outlineLevel="0" collapsed="false">
      <c r="A23" s="6" t="s">
        <v>8728</v>
      </c>
      <c r="B23" s="6" t="s">
        <v>67</v>
      </c>
      <c r="C23" s="6" t="s">
        <v>57</v>
      </c>
      <c r="D23" s="6" t="s">
        <v>44</v>
      </c>
      <c r="E23" s="6" t="n">
        <f aca="false">ROUND(12855*1.05,2)</f>
        <v>13497.75</v>
      </c>
      <c r="F23" s="6" t="s">
        <v>45</v>
      </c>
      <c r="G23" s="6" t="s">
        <v>30</v>
      </c>
      <c r="H23" s="6" t="n">
        <f aca="true">ROUND(RAND()*4+6,1)</f>
        <v>6.1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8729</v>
      </c>
      <c r="B24" s="5" t="s">
        <v>69</v>
      </c>
      <c r="C24" s="5" t="s">
        <v>57</v>
      </c>
      <c r="D24" s="5" t="s">
        <v>16</v>
      </c>
      <c r="E24" s="5" t="n">
        <f aca="false">ROUND(4918*1.05,2)</f>
        <v>5163.9</v>
      </c>
      <c r="F24" s="5" t="s">
        <v>49</v>
      </c>
      <c r="G24" s="5" t="s">
        <v>18</v>
      </c>
      <c r="H24" s="5" t="n">
        <f aca="true">ROUND(RAND()*4+6,1)</f>
        <v>8.6</v>
      </c>
      <c r="I24" s="5" t="s">
        <v>19</v>
      </c>
      <c r="J24" s="5" t="str">
        <f aca="false">ROUND(92*1,0)&amp;"%"</f>
        <v>92%</v>
      </c>
    </row>
    <row r="25" customFormat="false" ht="15" hidden="false" customHeight="false" outlineLevel="0" collapsed="false">
      <c r="A25" s="6" t="s">
        <v>8730</v>
      </c>
      <c r="B25" s="6" t="s">
        <v>71</v>
      </c>
      <c r="C25" s="6" t="s">
        <v>57</v>
      </c>
      <c r="D25" s="6" t="s">
        <v>22</v>
      </c>
      <c r="E25" s="6" t="n">
        <f aca="false">ROUND(6668*1.05,2)</f>
        <v>7001.4</v>
      </c>
      <c r="F25" s="6" t="s">
        <v>52</v>
      </c>
      <c r="G25" s="6" t="s">
        <v>24</v>
      </c>
      <c r="H25" s="6" t="n">
        <f aca="true">ROUND(RAND()*4+6,1)</f>
        <v>6.7</v>
      </c>
      <c r="I25" s="6" t="s">
        <v>25</v>
      </c>
      <c r="J25" s="6" t="str">
        <f aca="false">ROUND(61*1,0)&amp;"%"</f>
        <v>61%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8731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8732</v>
      </c>
      <c r="B30" s="5" t="s">
        <v>75</v>
      </c>
      <c r="C30" s="5" t="s">
        <v>76</v>
      </c>
      <c r="D30" s="5" t="s">
        <v>16</v>
      </c>
      <c r="E30" s="5" t="n">
        <f aca="false">ROUND(6155*1.05,2)</f>
        <v>6462.75</v>
      </c>
      <c r="F30" s="5" t="s">
        <v>17</v>
      </c>
      <c r="G30" s="5" t="s">
        <v>18</v>
      </c>
      <c r="H30" s="5" t="n">
        <f aca="true">ROUND(RAND()*4+6,1)</f>
        <v>8.9</v>
      </c>
      <c r="I30" s="5" t="s">
        <v>19</v>
      </c>
      <c r="J30" s="5" t="str">
        <f aca="false">ROUND(66*1,0)&amp;"%"</f>
        <v>66%</v>
      </c>
    </row>
    <row r="31" customFormat="false" ht="15" hidden="false" customHeight="false" outlineLevel="0" collapsed="false">
      <c r="A31" s="6" t="s">
        <v>8733</v>
      </c>
      <c r="B31" s="6" t="s">
        <v>78</v>
      </c>
      <c r="C31" s="6" t="s">
        <v>76</v>
      </c>
      <c r="D31" s="6" t="s">
        <v>22</v>
      </c>
      <c r="E31" s="6" t="n">
        <f aca="false">ROUND(12616*1.05,2)</f>
        <v>13246.8</v>
      </c>
      <c r="F31" s="6" t="s">
        <v>23</v>
      </c>
      <c r="G31" s="6" t="s">
        <v>24</v>
      </c>
      <c r="H31" s="6" t="n">
        <f aca="true">ROUND(RAND()*4+6,1)</f>
        <v>9.9</v>
      </c>
      <c r="I31" s="6" t="s">
        <v>25</v>
      </c>
      <c r="J31" s="6" t="str">
        <f aca="false">ROUND(77*1,0)&amp;"%"</f>
        <v>77%</v>
      </c>
    </row>
    <row r="32" customFormat="false" ht="15" hidden="false" customHeight="false" outlineLevel="0" collapsed="false">
      <c r="A32" s="5" t="s">
        <v>8734</v>
      </c>
      <c r="B32" s="5" t="s">
        <v>80</v>
      </c>
      <c r="C32" s="5" t="s">
        <v>76</v>
      </c>
      <c r="D32" s="5" t="s">
        <v>28</v>
      </c>
      <c r="E32" s="5" t="n">
        <f aca="false">ROUND(12439*1.05,2)</f>
        <v>13060.95</v>
      </c>
      <c r="F32" s="5" t="s">
        <v>29</v>
      </c>
      <c r="G32" s="5" t="s">
        <v>30</v>
      </c>
      <c r="H32" s="5" t="n">
        <f aca="true">ROUND(RAND()*4+6,1)</f>
        <v>9.1</v>
      </c>
      <c r="I32" s="5" t="s">
        <v>31</v>
      </c>
      <c r="J32" s="5" t="str">
        <f aca="false">ROUND(95*1,0)&amp;"%"</f>
        <v>95%</v>
      </c>
    </row>
    <row r="33" customFormat="false" ht="15" hidden="false" customHeight="false" outlineLevel="0" collapsed="false">
      <c r="A33" s="6" t="s">
        <v>8735</v>
      </c>
      <c r="B33" s="6" t="s">
        <v>82</v>
      </c>
      <c r="C33" s="6" t="s">
        <v>76</v>
      </c>
      <c r="D33" s="6" t="s">
        <v>34</v>
      </c>
      <c r="E33" s="6" t="n">
        <f aca="false">ROUND(8947*1.05,2)</f>
        <v>9394.35</v>
      </c>
      <c r="F33" s="6" t="s">
        <v>35</v>
      </c>
      <c r="G33" s="6" t="s">
        <v>18</v>
      </c>
      <c r="H33" s="6" t="n">
        <f aca="true">ROUND(RAND()*4+6,1)</f>
        <v>8</v>
      </c>
      <c r="I33" s="6" t="s">
        <v>36</v>
      </c>
      <c r="J33" s="6" t="str">
        <f aca="false">ROUND(94*1,0)&amp;"%"</f>
        <v>94%</v>
      </c>
    </row>
    <row r="34" customFormat="false" ht="15" hidden="false" customHeight="false" outlineLevel="0" collapsed="false">
      <c r="A34" s="5" t="s">
        <v>8736</v>
      </c>
      <c r="B34" s="5" t="s">
        <v>84</v>
      </c>
      <c r="C34" s="5" t="s">
        <v>76</v>
      </c>
      <c r="D34" s="5" t="s">
        <v>39</v>
      </c>
      <c r="E34" s="5" t="n">
        <f aca="false">ROUND(15756*1.05,2)</f>
        <v>16543.8</v>
      </c>
      <c r="F34" s="5" t="s">
        <v>40</v>
      </c>
      <c r="G34" s="5" t="s">
        <v>24</v>
      </c>
      <c r="H34" s="5" t="n">
        <f aca="true">ROUND(RAND()*4+6,1)</f>
        <v>6</v>
      </c>
      <c r="I34" s="5" t="s">
        <v>41</v>
      </c>
      <c r="J34" s="5" t="str">
        <f aca="false">ROUND(81*1,0)&amp;"%"</f>
        <v>81%</v>
      </c>
    </row>
    <row r="35" customFormat="false" ht="15" hidden="false" customHeight="false" outlineLevel="0" collapsed="false">
      <c r="A35" s="6" t="s">
        <v>8737</v>
      </c>
      <c r="B35" s="6" t="s">
        <v>86</v>
      </c>
      <c r="C35" s="6" t="s">
        <v>76</v>
      </c>
      <c r="D35" s="6" t="s">
        <v>44</v>
      </c>
      <c r="E35" s="6" t="n">
        <f aca="false">ROUND(15786*1.05,2)</f>
        <v>16575.3</v>
      </c>
      <c r="F35" s="6" t="s">
        <v>45</v>
      </c>
      <c r="G35" s="6" t="s">
        <v>30</v>
      </c>
      <c r="H35" s="6" t="n">
        <f aca="true">ROUND(RAND()*4+6,1)</f>
        <v>6.6</v>
      </c>
      <c r="I35" s="6" t="s">
        <v>46</v>
      </c>
      <c r="J35" s="6" t="str">
        <f aca="false">ROUND(76*1,0)&amp;"%"</f>
        <v>76%</v>
      </c>
    </row>
    <row r="36" customFormat="false" ht="15" hidden="false" customHeight="false" outlineLevel="0" collapsed="false">
      <c r="A36" s="5" t="s">
        <v>8738</v>
      </c>
      <c r="B36" s="5" t="s">
        <v>88</v>
      </c>
      <c r="C36" s="5" t="s">
        <v>76</v>
      </c>
      <c r="D36" s="5" t="s">
        <v>16</v>
      </c>
      <c r="E36" s="5" t="n">
        <f aca="false">ROUND(10382*1.05,2)</f>
        <v>10901.1</v>
      </c>
      <c r="F36" s="5" t="s">
        <v>49</v>
      </c>
      <c r="G36" s="5" t="s">
        <v>18</v>
      </c>
      <c r="H36" s="5" t="n">
        <f aca="true">ROUND(RAND()*4+6,1)</f>
        <v>8.6</v>
      </c>
      <c r="I36" s="5" t="s">
        <v>19</v>
      </c>
      <c r="J36" s="5" t="str">
        <f aca="false">ROUND(64*1,0)&amp;"%"</f>
        <v>64%</v>
      </c>
    </row>
    <row r="37" customFormat="false" ht="15" hidden="false" customHeight="false" outlineLevel="0" collapsed="false">
      <c r="A37" s="6" t="s">
        <v>8739</v>
      </c>
      <c r="B37" s="6" t="s">
        <v>90</v>
      </c>
      <c r="C37" s="6" t="s">
        <v>76</v>
      </c>
      <c r="D37" s="6" t="s">
        <v>22</v>
      </c>
      <c r="E37" s="6" t="n">
        <f aca="false">ROUND(5076*1.05,2)</f>
        <v>5329.8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ROUND(64*1,0)&amp;"%"</f>
        <v>64%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8740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8741</v>
      </c>
      <c r="B42" s="5" t="s">
        <v>94</v>
      </c>
      <c r="C42" s="5" t="s">
        <v>95</v>
      </c>
      <c r="D42" s="5" t="s">
        <v>16</v>
      </c>
      <c r="E42" s="5" t="n">
        <f aca="false">ROUND(8079*1.05,2)</f>
        <v>8482.95</v>
      </c>
      <c r="F42" s="5" t="s">
        <v>17</v>
      </c>
      <c r="G42" s="5" t="s">
        <v>18</v>
      </c>
      <c r="H42" s="5" t="n">
        <f aca="true">ROUND(RAND()*4+6,1)</f>
        <v>6.5</v>
      </c>
      <c r="I42" s="5" t="s">
        <v>19</v>
      </c>
      <c r="J42" s="5" t="str">
        <f aca="false">ROUND(82*1,0)&amp;"%"</f>
        <v>82%</v>
      </c>
    </row>
    <row r="43" customFormat="false" ht="15" hidden="false" customHeight="false" outlineLevel="0" collapsed="false">
      <c r="A43" s="6" t="s">
        <v>8742</v>
      </c>
      <c r="B43" s="6" t="s">
        <v>97</v>
      </c>
      <c r="C43" s="6" t="s">
        <v>95</v>
      </c>
      <c r="D43" s="6" t="s">
        <v>22</v>
      </c>
      <c r="E43" s="6" t="n">
        <f aca="false">ROUND(15123*1.05,2)</f>
        <v>15879.15</v>
      </c>
      <c r="F43" s="6" t="s">
        <v>23</v>
      </c>
      <c r="G43" s="6" t="s">
        <v>24</v>
      </c>
      <c r="H43" s="6" t="n">
        <f aca="true">ROUND(RAND()*4+6,1)</f>
        <v>8.1</v>
      </c>
      <c r="I43" s="6" t="s">
        <v>25</v>
      </c>
      <c r="J43" s="6" t="str">
        <f aca="false">ROUND(66*1,0)&amp;"%"</f>
        <v>66%</v>
      </c>
    </row>
    <row r="44" customFormat="false" ht="15" hidden="false" customHeight="false" outlineLevel="0" collapsed="false">
      <c r="A44" s="5" t="s">
        <v>8743</v>
      </c>
      <c r="B44" s="5" t="s">
        <v>99</v>
      </c>
      <c r="C44" s="5" t="s">
        <v>95</v>
      </c>
      <c r="D44" s="5" t="s">
        <v>28</v>
      </c>
      <c r="E44" s="5" t="n">
        <f aca="false">ROUND(9510*1.05,2)</f>
        <v>9985.5</v>
      </c>
      <c r="F44" s="5" t="s">
        <v>29</v>
      </c>
      <c r="G44" s="5" t="s">
        <v>30</v>
      </c>
      <c r="H44" s="5" t="n">
        <f aca="true">ROUND(RAND()*4+6,1)</f>
        <v>8.2</v>
      </c>
      <c r="I44" s="5" t="s">
        <v>31</v>
      </c>
      <c r="J44" s="5" t="str">
        <f aca="false">ROUND(83*1,0)&amp;"%"</f>
        <v>83%</v>
      </c>
    </row>
    <row r="45" customFormat="false" ht="15" hidden="false" customHeight="false" outlineLevel="0" collapsed="false">
      <c r="A45" s="6" t="s">
        <v>8744</v>
      </c>
      <c r="B45" s="6" t="s">
        <v>101</v>
      </c>
      <c r="C45" s="6" t="s">
        <v>95</v>
      </c>
      <c r="D45" s="6" t="s">
        <v>34</v>
      </c>
      <c r="E45" s="6" t="n">
        <f aca="false">ROUND(14836*1.05,2)</f>
        <v>15577.8</v>
      </c>
      <c r="F45" s="6" t="s">
        <v>35</v>
      </c>
      <c r="G45" s="6" t="s">
        <v>18</v>
      </c>
      <c r="H45" s="6" t="n">
        <f aca="true">ROUND(RAND()*4+6,1)</f>
        <v>7.1</v>
      </c>
      <c r="I45" s="6" t="s">
        <v>36</v>
      </c>
      <c r="J45" s="6" t="str">
        <f aca="false">ROUND(83*1,0)&amp;"%"</f>
        <v>83%</v>
      </c>
    </row>
    <row r="46" customFormat="false" ht="15" hidden="false" customHeight="false" outlineLevel="0" collapsed="false">
      <c r="A46" s="5" t="s">
        <v>8745</v>
      </c>
      <c r="B46" s="5" t="s">
        <v>103</v>
      </c>
      <c r="C46" s="5" t="s">
        <v>95</v>
      </c>
      <c r="D46" s="5" t="s">
        <v>39</v>
      </c>
      <c r="E46" s="5" t="n">
        <f aca="false">ROUND(7135*1.05,2)</f>
        <v>7491.75</v>
      </c>
      <c r="F46" s="5" t="s">
        <v>40</v>
      </c>
      <c r="G46" s="5" t="s">
        <v>24</v>
      </c>
      <c r="H46" s="5" t="n">
        <f aca="true">ROUND(RAND()*4+6,1)</f>
        <v>6.2</v>
      </c>
      <c r="I46" s="5" t="s">
        <v>41</v>
      </c>
      <c r="J46" s="5" t="str">
        <f aca="false">ROUND(80*1,0)&amp;"%"</f>
        <v>80%</v>
      </c>
    </row>
    <row r="47" customFormat="false" ht="15" hidden="false" customHeight="false" outlineLevel="0" collapsed="false">
      <c r="A47" s="6" t="s">
        <v>8746</v>
      </c>
      <c r="B47" s="6" t="s">
        <v>105</v>
      </c>
      <c r="C47" s="6" t="s">
        <v>95</v>
      </c>
      <c r="D47" s="6" t="s">
        <v>44</v>
      </c>
      <c r="E47" s="6" t="n">
        <f aca="false">ROUND(9586*1.05,2)</f>
        <v>10065.3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ROUND(90*1,0)&amp;"%"</f>
        <v>90%</v>
      </c>
    </row>
    <row r="48" customFormat="false" ht="15" hidden="false" customHeight="false" outlineLevel="0" collapsed="false">
      <c r="A48" s="5" t="s">
        <v>8747</v>
      </c>
      <c r="B48" s="5" t="s">
        <v>107</v>
      </c>
      <c r="C48" s="5" t="s">
        <v>95</v>
      </c>
      <c r="D48" s="5" t="s">
        <v>16</v>
      </c>
      <c r="E48" s="5" t="n">
        <f aca="false">ROUND(14974*1.05,2)</f>
        <v>15722.7</v>
      </c>
      <c r="F48" s="5" t="s">
        <v>49</v>
      </c>
      <c r="G48" s="5" t="s">
        <v>18</v>
      </c>
      <c r="H48" s="5" t="n">
        <f aca="true">ROUND(RAND()*4+6,1)</f>
        <v>8.9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8748</v>
      </c>
      <c r="B49" s="6" t="s">
        <v>109</v>
      </c>
      <c r="C49" s="6" t="s">
        <v>95</v>
      </c>
      <c r="D49" s="6" t="s">
        <v>22</v>
      </c>
      <c r="E49" s="6" t="n">
        <f aca="false">ROUND(8125*1.05,2)</f>
        <v>8531.25</v>
      </c>
      <c r="F49" s="6" t="s">
        <v>52</v>
      </c>
      <c r="G49" s="6" t="s">
        <v>24</v>
      </c>
      <c r="H49" s="6" t="n">
        <f aca="true">ROUND(RAND()*4+6,1)</f>
        <v>6.1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8749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8750</v>
      </c>
      <c r="B54" s="5" t="s">
        <v>113</v>
      </c>
      <c r="C54" s="5" t="s">
        <v>114</v>
      </c>
      <c r="D54" s="5" t="s">
        <v>16</v>
      </c>
      <c r="E54" s="5" t="n">
        <f aca="false">ROUND(11668*1.05,2)</f>
        <v>12251.4</v>
      </c>
      <c r="F54" s="5" t="s">
        <v>17</v>
      </c>
      <c r="G54" s="5" t="s">
        <v>18</v>
      </c>
      <c r="H54" s="5" t="n">
        <f aca="true">ROUND(RAND()*4+6,1)</f>
        <v>9.9</v>
      </c>
      <c r="I54" s="5" t="s">
        <v>19</v>
      </c>
      <c r="J54" s="5" t="str">
        <f aca="false">ROUND(73*1,0)&amp;"%"</f>
        <v>73%</v>
      </c>
    </row>
    <row r="55" customFormat="false" ht="15" hidden="false" customHeight="false" outlineLevel="0" collapsed="false">
      <c r="A55" s="6" t="s">
        <v>8751</v>
      </c>
      <c r="B55" s="6" t="s">
        <v>116</v>
      </c>
      <c r="C55" s="6" t="s">
        <v>114</v>
      </c>
      <c r="D55" s="6" t="s">
        <v>22</v>
      </c>
      <c r="E55" s="6" t="n">
        <f aca="false">ROUND(14376*1.05,2)</f>
        <v>15094.8</v>
      </c>
      <c r="F55" s="6" t="s">
        <v>23</v>
      </c>
      <c r="G55" s="6" t="s">
        <v>24</v>
      </c>
      <c r="H55" s="6" t="n">
        <f aca="true">ROUND(RAND()*4+6,1)</f>
        <v>9.8</v>
      </c>
      <c r="I55" s="6" t="s">
        <v>25</v>
      </c>
      <c r="J55" s="6" t="str">
        <f aca="false">ROUND(68*1,0)&amp;"%"</f>
        <v>68%</v>
      </c>
    </row>
    <row r="56" customFormat="false" ht="15" hidden="false" customHeight="false" outlineLevel="0" collapsed="false">
      <c r="A56" s="5" t="s">
        <v>8752</v>
      </c>
      <c r="B56" s="5" t="s">
        <v>118</v>
      </c>
      <c r="C56" s="5" t="s">
        <v>114</v>
      </c>
      <c r="D56" s="5" t="s">
        <v>28</v>
      </c>
      <c r="E56" s="5" t="n">
        <f aca="false">ROUND(6724*1.05,2)</f>
        <v>7060.2</v>
      </c>
      <c r="F56" s="5" t="s">
        <v>29</v>
      </c>
      <c r="G56" s="5" t="s">
        <v>30</v>
      </c>
      <c r="H56" s="5" t="n">
        <f aca="true">ROUND(RAND()*4+6,1)</f>
        <v>9.5</v>
      </c>
      <c r="I56" s="5" t="s">
        <v>31</v>
      </c>
      <c r="J56" s="5" t="str">
        <f aca="false">ROUND(75*1,0)&amp;"%"</f>
        <v>75%</v>
      </c>
    </row>
    <row r="57" customFormat="false" ht="15" hidden="false" customHeight="false" outlineLevel="0" collapsed="false">
      <c r="A57" s="6" t="s">
        <v>8753</v>
      </c>
      <c r="B57" s="6" t="s">
        <v>120</v>
      </c>
      <c r="C57" s="6" t="s">
        <v>114</v>
      </c>
      <c r="D57" s="6" t="s">
        <v>34</v>
      </c>
      <c r="E57" s="6" t="n">
        <f aca="false">ROUND(17298*1.05,2)</f>
        <v>18162.9</v>
      </c>
      <c r="F57" s="6" t="s">
        <v>35</v>
      </c>
      <c r="G57" s="6" t="s">
        <v>18</v>
      </c>
      <c r="H57" s="6" t="n">
        <f aca="true">ROUND(RAND()*4+6,1)</f>
        <v>6.1</v>
      </c>
      <c r="I57" s="6" t="s">
        <v>36</v>
      </c>
      <c r="J57" s="6" t="str">
        <f aca="false">ROUND(75*1,0)&amp;"%"</f>
        <v>75%</v>
      </c>
    </row>
    <row r="58" customFormat="false" ht="15" hidden="false" customHeight="false" outlineLevel="0" collapsed="false">
      <c r="A58" s="5" t="s">
        <v>8754</v>
      </c>
      <c r="B58" s="5" t="s">
        <v>122</v>
      </c>
      <c r="C58" s="5" t="s">
        <v>114</v>
      </c>
      <c r="D58" s="5" t="s">
        <v>39</v>
      </c>
      <c r="E58" s="5" t="n">
        <f aca="false">ROUND(6879*1.05,2)</f>
        <v>7222.95</v>
      </c>
      <c r="F58" s="5" t="s">
        <v>40</v>
      </c>
      <c r="G58" s="5" t="s">
        <v>24</v>
      </c>
      <c r="H58" s="5" t="n">
        <f aca="true">ROUND(RAND()*4+6,1)</f>
        <v>8.2</v>
      </c>
      <c r="I58" s="5" t="s">
        <v>41</v>
      </c>
      <c r="J58" s="5" t="str">
        <f aca="false">ROUND(96*1,0)&amp;"%"</f>
        <v>96%</v>
      </c>
    </row>
    <row r="59" customFormat="false" ht="15" hidden="false" customHeight="false" outlineLevel="0" collapsed="false">
      <c r="A59" s="6" t="s">
        <v>8755</v>
      </c>
      <c r="B59" s="6" t="s">
        <v>124</v>
      </c>
      <c r="C59" s="6" t="s">
        <v>114</v>
      </c>
      <c r="D59" s="6" t="s">
        <v>44</v>
      </c>
      <c r="E59" s="6" t="n">
        <f aca="false">ROUND(14023*1.05,2)</f>
        <v>14724.15</v>
      </c>
      <c r="F59" s="6" t="s">
        <v>45</v>
      </c>
      <c r="G59" s="6" t="s">
        <v>30</v>
      </c>
      <c r="H59" s="6" t="n">
        <f aca="true">ROUND(RAND()*4+6,1)</f>
        <v>6.9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8756</v>
      </c>
      <c r="B60" s="5" t="s">
        <v>126</v>
      </c>
      <c r="C60" s="5" t="s">
        <v>114</v>
      </c>
      <c r="D60" s="5" t="s">
        <v>16</v>
      </c>
      <c r="E60" s="5" t="n">
        <f aca="false">ROUND(15358*1.05,2)</f>
        <v>16125.9</v>
      </c>
      <c r="F60" s="5" t="s">
        <v>49</v>
      </c>
      <c r="G60" s="5" t="s">
        <v>18</v>
      </c>
      <c r="H60" s="5" t="n">
        <f aca="true">ROUND(RAND()*4+6,1)</f>
        <v>9.8</v>
      </c>
      <c r="I60" s="5" t="s">
        <v>19</v>
      </c>
      <c r="J60" s="5" t="str">
        <f aca="false">ROUND(99*1,0)&amp;"%"</f>
        <v>99%</v>
      </c>
    </row>
    <row r="61" customFormat="false" ht="15" hidden="false" customHeight="false" outlineLevel="0" collapsed="false">
      <c r="A61" s="6" t="s">
        <v>8757</v>
      </c>
      <c r="B61" s="6" t="s">
        <v>128</v>
      </c>
      <c r="C61" s="6" t="s">
        <v>114</v>
      </c>
      <c r="D61" s="6" t="s">
        <v>22</v>
      </c>
      <c r="E61" s="6" t="n">
        <f aca="false">ROUND(14608*1.05,2)</f>
        <v>15338.4</v>
      </c>
      <c r="F61" s="6" t="s">
        <v>52</v>
      </c>
      <c r="G61" s="6" t="s">
        <v>24</v>
      </c>
      <c r="H61" s="6" t="n">
        <f aca="true">ROUND(RAND()*4+6,1)</f>
        <v>7.6</v>
      </c>
      <c r="I61" s="6" t="s">
        <v>25</v>
      </c>
      <c r="J61" s="6" t="str">
        <f aca="false">ROUND(77*1,0)&amp;"%"</f>
        <v>77%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8758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8759</v>
      </c>
      <c r="B66" s="5" t="s">
        <v>132</v>
      </c>
      <c r="C66" s="5" t="s">
        <v>133</v>
      </c>
      <c r="D66" s="5" t="s">
        <v>16</v>
      </c>
      <c r="E66" s="5" t="n">
        <f aca="false">ROUND(7757*1.05,2)</f>
        <v>8144.85</v>
      </c>
      <c r="F66" s="5" t="s">
        <v>17</v>
      </c>
      <c r="G66" s="5" t="s">
        <v>18</v>
      </c>
      <c r="H66" s="5" t="n">
        <f aca="true">ROUND(RAND()*4+6,1)</f>
        <v>9.4</v>
      </c>
      <c r="I66" s="5" t="s">
        <v>19</v>
      </c>
      <c r="J66" s="5" t="str">
        <f aca="false">ROUND(97*1,0)&amp;"%"</f>
        <v>97%</v>
      </c>
    </row>
    <row r="67" customFormat="false" ht="15" hidden="false" customHeight="false" outlineLevel="0" collapsed="false">
      <c r="A67" s="6" t="s">
        <v>8760</v>
      </c>
      <c r="B67" s="6" t="s">
        <v>135</v>
      </c>
      <c r="C67" s="6" t="s">
        <v>133</v>
      </c>
      <c r="D67" s="6" t="s">
        <v>22</v>
      </c>
      <c r="E67" s="6" t="n">
        <f aca="false">ROUND(13641*1.05,2)</f>
        <v>14323.05</v>
      </c>
      <c r="F67" s="6" t="s">
        <v>23</v>
      </c>
      <c r="G67" s="6" t="s">
        <v>24</v>
      </c>
      <c r="H67" s="6" t="n">
        <f aca="true">ROUND(RAND()*4+6,1)</f>
        <v>8.4</v>
      </c>
      <c r="I67" s="6" t="s">
        <v>25</v>
      </c>
      <c r="J67" s="6" t="str">
        <f aca="false">ROUND(70*1,0)&amp;"%"</f>
        <v>70%</v>
      </c>
    </row>
    <row r="68" customFormat="false" ht="15" hidden="false" customHeight="false" outlineLevel="0" collapsed="false">
      <c r="A68" s="5" t="s">
        <v>8761</v>
      </c>
      <c r="B68" s="5" t="s">
        <v>137</v>
      </c>
      <c r="C68" s="5" t="s">
        <v>133</v>
      </c>
      <c r="D68" s="5" t="s">
        <v>28</v>
      </c>
      <c r="E68" s="5" t="n">
        <f aca="false">ROUND(12422*1.05,2)</f>
        <v>13043.1</v>
      </c>
      <c r="F68" s="5" t="s">
        <v>29</v>
      </c>
      <c r="G68" s="5" t="s">
        <v>30</v>
      </c>
      <c r="H68" s="5" t="n">
        <f aca="true">ROUND(RAND()*4+6,1)</f>
        <v>8.2</v>
      </c>
      <c r="I68" s="5" t="s">
        <v>31</v>
      </c>
      <c r="J68" s="5" t="str">
        <f aca="false">ROUND(87*1,0)&amp;"%"</f>
        <v>87%</v>
      </c>
    </row>
    <row r="69" customFormat="false" ht="15" hidden="false" customHeight="false" outlineLevel="0" collapsed="false">
      <c r="A69" s="6" t="s">
        <v>8762</v>
      </c>
      <c r="B69" s="6" t="s">
        <v>139</v>
      </c>
      <c r="C69" s="6" t="s">
        <v>133</v>
      </c>
      <c r="D69" s="6" t="s">
        <v>34</v>
      </c>
      <c r="E69" s="6" t="n">
        <f aca="false">ROUND(10752*1.05,2)</f>
        <v>11289.6</v>
      </c>
      <c r="F69" s="6" t="s">
        <v>35</v>
      </c>
      <c r="G69" s="6" t="s">
        <v>18</v>
      </c>
      <c r="H69" s="6" t="n">
        <f aca="true">ROUND(RAND()*4+6,1)</f>
        <v>9.4</v>
      </c>
      <c r="I69" s="6" t="s">
        <v>36</v>
      </c>
      <c r="J69" s="6" t="str">
        <f aca="false">ROUND(64*1,0)&amp;"%"</f>
        <v>64%</v>
      </c>
    </row>
    <row r="70" customFormat="false" ht="15" hidden="false" customHeight="false" outlineLevel="0" collapsed="false">
      <c r="A70" s="5" t="s">
        <v>8763</v>
      </c>
      <c r="B70" s="5" t="s">
        <v>141</v>
      </c>
      <c r="C70" s="5" t="s">
        <v>133</v>
      </c>
      <c r="D70" s="5" t="s">
        <v>39</v>
      </c>
      <c r="E70" s="5" t="n">
        <f aca="false">ROUND(5177*1.05,2)</f>
        <v>5435.85</v>
      </c>
      <c r="F70" s="5" t="s">
        <v>40</v>
      </c>
      <c r="G70" s="5" t="s">
        <v>24</v>
      </c>
      <c r="H70" s="5" t="n">
        <f aca="true">ROUND(RAND()*4+6,1)</f>
        <v>8.3</v>
      </c>
      <c r="I70" s="5" t="s">
        <v>41</v>
      </c>
      <c r="J70" s="5" t="str">
        <f aca="false">ROUND(90*1,0)&amp;"%"</f>
        <v>90%</v>
      </c>
    </row>
    <row r="71" customFormat="false" ht="15" hidden="false" customHeight="false" outlineLevel="0" collapsed="false">
      <c r="A71" s="6" t="s">
        <v>8764</v>
      </c>
      <c r="B71" s="6" t="s">
        <v>143</v>
      </c>
      <c r="C71" s="6" t="s">
        <v>133</v>
      </c>
      <c r="D71" s="6" t="s">
        <v>44</v>
      </c>
      <c r="E71" s="6" t="n">
        <f aca="false">ROUND(17797*1.05,2)</f>
        <v>18686.85</v>
      </c>
      <c r="F71" s="6" t="s">
        <v>45</v>
      </c>
      <c r="G71" s="6" t="s">
        <v>30</v>
      </c>
      <c r="H71" s="6" t="n">
        <f aca="true">ROUND(RAND()*4+6,1)</f>
        <v>6.4</v>
      </c>
      <c r="I71" s="6" t="s">
        <v>46</v>
      </c>
      <c r="J71" s="6" t="str">
        <f aca="false">ROUND(70*1,0)&amp;"%"</f>
        <v>70%</v>
      </c>
    </row>
    <row r="72" customFormat="false" ht="15" hidden="false" customHeight="false" outlineLevel="0" collapsed="false">
      <c r="A72" s="5" t="s">
        <v>8765</v>
      </c>
      <c r="B72" s="5" t="s">
        <v>145</v>
      </c>
      <c r="C72" s="5" t="s">
        <v>133</v>
      </c>
      <c r="D72" s="5" t="s">
        <v>16</v>
      </c>
      <c r="E72" s="5" t="n">
        <f aca="false">ROUND(14185*1.05,2)</f>
        <v>14894.25</v>
      </c>
      <c r="F72" s="5" t="s">
        <v>49</v>
      </c>
      <c r="G72" s="5" t="s">
        <v>18</v>
      </c>
      <c r="H72" s="5" t="n">
        <f aca="true">ROUND(RAND()*4+6,1)</f>
        <v>7</v>
      </c>
      <c r="I72" s="5" t="s">
        <v>19</v>
      </c>
      <c r="J72" s="5" t="str">
        <f aca="false">ROUND(65*1,0)&amp;"%"</f>
        <v>65%</v>
      </c>
    </row>
    <row r="73" customFormat="false" ht="15" hidden="false" customHeight="false" outlineLevel="0" collapsed="false">
      <c r="A73" s="6" t="s">
        <v>8766</v>
      </c>
      <c r="B73" s="6" t="s">
        <v>147</v>
      </c>
      <c r="C73" s="6" t="s">
        <v>133</v>
      </c>
      <c r="D73" s="6" t="s">
        <v>22</v>
      </c>
      <c r="E73" s="6" t="n">
        <f aca="false">ROUND(12769*1.05,2)</f>
        <v>13407.45</v>
      </c>
      <c r="F73" s="6" t="s">
        <v>52</v>
      </c>
      <c r="G73" s="6" t="s">
        <v>24</v>
      </c>
      <c r="H73" s="6" t="n">
        <f aca="true">ROUND(RAND()*4+6,1)</f>
        <v>7.7</v>
      </c>
      <c r="I73" s="6" t="s">
        <v>25</v>
      </c>
      <c r="J73" s="6" t="str">
        <f aca="false">ROUND(61*1,0)&amp;"%"</f>
        <v>61%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8767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8768</v>
      </c>
      <c r="B78" s="5" t="s">
        <v>151</v>
      </c>
      <c r="C78" s="5" t="s">
        <v>152</v>
      </c>
      <c r="D78" s="5" t="s">
        <v>16</v>
      </c>
      <c r="E78" s="5" t="n">
        <f aca="false">ROUND(8916*1.05,2)</f>
        <v>9361.8</v>
      </c>
      <c r="F78" s="5" t="s">
        <v>17</v>
      </c>
      <c r="G78" s="5" t="s">
        <v>18</v>
      </c>
      <c r="H78" s="5" t="n">
        <f aca="true">ROUND(RAND()*4+6,1)</f>
        <v>7.4</v>
      </c>
      <c r="I78" s="5" t="s">
        <v>19</v>
      </c>
      <c r="J78" s="5" t="str">
        <f aca="false">ROUND(91*1,0)&amp;"%"</f>
        <v>91%</v>
      </c>
    </row>
    <row r="79" customFormat="false" ht="15" hidden="false" customHeight="false" outlineLevel="0" collapsed="false">
      <c r="A79" s="6" t="s">
        <v>8769</v>
      </c>
      <c r="B79" s="6" t="s">
        <v>154</v>
      </c>
      <c r="C79" s="6" t="s">
        <v>152</v>
      </c>
      <c r="D79" s="6" t="s">
        <v>22</v>
      </c>
      <c r="E79" s="6" t="n">
        <f aca="false">ROUND(12694*1.05,2)</f>
        <v>13328.7</v>
      </c>
      <c r="F79" s="6" t="s">
        <v>23</v>
      </c>
      <c r="G79" s="6" t="s">
        <v>24</v>
      </c>
      <c r="H79" s="6" t="n">
        <f aca="true">ROUND(RAND()*4+6,1)</f>
        <v>9</v>
      </c>
      <c r="I79" s="6" t="s">
        <v>25</v>
      </c>
      <c r="J79" s="6" t="str">
        <f aca="false">ROUND(65*1,0)&amp;"%"</f>
        <v>65%</v>
      </c>
    </row>
    <row r="80" customFormat="false" ht="15" hidden="false" customHeight="false" outlineLevel="0" collapsed="false">
      <c r="A80" s="5" t="s">
        <v>8770</v>
      </c>
      <c r="B80" s="5" t="s">
        <v>156</v>
      </c>
      <c r="C80" s="5" t="s">
        <v>152</v>
      </c>
      <c r="D80" s="5" t="s">
        <v>28</v>
      </c>
      <c r="E80" s="5" t="n">
        <f aca="false">ROUND(8866*1.05,2)</f>
        <v>9309.3</v>
      </c>
      <c r="F80" s="5" t="s">
        <v>29</v>
      </c>
      <c r="G80" s="5" t="s">
        <v>30</v>
      </c>
      <c r="H80" s="5" t="n">
        <f aca="true">ROUND(RAND()*4+6,1)</f>
        <v>7.6</v>
      </c>
      <c r="I80" s="5" t="s">
        <v>31</v>
      </c>
      <c r="J80" s="5" t="str">
        <f aca="false">ROUND(81*1,0)&amp;"%"</f>
        <v>81%</v>
      </c>
    </row>
    <row r="81" customFormat="false" ht="15" hidden="false" customHeight="false" outlineLevel="0" collapsed="false">
      <c r="A81" s="6" t="s">
        <v>8771</v>
      </c>
      <c r="B81" s="6" t="s">
        <v>158</v>
      </c>
      <c r="C81" s="6" t="s">
        <v>152</v>
      </c>
      <c r="D81" s="6" t="s">
        <v>34</v>
      </c>
      <c r="E81" s="6" t="n">
        <f aca="false">ROUND(8434*1.05,2)</f>
        <v>8855.7</v>
      </c>
      <c r="F81" s="6" t="s">
        <v>35</v>
      </c>
      <c r="G81" s="6" t="s">
        <v>18</v>
      </c>
      <c r="H81" s="6" t="n">
        <f aca="true">ROUND(RAND()*4+6,1)</f>
        <v>7.1</v>
      </c>
      <c r="I81" s="6" t="s">
        <v>36</v>
      </c>
      <c r="J81" s="6" t="str">
        <f aca="false">ROUND(67*1,0)&amp;"%"</f>
        <v>67%</v>
      </c>
    </row>
    <row r="82" customFormat="false" ht="15" hidden="false" customHeight="false" outlineLevel="0" collapsed="false">
      <c r="A82" s="5" t="s">
        <v>8772</v>
      </c>
      <c r="B82" s="5" t="s">
        <v>160</v>
      </c>
      <c r="C82" s="5" t="s">
        <v>152</v>
      </c>
      <c r="D82" s="5" t="s">
        <v>39</v>
      </c>
      <c r="E82" s="5" t="n">
        <f aca="false">ROUND(13726*1.05,2)</f>
        <v>14412.3</v>
      </c>
      <c r="F82" s="5" t="s">
        <v>40</v>
      </c>
      <c r="G82" s="5" t="s">
        <v>24</v>
      </c>
      <c r="H82" s="5" t="n">
        <f aca="true">ROUND(RAND()*4+6,1)</f>
        <v>8</v>
      </c>
      <c r="I82" s="5" t="s">
        <v>41</v>
      </c>
      <c r="J82" s="5" t="str">
        <f aca="false">ROUND(100*1,0)&amp;"%"</f>
        <v>100%</v>
      </c>
    </row>
    <row r="83" customFormat="false" ht="15" hidden="false" customHeight="false" outlineLevel="0" collapsed="false">
      <c r="A83" s="6" t="s">
        <v>8773</v>
      </c>
      <c r="B83" s="6" t="s">
        <v>162</v>
      </c>
      <c r="C83" s="6" t="s">
        <v>152</v>
      </c>
      <c r="D83" s="6" t="s">
        <v>44</v>
      </c>
      <c r="E83" s="6" t="n">
        <f aca="false">ROUND(4499*1.05,2)</f>
        <v>4723.95</v>
      </c>
      <c r="F83" s="6" t="s">
        <v>45</v>
      </c>
      <c r="G83" s="6" t="s">
        <v>30</v>
      </c>
      <c r="H83" s="6" t="n">
        <f aca="true">ROUND(RAND()*4+6,1)</f>
        <v>6.2</v>
      </c>
      <c r="I83" s="6" t="s">
        <v>46</v>
      </c>
      <c r="J83" s="6" t="str">
        <f aca="false">ROUND(87*1,0)&amp;"%"</f>
        <v>87%</v>
      </c>
    </row>
    <row r="84" customFormat="false" ht="15" hidden="false" customHeight="false" outlineLevel="0" collapsed="false">
      <c r="A84" s="5" t="s">
        <v>8774</v>
      </c>
      <c r="B84" s="5" t="s">
        <v>164</v>
      </c>
      <c r="C84" s="5" t="s">
        <v>152</v>
      </c>
      <c r="D84" s="5" t="s">
        <v>16</v>
      </c>
      <c r="E84" s="5" t="n">
        <f aca="false">ROUND(15299*1.05,2)</f>
        <v>16063.95</v>
      </c>
      <c r="F84" s="5" t="s">
        <v>49</v>
      </c>
      <c r="G84" s="5" t="s">
        <v>18</v>
      </c>
      <c r="H84" s="5" t="n">
        <f aca="true">ROUND(RAND()*4+6,1)</f>
        <v>7.6</v>
      </c>
      <c r="I84" s="5" t="s">
        <v>19</v>
      </c>
      <c r="J84" s="5" t="str">
        <f aca="false">ROUND(62*1,0)&amp;"%"</f>
        <v>62%</v>
      </c>
    </row>
    <row r="85" customFormat="false" ht="15" hidden="false" customHeight="false" outlineLevel="0" collapsed="false">
      <c r="A85" s="6" t="s">
        <v>8775</v>
      </c>
      <c r="B85" s="6" t="s">
        <v>166</v>
      </c>
      <c r="C85" s="6" t="s">
        <v>152</v>
      </c>
      <c r="D85" s="6" t="s">
        <v>22</v>
      </c>
      <c r="E85" s="6" t="n">
        <f aca="false">ROUND(4783*1.05,2)</f>
        <v>5022.15</v>
      </c>
      <c r="F85" s="6" t="s">
        <v>52</v>
      </c>
      <c r="G85" s="6" t="s">
        <v>24</v>
      </c>
      <c r="H85" s="6" t="n">
        <f aca="true">ROUND(RAND()*4+6,1)</f>
        <v>6.5</v>
      </c>
      <c r="I85" s="6" t="s">
        <v>25</v>
      </c>
      <c r="J85" s="6" t="str">
        <f aca="false">ROUND(61*1,0)&amp;"%"</f>
        <v>61%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8776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8777</v>
      </c>
      <c r="B90" s="5" t="s">
        <v>170</v>
      </c>
      <c r="C90" s="5" t="s">
        <v>15</v>
      </c>
      <c r="D90" s="5" t="s">
        <v>16</v>
      </c>
      <c r="E90" s="5" t="n">
        <f aca="false">ROUND(6711*1.05,2)</f>
        <v>7046.55</v>
      </c>
      <c r="F90" s="5" t="s">
        <v>17</v>
      </c>
      <c r="G90" s="5" t="s">
        <v>18</v>
      </c>
      <c r="H90" s="5" t="n">
        <f aca="true">ROUND(RAND()*4+6,1)</f>
        <v>9.4</v>
      </c>
      <c r="I90" s="5" t="s">
        <v>19</v>
      </c>
      <c r="J90" s="5" t="str">
        <f aca="false">ROUND(84*1,0)&amp;"%"</f>
        <v>84%</v>
      </c>
    </row>
    <row r="91" customFormat="false" ht="15" hidden="false" customHeight="false" outlineLevel="0" collapsed="false">
      <c r="A91" s="6" t="s">
        <v>8778</v>
      </c>
      <c r="B91" s="6" t="s">
        <v>172</v>
      </c>
      <c r="C91" s="6" t="s">
        <v>15</v>
      </c>
      <c r="D91" s="6" t="s">
        <v>22</v>
      </c>
      <c r="E91" s="6" t="n">
        <f aca="false">ROUND(7957*1.05,2)</f>
        <v>8354.85</v>
      </c>
      <c r="F91" s="6" t="s">
        <v>23</v>
      </c>
      <c r="G91" s="6" t="s">
        <v>24</v>
      </c>
      <c r="H91" s="6" t="n">
        <f aca="true">ROUND(RAND()*4+6,1)</f>
        <v>6</v>
      </c>
      <c r="I91" s="6" t="s">
        <v>25</v>
      </c>
      <c r="J91" s="6" t="str">
        <f aca="false">ROUND(95*1,0)&amp;"%"</f>
        <v>95%</v>
      </c>
    </row>
    <row r="92" customFormat="false" ht="15" hidden="false" customHeight="false" outlineLevel="0" collapsed="false">
      <c r="A92" s="5" t="s">
        <v>8779</v>
      </c>
      <c r="B92" s="5" t="s">
        <v>174</v>
      </c>
      <c r="C92" s="5" t="s">
        <v>15</v>
      </c>
      <c r="D92" s="5" t="s">
        <v>28</v>
      </c>
      <c r="E92" s="5" t="n">
        <f aca="false">ROUND(13393*1.05,2)</f>
        <v>14062.65</v>
      </c>
      <c r="F92" s="5" t="s">
        <v>29</v>
      </c>
      <c r="G92" s="5" t="s">
        <v>30</v>
      </c>
      <c r="H92" s="5" t="n">
        <f aca="true">ROUND(RAND()*4+6,1)</f>
        <v>10</v>
      </c>
      <c r="I92" s="5" t="s">
        <v>31</v>
      </c>
      <c r="J92" s="5" t="str">
        <f aca="false">ROUND(78*1,0)&amp;"%"</f>
        <v>78%</v>
      </c>
    </row>
    <row r="93" customFormat="false" ht="15" hidden="false" customHeight="false" outlineLevel="0" collapsed="false">
      <c r="A93" s="6" t="s">
        <v>8780</v>
      </c>
      <c r="B93" s="6" t="s">
        <v>176</v>
      </c>
      <c r="C93" s="6" t="s">
        <v>15</v>
      </c>
      <c r="D93" s="6" t="s">
        <v>34</v>
      </c>
      <c r="E93" s="6" t="n">
        <f aca="false">ROUND(16322*1.05,2)</f>
        <v>17138.1</v>
      </c>
      <c r="F93" s="6" t="s">
        <v>35</v>
      </c>
      <c r="G93" s="6" t="s">
        <v>18</v>
      </c>
      <c r="H93" s="6" t="n">
        <f aca="true">ROUND(RAND()*4+6,1)</f>
        <v>6.9</v>
      </c>
      <c r="I93" s="6" t="s">
        <v>36</v>
      </c>
      <c r="J93" s="6" t="str">
        <f aca="false">ROUND(100*1,0)&amp;"%"</f>
        <v>100%</v>
      </c>
    </row>
    <row r="94" customFormat="false" ht="15" hidden="false" customHeight="false" outlineLevel="0" collapsed="false">
      <c r="A94" s="5" t="s">
        <v>8781</v>
      </c>
      <c r="B94" s="5" t="s">
        <v>178</v>
      </c>
      <c r="C94" s="5" t="s">
        <v>15</v>
      </c>
      <c r="D94" s="5" t="s">
        <v>39</v>
      </c>
      <c r="E94" s="5" t="n">
        <f aca="false">ROUND(12035*1.05,2)</f>
        <v>12636.75</v>
      </c>
      <c r="F94" s="5" t="s">
        <v>40</v>
      </c>
      <c r="G94" s="5" t="s">
        <v>24</v>
      </c>
      <c r="H94" s="5" t="n">
        <f aca="true">ROUND(RAND()*4+6,1)</f>
        <v>7.5</v>
      </c>
      <c r="I94" s="5" t="s">
        <v>41</v>
      </c>
      <c r="J94" s="5" t="str">
        <f aca="false">ROUND(82*1,0)&amp;"%"</f>
        <v>82%</v>
      </c>
    </row>
    <row r="95" customFormat="false" ht="15" hidden="false" customHeight="false" outlineLevel="0" collapsed="false">
      <c r="A95" s="6" t="s">
        <v>8782</v>
      </c>
      <c r="B95" s="6" t="s">
        <v>180</v>
      </c>
      <c r="C95" s="6" t="s">
        <v>15</v>
      </c>
      <c r="D95" s="6" t="s">
        <v>44</v>
      </c>
      <c r="E95" s="6" t="n">
        <f aca="false">ROUND(14119*1.05,2)</f>
        <v>14824.95</v>
      </c>
      <c r="F95" s="6" t="s">
        <v>45</v>
      </c>
      <c r="G95" s="6" t="s">
        <v>30</v>
      </c>
      <c r="H95" s="6" t="n">
        <f aca="true">ROUND(RAND()*4+6,1)</f>
        <v>9.7</v>
      </c>
      <c r="I95" s="6" t="s">
        <v>46</v>
      </c>
      <c r="J95" s="6" t="str">
        <f aca="false">ROUND(63*1,0)&amp;"%"</f>
        <v>63%</v>
      </c>
    </row>
    <row r="96" customFormat="false" ht="15" hidden="false" customHeight="false" outlineLevel="0" collapsed="false">
      <c r="A96" s="5" t="s">
        <v>8783</v>
      </c>
      <c r="B96" s="5" t="s">
        <v>182</v>
      </c>
      <c r="C96" s="5" t="s">
        <v>15</v>
      </c>
      <c r="D96" s="5" t="s">
        <v>16</v>
      </c>
      <c r="E96" s="5" t="n">
        <f aca="false">ROUND(7624*1.05,2)</f>
        <v>8005.2</v>
      </c>
      <c r="F96" s="5" t="s">
        <v>49</v>
      </c>
      <c r="G96" s="5" t="s">
        <v>18</v>
      </c>
      <c r="H96" s="5" t="n">
        <f aca="true">ROUND(RAND()*4+6,1)</f>
        <v>9.2</v>
      </c>
      <c r="I96" s="5" t="s">
        <v>19</v>
      </c>
      <c r="J96" s="5" t="str">
        <f aca="false">ROUND(89*1,0)&amp;"%"</f>
        <v>89%</v>
      </c>
    </row>
    <row r="97" customFormat="false" ht="15" hidden="false" customHeight="false" outlineLevel="0" collapsed="false">
      <c r="A97" s="6" t="s">
        <v>8784</v>
      </c>
      <c r="B97" s="6" t="s">
        <v>184</v>
      </c>
      <c r="C97" s="6" t="s">
        <v>15</v>
      </c>
      <c r="D97" s="6" t="s">
        <v>22</v>
      </c>
      <c r="E97" s="6" t="n">
        <f aca="false">ROUND(5884*1.05,2)</f>
        <v>6178.2</v>
      </c>
      <c r="F97" s="6" t="s">
        <v>52</v>
      </c>
      <c r="G97" s="6" t="s">
        <v>24</v>
      </c>
      <c r="H97" s="6" t="n">
        <f aca="true">ROUND(RAND()*4+6,1)</f>
        <v>6.1</v>
      </c>
      <c r="I97" s="6" t="s">
        <v>25</v>
      </c>
      <c r="J97" s="6" t="str">
        <f aca="false">ROUND(81*1,0)&amp;"%"</f>
        <v>81%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8785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8786</v>
      </c>
      <c r="B102" s="5" t="s">
        <v>188</v>
      </c>
      <c r="C102" s="5" t="s">
        <v>57</v>
      </c>
      <c r="D102" s="5" t="s">
        <v>16</v>
      </c>
      <c r="E102" s="5" t="n">
        <f aca="false">ROUND(11696*1.05,2)</f>
        <v>12280.8</v>
      </c>
      <c r="F102" s="5" t="s">
        <v>17</v>
      </c>
      <c r="G102" s="5" t="s">
        <v>18</v>
      </c>
      <c r="H102" s="5" t="n">
        <f aca="true">ROUND(RAND()*4+6,1)</f>
        <v>9.6</v>
      </c>
      <c r="I102" s="5" t="s">
        <v>19</v>
      </c>
      <c r="J102" s="5" t="str">
        <f aca="false">ROUND(74*1,0)&amp;"%"</f>
        <v>74%</v>
      </c>
    </row>
    <row r="103" customFormat="false" ht="15" hidden="false" customHeight="false" outlineLevel="0" collapsed="false">
      <c r="A103" s="6" t="s">
        <v>8787</v>
      </c>
      <c r="B103" s="6" t="s">
        <v>190</v>
      </c>
      <c r="C103" s="6" t="s">
        <v>57</v>
      </c>
      <c r="D103" s="6" t="s">
        <v>22</v>
      </c>
      <c r="E103" s="6" t="n">
        <f aca="false">ROUND(11163*1.05,2)</f>
        <v>11721.15</v>
      </c>
      <c r="F103" s="6" t="s">
        <v>23</v>
      </c>
      <c r="G103" s="6" t="s">
        <v>24</v>
      </c>
      <c r="H103" s="6" t="n">
        <f aca="true">ROUND(RAND()*4+6,1)</f>
        <v>7.3</v>
      </c>
      <c r="I103" s="6" t="s">
        <v>25</v>
      </c>
      <c r="J103" s="6" t="str">
        <f aca="false">ROUND(65*1,0)&amp;"%"</f>
        <v>65%</v>
      </c>
    </row>
    <row r="104" customFormat="false" ht="15" hidden="false" customHeight="false" outlineLevel="0" collapsed="false">
      <c r="A104" s="5" t="s">
        <v>8788</v>
      </c>
      <c r="B104" s="5" t="s">
        <v>192</v>
      </c>
      <c r="C104" s="5" t="s">
        <v>57</v>
      </c>
      <c r="D104" s="5" t="s">
        <v>28</v>
      </c>
      <c r="E104" s="5" t="n">
        <f aca="false">ROUND(6609*1.05,2)</f>
        <v>6939.45</v>
      </c>
      <c r="F104" s="5" t="s">
        <v>29</v>
      </c>
      <c r="G104" s="5" t="s">
        <v>30</v>
      </c>
      <c r="H104" s="5" t="n">
        <f aca="true">ROUND(RAND()*4+6,1)</f>
        <v>7.4</v>
      </c>
      <c r="I104" s="5" t="s">
        <v>31</v>
      </c>
      <c r="J104" s="5" t="str">
        <f aca="false">ROUND(100*1,0)&amp;"%"</f>
        <v>100%</v>
      </c>
    </row>
    <row r="105" customFormat="false" ht="15" hidden="false" customHeight="false" outlineLevel="0" collapsed="false">
      <c r="A105" s="6" t="s">
        <v>8789</v>
      </c>
      <c r="B105" s="6" t="s">
        <v>194</v>
      </c>
      <c r="C105" s="6" t="s">
        <v>57</v>
      </c>
      <c r="D105" s="6" t="s">
        <v>34</v>
      </c>
      <c r="E105" s="6" t="n">
        <f aca="false">ROUND(6821*1.05,2)</f>
        <v>7162.05</v>
      </c>
      <c r="F105" s="6" t="s">
        <v>35</v>
      </c>
      <c r="G105" s="6" t="s">
        <v>18</v>
      </c>
      <c r="H105" s="6" t="n">
        <f aca="true">ROUND(RAND()*4+6,1)</f>
        <v>8.2</v>
      </c>
      <c r="I105" s="6" t="s">
        <v>36</v>
      </c>
      <c r="J105" s="6" t="str">
        <f aca="false">ROUND(75*1,0)&amp;"%"</f>
        <v>75%</v>
      </c>
    </row>
    <row r="106" customFormat="false" ht="15" hidden="false" customHeight="false" outlineLevel="0" collapsed="false">
      <c r="A106" s="5" t="s">
        <v>8790</v>
      </c>
      <c r="B106" s="5" t="s">
        <v>196</v>
      </c>
      <c r="C106" s="5" t="s">
        <v>57</v>
      </c>
      <c r="D106" s="5" t="s">
        <v>39</v>
      </c>
      <c r="E106" s="5" t="n">
        <f aca="false">ROUND(6912*1.05,2)</f>
        <v>7257.6</v>
      </c>
      <c r="F106" s="5" t="s">
        <v>40</v>
      </c>
      <c r="G106" s="5" t="s">
        <v>24</v>
      </c>
      <c r="H106" s="5" t="n">
        <f aca="true">ROUND(RAND()*4+6,1)</f>
        <v>7.5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8791</v>
      </c>
      <c r="B107" s="6" t="s">
        <v>198</v>
      </c>
      <c r="C107" s="6" t="s">
        <v>57</v>
      </c>
      <c r="D107" s="6" t="s">
        <v>44</v>
      </c>
      <c r="E107" s="6" t="n">
        <f aca="false">ROUND(10115*1.05,2)</f>
        <v>10620.75</v>
      </c>
      <c r="F107" s="6" t="s">
        <v>45</v>
      </c>
      <c r="G107" s="6" t="s">
        <v>30</v>
      </c>
      <c r="H107" s="6" t="n">
        <f aca="true">ROUND(RAND()*4+6,1)</f>
        <v>7.6</v>
      </c>
      <c r="I107" s="6" t="s">
        <v>46</v>
      </c>
      <c r="J107" s="6" t="str">
        <f aca="false">ROUND(77*1,0)&amp;"%"</f>
        <v>77%</v>
      </c>
    </row>
    <row r="108" customFormat="false" ht="15" hidden="false" customHeight="false" outlineLevel="0" collapsed="false">
      <c r="A108" s="5" t="s">
        <v>8792</v>
      </c>
      <c r="B108" s="5" t="s">
        <v>200</v>
      </c>
      <c r="C108" s="5" t="s">
        <v>57</v>
      </c>
      <c r="D108" s="5" t="s">
        <v>16</v>
      </c>
      <c r="E108" s="5" t="n">
        <f aca="false">ROUND(16690*1.05,2)</f>
        <v>17524.5</v>
      </c>
      <c r="F108" s="5" t="s">
        <v>49</v>
      </c>
      <c r="G108" s="5" t="s">
        <v>18</v>
      </c>
      <c r="H108" s="5" t="n">
        <f aca="true">ROUND(RAND()*4+6,1)</f>
        <v>7.6</v>
      </c>
      <c r="I108" s="5" t="s">
        <v>19</v>
      </c>
      <c r="J108" s="5" t="str">
        <f aca="false">ROUND(76*1,0)&amp;"%"</f>
        <v>76%</v>
      </c>
    </row>
    <row r="109" customFormat="false" ht="15" hidden="false" customHeight="false" outlineLevel="0" collapsed="false">
      <c r="A109" s="6" t="s">
        <v>8793</v>
      </c>
      <c r="B109" s="6" t="s">
        <v>202</v>
      </c>
      <c r="C109" s="6" t="s">
        <v>57</v>
      </c>
      <c r="D109" s="6" t="s">
        <v>22</v>
      </c>
      <c r="E109" s="6" t="n">
        <f aca="false">ROUND(5647*1.05,2)</f>
        <v>5929.35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ROUND(77*1,0)&amp;"%"</f>
        <v>77%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8794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8795</v>
      </c>
      <c r="B114" s="5" t="s">
        <v>206</v>
      </c>
      <c r="C114" s="5" t="s">
        <v>76</v>
      </c>
      <c r="D114" s="5" t="s">
        <v>16</v>
      </c>
      <c r="E114" s="5" t="n">
        <f aca="false">ROUND(8621*1.05,2)</f>
        <v>9052.05</v>
      </c>
      <c r="F114" s="5" t="s">
        <v>17</v>
      </c>
      <c r="G114" s="5" t="s">
        <v>18</v>
      </c>
      <c r="H114" s="5" t="n">
        <f aca="true">ROUND(RAND()*4+6,1)</f>
        <v>7.5</v>
      </c>
      <c r="I114" s="5" t="s">
        <v>19</v>
      </c>
      <c r="J114" s="5" t="str">
        <f aca="false">ROUND(76*1,0)&amp;"%"</f>
        <v>76%</v>
      </c>
    </row>
    <row r="115" customFormat="false" ht="15" hidden="false" customHeight="false" outlineLevel="0" collapsed="false">
      <c r="A115" s="6" t="s">
        <v>8796</v>
      </c>
      <c r="B115" s="6" t="s">
        <v>208</v>
      </c>
      <c r="C115" s="6" t="s">
        <v>76</v>
      </c>
      <c r="D115" s="6" t="s">
        <v>22</v>
      </c>
      <c r="E115" s="6" t="n">
        <f aca="false">ROUND(12765*1.05,2)</f>
        <v>13403.25</v>
      </c>
      <c r="F115" s="6" t="s">
        <v>23</v>
      </c>
      <c r="G115" s="6" t="s">
        <v>24</v>
      </c>
      <c r="H115" s="6" t="n">
        <f aca="true">ROUND(RAND()*4+6,1)</f>
        <v>7.9</v>
      </c>
      <c r="I115" s="6" t="s">
        <v>25</v>
      </c>
      <c r="J115" s="6" t="str">
        <f aca="false">ROUND(77*1,0)&amp;"%"</f>
        <v>77%</v>
      </c>
    </row>
    <row r="116" customFormat="false" ht="15" hidden="false" customHeight="false" outlineLevel="0" collapsed="false">
      <c r="A116" s="5" t="s">
        <v>8797</v>
      </c>
      <c r="B116" s="5" t="s">
        <v>210</v>
      </c>
      <c r="C116" s="5" t="s">
        <v>76</v>
      </c>
      <c r="D116" s="5" t="s">
        <v>28</v>
      </c>
      <c r="E116" s="5" t="n">
        <f aca="false">ROUND(14126*1.05,2)</f>
        <v>14832.3</v>
      </c>
      <c r="F116" s="5" t="s">
        <v>29</v>
      </c>
      <c r="G116" s="5" t="s">
        <v>30</v>
      </c>
      <c r="H116" s="5" t="n">
        <f aca="true">ROUND(RAND()*4+6,1)</f>
        <v>6.4</v>
      </c>
      <c r="I116" s="5" t="s">
        <v>31</v>
      </c>
      <c r="J116" s="5" t="str">
        <f aca="false">ROUND(89*1,0)&amp;"%"</f>
        <v>89%</v>
      </c>
    </row>
    <row r="117" customFormat="false" ht="15" hidden="false" customHeight="false" outlineLevel="0" collapsed="false">
      <c r="A117" s="6" t="s">
        <v>8798</v>
      </c>
      <c r="B117" s="6" t="s">
        <v>212</v>
      </c>
      <c r="C117" s="6" t="s">
        <v>76</v>
      </c>
      <c r="D117" s="6" t="s">
        <v>34</v>
      </c>
      <c r="E117" s="6" t="n">
        <f aca="false">ROUND(8233*1.05,2)</f>
        <v>8644.65</v>
      </c>
      <c r="F117" s="6" t="s">
        <v>35</v>
      </c>
      <c r="G117" s="6" t="s">
        <v>18</v>
      </c>
      <c r="H117" s="6" t="n">
        <f aca="true">ROUND(RAND()*4+6,1)</f>
        <v>7.2</v>
      </c>
      <c r="I117" s="6" t="s">
        <v>36</v>
      </c>
      <c r="J117" s="6" t="str">
        <f aca="false">ROUND(92*1,0)&amp;"%"</f>
        <v>92%</v>
      </c>
    </row>
    <row r="118" customFormat="false" ht="15" hidden="false" customHeight="false" outlineLevel="0" collapsed="false">
      <c r="A118" s="5" t="s">
        <v>8799</v>
      </c>
      <c r="B118" s="5" t="s">
        <v>214</v>
      </c>
      <c r="C118" s="5" t="s">
        <v>76</v>
      </c>
      <c r="D118" s="5" t="s">
        <v>39</v>
      </c>
      <c r="E118" s="5" t="n">
        <f aca="false">ROUND(10679*1.05,2)</f>
        <v>11212.95</v>
      </c>
      <c r="F118" s="5" t="s">
        <v>40</v>
      </c>
      <c r="G118" s="5" t="s">
        <v>24</v>
      </c>
      <c r="H118" s="5" t="n">
        <f aca="true">ROUND(RAND()*4+6,1)</f>
        <v>8</v>
      </c>
      <c r="I118" s="5" t="s">
        <v>41</v>
      </c>
      <c r="J118" s="5" t="str">
        <f aca="false">ROUND(85*1,0)&amp;"%"</f>
        <v>85%</v>
      </c>
    </row>
    <row r="119" customFormat="false" ht="15" hidden="false" customHeight="false" outlineLevel="0" collapsed="false">
      <c r="A119" s="6" t="s">
        <v>8800</v>
      </c>
      <c r="B119" s="6" t="s">
        <v>216</v>
      </c>
      <c r="C119" s="6" t="s">
        <v>76</v>
      </c>
      <c r="D119" s="6" t="s">
        <v>44</v>
      </c>
      <c r="E119" s="6" t="n">
        <f aca="false">ROUND(14284*1.05,2)</f>
        <v>14998.2</v>
      </c>
      <c r="F119" s="6" t="s">
        <v>45</v>
      </c>
      <c r="G119" s="6" t="s">
        <v>30</v>
      </c>
      <c r="H119" s="6" t="n">
        <f aca="true">ROUND(RAND()*4+6,1)</f>
        <v>8.3</v>
      </c>
      <c r="I119" s="6" t="s">
        <v>46</v>
      </c>
      <c r="J119" s="6" t="str">
        <f aca="false">ROUND(77*1,0)&amp;"%"</f>
        <v>77%</v>
      </c>
    </row>
    <row r="120" customFormat="false" ht="15" hidden="false" customHeight="false" outlineLevel="0" collapsed="false">
      <c r="A120" s="5" t="s">
        <v>8801</v>
      </c>
      <c r="B120" s="5" t="s">
        <v>218</v>
      </c>
      <c r="C120" s="5" t="s">
        <v>76</v>
      </c>
      <c r="D120" s="5" t="s">
        <v>16</v>
      </c>
      <c r="E120" s="5" t="n">
        <f aca="false">ROUND(6435*1.05,2)</f>
        <v>6756.75</v>
      </c>
      <c r="F120" s="5" t="s">
        <v>49</v>
      </c>
      <c r="G120" s="5" t="s">
        <v>18</v>
      </c>
      <c r="H120" s="5" t="n">
        <f aca="true">ROUND(RAND()*4+6,1)</f>
        <v>7.9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8802</v>
      </c>
      <c r="B121" s="6" t="s">
        <v>220</v>
      </c>
      <c r="C121" s="6" t="s">
        <v>76</v>
      </c>
      <c r="D121" s="6" t="s">
        <v>22</v>
      </c>
      <c r="E121" s="6" t="n">
        <f aca="false">ROUND(13345*1.05,2)</f>
        <v>14012.25</v>
      </c>
      <c r="F121" s="6" t="s">
        <v>52</v>
      </c>
      <c r="G121" s="6" t="s">
        <v>24</v>
      </c>
      <c r="H121" s="6" t="n">
        <f aca="true">ROUND(RAND()*4+6,1)</f>
        <v>8.3</v>
      </c>
      <c r="I121" s="6" t="s">
        <v>25</v>
      </c>
      <c r="J121" s="6" t="str">
        <f aca="false">ROUND(74*1,0)&amp;"%"</f>
        <v>74%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8803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8804</v>
      </c>
      <c r="B126" s="5" t="s">
        <v>224</v>
      </c>
      <c r="C126" s="5" t="s">
        <v>95</v>
      </c>
      <c r="D126" s="5" t="s">
        <v>16</v>
      </c>
      <c r="E126" s="5" t="n">
        <f aca="false">ROUND(5902*1.05,2)</f>
        <v>6197.1</v>
      </c>
      <c r="F126" s="5" t="s">
        <v>17</v>
      </c>
      <c r="G126" s="5" t="s">
        <v>18</v>
      </c>
      <c r="H126" s="5" t="n">
        <f aca="true">ROUND(RAND()*4+6,1)</f>
        <v>8.5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8805</v>
      </c>
      <c r="B127" s="6" t="s">
        <v>226</v>
      </c>
      <c r="C127" s="6" t="s">
        <v>95</v>
      </c>
      <c r="D127" s="6" t="s">
        <v>22</v>
      </c>
      <c r="E127" s="6" t="n">
        <f aca="false">ROUND(17628*1.05,2)</f>
        <v>18509.4</v>
      </c>
      <c r="F127" s="6" t="s">
        <v>23</v>
      </c>
      <c r="G127" s="6" t="s">
        <v>24</v>
      </c>
      <c r="H127" s="6" t="n">
        <f aca="true">ROUND(RAND()*4+6,1)</f>
        <v>9.1</v>
      </c>
      <c r="I127" s="6" t="s">
        <v>25</v>
      </c>
      <c r="J127" s="6" t="str">
        <f aca="false">ROUND(87*1,0)&amp;"%"</f>
        <v>87%</v>
      </c>
    </row>
    <row r="128" customFormat="false" ht="15" hidden="false" customHeight="false" outlineLevel="0" collapsed="false">
      <c r="A128" s="5" t="s">
        <v>8806</v>
      </c>
      <c r="B128" s="5" t="s">
        <v>228</v>
      </c>
      <c r="C128" s="5" t="s">
        <v>95</v>
      </c>
      <c r="D128" s="5" t="s">
        <v>28</v>
      </c>
      <c r="E128" s="5" t="n">
        <f aca="false">ROUND(11126*1.05,2)</f>
        <v>11682.3</v>
      </c>
      <c r="F128" s="5" t="s">
        <v>29</v>
      </c>
      <c r="G128" s="5" t="s">
        <v>30</v>
      </c>
      <c r="H128" s="5" t="n">
        <f aca="true">ROUND(RAND()*4+6,1)</f>
        <v>9.1</v>
      </c>
      <c r="I128" s="5" t="s">
        <v>31</v>
      </c>
      <c r="J128" s="5" t="str">
        <f aca="false">ROUND(68*1,0)&amp;"%"</f>
        <v>68%</v>
      </c>
    </row>
    <row r="129" customFormat="false" ht="15" hidden="false" customHeight="false" outlineLevel="0" collapsed="false">
      <c r="A129" s="6" t="s">
        <v>8807</v>
      </c>
      <c r="B129" s="6" t="s">
        <v>230</v>
      </c>
      <c r="C129" s="6" t="s">
        <v>95</v>
      </c>
      <c r="D129" s="6" t="s">
        <v>34</v>
      </c>
      <c r="E129" s="6" t="n">
        <f aca="false">ROUND(12374*1.05,2)</f>
        <v>12992.7</v>
      </c>
      <c r="F129" s="6" t="s">
        <v>35</v>
      </c>
      <c r="G129" s="6" t="s">
        <v>18</v>
      </c>
      <c r="H129" s="6" t="n">
        <f aca="true">ROUND(RAND()*4+6,1)</f>
        <v>9.8</v>
      </c>
      <c r="I129" s="6" t="s">
        <v>36</v>
      </c>
      <c r="J129" s="6" t="str">
        <f aca="false">ROUND(64*1,0)&amp;"%"</f>
        <v>64%</v>
      </c>
    </row>
    <row r="130" customFormat="false" ht="15" hidden="false" customHeight="false" outlineLevel="0" collapsed="false">
      <c r="A130" s="5" t="s">
        <v>8808</v>
      </c>
      <c r="B130" s="5" t="s">
        <v>232</v>
      </c>
      <c r="C130" s="5" t="s">
        <v>95</v>
      </c>
      <c r="D130" s="5" t="s">
        <v>39</v>
      </c>
      <c r="E130" s="5" t="n">
        <f aca="false">ROUND(12284*1.05,2)</f>
        <v>12898.2</v>
      </c>
      <c r="F130" s="5" t="s">
        <v>40</v>
      </c>
      <c r="G130" s="5" t="s">
        <v>24</v>
      </c>
      <c r="H130" s="5" t="n">
        <f aca="true">ROUND(RAND()*4+6,1)</f>
        <v>7.2</v>
      </c>
      <c r="I130" s="5" t="s">
        <v>41</v>
      </c>
      <c r="J130" s="5" t="str">
        <f aca="false">ROUND(80*1,0)&amp;"%"</f>
        <v>80%</v>
      </c>
    </row>
    <row r="131" customFormat="false" ht="15" hidden="false" customHeight="false" outlineLevel="0" collapsed="false">
      <c r="A131" s="6" t="s">
        <v>8809</v>
      </c>
      <c r="B131" s="6" t="s">
        <v>234</v>
      </c>
      <c r="C131" s="6" t="s">
        <v>95</v>
      </c>
      <c r="D131" s="6" t="s">
        <v>44</v>
      </c>
      <c r="E131" s="6" t="n">
        <f aca="false">ROUND(13399*1.05,2)</f>
        <v>14068.95</v>
      </c>
      <c r="F131" s="6" t="s">
        <v>45</v>
      </c>
      <c r="G131" s="6" t="s">
        <v>30</v>
      </c>
      <c r="H131" s="6" t="n">
        <f aca="true">ROUND(RAND()*4+6,1)</f>
        <v>7.2</v>
      </c>
      <c r="I131" s="6" t="s">
        <v>46</v>
      </c>
      <c r="J131" s="6" t="str">
        <f aca="false">ROUND(99*1,0)&amp;"%"</f>
        <v>99%</v>
      </c>
    </row>
    <row r="132" customFormat="false" ht="15" hidden="false" customHeight="false" outlineLevel="0" collapsed="false">
      <c r="A132" s="5" t="s">
        <v>8810</v>
      </c>
      <c r="B132" s="5" t="s">
        <v>236</v>
      </c>
      <c r="C132" s="5" t="s">
        <v>95</v>
      </c>
      <c r="D132" s="5" t="s">
        <v>16</v>
      </c>
      <c r="E132" s="5" t="n">
        <f aca="false">ROUND(15937*1.05,2)</f>
        <v>16733.85</v>
      </c>
      <c r="F132" s="5" t="s">
        <v>49</v>
      </c>
      <c r="G132" s="5" t="s">
        <v>18</v>
      </c>
      <c r="H132" s="5" t="n">
        <f aca="true">ROUND(RAND()*4+6,1)</f>
        <v>8.6</v>
      </c>
      <c r="I132" s="5" t="s">
        <v>19</v>
      </c>
      <c r="J132" s="5" t="str">
        <f aca="false">ROUND(78*1,0)&amp;"%"</f>
        <v>78%</v>
      </c>
    </row>
    <row r="133" customFormat="false" ht="15" hidden="false" customHeight="false" outlineLevel="0" collapsed="false">
      <c r="A133" s="6" t="s">
        <v>8811</v>
      </c>
      <c r="B133" s="6" t="s">
        <v>238</v>
      </c>
      <c r="C133" s="6" t="s">
        <v>95</v>
      </c>
      <c r="D133" s="6" t="s">
        <v>22</v>
      </c>
      <c r="E133" s="6" t="n">
        <f aca="false">ROUND(14411*1.05,2)</f>
        <v>15131.55</v>
      </c>
      <c r="F133" s="6" t="s">
        <v>52</v>
      </c>
      <c r="G133" s="6" t="s">
        <v>24</v>
      </c>
      <c r="H133" s="6" t="n">
        <f aca="true">ROUND(RAND()*4+6,1)</f>
        <v>9.6</v>
      </c>
      <c r="I133" s="6" t="s">
        <v>25</v>
      </c>
      <c r="J133" s="6" t="str">
        <f aca="false">ROUND(66*1,0)&amp;"%"</f>
        <v>66%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8812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8813</v>
      </c>
      <c r="B138" s="5" t="s">
        <v>242</v>
      </c>
      <c r="C138" s="5" t="s">
        <v>114</v>
      </c>
      <c r="D138" s="5" t="s">
        <v>16</v>
      </c>
      <c r="E138" s="5" t="n">
        <f aca="false">ROUND(17907*1.05,2)</f>
        <v>18802.35</v>
      </c>
      <c r="F138" s="5" t="s">
        <v>17</v>
      </c>
      <c r="G138" s="5" t="s">
        <v>18</v>
      </c>
      <c r="H138" s="5" t="n">
        <f aca="true">ROUND(RAND()*4+6,1)</f>
        <v>8.3</v>
      </c>
      <c r="I138" s="5" t="s">
        <v>19</v>
      </c>
      <c r="J138" s="5" t="str">
        <f aca="false">ROUND(82*1,0)&amp;"%"</f>
        <v>82%</v>
      </c>
    </row>
    <row r="139" customFormat="false" ht="15" hidden="false" customHeight="false" outlineLevel="0" collapsed="false">
      <c r="A139" s="6" t="s">
        <v>8814</v>
      </c>
      <c r="B139" s="6" t="s">
        <v>244</v>
      </c>
      <c r="C139" s="6" t="s">
        <v>114</v>
      </c>
      <c r="D139" s="6" t="s">
        <v>22</v>
      </c>
      <c r="E139" s="6" t="n">
        <f aca="false">ROUND(8396*1.05,2)</f>
        <v>8815.8</v>
      </c>
      <c r="F139" s="6" t="s">
        <v>23</v>
      </c>
      <c r="G139" s="6" t="s">
        <v>24</v>
      </c>
      <c r="H139" s="6" t="n">
        <f aca="true">ROUND(RAND()*4+6,1)</f>
        <v>9.8</v>
      </c>
      <c r="I139" s="6" t="s">
        <v>25</v>
      </c>
      <c r="J139" s="6" t="str">
        <f aca="false">ROUND(96*1,0)&amp;"%"</f>
        <v>96%</v>
      </c>
    </row>
    <row r="140" customFormat="false" ht="15" hidden="false" customHeight="false" outlineLevel="0" collapsed="false">
      <c r="A140" s="5" t="s">
        <v>8815</v>
      </c>
      <c r="B140" s="5" t="s">
        <v>246</v>
      </c>
      <c r="C140" s="5" t="s">
        <v>114</v>
      </c>
      <c r="D140" s="5" t="s">
        <v>28</v>
      </c>
      <c r="E140" s="5" t="n">
        <f aca="false">ROUND(17827*1.05,2)</f>
        <v>18718.35</v>
      </c>
      <c r="F140" s="5" t="s">
        <v>29</v>
      </c>
      <c r="G140" s="5" t="s">
        <v>30</v>
      </c>
      <c r="H140" s="5" t="n">
        <f aca="true">ROUND(RAND()*4+6,1)</f>
        <v>9.1</v>
      </c>
      <c r="I140" s="5" t="s">
        <v>31</v>
      </c>
      <c r="J140" s="5" t="str">
        <f aca="false">ROUND(97*1,0)&amp;"%"</f>
        <v>97%</v>
      </c>
    </row>
    <row r="141" customFormat="false" ht="15" hidden="false" customHeight="false" outlineLevel="0" collapsed="false">
      <c r="A141" s="6" t="s">
        <v>8816</v>
      </c>
      <c r="B141" s="6" t="s">
        <v>248</v>
      </c>
      <c r="C141" s="6" t="s">
        <v>114</v>
      </c>
      <c r="D141" s="6" t="s">
        <v>34</v>
      </c>
      <c r="E141" s="6" t="n">
        <f aca="false">ROUND(5365*1.05,2)</f>
        <v>5633.25</v>
      </c>
      <c r="F141" s="6" t="s">
        <v>35</v>
      </c>
      <c r="G141" s="6" t="s">
        <v>18</v>
      </c>
      <c r="H141" s="6" t="n">
        <f aca="true">ROUND(RAND()*4+6,1)</f>
        <v>6.3</v>
      </c>
      <c r="I141" s="6" t="s">
        <v>36</v>
      </c>
      <c r="J141" s="6" t="str">
        <f aca="false">ROUND(72*1,0)&amp;"%"</f>
        <v>72%</v>
      </c>
    </row>
    <row r="142" customFormat="false" ht="15" hidden="false" customHeight="false" outlineLevel="0" collapsed="false">
      <c r="A142" s="5" t="s">
        <v>8817</v>
      </c>
      <c r="B142" s="5" t="s">
        <v>250</v>
      </c>
      <c r="C142" s="5" t="s">
        <v>114</v>
      </c>
      <c r="D142" s="5" t="s">
        <v>39</v>
      </c>
      <c r="E142" s="5" t="n">
        <f aca="false">ROUND(14479*1.05,2)</f>
        <v>15202.95</v>
      </c>
      <c r="F142" s="5" t="s">
        <v>40</v>
      </c>
      <c r="G142" s="5" t="s">
        <v>24</v>
      </c>
      <c r="H142" s="5" t="n">
        <f aca="true">ROUND(RAND()*4+6,1)</f>
        <v>6.2</v>
      </c>
      <c r="I142" s="5" t="s">
        <v>41</v>
      </c>
      <c r="J142" s="5" t="str">
        <f aca="false">ROUND(94*1,0)&amp;"%"</f>
        <v>94%</v>
      </c>
    </row>
    <row r="143" customFormat="false" ht="15" hidden="false" customHeight="false" outlineLevel="0" collapsed="false">
      <c r="A143" s="6" t="s">
        <v>8818</v>
      </c>
      <c r="B143" s="6" t="s">
        <v>252</v>
      </c>
      <c r="C143" s="6" t="s">
        <v>114</v>
      </c>
      <c r="D143" s="6" t="s">
        <v>44</v>
      </c>
      <c r="E143" s="6" t="n">
        <f aca="false">ROUND(5869*1.05,2)</f>
        <v>6162.45</v>
      </c>
      <c r="F143" s="6" t="s">
        <v>45</v>
      </c>
      <c r="G143" s="6" t="s">
        <v>30</v>
      </c>
      <c r="H143" s="6" t="n">
        <f aca="true">ROUND(RAND()*4+6,1)</f>
        <v>9</v>
      </c>
      <c r="I143" s="6" t="s">
        <v>46</v>
      </c>
      <c r="J143" s="6" t="str">
        <f aca="false">ROUND(72*1,0)&amp;"%"</f>
        <v>72%</v>
      </c>
    </row>
    <row r="144" customFormat="false" ht="15" hidden="false" customHeight="false" outlineLevel="0" collapsed="false">
      <c r="A144" s="5" t="s">
        <v>8819</v>
      </c>
      <c r="B144" s="5" t="s">
        <v>254</v>
      </c>
      <c r="C144" s="5" t="s">
        <v>114</v>
      </c>
      <c r="D144" s="5" t="s">
        <v>16</v>
      </c>
      <c r="E144" s="5" t="n">
        <f aca="false">ROUND(10548*1.05,2)</f>
        <v>11075.4</v>
      </c>
      <c r="F144" s="5" t="s">
        <v>49</v>
      </c>
      <c r="G144" s="5" t="s">
        <v>18</v>
      </c>
      <c r="H144" s="5" t="n">
        <f aca="true">ROUND(RAND()*4+6,1)</f>
        <v>9</v>
      </c>
      <c r="I144" s="5" t="s">
        <v>19</v>
      </c>
      <c r="J144" s="5" t="str">
        <f aca="false">ROUND(61*1,0)&amp;"%"</f>
        <v>61%</v>
      </c>
    </row>
    <row r="145" customFormat="false" ht="15" hidden="false" customHeight="false" outlineLevel="0" collapsed="false">
      <c r="A145" s="6" t="s">
        <v>8820</v>
      </c>
      <c r="B145" s="6" t="s">
        <v>256</v>
      </c>
      <c r="C145" s="6" t="s">
        <v>114</v>
      </c>
      <c r="D145" s="6" t="s">
        <v>22</v>
      </c>
      <c r="E145" s="6" t="n">
        <f aca="false">ROUND(17186*1.05,2)</f>
        <v>18045.3</v>
      </c>
      <c r="F145" s="6" t="s">
        <v>52</v>
      </c>
      <c r="G145" s="6" t="s">
        <v>24</v>
      </c>
      <c r="H145" s="6" t="n">
        <f aca="true">ROUND(RAND()*4+6,1)</f>
        <v>9.4</v>
      </c>
      <c r="I145" s="6" t="s">
        <v>25</v>
      </c>
      <c r="J145" s="6" t="str">
        <f aca="false">ROUND(64*1,0)&amp;"%"</f>
        <v>64%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8821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8822</v>
      </c>
      <c r="B150" s="5" t="s">
        <v>260</v>
      </c>
      <c r="C150" s="5" t="s">
        <v>133</v>
      </c>
      <c r="D150" s="5" t="s">
        <v>16</v>
      </c>
      <c r="E150" s="5" t="n">
        <f aca="false">ROUND(10749*1.05,2)</f>
        <v>11286.45</v>
      </c>
      <c r="F150" s="5" t="s">
        <v>17</v>
      </c>
      <c r="G150" s="5" t="s">
        <v>18</v>
      </c>
      <c r="H150" s="5" t="n">
        <f aca="true">ROUND(RAND()*4+6,1)</f>
        <v>8.2</v>
      </c>
      <c r="I150" s="5" t="s">
        <v>19</v>
      </c>
      <c r="J150" s="5" t="str">
        <f aca="false">ROUND(94*1,0)&amp;"%"</f>
        <v>94%</v>
      </c>
    </row>
    <row r="151" customFormat="false" ht="15" hidden="false" customHeight="false" outlineLevel="0" collapsed="false">
      <c r="A151" s="6" t="s">
        <v>8823</v>
      </c>
      <c r="B151" s="6" t="s">
        <v>262</v>
      </c>
      <c r="C151" s="6" t="s">
        <v>133</v>
      </c>
      <c r="D151" s="6" t="s">
        <v>22</v>
      </c>
      <c r="E151" s="6" t="n">
        <f aca="false">ROUND(12436*1.05,2)</f>
        <v>13057.8</v>
      </c>
      <c r="F151" s="6" t="s">
        <v>23</v>
      </c>
      <c r="G151" s="6" t="s">
        <v>24</v>
      </c>
      <c r="H151" s="6" t="n">
        <f aca="true">ROUND(RAND()*4+6,1)</f>
        <v>6.9</v>
      </c>
      <c r="I151" s="6" t="s">
        <v>25</v>
      </c>
      <c r="J151" s="6" t="str">
        <f aca="false">ROUND(83*1,0)&amp;"%"</f>
        <v>83%</v>
      </c>
    </row>
    <row r="152" customFormat="false" ht="15" hidden="false" customHeight="false" outlineLevel="0" collapsed="false">
      <c r="A152" s="5" t="s">
        <v>8824</v>
      </c>
      <c r="B152" s="5" t="s">
        <v>264</v>
      </c>
      <c r="C152" s="5" t="s">
        <v>133</v>
      </c>
      <c r="D152" s="5" t="s">
        <v>28</v>
      </c>
      <c r="E152" s="5" t="n">
        <f aca="false">ROUND(14389*1.05,2)</f>
        <v>15108.45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ROUND(79*1,0)&amp;"%"</f>
        <v>79%</v>
      </c>
    </row>
    <row r="153" customFormat="false" ht="15" hidden="false" customHeight="false" outlineLevel="0" collapsed="false">
      <c r="A153" s="6" t="s">
        <v>8825</v>
      </c>
      <c r="B153" s="6" t="s">
        <v>266</v>
      </c>
      <c r="C153" s="6" t="s">
        <v>133</v>
      </c>
      <c r="D153" s="6" t="s">
        <v>34</v>
      </c>
      <c r="E153" s="6" t="n">
        <f aca="false">ROUND(5094*1.05,2)</f>
        <v>5348.7</v>
      </c>
      <c r="F153" s="6" t="s">
        <v>35</v>
      </c>
      <c r="G153" s="6" t="s">
        <v>18</v>
      </c>
      <c r="H153" s="6" t="n">
        <f aca="true">ROUND(RAND()*4+6,1)</f>
        <v>6.2</v>
      </c>
      <c r="I153" s="6" t="s">
        <v>36</v>
      </c>
      <c r="J153" s="6" t="str">
        <f aca="false">ROUND(60*1,0)&amp;"%"</f>
        <v>60%</v>
      </c>
    </row>
    <row r="154" customFormat="false" ht="15" hidden="false" customHeight="false" outlineLevel="0" collapsed="false">
      <c r="A154" s="5" t="s">
        <v>8826</v>
      </c>
      <c r="B154" s="5" t="s">
        <v>268</v>
      </c>
      <c r="C154" s="5" t="s">
        <v>133</v>
      </c>
      <c r="D154" s="5" t="s">
        <v>39</v>
      </c>
      <c r="E154" s="5" t="n">
        <f aca="false">ROUND(12965*1.05,2)</f>
        <v>13613.25</v>
      </c>
      <c r="F154" s="5" t="s">
        <v>40</v>
      </c>
      <c r="G154" s="5" t="s">
        <v>24</v>
      </c>
      <c r="H154" s="5" t="n">
        <f aca="true">ROUND(RAND()*4+6,1)</f>
        <v>9.4</v>
      </c>
      <c r="I154" s="5" t="s">
        <v>41</v>
      </c>
      <c r="J154" s="5" t="str">
        <f aca="false">ROUND(66*1,0)&amp;"%"</f>
        <v>66%</v>
      </c>
    </row>
    <row r="155" customFormat="false" ht="15" hidden="false" customHeight="false" outlineLevel="0" collapsed="false">
      <c r="A155" s="6" t="s">
        <v>8827</v>
      </c>
      <c r="B155" s="6" t="s">
        <v>270</v>
      </c>
      <c r="C155" s="6" t="s">
        <v>133</v>
      </c>
      <c r="D155" s="6" t="s">
        <v>44</v>
      </c>
      <c r="E155" s="6" t="n">
        <f aca="false">ROUND(6715*1.05,2)</f>
        <v>7050.75</v>
      </c>
      <c r="F155" s="6" t="s">
        <v>45</v>
      </c>
      <c r="G155" s="6" t="s">
        <v>30</v>
      </c>
      <c r="H155" s="6" t="n">
        <f aca="true">ROUND(RAND()*4+6,1)</f>
        <v>9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8828</v>
      </c>
      <c r="B156" s="5" t="s">
        <v>272</v>
      </c>
      <c r="C156" s="5" t="s">
        <v>133</v>
      </c>
      <c r="D156" s="5" t="s">
        <v>16</v>
      </c>
      <c r="E156" s="5" t="n">
        <f aca="false">ROUND(9125*1.05,2)</f>
        <v>9581.25</v>
      </c>
      <c r="F156" s="5" t="s">
        <v>49</v>
      </c>
      <c r="G156" s="5" t="s">
        <v>18</v>
      </c>
      <c r="H156" s="5" t="n">
        <f aca="true">ROUND(RAND()*4+6,1)</f>
        <v>8.3</v>
      </c>
      <c r="I156" s="5" t="s">
        <v>19</v>
      </c>
      <c r="J156" s="5" t="str">
        <f aca="false">ROUND(74*1,0)&amp;"%"</f>
        <v>74%</v>
      </c>
    </row>
    <row r="157" customFormat="false" ht="15" hidden="false" customHeight="false" outlineLevel="0" collapsed="false">
      <c r="A157" s="6" t="s">
        <v>8829</v>
      </c>
      <c r="B157" s="6" t="s">
        <v>274</v>
      </c>
      <c r="C157" s="6" t="s">
        <v>133</v>
      </c>
      <c r="D157" s="6" t="s">
        <v>22</v>
      </c>
      <c r="E157" s="6" t="n">
        <f aca="false">ROUND(11347*1.05,2)</f>
        <v>11914.35</v>
      </c>
      <c r="F157" s="6" t="s">
        <v>52</v>
      </c>
      <c r="G157" s="6" t="s">
        <v>24</v>
      </c>
      <c r="H157" s="6" t="n">
        <f aca="true">ROUND(RAND()*4+6,1)</f>
        <v>9.6</v>
      </c>
      <c r="I157" s="6" t="s">
        <v>25</v>
      </c>
      <c r="J157" s="6" t="str">
        <f aca="false">ROUND(70*1,0)&amp;"%"</f>
        <v>70%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8830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8831</v>
      </c>
      <c r="B162" s="5" t="s">
        <v>278</v>
      </c>
      <c r="C162" s="5" t="s">
        <v>152</v>
      </c>
      <c r="D162" s="5" t="s">
        <v>16</v>
      </c>
      <c r="E162" s="5" t="n">
        <f aca="false">ROUND(14713*1.05,2)</f>
        <v>15448.65</v>
      </c>
      <c r="F162" s="5" t="s">
        <v>17</v>
      </c>
      <c r="G162" s="5" t="s">
        <v>18</v>
      </c>
      <c r="H162" s="5" t="n">
        <f aca="true">ROUND(RAND()*4+6,1)</f>
        <v>8.9</v>
      </c>
      <c r="I162" s="5" t="s">
        <v>19</v>
      </c>
      <c r="J162" s="5" t="str">
        <f aca="false">ROUND(91*1,0)&amp;"%"</f>
        <v>91%</v>
      </c>
    </row>
    <row r="163" customFormat="false" ht="15" hidden="false" customHeight="false" outlineLevel="0" collapsed="false">
      <c r="A163" s="6" t="s">
        <v>8832</v>
      </c>
      <c r="B163" s="6" t="s">
        <v>280</v>
      </c>
      <c r="C163" s="6" t="s">
        <v>152</v>
      </c>
      <c r="D163" s="6" t="s">
        <v>22</v>
      </c>
      <c r="E163" s="6" t="n">
        <f aca="false">ROUND(5189*1.05,2)</f>
        <v>5448.45</v>
      </c>
      <c r="F163" s="6" t="s">
        <v>23</v>
      </c>
      <c r="G163" s="6" t="s">
        <v>24</v>
      </c>
      <c r="H163" s="6" t="n">
        <f aca="true">ROUND(RAND()*4+6,1)</f>
        <v>6.3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8833</v>
      </c>
      <c r="B164" s="5" t="s">
        <v>282</v>
      </c>
      <c r="C164" s="5" t="s">
        <v>152</v>
      </c>
      <c r="D164" s="5" t="s">
        <v>28</v>
      </c>
      <c r="E164" s="5" t="n">
        <f aca="false">ROUND(13599*1.05,2)</f>
        <v>14278.95</v>
      </c>
      <c r="F164" s="5" t="s">
        <v>29</v>
      </c>
      <c r="G164" s="5" t="s">
        <v>30</v>
      </c>
      <c r="H164" s="5" t="n">
        <f aca="true">ROUND(RAND()*4+6,1)</f>
        <v>8.7</v>
      </c>
      <c r="I164" s="5" t="s">
        <v>31</v>
      </c>
      <c r="J164" s="5" t="str">
        <f aca="false">ROUND(72*1,0)&amp;"%"</f>
        <v>72%</v>
      </c>
    </row>
    <row r="165" customFormat="false" ht="15" hidden="false" customHeight="false" outlineLevel="0" collapsed="false">
      <c r="A165" s="6" t="s">
        <v>8834</v>
      </c>
      <c r="B165" s="6" t="s">
        <v>284</v>
      </c>
      <c r="C165" s="6" t="s">
        <v>152</v>
      </c>
      <c r="D165" s="6" t="s">
        <v>34</v>
      </c>
      <c r="E165" s="6" t="n">
        <f aca="false">ROUND(11201*1.05,2)</f>
        <v>11761.05</v>
      </c>
      <c r="F165" s="6" t="s">
        <v>35</v>
      </c>
      <c r="G165" s="6" t="s">
        <v>18</v>
      </c>
      <c r="H165" s="6" t="n">
        <f aca="true">ROUND(RAND()*4+6,1)</f>
        <v>7.3</v>
      </c>
      <c r="I165" s="6" t="s">
        <v>36</v>
      </c>
      <c r="J165" s="6" t="str">
        <f aca="false">ROUND(66*1,0)&amp;"%"</f>
        <v>66%</v>
      </c>
    </row>
    <row r="166" customFormat="false" ht="15" hidden="false" customHeight="false" outlineLevel="0" collapsed="false">
      <c r="A166" s="5" t="s">
        <v>8835</v>
      </c>
      <c r="B166" s="5" t="s">
        <v>286</v>
      </c>
      <c r="C166" s="5" t="s">
        <v>152</v>
      </c>
      <c r="D166" s="5" t="s">
        <v>39</v>
      </c>
      <c r="E166" s="5" t="n">
        <f aca="false">ROUND(5622*1.05,2)</f>
        <v>5903.1</v>
      </c>
      <c r="F166" s="5" t="s">
        <v>40</v>
      </c>
      <c r="G166" s="5" t="s">
        <v>24</v>
      </c>
      <c r="H166" s="5" t="n">
        <f aca="true">ROUND(RAND()*4+6,1)</f>
        <v>7.8</v>
      </c>
      <c r="I166" s="5" t="s">
        <v>41</v>
      </c>
      <c r="J166" s="5" t="str">
        <f aca="false">ROUND(67*1,0)&amp;"%"</f>
        <v>67%</v>
      </c>
    </row>
    <row r="167" customFormat="false" ht="15" hidden="false" customHeight="false" outlineLevel="0" collapsed="false">
      <c r="A167" s="6" t="s">
        <v>8836</v>
      </c>
      <c r="B167" s="6" t="s">
        <v>288</v>
      </c>
      <c r="C167" s="6" t="s">
        <v>152</v>
      </c>
      <c r="D167" s="6" t="s">
        <v>44</v>
      </c>
      <c r="E167" s="6" t="n">
        <f aca="false">ROUND(13813*1.05,2)</f>
        <v>14503.65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ROUND(80*1,0)&amp;"%"</f>
        <v>80%</v>
      </c>
    </row>
    <row r="168" customFormat="false" ht="15" hidden="false" customHeight="false" outlineLevel="0" collapsed="false">
      <c r="A168" s="5" t="s">
        <v>8837</v>
      </c>
      <c r="B168" s="5" t="s">
        <v>290</v>
      </c>
      <c r="C168" s="5" t="s">
        <v>152</v>
      </c>
      <c r="D168" s="5" t="s">
        <v>16</v>
      </c>
      <c r="E168" s="5" t="n">
        <f aca="false">ROUND(7344*1.05,2)</f>
        <v>7711.2</v>
      </c>
      <c r="F168" s="5" t="s">
        <v>49</v>
      </c>
      <c r="G168" s="5" t="s">
        <v>18</v>
      </c>
      <c r="H168" s="5" t="n">
        <f aca="true">ROUND(RAND()*4+6,1)</f>
        <v>7.4</v>
      </c>
      <c r="I168" s="5" t="s">
        <v>19</v>
      </c>
      <c r="J168" s="5" t="str">
        <f aca="false">ROUND(69*1,0)&amp;"%"</f>
        <v>69%</v>
      </c>
    </row>
    <row r="169" customFormat="false" ht="15" hidden="false" customHeight="false" outlineLevel="0" collapsed="false">
      <c r="A169" s="6" t="s">
        <v>8838</v>
      </c>
      <c r="B169" s="6" t="s">
        <v>292</v>
      </c>
      <c r="C169" s="6" t="s">
        <v>152</v>
      </c>
      <c r="D169" s="6" t="s">
        <v>22</v>
      </c>
      <c r="E169" s="6" t="n">
        <f aca="false">ROUND(10022*1.05,2)</f>
        <v>10523.1</v>
      </c>
      <c r="F169" s="6" t="s">
        <v>52</v>
      </c>
      <c r="G169" s="6" t="s">
        <v>24</v>
      </c>
      <c r="H169" s="6" t="n">
        <f aca="true">ROUND(RAND()*4+6,1)</f>
        <v>6.7</v>
      </c>
      <c r="I169" s="6" t="s">
        <v>25</v>
      </c>
      <c r="J169" s="6" t="str">
        <f aca="false">ROUND(60*1,0)&amp;"%"</f>
        <v>60%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8839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8840</v>
      </c>
      <c r="B174" s="5" t="s">
        <v>296</v>
      </c>
      <c r="C174" s="5" t="s">
        <v>15</v>
      </c>
      <c r="D174" s="5" t="s">
        <v>16</v>
      </c>
      <c r="E174" s="5" t="n">
        <f aca="false">ROUND(12987*1.05,2)</f>
        <v>13636.35</v>
      </c>
      <c r="F174" s="5" t="s">
        <v>17</v>
      </c>
      <c r="G174" s="5" t="s">
        <v>18</v>
      </c>
      <c r="H174" s="5" t="n">
        <f aca="true">ROUND(RAND()*4+6,1)</f>
        <v>9.9</v>
      </c>
      <c r="I174" s="5" t="s">
        <v>19</v>
      </c>
      <c r="J174" s="5" t="str">
        <f aca="false">ROUND(60*1,0)&amp;"%"</f>
        <v>60%</v>
      </c>
    </row>
    <row r="175" customFormat="false" ht="15" hidden="false" customHeight="false" outlineLevel="0" collapsed="false">
      <c r="A175" s="6" t="s">
        <v>8841</v>
      </c>
      <c r="B175" s="6" t="s">
        <v>298</v>
      </c>
      <c r="C175" s="6" t="s">
        <v>15</v>
      </c>
      <c r="D175" s="6" t="s">
        <v>22</v>
      </c>
      <c r="E175" s="6" t="n">
        <f aca="false">ROUND(13674*1.05,2)</f>
        <v>14357.7</v>
      </c>
      <c r="F175" s="6" t="s">
        <v>23</v>
      </c>
      <c r="G175" s="6" t="s">
        <v>24</v>
      </c>
      <c r="H175" s="6" t="n">
        <f aca="true">ROUND(RAND()*4+6,1)</f>
        <v>7.9</v>
      </c>
      <c r="I175" s="6" t="s">
        <v>25</v>
      </c>
      <c r="J175" s="6" t="str">
        <f aca="false">ROUND(64*1,0)&amp;"%"</f>
        <v>64%</v>
      </c>
    </row>
    <row r="176" customFormat="false" ht="15" hidden="false" customHeight="false" outlineLevel="0" collapsed="false">
      <c r="A176" s="5" t="s">
        <v>8842</v>
      </c>
      <c r="B176" s="5" t="s">
        <v>300</v>
      </c>
      <c r="C176" s="5" t="s">
        <v>15</v>
      </c>
      <c r="D176" s="5" t="s">
        <v>28</v>
      </c>
      <c r="E176" s="5" t="n">
        <f aca="false">ROUND(12849*1.05,2)</f>
        <v>13491.45</v>
      </c>
      <c r="F176" s="5" t="s">
        <v>29</v>
      </c>
      <c r="G176" s="5" t="s">
        <v>30</v>
      </c>
      <c r="H176" s="5" t="n">
        <f aca="true">ROUND(RAND()*4+6,1)</f>
        <v>6.2</v>
      </c>
      <c r="I176" s="5" t="s">
        <v>31</v>
      </c>
      <c r="J176" s="5" t="str">
        <f aca="false">ROUND(97*1,0)&amp;"%"</f>
        <v>97%</v>
      </c>
    </row>
    <row r="177" customFormat="false" ht="15" hidden="false" customHeight="false" outlineLevel="0" collapsed="false">
      <c r="A177" s="6" t="s">
        <v>8843</v>
      </c>
      <c r="B177" s="6" t="s">
        <v>302</v>
      </c>
      <c r="C177" s="6" t="s">
        <v>15</v>
      </c>
      <c r="D177" s="6" t="s">
        <v>34</v>
      </c>
      <c r="E177" s="6" t="n">
        <f aca="false">ROUND(8559*1.05,2)</f>
        <v>8986.95</v>
      </c>
      <c r="F177" s="6" t="s">
        <v>35</v>
      </c>
      <c r="G177" s="6" t="s">
        <v>18</v>
      </c>
      <c r="H177" s="6" t="n">
        <f aca="true">ROUND(RAND()*4+6,1)</f>
        <v>9.6</v>
      </c>
      <c r="I177" s="6" t="s">
        <v>36</v>
      </c>
      <c r="J177" s="6" t="str">
        <f aca="false">ROUND(86*1,0)&amp;"%"</f>
        <v>86%</v>
      </c>
    </row>
    <row r="178" customFormat="false" ht="15" hidden="false" customHeight="false" outlineLevel="0" collapsed="false">
      <c r="A178" s="5" t="s">
        <v>8844</v>
      </c>
      <c r="B178" s="5" t="s">
        <v>304</v>
      </c>
      <c r="C178" s="5" t="s">
        <v>15</v>
      </c>
      <c r="D178" s="5" t="s">
        <v>39</v>
      </c>
      <c r="E178" s="5" t="n">
        <f aca="false">ROUND(14610*1.05,2)</f>
        <v>15340.5</v>
      </c>
      <c r="F178" s="5" t="s">
        <v>40</v>
      </c>
      <c r="G178" s="5" t="s">
        <v>24</v>
      </c>
      <c r="H178" s="5" t="n">
        <f aca="true">ROUND(RAND()*4+6,1)</f>
        <v>6.7</v>
      </c>
      <c r="I178" s="5" t="s">
        <v>41</v>
      </c>
      <c r="J178" s="5" t="str">
        <f aca="false">ROUND(86*1,0)&amp;"%"</f>
        <v>86%</v>
      </c>
    </row>
    <row r="179" customFormat="false" ht="15" hidden="false" customHeight="false" outlineLevel="0" collapsed="false">
      <c r="A179" s="6" t="s">
        <v>8845</v>
      </c>
      <c r="B179" s="6" t="s">
        <v>306</v>
      </c>
      <c r="C179" s="6" t="s">
        <v>15</v>
      </c>
      <c r="D179" s="6" t="s">
        <v>44</v>
      </c>
      <c r="E179" s="6" t="n">
        <f aca="false">ROUND(11278*1.05,2)</f>
        <v>11841.9</v>
      </c>
      <c r="F179" s="6" t="s">
        <v>45</v>
      </c>
      <c r="G179" s="6" t="s">
        <v>30</v>
      </c>
      <c r="H179" s="6" t="n">
        <f aca="true">ROUND(RAND()*4+6,1)</f>
        <v>8.8</v>
      </c>
      <c r="I179" s="6" t="s">
        <v>46</v>
      </c>
      <c r="J179" s="6" t="str">
        <f aca="false">ROUND(61*1,0)&amp;"%"</f>
        <v>61%</v>
      </c>
    </row>
    <row r="180" customFormat="false" ht="15" hidden="false" customHeight="false" outlineLevel="0" collapsed="false">
      <c r="A180" s="5" t="s">
        <v>8846</v>
      </c>
      <c r="B180" s="5" t="s">
        <v>308</v>
      </c>
      <c r="C180" s="5" t="s">
        <v>15</v>
      </c>
      <c r="D180" s="5" t="s">
        <v>16</v>
      </c>
      <c r="E180" s="5" t="n">
        <f aca="false">ROUND(4590*1.05,2)</f>
        <v>4819.5</v>
      </c>
      <c r="F180" s="5" t="s">
        <v>49</v>
      </c>
      <c r="G180" s="5" t="s">
        <v>18</v>
      </c>
      <c r="H180" s="5" t="n">
        <f aca="true">ROUND(RAND()*4+6,1)</f>
        <v>7.4</v>
      </c>
      <c r="I180" s="5" t="s">
        <v>19</v>
      </c>
      <c r="J180" s="5" t="str">
        <f aca="false">ROUND(98*1,0)&amp;"%"</f>
        <v>98%</v>
      </c>
    </row>
    <row r="181" customFormat="false" ht="15" hidden="false" customHeight="false" outlineLevel="0" collapsed="false">
      <c r="A181" s="6" t="s">
        <v>8847</v>
      </c>
      <c r="B181" s="6" t="s">
        <v>310</v>
      </c>
      <c r="C181" s="6" t="s">
        <v>15</v>
      </c>
      <c r="D181" s="6" t="s">
        <v>22</v>
      </c>
      <c r="E181" s="6" t="n">
        <f aca="false">ROUND(7958*1.05,2)</f>
        <v>8355.9</v>
      </c>
      <c r="F181" s="6" t="s">
        <v>52</v>
      </c>
      <c r="G181" s="6" t="s">
        <v>24</v>
      </c>
      <c r="H181" s="6" t="n">
        <f aca="true">ROUND(RAND()*4+6,1)</f>
        <v>9.8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8848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8849</v>
      </c>
      <c r="B186" s="5" t="s">
        <v>314</v>
      </c>
      <c r="C186" s="5" t="s">
        <v>57</v>
      </c>
      <c r="D186" s="5" t="s">
        <v>16</v>
      </c>
      <c r="E186" s="5" t="n">
        <f aca="false">ROUND(5437*1.05,2)</f>
        <v>5708.85</v>
      </c>
      <c r="F186" s="5" t="s">
        <v>17</v>
      </c>
      <c r="G186" s="5" t="s">
        <v>18</v>
      </c>
      <c r="H186" s="5" t="n">
        <f aca="true">ROUND(RAND()*4+6,1)</f>
        <v>7.1</v>
      </c>
      <c r="I186" s="5" t="s">
        <v>19</v>
      </c>
      <c r="J186" s="5" t="str">
        <f aca="false">ROUND(81*1,0)&amp;"%"</f>
        <v>81%</v>
      </c>
    </row>
    <row r="187" customFormat="false" ht="15" hidden="false" customHeight="false" outlineLevel="0" collapsed="false">
      <c r="A187" s="6" t="s">
        <v>8850</v>
      </c>
      <c r="B187" s="6" t="s">
        <v>316</v>
      </c>
      <c r="C187" s="6" t="s">
        <v>57</v>
      </c>
      <c r="D187" s="6" t="s">
        <v>22</v>
      </c>
      <c r="E187" s="6" t="n">
        <f aca="false">ROUND(4150*1.05,2)</f>
        <v>4357.5</v>
      </c>
      <c r="F187" s="6" t="s">
        <v>23</v>
      </c>
      <c r="G187" s="6" t="s">
        <v>24</v>
      </c>
      <c r="H187" s="6" t="n">
        <f aca="true">ROUND(RAND()*4+6,1)</f>
        <v>8.8</v>
      </c>
      <c r="I187" s="6" t="s">
        <v>25</v>
      </c>
      <c r="J187" s="6" t="str">
        <f aca="false">ROUND(88*1,0)&amp;"%"</f>
        <v>88%</v>
      </c>
    </row>
    <row r="188" customFormat="false" ht="15" hidden="false" customHeight="false" outlineLevel="0" collapsed="false">
      <c r="A188" s="5" t="s">
        <v>8851</v>
      </c>
      <c r="B188" s="5" t="s">
        <v>318</v>
      </c>
      <c r="C188" s="5" t="s">
        <v>57</v>
      </c>
      <c r="D188" s="5" t="s">
        <v>28</v>
      </c>
      <c r="E188" s="5" t="n">
        <f aca="false">ROUND(9022*1.05,2)</f>
        <v>9473.1</v>
      </c>
      <c r="F188" s="5" t="s">
        <v>29</v>
      </c>
      <c r="G188" s="5" t="s">
        <v>30</v>
      </c>
      <c r="H188" s="5" t="n">
        <f aca="true">ROUND(RAND()*4+6,1)</f>
        <v>8.6</v>
      </c>
      <c r="I188" s="5" t="s">
        <v>31</v>
      </c>
      <c r="J188" s="5" t="str">
        <f aca="false">ROUND(67*1,0)&amp;"%"</f>
        <v>67%</v>
      </c>
    </row>
    <row r="189" customFormat="false" ht="15" hidden="false" customHeight="false" outlineLevel="0" collapsed="false">
      <c r="A189" s="6" t="s">
        <v>8852</v>
      </c>
      <c r="B189" s="6" t="s">
        <v>320</v>
      </c>
      <c r="C189" s="6" t="s">
        <v>57</v>
      </c>
      <c r="D189" s="6" t="s">
        <v>34</v>
      </c>
      <c r="E189" s="6" t="n">
        <f aca="false">ROUND(11923*1.05,2)</f>
        <v>12519.15</v>
      </c>
      <c r="F189" s="6" t="s">
        <v>35</v>
      </c>
      <c r="G189" s="6" t="s">
        <v>18</v>
      </c>
      <c r="H189" s="6" t="n">
        <f aca="true">ROUND(RAND()*4+6,1)</f>
        <v>7.7</v>
      </c>
      <c r="I189" s="6" t="s">
        <v>36</v>
      </c>
      <c r="J189" s="6" t="str">
        <f aca="false">ROUND(79*1,0)&amp;"%"</f>
        <v>79%</v>
      </c>
    </row>
    <row r="190" customFormat="false" ht="15" hidden="false" customHeight="false" outlineLevel="0" collapsed="false">
      <c r="A190" s="5" t="s">
        <v>8853</v>
      </c>
      <c r="B190" s="5" t="s">
        <v>322</v>
      </c>
      <c r="C190" s="5" t="s">
        <v>57</v>
      </c>
      <c r="D190" s="5" t="s">
        <v>39</v>
      </c>
      <c r="E190" s="5" t="n">
        <f aca="false">ROUND(4485*1.05,2)</f>
        <v>4709.25</v>
      </c>
      <c r="F190" s="5" t="s">
        <v>40</v>
      </c>
      <c r="G190" s="5" t="s">
        <v>24</v>
      </c>
      <c r="H190" s="5" t="n">
        <f aca="true">ROUND(RAND()*4+6,1)</f>
        <v>7.5</v>
      </c>
      <c r="I190" s="5" t="s">
        <v>41</v>
      </c>
      <c r="J190" s="5" t="str">
        <f aca="false">ROUND(76*1,0)&amp;"%"</f>
        <v>76%</v>
      </c>
    </row>
    <row r="191" customFormat="false" ht="15" hidden="false" customHeight="false" outlineLevel="0" collapsed="false">
      <c r="A191" s="6" t="s">
        <v>8854</v>
      </c>
      <c r="B191" s="6" t="s">
        <v>324</v>
      </c>
      <c r="C191" s="6" t="s">
        <v>57</v>
      </c>
      <c r="D191" s="6" t="s">
        <v>44</v>
      </c>
      <c r="E191" s="6" t="n">
        <f aca="false">ROUND(15520*1.05,2)</f>
        <v>16296</v>
      </c>
      <c r="F191" s="6" t="s">
        <v>45</v>
      </c>
      <c r="G191" s="6" t="s">
        <v>30</v>
      </c>
      <c r="H191" s="6" t="n">
        <f aca="true">ROUND(RAND()*4+6,1)</f>
        <v>6.2</v>
      </c>
      <c r="I191" s="6" t="s">
        <v>46</v>
      </c>
      <c r="J191" s="6" t="str">
        <f aca="false">ROUND(63*1,0)&amp;"%"</f>
        <v>63%</v>
      </c>
    </row>
    <row r="192" customFormat="false" ht="15" hidden="false" customHeight="false" outlineLevel="0" collapsed="false">
      <c r="A192" s="5" t="s">
        <v>8855</v>
      </c>
      <c r="B192" s="5" t="s">
        <v>326</v>
      </c>
      <c r="C192" s="5" t="s">
        <v>57</v>
      </c>
      <c r="D192" s="5" t="s">
        <v>16</v>
      </c>
      <c r="E192" s="5" t="n">
        <f aca="false">ROUND(17081*1.05,2)</f>
        <v>17935.05</v>
      </c>
      <c r="F192" s="5" t="s">
        <v>49</v>
      </c>
      <c r="G192" s="5" t="s">
        <v>18</v>
      </c>
      <c r="H192" s="5" t="n">
        <f aca="true">ROUND(RAND()*4+6,1)</f>
        <v>6</v>
      </c>
      <c r="I192" s="5" t="s">
        <v>19</v>
      </c>
      <c r="J192" s="5" t="str">
        <f aca="false">ROUND(87*1,0)&amp;"%"</f>
        <v>87%</v>
      </c>
    </row>
    <row r="193" customFormat="false" ht="15" hidden="false" customHeight="false" outlineLevel="0" collapsed="false">
      <c r="A193" s="6" t="s">
        <v>8856</v>
      </c>
      <c r="B193" s="6" t="s">
        <v>328</v>
      </c>
      <c r="C193" s="6" t="s">
        <v>57</v>
      </c>
      <c r="D193" s="6" t="s">
        <v>22</v>
      </c>
      <c r="E193" s="6" t="n">
        <f aca="false">ROUND(14622*1.05,2)</f>
        <v>15353.1</v>
      </c>
      <c r="F193" s="6" t="s">
        <v>52</v>
      </c>
      <c r="G193" s="6" t="s">
        <v>24</v>
      </c>
      <c r="H193" s="6" t="n">
        <f aca="true">ROUND(RAND()*4+6,1)</f>
        <v>9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8857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8858</v>
      </c>
      <c r="B198" s="5" t="s">
        <v>332</v>
      </c>
      <c r="C198" s="5" t="s">
        <v>76</v>
      </c>
      <c r="D198" s="5" t="s">
        <v>16</v>
      </c>
      <c r="E198" s="5" t="n">
        <f aca="false">ROUND(11267*1.05,2)</f>
        <v>11830.35</v>
      </c>
      <c r="F198" s="5" t="s">
        <v>17</v>
      </c>
      <c r="G198" s="5" t="s">
        <v>18</v>
      </c>
      <c r="H198" s="5" t="n">
        <f aca="true">ROUND(RAND()*4+6,1)</f>
        <v>9.5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8859</v>
      </c>
      <c r="B199" s="6" t="s">
        <v>334</v>
      </c>
      <c r="C199" s="6" t="s">
        <v>76</v>
      </c>
      <c r="D199" s="6" t="s">
        <v>22</v>
      </c>
      <c r="E199" s="6" t="n">
        <f aca="false">ROUND(10483*1.05,2)</f>
        <v>11007.15</v>
      </c>
      <c r="F199" s="6" t="s">
        <v>23</v>
      </c>
      <c r="G199" s="6" t="s">
        <v>24</v>
      </c>
      <c r="H199" s="6" t="n">
        <f aca="true">ROUND(RAND()*4+6,1)</f>
        <v>6.6</v>
      </c>
      <c r="I199" s="6" t="s">
        <v>25</v>
      </c>
      <c r="J199" s="6" t="str">
        <f aca="false">ROUND(77*1,0)&amp;"%"</f>
        <v>77%</v>
      </c>
    </row>
    <row r="200" customFormat="false" ht="15" hidden="false" customHeight="false" outlineLevel="0" collapsed="false">
      <c r="A200" s="5" t="s">
        <v>8860</v>
      </c>
      <c r="B200" s="5" t="s">
        <v>336</v>
      </c>
      <c r="C200" s="5" t="s">
        <v>76</v>
      </c>
      <c r="D200" s="5" t="s">
        <v>28</v>
      </c>
      <c r="E200" s="5" t="n">
        <f aca="false">ROUND(14462*1.05,2)</f>
        <v>15185.1</v>
      </c>
      <c r="F200" s="5" t="s">
        <v>29</v>
      </c>
      <c r="G200" s="5" t="s">
        <v>30</v>
      </c>
      <c r="H200" s="5" t="n">
        <f aca="true">ROUND(RAND()*4+6,1)</f>
        <v>9.4</v>
      </c>
      <c r="I200" s="5" t="s">
        <v>31</v>
      </c>
      <c r="J200" s="5" t="str">
        <f aca="false">ROUND(96*1,0)&amp;"%"</f>
        <v>96%</v>
      </c>
    </row>
    <row r="201" customFormat="false" ht="15" hidden="false" customHeight="false" outlineLevel="0" collapsed="false">
      <c r="A201" s="6" t="s">
        <v>8861</v>
      </c>
      <c r="B201" s="6" t="s">
        <v>338</v>
      </c>
      <c r="C201" s="6" t="s">
        <v>76</v>
      </c>
      <c r="D201" s="6" t="s">
        <v>34</v>
      </c>
      <c r="E201" s="6" t="n">
        <f aca="false">ROUND(17009*1.05,2)</f>
        <v>17859.45</v>
      </c>
      <c r="F201" s="6" t="s">
        <v>35</v>
      </c>
      <c r="G201" s="6" t="s">
        <v>18</v>
      </c>
      <c r="H201" s="6" t="n">
        <f aca="true">ROUND(RAND()*4+6,1)</f>
        <v>9.8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8862</v>
      </c>
      <c r="B202" s="5" t="s">
        <v>340</v>
      </c>
      <c r="C202" s="5" t="s">
        <v>76</v>
      </c>
      <c r="D202" s="5" t="s">
        <v>39</v>
      </c>
      <c r="E202" s="5" t="n">
        <f aca="false">ROUND(9797*1.05,2)</f>
        <v>10286.85</v>
      </c>
      <c r="F202" s="5" t="s">
        <v>40</v>
      </c>
      <c r="G202" s="5" t="s">
        <v>24</v>
      </c>
      <c r="H202" s="5" t="n">
        <f aca="true">ROUND(RAND()*4+6,1)</f>
        <v>10</v>
      </c>
      <c r="I202" s="5" t="s">
        <v>41</v>
      </c>
      <c r="J202" s="5" t="str">
        <f aca="false">ROUND(77*1,0)&amp;"%"</f>
        <v>77%</v>
      </c>
    </row>
    <row r="203" customFormat="false" ht="15" hidden="false" customHeight="false" outlineLevel="0" collapsed="false">
      <c r="A203" s="6" t="s">
        <v>8863</v>
      </c>
      <c r="B203" s="6" t="s">
        <v>342</v>
      </c>
      <c r="C203" s="6" t="s">
        <v>76</v>
      </c>
      <c r="D203" s="6" t="s">
        <v>44</v>
      </c>
      <c r="E203" s="6" t="n">
        <f aca="false">ROUND(4833*1.05,2)</f>
        <v>5074.65</v>
      </c>
      <c r="F203" s="6" t="s">
        <v>45</v>
      </c>
      <c r="G203" s="6" t="s">
        <v>30</v>
      </c>
      <c r="H203" s="6" t="n">
        <f aca="true">ROUND(RAND()*4+6,1)</f>
        <v>7.1</v>
      </c>
      <c r="I203" s="6" t="s">
        <v>46</v>
      </c>
      <c r="J203" s="6" t="str">
        <f aca="false">ROUND(86*1,0)&amp;"%"</f>
        <v>86%</v>
      </c>
    </row>
    <row r="204" customFormat="false" ht="15" hidden="false" customHeight="false" outlineLevel="0" collapsed="false">
      <c r="A204" s="5" t="s">
        <v>8864</v>
      </c>
      <c r="B204" s="5" t="s">
        <v>344</v>
      </c>
      <c r="C204" s="5" t="s">
        <v>76</v>
      </c>
      <c r="D204" s="5" t="s">
        <v>16</v>
      </c>
      <c r="E204" s="5" t="n">
        <f aca="false">ROUND(13949*1.05,2)</f>
        <v>14646.45</v>
      </c>
      <c r="F204" s="5" t="s">
        <v>49</v>
      </c>
      <c r="G204" s="5" t="s">
        <v>18</v>
      </c>
      <c r="H204" s="5" t="n">
        <f aca="true">ROUND(RAND()*4+6,1)</f>
        <v>7.4</v>
      </c>
      <c r="I204" s="5" t="s">
        <v>19</v>
      </c>
      <c r="J204" s="5" t="str">
        <f aca="false">ROUND(68*1,0)&amp;"%"</f>
        <v>68%</v>
      </c>
    </row>
    <row r="205" customFormat="false" ht="15" hidden="false" customHeight="false" outlineLevel="0" collapsed="false">
      <c r="A205" s="6" t="s">
        <v>8865</v>
      </c>
      <c r="B205" s="6" t="s">
        <v>346</v>
      </c>
      <c r="C205" s="6" t="s">
        <v>76</v>
      </c>
      <c r="D205" s="6" t="s">
        <v>22</v>
      </c>
      <c r="E205" s="6" t="n">
        <f aca="false">ROUND(9293*1.05,2)</f>
        <v>9757.65</v>
      </c>
      <c r="F205" s="6" t="s">
        <v>52</v>
      </c>
      <c r="G205" s="6" t="s">
        <v>24</v>
      </c>
      <c r="H205" s="6" t="n">
        <f aca="true">ROUND(RAND()*4+6,1)</f>
        <v>6</v>
      </c>
      <c r="I205" s="6" t="s">
        <v>25</v>
      </c>
      <c r="J205" s="6" t="str">
        <f aca="false">ROUND(74*1,0)&amp;"%"</f>
        <v>74%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8866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8867</v>
      </c>
      <c r="B210" s="5" t="s">
        <v>350</v>
      </c>
      <c r="C210" s="5" t="s">
        <v>95</v>
      </c>
      <c r="D210" s="5" t="s">
        <v>16</v>
      </c>
      <c r="E210" s="5" t="n">
        <f aca="false">ROUND(17957*1.05,2)</f>
        <v>18854.85</v>
      </c>
      <c r="F210" s="5" t="s">
        <v>17</v>
      </c>
      <c r="G210" s="5" t="s">
        <v>18</v>
      </c>
      <c r="H210" s="5" t="n">
        <f aca="true">ROUND(RAND()*4+6,1)</f>
        <v>8.9</v>
      </c>
      <c r="I210" s="5" t="s">
        <v>19</v>
      </c>
      <c r="J210" s="5" t="str">
        <f aca="false">ROUND(80*1,0)&amp;"%"</f>
        <v>80%</v>
      </c>
    </row>
    <row r="211" customFormat="false" ht="15" hidden="false" customHeight="false" outlineLevel="0" collapsed="false">
      <c r="A211" s="6" t="s">
        <v>8868</v>
      </c>
      <c r="B211" s="6" t="s">
        <v>352</v>
      </c>
      <c r="C211" s="6" t="s">
        <v>95</v>
      </c>
      <c r="D211" s="6" t="s">
        <v>22</v>
      </c>
      <c r="E211" s="6" t="n">
        <f aca="false">ROUND(5316*1.05,2)</f>
        <v>5581.8</v>
      </c>
      <c r="F211" s="6" t="s">
        <v>23</v>
      </c>
      <c r="G211" s="6" t="s">
        <v>24</v>
      </c>
      <c r="H211" s="6" t="n">
        <f aca="true">ROUND(RAND()*4+6,1)</f>
        <v>7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8869</v>
      </c>
      <c r="B212" s="5" t="s">
        <v>354</v>
      </c>
      <c r="C212" s="5" t="s">
        <v>95</v>
      </c>
      <c r="D212" s="5" t="s">
        <v>28</v>
      </c>
      <c r="E212" s="5" t="n">
        <f aca="false">ROUND(17485*1.05,2)</f>
        <v>18359.25</v>
      </c>
      <c r="F212" s="5" t="s">
        <v>29</v>
      </c>
      <c r="G212" s="5" t="s">
        <v>30</v>
      </c>
      <c r="H212" s="5" t="n">
        <f aca="true">ROUND(RAND()*4+6,1)</f>
        <v>7.9</v>
      </c>
      <c r="I212" s="5" t="s">
        <v>31</v>
      </c>
      <c r="J212" s="5" t="str">
        <f aca="false">ROUND(65*1,0)&amp;"%"</f>
        <v>65%</v>
      </c>
    </row>
    <row r="213" customFormat="false" ht="15" hidden="false" customHeight="false" outlineLevel="0" collapsed="false">
      <c r="A213" s="6" t="s">
        <v>8870</v>
      </c>
      <c r="B213" s="6" t="s">
        <v>356</v>
      </c>
      <c r="C213" s="6" t="s">
        <v>95</v>
      </c>
      <c r="D213" s="6" t="s">
        <v>34</v>
      </c>
      <c r="E213" s="6" t="n">
        <f aca="false">ROUND(15912*1.05,2)</f>
        <v>16707.6</v>
      </c>
      <c r="F213" s="6" t="s">
        <v>35</v>
      </c>
      <c r="G213" s="6" t="s">
        <v>18</v>
      </c>
      <c r="H213" s="6" t="n">
        <f aca="true">ROUND(RAND()*4+6,1)</f>
        <v>8.7</v>
      </c>
      <c r="I213" s="6" t="s">
        <v>36</v>
      </c>
      <c r="J213" s="6" t="str">
        <f aca="false">ROUND(81*1,0)&amp;"%"</f>
        <v>81%</v>
      </c>
    </row>
    <row r="214" customFormat="false" ht="15" hidden="false" customHeight="false" outlineLevel="0" collapsed="false">
      <c r="A214" s="5" t="s">
        <v>8871</v>
      </c>
      <c r="B214" s="5" t="s">
        <v>358</v>
      </c>
      <c r="C214" s="5" t="s">
        <v>95</v>
      </c>
      <c r="D214" s="5" t="s">
        <v>39</v>
      </c>
      <c r="E214" s="5" t="n">
        <f aca="false">ROUND(5146*1.05,2)</f>
        <v>5403.3</v>
      </c>
      <c r="F214" s="5" t="s">
        <v>40</v>
      </c>
      <c r="G214" s="5" t="s">
        <v>24</v>
      </c>
      <c r="H214" s="5" t="n">
        <f aca="true">ROUND(RAND()*4+6,1)</f>
        <v>8.4</v>
      </c>
      <c r="I214" s="5" t="s">
        <v>41</v>
      </c>
      <c r="J214" s="5" t="str">
        <f aca="false">ROUND(69*1,0)&amp;"%"</f>
        <v>69%</v>
      </c>
    </row>
    <row r="215" customFormat="false" ht="15" hidden="false" customHeight="false" outlineLevel="0" collapsed="false">
      <c r="A215" s="6" t="s">
        <v>8872</v>
      </c>
      <c r="B215" s="6" t="s">
        <v>360</v>
      </c>
      <c r="C215" s="6" t="s">
        <v>95</v>
      </c>
      <c r="D215" s="6" t="s">
        <v>44</v>
      </c>
      <c r="E215" s="6" t="n">
        <f aca="false">ROUND(8847*1.05,2)</f>
        <v>9289.35</v>
      </c>
      <c r="F215" s="6" t="s">
        <v>45</v>
      </c>
      <c r="G215" s="6" t="s">
        <v>30</v>
      </c>
      <c r="H215" s="6" t="n">
        <f aca="true">ROUND(RAND()*4+6,1)</f>
        <v>8.5</v>
      </c>
      <c r="I215" s="6" t="s">
        <v>46</v>
      </c>
      <c r="J215" s="6" t="str">
        <f aca="false">ROUND(64*1,0)&amp;"%"</f>
        <v>64%</v>
      </c>
    </row>
    <row r="216" customFormat="false" ht="15" hidden="false" customHeight="false" outlineLevel="0" collapsed="false">
      <c r="A216" s="5" t="s">
        <v>8873</v>
      </c>
      <c r="B216" s="5" t="s">
        <v>362</v>
      </c>
      <c r="C216" s="5" t="s">
        <v>95</v>
      </c>
      <c r="D216" s="5" t="s">
        <v>16</v>
      </c>
      <c r="E216" s="5" t="n">
        <f aca="false">ROUND(8769*1.05,2)</f>
        <v>9207.45</v>
      </c>
      <c r="F216" s="5" t="s">
        <v>49</v>
      </c>
      <c r="G216" s="5" t="s">
        <v>18</v>
      </c>
      <c r="H216" s="5" t="n">
        <f aca="true">ROUND(RAND()*4+6,1)</f>
        <v>7.2</v>
      </c>
      <c r="I216" s="5" t="s">
        <v>19</v>
      </c>
      <c r="J216" s="5" t="str">
        <f aca="false">ROUND(90*1,0)&amp;"%"</f>
        <v>90%</v>
      </c>
    </row>
    <row r="217" customFormat="false" ht="15" hidden="false" customHeight="false" outlineLevel="0" collapsed="false">
      <c r="A217" s="6" t="s">
        <v>8874</v>
      </c>
      <c r="B217" s="6" t="s">
        <v>364</v>
      </c>
      <c r="C217" s="6" t="s">
        <v>95</v>
      </c>
      <c r="D217" s="6" t="s">
        <v>22</v>
      </c>
      <c r="E217" s="6" t="n">
        <f aca="false">ROUND(14019*1.05,2)</f>
        <v>14719.95</v>
      </c>
      <c r="F217" s="6" t="s">
        <v>52</v>
      </c>
      <c r="G217" s="6" t="s">
        <v>24</v>
      </c>
      <c r="H217" s="6" t="n">
        <f aca="true">ROUND(RAND()*4+6,1)</f>
        <v>7.9</v>
      </c>
      <c r="I217" s="6" t="s">
        <v>25</v>
      </c>
      <c r="J217" s="6" t="str">
        <f aca="false">ROUND(81*1,0)&amp;"%"</f>
        <v>81%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8875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8876</v>
      </c>
      <c r="B222" s="5" t="s">
        <v>368</v>
      </c>
      <c r="C222" s="5" t="s">
        <v>114</v>
      </c>
      <c r="D222" s="5" t="s">
        <v>16</v>
      </c>
      <c r="E222" s="5" t="n">
        <f aca="false">ROUND(13201*1.05,2)</f>
        <v>13861.05</v>
      </c>
      <c r="F222" s="5" t="s">
        <v>17</v>
      </c>
      <c r="G222" s="5" t="s">
        <v>18</v>
      </c>
      <c r="H222" s="5" t="n">
        <f aca="true">ROUND(RAND()*4+6,1)</f>
        <v>6.6</v>
      </c>
      <c r="I222" s="5" t="s">
        <v>19</v>
      </c>
      <c r="J222" s="5" t="str">
        <f aca="false">ROUND(97*1,0)&amp;"%"</f>
        <v>97%</v>
      </c>
    </row>
    <row r="223" customFormat="false" ht="15" hidden="false" customHeight="false" outlineLevel="0" collapsed="false">
      <c r="A223" s="6" t="s">
        <v>8877</v>
      </c>
      <c r="B223" s="6" t="s">
        <v>370</v>
      </c>
      <c r="C223" s="6" t="s">
        <v>114</v>
      </c>
      <c r="D223" s="6" t="s">
        <v>22</v>
      </c>
      <c r="E223" s="6" t="n">
        <f aca="false">ROUND(7037*1.05,2)</f>
        <v>7388.85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ROUND(80*1,0)&amp;"%"</f>
        <v>80%</v>
      </c>
    </row>
    <row r="224" customFormat="false" ht="15" hidden="false" customHeight="false" outlineLevel="0" collapsed="false">
      <c r="A224" s="5" t="s">
        <v>8878</v>
      </c>
      <c r="B224" s="5" t="s">
        <v>372</v>
      </c>
      <c r="C224" s="5" t="s">
        <v>114</v>
      </c>
      <c r="D224" s="5" t="s">
        <v>28</v>
      </c>
      <c r="E224" s="5" t="n">
        <f aca="false">ROUND(17645*1.05,2)</f>
        <v>18527.25</v>
      </c>
      <c r="F224" s="5" t="s">
        <v>29</v>
      </c>
      <c r="G224" s="5" t="s">
        <v>30</v>
      </c>
      <c r="H224" s="5" t="n">
        <f aca="true">ROUND(RAND()*4+6,1)</f>
        <v>8.1</v>
      </c>
      <c r="I224" s="5" t="s">
        <v>31</v>
      </c>
      <c r="J224" s="5" t="str">
        <f aca="false">ROUND(96*1,0)&amp;"%"</f>
        <v>96%</v>
      </c>
    </row>
    <row r="225" customFormat="false" ht="15" hidden="false" customHeight="false" outlineLevel="0" collapsed="false">
      <c r="A225" s="6" t="s">
        <v>8879</v>
      </c>
      <c r="B225" s="6" t="s">
        <v>374</v>
      </c>
      <c r="C225" s="6" t="s">
        <v>114</v>
      </c>
      <c r="D225" s="6" t="s">
        <v>34</v>
      </c>
      <c r="E225" s="6" t="n">
        <f aca="false">ROUND(13907*1.05,2)</f>
        <v>14602.35</v>
      </c>
      <c r="F225" s="6" t="s">
        <v>35</v>
      </c>
      <c r="G225" s="6" t="s">
        <v>18</v>
      </c>
      <c r="H225" s="6" t="n">
        <f aca="true">ROUND(RAND()*4+6,1)</f>
        <v>8.4</v>
      </c>
      <c r="I225" s="6" t="s">
        <v>36</v>
      </c>
      <c r="J225" s="6" t="str">
        <f aca="false">ROUND(79*1,0)&amp;"%"</f>
        <v>79%</v>
      </c>
    </row>
    <row r="226" customFormat="false" ht="15" hidden="false" customHeight="false" outlineLevel="0" collapsed="false">
      <c r="A226" s="5" t="s">
        <v>8880</v>
      </c>
      <c r="B226" s="5" t="s">
        <v>376</v>
      </c>
      <c r="C226" s="5" t="s">
        <v>114</v>
      </c>
      <c r="D226" s="5" t="s">
        <v>39</v>
      </c>
      <c r="E226" s="5" t="n">
        <f aca="false">ROUND(16624*1.05,2)</f>
        <v>17455.2</v>
      </c>
      <c r="F226" s="5" t="s">
        <v>40</v>
      </c>
      <c r="G226" s="5" t="s">
        <v>24</v>
      </c>
      <c r="H226" s="5" t="n">
        <f aca="true">ROUND(RAND()*4+6,1)</f>
        <v>9.6</v>
      </c>
      <c r="I226" s="5" t="s">
        <v>41</v>
      </c>
      <c r="J226" s="5" t="str">
        <f aca="false">ROUND(92*1,0)&amp;"%"</f>
        <v>92%</v>
      </c>
    </row>
    <row r="227" customFormat="false" ht="15" hidden="false" customHeight="false" outlineLevel="0" collapsed="false">
      <c r="A227" s="6" t="s">
        <v>8881</v>
      </c>
      <c r="B227" s="6" t="s">
        <v>378</v>
      </c>
      <c r="C227" s="6" t="s">
        <v>114</v>
      </c>
      <c r="D227" s="6" t="s">
        <v>44</v>
      </c>
      <c r="E227" s="6" t="n">
        <f aca="false">ROUND(9750*1.05,2)</f>
        <v>10237.5</v>
      </c>
      <c r="F227" s="6" t="s">
        <v>45</v>
      </c>
      <c r="G227" s="6" t="s">
        <v>30</v>
      </c>
      <c r="H227" s="6" t="n">
        <f aca="true">ROUND(RAND()*4+6,1)</f>
        <v>9.1</v>
      </c>
      <c r="I227" s="6" t="s">
        <v>46</v>
      </c>
      <c r="J227" s="6" t="str">
        <f aca="false">ROUND(84*1,0)&amp;"%"</f>
        <v>84%</v>
      </c>
    </row>
    <row r="228" customFormat="false" ht="15" hidden="false" customHeight="false" outlineLevel="0" collapsed="false">
      <c r="A228" s="5" t="s">
        <v>8882</v>
      </c>
      <c r="B228" s="5" t="s">
        <v>380</v>
      </c>
      <c r="C228" s="5" t="s">
        <v>114</v>
      </c>
      <c r="D228" s="5" t="s">
        <v>16</v>
      </c>
      <c r="E228" s="5" t="n">
        <f aca="false">ROUND(4820*1.05,2)</f>
        <v>5061</v>
      </c>
      <c r="F228" s="5" t="s">
        <v>49</v>
      </c>
      <c r="G228" s="5" t="s">
        <v>18</v>
      </c>
      <c r="H228" s="5" t="n">
        <f aca="true">ROUND(RAND()*4+6,1)</f>
        <v>8</v>
      </c>
      <c r="I228" s="5" t="s">
        <v>19</v>
      </c>
      <c r="J228" s="5" t="str">
        <f aca="false">ROUND(96*1,0)&amp;"%"</f>
        <v>96%</v>
      </c>
    </row>
    <row r="229" customFormat="false" ht="15" hidden="false" customHeight="false" outlineLevel="0" collapsed="false">
      <c r="A229" s="6" t="s">
        <v>8883</v>
      </c>
      <c r="B229" s="6" t="s">
        <v>382</v>
      </c>
      <c r="C229" s="6" t="s">
        <v>114</v>
      </c>
      <c r="D229" s="6" t="s">
        <v>22</v>
      </c>
      <c r="E229" s="6" t="n">
        <f aca="false">ROUND(4148*1.05,2)</f>
        <v>4355.4</v>
      </c>
      <c r="F229" s="6" t="s">
        <v>52</v>
      </c>
      <c r="G229" s="6" t="s">
        <v>24</v>
      </c>
      <c r="H229" s="6" t="n">
        <f aca="true">ROUND(RAND()*4+6,1)</f>
        <v>9.1</v>
      </c>
      <c r="I229" s="6" t="s">
        <v>25</v>
      </c>
      <c r="J229" s="6" t="str">
        <f aca="false">ROUND(65*1,0)&amp;"%"</f>
        <v>65%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8884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8885</v>
      </c>
      <c r="B234" s="5" t="s">
        <v>386</v>
      </c>
      <c r="C234" s="5" t="s">
        <v>133</v>
      </c>
      <c r="D234" s="5" t="s">
        <v>16</v>
      </c>
      <c r="E234" s="5" t="n">
        <f aca="false">ROUND(9840*1.05,2)</f>
        <v>10332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ROUND(81*1,0)&amp;"%"</f>
        <v>81%</v>
      </c>
    </row>
    <row r="235" customFormat="false" ht="15" hidden="false" customHeight="false" outlineLevel="0" collapsed="false">
      <c r="A235" s="6" t="s">
        <v>8886</v>
      </c>
      <c r="B235" s="6" t="s">
        <v>388</v>
      </c>
      <c r="C235" s="6" t="s">
        <v>133</v>
      </c>
      <c r="D235" s="6" t="s">
        <v>22</v>
      </c>
      <c r="E235" s="6" t="n">
        <f aca="false">ROUND(7922*1.05,2)</f>
        <v>8318.1</v>
      </c>
      <c r="F235" s="6" t="s">
        <v>23</v>
      </c>
      <c r="G235" s="6" t="s">
        <v>24</v>
      </c>
      <c r="H235" s="6" t="n">
        <f aca="true">ROUND(RAND()*4+6,1)</f>
        <v>7.3</v>
      </c>
      <c r="I235" s="6" t="s">
        <v>25</v>
      </c>
      <c r="J235" s="6" t="str">
        <f aca="false">ROUND(71*1,0)&amp;"%"</f>
        <v>71%</v>
      </c>
    </row>
    <row r="236" customFormat="false" ht="15" hidden="false" customHeight="false" outlineLevel="0" collapsed="false">
      <c r="A236" s="5" t="s">
        <v>8887</v>
      </c>
      <c r="B236" s="5" t="s">
        <v>390</v>
      </c>
      <c r="C236" s="5" t="s">
        <v>133</v>
      </c>
      <c r="D236" s="5" t="s">
        <v>28</v>
      </c>
      <c r="E236" s="5" t="n">
        <f aca="false">ROUND(12414*1.05,2)</f>
        <v>13034.7</v>
      </c>
      <c r="F236" s="5" t="s">
        <v>29</v>
      </c>
      <c r="G236" s="5" t="s">
        <v>30</v>
      </c>
      <c r="H236" s="5" t="n">
        <f aca="true">ROUND(RAND()*4+6,1)</f>
        <v>9.6</v>
      </c>
      <c r="I236" s="5" t="s">
        <v>31</v>
      </c>
      <c r="J236" s="5" t="str">
        <f aca="false">ROUND(73*1,0)&amp;"%"</f>
        <v>73%</v>
      </c>
    </row>
    <row r="237" customFormat="false" ht="15" hidden="false" customHeight="false" outlineLevel="0" collapsed="false">
      <c r="A237" s="6" t="s">
        <v>8888</v>
      </c>
      <c r="B237" s="6" t="s">
        <v>392</v>
      </c>
      <c r="C237" s="6" t="s">
        <v>133</v>
      </c>
      <c r="D237" s="6" t="s">
        <v>34</v>
      </c>
      <c r="E237" s="6" t="n">
        <f aca="false">ROUND(15590*1.05,2)</f>
        <v>16369.5</v>
      </c>
      <c r="F237" s="6" t="s">
        <v>35</v>
      </c>
      <c r="G237" s="6" t="s">
        <v>18</v>
      </c>
      <c r="H237" s="6" t="n">
        <f aca="true">ROUND(RAND()*4+6,1)</f>
        <v>9.8</v>
      </c>
      <c r="I237" s="6" t="s">
        <v>36</v>
      </c>
      <c r="J237" s="6" t="str">
        <f aca="false">ROUND(79*1,0)&amp;"%"</f>
        <v>79%</v>
      </c>
    </row>
    <row r="238" customFormat="false" ht="15" hidden="false" customHeight="false" outlineLevel="0" collapsed="false">
      <c r="A238" s="5" t="s">
        <v>8889</v>
      </c>
      <c r="B238" s="5" t="s">
        <v>394</v>
      </c>
      <c r="C238" s="5" t="s">
        <v>133</v>
      </c>
      <c r="D238" s="5" t="s">
        <v>39</v>
      </c>
      <c r="E238" s="5" t="n">
        <f aca="false">ROUND(8414*1.05,2)</f>
        <v>8834.7</v>
      </c>
      <c r="F238" s="5" t="s">
        <v>40</v>
      </c>
      <c r="G238" s="5" t="s">
        <v>24</v>
      </c>
      <c r="H238" s="5" t="n">
        <f aca="true">ROUND(RAND()*4+6,1)</f>
        <v>6.7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8890</v>
      </c>
      <c r="B239" s="6" t="s">
        <v>396</v>
      </c>
      <c r="C239" s="6" t="s">
        <v>133</v>
      </c>
      <c r="D239" s="6" t="s">
        <v>44</v>
      </c>
      <c r="E239" s="6" t="n">
        <f aca="false">ROUND(6062*1.05,2)</f>
        <v>6365.1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ROUND(60*1,0)&amp;"%"</f>
        <v>60%</v>
      </c>
    </row>
    <row r="240" customFormat="false" ht="15" hidden="false" customHeight="false" outlineLevel="0" collapsed="false">
      <c r="A240" s="5" t="s">
        <v>8891</v>
      </c>
      <c r="B240" s="5" t="s">
        <v>398</v>
      </c>
      <c r="C240" s="5" t="s">
        <v>133</v>
      </c>
      <c r="D240" s="5" t="s">
        <v>16</v>
      </c>
      <c r="E240" s="5" t="n">
        <f aca="false">ROUND(16856*1.05,2)</f>
        <v>17698.8</v>
      </c>
      <c r="F240" s="5" t="s">
        <v>49</v>
      </c>
      <c r="G240" s="5" t="s">
        <v>18</v>
      </c>
      <c r="H240" s="5" t="n">
        <f aca="true">ROUND(RAND()*4+6,1)</f>
        <v>6.8</v>
      </c>
      <c r="I240" s="5" t="s">
        <v>19</v>
      </c>
      <c r="J240" s="5" t="str">
        <f aca="false">ROUND(83*1,0)&amp;"%"</f>
        <v>83%</v>
      </c>
    </row>
    <row r="241" customFormat="false" ht="15" hidden="false" customHeight="false" outlineLevel="0" collapsed="false">
      <c r="A241" s="6" t="s">
        <v>8892</v>
      </c>
      <c r="B241" s="6" t="s">
        <v>400</v>
      </c>
      <c r="C241" s="6" t="s">
        <v>133</v>
      </c>
      <c r="D241" s="6" t="s">
        <v>22</v>
      </c>
      <c r="E241" s="6" t="n">
        <f aca="false">ROUND(13785*1.05,2)</f>
        <v>14474.25</v>
      </c>
      <c r="F241" s="6" t="s">
        <v>52</v>
      </c>
      <c r="G241" s="6" t="s">
        <v>24</v>
      </c>
      <c r="H241" s="6" t="n">
        <f aca="true">ROUND(RAND()*4+6,1)</f>
        <v>6.6</v>
      </c>
      <c r="I241" s="6" t="s">
        <v>25</v>
      </c>
      <c r="J241" s="6" t="str">
        <f aca="false">ROUND(62*1,0)&amp;"%"</f>
        <v>62%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8893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8894</v>
      </c>
      <c r="B246" s="5" t="s">
        <v>404</v>
      </c>
      <c r="C246" s="5" t="s">
        <v>152</v>
      </c>
      <c r="D246" s="5" t="s">
        <v>16</v>
      </c>
      <c r="E246" s="5" t="n">
        <f aca="false">ROUND(17235*1.05,2)</f>
        <v>18096.75</v>
      </c>
      <c r="F246" s="5" t="s">
        <v>17</v>
      </c>
      <c r="G246" s="5" t="s">
        <v>18</v>
      </c>
      <c r="H246" s="5" t="n">
        <f aca="true">ROUND(RAND()*4+6,1)</f>
        <v>9.4</v>
      </c>
      <c r="I246" s="5" t="s">
        <v>19</v>
      </c>
      <c r="J246" s="5" t="str">
        <f aca="false">ROUND(63*1,0)&amp;"%"</f>
        <v>63%</v>
      </c>
    </row>
    <row r="247" customFormat="false" ht="15" hidden="false" customHeight="false" outlineLevel="0" collapsed="false">
      <c r="A247" s="6" t="s">
        <v>8895</v>
      </c>
      <c r="B247" s="6" t="s">
        <v>406</v>
      </c>
      <c r="C247" s="6" t="s">
        <v>152</v>
      </c>
      <c r="D247" s="6" t="s">
        <v>22</v>
      </c>
      <c r="E247" s="6" t="n">
        <f aca="false">ROUND(11422*1.05,2)</f>
        <v>11993.1</v>
      </c>
      <c r="F247" s="6" t="s">
        <v>23</v>
      </c>
      <c r="G247" s="6" t="s">
        <v>24</v>
      </c>
      <c r="H247" s="6" t="n">
        <f aca="true">ROUND(RAND()*4+6,1)</f>
        <v>8</v>
      </c>
      <c r="I247" s="6" t="s">
        <v>25</v>
      </c>
      <c r="J247" s="6" t="str">
        <f aca="false">ROUND(84*1,0)&amp;"%"</f>
        <v>84%</v>
      </c>
    </row>
    <row r="248" customFormat="false" ht="15" hidden="false" customHeight="false" outlineLevel="0" collapsed="false">
      <c r="A248" s="5" t="s">
        <v>8896</v>
      </c>
      <c r="B248" s="5" t="s">
        <v>408</v>
      </c>
      <c r="C248" s="5" t="s">
        <v>152</v>
      </c>
      <c r="D248" s="5" t="s">
        <v>28</v>
      </c>
      <c r="E248" s="5" t="n">
        <f aca="false">ROUND(8264*1.05,2)</f>
        <v>8677.2</v>
      </c>
      <c r="F248" s="5" t="s">
        <v>29</v>
      </c>
      <c r="G248" s="5" t="s">
        <v>30</v>
      </c>
      <c r="H248" s="5" t="n">
        <f aca="true">ROUND(RAND()*4+6,1)</f>
        <v>9.7</v>
      </c>
      <c r="I248" s="5" t="s">
        <v>31</v>
      </c>
      <c r="J248" s="5" t="str">
        <f aca="false">ROUND(93*1,0)&amp;"%"</f>
        <v>93%</v>
      </c>
    </row>
    <row r="249" customFormat="false" ht="15" hidden="false" customHeight="false" outlineLevel="0" collapsed="false">
      <c r="A249" s="6" t="s">
        <v>8897</v>
      </c>
      <c r="B249" s="6" t="s">
        <v>410</v>
      </c>
      <c r="C249" s="6" t="s">
        <v>152</v>
      </c>
      <c r="D249" s="6" t="s">
        <v>34</v>
      </c>
      <c r="E249" s="6" t="n">
        <f aca="false">ROUND(14382*1.05,2)</f>
        <v>15101.1</v>
      </c>
      <c r="F249" s="6" t="s">
        <v>35</v>
      </c>
      <c r="G249" s="6" t="s">
        <v>18</v>
      </c>
      <c r="H249" s="6" t="n">
        <f aca="true">ROUND(RAND()*4+6,1)</f>
        <v>6.1</v>
      </c>
      <c r="I249" s="6" t="s">
        <v>36</v>
      </c>
      <c r="J249" s="6" t="str">
        <f aca="false">ROUND(64*1,0)&amp;"%"</f>
        <v>64%</v>
      </c>
    </row>
    <row r="250" customFormat="false" ht="15" hidden="false" customHeight="false" outlineLevel="0" collapsed="false">
      <c r="A250" s="5" t="s">
        <v>8898</v>
      </c>
      <c r="B250" s="5" t="s">
        <v>412</v>
      </c>
      <c r="C250" s="5" t="s">
        <v>152</v>
      </c>
      <c r="D250" s="5" t="s">
        <v>39</v>
      </c>
      <c r="E250" s="5" t="n">
        <f aca="false">ROUND(9556*1.05,2)</f>
        <v>10033.8</v>
      </c>
      <c r="F250" s="5" t="s">
        <v>40</v>
      </c>
      <c r="G250" s="5" t="s">
        <v>24</v>
      </c>
      <c r="H250" s="5" t="n">
        <f aca="true">ROUND(RAND()*4+6,1)</f>
        <v>8.9</v>
      </c>
      <c r="I250" s="5" t="s">
        <v>41</v>
      </c>
      <c r="J250" s="5" t="str">
        <f aca="false">ROUND(65*1,0)&amp;"%"</f>
        <v>65%</v>
      </c>
    </row>
    <row r="251" customFormat="false" ht="15" hidden="false" customHeight="false" outlineLevel="0" collapsed="false">
      <c r="A251" s="6" t="s">
        <v>8899</v>
      </c>
      <c r="B251" s="6" t="s">
        <v>414</v>
      </c>
      <c r="C251" s="6" t="s">
        <v>152</v>
      </c>
      <c r="D251" s="6" t="s">
        <v>44</v>
      </c>
      <c r="E251" s="6" t="n">
        <f aca="false">ROUND(7737*1.05,2)</f>
        <v>8123.85</v>
      </c>
      <c r="F251" s="6" t="s">
        <v>45</v>
      </c>
      <c r="G251" s="6" t="s">
        <v>30</v>
      </c>
      <c r="H251" s="6" t="n">
        <f aca="true">ROUND(RAND()*4+6,1)</f>
        <v>7.2</v>
      </c>
      <c r="I251" s="6" t="s">
        <v>46</v>
      </c>
      <c r="J251" s="6" t="str">
        <f aca="false">ROUND(94*1,0)&amp;"%"</f>
        <v>94%</v>
      </c>
    </row>
    <row r="252" customFormat="false" ht="15" hidden="false" customHeight="false" outlineLevel="0" collapsed="false">
      <c r="A252" s="5" t="s">
        <v>8900</v>
      </c>
      <c r="B252" s="5" t="s">
        <v>416</v>
      </c>
      <c r="C252" s="5" t="s">
        <v>152</v>
      </c>
      <c r="D252" s="5" t="s">
        <v>16</v>
      </c>
      <c r="E252" s="5" t="n">
        <f aca="false">ROUND(15193*1.05,2)</f>
        <v>15952.65</v>
      </c>
      <c r="F252" s="5" t="s">
        <v>49</v>
      </c>
      <c r="G252" s="5" t="s">
        <v>18</v>
      </c>
      <c r="H252" s="5" t="n">
        <f aca="true">ROUND(RAND()*4+6,1)</f>
        <v>7</v>
      </c>
      <c r="I252" s="5" t="s">
        <v>19</v>
      </c>
      <c r="J252" s="5" t="str">
        <f aca="false">ROUND(65*1,0)&amp;"%"</f>
        <v>65%</v>
      </c>
    </row>
    <row r="253" customFormat="false" ht="15" hidden="false" customHeight="false" outlineLevel="0" collapsed="false">
      <c r="A253" s="6" t="s">
        <v>8901</v>
      </c>
      <c r="B253" s="6" t="s">
        <v>418</v>
      </c>
      <c r="C253" s="6" t="s">
        <v>152</v>
      </c>
      <c r="D253" s="6" t="s">
        <v>22</v>
      </c>
      <c r="E253" s="6" t="n">
        <f aca="false">ROUND(15489*1.05,2)</f>
        <v>16263.45</v>
      </c>
      <c r="F253" s="6" t="s">
        <v>52</v>
      </c>
      <c r="G253" s="6" t="s">
        <v>24</v>
      </c>
      <c r="H253" s="6" t="n">
        <f aca="true">ROUND(RAND()*4+6,1)</f>
        <v>9.3</v>
      </c>
      <c r="I253" s="6" t="s">
        <v>25</v>
      </c>
      <c r="J253" s="6" t="str">
        <f aca="false">ROUND(84*1,0)&amp;"%"</f>
        <v>84%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8902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8903</v>
      </c>
      <c r="B258" s="5" t="s">
        <v>422</v>
      </c>
      <c r="C258" s="5" t="s">
        <v>15</v>
      </c>
      <c r="D258" s="5" t="s">
        <v>16</v>
      </c>
      <c r="E258" s="5" t="n">
        <f aca="false">ROUND(17371*1.05,2)</f>
        <v>18239.55</v>
      </c>
      <c r="F258" s="5" t="s">
        <v>17</v>
      </c>
      <c r="G258" s="5" t="s">
        <v>18</v>
      </c>
      <c r="H258" s="5" t="n">
        <f aca="true">ROUND(RAND()*4+6,1)</f>
        <v>8.3</v>
      </c>
      <c r="I258" s="5" t="s">
        <v>19</v>
      </c>
      <c r="J258" s="5" t="str">
        <f aca="false">ROUND(98*1,0)&amp;"%"</f>
        <v>98%</v>
      </c>
    </row>
    <row r="259" customFormat="false" ht="15" hidden="false" customHeight="false" outlineLevel="0" collapsed="false">
      <c r="A259" s="6" t="s">
        <v>8904</v>
      </c>
      <c r="B259" s="6" t="s">
        <v>424</v>
      </c>
      <c r="C259" s="6" t="s">
        <v>15</v>
      </c>
      <c r="D259" s="6" t="s">
        <v>22</v>
      </c>
      <c r="E259" s="6" t="n">
        <f aca="false">ROUND(14592*1.05,2)</f>
        <v>15321.6</v>
      </c>
      <c r="F259" s="6" t="s">
        <v>23</v>
      </c>
      <c r="G259" s="6" t="s">
        <v>24</v>
      </c>
      <c r="H259" s="6" t="n">
        <f aca="true">ROUND(RAND()*4+6,1)</f>
        <v>9.2</v>
      </c>
      <c r="I259" s="6" t="s">
        <v>25</v>
      </c>
      <c r="J259" s="6" t="str">
        <f aca="false">ROUND(88*1,0)&amp;"%"</f>
        <v>88%</v>
      </c>
    </row>
    <row r="260" customFormat="false" ht="15" hidden="false" customHeight="false" outlineLevel="0" collapsed="false">
      <c r="A260" s="5" t="s">
        <v>8905</v>
      </c>
      <c r="B260" s="5" t="s">
        <v>426</v>
      </c>
      <c r="C260" s="5" t="s">
        <v>15</v>
      </c>
      <c r="D260" s="5" t="s">
        <v>28</v>
      </c>
      <c r="E260" s="5" t="n">
        <f aca="false">ROUND(8354*1.05,2)</f>
        <v>8771.7</v>
      </c>
      <c r="F260" s="5" t="s">
        <v>29</v>
      </c>
      <c r="G260" s="5" t="s">
        <v>30</v>
      </c>
      <c r="H260" s="5" t="n">
        <f aca="true">ROUND(RAND()*4+6,1)</f>
        <v>6.4</v>
      </c>
      <c r="I260" s="5" t="s">
        <v>31</v>
      </c>
      <c r="J260" s="5" t="str">
        <f aca="false">ROUND(98*1,0)&amp;"%"</f>
        <v>98%</v>
      </c>
    </row>
    <row r="261" customFormat="false" ht="15" hidden="false" customHeight="false" outlineLevel="0" collapsed="false">
      <c r="A261" s="6" t="s">
        <v>8906</v>
      </c>
      <c r="B261" s="6" t="s">
        <v>428</v>
      </c>
      <c r="C261" s="6" t="s">
        <v>15</v>
      </c>
      <c r="D261" s="6" t="s">
        <v>34</v>
      </c>
      <c r="E261" s="6" t="n">
        <f aca="false">ROUND(7498*1.05,2)</f>
        <v>7872.9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ROUND(72*1,0)&amp;"%"</f>
        <v>72%</v>
      </c>
    </row>
    <row r="262" customFormat="false" ht="15" hidden="false" customHeight="false" outlineLevel="0" collapsed="false">
      <c r="A262" s="5" t="s">
        <v>8907</v>
      </c>
      <c r="B262" s="5" t="s">
        <v>430</v>
      </c>
      <c r="C262" s="5" t="s">
        <v>15</v>
      </c>
      <c r="D262" s="5" t="s">
        <v>39</v>
      </c>
      <c r="E262" s="5" t="n">
        <f aca="false">ROUND(16714*1.05,2)</f>
        <v>17549.7</v>
      </c>
      <c r="F262" s="5" t="s">
        <v>40</v>
      </c>
      <c r="G262" s="5" t="s">
        <v>24</v>
      </c>
      <c r="H262" s="5" t="n">
        <f aca="true">ROUND(RAND()*4+6,1)</f>
        <v>8.5</v>
      </c>
      <c r="I262" s="5" t="s">
        <v>41</v>
      </c>
      <c r="J262" s="5" t="str">
        <f aca="false">ROUND(65*1,0)&amp;"%"</f>
        <v>65%</v>
      </c>
    </row>
    <row r="263" customFormat="false" ht="15" hidden="false" customHeight="false" outlineLevel="0" collapsed="false">
      <c r="A263" s="6" t="s">
        <v>8908</v>
      </c>
      <c r="B263" s="6" t="s">
        <v>432</v>
      </c>
      <c r="C263" s="6" t="s">
        <v>15</v>
      </c>
      <c r="D263" s="6" t="s">
        <v>44</v>
      </c>
      <c r="E263" s="6" t="n">
        <f aca="false">ROUND(11827*1.05,2)</f>
        <v>12418.35</v>
      </c>
      <c r="F263" s="6" t="s">
        <v>45</v>
      </c>
      <c r="G263" s="6" t="s">
        <v>30</v>
      </c>
      <c r="H263" s="6" t="n">
        <f aca="true">ROUND(RAND()*4+6,1)</f>
        <v>7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8909</v>
      </c>
      <c r="B264" s="5" t="s">
        <v>434</v>
      </c>
      <c r="C264" s="5" t="s">
        <v>15</v>
      </c>
      <c r="D264" s="5" t="s">
        <v>16</v>
      </c>
      <c r="E264" s="5" t="n">
        <f aca="false">ROUND(10369*1.05,2)</f>
        <v>10887.45</v>
      </c>
      <c r="F264" s="5" t="s">
        <v>49</v>
      </c>
      <c r="G264" s="5" t="s">
        <v>18</v>
      </c>
      <c r="H264" s="5" t="n">
        <f aca="true">ROUND(RAND()*4+6,1)</f>
        <v>6.7</v>
      </c>
      <c r="I264" s="5" t="s">
        <v>19</v>
      </c>
      <c r="J264" s="5" t="str">
        <f aca="false">ROUND(93*1,0)&amp;"%"</f>
        <v>93%</v>
      </c>
    </row>
    <row r="265" customFormat="false" ht="15" hidden="false" customHeight="false" outlineLevel="0" collapsed="false">
      <c r="A265" s="6" t="s">
        <v>8910</v>
      </c>
      <c r="B265" s="6" t="s">
        <v>436</v>
      </c>
      <c r="C265" s="6" t="s">
        <v>15</v>
      </c>
      <c r="D265" s="6" t="s">
        <v>22</v>
      </c>
      <c r="E265" s="6" t="n">
        <f aca="false">ROUND(8665*1.05,2)</f>
        <v>9098.25</v>
      </c>
      <c r="F265" s="6" t="s">
        <v>52</v>
      </c>
      <c r="G265" s="6" t="s">
        <v>24</v>
      </c>
      <c r="H265" s="6" t="n">
        <f aca="true">ROUND(RAND()*4+6,1)</f>
        <v>6.5</v>
      </c>
      <c r="I265" s="6" t="s">
        <v>25</v>
      </c>
      <c r="J265" s="6" t="str">
        <f aca="false">ROUND(71*1,0)&amp;"%"</f>
        <v>71%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8911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8912</v>
      </c>
      <c r="B270" s="5" t="s">
        <v>440</v>
      </c>
      <c r="C270" s="5" t="s">
        <v>57</v>
      </c>
      <c r="D270" s="5" t="s">
        <v>16</v>
      </c>
      <c r="E270" s="5" t="n">
        <f aca="false">ROUND(6330*1.05,2)</f>
        <v>6646.5</v>
      </c>
      <c r="F270" s="5" t="s">
        <v>17</v>
      </c>
      <c r="G270" s="5" t="s">
        <v>18</v>
      </c>
      <c r="H270" s="5" t="n">
        <f aca="true">ROUND(RAND()*4+6,1)</f>
        <v>9.5</v>
      </c>
      <c r="I270" s="5" t="s">
        <v>19</v>
      </c>
      <c r="J270" s="5" t="str">
        <f aca="false">ROUND(67*1,0)&amp;"%"</f>
        <v>67%</v>
      </c>
    </row>
    <row r="271" customFormat="false" ht="15" hidden="false" customHeight="false" outlineLevel="0" collapsed="false">
      <c r="A271" s="6" t="s">
        <v>8913</v>
      </c>
      <c r="B271" s="6" t="s">
        <v>442</v>
      </c>
      <c r="C271" s="6" t="s">
        <v>57</v>
      </c>
      <c r="D271" s="6" t="s">
        <v>22</v>
      </c>
      <c r="E271" s="6" t="n">
        <f aca="false">ROUND(16267*1.05,2)</f>
        <v>17080.35</v>
      </c>
      <c r="F271" s="6" t="s">
        <v>23</v>
      </c>
      <c r="G271" s="6" t="s">
        <v>24</v>
      </c>
      <c r="H271" s="6" t="n">
        <f aca="true">ROUND(RAND()*4+6,1)</f>
        <v>8.1</v>
      </c>
      <c r="I271" s="6" t="s">
        <v>25</v>
      </c>
      <c r="J271" s="6" t="str">
        <f aca="false">ROUND(98*1,0)&amp;"%"</f>
        <v>98%</v>
      </c>
    </row>
    <row r="272" customFormat="false" ht="15" hidden="false" customHeight="false" outlineLevel="0" collapsed="false">
      <c r="A272" s="5" t="s">
        <v>8914</v>
      </c>
      <c r="B272" s="5" t="s">
        <v>444</v>
      </c>
      <c r="C272" s="5" t="s">
        <v>57</v>
      </c>
      <c r="D272" s="5" t="s">
        <v>28</v>
      </c>
      <c r="E272" s="5" t="n">
        <f aca="false">ROUND(7846*1.05,2)</f>
        <v>8238.3</v>
      </c>
      <c r="F272" s="5" t="s">
        <v>29</v>
      </c>
      <c r="G272" s="5" t="s">
        <v>30</v>
      </c>
      <c r="H272" s="5" t="n">
        <f aca="true">ROUND(RAND()*4+6,1)</f>
        <v>9.9</v>
      </c>
      <c r="I272" s="5" t="s">
        <v>31</v>
      </c>
      <c r="J272" s="5" t="str">
        <f aca="false">ROUND(94*1,0)&amp;"%"</f>
        <v>94%</v>
      </c>
    </row>
    <row r="273" customFormat="false" ht="15" hidden="false" customHeight="false" outlineLevel="0" collapsed="false">
      <c r="A273" s="6" t="s">
        <v>8915</v>
      </c>
      <c r="B273" s="6" t="s">
        <v>446</v>
      </c>
      <c r="C273" s="6" t="s">
        <v>57</v>
      </c>
      <c r="D273" s="6" t="s">
        <v>34</v>
      </c>
      <c r="E273" s="6" t="n">
        <f aca="false">ROUND(13431*1.05,2)</f>
        <v>14102.55</v>
      </c>
      <c r="F273" s="6" t="s">
        <v>35</v>
      </c>
      <c r="G273" s="6" t="s">
        <v>18</v>
      </c>
      <c r="H273" s="6" t="n">
        <f aca="true">ROUND(RAND()*4+6,1)</f>
        <v>9.4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8916</v>
      </c>
      <c r="B274" s="5" t="s">
        <v>448</v>
      </c>
      <c r="C274" s="5" t="s">
        <v>57</v>
      </c>
      <c r="D274" s="5" t="s">
        <v>39</v>
      </c>
      <c r="E274" s="5" t="n">
        <f aca="false">ROUND(17585*1.05,2)</f>
        <v>18464.25</v>
      </c>
      <c r="F274" s="5" t="s">
        <v>40</v>
      </c>
      <c r="G274" s="5" t="s">
        <v>24</v>
      </c>
      <c r="H274" s="5" t="n">
        <f aca="true">ROUND(RAND()*4+6,1)</f>
        <v>9.4</v>
      </c>
      <c r="I274" s="5" t="s">
        <v>41</v>
      </c>
      <c r="J274" s="5" t="str">
        <f aca="false">ROUND(93*1,0)&amp;"%"</f>
        <v>93%</v>
      </c>
    </row>
    <row r="275" customFormat="false" ht="15" hidden="false" customHeight="false" outlineLevel="0" collapsed="false">
      <c r="A275" s="6" t="s">
        <v>8917</v>
      </c>
      <c r="B275" s="6" t="s">
        <v>450</v>
      </c>
      <c r="C275" s="6" t="s">
        <v>57</v>
      </c>
      <c r="D275" s="6" t="s">
        <v>44</v>
      </c>
      <c r="E275" s="6" t="n">
        <f aca="false">ROUND(16493*1.05,2)</f>
        <v>17317.65</v>
      </c>
      <c r="F275" s="6" t="s">
        <v>45</v>
      </c>
      <c r="G275" s="6" t="s">
        <v>30</v>
      </c>
      <c r="H275" s="6" t="n">
        <f aca="true">ROUND(RAND()*4+6,1)</f>
        <v>7.6</v>
      </c>
      <c r="I275" s="6" t="s">
        <v>46</v>
      </c>
      <c r="J275" s="6" t="str">
        <f aca="false">ROUND(99*1,0)&amp;"%"</f>
        <v>99%</v>
      </c>
    </row>
    <row r="276" customFormat="false" ht="15" hidden="false" customHeight="false" outlineLevel="0" collapsed="false">
      <c r="A276" s="5" t="s">
        <v>8918</v>
      </c>
      <c r="B276" s="5" t="s">
        <v>452</v>
      </c>
      <c r="C276" s="5" t="s">
        <v>57</v>
      </c>
      <c r="D276" s="5" t="s">
        <v>16</v>
      </c>
      <c r="E276" s="5" t="n">
        <f aca="false">ROUND(17475*1.05,2)</f>
        <v>18348.75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ROUND(92*1,0)&amp;"%"</f>
        <v>92%</v>
      </c>
    </row>
    <row r="277" customFormat="false" ht="15" hidden="false" customHeight="false" outlineLevel="0" collapsed="false">
      <c r="A277" s="6" t="s">
        <v>8919</v>
      </c>
      <c r="B277" s="6" t="s">
        <v>454</v>
      </c>
      <c r="C277" s="6" t="s">
        <v>57</v>
      </c>
      <c r="D277" s="6" t="s">
        <v>22</v>
      </c>
      <c r="E277" s="6" t="n">
        <f aca="false">ROUND(12016*1.05,2)</f>
        <v>12616.8</v>
      </c>
      <c r="F277" s="6" t="s">
        <v>52</v>
      </c>
      <c r="G277" s="6" t="s">
        <v>24</v>
      </c>
      <c r="H277" s="6" t="n">
        <f aca="true">ROUND(RAND()*4+6,1)</f>
        <v>6.3</v>
      </c>
      <c r="I277" s="6" t="s">
        <v>25</v>
      </c>
      <c r="J277" s="6" t="str">
        <f aca="false">ROUND(96*1,0)&amp;"%"</f>
        <v>96%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8920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8921</v>
      </c>
      <c r="B282" s="5" t="s">
        <v>458</v>
      </c>
      <c r="C282" s="5" t="s">
        <v>76</v>
      </c>
      <c r="D282" s="5" t="s">
        <v>16</v>
      </c>
      <c r="E282" s="5" t="n">
        <f aca="false">ROUND(4699*1.05,2)</f>
        <v>4933.95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ROUND(83*1,0)&amp;"%"</f>
        <v>83%</v>
      </c>
    </row>
    <row r="283" customFormat="false" ht="15" hidden="false" customHeight="false" outlineLevel="0" collapsed="false">
      <c r="A283" s="6" t="s">
        <v>8922</v>
      </c>
      <c r="B283" s="6" t="s">
        <v>460</v>
      </c>
      <c r="C283" s="6" t="s">
        <v>76</v>
      </c>
      <c r="D283" s="6" t="s">
        <v>22</v>
      </c>
      <c r="E283" s="6" t="n">
        <f aca="false">ROUND(6607*1.05,2)</f>
        <v>6937.35</v>
      </c>
      <c r="F283" s="6" t="s">
        <v>23</v>
      </c>
      <c r="G283" s="6" t="s">
        <v>24</v>
      </c>
      <c r="H283" s="6" t="n">
        <f aca="true">ROUND(RAND()*4+6,1)</f>
        <v>9.7</v>
      </c>
      <c r="I283" s="6" t="s">
        <v>25</v>
      </c>
      <c r="J283" s="6" t="str">
        <f aca="false">ROUND(86*1,0)&amp;"%"</f>
        <v>86%</v>
      </c>
    </row>
    <row r="284" customFormat="false" ht="15" hidden="false" customHeight="false" outlineLevel="0" collapsed="false">
      <c r="A284" s="5" t="s">
        <v>8923</v>
      </c>
      <c r="B284" s="5" t="s">
        <v>462</v>
      </c>
      <c r="C284" s="5" t="s">
        <v>76</v>
      </c>
      <c r="D284" s="5" t="s">
        <v>28</v>
      </c>
      <c r="E284" s="5" t="n">
        <f aca="false">ROUND(11194*1.05,2)</f>
        <v>11753.7</v>
      </c>
      <c r="F284" s="5" t="s">
        <v>29</v>
      </c>
      <c r="G284" s="5" t="s">
        <v>30</v>
      </c>
      <c r="H284" s="5" t="n">
        <f aca="true">ROUND(RAND()*4+6,1)</f>
        <v>7.4</v>
      </c>
      <c r="I284" s="5" t="s">
        <v>31</v>
      </c>
      <c r="J284" s="5" t="str">
        <f aca="false">ROUND(80*1,0)&amp;"%"</f>
        <v>80%</v>
      </c>
    </row>
    <row r="285" customFormat="false" ht="15" hidden="false" customHeight="false" outlineLevel="0" collapsed="false">
      <c r="A285" s="6" t="s">
        <v>8924</v>
      </c>
      <c r="B285" s="6" t="s">
        <v>464</v>
      </c>
      <c r="C285" s="6" t="s">
        <v>76</v>
      </c>
      <c r="D285" s="6" t="s">
        <v>34</v>
      </c>
      <c r="E285" s="6" t="n">
        <f aca="false">ROUND(17854*1.05,2)</f>
        <v>18746.7</v>
      </c>
      <c r="F285" s="6" t="s">
        <v>35</v>
      </c>
      <c r="G285" s="6" t="s">
        <v>18</v>
      </c>
      <c r="H285" s="6" t="n">
        <f aca="true">ROUND(RAND()*4+6,1)</f>
        <v>6.1</v>
      </c>
      <c r="I285" s="6" t="s">
        <v>36</v>
      </c>
      <c r="J285" s="6" t="str">
        <f aca="false">ROUND(87*1,0)&amp;"%"</f>
        <v>87%</v>
      </c>
    </row>
    <row r="286" customFormat="false" ht="15" hidden="false" customHeight="false" outlineLevel="0" collapsed="false">
      <c r="A286" s="5" t="s">
        <v>8925</v>
      </c>
      <c r="B286" s="5" t="s">
        <v>466</v>
      </c>
      <c r="C286" s="5" t="s">
        <v>76</v>
      </c>
      <c r="D286" s="5" t="s">
        <v>39</v>
      </c>
      <c r="E286" s="5" t="n">
        <f aca="false">ROUND(4299*1.05,2)</f>
        <v>4513.95</v>
      </c>
      <c r="F286" s="5" t="s">
        <v>40</v>
      </c>
      <c r="G286" s="5" t="s">
        <v>24</v>
      </c>
      <c r="H286" s="5" t="n">
        <f aca="true">ROUND(RAND()*4+6,1)</f>
        <v>7.1</v>
      </c>
      <c r="I286" s="5" t="s">
        <v>41</v>
      </c>
      <c r="J286" s="5" t="str">
        <f aca="false">ROUND(66*1,0)&amp;"%"</f>
        <v>66%</v>
      </c>
    </row>
    <row r="287" customFormat="false" ht="15" hidden="false" customHeight="false" outlineLevel="0" collapsed="false">
      <c r="A287" s="6" t="s">
        <v>8926</v>
      </c>
      <c r="B287" s="6" t="s">
        <v>468</v>
      </c>
      <c r="C287" s="6" t="s">
        <v>76</v>
      </c>
      <c r="D287" s="6" t="s">
        <v>44</v>
      </c>
      <c r="E287" s="6" t="n">
        <f aca="false">ROUND(4327*1.05,2)</f>
        <v>4543.35</v>
      </c>
      <c r="F287" s="6" t="s">
        <v>45</v>
      </c>
      <c r="G287" s="6" t="s">
        <v>30</v>
      </c>
      <c r="H287" s="6" t="n">
        <f aca="true">ROUND(RAND()*4+6,1)</f>
        <v>7.7</v>
      </c>
      <c r="I287" s="6" t="s">
        <v>46</v>
      </c>
      <c r="J287" s="6" t="str">
        <f aca="false">ROUND(71*1,0)&amp;"%"</f>
        <v>71%</v>
      </c>
    </row>
    <row r="288" customFormat="false" ht="15" hidden="false" customHeight="false" outlineLevel="0" collapsed="false">
      <c r="A288" s="5" t="s">
        <v>8927</v>
      </c>
      <c r="B288" s="5" t="s">
        <v>470</v>
      </c>
      <c r="C288" s="5" t="s">
        <v>76</v>
      </c>
      <c r="D288" s="5" t="s">
        <v>16</v>
      </c>
      <c r="E288" s="5" t="n">
        <f aca="false">ROUND(10176*1.05,2)</f>
        <v>10684.8</v>
      </c>
      <c r="F288" s="5" t="s">
        <v>49</v>
      </c>
      <c r="G288" s="5" t="s">
        <v>18</v>
      </c>
      <c r="H288" s="5" t="n">
        <f aca="true">ROUND(RAND()*4+6,1)</f>
        <v>9.8</v>
      </c>
      <c r="I288" s="5" t="s">
        <v>19</v>
      </c>
      <c r="J288" s="5" t="str">
        <f aca="false">ROUND(78*1,0)&amp;"%"</f>
        <v>78%</v>
      </c>
    </row>
    <row r="289" customFormat="false" ht="15" hidden="false" customHeight="false" outlineLevel="0" collapsed="false">
      <c r="A289" s="6" t="s">
        <v>8928</v>
      </c>
      <c r="B289" s="6" t="s">
        <v>472</v>
      </c>
      <c r="C289" s="6" t="s">
        <v>76</v>
      </c>
      <c r="D289" s="6" t="s">
        <v>22</v>
      </c>
      <c r="E289" s="6" t="n">
        <f aca="false">ROUND(6731*1.05,2)</f>
        <v>7067.55</v>
      </c>
      <c r="F289" s="6" t="s">
        <v>52</v>
      </c>
      <c r="G289" s="6" t="s">
        <v>24</v>
      </c>
      <c r="H289" s="6" t="n">
        <f aca="true">ROUND(RAND()*4+6,1)</f>
        <v>6.3</v>
      </c>
      <c r="I289" s="6" t="s">
        <v>25</v>
      </c>
      <c r="J289" s="6" t="str">
        <f aca="false">ROUND(86*1,0)&amp;"%"</f>
        <v>86%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8929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8930</v>
      </c>
      <c r="B294" s="5" t="s">
        <v>476</v>
      </c>
      <c r="C294" s="5" t="s">
        <v>95</v>
      </c>
      <c r="D294" s="5" t="s">
        <v>16</v>
      </c>
      <c r="E294" s="5" t="n">
        <f aca="false">ROUND(4640*1.05,2)</f>
        <v>4872</v>
      </c>
      <c r="F294" s="5" t="s">
        <v>17</v>
      </c>
      <c r="G294" s="5" t="s">
        <v>18</v>
      </c>
      <c r="H294" s="5" t="n">
        <f aca="true">ROUND(RAND()*4+6,1)</f>
        <v>6.6</v>
      </c>
      <c r="I294" s="5" t="s">
        <v>19</v>
      </c>
      <c r="J294" s="5" t="str">
        <f aca="false">ROUND(87*1,0)&amp;"%"</f>
        <v>87%</v>
      </c>
    </row>
    <row r="295" customFormat="false" ht="15" hidden="false" customHeight="false" outlineLevel="0" collapsed="false">
      <c r="A295" s="6" t="s">
        <v>8931</v>
      </c>
      <c r="B295" s="6" t="s">
        <v>478</v>
      </c>
      <c r="C295" s="6" t="s">
        <v>95</v>
      </c>
      <c r="D295" s="6" t="s">
        <v>22</v>
      </c>
      <c r="E295" s="6" t="n">
        <f aca="false">ROUND(7709*1.05,2)</f>
        <v>8094.45</v>
      </c>
      <c r="F295" s="6" t="s">
        <v>23</v>
      </c>
      <c r="G295" s="6" t="s">
        <v>24</v>
      </c>
      <c r="H295" s="6" t="n">
        <f aca="true">ROUND(RAND()*4+6,1)</f>
        <v>6.6</v>
      </c>
      <c r="I295" s="6" t="s">
        <v>25</v>
      </c>
      <c r="J295" s="6" t="str">
        <f aca="false">ROUND(77*1,0)&amp;"%"</f>
        <v>77%</v>
      </c>
    </row>
    <row r="296" customFormat="false" ht="15" hidden="false" customHeight="false" outlineLevel="0" collapsed="false">
      <c r="A296" s="5" t="s">
        <v>8932</v>
      </c>
      <c r="B296" s="5" t="s">
        <v>480</v>
      </c>
      <c r="C296" s="5" t="s">
        <v>95</v>
      </c>
      <c r="D296" s="5" t="s">
        <v>28</v>
      </c>
      <c r="E296" s="5" t="n">
        <f aca="false">ROUND(6650*1.05,2)</f>
        <v>6982.5</v>
      </c>
      <c r="F296" s="5" t="s">
        <v>29</v>
      </c>
      <c r="G296" s="5" t="s">
        <v>30</v>
      </c>
      <c r="H296" s="5" t="n">
        <f aca="true">ROUND(RAND()*4+6,1)</f>
        <v>8.8</v>
      </c>
      <c r="I296" s="5" t="s">
        <v>31</v>
      </c>
      <c r="J296" s="5" t="str">
        <f aca="false">ROUND(71*1,0)&amp;"%"</f>
        <v>71%</v>
      </c>
    </row>
    <row r="297" customFormat="false" ht="15" hidden="false" customHeight="false" outlineLevel="0" collapsed="false">
      <c r="A297" s="6" t="s">
        <v>8933</v>
      </c>
      <c r="B297" s="6" t="s">
        <v>482</v>
      </c>
      <c r="C297" s="6" t="s">
        <v>95</v>
      </c>
      <c r="D297" s="6" t="s">
        <v>34</v>
      </c>
      <c r="E297" s="6" t="n">
        <f aca="false">ROUND(8374*1.05,2)</f>
        <v>8792.7</v>
      </c>
      <c r="F297" s="6" t="s">
        <v>35</v>
      </c>
      <c r="G297" s="6" t="s">
        <v>18</v>
      </c>
      <c r="H297" s="6" t="n">
        <f aca="true">ROUND(RAND()*4+6,1)</f>
        <v>9.1</v>
      </c>
      <c r="I297" s="6" t="s">
        <v>36</v>
      </c>
      <c r="J297" s="6" t="str">
        <f aca="false">ROUND(68*1,0)&amp;"%"</f>
        <v>68%</v>
      </c>
    </row>
    <row r="298" customFormat="false" ht="15" hidden="false" customHeight="false" outlineLevel="0" collapsed="false">
      <c r="A298" s="5" t="s">
        <v>8934</v>
      </c>
      <c r="B298" s="5" t="s">
        <v>484</v>
      </c>
      <c r="C298" s="5" t="s">
        <v>95</v>
      </c>
      <c r="D298" s="5" t="s">
        <v>39</v>
      </c>
      <c r="E298" s="5" t="n">
        <f aca="false">ROUND(10881*1.05,2)</f>
        <v>11425.05</v>
      </c>
      <c r="F298" s="5" t="s">
        <v>40</v>
      </c>
      <c r="G298" s="5" t="s">
        <v>24</v>
      </c>
      <c r="H298" s="5" t="n">
        <f aca="true">ROUND(RAND()*4+6,1)</f>
        <v>6.6</v>
      </c>
      <c r="I298" s="5" t="s">
        <v>41</v>
      </c>
      <c r="J298" s="5" t="str">
        <f aca="false">ROUND(66*1,0)&amp;"%"</f>
        <v>66%</v>
      </c>
    </row>
    <row r="299" customFormat="false" ht="15" hidden="false" customHeight="false" outlineLevel="0" collapsed="false">
      <c r="A299" s="6" t="s">
        <v>8935</v>
      </c>
      <c r="B299" s="6" t="s">
        <v>486</v>
      </c>
      <c r="C299" s="6" t="s">
        <v>95</v>
      </c>
      <c r="D299" s="6" t="s">
        <v>44</v>
      </c>
      <c r="E299" s="6" t="n">
        <f aca="false">ROUND(12865*1.05,2)</f>
        <v>13508.25</v>
      </c>
      <c r="F299" s="6" t="s">
        <v>45</v>
      </c>
      <c r="G299" s="6" t="s">
        <v>30</v>
      </c>
      <c r="H299" s="6" t="n">
        <f aca="true">ROUND(RAND()*4+6,1)</f>
        <v>8.2</v>
      </c>
      <c r="I299" s="6" t="s">
        <v>46</v>
      </c>
      <c r="J299" s="6" t="str">
        <f aca="false">ROUND(64*1,0)&amp;"%"</f>
        <v>64%</v>
      </c>
    </row>
    <row r="300" customFormat="false" ht="15" hidden="false" customHeight="false" outlineLevel="0" collapsed="false">
      <c r="A300" s="5" t="s">
        <v>8936</v>
      </c>
      <c r="B300" s="5" t="s">
        <v>488</v>
      </c>
      <c r="C300" s="5" t="s">
        <v>95</v>
      </c>
      <c r="D300" s="5" t="s">
        <v>16</v>
      </c>
      <c r="E300" s="5" t="n">
        <f aca="false">ROUND(7609*1.05,2)</f>
        <v>7989.45</v>
      </c>
      <c r="F300" s="5" t="s">
        <v>49</v>
      </c>
      <c r="G300" s="5" t="s">
        <v>18</v>
      </c>
      <c r="H300" s="5" t="n">
        <f aca="true">ROUND(RAND()*4+6,1)</f>
        <v>8.1</v>
      </c>
      <c r="I300" s="5" t="s">
        <v>19</v>
      </c>
      <c r="J300" s="5" t="str">
        <f aca="false">ROUND(99*1,0)&amp;"%"</f>
        <v>99%</v>
      </c>
    </row>
    <row r="301" customFormat="false" ht="15" hidden="false" customHeight="false" outlineLevel="0" collapsed="false">
      <c r="A301" s="6" t="s">
        <v>8937</v>
      </c>
      <c r="B301" s="6" t="s">
        <v>490</v>
      </c>
      <c r="C301" s="6" t="s">
        <v>95</v>
      </c>
      <c r="D301" s="6" t="s">
        <v>22</v>
      </c>
      <c r="E301" s="6" t="n">
        <f aca="false">ROUND(8737*1.05,2)</f>
        <v>9173.85</v>
      </c>
      <c r="F301" s="6" t="s">
        <v>52</v>
      </c>
      <c r="G301" s="6" t="s">
        <v>24</v>
      </c>
      <c r="H301" s="6" t="n">
        <f aca="true">ROUND(RAND()*4+6,1)</f>
        <v>10</v>
      </c>
      <c r="I301" s="6" t="s">
        <v>25</v>
      </c>
      <c r="J301" s="6" t="str">
        <f aca="false">ROUND(96*1,0)&amp;"%"</f>
        <v>96%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8938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8939</v>
      </c>
      <c r="B306" s="5" t="s">
        <v>494</v>
      </c>
      <c r="C306" s="5" t="s">
        <v>114</v>
      </c>
      <c r="D306" s="5" t="s">
        <v>16</v>
      </c>
      <c r="E306" s="5" t="n">
        <f aca="false">ROUND(4782*1.05,2)</f>
        <v>5021.1</v>
      </c>
      <c r="F306" s="5" t="s">
        <v>17</v>
      </c>
      <c r="G306" s="5" t="s">
        <v>18</v>
      </c>
      <c r="H306" s="5" t="n">
        <f aca="true">ROUND(RAND()*4+6,1)</f>
        <v>7.1</v>
      </c>
      <c r="I306" s="5" t="s">
        <v>19</v>
      </c>
      <c r="J306" s="5" t="str">
        <f aca="false">ROUND(86*1,0)&amp;"%"</f>
        <v>86%</v>
      </c>
    </row>
    <row r="307" customFormat="false" ht="15" hidden="false" customHeight="false" outlineLevel="0" collapsed="false">
      <c r="A307" s="6" t="s">
        <v>8940</v>
      </c>
      <c r="B307" s="6" t="s">
        <v>496</v>
      </c>
      <c r="C307" s="6" t="s">
        <v>114</v>
      </c>
      <c r="D307" s="6" t="s">
        <v>22</v>
      </c>
      <c r="E307" s="6" t="n">
        <f aca="false">ROUND(13026*1.05,2)</f>
        <v>13677.3</v>
      </c>
      <c r="F307" s="6" t="s">
        <v>23</v>
      </c>
      <c r="G307" s="6" t="s">
        <v>24</v>
      </c>
      <c r="H307" s="6" t="n">
        <f aca="true">ROUND(RAND()*4+6,1)</f>
        <v>8.7</v>
      </c>
      <c r="I307" s="6" t="s">
        <v>25</v>
      </c>
      <c r="J307" s="6" t="str">
        <f aca="false">ROUND(74*1,0)&amp;"%"</f>
        <v>74%</v>
      </c>
    </row>
    <row r="308" customFormat="false" ht="15" hidden="false" customHeight="false" outlineLevel="0" collapsed="false">
      <c r="A308" s="5" t="s">
        <v>8941</v>
      </c>
      <c r="B308" s="5" t="s">
        <v>498</v>
      </c>
      <c r="C308" s="5" t="s">
        <v>114</v>
      </c>
      <c r="D308" s="5" t="s">
        <v>28</v>
      </c>
      <c r="E308" s="5" t="n">
        <f aca="false">ROUND(15849*1.05,2)</f>
        <v>16641.45</v>
      </c>
      <c r="F308" s="5" t="s">
        <v>29</v>
      </c>
      <c r="G308" s="5" t="s">
        <v>30</v>
      </c>
      <c r="H308" s="5" t="n">
        <f aca="true">ROUND(RAND()*4+6,1)</f>
        <v>6.5</v>
      </c>
      <c r="I308" s="5" t="s">
        <v>31</v>
      </c>
      <c r="J308" s="5" t="str">
        <f aca="false">ROUND(70*1,0)&amp;"%"</f>
        <v>70%</v>
      </c>
    </row>
    <row r="309" customFormat="false" ht="15" hidden="false" customHeight="false" outlineLevel="0" collapsed="false">
      <c r="A309" s="6" t="s">
        <v>8942</v>
      </c>
      <c r="B309" s="6" t="s">
        <v>500</v>
      </c>
      <c r="C309" s="6" t="s">
        <v>114</v>
      </c>
      <c r="D309" s="6" t="s">
        <v>34</v>
      </c>
      <c r="E309" s="6" t="n">
        <f aca="false">ROUND(12640*1.05,2)</f>
        <v>13272</v>
      </c>
      <c r="F309" s="6" t="s">
        <v>35</v>
      </c>
      <c r="G309" s="6" t="s">
        <v>18</v>
      </c>
      <c r="H309" s="6" t="n">
        <f aca="true">ROUND(RAND()*4+6,1)</f>
        <v>7.4</v>
      </c>
      <c r="I309" s="6" t="s">
        <v>36</v>
      </c>
      <c r="J309" s="6" t="str">
        <f aca="false">ROUND(95*1,0)&amp;"%"</f>
        <v>95%</v>
      </c>
    </row>
    <row r="310" customFormat="false" ht="15" hidden="false" customHeight="false" outlineLevel="0" collapsed="false">
      <c r="A310" s="5" t="s">
        <v>8943</v>
      </c>
      <c r="B310" s="5" t="s">
        <v>502</v>
      </c>
      <c r="C310" s="5" t="s">
        <v>114</v>
      </c>
      <c r="D310" s="5" t="s">
        <v>39</v>
      </c>
      <c r="E310" s="5" t="n">
        <f aca="false">ROUND(5360*1.05,2)</f>
        <v>5628</v>
      </c>
      <c r="F310" s="5" t="s">
        <v>40</v>
      </c>
      <c r="G310" s="5" t="s">
        <v>24</v>
      </c>
      <c r="H310" s="5" t="n">
        <f aca="true">ROUND(RAND()*4+6,1)</f>
        <v>8.3</v>
      </c>
      <c r="I310" s="5" t="s">
        <v>41</v>
      </c>
      <c r="J310" s="5" t="str">
        <f aca="false">ROUND(96*1,0)&amp;"%"</f>
        <v>96%</v>
      </c>
    </row>
    <row r="311" customFormat="false" ht="15" hidden="false" customHeight="false" outlineLevel="0" collapsed="false">
      <c r="A311" s="6" t="s">
        <v>8944</v>
      </c>
      <c r="B311" s="6" t="s">
        <v>504</v>
      </c>
      <c r="C311" s="6" t="s">
        <v>114</v>
      </c>
      <c r="D311" s="6" t="s">
        <v>44</v>
      </c>
      <c r="E311" s="6" t="n">
        <f aca="false">ROUND(15905*1.05,2)</f>
        <v>16700.25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ROUND(97*1,0)&amp;"%"</f>
        <v>97%</v>
      </c>
    </row>
    <row r="312" customFormat="false" ht="15" hidden="false" customHeight="false" outlineLevel="0" collapsed="false">
      <c r="A312" s="5" t="s">
        <v>8945</v>
      </c>
      <c r="B312" s="5" t="s">
        <v>506</v>
      </c>
      <c r="C312" s="5" t="s">
        <v>114</v>
      </c>
      <c r="D312" s="5" t="s">
        <v>16</v>
      </c>
      <c r="E312" s="5" t="n">
        <f aca="false">ROUND(15967*1.05,2)</f>
        <v>16765.35</v>
      </c>
      <c r="F312" s="5" t="s">
        <v>49</v>
      </c>
      <c r="G312" s="5" t="s">
        <v>18</v>
      </c>
      <c r="H312" s="5" t="n">
        <f aca="true">ROUND(RAND()*4+6,1)</f>
        <v>8.3</v>
      </c>
      <c r="I312" s="5" t="s">
        <v>19</v>
      </c>
      <c r="J312" s="5" t="str">
        <f aca="false">ROUND(90*1,0)&amp;"%"</f>
        <v>90%</v>
      </c>
    </row>
    <row r="313" customFormat="false" ht="15" hidden="false" customHeight="false" outlineLevel="0" collapsed="false">
      <c r="A313" s="6" t="s">
        <v>8946</v>
      </c>
      <c r="B313" s="6" t="s">
        <v>508</v>
      </c>
      <c r="C313" s="6" t="s">
        <v>114</v>
      </c>
      <c r="D313" s="6" t="s">
        <v>22</v>
      </c>
      <c r="E313" s="6" t="n">
        <f aca="false">ROUND(13324*1.05,2)</f>
        <v>13990.2</v>
      </c>
      <c r="F313" s="6" t="s">
        <v>52</v>
      </c>
      <c r="G313" s="6" t="s">
        <v>24</v>
      </c>
      <c r="H313" s="6" t="n">
        <f aca="true">ROUND(RAND()*4+6,1)</f>
        <v>6.2</v>
      </c>
      <c r="I313" s="6" t="s">
        <v>25</v>
      </c>
      <c r="J313" s="6" t="str">
        <f aca="false">ROUND(76*1,0)&amp;"%"</f>
        <v>76%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8947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8948</v>
      </c>
      <c r="B318" s="5" t="s">
        <v>512</v>
      </c>
      <c r="C318" s="5" t="s">
        <v>133</v>
      </c>
      <c r="D318" s="5" t="s">
        <v>16</v>
      </c>
      <c r="E318" s="5" t="n">
        <f aca="false">ROUND(13369*1.05,2)</f>
        <v>14037.45</v>
      </c>
      <c r="F318" s="5" t="s">
        <v>17</v>
      </c>
      <c r="G318" s="5" t="s">
        <v>18</v>
      </c>
      <c r="H318" s="5" t="n">
        <f aca="true">ROUND(RAND()*4+6,1)</f>
        <v>7</v>
      </c>
      <c r="I318" s="5" t="s">
        <v>19</v>
      </c>
      <c r="J318" s="5" t="str">
        <f aca="false">ROUND(87*1,0)&amp;"%"</f>
        <v>87%</v>
      </c>
    </row>
    <row r="319" customFormat="false" ht="15" hidden="false" customHeight="false" outlineLevel="0" collapsed="false">
      <c r="A319" s="6" t="s">
        <v>8949</v>
      </c>
      <c r="B319" s="6" t="s">
        <v>514</v>
      </c>
      <c r="C319" s="6" t="s">
        <v>133</v>
      </c>
      <c r="D319" s="6" t="s">
        <v>22</v>
      </c>
      <c r="E319" s="6" t="n">
        <f aca="false">ROUND(14833*1.05,2)</f>
        <v>15574.65</v>
      </c>
      <c r="F319" s="6" t="s">
        <v>23</v>
      </c>
      <c r="G319" s="6" t="s">
        <v>24</v>
      </c>
      <c r="H319" s="6" t="n">
        <f aca="true">ROUND(RAND()*4+6,1)</f>
        <v>6.2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8950</v>
      </c>
      <c r="B320" s="5" t="s">
        <v>516</v>
      </c>
      <c r="C320" s="5" t="s">
        <v>133</v>
      </c>
      <c r="D320" s="5" t="s">
        <v>28</v>
      </c>
      <c r="E320" s="5" t="n">
        <f aca="false">ROUND(17669*1.05,2)</f>
        <v>18552.45</v>
      </c>
      <c r="F320" s="5" t="s">
        <v>29</v>
      </c>
      <c r="G320" s="5" t="s">
        <v>30</v>
      </c>
      <c r="H320" s="5" t="n">
        <f aca="true">ROUND(RAND()*4+6,1)</f>
        <v>10</v>
      </c>
      <c r="I320" s="5" t="s">
        <v>31</v>
      </c>
      <c r="J320" s="5" t="str">
        <f aca="false">ROUND(72*1,0)&amp;"%"</f>
        <v>72%</v>
      </c>
    </row>
    <row r="321" customFormat="false" ht="15" hidden="false" customHeight="false" outlineLevel="0" collapsed="false">
      <c r="A321" s="6" t="s">
        <v>8951</v>
      </c>
      <c r="B321" s="6" t="s">
        <v>518</v>
      </c>
      <c r="C321" s="6" t="s">
        <v>133</v>
      </c>
      <c r="D321" s="6" t="s">
        <v>34</v>
      </c>
      <c r="E321" s="6" t="n">
        <f aca="false">ROUND(11057*1.05,2)</f>
        <v>11609.85</v>
      </c>
      <c r="F321" s="6" t="s">
        <v>35</v>
      </c>
      <c r="G321" s="6" t="s">
        <v>18</v>
      </c>
      <c r="H321" s="6" t="n">
        <f aca="true">ROUND(RAND()*4+6,1)</f>
        <v>7.2</v>
      </c>
      <c r="I321" s="6" t="s">
        <v>36</v>
      </c>
      <c r="J321" s="6" t="str">
        <f aca="false">ROUND(63*1,0)&amp;"%"</f>
        <v>63%</v>
      </c>
    </row>
    <row r="322" customFormat="false" ht="15" hidden="false" customHeight="false" outlineLevel="0" collapsed="false">
      <c r="A322" s="5" t="s">
        <v>8952</v>
      </c>
      <c r="B322" s="5" t="s">
        <v>520</v>
      </c>
      <c r="C322" s="5" t="s">
        <v>133</v>
      </c>
      <c r="D322" s="5" t="s">
        <v>39</v>
      </c>
      <c r="E322" s="5" t="n">
        <f aca="false">ROUND(14989*1.05,2)</f>
        <v>15738.45</v>
      </c>
      <c r="F322" s="5" t="s">
        <v>40</v>
      </c>
      <c r="G322" s="5" t="s">
        <v>24</v>
      </c>
      <c r="H322" s="5" t="n">
        <f aca="true">ROUND(RAND()*4+6,1)</f>
        <v>8.4</v>
      </c>
      <c r="I322" s="5" t="s">
        <v>41</v>
      </c>
      <c r="J322" s="5" t="str">
        <f aca="false">ROUND(76*1,0)&amp;"%"</f>
        <v>76%</v>
      </c>
    </row>
    <row r="323" customFormat="false" ht="15" hidden="false" customHeight="false" outlineLevel="0" collapsed="false">
      <c r="A323" s="6" t="s">
        <v>8953</v>
      </c>
      <c r="B323" s="6" t="s">
        <v>522</v>
      </c>
      <c r="C323" s="6" t="s">
        <v>133</v>
      </c>
      <c r="D323" s="6" t="s">
        <v>44</v>
      </c>
      <c r="E323" s="6" t="n">
        <f aca="false">ROUND(10680*1.05,2)</f>
        <v>11214</v>
      </c>
      <c r="F323" s="6" t="s">
        <v>45</v>
      </c>
      <c r="G323" s="6" t="s">
        <v>30</v>
      </c>
      <c r="H323" s="6" t="n">
        <f aca="true">ROUND(RAND()*4+6,1)</f>
        <v>8.4</v>
      </c>
      <c r="I323" s="6" t="s">
        <v>46</v>
      </c>
      <c r="J323" s="6" t="str">
        <f aca="false">ROUND(66*1,0)&amp;"%"</f>
        <v>66%</v>
      </c>
    </row>
    <row r="324" customFormat="false" ht="15" hidden="false" customHeight="false" outlineLevel="0" collapsed="false">
      <c r="A324" s="5" t="s">
        <v>8954</v>
      </c>
      <c r="B324" s="5" t="s">
        <v>524</v>
      </c>
      <c r="C324" s="5" t="s">
        <v>133</v>
      </c>
      <c r="D324" s="5" t="s">
        <v>16</v>
      </c>
      <c r="E324" s="5" t="n">
        <f aca="false">ROUND(4278*1.05,2)</f>
        <v>4491.9</v>
      </c>
      <c r="F324" s="5" t="s">
        <v>49</v>
      </c>
      <c r="G324" s="5" t="s">
        <v>18</v>
      </c>
      <c r="H324" s="5" t="n">
        <f aca="true">ROUND(RAND()*4+6,1)</f>
        <v>7.4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8955</v>
      </c>
      <c r="B325" s="6" t="s">
        <v>526</v>
      </c>
      <c r="C325" s="6" t="s">
        <v>133</v>
      </c>
      <c r="D325" s="6" t="s">
        <v>22</v>
      </c>
      <c r="E325" s="6" t="n">
        <f aca="false">ROUND(17278*1.05,2)</f>
        <v>18141.9</v>
      </c>
      <c r="F325" s="6" t="s">
        <v>52</v>
      </c>
      <c r="G325" s="6" t="s">
        <v>24</v>
      </c>
      <c r="H325" s="6" t="n">
        <f aca="true">ROUND(RAND()*4+6,1)</f>
        <v>8.6</v>
      </c>
      <c r="I325" s="6" t="s">
        <v>25</v>
      </c>
      <c r="J325" s="6" t="str">
        <f aca="false">ROUND(65*1,0)&amp;"%"</f>
        <v>65%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8956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8957</v>
      </c>
      <c r="B330" s="5" t="s">
        <v>530</v>
      </c>
      <c r="C330" s="5" t="s">
        <v>152</v>
      </c>
      <c r="D330" s="5" t="s">
        <v>16</v>
      </c>
      <c r="E330" s="5" t="n">
        <f aca="false">ROUND(6442*1.05,2)</f>
        <v>6764.1</v>
      </c>
      <c r="F330" s="5" t="s">
        <v>17</v>
      </c>
      <c r="G330" s="5" t="s">
        <v>18</v>
      </c>
      <c r="H330" s="5" t="n">
        <f aca="true">ROUND(RAND()*4+6,1)</f>
        <v>9.7</v>
      </c>
      <c r="I330" s="5" t="s">
        <v>19</v>
      </c>
      <c r="J330" s="5" t="str">
        <f aca="false">ROUND(68*1,0)&amp;"%"</f>
        <v>68%</v>
      </c>
    </row>
    <row r="331" customFormat="false" ht="15" hidden="false" customHeight="false" outlineLevel="0" collapsed="false">
      <c r="A331" s="6" t="s">
        <v>8958</v>
      </c>
      <c r="B331" s="6" t="s">
        <v>532</v>
      </c>
      <c r="C331" s="6" t="s">
        <v>152</v>
      </c>
      <c r="D331" s="6" t="s">
        <v>22</v>
      </c>
      <c r="E331" s="6" t="n">
        <f aca="false">ROUND(5909*1.05,2)</f>
        <v>6204.45</v>
      </c>
      <c r="F331" s="6" t="s">
        <v>23</v>
      </c>
      <c r="G331" s="6" t="s">
        <v>24</v>
      </c>
      <c r="H331" s="6" t="n">
        <f aca="true">ROUND(RAND()*4+6,1)</f>
        <v>9.5</v>
      </c>
      <c r="I331" s="6" t="s">
        <v>25</v>
      </c>
      <c r="J331" s="6" t="str">
        <f aca="false">ROUND(78*1,0)&amp;"%"</f>
        <v>78%</v>
      </c>
    </row>
    <row r="332" customFormat="false" ht="15" hidden="false" customHeight="false" outlineLevel="0" collapsed="false">
      <c r="A332" s="5" t="s">
        <v>8959</v>
      </c>
      <c r="B332" s="5" t="s">
        <v>534</v>
      </c>
      <c r="C332" s="5" t="s">
        <v>152</v>
      </c>
      <c r="D332" s="5" t="s">
        <v>28</v>
      </c>
      <c r="E332" s="5" t="n">
        <f aca="false">ROUND(8330*1.05,2)</f>
        <v>8746.5</v>
      </c>
      <c r="F332" s="5" t="s">
        <v>29</v>
      </c>
      <c r="G332" s="5" t="s">
        <v>30</v>
      </c>
      <c r="H332" s="5" t="n">
        <f aca="true">ROUND(RAND()*4+6,1)</f>
        <v>6.1</v>
      </c>
      <c r="I332" s="5" t="s">
        <v>31</v>
      </c>
      <c r="J332" s="5" t="str">
        <f aca="false">ROUND(82*1,0)&amp;"%"</f>
        <v>82%</v>
      </c>
    </row>
    <row r="333" customFormat="false" ht="15" hidden="false" customHeight="false" outlineLevel="0" collapsed="false">
      <c r="A333" s="6" t="s">
        <v>8960</v>
      </c>
      <c r="B333" s="6" t="s">
        <v>536</v>
      </c>
      <c r="C333" s="6" t="s">
        <v>152</v>
      </c>
      <c r="D333" s="6" t="s">
        <v>34</v>
      </c>
      <c r="E333" s="6" t="n">
        <f aca="false">ROUND(8603*1.05,2)</f>
        <v>9033.15</v>
      </c>
      <c r="F333" s="6" t="s">
        <v>35</v>
      </c>
      <c r="G333" s="6" t="s">
        <v>18</v>
      </c>
      <c r="H333" s="6" t="n">
        <f aca="true">ROUND(RAND()*4+6,1)</f>
        <v>6.9</v>
      </c>
      <c r="I333" s="6" t="s">
        <v>36</v>
      </c>
      <c r="J333" s="6" t="str">
        <f aca="false">ROUND(72*1,0)&amp;"%"</f>
        <v>72%</v>
      </c>
    </row>
    <row r="334" customFormat="false" ht="15" hidden="false" customHeight="false" outlineLevel="0" collapsed="false">
      <c r="A334" s="5" t="s">
        <v>8961</v>
      </c>
      <c r="B334" s="5" t="s">
        <v>538</v>
      </c>
      <c r="C334" s="5" t="s">
        <v>152</v>
      </c>
      <c r="D334" s="5" t="s">
        <v>39</v>
      </c>
      <c r="E334" s="5" t="n">
        <f aca="false">ROUND(12799*1.05,2)</f>
        <v>13438.95</v>
      </c>
      <c r="F334" s="5" t="s">
        <v>40</v>
      </c>
      <c r="G334" s="5" t="s">
        <v>24</v>
      </c>
      <c r="H334" s="5" t="n">
        <f aca="true">ROUND(RAND()*4+6,1)</f>
        <v>9.8</v>
      </c>
      <c r="I334" s="5" t="s">
        <v>41</v>
      </c>
      <c r="J334" s="5" t="str">
        <f aca="false">ROUND(93*1,0)&amp;"%"</f>
        <v>93%</v>
      </c>
    </row>
    <row r="335" customFormat="false" ht="15" hidden="false" customHeight="false" outlineLevel="0" collapsed="false">
      <c r="A335" s="6" t="s">
        <v>8962</v>
      </c>
      <c r="B335" s="6" t="s">
        <v>540</v>
      </c>
      <c r="C335" s="6" t="s">
        <v>152</v>
      </c>
      <c r="D335" s="6" t="s">
        <v>44</v>
      </c>
      <c r="E335" s="6" t="n">
        <f aca="false">ROUND(17299*1.05,2)</f>
        <v>18163.95</v>
      </c>
      <c r="F335" s="6" t="s">
        <v>45</v>
      </c>
      <c r="G335" s="6" t="s">
        <v>30</v>
      </c>
      <c r="H335" s="6" t="n">
        <f aca="true">ROUND(RAND()*4+6,1)</f>
        <v>7.6</v>
      </c>
      <c r="I335" s="6" t="s">
        <v>46</v>
      </c>
      <c r="J335" s="6" t="str">
        <f aca="false">ROUND(63*1,0)&amp;"%"</f>
        <v>63%</v>
      </c>
    </row>
    <row r="336" customFormat="false" ht="15" hidden="false" customHeight="false" outlineLevel="0" collapsed="false">
      <c r="A336" s="5" t="s">
        <v>8963</v>
      </c>
      <c r="B336" s="5" t="s">
        <v>542</v>
      </c>
      <c r="C336" s="5" t="s">
        <v>152</v>
      </c>
      <c r="D336" s="5" t="s">
        <v>16</v>
      </c>
      <c r="E336" s="5" t="n">
        <f aca="false">ROUND(5895*1.05,2)</f>
        <v>6189.75</v>
      </c>
      <c r="F336" s="5" t="s">
        <v>49</v>
      </c>
      <c r="G336" s="5" t="s">
        <v>18</v>
      </c>
      <c r="H336" s="5" t="n">
        <f aca="true">ROUND(RAND()*4+6,1)</f>
        <v>6.3</v>
      </c>
      <c r="I336" s="5" t="s">
        <v>19</v>
      </c>
      <c r="J336" s="5" t="str">
        <f aca="false">ROUND(98*1,0)&amp;"%"</f>
        <v>98%</v>
      </c>
    </row>
    <row r="337" customFormat="false" ht="15" hidden="false" customHeight="false" outlineLevel="0" collapsed="false">
      <c r="A337" s="6" t="s">
        <v>8964</v>
      </c>
      <c r="B337" s="6" t="s">
        <v>544</v>
      </c>
      <c r="C337" s="6" t="s">
        <v>152</v>
      </c>
      <c r="D337" s="6" t="s">
        <v>22</v>
      </c>
      <c r="E337" s="6" t="n">
        <f aca="false">ROUND(15409*1.05,2)</f>
        <v>16179.45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ROUND(69*1,0)&amp;"%"</f>
        <v>69%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8965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8966</v>
      </c>
      <c r="B342" s="5" t="s">
        <v>548</v>
      </c>
      <c r="C342" s="5" t="s">
        <v>15</v>
      </c>
      <c r="D342" s="5" t="s">
        <v>16</v>
      </c>
      <c r="E342" s="5" t="n">
        <f aca="false">ROUND(12943*1.05,2)</f>
        <v>13590.15</v>
      </c>
      <c r="F342" s="5" t="s">
        <v>17</v>
      </c>
      <c r="G342" s="5" t="s">
        <v>18</v>
      </c>
      <c r="H342" s="5" t="n">
        <f aca="true">ROUND(RAND()*4+6,1)</f>
        <v>6.5</v>
      </c>
      <c r="I342" s="5" t="s">
        <v>19</v>
      </c>
      <c r="J342" s="5" t="str">
        <f aca="false">ROUND(87*1,0)&amp;"%"</f>
        <v>87%</v>
      </c>
    </row>
    <row r="343" customFormat="false" ht="15" hidden="false" customHeight="false" outlineLevel="0" collapsed="false">
      <c r="A343" s="6" t="s">
        <v>8967</v>
      </c>
      <c r="B343" s="6" t="s">
        <v>550</v>
      </c>
      <c r="C343" s="6" t="s">
        <v>15</v>
      </c>
      <c r="D343" s="6" t="s">
        <v>22</v>
      </c>
      <c r="E343" s="6" t="n">
        <f aca="false">ROUND(13844*1.05,2)</f>
        <v>14536.2</v>
      </c>
      <c r="F343" s="6" t="s">
        <v>23</v>
      </c>
      <c r="G343" s="6" t="s">
        <v>24</v>
      </c>
      <c r="H343" s="6" t="n">
        <f aca="true">ROUND(RAND()*4+6,1)</f>
        <v>7.3</v>
      </c>
      <c r="I343" s="6" t="s">
        <v>25</v>
      </c>
      <c r="J343" s="6" t="str">
        <f aca="false">ROUND(78*1,0)&amp;"%"</f>
        <v>78%</v>
      </c>
    </row>
    <row r="344" customFormat="false" ht="15" hidden="false" customHeight="false" outlineLevel="0" collapsed="false">
      <c r="A344" s="5" t="s">
        <v>8968</v>
      </c>
      <c r="B344" s="5" t="s">
        <v>552</v>
      </c>
      <c r="C344" s="5" t="s">
        <v>15</v>
      </c>
      <c r="D344" s="5" t="s">
        <v>28</v>
      </c>
      <c r="E344" s="5" t="n">
        <f aca="false">ROUND(8591*1.05,2)</f>
        <v>9020.55</v>
      </c>
      <c r="F344" s="5" t="s">
        <v>29</v>
      </c>
      <c r="G344" s="5" t="s">
        <v>30</v>
      </c>
      <c r="H344" s="5" t="n">
        <f aca="true">ROUND(RAND()*4+6,1)</f>
        <v>7.2</v>
      </c>
      <c r="I344" s="5" t="s">
        <v>31</v>
      </c>
      <c r="J344" s="5" t="str">
        <f aca="false">ROUND(92*1,0)&amp;"%"</f>
        <v>92%</v>
      </c>
    </row>
    <row r="345" customFormat="false" ht="15" hidden="false" customHeight="false" outlineLevel="0" collapsed="false">
      <c r="A345" s="6" t="s">
        <v>8969</v>
      </c>
      <c r="B345" s="6" t="s">
        <v>554</v>
      </c>
      <c r="C345" s="6" t="s">
        <v>15</v>
      </c>
      <c r="D345" s="6" t="s">
        <v>34</v>
      </c>
      <c r="E345" s="6" t="n">
        <f aca="false">ROUND(7765*1.05,2)</f>
        <v>8153.25</v>
      </c>
      <c r="F345" s="6" t="s">
        <v>35</v>
      </c>
      <c r="G345" s="6" t="s">
        <v>18</v>
      </c>
      <c r="H345" s="6" t="n">
        <f aca="true">ROUND(RAND()*4+6,1)</f>
        <v>6.4</v>
      </c>
      <c r="I345" s="6" t="s">
        <v>36</v>
      </c>
      <c r="J345" s="6" t="str">
        <f aca="false">ROUND(66*1,0)&amp;"%"</f>
        <v>66%</v>
      </c>
    </row>
    <row r="346" customFormat="false" ht="15" hidden="false" customHeight="false" outlineLevel="0" collapsed="false">
      <c r="A346" s="5" t="s">
        <v>8970</v>
      </c>
      <c r="B346" s="5" t="s">
        <v>556</v>
      </c>
      <c r="C346" s="5" t="s">
        <v>15</v>
      </c>
      <c r="D346" s="5" t="s">
        <v>39</v>
      </c>
      <c r="E346" s="5" t="n">
        <f aca="false">ROUND(12624*1.05,2)</f>
        <v>13255.2</v>
      </c>
      <c r="F346" s="5" t="s">
        <v>40</v>
      </c>
      <c r="G346" s="5" t="s">
        <v>24</v>
      </c>
      <c r="H346" s="5" t="n">
        <f aca="true">ROUND(RAND()*4+6,1)</f>
        <v>8.2</v>
      </c>
      <c r="I346" s="5" t="s">
        <v>41</v>
      </c>
      <c r="J346" s="5" t="str">
        <f aca="false">ROUND(83*1,0)&amp;"%"</f>
        <v>83%</v>
      </c>
    </row>
    <row r="347" customFormat="false" ht="15" hidden="false" customHeight="false" outlineLevel="0" collapsed="false">
      <c r="A347" s="6" t="s">
        <v>8971</v>
      </c>
      <c r="B347" s="6" t="s">
        <v>558</v>
      </c>
      <c r="C347" s="6" t="s">
        <v>15</v>
      </c>
      <c r="D347" s="6" t="s">
        <v>44</v>
      </c>
      <c r="E347" s="6" t="n">
        <f aca="false">ROUND(15358*1.05,2)</f>
        <v>16125.9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ROUND(91*1,0)&amp;"%"</f>
        <v>91%</v>
      </c>
    </row>
    <row r="348" customFormat="false" ht="15" hidden="false" customHeight="false" outlineLevel="0" collapsed="false">
      <c r="A348" s="5" t="s">
        <v>8972</v>
      </c>
      <c r="B348" s="5" t="s">
        <v>560</v>
      </c>
      <c r="C348" s="5" t="s">
        <v>15</v>
      </c>
      <c r="D348" s="5" t="s">
        <v>16</v>
      </c>
      <c r="E348" s="5" t="n">
        <f aca="false">ROUND(10557*1.05,2)</f>
        <v>11084.85</v>
      </c>
      <c r="F348" s="5" t="s">
        <v>49</v>
      </c>
      <c r="G348" s="5" t="s">
        <v>18</v>
      </c>
      <c r="H348" s="5" t="n">
        <f aca="true">ROUND(RAND()*4+6,1)</f>
        <v>6.5</v>
      </c>
      <c r="I348" s="5" t="s">
        <v>19</v>
      </c>
      <c r="J348" s="5" t="str">
        <f aca="false">ROUND(86*1,0)&amp;"%"</f>
        <v>86%</v>
      </c>
    </row>
    <row r="349" customFormat="false" ht="15" hidden="false" customHeight="false" outlineLevel="0" collapsed="false">
      <c r="A349" s="6" t="s">
        <v>8973</v>
      </c>
      <c r="B349" s="6" t="s">
        <v>562</v>
      </c>
      <c r="C349" s="6" t="s">
        <v>15</v>
      </c>
      <c r="D349" s="6" t="s">
        <v>22</v>
      </c>
      <c r="E349" s="6" t="n">
        <f aca="false">ROUND(5824*1.05,2)</f>
        <v>6115.2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ROUND(81*1,0)&amp;"%"</f>
        <v>81%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8974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8975</v>
      </c>
      <c r="B354" s="5" t="s">
        <v>566</v>
      </c>
      <c r="C354" s="5" t="s">
        <v>57</v>
      </c>
      <c r="D354" s="5" t="s">
        <v>16</v>
      </c>
      <c r="E354" s="5" t="n">
        <f aca="false">ROUND(13456*1.05,2)</f>
        <v>14128.8</v>
      </c>
      <c r="F354" s="5" t="s">
        <v>17</v>
      </c>
      <c r="G354" s="5" t="s">
        <v>18</v>
      </c>
      <c r="H354" s="5" t="n">
        <f aca="true">ROUND(RAND()*4+6,1)</f>
        <v>7.9</v>
      </c>
      <c r="I354" s="5" t="s">
        <v>19</v>
      </c>
      <c r="J354" s="5" t="str">
        <f aca="false">ROUND(81*1,0)&amp;"%"</f>
        <v>81%</v>
      </c>
    </row>
    <row r="355" customFormat="false" ht="15" hidden="false" customHeight="false" outlineLevel="0" collapsed="false">
      <c r="A355" s="6" t="s">
        <v>8976</v>
      </c>
      <c r="B355" s="6" t="s">
        <v>568</v>
      </c>
      <c r="C355" s="6" t="s">
        <v>57</v>
      </c>
      <c r="D355" s="6" t="s">
        <v>22</v>
      </c>
      <c r="E355" s="6" t="n">
        <f aca="false">ROUND(10055*1.05,2)</f>
        <v>10557.75</v>
      </c>
      <c r="F355" s="6" t="s">
        <v>23</v>
      </c>
      <c r="G355" s="6" t="s">
        <v>24</v>
      </c>
      <c r="H355" s="6" t="n">
        <f aca="true">ROUND(RAND()*4+6,1)</f>
        <v>9.7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8977</v>
      </c>
      <c r="B356" s="5" t="s">
        <v>570</v>
      </c>
      <c r="C356" s="5" t="s">
        <v>57</v>
      </c>
      <c r="D356" s="5" t="s">
        <v>28</v>
      </c>
      <c r="E356" s="5" t="n">
        <f aca="false">ROUND(13174*1.05,2)</f>
        <v>13832.7</v>
      </c>
      <c r="F356" s="5" t="s">
        <v>29</v>
      </c>
      <c r="G356" s="5" t="s">
        <v>30</v>
      </c>
      <c r="H356" s="5" t="n">
        <f aca="true">ROUND(RAND()*4+6,1)</f>
        <v>6.1</v>
      </c>
      <c r="I356" s="5" t="s">
        <v>31</v>
      </c>
      <c r="J356" s="5" t="str">
        <f aca="false">ROUND(64*1,0)&amp;"%"</f>
        <v>64%</v>
      </c>
    </row>
    <row r="357" customFormat="false" ht="15" hidden="false" customHeight="false" outlineLevel="0" collapsed="false">
      <c r="A357" s="6" t="s">
        <v>8978</v>
      </c>
      <c r="B357" s="6" t="s">
        <v>572</v>
      </c>
      <c r="C357" s="6" t="s">
        <v>57</v>
      </c>
      <c r="D357" s="6" t="s">
        <v>34</v>
      </c>
      <c r="E357" s="6" t="n">
        <f aca="false">ROUND(6137*1.05,2)</f>
        <v>6443.85</v>
      </c>
      <c r="F357" s="6" t="s">
        <v>35</v>
      </c>
      <c r="G357" s="6" t="s">
        <v>18</v>
      </c>
      <c r="H357" s="6" t="n">
        <f aca="true">ROUND(RAND()*4+6,1)</f>
        <v>9.1</v>
      </c>
      <c r="I357" s="6" t="s">
        <v>36</v>
      </c>
      <c r="J357" s="6" t="str">
        <f aca="false">ROUND(90*1,0)&amp;"%"</f>
        <v>90%</v>
      </c>
    </row>
    <row r="358" customFormat="false" ht="15" hidden="false" customHeight="false" outlineLevel="0" collapsed="false">
      <c r="A358" s="5" t="s">
        <v>8979</v>
      </c>
      <c r="B358" s="5" t="s">
        <v>574</v>
      </c>
      <c r="C358" s="5" t="s">
        <v>57</v>
      </c>
      <c r="D358" s="5" t="s">
        <v>39</v>
      </c>
      <c r="E358" s="5" t="n">
        <f aca="false">ROUND(9835*1.05,2)</f>
        <v>10326.75</v>
      </c>
      <c r="F358" s="5" t="s">
        <v>40</v>
      </c>
      <c r="G358" s="5" t="s">
        <v>24</v>
      </c>
      <c r="H358" s="5" t="n">
        <f aca="true">ROUND(RAND()*4+6,1)</f>
        <v>8.1</v>
      </c>
      <c r="I358" s="5" t="s">
        <v>41</v>
      </c>
      <c r="J358" s="5" t="str">
        <f aca="false">ROUND(68*1,0)&amp;"%"</f>
        <v>68%</v>
      </c>
    </row>
    <row r="359" customFormat="false" ht="15" hidden="false" customHeight="false" outlineLevel="0" collapsed="false">
      <c r="A359" s="6" t="s">
        <v>8980</v>
      </c>
      <c r="B359" s="6" t="s">
        <v>576</v>
      </c>
      <c r="C359" s="6" t="s">
        <v>57</v>
      </c>
      <c r="D359" s="6" t="s">
        <v>44</v>
      </c>
      <c r="E359" s="6" t="n">
        <f aca="false">ROUND(12998*1.05,2)</f>
        <v>13647.9</v>
      </c>
      <c r="F359" s="6" t="s">
        <v>45</v>
      </c>
      <c r="G359" s="6" t="s">
        <v>30</v>
      </c>
      <c r="H359" s="6" t="n">
        <f aca="true">ROUND(RAND()*4+6,1)</f>
        <v>9.2</v>
      </c>
      <c r="I359" s="6" t="s">
        <v>46</v>
      </c>
      <c r="J359" s="6" t="str">
        <f aca="false">ROUND(67*1,0)&amp;"%"</f>
        <v>67%</v>
      </c>
    </row>
    <row r="360" customFormat="false" ht="15" hidden="false" customHeight="false" outlineLevel="0" collapsed="false">
      <c r="A360" s="5" t="s">
        <v>8981</v>
      </c>
      <c r="B360" s="5" t="s">
        <v>578</v>
      </c>
      <c r="C360" s="5" t="s">
        <v>57</v>
      </c>
      <c r="D360" s="5" t="s">
        <v>16</v>
      </c>
      <c r="E360" s="5" t="n">
        <f aca="false">ROUND(12646*1.05,2)</f>
        <v>13278.3</v>
      </c>
      <c r="F360" s="5" t="s">
        <v>49</v>
      </c>
      <c r="G360" s="5" t="s">
        <v>18</v>
      </c>
      <c r="H360" s="5" t="n">
        <f aca="true">ROUND(RAND()*4+6,1)</f>
        <v>7.3</v>
      </c>
      <c r="I360" s="5" t="s">
        <v>19</v>
      </c>
      <c r="J360" s="5" t="str">
        <f aca="false">ROUND(90*1,0)&amp;"%"</f>
        <v>90%</v>
      </c>
    </row>
    <row r="361" customFormat="false" ht="15" hidden="false" customHeight="false" outlineLevel="0" collapsed="false">
      <c r="A361" s="6" t="s">
        <v>8982</v>
      </c>
      <c r="B361" s="6" t="s">
        <v>580</v>
      </c>
      <c r="C361" s="6" t="s">
        <v>57</v>
      </c>
      <c r="D361" s="6" t="s">
        <v>22</v>
      </c>
      <c r="E361" s="6" t="n">
        <f aca="false">ROUND(10956*1.05,2)</f>
        <v>11503.8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ROUND(85*1,0)&amp;"%"</f>
        <v>85%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8983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8984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8985</v>
      </c>
      <c r="B6" s="5" t="s">
        <v>14</v>
      </c>
      <c r="C6" s="5" t="s">
        <v>15</v>
      </c>
      <c r="D6" s="5" t="s">
        <v>16</v>
      </c>
      <c r="E6" s="5" t="n">
        <f aca="false">ROUND(14180*1.05,2)</f>
        <v>14889</v>
      </c>
      <c r="F6" s="5" t="s">
        <v>17</v>
      </c>
      <c r="G6" s="5" t="s">
        <v>18</v>
      </c>
      <c r="H6" s="5" t="n">
        <f aca="true">ROUND(RAND()*4+6,1)</f>
        <v>9.9</v>
      </c>
      <c r="I6" s="5" t="s">
        <v>19</v>
      </c>
      <c r="J6" s="5" t="str">
        <f aca="false">ROUND(71*1,0)&amp;"%"</f>
        <v>71%</v>
      </c>
    </row>
    <row r="7" customFormat="false" ht="15" hidden="false" customHeight="false" outlineLevel="0" collapsed="false">
      <c r="A7" s="6" t="s">
        <v>8986</v>
      </c>
      <c r="B7" s="6" t="s">
        <v>21</v>
      </c>
      <c r="C7" s="6" t="s">
        <v>15</v>
      </c>
      <c r="D7" s="6" t="s">
        <v>22</v>
      </c>
      <c r="E7" s="6" t="n">
        <f aca="false">ROUND(4065*1.05,2)</f>
        <v>4268.25</v>
      </c>
      <c r="F7" s="6" t="s">
        <v>23</v>
      </c>
      <c r="G7" s="6" t="s">
        <v>24</v>
      </c>
      <c r="H7" s="6" t="n">
        <f aca="true">ROUND(RAND()*4+6,1)</f>
        <v>6.4</v>
      </c>
      <c r="I7" s="6" t="s">
        <v>25</v>
      </c>
      <c r="J7" s="6" t="str">
        <f aca="false">ROUND(62*1,0)&amp;"%"</f>
        <v>62%</v>
      </c>
    </row>
    <row r="8" customFormat="false" ht="15" hidden="false" customHeight="false" outlineLevel="0" collapsed="false">
      <c r="A8" s="5" t="s">
        <v>8987</v>
      </c>
      <c r="B8" s="5" t="s">
        <v>27</v>
      </c>
      <c r="C8" s="5" t="s">
        <v>15</v>
      </c>
      <c r="D8" s="5" t="s">
        <v>28</v>
      </c>
      <c r="E8" s="5" t="n">
        <f aca="false">ROUND(9111*1.05,2)</f>
        <v>9566.55</v>
      </c>
      <c r="F8" s="5" t="s">
        <v>29</v>
      </c>
      <c r="G8" s="5" t="s">
        <v>30</v>
      </c>
      <c r="H8" s="5" t="n">
        <f aca="true">ROUND(RAND()*4+6,1)</f>
        <v>8.9</v>
      </c>
      <c r="I8" s="5" t="s">
        <v>31</v>
      </c>
      <c r="J8" s="5" t="str">
        <f aca="false">ROUND(90*1,0)&amp;"%"</f>
        <v>90%</v>
      </c>
    </row>
    <row r="9" customFormat="false" ht="15" hidden="false" customHeight="false" outlineLevel="0" collapsed="false">
      <c r="A9" s="6" t="s">
        <v>8988</v>
      </c>
      <c r="B9" s="6" t="s">
        <v>33</v>
      </c>
      <c r="C9" s="6" t="s">
        <v>15</v>
      </c>
      <c r="D9" s="6" t="s">
        <v>34</v>
      </c>
      <c r="E9" s="6" t="n">
        <f aca="false">ROUND(12842*1.05,2)</f>
        <v>13484.1</v>
      </c>
      <c r="F9" s="6" t="s">
        <v>35</v>
      </c>
      <c r="G9" s="6" t="s">
        <v>18</v>
      </c>
      <c r="H9" s="6" t="n">
        <f aca="true">ROUND(RAND()*4+6,1)</f>
        <v>9.9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8989</v>
      </c>
      <c r="B10" s="5" t="s">
        <v>38</v>
      </c>
      <c r="C10" s="5" t="s">
        <v>15</v>
      </c>
      <c r="D10" s="5" t="s">
        <v>39</v>
      </c>
      <c r="E10" s="5" t="n">
        <f aca="false">ROUND(5831*1.05,2)</f>
        <v>6122.55</v>
      </c>
      <c r="F10" s="5" t="s">
        <v>40</v>
      </c>
      <c r="G10" s="5" t="s">
        <v>24</v>
      </c>
      <c r="H10" s="5" t="n">
        <f aca="true">ROUND(RAND()*4+6,1)</f>
        <v>6.6</v>
      </c>
      <c r="I10" s="5" t="s">
        <v>41</v>
      </c>
      <c r="J10" s="5" t="str">
        <f aca="false">ROUND(64*1,0)&amp;"%"</f>
        <v>64%</v>
      </c>
    </row>
    <row r="11" customFormat="false" ht="15" hidden="false" customHeight="false" outlineLevel="0" collapsed="false">
      <c r="A11" s="6" t="s">
        <v>8990</v>
      </c>
      <c r="B11" s="6" t="s">
        <v>43</v>
      </c>
      <c r="C11" s="6" t="s">
        <v>15</v>
      </c>
      <c r="D11" s="6" t="s">
        <v>44</v>
      </c>
      <c r="E11" s="6" t="n">
        <f aca="false">ROUND(17751*1.05,2)</f>
        <v>18638.55</v>
      </c>
      <c r="F11" s="6" t="s">
        <v>45</v>
      </c>
      <c r="G11" s="6" t="s">
        <v>30</v>
      </c>
      <c r="H11" s="6" t="n">
        <f aca="true">ROUND(RAND()*4+6,1)</f>
        <v>7.8</v>
      </c>
      <c r="I11" s="6" t="s">
        <v>46</v>
      </c>
      <c r="J11" s="6" t="str">
        <f aca="false">ROUND(69*1,0)&amp;"%"</f>
        <v>69%</v>
      </c>
    </row>
    <row r="12" customFormat="false" ht="15" hidden="false" customHeight="false" outlineLevel="0" collapsed="false">
      <c r="A12" s="5" t="s">
        <v>8991</v>
      </c>
      <c r="B12" s="5" t="s">
        <v>48</v>
      </c>
      <c r="C12" s="5" t="s">
        <v>15</v>
      </c>
      <c r="D12" s="5" t="s">
        <v>16</v>
      </c>
      <c r="E12" s="5" t="n">
        <f aca="false">ROUND(15846*1.05,2)</f>
        <v>16638.3</v>
      </c>
      <c r="F12" s="5" t="s">
        <v>49</v>
      </c>
      <c r="G12" s="5" t="s">
        <v>18</v>
      </c>
      <c r="H12" s="5" t="n">
        <f aca="true">ROUND(RAND()*4+6,1)</f>
        <v>7.6</v>
      </c>
      <c r="I12" s="5" t="s">
        <v>19</v>
      </c>
      <c r="J12" s="5" t="str">
        <f aca="false">ROUND(86*1,0)&amp;"%"</f>
        <v>86%</v>
      </c>
    </row>
    <row r="13" customFormat="false" ht="15" hidden="false" customHeight="false" outlineLevel="0" collapsed="false">
      <c r="A13" s="6" t="s">
        <v>8992</v>
      </c>
      <c r="B13" s="6" t="s">
        <v>51</v>
      </c>
      <c r="C13" s="6" t="s">
        <v>15</v>
      </c>
      <c r="D13" s="6" t="s">
        <v>22</v>
      </c>
      <c r="E13" s="6" t="n">
        <f aca="false">ROUND(9764*1.05,2)</f>
        <v>10252.2</v>
      </c>
      <c r="F13" s="6" t="s">
        <v>52</v>
      </c>
      <c r="G13" s="6" t="s">
        <v>24</v>
      </c>
      <c r="H13" s="6" t="n">
        <f aca="true">ROUND(RAND()*4+6,1)</f>
        <v>6.9</v>
      </c>
      <c r="I13" s="6" t="s">
        <v>25</v>
      </c>
      <c r="J13" s="6" t="str">
        <f aca="false">ROUND(63*1,0)&amp;"%"</f>
        <v>63%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8993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8994</v>
      </c>
      <c r="B18" s="5" t="s">
        <v>56</v>
      </c>
      <c r="C18" s="5" t="s">
        <v>57</v>
      </c>
      <c r="D18" s="5" t="s">
        <v>16</v>
      </c>
      <c r="E18" s="5" t="n">
        <f aca="false">ROUND(16955*1.05,2)</f>
        <v>17802.75</v>
      </c>
      <c r="F18" s="5" t="s">
        <v>17</v>
      </c>
      <c r="G18" s="5" t="s">
        <v>18</v>
      </c>
      <c r="H18" s="5" t="n">
        <f aca="true">ROUND(RAND()*4+6,1)</f>
        <v>6.6</v>
      </c>
      <c r="I18" s="5" t="s">
        <v>19</v>
      </c>
      <c r="J18" s="5" t="str">
        <f aca="false">ROUND(74*1,0)&amp;"%"</f>
        <v>74%</v>
      </c>
    </row>
    <row r="19" customFormat="false" ht="15" hidden="false" customHeight="false" outlineLevel="0" collapsed="false">
      <c r="A19" s="6" t="s">
        <v>8995</v>
      </c>
      <c r="B19" s="6" t="s">
        <v>59</v>
      </c>
      <c r="C19" s="6" t="s">
        <v>57</v>
      </c>
      <c r="D19" s="6" t="s">
        <v>22</v>
      </c>
      <c r="E19" s="6" t="n">
        <f aca="false">ROUND(10133*1.05,2)</f>
        <v>10639.65</v>
      </c>
      <c r="F19" s="6" t="s">
        <v>23</v>
      </c>
      <c r="G19" s="6" t="s">
        <v>24</v>
      </c>
      <c r="H19" s="6" t="n">
        <f aca="true">ROUND(RAND()*4+6,1)</f>
        <v>8.5</v>
      </c>
      <c r="I19" s="6" t="s">
        <v>25</v>
      </c>
      <c r="J19" s="6" t="str">
        <f aca="false">ROUND(60*1,0)&amp;"%"</f>
        <v>60%</v>
      </c>
    </row>
    <row r="20" customFormat="false" ht="15" hidden="false" customHeight="false" outlineLevel="0" collapsed="false">
      <c r="A20" s="5" t="s">
        <v>8996</v>
      </c>
      <c r="B20" s="5" t="s">
        <v>61</v>
      </c>
      <c r="C20" s="5" t="s">
        <v>57</v>
      </c>
      <c r="D20" s="5" t="s">
        <v>28</v>
      </c>
      <c r="E20" s="5" t="n">
        <f aca="false">ROUND(14364*1.05,2)</f>
        <v>15082.2</v>
      </c>
      <c r="F20" s="5" t="s">
        <v>29</v>
      </c>
      <c r="G20" s="5" t="s">
        <v>30</v>
      </c>
      <c r="H20" s="5" t="n">
        <f aca="true">ROUND(RAND()*4+6,1)</f>
        <v>6.6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8997</v>
      </c>
      <c r="B21" s="6" t="s">
        <v>63</v>
      </c>
      <c r="C21" s="6" t="s">
        <v>57</v>
      </c>
      <c r="D21" s="6" t="s">
        <v>34</v>
      </c>
      <c r="E21" s="6" t="n">
        <f aca="false">ROUND(9431*1.05,2)</f>
        <v>9902.55</v>
      </c>
      <c r="F21" s="6" t="s">
        <v>35</v>
      </c>
      <c r="G21" s="6" t="s">
        <v>18</v>
      </c>
      <c r="H21" s="6" t="n">
        <f aca="true">ROUND(RAND()*4+6,1)</f>
        <v>9.8</v>
      </c>
      <c r="I21" s="6" t="s">
        <v>36</v>
      </c>
      <c r="J21" s="6" t="str">
        <f aca="false">ROUND(70*1,0)&amp;"%"</f>
        <v>70%</v>
      </c>
    </row>
    <row r="22" customFormat="false" ht="15" hidden="false" customHeight="false" outlineLevel="0" collapsed="false">
      <c r="A22" s="5" t="s">
        <v>8998</v>
      </c>
      <c r="B22" s="5" t="s">
        <v>65</v>
      </c>
      <c r="C22" s="5" t="s">
        <v>57</v>
      </c>
      <c r="D22" s="5" t="s">
        <v>39</v>
      </c>
      <c r="E22" s="5" t="n">
        <f aca="false">ROUND(9611*1.05,2)</f>
        <v>10091.55</v>
      </c>
      <c r="F22" s="5" t="s">
        <v>40</v>
      </c>
      <c r="G22" s="5" t="s">
        <v>24</v>
      </c>
      <c r="H22" s="5" t="n">
        <f aca="true">ROUND(RAND()*4+6,1)</f>
        <v>6.3</v>
      </c>
      <c r="I22" s="5" t="s">
        <v>41</v>
      </c>
      <c r="J22" s="5" t="str">
        <f aca="false">ROUND(97*1,0)&amp;"%"</f>
        <v>97%</v>
      </c>
    </row>
    <row r="23" customFormat="false" ht="15" hidden="false" customHeight="false" outlineLevel="0" collapsed="false">
      <c r="A23" s="6" t="s">
        <v>8999</v>
      </c>
      <c r="B23" s="6" t="s">
        <v>67</v>
      </c>
      <c r="C23" s="6" t="s">
        <v>57</v>
      </c>
      <c r="D23" s="6" t="s">
        <v>44</v>
      </c>
      <c r="E23" s="6" t="n">
        <f aca="false">ROUND(17813*1.05,2)</f>
        <v>18703.65</v>
      </c>
      <c r="F23" s="6" t="s">
        <v>45</v>
      </c>
      <c r="G23" s="6" t="s">
        <v>30</v>
      </c>
      <c r="H23" s="6" t="n">
        <f aca="true">ROUND(RAND()*4+6,1)</f>
        <v>7.2</v>
      </c>
      <c r="I23" s="6" t="s">
        <v>46</v>
      </c>
      <c r="J23" s="6" t="str">
        <f aca="false">ROUND(65*1,0)&amp;"%"</f>
        <v>65%</v>
      </c>
    </row>
    <row r="24" customFormat="false" ht="15" hidden="false" customHeight="false" outlineLevel="0" collapsed="false">
      <c r="A24" s="5" t="s">
        <v>9000</v>
      </c>
      <c r="B24" s="5" t="s">
        <v>69</v>
      </c>
      <c r="C24" s="5" t="s">
        <v>57</v>
      </c>
      <c r="D24" s="5" t="s">
        <v>16</v>
      </c>
      <c r="E24" s="5" t="n">
        <f aca="false">ROUND(10507*1.05,2)</f>
        <v>11032.35</v>
      </c>
      <c r="F24" s="5" t="s">
        <v>49</v>
      </c>
      <c r="G24" s="5" t="s">
        <v>18</v>
      </c>
      <c r="H24" s="5" t="n">
        <f aca="true">ROUND(RAND()*4+6,1)</f>
        <v>7.3</v>
      </c>
      <c r="I24" s="5" t="s">
        <v>19</v>
      </c>
      <c r="J24" s="5" t="str">
        <f aca="false">ROUND(81*1,0)&amp;"%"</f>
        <v>81%</v>
      </c>
    </row>
    <row r="25" customFormat="false" ht="15" hidden="false" customHeight="false" outlineLevel="0" collapsed="false">
      <c r="A25" s="6" t="s">
        <v>9001</v>
      </c>
      <c r="B25" s="6" t="s">
        <v>71</v>
      </c>
      <c r="C25" s="6" t="s">
        <v>57</v>
      </c>
      <c r="D25" s="6" t="s">
        <v>22</v>
      </c>
      <c r="E25" s="6" t="n">
        <f aca="false">ROUND(11484*1.05,2)</f>
        <v>12058.2</v>
      </c>
      <c r="F25" s="6" t="s">
        <v>52</v>
      </c>
      <c r="G25" s="6" t="s">
        <v>24</v>
      </c>
      <c r="H25" s="6" t="n">
        <f aca="true">ROUND(RAND()*4+6,1)</f>
        <v>8.9</v>
      </c>
      <c r="I25" s="6" t="s">
        <v>25</v>
      </c>
      <c r="J25" s="6" t="str">
        <f aca="false">ROUND(67*1,0)&amp;"%"</f>
        <v>67%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9002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9003</v>
      </c>
      <c r="B30" s="5" t="s">
        <v>75</v>
      </c>
      <c r="C30" s="5" t="s">
        <v>76</v>
      </c>
      <c r="D30" s="5" t="s">
        <v>16</v>
      </c>
      <c r="E30" s="5" t="n">
        <f aca="false">ROUND(5231*1.05,2)</f>
        <v>5492.55</v>
      </c>
      <c r="F30" s="5" t="s">
        <v>17</v>
      </c>
      <c r="G30" s="5" t="s">
        <v>18</v>
      </c>
      <c r="H30" s="5" t="n">
        <f aca="true">ROUND(RAND()*4+6,1)</f>
        <v>9.4</v>
      </c>
      <c r="I30" s="5" t="s">
        <v>19</v>
      </c>
      <c r="J30" s="5" t="str">
        <f aca="false">ROUND(91*1,0)&amp;"%"</f>
        <v>91%</v>
      </c>
    </row>
    <row r="31" customFormat="false" ht="15" hidden="false" customHeight="false" outlineLevel="0" collapsed="false">
      <c r="A31" s="6" t="s">
        <v>9004</v>
      </c>
      <c r="B31" s="6" t="s">
        <v>78</v>
      </c>
      <c r="C31" s="6" t="s">
        <v>76</v>
      </c>
      <c r="D31" s="6" t="s">
        <v>22</v>
      </c>
      <c r="E31" s="6" t="n">
        <f aca="false">ROUND(15218*1.05,2)</f>
        <v>15978.9</v>
      </c>
      <c r="F31" s="6" t="s">
        <v>23</v>
      </c>
      <c r="G31" s="6" t="s">
        <v>24</v>
      </c>
      <c r="H31" s="6" t="n">
        <f aca="true">ROUND(RAND()*4+6,1)</f>
        <v>9.6</v>
      </c>
      <c r="I31" s="6" t="s">
        <v>25</v>
      </c>
      <c r="J31" s="6" t="str">
        <f aca="false">ROUND(75*1,0)&amp;"%"</f>
        <v>75%</v>
      </c>
    </row>
    <row r="32" customFormat="false" ht="15" hidden="false" customHeight="false" outlineLevel="0" collapsed="false">
      <c r="A32" s="5" t="s">
        <v>9005</v>
      </c>
      <c r="B32" s="5" t="s">
        <v>80</v>
      </c>
      <c r="C32" s="5" t="s">
        <v>76</v>
      </c>
      <c r="D32" s="5" t="s">
        <v>28</v>
      </c>
      <c r="E32" s="5" t="n">
        <f aca="false">ROUND(12506*1.05,2)</f>
        <v>13131.3</v>
      </c>
      <c r="F32" s="5" t="s">
        <v>29</v>
      </c>
      <c r="G32" s="5" t="s">
        <v>30</v>
      </c>
      <c r="H32" s="5" t="n">
        <f aca="true">ROUND(RAND()*4+6,1)</f>
        <v>7.7</v>
      </c>
      <c r="I32" s="5" t="s">
        <v>31</v>
      </c>
      <c r="J32" s="5" t="str">
        <f aca="false">ROUND(81*1,0)&amp;"%"</f>
        <v>81%</v>
      </c>
    </row>
    <row r="33" customFormat="false" ht="15" hidden="false" customHeight="false" outlineLevel="0" collapsed="false">
      <c r="A33" s="6" t="s">
        <v>9006</v>
      </c>
      <c r="B33" s="6" t="s">
        <v>82</v>
      </c>
      <c r="C33" s="6" t="s">
        <v>76</v>
      </c>
      <c r="D33" s="6" t="s">
        <v>34</v>
      </c>
      <c r="E33" s="6" t="n">
        <f aca="false">ROUND(8331*1.05,2)</f>
        <v>8747.55</v>
      </c>
      <c r="F33" s="6" t="s">
        <v>35</v>
      </c>
      <c r="G33" s="6" t="s">
        <v>18</v>
      </c>
      <c r="H33" s="6" t="n">
        <f aca="true">ROUND(RAND()*4+6,1)</f>
        <v>8.9</v>
      </c>
      <c r="I33" s="6" t="s">
        <v>36</v>
      </c>
      <c r="J33" s="6" t="str">
        <f aca="false">ROUND(88*1,0)&amp;"%"</f>
        <v>88%</v>
      </c>
    </row>
    <row r="34" customFormat="false" ht="15" hidden="false" customHeight="false" outlineLevel="0" collapsed="false">
      <c r="A34" s="5" t="s">
        <v>9007</v>
      </c>
      <c r="B34" s="5" t="s">
        <v>84</v>
      </c>
      <c r="C34" s="5" t="s">
        <v>76</v>
      </c>
      <c r="D34" s="5" t="s">
        <v>39</v>
      </c>
      <c r="E34" s="5" t="n">
        <f aca="false">ROUND(13271*1.05,2)</f>
        <v>13934.55</v>
      </c>
      <c r="F34" s="5" t="s">
        <v>40</v>
      </c>
      <c r="G34" s="5" t="s">
        <v>24</v>
      </c>
      <c r="H34" s="5" t="n">
        <f aca="true">ROUND(RAND()*4+6,1)</f>
        <v>9.5</v>
      </c>
      <c r="I34" s="5" t="s">
        <v>41</v>
      </c>
      <c r="J34" s="5" t="str">
        <f aca="false">ROUND(64*1,0)&amp;"%"</f>
        <v>64%</v>
      </c>
    </row>
    <row r="35" customFormat="false" ht="15" hidden="false" customHeight="false" outlineLevel="0" collapsed="false">
      <c r="A35" s="6" t="s">
        <v>9008</v>
      </c>
      <c r="B35" s="6" t="s">
        <v>86</v>
      </c>
      <c r="C35" s="6" t="s">
        <v>76</v>
      </c>
      <c r="D35" s="6" t="s">
        <v>44</v>
      </c>
      <c r="E35" s="6" t="n">
        <f aca="false">ROUND(8278*1.05,2)</f>
        <v>8691.9</v>
      </c>
      <c r="F35" s="6" t="s">
        <v>45</v>
      </c>
      <c r="G35" s="6" t="s">
        <v>30</v>
      </c>
      <c r="H35" s="6" t="n">
        <f aca="true">ROUND(RAND()*4+6,1)</f>
        <v>7.7</v>
      </c>
      <c r="I35" s="6" t="s">
        <v>46</v>
      </c>
      <c r="J35" s="6" t="str">
        <f aca="false">ROUND(78*1,0)&amp;"%"</f>
        <v>78%</v>
      </c>
    </row>
    <row r="36" customFormat="false" ht="15" hidden="false" customHeight="false" outlineLevel="0" collapsed="false">
      <c r="A36" s="5" t="s">
        <v>9009</v>
      </c>
      <c r="B36" s="5" t="s">
        <v>88</v>
      </c>
      <c r="C36" s="5" t="s">
        <v>76</v>
      </c>
      <c r="D36" s="5" t="s">
        <v>16</v>
      </c>
      <c r="E36" s="5" t="n">
        <f aca="false">ROUND(5143*1.05,2)</f>
        <v>5400.15</v>
      </c>
      <c r="F36" s="5" t="s">
        <v>49</v>
      </c>
      <c r="G36" s="5" t="s">
        <v>18</v>
      </c>
      <c r="H36" s="5" t="n">
        <f aca="true">ROUND(RAND()*4+6,1)</f>
        <v>7.2</v>
      </c>
      <c r="I36" s="5" t="s">
        <v>19</v>
      </c>
      <c r="J36" s="5" t="str">
        <f aca="false">ROUND(100*1,0)&amp;"%"</f>
        <v>100%</v>
      </c>
    </row>
    <row r="37" customFormat="false" ht="15" hidden="false" customHeight="false" outlineLevel="0" collapsed="false">
      <c r="A37" s="6" t="s">
        <v>9010</v>
      </c>
      <c r="B37" s="6" t="s">
        <v>90</v>
      </c>
      <c r="C37" s="6" t="s">
        <v>76</v>
      </c>
      <c r="D37" s="6" t="s">
        <v>22</v>
      </c>
      <c r="E37" s="6" t="n">
        <f aca="false">ROUND(15705*1.05,2)</f>
        <v>16490.25</v>
      </c>
      <c r="F37" s="6" t="s">
        <v>52</v>
      </c>
      <c r="G37" s="6" t="s">
        <v>24</v>
      </c>
      <c r="H37" s="6" t="n">
        <f aca="true">ROUND(RAND()*4+6,1)</f>
        <v>7.6</v>
      </c>
      <c r="I37" s="6" t="s">
        <v>25</v>
      </c>
      <c r="J37" s="6" t="str">
        <f aca="false">ROUND(74*1,0)&amp;"%"</f>
        <v>74%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9011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9012</v>
      </c>
      <c r="B42" s="5" t="s">
        <v>94</v>
      </c>
      <c r="C42" s="5" t="s">
        <v>95</v>
      </c>
      <c r="D42" s="5" t="s">
        <v>16</v>
      </c>
      <c r="E42" s="5" t="n">
        <f aca="false">ROUND(11206*1.05,2)</f>
        <v>11766.3</v>
      </c>
      <c r="F42" s="5" t="s">
        <v>17</v>
      </c>
      <c r="G42" s="5" t="s">
        <v>18</v>
      </c>
      <c r="H42" s="5" t="n">
        <f aca="true">ROUND(RAND()*4+6,1)</f>
        <v>6.8</v>
      </c>
      <c r="I42" s="5" t="s">
        <v>19</v>
      </c>
      <c r="J42" s="5" t="str">
        <f aca="false">ROUND(89*1,0)&amp;"%"</f>
        <v>89%</v>
      </c>
    </row>
    <row r="43" customFormat="false" ht="15" hidden="false" customHeight="false" outlineLevel="0" collapsed="false">
      <c r="A43" s="6" t="s">
        <v>9013</v>
      </c>
      <c r="B43" s="6" t="s">
        <v>97</v>
      </c>
      <c r="C43" s="6" t="s">
        <v>95</v>
      </c>
      <c r="D43" s="6" t="s">
        <v>22</v>
      </c>
      <c r="E43" s="6" t="n">
        <f aca="false">ROUND(13266*1.05,2)</f>
        <v>13929.3</v>
      </c>
      <c r="F43" s="6" t="s">
        <v>23</v>
      </c>
      <c r="G43" s="6" t="s">
        <v>24</v>
      </c>
      <c r="H43" s="6" t="n">
        <f aca="true">ROUND(RAND()*4+6,1)</f>
        <v>7.7</v>
      </c>
      <c r="I43" s="6" t="s">
        <v>25</v>
      </c>
      <c r="J43" s="6" t="str">
        <f aca="false">ROUND(82*1,0)&amp;"%"</f>
        <v>82%</v>
      </c>
    </row>
    <row r="44" customFormat="false" ht="15" hidden="false" customHeight="false" outlineLevel="0" collapsed="false">
      <c r="A44" s="5" t="s">
        <v>9014</v>
      </c>
      <c r="B44" s="5" t="s">
        <v>99</v>
      </c>
      <c r="C44" s="5" t="s">
        <v>95</v>
      </c>
      <c r="D44" s="5" t="s">
        <v>28</v>
      </c>
      <c r="E44" s="5" t="n">
        <f aca="false">ROUND(6139*1.05,2)</f>
        <v>6445.95</v>
      </c>
      <c r="F44" s="5" t="s">
        <v>29</v>
      </c>
      <c r="G44" s="5" t="s">
        <v>30</v>
      </c>
      <c r="H44" s="5" t="n">
        <f aca="true">ROUND(RAND()*4+6,1)</f>
        <v>9.8</v>
      </c>
      <c r="I44" s="5" t="s">
        <v>31</v>
      </c>
      <c r="J44" s="5" t="str">
        <f aca="false">ROUND(62*1,0)&amp;"%"</f>
        <v>62%</v>
      </c>
    </row>
    <row r="45" customFormat="false" ht="15" hidden="false" customHeight="false" outlineLevel="0" collapsed="false">
      <c r="A45" s="6" t="s">
        <v>9015</v>
      </c>
      <c r="B45" s="6" t="s">
        <v>101</v>
      </c>
      <c r="C45" s="6" t="s">
        <v>95</v>
      </c>
      <c r="D45" s="6" t="s">
        <v>34</v>
      </c>
      <c r="E45" s="6" t="n">
        <f aca="false">ROUND(8315*1.05,2)</f>
        <v>8730.75</v>
      </c>
      <c r="F45" s="6" t="s">
        <v>35</v>
      </c>
      <c r="G45" s="6" t="s">
        <v>18</v>
      </c>
      <c r="H45" s="6" t="n">
        <f aca="true">ROUND(RAND()*4+6,1)</f>
        <v>9.8</v>
      </c>
      <c r="I45" s="6" t="s">
        <v>36</v>
      </c>
      <c r="J45" s="6" t="str">
        <f aca="false">ROUND(89*1,0)&amp;"%"</f>
        <v>89%</v>
      </c>
    </row>
    <row r="46" customFormat="false" ht="15" hidden="false" customHeight="false" outlineLevel="0" collapsed="false">
      <c r="A46" s="5" t="s">
        <v>9016</v>
      </c>
      <c r="B46" s="5" t="s">
        <v>103</v>
      </c>
      <c r="C46" s="5" t="s">
        <v>95</v>
      </c>
      <c r="D46" s="5" t="s">
        <v>39</v>
      </c>
      <c r="E46" s="5" t="n">
        <f aca="false">ROUND(5954*1.05,2)</f>
        <v>6251.7</v>
      </c>
      <c r="F46" s="5" t="s">
        <v>40</v>
      </c>
      <c r="G46" s="5" t="s">
        <v>24</v>
      </c>
      <c r="H46" s="5" t="n">
        <f aca="true">ROUND(RAND()*4+6,1)</f>
        <v>6.9</v>
      </c>
      <c r="I46" s="5" t="s">
        <v>41</v>
      </c>
      <c r="J46" s="5" t="str">
        <f aca="false">ROUND(76*1,0)&amp;"%"</f>
        <v>76%</v>
      </c>
    </row>
    <row r="47" customFormat="false" ht="15" hidden="false" customHeight="false" outlineLevel="0" collapsed="false">
      <c r="A47" s="6" t="s">
        <v>9017</v>
      </c>
      <c r="B47" s="6" t="s">
        <v>105</v>
      </c>
      <c r="C47" s="6" t="s">
        <v>95</v>
      </c>
      <c r="D47" s="6" t="s">
        <v>44</v>
      </c>
      <c r="E47" s="6" t="n">
        <f aca="false">ROUND(13545*1.05,2)</f>
        <v>14222.25</v>
      </c>
      <c r="F47" s="6" t="s">
        <v>45</v>
      </c>
      <c r="G47" s="6" t="s">
        <v>30</v>
      </c>
      <c r="H47" s="6" t="n">
        <f aca="true">ROUND(RAND()*4+6,1)</f>
        <v>9.2</v>
      </c>
      <c r="I47" s="6" t="s">
        <v>46</v>
      </c>
      <c r="J47" s="6" t="str">
        <f aca="false">ROUND(70*1,0)&amp;"%"</f>
        <v>70%</v>
      </c>
    </row>
    <row r="48" customFormat="false" ht="15" hidden="false" customHeight="false" outlineLevel="0" collapsed="false">
      <c r="A48" s="5" t="s">
        <v>9018</v>
      </c>
      <c r="B48" s="5" t="s">
        <v>107</v>
      </c>
      <c r="C48" s="5" t="s">
        <v>95</v>
      </c>
      <c r="D48" s="5" t="s">
        <v>16</v>
      </c>
      <c r="E48" s="5" t="n">
        <f aca="false">ROUND(7098*1.05,2)</f>
        <v>7452.9</v>
      </c>
      <c r="F48" s="5" t="s">
        <v>49</v>
      </c>
      <c r="G48" s="5" t="s">
        <v>18</v>
      </c>
      <c r="H48" s="5" t="n">
        <f aca="true">ROUND(RAND()*4+6,1)</f>
        <v>7</v>
      </c>
      <c r="I48" s="5" t="s">
        <v>19</v>
      </c>
      <c r="J48" s="5" t="str">
        <f aca="false">ROUND(92*1,0)&amp;"%"</f>
        <v>92%</v>
      </c>
    </row>
    <row r="49" customFormat="false" ht="15" hidden="false" customHeight="false" outlineLevel="0" collapsed="false">
      <c r="A49" s="6" t="s">
        <v>9019</v>
      </c>
      <c r="B49" s="6" t="s">
        <v>109</v>
      </c>
      <c r="C49" s="6" t="s">
        <v>95</v>
      </c>
      <c r="D49" s="6" t="s">
        <v>22</v>
      </c>
      <c r="E49" s="6" t="n">
        <f aca="false">ROUND(10440*1.05,2)</f>
        <v>10962</v>
      </c>
      <c r="F49" s="6" t="s">
        <v>52</v>
      </c>
      <c r="G49" s="6" t="s">
        <v>24</v>
      </c>
      <c r="H49" s="6" t="n">
        <f aca="true">ROUND(RAND()*4+6,1)</f>
        <v>7.4</v>
      </c>
      <c r="I49" s="6" t="s">
        <v>25</v>
      </c>
      <c r="J49" s="6" t="str">
        <f aca="false">ROUND(80*1,0)&amp;"%"</f>
        <v>80%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9020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9021</v>
      </c>
      <c r="B54" s="5" t="s">
        <v>113</v>
      </c>
      <c r="C54" s="5" t="s">
        <v>114</v>
      </c>
      <c r="D54" s="5" t="s">
        <v>16</v>
      </c>
      <c r="E54" s="5" t="n">
        <f aca="false">ROUND(11626*1.05,2)</f>
        <v>12207.3</v>
      </c>
      <c r="F54" s="5" t="s">
        <v>17</v>
      </c>
      <c r="G54" s="5" t="s">
        <v>18</v>
      </c>
      <c r="H54" s="5" t="n">
        <f aca="true">ROUND(RAND()*4+6,1)</f>
        <v>9.3</v>
      </c>
      <c r="I54" s="5" t="s">
        <v>19</v>
      </c>
      <c r="J54" s="5" t="str">
        <f aca="false">ROUND(100*1,0)&amp;"%"</f>
        <v>100%</v>
      </c>
    </row>
    <row r="55" customFormat="false" ht="15" hidden="false" customHeight="false" outlineLevel="0" collapsed="false">
      <c r="A55" s="6" t="s">
        <v>9022</v>
      </c>
      <c r="B55" s="6" t="s">
        <v>116</v>
      </c>
      <c r="C55" s="6" t="s">
        <v>114</v>
      </c>
      <c r="D55" s="6" t="s">
        <v>22</v>
      </c>
      <c r="E55" s="6" t="n">
        <f aca="false">ROUND(15748*1.05,2)</f>
        <v>16535.4</v>
      </c>
      <c r="F55" s="6" t="s">
        <v>23</v>
      </c>
      <c r="G55" s="6" t="s">
        <v>24</v>
      </c>
      <c r="H55" s="6" t="n">
        <f aca="true">ROUND(RAND()*4+6,1)</f>
        <v>7.9</v>
      </c>
      <c r="I55" s="6" t="s">
        <v>25</v>
      </c>
      <c r="J55" s="6" t="str">
        <f aca="false">ROUND(71*1,0)&amp;"%"</f>
        <v>71%</v>
      </c>
    </row>
    <row r="56" customFormat="false" ht="15" hidden="false" customHeight="false" outlineLevel="0" collapsed="false">
      <c r="A56" s="5" t="s">
        <v>9023</v>
      </c>
      <c r="B56" s="5" t="s">
        <v>118</v>
      </c>
      <c r="C56" s="5" t="s">
        <v>114</v>
      </c>
      <c r="D56" s="5" t="s">
        <v>28</v>
      </c>
      <c r="E56" s="5" t="n">
        <f aca="false">ROUND(11748*1.05,2)</f>
        <v>12335.4</v>
      </c>
      <c r="F56" s="5" t="s">
        <v>29</v>
      </c>
      <c r="G56" s="5" t="s">
        <v>30</v>
      </c>
      <c r="H56" s="5" t="n">
        <f aca="true">ROUND(RAND()*4+6,1)</f>
        <v>6.6</v>
      </c>
      <c r="I56" s="5" t="s">
        <v>31</v>
      </c>
      <c r="J56" s="5" t="str">
        <f aca="false">ROUND(87*1,0)&amp;"%"</f>
        <v>87%</v>
      </c>
    </row>
    <row r="57" customFormat="false" ht="15" hidden="false" customHeight="false" outlineLevel="0" collapsed="false">
      <c r="A57" s="6" t="s">
        <v>9024</v>
      </c>
      <c r="B57" s="6" t="s">
        <v>120</v>
      </c>
      <c r="C57" s="6" t="s">
        <v>114</v>
      </c>
      <c r="D57" s="6" t="s">
        <v>34</v>
      </c>
      <c r="E57" s="6" t="n">
        <f aca="false">ROUND(10414*1.05,2)</f>
        <v>10934.7</v>
      </c>
      <c r="F57" s="6" t="s">
        <v>35</v>
      </c>
      <c r="G57" s="6" t="s">
        <v>18</v>
      </c>
      <c r="H57" s="6" t="n">
        <f aca="true">ROUND(RAND()*4+6,1)</f>
        <v>6.7</v>
      </c>
      <c r="I57" s="6" t="s">
        <v>36</v>
      </c>
      <c r="J57" s="6" t="str">
        <f aca="false">ROUND(97*1,0)&amp;"%"</f>
        <v>97%</v>
      </c>
    </row>
    <row r="58" customFormat="false" ht="15" hidden="false" customHeight="false" outlineLevel="0" collapsed="false">
      <c r="A58" s="5" t="s">
        <v>9025</v>
      </c>
      <c r="B58" s="5" t="s">
        <v>122</v>
      </c>
      <c r="C58" s="5" t="s">
        <v>114</v>
      </c>
      <c r="D58" s="5" t="s">
        <v>39</v>
      </c>
      <c r="E58" s="5" t="n">
        <f aca="false">ROUND(10742*1.05,2)</f>
        <v>11279.1</v>
      </c>
      <c r="F58" s="5" t="s">
        <v>40</v>
      </c>
      <c r="G58" s="5" t="s">
        <v>24</v>
      </c>
      <c r="H58" s="5" t="n">
        <f aca="true">ROUND(RAND()*4+6,1)</f>
        <v>6.3</v>
      </c>
      <c r="I58" s="5" t="s">
        <v>41</v>
      </c>
      <c r="J58" s="5" t="str">
        <f aca="false">ROUND(81*1,0)&amp;"%"</f>
        <v>81%</v>
      </c>
    </row>
    <row r="59" customFormat="false" ht="15" hidden="false" customHeight="false" outlineLevel="0" collapsed="false">
      <c r="A59" s="6" t="s">
        <v>9026</v>
      </c>
      <c r="B59" s="6" t="s">
        <v>124</v>
      </c>
      <c r="C59" s="6" t="s">
        <v>114</v>
      </c>
      <c r="D59" s="6" t="s">
        <v>44</v>
      </c>
      <c r="E59" s="6" t="n">
        <f aca="false">ROUND(6657*1.05,2)</f>
        <v>6989.85</v>
      </c>
      <c r="F59" s="6" t="s">
        <v>45</v>
      </c>
      <c r="G59" s="6" t="s">
        <v>30</v>
      </c>
      <c r="H59" s="6" t="n">
        <f aca="true">ROUND(RAND()*4+6,1)</f>
        <v>9.5</v>
      </c>
      <c r="I59" s="6" t="s">
        <v>46</v>
      </c>
      <c r="J59" s="6" t="str">
        <f aca="false">ROUND(74*1,0)&amp;"%"</f>
        <v>74%</v>
      </c>
    </row>
    <row r="60" customFormat="false" ht="15" hidden="false" customHeight="false" outlineLevel="0" collapsed="false">
      <c r="A60" s="5" t="s">
        <v>9027</v>
      </c>
      <c r="B60" s="5" t="s">
        <v>126</v>
      </c>
      <c r="C60" s="5" t="s">
        <v>114</v>
      </c>
      <c r="D60" s="5" t="s">
        <v>16</v>
      </c>
      <c r="E60" s="5" t="n">
        <f aca="false">ROUND(8300*1.05,2)</f>
        <v>8715</v>
      </c>
      <c r="F60" s="5" t="s">
        <v>49</v>
      </c>
      <c r="G60" s="5" t="s">
        <v>18</v>
      </c>
      <c r="H60" s="5" t="n">
        <f aca="true">ROUND(RAND()*4+6,1)</f>
        <v>7.9</v>
      </c>
      <c r="I60" s="5" t="s">
        <v>19</v>
      </c>
      <c r="J60" s="5" t="str">
        <f aca="false">ROUND(82*1,0)&amp;"%"</f>
        <v>82%</v>
      </c>
    </row>
    <row r="61" customFormat="false" ht="15" hidden="false" customHeight="false" outlineLevel="0" collapsed="false">
      <c r="A61" s="6" t="s">
        <v>9028</v>
      </c>
      <c r="B61" s="6" t="s">
        <v>128</v>
      </c>
      <c r="C61" s="6" t="s">
        <v>114</v>
      </c>
      <c r="D61" s="6" t="s">
        <v>22</v>
      </c>
      <c r="E61" s="6" t="n">
        <f aca="false">ROUND(9530*1.05,2)</f>
        <v>10006.5</v>
      </c>
      <c r="F61" s="6" t="s">
        <v>52</v>
      </c>
      <c r="G61" s="6" t="s">
        <v>24</v>
      </c>
      <c r="H61" s="6" t="n">
        <f aca="true">ROUND(RAND()*4+6,1)</f>
        <v>9.9</v>
      </c>
      <c r="I61" s="6" t="s">
        <v>25</v>
      </c>
      <c r="J61" s="6" t="str">
        <f aca="false">ROUND(70*1,0)&amp;"%"</f>
        <v>70%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9029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9030</v>
      </c>
      <c r="B66" s="5" t="s">
        <v>132</v>
      </c>
      <c r="C66" s="5" t="s">
        <v>133</v>
      </c>
      <c r="D66" s="5" t="s">
        <v>16</v>
      </c>
      <c r="E66" s="5" t="n">
        <f aca="false">ROUND(9571*1.05,2)</f>
        <v>10049.55</v>
      </c>
      <c r="F66" s="5" t="s">
        <v>17</v>
      </c>
      <c r="G66" s="5" t="s">
        <v>18</v>
      </c>
      <c r="H66" s="5" t="n">
        <f aca="true">ROUND(RAND()*4+6,1)</f>
        <v>9.7</v>
      </c>
      <c r="I66" s="5" t="s">
        <v>19</v>
      </c>
      <c r="J66" s="5" t="str">
        <f aca="false">ROUND(82*1,0)&amp;"%"</f>
        <v>82%</v>
      </c>
    </row>
    <row r="67" customFormat="false" ht="15" hidden="false" customHeight="false" outlineLevel="0" collapsed="false">
      <c r="A67" s="6" t="s">
        <v>9031</v>
      </c>
      <c r="B67" s="6" t="s">
        <v>135</v>
      </c>
      <c r="C67" s="6" t="s">
        <v>133</v>
      </c>
      <c r="D67" s="6" t="s">
        <v>22</v>
      </c>
      <c r="E67" s="6" t="n">
        <f aca="false">ROUND(7044*1.05,2)</f>
        <v>7396.2</v>
      </c>
      <c r="F67" s="6" t="s">
        <v>23</v>
      </c>
      <c r="G67" s="6" t="s">
        <v>24</v>
      </c>
      <c r="H67" s="6" t="n">
        <f aca="true">ROUND(RAND()*4+6,1)</f>
        <v>7.6</v>
      </c>
      <c r="I67" s="6" t="s">
        <v>25</v>
      </c>
      <c r="J67" s="6" t="str">
        <f aca="false">ROUND(62*1,0)&amp;"%"</f>
        <v>62%</v>
      </c>
    </row>
    <row r="68" customFormat="false" ht="15" hidden="false" customHeight="false" outlineLevel="0" collapsed="false">
      <c r="A68" s="5" t="s">
        <v>9032</v>
      </c>
      <c r="B68" s="5" t="s">
        <v>137</v>
      </c>
      <c r="C68" s="5" t="s">
        <v>133</v>
      </c>
      <c r="D68" s="5" t="s">
        <v>28</v>
      </c>
      <c r="E68" s="5" t="n">
        <f aca="false">ROUND(12014*1.05,2)</f>
        <v>12614.7</v>
      </c>
      <c r="F68" s="5" t="s">
        <v>29</v>
      </c>
      <c r="G68" s="5" t="s">
        <v>30</v>
      </c>
      <c r="H68" s="5" t="n">
        <f aca="true">ROUND(RAND()*4+6,1)</f>
        <v>7.6</v>
      </c>
      <c r="I68" s="5" t="s">
        <v>31</v>
      </c>
      <c r="J68" s="5" t="str">
        <f aca="false">ROUND(61*1,0)&amp;"%"</f>
        <v>61%</v>
      </c>
    </row>
    <row r="69" customFormat="false" ht="15" hidden="false" customHeight="false" outlineLevel="0" collapsed="false">
      <c r="A69" s="6" t="s">
        <v>9033</v>
      </c>
      <c r="B69" s="6" t="s">
        <v>139</v>
      </c>
      <c r="C69" s="6" t="s">
        <v>133</v>
      </c>
      <c r="D69" s="6" t="s">
        <v>34</v>
      </c>
      <c r="E69" s="6" t="n">
        <f aca="false">ROUND(5903*1.05,2)</f>
        <v>6198.15</v>
      </c>
      <c r="F69" s="6" t="s">
        <v>35</v>
      </c>
      <c r="G69" s="6" t="s">
        <v>18</v>
      </c>
      <c r="H69" s="6" t="n">
        <f aca="true">ROUND(RAND()*4+6,1)</f>
        <v>9.9</v>
      </c>
      <c r="I69" s="6" t="s">
        <v>36</v>
      </c>
      <c r="J69" s="6" t="str">
        <f aca="false">ROUND(89*1,0)&amp;"%"</f>
        <v>89%</v>
      </c>
    </row>
    <row r="70" customFormat="false" ht="15" hidden="false" customHeight="false" outlineLevel="0" collapsed="false">
      <c r="A70" s="5" t="s">
        <v>9034</v>
      </c>
      <c r="B70" s="5" t="s">
        <v>141</v>
      </c>
      <c r="C70" s="5" t="s">
        <v>133</v>
      </c>
      <c r="D70" s="5" t="s">
        <v>39</v>
      </c>
      <c r="E70" s="5" t="n">
        <f aca="false">ROUND(16408*1.05,2)</f>
        <v>17228.4</v>
      </c>
      <c r="F70" s="5" t="s">
        <v>40</v>
      </c>
      <c r="G70" s="5" t="s">
        <v>24</v>
      </c>
      <c r="H70" s="5" t="n">
        <f aca="true">ROUND(RAND()*4+6,1)</f>
        <v>8.9</v>
      </c>
      <c r="I70" s="5" t="s">
        <v>41</v>
      </c>
      <c r="J70" s="5" t="str">
        <f aca="false">ROUND(93*1,0)&amp;"%"</f>
        <v>93%</v>
      </c>
    </row>
    <row r="71" customFormat="false" ht="15" hidden="false" customHeight="false" outlineLevel="0" collapsed="false">
      <c r="A71" s="6" t="s">
        <v>9035</v>
      </c>
      <c r="B71" s="6" t="s">
        <v>143</v>
      </c>
      <c r="C71" s="6" t="s">
        <v>133</v>
      </c>
      <c r="D71" s="6" t="s">
        <v>44</v>
      </c>
      <c r="E71" s="6" t="n">
        <f aca="false">ROUND(7515*1.05,2)</f>
        <v>7890.75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ROUND(91*1,0)&amp;"%"</f>
        <v>91%</v>
      </c>
    </row>
    <row r="72" customFormat="false" ht="15" hidden="false" customHeight="false" outlineLevel="0" collapsed="false">
      <c r="A72" s="5" t="s">
        <v>9036</v>
      </c>
      <c r="B72" s="5" t="s">
        <v>145</v>
      </c>
      <c r="C72" s="5" t="s">
        <v>133</v>
      </c>
      <c r="D72" s="5" t="s">
        <v>16</v>
      </c>
      <c r="E72" s="5" t="n">
        <f aca="false">ROUND(12998*1.05,2)</f>
        <v>13647.9</v>
      </c>
      <c r="F72" s="5" t="s">
        <v>49</v>
      </c>
      <c r="G72" s="5" t="s">
        <v>18</v>
      </c>
      <c r="H72" s="5" t="n">
        <f aca="true">ROUND(RAND()*4+6,1)</f>
        <v>7.7</v>
      </c>
      <c r="I72" s="5" t="s">
        <v>19</v>
      </c>
      <c r="J72" s="5" t="str">
        <f aca="false">ROUND(83*1,0)&amp;"%"</f>
        <v>83%</v>
      </c>
    </row>
    <row r="73" customFormat="false" ht="15" hidden="false" customHeight="false" outlineLevel="0" collapsed="false">
      <c r="A73" s="6" t="s">
        <v>9037</v>
      </c>
      <c r="B73" s="6" t="s">
        <v>147</v>
      </c>
      <c r="C73" s="6" t="s">
        <v>133</v>
      </c>
      <c r="D73" s="6" t="s">
        <v>22</v>
      </c>
      <c r="E73" s="6" t="n">
        <f aca="false">ROUND(14791*1.05,2)</f>
        <v>15530.55</v>
      </c>
      <c r="F73" s="6" t="s">
        <v>52</v>
      </c>
      <c r="G73" s="6" t="s">
        <v>24</v>
      </c>
      <c r="H73" s="6" t="n">
        <f aca="true">ROUND(RAND()*4+6,1)</f>
        <v>7.9</v>
      </c>
      <c r="I73" s="6" t="s">
        <v>25</v>
      </c>
      <c r="J73" s="6" t="str">
        <f aca="false">ROUND(70*1,0)&amp;"%"</f>
        <v>70%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9038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9039</v>
      </c>
      <c r="B78" s="5" t="s">
        <v>151</v>
      </c>
      <c r="C78" s="5" t="s">
        <v>152</v>
      </c>
      <c r="D78" s="5" t="s">
        <v>16</v>
      </c>
      <c r="E78" s="5" t="n">
        <f aca="false">ROUND(17061*1.05,2)</f>
        <v>17914.05</v>
      </c>
      <c r="F78" s="5" t="s">
        <v>17</v>
      </c>
      <c r="G78" s="5" t="s">
        <v>18</v>
      </c>
      <c r="H78" s="5" t="n">
        <f aca="true">ROUND(RAND()*4+6,1)</f>
        <v>9.3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9040</v>
      </c>
      <c r="B79" s="6" t="s">
        <v>154</v>
      </c>
      <c r="C79" s="6" t="s">
        <v>152</v>
      </c>
      <c r="D79" s="6" t="s">
        <v>22</v>
      </c>
      <c r="E79" s="6" t="n">
        <f aca="false">ROUND(8831*1.05,2)</f>
        <v>9272.55</v>
      </c>
      <c r="F79" s="6" t="s">
        <v>23</v>
      </c>
      <c r="G79" s="6" t="s">
        <v>24</v>
      </c>
      <c r="H79" s="6" t="n">
        <f aca="true">ROUND(RAND()*4+6,1)</f>
        <v>7.3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9041</v>
      </c>
      <c r="B80" s="5" t="s">
        <v>156</v>
      </c>
      <c r="C80" s="5" t="s">
        <v>152</v>
      </c>
      <c r="D80" s="5" t="s">
        <v>28</v>
      </c>
      <c r="E80" s="5" t="n">
        <f aca="false">ROUND(16835*1.05,2)</f>
        <v>17676.75</v>
      </c>
      <c r="F80" s="5" t="s">
        <v>29</v>
      </c>
      <c r="G80" s="5" t="s">
        <v>30</v>
      </c>
      <c r="H80" s="5" t="n">
        <f aca="true">ROUND(RAND()*4+6,1)</f>
        <v>6.6</v>
      </c>
      <c r="I80" s="5" t="s">
        <v>31</v>
      </c>
      <c r="J80" s="5" t="str">
        <f aca="false">ROUND(75*1,0)&amp;"%"</f>
        <v>75%</v>
      </c>
    </row>
    <row r="81" customFormat="false" ht="15" hidden="false" customHeight="false" outlineLevel="0" collapsed="false">
      <c r="A81" s="6" t="s">
        <v>9042</v>
      </c>
      <c r="B81" s="6" t="s">
        <v>158</v>
      </c>
      <c r="C81" s="6" t="s">
        <v>152</v>
      </c>
      <c r="D81" s="6" t="s">
        <v>34</v>
      </c>
      <c r="E81" s="6" t="n">
        <f aca="false">ROUND(13656*1.05,2)</f>
        <v>14338.8</v>
      </c>
      <c r="F81" s="6" t="s">
        <v>35</v>
      </c>
      <c r="G81" s="6" t="s">
        <v>18</v>
      </c>
      <c r="H81" s="6" t="n">
        <f aca="true">ROUND(RAND()*4+6,1)</f>
        <v>7</v>
      </c>
      <c r="I81" s="6" t="s">
        <v>36</v>
      </c>
      <c r="J81" s="6" t="str">
        <f aca="false">ROUND(74*1,0)&amp;"%"</f>
        <v>74%</v>
      </c>
    </row>
    <row r="82" customFormat="false" ht="15" hidden="false" customHeight="false" outlineLevel="0" collapsed="false">
      <c r="A82" s="5" t="s">
        <v>9043</v>
      </c>
      <c r="B82" s="5" t="s">
        <v>160</v>
      </c>
      <c r="C82" s="5" t="s">
        <v>152</v>
      </c>
      <c r="D82" s="5" t="s">
        <v>39</v>
      </c>
      <c r="E82" s="5" t="n">
        <f aca="false">ROUND(16455*1.05,2)</f>
        <v>17277.75</v>
      </c>
      <c r="F82" s="5" t="s">
        <v>40</v>
      </c>
      <c r="G82" s="5" t="s">
        <v>24</v>
      </c>
      <c r="H82" s="5" t="n">
        <f aca="true">ROUND(RAND()*4+6,1)</f>
        <v>9</v>
      </c>
      <c r="I82" s="5" t="s">
        <v>41</v>
      </c>
      <c r="J82" s="5" t="str">
        <f aca="false">ROUND(63*1,0)&amp;"%"</f>
        <v>63%</v>
      </c>
    </row>
    <row r="83" customFormat="false" ht="15" hidden="false" customHeight="false" outlineLevel="0" collapsed="false">
      <c r="A83" s="6" t="s">
        <v>9044</v>
      </c>
      <c r="B83" s="6" t="s">
        <v>162</v>
      </c>
      <c r="C83" s="6" t="s">
        <v>152</v>
      </c>
      <c r="D83" s="6" t="s">
        <v>44</v>
      </c>
      <c r="E83" s="6" t="n">
        <f aca="false">ROUND(17145*1.05,2)</f>
        <v>18002.25</v>
      </c>
      <c r="F83" s="6" t="s">
        <v>45</v>
      </c>
      <c r="G83" s="6" t="s">
        <v>30</v>
      </c>
      <c r="H83" s="6" t="n">
        <f aca="true">ROUND(RAND()*4+6,1)</f>
        <v>8.1</v>
      </c>
      <c r="I83" s="6" t="s">
        <v>46</v>
      </c>
      <c r="J83" s="6" t="str">
        <f aca="false">ROUND(87*1,0)&amp;"%"</f>
        <v>87%</v>
      </c>
    </row>
    <row r="84" customFormat="false" ht="15" hidden="false" customHeight="false" outlineLevel="0" collapsed="false">
      <c r="A84" s="5" t="s">
        <v>9045</v>
      </c>
      <c r="B84" s="5" t="s">
        <v>164</v>
      </c>
      <c r="C84" s="5" t="s">
        <v>152</v>
      </c>
      <c r="D84" s="5" t="s">
        <v>16</v>
      </c>
      <c r="E84" s="5" t="n">
        <f aca="false">ROUND(14269*1.05,2)</f>
        <v>14982.45</v>
      </c>
      <c r="F84" s="5" t="s">
        <v>49</v>
      </c>
      <c r="G84" s="5" t="s">
        <v>18</v>
      </c>
      <c r="H84" s="5" t="n">
        <f aca="true">ROUND(RAND()*4+6,1)</f>
        <v>7.9</v>
      </c>
      <c r="I84" s="5" t="s">
        <v>19</v>
      </c>
      <c r="J84" s="5" t="str">
        <f aca="false">ROUND(97*1,0)&amp;"%"</f>
        <v>97%</v>
      </c>
    </row>
    <row r="85" customFormat="false" ht="15" hidden="false" customHeight="false" outlineLevel="0" collapsed="false">
      <c r="A85" s="6" t="s">
        <v>9046</v>
      </c>
      <c r="B85" s="6" t="s">
        <v>166</v>
      </c>
      <c r="C85" s="6" t="s">
        <v>152</v>
      </c>
      <c r="D85" s="6" t="s">
        <v>22</v>
      </c>
      <c r="E85" s="6" t="n">
        <f aca="false">ROUND(7185*1.05,2)</f>
        <v>7544.25</v>
      </c>
      <c r="F85" s="6" t="s">
        <v>52</v>
      </c>
      <c r="G85" s="6" t="s">
        <v>24</v>
      </c>
      <c r="H85" s="6" t="n">
        <f aca="true">ROUND(RAND()*4+6,1)</f>
        <v>6.4</v>
      </c>
      <c r="I85" s="6" t="s">
        <v>25</v>
      </c>
      <c r="J85" s="6" t="str">
        <f aca="false">ROUND(93*1,0)&amp;"%"</f>
        <v>93%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9047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9048</v>
      </c>
      <c r="B90" s="5" t="s">
        <v>170</v>
      </c>
      <c r="C90" s="5" t="s">
        <v>15</v>
      </c>
      <c r="D90" s="5" t="s">
        <v>16</v>
      </c>
      <c r="E90" s="5" t="n">
        <f aca="false">ROUND(9841*1.05,2)</f>
        <v>10333.05</v>
      </c>
      <c r="F90" s="5" t="s">
        <v>17</v>
      </c>
      <c r="G90" s="5" t="s">
        <v>18</v>
      </c>
      <c r="H90" s="5" t="n">
        <f aca="true">ROUND(RAND()*4+6,1)</f>
        <v>9.6</v>
      </c>
      <c r="I90" s="5" t="s">
        <v>19</v>
      </c>
      <c r="J90" s="5" t="str">
        <f aca="false">ROUND(77*1,0)&amp;"%"</f>
        <v>77%</v>
      </c>
    </row>
    <row r="91" customFormat="false" ht="15" hidden="false" customHeight="false" outlineLevel="0" collapsed="false">
      <c r="A91" s="6" t="s">
        <v>9049</v>
      </c>
      <c r="B91" s="6" t="s">
        <v>172</v>
      </c>
      <c r="C91" s="6" t="s">
        <v>15</v>
      </c>
      <c r="D91" s="6" t="s">
        <v>22</v>
      </c>
      <c r="E91" s="6" t="n">
        <f aca="false">ROUND(7929*1.05,2)</f>
        <v>8325.45</v>
      </c>
      <c r="F91" s="6" t="s">
        <v>23</v>
      </c>
      <c r="G91" s="6" t="s">
        <v>24</v>
      </c>
      <c r="H91" s="6" t="n">
        <f aca="true">ROUND(RAND()*4+6,1)</f>
        <v>6.2</v>
      </c>
      <c r="I91" s="6" t="s">
        <v>25</v>
      </c>
      <c r="J91" s="6" t="str">
        <f aca="false">ROUND(61*1,0)&amp;"%"</f>
        <v>61%</v>
      </c>
    </row>
    <row r="92" customFormat="false" ht="15" hidden="false" customHeight="false" outlineLevel="0" collapsed="false">
      <c r="A92" s="5" t="s">
        <v>9050</v>
      </c>
      <c r="B92" s="5" t="s">
        <v>174</v>
      </c>
      <c r="C92" s="5" t="s">
        <v>15</v>
      </c>
      <c r="D92" s="5" t="s">
        <v>28</v>
      </c>
      <c r="E92" s="5" t="n">
        <f aca="false">ROUND(15063*1.05,2)</f>
        <v>15816.15</v>
      </c>
      <c r="F92" s="5" t="s">
        <v>29</v>
      </c>
      <c r="G92" s="5" t="s">
        <v>30</v>
      </c>
      <c r="H92" s="5" t="n">
        <f aca="true">ROUND(RAND()*4+6,1)</f>
        <v>8.1</v>
      </c>
      <c r="I92" s="5" t="s">
        <v>31</v>
      </c>
      <c r="J92" s="5" t="str">
        <f aca="false">ROUND(82*1,0)&amp;"%"</f>
        <v>82%</v>
      </c>
    </row>
    <row r="93" customFormat="false" ht="15" hidden="false" customHeight="false" outlineLevel="0" collapsed="false">
      <c r="A93" s="6" t="s">
        <v>9051</v>
      </c>
      <c r="B93" s="6" t="s">
        <v>176</v>
      </c>
      <c r="C93" s="6" t="s">
        <v>15</v>
      </c>
      <c r="D93" s="6" t="s">
        <v>34</v>
      </c>
      <c r="E93" s="6" t="n">
        <f aca="false">ROUND(15505*1.05,2)</f>
        <v>16280.25</v>
      </c>
      <c r="F93" s="6" t="s">
        <v>35</v>
      </c>
      <c r="G93" s="6" t="s">
        <v>18</v>
      </c>
      <c r="H93" s="6" t="n">
        <f aca="true">ROUND(RAND()*4+6,1)</f>
        <v>9.4</v>
      </c>
      <c r="I93" s="6" t="s">
        <v>36</v>
      </c>
      <c r="J93" s="6" t="str">
        <f aca="false">ROUND(72*1,0)&amp;"%"</f>
        <v>72%</v>
      </c>
    </row>
    <row r="94" customFormat="false" ht="15" hidden="false" customHeight="false" outlineLevel="0" collapsed="false">
      <c r="A94" s="5" t="s">
        <v>9052</v>
      </c>
      <c r="B94" s="5" t="s">
        <v>178</v>
      </c>
      <c r="C94" s="5" t="s">
        <v>15</v>
      </c>
      <c r="D94" s="5" t="s">
        <v>39</v>
      </c>
      <c r="E94" s="5" t="n">
        <f aca="false">ROUND(4274*1.05,2)</f>
        <v>4487.7</v>
      </c>
      <c r="F94" s="5" t="s">
        <v>40</v>
      </c>
      <c r="G94" s="5" t="s">
        <v>24</v>
      </c>
      <c r="H94" s="5" t="n">
        <f aca="true">ROUND(RAND()*4+6,1)</f>
        <v>6.8</v>
      </c>
      <c r="I94" s="5" t="s">
        <v>41</v>
      </c>
      <c r="J94" s="5" t="str">
        <f aca="false">ROUND(70*1,0)&amp;"%"</f>
        <v>70%</v>
      </c>
    </row>
    <row r="95" customFormat="false" ht="15" hidden="false" customHeight="false" outlineLevel="0" collapsed="false">
      <c r="A95" s="6" t="s">
        <v>9053</v>
      </c>
      <c r="B95" s="6" t="s">
        <v>180</v>
      </c>
      <c r="C95" s="6" t="s">
        <v>15</v>
      </c>
      <c r="D95" s="6" t="s">
        <v>44</v>
      </c>
      <c r="E95" s="6" t="n">
        <f aca="false">ROUND(17429*1.05,2)</f>
        <v>18300.45</v>
      </c>
      <c r="F95" s="6" t="s">
        <v>45</v>
      </c>
      <c r="G95" s="6" t="s">
        <v>30</v>
      </c>
      <c r="H95" s="6" t="n">
        <f aca="true">ROUND(RAND()*4+6,1)</f>
        <v>9.5</v>
      </c>
      <c r="I95" s="6" t="s">
        <v>46</v>
      </c>
      <c r="J95" s="6" t="str">
        <f aca="false">ROUND(88*1,0)&amp;"%"</f>
        <v>88%</v>
      </c>
    </row>
    <row r="96" customFormat="false" ht="15" hidden="false" customHeight="false" outlineLevel="0" collapsed="false">
      <c r="A96" s="5" t="s">
        <v>9054</v>
      </c>
      <c r="B96" s="5" t="s">
        <v>182</v>
      </c>
      <c r="C96" s="5" t="s">
        <v>15</v>
      </c>
      <c r="D96" s="5" t="s">
        <v>16</v>
      </c>
      <c r="E96" s="5" t="n">
        <f aca="false">ROUND(16900*1.05,2)</f>
        <v>17745</v>
      </c>
      <c r="F96" s="5" t="s">
        <v>49</v>
      </c>
      <c r="G96" s="5" t="s">
        <v>18</v>
      </c>
      <c r="H96" s="5" t="n">
        <f aca="true">ROUND(RAND()*4+6,1)</f>
        <v>8.1</v>
      </c>
      <c r="I96" s="5" t="s">
        <v>19</v>
      </c>
      <c r="J96" s="5" t="str">
        <f aca="false">ROUND(90*1,0)&amp;"%"</f>
        <v>90%</v>
      </c>
    </row>
    <row r="97" customFormat="false" ht="15" hidden="false" customHeight="false" outlineLevel="0" collapsed="false">
      <c r="A97" s="6" t="s">
        <v>9055</v>
      </c>
      <c r="B97" s="6" t="s">
        <v>184</v>
      </c>
      <c r="C97" s="6" t="s">
        <v>15</v>
      </c>
      <c r="D97" s="6" t="s">
        <v>22</v>
      </c>
      <c r="E97" s="6" t="n">
        <f aca="false">ROUND(7032*1.05,2)</f>
        <v>7383.6</v>
      </c>
      <c r="F97" s="6" t="s">
        <v>52</v>
      </c>
      <c r="G97" s="6" t="s">
        <v>24</v>
      </c>
      <c r="H97" s="6" t="n">
        <f aca="true">ROUND(RAND()*4+6,1)</f>
        <v>8</v>
      </c>
      <c r="I97" s="6" t="s">
        <v>25</v>
      </c>
      <c r="J97" s="6" t="str">
        <f aca="false">ROUND(86*1,0)&amp;"%"</f>
        <v>86%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9056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9057</v>
      </c>
      <c r="B102" s="5" t="s">
        <v>188</v>
      </c>
      <c r="C102" s="5" t="s">
        <v>57</v>
      </c>
      <c r="D102" s="5" t="s">
        <v>16</v>
      </c>
      <c r="E102" s="5" t="n">
        <f aca="false">ROUND(14560*1.05,2)</f>
        <v>15288</v>
      </c>
      <c r="F102" s="5" t="s">
        <v>17</v>
      </c>
      <c r="G102" s="5" t="s">
        <v>18</v>
      </c>
      <c r="H102" s="5" t="n">
        <f aca="true">ROUND(RAND()*4+6,1)</f>
        <v>6.6</v>
      </c>
      <c r="I102" s="5" t="s">
        <v>19</v>
      </c>
      <c r="J102" s="5" t="str">
        <f aca="false">ROUND(97*1,0)&amp;"%"</f>
        <v>97%</v>
      </c>
    </row>
    <row r="103" customFormat="false" ht="15" hidden="false" customHeight="false" outlineLevel="0" collapsed="false">
      <c r="A103" s="6" t="s">
        <v>9058</v>
      </c>
      <c r="B103" s="6" t="s">
        <v>190</v>
      </c>
      <c r="C103" s="6" t="s">
        <v>57</v>
      </c>
      <c r="D103" s="6" t="s">
        <v>22</v>
      </c>
      <c r="E103" s="6" t="n">
        <f aca="false">ROUND(5299*1.05,2)</f>
        <v>5563.95</v>
      </c>
      <c r="F103" s="6" t="s">
        <v>23</v>
      </c>
      <c r="G103" s="6" t="s">
        <v>24</v>
      </c>
      <c r="H103" s="6" t="n">
        <f aca="true">ROUND(RAND()*4+6,1)</f>
        <v>7</v>
      </c>
      <c r="I103" s="6" t="s">
        <v>25</v>
      </c>
      <c r="J103" s="6" t="str">
        <f aca="false">ROUND(73*1,0)&amp;"%"</f>
        <v>73%</v>
      </c>
    </row>
    <row r="104" customFormat="false" ht="15" hidden="false" customHeight="false" outlineLevel="0" collapsed="false">
      <c r="A104" s="5" t="s">
        <v>9059</v>
      </c>
      <c r="B104" s="5" t="s">
        <v>192</v>
      </c>
      <c r="C104" s="5" t="s">
        <v>57</v>
      </c>
      <c r="D104" s="5" t="s">
        <v>28</v>
      </c>
      <c r="E104" s="5" t="n">
        <f aca="false">ROUND(11609*1.05,2)</f>
        <v>12189.45</v>
      </c>
      <c r="F104" s="5" t="s">
        <v>29</v>
      </c>
      <c r="G104" s="5" t="s">
        <v>30</v>
      </c>
      <c r="H104" s="5" t="n">
        <f aca="true">ROUND(RAND()*4+6,1)</f>
        <v>9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9060</v>
      </c>
      <c r="B105" s="6" t="s">
        <v>194</v>
      </c>
      <c r="C105" s="6" t="s">
        <v>57</v>
      </c>
      <c r="D105" s="6" t="s">
        <v>34</v>
      </c>
      <c r="E105" s="6" t="n">
        <f aca="false">ROUND(17020*1.05,2)</f>
        <v>17871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ROUND(85*1,0)&amp;"%"</f>
        <v>85%</v>
      </c>
    </row>
    <row r="106" customFormat="false" ht="15" hidden="false" customHeight="false" outlineLevel="0" collapsed="false">
      <c r="A106" s="5" t="s">
        <v>9061</v>
      </c>
      <c r="B106" s="5" t="s">
        <v>196</v>
      </c>
      <c r="C106" s="5" t="s">
        <v>57</v>
      </c>
      <c r="D106" s="5" t="s">
        <v>39</v>
      </c>
      <c r="E106" s="5" t="n">
        <f aca="false">ROUND(6173*1.05,2)</f>
        <v>6481.65</v>
      </c>
      <c r="F106" s="5" t="s">
        <v>40</v>
      </c>
      <c r="G106" s="5" t="s">
        <v>24</v>
      </c>
      <c r="H106" s="5" t="n">
        <f aca="true">ROUND(RAND()*4+6,1)</f>
        <v>6.6</v>
      </c>
      <c r="I106" s="5" t="s">
        <v>41</v>
      </c>
      <c r="J106" s="5" t="str">
        <f aca="false">ROUND(67*1,0)&amp;"%"</f>
        <v>67%</v>
      </c>
    </row>
    <row r="107" customFormat="false" ht="15" hidden="false" customHeight="false" outlineLevel="0" collapsed="false">
      <c r="A107" s="6" t="s">
        <v>9062</v>
      </c>
      <c r="B107" s="6" t="s">
        <v>198</v>
      </c>
      <c r="C107" s="6" t="s">
        <v>57</v>
      </c>
      <c r="D107" s="6" t="s">
        <v>44</v>
      </c>
      <c r="E107" s="6" t="n">
        <f aca="false">ROUND(16725*1.05,2)</f>
        <v>17561.25</v>
      </c>
      <c r="F107" s="6" t="s">
        <v>45</v>
      </c>
      <c r="G107" s="6" t="s">
        <v>30</v>
      </c>
      <c r="H107" s="6" t="n">
        <f aca="true">ROUND(RAND()*4+6,1)</f>
        <v>8.7</v>
      </c>
      <c r="I107" s="6" t="s">
        <v>46</v>
      </c>
      <c r="J107" s="6" t="str">
        <f aca="false">ROUND(81*1,0)&amp;"%"</f>
        <v>81%</v>
      </c>
    </row>
    <row r="108" customFormat="false" ht="15" hidden="false" customHeight="false" outlineLevel="0" collapsed="false">
      <c r="A108" s="5" t="s">
        <v>9063</v>
      </c>
      <c r="B108" s="5" t="s">
        <v>200</v>
      </c>
      <c r="C108" s="5" t="s">
        <v>57</v>
      </c>
      <c r="D108" s="5" t="s">
        <v>16</v>
      </c>
      <c r="E108" s="5" t="n">
        <f aca="false">ROUND(6884*1.05,2)</f>
        <v>7228.2</v>
      </c>
      <c r="F108" s="5" t="s">
        <v>49</v>
      </c>
      <c r="G108" s="5" t="s">
        <v>18</v>
      </c>
      <c r="H108" s="5" t="n">
        <f aca="true">ROUND(RAND()*4+6,1)</f>
        <v>7.7</v>
      </c>
      <c r="I108" s="5" t="s">
        <v>19</v>
      </c>
      <c r="J108" s="5" t="str">
        <f aca="false">ROUND(82*1,0)&amp;"%"</f>
        <v>82%</v>
      </c>
    </row>
    <row r="109" customFormat="false" ht="15" hidden="false" customHeight="false" outlineLevel="0" collapsed="false">
      <c r="A109" s="6" t="s">
        <v>9064</v>
      </c>
      <c r="B109" s="6" t="s">
        <v>202</v>
      </c>
      <c r="C109" s="6" t="s">
        <v>57</v>
      </c>
      <c r="D109" s="6" t="s">
        <v>22</v>
      </c>
      <c r="E109" s="6" t="n">
        <f aca="false">ROUND(8943*1.05,2)</f>
        <v>9390.15</v>
      </c>
      <c r="F109" s="6" t="s">
        <v>52</v>
      </c>
      <c r="G109" s="6" t="s">
        <v>24</v>
      </c>
      <c r="H109" s="6" t="n">
        <f aca="true">ROUND(RAND()*4+6,1)</f>
        <v>9.9</v>
      </c>
      <c r="I109" s="6" t="s">
        <v>25</v>
      </c>
      <c r="J109" s="6" t="str">
        <f aca="false">ROUND(87*1,0)&amp;"%"</f>
        <v>87%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9065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9066</v>
      </c>
      <c r="B114" s="5" t="s">
        <v>206</v>
      </c>
      <c r="C114" s="5" t="s">
        <v>76</v>
      </c>
      <c r="D114" s="5" t="s">
        <v>16</v>
      </c>
      <c r="E114" s="5" t="n">
        <f aca="false">ROUND(7271*1.05,2)</f>
        <v>7634.55</v>
      </c>
      <c r="F114" s="5" t="s">
        <v>17</v>
      </c>
      <c r="G114" s="5" t="s">
        <v>18</v>
      </c>
      <c r="H114" s="5" t="n">
        <f aca="true">ROUND(RAND()*4+6,1)</f>
        <v>8.7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9067</v>
      </c>
      <c r="B115" s="6" t="s">
        <v>208</v>
      </c>
      <c r="C115" s="6" t="s">
        <v>76</v>
      </c>
      <c r="D115" s="6" t="s">
        <v>22</v>
      </c>
      <c r="E115" s="6" t="n">
        <f aca="false">ROUND(9466*1.05,2)</f>
        <v>9939.3</v>
      </c>
      <c r="F115" s="6" t="s">
        <v>23</v>
      </c>
      <c r="G115" s="6" t="s">
        <v>24</v>
      </c>
      <c r="H115" s="6" t="n">
        <f aca="true">ROUND(RAND()*4+6,1)</f>
        <v>7.5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9068</v>
      </c>
      <c r="B116" s="5" t="s">
        <v>210</v>
      </c>
      <c r="C116" s="5" t="s">
        <v>76</v>
      </c>
      <c r="D116" s="5" t="s">
        <v>28</v>
      </c>
      <c r="E116" s="5" t="n">
        <f aca="false">ROUND(17202*1.05,2)</f>
        <v>18062.1</v>
      </c>
      <c r="F116" s="5" t="s">
        <v>29</v>
      </c>
      <c r="G116" s="5" t="s">
        <v>30</v>
      </c>
      <c r="H116" s="5" t="n">
        <f aca="true">ROUND(RAND()*4+6,1)</f>
        <v>9</v>
      </c>
      <c r="I116" s="5" t="s">
        <v>31</v>
      </c>
      <c r="J116" s="5" t="str">
        <f aca="false">ROUND(79*1,0)&amp;"%"</f>
        <v>79%</v>
      </c>
    </row>
    <row r="117" customFormat="false" ht="15" hidden="false" customHeight="false" outlineLevel="0" collapsed="false">
      <c r="A117" s="6" t="s">
        <v>9069</v>
      </c>
      <c r="B117" s="6" t="s">
        <v>212</v>
      </c>
      <c r="C117" s="6" t="s">
        <v>76</v>
      </c>
      <c r="D117" s="6" t="s">
        <v>34</v>
      </c>
      <c r="E117" s="6" t="n">
        <f aca="false">ROUND(4749*1.05,2)</f>
        <v>4986.45</v>
      </c>
      <c r="F117" s="6" t="s">
        <v>35</v>
      </c>
      <c r="G117" s="6" t="s">
        <v>18</v>
      </c>
      <c r="H117" s="6" t="n">
        <f aca="true">ROUND(RAND()*4+6,1)</f>
        <v>9.6</v>
      </c>
      <c r="I117" s="6" t="s">
        <v>36</v>
      </c>
      <c r="J117" s="6" t="str">
        <f aca="false">ROUND(63*1,0)&amp;"%"</f>
        <v>63%</v>
      </c>
    </row>
    <row r="118" customFormat="false" ht="15" hidden="false" customHeight="false" outlineLevel="0" collapsed="false">
      <c r="A118" s="5" t="s">
        <v>9070</v>
      </c>
      <c r="B118" s="5" t="s">
        <v>214</v>
      </c>
      <c r="C118" s="5" t="s">
        <v>76</v>
      </c>
      <c r="D118" s="5" t="s">
        <v>39</v>
      </c>
      <c r="E118" s="5" t="n">
        <f aca="false">ROUND(14227*1.05,2)</f>
        <v>14938.35</v>
      </c>
      <c r="F118" s="5" t="s">
        <v>40</v>
      </c>
      <c r="G118" s="5" t="s">
        <v>24</v>
      </c>
      <c r="H118" s="5" t="n">
        <f aca="true">ROUND(RAND()*4+6,1)</f>
        <v>9</v>
      </c>
      <c r="I118" s="5" t="s">
        <v>41</v>
      </c>
      <c r="J118" s="5" t="str">
        <f aca="false">ROUND(74*1,0)&amp;"%"</f>
        <v>74%</v>
      </c>
    </row>
    <row r="119" customFormat="false" ht="15" hidden="false" customHeight="false" outlineLevel="0" collapsed="false">
      <c r="A119" s="6" t="s">
        <v>9071</v>
      </c>
      <c r="B119" s="6" t="s">
        <v>216</v>
      </c>
      <c r="C119" s="6" t="s">
        <v>76</v>
      </c>
      <c r="D119" s="6" t="s">
        <v>44</v>
      </c>
      <c r="E119" s="6" t="n">
        <f aca="false">ROUND(15754*1.05,2)</f>
        <v>16541.7</v>
      </c>
      <c r="F119" s="6" t="s">
        <v>45</v>
      </c>
      <c r="G119" s="6" t="s">
        <v>30</v>
      </c>
      <c r="H119" s="6" t="n">
        <f aca="true">ROUND(RAND()*4+6,1)</f>
        <v>6.1</v>
      </c>
      <c r="I119" s="6" t="s">
        <v>46</v>
      </c>
      <c r="J119" s="6" t="str">
        <f aca="false">ROUND(71*1,0)&amp;"%"</f>
        <v>71%</v>
      </c>
    </row>
    <row r="120" customFormat="false" ht="15" hidden="false" customHeight="false" outlineLevel="0" collapsed="false">
      <c r="A120" s="5" t="s">
        <v>9072</v>
      </c>
      <c r="B120" s="5" t="s">
        <v>218</v>
      </c>
      <c r="C120" s="5" t="s">
        <v>76</v>
      </c>
      <c r="D120" s="5" t="s">
        <v>16</v>
      </c>
      <c r="E120" s="5" t="n">
        <f aca="false">ROUND(7878*1.05,2)</f>
        <v>8271.9</v>
      </c>
      <c r="F120" s="5" t="s">
        <v>49</v>
      </c>
      <c r="G120" s="5" t="s">
        <v>18</v>
      </c>
      <c r="H120" s="5" t="n">
        <f aca="true">ROUND(RAND()*4+6,1)</f>
        <v>8.1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9073</v>
      </c>
      <c r="B121" s="6" t="s">
        <v>220</v>
      </c>
      <c r="C121" s="6" t="s">
        <v>76</v>
      </c>
      <c r="D121" s="6" t="s">
        <v>22</v>
      </c>
      <c r="E121" s="6" t="n">
        <f aca="false">ROUND(17425*1.05,2)</f>
        <v>18296.25</v>
      </c>
      <c r="F121" s="6" t="s">
        <v>52</v>
      </c>
      <c r="G121" s="6" t="s">
        <v>24</v>
      </c>
      <c r="H121" s="6" t="n">
        <f aca="true">ROUND(RAND()*4+6,1)</f>
        <v>9.9</v>
      </c>
      <c r="I121" s="6" t="s">
        <v>25</v>
      </c>
      <c r="J121" s="6" t="str">
        <f aca="false">ROUND(92*1,0)&amp;"%"</f>
        <v>92%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9074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9075</v>
      </c>
      <c r="B126" s="5" t="s">
        <v>224</v>
      </c>
      <c r="C126" s="5" t="s">
        <v>95</v>
      </c>
      <c r="D126" s="5" t="s">
        <v>16</v>
      </c>
      <c r="E126" s="5" t="n">
        <f aca="false">ROUND(13594*1.05,2)</f>
        <v>14273.7</v>
      </c>
      <c r="F126" s="5" t="s">
        <v>17</v>
      </c>
      <c r="G126" s="5" t="s">
        <v>18</v>
      </c>
      <c r="H126" s="5" t="n">
        <f aca="true">ROUND(RAND()*4+6,1)</f>
        <v>8.5</v>
      </c>
      <c r="I126" s="5" t="s">
        <v>19</v>
      </c>
      <c r="J126" s="5" t="str">
        <f aca="false">ROUND(83*1,0)&amp;"%"</f>
        <v>83%</v>
      </c>
    </row>
    <row r="127" customFormat="false" ht="15" hidden="false" customHeight="false" outlineLevel="0" collapsed="false">
      <c r="A127" s="6" t="s">
        <v>9076</v>
      </c>
      <c r="B127" s="6" t="s">
        <v>226</v>
      </c>
      <c r="C127" s="6" t="s">
        <v>95</v>
      </c>
      <c r="D127" s="6" t="s">
        <v>22</v>
      </c>
      <c r="E127" s="6" t="n">
        <f aca="false">ROUND(15276*1.05,2)</f>
        <v>16039.8</v>
      </c>
      <c r="F127" s="6" t="s">
        <v>23</v>
      </c>
      <c r="G127" s="6" t="s">
        <v>24</v>
      </c>
      <c r="H127" s="6" t="n">
        <f aca="true">ROUND(RAND()*4+6,1)</f>
        <v>9</v>
      </c>
      <c r="I127" s="6" t="s">
        <v>25</v>
      </c>
      <c r="J127" s="6" t="str">
        <f aca="false">ROUND(62*1,0)&amp;"%"</f>
        <v>62%</v>
      </c>
    </row>
    <row r="128" customFormat="false" ht="15" hidden="false" customHeight="false" outlineLevel="0" collapsed="false">
      <c r="A128" s="5" t="s">
        <v>9077</v>
      </c>
      <c r="B128" s="5" t="s">
        <v>228</v>
      </c>
      <c r="C128" s="5" t="s">
        <v>95</v>
      </c>
      <c r="D128" s="5" t="s">
        <v>28</v>
      </c>
      <c r="E128" s="5" t="n">
        <f aca="false">ROUND(11905*1.05,2)</f>
        <v>12500.25</v>
      </c>
      <c r="F128" s="5" t="s">
        <v>29</v>
      </c>
      <c r="G128" s="5" t="s">
        <v>30</v>
      </c>
      <c r="H128" s="5" t="n">
        <f aca="true">ROUND(RAND()*4+6,1)</f>
        <v>8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9078</v>
      </c>
      <c r="B129" s="6" t="s">
        <v>230</v>
      </c>
      <c r="C129" s="6" t="s">
        <v>95</v>
      </c>
      <c r="D129" s="6" t="s">
        <v>34</v>
      </c>
      <c r="E129" s="6" t="n">
        <f aca="false">ROUND(12914*1.05,2)</f>
        <v>13559.7</v>
      </c>
      <c r="F129" s="6" t="s">
        <v>35</v>
      </c>
      <c r="G129" s="6" t="s">
        <v>18</v>
      </c>
      <c r="H129" s="6" t="n">
        <f aca="true">ROUND(RAND()*4+6,1)</f>
        <v>9</v>
      </c>
      <c r="I129" s="6" t="s">
        <v>36</v>
      </c>
      <c r="J129" s="6" t="str">
        <f aca="false">ROUND(91*1,0)&amp;"%"</f>
        <v>91%</v>
      </c>
    </row>
    <row r="130" customFormat="false" ht="15" hidden="false" customHeight="false" outlineLevel="0" collapsed="false">
      <c r="A130" s="5" t="s">
        <v>9079</v>
      </c>
      <c r="B130" s="5" t="s">
        <v>232</v>
      </c>
      <c r="C130" s="5" t="s">
        <v>95</v>
      </c>
      <c r="D130" s="5" t="s">
        <v>39</v>
      </c>
      <c r="E130" s="5" t="n">
        <f aca="false">ROUND(10184*1.05,2)</f>
        <v>10693.2</v>
      </c>
      <c r="F130" s="5" t="s">
        <v>40</v>
      </c>
      <c r="G130" s="5" t="s">
        <v>24</v>
      </c>
      <c r="H130" s="5" t="n">
        <f aca="true">ROUND(RAND()*4+6,1)</f>
        <v>8.9</v>
      </c>
      <c r="I130" s="5" t="s">
        <v>41</v>
      </c>
      <c r="J130" s="5" t="str">
        <f aca="false">ROUND(62*1,0)&amp;"%"</f>
        <v>62%</v>
      </c>
    </row>
    <row r="131" customFormat="false" ht="15" hidden="false" customHeight="false" outlineLevel="0" collapsed="false">
      <c r="A131" s="6" t="s">
        <v>9080</v>
      </c>
      <c r="B131" s="6" t="s">
        <v>234</v>
      </c>
      <c r="C131" s="6" t="s">
        <v>95</v>
      </c>
      <c r="D131" s="6" t="s">
        <v>44</v>
      </c>
      <c r="E131" s="6" t="n">
        <f aca="false">ROUND(7135*1.05,2)</f>
        <v>7491.75</v>
      </c>
      <c r="F131" s="6" t="s">
        <v>45</v>
      </c>
      <c r="G131" s="6" t="s">
        <v>30</v>
      </c>
      <c r="H131" s="6" t="n">
        <f aca="true">ROUND(RAND()*4+6,1)</f>
        <v>8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9081</v>
      </c>
      <c r="B132" s="5" t="s">
        <v>236</v>
      </c>
      <c r="C132" s="5" t="s">
        <v>95</v>
      </c>
      <c r="D132" s="5" t="s">
        <v>16</v>
      </c>
      <c r="E132" s="5" t="n">
        <f aca="false">ROUND(17100*1.05,2)</f>
        <v>17955</v>
      </c>
      <c r="F132" s="5" t="s">
        <v>49</v>
      </c>
      <c r="G132" s="5" t="s">
        <v>18</v>
      </c>
      <c r="H132" s="5" t="n">
        <f aca="true">ROUND(RAND()*4+6,1)</f>
        <v>7.7</v>
      </c>
      <c r="I132" s="5" t="s">
        <v>19</v>
      </c>
      <c r="J132" s="5" t="str">
        <f aca="false">ROUND(100*1,0)&amp;"%"</f>
        <v>100%</v>
      </c>
    </row>
    <row r="133" customFormat="false" ht="15" hidden="false" customHeight="false" outlineLevel="0" collapsed="false">
      <c r="A133" s="6" t="s">
        <v>9082</v>
      </c>
      <c r="B133" s="6" t="s">
        <v>238</v>
      </c>
      <c r="C133" s="6" t="s">
        <v>95</v>
      </c>
      <c r="D133" s="6" t="s">
        <v>22</v>
      </c>
      <c r="E133" s="6" t="n">
        <f aca="false">ROUND(13542*1.05,2)</f>
        <v>14219.1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ROUND(73*1,0)&amp;"%"</f>
        <v>73%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9083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9084</v>
      </c>
      <c r="B138" s="5" t="s">
        <v>242</v>
      </c>
      <c r="C138" s="5" t="s">
        <v>114</v>
      </c>
      <c r="D138" s="5" t="s">
        <v>16</v>
      </c>
      <c r="E138" s="5" t="n">
        <f aca="false">ROUND(9811*1.05,2)</f>
        <v>10301.55</v>
      </c>
      <c r="F138" s="5" t="s">
        <v>17</v>
      </c>
      <c r="G138" s="5" t="s">
        <v>18</v>
      </c>
      <c r="H138" s="5" t="n">
        <f aca="true">ROUND(RAND()*4+6,1)</f>
        <v>10</v>
      </c>
      <c r="I138" s="5" t="s">
        <v>19</v>
      </c>
      <c r="J138" s="5" t="str">
        <f aca="false">ROUND(60*1,0)&amp;"%"</f>
        <v>60%</v>
      </c>
    </row>
    <row r="139" customFormat="false" ht="15" hidden="false" customHeight="false" outlineLevel="0" collapsed="false">
      <c r="A139" s="6" t="s">
        <v>9085</v>
      </c>
      <c r="B139" s="6" t="s">
        <v>244</v>
      </c>
      <c r="C139" s="6" t="s">
        <v>114</v>
      </c>
      <c r="D139" s="6" t="s">
        <v>22</v>
      </c>
      <c r="E139" s="6" t="n">
        <f aca="false">ROUND(10222*1.05,2)</f>
        <v>10733.1</v>
      </c>
      <c r="F139" s="6" t="s">
        <v>23</v>
      </c>
      <c r="G139" s="6" t="s">
        <v>24</v>
      </c>
      <c r="H139" s="6" t="n">
        <f aca="true">ROUND(RAND()*4+6,1)</f>
        <v>9.7</v>
      </c>
      <c r="I139" s="6" t="s">
        <v>25</v>
      </c>
      <c r="J139" s="6" t="str">
        <f aca="false">ROUND(78*1,0)&amp;"%"</f>
        <v>78%</v>
      </c>
    </row>
    <row r="140" customFormat="false" ht="15" hidden="false" customHeight="false" outlineLevel="0" collapsed="false">
      <c r="A140" s="5" t="s">
        <v>9086</v>
      </c>
      <c r="B140" s="5" t="s">
        <v>246</v>
      </c>
      <c r="C140" s="5" t="s">
        <v>114</v>
      </c>
      <c r="D140" s="5" t="s">
        <v>28</v>
      </c>
      <c r="E140" s="5" t="n">
        <f aca="false">ROUND(9700*1.05,2)</f>
        <v>10185</v>
      </c>
      <c r="F140" s="5" t="s">
        <v>29</v>
      </c>
      <c r="G140" s="5" t="s">
        <v>30</v>
      </c>
      <c r="H140" s="5" t="n">
        <f aca="true">ROUND(RAND()*4+6,1)</f>
        <v>8.6</v>
      </c>
      <c r="I140" s="5" t="s">
        <v>31</v>
      </c>
      <c r="J140" s="5" t="str">
        <f aca="false">ROUND(69*1,0)&amp;"%"</f>
        <v>69%</v>
      </c>
    </row>
    <row r="141" customFormat="false" ht="15" hidden="false" customHeight="false" outlineLevel="0" collapsed="false">
      <c r="A141" s="6" t="s">
        <v>9087</v>
      </c>
      <c r="B141" s="6" t="s">
        <v>248</v>
      </c>
      <c r="C141" s="6" t="s">
        <v>114</v>
      </c>
      <c r="D141" s="6" t="s">
        <v>34</v>
      </c>
      <c r="E141" s="6" t="n">
        <f aca="false">ROUND(4259*1.05,2)</f>
        <v>4471.95</v>
      </c>
      <c r="F141" s="6" t="s">
        <v>35</v>
      </c>
      <c r="G141" s="6" t="s">
        <v>18</v>
      </c>
      <c r="H141" s="6" t="n">
        <f aca="true">ROUND(RAND()*4+6,1)</f>
        <v>9.7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9088</v>
      </c>
      <c r="B142" s="5" t="s">
        <v>250</v>
      </c>
      <c r="C142" s="5" t="s">
        <v>114</v>
      </c>
      <c r="D142" s="5" t="s">
        <v>39</v>
      </c>
      <c r="E142" s="5" t="n">
        <f aca="false">ROUND(4009*1.05,2)</f>
        <v>4209.45</v>
      </c>
      <c r="F142" s="5" t="s">
        <v>40</v>
      </c>
      <c r="G142" s="5" t="s">
        <v>24</v>
      </c>
      <c r="H142" s="5" t="n">
        <f aca="true">ROUND(RAND()*4+6,1)</f>
        <v>6.1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9089</v>
      </c>
      <c r="B143" s="6" t="s">
        <v>252</v>
      </c>
      <c r="C143" s="6" t="s">
        <v>114</v>
      </c>
      <c r="D143" s="6" t="s">
        <v>44</v>
      </c>
      <c r="E143" s="6" t="n">
        <f aca="false">ROUND(16519*1.05,2)</f>
        <v>17344.95</v>
      </c>
      <c r="F143" s="6" t="s">
        <v>45</v>
      </c>
      <c r="G143" s="6" t="s">
        <v>30</v>
      </c>
      <c r="H143" s="6" t="n">
        <f aca="true">ROUND(RAND()*4+6,1)</f>
        <v>9</v>
      </c>
      <c r="I143" s="6" t="s">
        <v>46</v>
      </c>
      <c r="J143" s="6" t="str">
        <f aca="false">ROUND(89*1,0)&amp;"%"</f>
        <v>89%</v>
      </c>
    </row>
    <row r="144" customFormat="false" ht="15" hidden="false" customHeight="false" outlineLevel="0" collapsed="false">
      <c r="A144" s="5" t="s">
        <v>9090</v>
      </c>
      <c r="B144" s="5" t="s">
        <v>254</v>
      </c>
      <c r="C144" s="5" t="s">
        <v>114</v>
      </c>
      <c r="D144" s="5" t="s">
        <v>16</v>
      </c>
      <c r="E144" s="5" t="n">
        <f aca="false">ROUND(13361*1.05,2)</f>
        <v>14029.05</v>
      </c>
      <c r="F144" s="5" t="s">
        <v>49</v>
      </c>
      <c r="G144" s="5" t="s">
        <v>18</v>
      </c>
      <c r="H144" s="5" t="n">
        <f aca="true">ROUND(RAND()*4+6,1)</f>
        <v>9.7</v>
      </c>
      <c r="I144" s="5" t="s">
        <v>19</v>
      </c>
      <c r="J144" s="5" t="str">
        <f aca="false">ROUND(99*1,0)&amp;"%"</f>
        <v>99%</v>
      </c>
    </row>
    <row r="145" customFormat="false" ht="15" hidden="false" customHeight="false" outlineLevel="0" collapsed="false">
      <c r="A145" s="6" t="s">
        <v>9091</v>
      </c>
      <c r="B145" s="6" t="s">
        <v>256</v>
      </c>
      <c r="C145" s="6" t="s">
        <v>114</v>
      </c>
      <c r="D145" s="6" t="s">
        <v>22</v>
      </c>
      <c r="E145" s="6" t="n">
        <f aca="false">ROUND(8541*1.05,2)</f>
        <v>8968.05</v>
      </c>
      <c r="F145" s="6" t="s">
        <v>52</v>
      </c>
      <c r="G145" s="6" t="s">
        <v>24</v>
      </c>
      <c r="H145" s="6" t="n">
        <f aca="true">ROUND(RAND()*4+6,1)</f>
        <v>9</v>
      </c>
      <c r="I145" s="6" t="s">
        <v>25</v>
      </c>
      <c r="J145" s="6" t="str">
        <f aca="false">ROUND(89*1,0)&amp;"%"</f>
        <v>89%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9092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9093</v>
      </c>
      <c r="B150" s="5" t="s">
        <v>260</v>
      </c>
      <c r="C150" s="5" t="s">
        <v>133</v>
      </c>
      <c r="D150" s="5" t="s">
        <v>16</v>
      </c>
      <c r="E150" s="5" t="n">
        <f aca="false">ROUND(4390*1.05,2)</f>
        <v>4609.5</v>
      </c>
      <c r="F150" s="5" t="s">
        <v>17</v>
      </c>
      <c r="G150" s="5" t="s">
        <v>18</v>
      </c>
      <c r="H150" s="5" t="n">
        <f aca="true">ROUND(RAND()*4+6,1)</f>
        <v>7.4</v>
      </c>
      <c r="I150" s="5" t="s">
        <v>19</v>
      </c>
      <c r="J150" s="5" t="str">
        <f aca="false">ROUND(93*1,0)&amp;"%"</f>
        <v>93%</v>
      </c>
    </row>
    <row r="151" customFormat="false" ht="15" hidden="false" customHeight="false" outlineLevel="0" collapsed="false">
      <c r="A151" s="6" t="s">
        <v>9094</v>
      </c>
      <c r="B151" s="6" t="s">
        <v>262</v>
      </c>
      <c r="C151" s="6" t="s">
        <v>133</v>
      </c>
      <c r="D151" s="6" t="s">
        <v>22</v>
      </c>
      <c r="E151" s="6" t="n">
        <f aca="false">ROUND(7605*1.05,2)</f>
        <v>7985.25</v>
      </c>
      <c r="F151" s="6" t="s">
        <v>23</v>
      </c>
      <c r="G151" s="6" t="s">
        <v>24</v>
      </c>
      <c r="H151" s="6" t="n">
        <f aca="true">ROUND(RAND()*4+6,1)</f>
        <v>7.2</v>
      </c>
      <c r="I151" s="6" t="s">
        <v>25</v>
      </c>
      <c r="J151" s="6" t="str">
        <f aca="false">ROUND(85*1,0)&amp;"%"</f>
        <v>85%</v>
      </c>
    </row>
    <row r="152" customFormat="false" ht="15" hidden="false" customHeight="false" outlineLevel="0" collapsed="false">
      <c r="A152" s="5" t="s">
        <v>9095</v>
      </c>
      <c r="B152" s="5" t="s">
        <v>264</v>
      </c>
      <c r="C152" s="5" t="s">
        <v>133</v>
      </c>
      <c r="D152" s="5" t="s">
        <v>28</v>
      </c>
      <c r="E152" s="5" t="n">
        <f aca="false">ROUND(14722*1.05,2)</f>
        <v>15458.1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ROUND(66*1,0)&amp;"%"</f>
        <v>66%</v>
      </c>
    </row>
    <row r="153" customFormat="false" ht="15" hidden="false" customHeight="false" outlineLevel="0" collapsed="false">
      <c r="A153" s="6" t="s">
        <v>9096</v>
      </c>
      <c r="B153" s="6" t="s">
        <v>266</v>
      </c>
      <c r="C153" s="6" t="s">
        <v>133</v>
      </c>
      <c r="D153" s="6" t="s">
        <v>34</v>
      </c>
      <c r="E153" s="6" t="n">
        <f aca="false">ROUND(17708*1.05,2)</f>
        <v>18593.4</v>
      </c>
      <c r="F153" s="6" t="s">
        <v>35</v>
      </c>
      <c r="G153" s="6" t="s">
        <v>18</v>
      </c>
      <c r="H153" s="6" t="n">
        <f aca="true">ROUND(RAND()*4+6,1)</f>
        <v>6.3</v>
      </c>
      <c r="I153" s="6" t="s">
        <v>36</v>
      </c>
      <c r="J153" s="6" t="str">
        <f aca="false">ROUND(67*1,0)&amp;"%"</f>
        <v>67%</v>
      </c>
    </row>
    <row r="154" customFormat="false" ht="15" hidden="false" customHeight="false" outlineLevel="0" collapsed="false">
      <c r="A154" s="5" t="s">
        <v>9097</v>
      </c>
      <c r="B154" s="5" t="s">
        <v>268</v>
      </c>
      <c r="C154" s="5" t="s">
        <v>133</v>
      </c>
      <c r="D154" s="5" t="s">
        <v>39</v>
      </c>
      <c r="E154" s="5" t="n">
        <f aca="false">ROUND(11060*1.05,2)</f>
        <v>11613</v>
      </c>
      <c r="F154" s="5" t="s">
        <v>40</v>
      </c>
      <c r="G154" s="5" t="s">
        <v>24</v>
      </c>
      <c r="H154" s="5" t="n">
        <f aca="true">ROUND(RAND()*4+6,1)</f>
        <v>6</v>
      </c>
      <c r="I154" s="5" t="s">
        <v>41</v>
      </c>
      <c r="J154" s="5" t="str">
        <f aca="false">ROUND(73*1,0)&amp;"%"</f>
        <v>73%</v>
      </c>
    </row>
    <row r="155" customFormat="false" ht="15" hidden="false" customHeight="false" outlineLevel="0" collapsed="false">
      <c r="A155" s="6" t="s">
        <v>9098</v>
      </c>
      <c r="B155" s="6" t="s">
        <v>270</v>
      </c>
      <c r="C155" s="6" t="s">
        <v>133</v>
      </c>
      <c r="D155" s="6" t="s">
        <v>44</v>
      </c>
      <c r="E155" s="6" t="n">
        <f aca="false">ROUND(6193*1.05,2)</f>
        <v>6502.65</v>
      </c>
      <c r="F155" s="6" t="s">
        <v>45</v>
      </c>
      <c r="G155" s="6" t="s">
        <v>30</v>
      </c>
      <c r="H155" s="6" t="n">
        <f aca="true">ROUND(RAND()*4+6,1)</f>
        <v>7.7</v>
      </c>
      <c r="I155" s="6" t="s">
        <v>46</v>
      </c>
      <c r="J155" s="6" t="str">
        <f aca="false">ROUND(95*1,0)&amp;"%"</f>
        <v>95%</v>
      </c>
    </row>
    <row r="156" customFormat="false" ht="15" hidden="false" customHeight="false" outlineLevel="0" collapsed="false">
      <c r="A156" s="5" t="s">
        <v>9099</v>
      </c>
      <c r="B156" s="5" t="s">
        <v>272</v>
      </c>
      <c r="C156" s="5" t="s">
        <v>133</v>
      </c>
      <c r="D156" s="5" t="s">
        <v>16</v>
      </c>
      <c r="E156" s="5" t="n">
        <f aca="false">ROUND(9715*1.05,2)</f>
        <v>10200.75</v>
      </c>
      <c r="F156" s="5" t="s">
        <v>49</v>
      </c>
      <c r="G156" s="5" t="s">
        <v>18</v>
      </c>
      <c r="H156" s="5" t="n">
        <f aca="true">ROUND(RAND()*4+6,1)</f>
        <v>6.9</v>
      </c>
      <c r="I156" s="5" t="s">
        <v>19</v>
      </c>
      <c r="J156" s="5" t="str">
        <f aca="false">ROUND(99*1,0)&amp;"%"</f>
        <v>99%</v>
      </c>
    </row>
    <row r="157" customFormat="false" ht="15" hidden="false" customHeight="false" outlineLevel="0" collapsed="false">
      <c r="A157" s="6" t="s">
        <v>9100</v>
      </c>
      <c r="B157" s="6" t="s">
        <v>274</v>
      </c>
      <c r="C157" s="6" t="s">
        <v>133</v>
      </c>
      <c r="D157" s="6" t="s">
        <v>22</v>
      </c>
      <c r="E157" s="6" t="n">
        <f aca="false">ROUND(13960*1.05,2)</f>
        <v>14658</v>
      </c>
      <c r="F157" s="6" t="s">
        <v>52</v>
      </c>
      <c r="G157" s="6" t="s">
        <v>24</v>
      </c>
      <c r="H157" s="6" t="n">
        <f aca="true">ROUND(RAND()*4+6,1)</f>
        <v>6.8</v>
      </c>
      <c r="I157" s="6" t="s">
        <v>25</v>
      </c>
      <c r="J157" s="6" t="str">
        <f aca="false">ROUND(76*1,0)&amp;"%"</f>
        <v>76%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9101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9102</v>
      </c>
      <c r="B162" s="5" t="s">
        <v>278</v>
      </c>
      <c r="C162" s="5" t="s">
        <v>152</v>
      </c>
      <c r="D162" s="5" t="s">
        <v>16</v>
      </c>
      <c r="E162" s="5" t="n">
        <f aca="false">ROUND(14530*1.05,2)</f>
        <v>15256.5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ROUND(90*1,0)&amp;"%"</f>
        <v>90%</v>
      </c>
    </row>
    <row r="163" customFormat="false" ht="15" hidden="false" customHeight="false" outlineLevel="0" collapsed="false">
      <c r="A163" s="6" t="s">
        <v>9103</v>
      </c>
      <c r="B163" s="6" t="s">
        <v>280</v>
      </c>
      <c r="C163" s="6" t="s">
        <v>152</v>
      </c>
      <c r="D163" s="6" t="s">
        <v>22</v>
      </c>
      <c r="E163" s="6" t="n">
        <f aca="false">ROUND(11668*1.05,2)</f>
        <v>12251.4</v>
      </c>
      <c r="F163" s="6" t="s">
        <v>23</v>
      </c>
      <c r="G163" s="6" t="s">
        <v>24</v>
      </c>
      <c r="H163" s="6" t="n">
        <f aca="true">ROUND(RAND()*4+6,1)</f>
        <v>8.1</v>
      </c>
      <c r="I163" s="6" t="s">
        <v>25</v>
      </c>
      <c r="J163" s="6" t="str">
        <f aca="false">ROUND(100*1,0)&amp;"%"</f>
        <v>100%</v>
      </c>
    </row>
    <row r="164" customFormat="false" ht="15" hidden="false" customHeight="false" outlineLevel="0" collapsed="false">
      <c r="A164" s="5" t="s">
        <v>9104</v>
      </c>
      <c r="B164" s="5" t="s">
        <v>282</v>
      </c>
      <c r="C164" s="5" t="s">
        <v>152</v>
      </c>
      <c r="D164" s="5" t="s">
        <v>28</v>
      </c>
      <c r="E164" s="5" t="n">
        <f aca="false">ROUND(13244*1.05,2)</f>
        <v>13906.2</v>
      </c>
      <c r="F164" s="5" t="s">
        <v>29</v>
      </c>
      <c r="G164" s="5" t="s">
        <v>30</v>
      </c>
      <c r="H164" s="5" t="n">
        <f aca="true">ROUND(RAND()*4+6,1)</f>
        <v>6.9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9105</v>
      </c>
      <c r="B165" s="6" t="s">
        <v>284</v>
      </c>
      <c r="C165" s="6" t="s">
        <v>152</v>
      </c>
      <c r="D165" s="6" t="s">
        <v>34</v>
      </c>
      <c r="E165" s="6" t="n">
        <f aca="false">ROUND(11469*1.05,2)</f>
        <v>12042.45</v>
      </c>
      <c r="F165" s="6" t="s">
        <v>35</v>
      </c>
      <c r="G165" s="6" t="s">
        <v>18</v>
      </c>
      <c r="H165" s="6" t="n">
        <f aca="true">ROUND(RAND()*4+6,1)</f>
        <v>7.8</v>
      </c>
      <c r="I165" s="6" t="s">
        <v>36</v>
      </c>
      <c r="J165" s="6" t="str">
        <f aca="false">ROUND(62*1,0)&amp;"%"</f>
        <v>62%</v>
      </c>
    </row>
    <row r="166" customFormat="false" ht="15" hidden="false" customHeight="false" outlineLevel="0" collapsed="false">
      <c r="A166" s="5" t="s">
        <v>9106</v>
      </c>
      <c r="B166" s="5" t="s">
        <v>286</v>
      </c>
      <c r="C166" s="5" t="s">
        <v>152</v>
      </c>
      <c r="D166" s="5" t="s">
        <v>39</v>
      </c>
      <c r="E166" s="5" t="n">
        <f aca="false">ROUND(11226*1.05,2)</f>
        <v>11787.3</v>
      </c>
      <c r="F166" s="5" t="s">
        <v>40</v>
      </c>
      <c r="G166" s="5" t="s">
        <v>24</v>
      </c>
      <c r="H166" s="5" t="n">
        <f aca="true">ROUND(RAND()*4+6,1)</f>
        <v>9.8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9107</v>
      </c>
      <c r="B167" s="6" t="s">
        <v>288</v>
      </c>
      <c r="C167" s="6" t="s">
        <v>152</v>
      </c>
      <c r="D167" s="6" t="s">
        <v>44</v>
      </c>
      <c r="E167" s="6" t="n">
        <f aca="false">ROUND(7696*1.05,2)</f>
        <v>8080.8</v>
      </c>
      <c r="F167" s="6" t="s">
        <v>45</v>
      </c>
      <c r="G167" s="6" t="s">
        <v>30</v>
      </c>
      <c r="H167" s="6" t="n">
        <f aca="true">ROUND(RAND()*4+6,1)</f>
        <v>7.6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9108</v>
      </c>
      <c r="B168" s="5" t="s">
        <v>290</v>
      </c>
      <c r="C168" s="5" t="s">
        <v>152</v>
      </c>
      <c r="D168" s="5" t="s">
        <v>16</v>
      </c>
      <c r="E168" s="5" t="n">
        <f aca="false">ROUND(6619*1.05,2)</f>
        <v>6949.95</v>
      </c>
      <c r="F168" s="5" t="s">
        <v>49</v>
      </c>
      <c r="G168" s="5" t="s">
        <v>18</v>
      </c>
      <c r="H168" s="5" t="n">
        <f aca="true">ROUND(RAND()*4+6,1)</f>
        <v>6.6</v>
      </c>
      <c r="I168" s="5" t="s">
        <v>19</v>
      </c>
      <c r="J168" s="5" t="str">
        <f aca="false">ROUND(88*1,0)&amp;"%"</f>
        <v>88%</v>
      </c>
    </row>
    <row r="169" customFormat="false" ht="15" hidden="false" customHeight="false" outlineLevel="0" collapsed="false">
      <c r="A169" s="6" t="s">
        <v>9109</v>
      </c>
      <c r="B169" s="6" t="s">
        <v>292</v>
      </c>
      <c r="C169" s="6" t="s">
        <v>152</v>
      </c>
      <c r="D169" s="6" t="s">
        <v>22</v>
      </c>
      <c r="E169" s="6" t="n">
        <f aca="false">ROUND(4994*1.05,2)</f>
        <v>5243.7</v>
      </c>
      <c r="F169" s="6" t="s">
        <v>52</v>
      </c>
      <c r="G169" s="6" t="s">
        <v>24</v>
      </c>
      <c r="H169" s="6" t="n">
        <f aca="true">ROUND(RAND()*4+6,1)</f>
        <v>7.5</v>
      </c>
      <c r="I169" s="6" t="s">
        <v>25</v>
      </c>
      <c r="J169" s="6" t="str">
        <f aca="false">ROUND(84*1,0)&amp;"%"</f>
        <v>84%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9110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9111</v>
      </c>
      <c r="B174" s="5" t="s">
        <v>296</v>
      </c>
      <c r="C174" s="5" t="s">
        <v>15</v>
      </c>
      <c r="D174" s="5" t="s">
        <v>16</v>
      </c>
      <c r="E174" s="5" t="n">
        <f aca="false">ROUND(12465*1.05,2)</f>
        <v>13088.25</v>
      </c>
      <c r="F174" s="5" t="s">
        <v>17</v>
      </c>
      <c r="G174" s="5" t="s">
        <v>18</v>
      </c>
      <c r="H174" s="5" t="n">
        <f aca="true">ROUND(RAND()*4+6,1)</f>
        <v>8.5</v>
      </c>
      <c r="I174" s="5" t="s">
        <v>19</v>
      </c>
      <c r="J174" s="5" t="str">
        <f aca="false">ROUND(69*1,0)&amp;"%"</f>
        <v>69%</v>
      </c>
    </row>
    <row r="175" customFormat="false" ht="15" hidden="false" customHeight="false" outlineLevel="0" collapsed="false">
      <c r="A175" s="6" t="s">
        <v>9112</v>
      </c>
      <c r="B175" s="6" t="s">
        <v>298</v>
      </c>
      <c r="C175" s="6" t="s">
        <v>15</v>
      </c>
      <c r="D175" s="6" t="s">
        <v>22</v>
      </c>
      <c r="E175" s="6" t="n">
        <f aca="false">ROUND(15010*1.05,2)</f>
        <v>15760.5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ROUND(84*1,0)&amp;"%"</f>
        <v>84%</v>
      </c>
    </row>
    <row r="176" customFormat="false" ht="15" hidden="false" customHeight="false" outlineLevel="0" collapsed="false">
      <c r="A176" s="5" t="s">
        <v>9113</v>
      </c>
      <c r="B176" s="5" t="s">
        <v>300</v>
      </c>
      <c r="C176" s="5" t="s">
        <v>15</v>
      </c>
      <c r="D176" s="5" t="s">
        <v>28</v>
      </c>
      <c r="E176" s="5" t="n">
        <f aca="false">ROUND(12289*1.05,2)</f>
        <v>12903.45</v>
      </c>
      <c r="F176" s="5" t="s">
        <v>29</v>
      </c>
      <c r="G176" s="5" t="s">
        <v>30</v>
      </c>
      <c r="H176" s="5" t="n">
        <f aca="true">ROUND(RAND()*4+6,1)</f>
        <v>7</v>
      </c>
      <c r="I176" s="5" t="s">
        <v>31</v>
      </c>
      <c r="J176" s="5" t="str">
        <f aca="false">ROUND(80*1,0)&amp;"%"</f>
        <v>80%</v>
      </c>
    </row>
    <row r="177" customFormat="false" ht="15" hidden="false" customHeight="false" outlineLevel="0" collapsed="false">
      <c r="A177" s="6" t="s">
        <v>9114</v>
      </c>
      <c r="B177" s="6" t="s">
        <v>302</v>
      </c>
      <c r="C177" s="6" t="s">
        <v>15</v>
      </c>
      <c r="D177" s="6" t="s">
        <v>34</v>
      </c>
      <c r="E177" s="6" t="n">
        <f aca="false">ROUND(14585*1.05,2)</f>
        <v>15314.25</v>
      </c>
      <c r="F177" s="6" t="s">
        <v>35</v>
      </c>
      <c r="G177" s="6" t="s">
        <v>18</v>
      </c>
      <c r="H177" s="6" t="n">
        <f aca="true">ROUND(RAND()*4+6,1)</f>
        <v>8.7</v>
      </c>
      <c r="I177" s="6" t="s">
        <v>36</v>
      </c>
      <c r="J177" s="6" t="str">
        <f aca="false">ROUND(90*1,0)&amp;"%"</f>
        <v>90%</v>
      </c>
    </row>
    <row r="178" customFormat="false" ht="15" hidden="false" customHeight="false" outlineLevel="0" collapsed="false">
      <c r="A178" s="5" t="s">
        <v>9115</v>
      </c>
      <c r="B178" s="5" t="s">
        <v>304</v>
      </c>
      <c r="C178" s="5" t="s">
        <v>15</v>
      </c>
      <c r="D178" s="5" t="s">
        <v>39</v>
      </c>
      <c r="E178" s="5" t="n">
        <f aca="false">ROUND(15930*1.05,2)</f>
        <v>16726.5</v>
      </c>
      <c r="F178" s="5" t="s">
        <v>40</v>
      </c>
      <c r="G178" s="5" t="s">
        <v>24</v>
      </c>
      <c r="H178" s="5" t="n">
        <f aca="true">ROUND(RAND()*4+6,1)</f>
        <v>9.6</v>
      </c>
      <c r="I178" s="5" t="s">
        <v>41</v>
      </c>
      <c r="J178" s="5" t="str">
        <f aca="false">ROUND(66*1,0)&amp;"%"</f>
        <v>66%</v>
      </c>
    </row>
    <row r="179" customFormat="false" ht="15" hidden="false" customHeight="false" outlineLevel="0" collapsed="false">
      <c r="A179" s="6" t="s">
        <v>9116</v>
      </c>
      <c r="B179" s="6" t="s">
        <v>306</v>
      </c>
      <c r="C179" s="6" t="s">
        <v>15</v>
      </c>
      <c r="D179" s="6" t="s">
        <v>44</v>
      </c>
      <c r="E179" s="6" t="n">
        <f aca="false">ROUND(15768*1.05,2)</f>
        <v>16556.4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ROUND(68*1,0)&amp;"%"</f>
        <v>68%</v>
      </c>
    </row>
    <row r="180" customFormat="false" ht="15" hidden="false" customHeight="false" outlineLevel="0" collapsed="false">
      <c r="A180" s="5" t="s">
        <v>9117</v>
      </c>
      <c r="B180" s="5" t="s">
        <v>308</v>
      </c>
      <c r="C180" s="5" t="s">
        <v>15</v>
      </c>
      <c r="D180" s="5" t="s">
        <v>16</v>
      </c>
      <c r="E180" s="5" t="n">
        <f aca="false">ROUND(12837*1.05,2)</f>
        <v>13478.85</v>
      </c>
      <c r="F180" s="5" t="s">
        <v>49</v>
      </c>
      <c r="G180" s="5" t="s">
        <v>18</v>
      </c>
      <c r="H180" s="5" t="n">
        <f aca="true">ROUND(RAND()*4+6,1)</f>
        <v>7.4</v>
      </c>
      <c r="I180" s="5" t="s">
        <v>19</v>
      </c>
      <c r="J180" s="5" t="str">
        <f aca="false">ROUND(86*1,0)&amp;"%"</f>
        <v>86%</v>
      </c>
    </row>
    <row r="181" customFormat="false" ht="15" hidden="false" customHeight="false" outlineLevel="0" collapsed="false">
      <c r="A181" s="6" t="s">
        <v>9118</v>
      </c>
      <c r="B181" s="6" t="s">
        <v>310</v>
      </c>
      <c r="C181" s="6" t="s">
        <v>15</v>
      </c>
      <c r="D181" s="6" t="s">
        <v>22</v>
      </c>
      <c r="E181" s="6" t="n">
        <f aca="false">ROUND(8335*1.05,2)</f>
        <v>8751.75</v>
      </c>
      <c r="F181" s="6" t="s">
        <v>52</v>
      </c>
      <c r="G181" s="6" t="s">
        <v>24</v>
      </c>
      <c r="H181" s="6" t="n">
        <f aca="true">ROUND(RAND()*4+6,1)</f>
        <v>9.7</v>
      </c>
      <c r="I181" s="6" t="s">
        <v>25</v>
      </c>
      <c r="J181" s="6" t="str">
        <f aca="false">ROUND(86*1,0)&amp;"%"</f>
        <v>86%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9119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9120</v>
      </c>
      <c r="B186" s="5" t="s">
        <v>314</v>
      </c>
      <c r="C186" s="5" t="s">
        <v>57</v>
      </c>
      <c r="D186" s="5" t="s">
        <v>16</v>
      </c>
      <c r="E186" s="5" t="n">
        <f aca="false">ROUND(6962*1.05,2)</f>
        <v>7310.1</v>
      </c>
      <c r="F186" s="5" t="s">
        <v>17</v>
      </c>
      <c r="G186" s="5" t="s">
        <v>18</v>
      </c>
      <c r="H186" s="5" t="n">
        <f aca="true">ROUND(RAND()*4+6,1)</f>
        <v>6.3</v>
      </c>
      <c r="I186" s="5" t="s">
        <v>19</v>
      </c>
      <c r="J186" s="5" t="str">
        <f aca="false">ROUND(81*1,0)&amp;"%"</f>
        <v>81%</v>
      </c>
    </row>
    <row r="187" customFormat="false" ht="15" hidden="false" customHeight="false" outlineLevel="0" collapsed="false">
      <c r="A187" s="6" t="s">
        <v>9121</v>
      </c>
      <c r="B187" s="6" t="s">
        <v>316</v>
      </c>
      <c r="C187" s="6" t="s">
        <v>57</v>
      </c>
      <c r="D187" s="6" t="s">
        <v>22</v>
      </c>
      <c r="E187" s="6" t="n">
        <f aca="false">ROUND(4424*1.05,2)</f>
        <v>4645.2</v>
      </c>
      <c r="F187" s="6" t="s">
        <v>23</v>
      </c>
      <c r="G187" s="6" t="s">
        <v>24</v>
      </c>
      <c r="H187" s="6" t="n">
        <f aca="true">ROUND(RAND()*4+6,1)</f>
        <v>8.4</v>
      </c>
      <c r="I187" s="6" t="s">
        <v>25</v>
      </c>
      <c r="J187" s="6" t="str">
        <f aca="false">ROUND(85*1,0)&amp;"%"</f>
        <v>85%</v>
      </c>
    </row>
    <row r="188" customFormat="false" ht="15" hidden="false" customHeight="false" outlineLevel="0" collapsed="false">
      <c r="A188" s="5" t="s">
        <v>9122</v>
      </c>
      <c r="B188" s="5" t="s">
        <v>318</v>
      </c>
      <c r="C188" s="5" t="s">
        <v>57</v>
      </c>
      <c r="D188" s="5" t="s">
        <v>28</v>
      </c>
      <c r="E188" s="5" t="n">
        <f aca="false">ROUND(9877*1.05,2)</f>
        <v>10370.85</v>
      </c>
      <c r="F188" s="5" t="s">
        <v>29</v>
      </c>
      <c r="G188" s="5" t="s">
        <v>30</v>
      </c>
      <c r="H188" s="5" t="n">
        <f aca="true">ROUND(RAND()*4+6,1)</f>
        <v>10</v>
      </c>
      <c r="I188" s="5" t="s">
        <v>31</v>
      </c>
      <c r="J188" s="5" t="str">
        <f aca="false">ROUND(85*1,0)&amp;"%"</f>
        <v>85%</v>
      </c>
    </row>
    <row r="189" customFormat="false" ht="15" hidden="false" customHeight="false" outlineLevel="0" collapsed="false">
      <c r="A189" s="6" t="s">
        <v>9123</v>
      </c>
      <c r="B189" s="6" t="s">
        <v>320</v>
      </c>
      <c r="C189" s="6" t="s">
        <v>57</v>
      </c>
      <c r="D189" s="6" t="s">
        <v>34</v>
      </c>
      <c r="E189" s="6" t="n">
        <f aca="false">ROUND(10964*1.05,2)</f>
        <v>11512.2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ROUND(92*1,0)&amp;"%"</f>
        <v>92%</v>
      </c>
    </row>
    <row r="190" customFormat="false" ht="15" hidden="false" customHeight="false" outlineLevel="0" collapsed="false">
      <c r="A190" s="5" t="s">
        <v>9124</v>
      </c>
      <c r="B190" s="5" t="s">
        <v>322</v>
      </c>
      <c r="C190" s="5" t="s">
        <v>57</v>
      </c>
      <c r="D190" s="5" t="s">
        <v>39</v>
      </c>
      <c r="E190" s="5" t="n">
        <f aca="false">ROUND(6804*1.05,2)</f>
        <v>7144.2</v>
      </c>
      <c r="F190" s="5" t="s">
        <v>40</v>
      </c>
      <c r="G190" s="5" t="s">
        <v>24</v>
      </c>
      <c r="H190" s="5" t="n">
        <f aca="true">ROUND(RAND()*4+6,1)</f>
        <v>8.5</v>
      </c>
      <c r="I190" s="5" t="s">
        <v>41</v>
      </c>
      <c r="J190" s="5" t="str">
        <f aca="false">ROUND(99*1,0)&amp;"%"</f>
        <v>99%</v>
      </c>
    </row>
    <row r="191" customFormat="false" ht="15" hidden="false" customHeight="false" outlineLevel="0" collapsed="false">
      <c r="A191" s="6" t="s">
        <v>9125</v>
      </c>
      <c r="B191" s="6" t="s">
        <v>324</v>
      </c>
      <c r="C191" s="6" t="s">
        <v>57</v>
      </c>
      <c r="D191" s="6" t="s">
        <v>44</v>
      </c>
      <c r="E191" s="6" t="n">
        <f aca="false">ROUND(6093*1.05,2)</f>
        <v>6397.65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ROUND(85*1,0)&amp;"%"</f>
        <v>85%</v>
      </c>
    </row>
    <row r="192" customFormat="false" ht="15" hidden="false" customHeight="false" outlineLevel="0" collapsed="false">
      <c r="A192" s="5" t="s">
        <v>9126</v>
      </c>
      <c r="B192" s="5" t="s">
        <v>326</v>
      </c>
      <c r="C192" s="5" t="s">
        <v>57</v>
      </c>
      <c r="D192" s="5" t="s">
        <v>16</v>
      </c>
      <c r="E192" s="5" t="n">
        <f aca="false">ROUND(4508*1.05,2)</f>
        <v>4733.4</v>
      </c>
      <c r="F192" s="5" t="s">
        <v>49</v>
      </c>
      <c r="G192" s="5" t="s">
        <v>18</v>
      </c>
      <c r="H192" s="5" t="n">
        <f aca="true">ROUND(RAND()*4+6,1)</f>
        <v>7</v>
      </c>
      <c r="I192" s="5" t="s">
        <v>19</v>
      </c>
      <c r="J192" s="5" t="str">
        <f aca="false">ROUND(97*1,0)&amp;"%"</f>
        <v>97%</v>
      </c>
    </row>
    <row r="193" customFormat="false" ht="15" hidden="false" customHeight="false" outlineLevel="0" collapsed="false">
      <c r="A193" s="6" t="s">
        <v>9127</v>
      </c>
      <c r="B193" s="6" t="s">
        <v>328</v>
      </c>
      <c r="C193" s="6" t="s">
        <v>57</v>
      </c>
      <c r="D193" s="6" t="s">
        <v>22</v>
      </c>
      <c r="E193" s="6" t="n">
        <f aca="false">ROUND(11857*1.05,2)</f>
        <v>12449.85</v>
      </c>
      <c r="F193" s="6" t="s">
        <v>52</v>
      </c>
      <c r="G193" s="6" t="s">
        <v>24</v>
      </c>
      <c r="H193" s="6" t="n">
        <f aca="true">ROUND(RAND()*4+6,1)</f>
        <v>7.4</v>
      </c>
      <c r="I193" s="6" t="s">
        <v>25</v>
      </c>
      <c r="J193" s="6" t="str">
        <f aca="false">ROUND(86*1,0)&amp;"%"</f>
        <v>86%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9128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9129</v>
      </c>
      <c r="B198" s="5" t="s">
        <v>332</v>
      </c>
      <c r="C198" s="5" t="s">
        <v>76</v>
      </c>
      <c r="D198" s="5" t="s">
        <v>16</v>
      </c>
      <c r="E198" s="5" t="n">
        <f aca="false">ROUND(14246*1.05,2)</f>
        <v>14958.3</v>
      </c>
      <c r="F198" s="5" t="s">
        <v>17</v>
      </c>
      <c r="G198" s="5" t="s">
        <v>18</v>
      </c>
      <c r="H198" s="5" t="n">
        <f aca="true">ROUND(RAND()*4+6,1)</f>
        <v>9.4</v>
      </c>
      <c r="I198" s="5" t="s">
        <v>19</v>
      </c>
      <c r="J198" s="5" t="str">
        <f aca="false">ROUND(92*1,0)&amp;"%"</f>
        <v>92%</v>
      </c>
    </row>
    <row r="199" customFormat="false" ht="15" hidden="false" customHeight="false" outlineLevel="0" collapsed="false">
      <c r="A199" s="6" t="s">
        <v>9130</v>
      </c>
      <c r="B199" s="6" t="s">
        <v>334</v>
      </c>
      <c r="C199" s="6" t="s">
        <v>76</v>
      </c>
      <c r="D199" s="6" t="s">
        <v>22</v>
      </c>
      <c r="E199" s="6" t="n">
        <f aca="false">ROUND(16635*1.05,2)</f>
        <v>17466.75</v>
      </c>
      <c r="F199" s="6" t="s">
        <v>23</v>
      </c>
      <c r="G199" s="6" t="s">
        <v>24</v>
      </c>
      <c r="H199" s="6" t="n">
        <f aca="true">ROUND(RAND()*4+6,1)</f>
        <v>7</v>
      </c>
      <c r="I199" s="6" t="s">
        <v>25</v>
      </c>
      <c r="J199" s="6" t="str">
        <f aca="false">ROUND(73*1,0)&amp;"%"</f>
        <v>73%</v>
      </c>
    </row>
    <row r="200" customFormat="false" ht="15" hidden="false" customHeight="false" outlineLevel="0" collapsed="false">
      <c r="A200" s="5" t="s">
        <v>9131</v>
      </c>
      <c r="B200" s="5" t="s">
        <v>336</v>
      </c>
      <c r="C200" s="5" t="s">
        <v>76</v>
      </c>
      <c r="D200" s="5" t="s">
        <v>28</v>
      </c>
      <c r="E200" s="5" t="n">
        <f aca="false">ROUND(8244*1.05,2)</f>
        <v>8656.2</v>
      </c>
      <c r="F200" s="5" t="s">
        <v>29</v>
      </c>
      <c r="G200" s="5" t="s">
        <v>30</v>
      </c>
      <c r="H200" s="5" t="n">
        <f aca="true">ROUND(RAND()*4+6,1)</f>
        <v>8.1</v>
      </c>
      <c r="I200" s="5" t="s">
        <v>31</v>
      </c>
      <c r="J200" s="5" t="str">
        <f aca="false">ROUND(68*1,0)&amp;"%"</f>
        <v>68%</v>
      </c>
    </row>
    <row r="201" customFormat="false" ht="15" hidden="false" customHeight="false" outlineLevel="0" collapsed="false">
      <c r="A201" s="6" t="s">
        <v>9132</v>
      </c>
      <c r="B201" s="6" t="s">
        <v>338</v>
      </c>
      <c r="C201" s="6" t="s">
        <v>76</v>
      </c>
      <c r="D201" s="6" t="s">
        <v>34</v>
      </c>
      <c r="E201" s="6" t="n">
        <f aca="false">ROUND(6779*1.05,2)</f>
        <v>7117.95</v>
      </c>
      <c r="F201" s="6" t="s">
        <v>35</v>
      </c>
      <c r="G201" s="6" t="s">
        <v>18</v>
      </c>
      <c r="H201" s="6" t="n">
        <f aca="true">ROUND(RAND()*4+6,1)</f>
        <v>7.4</v>
      </c>
      <c r="I201" s="6" t="s">
        <v>36</v>
      </c>
      <c r="J201" s="6" t="str">
        <f aca="false">ROUND(82*1,0)&amp;"%"</f>
        <v>82%</v>
      </c>
    </row>
    <row r="202" customFormat="false" ht="15" hidden="false" customHeight="false" outlineLevel="0" collapsed="false">
      <c r="A202" s="5" t="s">
        <v>9133</v>
      </c>
      <c r="B202" s="5" t="s">
        <v>340</v>
      </c>
      <c r="C202" s="5" t="s">
        <v>76</v>
      </c>
      <c r="D202" s="5" t="s">
        <v>39</v>
      </c>
      <c r="E202" s="5" t="n">
        <f aca="false">ROUND(8804*1.05,2)</f>
        <v>9244.2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ROUND(93*1,0)&amp;"%"</f>
        <v>93%</v>
      </c>
    </row>
    <row r="203" customFormat="false" ht="15" hidden="false" customHeight="false" outlineLevel="0" collapsed="false">
      <c r="A203" s="6" t="s">
        <v>9134</v>
      </c>
      <c r="B203" s="6" t="s">
        <v>342</v>
      </c>
      <c r="C203" s="6" t="s">
        <v>76</v>
      </c>
      <c r="D203" s="6" t="s">
        <v>44</v>
      </c>
      <c r="E203" s="6" t="n">
        <f aca="false">ROUND(8265*1.05,2)</f>
        <v>8678.25</v>
      </c>
      <c r="F203" s="6" t="s">
        <v>45</v>
      </c>
      <c r="G203" s="6" t="s">
        <v>30</v>
      </c>
      <c r="H203" s="6" t="n">
        <f aca="true">ROUND(RAND()*4+6,1)</f>
        <v>6.4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9135</v>
      </c>
      <c r="B204" s="5" t="s">
        <v>344</v>
      </c>
      <c r="C204" s="5" t="s">
        <v>76</v>
      </c>
      <c r="D204" s="5" t="s">
        <v>16</v>
      </c>
      <c r="E204" s="5" t="n">
        <f aca="false">ROUND(9188*1.05,2)</f>
        <v>9647.4</v>
      </c>
      <c r="F204" s="5" t="s">
        <v>49</v>
      </c>
      <c r="G204" s="5" t="s">
        <v>18</v>
      </c>
      <c r="H204" s="5" t="n">
        <f aca="true">ROUND(RAND()*4+6,1)</f>
        <v>9.2</v>
      </c>
      <c r="I204" s="5" t="s">
        <v>19</v>
      </c>
      <c r="J204" s="5" t="str">
        <f aca="false">ROUND(100*1,0)&amp;"%"</f>
        <v>100%</v>
      </c>
    </row>
    <row r="205" customFormat="false" ht="15" hidden="false" customHeight="false" outlineLevel="0" collapsed="false">
      <c r="A205" s="6" t="s">
        <v>9136</v>
      </c>
      <c r="B205" s="6" t="s">
        <v>346</v>
      </c>
      <c r="C205" s="6" t="s">
        <v>76</v>
      </c>
      <c r="D205" s="6" t="s">
        <v>22</v>
      </c>
      <c r="E205" s="6" t="n">
        <f aca="false">ROUND(4407*1.05,2)</f>
        <v>4627.35</v>
      </c>
      <c r="F205" s="6" t="s">
        <v>52</v>
      </c>
      <c r="G205" s="6" t="s">
        <v>24</v>
      </c>
      <c r="H205" s="6" t="n">
        <f aca="true">ROUND(RAND()*4+6,1)</f>
        <v>7.1</v>
      </c>
      <c r="I205" s="6" t="s">
        <v>25</v>
      </c>
      <c r="J205" s="6" t="str">
        <f aca="false">ROUND(66*1,0)&amp;"%"</f>
        <v>66%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9137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9138</v>
      </c>
      <c r="B210" s="5" t="s">
        <v>350</v>
      </c>
      <c r="C210" s="5" t="s">
        <v>95</v>
      </c>
      <c r="D210" s="5" t="s">
        <v>16</v>
      </c>
      <c r="E210" s="5" t="n">
        <f aca="false">ROUND(12034*1.05,2)</f>
        <v>12635.7</v>
      </c>
      <c r="F210" s="5" t="s">
        <v>17</v>
      </c>
      <c r="G210" s="5" t="s">
        <v>18</v>
      </c>
      <c r="H210" s="5" t="n">
        <f aca="true">ROUND(RAND()*4+6,1)</f>
        <v>7.1</v>
      </c>
      <c r="I210" s="5" t="s">
        <v>19</v>
      </c>
      <c r="J210" s="5" t="str">
        <f aca="false">ROUND(84*1,0)&amp;"%"</f>
        <v>84%</v>
      </c>
    </row>
    <row r="211" customFormat="false" ht="15" hidden="false" customHeight="false" outlineLevel="0" collapsed="false">
      <c r="A211" s="6" t="s">
        <v>9139</v>
      </c>
      <c r="B211" s="6" t="s">
        <v>352</v>
      </c>
      <c r="C211" s="6" t="s">
        <v>95</v>
      </c>
      <c r="D211" s="6" t="s">
        <v>22</v>
      </c>
      <c r="E211" s="6" t="n">
        <f aca="false">ROUND(5542*1.05,2)</f>
        <v>5819.1</v>
      </c>
      <c r="F211" s="6" t="s">
        <v>23</v>
      </c>
      <c r="G211" s="6" t="s">
        <v>24</v>
      </c>
      <c r="H211" s="6" t="n">
        <f aca="true">ROUND(RAND()*4+6,1)</f>
        <v>9.8</v>
      </c>
      <c r="I211" s="6" t="s">
        <v>25</v>
      </c>
      <c r="J211" s="6" t="str">
        <f aca="false">ROUND(67*1,0)&amp;"%"</f>
        <v>67%</v>
      </c>
    </row>
    <row r="212" customFormat="false" ht="15" hidden="false" customHeight="false" outlineLevel="0" collapsed="false">
      <c r="A212" s="5" t="s">
        <v>9140</v>
      </c>
      <c r="B212" s="5" t="s">
        <v>354</v>
      </c>
      <c r="C212" s="5" t="s">
        <v>95</v>
      </c>
      <c r="D212" s="5" t="s">
        <v>28</v>
      </c>
      <c r="E212" s="5" t="n">
        <f aca="false">ROUND(10877*1.05,2)</f>
        <v>11420.85</v>
      </c>
      <c r="F212" s="5" t="s">
        <v>29</v>
      </c>
      <c r="G212" s="5" t="s">
        <v>30</v>
      </c>
      <c r="H212" s="5" t="n">
        <f aca="true">ROUND(RAND()*4+6,1)</f>
        <v>6.4</v>
      </c>
      <c r="I212" s="5" t="s">
        <v>31</v>
      </c>
      <c r="J212" s="5" t="str">
        <f aca="false">ROUND(88*1,0)&amp;"%"</f>
        <v>88%</v>
      </c>
    </row>
    <row r="213" customFormat="false" ht="15" hidden="false" customHeight="false" outlineLevel="0" collapsed="false">
      <c r="A213" s="6" t="s">
        <v>9141</v>
      </c>
      <c r="B213" s="6" t="s">
        <v>356</v>
      </c>
      <c r="C213" s="6" t="s">
        <v>95</v>
      </c>
      <c r="D213" s="6" t="s">
        <v>34</v>
      </c>
      <c r="E213" s="6" t="n">
        <f aca="false">ROUND(14846*1.05,2)</f>
        <v>15588.3</v>
      </c>
      <c r="F213" s="6" t="s">
        <v>35</v>
      </c>
      <c r="G213" s="6" t="s">
        <v>18</v>
      </c>
      <c r="H213" s="6" t="n">
        <f aca="true">ROUND(RAND()*4+6,1)</f>
        <v>8.7</v>
      </c>
      <c r="I213" s="6" t="s">
        <v>36</v>
      </c>
      <c r="J213" s="6" t="str">
        <f aca="false">ROUND(83*1,0)&amp;"%"</f>
        <v>83%</v>
      </c>
    </row>
    <row r="214" customFormat="false" ht="15" hidden="false" customHeight="false" outlineLevel="0" collapsed="false">
      <c r="A214" s="5" t="s">
        <v>9142</v>
      </c>
      <c r="B214" s="5" t="s">
        <v>358</v>
      </c>
      <c r="C214" s="5" t="s">
        <v>95</v>
      </c>
      <c r="D214" s="5" t="s">
        <v>39</v>
      </c>
      <c r="E214" s="5" t="n">
        <f aca="false">ROUND(10857*1.05,2)</f>
        <v>11399.85</v>
      </c>
      <c r="F214" s="5" t="s">
        <v>40</v>
      </c>
      <c r="G214" s="5" t="s">
        <v>24</v>
      </c>
      <c r="H214" s="5" t="n">
        <f aca="true">ROUND(RAND()*4+6,1)</f>
        <v>8.7</v>
      </c>
      <c r="I214" s="5" t="s">
        <v>41</v>
      </c>
      <c r="J214" s="5" t="str">
        <f aca="false">ROUND(88*1,0)&amp;"%"</f>
        <v>88%</v>
      </c>
    </row>
    <row r="215" customFormat="false" ht="15" hidden="false" customHeight="false" outlineLevel="0" collapsed="false">
      <c r="A215" s="6" t="s">
        <v>9143</v>
      </c>
      <c r="B215" s="6" t="s">
        <v>360</v>
      </c>
      <c r="C215" s="6" t="s">
        <v>95</v>
      </c>
      <c r="D215" s="6" t="s">
        <v>44</v>
      </c>
      <c r="E215" s="6" t="n">
        <f aca="false">ROUND(13655*1.05,2)</f>
        <v>14337.75</v>
      </c>
      <c r="F215" s="6" t="s">
        <v>45</v>
      </c>
      <c r="G215" s="6" t="s">
        <v>30</v>
      </c>
      <c r="H215" s="6" t="n">
        <f aca="true">ROUND(RAND()*4+6,1)</f>
        <v>9</v>
      </c>
      <c r="I215" s="6" t="s">
        <v>46</v>
      </c>
      <c r="J215" s="6" t="str">
        <f aca="false">ROUND(83*1,0)&amp;"%"</f>
        <v>83%</v>
      </c>
    </row>
    <row r="216" customFormat="false" ht="15" hidden="false" customHeight="false" outlineLevel="0" collapsed="false">
      <c r="A216" s="5" t="s">
        <v>9144</v>
      </c>
      <c r="B216" s="5" t="s">
        <v>362</v>
      </c>
      <c r="C216" s="5" t="s">
        <v>95</v>
      </c>
      <c r="D216" s="5" t="s">
        <v>16</v>
      </c>
      <c r="E216" s="5" t="n">
        <f aca="false">ROUND(8559*1.05,2)</f>
        <v>8986.95</v>
      </c>
      <c r="F216" s="5" t="s">
        <v>49</v>
      </c>
      <c r="G216" s="5" t="s">
        <v>18</v>
      </c>
      <c r="H216" s="5" t="n">
        <f aca="true">ROUND(RAND()*4+6,1)</f>
        <v>6.5</v>
      </c>
      <c r="I216" s="5" t="s">
        <v>19</v>
      </c>
      <c r="J216" s="5" t="str">
        <f aca="false">ROUND(62*1,0)&amp;"%"</f>
        <v>62%</v>
      </c>
    </row>
    <row r="217" customFormat="false" ht="15" hidden="false" customHeight="false" outlineLevel="0" collapsed="false">
      <c r="A217" s="6" t="s">
        <v>9145</v>
      </c>
      <c r="B217" s="6" t="s">
        <v>364</v>
      </c>
      <c r="C217" s="6" t="s">
        <v>95</v>
      </c>
      <c r="D217" s="6" t="s">
        <v>22</v>
      </c>
      <c r="E217" s="6" t="n">
        <f aca="false">ROUND(14093*1.05,2)</f>
        <v>14797.65</v>
      </c>
      <c r="F217" s="6" t="s">
        <v>52</v>
      </c>
      <c r="G217" s="6" t="s">
        <v>24</v>
      </c>
      <c r="H217" s="6" t="n">
        <f aca="true">ROUND(RAND()*4+6,1)</f>
        <v>8</v>
      </c>
      <c r="I217" s="6" t="s">
        <v>25</v>
      </c>
      <c r="J217" s="6" t="str">
        <f aca="false">ROUND(79*1,0)&amp;"%"</f>
        <v>79%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9146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9147</v>
      </c>
      <c r="B222" s="5" t="s">
        <v>368</v>
      </c>
      <c r="C222" s="5" t="s">
        <v>114</v>
      </c>
      <c r="D222" s="5" t="s">
        <v>16</v>
      </c>
      <c r="E222" s="5" t="n">
        <f aca="false">ROUND(14293*1.05,2)</f>
        <v>15007.65</v>
      </c>
      <c r="F222" s="5" t="s">
        <v>17</v>
      </c>
      <c r="G222" s="5" t="s">
        <v>18</v>
      </c>
      <c r="H222" s="5" t="n">
        <f aca="true">ROUND(RAND()*4+6,1)</f>
        <v>9.9</v>
      </c>
      <c r="I222" s="5" t="s">
        <v>19</v>
      </c>
      <c r="J222" s="5" t="str">
        <f aca="false">ROUND(87*1,0)&amp;"%"</f>
        <v>87%</v>
      </c>
    </row>
    <row r="223" customFormat="false" ht="15" hidden="false" customHeight="false" outlineLevel="0" collapsed="false">
      <c r="A223" s="6" t="s">
        <v>9148</v>
      </c>
      <c r="B223" s="6" t="s">
        <v>370</v>
      </c>
      <c r="C223" s="6" t="s">
        <v>114</v>
      </c>
      <c r="D223" s="6" t="s">
        <v>22</v>
      </c>
      <c r="E223" s="6" t="n">
        <f aca="false">ROUND(13151*1.05,2)</f>
        <v>13808.55</v>
      </c>
      <c r="F223" s="6" t="s">
        <v>23</v>
      </c>
      <c r="G223" s="6" t="s">
        <v>24</v>
      </c>
      <c r="H223" s="6" t="n">
        <f aca="true">ROUND(RAND()*4+6,1)</f>
        <v>10</v>
      </c>
      <c r="I223" s="6" t="s">
        <v>25</v>
      </c>
      <c r="J223" s="6" t="str">
        <f aca="false">ROUND(84*1,0)&amp;"%"</f>
        <v>84%</v>
      </c>
    </row>
    <row r="224" customFormat="false" ht="15" hidden="false" customHeight="false" outlineLevel="0" collapsed="false">
      <c r="A224" s="5" t="s">
        <v>9149</v>
      </c>
      <c r="B224" s="5" t="s">
        <v>372</v>
      </c>
      <c r="C224" s="5" t="s">
        <v>114</v>
      </c>
      <c r="D224" s="5" t="s">
        <v>28</v>
      </c>
      <c r="E224" s="5" t="n">
        <f aca="false">ROUND(5910*1.05,2)</f>
        <v>6205.5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ROUND(62*1,0)&amp;"%"</f>
        <v>62%</v>
      </c>
    </row>
    <row r="225" customFormat="false" ht="15" hidden="false" customHeight="false" outlineLevel="0" collapsed="false">
      <c r="A225" s="6" t="s">
        <v>9150</v>
      </c>
      <c r="B225" s="6" t="s">
        <v>374</v>
      </c>
      <c r="C225" s="6" t="s">
        <v>114</v>
      </c>
      <c r="D225" s="6" t="s">
        <v>34</v>
      </c>
      <c r="E225" s="6" t="n">
        <f aca="false">ROUND(13635*1.05,2)</f>
        <v>14316.75</v>
      </c>
      <c r="F225" s="6" t="s">
        <v>35</v>
      </c>
      <c r="G225" s="6" t="s">
        <v>18</v>
      </c>
      <c r="H225" s="6" t="n">
        <f aca="true">ROUND(RAND()*4+6,1)</f>
        <v>6.7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9151</v>
      </c>
      <c r="B226" s="5" t="s">
        <v>376</v>
      </c>
      <c r="C226" s="5" t="s">
        <v>114</v>
      </c>
      <c r="D226" s="5" t="s">
        <v>39</v>
      </c>
      <c r="E226" s="5" t="n">
        <f aca="false">ROUND(13272*1.05,2)</f>
        <v>13935.6</v>
      </c>
      <c r="F226" s="5" t="s">
        <v>40</v>
      </c>
      <c r="G226" s="5" t="s">
        <v>24</v>
      </c>
      <c r="H226" s="5" t="n">
        <f aca="true">ROUND(RAND()*4+6,1)</f>
        <v>7.2</v>
      </c>
      <c r="I226" s="5" t="s">
        <v>41</v>
      </c>
      <c r="J226" s="5" t="str">
        <f aca="false">ROUND(75*1,0)&amp;"%"</f>
        <v>75%</v>
      </c>
    </row>
    <row r="227" customFormat="false" ht="15" hidden="false" customHeight="false" outlineLevel="0" collapsed="false">
      <c r="A227" s="6" t="s">
        <v>9152</v>
      </c>
      <c r="B227" s="6" t="s">
        <v>378</v>
      </c>
      <c r="C227" s="6" t="s">
        <v>114</v>
      </c>
      <c r="D227" s="6" t="s">
        <v>44</v>
      </c>
      <c r="E227" s="6" t="n">
        <f aca="false">ROUND(12945*1.05,2)</f>
        <v>13592.25</v>
      </c>
      <c r="F227" s="6" t="s">
        <v>45</v>
      </c>
      <c r="G227" s="6" t="s">
        <v>30</v>
      </c>
      <c r="H227" s="6" t="n">
        <f aca="true">ROUND(RAND()*4+6,1)</f>
        <v>8.9</v>
      </c>
      <c r="I227" s="6" t="s">
        <v>46</v>
      </c>
      <c r="J227" s="6" t="str">
        <f aca="false">ROUND(85*1,0)&amp;"%"</f>
        <v>85%</v>
      </c>
    </row>
    <row r="228" customFormat="false" ht="15" hidden="false" customHeight="false" outlineLevel="0" collapsed="false">
      <c r="A228" s="5" t="s">
        <v>9153</v>
      </c>
      <c r="B228" s="5" t="s">
        <v>380</v>
      </c>
      <c r="C228" s="5" t="s">
        <v>114</v>
      </c>
      <c r="D228" s="5" t="s">
        <v>16</v>
      </c>
      <c r="E228" s="5" t="n">
        <f aca="false">ROUND(13865*1.05,2)</f>
        <v>14558.25</v>
      </c>
      <c r="F228" s="5" t="s">
        <v>49</v>
      </c>
      <c r="G228" s="5" t="s">
        <v>18</v>
      </c>
      <c r="H228" s="5" t="n">
        <f aca="true">ROUND(RAND()*4+6,1)</f>
        <v>6.9</v>
      </c>
      <c r="I228" s="5" t="s">
        <v>19</v>
      </c>
      <c r="J228" s="5" t="str">
        <f aca="false">ROUND(76*1,0)&amp;"%"</f>
        <v>76%</v>
      </c>
    </row>
    <row r="229" customFormat="false" ht="15" hidden="false" customHeight="false" outlineLevel="0" collapsed="false">
      <c r="A229" s="6" t="s">
        <v>9154</v>
      </c>
      <c r="B229" s="6" t="s">
        <v>382</v>
      </c>
      <c r="C229" s="6" t="s">
        <v>114</v>
      </c>
      <c r="D229" s="6" t="s">
        <v>22</v>
      </c>
      <c r="E229" s="6" t="n">
        <f aca="false">ROUND(5045*1.05,2)</f>
        <v>5297.25</v>
      </c>
      <c r="F229" s="6" t="s">
        <v>52</v>
      </c>
      <c r="G229" s="6" t="s">
        <v>24</v>
      </c>
      <c r="H229" s="6" t="n">
        <f aca="true">ROUND(RAND()*4+6,1)</f>
        <v>6.7</v>
      </c>
      <c r="I229" s="6" t="s">
        <v>25</v>
      </c>
      <c r="J229" s="6" t="str">
        <f aca="false">ROUND(98*1,0)&amp;"%"</f>
        <v>98%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9155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9156</v>
      </c>
      <c r="B234" s="5" t="s">
        <v>386</v>
      </c>
      <c r="C234" s="5" t="s">
        <v>133</v>
      </c>
      <c r="D234" s="5" t="s">
        <v>16</v>
      </c>
      <c r="E234" s="5" t="n">
        <f aca="false">ROUND(17433*1.05,2)</f>
        <v>18304.65</v>
      </c>
      <c r="F234" s="5" t="s">
        <v>17</v>
      </c>
      <c r="G234" s="5" t="s">
        <v>18</v>
      </c>
      <c r="H234" s="5" t="n">
        <f aca="true">ROUND(RAND()*4+6,1)</f>
        <v>9.1</v>
      </c>
      <c r="I234" s="5" t="s">
        <v>19</v>
      </c>
      <c r="J234" s="5" t="str">
        <f aca="false">ROUND(61*1,0)&amp;"%"</f>
        <v>61%</v>
      </c>
    </row>
    <row r="235" customFormat="false" ht="15" hidden="false" customHeight="false" outlineLevel="0" collapsed="false">
      <c r="A235" s="6" t="s">
        <v>9157</v>
      </c>
      <c r="B235" s="6" t="s">
        <v>388</v>
      </c>
      <c r="C235" s="6" t="s">
        <v>133</v>
      </c>
      <c r="D235" s="6" t="s">
        <v>22</v>
      </c>
      <c r="E235" s="6" t="n">
        <f aca="false">ROUND(6733*1.05,2)</f>
        <v>7069.65</v>
      </c>
      <c r="F235" s="6" t="s">
        <v>23</v>
      </c>
      <c r="G235" s="6" t="s">
        <v>24</v>
      </c>
      <c r="H235" s="6" t="n">
        <f aca="true">ROUND(RAND()*4+6,1)</f>
        <v>6.1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9158</v>
      </c>
      <c r="B236" s="5" t="s">
        <v>390</v>
      </c>
      <c r="C236" s="5" t="s">
        <v>133</v>
      </c>
      <c r="D236" s="5" t="s">
        <v>28</v>
      </c>
      <c r="E236" s="5" t="n">
        <f aca="false">ROUND(4580*1.05,2)</f>
        <v>4809</v>
      </c>
      <c r="F236" s="5" t="s">
        <v>29</v>
      </c>
      <c r="G236" s="5" t="s">
        <v>30</v>
      </c>
      <c r="H236" s="5" t="n">
        <f aca="true">ROUND(RAND()*4+6,1)</f>
        <v>9.1</v>
      </c>
      <c r="I236" s="5" t="s">
        <v>31</v>
      </c>
      <c r="J236" s="5" t="str">
        <f aca="false">ROUND(78*1,0)&amp;"%"</f>
        <v>78%</v>
      </c>
    </row>
    <row r="237" customFormat="false" ht="15" hidden="false" customHeight="false" outlineLevel="0" collapsed="false">
      <c r="A237" s="6" t="s">
        <v>9159</v>
      </c>
      <c r="B237" s="6" t="s">
        <v>392</v>
      </c>
      <c r="C237" s="6" t="s">
        <v>133</v>
      </c>
      <c r="D237" s="6" t="s">
        <v>34</v>
      </c>
      <c r="E237" s="6" t="n">
        <f aca="false">ROUND(15031*1.05,2)</f>
        <v>15782.55</v>
      </c>
      <c r="F237" s="6" t="s">
        <v>35</v>
      </c>
      <c r="G237" s="6" t="s">
        <v>18</v>
      </c>
      <c r="H237" s="6" t="n">
        <f aca="true">ROUND(RAND()*4+6,1)</f>
        <v>6.1</v>
      </c>
      <c r="I237" s="6" t="s">
        <v>36</v>
      </c>
      <c r="J237" s="6" t="str">
        <f aca="false">ROUND(67*1,0)&amp;"%"</f>
        <v>67%</v>
      </c>
    </row>
    <row r="238" customFormat="false" ht="15" hidden="false" customHeight="false" outlineLevel="0" collapsed="false">
      <c r="A238" s="5" t="s">
        <v>9160</v>
      </c>
      <c r="B238" s="5" t="s">
        <v>394</v>
      </c>
      <c r="C238" s="5" t="s">
        <v>133</v>
      </c>
      <c r="D238" s="5" t="s">
        <v>39</v>
      </c>
      <c r="E238" s="5" t="n">
        <f aca="false">ROUND(14308*1.05,2)</f>
        <v>15023.4</v>
      </c>
      <c r="F238" s="5" t="s">
        <v>40</v>
      </c>
      <c r="G238" s="5" t="s">
        <v>24</v>
      </c>
      <c r="H238" s="5" t="n">
        <f aca="true">ROUND(RAND()*4+6,1)</f>
        <v>9.7</v>
      </c>
      <c r="I238" s="5" t="s">
        <v>41</v>
      </c>
      <c r="J238" s="5" t="str">
        <f aca="false">ROUND(80*1,0)&amp;"%"</f>
        <v>80%</v>
      </c>
    </row>
    <row r="239" customFormat="false" ht="15" hidden="false" customHeight="false" outlineLevel="0" collapsed="false">
      <c r="A239" s="6" t="s">
        <v>9161</v>
      </c>
      <c r="B239" s="6" t="s">
        <v>396</v>
      </c>
      <c r="C239" s="6" t="s">
        <v>133</v>
      </c>
      <c r="D239" s="6" t="s">
        <v>44</v>
      </c>
      <c r="E239" s="6" t="n">
        <f aca="false">ROUND(13079*1.05,2)</f>
        <v>13732.95</v>
      </c>
      <c r="F239" s="6" t="s">
        <v>45</v>
      </c>
      <c r="G239" s="6" t="s">
        <v>30</v>
      </c>
      <c r="H239" s="6" t="n">
        <f aca="true">ROUND(RAND()*4+6,1)</f>
        <v>8.9</v>
      </c>
      <c r="I239" s="6" t="s">
        <v>46</v>
      </c>
      <c r="J239" s="6" t="str">
        <f aca="false">ROUND(96*1,0)&amp;"%"</f>
        <v>96%</v>
      </c>
    </row>
    <row r="240" customFormat="false" ht="15" hidden="false" customHeight="false" outlineLevel="0" collapsed="false">
      <c r="A240" s="5" t="s">
        <v>9162</v>
      </c>
      <c r="B240" s="5" t="s">
        <v>398</v>
      </c>
      <c r="C240" s="5" t="s">
        <v>133</v>
      </c>
      <c r="D240" s="5" t="s">
        <v>16</v>
      </c>
      <c r="E240" s="5" t="n">
        <f aca="false">ROUND(17951*1.05,2)</f>
        <v>18848.55</v>
      </c>
      <c r="F240" s="5" t="s">
        <v>49</v>
      </c>
      <c r="G240" s="5" t="s">
        <v>18</v>
      </c>
      <c r="H240" s="5" t="n">
        <f aca="true">ROUND(RAND()*4+6,1)</f>
        <v>7.6</v>
      </c>
      <c r="I240" s="5" t="s">
        <v>19</v>
      </c>
      <c r="J240" s="5" t="str">
        <f aca="false">ROUND(69*1,0)&amp;"%"</f>
        <v>69%</v>
      </c>
    </row>
    <row r="241" customFormat="false" ht="15" hidden="false" customHeight="false" outlineLevel="0" collapsed="false">
      <c r="A241" s="6" t="s">
        <v>9163</v>
      </c>
      <c r="B241" s="6" t="s">
        <v>400</v>
      </c>
      <c r="C241" s="6" t="s">
        <v>133</v>
      </c>
      <c r="D241" s="6" t="s">
        <v>22</v>
      </c>
      <c r="E241" s="6" t="n">
        <f aca="false">ROUND(14663*1.05,2)</f>
        <v>15396.15</v>
      </c>
      <c r="F241" s="6" t="s">
        <v>52</v>
      </c>
      <c r="G241" s="6" t="s">
        <v>24</v>
      </c>
      <c r="H241" s="6" t="n">
        <f aca="true">ROUND(RAND()*4+6,1)</f>
        <v>6</v>
      </c>
      <c r="I241" s="6" t="s">
        <v>25</v>
      </c>
      <c r="J241" s="6" t="str">
        <f aca="false">ROUND(86*1,0)&amp;"%"</f>
        <v>86%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9164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9165</v>
      </c>
      <c r="B246" s="5" t="s">
        <v>404</v>
      </c>
      <c r="C246" s="5" t="s">
        <v>152</v>
      </c>
      <c r="D246" s="5" t="s">
        <v>16</v>
      </c>
      <c r="E246" s="5" t="n">
        <f aca="false">ROUND(6484*1.05,2)</f>
        <v>6808.2</v>
      </c>
      <c r="F246" s="5" t="s">
        <v>17</v>
      </c>
      <c r="G246" s="5" t="s">
        <v>18</v>
      </c>
      <c r="H246" s="5" t="n">
        <f aca="true">ROUND(RAND()*4+6,1)</f>
        <v>8.3</v>
      </c>
      <c r="I246" s="5" t="s">
        <v>19</v>
      </c>
      <c r="J246" s="5" t="str">
        <f aca="false">ROUND(72*1,0)&amp;"%"</f>
        <v>72%</v>
      </c>
    </row>
    <row r="247" customFormat="false" ht="15" hidden="false" customHeight="false" outlineLevel="0" collapsed="false">
      <c r="A247" s="6" t="s">
        <v>9166</v>
      </c>
      <c r="B247" s="6" t="s">
        <v>406</v>
      </c>
      <c r="C247" s="6" t="s">
        <v>152</v>
      </c>
      <c r="D247" s="6" t="s">
        <v>22</v>
      </c>
      <c r="E247" s="6" t="n">
        <f aca="false">ROUND(9613*1.05,2)</f>
        <v>10093.65</v>
      </c>
      <c r="F247" s="6" t="s">
        <v>23</v>
      </c>
      <c r="G247" s="6" t="s">
        <v>24</v>
      </c>
      <c r="H247" s="6" t="n">
        <f aca="true">ROUND(RAND()*4+6,1)</f>
        <v>8.6</v>
      </c>
      <c r="I247" s="6" t="s">
        <v>25</v>
      </c>
      <c r="J247" s="6" t="str">
        <f aca="false">ROUND(99*1,0)&amp;"%"</f>
        <v>99%</v>
      </c>
    </row>
    <row r="248" customFormat="false" ht="15" hidden="false" customHeight="false" outlineLevel="0" collapsed="false">
      <c r="A248" s="5" t="s">
        <v>9167</v>
      </c>
      <c r="B248" s="5" t="s">
        <v>408</v>
      </c>
      <c r="C248" s="5" t="s">
        <v>152</v>
      </c>
      <c r="D248" s="5" t="s">
        <v>28</v>
      </c>
      <c r="E248" s="5" t="n">
        <f aca="false">ROUND(6517*1.05,2)</f>
        <v>6842.85</v>
      </c>
      <c r="F248" s="5" t="s">
        <v>29</v>
      </c>
      <c r="G248" s="5" t="s">
        <v>30</v>
      </c>
      <c r="H248" s="5" t="n">
        <f aca="true">ROUND(RAND()*4+6,1)</f>
        <v>6.7</v>
      </c>
      <c r="I248" s="5" t="s">
        <v>31</v>
      </c>
      <c r="J248" s="5" t="str">
        <f aca="false">ROUND(91*1,0)&amp;"%"</f>
        <v>91%</v>
      </c>
    </row>
    <row r="249" customFormat="false" ht="15" hidden="false" customHeight="false" outlineLevel="0" collapsed="false">
      <c r="A249" s="6" t="s">
        <v>9168</v>
      </c>
      <c r="B249" s="6" t="s">
        <v>410</v>
      </c>
      <c r="C249" s="6" t="s">
        <v>152</v>
      </c>
      <c r="D249" s="6" t="s">
        <v>34</v>
      </c>
      <c r="E249" s="6" t="n">
        <f aca="false">ROUND(10724*1.05,2)</f>
        <v>11260.2</v>
      </c>
      <c r="F249" s="6" t="s">
        <v>35</v>
      </c>
      <c r="G249" s="6" t="s">
        <v>18</v>
      </c>
      <c r="H249" s="6" t="n">
        <f aca="true">ROUND(RAND()*4+6,1)</f>
        <v>9.8</v>
      </c>
      <c r="I249" s="6" t="s">
        <v>36</v>
      </c>
      <c r="J249" s="6" t="str">
        <f aca="false">ROUND(92*1,0)&amp;"%"</f>
        <v>92%</v>
      </c>
    </row>
    <row r="250" customFormat="false" ht="15" hidden="false" customHeight="false" outlineLevel="0" collapsed="false">
      <c r="A250" s="5" t="s">
        <v>9169</v>
      </c>
      <c r="B250" s="5" t="s">
        <v>412</v>
      </c>
      <c r="C250" s="5" t="s">
        <v>152</v>
      </c>
      <c r="D250" s="5" t="s">
        <v>39</v>
      </c>
      <c r="E250" s="5" t="n">
        <f aca="false">ROUND(14102*1.05,2)</f>
        <v>14807.1</v>
      </c>
      <c r="F250" s="5" t="s">
        <v>40</v>
      </c>
      <c r="G250" s="5" t="s">
        <v>24</v>
      </c>
      <c r="H250" s="5" t="n">
        <f aca="true">ROUND(RAND()*4+6,1)</f>
        <v>6.7</v>
      </c>
      <c r="I250" s="5" t="s">
        <v>41</v>
      </c>
      <c r="J250" s="5" t="str">
        <f aca="false">ROUND(64*1,0)&amp;"%"</f>
        <v>64%</v>
      </c>
    </row>
    <row r="251" customFormat="false" ht="15" hidden="false" customHeight="false" outlineLevel="0" collapsed="false">
      <c r="A251" s="6" t="s">
        <v>9170</v>
      </c>
      <c r="B251" s="6" t="s">
        <v>414</v>
      </c>
      <c r="C251" s="6" t="s">
        <v>152</v>
      </c>
      <c r="D251" s="6" t="s">
        <v>44</v>
      </c>
      <c r="E251" s="6" t="n">
        <f aca="false">ROUND(14238*1.05,2)</f>
        <v>14949.9</v>
      </c>
      <c r="F251" s="6" t="s">
        <v>45</v>
      </c>
      <c r="G251" s="6" t="s">
        <v>30</v>
      </c>
      <c r="H251" s="6" t="n">
        <f aca="true">ROUND(RAND()*4+6,1)</f>
        <v>7.6</v>
      </c>
      <c r="I251" s="6" t="s">
        <v>46</v>
      </c>
      <c r="J251" s="6" t="str">
        <f aca="false">ROUND(97*1,0)&amp;"%"</f>
        <v>97%</v>
      </c>
    </row>
    <row r="252" customFormat="false" ht="15" hidden="false" customHeight="false" outlineLevel="0" collapsed="false">
      <c r="A252" s="5" t="s">
        <v>9171</v>
      </c>
      <c r="B252" s="5" t="s">
        <v>416</v>
      </c>
      <c r="C252" s="5" t="s">
        <v>152</v>
      </c>
      <c r="D252" s="5" t="s">
        <v>16</v>
      </c>
      <c r="E252" s="5" t="n">
        <f aca="false">ROUND(10820*1.05,2)</f>
        <v>11361</v>
      </c>
      <c r="F252" s="5" t="s">
        <v>49</v>
      </c>
      <c r="G252" s="5" t="s">
        <v>18</v>
      </c>
      <c r="H252" s="5" t="n">
        <f aca="true">ROUND(RAND()*4+6,1)</f>
        <v>6.7</v>
      </c>
      <c r="I252" s="5" t="s">
        <v>19</v>
      </c>
      <c r="J252" s="5" t="str">
        <f aca="false">ROUND(67*1,0)&amp;"%"</f>
        <v>67%</v>
      </c>
    </row>
    <row r="253" customFormat="false" ht="15" hidden="false" customHeight="false" outlineLevel="0" collapsed="false">
      <c r="A253" s="6" t="s">
        <v>9172</v>
      </c>
      <c r="B253" s="6" t="s">
        <v>418</v>
      </c>
      <c r="C253" s="6" t="s">
        <v>152</v>
      </c>
      <c r="D253" s="6" t="s">
        <v>22</v>
      </c>
      <c r="E253" s="6" t="n">
        <f aca="false">ROUND(5537*1.05,2)</f>
        <v>5813.85</v>
      </c>
      <c r="F253" s="6" t="s">
        <v>52</v>
      </c>
      <c r="G253" s="6" t="s">
        <v>24</v>
      </c>
      <c r="H253" s="6" t="n">
        <f aca="true">ROUND(RAND()*4+6,1)</f>
        <v>6.8</v>
      </c>
      <c r="I253" s="6" t="s">
        <v>25</v>
      </c>
      <c r="J253" s="6" t="str">
        <f aca="false">ROUND(99*1,0)&amp;"%"</f>
        <v>99%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9173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9174</v>
      </c>
      <c r="B258" s="5" t="s">
        <v>422</v>
      </c>
      <c r="C258" s="5" t="s">
        <v>15</v>
      </c>
      <c r="D258" s="5" t="s">
        <v>16</v>
      </c>
      <c r="E258" s="5" t="n">
        <f aca="false">ROUND(13755*1.05,2)</f>
        <v>14442.75</v>
      </c>
      <c r="F258" s="5" t="s">
        <v>17</v>
      </c>
      <c r="G258" s="5" t="s">
        <v>18</v>
      </c>
      <c r="H258" s="5" t="n">
        <f aca="true">ROUND(RAND()*4+6,1)</f>
        <v>7.2</v>
      </c>
      <c r="I258" s="5" t="s">
        <v>19</v>
      </c>
      <c r="J258" s="5" t="str">
        <f aca="false">ROUND(60*1,0)&amp;"%"</f>
        <v>60%</v>
      </c>
    </row>
    <row r="259" customFormat="false" ht="15" hidden="false" customHeight="false" outlineLevel="0" collapsed="false">
      <c r="A259" s="6" t="s">
        <v>9175</v>
      </c>
      <c r="B259" s="6" t="s">
        <v>424</v>
      </c>
      <c r="C259" s="6" t="s">
        <v>15</v>
      </c>
      <c r="D259" s="6" t="s">
        <v>22</v>
      </c>
      <c r="E259" s="6" t="n">
        <f aca="false">ROUND(9336*1.05,2)</f>
        <v>9802.8</v>
      </c>
      <c r="F259" s="6" t="s">
        <v>23</v>
      </c>
      <c r="G259" s="6" t="s">
        <v>24</v>
      </c>
      <c r="H259" s="6" t="n">
        <f aca="true">ROUND(RAND()*4+6,1)</f>
        <v>8.3</v>
      </c>
      <c r="I259" s="6" t="s">
        <v>25</v>
      </c>
      <c r="J259" s="6" t="str">
        <f aca="false">ROUND(98*1,0)&amp;"%"</f>
        <v>98%</v>
      </c>
    </row>
    <row r="260" customFormat="false" ht="15" hidden="false" customHeight="false" outlineLevel="0" collapsed="false">
      <c r="A260" s="5" t="s">
        <v>9176</v>
      </c>
      <c r="B260" s="5" t="s">
        <v>426</v>
      </c>
      <c r="C260" s="5" t="s">
        <v>15</v>
      </c>
      <c r="D260" s="5" t="s">
        <v>28</v>
      </c>
      <c r="E260" s="5" t="n">
        <f aca="false">ROUND(15272*1.05,2)</f>
        <v>16035.6</v>
      </c>
      <c r="F260" s="5" t="s">
        <v>29</v>
      </c>
      <c r="G260" s="5" t="s">
        <v>30</v>
      </c>
      <c r="H260" s="5" t="n">
        <f aca="true">ROUND(RAND()*4+6,1)</f>
        <v>9.6</v>
      </c>
      <c r="I260" s="5" t="s">
        <v>31</v>
      </c>
      <c r="J260" s="5" t="str">
        <f aca="false">ROUND(98*1,0)&amp;"%"</f>
        <v>98%</v>
      </c>
    </row>
    <row r="261" customFormat="false" ht="15" hidden="false" customHeight="false" outlineLevel="0" collapsed="false">
      <c r="A261" s="6" t="s">
        <v>9177</v>
      </c>
      <c r="B261" s="6" t="s">
        <v>428</v>
      </c>
      <c r="C261" s="6" t="s">
        <v>15</v>
      </c>
      <c r="D261" s="6" t="s">
        <v>34</v>
      </c>
      <c r="E261" s="6" t="n">
        <f aca="false">ROUND(12990*1.05,2)</f>
        <v>13639.5</v>
      </c>
      <c r="F261" s="6" t="s">
        <v>35</v>
      </c>
      <c r="G261" s="6" t="s">
        <v>18</v>
      </c>
      <c r="H261" s="6" t="n">
        <f aca="true">ROUND(RAND()*4+6,1)</f>
        <v>6.5</v>
      </c>
      <c r="I261" s="6" t="s">
        <v>36</v>
      </c>
      <c r="J261" s="6" t="str">
        <f aca="false">ROUND(69*1,0)&amp;"%"</f>
        <v>69%</v>
      </c>
    </row>
    <row r="262" customFormat="false" ht="15" hidden="false" customHeight="false" outlineLevel="0" collapsed="false">
      <c r="A262" s="5" t="s">
        <v>9178</v>
      </c>
      <c r="B262" s="5" t="s">
        <v>430</v>
      </c>
      <c r="C262" s="5" t="s">
        <v>15</v>
      </c>
      <c r="D262" s="5" t="s">
        <v>39</v>
      </c>
      <c r="E262" s="5" t="n">
        <f aca="false">ROUND(5359*1.05,2)</f>
        <v>5626.95</v>
      </c>
      <c r="F262" s="5" t="s">
        <v>40</v>
      </c>
      <c r="G262" s="5" t="s">
        <v>24</v>
      </c>
      <c r="H262" s="5" t="n">
        <f aca="true">ROUND(RAND()*4+6,1)</f>
        <v>6</v>
      </c>
      <c r="I262" s="5" t="s">
        <v>41</v>
      </c>
      <c r="J262" s="5" t="str">
        <f aca="false">ROUND(84*1,0)&amp;"%"</f>
        <v>84%</v>
      </c>
    </row>
    <row r="263" customFormat="false" ht="15" hidden="false" customHeight="false" outlineLevel="0" collapsed="false">
      <c r="A263" s="6" t="s">
        <v>9179</v>
      </c>
      <c r="B263" s="6" t="s">
        <v>432</v>
      </c>
      <c r="C263" s="6" t="s">
        <v>15</v>
      </c>
      <c r="D263" s="6" t="s">
        <v>44</v>
      </c>
      <c r="E263" s="6" t="n">
        <f aca="false">ROUND(15894*1.05,2)</f>
        <v>16688.7</v>
      </c>
      <c r="F263" s="6" t="s">
        <v>45</v>
      </c>
      <c r="G263" s="6" t="s">
        <v>30</v>
      </c>
      <c r="H263" s="6" t="n">
        <f aca="true">ROUND(RAND()*4+6,1)</f>
        <v>6.8</v>
      </c>
      <c r="I263" s="6" t="s">
        <v>46</v>
      </c>
      <c r="J263" s="6" t="str">
        <f aca="false">ROUND(91*1,0)&amp;"%"</f>
        <v>91%</v>
      </c>
    </row>
    <row r="264" customFormat="false" ht="15" hidden="false" customHeight="false" outlineLevel="0" collapsed="false">
      <c r="A264" s="5" t="s">
        <v>9180</v>
      </c>
      <c r="B264" s="5" t="s">
        <v>434</v>
      </c>
      <c r="C264" s="5" t="s">
        <v>15</v>
      </c>
      <c r="D264" s="5" t="s">
        <v>16</v>
      </c>
      <c r="E264" s="5" t="n">
        <f aca="false">ROUND(6306*1.05,2)</f>
        <v>6621.3</v>
      </c>
      <c r="F264" s="5" t="s">
        <v>49</v>
      </c>
      <c r="G264" s="5" t="s">
        <v>18</v>
      </c>
      <c r="H264" s="5" t="n">
        <f aca="true">ROUND(RAND()*4+6,1)</f>
        <v>10</v>
      </c>
      <c r="I264" s="5" t="s">
        <v>19</v>
      </c>
      <c r="J264" s="5" t="str">
        <f aca="false">ROUND(81*1,0)&amp;"%"</f>
        <v>81%</v>
      </c>
    </row>
    <row r="265" customFormat="false" ht="15" hidden="false" customHeight="false" outlineLevel="0" collapsed="false">
      <c r="A265" s="6" t="s">
        <v>9181</v>
      </c>
      <c r="B265" s="6" t="s">
        <v>436</v>
      </c>
      <c r="C265" s="6" t="s">
        <v>15</v>
      </c>
      <c r="D265" s="6" t="s">
        <v>22</v>
      </c>
      <c r="E265" s="6" t="n">
        <f aca="false">ROUND(17106*1.05,2)</f>
        <v>17961.3</v>
      </c>
      <c r="F265" s="6" t="s">
        <v>52</v>
      </c>
      <c r="G265" s="6" t="s">
        <v>24</v>
      </c>
      <c r="H265" s="6" t="n">
        <f aca="true">ROUND(RAND()*4+6,1)</f>
        <v>7.6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9182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9183</v>
      </c>
      <c r="B270" s="5" t="s">
        <v>440</v>
      </c>
      <c r="C270" s="5" t="s">
        <v>57</v>
      </c>
      <c r="D270" s="5" t="s">
        <v>16</v>
      </c>
      <c r="E270" s="5" t="n">
        <f aca="false">ROUND(14896*1.05,2)</f>
        <v>15640.8</v>
      </c>
      <c r="F270" s="5" t="s">
        <v>17</v>
      </c>
      <c r="G270" s="5" t="s">
        <v>18</v>
      </c>
      <c r="H270" s="5" t="n">
        <f aca="true">ROUND(RAND()*4+6,1)</f>
        <v>7.7</v>
      </c>
      <c r="I270" s="5" t="s">
        <v>19</v>
      </c>
      <c r="J270" s="5" t="str">
        <f aca="false">ROUND(96*1,0)&amp;"%"</f>
        <v>96%</v>
      </c>
    </row>
    <row r="271" customFormat="false" ht="15" hidden="false" customHeight="false" outlineLevel="0" collapsed="false">
      <c r="A271" s="6" t="s">
        <v>9184</v>
      </c>
      <c r="B271" s="6" t="s">
        <v>442</v>
      </c>
      <c r="C271" s="6" t="s">
        <v>57</v>
      </c>
      <c r="D271" s="6" t="s">
        <v>22</v>
      </c>
      <c r="E271" s="6" t="n">
        <f aca="false">ROUND(9494*1.05,2)</f>
        <v>9968.7</v>
      </c>
      <c r="F271" s="6" t="s">
        <v>23</v>
      </c>
      <c r="G271" s="6" t="s">
        <v>24</v>
      </c>
      <c r="H271" s="6" t="n">
        <f aca="true">ROUND(RAND()*4+6,1)</f>
        <v>9.1</v>
      </c>
      <c r="I271" s="6" t="s">
        <v>25</v>
      </c>
      <c r="J271" s="6" t="str">
        <f aca="false">ROUND(70*1,0)&amp;"%"</f>
        <v>70%</v>
      </c>
    </row>
    <row r="272" customFormat="false" ht="15" hidden="false" customHeight="false" outlineLevel="0" collapsed="false">
      <c r="A272" s="5" t="s">
        <v>9185</v>
      </c>
      <c r="B272" s="5" t="s">
        <v>444</v>
      </c>
      <c r="C272" s="5" t="s">
        <v>57</v>
      </c>
      <c r="D272" s="5" t="s">
        <v>28</v>
      </c>
      <c r="E272" s="5" t="n">
        <f aca="false">ROUND(9705*1.05,2)</f>
        <v>10190.25</v>
      </c>
      <c r="F272" s="5" t="s">
        <v>29</v>
      </c>
      <c r="G272" s="5" t="s">
        <v>30</v>
      </c>
      <c r="H272" s="5" t="n">
        <f aca="true">ROUND(RAND()*4+6,1)</f>
        <v>7.8</v>
      </c>
      <c r="I272" s="5" t="s">
        <v>31</v>
      </c>
      <c r="J272" s="5" t="str">
        <f aca="false">ROUND(63*1,0)&amp;"%"</f>
        <v>63%</v>
      </c>
    </row>
    <row r="273" customFormat="false" ht="15" hidden="false" customHeight="false" outlineLevel="0" collapsed="false">
      <c r="A273" s="6" t="s">
        <v>9186</v>
      </c>
      <c r="B273" s="6" t="s">
        <v>446</v>
      </c>
      <c r="C273" s="6" t="s">
        <v>57</v>
      </c>
      <c r="D273" s="6" t="s">
        <v>34</v>
      </c>
      <c r="E273" s="6" t="n">
        <f aca="false">ROUND(8938*1.05,2)</f>
        <v>9384.9</v>
      </c>
      <c r="F273" s="6" t="s">
        <v>35</v>
      </c>
      <c r="G273" s="6" t="s">
        <v>18</v>
      </c>
      <c r="H273" s="6" t="n">
        <f aca="true">ROUND(RAND()*4+6,1)</f>
        <v>9.4</v>
      </c>
      <c r="I273" s="6" t="s">
        <v>36</v>
      </c>
      <c r="J273" s="6" t="str">
        <f aca="false">ROUND(75*1,0)&amp;"%"</f>
        <v>75%</v>
      </c>
    </row>
    <row r="274" customFormat="false" ht="15" hidden="false" customHeight="false" outlineLevel="0" collapsed="false">
      <c r="A274" s="5" t="s">
        <v>9187</v>
      </c>
      <c r="B274" s="5" t="s">
        <v>448</v>
      </c>
      <c r="C274" s="5" t="s">
        <v>57</v>
      </c>
      <c r="D274" s="5" t="s">
        <v>39</v>
      </c>
      <c r="E274" s="5" t="n">
        <f aca="false">ROUND(4340*1.05,2)</f>
        <v>4557</v>
      </c>
      <c r="F274" s="5" t="s">
        <v>40</v>
      </c>
      <c r="G274" s="5" t="s">
        <v>24</v>
      </c>
      <c r="H274" s="5" t="n">
        <f aca="true">ROUND(RAND()*4+6,1)</f>
        <v>7.1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9188</v>
      </c>
      <c r="B275" s="6" t="s">
        <v>450</v>
      </c>
      <c r="C275" s="6" t="s">
        <v>57</v>
      </c>
      <c r="D275" s="6" t="s">
        <v>44</v>
      </c>
      <c r="E275" s="6" t="n">
        <f aca="false">ROUND(9914*1.05,2)</f>
        <v>10409.7</v>
      </c>
      <c r="F275" s="6" t="s">
        <v>45</v>
      </c>
      <c r="G275" s="6" t="s">
        <v>30</v>
      </c>
      <c r="H275" s="6" t="n">
        <f aca="true">ROUND(RAND()*4+6,1)</f>
        <v>7.1</v>
      </c>
      <c r="I275" s="6" t="s">
        <v>46</v>
      </c>
      <c r="J275" s="6" t="str">
        <f aca="false">ROUND(92*1,0)&amp;"%"</f>
        <v>92%</v>
      </c>
    </row>
    <row r="276" customFormat="false" ht="15" hidden="false" customHeight="false" outlineLevel="0" collapsed="false">
      <c r="A276" s="5" t="s">
        <v>9189</v>
      </c>
      <c r="B276" s="5" t="s">
        <v>452</v>
      </c>
      <c r="C276" s="5" t="s">
        <v>57</v>
      </c>
      <c r="D276" s="5" t="s">
        <v>16</v>
      </c>
      <c r="E276" s="5" t="n">
        <f aca="false">ROUND(4376*1.05,2)</f>
        <v>4594.8</v>
      </c>
      <c r="F276" s="5" t="s">
        <v>49</v>
      </c>
      <c r="G276" s="5" t="s">
        <v>18</v>
      </c>
      <c r="H276" s="5" t="n">
        <f aca="true">ROUND(RAND()*4+6,1)</f>
        <v>7.3</v>
      </c>
      <c r="I276" s="5" t="s">
        <v>19</v>
      </c>
      <c r="J276" s="5" t="str">
        <f aca="false">ROUND(95*1,0)&amp;"%"</f>
        <v>95%</v>
      </c>
    </row>
    <row r="277" customFormat="false" ht="15" hidden="false" customHeight="false" outlineLevel="0" collapsed="false">
      <c r="A277" s="6" t="s">
        <v>9190</v>
      </c>
      <c r="B277" s="6" t="s">
        <v>454</v>
      </c>
      <c r="C277" s="6" t="s">
        <v>57</v>
      </c>
      <c r="D277" s="6" t="s">
        <v>22</v>
      </c>
      <c r="E277" s="6" t="n">
        <f aca="false">ROUND(9541*1.05,2)</f>
        <v>10018.05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ROUND(81*1,0)&amp;"%"</f>
        <v>81%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9191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9192</v>
      </c>
      <c r="B282" s="5" t="s">
        <v>458</v>
      </c>
      <c r="C282" s="5" t="s">
        <v>76</v>
      </c>
      <c r="D282" s="5" t="s">
        <v>16</v>
      </c>
      <c r="E282" s="5" t="n">
        <f aca="false">ROUND(14355*1.05,2)</f>
        <v>15072.75</v>
      </c>
      <c r="F282" s="5" t="s">
        <v>17</v>
      </c>
      <c r="G282" s="5" t="s">
        <v>18</v>
      </c>
      <c r="H282" s="5" t="n">
        <f aca="true">ROUND(RAND()*4+6,1)</f>
        <v>7.6</v>
      </c>
      <c r="I282" s="5" t="s">
        <v>19</v>
      </c>
      <c r="J282" s="5" t="str">
        <f aca="false">ROUND(91*1,0)&amp;"%"</f>
        <v>91%</v>
      </c>
    </row>
    <row r="283" customFormat="false" ht="15" hidden="false" customHeight="false" outlineLevel="0" collapsed="false">
      <c r="A283" s="6" t="s">
        <v>9193</v>
      </c>
      <c r="B283" s="6" t="s">
        <v>460</v>
      </c>
      <c r="C283" s="6" t="s">
        <v>76</v>
      </c>
      <c r="D283" s="6" t="s">
        <v>22</v>
      </c>
      <c r="E283" s="6" t="n">
        <f aca="false">ROUND(9679*1.05,2)</f>
        <v>10162.95</v>
      </c>
      <c r="F283" s="6" t="s">
        <v>23</v>
      </c>
      <c r="G283" s="6" t="s">
        <v>24</v>
      </c>
      <c r="H283" s="6" t="n">
        <f aca="true">ROUND(RAND()*4+6,1)</f>
        <v>7</v>
      </c>
      <c r="I283" s="6" t="s">
        <v>25</v>
      </c>
      <c r="J283" s="6" t="str">
        <f aca="false">ROUND(82*1,0)&amp;"%"</f>
        <v>82%</v>
      </c>
    </row>
    <row r="284" customFormat="false" ht="15" hidden="false" customHeight="false" outlineLevel="0" collapsed="false">
      <c r="A284" s="5" t="s">
        <v>9194</v>
      </c>
      <c r="B284" s="5" t="s">
        <v>462</v>
      </c>
      <c r="C284" s="5" t="s">
        <v>76</v>
      </c>
      <c r="D284" s="5" t="s">
        <v>28</v>
      </c>
      <c r="E284" s="5" t="n">
        <f aca="false">ROUND(13909*1.05,2)</f>
        <v>14604.45</v>
      </c>
      <c r="F284" s="5" t="s">
        <v>29</v>
      </c>
      <c r="G284" s="5" t="s">
        <v>30</v>
      </c>
      <c r="H284" s="5" t="n">
        <f aca="true">ROUND(RAND()*4+6,1)</f>
        <v>8.4</v>
      </c>
      <c r="I284" s="5" t="s">
        <v>31</v>
      </c>
      <c r="J284" s="5" t="str">
        <f aca="false">ROUND(63*1,0)&amp;"%"</f>
        <v>63%</v>
      </c>
    </row>
    <row r="285" customFormat="false" ht="15" hidden="false" customHeight="false" outlineLevel="0" collapsed="false">
      <c r="A285" s="6" t="s">
        <v>9195</v>
      </c>
      <c r="B285" s="6" t="s">
        <v>464</v>
      </c>
      <c r="C285" s="6" t="s">
        <v>76</v>
      </c>
      <c r="D285" s="6" t="s">
        <v>34</v>
      </c>
      <c r="E285" s="6" t="n">
        <f aca="false">ROUND(9811*1.05,2)</f>
        <v>10301.55</v>
      </c>
      <c r="F285" s="6" t="s">
        <v>35</v>
      </c>
      <c r="G285" s="6" t="s">
        <v>18</v>
      </c>
      <c r="H285" s="6" t="n">
        <f aca="true">ROUND(RAND()*4+6,1)</f>
        <v>6.1</v>
      </c>
      <c r="I285" s="6" t="s">
        <v>36</v>
      </c>
      <c r="J285" s="6" t="str">
        <f aca="false">ROUND(64*1,0)&amp;"%"</f>
        <v>64%</v>
      </c>
    </row>
    <row r="286" customFormat="false" ht="15" hidden="false" customHeight="false" outlineLevel="0" collapsed="false">
      <c r="A286" s="5" t="s">
        <v>9196</v>
      </c>
      <c r="B286" s="5" t="s">
        <v>466</v>
      </c>
      <c r="C286" s="5" t="s">
        <v>76</v>
      </c>
      <c r="D286" s="5" t="s">
        <v>39</v>
      </c>
      <c r="E286" s="5" t="n">
        <f aca="false">ROUND(6985*1.05,2)</f>
        <v>7334.25</v>
      </c>
      <c r="F286" s="5" t="s">
        <v>40</v>
      </c>
      <c r="G286" s="5" t="s">
        <v>24</v>
      </c>
      <c r="H286" s="5" t="n">
        <f aca="true">ROUND(RAND()*4+6,1)</f>
        <v>7.6</v>
      </c>
      <c r="I286" s="5" t="s">
        <v>41</v>
      </c>
      <c r="J286" s="5" t="str">
        <f aca="false">ROUND(75*1,0)&amp;"%"</f>
        <v>75%</v>
      </c>
    </row>
    <row r="287" customFormat="false" ht="15" hidden="false" customHeight="false" outlineLevel="0" collapsed="false">
      <c r="A287" s="6" t="s">
        <v>9197</v>
      </c>
      <c r="B287" s="6" t="s">
        <v>468</v>
      </c>
      <c r="C287" s="6" t="s">
        <v>76</v>
      </c>
      <c r="D287" s="6" t="s">
        <v>44</v>
      </c>
      <c r="E287" s="6" t="n">
        <f aca="false">ROUND(13964*1.05,2)</f>
        <v>14662.2</v>
      </c>
      <c r="F287" s="6" t="s">
        <v>45</v>
      </c>
      <c r="G287" s="6" t="s">
        <v>30</v>
      </c>
      <c r="H287" s="6" t="n">
        <f aca="true">ROUND(RAND()*4+6,1)</f>
        <v>8.5</v>
      </c>
      <c r="I287" s="6" t="s">
        <v>46</v>
      </c>
      <c r="J287" s="6" t="str">
        <f aca="false">ROUND(80*1,0)&amp;"%"</f>
        <v>80%</v>
      </c>
    </row>
    <row r="288" customFormat="false" ht="15" hidden="false" customHeight="false" outlineLevel="0" collapsed="false">
      <c r="A288" s="5" t="s">
        <v>9198</v>
      </c>
      <c r="B288" s="5" t="s">
        <v>470</v>
      </c>
      <c r="C288" s="5" t="s">
        <v>76</v>
      </c>
      <c r="D288" s="5" t="s">
        <v>16</v>
      </c>
      <c r="E288" s="5" t="n">
        <f aca="false">ROUND(13176*1.05,2)</f>
        <v>13834.8</v>
      </c>
      <c r="F288" s="5" t="s">
        <v>49</v>
      </c>
      <c r="G288" s="5" t="s">
        <v>18</v>
      </c>
      <c r="H288" s="5" t="n">
        <f aca="true">ROUND(RAND()*4+6,1)</f>
        <v>6.8</v>
      </c>
      <c r="I288" s="5" t="s">
        <v>19</v>
      </c>
      <c r="J288" s="5" t="str">
        <f aca="false">ROUND(67*1,0)&amp;"%"</f>
        <v>67%</v>
      </c>
    </row>
    <row r="289" customFormat="false" ht="15" hidden="false" customHeight="false" outlineLevel="0" collapsed="false">
      <c r="A289" s="6" t="s">
        <v>9199</v>
      </c>
      <c r="B289" s="6" t="s">
        <v>472</v>
      </c>
      <c r="C289" s="6" t="s">
        <v>76</v>
      </c>
      <c r="D289" s="6" t="s">
        <v>22</v>
      </c>
      <c r="E289" s="6" t="n">
        <f aca="false">ROUND(16175*1.05,2)</f>
        <v>16983.75</v>
      </c>
      <c r="F289" s="6" t="s">
        <v>52</v>
      </c>
      <c r="G289" s="6" t="s">
        <v>24</v>
      </c>
      <c r="H289" s="6" t="n">
        <f aca="true">ROUND(RAND()*4+6,1)</f>
        <v>6.3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9200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9201</v>
      </c>
      <c r="B294" s="5" t="s">
        <v>476</v>
      </c>
      <c r="C294" s="5" t="s">
        <v>95</v>
      </c>
      <c r="D294" s="5" t="s">
        <v>16</v>
      </c>
      <c r="E294" s="5" t="n">
        <f aca="false">ROUND(4609*1.05,2)</f>
        <v>4839.45</v>
      </c>
      <c r="F294" s="5" t="s">
        <v>17</v>
      </c>
      <c r="G294" s="5" t="s">
        <v>18</v>
      </c>
      <c r="H294" s="5" t="n">
        <f aca="true">ROUND(RAND()*4+6,1)</f>
        <v>7</v>
      </c>
      <c r="I294" s="5" t="s">
        <v>19</v>
      </c>
      <c r="J294" s="5" t="str">
        <f aca="false">ROUND(97*1,0)&amp;"%"</f>
        <v>97%</v>
      </c>
    </row>
    <row r="295" customFormat="false" ht="15" hidden="false" customHeight="false" outlineLevel="0" collapsed="false">
      <c r="A295" s="6" t="s">
        <v>9202</v>
      </c>
      <c r="B295" s="6" t="s">
        <v>478</v>
      </c>
      <c r="C295" s="6" t="s">
        <v>95</v>
      </c>
      <c r="D295" s="6" t="s">
        <v>22</v>
      </c>
      <c r="E295" s="6" t="n">
        <f aca="false">ROUND(5157*1.05,2)</f>
        <v>5414.85</v>
      </c>
      <c r="F295" s="6" t="s">
        <v>23</v>
      </c>
      <c r="G295" s="6" t="s">
        <v>24</v>
      </c>
      <c r="H295" s="6" t="n">
        <f aca="true">ROUND(RAND()*4+6,1)</f>
        <v>9.7</v>
      </c>
      <c r="I295" s="6" t="s">
        <v>25</v>
      </c>
      <c r="J295" s="6" t="str">
        <f aca="false">ROUND(91*1,0)&amp;"%"</f>
        <v>91%</v>
      </c>
    </row>
    <row r="296" customFormat="false" ht="15" hidden="false" customHeight="false" outlineLevel="0" collapsed="false">
      <c r="A296" s="5" t="s">
        <v>9203</v>
      </c>
      <c r="B296" s="5" t="s">
        <v>480</v>
      </c>
      <c r="C296" s="5" t="s">
        <v>95</v>
      </c>
      <c r="D296" s="5" t="s">
        <v>28</v>
      </c>
      <c r="E296" s="5" t="n">
        <f aca="false">ROUND(8541*1.05,2)</f>
        <v>8968.05</v>
      </c>
      <c r="F296" s="5" t="s">
        <v>29</v>
      </c>
      <c r="G296" s="5" t="s">
        <v>30</v>
      </c>
      <c r="H296" s="5" t="n">
        <f aca="true">ROUND(RAND()*4+6,1)</f>
        <v>6.6</v>
      </c>
      <c r="I296" s="5" t="s">
        <v>31</v>
      </c>
      <c r="J296" s="5" t="str">
        <f aca="false">ROUND(97*1,0)&amp;"%"</f>
        <v>97%</v>
      </c>
    </row>
    <row r="297" customFormat="false" ht="15" hidden="false" customHeight="false" outlineLevel="0" collapsed="false">
      <c r="A297" s="6" t="s">
        <v>9204</v>
      </c>
      <c r="B297" s="6" t="s">
        <v>482</v>
      </c>
      <c r="C297" s="6" t="s">
        <v>95</v>
      </c>
      <c r="D297" s="6" t="s">
        <v>34</v>
      </c>
      <c r="E297" s="6" t="n">
        <f aca="false">ROUND(15548*1.05,2)</f>
        <v>16325.4</v>
      </c>
      <c r="F297" s="6" t="s">
        <v>35</v>
      </c>
      <c r="G297" s="6" t="s">
        <v>18</v>
      </c>
      <c r="H297" s="6" t="n">
        <f aca="true">ROUND(RAND()*4+6,1)</f>
        <v>9.9</v>
      </c>
      <c r="I297" s="6" t="s">
        <v>36</v>
      </c>
      <c r="J297" s="6" t="str">
        <f aca="false">ROUND(77*1,0)&amp;"%"</f>
        <v>77%</v>
      </c>
    </row>
    <row r="298" customFormat="false" ht="15" hidden="false" customHeight="false" outlineLevel="0" collapsed="false">
      <c r="A298" s="5" t="s">
        <v>9205</v>
      </c>
      <c r="B298" s="5" t="s">
        <v>484</v>
      </c>
      <c r="C298" s="5" t="s">
        <v>95</v>
      </c>
      <c r="D298" s="5" t="s">
        <v>39</v>
      </c>
      <c r="E298" s="5" t="n">
        <f aca="false">ROUND(16364*1.05,2)</f>
        <v>17182.2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ROUND(96*1,0)&amp;"%"</f>
        <v>96%</v>
      </c>
    </row>
    <row r="299" customFormat="false" ht="15" hidden="false" customHeight="false" outlineLevel="0" collapsed="false">
      <c r="A299" s="6" t="s">
        <v>9206</v>
      </c>
      <c r="B299" s="6" t="s">
        <v>486</v>
      </c>
      <c r="C299" s="6" t="s">
        <v>95</v>
      </c>
      <c r="D299" s="6" t="s">
        <v>44</v>
      </c>
      <c r="E299" s="6" t="n">
        <f aca="false">ROUND(15121*1.05,2)</f>
        <v>15877.05</v>
      </c>
      <c r="F299" s="6" t="s">
        <v>45</v>
      </c>
      <c r="G299" s="6" t="s">
        <v>30</v>
      </c>
      <c r="H299" s="6" t="n">
        <f aca="true">ROUND(RAND()*4+6,1)</f>
        <v>6.6</v>
      </c>
      <c r="I299" s="6" t="s">
        <v>46</v>
      </c>
      <c r="J299" s="6" t="str">
        <f aca="false">ROUND(69*1,0)&amp;"%"</f>
        <v>69%</v>
      </c>
    </row>
    <row r="300" customFormat="false" ht="15" hidden="false" customHeight="false" outlineLevel="0" collapsed="false">
      <c r="A300" s="5" t="s">
        <v>9207</v>
      </c>
      <c r="B300" s="5" t="s">
        <v>488</v>
      </c>
      <c r="C300" s="5" t="s">
        <v>95</v>
      </c>
      <c r="D300" s="5" t="s">
        <v>16</v>
      </c>
      <c r="E300" s="5" t="n">
        <f aca="false">ROUND(13314*1.05,2)</f>
        <v>13979.7</v>
      </c>
      <c r="F300" s="5" t="s">
        <v>49</v>
      </c>
      <c r="G300" s="5" t="s">
        <v>18</v>
      </c>
      <c r="H300" s="5" t="n">
        <f aca="true">ROUND(RAND()*4+6,1)</f>
        <v>7.8</v>
      </c>
      <c r="I300" s="5" t="s">
        <v>19</v>
      </c>
      <c r="J300" s="5" t="str">
        <f aca="false">ROUND(87*1,0)&amp;"%"</f>
        <v>87%</v>
      </c>
    </row>
    <row r="301" customFormat="false" ht="15" hidden="false" customHeight="false" outlineLevel="0" collapsed="false">
      <c r="A301" s="6" t="s">
        <v>9208</v>
      </c>
      <c r="B301" s="6" t="s">
        <v>490</v>
      </c>
      <c r="C301" s="6" t="s">
        <v>95</v>
      </c>
      <c r="D301" s="6" t="s">
        <v>22</v>
      </c>
      <c r="E301" s="6" t="n">
        <f aca="false">ROUND(9907*1.05,2)</f>
        <v>10402.35</v>
      </c>
      <c r="F301" s="6" t="s">
        <v>52</v>
      </c>
      <c r="G301" s="6" t="s">
        <v>24</v>
      </c>
      <c r="H301" s="6" t="n">
        <f aca="true">ROUND(RAND()*4+6,1)</f>
        <v>8.1</v>
      </c>
      <c r="I301" s="6" t="s">
        <v>25</v>
      </c>
      <c r="J301" s="6" t="str">
        <f aca="false">ROUND(63*1,0)&amp;"%"</f>
        <v>63%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9209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9210</v>
      </c>
      <c r="B306" s="5" t="s">
        <v>494</v>
      </c>
      <c r="C306" s="5" t="s">
        <v>114</v>
      </c>
      <c r="D306" s="5" t="s">
        <v>16</v>
      </c>
      <c r="E306" s="5" t="n">
        <f aca="false">ROUND(13382*1.05,2)</f>
        <v>14051.1</v>
      </c>
      <c r="F306" s="5" t="s">
        <v>17</v>
      </c>
      <c r="G306" s="5" t="s">
        <v>18</v>
      </c>
      <c r="H306" s="5" t="n">
        <f aca="true">ROUND(RAND()*4+6,1)</f>
        <v>7.5</v>
      </c>
      <c r="I306" s="5" t="s">
        <v>19</v>
      </c>
      <c r="J306" s="5" t="str">
        <f aca="false">ROUND(95*1,0)&amp;"%"</f>
        <v>95%</v>
      </c>
    </row>
    <row r="307" customFormat="false" ht="15" hidden="false" customHeight="false" outlineLevel="0" collapsed="false">
      <c r="A307" s="6" t="s">
        <v>9211</v>
      </c>
      <c r="B307" s="6" t="s">
        <v>496</v>
      </c>
      <c r="C307" s="6" t="s">
        <v>114</v>
      </c>
      <c r="D307" s="6" t="s">
        <v>22</v>
      </c>
      <c r="E307" s="6" t="n">
        <f aca="false">ROUND(16448*1.05,2)</f>
        <v>17270.4</v>
      </c>
      <c r="F307" s="6" t="s">
        <v>23</v>
      </c>
      <c r="G307" s="6" t="s">
        <v>24</v>
      </c>
      <c r="H307" s="6" t="n">
        <f aca="true">ROUND(RAND()*4+6,1)</f>
        <v>8.9</v>
      </c>
      <c r="I307" s="6" t="s">
        <v>25</v>
      </c>
      <c r="J307" s="6" t="str">
        <f aca="false">ROUND(80*1,0)&amp;"%"</f>
        <v>80%</v>
      </c>
    </row>
    <row r="308" customFormat="false" ht="15" hidden="false" customHeight="false" outlineLevel="0" collapsed="false">
      <c r="A308" s="5" t="s">
        <v>9212</v>
      </c>
      <c r="B308" s="5" t="s">
        <v>498</v>
      </c>
      <c r="C308" s="5" t="s">
        <v>114</v>
      </c>
      <c r="D308" s="5" t="s">
        <v>28</v>
      </c>
      <c r="E308" s="5" t="n">
        <f aca="false">ROUND(7603*1.05,2)</f>
        <v>7983.15</v>
      </c>
      <c r="F308" s="5" t="s">
        <v>29</v>
      </c>
      <c r="G308" s="5" t="s">
        <v>30</v>
      </c>
      <c r="H308" s="5" t="n">
        <f aca="true">ROUND(RAND()*4+6,1)</f>
        <v>9</v>
      </c>
      <c r="I308" s="5" t="s">
        <v>31</v>
      </c>
      <c r="J308" s="5" t="str">
        <f aca="false">ROUND(61*1,0)&amp;"%"</f>
        <v>61%</v>
      </c>
    </row>
    <row r="309" customFormat="false" ht="15" hidden="false" customHeight="false" outlineLevel="0" collapsed="false">
      <c r="A309" s="6" t="s">
        <v>9213</v>
      </c>
      <c r="B309" s="6" t="s">
        <v>500</v>
      </c>
      <c r="C309" s="6" t="s">
        <v>114</v>
      </c>
      <c r="D309" s="6" t="s">
        <v>34</v>
      </c>
      <c r="E309" s="6" t="n">
        <f aca="false">ROUND(4324*1.05,2)</f>
        <v>4540.2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ROUND(67*1,0)&amp;"%"</f>
        <v>67%</v>
      </c>
    </row>
    <row r="310" customFormat="false" ht="15" hidden="false" customHeight="false" outlineLevel="0" collapsed="false">
      <c r="A310" s="5" t="s">
        <v>9214</v>
      </c>
      <c r="B310" s="5" t="s">
        <v>502</v>
      </c>
      <c r="C310" s="5" t="s">
        <v>114</v>
      </c>
      <c r="D310" s="5" t="s">
        <v>39</v>
      </c>
      <c r="E310" s="5" t="n">
        <f aca="false">ROUND(12915*1.05,2)</f>
        <v>13560.75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ROUND(60*1,0)&amp;"%"</f>
        <v>60%</v>
      </c>
    </row>
    <row r="311" customFormat="false" ht="15" hidden="false" customHeight="false" outlineLevel="0" collapsed="false">
      <c r="A311" s="6" t="s">
        <v>9215</v>
      </c>
      <c r="B311" s="6" t="s">
        <v>504</v>
      </c>
      <c r="C311" s="6" t="s">
        <v>114</v>
      </c>
      <c r="D311" s="6" t="s">
        <v>44</v>
      </c>
      <c r="E311" s="6" t="n">
        <f aca="false">ROUND(6966*1.05,2)</f>
        <v>7314.3</v>
      </c>
      <c r="F311" s="6" t="s">
        <v>45</v>
      </c>
      <c r="G311" s="6" t="s">
        <v>30</v>
      </c>
      <c r="H311" s="6" t="n">
        <f aca="true">ROUND(RAND()*4+6,1)</f>
        <v>9.8</v>
      </c>
      <c r="I311" s="6" t="s">
        <v>46</v>
      </c>
      <c r="J311" s="6" t="str">
        <f aca="false">ROUND(100*1,0)&amp;"%"</f>
        <v>100%</v>
      </c>
    </row>
    <row r="312" customFormat="false" ht="15" hidden="false" customHeight="false" outlineLevel="0" collapsed="false">
      <c r="A312" s="5" t="s">
        <v>9216</v>
      </c>
      <c r="B312" s="5" t="s">
        <v>506</v>
      </c>
      <c r="C312" s="5" t="s">
        <v>114</v>
      </c>
      <c r="D312" s="5" t="s">
        <v>16</v>
      </c>
      <c r="E312" s="5" t="n">
        <f aca="false">ROUND(11075*1.05,2)</f>
        <v>11628.75</v>
      </c>
      <c r="F312" s="5" t="s">
        <v>49</v>
      </c>
      <c r="G312" s="5" t="s">
        <v>18</v>
      </c>
      <c r="H312" s="5" t="n">
        <f aca="true">ROUND(RAND()*4+6,1)</f>
        <v>6.8</v>
      </c>
      <c r="I312" s="5" t="s">
        <v>19</v>
      </c>
      <c r="J312" s="5" t="str">
        <f aca="false">ROUND(80*1,0)&amp;"%"</f>
        <v>80%</v>
      </c>
    </row>
    <row r="313" customFormat="false" ht="15" hidden="false" customHeight="false" outlineLevel="0" collapsed="false">
      <c r="A313" s="6" t="s">
        <v>9217</v>
      </c>
      <c r="B313" s="6" t="s">
        <v>508</v>
      </c>
      <c r="C313" s="6" t="s">
        <v>114</v>
      </c>
      <c r="D313" s="6" t="s">
        <v>22</v>
      </c>
      <c r="E313" s="6" t="n">
        <f aca="false">ROUND(6706*1.05,2)</f>
        <v>7041.3</v>
      </c>
      <c r="F313" s="6" t="s">
        <v>52</v>
      </c>
      <c r="G313" s="6" t="s">
        <v>24</v>
      </c>
      <c r="H313" s="6" t="n">
        <f aca="true">ROUND(RAND()*4+6,1)</f>
        <v>6.1</v>
      </c>
      <c r="I313" s="6" t="s">
        <v>25</v>
      </c>
      <c r="J313" s="6" t="str">
        <f aca="false">ROUND(91*1,0)&amp;"%"</f>
        <v>91%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9218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9219</v>
      </c>
      <c r="B318" s="5" t="s">
        <v>512</v>
      </c>
      <c r="C318" s="5" t="s">
        <v>133</v>
      </c>
      <c r="D318" s="5" t="s">
        <v>16</v>
      </c>
      <c r="E318" s="5" t="n">
        <f aca="false">ROUND(17889*1.05,2)</f>
        <v>18783.45</v>
      </c>
      <c r="F318" s="5" t="s">
        <v>17</v>
      </c>
      <c r="G318" s="5" t="s">
        <v>18</v>
      </c>
      <c r="H318" s="5" t="n">
        <f aca="true">ROUND(RAND()*4+6,1)</f>
        <v>7.7</v>
      </c>
      <c r="I318" s="5" t="s">
        <v>19</v>
      </c>
      <c r="J318" s="5" t="str">
        <f aca="false">ROUND(69*1,0)&amp;"%"</f>
        <v>69%</v>
      </c>
    </row>
    <row r="319" customFormat="false" ht="15" hidden="false" customHeight="false" outlineLevel="0" collapsed="false">
      <c r="A319" s="6" t="s">
        <v>9220</v>
      </c>
      <c r="B319" s="6" t="s">
        <v>514</v>
      </c>
      <c r="C319" s="6" t="s">
        <v>133</v>
      </c>
      <c r="D319" s="6" t="s">
        <v>22</v>
      </c>
      <c r="E319" s="6" t="n">
        <f aca="false">ROUND(5867*1.05,2)</f>
        <v>6160.35</v>
      </c>
      <c r="F319" s="6" t="s">
        <v>23</v>
      </c>
      <c r="G319" s="6" t="s">
        <v>24</v>
      </c>
      <c r="H319" s="6" t="n">
        <f aca="true">ROUND(RAND()*4+6,1)</f>
        <v>8.6</v>
      </c>
      <c r="I319" s="6" t="s">
        <v>25</v>
      </c>
      <c r="J319" s="6" t="str">
        <f aca="false">ROUND(96*1,0)&amp;"%"</f>
        <v>96%</v>
      </c>
    </row>
    <row r="320" customFormat="false" ht="15" hidden="false" customHeight="false" outlineLevel="0" collapsed="false">
      <c r="A320" s="5" t="s">
        <v>9221</v>
      </c>
      <c r="B320" s="5" t="s">
        <v>516</v>
      </c>
      <c r="C320" s="5" t="s">
        <v>133</v>
      </c>
      <c r="D320" s="5" t="s">
        <v>28</v>
      </c>
      <c r="E320" s="5" t="n">
        <f aca="false">ROUND(8157*1.05,2)</f>
        <v>8564.85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9222</v>
      </c>
      <c r="B321" s="6" t="s">
        <v>518</v>
      </c>
      <c r="C321" s="6" t="s">
        <v>133</v>
      </c>
      <c r="D321" s="6" t="s">
        <v>34</v>
      </c>
      <c r="E321" s="6" t="n">
        <f aca="false">ROUND(12726*1.05,2)</f>
        <v>13362.3</v>
      </c>
      <c r="F321" s="6" t="s">
        <v>35</v>
      </c>
      <c r="G321" s="6" t="s">
        <v>18</v>
      </c>
      <c r="H321" s="6" t="n">
        <f aca="true">ROUND(RAND()*4+6,1)</f>
        <v>6.7</v>
      </c>
      <c r="I321" s="6" t="s">
        <v>36</v>
      </c>
      <c r="J321" s="6" t="str">
        <f aca="false">ROUND(92*1,0)&amp;"%"</f>
        <v>92%</v>
      </c>
    </row>
    <row r="322" customFormat="false" ht="15" hidden="false" customHeight="false" outlineLevel="0" collapsed="false">
      <c r="A322" s="5" t="s">
        <v>9223</v>
      </c>
      <c r="B322" s="5" t="s">
        <v>520</v>
      </c>
      <c r="C322" s="5" t="s">
        <v>133</v>
      </c>
      <c r="D322" s="5" t="s">
        <v>39</v>
      </c>
      <c r="E322" s="5" t="n">
        <f aca="false">ROUND(17912*1.05,2)</f>
        <v>18807.6</v>
      </c>
      <c r="F322" s="5" t="s">
        <v>40</v>
      </c>
      <c r="G322" s="5" t="s">
        <v>24</v>
      </c>
      <c r="H322" s="5" t="n">
        <f aca="true">ROUND(RAND()*4+6,1)</f>
        <v>8.1</v>
      </c>
      <c r="I322" s="5" t="s">
        <v>41</v>
      </c>
      <c r="J322" s="5" t="str">
        <f aca="false">ROUND(80*1,0)&amp;"%"</f>
        <v>80%</v>
      </c>
    </row>
    <row r="323" customFormat="false" ht="15" hidden="false" customHeight="false" outlineLevel="0" collapsed="false">
      <c r="A323" s="6" t="s">
        <v>9224</v>
      </c>
      <c r="B323" s="6" t="s">
        <v>522</v>
      </c>
      <c r="C323" s="6" t="s">
        <v>133</v>
      </c>
      <c r="D323" s="6" t="s">
        <v>44</v>
      </c>
      <c r="E323" s="6" t="n">
        <f aca="false">ROUND(6680*1.05,2)</f>
        <v>7014</v>
      </c>
      <c r="F323" s="6" t="s">
        <v>45</v>
      </c>
      <c r="G323" s="6" t="s">
        <v>30</v>
      </c>
      <c r="H323" s="6" t="n">
        <f aca="true">ROUND(RAND()*4+6,1)</f>
        <v>8.9</v>
      </c>
      <c r="I323" s="6" t="s">
        <v>46</v>
      </c>
      <c r="J323" s="6" t="str">
        <f aca="false">ROUND(70*1,0)&amp;"%"</f>
        <v>70%</v>
      </c>
    </row>
    <row r="324" customFormat="false" ht="15" hidden="false" customHeight="false" outlineLevel="0" collapsed="false">
      <c r="A324" s="5" t="s">
        <v>9225</v>
      </c>
      <c r="B324" s="5" t="s">
        <v>524</v>
      </c>
      <c r="C324" s="5" t="s">
        <v>133</v>
      </c>
      <c r="D324" s="5" t="s">
        <v>16</v>
      </c>
      <c r="E324" s="5" t="n">
        <f aca="false">ROUND(9462*1.05,2)</f>
        <v>9935.1</v>
      </c>
      <c r="F324" s="5" t="s">
        <v>49</v>
      </c>
      <c r="G324" s="5" t="s">
        <v>18</v>
      </c>
      <c r="H324" s="5" t="n">
        <f aca="true">ROUND(RAND()*4+6,1)</f>
        <v>8.6</v>
      </c>
      <c r="I324" s="5" t="s">
        <v>19</v>
      </c>
      <c r="J324" s="5" t="str">
        <f aca="false">ROUND(79*1,0)&amp;"%"</f>
        <v>79%</v>
      </c>
    </row>
    <row r="325" customFormat="false" ht="15" hidden="false" customHeight="false" outlineLevel="0" collapsed="false">
      <c r="A325" s="6" t="s">
        <v>9226</v>
      </c>
      <c r="B325" s="6" t="s">
        <v>526</v>
      </c>
      <c r="C325" s="6" t="s">
        <v>133</v>
      </c>
      <c r="D325" s="6" t="s">
        <v>22</v>
      </c>
      <c r="E325" s="6" t="n">
        <f aca="false">ROUND(17950*1.05,2)</f>
        <v>18847.5</v>
      </c>
      <c r="F325" s="6" t="s">
        <v>52</v>
      </c>
      <c r="G325" s="6" t="s">
        <v>24</v>
      </c>
      <c r="H325" s="6" t="n">
        <f aca="true">ROUND(RAND()*4+6,1)</f>
        <v>9.9</v>
      </c>
      <c r="I325" s="6" t="s">
        <v>25</v>
      </c>
      <c r="J325" s="6" t="str">
        <f aca="false">ROUND(79*1,0)&amp;"%"</f>
        <v>79%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9227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9228</v>
      </c>
      <c r="B330" s="5" t="s">
        <v>530</v>
      </c>
      <c r="C330" s="5" t="s">
        <v>152</v>
      </c>
      <c r="D330" s="5" t="s">
        <v>16</v>
      </c>
      <c r="E330" s="5" t="n">
        <f aca="false">ROUND(17558*1.05,2)</f>
        <v>18435.9</v>
      </c>
      <c r="F330" s="5" t="s">
        <v>17</v>
      </c>
      <c r="G330" s="5" t="s">
        <v>18</v>
      </c>
      <c r="H330" s="5" t="n">
        <f aca="true">ROUND(RAND()*4+6,1)</f>
        <v>8.7</v>
      </c>
      <c r="I330" s="5" t="s">
        <v>19</v>
      </c>
      <c r="J330" s="5" t="str">
        <f aca="false">ROUND(98*1,0)&amp;"%"</f>
        <v>98%</v>
      </c>
    </row>
    <row r="331" customFormat="false" ht="15" hidden="false" customHeight="false" outlineLevel="0" collapsed="false">
      <c r="A331" s="6" t="s">
        <v>9229</v>
      </c>
      <c r="B331" s="6" t="s">
        <v>532</v>
      </c>
      <c r="C331" s="6" t="s">
        <v>152</v>
      </c>
      <c r="D331" s="6" t="s">
        <v>22</v>
      </c>
      <c r="E331" s="6" t="n">
        <f aca="false">ROUND(7081*1.05,2)</f>
        <v>7435.05</v>
      </c>
      <c r="F331" s="6" t="s">
        <v>23</v>
      </c>
      <c r="G331" s="6" t="s">
        <v>24</v>
      </c>
      <c r="H331" s="6" t="n">
        <f aca="true">ROUND(RAND()*4+6,1)</f>
        <v>9.2</v>
      </c>
      <c r="I331" s="6" t="s">
        <v>25</v>
      </c>
      <c r="J331" s="6" t="str">
        <f aca="false">ROUND(77*1,0)&amp;"%"</f>
        <v>77%</v>
      </c>
    </row>
    <row r="332" customFormat="false" ht="15" hidden="false" customHeight="false" outlineLevel="0" collapsed="false">
      <c r="A332" s="5" t="s">
        <v>9230</v>
      </c>
      <c r="B332" s="5" t="s">
        <v>534</v>
      </c>
      <c r="C332" s="5" t="s">
        <v>152</v>
      </c>
      <c r="D332" s="5" t="s">
        <v>28</v>
      </c>
      <c r="E332" s="5" t="n">
        <f aca="false">ROUND(10560*1.05,2)</f>
        <v>11088</v>
      </c>
      <c r="F332" s="5" t="s">
        <v>29</v>
      </c>
      <c r="G332" s="5" t="s">
        <v>30</v>
      </c>
      <c r="H332" s="5" t="n">
        <f aca="true">ROUND(RAND()*4+6,1)</f>
        <v>9.9</v>
      </c>
      <c r="I332" s="5" t="s">
        <v>31</v>
      </c>
      <c r="J332" s="5" t="str">
        <f aca="false">ROUND(95*1,0)&amp;"%"</f>
        <v>95%</v>
      </c>
    </row>
    <row r="333" customFormat="false" ht="15" hidden="false" customHeight="false" outlineLevel="0" collapsed="false">
      <c r="A333" s="6" t="s">
        <v>9231</v>
      </c>
      <c r="B333" s="6" t="s">
        <v>536</v>
      </c>
      <c r="C333" s="6" t="s">
        <v>152</v>
      </c>
      <c r="D333" s="6" t="s">
        <v>34</v>
      </c>
      <c r="E333" s="6" t="n">
        <f aca="false">ROUND(16561*1.05,2)</f>
        <v>17389.05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ROUND(81*1,0)&amp;"%"</f>
        <v>81%</v>
      </c>
    </row>
    <row r="334" customFormat="false" ht="15" hidden="false" customHeight="false" outlineLevel="0" collapsed="false">
      <c r="A334" s="5" t="s">
        <v>9232</v>
      </c>
      <c r="B334" s="5" t="s">
        <v>538</v>
      </c>
      <c r="C334" s="5" t="s">
        <v>152</v>
      </c>
      <c r="D334" s="5" t="s">
        <v>39</v>
      </c>
      <c r="E334" s="5" t="n">
        <f aca="false">ROUND(17568*1.05,2)</f>
        <v>18446.4</v>
      </c>
      <c r="F334" s="5" t="s">
        <v>40</v>
      </c>
      <c r="G334" s="5" t="s">
        <v>24</v>
      </c>
      <c r="H334" s="5" t="n">
        <f aca="true">ROUND(RAND()*4+6,1)</f>
        <v>7.5</v>
      </c>
      <c r="I334" s="5" t="s">
        <v>41</v>
      </c>
      <c r="J334" s="5" t="str">
        <f aca="false">ROUND(72*1,0)&amp;"%"</f>
        <v>72%</v>
      </c>
    </row>
    <row r="335" customFormat="false" ht="15" hidden="false" customHeight="false" outlineLevel="0" collapsed="false">
      <c r="A335" s="6" t="s">
        <v>9233</v>
      </c>
      <c r="B335" s="6" t="s">
        <v>540</v>
      </c>
      <c r="C335" s="6" t="s">
        <v>152</v>
      </c>
      <c r="D335" s="6" t="s">
        <v>44</v>
      </c>
      <c r="E335" s="6" t="n">
        <f aca="false">ROUND(7584*1.05,2)</f>
        <v>7963.2</v>
      </c>
      <c r="F335" s="6" t="s">
        <v>45</v>
      </c>
      <c r="G335" s="6" t="s">
        <v>30</v>
      </c>
      <c r="H335" s="6" t="n">
        <f aca="true">ROUND(RAND()*4+6,1)</f>
        <v>7.3</v>
      </c>
      <c r="I335" s="6" t="s">
        <v>46</v>
      </c>
      <c r="J335" s="6" t="str">
        <f aca="false">ROUND(73*1,0)&amp;"%"</f>
        <v>73%</v>
      </c>
    </row>
    <row r="336" customFormat="false" ht="15" hidden="false" customHeight="false" outlineLevel="0" collapsed="false">
      <c r="A336" s="5" t="s">
        <v>9234</v>
      </c>
      <c r="B336" s="5" t="s">
        <v>542</v>
      </c>
      <c r="C336" s="5" t="s">
        <v>152</v>
      </c>
      <c r="D336" s="5" t="s">
        <v>16</v>
      </c>
      <c r="E336" s="5" t="n">
        <f aca="false">ROUND(11413*1.05,2)</f>
        <v>11983.65</v>
      </c>
      <c r="F336" s="5" t="s">
        <v>49</v>
      </c>
      <c r="G336" s="5" t="s">
        <v>18</v>
      </c>
      <c r="H336" s="5" t="n">
        <f aca="true">ROUND(RAND()*4+6,1)</f>
        <v>8.5</v>
      </c>
      <c r="I336" s="5" t="s">
        <v>19</v>
      </c>
      <c r="J336" s="5" t="str">
        <f aca="false">ROUND(98*1,0)&amp;"%"</f>
        <v>98%</v>
      </c>
    </row>
    <row r="337" customFormat="false" ht="15" hidden="false" customHeight="false" outlineLevel="0" collapsed="false">
      <c r="A337" s="6" t="s">
        <v>9235</v>
      </c>
      <c r="B337" s="6" t="s">
        <v>544</v>
      </c>
      <c r="C337" s="6" t="s">
        <v>152</v>
      </c>
      <c r="D337" s="6" t="s">
        <v>22</v>
      </c>
      <c r="E337" s="6" t="n">
        <f aca="false">ROUND(15016*1.05,2)</f>
        <v>15766.8</v>
      </c>
      <c r="F337" s="6" t="s">
        <v>52</v>
      </c>
      <c r="G337" s="6" t="s">
        <v>24</v>
      </c>
      <c r="H337" s="6" t="n">
        <f aca="true">ROUND(RAND()*4+6,1)</f>
        <v>9.2</v>
      </c>
      <c r="I337" s="6" t="s">
        <v>25</v>
      </c>
      <c r="J337" s="6" t="str">
        <f aca="false">ROUND(88*1,0)&amp;"%"</f>
        <v>88%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9236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9237</v>
      </c>
      <c r="B342" s="5" t="s">
        <v>548</v>
      </c>
      <c r="C342" s="5" t="s">
        <v>15</v>
      </c>
      <c r="D342" s="5" t="s">
        <v>16</v>
      </c>
      <c r="E342" s="5" t="n">
        <f aca="false">ROUND(9047*1.05,2)</f>
        <v>9499.35</v>
      </c>
      <c r="F342" s="5" t="s">
        <v>17</v>
      </c>
      <c r="G342" s="5" t="s">
        <v>18</v>
      </c>
      <c r="H342" s="5" t="n">
        <f aca="true">ROUND(RAND()*4+6,1)</f>
        <v>7.7</v>
      </c>
      <c r="I342" s="5" t="s">
        <v>19</v>
      </c>
      <c r="J342" s="5" t="str">
        <f aca="false">ROUND(83*1,0)&amp;"%"</f>
        <v>83%</v>
      </c>
    </row>
    <row r="343" customFormat="false" ht="15" hidden="false" customHeight="false" outlineLevel="0" collapsed="false">
      <c r="A343" s="6" t="s">
        <v>9238</v>
      </c>
      <c r="B343" s="6" t="s">
        <v>550</v>
      </c>
      <c r="C343" s="6" t="s">
        <v>15</v>
      </c>
      <c r="D343" s="6" t="s">
        <v>22</v>
      </c>
      <c r="E343" s="6" t="n">
        <f aca="false">ROUND(12498*1.05,2)</f>
        <v>13122.9</v>
      </c>
      <c r="F343" s="6" t="s">
        <v>23</v>
      </c>
      <c r="G343" s="6" t="s">
        <v>24</v>
      </c>
      <c r="H343" s="6" t="n">
        <f aca="true">ROUND(RAND()*4+6,1)</f>
        <v>7.9</v>
      </c>
      <c r="I343" s="6" t="s">
        <v>25</v>
      </c>
      <c r="J343" s="6" t="str">
        <f aca="false">ROUND(93*1,0)&amp;"%"</f>
        <v>93%</v>
      </c>
    </row>
    <row r="344" customFormat="false" ht="15" hidden="false" customHeight="false" outlineLevel="0" collapsed="false">
      <c r="A344" s="5" t="s">
        <v>9239</v>
      </c>
      <c r="B344" s="5" t="s">
        <v>552</v>
      </c>
      <c r="C344" s="5" t="s">
        <v>15</v>
      </c>
      <c r="D344" s="5" t="s">
        <v>28</v>
      </c>
      <c r="E344" s="5" t="n">
        <f aca="false">ROUND(10866*1.05,2)</f>
        <v>11409.3</v>
      </c>
      <c r="F344" s="5" t="s">
        <v>29</v>
      </c>
      <c r="G344" s="5" t="s">
        <v>30</v>
      </c>
      <c r="H344" s="5" t="n">
        <f aca="true">ROUND(RAND()*4+6,1)</f>
        <v>6.5</v>
      </c>
      <c r="I344" s="5" t="s">
        <v>31</v>
      </c>
      <c r="J344" s="5" t="str">
        <f aca="false">ROUND(85*1,0)&amp;"%"</f>
        <v>85%</v>
      </c>
    </row>
    <row r="345" customFormat="false" ht="15" hidden="false" customHeight="false" outlineLevel="0" collapsed="false">
      <c r="A345" s="6" t="s">
        <v>9240</v>
      </c>
      <c r="B345" s="6" t="s">
        <v>554</v>
      </c>
      <c r="C345" s="6" t="s">
        <v>15</v>
      </c>
      <c r="D345" s="6" t="s">
        <v>34</v>
      </c>
      <c r="E345" s="6" t="n">
        <f aca="false">ROUND(17687*1.05,2)</f>
        <v>18571.35</v>
      </c>
      <c r="F345" s="6" t="s">
        <v>35</v>
      </c>
      <c r="G345" s="6" t="s">
        <v>18</v>
      </c>
      <c r="H345" s="6" t="n">
        <f aca="true">ROUND(RAND()*4+6,1)</f>
        <v>9.1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9241</v>
      </c>
      <c r="B346" s="5" t="s">
        <v>556</v>
      </c>
      <c r="C346" s="5" t="s">
        <v>15</v>
      </c>
      <c r="D346" s="5" t="s">
        <v>39</v>
      </c>
      <c r="E346" s="5" t="n">
        <f aca="false">ROUND(4310*1.05,2)</f>
        <v>4525.5</v>
      </c>
      <c r="F346" s="5" t="s">
        <v>40</v>
      </c>
      <c r="G346" s="5" t="s">
        <v>24</v>
      </c>
      <c r="H346" s="5" t="n">
        <f aca="true">ROUND(RAND()*4+6,1)</f>
        <v>8.4</v>
      </c>
      <c r="I346" s="5" t="s">
        <v>41</v>
      </c>
      <c r="J346" s="5" t="str">
        <f aca="false">ROUND(83*1,0)&amp;"%"</f>
        <v>83%</v>
      </c>
    </row>
    <row r="347" customFormat="false" ht="15" hidden="false" customHeight="false" outlineLevel="0" collapsed="false">
      <c r="A347" s="6" t="s">
        <v>9242</v>
      </c>
      <c r="B347" s="6" t="s">
        <v>558</v>
      </c>
      <c r="C347" s="6" t="s">
        <v>15</v>
      </c>
      <c r="D347" s="6" t="s">
        <v>44</v>
      </c>
      <c r="E347" s="6" t="n">
        <f aca="false">ROUND(17475*1.05,2)</f>
        <v>18348.75</v>
      </c>
      <c r="F347" s="6" t="s">
        <v>45</v>
      </c>
      <c r="G347" s="6" t="s">
        <v>30</v>
      </c>
      <c r="H347" s="6" t="n">
        <f aca="true">ROUND(RAND()*4+6,1)</f>
        <v>9.9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9243</v>
      </c>
      <c r="B348" s="5" t="s">
        <v>560</v>
      </c>
      <c r="C348" s="5" t="s">
        <v>15</v>
      </c>
      <c r="D348" s="5" t="s">
        <v>16</v>
      </c>
      <c r="E348" s="5" t="n">
        <f aca="false">ROUND(9737*1.05,2)</f>
        <v>10223.85</v>
      </c>
      <c r="F348" s="5" t="s">
        <v>49</v>
      </c>
      <c r="G348" s="5" t="s">
        <v>18</v>
      </c>
      <c r="H348" s="5" t="n">
        <f aca="true">ROUND(RAND()*4+6,1)</f>
        <v>7.5</v>
      </c>
      <c r="I348" s="5" t="s">
        <v>19</v>
      </c>
      <c r="J348" s="5" t="str">
        <f aca="false">ROUND(76*1,0)&amp;"%"</f>
        <v>76%</v>
      </c>
    </row>
    <row r="349" customFormat="false" ht="15" hidden="false" customHeight="false" outlineLevel="0" collapsed="false">
      <c r="A349" s="6" t="s">
        <v>9244</v>
      </c>
      <c r="B349" s="6" t="s">
        <v>562</v>
      </c>
      <c r="C349" s="6" t="s">
        <v>15</v>
      </c>
      <c r="D349" s="6" t="s">
        <v>22</v>
      </c>
      <c r="E349" s="6" t="n">
        <f aca="false">ROUND(9577*1.05,2)</f>
        <v>10055.85</v>
      </c>
      <c r="F349" s="6" t="s">
        <v>52</v>
      </c>
      <c r="G349" s="6" t="s">
        <v>24</v>
      </c>
      <c r="H349" s="6" t="n">
        <f aca="true">ROUND(RAND()*4+6,1)</f>
        <v>7.5</v>
      </c>
      <c r="I349" s="6" t="s">
        <v>25</v>
      </c>
      <c r="J349" s="6" t="str">
        <f aca="false">ROUND(90*1,0)&amp;"%"</f>
        <v>90%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9245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9246</v>
      </c>
      <c r="B354" s="5" t="s">
        <v>566</v>
      </c>
      <c r="C354" s="5" t="s">
        <v>57</v>
      </c>
      <c r="D354" s="5" t="s">
        <v>16</v>
      </c>
      <c r="E354" s="5" t="n">
        <f aca="false">ROUND(10186*1.05,2)</f>
        <v>10695.3</v>
      </c>
      <c r="F354" s="5" t="s">
        <v>17</v>
      </c>
      <c r="G354" s="5" t="s">
        <v>18</v>
      </c>
      <c r="H354" s="5" t="n">
        <f aca="true">ROUND(RAND()*4+6,1)</f>
        <v>7.1</v>
      </c>
      <c r="I354" s="5" t="s">
        <v>19</v>
      </c>
      <c r="J354" s="5" t="str">
        <f aca="false">ROUND(80*1,0)&amp;"%"</f>
        <v>80%</v>
      </c>
    </row>
    <row r="355" customFormat="false" ht="15" hidden="false" customHeight="false" outlineLevel="0" collapsed="false">
      <c r="A355" s="6" t="s">
        <v>9247</v>
      </c>
      <c r="B355" s="6" t="s">
        <v>568</v>
      </c>
      <c r="C355" s="6" t="s">
        <v>57</v>
      </c>
      <c r="D355" s="6" t="s">
        <v>22</v>
      </c>
      <c r="E355" s="6" t="n">
        <f aca="false">ROUND(16679*1.05,2)</f>
        <v>17512.95</v>
      </c>
      <c r="F355" s="6" t="s">
        <v>23</v>
      </c>
      <c r="G355" s="6" t="s">
        <v>24</v>
      </c>
      <c r="H355" s="6" t="n">
        <f aca="true">ROUND(RAND()*4+6,1)</f>
        <v>6.1</v>
      </c>
      <c r="I355" s="6" t="s">
        <v>25</v>
      </c>
      <c r="J355" s="6" t="str">
        <f aca="false">ROUND(69*1,0)&amp;"%"</f>
        <v>69%</v>
      </c>
    </row>
    <row r="356" customFormat="false" ht="15" hidden="false" customHeight="false" outlineLevel="0" collapsed="false">
      <c r="A356" s="5" t="s">
        <v>9248</v>
      </c>
      <c r="B356" s="5" t="s">
        <v>570</v>
      </c>
      <c r="C356" s="5" t="s">
        <v>57</v>
      </c>
      <c r="D356" s="5" t="s">
        <v>28</v>
      </c>
      <c r="E356" s="5" t="n">
        <f aca="false">ROUND(16251*1.05,2)</f>
        <v>17063.55</v>
      </c>
      <c r="F356" s="5" t="s">
        <v>29</v>
      </c>
      <c r="G356" s="5" t="s">
        <v>30</v>
      </c>
      <c r="H356" s="5" t="n">
        <f aca="true">ROUND(RAND()*4+6,1)</f>
        <v>6.5</v>
      </c>
      <c r="I356" s="5" t="s">
        <v>31</v>
      </c>
      <c r="J356" s="5" t="str">
        <f aca="false">ROUND(67*1,0)&amp;"%"</f>
        <v>67%</v>
      </c>
    </row>
    <row r="357" customFormat="false" ht="15" hidden="false" customHeight="false" outlineLevel="0" collapsed="false">
      <c r="A357" s="6" t="s">
        <v>9249</v>
      </c>
      <c r="B357" s="6" t="s">
        <v>572</v>
      </c>
      <c r="C357" s="6" t="s">
        <v>57</v>
      </c>
      <c r="D357" s="6" t="s">
        <v>34</v>
      </c>
      <c r="E357" s="6" t="n">
        <f aca="false">ROUND(12849*1.05,2)</f>
        <v>13491.45</v>
      </c>
      <c r="F357" s="6" t="s">
        <v>35</v>
      </c>
      <c r="G357" s="6" t="s">
        <v>18</v>
      </c>
      <c r="H357" s="6" t="n">
        <f aca="true">ROUND(RAND()*4+6,1)</f>
        <v>9.8</v>
      </c>
      <c r="I357" s="6" t="s">
        <v>36</v>
      </c>
      <c r="J357" s="6" t="str">
        <f aca="false">ROUND(77*1,0)&amp;"%"</f>
        <v>77%</v>
      </c>
    </row>
    <row r="358" customFormat="false" ht="15" hidden="false" customHeight="false" outlineLevel="0" collapsed="false">
      <c r="A358" s="5" t="s">
        <v>9250</v>
      </c>
      <c r="B358" s="5" t="s">
        <v>574</v>
      </c>
      <c r="C358" s="5" t="s">
        <v>57</v>
      </c>
      <c r="D358" s="5" t="s">
        <v>39</v>
      </c>
      <c r="E358" s="5" t="n">
        <f aca="false">ROUND(14948*1.05,2)</f>
        <v>15695.4</v>
      </c>
      <c r="F358" s="5" t="s">
        <v>40</v>
      </c>
      <c r="G358" s="5" t="s">
        <v>24</v>
      </c>
      <c r="H358" s="5" t="n">
        <f aca="true">ROUND(RAND()*4+6,1)</f>
        <v>7.7</v>
      </c>
      <c r="I358" s="5" t="s">
        <v>41</v>
      </c>
      <c r="J358" s="5" t="str">
        <f aca="false">ROUND(89*1,0)&amp;"%"</f>
        <v>89%</v>
      </c>
    </row>
    <row r="359" customFormat="false" ht="15" hidden="false" customHeight="false" outlineLevel="0" collapsed="false">
      <c r="A359" s="6" t="s">
        <v>9251</v>
      </c>
      <c r="B359" s="6" t="s">
        <v>576</v>
      </c>
      <c r="C359" s="6" t="s">
        <v>57</v>
      </c>
      <c r="D359" s="6" t="s">
        <v>44</v>
      </c>
      <c r="E359" s="6" t="n">
        <f aca="false">ROUND(4312*1.05,2)</f>
        <v>4527.6</v>
      </c>
      <c r="F359" s="6" t="s">
        <v>45</v>
      </c>
      <c r="G359" s="6" t="s">
        <v>30</v>
      </c>
      <c r="H359" s="6" t="n">
        <f aca="true">ROUND(RAND()*4+6,1)</f>
        <v>6</v>
      </c>
      <c r="I359" s="6" t="s">
        <v>46</v>
      </c>
      <c r="J359" s="6" t="str">
        <f aca="false">ROUND(62*1,0)&amp;"%"</f>
        <v>62%</v>
      </c>
    </row>
    <row r="360" customFormat="false" ht="15" hidden="false" customHeight="false" outlineLevel="0" collapsed="false">
      <c r="A360" s="5" t="s">
        <v>9252</v>
      </c>
      <c r="B360" s="5" t="s">
        <v>578</v>
      </c>
      <c r="C360" s="5" t="s">
        <v>57</v>
      </c>
      <c r="D360" s="5" t="s">
        <v>16</v>
      </c>
      <c r="E360" s="5" t="n">
        <f aca="false">ROUND(8049*1.05,2)</f>
        <v>8451.45</v>
      </c>
      <c r="F360" s="5" t="s">
        <v>49</v>
      </c>
      <c r="G360" s="5" t="s">
        <v>18</v>
      </c>
      <c r="H360" s="5" t="n">
        <f aca="true">ROUND(RAND()*4+6,1)</f>
        <v>7.6</v>
      </c>
      <c r="I360" s="5" t="s">
        <v>19</v>
      </c>
      <c r="J360" s="5" t="str">
        <f aca="false">ROUND(66*1,0)&amp;"%"</f>
        <v>66%</v>
      </c>
    </row>
    <row r="361" customFormat="false" ht="15" hidden="false" customHeight="false" outlineLevel="0" collapsed="false">
      <c r="A361" s="6" t="s">
        <v>9253</v>
      </c>
      <c r="B361" s="6" t="s">
        <v>580</v>
      </c>
      <c r="C361" s="6" t="s">
        <v>57</v>
      </c>
      <c r="D361" s="6" t="s">
        <v>22</v>
      </c>
      <c r="E361" s="6" t="n">
        <f aca="false">ROUND(8299*1.05,2)</f>
        <v>8713.95</v>
      </c>
      <c r="F361" s="6" t="s">
        <v>52</v>
      </c>
      <c r="G361" s="6" t="s">
        <v>24</v>
      </c>
      <c r="H361" s="6" t="n">
        <f aca="true">ROUND(RAND()*4+6,1)</f>
        <v>8.4</v>
      </c>
      <c r="I361" s="6" t="s">
        <v>25</v>
      </c>
      <c r="J361" s="6" t="str">
        <f aca="false">ROUND(84*1,0)&amp;"%"</f>
        <v>84%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9254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9255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9256</v>
      </c>
      <c r="B6" s="5" t="s">
        <v>14</v>
      </c>
      <c r="C6" s="5" t="s">
        <v>15</v>
      </c>
      <c r="D6" s="5" t="s">
        <v>16</v>
      </c>
      <c r="E6" s="5" t="n">
        <f aca="false">ROUND(8226*1.05,2)</f>
        <v>8637.3</v>
      </c>
      <c r="F6" s="5" t="s">
        <v>17</v>
      </c>
      <c r="G6" s="5" t="s">
        <v>18</v>
      </c>
      <c r="H6" s="5" t="n">
        <f aca="true">ROUND(RAND()*4+6,1)</f>
        <v>9.2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9257</v>
      </c>
      <c r="B7" s="6" t="s">
        <v>21</v>
      </c>
      <c r="C7" s="6" t="s">
        <v>15</v>
      </c>
      <c r="D7" s="6" t="s">
        <v>22</v>
      </c>
      <c r="E7" s="6" t="n">
        <f aca="false">ROUND(7076*1.05,2)</f>
        <v>7429.8</v>
      </c>
      <c r="F7" s="6" t="s">
        <v>23</v>
      </c>
      <c r="G7" s="6" t="s">
        <v>24</v>
      </c>
      <c r="H7" s="6" t="n">
        <f aca="true">ROUND(RAND()*4+6,1)</f>
        <v>9.9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9258</v>
      </c>
      <c r="B8" s="5" t="s">
        <v>27</v>
      </c>
      <c r="C8" s="5" t="s">
        <v>15</v>
      </c>
      <c r="D8" s="5" t="s">
        <v>28</v>
      </c>
      <c r="E8" s="5" t="n">
        <f aca="false">ROUND(12316*1.05,2)</f>
        <v>12931.8</v>
      </c>
      <c r="F8" s="5" t="s">
        <v>29</v>
      </c>
      <c r="G8" s="5" t="s">
        <v>30</v>
      </c>
      <c r="H8" s="5" t="n">
        <f aca="true">ROUND(RAND()*4+6,1)</f>
        <v>9.2</v>
      </c>
      <c r="I8" s="5" t="s">
        <v>31</v>
      </c>
      <c r="J8" s="5" t="str">
        <f aca="false">ROUND(86*1,0)&amp;"%"</f>
        <v>86%</v>
      </c>
    </row>
    <row r="9" customFormat="false" ht="15" hidden="false" customHeight="false" outlineLevel="0" collapsed="false">
      <c r="A9" s="6" t="s">
        <v>9259</v>
      </c>
      <c r="B9" s="6" t="s">
        <v>33</v>
      </c>
      <c r="C9" s="6" t="s">
        <v>15</v>
      </c>
      <c r="D9" s="6" t="s">
        <v>34</v>
      </c>
      <c r="E9" s="6" t="n">
        <f aca="false">ROUND(7290*1.05,2)</f>
        <v>7654.5</v>
      </c>
      <c r="F9" s="6" t="s">
        <v>35</v>
      </c>
      <c r="G9" s="6" t="s">
        <v>18</v>
      </c>
      <c r="H9" s="6" t="n">
        <f aca="true">ROUND(RAND()*4+6,1)</f>
        <v>6</v>
      </c>
      <c r="I9" s="6" t="s">
        <v>36</v>
      </c>
      <c r="J9" s="6" t="str">
        <f aca="false">ROUND(98*1,0)&amp;"%"</f>
        <v>98%</v>
      </c>
    </row>
    <row r="10" customFormat="false" ht="15" hidden="false" customHeight="false" outlineLevel="0" collapsed="false">
      <c r="A10" s="5" t="s">
        <v>9260</v>
      </c>
      <c r="B10" s="5" t="s">
        <v>38</v>
      </c>
      <c r="C10" s="5" t="s">
        <v>15</v>
      </c>
      <c r="D10" s="5" t="s">
        <v>39</v>
      </c>
      <c r="E10" s="5" t="n">
        <f aca="false">ROUND(14341*1.05,2)</f>
        <v>15058.05</v>
      </c>
      <c r="F10" s="5" t="s">
        <v>40</v>
      </c>
      <c r="G10" s="5" t="s">
        <v>24</v>
      </c>
      <c r="H10" s="5" t="n">
        <f aca="true">ROUND(RAND()*4+6,1)</f>
        <v>9.7</v>
      </c>
      <c r="I10" s="5" t="s">
        <v>41</v>
      </c>
      <c r="J10" s="5" t="str">
        <f aca="false">ROUND(76*1,0)&amp;"%"</f>
        <v>76%</v>
      </c>
    </row>
    <row r="11" customFormat="false" ht="15" hidden="false" customHeight="false" outlineLevel="0" collapsed="false">
      <c r="A11" s="6" t="s">
        <v>9261</v>
      </c>
      <c r="B11" s="6" t="s">
        <v>43</v>
      </c>
      <c r="C11" s="6" t="s">
        <v>15</v>
      </c>
      <c r="D11" s="6" t="s">
        <v>44</v>
      </c>
      <c r="E11" s="6" t="n">
        <f aca="false">ROUND(13887*1.05,2)</f>
        <v>14581.35</v>
      </c>
      <c r="F11" s="6" t="s">
        <v>45</v>
      </c>
      <c r="G11" s="6" t="s">
        <v>30</v>
      </c>
      <c r="H11" s="6" t="n">
        <f aca="true">ROUND(RAND()*4+6,1)</f>
        <v>9.4</v>
      </c>
      <c r="I11" s="6" t="s">
        <v>46</v>
      </c>
      <c r="J11" s="6" t="str">
        <f aca="false">ROUND(99*1,0)&amp;"%"</f>
        <v>99%</v>
      </c>
    </row>
    <row r="12" customFormat="false" ht="15" hidden="false" customHeight="false" outlineLevel="0" collapsed="false">
      <c r="A12" s="5" t="s">
        <v>9262</v>
      </c>
      <c r="B12" s="5" t="s">
        <v>48</v>
      </c>
      <c r="C12" s="5" t="s">
        <v>15</v>
      </c>
      <c r="D12" s="5" t="s">
        <v>16</v>
      </c>
      <c r="E12" s="5" t="n">
        <f aca="false">ROUND(11178*1.05,2)</f>
        <v>11736.9</v>
      </c>
      <c r="F12" s="5" t="s">
        <v>49</v>
      </c>
      <c r="G12" s="5" t="s">
        <v>18</v>
      </c>
      <c r="H12" s="5" t="n">
        <f aca="true">ROUND(RAND()*4+6,1)</f>
        <v>7.9</v>
      </c>
      <c r="I12" s="5" t="s">
        <v>19</v>
      </c>
      <c r="J12" s="5" t="str">
        <f aca="false">ROUND(75*1,0)&amp;"%"</f>
        <v>75%</v>
      </c>
    </row>
    <row r="13" customFormat="false" ht="15" hidden="false" customHeight="false" outlineLevel="0" collapsed="false">
      <c r="A13" s="6" t="s">
        <v>9263</v>
      </c>
      <c r="B13" s="6" t="s">
        <v>51</v>
      </c>
      <c r="C13" s="6" t="s">
        <v>15</v>
      </c>
      <c r="D13" s="6" t="s">
        <v>22</v>
      </c>
      <c r="E13" s="6" t="n">
        <f aca="false">ROUND(16146*1.05,2)</f>
        <v>16953.3</v>
      </c>
      <c r="F13" s="6" t="s">
        <v>52</v>
      </c>
      <c r="G13" s="6" t="s">
        <v>24</v>
      </c>
      <c r="H13" s="6" t="n">
        <f aca="true">ROUND(RAND()*4+6,1)</f>
        <v>6.3</v>
      </c>
      <c r="I13" s="6" t="s">
        <v>25</v>
      </c>
      <c r="J13" s="6" t="str">
        <f aca="false">ROUND(71*1,0)&amp;"%"</f>
        <v>71%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9264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9265</v>
      </c>
      <c r="B18" s="5" t="s">
        <v>56</v>
      </c>
      <c r="C18" s="5" t="s">
        <v>57</v>
      </c>
      <c r="D18" s="5" t="s">
        <v>16</v>
      </c>
      <c r="E18" s="5" t="n">
        <f aca="false">ROUND(9132*1.05,2)</f>
        <v>9588.6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ROUND(77*1,0)&amp;"%"</f>
        <v>77%</v>
      </c>
    </row>
    <row r="19" customFormat="false" ht="15" hidden="false" customHeight="false" outlineLevel="0" collapsed="false">
      <c r="A19" s="6" t="s">
        <v>9266</v>
      </c>
      <c r="B19" s="6" t="s">
        <v>59</v>
      </c>
      <c r="C19" s="6" t="s">
        <v>57</v>
      </c>
      <c r="D19" s="6" t="s">
        <v>22</v>
      </c>
      <c r="E19" s="6" t="n">
        <f aca="false">ROUND(13318*1.05,2)</f>
        <v>13983.9</v>
      </c>
      <c r="F19" s="6" t="s">
        <v>23</v>
      </c>
      <c r="G19" s="6" t="s">
        <v>24</v>
      </c>
      <c r="H19" s="6" t="n">
        <f aca="true">ROUND(RAND()*4+6,1)</f>
        <v>8.4</v>
      </c>
      <c r="I19" s="6" t="s">
        <v>25</v>
      </c>
      <c r="J19" s="6" t="str">
        <f aca="false">ROUND(100*1,0)&amp;"%"</f>
        <v>100%</v>
      </c>
    </row>
    <row r="20" customFormat="false" ht="15" hidden="false" customHeight="false" outlineLevel="0" collapsed="false">
      <c r="A20" s="5" t="s">
        <v>9267</v>
      </c>
      <c r="B20" s="5" t="s">
        <v>61</v>
      </c>
      <c r="C20" s="5" t="s">
        <v>57</v>
      </c>
      <c r="D20" s="5" t="s">
        <v>28</v>
      </c>
      <c r="E20" s="5" t="n">
        <f aca="false">ROUND(10144*1.05,2)</f>
        <v>10651.2</v>
      </c>
      <c r="F20" s="5" t="s">
        <v>29</v>
      </c>
      <c r="G20" s="5" t="s">
        <v>30</v>
      </c>
      <c r="H20" s="5" t="n">
        <f aca="true">ROUND(RAND()*4+6,1)</f>
        <v>9.6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9268</v>
      </c>
      <c r="B21" s="6" t="s">
        <v>63</v>
      </c>
      <c r="C21" s="6" t="s">
        <v>57</v>
      </c>
      <c r="D21" s="6" t="s">
        <v>34</v>
      </c>
      <c r="E21" s="6" t="n">
        <f aca="false">ROUND(17568*1.05,2)</f>
        <v>18446.4</v>
      </c>
      <c r="F21" s="6" t="s">
        <v>35</v>
      </c>
      <c r="G21" s="6" t="s">
        <v>18</v>
      </c>
      <c r="H21" s="6" t="n">
        <f aca="true">ROUND(RAND()*4+6,1)</f>
        <v>6.1</v>
      </c>
      <c r="I21" s="6" t="s">
        <v>36</v>
      </c>
      <c r="J21" s="6" t="str">
        <f aca="false">ROUND(80*1,0)&amp;"%"</f>
        <v>80%</v>
      </c>
    </row>
    <row r="22" customFormat="false" ht="15" hidden="false" customHeight="false" outlineLevel="0" collapsed="false">
      <c r="A22" s="5" t="s">
        <v>9269</v>
      </c>
      <c r="B22" s="5" t="s">
        <v>65</v>
      </c>
      <c r="C22" s="5" t="s">
        <v>57</v>
      </c>
      <c r="D22" s="5" t="s">
        <v>39</v>
      </c>
      <c r="E22" s="5" t="n">
        <f aca="false">ROUND(4598*1.05,2)</f>
        <v>4827.9</v>
      </c>
      <c r="F22" s="5" t="s">
        <v>40</v>
      </c>
      <c r="G22" s="5" t="s">
        <v>24</v>
      </c>
      <c r="H22" s="5" t="n">
        <f aca="true">ROUND(RAND()*4+6,1)</f>
        <v>9.2</v>
      </c>
      <c r="I22" s="5" t="s">
        <v>41</v>
      </c>
      <c r="J22" s="5" t="str">
        <f aca="false">ROUND(81*1,0)&amp;"%"</f>
        <v>81%</v>
      </c>
    </row>
    <row r="23" customFormat="false" ht="15" hidden="false" customHeight="false" outlineLevel="0" collapsed="false">
      <c r="A23" s="6" t="s">
        <v>9270</v>
      </c>
      <c r="B23" s="6" t="s">
        <v>67</v>
      </c>
      <c r="C23" s="6" t="s">
        <v>57</v>
      </c>
      <c r="D23" s="6" t="s">
        <v>44</v>
      </c>
      <c r="E23" s="6" t="n">
        <f aca="false">ROUND(14776*1.05,2)</f>
        <v>15514.8</v>
      </c>
      <c r="F23" s="6" t="s">
        <v>45</v>
      </c>
      <c r="G23" s="6" t="s">
        <v>30</v>
      </c>
      <c r="H23" s="6" t="n">
        <f aca="true">ROUND(RAND()*4+6,1)</f>
        <v>8.8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9271</v>
      </c>
      <c r="B24" s="5" t="s">
        <v>69</v>
      </c>
      <c r="C24" s="5" t="s">
        <v>57</v>
      </c>
      <c r="D24" s="5" t="s">
        <v>16</v>
      </c>
      <c r="E24" s="5" t="n">
        <f aca="false">ROUND(16295*1.05,2)</f>
        <v>17109.75</v>
      </c>
      <c r="F24" s="5" t="s">
        <v>49</v>
      </c>
      <c r="G24" s="5" t="s">
        <v>18</v>
      </c>
      <c r="H24" s="5" t="n">
        <f aca="true">ROUND(RAND()*4+6,1)</f>
        <v>9.3</v>
      </c>
      <c r="I24" s="5" t="s">
        <v>19</v>
      </c>
      <c r="J24" s="5" t="str">
        <f aca="false">ROUND(98*1,0)&amp;"%"</f>
        <v>98%</v>
      </c>
    </row>
    <row r="25" customFormat="false" ht="15" hidden="false" customHeight="false" outlineLevel="0" collapsed="false">
      <c r="A25" s="6" t="s">
        <v>9272</v>
      </c>
      <c r="B25" s="6" t="s">
        <v>71</v>
      </c>
      <c r="C25" s="6" t="s">
        <v>57</v>
      </c>
      <c r="D25" s="6" t="s">
        <v>22</v>
      </c>
      <c r="E25" s="6" t="n">
        <f aca="false">ROUND(12818*1.05,2)</f>
        <v>13458.9</v>
      </c>
      <c r="F25" s="6" t="s">
        <v>52</v>
      </c>
      <c r="G25" s="6" t="s">
        <v>24</v>
      </c>
      <c r="H25" s="6" t="n">
        <f aca="true">ROUND(RAND()*4+6,1)</f>
        <v>9.7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9273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9274</v>
      </c>
      <c r="B30" s="5" t="s">
        <v>75</v>
      </c>
      <c r="C30" s="5" t="s">
        <v>76</v>
      </c>
      <c r="D30" s="5" t="s">
        <v>16</v>
      </c>
      <c r="E30" s="5" t="n">
        <f aca="false">ROUND(11835*1.05,2)</f>
        <v>12426.75</v>
      </c>
      <c r="F30" s="5" t="s">
        <v>17</v>
      </c>
      <c r="G30" s="5" t="s">
        <v>18</v>
      </c>
      <c r="H30" s="5" t="n">
        <f aca="true">ROUND(RAND()*4+6,1)</f>
        <v>9.4</v>
      </c>
      <c r="I30" s="5" t="s">
        <v>19</v>
      </c>
      <c r="J30" s="5" t="str">
        <f aca="false">ROUND(75*1,0)&amp;"%"</f>
        <v>75%</v>
      </c>
    </row>
    <row r="31" customFormat="false" ht="15" hidden="false" customHeight="false" outlineLevel="0" collapsed="false">
      <c r="A31" s="6" t="s">
        <v>9275</v>
      </c>
      <c r="B31" s="6" t="s">
        <v>78</v>
      </c>
      <c r="C31" s="6" t="s">
        <v>76</v>
      </c>
      <c r="D31" s="6" t="s">
        <v>22</v>
      </c>
      <c r="E31" s="6" t="n">
        <f aca="false">ROUND(7961*1.05,2)</f>
        <v>8359.05</v>
      </c>
      <c r="F31" s="6" t="s">
        <v>23</v>
      </c>
      <c r="G31" s="6" t="s">
        <v>24</v>
      </c>
      <c r="H31" s="6" t="n">
        <f aca="true">ROUND(RAND()*4+6,1)</f>
        <v>7.8</v>
      </c>
      <c r="I31" s="6" t="s">
        <v>25</v>
      </c>
      <c r="J31" s="6" t="str">
        <f aca="false">ROUND(96*1,0)&amp;"%"</f>
        <v>96%</v>
      </c>
    </row>
    <row r="32" customFormat="false" ht="15" hidden="false" customHeight="false" outlineLevel="0" collapsed="false">
      <c r="A32" s="5" t="s">
        <v>9276</v>
      </c>
      <c r="B32" s="5" t="s">
        <v>80</v>
      </c>
      <c r="C32" s="5" t="s">
        <v>76</v>
      </c>
      <c r="D32" s="5" t="s">
        <v>28</v>
      </c>
      <c r="E32" s="5" t="n">
        <f aca="false">ROUND(6055*1.05,2)</f>
        <v>6357.75</v>
      </c>
      <c r="F32" s="5" t="s">
        <v>29</v>
      </c>
      <c r="G32" s="5" t="s">
        <v>30</v>
      </c>
      <c r="H32" s="5" t="n">
        <f aca="true">ROUND(RAND()*4+6,1)</f>
        <v>8.6</v>
      </c>
      <c r="I32" s="5" t="s">
        <v>31</v>
      </c>
      <c r="J32" s="5" t="str">
        <f aca="false">ROUND(74*1,0)&amp;"%"</f>
        <v>74%</v>
      </c>
    </row>
    <row r="33" customFormat="false" ht="15" hidden="false" customHeight="false" outlineLevel="0" collapsed="false">
      <c r="A33" s="6" t="s">
        <v>9277</v>
      </c>
      <c r="B33" s="6" t="s">
        <v>82</v>
      </c>
      <c r="C33" s="6" t="s">
        <v>76</v>
      </c>
      <c r="D33" s="6" t="s">
        <v>34</v>
      </c>
      <c r="E33" s="6" t="n">
        <f aca="false">ROUND(10926*1.05,2)</f>
        <v>11472.3</v>
      </c>
      <c r="F33" s="6" t="s">
        <v>35</v>
      </c>
      <c r="G33" s="6" t="s">
        <v>18</v>
      </c>
      <c r="H33" s="6" t="n">
        <f aca="true">ROUND(RAND()*4+6,1)</f>
        <v>7.1</v>
      </c>
      <c r="I33" s="6" t="s">
        <v>36</v>
      </c>
      <c r="J33" s="6" t="str">
        <f aca="false">ROUND(88*1,0)&amp;"%"</f>
        <v>88%</v>
      </c>
    </row>
    <row r="34" customFormat="false" ht="15" hidden="false" customHeight="false" outlineLevel="0" collapsed="false">
      <c r="A34" s="5" t="s">
        <v>9278</v>
      </c>
      <c r="B34" s="5" t="s">
        <v>84</v>
      </c>
      <c r="C34" s="5" t="s">
        <v>76</v>
      </c>
      <c r="D34" s="5" t="s">
        <v>39</v>
      </c>
      <c r="E34" s="5" t="n">
        <f aca="false">ROUND(6174*1.05,2)</f>
        <v>6482.7</v>
      </c>
      <c r="F34" s="5" t="s">
        <v>40</v>
      </c>
      <c r="G34" s="5" t="s">
        <v>24</v>
      </c>
      <c r="H34" s="5" t="n">
        <f aca="true">ROUND(RAND()*4+6,1)</f>
        <v>9.5</v>
      </c>
      <c r="I34" s="5" t="s">
        <v>41</v>
      </c>
      <c r="J34" s="5" t="str">
        <f aca="false">ROUND(84*1,0)&amp;"%"</f>
        <v>84%</v>
      </c>
    </row>
    <row r="35" customFormat="false" ht="15" hidden="false" customHeight="false" outlineLevel="0" collapsed="false">
      <c r="A35" s="6" t="s">
        <v>9279</v>
      </c>
      <c r="B35" s="6" t="s">
        <v>86</v>
      </c>
      <c r="C35" s="6" t="s">
        <v>76</v>
      </c>
      <c r="D35" s="6" t="s">
        <v>44</v>
      </c>
      <c r="E35" s="6" t="n">
        <f aca="false">ROUND(10962*1.05,2)</f>
        <v>11510.1</v>
      </c>
      <c r="F35" s="6" t="s">
        <v>45</v>
      </c>
      <c r="G35" s="6" t="s">
        <v>30</v>
      </c>
      <c r="H35" s="6" t="n">
        <f aca="true">ROUND(RAND()*4+6,1)</f>
        <v>8.7</v>
      </c>
      <c r="I35" s="6" t="s">
        <v>46</v>
      </c>
      <c r="J35" s="6" t="str">
        <f aca="false">ROUND(85*1,0)&amp;"%"</f>
        <v>85%</v>
      </c>
    </row>
    <row r="36" customFormat="false" ht="15" hidden="false" customHeight="false" outlineLevel="0" collapsed="false">
      <c r="A36" s="5" t="s">
        <v>9280</v>
      </c>
      <c r="B36" s="5" t="s">
        <v>88</v>
      </c>
      <c r="C36" s="5" t="s">
        <v>76</v>
      </c>
      <c r="D36" s="5" t="s">
        <v>16</v>
      </c>
      <c r="E36" s="5" t="n">
        <f aca="false">ROUND(6024*1.05,2)</f>
        <v>6325.2</v>
      </c>
      <c r="F36" s="5" t="s">
        <v>49</v>
      </c>
      <c r="G36" s="5" t="s">
        <v>18</v>
      </c>
      <c r="H36" s="5" t="n">
        <f aca="true">ROUND(RAND()*4+6,1)</f>
        <v>6.9</v>
      </c>
      <c r="I36" s="5" t="s">
        <v>19</v>
      </c>
      <c r="J36" s="5" t="str">
        <f aca="false">ROUND(71*1,0)&amp;"%"</f>
        <v>71%</v>
      </c>
    </row>
    <row r="37" customFormat="false" ht="15" hidden="false" customHeight="false" outlineLevel="0" collapsed="false">
      <c r="A37" s="6" t="s">
        <v>9281</v>
      </c>
      <c r="B37" s="6" t="s">
        <v>90</v>
      </c>
      <c r="C37" s="6" t="s">
        <v>76</v>
      </c>
      <c r="D37" s="6" t="s">
        <v>22</v>
      </c>
      <c r="E37" s="6" t="n">
        <f aca="false">ROUND(12154*1.05,2)</f>
        <v>12761.7</v>
      </c>
      <c r="F37" s="6" t="s">
        <v>52</v>
      </c>
      <c r="G37" s="6" t="s">
        <v>24</v>
      </c>
      <c r="H37" s="6" t="n">
        <f aca="true">ROUND(RAND()*4+6,1)</f>
        <v>9.1</v>
      </c>
      <c r="I37" s="6" t="s">
        <v>25</v>
      </c>
      <c r="J37" s="6" t="str">
        <f aca="false">ROUND(88*1,0)&amp;"%"</f>
        <v>88%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9282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9283</v>
      </c>
      <c r="B42" s="5" t="s">
        <v>94</v>
      </c>
      <c r="C42" s="5" t="s">
        <v>95</v>
      </c>
      <c r="D42" s="5" t="s">
        <v>16</v>
      </c>
      <c r="E42" s="5" t="n">
        <f aca="false">ROUND(7764*1.05,2)</f>
        <v>8152.2</v>
      </c>
      <c r="F42" s="5" t="s">
        <v>17</v>
      </c>
      <c r="G42" s="5" t="s">
        <v>18</v>
      </c>
      <c r="H42" s="5" t="n">
        <f aca="true">ROUND(RAND()*4+6,1)</f>
        <v>6.4</v>
      </c>
      <c r="I42" s="5" t="s">
        <v>19</v>
      </c>
      <c r="J42" s="5" t="str">
        <f aca="false">ROUND(64*1,0)&amp;"%"</f>
        <v>64%</v>
      </c>
    </row>
    <row r="43" customFormat="false" ht="15" hidden="false" customHeight="false" outlineLevel="0" collapsed="false">
      <c r="A43" s="6" t="s">
        <v>9284</v>
      </c>
      <c r="B43" s="6" t="s">
        <v>97</v>
      </c>
      <c r="C43" s="6" t="s">
        <v>95</v>
      </c>
      <c r="D43" s="6" t="s">
        <v>22</v>
      </c>
      <c r="E43" s="6" t="n">
        <f aca="false">ROUND(5406*1.05,2)</f>
        <v>5676.3</v>
      </c>
      <c r="F43" s="6" t="s">
        <v>23</v>
      </c>
      <c r="G43" s="6" t="s">
        <v>24</v>
      </c>
      <c r="H43" s="6" t="n">
        <f aca="true">ROUND(RAND()*4+6,1)</f>
        <v>9.4</v>
      </c>
      <c r="I43" s="6" t="s">
        <v>25</v>
      </c>
      <c r="J43" s="6" t="str">
        <f aca="false">ROUND(92*1,0)&amp;"%"</f>
        <v>92%</v>
      </c>
    </row>
    <row r="44" customFormat="false" ht="15" hidden="false" customHeight="false" outlineLevel="0" collapsed="false">
      <c r="A44" s="5" t="s">
        <v>9285</v>
      </c>
      <c r="B44" s="5" t="s">
        <v>99</v>
      </c>
      <c r="C44" s="5" t="s">
        <v>95</v>
      </c>
      <c r="D44" s="5" t="s">
        <v>28</v>
      </c>
      <c r="E44" s="5" t="n">
        <f aca="false">ROUND(5074*1.05,2)</f>
        <v>5327.7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ROUND(70*1,0)&amp;"%"</f>
        <v>70%</v>
      </c>
    </row>
    <row r="45" customFormat="false" ht="15" hidden="false" customHeight="false" outlineLevel="0" collapsed="false">
      <c r="A45" s="6" t="s">
        <v>9286</v>
      </c>
      <c r="B45" s="6" t="s">
        <v>101</v>
      </c>
      <c r="C45" s="6" t="s">
        <v>95</v>
      </c>
      <c r="D45" s="6" t="s">
        <v>34</v>
      </c>
      <c r="E45" s="6" t="n">
        <f aca="false">ROUND(14735*1.05,2)</f>
        <v>15471.75</v>
      </c>
      <c r="F45" s="6" t="s">
        <v>35</v>
      </c>
      <c r="G45" s="6" t="s">
        <v>18</v>
      </c>
      <c r="H45" s="6" t="n">
        <f aca="true">ROUND(RAND()*4+6,1)</f>
        <v>8.9</v>
      </c>
      <c r="I45" s="6" t="s">
        <v>36</v>
      </c>
      <c r="J45" s="6" t="str">
        <f aca="false">ROUND(81*1,0)&amp;"%"</f>
        <v>81%</v>
      </c>
    </row>
    <row r="46" customFormat="false" ht="15" hidden="false" customHeight="false" outlineLevel="0" collapsed="false">
      <c r="A46" s="5" t="s">
        <v>9287</v>
      </c>
      <c r="B46" s="5" t="s">
        <v>103</v>
      </c>
      <c r="C46" s="5" t="s">
        <v>95</v>
      </c>
      <c r="D46" s="5" t="s">
        <v>39</v>
      </c>
      <c r="E46" s="5" t="n">
        <f aca="false">ROUND(9681*1.05,2)</f>
        <v>10165.05</v>
      </c>
      <c r="F46" s="5" t="s">
        <v>40</v>
      </c>
      <c r="G46" s="5" t="s">
        <v>24</v>
      </c>
      <c r="H46" s="5" t="n">
        <f aca="true">ROUND(RAND()*4+6,1)</f>
        <v>8.6</v>
      </c>
      <c r="I46" s="5" t="s">
        <v>41</v>
      </c>
      <c r="J46" s="5" t="str">
        <f aca="false">ROUND(83*1,0)&amp;"%"</f>
        <v>83%</v>
      </c>
    </row>
    <row r="47" customFormat="false" ht="15" hidden="false" customHeight="false" outlineLevel="0" collapsed="false">
      <c r="A47" s="6" t="s">
        <v>9288</v>
      </c>
      <c r="B47" s="6" t="s">
        <v>105</v>
      </c>
      <c r="C47" s="6" t="s">
        <v>95</v>
      </c>
      <c r="D47" s="6" t="s">
        <v>44</v>
      </c>
      <c r="E47" s="6" t="n">
        <f aca="false">ROUND(9481*1.05,2)</f>
        <v>9955.05</v>
      </c>
      <c r="F47" s="6" t="s">
        <v>45</v>
      </c>
      <c r="G47" s="6" t="s">
        <v>30</v>
      </c>
      <c r="H47" s="6" t="n">
        <f aca="true">ROUND(RAND()*4+6,1)</f>
        <v>6.6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9289</v>
      </c>
      <c r="B48" s="5" t="s">
        <v>107</v>
      </c>
      <c r="C48" s="5" t="s">
        <v>95</v>
      </c>
      <c r="D48" s="5" t="s">
        <v>16</v>
      </c>
      <c r="E48" s="5" t="n">
        <f aca="false">ROUND(14416*1.05,2)</f>
        <v>15136.8</v>
      </c>
      <c r="F48" s="5" t="s">
        <v>49</v>
      </c>
      <c r="G48" s="5" t="s">
        <v>18</v>
      </c>
      <c r="H48" s="5" t="n">
        <f aca="true">ROUND(RAND()*4+6,1)</f>
        <v>9.6</v>
      </c>
      <c r="I48" s="5" t="s">
        <v>19</v>
      </c>
      <c r="J48" s="5" t="str">
        <f aca="false">ROUND(85*1,0)&amp;"%"</f>
        <v>85%</v>
      </c>
    </row>
    <row r="49" customFormat="false" ht="15" hidden="false" customHeight="false" outlineLevel="0" collapsed="false">
      <c r="A49" s="6" t="s">
        <v>9290</v>
      </c>
      <c r="B49" s="6" t="s">
        <v>109</v>
      </c>
      <c r="C49" s="6" t="s">
        <v>95</v>
      </c>
      <c r="D49" s="6" t="s">
        <v>22</v>
      </c>
      <c r="E49" s="6" t="n">
        <f aca="false">ROUND(6890*1.05,2)</f>
        <v>7234.5</v>
      </c>
      <c r="F49" s="6" t="s">
        <v>52</v>
      </c>
      <c r="G49" s="6" t="s">
        <v>24</v>
      </c>
      <c r="H49" s="6" t="n">
        <f aca="true">ROUND(RAND()*4+6,1)</f>
        <v>7</v>
      </c>
      <c r="I49" s="6" t="s">
        <v>25</v>
      </c>
      <c r="J49" s="6" t="str">
        <f aca="false">ROUND(75*1,0)&amp;"%"</f>
        <v>75%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9291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9292</v>
      </c>
      <c r="B54" s="5" t="s">
        <v>113</v>
      </c>
      <c r="C54" s="5" t="s">
        <v>114</v>
      </c>
      <c r="D54" s="5" t="s">
        <v>16</v>
      </c>
      <c r="E54" s="5" t="n">
        <f aca="false">ROUND(14097*1.05,2)</f>
        <v>14801.85</v>
      </c>
      <c r="F54" s="5" t="s">
        <v>17</v>
      </c>
      <c r="G54" s="5" t="s">
        <v>18</v>
      </c>
      <c r="H54" s="5" t="n">
        <f aca="true">ROUND(RAND()*4+6,1)</f>
        <v>6.6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9293</v>
      </c>
      <c r="B55" s="6" t="s">
        <v>116</v>
      </c>
      <c r="C55" s="6" t="s">
        <v>114</v>
      </c>
      <c r="D55" s="6" t="s">
        <v>22</v>
      </c>
      <c r="E55" s="6" t="n">
        <f aca="false">ROUND(16449*1.05,2)</f>
        <v>17271.45</v>
      </c>
      <c r="F55" s="6" t="s">
        <v>23</v>
      </c>
      <c r="G55" s="6" t="s">
        <v>24</v>
      </c>
      <c r="H55" s="6" t="n">
        <f aca="true">ROUND(RAND()*4+6,1)</f>
        <v>9.6</v>
      </c>
      <c r="I55" s="6" t="s">
        <v>25</v>
      </c>
      <c r="J55" s="6" t="str">
        <f aca="false">ROUND(88*1,0)&amp;"%"</f>
        <v>88%</v>
      </c>
    </row>
    <row r="56" customFormat="false" ht="15" hidden="false" customHeight="false" outlineLevel="0" collapsed="false">
      <c r="A56" s="5" t="s">
        <v>9294</v>
      </c>
      <c r="B56" s="5" t="s">
        <v>118</v>
      </c>
      <c r="C56" s="5" t="s">
        <v>114</v>
      </c>
      <c r="D56" s="5" t="s">
        <v>28</v>
      </c>
      <c r="E56" s="5" t="n">
        <f aca="false">ROUND(4738*1.05,2)</f>
        <v>4974.9</v>
      </c>
      <c r="F56" s="5" t="s">
        <v>29</v>
      </c>
      <c r="G56" s="5" t="s">
        <v>30</v>
      </c>
      <c r="H56" s="5" t="n">
        <f aca="true">ROUND(RAND()*4+6,1)</f>
        <v>9.1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9295</v>
      </c>
      <c r="B57" s="6" t="s">
        <v>120</v>
      </c>
      <c r="C57" s="6" t="s">
        <v>114</v>
      </c>
      <c r="D57" s="6" t="s">
        <v>34</v>
      </c>
      <c r="E57" s="6" t="n">
        <f aca="false">ROUND(13364*1.05,2)</f>
        <v>14032.2</v>
      </c>
      <c r="F57" s="6" t="s">
        <v>35</v>
      </c>
      <c r="G57" s="6" t="s">
        <v>18</v>
      </c>
      <c r="H57" s="6" t="n">
        <f aca="true">ROUND(RAND()*4+6,1)</f>
        <v>7.4</v>
      </c>
      <c r="I57" s="6" t="s">
        <v>36</v>
      </c>
      <c r="J57" s="6" t="str">
        <f aca="false">ROUND(85*1,0)&amp;"%"</f>
        <v>85%</v>
      </c>
    </row>
    <row r="58" customFormat="false" ht="15" hidden="false" customHeight="false" outlineLevel="0" collapsed="false">
      <c r="A58" s="5" t="s">
        <v>9296</v>
      </c>
      <c r="B58" s="5" t="s">
        <v>122</v>
      </c>
      <c r="C58" s="5" t="s">
        <v>114</v>
      </c>
      <c r="D58" s="5" t="s">
        <v>39</v>
      </c>
      <c r="E58" s="5" t="n">
        <f aca="false">ROUND(14645*1.05,2)</f>
        <v>15377.25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ROUND(80*1,0)&amp;"%"</f>
        <v>80%</v>
      </c>
    </row>
    <row r="59" customFormat="false" ht="15" hidden="false" customHeight="false" outlineLevel="0" collapsed="false">
      <c r="A59" s="6" t="s">
        <v>9297</v>
      </c>
      <c r="B59" s="6" t="s">
        <v>124</v>
      </c>
      <c r="C59" s="6" t="s">
        <v>114</v>
      </c>
      <c r="D59" s="6" t="s">
        <v>44</v>
      </c>
      <c r="E59" s="6" t="n">
        <f aca="false">ROUND(12049*1.05,2)</f>
        <v>12651.45</v>
      </c>
      <c r="F59" s="6" t="s">
        <v>45</v>
      </c>
      <c r="G59" s="6" t="s">
        <v>30</v>
      </c>
      <c r="H59" s="6" t="n">
        <f aca="true">ROUND(RAND()*4+6,1)</f>
        <v>7.4</v>
      </c>
      <c r="I59" s="6" t="s">
        <v>46</v>
      </c>
      <c r="J59" s="6" t="str">
        <f aca="false">ROUND(71*1,0)&amp;"%"</f>
        <v>71%</v>
      </c>
    </row>
    <row r="60" customFormat="false" ht="15" hidden="false" customHeight="false" outlineLevel="0" collapsed="false">
      <c r="A60" s="5" t="s">
        <v>9298</v>
      </c>
      <c r="B60" s="5" t="s">
        <v>126</v>
      </c>
      <c r="C60" s="5" t="s">
        <v>114</v>
      </c>
      <c r="D60" s="5" t="s">
        <v>16</v>
      </c>
      <c r="E60" s="5" t="n">
        <f aca="false">ROUND(7887*1.05,2)</f>
        <v>8281.35</v>
      </c>
      <c r="F60" s="5" t="s">
        <v>49</v>
      </c>
      <c r="G60" s="5" t="s">
        <v>18</v>
      </c>
      <c r="H60" s="5" t="n">
        <f aca="true">ROUND(RAND()*4+6,1)</f>
        <v>8.8</v>
      </c>
      <c r="I60" s="5" t="s">
        <v>19</v>
      </c>
      <c r="J60" s="5" t="str">
        <f aca="false">ROUND(95*1,0)&amp;"%"</f>
        <v>95%</v>
      </c>
    </row>
    <row r="61" customFormat="false" ht="15" hidden="false" customHeight="false" outlineLevel="0" collapsed="false">
      <c r="A61" s="6" t="s">
        <v>9299</v>
      </c>
      <c r="B61" s="6" t="s">
        <v>128</v>
      </c>
      <c r="C61" s="6" t="s">
        <v>114</v>
      </c>
      <c r="D61" s="6" t="s">
        <v>22</v>
      </c>
      <c r="E61" s="6" t="n">
        <f aca="false">ROUND(13649*1.05,2)</f>
        <v>14331.45</v>
      </c>
      <c r="F61" s="6" t="s">
        <v>52</v>
      </c>
      <c r="G61" s="6" t="s">
        <v>24</v>
      </c>
      <c r="H61" s="6" t="n">
        <f aca="true">ROUND(RAND()*4+6,1)</f>
        <v>8</v>
      </c>
      <c r="I61" s="6" t="s">
        <v>25</v>
      </c>
      <c r="J61" s="6" t="str">
        <f aca="false">ROUND(94*1,0)&amp;"%"</f>
        <v>94%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9300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9301</v>
      </c>
      <c r="B66" s="5" t="s">
        <v>132</v>
      </c>
      <c r="C66" s="5" t="s">
        <v>133</v>
      </c>
      <c r="D66" s="5" t="s">
        <v>16</v>
      </c>
      <c r="E66" s="5" t="n">
        <f aca="false">ROUND(6926*1.05,2)</f>
        <v>7272.3</v>
      </c>
      <c r="F66" s="5" t="s">
        <v>17</v>
      </c>
      <c r="G66" s="5" t="s">
        <v>18</v>
      </c>
      <c r="H66" s="5" t="n">
        <f aca="true">ROUND(RAND()*4+6,1)</f>
        <v>8.2</v>
      </c>
      <c r="I66" s="5" t="s">
        <v>19</v>
      </c>
      <c r="J66" s="5" t="str">
        <f aca="false">ROUND(80*1,0)&amp;"%"</f>
        <v>80%</v>
      </c>
    </row>
    <row r="67" customFormat="false" ht="15" hidden="false" customHeight="false" outlineLevel="0" collapsed="false">
      <c r="A67" s="6" t="s">
        <v>9302</v>
      </c>
      <c r="B67" s="6" t="s">
        <v>135</v>
      </c>
      <c r="C67" s="6" t="s">
        <v>133</v>
      </c>
      <c r="D67" s="6" t="s">
        <v>22</v>
      </c>
      <c r="E67" s="6" t="n">
        <f aca="false">ROUND(4111*1.05,2)</f>
        <v>4316.55</v>
      </c>
      <c r="F67" s="6" t="s">
        <v>23</v>
      </c>
      <c r="G67" s="6" t="s">
        <v>24</v>
      </c>
      <c r="H67" s="6" t="n">
        <f aca="true">ROUND(RAND()*4+6,1)</f>
        <v>8.8</v>
      </c>
      <c r="I67" s="6" t="s">
        <v>25</v>
      </c>
      <c r="J67" s="6" t="str">
        <f aca="false">ROUND(71*1,0)&amp;"%"</f>
        <v>71%</v>
      </c>
    </row>
    <row r="68" customFormat="false" ht="15" hidden="false" customHeight="false" outlineLevel="0" collapsed="false">
      <c r="A68" s="5" t="s">
        <v>9303</v>
      </c>
      <c r="B68" s="5" t="s">
        <v>137</v>
      </c>
      <c r="C68" s="5" t="s">
        <v>133</v>
      </c>
      <c r="D68" s="5" t="s">
        <v>28</v>
      </c>
      <c r="E68" s="5" t="n">
        <f aca="false">ROUND(14253*1.05,2)</f>
        <v>14965.65</v>
      </c>
      <c r="F68" s="5" t="s">
        <v>29</v>
      </c>
      <c r="G68" s="5" t="s">
        <v>30</v>
      </c>
      <c r="H68" s="5" t="n">
        <f aca="true">ROUND(RAND()*4+6,1)</f>
        <v>7.5</v>
      </c>
      <c r="I68" s="5" t="s">
        <v>31</v>
      </c>
      <c r="J68" s="5" t="str">
        <f aca="false">ROUND(92*1,0)&amp;"%"</f>
        <v>92%</v>
      </c>
    </row>
    <row r="69" customFormat="false" ht="15" hidden="false" customHeight="false" outlineLevel="0" collapsed="false">
      <c r="A69" s="6" t="s">
        <v>9304</v>
      </c>
      <c r="B69" s="6" t="s">
        <v>139</v>
      </c>
      <c r="C69" s="6" t="s">
        <v>133</v>
      </c>
      <c r="D69" s="6" t="s">
        <v>34</v>
      </c>
      <c r="E69" s="6" t="n">
        <f aca="false">ROUND(8762*1.05,2)</f>
        <v>9200.1</v>
      </c>
      <c r="F69" s="6" t="s">
        <v>35</v>
      </c>
      <c r="G69" s="6" t="s">
        <v>18</v>
      </c>
      <c r="H69" s="6" t="n">
        <f aca="true">ROUND(RAND()*4+6,1)</f>
        <v>6.2</v>
      </c>
      <c r="I69" s="6" t="s">
        <v>36</v>
      </c>
      <c r="J69" s="6" t="str">
        <f aca="false">ROUND(92*1,0)&amp;"%"</f>
        <v>92%</v>
      </c>
    </row>
    <row r="70" customFormat="false" ht="15" hidden="false" customHeight="false" outlineLevel="0" collapsed="false">
      <c r="A70" s="5" t="s">
        <v>9305</v>
      </c>
      <c r="B70" s="5" t="s">
        <v>141</v>
      </c>
      <c r="C70" s="5" t="s">
        <v>133</v>
      </c>
      <c r="D70" s="5" t="s">
        <v>39</v>
      </c>
      <c r="E70" s="5" t="n">
        <f aca="false">ROUND(4824*1.05,2)</f>
        <v>5065.2</v>
      </c>
      <c r="F70" s="5" t="s">
        <v>40</v>
      </c>
      <c r="G70" s="5" t="s">
        <v>24</v>
      </c>
      <c r="H70" s="5" t="n">
        <f aca="true">ROUND(RAND()*4+6,1)</f>
        <v>8.5</v>
      </c>
      <c r="I70" s="5" t="s">
        <v>41</v>
      </c>
      <c r="J70" s="5" t="str">
        <f aca="false">ROUND(74*1,0)&amp;"%"</f>
        <v>74%</v>
      </c>
    </row>
    <row r="71" customFormat="false" ht="15" hidden="false" customHeight="false" outlineLevel="0" collapsed="false">
      <c r="A71" s="6" t="s">
        <v>9306</v>
      </c>
      <c r="B71" s="6" t="s">
        <v>143</v>
      </c>
      <c r="C71" s="6" t="s">
        <v>133</v>
      </c>
      <c r="D71" s="6" t="s">
        <v>44</v>
      </c>
      <c r="E71" s="6" t="n">
        <f aca="false">ROUND(11065*1.05,2)</f>
        <v>11618.25</v>
      </c>
      <c r="F71" s="6" t="s">
        <v>45</v>
      </c>
      <c r="G71" s="6" t="s">
        <v>30</v>
      </c>
      <c r="H71" s="6" t="n">
        <f aca="true">ROUND(RAND()*4+6,1)</f>
        <v>8.9</v>
      </c>
      <c r="I71" s="6" t="s">
        <v>46</v>
      </c>
      <c r="J71" s="6" t="str">
        <f aca="false">ROUND(66*1,0)&amp;"%"</f>
        <v>66%</v>
      </c>
    </row>
    <row r="72" customFormat="false" ht="15" hidden="false" customHeight="false" outlineLevel="0" collapsed="false">
      <c r="A72" s="5" t="s">
        <v>9307</v>
      </c>
      <c r="B72" s="5" t="s">
        <v>145</v>
      </c>
      <c r="C72" s="5" t="s">
        <v>133</v>
      </c>
      <c r="D72" s="5" t="s">
        <v>16</v>
      </c>
      <c r="E72" s="5" t="n">
        <f aca="false">ROUND(9309*1.05,2)</f>
        <v>9774.45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ROUND(87*1,0)&amp;"%"</f>
        <v>87%</v>
      </c>
    </row>
    <row r="73" customFormat="false" ht="15" hidden="false" customHeight="false" outlineLevel="0" collapsed="false">
      <c r="A73" s="6" t="s">
        <v>9308</v>
      </c>
      <c r="B73" s="6" t="s">
        <v>147</v>
      </c>
      <c r="C73" s="6" t="s">
        <v>133</v>
      </c>
      <c r="D73" s="6" t="s">
        <v>22</v>
      </c>
      <c r="E73" s="6" t="n">
        <f aca="false">ROUND(5324*1.05,2)</f>
        <v>5590.2</v>
      </c>
      <c r="F73" s="6" t="s">
        <v>52</v>
      </c>
      <c r="G73" s="6" t="s">
        <v>24</v>
      </c>
      <c r="H73" s="6" t="n">
        <f aca="true">ROUND(RAND()*4+6,1)</f>
        <v>9</v>
      </c>
      <c r="I73" s="6" t="s">
        <v>25</v>
      </c>
      <c r="J73" s="6" t="str">
        <f aca="false">ROUND(78*1,0)&amp;"%"</f>
        <v>78%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9309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9310</v>
      </c>
      <c r="B78" s="5" t="s">
        <v>151</v>
      </c>
      <c r="C78" s="5" t="s">
        <v>152</v>
      </c>
      <c r="D78" s="5" t="s">
        <v>16</v>
      </c>
      <c r="E78" s="5" t="n">
        <f aca="false">ROUND(11445*1.05,2)</f>
        <v>12017.25</v>
      </c>
      <c r="F78" s="5" t="s">
        <v>17</v>
      </c>
      <c r="G78" s="5" t="s">
        <v>18</v>
      </c>
      <c r="H78" s="5" t="n">
        <f aca="true">ROUND(RAND()*4+6,1)</f>
        <v>7.5</v>
      </c>
      <c r="I78" s="5" t="s">
        <v>19</v>
      </c>
      <c r="J78" s="5" t="str">
        <f aca="false">ROUND(94*1,0)&amp;"%"</f>
        <v>94%</v>
      </c>
    </row>
    <row r="79" customFormat="false" ht="15" hidden="false" customHeight="false" outlineLevel="0" collapsed="false">
      <c r="A79" s="6" t="s">
        <v>9311</v>
      </c>
      <c r="B79" s="6" t="s">
        <v>154</v>
      </c>
      <c r="C79" s="6" t="s">
        <v>152</v>
      </c>
      <c r="D79" s="6" t="s">
        <v>22</v>
      </c>
      <c r="E79" s="6" t="n">
        <f aca="false">ROUND(4617*1.05,2)</f>
        <v>4847.85</v>
      </c>
      <c r="F79" s="6" t="s">
        <v>23</v>
      </c>
      <c r="G79" s="6" t="s">
        <v>24</v>
      </c>
      <c r="H79" s="6" t="n">
        <f aca="true">ROUND(RAND()*4+6,1)</f>
        <v>6.6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9312</v>
      </c>
      <c r="B80" s="5" t="s">
        <v>156</v>
      </c>
      <c r="C80" s="5" t="s">
        <v>152</v>
      </c>
      <c r="D80" s="5" t="s">
        <v>28</v>
      </c>
      <c r="E80" s="5" t="n">
        <f aca="false">ROUND(9207*1.05,2)</f>
        <v>9667.35</v>
      </c>
      <c r="F80" s="5" t="s">
        <v>29</v>
      </c>
      <c r="G80" s="5" t="s">
        <v>30</v>
      </c>
      <c r="H80" s="5" t="n">
        <f aca="true">ROUND(RAND()*4+6,1)</f>
        <v>6.3</v>
      </c>
      <c r="I80" s="5" t="s">
        <v>31</v>
      </c>
      <c r="J80" s="5" t="str">
        <f aca="false">ROUND(92*1,0)&amp;"%"</f>
        <v>92%</v>
      </c>
    </row>
    <row r="81" customFormat="false" ht="15" hidden="false" customHeight="false" outlineLevel="0" collapsed="false">
      <c r="A81" s="6" t="s">
        <v>9313</v>
      </c>
      <c r="B81" s="6" t="s">
        <v>158</v>
      </c>
      <c r="C81" s="6" t="s">
        <v>152</v>
      </c>
      <c r="D81" s="6" t="s">
        <v>34</v>
      </c>
      <c r="E81" s="6" t="n">
        <f aca="false">ROUND(10428*1.05,2)</f>
        <v>10949.4</v>
      </c>
      <c r="F81" s="6" t="s">
        <v>35</v>
      </c>
      <c r="G81" s="6" t="s">
        <v>18</v>
      </c>
      <c r="H81" s="6" t="n">
        <f aca="true">ROUND(RAND()*4+6,1)</f>
        <v>9.6</v>
      </c>
      <c r="I81" s="6" t="s">
        <v>36</v>
      </c>
      <c r="J81" s="6" t="str">
        <f aca="false">ROUND(88*1,0)&amp;"%"</f>
        <v>88%</v>
      </c>
    </row>
    <row r="82" customFormat="false" ht="15" hidden="false" customHeight="false" outlineLevel="0" collapsed="false">
      <c r="A82" s="5" t="s">
        <v>9314</v>
      </c>
      <c r="B82" s="5" t="s">
        <v>160</v>
      </c>
      <c r="C82" s="5" t="s">
        <v>152</v>
      </c>
      <c r="D82" s="5" t="s">
        <v>39</v>
      </c>
      <c r="E82" s="5" t="n">
        <f aca="false">ROUND(13426*1.05,2)</f>
        <v>14097.3</v>
      </c>
      <c r="F82" s="5" t="s">
        <v>40</v>
      </c>
      <c r="G82" s="5" t="s">
        <v>24</v>
      </c>
      <c r="H82" s="5" t="n">
        <f aca="true">ROUND(RAND()*4+6,1)</f>
        <v>8.5</v>
      </c>
      <c r="I82" s="5" t="s">
        <v>41</v>
      </c>
      <c r="J82" s="5" t="str">
        <f aca="false">ROUND(92*1,0)&amp;"%"</f>
        <v>92%</v>
      </c>
    </row>
    <row r="83" customFormat="false" ht="15" hidden="false" customHeight="false" outlineLevel="0" collapsed="false">
      <c r="A83" s="6" t="s">
        <v>9315</v>
      </c>
      <c r="B83" s="6" t="s">
        <v>162</v>
      </c>
      <c r="C83" s="6" t="s">
        <v>152</v>
      </c>
      <c r="D83" s="6" t="s">
        <v>44</v>
      </c>
      <c r="E83" s="6" t="n">
        <f aca="false">ROUND(5077*1.05,2)</f>
        <v>5330.85</v>
      </c>
      <c r="F83" s="6" t="s">
        <v>45</v>
      </c>
      <c r="G83" s="6" t="s">
        <v>30</v>
      </c>
      <c r="H83" s="6" t="n">
        <f aca="true">ROUND(RAND()*4+6,1)</f>
        <v>6.1</v>
      </c>
      <c r="I83" s="6" t="s">
        <v>46</v>
      </c>
      <c r="J83" s="6" t="str">
        <f aca="false">ROUND(98*1,0)&amp;"%"</f>
        <v>98%</v>
      </c>
    </row>
    <row r="84" customFormat="false" ht="15" hidden="false" customHeight="false" outlineLevel="0" collapsed="false">
      <c r="A84" s="5" t="s">
        <v>9316</v>
      </c>
      <c r="B84" s="5" t="s">
        <v>164</v>
      </c>
      <c r="C84" s="5" t="s">
        <v>152</v>
      </c>
      <c r="D84" s="5" t="s">
        <v>16</v>
      </c>
      <c r="E84" s="5" t="n">
        <f aca="false">ROUND(7388*1.05,2)</f>
        <v>7757.4</v>
      </c>
      <c r="F84" s="5" t="s">
        <v>49</v>
      </c>
      <c r="G84" s="5" t="s">
        <v>18</v>
      </c>
      <c r="H84" s="5" t="n">
        <f aca="true">ROUND(RAND()*4+6,1)</f>
        <v>9.6</v>
      </c>
      <c r="I84" s="5" t="s">
        <v>19</v>
      </c>
      <c r="J84" s="5" t="str">
        <f aca="false">ROUND(84*1,0)&amp;"%"</f>
        <v>84%</v>
      </c>
    </row>
    <row r="85" customFormat="false" ht="15" hidden="false" customHeight="false" outlineLevel="0" collapsed="false">
      <c r="A85" s="6" t="s">
        <v>9317</v>
      </c>
      <c r="B85" s="6" t="s">
        <v>166</v>
      </c>
      <c r="C85" s="6" t="s">
        <v>152</v>
      </c>
      <c r="D85" s="6" t="s">
        <v>22</v>
      </c>
      <c r="E85" s="6" t="n">
        <f aca="false">ROUND(13950*1.05,2)</f>
        <v>14647.5</v>
      </c>
      <c r="F85" s="6" t="s">
        <v>52</v>
      </c>
      <c r="G85" s="6" t="s">
        <v>24</v>
      </c>
      <c r="H85" s="6" t="n">
        <f aca="true">ROUND(RAND()*4+6,1)</f>
        <v>10</v>
      </c>
      <c r="I85" s="6" t="s">
        <v>25</v>
      </c>
      <c r="J85" s="6" t="str">
        <f aca="false">ROUND(64*1,0)&amp;"%"</f>
        <v>64%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9318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9319</v>
      </c>
      <c r="B90" s="5" t="s">
        <v>170</v>
      </c>
      <c r="C90" s="5" t="s">
        <v>15</v>
      </c>
      <c r="D90" s="5" t="s">
        <v>16</v>
      </c>
      <c r="E90" s="5" t="n">
        <f aca="false">ROUND(11431*1.05,2)</f>
        <v>12002.55</v>
      </c>
      <c r="F90" s="5" t="s">
        <v>17</v>
      </c>
      <c r="G90" s="5" t="s">
        <v>18</v>
      </c>
      <c r="H90" s="5" t="n">
        <f aca="true">ROUND(RAND()*4+6,1)</f>
        <v>9.5</v>
      </c>
      <c r="I90" s="5" t="s">
        <v>19</v>
      </c>
      <c r="J90" s="5" t="str">
        <f aca="false">ROUND(93*1,0)&amp;"%"</f>
        <v>93%</v>
      </c>
    </row>
    <row r="91" customFormat="false" ht="15" hidden="false" customHeight="false" outlineLevel="0" collapsed="false">
      <c r="A91" s="6" t="s">
        <v>9320</v>
      </c>
      <c r="B91" s="6" t="s">
        <v>172</v>
      </c>
      <c r="C91" s="6" t="s">
        <v>15</v>
      </c>
      <c r="D91" s="6" t="s">
        <v>22</v>
      </c>
      <c r="E91" s="6" t="n">
        <f aca="false">ROUND(10218*1.05,2)</f>
        <v>10728.9</v>
      </c>
      <c r="F91" s="6" t="s">
        <v>23</v>
      </c>
      <c r="G91" s="6" t="s">
        <v>24</v>
      </c>
      <c r="H91" s="6" t="n">
        <f aca="true">ROUND(RAND()*4+6,1)</f>
        <v>9.9</v>
      </c>
      <c r="I91" s="6" t="s">
        <v>25</v>
      </c>
      <c r="J91" s="6" t="str">
        <f aca="false">ROUND(98*1,0)&amp;"%"</f>
        <v>98%</v>
      </c>
    </row>
    <row r="92" customFormat="false" ht="15" hidden="false" customHeight="false" outlineLevel="0" collapsed="false">
      <c r="A92" s="5" t="s">
        <v>9321</v>
      </c>
      <c r="B92" s="5" t="s">
        <v>174</v>
      </c>
      <c r="C92" s="5" t="s">
        <v>15</v>
      </c>
      <c r="D92" s="5" t="s">
        <v>28</v>
      </c>
      <c r="E92" s="5" t="n">
        <f aca="false">ROUND(13080*1.05,2)</f>
        <v>13734</v>
      </c>
      <c r="F92" s="5" t="s">
        <v>29</v>
      </c>
      <c r="G92" s="5" t="s">
        <v>30</v>
      </c>
      <c r="H92" s="5" t="n">
        <f aca="true">ROUND(RAND()*4+6,1)</f>
        <v>9.5</v>
      </c>
      <c r="I92" s="5" t="s">
        <v>31</v>
      </c>
      <c r="J92" s="5" t="str">
        <f aca="false">ROUND(67*1,0)&amp;"%"</f>
        <v>67%</v>
      </c>
    </row>
    <row r="93" customFormat="false" ht="15" hidden="false" customHeight="false" outlineLevel="0" collapsed="false">
      <c r="A93" s="6" t="s">
        <v>9322</v>
      </c>
      <c r="B93" s="6" t="s">
        <v>176</v>
      </c>
      <c r="C93" s="6" t="s">
        <v>15</v>
      </c>
      <c r="D93" s="6" t="s">
        <v>34</v>
      </c>
      <c r="E93" s="6" t="n">
        <f aca="false">ROUND(6582*1.05,2)</f>
        <v>6911.1</v>
      </c>
      <c r="F93" s="6" t="s">
        <v>35</v>
      </c>
      <c r="G93" s="6" t="s">
        <v>18</v>
      </c>
      <c r="H93" s="6" t="n">
        <f aca="true">ROUND(RAND()*4+6,1)</f>
        <v>9.5</v>
      </c>
      <c r="I93" s="6" t="s">
        <v>36</v>
      </c>
      <c r="J93" s="6" t="str">
        <f aca="false">ROUND(60*1,0)&amp;"%"</f>
        <v>60%</v>
      </c>
    </row>
    <row r="94" customFormat="false" ht="15" hidden="false" customHeight="false" outlineLevel="0" collapsed="false">
      <c r="A94" s="5" t="s">
        <v>9323</v>
      </c>
      <c r="B94" s="5" t="s">
        <v>178</v>
      </c>
      <c r="C94" s="5" t="s">
        <v>15</v>
      </c>
      <c r="D94" s="5" t="s">
        <v>39</v>
      </c>
      <c r="E94" s="5" t="n">
        <f aca="false">ROUND(11403*1.05,2)</f>
        <v>11973.15</v>
      </c>
      <c r="F94" s="5" t="s">
        <v>40</v>
      </c>
      <c r="G94" s="5" t="s">
        <v>24</v>
      </c>
      <c r="H94" s="5" t="n">
        <f aca="true">ROUND(RAND()*4+6,1)</f>
        <v>8.6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9324</v>
      </c>
      <c r="B95" s="6" t="s">
        <v>180</v>
      </c>
      <c r="C95" s="6" t="s">
        <v>15</v>
      </c>
      <c r="D95" s="6" t="s">
        <v>44</v>
      </c>
      <c r="E95" s="6" t="n">
        <f aca="false">ROUND(14505*1.05,2)</f>
        <v>15230.25</v>
      </c>
      <c r="F95" s="6" t="s">
        <v>45</v>
      </c>
      <c r="G95" s="6" t="s">
        <v>30</v>
      </c>
      <c r="H95" s="6" t="n">
        <f aca="true">ROUND(RAND()*4+6,1)</f>
        <v>8.3</v>
      </c>
      <c r="I95" s="6" t="s">
        <v>46</v>
      </c>
      <c r="J95" s="6" t="str">
        <f aca="false">ROUND(77*1,0)&amp;"%"</f>
        <v>77%</v>
      </c>
    </row>
    <row r="96" customFormat="false" ht="15" hidden="false" customHeight="false" outlineLevel="0" collapsed="false">
      <c r="A96" s="5" t="s">
        <v>9325</v>
      </c>
      <c r="B96" s="5" t="s">
        <v>182</v>
      </c>
      <c r="C96" s="5" t="s">
        <v>15</v>
      </c>
      <c r="D96" s="5" t="s">
        <v>16</v>
      </c>
      <c r="E96" s="5" t="n">
        <f aca="false">ROUND(17134*1.05,2)</f>
        <v>17990.7</v>
      </c>
      <c r="F96" s="5" t="s">
        <v>49</v>
      </c>
      <c r="G96" s="5" t="s">
        <v>18</v>
      </c>
      <c r="H96" s="5" t="n">
        <f aca="true">ROUND(RAND()*4+6,1)</f>
        <v>7.6</v>
      </c>
      <c r="I96" s="5" t="s">
        <v>19</v>
      </c>
      <c r="J96" s="5" t="str">
        <f aca="false">ROUND(73*1,0)&amp;"%"</f>
        <v>73%</v>
      </c>
    </row>
    <row r="97" customFormat="false" ht="15" hidden="false" customHeight="false" outlineLevel="0" collapsed="false">
      <c r="A97" s="6" t="s">
        <v>9326</v>
      </c>
      <c r="B97" s="6" t="s">
        <v>184</v>
      </c>
      <c r="C97" s="6" t="s">
        <v>15</v>
      </c>
      <c r="D97" s="6" t="s">
        <v>22</v>
      </c>
      <c r="E97" s="6" t="n">
        <f aca="false">ROUND(6822*1.05,2)</f>
        <v>7163.1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ROUND(91*1,0)&amp;"%"</f>
        <v>91%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9327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9328</v>
      </c>
      <c r="B102" s="5" t="s">
        <v>188</v>
      </c>
      <c r="C102" s="5" t="s">
        <v>57</v>
      </c>
      <c r="D102" s="5" t="s">
        <v>16</v>
      </c>
      <c r="E102" s="5" t="n">
        <f aca="false">ROUND(10679*1.05,2)</f>
        <v>11212.95</v>
      </c>
      <c r="F102" s="5" t="s">
        <v>17</v>
      </c>
      <c r="G102" s="5" t="s">
        <v>18</v>
      </c>
      <c r="H102" s="5" t="n">
        <f aca="true">ROUND(RAND()*4+6,1)</f>
        <v>8.6</v>
      </c>
      <c r="I102" s="5" t="s">
        <v>19</v>
      </c>
      <c r="J102" s="5" t="str">
        <f aca="false">ROUND(74*1,0)&amp;"%"</f>
        <v>74%</v>
      </c>
    </row>
    <row r="103" customFormat="false" ht="15" hidden="false" customHeight="false" outlineLevel="0" collapsed="false">
      <c r="A103" s="6" t="s">
        <v>9329</v>
      </c>
      <c r="B103" s="6" t="s">
        <v>190</v>
      </c>
      <c r="C103" s="6" t="s">
        <v>57</v>
      </c>
      <c r="D103" s="6" t="s">
        <v>22</v>
      </c>
      <c r="E103" s="6" t="n">
        <f aca="false">ROUND(6385*1.05,2)</f>
        <v>6704.25</v>
      </c>
      <c r="F103" s="6" t="s">
        <v>23</v>
      </c>
      <c r="G103" s="6" t="s">
        <v>24</v>
      </c>
      <c r="H103" s="6" t="n">
        <f aca="true">ROUND(RAND()*4+6,1)</f>
        <v>6.5</v>
      </c>
      <c r="I103" s="6" t="s">
        <v>25</v>
      </c>
      <c r="J103" s="6" t="str">
        <f aca="false">ROUND(70*1,0)&amp;"%"</f>
        <v>70%</v>
      </c>
    </row>
    <row r="104" customFormat="false" ht="15" hidden="false" customHeight="false" outlineLevel="0" collapsed="false">
      <c r="A104" s="5" t="s">
        <v>9330</v>
      </c>
      <c r="B104" s="5" t="s">
        <v>192</v>
      </c>
      <c r="C104" s="5" t="s">
        <v>57</v>
      </c>
      <c r="D104" s="5" t="s">
        <v>28</v>
      </c>
      <c r="E104" s="5" t="n">
        <f aca="false">ROUND(10643*1.05,2)</f>
        <v>11175.15</v>
      </c>
      <c r="F104" s="5" t="s">
        <v>29</v>
      </c>
      <c r="G104" s="5" t="s">
        <v>30</v>
      </c>
      <c r="H104" s="5" t="n">
        <f aca="true">ROUND(RAND()*4+6,1)</f>
        <v>8.3</v>
      </c>
      <c r="I104" s="5" t="s">
        <v>31</v>
      </c>
      <c r="J104" s="5" t="str">
        <f aca="false">ROUND(89*1,0)&amp;"%"</f>
        <v>89%</v>
      </c>
    </row>
    <row r="105" customFormat="false" ht="15" hidden="false" customHeight="false" outlineLevel="0" collapsed="false">
      <c r="A105" s="6" t="s">
        <v>9331</v>
      </c>
      <c r="B105" s="6" t="s">
        <v>194</v>
      </c>
      <c r="C105" s="6" t="s">
        <v>57</v>
      </c>
      <c r="D105" s="6" t="s">
        <v>34</v>
      </c>
      <c r="E105" s="6" t="n">
        <f aca="false">ROUND(17680*1.05,2)</f>
        <v>18564</v>
      </c>
      <c r="F105" s="6" t="s">
        <v>35</v>
      </c>
      <c r="G105" s="6" t="s">
        <v>18</v>
      </c>
      <c r="H105" s="6" t="n">
        <f aca="true">ROUND(RAND()*4+6,1)</f>
        <v>9.1</v>
      </c>
      <c r="I105" s="6" t="s">
        <v>36</v>
      </c>
      <c r="J105" s="6" t="str">
        <f aca="false">ROUND(70*1,0)&amp;"%"</f>
        <v>70%</v>
      </c>
    </row>
    <row r="106" customFormat="false" ht="15" hidden="false" customHeight="false" outlineLevel="0" collapsed="false">
      <c r="A106" s="5" t="s">
        <v>9332</v>
      </c>
      <c r="B106" s="5" t="s">
        <v>196</v>
      </c>
      <c r="C106" s="5" t="s">
        <v>57</v>
      </c>
      <c r="D106" s="5" t="s">
        <v>39</v>
      </c>
      <c r="E106" s="5" t="n">
        <f aca="false">ROUND(13777*1.05,2)</f>
        <v>14465.85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ROUND(67*1,0)&amp;"%"</f>
        <v>67%</v>
      </c>
    </row>
    <row r="107" customFormat="false" ht="15" hidden="false" customHeight="false" outlineLevel="0" collapsed="false">
      <c r="A107" s="6" t="s">
        <v>9333</v>
      </c>
      <c r="B107" s="6" t="s">
        <v>198</v>
      </c>
      <c r="C107" s="6" t="s">
        <v>57</v>
      </c>
      <c r="D107" s="6" t="s">
        <v>44</v>
      </c>
      <c r="E107" s="6" t="n">
        <f aca="false">ROUND(17111*1.05,2)</f>
        <v>17966.55</v>
      </c>
      <c r="F107" s="6" t="s">
        <v>45</v>
      </c>
      <c r="G107" s="6" t="s">
        <v>30</v>
      </c>
      <c r="H107" s="6" t="n">
        <f aca="true">ROUND(RAND()*4+6,1)</f>
        <v>7.5</v>
      </c>
      <c r="I107" s="6" t="s">
        <v>46</v>
      </c>
      <c r="J107" s="6" t="str">
        <f aca="false">ROUND(99*1,0)&amp;"%"</f>
        <v>99%</v>
      </c>
    </row>
    <row r="108" customFormat="false" ht="15" hidden="false" customHeight="false" outlineLevel="0" collapsed="false">
      <c r="A108" s="5" t="s">
        <v>9334</v>
      </c>
      <c r="B108" s="5" t="s">
        <v>200</v>
      </c>
      <c r="C108" s="5" t="s">
        <v>57</v>
      </c>
      <c r="D108" s="5" t="s">
        <v>16</v>
      </c>
      <c r="E108" s="5" t="n">
        <f aca="false">ROUND(17123*1.05,2)</f>
        <v>17979.15</v>
      </c>
      <c r="F108" s="5" t="s">
        <v>49</v>
      </c>
      <c r="G108" s="5" t="s">
        <v>18</v>
      </c>
      <c r="H108" s="5" t="n">
        <f aca="true">ROUND(RAND()*4+6,1)</f>
        <v>8.2</v>
      </c>
      <c r="I108" s="5" t="s">
        <v>19</v>
      </c>
      <c r="J108" s="5" t="str">
        <f aca="false">ROUND(89*1,0)&amp;"%"</f>
        <v>89%</v>
      </c>
    </row>
    <row r="109" customFormat="false" ht="15" hidden="false" customHeight="false" outlineLevel="0" collapsed="false">
      <c r="A109" s="6" t="s">
        <v>9335</v>
      </c>
      <c r="B109" s="6" t="s">
        <v>202</v>
      </c>
      <c r="C109" s="6" t="s">
        <v>57</v>
      </c>
      <c r="D109" s="6" t="s">
        <v>22</v>
      </c>
      <c r="E109" s="6" t="n">
        <f aca="false">ROUND(9796*1.05,2)</f>
        <v>10285.8</v>
      </c>
      <c r="F109" s="6" t="s">
        <v>52</v>
      </c>
      <c r="G109" s="6" t="s">
        <v>24</v>
      </c>
      <c r="H109" s="6" t="n">
        <f aca="true">ROUND(RAND()*4+6,1)</f>
        <v>7</v>
      </c>
      <c r="I109" s="6" t="s">
        <v>25</v>
      </c>
      <c r="J109" s="6" t="str">
        <f aca="false">ROUND(92*1,0)&amp;"%"</f>
        <v>92%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9336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9337</v>
      </c>
      <c r="B114" s="5" t="s">
        <v>206</v>
      </c>
      <c r="C114" s="5" t="s">
        <v>76</v>
      </c>
      <c r="D114" s="5" t="s">
        <v>16</v>
      </c>
      <c r="E114" s="5" t="n">
        <f aca="false">ROUND(7983*1.05,2)</f>
        <v>8382.15</v>
      </c>
      <c r="F114" s="5" t="s">
        <v>17</v>
      </c>
      <c r="G114" s="5" t="s">
        <v>18</v>
      </c>
      <c r="H114" s="5" t="n">
        <f aca="true">ROUND(RAND()*4+6,1)</f>
        <v>8.8</v>
      </c>
      <c r="I114" s="5" t="s">
        <v>19</v>
      </c>
      <c r="J114" s="5" t="str">
        <f aca="false">ROUND(98*1,0)&amp;"%"</f>
        <v>98%</v>
      </c>
    </row>
    <row r="115" customFormat="false" ht="15" hidden="false" customHeight="false" outlineLevel="0" collapsed="false">
      <c r="A115" s="6" t="s">
        <v>9338</v>
      </c>
      <c r="B115" s="6" t="s">
        <v>208</v>
      </c>
      <c r="C115" s="6" t="s">
        <v>76</v>
      </c>
      <c r="D115" s="6" t="s">
        <v>22</v>
      </c>
      <c r="E115" s="6" t="n">
        <f aca="false">ROUND(10771*1.05,2)</f>
        <v>11309.55</v>
      </c>
      <c r="F115" s="6" t="s">
        <v>23</v>
      </c>
      <c r="G115" s="6" t="s">
        <v>24</v>
      </c>
      <c r="H115" s="6" t="n">
        <f aca="true">ROUND(RAND()*4+6,1)</f>
        <v>7.7</v>
      </c>
      <c r="I115" s="6" t="s">
        <v>25</v>
      </c>
      <c r="J115" s="6" t="str">
        <f aca="false">ROUND(80*1,0)&amp;"%"</f>
        <v>80%</v>
      </c>
    </row>
    <row r="116" customFormat="false" ht="15" hidden="false" customHeight="false" outlineLevel="0" collapsed="false">
      <c r="A116" s="5" t="s">
        <v>9339</v>
      </c>
      <c r="B116" s="5" t="s">
        <v>210</v>
      </c>
      <c r="C116" s="5" t="s">
        <v>76</v>
      </c>
      <c r="D116" s="5" t="s">
        <v>28</v>
      </c>
      <c r="E116" s="5" t="n">
        <f aca="false">ROUND(5279*1.05,2)</f>
        <v>5542.95</v>
      </c>
      <c r="F116" s="5" t="s">
        <v>29</v>
      </c>
      <c r="G116" s="5" t="s">
        <v>30</v>
      </c>
      <c r="H116" s="5" t="n">
        <f aca="true">ROUND(RAND()*4+6,1)</f>
        <v>9.5</v>
      </c>
      <c r="I116" s="5" t="s">
        <v>31</v>
      </c>
      <c r="J116" s="5" t="str">
        <f aca="false">ROUND(73*1,0)&amp;"%"</f>
        <v>73%</v>
      </c>
    </row>
    <row r="117" customFormat="false" ht="15" hidden="false" customHeight="false" outlineLevel="0" collapsed="false">
      <c r="A117" s="6" t="s">
        <v>9340</v>
      </c>
      <c r="B117" s="6" t="s">
        <v>212</v>
      </c>
      <c r="C117" s="6" t="s">
        <v>76</v>
      </c>
      <c r="D117" s="6" t="s">
        <v>34</v>
      </c>
      <c r="E117" s="6" t="n">
        <f aca="false">ROUND(6809*1.05,2)</f>
        <v>7149.45</v>
      </c>
      <c r="F117" s="6" t="s">
        <v>35</v>
      </c>
      <c r="G117" s="6" t="s">
        <v>18</v>
      </c>
      <c r="H117" s="6" t="n">
        <f aca="true">ROUND(RAND()*4+6,1)</f>
        <v>6.5</v>
      </c>
      <c r="I117" s="6" t="s">
        <v>36</v>
      </c>
      <c r="J117" s="6" t="str">
        <f aca="false">ROUND(65*1,0)&amp;"%"</f>
        <v>65%</v>
      </c>
    </row>
    <row r="118" customFormat="false" ht="15" hidden="false" customHeight="false" outlineLevel="0" collapsed="false">
      <c r="A118" s="5" t="s">
        <v>9341</v>
      </c>
      <c r="B118" s="5" t="s">
        <v>214</v>
      </c>
      <c r="C118" s="5" t="s">
        <v>76</v>
      </c>
      <c r="D118" s="5" t="s">
        <v>39</v>
      </c>
      <c r="E118" s="5" t="n">
        <f aca="false">ROUND(9538*1.05,2)</f>
        <v>10014.9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ROUND(86*1,0)&amp;"%"</f>
        <v>86%</v>
      </c>
    </row>
    <row r="119" customFormat="false" ht="15" hidden="false" customHeight="false" outlineLevel="0" collapsed="false">
      <c r="A119" s="6" t="s">
        <v>9342</v>
      </c>
      <c r="B119" s="6" t="s">
        <v>216</v>
      </c>
      <c r="C119" s="6" t="s">
        <v>76</v>
      </c>
      <c r="D119" s="6" t="s">
        <v>44</v>
      </c>
      <c r="E119" s="6" t="n">
        <f aca="false">ROUND(8208*1.05,2)</f>
        <v>8618.4</v>
      </c>
      <c r="F119" s="6" t="s">
        <v>45</v>
      </c>
      <c r="G119" s="6" t="s">
        <v>30</v>
      </c>
      <c r="H119" s="6" t="n">
        <f aca="true">ROUND(RAND()*4+6,1)</f>
        <v>8.5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9343</v>
      </c>
      <c r="B120" s="5" t="s">
        <v>218</v>
      </c>
      <c r="C120" s="5" t="s">
        <v>76</v>
      </c>
      <c r="D120" s="5" t="s">
        <v>16</v>
      </c>
      <c r="E120" s="5" t="n">
        <f aca="false">ROUND(8908*1.05,2)</f>
        <v>9353.4</v>
      </c>
      <c r="F120" s="5" t="s">
        <v>49</v>
      </c>
      <c r="G120" s="5" t="s">
        <v>18</v>
      </c>
      <c r="H120" s="5" t="n">
        <f aca="true">ROUND(RAND()*4+6,1)</f>
        <v>6.4</v>
      </c>
      <c r="I120" s="5" t="s">
        <v>19</v>
      </c>
      <c r="J120" s="5" t="str">
        <f aca="false">ROUND(70*1,0)&amp;"%"</f>
        <v>70%</v>
      </c>
    </row>
    <row r="121" customFormat="false" ht="15" hidden="false" customHeight="false" outlineLevel="0" collapsed="false">
      <c r="A121" s="6" t="s">
        <v>9344</v>
      </c>
      <c r="B121" s="6" t="s">
        <v>220</v>
      </c>
      <c r="C121" s="6" t="s">
        <v>76</v>
      </c>
      <c r="D121" s="6" t="s">
        <v>22</v>
      </c>
      <c r="E121" s="6" t="n">
        <f aca="false">ROUND(4993*1.05,2)</f>
        <v>5242.65</v>
      </c>
      <c r="F121" s="6" t="s">
        <v>52</v>
      </c>
      <c r="G121" s="6" t="s">
        <v>24</v>
      </c>
      <c r="H121" s="6" t="n">
        <f aca="true">ROUND(RAND()*4+6,1)</f>
        <v>8.1</v>
      </c>
      <c r="I121" s="6" t="s">
        <v>25</v>
      </c>
      <c r="J121" s="6" t="str">
        <f aca="false">ROUND(75*1,0)&amp;"%"</f>
        <v>75%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9345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9346</v>
      </c>
      <c r="B126" s="5" t="s">
        <v>224</v>
      </c>
      <c r="C126" s="5" t="s">
        <v>95</v>
      </c>
      <c r="D126" s="5" t="s">
        <v>16</v>
      </c>
      <c r="E126" s="5" t="n">
        <f aca="false">ROUND(8993*1.05,2)</f>
        <v>9442.65</v>
      </c>
      <c r="F126" s="5" t="s">
        <v>17</v>
      </c>
      <c r="G126" s="5" t="s">
        <v>18</v>
      </c>
      <c r="H126" s="5" t="n">
        <f aca="true">ROUND(RAND()*4+6,1)</f>
        <v>8.6</v>
      </c>
      <c r="I126" s="5" t="s">
        <v>19</v>
      </c>
      <c r="J126" s="5" t="str">
        <f aca="false">ROUND(100*1,0)&amp;"%"</f>
        <v>100%</v>
      </c>
    </row>
    <row r="127" customFormat="false" ht="15" hidden="false" customHeight="false" outlineLevel="0" collapsed="false">
      <c r="A127" s="6" t="s">
        <v>9347</v>
      </c>
      <c r="B127" s="6" t="s">
        <v>226</v>
      </c>
      <c r="C127" s="6" t="s">
        <v>95</v>
      </c>
      <c r="D127" s="6" t="s">
        <v>22</v>
      </c>
      <c r="E127" s="6" t="n">
        <f aca="false">ROUND(7600*1.05,2)</f>
        <v>7980</v>
      </c>
      <c r="F127" s="6" t="s">
        <v>23</v>
      </c>
      <c r="G127" s="6" t="s">
        <v>24</v>
      </c>
      <c r="H127" s="6" t="n">
        <f aca="true">ROUND(RAND()*4+6,1)</f>
        <v>6.3</v>
      </c>
      <c r="I127" s="6" t="s">
        <v>25</v>
      </c>
      <c r="J127" s="6" t="str">
        <f aca="false">ROUND(77*1,0)&amp;"%"</f>
        <v>77%</v>
      </c>
    </row>
    <row r="128" customFormat="false" ht="15" hidden="false" customHeight="false" outlineLevel="0" collapsed="false">
      <c r="A128" s="5" t="s">
        <v>9348</v>
      </c>
      <c r="B128" s="5" t="s">
        <v>228</v>
      </c>
      <c r="C128" s="5" t="s">
        <v>95</v>
      </c>
      <c r="D128" s="5" t="s">
        <v>28</v>
      </c>
      <c r="E128" s="5" t="n">
        <f aca="false">ROUND(10359*1.05,2)</f>
        <v>10876.95</v>
      </c>
      <c r="F128" s="5" t="s">
        <v>29</v>
      </c>
      <c r="G128" s="5" t="s">
        <v>30</v>
      </c>
      <c r="H128" s="5" t="n">
        <f aca="true">ROUND(RAND()*4+6,1)</f>
        <v>8.8</v>
      </c>
      <c r="I128" s="5" t="s">
        <v>31</v>
      </c>
      <c r="J128" s="5" t="str">
        <f aca="false">ROUND(64*1,0)&amp;"%"</f>
        <v>64%</v>
      </c>
    </row>
    <row r="129" customFormat="false" ht="15" hidden="false" customHeight="false" outlineLevel="0" collapsed="false">
      <c r="A129" s="6" t="s">
        <v>9349</v>
      </c>
      <c r="B129" s="6" t="s">
        <v>230</v>
      </c>
      <c r="C129" s="6" t="s">
        <v>95</v>
      </c>
      <c r="D129" s="6" t="s">
        <v>34</v>
      </c>
      <c r="E129" s="6" t="n">
        <f aca="false">ROUND(8882*1.05,2)</f>
        <v>9326.1</v>
      </c>
      <c r="F129" s="6" t="s">
        <v>35</v>
      </c>
      <c r="G129" s="6" t="s">
        <v>18</v>
      </c>
      <c r="H129" s="6" t="n">
        <f aca="true">ROUND(RAND()*4+6,1)</f>
        <v>7.9</v>
      </c>
      <c r="I129" s="6" t="s">
        <v>36</v>
      </c>
      <c r="J129" s="6" t="str">
        <f aca="false">ROUND(86*1,0)&amp;"%"</f>
        <v>86%</v>
      </c>
    </row>
    <row r="130" customFormat="false" ht="15" hidden="false" customHeight="false" outlineLevel="0" collapsed="false">
      <c r="A130" s="5" t="s">
        <v>9350</v>
      </c>
      <c r="B130" s="5" t="s">
        <v>232</v>
      </c>
      <c r="C130" s="5" t="s">
        <v>95</v>
      </c>
      <c r="D130" s="5" t="s">
        <v>39</v>
      </c>
      <c r="E130" s="5" t="n">
        <f aca="false">ROUND(9117*1.05,2)</f>
        <v>9572.85</v>
      </c>
      <c r="F130" s="5" t="s">
        <v>40</v>
      </c>
      <c r="G130" s="5" t="s">
        <v>24</v>
      </c>
      <c r="H130" s="5" t="n">
        <f aca="true">ROUND(RAND()*4+6,1)</f>
        <v>7.7</v>
      </c>
      <c r="I130" s="5" t="s">
        <v>41</v>
      </c>
      <c r="J130" s="5" t="str">
        <f aca="false">ROUND(86*1,0)&amp;"%"</f>
        <v>86%</v>
      </c>
    </row>
    <row r="131" customFormat="false" ht="15" hidden="false" customHeight="false" outlineLevel="0" collapsed="false">
      <c r="A131" s="6" t="s">
        <v>9351</v>
      </c>
      <c r="B131" s="6" t="s">
        <v>234</v>
      </c>
      <c r="C131" s="6" t="s">
        <v>95</v>
      </c>
      <c r="D131" s="6" t="s">
        <v>44</v>
      </c>
      <c r="E131" s="6" t="n">
        <f aca="false">ROUND(11974*1.05,2)</f>
        <v>12572.7</v>
      </c>
      <c r="F131" s="6" t="s">
        <v>45</v>
      </c>
      <c r="G131" s="6" t="s">
        <v>30</v>
      </c>
      <c r="H131" s="6" t="n">
        <f aca="true">ROUND(RAND()*4+6,1)</f>
        <v>7.5</v>
      </c>
      <c r="I131" s="6" t="s">
        <v>46</v>
      </c>
      <c r="J131" s="6" t="str">
        <f aca="false">ROUND(72*1,0)&amp;"%"</f>
        <v>72%</v>
      </c>
    </row>
    <row r="132" customFormat="false" ht="15" hidden="false" customHeight="false" outlineLevel="0" collapsed="false">
      <c r="A132" s="5" t="s">
        <v>9352</v>
      </c>
      <c r="B132" s="5" t="s">
        <v>236</v>
      </c>
      <c r="C132" s="5" t="s">
        <v>95</v>
      </c>
      <c r="D132" s="5" t="s">
        <v>16</v>
      </c>
      <c r="E132" s="5" t="n">
        <f aca="false">ROUND(9892*1.05,2)</f>
        <v>10386.6</v>
      </c>
      <c r="F132" s="5" t="s">
        <v>49</v>
      </c>
      <c r="G132" s="5" t="s">
        <v>18</v>
      </c>
      <c r="H132" s="5" t="n">
        <f aca="true">ROUND(RAND()*4+6,1)</f>
        <v>7.8</v>
      </c>
      <c r="I132" s="5" t="s">
        <v>19</v>
      </c>
      <c r="J132" s="5" t="str">
        <f aca="false">ROUND(71*1,0)&amp;"%"</f>
        <v>71%</v>
      </c>
    </row>
    <row r="133" customFormat="false" ht="15" hidden="false" customHeight="false" outlineLevel="0" collapsed="false">
      <c r="A133" s="6" t="s">
        <v>9353</v>
      </c>
      <c r="B133" s="6" t="s">
        <v>238</v>
      </c>
      <c r="C133" s="6" t="s">
        <v>95</v>
      </c>
      <c r="D133" s="6" t="s">
        <v>22</v>
      </c>
      <c r="E133" s="6" t="n">
        <f aca="false">ROUND(5130*1.05,2)</f>
        <v>5386.5</v>
      </c>
      <c r="F133" s="6" t="s">
        <v>52</v>
      </c>
      <c r="G133" s="6" t="s">
        <v>24</v>
      </c>
      <c r="H133" s="6" t="n">
        <f aca="true">ROUND(RAND()*4+6,1)</f>
        <v>8.6</v>
      </c>
      <c r="I133" s="6" t="s">
        <v>25</v>
      </c>
      <c r="J133" s="6" t="str">
        <f aca="false">ROUND(66*1,0)&amp;"%"</f>
        <v>66%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9354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9355</v>
      </c>
      <c r="B138" s="5" t="s">
        <v>242</v>
      </c>
      <c r="C138" s="5" t="s">
        <v>114</v>
      </c>
      <c r="D138" s="5" t="s">
        <v>16</v>
      </c>
      <c r="E138" s="5" t="n">
        <f aca="false">ROUND(14167*1.05,2)</f>
        <v>14875.35</v>
      </c>
      <c r="F138" s="5" t="s">
        <v>17</v>
      </c>
      <c r="G138" s="5" t="s">
        <v>18</v>
      </c>
      <c r="H138" s="5" t="n">
        <f aca="true">ROUND(RAND()*4+6,1)</f>
        <v>8.4</v>
      </c>
      <c r="I138" s="5" t="s">
        <v>19</v>
      </c>
      <c r="J138" s="5" t="str">
        <f aca="false">ROUND(71*1,0)&amp;"%"</f>
        <v>71%</v>
      </c>
    </row>
    <row r="139" customFormat="false" ht="15" hidden="false" customHeight="false" outlineLevel="0" collapsed="false">
      <c r="A139" s="6" t="s">
        <v>9356</v>
      </c>
      <c r="B139" s="6" t="s">
        <v>244</v>
      </c>
      <c r="C139" s="6" t="s">
        <v>114</v>
      </c>
      <c r="D139" s="6" t="s">
        <v>22</v>
      </c>
      <c r="E139" s="6" t="n">
        <f aca="false">ROUND(17885*1.05,2)</f>
        <v>18779.25</v>
      </c>
      <c r="F139" s="6" t="s">
        <v>23</v>
      </c>
      <c r="G139" s="6" t="s">
        <v>24</v>
      </c>
      <c r="H139" s="6" t="n">
        <f aca="true">ROUND(RAND()*4+6,1)</f>
        <v>9</v>
      </c>
      <c r="I139" s="6" t="s">
        <v>25</v>
      </c>
      <c r="J139" s="6" t="str">
        <f aca="false">ROUND(100*1,0)&amp;"%"</f>
        <v>100%</v>
      </c>
    </row>
    <row r="140" customFormat="false" ht="15" hidden="false" customHeight="false" outlineLevel="0" collapsed="false">
      <c r="A140" s="5" t="s">
        <v>9357</v>
      </c>
      <c r="B140" s="5" t="s">
        <v>246</v>
      </c>
      <c r="C140" s="5" t="s">
        <v>114</v>
      </c>
      <c r="D140" s="5" t="s">
        <v>28</v>
      </c>
      <c r="E140" s="5" t="n">
        <f aca="false">ROUND(13295*1.05,2)</f>
        <v>13959.75</v>
      </c>
      <c r="F140" s="5" t="s">
        <v>29</v>
      </c>
      <c r="G140" s="5" t="s">
        <v>30</v>
      </c>
      <c r="H140" s="5" t="n">
        <f aca="true">ROUND(RAND()*4+6,1)</f>
        <v>9.2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9358</v>
      </c>
      <c r="B141" s="6" t="s">
        <v>248</v>
      </c>
      <c r="C141" s="6" t="s">
        <v>114</v>
      </c>
      <c r="D141" s="6" t="s">
        <v>34</v>
      </c>
      <c r="E141" s="6" t="n">
        <f aca="false">ROUND(13460*1.05,2)</f>
        <v>14133</v>
      </c>
      <c r="F141" s="6" t="s">
        <v>35</v>
      </c>
      <c r="G141" s="6" t="s">
        <v>18</v>
      </c>
      <c r="H141" s="6" t="n">
        <f aca="true">ROUND(RAND()*4+6,1)</f>
        <v>7.2</v>
      </c>
      <c r="I141" s="6" t="s">
        <v>36</v>
      </c>
      <c r="J141" s="6" t="str">
        <f aca="false">ROUND(63*1,0)&amp;"%"</f>
        <v>63%</v>
      </c>
    </row>
    <row r="142" customFormat="false" ht="15" hidden="false" customHeight="false" outlineLevel="0" collapsed="false">
      <c r="A142" s="5" t="s">
        <v>9359</v>
      </c>
      <c r="B142" s="5" t="s">
        <v>250</v>
      </c>
      <c r="C142" s="5" t="s">
        <v>114</v>
      </c>
      <c r="D142" s="5" t="s">
        <v>39</v>
      </c>
      <c r="E142" s="5" t="n">
        <f aca="false">ROUND(15798*1.05,2)</f>
        <v>16587.9</v>
      </c>
      <c r="F142" s="5" t="s">
        <v>40</v>
      </c>
      <c r="G142" s="5" t="s">
        <v>24</v>
      </c>
      <c r="H142" s="5" t="n">
        <f aca="true">ROUND(RAND()*4+6,1)</f>
        <v>8.6</v>
      </c>
      <c r="I142" s="5" t="s">
        <v>41</v>
      </c>
      <c r="J142" s="5" t="str">
        <f aca="false">ROUND(95*1,0)&amp;"%"</f>
        <v>95%</v>
      </c>
    </row>
    <row r="143" customFormat="false" ht="15" hidden="false" customHeight="false" outlineLevel="0" collapsed="false">
      <c r="A143" s="6" t="s">
        <v>9360</v>
      </c>
      <c r="B143" s="6" t="s">
        <v>252</v>
      </c>
      <c r="C143" s="6" t="s">
        <v>114</v>
      </c>
      <c r="D143" s="6" t="s">
        <v>44</v>
      </c>
      <c r="E143" s="6" t="n">
        <f aca="false">ROUND(14504*1.05,2)</f>
        <v>15229.2</v>
      </c>
      <c r="F143" s="6" t="s">
        <v>45</v>
      </c>
      <c r="G143" s="6" t="s">
        <v>30</v>
      </c>
      <c r="H143" s="6" t="n">
        <f aca="true">ROUND(RAND()*4+6,1)</f>
        <v>7.1</v>
      </c>
      <c r="I143" s="6" t="s">
        <v>46</v>
      </c>
      <c r="J143" s="6" t="str">
        <f aca="false">ROUND(84*1,0)&amp;"%"</f>
        <v>84%</v>
      </c>
    </row>
    <row r="144" customFormat="false" ht="15" hidden="false" customHeight="false" outlineLevel="0" collapsed="false">
      <c r="A144" s="5" t="s">
        <v>9361</v>
      </c>
      <c r="B144" s="5" t="s">
        <v>254</v>
      </c>
      <c r="C144" s="5" t="s">
        <v>114</v>
      </c>
      <c r="D144" s="5" t="s">
        <v>16</v>
      </c>
      <c r="E144" s="5" t="n">
        <f aca="false">ROUND(13676*1.05,2)</f>
        <v>14359.8</v>
      </c>
      <c r="F144" s="5" t="s">
        <v>49</v>
      </c>
      <c r="G144" s="5" t="s">
        <v>18</v>
      </c>
      <c r="H144" s="5" t="n">
        <f aca="true">ROUND(RAND()*4+6,1)</f>
        <v>7.8</v>
      </c>
      <c r="I144" s="5" t="s">
        <v>19</v>
      </c>
      <c r="J144" s="5" t="str">
        <f aca="false">ROUND(60*1,0)&amp;"%"</f>
        <v>60%</v>
      </c>
    </row>
    <row r="145" customFormat="false" ht="15" hidden="false" customHeight="false" outlineLevel="0" collapsed="false">
      <c r="A145" s="6" t="s">
        <v>9362</v>
      </c>
      <c r="B145" s="6" t="s">
        <v>256</v>
      </c>
      <c r="C145" s="6" t="s">
        <v>114</v>
      </c>
      <c r="D145" s="6" t="s">
        <v>22</v>
      </c>
      <c r="E145" s="6" t="n">
        <f aca="false">ROUND(7809*1.05,2)</f>
        <v>8199.45</v>
      </c>
      <c r="F145" s="6" t="s">
        <v>52</v>
      </c>
      <c r="G145" s="6" t="s">
        <v>24</v>
      </c>
      <c r="H145" s="6" t="n">
        <f aca="true">ROUND(RAND()*4+6,1)</f>
        <v>8.6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9363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9364</v>
      </c>
      <c r="B150" s="5" t="s">
        <v>260</v>
      </c>
      <c r="C150" s="5" t="s">
        <v>133</v>
      </c>
      <c r="D150" s="5" t="s">
        <v>16</v>
      </c>
      <c r="E150" s="5" t="n">
        <f aca="false">ROUND(8143*1.05,2)</f>
        <v>8550.15</v>
      </c>
      <c r="F150" s="5" t="s">
        <v>17</v>
      </c>
      <c r="G150" s="5" t="s">
        <v>18</v>
      </c>
      <c r="H150" s="5" t="n">
        <f aca="true">ROUND(RAND()*4+6,1)</f>
        <v>7.8</v>
      </c>
      <c r="I150" s="5" t="s">
        <v>19</v>
      </c>
      <c r="J150" s="5" t="str">
        <f aca="false">ROUND(99*1,0)&amp;"%"</f>
        <v>99%</v>
      </c>
    </row>
    <row r="151" customFormat="false" ht="15" hidden="false" customHeight="false" outlineLevel="0" collapsed="false">
      <c r="A151" s="6" t="s">
        <v>9365</v>
      </c>
      <c r="B151" s="6" t="s">
        <v>262</v>
      </c>
      <c r="C151" s="6" t="s">
        <v>133</v>
      </c>
      <c r="D151" s="6" t="s">
        <v>22</v>
      </c>
      <c r="E151" s="6" t="n">
        <f aca="false">ROUND(4344*1.05,2)</f>
        <v>4561.2</v>
      </c>
      <c r="F151" s="6" t="s">
        <v>23</v>
      </c>
      <c r="G151" s="6" t="s">
        <v>24</v>
      </c>
      <c r="H151" s="6" t="n">
        <f aca="true">ROUND(RAND()*4+6,1)</f>
        <v>7.7</v>
      </c>
      <c r="I151" s="6" t="s">
        <v>25</v>
      </c>
      <c r="J151" s="6" t="str">
        <f aca="false">ROUND(93*1,0)&amp;"%"</f>
        <v>93%</v>
      </c>
    </row>
    <row r="152" customFormat="false" ht="15" hidden="false" customHeight="false" outlineLevel="0" collapsed="false">
      <c r="A152" s="5" t="s">
        <v>9366</v>
      </c>
      <c r="B152" s="5" t="s">
        <v>264</v>
      </c>
      <c r="C152" s="5" t="s">
        <v>133</v>
      </c>
      <c r="D152" s="5" t="s">
        <v>28</v>
      </c>
      <c r="E152" s="5" t="n">
        <f aca="false">ROUND(7390*1.05,2)</f>
        <v>7759.5</v>
      </c>
      <c r="F152" s="5" t="s">
        <v>29</v>
      </c>
      <c r="G152" s="5" t="s">
        <v>30</v>
      </c>
      <c r="H152" s="5" t="n">
        <f aca="true">ROUND(RAND()*4+6,1)</f>
        <v>6.9</v>
      </c>
      <c r="I152" s="5" t="s">
        <v>31</v>
      </c>
      <c r="J152" s="5" t="str">
        <f aca="false">ROUND(100*1,0)&amp;"%"</f>
        <v>100%</v>
      </c>
    </row>
    <row r="153" customFormat="false" ht="15" hidden="false" customHeight="false" outlineLevel="0" collapsed="false">
      <c r="A153" s="6" t="s">
        <v>9367</v>
      </c>
      <c r="B153" s="6" t="s">
        <v>266</v>
      </c>
      <c r="C153" s="6" t="s">
        <v>133</v>
      </c>
      <c r="D153" s="6" t="s">
        <v>34</v>
      </c>
      <c r="E153" s="6" t="n">
        <f aca="false">ROUND(6799*1.05,2)</f>
        <v>7138.95</v>
      </c>
      <c r="F153" s="6" t="s">
        <v>35</v>
      </c>
      <c r="G153" s="6" t="s">
        <v>18</v>
      </c>
      <c r="H153" s="6" t="n">
        <f aca="true">ROUND(RAND()*4+6,1)</f>
        <v>8.8</v>
      </c>
      <c r="I153" s="6" t="s">
        <v>36</v>
      </c>
      <c r="J153" s="6" t="str">
        <f aca="false">ROUND(84*1,0)&amp;"%"</f>
        <v>84%</v>
      </c>
    </row>
    <row r="154" customFormat="false" ht="15" hidden="false" customHeight="false" outlineLevel="0" collapsed="false">
      <c r="A154" s="5" t="s">
        <v>9368</v>
      </c>
      <c r="B154" s="5" t="s">
        <v>268</v>
      </c>
      <c r="C154" s="5" t="s">
        <v>133</v>
      </c>
      <c r="D154" s="5" t="s">
        <v>39</v>
      </c>
      <c r="E154" s="5" t="n">
        <f aca="false">ROUND(11451*1.05,2)</f>
        <v>12023.55</v>
      </c>
      <c r="F154" s="5" t="s">
        <v>40</v>
      </c>
      <c r="G154" s="5" t="s">
        <v>24</v>
      </c>
      <c r="H154" s="5" t="n">
        <f aca="true">ROUND(RAND()*4+6,1)</f>
        <v>7.3</v>
      </c>
      <c r="I154" s="5" t="s">
        <v>41</v>
      </c>
      <c r="J154" s="5" t="str">
        <f aca="false">ROUND(70*1,0)&amp;"%"</f>
        <v>70%</v>
      </c>
    </row>
    <row r="155" customFormat="false" ht="15" hidden="false" customHeight="false" outlineLevel="0" collapsed="false">
      <c r="A155" s="6" t="s">
        <v>9369</v>
      </c>
      <c r="B155" s="6" t="s">
        <v>270</v>
      </c>
      <c r="C155" s="6" t="s">
        <v>133</v>
      </c>
      <c r="D155" s="6" t="s">
        <v>44</v>
      </c>
      <c r="E155" s="6" t="n">
        <f aca="false">ROUND(10983*1.05,2)</f>
        <v>11532.15</v>
      </c>
      <c r="F155" s="6" t="s">
        <v>45</v>
      </c>
      <c r="G155" s="6" t="s">
        <v>30</v>
      </c>
      <c r="H155" s="6" t="n">
        <f aca="true">ROUND(RAND()*4+6,1)</f>
        <v>9.9</v>
      </c>
      <c r="I155" s="6" t="s">
        <v>46</v>
      </c>
      <c r="J155" s="6" t="str">
        <f aca="false">ROUND(97*1,0)&amp;"%"</f>
        <v>97%</v>
      </c>
    </row>
    <row r="156" customFormat="false" ht="15" hidden="false" customHeight="false" outlineLevel="0" collapsed="false">
      <c r="A156" s="5" t="s">
        <v>9370</v>
      </c>
      <c r="B156" s="5" t="s">
        <v>272</v>
      </c>
      <c r="C156" s="5" t="s">
        <v>133</v>
      </c>
      <c r="D156" s="5" t="s">
        <v>16</v>
      </c>
      <c r="E156" s="5" t="n">
        <f aca="false">ROUND(17723*1.05,2)</f>
        <v>18609.15</v>
      </c>
      <c r="F156" s="5" t="s">
        <v>49</v>
      </c>
      <c r="G156" s="5" t="s">
        <v>18</v>
      </c>
      <c r="H156" s="5" t="n">
        <f aca="true">ROUND(RAND()*4+6,1)</f>
        <v>6.1</v>
      </c>
      <c r="I156" s="5" t="s">
        <v>19</v>
      </c>
      <c r="J156" s="5" t="str">
        <f aca="false">ROUND(84*1,0)&amp;"%"</f>
        <v>84%</v>
      </c>
    </row>
    <row r="157" customFormat="false" ht="15" hidden="false" customHeight="false" outlineLevel="0" collapsed="false">
      <c r="A157" s="6" t="s">
        <v>9371</v>
      </c>
      <c r="B157" s="6" t="s">
        <v>274</v>
      </c>
      <c r="C157" s="6" t="s">
        <v>133</v>
      </c>
      <c r="D157" s="6" t="s">
        <v>22</v>
      </c>
      <c r="E157" s="6" t="n">
        <f aca="false">ROUND(15649*1.05,2)</f>
        <v>16431.45</v>
      </c>
      <c r="F157" s="6" t="s">
        <v>52</v>
      </c>
      <c r="G157" s="6" t="s">
        <v>24</v>
      </c>
      <c r="H157" s="6" t="n">
        <f aca="true">ROUND(RAND()*4+6,1)</f>
        <v>9.2</v>
      </c>
      <c r="I157" s="6" t="s">
        <v>25</v>
      </c>
      <c r="J157" s="6" t="str">
        <f aca="false">ROUND(62*1,0)&amp;"%"</f>
        <v>62%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9372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9373</v>
      </c>
      <c r="B162" s="5" t="s">
        <v>278</v>
      </c>
      <c r="C162" s="5" t="s">
        <v>152</v>
      </c>
      <c r="D162" s="5" t="s">
        <v>16</v>
      </c>
      <c r="E162" s="5" t="n">
        <f aca="false">ROUND(9852*1.05,2)</f>
        <v>10344.6</v>
      </c>
      <c r="F162" s="5" t="s">
        <v>17</v>
      </c>
      <c r="G162" s="5" t="s">
        <v>18</v>
      </c>
      <c r="H162" s="5" t="n">
        <f aca="true">ROUND(RAND()*4+6,1)</f>
        <v>8.9</v>
      </c>
      <c r="I162" s="5" t="s">
        <v>19</v>
      </c>
      <c r="J162" s="5" t="str">
        <f aca="false">ROUND(98*1,0)&amp;"%"</f>
        <v>98%</v>
      </c>
    </row>
    <row r="163" customFormat="false" ht="15" hidden="false" customHeight="false" outlineLevel="0" collapsed="false">
      <c r="A163" s="6" t="s">
        <v>9374</v>
      </c>
      <c r="B163" s="6" t="s">
        <v>280</v>
      </c>
      <c r="C163" s="6" t="s">
        <v>152</v>
      </c>
      <c r="D163" s="6" t="s">
        <v>22</v>
      </c>
      <c r="E163" s="6" t="n">
        <f aca="false">ROUND(14376*1.05,2)</f>
        <v>15094.8</v>
      </c>
      <c r="F163" s="6" t="s">
        <v>23</v>
      </c>
      <c r="G163" s="6" t="s">
        <v>24</v>
      </c>
      <c r="H163" s="6" t="n">
        <f aca="true">ROUND(RAND()*4+6,1)</f>
        <v>9.9</v>
      </c>
      <c r="I163" s="6" t="s">
        <v>25</v>
      </c>
      <c r="J163" s="6" t="str">
        <f aca="false">ROUND(93*1,0)&amp;"%"</f>
        <v>93%</v>
      </c>
    </row>
    <row r="164" customFormat="false" ht="15" hidden="false" customHeight="false" outlineLevel="0" collapsed="false">
      <c r="A164" s="5" t="s">
        <v>9375</v>
      </c>
      <c r="B164" s="5" t="s">
        <v>282</v>
      </c>
      <c r="C164" s="5" t="s">
        <v>152</v>
      </c>
      <c r="D164" s="5" t="s">
        <v>28</v>
      </c>
      <c r="E164" s="5" t="n">
        <f aca="false">ROUND(14539*1.05,2)</f>
        <v>15265.95</v>
      </c>
      <c r="F164" s="5" t="s">
        <v>29</v>
      </c>
      <c r="G164" s="5" t="s">
        <v>30</v>
      </c>
      <c r="H164" s="5" t="n">
        <f aca="true">ROUND(RAND()*4+6,1)</f>
        <v>9.4</v>
      </c>
      <c r="I164" s="5" t="s">
        <v>31</v>
      </c>
      <c r="J164" s="5" t="str">
        <f aca="false">ROUND(67*1,0)&amp;"%"</f>
        <v>67%</v>
      </c>
    </row>
    <row r="165" customFormat="false" ht="15" hidden="false" customHeight="false" outlineLevel="0" collapsed="false">
      <c r="A165" s="6" t="s">
        <v>9376</v>
      </c>
      <c r="B165" s="6" t="s">
        <v>284</v>
      </c>
      <c r="C165" s="6" t="s">
        <v>152</v>
      </c>
      <c r="D165" s="6" t="s">
        <v>34</v>
      </c>
      <c r="E165" s="6" t="n">
        <f aca="false">ROUND(4633*1.05,2)</f>
        <v>4864.65</v>
      </c>
      <c r="F165" s="6" t="s">
        <v>35</v>
      </c>
      <c r="G165" s="6" t="s">
        <v>18</v>
      </c>
      <c r="H165" s="6" t="n">
        <f aca="true">ROUND(RAND()*4+6,1)</f>
        <v>6.5</v>
      </c>
      <c r="I165" s="6" t="s">
        <v>36</v>
      </c>
      <c r="J165" s="6" t="str">
        <f aca="false">ROUND(81*1,0)&amp;"%"</f>
        <v>81%</v>
      </c>
    </row>
    <row r="166" customFormat="false" ht="15" hidden="false" customHeight="false" outlineLevel="0" collapsed="false">
      <c r="A166" s="5" t="s">
        <v>9377</v>
      </c>
      <c r="B166" s="5" t="s">
        <v>286</v>
      </c>
      <c r="C166" s="5" t="s">
        <v>152</v>
      </c>
      <c r="D166" s="5" t="s">
        <v>39</v>
      </c>
      <c r="E166" s="5" t="n">
        <f aca="false">ROUND(17597*1.05,2)</f>
        <v>18476.85</v>
      </c>
      <c r="F166" s="5" t="s">
        <v>40</v>
      </c>
      <c r="G166" s="5" t="s">
        <v>24</v>
      </c>
      <c r="H166" s="5" t="n">
        <f aca="true">ROUND(RAND()*4+6,1)</f>
        <v>6.1</v>
      </c>
      <c r="I166" s="5" t="s">
        <v>41</v>
      </c>
      <c r="J166" s="5" t="str">
        <f aca="false">ROUND(98*1,0)&amp;"%"</f>
        <v>98%</v>
      </c>
    </row>
    <row r="167" customFormat="false" ht="15" hidden="false" customHeight="false" outlineLevel="0" collapsed="false">
      <c r="A167" s="6" t="s">
        <v>9378</v>
      </c>
      <c r="B167" s="6" t="s">
        <v>288</v>
      </c>
      <c r="C167" s="6" t="s">
        <v>152</v>
      </c>
      <c r="D167" s="6" t="s">
        <v>44</v>
      </c>
      <c r="E167" s="6" t="n">
        <f aca="false">ROUND(5401*1.05,2)</f>
        <v>5671.05</v>
      </c>
      <c r="F167" s="6" t="s">
        <v>45</v>
      </c>
      <c r="G167" s="6" t="s">
        <v>30</v>
      </c>
      <c r="H167" s="6" t="n">
        <f aca="true">ROUND(RAND()*4+6,1)</f>
        <v>7.4</v>
      </c>
      <c r="I167" s="6" t="s">
        <v>46</v>
      </c>
      <c r="J167" s="6" t="str">
        <f aca="false">ROUND(75*1,0)&amp;"%"</f>
        <v>75%</v>
      </c>
    </row>
    <row r="168" customFormat="false" ht="15" hidden="false" customHeight="false" outlineLevel="0" collapsed="false">
      <c r="A168" s="5" t="s">
        <v>9379</v>
      </c>
      <c r="B168" s="5" t="s">
        <v>290</v>
      </c>
      <c r="C168" s="5" t="s">
        <v>152</v>
      </c>
      <c r="D168" s="5" t="s">
        <v>16</v>
      </c>
      <c r="E168" s="5" t="n">
        <f aca="false">ROUND(9639*1.05,2)</f>
        <v>10120.95</v>
      </c>
      <c r="F168" s="5" t="s">
        <v>49</v>
      </c>
      <c r="G168" s="5" t="s">
        <v>18</v>
      </c>
      <c r="H168" s="5" t="n">
        <f aca="true">ROUND(RAND()*4+6,1)</f>
        <v>9.1</v>
      </c>
      <c r="I168" s="5" t="s">
        <v>19</v>
      </c>
      <c r="J168" s="5" t="str">
        <f aca="false">ROUND(99*1,0)&amp;"%"</f>
        <v>99%</v>
      </c>
    </row>
    <row r="169" customFormat="false" ht="15" hidden="false" customHeight="false" outlineLevel="0" collapsed="false">
      <c r="A169" s="6" t="s">
        <v>9380</v>
      </c>
      <c r="B169" s="6" t="s">
        <v>292</v>
      </c>
      <c r="C169" s="6" t="s">
        <v>152</v>
      </c>
      <c r="D169" s="6" t="s">
        <v>22</v>
      </c>
      <c r="E169" s="6" t="n">
        <f aca="false">ROUND(8007*1.05,2)</f>
        <v>8407.35</v>
      </c>
      <c r="F169" s="6" t="s">
        <v>52</v>
      </c>
      <c r="G169" s="6" t="s">
        <v>24</v>
      </c>
      <c r="H169" s="6" t="n">
        <f aca="true">ROUND(RAND()*4+6,1)</f>
        <v>6</v>
      </c>
      <c r="I169" s="6" t="s">
        <v>25</v>
      </c>
      <c r="J169" s="6" t="str">
        <f aca="false">ROUND(62*1,0)&amp;"%"</f>
        <v>62%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9381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9382</v>
      </c>
      <c r="B174" s="5" t="s">
        <v>296</v>
      </c>
      <c r="C174" s="5" t="s">
        <v>15</v>
      </c>
      <c r="D174" s="5" t="s">
        <v>16</v>
      </c>
      <c r="E174" s="5" t="n">
        <f aca="false">ROUND(6128*1.05,2)</f>
        <v>6434.4</v>
      </c>
      <c r="F174" s="5" t="s">
        <v>17</v>
      </c>
      <c r="G174" s="5" t="s">
        <v>18</v>
      </c>
      <c r="H174" s="5" t="n">
        <f aca="true">ROUND(RAND()*4+6,1)</f>
        <v>8.2</v>
      </c>
      <c r="I174" s="5" t="s">
        <v>19</v>
      </c>
      <c r="J174" s="5" t="str">
        <f aca="false">ROUND(100*1,0)&amp;"%"</f>
        <v>100%</v>
      </c>
    </row>
    <row r="175" customFormat="false" ht="15" hidden="false" customHeight="false" outlineLevel="0" collapsed="false">
      <c r="A175" s="6" t="s">
        <v>9383</v>
      </c>
      <c r="B175" s="6" t="s">
        <v>298</v>
      </c>
      <c r="C175" s="6" t="s">
        <v>15</v>
      </c>
      <c r="D175" s="6" t="s">
        <v>22</v>
      </c>
      <c r="E175" s="6" t="n">
        <f aca="false">ROUND(5634*1.05,2)</f>
        <v>5915.7</v>
      </c>
      <c r="F175" s="6" t="s">
        <v>23</v>
      </c>
      <c r="G175" s="6" t="s">
        <v>24</v>
      </c>
      <c r="H175" s="6" t="n">
        <f aca="true">ROUND(RAND()*4+6,1)</f>
        <v>8.9</v>
      </c>
      <c r="I175" s="6" t="s">
        <v>25</v>
      </c>
      <c r="J175" s="6" t="str">
        <f aca="false">ROUND(73*1,0)&amp;"%"</f>
        <v>73%</v>
      </c>
    </row>
    <row r="176" customFormat="false" ht="15" hidden="false" customHeight="false" outlineLevel="0" collapsed="false">
      <c r="A176" s="5" t="s">
        <v>9384</v>
      </c>
      <c r="B176" s="5" t="s">
        <v>300</v>
      </c>
      <c r="C176" s="5" t="s">
        <v>15</v>
      </c>
      <c r="D176" s="5" t="s">
        <v>28</v>
      </c>
      <c r="E176" s="5" t="n">
        <f aca="false">ROUND(16472*1.05,2)</f>
        <v>17295.6</v>
      </c>
      <c r="F176" s="5" t="s">
        <v>29</v>
      </c>
      <c r="G176" s="5" t="s">
        <v>30</v>
      </c>
      <c r="H176" s="5" t="n">
        <f aca="true">ROUND(RAND()*4+6,1)</f>
        <v>8.3</v>
      </c>
      <c r="I176" s="5" t="s">
        <v>31</v>
      </c>
      <c r="J176" s="5" t="str">
        <f aca="false">ROUND(89*1,0)&amp;"%"</f>
        <v>89%</v>
      </c>
    </row>
    <row r="177" customFormat="false" ht="15" hidden="false" customHeight="false" outlineLevel="0" collapsed="false">
      <c r="A177" s="6" t="s">
        <v>9385</v>
      </c>
      <c r="B177" s="6" t="s">
        <v>302</v>
      </c>
      <c r="C177" s="6" t="s">
        <v>15</v>
      </c>
      <c r="D177" s="6" t="s">
        <v>34</v>
      </c>
      <c r="E177" s="6" t="n">
        <f aca="false">ROUND(15704*1.05,2)</f>
        <v>16489.2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ROUND(70*1,0)&amp;"%"</f>
        <v>70%</v>
      </c>
    </row>
    <row r="178" customFormat="false" ht="15" hidden="false" customHeight="false" outlineLevel="0" collapsed="false">
      <c r="A178" s="5" t="s">
        <v>9386</v>
      </c>
      <c r="B178" s="5" t="s">
        <v>304</v>
      </c>
      <c r="C178" s="5" t="s">
        <v>15</v>
      </c>
      <c r="D178" s="5" t="s">
        <v>39</v>
      </c>
      <c r="E178" s="5" t="n">
        <f aca="false">ROUND(16327*1.05,2)</f>
        <v>17143.35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ROUND(69*1,0)&amp;"%"</f>
        <v>69%</v>
      </c>
    </row>
    <row r="179" customFormat="false" ht="15" hidden="false" customHeight="false" outlineLevel="0" collapsed="false">
      <c r="A179" s="6" t="s">
        <v>9387</v>
      </c>
      <c r="B179" s="6" t="s">
        <v>306</v>
      </c>
      <c r="C179" s="6" t="s">
        <v>15</v>
      </c>
      <c r="D179" s="6" t="s">
        <v>44</v>
      </c>
      <c r="E179" s="6" t="n">
        <f aca="false">ROUND(7731*1.05,2)</f>
        <v>8117.55</v>
      </c>
      <c r="F179" s="6" t="s">
        <v>45</v>
      </c>
      <c r="G179" s="6" t="s">
        <v>30</v>
      </c>
      <c r="H179" s="6" t="n">
        <f aca="true">ROUND(RAND()*4+6,1)</f>
        <v>7.9</v>
      </c>
      <c r="I179" s="6" t="s">
        <v>46</v>
      </c>
      <c r="J179" s="6" t="str">
        <f aca="false">ROUND(95*1,0)&amp;"%"</f>
        <v>95%</v>
      </c>
    </row>
    <row r="180" customFormat="false" ht="15" hidden="false" customHeight="false" outlineLevel="0" collapsed="false">
      <c r="A180" s="5" t="s">
        <v>9388</v>
      </c>
      <c r="B180" s="5" t="s">
        <v>308</v>
      </c>
      <c r="C180" s="5" t="s">
        <v>15</v>
      </c>
      <c r="D180" s="5" t="s">
        <v>16</v>
      </c>
      <c r="E180" s="5" t="n">
        <f aca="false">ROUND(7072*1.05,2)</f>
        <v>7425.6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ROUND(91*1,0)&amp;"%"</f>
        <v>91%</v>
      </c>
    </row>
    <row r="181" customFormat="false" ht="15" hidden="false" customHeight="false" outlineLevel="0" collapsed="false">
      <c r="A181" s="6" t="s">
        <v>9389</v>
      </c>
      <c r="B181" s="6" t="s">
        <v>310</v>
      </c>
      <c r="C181" s="6" t="s">
        <v>15</v>
      </c>
      <c r="D181" s="6" t="s">
        <v>22</v>
      </c>
      <c r="E181" s="6" t="n">
        <f aca="false">ROUND(12137*1.05,2)</f>
        <v>12743.85</v>
      </c>
      <c r="F181" s="6" t="s">
        <v>52</v>
      </c>
      <c r="G181" s="6" t="s">
        <v>24</v>
      </c>
      <c r="H181" s="6" t="n">
        <f aca="true">ROUND(RAND()*4+6,1)</f>
        <v>9.5</v>
      </c>
      <c r="I181" s="6" t="s">
        <v>25</v>
      </c>
      <c r="J181" s="6" t="str">
        <f aca="false">ROUND(98*1,0)&amp;"%"</f>
        <v>98%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9390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9391</v>
      </c>
      <c r="B186" s="5" t="s">
        <v>314</v>
      </c>
      <c r="C186" s="5" t="s">
        <v>57</v>
      </c>
      <c r="D186" s="5" t="s">
        <v>16</v>
      </c>
      <c r="E186" s="5" t="n">
        <f aca="false">ROUND(8841*1.05,2)</f>
        <v>9283.05</v>
      </c>
      <c r="F186" s="5" t="s">
        <v>17</v>
      </c>
      <c r="G186" s="5" t="s">
        <v>18</v>
      </c>
      <c r="H186" s="5" t="n">
        <f aca="true">ROUND(RAND()*4+6,1)</f>
        <v>6.5</v>
      </c>
      <c r="I186" s="5" t="s">
        <v>19</v>
      </c>
      <c r="J186" s="5" t="str">
        <f aca="false">ROUND(67*1,0)&amp;"%"</f>
        <v>67%</v>
      </c>
    </row>
    <row r="187" customFormat="false" ht="15" hidden="false" customHeight="false" outlineLevel="0" collapsed="false">
      <c r="A187" s="6" t="s">
        <v>9392</v>
      </c>
      <c r="B187" s="6" t="s">
        <v>316</v>
      </c>
      <c r="C187" s="6" t="s">
        <v>57</v>
      </c>
      <c r="D187" s="6" t="s">
        <v>22</v>
      </c>
      <c r="E187" s="6" t="n">
        <f aca="false">ROUND(14362*1.05,2)</f>
        <v>15080.1</v>
      </c>
      <c r="F187" s="6" t="s">
        <v>23</v>
      </c>
      <c r="G187" s="6" t="s">
        <v>24</v>
      </c>
      <c r="H187" s="6" t="n">
        <f aca="true">ROUND(RAND()*4+6,1)</f>
        <v>9.5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9393</v>
      </c>
      <c r="B188" s="5" t="s">
        <v>318</v>
      </c>
      <c r="C188" s="5" t="s">
        <v>57</v>
      </c>
      <c r="D188" s="5" t="s">
        <v>28</v>
      </c>
      <c r="E188" s="5" t="n">
        <f aca="false">ROUND(5487*1.05,2)</f>
        <v>5761.35</v>
      </c>
      <c r="F188" s="5" t="s">
        <v>29</v>
      </c>
      <c r="G188" s="5" t="s">
        <v>30</v>
      </c>
      <c r="H188" s="5" t="n">
        <f aca="true">ROUND(RAND()*4+6,1)</f>
        <v>9.1</v>
      </c>
      <c r="I188" s="5" t="s">
        <v>31</v>
      </c>
      <c r="J188" s="5" t="str">
        <f aca="false">ROUND(97*1,0)&amp;"%"</f>
        <v>97%</v>
      </c>
    </row>
    <row r="189" customFormat="false" ht="15" hidden="false" customHeight="false" outlineLevel="0" collapsed="false">
      <c r="A189" s="6" t="s">
        <v>9394</v>
      </c>
      <c r="B189" s="6" t="s">
        <v>320</v>
      </c>
      <c r="C189" s="6" t="s">
        <v>57</v>
      </c>
      <c r="D189" s="6" t="s">
        <v>34</v>
      </c>
      <c r="E189" s="6" t="n">
        <f aca="false">ROUND(9868*1.05,2)</f>
        <v>10361.4</v>
      </c>
      <c r="F189" s="6" t="s">
        <v>35</v>
      </c>
      <c r="G189" s="6" t="s">
        <v>18</v>
      </c>
      <c r="H189" s="6" t="n">
        <f aca="true">ROUND(RAND()*4+6,1)</f>
        <v>8</v>
      </c>
      <c r="I189" s="6" t="s">
        <v>36</v>
      </c>
      <c r="J189" s="6" t="str">
        <f aca="false">ROUND(69*1,0)&amp;"%"</f>
        <v>69%</v>
      </c>
    </row>
    <row r="190" customFormat="false" ht="15" hidden="false" customHeight="false" outlineLevel="0" collapsed="false">
      <c r="A190" s="5" t="s">
        <v>9395</v>
      </c>
      <c r="B190" s="5" t="s">
        <v>322</v>
      </c>
      <c r="C190" s="5" t="s">
        <v>57</v>
      </c>
      <c r="D190" s="5" t="s">
        <v>39</v>
      </c>
      <c r="E190" s="5" t="n">
        <f aca="false">ROUND(7307*1.05,2)</f>
        <v>7672.35</v>
      </c>
      <c r="F190" s="5" t="s">
        <v>40</v>
      </c>
      <c r="G190" s="5" t="s">
        <v>24</v>
      </c>
      <c r="H190" s="5" t="n">
        <f aca="true">ROUND(RAND()*4+6,1)</f>
        <v>7.4</v>
      </c>
      <c r="I190" s="5" t="s">
        <v>41</v>
      </c>
      <c r="J190" s="5" t="str">
        <f aca="false">ROUND(100*1,0)&amp;"%"</f>
        <v>100%</v>
      </c>
    </row>
    <row r="191" customFormat="false" ht="15" hidden="false" customHeight="false" outlineLevel="0" collapsed="false">
      <c r="A191" s="6" t="s">
        <v>9396</v>
      </c>
      <c r="B191" s="6" t="s">
        <v>324</v>
      </c>
      <c r="C191" s="6" t="s">
        <v>57</v>
      </c>
      <c r="D191" s="6" t="s">
        <v>44</v>
      </c>
      <c r="E191" s="6" t="n">
        <f aca="false">ROUND(8519*1.05,2)</f>
        <v>8944.95</v>
      </c>
      <c r="F191" s="6" t="s">
        <v>45</v>
      </c>
      <c r="G191" s="6" t="s">
        <v>30</v>
      </c>
      <c r="H191" s="6" t="n">
        <f aca="true">ROUND(RAND()*4+6,1)</f>
        <v>8.5</v>
      </c>
      <c r="I191" s="6" t="s">
        <v>46</v>
      </c>
      <c r="J191" s="6" t="str">
        <f aca="false">ROUND(90*1,0)&amp;"%"</f>
        <v>90%</v>
      </c>
    </row>
    <row r="192" customFormat="false" ht="15" hidden="false" customHeight="false" outlineLevel="0" collapsed="false">
      <c r="A192" s="5" t="s">
        <v>9397</v>
      </c>
      <c r="B192" s="5" t="s">
        <v>326</v>
      </c>
      <c r="C192" s="5" t="s">
        <v>57</v>
      </c>
      <c r="D192" s="5" t="s">
        <v>16</v>
      </c>
      <c r="E192" s="5" t="n">
        <f aca="false">ROUND(17335*1.05,2)</f>
        <v>18201.75</v>
      </c>
      <c r="F192" s="5" t="s">
        <v>49</v>
      </c>
      <c r="G192" s="5" t="s">
        <v>18</v>
      </c>
      <c r="H192" s="5" t="n">
        <f aca="true">ROUND(RAND()*4+6,1)</f>
        <v>8</v>
      </c>
      <c r="I192" s="5" t="s">
        <v>19</v>
      </c>
      <c r="J192" s="5" t="str">
        <f aca="false">ROUND(82*1,0)&amp;"%"</f>
        <v>82%</v>
      </c>
    </row>
    <row r="193" customFormat="false" ht="15" hidden="false" customHeight="false" outlineLevel="0" collapsed="false">
      <c r="A193" s="6" t="s">
        <v>9398</v>
      </c>
      <c r="B193" s="6" t="s">
        <v>328</v>
      </c>
      <c r="C193" s="6" t="s">
        <v>57</v>
      </c>
      <c r="D193" s="6" t="s">
        <v>22</v>
      </c>
      <c r="E193" s="6" t="n">
        <f aca="false">ROUND(5460*1.05,2)</f>
        <v>5733</v>
      </c>
      <c r="F193" s="6" t="s">
        <v>52</v>
      </c>
      <c r="G193" s="6" t="s">
        <v>24</v>
      </c>
      <c r="H193" s="6" t="n">
        <f aca="true">ROUND(RAND()*4+6,1)</f>
        <v>6.2</v>
      </c>
      <c r="I193" s="6" t="s">
        <v>25</v>
      </c>
      <c r="J193" s="6" t="str">
        <f aca="false">ROUND(98*1,0)&amp;"%"</f>
        <v>98%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9399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9400</v>
      </c>
      <c r="B198" s="5" t="s">
        <v>332</v>
      </c>
      <c r="C198" s="5" t="s">
        <v>76</v>
      </c>
      <c r="D198" s="5" t="s">
        <v>16</v>
      </c>
      <c r="E198" s="5" t="n">
        <f aca="false">ROUND(6053*1.05,2)</f>
        <v>6355.65</v>
      </c>
      <c r="F198" s="5" t="s">
        <v>17</v>
      </c>
      <c r="G198" s="5" t="s">
        <v>18</v>
      </c>
      <c r="H198" s="5" t="n">
        <f aca="true">ROUND(RAND()*4+6,1)</f>
        <v>8.1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9401</v>
      </c>
      <c r="B199" s="6" t="s">
        <v>334</v>
      </c>
      <c r="C199" s="6" t="s">
        <v>76</v>
      </c>
      <c r="D199" s="6" t="s">
        <v>22</v>
      </c>
      <c r="E199" s="6" t="n">
        <f aca="false">ROUND(16659*1.05,2)</f>
        <v>17491.95</v>
      </c>
      <c r="F199" s="6" t="s">
        <v>23</v>
      </c>
      <c r="G199" s="6" t="s">
        <v>24</v>
      </c>
      <c r="H199" s="6" t="n">
        <f aca="true">ROUND(RAND()*4+6,1)</f>
        <v>7</v>
      </c>
      <c r="I199" s="6" t="s">
        <v>25</v>
      </c>
      <c r="J199" s="6" t="str">
        <f aca="false">ROUND(63*1,0)&amp;"%"</f>
        <v>63%</v>
      </c>
    </row>
    <row r="200" customFormat="false" ht="15" hidden="false" customHeight="false" outlineLevel="0" collapsed="false">
      <c r="A200" s="5" t="s">
        <v>9402</v>
      </c>
      <c r="B200" s="5" t="s">
        <v>336</v>
      </c>
      <c r="C200" s="5" t="s">
        <v>76</v>
      </c>
      <c r="D200" s="5" t="s">
        <v>28</v>
      </c>
      <c r="E200" s="5" t="n">
        <f aca="false">ROUND(7036*1.05,2)</f>
        <v>7387.8</v>
      </c>
      <c r="F200" s="5" t="s">
        <v>29</v>
      </c>
      <c r="G200" s="5" t="s">
        <v>30</v>
      </c>
      <c r="H200" s="5" t="n">
        <f aca="true">ROUND(RAND()*4+6,1)</f>
        <v>9.7</v>
      </c>
      <c r="I200" s="5" t="s">
        <v>31</v>
      </c>
      <c r="J200" s="5" t="str">
        <f aca="false">ROUND(80*1,0)&amp;"%"</f>
        <v>80%</v>
      </c>
    </row>
    <row r="201" customFormat="false" ht="15" hidden="false" customHeight="false" outlineLevel="0" collapsed="false">
      <c r="A201" s="6" t="s">
        <v>9403</v>
      </c>
      <c r="B201" s="6" t="s">
        <v>338</v>
      </c>
      <c r="C201" s="6" t="s">
        <v>76</v>
      </c>
      <c r="D201" s="6" t="s">
        <v>34</v>
      </c>
      <c r="E201" s="6" t="n">
        <f aca="false">ROUND(9427*1.05,2)</f>
        <v>9898.35</v>
      </c>
      <c r="F201" s="6" t="s">
        <v>35</v>
      </c>
      <c r="G201" s="6" t="s">
        <v>18</v>
      </c>
      <c r="H201" s="6" t="n">
        <f aca="true">ROUND(RAND()*4+6,1)</f>
        <v>8.7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9404</v>
      </c>
      <c r="B202" s="5" t="s">
        <v>340</v>
      </c>
      <c r="C202" s="5" t="s">
        <v>76</v>
      </c>
      <c r="D202" s="5" t="s">
        <v>39</v>
      </c>
      <c r="E202" s="5" t="n">
        <f aca="false">ROUND(10965*1.05,2)</f>
        <v>11513.25</v>
      </c>
      <c r="F202" s="5" t="s">
        <v>40</v>
      </c>
      <c r="G202" s="5" t="s">
        <v>24</v>
      </c>
      <c r="H202" s="5" t="n">
        <f aca="true">ROUND(RAND()*4+6,1)</f>
        <v>7.9</v>
      </c>
      <c r="I202" s="5" t="s">
        <v>41</v>
      </c>
      <c r="J202" s="5" t="str">
        <f aca="false">ROUND(73*1,0)&amp;"%"</f>
        <v>73%</v>
      </c>
    </row>
    <row r="203" customFormat="false" ht="15" hidden="false" customHeight="false" outlineLevel="0" collapsed="false">
      <c r="A203" s="6" t="s">
        <v>9405</v>
      </c>
      <c r="B203" s="6" t="s">
        <v>342</v>
      </c>
      <c r="C203" s="6" t="s">
        <v>76</v>
      </c>
      <c r="D203" s="6" t="s">
        <v>44</v>
      </c>
      <c r="E203" s="6" t="n">
        <f aca="false">ROUND(15735*1.05,2)</f>
        <v>16521.75</v>
      </c>
      <c r="F203" s="6" t="s">
        <v>45</v>
      </c>
      <c r="G203" s="6" t="s">
        <v>30</v>
      </c>
      <c r="H203" s="6" t="n">
        <f aca="true">ROUND(RAND()*4+6,1)</f>
        <v>7.6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9406</v>
      </c>
      <c r="B204" s="5" t="s">
        <v>344</v>
      </c>
      <c r="C204" s="5" t="s">
        <v>76</v>
      </c>
      <c r="D204" s="5" t="s">
        <v>16</v>
      </c>
      <c r="E204" s="5" t="n">
        <f aca="false">ROUND(8073*1.05,2)</f>
        <v>8476.65</v>
      </c>
      <c r="F204" s="5" t="s">
        <v>49</v>
      </c>
      <c r="G204" s="5" t="s">
        <v>18</v>
      </c>
      <c r="H204" s="5" t="n">
        <f aca="true">ROUND(RAND()*4+6,1)</f>
        <v>9</v>
      </c>
      <c r="I204" s="5" t="s">
        <v>19</v>
      </c>
      <c r="J204" s="5" t="str">
        <f aca="false">ROUND(85*1,0)&amp;"%"</f>
        <v>85%</v>
      </c>
    </row>
    <row r="205" customFormat="false" ht="15" hidden="false" customHeight="false" outlineLevel="0" collapsed="false">
      <c r="A205" s="6" t="s">
        <v>9407</v>
      </c>
      <c r="B205" s="6" t="s">
        <v>346</v>
      </c>
      <c r="C205" s="6" t="s">
        <v>76</v>
      </c>
      <c r="D205" s="6" t="s">
        <v>22</v>
      </c>
      <c r="E205" s="6" t="n">
        <f aca="false">ROUND(12889*1.05,2)</f>
        <v>13533.45</v>
      </c>
      <c r="F205" s="6" t="s">
        <v>52</v>
      </c>
      <c r="G205" s="6" t="s">
        <v>24</v>
      </c>
      <c r="H205" s="6" t="n">
        <f aca="true">ROUND(RAND()*4+6,1)</f>
        <v>7.2</v>
      </c>
      <c r="I205" s="6" t="s">
        <v>25</v>
      </c>
      <c r="J205" s="6" t="str">
        <f aca="false">ROUND(79*1,0)&amp;"%"</f>
        <v>79%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9408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9409</v>
      </c>
      <c r="B210" s="5" t="s">
        <v>350</v>
      </c>
      <c r="C210" s="5" t="s">
        <v>95</v>
      </c>
      <c r="D210" s="5" t="s">
        <v>16</v>
      </c>
      <c r="E210" s="5" t="n">
        <f aca="false">ROUND(6625*1.05,2)</f>
        <v>6956.25</v>
      </c>
      <c r="F210" s="5" t="s">
        <v>17</v>
      </c>
      <c r="G210" s="5" t="s">
        <v>18</v>
      </c>
      <c r="H210" s="5" t="n">
        <f aca="true">ROUND(RAND()*4+6,1)</f>
        <v>9.9</v>
      </c>
      <c r="I210" s="5" t="s">
        <v>19</v>
      </c>
      <c r="J210" s="5" t="str">
        <f aca="false">ROUND(97*1,0)&amp;"%"</f>
        <v>97%</v>
      </c>
    </row>
    <row r="211" customFormat="false" ht="15" hidden="false" customHeight="false" outlineLevel="0" collapsed="false">
      <c r="A211" s="6" t="s">
        <v>9410</v>
      </c>
      <c r="B211" s="6" t="s">
        <v>352</v>
      </c>
      <c r="C211" s="6" t="s">
        <v>95</v>
      </c>
      <c r="D211" s="6" t="s">
        <v>22</v>
      </c>
      <c r="E211" s="6" t="n">
        <f aca="false">ROUND(11224*1.05,2)</f>
        <v>11785.2</v>
      </c>
      <c r="F211" s="6" t="s">
        <v>23</v>
      </c>
      <c r="G211" s="6" t="s">
        <v>24</v>
      </c>
      <c r="H211" s="6" t="n">
        <f aca="true">ROUND(RAND()*4+6,1)</f>
        <v>7.3</v>
      </c>
      <c r="I211" s="6" t="s">
        <v>25</v>
      </c>
      <c r="J211" s="6" t="str">
        <f aca="false">ROUND(93*1,0)&amp;"%"</f>
        <v>93%</v>
      </c>
    </row>
    <row r="212" customFormat="false" ht="15" hidden="false" customHeight="false" outlineLevel="0" collapsed="false">
      <c r="A212" s="5" t="s">
        <v>9411</v>
      </c>
      <c r="B212" s="5" t="s">
        <v>354</v>
      </c>
      <c r="C212" s="5" t="s">
        <v>95</v>
      </c>
      <c r="D212" s="5" t="s">
        <v>28</v>
      </c>
      <c r="E212" s="5" t="n">
        <f aca="false">ROUND(12221*1.05,2)</f>
        <v>12832.05</v>
      </c>
      <c r="F212" s="5" t="s">
        <v>29</v>
      </c>
      <c r="G212" s="5" t="s">
        <v>30</v>
      </c>
      <c r="H212" s="5" t="n">
        <f aca="true">ROUND(RAND()*4+6,1)</f>
        <v>8.4</v>
      </c>
      <c r="I212" s="5" t="s">
        <v>31</v>
      </c>
      <c r="J212" s="5" t="str">
        <f aca="false">ROUND(69*1,0)&amp;"%"</f>
        <v>69%</v>
      </c>
    </row>
    <row r="213" customFormat="false" ht="15" hidden="false" customHeight="false" outlineLevel="0" collapsed="false">
      <c r="A213" s="6" t="s">
        <v>9412</v>
      </c>
      <c r="B213" s="6" t="s">
        <v>356</v>
      </c>
      <c r="C213" s="6" t="s">
        <v>95</v>
      </c>
      <c r="D213" s="6" t="s">
        <v>34</v>
      </c>
      <c r="E213" s="6" t="n">
        <f aca="false">ROUND(8124*1.05,2)</f>
        <v>8530.2</v>
      </c>
      <c r="F213" s="6" t="s">
        <v>35</v>
      </c>
      <c r="G213" s="6" t="s">
        <v>18</v>
      </c>
      <c r="H213" s="6" t="n">
        <f aca="true">ROUND(RAND()*4+6,1)</f>
        <v>8.7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9413</v>
      </c>
      <c r="B214" s="5" t="s">
        <v>358</v>
      </c>
      <c r="C214" s="5" t="s">
        <v>95</v>
      </c>
      <c r="D214" s="5" t="s">
        <v>39</v>
      </c>
      <c r="E214" s="5" t="n">
        <f aca="false">ROUND(5094*1.05,2)</f>
        <v>5348.7</v>
      </c>
      <c r="F214" s="5" t="s">
        <v>40</v>
      </c>
      <c r="G214" s="5" t="s">
        <v>24</v>
      </c>
      <c r="H214" s="5" t="n">
        <f aca="true">ROUND(RAND()*4+6,1)</f>
        <v>6.5</v>
      </c>
      <c r="I214" s="5" t="s">
        <v>41</v>
      </c>
      <c r="J214" s="5" t="str">
        <f aca="false">ROUND(76*1,0)&amp;"%"</f>
        <v>76%</v>
      </c>
    </row>
    <row r="215" customFormat="false" ht="15" hidden="false" customHeight="false" outlineLevel="0" collapsed="false">
      <c r="A215" s="6" t="s">
        <v>9414</v>
      </c>
      <c r="B215" s="6" t="s">
        <v>360</v>
      </c>
      <c r="C215" s="6" t="s">
        <v>95</v>
      </c>
      <c r="D215" s="6" t="s">
        <v>44</v>
      </c>
      <c r="E215" s="6" t="n">
        <f aca="false">ROUND(13182*1.05,2)</f>
        <v>13841.1</v>
      </c>
      <c r="F215" s="6" t="s">
        <v>45</v>
      </c>
      <c r="G215" s="6" t="s">
        <v>30</v>
      </c>
      <c r="H215" s="6" t="n">
        <f aca="true">ROUND(RAND()*4+6,1)</f>
        <v>9.6</v>
      </c>
      <c r="I215" s="6" t="s">
        <v>46</v>
      </c>
      <c r="J215" s="6" t="str">
        <f aca="false">ROUND(82*1,0)&amp;"%"</f>
        <v>82%</v>
      </c>
    </row>
    <row r="216" customFormat="false" ht="15" hidden="false" customHeight="false" outlineLevel="0" collapsed="false">
      <c r="A216" s="5" t="s">
        <v>9415</v>
      </c>
      <c r="B216" s="5" t="s">
        <v>362</v>
      </c>
      <c r="C216" s="5" t="s">
        <v>95</v>
      </c>
      <c r="D216" s="5" t="s">
        <v>16</v>
      </c>
      <c r="E216" s="5" t="n">
        <f aca="false">ROUND(14918*1.05,2)</f>
        <v>15663.9</v>
      </c>
      <c r="F216" s="5" t="s">
        <v>49</v>
      </c>
      <c r="G216" s="5" t="s">
        <v>18</v>
      </c>
      <c r="H216" s="5" t="n">
        <f aca="true">ROUND(RAND()*4+6,1)</f>
        <v>7.5</v>
      </c>
      <c r="I216" s="5" t="s">
        <v>19</v>
      </c>
      <c r="J216" s="5" t="str">
        <f aca="false">ROUND(70*1,0)&amp;"%"</f>
        <v>70%</v>
      </c>
    </row>
    <row r="217" customFormat="false" ht="15" hidden="false" customHeight="false" outlineLevel="0" collapsed="false">
      <c r="A217" s="6" t="s">
        <v>9416</v>
      </c>
      <c r="B217" s="6" t="s">
        <v>364</v>
      </c>
      <c r="C217" s="6" t="s">
        <v>95</v>
      </c>
      <c r="D217" s="6" t="s">
        <v>22</v>
      </c>
      <c r="E217" s="6" t="n">
        <f aca="false">ROUND(9261*1.05,2)</f>
        <v>9724.05</v>
      </c>
      <c r="F217" s="6" t="s">
        <v>52</v>
      </c>
      <c r="G217" s="6" t="s">
        <v>24</v>
      </c>
      <c r="H217" s="6" t="n">
        <f aca="true">ROUND(RAND()*4+6,1)</f>
        <v>8.1</v>
      </c>
      <c r="I217" s="6" t="s">
        <v>25</v>
      </c>
      <c r="J217" s="6" t="str">
        <f aca="false">ROUND(100*1,0)&amp;"%"</f>
        <v>100%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9417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9418</v>
      </c>
      <c r="B222" s="5" t="s">
        <v>368</v>
      </c>
      <c r="C222" s="5" t="s">
        <v>114</v>
      </c>
      <c r="D222" s="5" t="s">
        <v>16</v>
      </c>
      <c r="E222" s="5" t="n">
        <f aca="false">ROUND(11013*1.05,2)</f>
        <v>11563.65</v>
      </c>
      <c r="F222" s="5" t="s">
        <v>17</v>
      </c>
      <c r="G222" s="5" t="s">
        <v>18</v>
      </c>
      <c r="H222" s="5" t="n">
        <f aca="true">ROUND(RAND()*4+6,1)</f>
        <v>6.3</v>
      </c>
      <c r="I222" s="5" t="s">
        <v>19</v>
      </c>
      <c r="J222" s="5" t="str">
        <f aca="false">ROUND(70*1,0)&amp;"%"</f>
        <v>70%</v>
      </c>
    </row>
    <row r="223" customFormat="false" ht="15" hidden="false" customHeight="false" outlineLevel="0" collapsed="false">
      <c r="A223" s="6" t="s">
        <v>9419</v>
      </c>
      <c r="B223" s="6" t="s">
        <v>370</v>
      </c>
      <c r="C223" s="6" t="s">
        <v>114</v>
      </c>
      <c r="D223" s="6" t="s">
        <v>22</v>
      </c>
      <c r="E223" s="6" t="n">
        <f aca="false">ROUND(5798*1.05,2)</f>
        <v>6087.9</v>
      </c>
      <c r="F223" s="6" t="s">
        <v>23</v>
      </c>
      <c r="G223" s="6" t="s">
        <v>24</v>
      </c>
      <c r="H223" s="6" t="n">
        <f aca="true">ROUND(RAND()*4+6,1)</f>
        <v>6.4</v>
      </c>
      <c r="I223" s="6" t="s">
        <v>25</v>
      </c>
      <c r="J223" s="6" t="str">
        <f aca="false">ROUND(81*1,0)&amp;"%"</f>
        <v>81%</v>
      </c>
    </row>
    <row r="224" customFormat="false" ht="15" hidden="false" customHeight="false" outlineLevel="0" collapsed="false">
      <c r="A224" s="5" t="s">
        <v>9420</v>
      </c>
      <c r="B224" s="5" t="s">
        <v>372</v>
      </c>
      <c r="C224" s="5" t="s">
        <v>114</v>
      </c>
      <c r="D224" s="5" t="s">
        <v>28</v>
      </c>
      <c r="E224" s="5" t="n">
        <f aca="false">ROUND(9662*1.05,2)</f>
        <v>10145.1</v>
      </c>
      <c r="F224" s="5" t="s">
        <v>29</v>
      </c>
      <c r="G224" s="5" t="s">
        <v>30</v>
      </c>
      <c r="H224" s="5" t="n">
        <f aca="true">ROUND(RAND()*4+6,1)</f>
        <v>6.8</v>
      </c>
      <c r="I224" s="5" t="s">
        <v>31</v>
      </c>
      <c r="J224" s="5" t="str">
        <f aca="false">ROUND(81*1,0)&amp;"%"</f>
        <v>81%</v>
      </c>
    </row>
    <row r="225" customFormat="false" ht="15" hidden="false" customHeight="false" outlineLevel="0" collapsed="false">
      <c r="A225" s="6" t="s">
        <v>9421</v>
      </c>
      <c r="B225" s="6" t="s">
        <v>374</v>
      </c>
      <c r="C225" s="6" t="s">
        <v>114</v>
      </c>
      <c r="D225" s="6" t="s">
        <v>34</v>
      </c>
      <c r="E225" s="6" t="n">
        <f aca="false">ROUND(6400*1.05,2)</f>
        <v>6720</v>
      </c>
      <c r="F225" s="6" t="s">
        <v>35</v>
      </c>
      <c r="G225" s="6" t="s">
        <v>18</v>
      </c>
      <c r="H225" s="6" t="n">
        <f aca="true">ROUND(RAND()*4+6,1)</f>
        <v>9.1</v>
      </c>
      <c r="I225" s="6" t="s">
        <v>36</v>
      </c>
      <c r="J225" s="6" t="str">
        <f aca="false">ROUND(77*1,0)&amp;"%"</f>
        <v>77%</v>
      </c>
    </row>
    <row r="226" customFormat="false" ht="15" hidden="false" customHeight="false" outlineLevel="0" collapsed="false">
      <c r="A226" s="5" t="s">
        <v>9422</v>
      </c>
      <c r="B226" s="5" t="s">
        <v>376</v>
      </c>
      <c r="C226" s="5" t="s">
        <v>114</v>
      </c>
      <c r="D226" s="5" t="s">
        <v>39</v>
      </c>
      <c r="E226" s="5" t="n">
        <f aca="false">ROUND(5673*1.05,2)</f>
        <v>5956.65</v>
      </c>
      <c r="F226" s="5" t="s">
        <v>40</v>
      </c>
      <c r="G226" s="5" t="s">
        <v>24</v>
      </c>
      <c r="H226" s="5" t="n">
        <f aca="true">ROUND(RAND()*4+6,1)</f>
        <v>6.2</v>
      </c>
      <c r="I226" s="5" t="s">
        <v>41</v>
      </c>
      <c r="J226" s="5" t="str">
        <f aca="false">ROUND(88*1,0)&amp;"%"</f>
        <v>88%</v>
      </c>
    </row>
    <row r="227" customFormat="false" ht="15" hidden="false" customHeight="false" outlineLevel="0" collapsed="false">
      <c r="A227" s="6" t="s">
        <v>9423</v>
      </c>
      <c r="B227" s="6" t="s">
        <v>378</v>
      </c>
      <c r="C227" s="6" t="s">
        <v>114</v>
      </c>
      <c r="D227" s="6" t="s">
        <v>44</v>
      </c>
      <c r="E227" s="6" t="n">
        <f aca="false">ROUND(17133*1.05,2)</f>
        <v>17989.65</v>
      </c>
      <c r="F227" s="6" t="s">
        <v>45</v>
      </c>
      <c r="G227" s="6" t="s">
        <v>30</v>
      </c>
      <c r="H227" s="6" t="n">
        <f aca="true">ROUND(RAND()*4+6,1)</f>
        <v>9.6</v>
      </c>
      <c r="I227" s="6" t="s">
        <v>46</v>
      </c>
      <c r="J227" s="6" t="str">
        <f aca="false">ROUND(60*1,0)&amp;"%"</f>
        <v>60%</v>
      </c>
    </row>
    <row r="228" customFormat="false" ht="15" hidden="false" customHeight="false" outlineLevel="0" collapsed="false">
      <c r="A228" s="5" t="s">
        <v>9424</v>
      </c>
      <c r="B228" s="5" t="s">
        <v>380</v>
      </c>
      <c r="C228" s="5" t="s">
        <v>114</v>
      </c>
      <c r="D228" s="5" t="s">
        <v>16</v>
      </c>
      <c r="E228" s="5" t="n">
        <f aca="false">ROUND(10898*1.05,2)</f>
        <v>11442.9</v>
      </c>
      <c r="F228" s="5" t="s">
        <v>49</v>
      </c>
      <c r="G228" s="5" t="s">
        <v>18</v>
      </c>
      <c r="H228" s="5" t="n">
        <f aca="true">ROUND(RAND()*4+6,1)</f>
        <v>6</v>
      </c>
      <c r="I228" s="5" t="s">
        <v>19</v>
      </c>
      <c r="J228" s="5" t="str">
        <f aca="false">ROUND(79*1,0)&amp;"%"</f>
        <v>79%</v>
      </c>
    </row>
    <row r="229" customFormat="false" ht="15" hidden="false" customHeight="false" outlineLevel="0" collapsed="false">
      <c r="A229" s="6" t="s">
        <v>9425</v>
      </c>
      <c r="B229" s="6" t="s">
        <v>382</v>
      </c>
      <c r="C229" s="6" t="s">
        <v>114</v>
      </c>
      <c r="D229" s="6" t="s">
        <v>22</v>
      </c>
      <c r="E229" s="6" t="n">
        <f aca="false">ROUND(13668*1.05,2)</f>
        <v>14351.4</v>
      </c>
      <c r="F229" s="6" t="s">
        <v>52</v>
      </c>
      <c r="G229" s="6" t="s">
        <v>24</v>
      </c>
      <c r="H229" s="6" t="n">
        <f aca="true">ROUND(RAND()*4+6,1)</f>
        <v>7.3</v>
      </c>
      <c r="I229" s="6" t="s">
        <v>25</v>
      </c>
      <c r="J229" s="6" t="str">
        <f aca="false">ROUND(67*1,0)&amp;"%"</f>
        <v>67%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9426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9427</v>
      </c>
      <c r="B234" s="5" t="s">
        <v>386</v>
      </c>
      <c r="C234" s="5" t="s">
        <v>133</v>
      </c>
      <c r="D234" s="5" t="s">
        <v>16</v>
      </c>
      <c r="E234" s="5" t="n">
        <f aca="false">ROUND(12610*1.05,2)</f>
        <v>13240.5</v>
      </c>
      <c r="F234" s="5" t="s">
        <v>17</v>
      </c>
      <c r="G234" s="5" t="s">
        <v>18</v>
      </c>
      <c r="H234" s="5" t="n">
        <f aca="true">ROUND(RAND()*4+6,1)</f>
        <v>9</v>
      </c>
      <c r="I234" s="5" t="s">
        <v>19</v>
      </c>
      <c r="J234" s="5" t="str">
        <f aca="false">ROUND(77*1,0)&amp;"%"</f>
        <v>77%</v>
      </c>
    </row>
    <row r="235" customFormat="false" ht="15" hidden="false" customHeight="false" outlineLevel="0" collapsed="false">
      <c r="A235" s="6" t="s">
        <v>9428</v>
      </c>
      <c r="B235" s="6" t="s">
        <v>388</v>
      </c>
      <c r="C235" s="6" t="s">
        <v>133</v>
      </c>
      <c r="D235" s="6" t="s">
        <v>22</v>
      </c>
      <c r="E235" s="6" t="n">
        <f aca="false">ROUND(11764*1.05,2)</f>
        <v>12352.2</v>
      </c>
      <c r="F235" s="6" t="s">
        <v>23</v>
      </c>
      <c r="G235" s="6" t="s">
        <v>24</v>
      </c>
      <c r="H235" s="6" t="n">
        <f aca="true">ROUND(RAND()*4+6,1)</f>
        <v>9.3</v>
      </c>
      <c r="I235" s="6" t="s">
        <v>25</v>
      </c>
      <c r="J235" s="6" t="str">
        <f aca="false">ROUND(100*1,0)&amp;"%"</f>
        <v>100%</v>
      </c>
    </row>
    <row r="236" customFormat="false" ht="15" hidden="false" customHeight="false" outlineLevel="0" collapsed="false">
      <c r="A236" s="5" t="s">
        <v>9429</v>
      </c>
      <c r="B236" s="5" t="s">
        <v>390</v>
      </c>
      <c r="C236" s="5" t="s">
        <v>133</v>
      </c>
      <c r="D236" s="5" t="s">
        <v>28</v>
      </c>
      <c r="E236" s="5" t="n">
        <f aca="false">ROUND(17152*1.05,2)</f>
        <v>18009.6</v>
      </c>
      <c r="F236" s="5" t="s">
        <v>29</v>
      </c>
      <c r="G236" s="5" t="s">
        <v>30</v>
      </c>
      <c r="H236" s="5" t="n">
        <f aca="true">ROUND(RAND()*4+6,1)</f>
        <v>8.4</v>
      </c>
      <c r="I236" s="5" t="s">
        <v>31</v>
      </c>
      <c r="J236" s="5" t="str">
        <f aca="false">ROUND(75*1,0)&amp;"%"</f>
        <v>75%</v>
      </c>
    </row>
    <row r="237" customFormat="false" ht="15" hidden="false" customHeight="false" outlineLevel="0" collapsed="false">
      <c r="A237" s="6" t="s">
        <v>9430</v>
      </c>
      <c r="B237" s="6" t="s">
        <v>392</v>
      </c>
      <c r="C237" s="6" t="s">
        <v>133</v>
      </c>
      <c r="D237" s="6" t="s">
        <v>34</v>
      </c>
      <c r="E237" s="6" t="n">
        <f aca="false">ROUND(13922*1.05,2)</f>
        <v>14618.1</v>
      </c>
      <c r="F237" s="6" t="s">
        <v>35</v>
      </c>
      <c r="G237" s="6" t="s">
        <v>18</v>
      </c>
      <c r="H237" s="6" t="n">
        <f aca="true">ROUND(RAND()*4+6,1)</f>
        <v>9.5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9431</v>
      </c>
      <c r="B238" s="5" t="s">
        <v>394</v>
      </c>
      <c r="C238" s="5" t="s">
        <v>133</v>
      </c>
      <c r="D238" s="5" t="s">
        <v>39</v>
      </c>
      <c r="E238" s="5" t="n">
        <f aca="false">ROUND(10269*1.05,2)</f>
        <v>10782.45</v>
      </c>
      <c r="F238" s="5" t="s">
        <v>40</v>
      </c>
      <c r="G238" s="5" t="s">
        <v>24</v>
      </c>
      <c r="H238" s="5" t="n">
        <f aca="true">ROUND(RAND()*4+6,1)</f>
        <v>8.6</v>
      </c>
      <c r="I238" s="5" t="s">
        <v>41</v>
      </c>
      <c r="J238" s="5" t="str">
        <f aca="false">ROUND(71*1,0)&amp;"%"</f>
        <v>71%</v>
      </c>
    </row>
    <row r="239" customFormat="false" ht="15" hidden="false" customHeight="false" outlineLevel="0" collapsed="false">
      <c r="A239" s="6" t="s">
        <v>9432</v>
      </c>
      <c r="B239" s="6" t="s">
        <v>396</v>
      </c>
      <c r="C239" s="6" t="s">
        <v>133</v>
      </c>
      <c r="D239" s="6" t="s">
        <v>44</v>
      </c>
      <c r="E239" s="6" t="n">
        <f aca="false">ROUND(4981*1.05,2)</f>
        <v>5230.05</v>
      </c>
      <c r="F239" s="6" t="s">
        <v>45</v>
      </c>
      <c r="G239" s="6" t="s">
        <v>30</v>
      </c>
      <c r="H239" s="6" t="n">
        <f aca="true">ROUND(RAND()*4+6,1)</f>
        <v>8.2</v>
      </c>
      <c r="I239" s="6" t="s">
        <v>46</v>
      </c>
      <c r="J239" s="6" t="str">
        <f aca="false">ROUND(95*1,0)&amp;"%"</f>
        <v>95%</v>
      </c>
    </row>
    <row r="240" customFormat="false" ht="15" hidden="false" customHeight="false" outlineLevel="0" collapsed="false">
      <c r="A240" s="5" t="s">
        <v>9433</v>
      </c>
      <c r="B240" s="5" t="s">
        <v>398</v>
      </c>
      <c r="C240" s="5" t="s">
        <v>133</v>
      </c>
      <c r="D240" s="5" t="s">
        <v>16</v>
      </c>
      <c r="E240" s="5" t="n">
        <f aca="false">ROUND(11011*1.05,2)</f>
        <v>11561.55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ROUND(91*1,0)&amp;"%"</f>
        <v>91%</v>
      </c>
    </row>
    <row r="241" customFormat="false" ht="15" hidden="false" customHeight="false" outlineLevel="0" collapsed="false">
      <c r="A241" s="6" t="s">
        <v>9434</v>
      </c>
      <c r="B241" s="6" t="s">
        <v>400</v>
      </c>
      <c r="C241" s="6" t="s">
        <v>133</v>
      </c>
      <c r="D241" s="6" t="s">
        <v>22</v>
      </c>
      <c r="E241" s="6" t="n">
        <f aca="false">ROUND(11048*1.05,2)</f>
        <v>11600.4</v>
      </c>
      <c r="F241" s="6" t="s">
        <v>52</v>
      </c>
      <c r="G241" s="6" t="s">
        <v>24</v>
      </c>
      <c r="H241" s="6" t="n">
        <f aca="true">ROUND(RAND()*4+6,1)</f>
        <v>8.2</v>
      </c>
      <c r="I241" s="6" t="s">
        <v>25</v>
      </c>
      <c r="J241" s="6" t="str">
        <f aca="false">ROUND(68*1,0)&amp;"%"</f>
        <v>68%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9435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9436</v>
      </c>
      <c r="B246" s="5" t="s">
        <v>404</v>
      </c>
      <c r="C246" s="5" t="s">
        <v>152</v>
      </c>
      <c r="D246" s="5" t="s">
        <v>16</v>
      </c>
      <c r="E246" s="5" t="n">
        <f aca="false">ROUND(12459*1.05,2)</f>
        <v>13081.95</v>
      </c>
      <c r="F246" s="5" t="s">
        <v>17</v>
      </c>
      <c r="G246" s="5" t="s">
        <v>18</v>
      </c>
      <c r="H246" s="5" t="n">
        <f aca="true">ROUND(RAND()*4+6,1)</f>
        <v>7.2</v>
      </c>
      <c r="I246" s="5" t="s">
        <v>19</v>
      </c>
      <c r="J246" s="5" t="str">
        <f aca="false">ROUND(83*1,0)&amp;"%"</f>
        <v>83%</v>
      </c>
    </row>
    <row r="247" customFormat="false" ht="15" hidden="false" customHeight="false" outlineLevel="0" collapsed="false">
      <c r="A247" s="6" t="s">
        <v>9437</v>
      </c>
      <c r="B247" s="6" t="s">
        <v>406</v>
      </c>
      <c r="C247" s="6" t="s">
        <v>152</v>
      </c>
      <c r="D247" s="6" t="s">
        <v>22</v>
      </c>
      <c r="E247" s="6" t="n">
        <f aca="false">ROUND(8447*1.05,2)</f>
        <v>8869.35</v>
      </c>
      <c r="F247" s="6" t="s">
        <v>23</v>
      </c>
      <c r="G247" s="6" t="s">
        <v>24</v>
      </c>
      <c r="H247" s="6" t="n">
        <f aca="true">ROUND(RAND()*4+6,1)</f>
        <v>6.3</v>
      </c>
      <c r="I247" s="6" t="s">
        <v>25</v>
      </c>
      <c r="J247" s="6" t="str">
        <f aca="false">ROUND(93*1,0)&amp;"%"</f>
        <v>93%</v>
      </c>
    </row>
    <row r="248" customFormat="false" ht="15" hidden="false" customHeight="false" outlineLevel="0" collapsed="false">
      <c r="A248" s="5" t="s">
        <v>9438</v>
      </c>
      <c r="B248" s="5" t="s">
        <v>408</v>
      </c>
      <c r="C248" s="5" t="s">
        <v>152</v>
      </c>
      <c r="D248" s="5" t="s">
        <v>28</v>
      </c>
      <c r="E248" s="5" t="n">
        <f aca="false">ROUND(9565*1.05,2)</f>
        <v>10043.25</v>
      </c>
      <c r="F248" s="5" t="s">
        <v>29</v>
      </c>
      <c r="G248" s="5" t="s">
        <v>30</v>
      </c>
      <c r="H248" s="5" t="n">
        <f aca="true">ROUND(RAND()*4+6,1)</f>
        <v>9.1</v>
      </c>
      <c r="I248" s="5" t="s">
        <v>31</v>
      </c>
      <c r="J248" s="5" t="str">
        <f aca="false">ROUND(84*1,0)&amp;"%"</f>
        <v>84%</v>
      </c>
    </row>
    <row r="249" customFormat="false" ht="15" hidden="false" customHeight="false" outlineLevel="0" collapsed="false">
      <c r="A249" s="6" t="s">
        <v>9439</v>
      </c>
      <c r="B249" s="6" t="s">
        <v>410</v>
      </c>
      <c r="C249" s="6" t="s">
        <v>152</v>
      </c>
      <c r="D249" s="6" t="s">
        <v>34</v>
      </c>
      <c r="E249" s="6" t="n">
        <f aca="false">ROUND(12520*1.05,2)</f>
        <v>13146</v>
      </c>
      <c r="F249" s="6" t="s">
        <v>35</v>
      </c>
      <c r="G249" s="6" t="s">
        <v>18</v>
      </c>
      <c r="H249" s="6" t="n">
        <f aca="true">ROUND(RAND()*4+6,1)</f>
        <v>7.5</v>
      </c>
      <c r="I249" s="6" t="s">
        <v>36</v>
      </c>
      <c r="J249" s="6" t="str">
        <f aca="false">ROUND(79*1,0)&amp;"%"</f>
        <v>79%</v>
      </c>
    </row>
    <row r="250" customFormat="false" ht="15" hidden="false" customHeight="false" outlineLevel="0" collapsed="false">
      <c r="A250" s="5" t="s">
        <v>9440</v>
      </c>
      <c r="B250" s="5" t="s">
        <v>412</v>
      </c>
      <c r="C250" s="5" t="s">
        <v>152</v>
      </c>
      <c r="D250" s="5" t="s">
        <v>39</v>
      </c>
      <c r="E250" s="5" t="n">
        <f aca="false">ROUND(15176*1.05,2)</f>
        <v>15934.8</v>
      </c>
      <c r="F250" s="5" t="s">
        <v>40</v>
      </c>
      <c r="G250" s="5" t="s">
        <v>24</v>
      </c>
      <c r="H250" s="5" t="n">
        <f aca="true">ROUND(RAND()*4+6,1)</f>
        <v>9.9</v>
      </c>
      <c r="I250" s="5" t="s">
        <v>41</v>
      </c>
      <c r="J250" s="5" t="str">
        <f aca="false">ROUND(79*1,0)&amp;"%"</f>
        <v>79%</v>
      </c>
    </row>
    <row r="251" customFormat="false" ht="15" hidden="false" customHeight="false" outlineLevel="0" collapsed="false">
      <c r="A251" s="6" t="s">
        <v>9441</v>
      </c>
      <c r="B251" s="6" t="s">
        <v>414</v>
      </c>
      <c r="C251" s="6" t="s">
        <v>152</v>
      </c>
      <c r="D251" s="6" t="s">
        <v>44</v>
      </c>
      <c r="E251" s="6" t="n">
        <f aca="false">ROUND(5787*1.05,2)</f>
        <v>6076.35</v>
      </c>
      <c r="F251" s="6" t="s">
        <v>45</v>
      </c>
      <c r="G251" s="6" t="s">
        <v>30</v>
      </c>
      <c r="H251" s="6" t="n">
        <f aca="true">ROUND(RAND()*4+6,1)</f>
        <v>8.3</v>
      </c>
      <c r="I251" s="6" t="s">
        <v>46</v>
      </c>
      <c r="J251" s="6" t="str">
        <f aca="false">ROUND(91*1,0)&amp;"%"</f>
        <v>91%</v>
      </c>
    </row>
    <row r="252" customFormat="false" ht="15" hidden="false" customHeight="false" outlineLevel="0" collapsed="false">
      <c r="A252" s="5" t="s">
        <v>9442</v>
      </c>
      <c r="B252" s="5" t="s">
        <v>416</v>
      </c>
      <c r="C252" s="5" t="s">
        <v>152</v>
      </c>
      <c r="D252" s="5" t="s">
        <v>16</v>
      </c>
      <c r="E252" s="5" t="n">
        <f aca="false">ROUND(12590*1.05,2)</f>
        <v>13219.5</v>
      </c>
      <c r="F252" s="5" t="s">
        <v>49</v>
      </c>
      <c r="G252" s="5" t="s">
        <v>18</v>
      </c>
      <c r="H252" s="5" t="n">
        <f aca="true">ROUND(RAND()*4+6,1)</f>
        <v>9.3</v>
      </c>
      <c r="I252" s="5" t="s">
        <v>19</v>
      </c>
      <c r="J252" s="5" t="str">
        <f aca="false">ROUND(74*1,0)&amp;"%"</f>
        <v>74%</v>
      </c>
    </row>
    <row r="253" customFormat="false" ht="15" hidden="false" customHeight="false" outlineLevel="0" collapsed="false">
      <c r="A253" s="6" t="s">
        <v>9443</v>
      </c>
      <c r="B253" s="6" t="s">
        <v>418</v>
      </c>
      <c r="C253" s="6" t="s">
        <v>152</v>
      </c>
      <c r="D253" s="6" t="s">
        <v>22</v>
      </c>
      <c r="E253" s="6" t="n">
        <f aca="false">ROUND(15129*1.05,2)</f>
        <v>15885.45</v>
      </c>
      <c r="F253" s="6" t="s">
        <v>52</v>
      </c>
      <c r="G253" s="6" t="s">
        <v>24</v>
      </c>
      <c r="H253" s="6" t="n">
        <f aca="true">ROUND(RAND()*4+6,1)</f>
        <v>8.7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9444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9445</v>
      </c>
      <c r="B258" s="5" t="s">
        <v>422</v>
      </c>
      <c r="C258" s="5" t="s">
        <v>15</v>
      </c>
      <c r="D258" s="5" t="s">
        <v>16</v>
      </c>
      <c r="E258" s="5" t="n">
        <f aca="false">ROUND(15705*1.05,2)</f>
        <v>16490.25</v>
      </c>
      <c r="F258" s="5" t="s">
        <v>17</v>
      </c>
      <c r="G258" s="5" t="s">
        <v>18</v>
      </c>
      <c r="H258" s="5" t="n">
        <f aca="true">ROUND(RAND()*4+6,1)</f>
        <v>7.1</v>
      </c>
      <c r="I258" s="5" t="s">
        <v>19</v>
      </c>
      <c r="J258" s="5" t="str">
        <f aca="false">ROUND(67*1,0)&amp;"%"</f>
        <v>67%</v>
      </c>
    </row>
    <row r="259" customFormat="false" ht="15" hidden="false" customHeight="false" outlineLevel="0" collapsed="false">
      <c r="A259" s="6" t="s">
        <v>9446</v>
      </c>
      <c r="B259" s="6" t="s">
        <v>424</v>
      </c>
      <c r="C259" s="6" t="s">
        <v>15</v>
      </c>
      <c r="D259" s="6" t="s">
        <v>22</v>
      </c>
      <c r="E259" s="6" t="n">
        <f aca="false">ROUND(8427*1.05,2)</f>
        <v>8848.35</v>
      </c>
      <c r="F259" s="6" t="s">
        <v>23</v>
      </c>
      <c r="G259" s="6" t="s">
        <v>24</v>
      </c>
      <c r="H259" s="6" t="n">
        <f aca="true">ROUND(RAND()*4+6,1)</f>
        <v>7.1</v>
      </c>
      <c r="I259" s="6" t="s">
        <v>25</v>
      </c>
      <c r="J259" s="6" t="str">
        <f aca="false">ROUND(73*1,0)&amp;"%"</f>
        <v>73%</v>
      </c>
    </row>
    <row r="260" customFormat="false" ht="15" hidden="false" customHeight="false" outlineLevel="0" collapsed="false">
      <c r="A260" s="5" t="s">
        <v>9447</v>
      </c>
      <c r="B260" s="5" t="s">
        <v>426</v>
      </c>
      <c r="C260" s="5" t="s">
        <v>15</v>
      </c>
      <c r="D260" s="5" t="s">
        <v>28</v>
      </c>
      <c r="E260" s="5" t="n">
        <f aca="false">ROUND(7631*1.05,2)</f>
        <v>8012.55</v>
      </c>
      <c r="F260" s="5" t="s">
        <v>29</v>
      </c>
      <c r="G260" s="5" t="s">
        <v>30</v>
      </c>
      <c r="H260" s="5" t="n">
        <f aca="true">ROUND(RAND()*4+6,1)</f>
        <v>8.5</v>
      </c>
      <c r="I260" s="5" t="s">
        <v>31</v>
      </c>
      <c r="J260" s="5" t="str">
        <f aca="false">ROUND(67*1,0)&amp;"%"</f>
        <v>67%</v>
      </c>
    </row>
    <row r="261" customFormat="false" ht="15" hidden="false" customHeight="false" outlineLevel="0" collapsed="false">
      <c r="A261" s="6" t="s">
        <v>9448</v>
      </c>
      <c r="B261" s="6" t="s">
        <v>428</v>
      </c>
      <c r="C261" s="6" t="s">
        <v>15</v>
      </c>
      <c r="D261" s="6" t="s">
        <v>34</v>
      </c>
      <c r="E261" s="6" t="n">
        <f aca="false">ROUND(7558*1.05,2)</f>
        <v>7935.9</v>
      </c>
      <c r="F261" s="6" t="s">
        <v>35</v>
      </c>
      <c r="G261" s="6" t="s">
        <v>18</v>
      </c>
      <c r="H261" s="6" t="n">
        <f aca="true">ROUND(RAND()*4+6,1)</f>
        <v>8.6</v>
      </c>
      <c r="I261" s="6" t="s">
        <v>36</v>
      </c>
      <c r="J261" s="6" t="str">
        <f aca="false">ROUND(96*1,0)&amp;"%"</f>
        <v>96%</v>
      </c>
    </row>
    <row r="262" customFormat="false" ht="15" hidden="false" customHeight="false" outlineLevel="0" collapsed="false">
      <c r="A262" s="5" t="s">
        <v>9449</v>
      </c>
      <c r="B262" s="5" t="s">
        <v>430</v>
      </c>
      <c r="C262" s="5" t="s">
        <v>15</v>
      </c>
      <c r="D262" s="5" t="s">
        <v>39</v>
      </c>
      <c r="E262" s="5" t="n">
        <f aca="false">ROUND(11330*1.05,2)</f>
        <v>11896.5</v>
      </c>
      <c r="F262" s="5" t="s">
        <v>40</v>
      </c>
      <c r="G262" s="5" t="s">
        <v>24</v>
      </c>
      <c r="H262" s="5" t="n">
        <f aca="true">ROUND(RAND()*4+6,1)</f>
        <v>6.5</v>
      </c>
      <c r="I262" s="5" t="s">
        <v>41</v>
      </c>
      <c r="J262" s="5" t="str">
        <f aca="false">ROUND(71*1,0)&amp;"%"</f>
        <v>71%</v>
      </c>
    </row>
    <row r="263" customFormat="false" ht="15" hidden="false" customHeight="false" outlineLevel="0" collapsed="false">
      <c r="A263" s="6" t="s">
        <v>9450</v>
      </c>
      <c r="B263" s="6" t="s">
        <v>432</v>
      </c>
      <c r="C263" s="6" t="s">
        <v>15</v>
      </c>
      <c r="D263" s="6" t="s">
        <v>44</v>
      </c>
      <c r="E263" s="6" t="n">
        <f aca="false">ROUND(11809*1.05,2)</f>
        <v>12399.45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ROUND(67*1,0)&amp;"%"</f>
        <v>67%</v>
      </c>
    </row>
    <row r="264" customFormat="false" ht="15" hidden="false" customHeight="false" outlineLevel="0" collapsed="false">
      <c r="A264" s="5" t="s">
        <v>9451</v>
      </c>
      <c r="B264" s="5" t="s">
        <v>434</v>
      </c>
      <c r="C264" s="5" t="s">
        <v>15</v>
      </c>
      <c r="D264" s="5" t="s">
        <v>16</v>
      </c>
      <c r="E264" s="5" t="n">
        <f aca="false">ROUND(10427*1.05,2)</f>
        <v>10948.35</v>
      </c>
      <c r="F264" s="5" t="s">
        <v>49</v>
      </c>
      <c r="G264" s="5" t="s">
        <v>18</v>
      </c>
      <c r="H264" s="5" t="n">
        <f aca="true">ROUND(RAND()*4+6,1)</f>
        <v>9.5</v>
      </c>
      <c r="I264" s="5" t="s">
        <v>19</v>
      </c>
      <c r="J264" s="5" t="str">
        <f aca="false">ROUND(88*1,0)&amp;"%"</f>
        <v>88%</v>
      </c>
    </row>
    <row r="265" customFormat="false" ht="15" hidden="false" customHeight="false" outlineLevel="0" collapsed="false">
      <c r="A265" s="6" t="s">
        <v>9452</v>
      </c>
      <c r="B265" s="6" t="s">
        <v>436</v>
      </c>
      <c r="C265" s="6" t="s">
        <v>15</v>
      </c>
      <c r="D265" s="6" t="s">
        <v>22</v>
      </c>
      <c r="E265" s="6" t="n">
        <f aca="false">ROUND(16823*1.05,2)</f>
        <v>17664.15</v>
      </c>
      <c r="F265" s="6" t="s">
        <v>52</v>
      </c>
      <c r="G265" s="6" t="s">
        <v>24</v>
      </c>
      <c r="H265" s="6" t="n">
        <f aca="true">ROUND(RAND()*4+6,1)</f>
        <v>7</v>
      </c>
      <c r="I265" s="6" t="s">
        <v>25</v>
      </c>
      <c r="J265" s="6" t="str">
        <f aca="false">ROUND(71*1,0)&amp;"%"</f>
        <v>71%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9453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9454</v>
      </c>
      <c r="B270" s="5" t="s">
        <v>440</v>
      </c>
      <c r="C270" s="5" t="s">
        <v>57</v>
      </c>
      <c r="D270" s="5" t="s">
        <v>16</v>
      </c>
      <c r="E270" s="5" t="n">
        <f aca="false">ROUND(17120*1.05,2)</f>
        <v>17976</v>
      </c>
      <c r="F270" s="5" t="s">
        <v>17</v>
      </c>
      <c r="G270" s="5" t="s">
        <v>18</v>
      </c>
      <c r="H270" s="5" t="n">
        <f aca="true">ROUND(RAND()*4+6,1)</f>
        <v>6.3</v>
      </c>
      <c r="I270" s="5" t="s">
        <v>19</v>
      </c>
      <c r="J270" s="5" t="str">
        <f aca="false">ROUND(79*1,0)&amp;"%"</f>
        <v>79%</v>
      </c>
    </row>
    <row r="271" customFormat="false" ht="15" hidden="false" customHeight="false" outlineLevel="0" collapsed="false">
      <c r="A271" s="6" t="s">
        <v>9455</v>
      </c>
      <c r="B271" s="6" t="s">
        <v>442</v>
      </c>
      <c r="C271" s="6" t="s">
        <v>57</v>
      </c>
      <c r="D271" s="6" t="s">
        <v>22</v>
      </c>
      <c r="E271" s="6" t="n">
        <f aca="false">ROUND(6016*1.05,2)</f>
        <v>6316.8</v>
      </c>
      <c r="F271" s="6" t="s">
        <v>23</v>
      </c>
      <c r="G271" s="6" t="s">
        <v>24</v>
      </c>
      <c r="H271" s="6" t="n">
        <f aca="true">ROUND(RAND()*4+6,1)</f>
        <v>9.7</v>
      </c>
      <c r="I271" s="6" t="s">
        <v>25</v>
      </c>
      <c r="J271" s="6" t="str">
        <f aca="false">ROUND(76*1,0)&amp;"%"</f>
        <v>76%</v>
      </c>
    </row>
    <row r="272" customFormat="false" ht="15" hidden="false" customHeight="false" outlineLevel="0" collapsed="false">
      <c r="A272" s="5" t="s">
        <v>9456</v>
      </c>
      <c r="B272" s="5" t="s">
        <v>444</v>
      </c>
      <c r="C272" s="5" t="s">
        <v>57</v>
      </c>
      <c r="D272" s="5" t="s">
        <v>28</v>
      </c>
      <c r="E272" s="5" t="n">
        <f aca="false">ROUND(6699*1.05,2)</f>
        <v>7033.95</v>
      </c>
      <c r="F272" s="5" t="s">
        <v>29</v>
      </c>
      <c r="G272" s="5" t="s">
        <v>30</v>
      </c>
      <c r="H272" s="5" t="n">
        <f aca="true">ROUND(RAND()*4+6,1)</f>
        <v>7.4</v>
      </c>
      <c r="I272" s="5" t="s">
        <v>31</v>
      </c>
      <c r="J272" s="5" t="str">
        <f aca="false">ROUND(97*1,0)&amp;"%"</f>
        <v>97%</v>
      </c>
    </row>
    <row r="273" customFormat="false" ht="15" hidden="false" customHeight="false" outlineLevel="0" collapsed="false">
      <c r="A273" s="6" t="s">
        <v>9457</v>
      </c>
      <c r="B273" s="6" t="s">
        <v>446</v>
      </c>
      <c r="C273" s="6" t="s">
        <v>57</v>
      </c>
      <c r="D273" s="6" t="s">
        <v>34</v>
      </c>
      <c r="E273" s="6" t="n">
        <f aca="false">ROUND(4568*1.05,2)</f>
        <v>4796.4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ROUND(94*1,0)&amp;"%"</f>
        <v>94%</v>
      </c>
    </row>
    <row r="274" customFormat="false" ht="15" hidden="false" customHeight="false" outlineLevel="0" collapsed="false">
      <c r="A274" s="5" t="s">
        <v>9458</v>
      </c>
      <c r="B274" s="5" t="s">
        <v>448</v>
      </c>
      <c r="C274" s="5" t="s">
        <v>57</v>
      </c>
      <c r="D274" s="5" t="s">
        <v>39</v>
      </c>
      <c r="E274" s="5" t="n">
        <f aca="false">ROUND(17562*1.05,2)</f>
        <v>18440.1</v>
      </c>
      <c r="F274" s="5" t="s">
        <v>40</v>
      </c>
      <c r="G274" s="5" t="s">
        <v>24</v>
      </c>
      <c r="H274" s="5" t="n">
        <f aca="true">ROUND(RAND()*4+6,1)</f>
        <v>9.7</v>
      </c>
      <c r="I274" s="5" t="s">
        <v>41</v>
      </c>
      <c r="J274" s="5" t="str">
        <f aca="false">ROUND(79*1,0)&amp;"%"</f>
        <v>79%</v>
      </c>
    </row>
    <row r="275" customFormat="false" ht="15" hidden="false" customHeight="false" outlineLevel="0" collapsed="false">
      <c r="A275" s="6" t="s">
        <v>9459</v>
      </c>
      <c r="B275" s="6" t="s">
        <v>450</v>
      </c>
      <c r="C275" s="6" t="s">
        <v>57</v>
      </c>
      <c r="D275" s="6" t="s">
        <v>44</v>
      </c>
      <c r="E275" s="6" t="n">
        <f aca="false">ROUND(5680*1.05,2)</f>
        <v>5964</v>
      </c>
      <c r="F275" s="6" t="s">
        <v>45</v>
      </c>
      <c r="G275" s="6" t="s">
        <v>30</v>
      </c>
      <c r="H275" s="6" t="n">
        <f aca="true">ROUND(RAND()*4+6,1)</f>
        <v>9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9460</v>
      </c>
      <c r="B276" s="5" t="s">
        <v>452</v>
      </c>
      <c r="C276" s="5" t="s">
        <v>57</v>
      </c>
      <c r="D276" s="5" t="s">
        <v>16</v>
      </c>
      <c r="E276" s="5" t="n">
        <f aca="false">ROUND(11397*1.05,2)</f>
        <v>11966.85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ROUND(62*1,0)&amp;"%"</f>
        <v>62%</v>
      </c>
    </row>
    <row r="277" customFormat="false" ht="15" hidden="false" customHeight="false" outlineLevel="0" collapsed="false">
      <c r="A277" s="6" t="s">
        <v>9461</v>
      </c>
      <c r="B277" s="6" t="s">
        <v>454</v>
      </c>
      <c r="C277" s="6" t="s">
        <v>57</v>
      </c>
      <c r="D277" s="6" t="s">
        <v>22</v>
      </c>
      <c r="E277" s="6" t="n">
        <f aca="false">ROUND(8139*1.05,2)</f>
        <v>8545.95</v>
      </c>
      <c r="F277" s="6" t="s">
        <v>52</v>
      </c>
      <c r="G277" s="6" t="s">
        <v>24</v>
      </c>
      <c r="H277" s="6" t="n">
        <f aca="true">ROUND(RAND()*4+6,1)</f>
        <v>8.1</v>
      </c>
      <c r="I277" s="6" t="s">
        <v>25</v>
      </c>
      <c r="J277" s="6" t="str">
        <f aca="false">ROUND(64*1,0)&amp;"%"</f>
        <v>64%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9462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9463</v>
      </c>
      <c r="B282" s="5" t="s">
        <v>458</v>
      </c>
      <c r="C282" s="5" t="s">
        <v>76</v>
      </c>
      <c r="D282" s="5" t="s">
        <v>16</v>
      </c>
      <c r="E282" s="5" t="n">
        <f aca="false">ROUND(17741*1.05,2)</f>
        <v>18628.05</v>
      </c>
      <c r="F282" s="5" t="s">
        <v>17</v>
      </c>
      <c r="G282" s="5" t="s">
        <v>18</v>
      </c>
      <c r="H282" s="5" t="n">
        <f aca="true">ROUND(RAND()*4+6,1)</f>
        <v>8.5</v>
      </c>
      <c r="I282" s="5" t="s">
        <v>19</v>
      </c>
      <c r="J282" s="5" t="str">
        <f aca="false">ROUND(81*1,0)&amp;"%"</f>
        <v>81%</v>
      </c>
    </row>
    <row r="283" customFormat="false" ht="15" hidden="false" customHeight="false" outlineLevel="0" collapsed="false">
      <c r="A283" s="6" t="s">
        <v>9464</v>
      </c>
      <c r="B283" s="6" t="s">
        <v>460</v>
      </c>
      <c r="C283" s="6" t="s">
        <v>76</v>
      </c>
      <c r="D283" s="6" t="s">
        <v>22</v>
      </c>
      <c r="E283" s="6" t="n">
        <f aca="false">ROUND(17214*1.05,2)</f>
        <v>18074.7</v>
      </c>
      <c r="F283" s="6" t="s">
        <v>23</v>
      </c>
      <c r="G283" s="6" t="s">
        <v>24</v>
      </c>
      <c r="H283" s="6" t="n">
        <f aca="true">ROUND(RAND()*4+6,1)</f>
        <v>6.8</v>
      </c>
      <c r="I283" s="6" t="s">
        <v>25</v>
      </c>
      <c r="J283" s="6" t="str">
        <f aca="false">ROUND(66*1,0)&amp;"%"</f>
        <v>66%</v>
      </c>
    </row>
    <row r="284" customFormat="false" ht="15" hidden="false" customHeight="false" outlineLevel="0" collapsed="false">
      <c r="A284" s="5" t="s">
        <v>9465</v>
      </c>
      <c r="B284" s="5" t="s">
        <v>462</v>
      </c>
      <c r="C284" s="5" t="s">
        <v>76</v>
      </c>
      <c r="D284" s="5" t="s">
        <v>28</v>
      </c>
      <c r="E284" s="5" t="n">
        <f aca="false">ROUND(6256*1.05,2)</f>
        <v>6568.8</v>
      </c>
      <c r="F284" s="5" t="s">
        <v>29</v>
      </c>
      <c r="G284" s="5" t="s">
        <v>30</v>
      </c>
      <c r="H284" s="5" t="n">
        <f aca="true">ROUND(RAND()*4+6,1)</f>
        <v>6.4</v>
      </c>
      <c r="I284" s="5" t="s">
        <v>31</v>
      </c>
      <c r="J284" s="5" t="str">
        <f aca="false">ROUND(96*1,0)&amp;"%"</f>
        <v>96%</v>
      </c>
    </row>
    <row r="285" customFormat="false" ht="15" hidden="false" customHeight="false" outlineLevel="0" collapsed="false">
      <c r="A285" s="6" t="s">
        <v>9466</v>
      </c>
      <c r="B285" s="6" t="s">
        <v>464</v>
      </c>
      <c r="C285" s="6" t="s">
        <v>76</v>
      </c>
      <c r="D285" s="6" t="s">
        <v>34</v>
      </c>
      <c r="E285" s="6" t="n">
        <f aca="false">ROUND(15288*1.05,2)</f>
        <v>16052.4</v>
      </c>
      <c r="F285" s="6" t="s">
        <v>35</v>
      </c>
      <c r="G285" s="6" t="s">
        <v>18</v>
      </c>
      <c r="H285" s="6" t="n">
        <f aca="true">ROUND(RAND()*4+6,1)</f>
        <v>7.4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9467</v>
      </c>
      <c r="B286" s="5" t="s">
        <v>466</v>
      </c>
      <c r="C286" s="5" t="s">
        <v>76</v>
      </c>
      <c r="D286" s="5" t="s">
        <v>39</v>
      </c>
      <c r="E286" s="5" t="n">
        <f aca="false">ROUND(6238*1.05,2)</f>
        <v>6549.9</v>
      </c>
      <c r="F286" s="5" t="s">
        <v>40</v>
      </c>
      <c r="G286" s="5" t="s">
        <v>24</v>
      </c>
      <c r="H286" s="5" t="n">
        <f aca="true">ROUND(RAND()*4+6,1)</f>
        <v>9.3</v>
      </c>
      <c r="I286" s="5" t="s">
        <v>41</v>
      </c>
      <c r="J286" s="5" t="str">
        <f aca="false">ROUND(71*1,0)&amp;"%"</f>
        <v>71%</v>
      </c>
    </row>
    <row r="287" customFormat="false" ht="15" hidden="false" customHeight="false" outlineLevel="0" collapsed="false">
      <c r="A287" s="6" t="s">
        <v>9468</v>
      </c>
      <c r="B287" s="6" t="s">
        <v>468</v>
      </c>
      <c r="C287" s="6" t="s">
        <v>76</v>
      </c>
      <c r="D287" s="6" t="s">
        <v>44</v>
      </c>
      <c r="E287" s="6" t="n">
        <f aca="false">ROUND(9616*1.05,2)</f>
        <v>10096.8</v>
      </c>
      <c r="F287" s="6" t="s">
        <v>45</v>
      </c>
      <c r="G287" s="6" t="s">
        <v>30</v>
      </c>
      <c r="H287" s="6" t="n">
        <f aca="true">ROUND(RAND()*4+6,1)</f>
        <v>6.8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9469</v>
      </c>
      <c r="B288" s="5" t="s">
        <v>470</v>
      </c>
      <c r="C288" s="5" t="s">
        <v>76</v>
      </c>
      <c r="D288" s="5" t="s">
        <v>16</v>
      </c>
      <c r="E288" s="5" t="n">
        <f aca="false">ROUND(12678*1.05,2)</f>
        <v>13311.9</v>
      </c>
      <c r="F288" s="5" t="s">
        <v>49</v>
      </c>
      <c r="G288" s="5" t="s">
        <v>18</v>
      </c>
      <c r="H288" s="5" t="n">
        <f aca="true">ROUND(RAND()*4+6,1)</f>
        <v>7.1</v>
      </c>
      <c r="I288" s="5" t="s">
        <v>19</v>
      </c>
      <c r="J288" s="5" t="str">
        <f aca="false">ROUND(64*1,0)&amp;"%"</f>
        <v>64%</v>
      </c>
    </row>
    <row r="289" customFormat="false" ht="15" hidden="false" customHeight="false" outlineLevel="0" collapsed="false">
      <c r="A289" s="6" t="s">
        <v>9470</v>
      </c>
      <c r="B289" s="6" t="s">
        <v>472</v>
      </c>
      <c r="C289" s="6" t="s">
        <v>76</v>
      </c>
      <c r="D289" s="6" t="s">
        <v>22</v>
      </c>
      <c r="E289" s="6" t="n">
        <f aca="false">ROUND(13178*1.05,2)</f>
        <v>13836.9</v>
      </c>
      <c r="F289" s="6" t="s">
        <v>52</v>
      </c>
      <c r="G289" s="6" t="s">
        <v>24</v>
      </c>
      <c r="H289" s="6" t="n">
        <f aca="true">ROUND(RAND()*4+6,1)</f>
        <v>6.5</v>
      </c>
      <c r="I289" s="6" t="s">
        <v>25</v>
      </c>
      <c r="J289" s="6" t="str">
        <f aca="false">ROUND(77*1,0)&amp;"%"</f>
        <v>77%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9471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9472</v>
      </c>
      <c r="B294" s="5" t="s">
        <v>476</v>
      </c>
      <c r="C294" s="5" t="s">
        <v>95</v>
      </c>
      <c r="D294" s="5" t="s">
        <v>16</v>
      </c>
      <c r="E294" s="5" t="n">
        <f aca="false">ROUND(17033*1.05,2)</f>
        <v>17884.65</v>
      </c>
      <c r="F294" s="5" t="s">
        <v>17</v>
      </c>
      <c r="G294" s="5" t="s">
        <v>18</v>
      </c>
      <c r="H294" s="5" t="n">
        <f aca="true">ROUND(RAND()*4+6,1)</f>
        <v>9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9473</v>
      </c>
      <c r="B295" s="6" t="s">
        <v>478</v>
      </c>
      <c r="C295" s="6" t="s">
        <v>95</v>
      </c>
      <c r="D295" s="6" t="s">
        <v>22</v>
      </c>
      <c r="E295" s="6" t="n">
        <f aca="false">ROUND(11271*1.05,2)</f>
        <v>11834.55</v>
      </c>
      <c r="F295" s="6" t="s">
        <v>23</v>
      </c>
      <c r="G295" s="6" t="s">
        <v>24</v>
      </c>
      <c r="H295" s="6" t="n">
        <f aca="true">ROUND(RAND()*4+6,1)</f>
        <v>9.8</v>
      </c>
      <c r="I295" s="6" t="s">
        <v>25</v>
      </c>
      <c r="J295" s="6" t="str">
        <f aca="false">ROUND(95*1,0)&amp;"%"</f>
        <v>95%</v>
      </c>
    </row>
    <row r="296" customFormat="false" ht="15" hidden="false" customHeight="false" outlineLevel="0" collapsed="false">
      <c r="A296" s="5" t="s">
        <v>9474</v>
      </c>
      <c r="B296" s="5" t="s">
        <v>480</v>
      </c>
      <c r="C296" s="5" t="s">
        <v>95</v>
      </c>
      <c r="D296" s="5" t="s">
        <v>28</v>
      </c>
      <c r="E296" s="5" t="n">
        <f aca="false">ROUND(4984*1.05,2)</f>
        <v>5233.2</v>
      </c>
      <c r="F296" s="5" t="s">
        <v>29</v>
      </c>
      <c r="G296" s="5" t="s">
        <v>30</v>
      </c>
      <c r="H296" s="5" t="n">
        <f aca="true">ROUND(RAND()*4+6,1)</f>
        <v>6</v>
      </c>
      <c r="I296" s="5" t="s">
        <v>31</v>
      </c>
      <c r="J296" s="5" t="str">
        <f aca="false">ROUND(73*1,0)&amp;"%"</f>
        <v>73%</v>
      </c>
    </row>
    <row r="297" customFormat="false" ht="15" hidden="false" customHeight="false" outlineLevel="0" collapsed="false">
      <c r="A297" s="6" t="s">
        <v>9475</v>
      </c>
      <c r="B297" s="6" t="s">
        <v>482</v>
      </c>
      <c r="C297" s="6" t="s">
        <v>95</v>
      </c>
      <c r="D297" s="6" t="s">
        <v>34</v>
      </c>
      <c r="E297" s="6" t="n">
        <f aca="false">ROUND(13592*1.05,2)</f>
        <v>14271.6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ROUND(67*1,0)&amp;"%"</f>
        <v>67%</v>
      </c>
    </row>
    <row r="298" customFormat="false" ht="15" hidden="false" customHeight="false" outlineLevel="0" collapsed="false">
      <c r="A298" s="5" t="s">
        <v>9476</v>
      </c>
      <c r="B298" s="5" t="s">
        <v>484</v>
      </c>
      <c r="C298" s="5" t="s">
        <v>95</v>
      </c>
      <c r="D298" s="5" t="s">
        <v>39</v>
      </c>
      <c r="E298" s="5" t="n">
        <f aca="false">ROUND(7815*1.05,2)</f>
        <v>8205.75</v>
      </c>
      <c r="F298" s="5" t="s">
        <v>40</v>
      </c>
      <c r="G298" s="5" t="s">
        <v>24</v>
      </c>
      <c r="H298" s="5" t="n">
        <f aca="true">ROUND(RAND()*4+6,1)</f>
        <v>7.9</v>
      </c>
      <c r="I298" s="5" t="s">
        <v>41</v>
      </c>
      <c r="J298" s="5" t="str">
        <f aca="false">ROUND(75*1,0)&amp;"%"</f>
        <v>75%</v>
      </c>
    </row>
    <row r="299" customFormat="false" ht="15" hidden="false" customHeight="false" outlineLevel="0" collapsed="false">
      <c r="A299" s="6" t="s">
        <v>9477</v>
      </c>
      <c r="B299" s="6" t="s">
        <v>486</v>
      </c>
      <c r="C299" s="6" t="s">
        <v>95</v>
      </c>
      <c r="D299" s="6" t="s">
        <v>44</v>
      </c>
      <c r="E299" s="6" t="n">
        <f aca="false">ROUND(7387*1.05,2)</f>
        <v>7756.35</v>
      </c>
      <c r="F299" s="6" t="s">
        <v>45</v>
      </c>
      <c r="G299" s="6" t="s">
        <v>30</v>
      </c>
      <c r="H299" s="6" t="n">
        <f aca="true">ROUND(RAND()*4+6,1)</f>
        <v>8.7</v>
      </c>
      <c r="I299" s="6" t="s">
        <v>46</v>
      </c>
      <c r="J299" s="6" t="str">
        <f aca="false">ROUND(72*1,0)&amp;"%"</f>
        <v>72%</v>
      </c>
    </row>
    <row r="300" customFormat="false" ht="15" hidden="false" customHeight="false" outlineLevel="0" collapsed="false">
      <c r="A300" s="5" t="s">
        <v>9478</v>
      </c>
      <c r="B300" s="5" t="s">
        <v>488</v>
      </c>
      <c r="C300" s="5" t="s">
        <v>95</v>
      </c>
      <c r="D300" s="5" t="s">
        <v>16</v>
      </c>
      <c r="E300" s="5" t="n">
        <f aca="false">ROUND(7857*1.05,2)</f>
        <v>8249.85</v>
      </c>
      <c r="F300" s="5" t="s">
        <v>49</v>
      </c>
      <c r="G300" s="5" t="s">
        <v>18</v>
      </c>
      <c r="H300" s="5" t="n">
        <f aca="true">ROUND(RAND()*4+6,1)</f>
        <v>6.6</v>
      </c>
      <c r="I300" s="5" t="s">
        <v>19</v>
      </c>
      <c r="J300" s="5" t="str">
        <f aca="false">ROUND(63*1,0)&amp;"%"</f>
        <v>63%</v>
      </c>
    </row>
    <row r="301" customFormat="false" ht="15" hidden="false" customHeight="false" outlineLevel="0" collapsed="false">
      <c r="A301" s="6" t="s">
        <v>9479</v>
      </c>
      <c r="B301" s="6" t="s">
        <v>490</v>
      </c>
      <c r="C301" s="6" t="s">
        <v>95</v>
      </c>
      <c r="D301" s="6" t="s">
        <v>22</v>
      </c>
      <c r="E301" s="6" t="n">
        <f aca="false">ROUND(16045*1.05,2)</f>
        <v>16847.25</v>
      </c>
      <c r="F301" s="6" t="s">
        <v>52</v>
      </c>
      <c r="G301" s="6" t="s">
        <v>24</v>
      </c>
      <c r="H301" s="6" t="n">
        <f aca="true">ROUND(RAND()*4+6,1)</f>
        <v>6.1</v>
      </c>
      <c r="I301" s="6" t="s">
        <v>25</v>
      </c>
      <c r="J301" s="6" t="str">
        <f aca="false">ROUND(87*1,0)&amp;"%"</f>
        <v>87%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9480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9481</v>
      </c>
      <c r="B306" s="5" t="s">
        <v>494</v>
      </c>
      <c r="C306" s="5" t="s">
        <v>114</v>
      </c>
      <c r="D306" s="5" t="s">
        <v>16</v>
      </c>
      <c r="E306" s="5" t="n">
        <f aca="false">ROUND(9022*1.05,2)</f>
        <v>9473.1</v>
      </c>
      <c r="F306" s="5" t="s">
        <v>17</v>
      </c>
      <c r="G306" s="5" t="s">
        <v>18</v>
      </c>
      <c r="H306" s="5" t="n">
        <f aca="true">ROUND(RAND()*4+6,1)</f>
        <v>9.4</v>
      </c>
      <c r="I306" s="5" t="s">
        <v>19</v>
      </c>
      <c r="J306" s="5" t="str">
        <f aca="false">ROUND(75*1,0)&amp;"%"</f>
        <v>75%</v>
      </c>
    </row>
    <row r="307" customFormat="false" ht="15" hidden="false" customHeight="false" outlineLevel="0" collapsed="false">
      <c r="A307" s="6" t="s">
        <v>9482</v>
      </c>
      <c r="B307" s="6" t="s">
        <v>496</v>
      </c>
      <c r="C307" s="6" t="s">
        <v>114</v>
      </c>
      <c r="D307" s="6" t="s">
        <v>22</v>
      </c>
      <c r="E307" s="6" t="n">
        <f aca="false">ROUND(6774*1.05,2)</f>
        <v>7112.7</v>
      </c>
      <c r="F307" s="6" t="s">
        <v>23</v>
      </c>
      <c r="G307" s="6" t="s">
        <v>24</v>
      </c>
      <c r="H307" s="6" t="n">
        <f aca="true">ROUND(RAND()*4+6,1)</f>
        <v>7.3</v>
      </c>
      <c r="I307" s="6" t="s">
        <v>25</v>
      </c>
      <c r="J307" s="6" t="str">
        <f aca="false">ROUND(92*1,0)&amp;"%"</f>
        <v>92%</v>
      </c>
    </row>
    <row r="308" customFormat="false" ht="15" hidden="false" customHeight="false" outlineLevel="0" collapsed="false">
      <c r="A308" s="5" t="s">
        <v>9483</v>
      </c>
      <c r="B308" s="5" t="s">
        <v>498</v>
      </c>
      <c r="C308" s="5" t="s">
        <v>114</v>
      </c>
      <c r="D308" s="5" t="s">
        <v>28</v>
      </c>
      <c r="E308" s="5" t="n">
        <f aca="false">ROUND(8310*1.05,2)</f>
        <v>8725.5</v>
      </c>
      <c r="F308" s="5" t="s">
        <v>29</v>
      </c>
      <c r="G308" s="5" t="s">
        <v>30</v>
      </c>
      <c r="H308" s="5" t="n">
        <f aca="true">ROUND(RAND()*4+6,1)</f>
        <v>6.3</v>
      </c>
      <c r="I308" s="5" t="s">
        <v>31</v>
      </c>
      <c r="J308" s="5" t="str">
        <f aca="false">ROUND(71*1,0)&amp;"%"</f>
        <v>71%</v>
      </c>
    </row>
    <row r="309" customFormat="false" ht="15" hidden="false" customHeight="false" outlineLevel="0" collapsed="false">
      <c r="A309" s="6" t="s">
        <v>9484</v>
      </c>
      <c r="B309" s="6" t="s">
        <v>500</v>
      </c>
      <c r="C309" s="6" t="s">
        <v>114</v>
      </c>
      <c r="D309" s="6" t="s">
        <v>34</v>
      </c>
      <c r="E309" s="6" t="n">
        <f aca="false">ROUND(16814*1.05,2)</f>
        <v>17654.7</v>
      </c>
      <c r="F309" s="6" t="s">
        <v>35</v>
      </c>
      <c r="G309" s="6" t="s">
        <v>18</v>
      </c>
      <c r="H309" s="6" t="n">
        <f aca="true">ROUND(RAND()*4+6,1)</f>
        <v>8.4</v>
      </c>
      <c r="I309" s="6" t="s">
        <v>36</v>
      </c>
      <c r="J309" s="6" t="str">
        <f aca="false">ROUND(76*1,0)&amp;"%"</f>
        <v>76%</v>
      </c>
    </row>
    <row r="310" customFormat="false" ht="15" hidden="false" customHeight="false" outlineLevel="0" collapsed="false">
      <c r="A310" s="5" t="s">
        <v>9485</v>
      </c>
      <c r="B310" s="5" t="s">
        <v>502</v>
      </c>
      <c r="C310" s="5" t="s">
        <v>114</v>
      </c>
      <c r="D310" s="5" t="s">
        <v>39</v>
      </c>
      <c r="E310" s="5" t="n">
        <f aca="false">ROUND(13409*1.05,2)</f>
        <v>14079.45</v>
      </c>
      <c r="F310" s="5" t="s">
        <v>40</v>
      </c>
      <c r="G310" s="5" t="s">
        <v>24</v>
      </c>
      <c r="H310" s="5" t="n">
        <f aca="true">ROUND(RAND()*4+6,1)</f>
        <v>6.5</v>
      </c>
      <c r="I310" s="5" t="s">
        <v>41</v>
      </c>
      <c r="J310" s="5" t="str">
        <f aca="false">ROUND(73*1,0)&amp;"%"</f>
        <v>73%</v>
      </c>
    </row>
    <row r="311" customFormat="false" ht="15" hidden="false" customHeight="false" outlineLevel="0" collapsed="false">
      <c r="A311" s="6" t="s">
        <v>9486</v>
      </c>
      <c r="B311" s="6" t="s">
        <v>504</v>
      </c>
      <c r="C311" s="6" t="s">
        <v>114</v>
      </c>
      <c r="D311" s="6" t="s">
        <v>44</v>
      </c>
      <c r="E311" s="6" t="n">
        <f aca="false">ROUND(12073*1.05,2)</f>
        <v>12676.65</v>
      </c>
      <c r="F311" s="6" t="s">
        <v>45</v>
      </c>
      <c r="G311" s="6" t="s">
        <v>30</v>
      </c>
      <c r="H311" s="6" t="n">
        <f aca="true">ROUND(RAND()*4+6,1)</f>
        <v>8</v>
      </c>
      <c r="I311" s="6" t="s">
        <v>46</v>
      </c>
      <c r="J311" s="6" t="str">
        <f aca="false">ROUND(78*1,0)&amp;"%"</f>
        <v>78%</v>
      </c>
    </row>
    <row r="312" customFormat="false" ht="15" hidden="false" customHeight="false" outlineLevel="0" collapsed="false">
      <c r="A312" s="5" t="s">
        <v>9487</v>
      </c>
      <c r="B312" s="5" t="s">
        <v>506</v>
      </c>
      <c r="C312" s="5" t="s">
        <v>114</v>
      </c>
      <c r="D312" s="5" t="s">
        <v>16</v>
      </c>
      <c r="E312" s="5" t="n">
        <f aca="false">ROUND(12423*1.05,2)</f>
        <v>13044.15</v>
      </c>
      <c r="F312" s="5" t="s">
        <v>49</v>
      </c>
      <c r="G312" s="5" t="s">
        <v>18</v>
      </c>
      <c r="H312" s="5" t="n">
        <f aca="true">ROUND(RAND()*4+6,1)</f>
        <v>7</v>
      </c>
      <c r="I312" s="5" t="s">
        <v>19</v>
      </c>
      <c r="J312" s="5" t="str">
        <f aca="false">ROUND(79*1,0)&amp;"%"</f>
        <v>79%</v>
      </c>
    </row>
    <row r="313" customFormat="false" ht="15" hidden="false" customHeight="false" outlineLevel="0" collapsed="false">
      <c r="A313" s="6" t="s">
        <v>9488</v>
      </c>
      <c r="B313" s="6" t="s">
        <v>508</v>
      </c>
      <c r="C313" s="6" t="s">
        <v>114</v>
      </c>
      <c r="D313" s="6" t="s">
        <v>22</v>
      </c>
      <c r="E313" s="6" t="n">
        <f aca="false">ROUND(8146*1.05,2)</f>
        <v>8553.3</v>
      </c>
      <c r="F313" s="6" t="s">
        <v>52</v>
      </c>
      <c r="G313" s="6" t="s">
        <v>24</v>
      </c>
      <c r="H313" s="6" t="n">
        <f aca="true">ROUND(RAND()*4+6,1)</f>
        <v>9.6</v>
      </c>
      <c r="I313" s="6" t="s">
        <v>25</v>
      </c>
      <c r="J313" s="6" t="str">
        <f aca="false">ROUND(99*1,0)&amp;"%"</f>
        <v>99%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9489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9490</v>
      </c>
      <c r="B318" s="5" t="s">
        <v>512</v>
      </c>
      <c r="C318" s="5" t="s">
        <v>133</v>
      </c>
      <c r="D318" s="5" t="s">
        <v>16</v>
      </c>
      <c r="E318" s="5" t="n">
        <f aca="false">ROUND(4549*1.05,2)</f>
        <v>4776.45</v>
      </c>
      <c r="F318" s="5" t="s">
        <v>17</v>
      </c>
      <c r="G318" s="5" t="s">
        <v>18</v>
      </c>
      <c r="H318" s="5" t="n">
        <f aca="true">ROUND(RAND()*4+6,1)</f>
        <v>8.2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9491</v>
      </c>
      <c r="B319" s="6" t="s">
        <v>514</v>
      </c>
      <c r="C319" s="6" t="s">
        <v>133</v>
      </c>
      <c r="D319" s="6" t="s">
        <v>22</v>
      </c>
      <c r="E319" s="6" t="n">
        <f aca="false">ROUND(4491*1.05,2)</f>
        <v>4715.55</v>
      </c>
      <c r="F319" s="6" t="s">
        <v>23</v>
      </c>
      <c r="G319" s="6" t="s">
        <v>24</v>
      </c>
      <c r="H319" s="6" t="n">
        <f aca="true">ROUND(RAND()*4+6,1)</f>
        <v>8.8</v>
      </c>
      <c r="I319" s="6" t="s">
        <v>25</v>
      </c>
      <c r="J319" s="6" t="str">
        <f aca="false">ROUND(100*1,0)&amp;"%"</f>
        <v>100%</v>
      </c>
    </row>
    <row r="320" customFormat="false" ht="15" hidden="false" customHeight="false" outlineLevel="0" collapsed="false">
      <c r="A320" s="5" t="s">
        <v>9492</v>
      </c>
      <c r="B320" s="5" t="s">
        <v>516</v>
      </c>
      <c r="C320" s="5" t="s">
        <v>133</v>
      </c>
      <c r="D320" s="5" t="s">
        <v>28</v>
      </c>
      <c r="E320" s="5" t="n">
        <f aca="false">ROUND(11836*1.05,2)</f>
        <v>12427.8</v>
      </c>
      <c r="F320" s="5" t="s">
        <v>29</v>
      </c>
      <c r="G320" s="5" t="s">
        <v>30</v>
      </c>
      <c r="H320" s="5" t="n">
        <f aca="true">ROUND(RAND()*4+6,1)</f>
        <v>7.8</v>
      </c>
      <c r="I320" s="5" t="s">
        <v>31</v>
      </c>
      <c r="J320" s="5" t="str">
        <f aca="false">ROUND(82*1,0)&amp;"%"</f>
        <v>82%</v>
      </c>
    </row>
    <row r="321" customFormat="false" ht="15" hidden="false" customHeight="false" outlineLevel="0" collapsed="false">
      <c r="A321" s="6" t="s">
        <v>9493</v>
      </c>
      <c r="B321" s="6" t="s">
        <v>518</v>
      </c>
      <c r="C321" s="6" t="s">
        <v>133</v>
      </c>
      <c r="D321" s="6" t="s">
        <v>34</v>
      </c>
      <c r="E321" s="6" t="n">
        <f aca="false">ROUND(6502*1.05,2)</f>
        <v>6827.1</v>
      </c>
      <c r="F321" s="6" t="s">
        <v>35</v>
      </c>
      <c r="G321" s="6" t="s">
        <v>18</v>
      </c>
      <c r="H321" s="6" t="n">
        <f aca="true">ROUND(RAND()*4+6,1)</f>
        <v>7.9</v>
      </c>
      <c r="I321" s="6" t="s">
        <v>36</v>
      </c>
      <c r="J321" s="6" t="str">
        <f aca="false">ROUND(68*1,0)&amp;"%"</f>
        <v>68%</v>
      </c>
    </row>
    <row r="322" customFormat="false" ht="15" hidden="false" customHeight="false" outlineLevel="0" collapsed="false">
      <c r="A322" s="5" t="s">
        <v>9494</v>
      </c>
      <c r="B322" s="5" t="s">
        <v>520</v>
      </c>
      <c r="C322" s="5" t="s">
        <v>133</v>
      </c>
      <c r="D322" s="5" t="s">
        <v>39</v>
      </c>
      <c r="E322" s="5" t="n">
        <f aca="false">ROUND(12239*1.05,2)</f>
        <v>12850.95</v>
      </c>
      <c r="F322" s="5" t="s">
        <v>40</v>
      </c>
      <c r="G322" s="5" t="s">
        <v>24</v>
      </c>
      <c r="H322" s="5" t="n">
        <f aca="true">ROUND(RAND()*4+6,1)</f>
        <v>7.2</v>
      </c>
      <c r="I322" s="5" t="s">
        <v>41</v>
      </c>
      <c r="J322" s="5" t="str">
        <f aca="false">ROUND(87*1,0)&amp;"%"</f>
        <v>87%</v>
      </c>
    </row>
    <row r="323" customFormat="false" ht="15" hidden="false" customHeight="false" outlineLevel="0" collapsed="false">
      <c r="A323" s="6" t="s">
        <v>9495</v>
      </c>
      <c r="B323" s="6" t="s">
        <v>522</v>
      </c>
      <c r="C323" s="6" t="s">
        <v>133</v>
      </c>
      <c r="D323" s="6" t="s">
        <v>44</v>
      </c>
      <c r="E323" s="6" t="n">
        <f aca="false">ROUND(4470*1.05,2)</f>
        <v>4693.5</v>
      </c>
      <c r="F323" s="6" t="s">
        <v>45</v>
      </c>
      <c r="G323" s="6" t="s">
        <v>30</v>
      </c>
      <c r="H323" s="6" t="n">
        <f aca="true">ROUND(RAND()*4+6,1)</f>
        <v>9.7</v>
      </c>
      <c r="I323" s="6" t="s">
        <v>46</v>
      </c>
      <c r="J323" s="6" t="str">
        <f aca="false">ROUND(79*1,0)&amp;"%"</f>
        <v>79%</v>
      </c>
    </row>
    <row r="324" customFormat="false" ht="15" hidden="false" customHeight="false" outlineLevel="0" collapsed="false">
      <c r="A324" s="5" t="s">
        <v>9496</v>
      </c>
      <c r="B324" s="5" t="s">
        <v>524</v>
      </c>
      <c r="C324" s="5" t="s">
        <v>133</v>
      </c>
      <c r="D324" s="5" t="s">
        <v>16</v>
      </c>
      <c r="E324" s="5" t="n">
        <f aca="false">ROUND(11570*1.05,2)</f>
        <v>12148.5</v>
      </c>
      <c r="F324" s="5" t="s">
        <v>49</v>
      </c>
      <c r="G324" s="5" t="s">
        <v>18</v>
      </c>
      <c r="H324" s="5" t="n">
        <f aca="true">ROUND(RAND()*4+6,1)</f>
        <v>8.7</v>
      </c>
      <c r="I324" s="5" t="s">
        <v>19</v>
      </c>
      <c r="J324" s="5" t="str">
        <f aca="false">ROUND(82*1,0)&amp;"%"</f>
        <v>82%</v>
      </c>
    </row>
    <row r="325" customFormat="false" ht="15" hidden="false" customHeight="false" outlineLevel="0" collapsed="false">
      <c r="A325" s="6" t="s">
        <v>9497</v>
      </c>
      <c r="B325" s="6" t="s">
        <v>526</v>
      </c>
      <c r="C325" s="6" t="s">
        <v>133</v>
      </c>
      <c r="D325" s="6" t="s">
        <v>22</v>
      </c>
      <c r="E325" s="6" t="n">
        <f aca="false">ROUND(6882*1.05,2)</f>
        <v>7226.1</v>
      </c>
      <c r="F325" s="6" t="s">
        <v>52</v>
      </c>
      <c r="G325" s="6" t="s">
        <v>24</v>
      </c>
      <c r="H325" s="6" t="n">
        <f aca="true">ROUND(RAND()*4+6,1)</f>
        <v>7.3</v>
      </c>
      <c r="I325" s="6" t="s">
        <v>25</v>
      </c>
      <c r="J325" s="6" t="str">
        <f aca="false">ROUND(97*1,0)&amp;"%"</f>
        <v>97%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9498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9499</v>
      </c>
      <c r="B330" s="5" t="s">
        <v>530</v>
      </c>
      <c r="C330" s="5" t="s">
        <v>152</v>
      </c>
      <c r="D330" s="5" t="s">
        <v>16</v>
      </c>
      <c r="E330" s="5" t="n">
        <f aca="false">ROUND(8067*1.05,2)</f>
        <v>8470.35</v>
      </c>
      <c r="F330" s="5" t="s">
        <v>17</v>
      </c>
      <c r="G330" s="5" t="s">
        <v>18</v>
      </c>
      <c r="H330" s="5" t="n">
        <f aca="true">ROUND(RAND()*4+6,1)</f>
        <v>9.1</v>
      </c>
      <c r="I330" s="5" t="s">
        <v>19</v>
      </c>
      <c r="J330" s="5" t="str">
        <f aca="false">ROUND(97*1,0)&amp;"%"</f>
        <v>97%</v>
      </c>
    </row>
    <row r="331" customFormat="false" ht="15" hidden="false" customHeight="false" outlineLevel="0" collapsed="false">
      <c r="A331" s="6" t="s">
        <v>9500</v>
      </c>
      <c r="B331" s="6" t="s">
        <v>532</v>
      </c>
      <c r="C331" s="6" t="s">
        <v>152</v>
      </c>
      <c r="D331" s="6" t="s">
        <v>22</v>
      </c>
      <c r="E331" s="6" t="n">
        <f aca="false">ROUND(7707*1.05,2)</f>
        <v>8092.35</v>
      </c>
      <c r="F331" s="6" t="s">
        <v>23</v>
      </c>
      <c r="G331" s="6" t="s">
        <v>24</v>
      </c>
      <c r="H331" s="6" t="n">
        <f aca="true">ROUND(RAND()*4+6,1)</f>
        <v>6.6</v>
      </c>
      <c r="I331" s="6" t="s">
        <v>25</v>
      </c>
      <c r="J331" s="6" t="str">
        <f aca="false">ROUND(97*1,0)&amp;"%"</f>
        <v>97%</v>
      </c>
    </row>
    <row r="332" customFormat="false" ht="15" hidden="false" customHeight="false" outlineLevel="0" collapsed="false">
      <c r="A332" s="5" t="s">
        <v>9501</v>
      </c>
      <c r="B332" s="5" t="s">
        <v>534</v>
      </c>
      <c r="C332" s="5" t="s">
        <v>152</v>
      </c>
      <c r="D332" s="5" t="s">
        <v>28</v>
      </c>
      <c r="E332" s="5" t="n">
        <f aca="false">ROUND(5096*1.05,2)</f>
        <v>5350.8</v>
      </c>
      <c r="F332" s="5" t="s">
        <v>29</v>
      </c>
      <c r="G332" s="5" t="s">
        <v>30</v>
      </c>
      <c r="H332" s="5" t="n">
        <f aca="true">ROUND(RAND()*4+6,1)</f>
        <v>6.9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9502</v>
      </c>
      <c r="B333" s="6" t="s">
        <v>536</v>
      </c>
      <c r="C333" s="6" t="s">
        <v>152</v>
      </c>
      <c r="D333" s="6" t="s">
        <v>34</v>
      </c>
      <c r="E333" s="6" t="n">
        <f aca="false">ROUND(8589*1.05,2)</f>
        <v>9018.45</v>
      </c>
      <c r="F333" s="6" t="s">
        <v>35</v>
      </c>
      <c r="G333" s="6" t="s">
        <v>18</v>
      </c>
      <c r="H333" s="6" t="n">
        <f aca="true">ROUND(RAND()*4+6,1)</f>
        <v>6.6</v>
      </c>
      <c r="I333" s="6" t="s">
        <v>36</v>
      </c>
      <c r="J333" s="6" t="str">
        <f aca="false">ROUND(76*1,0)&amp;"%"</f>
        <v>76%</v>
      </c>
    </row>
    <row r="334" customFormat="false" ht="15" hidden="false" customHeight="false" outlineLevel="0" collapsed="false">
      <c r="A334" s="5" t="s">
        <v>9503</v>
      </c>
      <c r="B334" s="5" t="s">
        <v>538</v>
      </c>
      <c r="C334" s="5" t="s">
        <v>152</v>
      </c>
      <c r="D334" s="5" t="s">
        <v>39</v>
      </c>
      <c r="E334" s="5" t="n">
        <f aca="false">ROUND(10925*1.05,2)</f>
        <v>11471.25</v>
      </c>
      <c r="F334" s="5" t="s">
        <v>40</v>
      </c>
      <c r="G334" s="5" t="s">
        <v>24</v>
      </c>
      <c r="H334" s="5" t="n">
        <f aca="true">ROUND(RAND()*4+6,1)</f>
        <v>9.4</v>
      </c>
      <c r="I334" s="5" t="s">
        <v>41</v>
      </c>
      <c r="J334" s="5" t="str">
        <f aca="false">ROUND(73*1,0)&amp;"%"</f>
        <v>73%</v>
      </c>
    </row>
    <row r="335" customFormat="false" ht="15" hidden="false" customHeight="false" outlineLevel="0" collapsed="false">
      <c r="A335" s="6" t="s">
        <v>9504</v>
      </c>
      <c r="B335" s="6" t="s">
        <v>540</v>
      </c>
      <c r="C335" s="6" t="s">
        <v>152</v>
      </c>
      <c r="D335" s="6" t="s">
        <v>44</v>
      </c>
      <c r="E335" s="6" t="n">
        <f aca="false">ROUND(8652*1.05,2)</f>
        <v>9084.6</v>
      </c>
      <c r="F335" s="6" t="s">
        <v>45</v>
      </c>
      <c r="G335" s="6" t="s">
        <v>30</v>
      </c>
      <c r="H335" s="6" t="n">
        <f aca="true">ROUND(RAND()*4+6,1)</f>
        <v>9.1</v>
      </c>
      <c r="I335" s="6" t="s">
        <v>46</v>
      </c>
      <c r="J335" s="6" t="str">
        <f aca="false">ROUND(70*1,0)&amp;"%"</f>
        <v>70%</v>
      </c>
    </row>
    <row r="336" customFormat="false" ht="15" hidden="false" customHeight="false" outlineLevel="0" collapsed="false">
      <c r="A336" s="5" t="s">
        <v>9505</v>
      </c>
      <c r="B336" s="5" t="s">
        <v>542</v>
      </c>
      <c r="C336" s="5" t="s">
        <v>152</v>
      </c>
      <c r="D336" s="5" t="s">
        <v>16</v>
      </c>
      <c r="E336" s="5" t="n">
        <f aca="false">ROUND(8194*1.05,2)</f>
        <v>8603.7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ROUND(71*1,0)&amp;"%"</f>
        <v>71%</v>
      </c>
    </row>
    <row r="337" customFormat="false" ht="15" hidden="false" customHeight="false" outlineLevel="0" collapsed="false">
      <c r="A337" s="6" t="s">
        <v>9506</v>
      </c>
      <c r="B337" s="6" t="s">
        <v>544</v>
      </c>
      <c r="C337" s="6" t="s">
        <v>152</v>
      </c>
      <c r="D337" s="6" t="s">
        <v>22</v>
      </c>
      <c r="E337" s="6" t="n">
        <f aca="false">ROUND(9206*1.05,2)</f>
        <v>9666.3</v>
      </c>
      <c r="F337" s="6" t="s">
        <v>52</v>
      </c>
      <c r="G337" s="6" t="s">
        <v>24</v>
      </c>
      <c r="H337" s="6" t="n">
        <f aca="true">ROUND(RAND()*4+6,1)</f>
        <v>6.8</v>
      </c>
      <c r="I337" s="6" t="s">
        <v>25</v>
      </c>
      <c r="J337" s="6" t="str">
        <f aca="false">ROUND(61*1,0)&amp;"%"</f>
        <v>61%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9507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9508</v>
      </c>
      <c r="B342" s="5" t="s">
        <v>548</v>
      </c>
      <c r="C342" s="5" t="s">
        <v>15</v>
      </c>
      <c r="D342" s="5" t="s">
        <v>16</v>
      </c>
      <c r="E342" s="5" t="n">
        <f aca="false">ROUND(14595*1.05,2)</f>
        <v>15324.75</v>
      </c>
      <c r="F342" s="5" t="s">
        <v>17</v>
      </c>
      <c r="G342" s="5" t="s">
        <v>18</v>
      </c>
      <c r="H342" s="5" t="n">
        <f aca="true">ROUND(RAND()*4+6,1)</f>
        <v>7.5</v>
      </c>
      <c r="I342" s="5" t="s">
        <v>19</v>
      </c>
      <c r="J342" s="5" t="str">
        <f aca="false">ROUND(95*1,0)&amp;"%"</f>
        <v>95%</v>
      </c>
    </row>
    <row r="343" customFormat="false" ht="15" hidden="false" customHeight="false" outlineLevel="0" collapsed="false">
      <c r="A343" s="6" t="s">
        <v>9509</v>
      </c>
      <c r="B343" s="6" t="s">
        <v>550</v>
      </c>
      <c r="C343" s="6" t="s">
        <v>15</v>
      </c>
      <c r="D343" s="6" t="s">
        <v>22</v>
      </c>
      <c r="E343" s="6" t="n">
        <f aca="false">ROUND(6109*1.05,2)</f>
        <v>6414.45</v>
      </c>
      <c r="F343" s="6" t="s">
        <v>23</v>
      </c>
      <c r="G343" s="6" t="s">
        <v>24</v>
      </c>
      <c r="H343" s="6" t="n">
        <f aca="true">ROUND(RAND()*4+6,1)</f>
        <v>9.8</v>
      </c>
      <c r="I343" s="6" t="s">
        <v>25</v>
      </c>
      <c r="J343" s="6" t="str">
        <f aca="false">ROUND(64*1,0)&amp;"%"</f>
        <v>64%</v>
      </c>
    </row>
    <row r="344" customFormat="false" ht="15" hidden="false" customHeight="false" outlineLevel="0" collapsed="false">
      <c r="A344" s="5" t="s">
        <v>9510</v>
      </c>
      <c r="B344" s="5" t="s">
        <v>552</v>
      </c>
      <c r="C344" s="5" t="s">
        <v>15</v>
      </c>
      <c r="D344" s="5" t="s">
        <v>28</v>
      </c>
      <c r="E344" s="5" t="n">
        <f aca="false">ROUND(4654*1.05,2)</f>
        <v>4886.7</v>
      </c>
      <c r="F344" s="5" t="s">
        <v>29</v>
      </c>
      <c r="G344" s="5" t="s">
        <v>30</v>
      </c>
      <c r="H344" s="5" t="n">
        <f aca="true">ROUND(RAND()*4+6,1)</f>
        <v>8.9</v>
      </c>
      <c r="I344" s="5" t="s">
        <v>31</v>
      </c>
      <c r="J344" s="5" t="str">
        <f aca="false">ROUND(77*1,0)&amp;"%"</f>
        <v>77%</v>
      </c>
    </row>
    <row r="345" customFormat="false" ht="15" hidden="false" customHeight="false" outlineLevel="0" collapsed="false">
      <c r="A345" s="6" t="s">
        <v>9511</v>
      </c>
      <c r="B345" s="6" t="s">
        <v>554</v>
      </c>
      <c r="C345" s="6" t="s">
        <v>15</v>
      </c>
      <c r="D345" s="6" t="s">
        <v>34</v>
      </c>
      <c r="E345" s="6" t="n">
        <f aca="false">ROUND(10039*1.05,2)</f>
        <v>10540.95</v>
      </c>
      <c r="F345" s="6" t="s">
        <v>35</v>
      </c>
      <c r="G345" s="6" t="s">
        <v>18</v>
      </c>
      <c r="H345" s="6" t="n">
        <f aca="true">ROUND(RAND()*4+6,1)</f>
        <v>7.7</v>
      </c>
      <c r="I345" s="6" t="s">
        <v>36</v>
      </c>
      <c r="J345" s="6" t="str">
        <f aca="false">ROUND(76*1,0)&amp;"%"</f>
        <v>76%</v>
      </c>
    </row>
    <row r="346" customFormat="false" ht="15" hidden="false" customHeight="false" outlineLevel="0" collapsed="false">
      <c r="A346" s="5" t="s">
        <v>9512</v>
      </c>
      <c r="B346" s="5" t="s">
        <v>556</v>
      </c>
      <c r="C346" s="5" t="s">
        <v>15</v>
      </c>
      <c r="D346" s="5" t="s">
        <v>39</v>
      </c>
      <c r="E346" s="5" t="n">
        <f aca="false">ROUND(11309*1.05,2)</f>
        <v>11874.45</v>
      </c>
      <c r="F346" s="5" t="s">
        <v>40</v>
      </c>
      <c r="G346" s="5" t="s">
        <v>24</v>
      </c>
      <c r="H346" s="5" t="n">
        <f aca="true">ROUND(RAND()*4+6,1)</f>
        <v>7</v>
      </c>
      <c r="I346" s="5" t="s">
        <v>41</v>
      </c>
      <c r="J346" s="5" t="str">
        <f aca="false">ROUND(74*1,0)&amp;"%"</f>
        <v>74%</v>
      </c>
    </row>
    <row r="347" customFormat="false" ht="15" hidden="false" customHeight="false" outlineLevel="0" collapsed="false">
      <c r="A347" s="6" t="s">
        <v>9513</v>
      </c>
      <c r="B347" s="6" t="s">
        <v>558</v>
      </c>
      <c r="C347" s="6" t="s">
        <v>15</v>
      </c>
      <c r="D347" s="6" t="s">
        <v>44</v>
      </c>
      <c r="E347" s="6" t="n">
        <f aca="false">ROUND(10976*1.05,2)</f>
        <v>11524.8</v>
      </c>
      <c r="F347" s="6" t="s">
        <v>45</v>
      </c>
      <c r="G347" s="6" t="s">
        <v>30</v>
      </c>
      <c r="H347" s="6" t="n">
        <f aca="true">ROUND(RAND()*4+6,1)</f>
        <v>7.2</v>
      </c>
      <c r="I347" s="6" t="s">
        <v>46</v>
      </c>
      <c r="J347" s="6" t="str">
        <f aca="false">ROUND(68*1,0)&amp;"%"</f>
        <v>68%</v>
      </c>
    </row>
    <row r="348" customFormat="false" ht="15" hidden="false" customHeight="false" outlineLevel="0" collapsed="false">
      <c r="A348" s="5" t="s">
        <v>9514</v>
      </c>
      <c r="B348" s="5" t="s">
        <v>560</v>
      </c>
      <c r="C348" s="5" t="s">
        <v>15</v>
      </c>
      <c r="D348" s="5" t="s">
        <v>16</v>
      </c>
      <c r="E348" s="5" t="n">
        <f aca="false">ROUND(9182*1.05,2)</f>
        <v>9641.1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ROUND(78*1,0)&amp;"%"</f>
        <v>78%</v>
      </c>
    </row>
    <row r="349" customFormat="false" ht="15" hidden="false" customHeight="false" outlineLevel="0" collapsed="false">
      <c r="A349" s="6" t="s">
        <v>9515</v>
      </c>
      <c r="B349" s="6" t="s">
        <v>562</v>
      </c>
      <c r="C349" s="6" t="s">
        <v>15</v>
      </c>
      <c r="D349" s="6" t="s">
        <v>22</v>
      </c>
      <c r="E349" s="6" t="n">
        <f aca="false">ROUND(14741*1.05,2)</f>
        <v>15478.05</v>
      </c>
      <c r="F349" s="6" t="s">
        <v>52</v>
      </c>
      <c r="G349" s="6" t="s">
        <v>24</v>
      </c>
      <c r="H349" s="6" t="n">
        <f aca="true">ROUND(RAND()*4+6,1)</f>
        <v>9.4</v>
      </c>
      <c r="I349" s="6" t="s">
        <v>25</v>
      </c>
      <c r="J349" s="6" t="str">
        <f aca="false">ROUND(79*1,0)&amp;"%"</f>
        <v>79%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9516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9517</v>
      </c>
      <c r="B354" s="5" t="s">
        <v>566</v>
      </c>
      <c r="C354" s="5" t="s">
        <v>57</v>
      </c>
      <c r="D354" s="5" t="s">
        <v>16</v>
      </c>
      <c r="E354" s="5" t="n">
        <f aca="false">ROUND(6813*1.05,2)</f>
        <v>7153.65</v>
      </c>
      <c r="F354" s="5" t="s">
        <v>17</v>
      </c>
      <c r="G354" s="5" t="s">
        <v>18</v>
      </c>
      <c r="H354" s="5" t="n">
        <f aca="true">ROUND(RAND()*4+6,1)</f>
        <v>8.9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9518</v>
      </c>
      <c r="B355" s="6" t="s">
        <v>568</v>
      </c>
      <c r="C355" s="6" t="s">
        <v>57</v>
      </c>
      <c r="D355" s="6" t="s">
        <v>22</v>
      </c>
      <c r="E355" s="6" t="n">
        <f aca="false">ROUND(5520*1.05,2)</f>
        <v>5796</v>
      </c>
      <c r="F355" s="6" t="s">
        <v>23</v>
      </c>
      <c r="G355" s="6" t="s">
        <v>24</v>
      </c>
      <c r="H355" s="6" t="n">
        <f aca="true">ROUND(RAND()*4+6,1)</f>
        <v>8.8</v>
      </c>
      <c r="I355" s="6" t="s">
        <v>25</v>
      </c>
      <c r="J355" s="6" t="str">
        <f aca="false">ROUND(71*1,0)&amp;"%"</f>
        <v>71%</v>
      </c>
    </row>
    <row r="356" customFormat="false" ht="15" hidden="false" customHeight="false" outlineLevel="0" collapsed="false">
      <c r="A356" s="5" t="s">
        <v>9519</v>
      </c>
      <c r="B356" s="5" t="s">
        <v>570</v>
      </c>
      <c r="C356" s="5" t="s">
        <v>57</v>
      </c>
      <c r="D356" s="5" t="s">
        <v>28</v>
      </c>
      <c r="E356" s="5" t="n">
        <f aca="false">ROUND(16967*1.05,2)</f>
        <v>17815.35</v>
      </c>
      <c r="F356" s="5" t="s">
        <v>29</v>
      </c>
      <c r="G356" s="5" t="s">
        <v>30</v>
      </c>
      <c r="H356" s="5" t="n">
        <f aca="true">ROUND(RAND()*4+6,1)</f>
        <v>9.8</v>
      </c>
      <c r="I356" s="5" t="s">
        <v>31</v>
      </c>
      <c r="J356" s="5" t="str">
        <f aca="false">ROUND(81*1,0)&amp;"%"</f>
        <v>81%</v>
      </c>
    </row>
    <row r="357" customFormat="false" ht="15" hidden="false" customHeight="false" outlineLevel="0" collapsed="false">
      <c r="A357" s="6" t="s">
        <v>9520</v>
      </c>
      <c r="B357" s="6" t="s">
        <v>572</v>
      </c>
      <c r="C357" s="6" t="s">
        <v>57</v>
      </c>
      <c r="D357" s="6" t="s">
        <v>34</v>
      </c>
      <c r="E357" s="6" t="n">
        <f aca="false">ROUND(13617*1.05,2)</f>
        <v>14297.85</v>
      </c>
      <c r="F357" s="6" t="s">
        <v>35</v>
      </c>
      <c r="G357" s="6" t="s">
        <v>18</v>
      </c>
      <c r="H357" s="6" t="n">
        <f aca="true">ROUND(RAND()*4+6,1)</f>
        <v>9.4</v>
      </c>
      <c r="I357" s="6" t="s">
        <v>36</v>
      </c>
      <c r="J357" s="6" t="str">
        <f aca="false">ROUND(84*1,0)&amp;"%"</f>
        <v>84%</v>
      </c>
    </row>
    <row r="358" customFormat="false" ht="15" hidden="false" customHeight="false" outlineLevel="0" collapsed="false">
      <c r="A358" s="5" t="s">
        <v>9521</v>
      </c>
      <c r="B358" s="5" t="s">
        <v>574</v>
      </c>
      <c r="C358" s="5" t="s">
        <v>57</v>
      </c>
      <c r="D358" s="5" t="s">
        <v>39</v>
      </c>
      <c r="E358" s="5" t="n">
        <f aca="false">ROUND(14970*1.05,2)</f>
        <v>15718.5</v>
      </c>
      <c r="F358" s="5" t="s">
        <v>40</v>
      </c>
      <c r="G358" s="5" t="s">
        <v>24</v>
      </c>
      <c r="H358" s="5" t="n">
        <f aca="true">ROUND(RAND()*4+6,1)</f>
        <v>7.4</v>
      </c>
      <c r="I358" s="5" t="s">
        <v>41</v>
      </c>
      <c r="J358" s="5" t="str">
        <f aca="false">ROUND(93*1,0)&amp;"%"</f>
        <v>93%</v>
      </c>
    </row>
    <row r="359" customFormat="false" ht="15" hidden="false" customHeight="false" outlineLevel="0" collapsed="false">
      <c r="A359" s="6" t="s">
        <v>9522</v>
      </c>
      <c r="B359" s="6" t="s">
        <v>576</v>
      </c>
      <c r="C359" s="6" t="s">
        <v>57</v>
      </c>
      <c r="D359" s="6" t="s">
        <v>44</v>
      </c>
      <c r="E359" s="6" t="n">
        <f aca="false">ROUND(10384*1.05,2)</f>
        <v>10903.2</v>
      </c>
      <c r="F359" s="6" t="s">
        <v>45</v>
      </c>
      <c r="G359" s="6" t="s">
        <v>30</v>
      </c>
      <c r="H359" s="6" t="n">
        <f aca="true">ROUND(RAND()*4+6,1)</f>
        <v>7.4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9523</v>
      </c>
      <c r="B360" s="5" t="s">
        <v>578</v>
      </c>
      <c r="C360" s="5" t="s">
        <v>57</v>
      </c>
      <c r="D360" s="5" t="s">
        <v>16</v>
      </c>
      <c r="E360" s="5" t="n">
        <f aca="false">ROUND(5353*1.05,2)</f>
        <v>5620.65</v>
      </c>
      <c r="F360" s="5" t="s">
        <v>49</v>
      </c>
      <c r="G360" s="5" t="s">
        <v>18</v>
      </c>
      <c r="H360" s="5" t="n">
        <f aca="true">ROUND(RAND()*4+6,1)</f>
        <v>6.4</v>
      </c>
      <c r="I360" s="5" t="s">
        <v>19</v>
      </c>
      <c r="J360" s="5" t="str">
        <f aca="false">ROUND(82*1,0)&amp;"%"</f>
        <v>82%</v>
      </c>
    </row>
    <row r="361" customFormat="false" ht="15" hidden="false" customHeight="false" outlineLevel="0" collapsed="false">
      <c r="A361" s="6" t="s">
        <v>9524</v>
      </c>
      <c r="B361" s="6" t="s">
        <v>580</v>
      </c>
      <c r="C361" s="6" t="s">
        <v>57</v>
      </c>
      <c r="D361" s="6" t="s">
        <v>22</v>
      </c>
      <c r="E361" s="6" t="n">
        <f aca="false">ROUND(14747*1.05,2)</f>
        <v>15484.35</v>
      </c>
      <c r="F361" s="6" t="s">
        <v>52</v>
      </c>
      <c r="G361" s="6" t="s">
        <v>24</v>
      </c>
      <c r="H361" s="6" t="n">
        <f aca="true">ROUND(RAND()*4+6,1)</f>
        <v>6.7</v>
      </c>
      <c r="I361" s="6" t="s">
        <v>25</v>
      </c>
      <c r="J361" s="6" t="str">
        <f aca="false">ROUND(84*1,0)&amp;"%"</f>
        <v>84%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9525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9526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9527</v>
      </c>
      <c r="B6" s="5" t="s">
        <v>14</v>
      </c>
      <c r="C6" s="5" t="s">
        <v>15</v>
      </c>
      <c r="D6" s="5" t="s">
        <v>16</v>
      </c>
      <c r="E6" s="5" t="n">
        <f aca="false">ROUND(7596*1.05,2)</f>
        <v>7975.8</v>
      </c>
      <c r="F6" s="5" t="s">
        <v>17</v>
      </c>
      <c r="G6" s="5" t="s">
        <v>18</v>
      </c>
      <c r="H6" s="5" t="n">
        <f aca="true">ROUND(RAND()*4+6,1)</f>
        <v>6</v>
      </c>
      <c r="I6" s="5" t="s">
        <v>19</v>
      </c>
      <c r="J6" s="5" t="str">
        <f aca="false">ROUND(64*1,0)&amp;"%"</f>
        <v>64%</v>
      </c>
    </row>
    <row r="7" customFormat="false" ht="15" hidden="false" customHeight="false" outlineLevel="0" collapsed="false">
      <c r="A7" s="6" t="s">
        <v>9528</v>
      </c>
      <c r="B7" s="6" t="s">
        <v>21</v>
      </c>
      <c r="C7" s="6" t="s">
        <v>15</v>
      </c>
      <c r="D7" s="6" t="s">
        <v>22</v>
      </c>
      <c r="E7" s="6" t="n">
        <f aca="false">ROUND(17893*1.05,2)</f>
        <v>18787.65</v>
      </c>
      <c r="F7" s="6" t="s">
        <v>23</v>
      </c>
      <c r="G7" s="6" t="s">
        <v>24</v>
      </c>
      <c r="H7" s="6" t="n">
        <f aca="true">ROUND(RAND()*4+6,1)</f>
        <v>7.5</v>
      </c>
      <c r="I7" s="6" t="s">
        <v>25</v>
      </c>
      <c r="J7" s="6" t="str">
        <f aca="false">ROUND(83*1,0)&amp;"%"</f>
        <v>83%</v>
      </c>
    </row>
    <row r="8" customFormat="false" ht="15" hidden="false" customHeight="false" outlineLevel="0" collapsed="false">
      <c r="A8" s="5" t="s">
        <v>9529</v>
      </c>
      <c r="B8" s="5" t="s">
        <v>27</v>
      </c>
      <c r="C8" s="5" t="s">
        <v>15</v>
      </c>
      <c r="D8" s="5" t="s">
        <v>28</v>
      </c>
      <c r="E8" s="5" t="n">
        <f aca="false">ROUND(6645*1.05,2)</f>
        <v>6977.25</v>
      </c>
      <c r="F8" s="5" t="s">
        <v>29</v>
      </c>
      <c r="G8" s="5" t="s">
        <v>30</v>
      </c>
      <c r="H8" s="5" t="n">
        <f aca="true">ROUND(RAND()*4+6,1)</f>
        <v>6.6</v>
      </c>
      <c r="I8" s="5" t="s">
        <v>31</v>
      </c>
      <c r="J8" s="5" t="str">
        <f aca="false">ROUND(79*1,0)&amp;"%"</f>
        <v>79%</v>
      </c>
    </row>
    <row r="9" customFormat="false" ht="15" hidden="false" customHeight="false" outlineLevel="0" collapsed="false">
      <c r="A9" s="6" t="s">
        <v>9530</v>
      </c>
      <c r="B9" s="6" t="s">
        <v>33</v>
      </c>
      <c r="C9" s="6" t="s">
        <v>15</v>
      </c>
      <c r="D9" s="6" t="s">
        <v>34</v>
      </c>
      <c r="E9" s="6" t="n">
        <f aca="false">ROUND(12353*1.05,2)</f>
        <v>12970.65</v>
      </c>
      <c r="F9" s="6" t="s">
        <v>35</v>
      </c>
      <c r="G9" s="6" t="s">
        <v>18</v>
      </c>
      <c r="H9" s="6" t="n">
        <f aca="true">ROUND(RAND()*4+6,1)</f>
        <v>9.9</v>
      </c>
      <c r="I9" s="6" t="s">
        <v>36</v>
      </c>
      <c r="J9" s="6" t="str">
        <f aca="false">ROUND(90*1,0)&amp;"%"</f>
        <v>90%</v>
      </c>
    </row>
    <row r="10" customFormat="false" ht="15" hidden="false" customHeight="false" outlineLevel="0" collapsed="false">
      <c r="A10" s="5" t="s">
        <v>9531</v>
      </c>
      <c r="B10" s="5" t="s">
        <v>38</v>
      </c>
      <c r="C10" s="5" t="s">
        <v>15</v>
      </c>
      <c r="D10" s="5" t="s">
        <v>39</v>
      </c>
      <c r="E10" s="5" t="n">
        <f aca="false">ROUND(9026*1.05,2)</f>
        <v>9477.3</v>
      </c>
      <c r="F10" s="5" t="s">
        <v>40</v>
      </c>
      <c r="G10" s="5" t="s">
        <v>24</v>
      </c>
      <c r="H10" s="5" t="n">
        <f aca="true">ROUND(RAND()*4+6,1)</f>
        <v>9.2</v>
      </c>
      <c r="I10" s="5" t="s">
        <v>41</v>
      </c>
      <c r="J10" s="5" t="str">
        <f aca="false">ROUND(93*1,0)&amp;"%"</f>
        <v>93%</v>
      </c>
    </row>
    <row r="11" customFormat="false" ht="15" hidden="false" customHeight="false" outlineLevel="0" collapsed="false">
      <c r="A11" s="6" t="s">
        <v>9532</v>
      </c>
      <c r="B11" s="6" t="s">
        <v>43</v>
      </c>
      <c r="C11" s="6" t="s">
        <v>15</v>
      </c>
      <c r="D11" s="6" t="s">
        <v>44</v>
      </c>
      <c r="E11" s="6" t="n">
        <f aca="false">ROUND(6604*1.05,2)</f>
        <v>6934.2</v>
      </c>
      <c r="F11" s="6" t="s">
        <v>45</v>
      </c>
      <c r="G11" s="6" t="s">
        <v>30</v>
      </c>
      <c r="H11" s="6" t="n">
        <f aca="true">ROUND(RAND()*4+6,1)</f>
        <v>7</v>
      </c>
      <c r="I11" s="6" t="s">
        <v>46</v>
      </c>
      <c r="J11" s="6" t="str">
        <f aca="false">ROUND(96*1,0)&amp;"%"</f>
        <v>96%</v>
      </c>
    </row>
    <row r="12" customFormat="false" ht="15" hidden="false" customHeight="false" outlineLevel="0" collapsed="false">
      <c r="A12" s="5" t="s">
        <v>9533</v>
      </c>
      <c r="B12" s="5" t="s">
        <v>48</v>
      </c>
      <c r="C12" s="5" t="s">
        <v>15</v>
      </c>
      <c r="D12" s="5" t="s">
        <v>16</v>
      </c>
      <c r="E12" s="5" t="n">
        <f aca="false">ROUND(11184*1.05,2)</f>
        <v>11743.2</v>
      </c>
      <c r="F12" s="5" t="s">
        <v>49</v>
      </c>
      <c r="G12" s="5" t="s">
        <v>18</v>
      </c>
      <c r="H12" s="5" t="n">
        <f aca="true">ROUND(RAND()*4+6,1)</f>
        <v>7.7</v>
      </c>
      <c r="I12" s="5" t="s">
        <v>19</v>
      </c>
      <c r="J12" s="5" t="str">
        <f aca="false">ROUND(63*1,0)&amp;"%"</f>
        <v>63%</v>
      </c>
    </row>
    <row r="13" customFormat="false" ht="15" hidden="false" customHeight="false" outlineLevel="0" collapsed="false">
      <c r="A13" s="6" t="s">
        <v>9534</v>
      </c>
      <c r="B13" s="6" t="s">
        <v>51</v>
      </c>
      <c r="C13" s="6" t="s">
        <v>15</v>
      </c>
      <c r="D13" s="6" t="s">
        <v>22</v>
      </c>
      <c r="E13" s="6" t="n">
        <f aca="false">ROUND(8661*1.05,2)</f>
        <v>9094.05</v>
      </c>
      <c r="F13" s="6" t="s">
        <v>52</v>
      </c>
      <c r="G13" s="6" t="s">
        <v>24</v>
      </c>
      <c r="H13" s="6" t="n">
        <f aca="true">ROUND(RAND()*4+6,1)</f>
        <v>9.4</v>
      </c>
      <c r="I13" s="6" t="s">
        <v>25</v>
      </c>
      <c r="J13" s="6" t="str">
        <f aca="false">ROUND(66*1,0)&amp;"%"</f>
        <v>66%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9535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9536</v>
      </c>
      <c r="B18" s="5" t="s">
        <v>56</v>
      </c>
      <c r="C18" s="5" t="s">
        <v>57</v>
      </c>
      <c r="D18" s="5" t="s">
        <v>16</v>
      </c>
      <c r="E18" s="5" t="n">
        <f aca="false">ROUND(12486*1.05,2)</f>
        <v>13110.3</v>
      </c>
      <c r="F18" s="5" t="s">
        <v>17</v>
      </c>
      <c r="G18" s="5" t="s">
        <v>18</v>
      </c>
      <c r="H18" s="5" t="n">
        <f aca="true">ROUND(RAND()*4+6,1)</f>
        <v>6.4</v>
      </c>
      <c r="I18" s="5" t="s">
        <v>19</v>
      </c>
      <c r="J18" s="5" t="str">
        <f aca="false">ROUND(77*1,0)&amp;"%"</f>
        <v>77%</v>
      </c>
    </row>
    <row r="19" customFormat="false" ht="15" hidden="false" customHeight="false" outlineLevel="0" collapsed="false">
      <c r="A19" s="6" t="s">
        <v>9537</v>
      </c>
      <c r="B19" s="6" t="s">
        <v>59</v>
      </c>
      <c r="C19" s="6" t="s">
        <v>57</v>
      </c>
      <c r="D19" s="6" t="s">
        <v>22</v>
      </c>
      <c r="E19" s="6" t="n">
        <f aca="false">ROUND(16123*1.05,2)</f>
        <v>16929.15</v>
      </c>
      <c r="F19" s="6" t="s">
        <v>23</v>
      </c>
      <c r="G19" s="6" t="s">
        <v>24</v>
      </c>
      <c r="H19" s="6" t="n">
        <f aca="true">ROUND(RAND()*4+6,1)</f>
        <v>9.5</v>
      </c>
      <c r="I19" s="6" t="s">
        <v>25</v>
      </c>
      <c r="J19" s="6" t="str">
        <f aca="false">ROUND(85*1,0)&amp;"%"</f>
        <v>85%</v>
      </c>
    </row>
    <row r="20" customFormat="false" ht="15" hidden="false" customHeight="false" outlineLevel="0" collapsed="false">
      <c r="A20" s="5" t="s">
        <v>9538</v>
      </c>
      <c r="B20" s="5" t="s">
        <v>61</v>
      </c>
      <c r="C20" s="5" t="s">
        <v>57</v>
      </c>
      <c r="D20" s="5" t="s">
        <v>28</v>
      </c>
      <c r="E20" s="5" t="n">
        <f aca="false">ROUND(16759*1.05,2)</f>
        <v>17596.95</v>
      </c>
      <c r="F20" s="5" t="s">
        <v>29</v>
      </c>
      <c r="G20" s="5" t="s">
        <v>30</v>
      </c>
      <c r="H20" s="5" t="n">
        <f aca="true">ROUND(RAND()*4+6,1)</f>
        <v>8.9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9539</v>
      </c>
      <c r="B21" s="6" t="s">
        <v>63</v>
      </c>
      <c r="C21" s="6" t="s">
        <v>57</v>
      </c>
      <c r="D21" s="6" t="s">
        <v>34</v>
      </c>
      <c r="E21" s="6" t="n">
        <f aca="false">ROUND(8652*1.05,2)</f>
        <v>9084.6</v>
      </c>
      <c r="F21" s="6" t="s">
        <v>35</v>
      </c>
      <c r="G21" s="6" t="s">
        <v>18</v>
      </c>
      <c r="H21" s="6" t="n">
        <f aca="true">ROUND(RAND()*4+6,1)</f>
        <v>7.3</v>
      </c>
      <c r="I21" s="6" t="s">
        <v>36</v>
      </c>
      <c r="J21" s="6" t="str">
        <f aca="false">ROUND(98*1,0)&amp;"%"</f>
        <v>98%</v>
      </c>
    </row>
    <row r="22" customFormat="false" ht="15" hidden="false" customHeight="false" outlineLevel="0" collapsed="false">
      <c r="A22" s="5" t="s">
        <v>9540</v>
      </c>
      <c r="B22" s="5" t="s">
        <v>65</v>
      </c>
      <c r="C22" s="5" t="s">
        <v>57</v>
      </c>
      <c r="D22" s="5" t="s">
        <v>39</v>
      </c>
      <c r="E22" s="5" t="n">
        <f aca="false">ROUND(4979*1.05,2)</f>
        <v>5227.95</v>
      </c>
      <c r="F22" s="5" t="s">
        <v>40</v>
      </c>
      <c r="G22" s="5" t="s">
        <v>24</v>
      </c>
      <c r="H22" s="5" t="n">
        <f aca="true">ROUND(RAND()*4+6,1)</f>
        <v>6.9</v>
      </c>
      <c r="I22" s="5" t="s">
        <v>41</v>
      </c>
      <c r="J22" s="5" t="str">
        <f aca="false">ROUND(75*1,0)&amp;"%"</f>
        <v>75%</v>
      </c>
    </row>
    <row r="23" customFormat="false" ht="15" hidden="false" customHeight="false" outlineLevel="0" collapsed="false">
      <c r="A23" s="6" t="s">
        <v>9541</v>
      </c>
      <c r="B23" s="6" t="s">
        <v>67</v>
      </c>
      <c r="C23" s="6" t="s">
        <v>57</v>
      </c>
      <c r="D23" s="6" t="s">
        <v>44</v>
      </c>
      <c r="E23" s="6" t="n">
        <f aca="false">ROUND(4832*1.05,2)</f>
        <v>5073.6</v>
      </c>
      <c r="F23" s="6" t="s">
        <v>45</v>
      </c>
      <c r="G23" s="6" t="s">
        <v>30</v>
      </c>
      <c r="H23" s="6" t="n">
        <f aca="true">ROUND(RAND()*4+6,1)</f>
        <v>6.3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9542</v>
      </c>
      <c r="B24" s="5" t="s">
        <v>69</v>
      </c>
      <c r="C24" s="5" t="s">
        <v>57</v>
      </c>
      <c r="D24" s="5" t="s">
        <v>16</v>
      </c>
      <c r="E24" s="5" t="n">
        <f aca="false">ROUND(8888*1.05,2)</f>
        <v>9332.4</v>
      </c>
      <c r="F24" s="5" t="s">
        <v>49</v>
      </c>
      <c r="G24" s="5" t="s">
        <v>18</v>
      </c>
      <c r="H24" s="5" t="n">
        <f aca="true">ROUND(RAND()*4+6,1)</f>
        <v>7.8</v>
      </c>
      <c r="I24" s="5" t="s">
        <v>19</v>
      </c>
      <c r="J24" s="5" t="str">
        <f aca="false">ROUND(90*1,0)&amp;"%"</f>
        <v>90%</v>
      </c>
    </row>
    <row r="25" customFormat="false" ht="15" hidden="false" customHeight="false" outlineLevel="0" collapsed="false">
      <c r="A25" s="6" t="s">
        <v>9543</v>
      </c>
      <c r="B25" s="6" t="s">
        <v>71</v>
      </c>
      <c r="C25" s="6" t="s">
        <v>57</v>
      </c>
      <c r="D25" s="6" t="s">
        <v>22</v>
      </c>
      <c r="E25" s="6" t="n">
        <f aca="false">ROUND(13837*1.05,2)</f>
        <v>14528.85</v>
      </c>
      <c r="F25" s="6" t="s">
        <v>52</v>
      </c>
      <c r="G25" s="6" t="s">
        <v>24</v>
      </c>
      <c r="H25" s="6" t="n">
        <f aca="true">ROUND(RAND()*4+6,1)</f>
        <v>9.2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9544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9545</v>
      </c>
      <c r="B30" s="5" t="s">
        <v>75</v>
      </c>
      <c r="C30" s="5" t="s">
        <v>76</v>
      </c>
      <c r="D30" s="5" t="s">
        <v>16</v>
      </c>
      <c r="E30" s="5" t="n">
        <f aca="false">ROUND(12314*1.05,2)</f>
        <v>12929.7</v>
      </c>
      <c r="F30" s="5" t="s">
        <v>17</v>
      </c>
      <c r="G30" s="5" t="s">
        <v>18</v>
      </c>
      <c r="H30" s="5" t="n">
        <f aca="true">ROUND(RAND()*4+6,1)</f>
        <v>7.5</v>
      </c>
      <c r="I30" s="5" t="s">
        <v>19</v>
      </c>
      <c r="J30" s="5" t="str">
        <f aca="false">ROUND(90*1,0)&amp;"%"</f>
        <v>90%</v>
      </c>
    </row>
    <row r="31" customFormat="false" ht="15" hidden="false" customHeight="false" outlineLevel="0" collapsed="false">
      <c r="A31" s="6" t="s">
        <v>9546</v>
      </c>
      <c r="B31" s="6" t="s">
        <v>78</v>
      </c>
      <c r="C31" s="6" t="s">
        <v>76</v>
      </c>
      <c r="D31" s="6" t="s">
        <v>22</v>
      </c>
      <c r="E31" s="6" t="n">
        <f aca="false">ROUND(11914*1.05,2)</f>
        <v>12509.7</v>
      </c>
      <c r="F31" s="6" t="s">
        <v>23</v>
      </c>
      <c r="G31" s="6" t="s">
        <v>24</v>
      </c>
      <c r="H31" s="6" t="n">
        <f aca="true">ROUND(RAND()*4+6,1)</f>
        <v>8.9</v>
      </c>
      <c r="I31" s="6" t="s">
        <v>25</v>
      </c>
      <c r="J31" s="6" t="str">
        <f aca="false">ROUND(88*1,0)&amp;"%"</f>
        <v>88%</v>
      </c>
    </row>
    <row r="32" customFormat="false" ht="15" hidden="false" customHeight="false" outlineLevel="0" collapsed="false">
      <c r="A32" s="5" t="s">
        <v>9547</v>
      </c>
      <c r="B32" s="5" t="s">
        <v>80</v>
      </c>
      <c r="C32" s="5" t="s">
        <v>76</v>
      </c>
      <c r="D32" s="5" t="s">
        <v>28</v>
      </c>
      <c r="E32" s="5" t="n">
        <f aca="false">ROUND(7516*1.05,2)</f>
        <v>7891.8</v>
      </c>
      <c r="F32" s="5" t="s">
        <v>29</v>
      </c>
      <c r="G32" s="5" t="s">
        <v>30</v>
      </c>
      <c r="H32" s="5" t="n">
        <f aca="true">ROUND(RAND()*4+6,1)</f>
        <v>7.2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9548</v>
      </c>
      <c r="B33" s="6" t="s">
        <v>82</v>
      </c>
      <c r="C33" s="6" t="s">
        <v>76</v>
      </c>
      <c r="D33" s="6" t="s">
        <v>34</v>
      </c>
      <c r="E33" s="6" t="n">
        <f aca="false">ROUND(14088*1.05,2)</f>
        <v>14792.4</v>
      </c>
      <c r="F33" s="6" t="s">
        <v>35</v>
      </c>
      <c r="G33" s="6" t="s">
        <v>18</v>
      </c>
      <c r="H33" s="6" t="n">
        <f aca="true">ROUND(RAND()*4+6,1)</f>
        <v>9.2</v>
      </c>
      <c r="I33" s="6" t="s">
        <v>36</v>
      </c>
      <c r="J33" s="6" t="str">
        <f aca="false">ROUND(77*1,0)&amp;"%"</f>
        <v>77%</v>
      </c>
    </row>
    <row r="34" customFormat="false" ht="15" hidden="false" customHeight="false" outlineLevel="0" collapsed="false">
      <c r="A34" s="5" t="s">
        <v>9549</v>
      </c>
      <c r="B34" s="5" t="s">
        <v>84</v>
      </c>
      <c r="C34" s="5" t="s">
        <v>76</v>
      </c>
      <c r="D34" s="5" t="s">
        <v>39</v>
      </c>
      <c r="E34" s="5" t="n">
        <f aca="false">ROUND(13124*1.05,2)</f>
        <v>13780.2</v>
      </c>
      <c r="F34" s="5" t="s">
        <v>40</v>
      </c>
      <c r="G34" s="5" t="s">
        <v>24</v>
      </c>
      <c r="H34" s="5" t="n">
        <f aca="true">ROUND(RAND()*4+6,1)</f>
        <v>6.9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9550</v>
      </c>
      <c r="B35" s="6" t="s">
        <v>86</v>
      </c>
      <c r="C35" s="6" t="s">
        <v>76</v>
      </c>
      <c r="D35" s="6" t="s">
        <v>44</v>
      </c>
      <c r="E35" s="6" t="n">
        <f aca="false">ROUND(8908*1.05,2)</f>
        <v>9353.4</v>
      </c>
      <c r="F35" s="6" t="s">
        <v>45</v>
      </c>
      <c r="G35" s="6" t="s">
        <v>30</v>
      </c>
      <c r="H35" s="6" t="n">
        <f aca="true">ROUND(RAND()*4+6,1)</f>
        <v>7.6</v>
      </c>
      <c r="I35" s="6" t="s">
        <v>46</v>
      </c>
      <c r="J35" s="6" t="str">
        <f aca="false">ROUND(87*1,0)&amp;"%"</f>
        <v>87%</v>
      </c>
    </row>
    <row r="36" customFormat="false" ht="15" hidden="false" customHeight="false" outlineLevel="0" collapsed="false">
      <c r="A36" s="5" t="s">
        <v>9551</v>
      </c>
      <c r="B36" s="5" t="s">
        <v>88</v>
      </c>
      <c r="C36" s="5" t="s">
        <v>76</v>
      </c>
      <c r="D36" s="5" t="s">
        <v>16</v>
      </c>
      <c r="E36" s="5" t="n">
        <f aca="false">ROUND(17226*1.05,2)</f>
        <v>18087.3</v>
      </c>
      <c r="F36" s="5" t="s">
        <v>49</v>
      </c>
      <c r="G36" s="5" t="s">
        <v>18</v>
      </c>
      <c r="H36" s="5" t="n">
        <f aca="true">ROUND(RAND()*4+6,1)</f>
        <v>7.1</v>
      </c>
      <c r="I36" s="5" t="s">
        <v>19</v>
      </c>
      <c r="J36" s="5" t="str">
        <f aca="false">ROUND(75*1,0)&amp;"%"</f>
        <v>75%</v>
      </c>
    </row>
    <row r="37" customFormat="false" ht="15" hidden="false" customHeight="false" outlineLevel="0" collapsed="false">
      <c r="A37" s="6" t="s">
        <v>9552</v>
      </c>
      <c r="B37" s="6" t="s">
        <v>90</v>
      </c>
      <c r="C37" s="6" t="s">
        <v>76</v>
      </c>
      <c r="D37" s="6" t="s">
        <v>22</v>
      </c>
      <c r="E37" s="6" t="n">
        <f aca="false">ROUND(8030*1.05,2)</f>
        <v>8431.5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ROUND(92*1,0)&amp;"%"</f>
        <v>92%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9553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9554</v>
      </c>
      <c r="B42" s="5" t="s">
        <v>94</v>
      </c>
      <c r="C42" s="5" t="s">
        <v>95</v>
      </c>
      <c r="D42" s="5" t="s">
        <v>16</v>
      </c>
      <c r="E42" s="5" t="n">
        <f aca="false">ROUND(14872*1.05,2)</f>
        <v>15615.6</v>
      </c>
      <c r="F42" s="5" t="s">
        <v>17</v>
      </c>
      <c r="G42" s="5" t="s">
        <v>18</v>
      </c>
      <c r="H42" s="5" t="n">
        <f aca="true">ROUND(RAND()*4+6,1)</f>
        <v>8.8</v>
      </c>
      <c r="I42" s="5" t="s">
        <v>19</v>
      </c>
      <c r="J42" s="5" t="str">
        <f aca="false">ROUND(99*1,0)&amp;"%"</f>
        <v>99%</v>
      </c>
    </row>
    <row r="43" customFormat="false" ht="15" hidden="false" customHeight="false" outlineLevel="0" collapsed="false">
      <c r="A43" s="6" t="s">
        <v>9555</v>
      </c>
      <c r="B43" s="6" t="s">
        <v>97</v>
      </c>
      <c r="C43" s="6" t="s">
        <v>95</v>
      </c>
      <c r="D43" s="6" t="s">
        <v>22</v>
      </c>
      <c r="E43" s="6" t="n">
        <f aca="false">ROUND(7260*1.05,2)</f>
        <v>7623</v>
      </c>
      <c r="F43" s="6" t="s">
        <v>23</v>
      </c>
      <c r="G43" s="6" t="s">
        <v>24</v>
      </c>
      <c r="H43" s="6" t="n">
        <f aca="true">ROUND(RAND()*4+6,1)</f>
        <v>6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9556</v>
      </c>
      <c r="B44" s="5" t="s">
        <v>99</v>
      </c>
      <c r="C44" s="5" t="s">
        <v>95</v>
      </c>
      <c r="D44" s="5" t="s">
        <v>28</v>
      </c>
      <c r="E44" s="5" t="n">
        <f aca="false">ROUND(11300*1.05,2)</f>
        <v>11865</v>
      </c>
      <c r="F44" s="5" t="s">
        <v>29</v>
      </c>
      <c r="G44" s="5" t="s">
        <v>30</v>
      </c>
      <c r="H44" s="5" t="n">
        <f aca="true">ROUND(RAND()*4+6,1)</f>
        <v>7.5</v>
      </c>
      <c r="I44" s="5" t="s">
        <v>31</v>
      </c>
      <c r="J44" s="5" t="str">
        <f aca="false">ROUND(82*1,0)&amp;"%"</f>
        <v>82%</v>
      </c>
    </row>
    <row r="45" customFormat="false" ht="15" hidden="false" customHeight="false" outlineLevel="0" collapsed="false">
      <c r="A45" s="6" t="s">
        <v>9557</v>
      </c>
      <c r="B45" s="6" t="s">
        <v>101</v>
      </c>
      <c r="C45" s="6" t="s">
        <v>95</v>
      </c>
      <c r="D45" s="6" t="s">
        <v>34</v>
      </c>
      <c r="E45" s="6" t="n">
        <f aca="false">ROUND(5236*1.05,2)</f>
        <v>5497.8</v>
      </c>
      <c r="F45" s="6" t="s">
        <v>35</v>
      </c>
      <c r="G45" s="6" t="s">
        <v>18</v>
      </c>
      <c r="H45" s="6" t="n">
        <f aca="true">ROUND(RAND()*4+6,1)</f>
        <v>7.5</v>
      </c>
      <c r="I45" s="6" t="s">
        <v>36</v>
      </c>
      <c r="J45" s="6" t="str">
        <f aca="false">ROUND(77*1,0)&amp;"%"</f>
        <v>77%</v>
      </c>
    </row>
    <row r="46" customFormat="false" ht="15" hidden="false" customHeight="false" outlineLevel="0" collapsed="false">
      <c r="A46" s="5" t="s">
        <v>9558</v>
      </c>
      <c r="B46" s="5" t="s">
        <v>103</v>
      </c>
      <c r="C46" s="5" t="s">
        <v>95</v>
      </c>
      <c r="D46" s="5" t="s">
        <v>39</v>
      </c>
      <c r="E46" s="5" t="n">
        <f aca="false">ROUND(4184*1.05,2)</f>
        <v>4393.2</v>
      </c>
      <c r="F46" s="5" t="s">
        <v>40</v>
      </c>
      <c r="G46" s="5" t="s">
        <v>24</v>
      </c>
      <c r="H46" s="5" t="n">
        <f aca="true">ROUND(RAND()*4+6,1)</f>
        <v>7.7</v>
      </c>
      <c r="I46" s="5" t="s">
        <v>41</v>
      </c>
      <c r="J46" s="5" t="str">
        <f aca="false">ROUND(96*1,0)&amp;"%"</f>
        <v>96%</v>
      </c>
    </row>
    <row r="47" customFormat="false" ht="15" hidden="false" customHeight="false" outlineLevel="0" collapsed="false">
      <c r="A47" s="6" t="s">
        <v>9559</v>
      </c>
      <c r="B47" s="6" t="s">
        <v>105</v>
      </c>
      <c r="C47" s="6" t="s">
        <v>95</v>
      </c>
      <c r="D47" s="6" t="s">
        <v>44</v>
      </c>
      <c r="E47" s="6" t="n">
        <f aca="false">ROUND(17543*1.05,2)</f>
        <v>18420.15</v>
      </c>
      <c r="F47" s="6" t="s">
        <v>45</v>
      </c>
      <c r="G47" s="6" t="s">
        <v>30</v>
      </c>
      <c r="H47" s="6" t="n">
        <f aca="true">ROUND(RAND()*4+6,1)</f>
        <v>9.6</v>
      </c>
      <c r="I47" s="6" t="s">
        <v>46</v>
      </c>
      <c r="J47" s="6" t="str">
        <f aca="false">ROUND(93*1,0)&amp;"%"</f>
        <v>93%</v>
      </c>
    </row>
    <row r="48" customFormat="false" ht="15" hidden="false" customHeight="false" outlineLevel="0" collapsed="false">
      <c r="A48" s="5" t="s">
        <v>9560</v>
      </c>
      <c r="B48" s="5" t="s">
        <v>107</v>
      </c>
      <c r="C48" s="5" t="s">
        <v>95</v>
      </c>
      <c r="D48" s="5" t="s">
        <v>16</v>
      </c>
      <c r="E48" s="5" t="n">
        <f aca="false">ROUND(4123*1.05,2)</f>
        <v>4329.15</v>
      </c>
      <c r="F48" s="5" t="s">
        <v>49</v>
      </c>
      <c r="G48" s="5" t="s">
        <v>18</v>
      </c>
      <c r="H48" s="5" t="n">
        <f aca="true">ROUND(RAND()*4+6,1)</f>
        <v>6.4</v>
      </c>
      <c r="I48" s="5" t="s">
        <v>19</v>
      </c>
      <c r="J48" s="5" t="str">
        <f aca="false">ROUND(93*1,0)&amp;"%"</f>
        <v>93%</v>
      </c>
    </row>
    <row r="49" customFormat="false" ht="15" hidden="false" customHeight="false" outlineLevel="0" collapsed="false">
      <c r="A49" s="6" t="s">
        <v>9561</v>
      </c>
      <c r="B49" s="6" t="s">
        <v>109</v>
      </c>
      <c r="C49" s="6" t="s">
        <v>95</v>
      </c>
      <c r="D49" s="6" t="s">
        <v>22</v>
      </c>
      <c r="E49" s="6" t="n">
        <f aca="false">ROUND(15881*1.05,2)</f>
        <v>16675.05</v>
      </c>
      <c r="F49" s="6" t="s">
        <v>52</v>
      </c>
      <c r="G49" s="6" t="s">
        <v>24</v>
      </c>
      <c r="H49" s="6" t="n">
        <f aca="true">ROUND(RAND()*4+6,1)</f>
        <v>6.9</v>
      </c>
      <c r="I49" s="6" t="s">
        <v>25</v>
      </c>
      <c r="J49" s="6" t="str">
        <f aca="false">ROUND(93*1,0)&amp;"%"</f>
        <v>93%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9562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9563</v>
      </c>
      <c r="B54" s="5" t="s">
        <v>113</v>
      </c>
      <c r="C54" s="5" t="s">
        <v>114</v>
      </c>
      <c r="D54" s="5" t="s">
        <v>16</v>
      </c>
      <c r="E54" s="5" t="n">
        <f aca="false">ROUND(4764*1.05,2)</f>
        <v>5002.2</v>
      </c>
      <c r="F54" s="5" t="s">
        <v>17</v>
      </c>
      <c r="G54" s="5" t="s">
        <v>18</v>
      </c>
      <c r="H54" s="5" t="n">
        <f aca="true">ROUND(RAND()*4+6,1)</f>
        <v>7.2</v>
      </c>
      <c r="I54" s="5" t="s">
        <v>19</v>
      </c>
      <c r="J54" s="5" t="str">
        <f aca="false">ROUND(98*1,0)&amp;"%"</f>
        <v>98%</v>
      </c>
    </row>
    <row r="55" customFormat="false" ht="15" hidden="false" customHeight="false" outlineLevel="0" collapsed="false">
      <c r="A55" s="6" t="s">
        <v>9564</v>
      </c>
      <c r="B55" s="6" t="s">
        <v>116</v>
      </c>
      <c r="C55" s="6" t="s">
        <v>114</v>
      </c>
      <c r="D55" s="6" t="s">
        <v>22</v>
      </c>
      <c r="E55" s="6" t="n">
        <f aca="false">ROUND(6941*1.05,2)</f>
        <v>7288.05</v>
      </c>
      <c r="F55" s="6" t="s">
        <v>23</v>
      </c>
      <c r="G55" s="6" t="s">
        <v>24</v>
      </c>
      <c r="H55" s="6" t="n">
        <f aca="true">ROUND(RAND()*4+6,1)</f>
        <v>6.5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9565</v>
      </c>
      <c r="B56" s="5" t="s">
        <v>118</v>
      </c>
      <c r="C56" s="5" t="s">
        <v>114</v>
      </c>
      <c r="D56" s="5" t="s">
        <v>28</v>
      </c>
      <c r="E56" s="5" t="n">
        <f aca="false">ROUND(5020*1.05,2)</f>
        <v>5271</v>
      </c>
      <c r="F56" s="5" t="s">
        <v>29</v>
      </c>
      <c r="G56" s="5" t="s">
        <v>30</v>
      </c>
      <c r="H56" s="5" t="n">
        <f aca="true">ROUND(RAND()*4+6,1)</f>
        <v>7.7</v>
      </c>
      <c r="I56" s="5" t="s">
        <v>31</v>
      </c>
      <c r="J56" s="5" t="str">
        <f aca="false">ROUND(68*1,0)&amp;"%"</f>
        <v>68%</v>
      </c>
    </row>
    <row r="57" customFormat="false" ht="15" hidden="false" customHeight="false" outlineLevel="0" collapsed="false">
      <c r="A57" s="6" t="s">
        <v>9566</v>
      </c>
      <c r="B57" s="6" t="s">
        <v>120</v>
      </c>
      <c r="C57" s="6" t="s">
        <v>114</v>
      </c>
      <c r="D57" s="6" t="s">
        <v>34</v>
      </c>
      <c r="E57" s="6" t="n">
        <f aca="false">ROUND(15036*1.05,2)</f>
        <v>15787.8</v>
      </c>
      <c r="F57" s="6" t="s">
        <v>35</v>
      </c>
      <c r="G57" s="6" t="s">
        <v>18</v>
      </c>
      <c r="H57" s="6" t="n">
        <f aca="true">ROUND(RAND()*4+6,1)</f>
        <v>9.9</v>
      </c>
      <c r="I57" s="6" t="s">
        <v>36</v>
      </c>
      <c r="J57" s="6" t="str">
        <f aca="false">ROUND(70*1,0)&amp;"%"</f>
        <v>70%</v>
      </c>
    </row>
    <row r="58" customFormat="false" ht="15" hidden="false" customHeight="false" outlineLevel="0" collapsed="false">
      <c r="A58" s="5" t="s">
        <v>9567</v>
      </c>
      <c r="B58" s="5" t="s">
        <v>122</v>
      </c>
      <c r="C58" s="5" t="s">
        <v>114</v>
      </c>
      <c r="D58" s="5" t="s">
        <v>39</v>
      </c>
      <c r="E58" s="5" t="n">
        <f aca="false">ROUND(15511*1.05,2)</f>
        <v>16286.55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ROUND(77*1,0)&amp;"%"</f>
        <v>77%</v>
      </c>
    </row>
    <row r="59" customFormat="false" ht="15" hidden="false" customHeight="false" outlineLevel="0" collapsed="false">
      <c r="A59" s="6" t="s">
        <v>9568</v>
      </c>
      <c r="B59" s="6" t="s">
        <v>124</v>
      </c>
      <c r="C59" s="6" t="s">
        <v>114</v>
      </c>
      <c r="D59" s="6" t="s">
        <v>44</v>
      </c>
      <c r="E59" s="6" t="n">
        <f aca="false">ROUND(6370*1.05,2)</f>
        <v>6688.5</v>
      </c>
      <c r="F59" s="6" t="s">
        <v>45</v>
      </c>
      <c r="G59" s="6" t="s">
        <v>30</v>
      </c>
      <c r="H59" s="6" t="n">
        <f aca="true">ROUND(RAND()*4+6,1)</f>
        <v>8.1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9569</v>
      </c>
      <c r="B60" s="5" t="s">
        <v>126</v>
      </c>
      <c r="C60" s="5" t="s">
        <v>114</v>
      </c>
      <c r="D60" s="5" t="s">
        <v>16</v>
      </c>
      <c r="E60" s="5" t="n">
        <f aca="false">ROUND(16559*1.05,2)</f>
        <v>17386.95</v>
      </c>
      <c r="F60" s="5" t="s">
        <v>49</v>
      </c>
      <c r="G60" s="5" t="s">
        <v>18</v>
      </c>
      <c r="H60" s="5" t="n">
        <f aca="true">ROUND(RAND()*4+6,1)</f>
        <v>6.6</v>
      </c>
      <c r="I60" s="5" t="s">
        <v>19</v>
      </c>
      <c r="J60" s="5" t="str">
        <f aca="false">ROUND(96*1,0)&amp;"%"</f>
        <v>96%</v>
      </c>
    </row>
    <row r="61" customFormat="false" ht="15" hidden="false" customHeight="false" outlineLevel="0" collapsed="false">
      <c r="A61" s="6" t="s">
        <v>9570</v>
      </c>
      <c r="B61" s="6" t="s">
        <v>128</v>
      </c>
      <c r="C61" s="6" t="s">
        <v>114</v>
      </c>
      <c r="D61" s="6" t="s">
        <v>22</v>
      </c>
      <c r="E61" s="6" t="n">
        <f aca="false">ROUND(8407*1.05,2)</f>
        <v>8827.35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ROUND(77*1,0)&amp;"%"</f>
        <v>77%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9571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9572</v>
      </c>
      <c r="B66" s="5" t="s">
        <v>132</v>
      </c>
      <c r="C66" s="5" t="s">
        <v>133</v>
      </c>
      <c r="D66" s="5" t="s">
        <v>16</v>
      </c>
      <c r="E66" s="5" t="n">
        <f aca="false">ROUND(14156*1.05,2)</f>
        <v>14863.8</v>
      </c>
      <c r="F66" s="5" t="s">
        <v>17</v>
      </c>
      <c r="G66" s="5" t="s">
        <v>18</v>
      </c>
      <c r="H66" s="5" t="n">
        <f aca="true">ROUND(RAND()*4+6,1)</f>
        <v>6.5</v>
      </c>
      <c r="I66" s="5" t="s">
        <v>19</v>
      </c>
      <c r="J66" s="5" t="str">
        <f aca="false">ROUND(95*1,0)&amp;"%"</f>
        <v>95%</v>
      </c>
    </row>
    <row r="67" customFormat="false" ht="15" hidden="false" customHeight="false" outlineLevel="0" collapsed="false">
      <c r="A67" s="6" t="s">
        <v>9573</v>
      </c>
      <c r="B67" s="6" t="s">
        <v>135</v>
      </c>
      <c r="C67" s="6" t="s">
        <v>133</v>
      </c>
      <c r="D67" s="6" t="s">
        <v>22</v>
      </c>
      <c r="E67" s="6" t="n">
        <f aca="false">ROUND(13474*1.05,2)</f>
        <v>14147.7</v>
      </c>
      <c r="F67" s="6" t="s">
        <v>23</v>
      </c>
      <c r="G67" s="6" t="s">
        <v>24</v>
      </c>
      <c r="H67" s="6" t="n">
        <f aca="true">ROUND(RAND()*4+6,1)</f>
        <v>7.6</v>
      </c>
      <c r="I67" s="6" t="s">
        <v>25</v>
      </c>
      <c r="J67" s="6" t="str">
        <f aca="false">ROUND(87*1,0)&amp;"%"</f>
        <v>87%</v>
      </c>
    </row>
    <row r="68" customFormat="false" ht="15" hidden="false" customHeight="false" outlineLevel="0" collapsed="false">
      <c r="A68" s="5" t="s">
        <v>9574</v>
      </c>
      <c r="B68" s="5" t="s">
        <v>137</v>
      </c>
      <c r="C68" s="5" t="s">
        <v>133</v>
      </c>
      <c r="D68" s="5" t="s">
        <v>28</v>
      </c>
      <c r="E68" s="5" t="n">
        <f aca="false">ROUND(5911*1.05,2)</f>
        <v>6206.55</v>
      </c>
      <c r="F68" s="5" t="s">
        <v>29</v>
      </c>
      <c r="G68" s="5" t="s">
        <v>30</v>
      </c>
      <c r="H68" s="5" t="n">
        <f aca="true">ROUND(RAND()*4+6,1)</f>
        <v>7</v>
      </c>
      <c r="I68" s="5" t="s">
        <v>31</v>
      </c>
      <c r="J68" s="5" t="str">
        <f aca="false">ROUND(79*1,0)&amp;"%"</f>
        <v>79%</v>
      </c>
    </row>
    <row r="69" customFormat="false" ht="15" hidden="false" customHeight="false" outlineLevel="0" collapsed="false">
      <c r="A69" s="6" t="s">
        <v>9575</v>
      </c>
      <c r="B69" s="6" t="s">
        <v>139</v>
      </c>
      <c r="C69" s="6" t="s">
        <v>133</v>
      </c>
      <c r="D69" s="6" t="s">
        <v>34</v>
      </c>
      <c r="E69" s="6" t="n">
        <f aca="false">ROUND(14278*1.05,2)</f>
        <v>14991.9</v>
      </c>
      <c r="F69" s="6" t="s">
        <v>35</v>
      </c>
      <c r="G69" s="6" t="s">
        <v>18</v>
      </c>
      <c r="H69" s="6" t="n">
        <f aca="true">ROUND(RAND()*4+6,1)</f>
        <v>8.9</v>
      </c>
      <c r="I69" s="6" t="s">
        <v>36</v>
      </c>
      <c r="J69" s="6" t="str">
        <f aca="false">ROUND(87*1,0)&amp;"%"</f>
        <v>87%</v>
      </c>
    </row>
    <row r="70" customFormat="false" ht="15" hidden="false" customHeight="false" outlineLevel="0" collapsed="false">
      <c r="A70" s="5" t="s">
        <v>9576</v>
      </c>
      <c r="B70" s="5" t="s">
        <v>141</v>
      </c>
      <c r="C70" s="5" t="s">
        <v>133</v>
      </c>
      <c r="D70" s="5" t="s">
        <v>39</v>
      </c>
      <c r="E70" s="5" t="n">
        <f aca="false">ROUND(8890*1.05,2)</f>
        <v>9334.5</v>
      </c>
      <c r="F70" s="5" t="s">
        <v>40</v>
      </c>
      <c r="G70" s="5" t="s">
        <v>24</v>
      </c>
      <c r="H70" s="5" t="n">
        <f aca="true">ROUND(RAND()*4+6,1)</f>
        <v>6.4</v>
      </c>
      <c r="I70" s="5" t="s">
        <v>41</v>
      </c>
      <c r="J70" s="5" t="str">
        <f aca="false">ROUND(88*1,0)&amp;"%"</f>
        <v>88%</v>
      </c>
    </row>
    <row r="71" customFormat="false" ht="15" hidden="false" customHeight="false" outlineLevel="0" collapsed="false">
      <c r="A71" s="6" t="s">
        <v>9577</v>
      </c>
      <c r="B71" s="6" t="s">
        <v>143</v>
      </c>
      <c r="C71" s="6" t="s">
        <v>133</v>
      </c>
      <c r="D71" s="6" t="s">
        <v>44</v>
      </c>
      <c r="E71" s="6" t="n">
        <f aca="false">ROUND(6098*1.05,2)</f>
        <v>6402.9</v>
      </c>
      <c r="F71" s="6" t="s">
        <v>45</v>
      </c>
      <c r="G71" s="6" t="s">
        <v>30</v>
      </c>
      <c r="H71" s="6" t="n">
        <f aca="true">ROUND(RAND()*4+6,1)</f>
        <v>9.1</v>
      </c>
      <c r="I71" s="6" t="s">
        <v>46</v>
      </c>
      <c r="J71" s="6" t="str">
        <f aca="false">ROUND(87*1,0)&amp;"%"</f>
        <v>87%</v>
      </c>
    </row>
    <row r="72" customFormat="false" ht="15" hidden="false" customHeight="false" outlineLevel="0" collapsed="false">
      <c r="A72" s="5" t="s">
        <v>9578</v>
      </c>
      <c r="B72" s="5" t="s">
        <v>145</v>
      </c>
      <c r="C72" s="5" t="s">
        <v>133</v>
      </c>
      <c r="D72" s="5" t="s">
        <v>16</v>
      </c>
      <c r="E72" s="5" t="n">
        <f aca="false">ROUND(13094*1.05,2)</f>
        <v>13748.7</v>
      </c>
      <c r="F72" s="5" t="s">
        <v>49</v>
      </c>
      <c r="G72" s="5" t="s">
        <v>18</v>
      </c>
      <c r="H72" s="5" t="n">
        <f aca="true">ROUND(RAND()*4+6,1)</f>
        <v>8.7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9579</v>
      </c>
      <c r="B73" s="6" t="s">
        <v>147</v>
      </c>
      <c r="C73" s="6" t="s">
        <v>133</v>
      </c>
      <c r="D73" s="6" t="s">
        <v>22</v>
      </c>
      <c r="E73" s="6" t="n">
        <f aca="false">ROUND(10132*1.05,2)</f>
        <v>10638.6</v>
      </c>
      <c r="F73" s="6" t="s">
        <v>52</v>
      </c>
      <c r="G73" s="6" t="s">
        <v>24</v>
      </c>
      <c r="H73" s="6" t="n">
        <f aca="true">ROUND(RAND()*4+6,1)</f>
        <v>8.9</v>
      </c>
      <c r="I73" s="6" t="s">
        <v>25</v>
      </c>
      <c r="J73" s="6" t="str">
        <f aca="false">ROUND(75*1,0)&amp;"%"</f>
        <v>75%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9580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9581</v>
      </c>
      <c r="B78" s="5" t="s">
        <v>151</v>
      </c>
      <c r="C78" s="5" t="s">
        <v>152</v>
      </c>
      <c r="D78" s="5" t="s">
        <v>16</v>
      </c>
      <c r="E78" s="5" t="n">
        <f aca="false">ROUND(8416*1.05,2)</f>
        <v>8836.8</v>
      </c>
      <c r="F78" s="5" t="s">
        <v>17</v>
      </c>
      <c r="G78" s="5" t="s">
        <v>18</v>
      </c>
      <c r="H78" s="5" t="n">
        <f aca="true">ROUND(RAND()*4+6,1)</f>
        <v>7.8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9582</v>
      </c>
      <c r="B79" s="6" t="s">
        <v>154</v>
      </c>
      <c r="C79" s="6" t="s">
        <v>152</v>
      </c>
      <c r="D79" s="6" t="s">
        <v>22</v>
      </c>
      <c r="E79" s="6" t="n">
        <f aca="false">ROUND(8301*1.05,2)</f>
        <v>8716.05</v>
      </c>
      <c r="F79" s="6" t="s">
        <v>23</v>
      </c>
      <c r="G79" s="6" t="s">
        <v>24</v>
      </c>
      <c r="H79" s="6" t="n">
        <f aca="true">ROUND(RAND()*4+6,1)</f>
        <v>6.9</v>
      </c>
      <c r="I79" s="6" t="s">
        <v>25</v>
      </c>
      <c r="J79" s="6" t="str">
        <f aca="false">ROUND(99*1,0)&amp;"%"</f>
        <v>99%</v>
      </c>
    </row>
    <row r="80" customFormat="false" ht="15" hidden="false" customHeight="false" outlineLevel="0" collapsed="false">
      <c r="A80" s="5" t="s">
        <v>9583</v>
      </c>
      <c r="B80" s="5" t="s">
        <v>156</v>
      </c>
      <c r="C80" s="5" t="s">
        <v>152</v>
      </c>
      <c r="D80" s="5" t="s">
        <v>28</v>
      </c>
      <c r="E80" s="5" t="n">
        <f aca="false">ROUND(4491*1.05,2)</f>
        <v>4715.55</v>
      </c>
      <c r="F80" s="5" t="s">
        <v>29</v>
      </c>
      <c r="G80" s="5" t="s">
        <v>30</v>
      </c>
      <c r="H80" s="5" t="n">
        <f aca="true">ROUND(RAND()*4+6,1)</f>
        <v>8.9</v>
      </c>
      <c r="I80" s="5" t="s">
        <v>31</v>
      </c>
      <c r="J80" s="5" t="str">
        <f aca="false">ROUND(95*1,0)&amp;"%"</f>
        <v>95%</v>
      </c>
    </row>
    <row r="81" customFormat="false" ht="15" hidden="false" customHeight="false" outlineLevel="0" collapsed="false">
      <c r="A81" s="6" t="s">
        <v>9584</v>
      </c>
      <c r="B81" s="6" t="s">
        <v>158</v>
      </c>
      <c r="C81" s="6" t="s">
        <v>152</v>
      </c>
      <c r="D81" s="6" t="s">
        <v>34</v>
      </c>
      <c r="E81" s="6" t="n">
        <f aca="false">ROUND(14582*1.05,2)</f>
        <v>15311.1</v>
      </c>
      <c r="F81" s="6" t="s">
        <v>35</v>
      </c>
      <c r="G81" s="6" t="s">
        <v>18</v>
      </c>
      <c r="H81" s="6" t="n">
        <f aca="true">ROUND(RAND()*4+6,1)</f>
        <v>7.6</v>
      </c>
      <c r="I81" s="6" t="s">
        <v>36</v>
      </c>
      <c r="J81" s="6" t="str">
        <f aca="false">ROUND(73*1,0)&amp;"%"</f>
        <v>73%</v>
      </c>
    </row>
    <row r="82" customFormat="false" ht="15" hidden="false" customHeight="false" outlineLevel="0" collapsed="false">
      <c r="A82" s="5" t="s">
        <v>9585</v>
      </c>
      <c r="B82" s="5" t="s">
        <v>160</v>
      </c>
      <c r="C82" s="5" t="s">
        <v>152</v>
      </c>
      <c r="D82" s="5" t="s">
        <v>39</v>
      </c>
      <c r="E82" s="5" t="n">
        <f aca="false">ROUND(9914*1.05,2)</f>
        <v>10409.7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ROUND(63*1,0)&amp;"%"</f>
        <v>63%</v>
      </c>
    </row>
    <row r="83" customFormat="false" ht="15" hidden="false" customHeight="false" outlineLevel="0" collapsed="false">
      <c r="A83" s="6" t="s">
        <v>9586</v>
      </c>
      <c r="B83" s="6" t="s">
        <v>162</v>
      </c>
      <c r="C83" s="6" t="s">
        <v>152</v>
      </c>
      <c r="D83" s="6" t="s">
        <v>44</v>
      </c>
      <c r="E83" s="6" t="n">
        <f aca="false">ROUND(17904*1.05,2)</f>
        <v>18799.2</v>
      </c>
      <c r="F83" s="6" t="s">
        <v>45</v>
      </c>
      <c r="G83" s="6" t="s">
        <v>30</v>
      </c>
      <c r="H83" s="6" t="n">
        <f aca="true">ROUND(RAND()*4+6,1)</f>
        <v>7.6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9587</v>
      </c>
      <c r="B84" s="5" t="s">
        <v>164</v>
      </c>
      <c r="C84" s="5" t="s">
        <v>152</v>
      </c>
      <c r="D84" s="5" t="s">
        <v>16</v>
      </c>
      <c r="E84" s="5" t="n">
        <f aca="false">ROUND(11285*1.05,2)</f>
        <v>11849.25</v>
      </c>
      <c r="F84" s="5" t="s">
        <v>49</v>
      </c>
      <c r="G84" s="5" t="s">
        <v>18</v>
      </c>
      <c r="H84" s="5" t="n">
        <f aca="true">ROUND(RAND()*4+6,1)</f>
        <v>8.1</v>
      </c>
      <c r="I84" s="5" t="s">
        <v>19</v>
      </c>
      <c r="J84" s="5" t="str">
        <f aca="false">ROUND(65*1,0)&amp;"%"</f>
        <v>65%</v>
      </c>
    </row>
    <row r="85" customFormat="false" ht="15" hidden="false" customHeight="false" outlineLevel="0" collapsed="false">
      <c r="A85" s="6" t="s">
        <v>9588</v>
      </c>
      <c r="B85" s="6" t="s">
        <v>166</v>
      </c>
      <c r="C85" s="6" t="s">
        <v>152</v>
      </c>
      <c r="D85" s="6" t="s">
        <v>22</v>
      </c>
      <c r="E85" s="6" t="n">
        <f aca="false">ROUND(17889*1.05,2)</f>
        <v>18783.45</v>
      </c>
      <c r="F85" s="6" t="s">
        <v>52</v>
      </c>
      <c r="G85" s="6" t="s">
        <v>24</v>
      </c>
      <c r="H85" s="6" t="n">
        <f aca="true">ROUND(RAND()*4+6,1)</f>
        <v>7.9</v>
      </c>
      <c r="I85" s="6" t="s">
        <v>25</v>
      </c>
      <c r="J85" s="6" t="str">
        <f aca="false">ROUND(85*1,0)&amp;"%"</f>
        <v>85%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9589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9590</v>
      </c>
      <c r="B90" s="5" t="s">
        <v>170</v>
      </c>
      <c r="C90" s="5" t="s">
        <v>15</v>
      </c>
      <c r="D90" s="5" t="s">
        <v>16</v>
      </c>
      <c r="E90" s="5" t="n">
        <f aca="false">ROUND(11776*1.05,2)</f>
        <v>12364.8</v>
      </c>
      <c r="F90" s="5" t="s">
        <v>17</v>
      </c>
      <c r="G90" s="5" t="s">
        <v>18</v>
      </c>
      <c r="H90" s="5" t="n">
        <f aca="true">ROUND(RAND()*4+6,1)</f>
        <v>7.7</v>
      </c>
      <c r="I90" s="5" t="s">
        <v>19</v>
      </c>
      <c r="J90" s="5" t="str">
        <f aca="false">ROUND(98*1,0)&amp;"%"</f>
        <v>98%</v>
      </c>
    </row>
    <row r="91" customFormat="false" ht="15" hidden="false" customHeight="false" outlineLevel="0" collapsed="false">
      <c r="A91" s="6" t="s">
        <v>9591</v>
      </c>
      <c r="B91" s="6" t="s">
        <v>172</v>
      </c>
      <c r="C91" s="6" t="s">
        <v>15</v>
      </c>
      <c r="D91" s="6" t="s">
        <v>22</v>
      </c>
      <c r="E91" s="6" t="n">
        <f aca="false">ROUND(17085*1.05,2)</f>
        <v>17939.25</v>
      </c>
      <c r="F91" s="6" t="s">
        <v>23</v>
      </c>
      <c r="G91" s="6" t="s">
        <v>24</v>
      </c>
      <c r="H91" s="6" t="n">
        <f aca="true">ROUND(RAND()*4+6,1)</f>
        <v>9.1</v>
      </c>
      <c r="I91" s="6" t="s">
        <v>25</v>
      </c>
      <c r="J91" s="6" t="str">
        <f aca="false">ROUND(61*1,0)&amp;"%"</f>
        <v>61%</v>
      </c>
    </row>
    <row r="92" customFormat="false" ht="15" hidden="false" customHeight="false" outlineLevel="0" collapsed="false">
      <c r="A92" s="5" t="s">
        <v>9592</v>
      </c>
      <c r="B92" s="5" t="s">
        <v>174</v>
      </c>
      <c r="C92" s="5" t="s">
        <v>15</v>
      </c>
      <c r="D92" s="5" t="s">
        <v>28</v>
      </c>
      <c r="E92" s="5" t="n">
        <f aca="false">ROUND(12506*1.05,2)</f>
        <v>13131.3</v>
      </c>
      <c r="F92" s="5" t="s">
        <v>29</v>
      </c>
      <c r="G92" s="5" t="s">
        <v>30</v>
      </c>
      <c r="H92" s="5" t="n">
        <f aca="true">ROUND(RAND()*4+6,1)</f>
        <v>6.7</v>
      </c>
      <c r="I92" s="5" t="s">
        <v>31</v>
      </c>
      <c r="J92" s="5" t="str">
        <f aca="false">ROUND(91*1,0)&amp;"%"</f>
        <v>91%</v>
      </c>
    </row>
    <row r="93" customFormat="false" ht="15" hidden="false" customHeight="false" outlineLevel="0" collapsed="false">
      <c r="A93" s="6" t="s">
        <v>9593</v>
      </c>
      <c r="B93" s="6" t="s">
        <v>176</v>
      </c>
      <c r="C93" s="6" t="s">
        <v>15</v>
      </c>
      <c r="D93" s="6" t="s">
        <v>34</v>
      </c>
      <c r="E93" s="6" t="n">
        <f aca="false">ROUND(10710*1.05,2)</f>
        <v>11245.5</v>
      </c>
      <c r="F93" s="6" t="s">
        <v>35</v>
      </c>
      <c r="G93" s="6" t="s">
        <v>18</v>
      </c>
      <c r="H93" s="6" t="n">
        <f aca="true">ROUND(RAND()*4+6,1)</f>
        <v>9</v>
      </c>
      <c r="I93" s="6" t="s">
        <v>36</v>
      </c>
      <c r="J93" s="6" t="str">
        <f aca="false">ROUND(64*1,0)&amp;"%"</f>
        <v>64%</v>
      </c>
    </row>
    <row r="94" customFormat="false" ht="15" hidden="false" customHeight="false" outlineLevel="0" collapsed="false">
      <c r="A94" s="5" t="s">
        <v>9594</v>
      </c>
      <c r="B94" s="5" t="s">
        <v>178</v>
      </c>
      <c r="C94" s="5" t="s">
        <v>15</v>
      </c>
      <c r="D94" s="5" t="s">
        <v>39</v>
      </c>
      <c r="E94" s="5" t="n">
        <f aca="false">ROUND(11595*1.05,2)</f>
        <v>12174.75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ROUND(70*1,0)&amp;"%"</f>
        <v>70%</v>
      </c>
    </row>
    <row r="95" customFormat="false" ht="15" hidden="false" customHeight="false" outlineLevel="0" collapsed="false">
      <c r="A95" s="6" t="s">
        <v>9595</v>
      </c>
      <c r="B95" s="6" t="s">
        <v>180</v>
      </c>
      <c r="C95" s="6" t="s">
        <v>15</v>
      </c>
      <c r="D95" s="6" t="s">
        <v>44</v>
      </c>
      <c r="E95" s="6" t="n">
        <f aca="false">ROUND(5647*1.05,2)</f>
        <v>5929.35</v>
      </c>
      <c r="F95" s="6" t="s">
        <v>45</v>
      </c>
      <c r="G95" s="6" t="s">
        <v>30</v>
      </c>
      <c r="H95" s="6" t="n">
        <f aca="true">ROUND(RAND()*4+6,1)</f>
        <v>7.2</v>
      </c>
      <c r="I95" s="6" t="s">
        <v>46</v>
      </c>
      <c r="J95" s="6" t="str">
        <f aca="false">ROUND(80*1,0)&amp;"%"</f>
        <v>80%</v>
      </c>
    </row>
    <row r="96" customFormat="false" ht="15" hidden="false" customHeight="false" outlineLevel="0" collapsed="false">
      <c r="A96" s="5" t="s">
        <v>9596</v>
      </c>
      <c r="B96" s="5" t="s">
        <v>182</v>
      </c>
      <c r="C96" s="5" t="s">
        <v>15</v>
      </c>
      <c r="D96" s="5" t="s">
        <v>16</v>
      </c>
      <c r="E96" s="5" t="n">
        <f aca="false">ROUND(11791*1.05,2)</f>
        <v>12380.55</v>
      </c>
      <c r="F96" s="5" t="s">
        <v>49</v>
      </c>
      <c r="G96" s="5" t="s">
        <v>18</v>
      </c>
      <c r="H96" s="5" t="n">
        <f aca="true">ROUND(RAND()*4+6,1)</f>
        <v>7.6</v>
      </c>
      <c r="I96" s="5" t="s">
        <v>19</v>
      </c>
      <c r="J96" s="5" t="str">
        <f aca="false">ROUND(71*1,0)&amp;"%"</f>
        <v>71%</v>
      </c>
    </row>
    <row r="97" customFormat="false" ht="15" hidden="false" customHeight="false" outlineLevel="0" collapsed="false">
      <c r="A97" s="6" t="s">
        <v>9597</v>
      </c>
      <c r="B97" s="6" t="s">
        <v>184</v>
      </c>
      <c r="C97" s="6" t="s">
        <v>15</v>
      </c>
      <c r="D97" s="6" t="s">
        <v>22</v>
      </c>
      <c r="E97" s="6" t="n">
        <f aca="false">ROUND(6679*1.05,2)</f>
        <v>7012.95</v>
      </c>
      <c r="F97" s="6" t="s">
        <v>52</v>
      </c>
      <c r="G97" s="6" t="s">
        <v>24</v>
      </c>
      <c r="H97" s="6" t="n">
        <f aca="true">ROUND(RAND()*4+6,1)</f>
        <v>9.8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9598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9599</v>
      </c>
      <c r="B102" s="5" t="s">
        <v>188</v>
      </c>
      <c r="C102" s="5" t="s">
        <v>57</v>
      </c>
      <c r="D102" s="5" t="s">
        <v>16</v>
      </c>
      <c r="E102" s="5" t="n">
        <f aca="false">ROUND(17299*1.05,2)</f>
        <v>18163.95</v>
      </c>
      <c r="F102" s="5" t="s">
        <v>17</v>
      </c>
      <c r="G102" s="5" t="s">
        <v>18</v>
      </c>
      <c r="H102" s="5" t="n">
        <f aca="true">ROUND(RAND()*4+6,1)</f>
        <v>8.6</v>
      </c>
      <c r="I102" s="5" t="s">
        <v>19</v>
      </c>
      <c r="J102" s="5" t="str">
        <f aca="false">ROUND(64*1,0)&amp;"%"</f>
        <v>64%</v>
      </c>
    </row>
    <row r="103" customFormat="false" ht="15" hidden="false" customHeight="false" outlineLevel="0" collapsed="false">
      <c r="A103" s="6" t="s">
        <v>9600</v>
      </c>
      <c r="B103" s="6" t="s">
        <v>190</v>
      </c>
      <c r="C103" s="6" t="s">
        <v>57</v>
      </c>
      <c r="D103" s="6" t="s">
        <v>22</v>
      </c>
      <c r="E103" s="6" t="n">
        <f aca="false">ROUND(10892*1.05,2)</f>
        <v>11436.6</v>
      </c>
      <c r="F103" s="6" t="s">
        <v>23</v>
      </c>
      <c r="G103" s="6" t="s">
        <v>24</v>
      </c>
      <c r="H103" s="6" t="n">
        <f aca="true">ROUND(RAND()*4+6,1)</f>
        <v>8.9</v>
      </c>
      <c r="I103" s="6" t="s">
        <v>25</v>
      </c>
      <c r="J103" s="6" t="str">
        <f aca="false">ROUND(74*1,0)&amp;"%"</f>
        <v>74%</v>
      </c>
    </row>
    <row r="104" customFormat="false" ht="15" hidden="false" customHeight="false" outlineLevel="0" collapsed="false">
      <c r="A104" s="5" t="s">
        <v>9601</v>
      </c>
      <c r="B104" s="5" t="s">
        <v>192</v>
      </c>
      <c r="C104" s="5" t="s">
        <v>57</v>
      </c>
      <c r="D104" s="5" t="s">
        <v>28</v>
      </c>
      <c r="E104" s="5" t="n">
        <f aca="false">ROUND(10868*1.05,2)</f>
        <v>11411.4</v>
      </c>
      <c r="F104" s="5" t="s">
        <v>29</v>
      </c>
      <c r="G104" s="5" t="s">
        <v>30</v>
      </c>
      <c r="H104" s="5" t="n">
        <f aca="true">ROUND(RAND()*4+6,1)</f>
        <v>6.2</v>
      </c>
      <c r="I104" s="5" t="s">
        <v>31</v>
      </c>
      <c r="J104" s="5" t="str">
        <f aca="false">ROUND(61*1,0)&amp;"%"</f>
        <v>61%</v>
      </c>
    </row>
    <row r="105" customFormat="false" ht="15" hidden="false" customHeight="false" outlineLevel="0" collapsed="false">
      <c r="A105" s="6" t="s">
        <v>9602</v>
      </c>
      <c r="B105" s="6" t="s">
        <v>194</v>
      </c>
      <c r="C105" s="6" t="s">
        <v>57</v>
      </c>
      <c r="D105" s="6" t="s">
        <v>34</v>
      </c>
      <c r="E105" s="6" t="n">
        <f aca="false">ROUND(11834*1.05,2)</f>
        <v>12425.7</v>
      </c>
      <c r="F105" s="6" t="s">
        <v>35</v>
      </c>
      <c r="G105" s="6" t="s">
        <v>18</v>
      </c>
      <c r="H105" s="6" t="n">
        <f aca="true">ROUND(RAND()*4+6,1)</f>
        <v>6.1</v>
      </c>
      <c r="I105" s="6" t="s">
        <v>36</v>
      </c>
      <c r="J105" s="6" t="str">
        <f aca="false">ROUND(95*1,0)&amp;"%"</f>
        <v>95%</v>
      </c>
    </row>
    <row r="106" customFormat="false" ht="15" hidden="false" customHeight="false" outlineLevel="0" collapsed="false">
      <c r="A106" s="5" t="s">
        <v>9603</v>
      </c>
      <c r="B106" s="5" t="s">
        <v>196</v>
      </c>
      <c r="C106" s="5" t="s">
        <v>57</v>
      </c>
      <c r="D106" s="5" t="s">
        <v>39</v>
      </c>
      <c r="E106" s="5" t="n">
        <f aca="false">ROUND(13105*1.05,2)</f>
        <v>13760.25</v>
      </c>
      <c r="F106" s="5" t="s">
        <v>40</v>
      </c>
      <c r="G106" s="5" t="s">
        <v>24</v>
      </c>
      <c r="H106" s="5" t="n">
        <f aca="true">ROUND(RAND()*4+6,1)</f>
        <v>7.3</v>
      </c>
      <c r="I106" s="5" t="s">
        <v>41</v>
      </c>
      <c r="J106" s="5" t="str">
        <f aca="false">ROUND(74*1,0)&amp;"%"</f>
        <v>74%</v>
      </c>
    </row>
    <row r="107" customFormat="false" ht="15" hidden="false" customHeight="false" outlineLevel="0" collapsed="false">
      <c r="A107" s="6" t="s">
        <v>9604</v>
      </c>
      <c r="B107" s="6" t="s">
        <v>198</v>
      </c>
      <c r="C107" s="6" t="s">
        <v>57</v>
      </c>
      <c r="D107" s="6" t="s">
        <v>44</v>
      </c>
      <c r="E107" s="6" t="n">
        <f aca="false">ROUND(15140*1.05,2)</f>
        <v>15897</v>
      </c>
      <c r="F107" s="6" t="s">
        <v>45</v>
      </c>
      <c r="G107" s="6" t="s">
        <v>30</v>
      </c>
      <c r="H107" s="6" t="n">
        <f aca="true">ROUND(RAND()*4+6,1)</f>
        <v>6.7</v>
      </c>
      <c r="I107" s="6" t="s">
        <v>46</v>
      </c>
      <c r="J107" s="6" t="str">
        <f aca="false">ROUND(88*1,0)&amp;"%"</f>
        <v>88%</v>
      </c>
    </row>
    <row r="108" customFormat="false" ht="15" hidden="false" customHeight="false" outlineLevel="0" collapsed="false">
      <c r="A108" s="5" t="s">
        <v>9605</v>
      </c>
      <c r="B108" s="5" t="s">
        <v>200</v>
      </c>
      <c r="C108" s="5" t="s">
        <v>57</v>
      </c>
      <c r="D108" s="5" t="s">
        <v>16</v>
      </c>
      <c r="E108" s="5" t="n">
        <f aca="false">ROUND(16259*1.05,2)</f>
        <v>17071.95</v>
      </c>
      <c r="F108" s="5" t="s">
        <v>49</v>
      </c>
      <c r="G108" s="5" t="s">
        <v>18</v>
      </c>
      <c r="H108" s="5" t="n">
        <f aca="true">ROUND(RAND()*4+6,1)</f>
        <v>6.6</v>
      </c>
      <c r="I108" s="5" t="s">
        <v>19</v>
      </c>
      <c r="J108" s="5" t="str">
        <f aca="false">ROUND(68*1,0)&amp;"%"</f>
        <v>68%</v>
      </c>
    </row>
    <row r="109" customFormat="false" ht="15" hidden="false" customHeight="false" outlineLevel="0" collapsed="false">
      <c r="A109" s="6" t="s">
        <v>9606</v>
      </c>
      <c r="B109" s="6" t="s">
        <v>202</v>
      </c>
      <c r="C109" s="6" t="s">
        <v>57</v>
      </c>
      <c r="D109" s="6" t="s">
        <v>22</v>
      </c>
      <c r="E109" s="6" t="n">
        <f aca="false">ROUND(10486*1.05,2)</f>
        <v>11010.3</v>
      </c>
      <c r="F109" s="6" t="s">
        <v>52</v>
      </c>
      <c r="G109" s="6" t="s">
        <v>24</v>
      </c>
      <c r="H109" s="6" t="n">
        <f aca="true">ROUND(RAND()*4+6,1)</f>
        <v>7.3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9607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9608</v>
      </c>
      <c r="B114" s="5" t="s">
        <v>206</v>
      </c>
      <c r="C114" s="5" t="s">
        <v>76</v>
      </c>
      <c r="D114" s="5" t="s">
        <v>16</v>
      </c>
      <c r="E114" s="5" t="n">
        <f aca="false">ROUND(7787*1.05,2)</f>
        <v>8176.35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ROUND(94*1,0)&amp;"%"</f>
        <v>94%</v>
      </c>
    </row>
    <row r="115" customFormat="false" ht="15" hidden="false" customHeight="false" outlineLevel="0" collapsed="false">
      <c r="A115" s="6" t="s">
        <v>9609</v>
      </c>
      <c r="B115" s="6" t="s">
        <v>208</v>
      </c>
      <c r="C115" s="6" t="s">
        <v>76</v>
      </c>
      <c r="D115" s="6" t="s">
        <v>22</v>
      </c>
      <c r="E115" s="6" t="n">
        <f aca="false">ROUND(12524*1.05,2)</f>
        <v>13150.2</v>
      </c>
      <c r="F115" s="6" t="s">
        <v>23</v>
      </c>
      <c r="G115" s="6" t="s">
        <v>24</v>
      </c>
      <c r="H115" s="6" t="n">
        <f aca="true">ROUND(RAND()*4+6,1)</f>
        <v>7.3</v>
      </c>
      <c r="I115" s="6" t="s">
        <v>25</v>
      </c>
      <c r="J115" s="6" t="str">
        <f aca="false">ROUND(88*1,0)&amp;"%"</f>
        <v>88%</v>
      </c>
    </row>
    <row r="116" customFormat="false" ht="15" hidden="false" customHeight="false" outlineLevel="0" collapsed="false">
      <c r="A116" s="5" t="s">
        <v>9610</v>
      </c>
      <c r="B116" s="5" t="s">
        <v>210</v>
      </c>
      <c r="C116" s="5" t="s">
        <v>76</v>
      </c>
      <c r="D116" s="5" t="s">
        <v>28</v>
      </c>
      <c r="E116" s="5" t="n">
        <f aca="false">ROUND(16604*1.05,2)</f>
        <v>17434.2</v>
      </c>
      <c r="F116" s="5" t="s">
        <v>29</v>
      </c>
      <c r="G116" s="5" t="s">
        <v>30</v>
      </c>
      <c r="H116" s="5" t="n">
        <f aca="true">ROUND(RAND()*4+6,1)</f>
        <v>9.2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9611</v>
      </c>
      <c r="B117" s="6" t="s">
        <v>212</v>
      </c>
      <c r="C117" s="6" t="s">
        <v>76</v>
      </c>
      <c r="D117" s="6" t="s">
        <v>34</v>
      </c>
      <c r="E117" s="6" t="n">
        <f aca="false">ROUND(15845*1.05,2)</f>
        <v>16637.25</v>
      </c>
      <c r="F117" s="6" t="s">
        <v>35</v>
      </c>
      <c r="G117" s="6" t="s">
        <v>18</v>
      </c>
      <c r="H117" s="6" t="n">
        <f aca="true">ROUND(RAND()*4+6,1)</f>
        <v>6.7</v>
      </c>
      <c r="I117" s="6" t="s">
        <v>36</v>
      </c>
      <c r="J117" s="6" t="str">
        <f aca="false">ROUND(72*1,0)&amp;"%"</f>
        <v>72%</v>
      </c>
    </row>
    <row r="118" customFormat="false" ht="15" hidden="false" customHeight="false" outlineLevel="0" collapsed="false">
      <c r="A118" s="5" t="s">
        <v>9612</v>
      </c>
      <c r="B118" s="5" t="s">
        <v>214</v>
      </c>
      <c r="C118" s="5" t="s">
        <v>76</v>
      </c>
      <c r="D118" s="5" t="s">
        <v>39</v>
      </c>
      <c r="E118" s="5" t="n">
        <f aca="false">ROUND(14427*1.05,2)</f>
        <v>15148.35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ROUND(100*1,0)&amp;"%"</f>
        <v>100%</v>
      </c>
    </row>
    <row r="119" customFormat="false" ht="15" hidden="false" customHeight="false" outlineLevel="0" collapsed="false">
      <c r="A119" s="6" t="s">
        <v>9613</v>
      </c>
      <c r="B119" s="6" t="s">
        <v>216</v>
      </c>
      <c r="C119" s="6" t="s">
        <v>76</v>
      </c>
      <c r="D119" s="6" t="s">
        <v>44</v>
      </c>
      <c r="E119" s="6" t="n">
        <f aca="false">ROUND(12058*1.05,2)</f>
        <v>12660.9</v>
      </c>
      <c r="F119" s="6" t="s">
        <v>45</v>
      </c>
      <c r="G119" s="6" t="s">
        <v>30</v>
      </c>
      <c r="H119" s="6" t="n">
        <f aca="true">ROUND(RAND()*4+6,1)</f>
        <v>9.2</v>
      </c>
      <c r="I119" s="6" t="s">
        <v>46</v>
      </c>
      <c r="J119" s="6" t="str">
        <f aca="false">ROUND(82*1,0)&amp;"%"</f>
        <v>82%</v>
      </c>
    </row>
    <row r="120" customFormat="false" ht="15" hidden="false" customHeight="false" outlineLevel="0" collapsed="false">
      <c r="A120" s="5" t="s">
        <v>9614</v>
      </c>
      <c r="B120" s="5" t="s">
        <v>218</v>
      </c>
      <c r="C120" s="5" t="s">
        <v>76</v>
      </c>
      <c r="D120" s="5" t="s">
        <v>16</v>
      </c>
      <c r="E120" s="5" t="n">
        <f aca="false">ROUND(7765*1.05,2)</f>
        <v>8153.25</v>
      </c>
      <c r="F120" s="5" t="s">
        <v>49</v>
      </c>
      <c r="G120" s="5" t="s">
        <v>18</v>
      </c>
      <c r="H120" s="5" t="n">
        <f aca="true">ROUND(RAND()*4+6,1)</f>
        <v>7.8</v>
      </c>
      <c r="I120" s="5" t="s">
        <v>19</v>
      </c>
      <c r="J120" s="5" t="str">
        <f aca="false">ROUND(66*1,0)&amp;"%"</f>
        <v>66%</v>
      </c>
    </row>
    <row r="121" customFormat="false" ht="15" hidden="false" customHeight="false" outlineLevel="0" collapsed="false">
      <c r="A121" s="6" t="s">
        <v>9615</v>
      </c>
      <c r="B121" s="6" t="s">
        <v>220</v>
      </c>
      <c r="C121" s="6" t="s">
        <v>76</v>
      </c>
      <c r="D121" s="6" t="s">
        <v>22</v>
      </c>
      <c r="E121" s="6" t="n">
        <f aca="false">ROUND(6623*1.05,2)</f>
        <v>6954.15</v>
      </c>
      <c r="F121" s="6" t="s">
        <v>52</v>
      </c>
      <c r="G121" s="6" t="s">
        <v>24</v>
      </c>
      <c r="H121" s="6" t="n">
        <f aca="true">ROUND(RAND()*4+6,1)</f>
        <v>7.5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9616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9617</v>
      </c>
      <c r="B126" s="5" t="s">
        <v>224</v>
      </c>
      <c r="C126" s="5" t="s">
        <v>95</v>
      </c>
      <c r="D126" s="5" t="s">
        <v>16</v>
      </c>
      <c r="E126" s="5" t="n">
        <f aca="false">ROUND(16828*1.05,2)</f>
        <v>17669.4</v>
      </c>
      <c r="F126" s="5" t="s">
        <v>17</v>
      </c>
      <c r="G126" s="5" t="s">
        <v>18</v>
      </c>
      <c r="H126" s="5" t="n">
        <f aca="true">ROUND(RAND()*4+6,1)</f>
        <v>8.8</v>
      </c>
      <c r="I126" s="5" t="s">
        <v>19</v>
      </c>
      <c r="J126" s="5" t="str">
        <f aca="false">ROUND(80*1,0)&amp;"%"</f>
        <v>80%</v>
      </c>
    </row>
    <row r="127" customFormat="false" ht="15" hidden="false" customHeight="false" outlineLevel="0" collapsed="false">
      <c r="A127" s="6" t="s">
        <v>9618</v>
      </c>
      <c r="B127" s="6" t="s">
        <v>226</v>
      </c>
      <c r="C127" s="6" t="s">
        <v>95</v>
      </c>
      <c r="D127" s="6" t="s">
        <v>22</v>
      </c>
      <c r="E127" s="6" t="n">
        <f aca="false">ROUND(8165*1.05,2)</f>
        <v>8573.25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ROUND(64*1,0)&amp;"%"</f>
        <v>64%</v>
      </c>
    </row>
    <row r="128" customFormat="false" ht="15" hidden="false" customHeight="false" outlineLevel="0" collapsed="false">
      <c r="A128" s="5" t="s">
        <v>9619</v>
      </c>
      <c r="B128" s="5" t="s">
        <v>228</v>
      </c>
      <c r="C128" s="5" t="s">
        <v>95</v>
      </c>
      <c r="D128" s="5" t="s">
        <v>28</v>
      </c>
      <c r="E128" s="5" t="n">
        <f aca="false">ROUND(7779*1.05,2)</f>
        <v>8167.95</v>
      </c>
      <c r="F128" s="5" t="s">
        <v>29</v>
      </c>
      <c r="G128" s="5" t="s">
        <v>30</v>
      </c>
      <c r="H128" s="5" t="n">
        <f aca="true">ROUND(RAND()*4+6,1)</f>
        <v>9.1</v>
      </c>
      <c r="I128" s="5" t="s">
        <v>31</v>
      </c>
      <c r="J128" s="5" t="str">
        <f aca="false">ROUND(99*1,0)&amp;"%"</f>
        <v>99%</v>
      </c>
    </row>
    <row r="129" customFormat="false" ht="15" hidden="false" customHeight="false" outlineLevel="0" collapsed="false">
      <c r="A129" s="6" t="s">
        <v>9620</v>
      </c>
      <c r="B129" s="6" t="s">
        <v>230</v>
      </c>
      <c r="C129" s="6" t="s">
        <v>95</v>
      </c>
      <c r="D129" s="6" t="s">
        <v>34</v>
      </c>
      <c r="E129" s="6" t="n">
        <f aca="false">ROUND(8353*1.05,2)</f>
        <v>8770.65</v>
      </c>
      <c r="F129" s="6" t="s">
        <v>35</v>
      </c>
      <c r="G129" s="6" t="s">
        <v>18</v>
      </c>
      <c r="H129" s="6" t="n">
        <f aca="true">ROUND(RAND()*4+6,1)</f>
        <v>9.9</v>
      </c>
      <c r="I129" s="6" t="s">
        <v>36</v>
      </c>
      <c r="J129" s="6" t="str">
        <f aca="false">ROUND(80*1,0)&amp;"%"</f>
        <v>80%</v>
      </c>
    </row>
    <row r="130" customFormat="false" ht="15" hidden="false" customHeight="false" outlineLevel="0" collapsed="false">
      <c r="A130" s="5" t="s">
        <v>9621</v>
      </c>
      <c r="B130" s="5" t="s">
        <v>232</v>
      </c>
      <c r="C130" s="5" t="s">
        <v>95</v>
      </c>
      <c r="D130" s="5" t="s">
        <v>39</v>
      </c>
      <c r="E130" s="5" t="n">
        <f aca="false">ROUND(4213*1.05,2)</f>
        <v>4423.65</v>
      </c>
      <c r="F130" s="5" t="s">
        <v>40</v>
      </c>
      <c r="G130" s="5" t="s">
        <v>24</v>
      </c>
      <c r="H130" s="5" t="n">
        <f aca="true">ROUND(RAND()*4+6,1)</f>
        <v>6.2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9622</v>
      </c>
      <c r="B131" s="6" t="s">
        <v>234</v>
      </c>
      <c r="C131" s="6" t="s">
        <v>95</v>
      </c>
      <c r="D131" s="6" t="s">
        <v>44</v>
      </c>
      <c r="E131" s="6" t="n">
        <f aca="false">ROUND(5816*1.05,2)</f>
        <v>6106.8</v>
      </c>
      <c r="F131" s="6" t="s">
        <v>45</v>
      </c>
      <c r="G131" s="6" t="s">
        <v>30</v>
      </c>
      <c r="H131" s="6" t="n">
        <f aca="true">ROUND(RAND()*4+6,1)</f>
        <v>9.3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9623</v>
      </c>
      <c r="B132" s="5" t="s">
        <v>236</v>
      </c>
      <c r="C132" s="5" t="s">
        <v>95</v>
      </c>
      <c r="D132" s="5" t="s">
        <v>16</v>
      </c>
      <c r="E132" s="5" t="n">
        <f aca="false">ROUND(11993*1.05,2)</f>
        <v>12592.65</v>
      </c>
      <c r="F132" s="5" t="s">
        <v>49</v>
      </c>
      <c r="G132" s="5" t="s">
        <v>18</v>
      </c>
      <c r="H132" s="5" t="n">
        <f aca="true">ROUND(RAND()*4+6,1)</f>
        <v>9.8</v>
      </c>
      <c r="I132" s="5" t="s">
        <v>19</v>
      </c>
      <c r="J132" s="5" t="str">
        <f aca="false">ROUND(76*1,0)&amp;"%"</f>
        <v>76%</v>
      </c>
    </row>
    <row r="133" customFormat="false" ht="15" hidden="false" customHeight="false" outlineLevel="0" collapsed="false">
      <c r="A133" s="6" t="s">
        <v>9624</v>
      </c>
      <c r="B133" s="6" t="s">
        <v>238</v>
      </c>
      <c r="C133" s="6" t="s">
        <v>95</v>
      </c>
      <c r="D133" s="6" t="s">
        <v>22</v>
      </c>
      <c r="E133" s="6" t="n">
        <f aca="false">ROUND(6352*1.05,2)</f>
        <v>6669.6</v>
      </c>
      <c r="F133" s="6" t="s">
        <v>52</v>
      </c>
      <c r="G133" s="6" t="s">
        <v>24</v>
      </c>
      <c r="H133" s="6" t="n">
        <f aca="true">ROUND(RAND()*4+6,1)</f>
        <v>6.2</v>
      </c>
      <c r="I133" s="6" t="s">
        <v>25</v>
      </c>
      <c r="J133" s="6" t="str">
        <f aca="false">ROUND(84*1,0)&amp;"%"</f>
        <v>84%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9625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9626</v>
      </c>
      <c r="B138" s="5" t="s">
        <v>242</v>
      </c>
      <c r="C138" s="5" t="s">
        <v>114</v>
      </c>
      <c r="D138" s="5" t="s">
        <v>16</v>
      </c>
      <c r="E138" s="5" t="n">
        <f aca="false">ROUND(9837*1.05,2)</f>
        <v>10328.85</v>
      </c>
      <c r="F138" s="5" t="s">
        <v>17</v>
      </c>
      <c r="G138" s="5" t="s">
        <v>18</v>
      </c>
      <c r="H138" s="5" t="n">
        <f aca="true">ROUND(RAND()*4+6,1)</f>
        <v>6.8</v>
      </c>
      <c r="I138" s="5" t="s">
        <v>19</v>
      </c>
      <c r="J138" s="5" t="str">
        <f aca="false">ROUND(93*1,0)&amp;"%"</f>
        <v>93%</v>
      </c>
    </row>
    <row r="139" customFormat="false" ht="15" hidden="false" customHeight="false" outlineLevel="0" collapsed="false">
      <c r="A139" s="6" t="s">
        <v>9627</v>
      </c>
      <c r="B139" s="6" t="s">
        <v>244</v>
      </c>
      <c r="C139" s="6" t="s">
        <v>114</v>
      </c>
      <c r="D139" s="6" t="s">
        <v>22</v>
      </c>
      <c r="E139" s="6" t="n">
        <f aca="false">ROUND(7799*1.05,2)</f>
        <v>8188.95</v>
      </c>
      <c r="F139" s="6" t="s">
        <v>23</v>
      </c>
      <c r="G139" s="6" t="s">
        <v>24</v>
      </c>
      <c r="H139" s="6" t="n">
        <f aca="true">ROUND(RAND()*4+6,1)</f>
        <v>6.1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9628</v>
      </c>
      <c r="B140" s="5" t="s">
        <v>246</v>
      </c>
      <c r="C140" s="5" t="s">
        <v>114</v>
      </c>
      <c r="D140" s="5" t="s">
        <v>28</v>
      </c>
      <c r="E140" s="5" t="n">
        <f aca="false">ROUND(6501*1.05,2)</f>
        <v>6826.05</v>
      </c>
      <c r="F140" s="5" t="s">
        <v>29</v>
      </c>
      <c r="G140" s="5" t="s">
        <v>30</v>
      </c>
      <c r="H140" s="5" t="n">
        <f aca="true">ROUND(RAND()*4+6,1)</f>
        <v>7.8</v>
      </c>
      <c r="I140" s="5" t="s">
        <v>31</v>
      </c>
      <c r="J140" s="5" t="str">
        <f aca="false">ROUND(80*1,0)&amp;"%"</f>
        <v>80%</v>
      </c>
    </row>
    <row r="141" customFormat="false" ht="15" hidden="false" customHeight="false" outlineLevel="0" collapsed="false">
      <c r="A141" s="6" t="s">
        <v>9629</v>
      </c>
      <c r="B141" s="6" t="s">
        <v>248</v>
      </c>
      <c r="C141" s="6" t="s">
        <v>114</v>
      </c>
      <c r="D141" s="6" t="s">
        <v>34</v>
      </c>
      <c r="E141" s="6" t="n">
        <f aca="false">ROUND(15380*1.05,2)</f>
        <v>16149</v>
      </c>
      <c r="F141" s="6" t="s">
        <v>35</v>
      </c>
      <c r="G141" s="6" t="s">
        <v>18</v>
      </c>
      <c r="H141" s="6" t="n">
        <f aca="true">ROUND(RAND()*4+6,1)</f>
        <v>6</v>
      </c>
      <c r="I141" s="6" t="s">
        <v>36</v>
      </c>
      <c r="J141" s="6" t="str">
        <f aca="false">ROUND(86*1,0)&amp;"%"</f>
        <v>86%</v>
      </c>
    </row>
    <row r="142" customFormat="false" ht="15" hidden="false" customHeight="false" outlineLevel="0" collapsed="false">
      <c r="A142" s="5" t="s">
        <v>9630</v>
      </c>
      <c r="B142" s="5" t="s">
        <v>250</v>
      </c>
      <c r="C142" s="5" t="s">
        <v>114</v>
      </c>
      <c r="D142" s="5" t="s">
        <v>39</v>
      </c>
      <c r="E142" s="5" t="n">
        <f aca="false">ROUND(7892*1.05,2)</f>
        <v>8286.6</v>
      </c>
      <c r="F142" s="5" t="s">
        <v>40</v>
      </c>
      <c r="G142" s="5" t="s">
        <v>24</v>
      </c>
      <c r="H142" s="5" t="n">
        <f aca="true">ROUND(RAND()*4+6,1)</f>
        <v>6.9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9631</v>
      </c>
      <c r="B143" s="6" t="s">
        <v>252</v>
      </c>
      <c r="C143" s="6" t="s">
        <v>114</v>
      </c>
      <c r="D143" s="6" t="s">
        <v>44</v>
      </c>
      <c r="E143" s="6" t="n">
        <f aca="false">ROUND(9264*1.05,2)</f>
        <v>9727.2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9632</v>
      </c>
      <c r="B144" s="5" t="s">
        <v>254</v>
      </c>
      <c r="C144" s="5" t="s">
        <v>114</v>
      </c>
      <c r="D144" s="5" t="s">
        <v>16</v>
      </c>
      <c r="E144" s="5" t="n">
        <f aca="false">ROUND(17502*1.05,2)</f>
        <v>18377.1</v>
      </c>
      <c r="F144" s="5" t="s">
        <v>49</v>
      </c>
      <c r="G144" s="5" t="s">
        <v>18</v>
      </c>
      <c r="H144" s="5" t="n">
        <f aca="true">ROUND(RAND()*4+6,1)</f>
        <v>9</v>
      </c>
      <c r="I144" s="5" t="s">
        <v>19</v>
      </c>
      <c r="J144" s="5" t="str">
        <f aca="false">ROUND(100*1,0)&amp;"%"</f>
        <v>100%</v>
      </c>
    </row>
    <row r="145" customFormat="false" ht="15" hidden="false" customHeight="false" outlineLevel="0" collapsed="false">
      <c r="A145" s="6" t="s">
        <v>9633</v>
      </c>
      <c r="B145" s="6" t="s">
        <v>256</v>
      </c>
      <c r="C145" s="6" t="s">
        <v>114</v>
      </c>
      <c r="D145" s="6" t="s">
        <v>22</v>
      </c>
      <c r="E145" s="6" t="n">
        <f aca="false">ROUND(9256*1.05,2)</f>
        <v>9718.8</v>
      </c>
      <c r="F145" s="6" t="s">
        <v>52</v>
      </c>
      <c r="G145" s="6" t="s">
        <v>24</v>
      </c>
      <c r="H145" s="6" t="n">
        <f aca="true">ROUND(RAND()*4+6,1)</f>
        <v>7.1</v>
      </c>
      <c r="I145" s="6" t="s">
        <v>25</v>
      </c>
      <c r="J145" s="6" t="str">
        <f aca="false">ROUND(79*1,0)&amp;"%"</f>
        <v>79%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9634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9635</v>
      </c>
      <c r="B150" s="5" t="s">
        <v>260</v>
      </c>
      <c r="C150" s="5" t="s">
        <v>133</v>
      </c>
      <c r="D150" s="5" t="s">
        <v>16</v>
      </c>
      <c r="E150" s="5" t="n">
        <f aca="false">ROUND(5799*1.05,2)</f>
        <v>6088.95</v>
      </c>
      <c r="F150" s="5" t="s">
        <v>17</v>
      </c>
      <c r="G150" s="5" t="s">
        <v>18</v>
      </c>
      <c r="H150" s="5" t="n">
        <f aca="true">ROUND(RAND()*4+6,1)</f>
        <v>7.5</v>
      </c>
      <c r="I150" s="5" t="s">
        <v>19</v>
      </c>
      <c r="J150" s="5" t="str">
        <f aca="false">ROUND(64*1,0)&amp;"%"</f>
        <v>64%</v>
      </c>
    </row>
    <row r="151" customFormat="false" ht="15" hidden="false" customHeight="false" outlineLevel="0" collapsed="false">
      <c r="A151" s="6" t="s">
        <v>9636</v>
      </c>
      <c r="B151" s="6" t="s">
        <v>262</v>
      </c>
      <c r="C151" s="6" t="s">
        <v>133</v>
      </c>
      <c r="D151" s="6" t="s">
        <v>22</v>
      </c>
      <c r="E151" s="6" t="n">
        <f aca="false">ROUND(4244*1.05,2)</f>
        <v>4456.2</v>
      </c>
      <c r="F151" s="6" t="s">
        <v>23</v>
      </c>
      <c r="G151" s="6" t="s">
        <v>24</v>
      </c>
      <c r="H151" s="6" t="n">
        <f aca="true">ROUND(RAND()*4+6,1)</f>
        <v>7.5</v>
      </c>
      <c r="I151" s="6" t="s">
        <v>25</v>
      </c>
      <c r="J151" s="6" t="str">
        <f aca="false">ROUND(62*1,0)&amp;"%"</f>
        <v>62%</v>
      </c>
    </row>
    <row r="152" customFormat="false" ht="15" hidden="false" customHeight="false" outlineLevel="0" collapsed="false">
      <c r="A152" s="5" t="s">
        <v>9637</v>
      </c>
      <c r="B152" s="5" t="s">
        <v>264</v>
      </c>
      <c r="C152" s="5" t="s">
        <v>133</v>
      </c>
      <c r="D152" s="5" t="s">
        <v>28</v>
      </c>
      <c r="E152" s="5" t="n">
        <f aca="false">ROUND(10604*1.05,2)</f>
        <v>11134.2</v>
      </c>
      <c r="F152" s="5" t="s">
        <v>29</v>
      </c>
      <c r="G152" s="5" t="s">
        <v>30</v>
      </c>
      <c r="H152" s="5" t="n">
        <f aca="true">ROUND(RAND()*4+6,1)</f>
        <v>9.6</v>
      </c>
      <c r="I152" s="5" t="s">
        <v>31</v>
      </c>
      <c r="J152" s="5" t="str">
        <f aca="false">ROUND(63*1,0)&amp;"%"</f>
        <v>63%</v>
      </c>
    </row>
    <row r="153" customFormat="false" ht="15" hidden="false" customHeight="false" outlineLevel="0" collapsed="false">
      <c r="A153" s="6" t="s">
        <v>9638</v>
      </c>
      <c r="B153" s="6" t="s">
        <v>266</v>
      </c>
      <c r="C153" s="6" t="s">
        <v>133</v>
      </c>
      <c r="D153" s="6" t="s">
        <v>34</v>
      </c>
      <c r="E153" s="6" t="n">
        <f aca="false">ROUND(12851*1.05,2)</f>
        <v>13493.55</v>
      </c>
      <c r="F153" s="6" t="s">
        <v>35</v>
      </c>
      <c r="G153" s="6" t="s">
        <v>18</v>
      </c>
      <c r="H153" s="6" t="n">
        <f aca="true">ROUND(RAND()*4+6,1)</f>
        <v>6.7</v>
      </c>
      <c r="I153" s="6" t="s">
        <v>36</v>
      </c>
      <c r="J153" s="6" t="str">
        <f aca="false">ROUND(70*1,0)&amp;"%"</f>
        <v>70%</v>
      </c>
    </row>
    <row r="154" customFormat="false" ht="15" hidden="false" customHeight="false" outlineLevel="0" collapsed="false">
      <c r="A154" s="5" t="s">
        <v>9639</v>
      </c>
      <c r="B154" s="5" t="s">
        <v>268</v>
      </c>
      <c r="C154" s="5" t="s">
        <v>133</v>
      </c>
      <c r="D154" s="5" t="s">
        <v>39</v>
      </c>
      <c r="E154" s="5" t="n">
        <f aca="false">ROUND(10191*1.05,2)</f>
        <v>10700.55</v>
      </c>
      <c r="F154" s="5" t="s">
        <v>40</v>
      </c>
      <c r="G154" s="5" t="s">
        <v>24</v>
      </c>
      <c r="H154" s="5" t="n">
        <f aca="true">ROUND(RAND()*4+6,1)</f>
        <v>7.3</v>
      </c>
      <c r="I154" s="5" t="s">
        <v>41</v>
      </c>
      <c r="J154" s="5" t="str">
        <f aca="false">ROUND(81*1,0)&amp;"%"</f>
        <v>81%</v>
      </c>
    </row>
    <row r="155" customFormat="false" ht="15" hidden="false" customHeight="false" outlineLevel="0" collapsed="false">
      <c r="A155" s="6" t="s">
        <v>9640</v>
      </c>
      <c r="B155" s="6" t="s">
        <v>270</v>
      </c>
      <c r="C155" s="6" t="s">
        <v>133</v>
      </c>
      <c r="D155" s="6" t="s">
        <v>44</v>
      </c>
      <c r="E155" s="6" t="n">
        <f aca="false">ROUND(8573*1.05,2)</f>
        <v>9001.65</v>
      </c>
      <c r="F155" s="6" t="s">
        <v>45</v>
      </c>
      <c r="G155" s="6" t="s">
        <v>30</v>
      </c>
      <c r="H155" s="6" t="n">
        <f aca="true">ROUND(RAND()*4+6,1)</f>
        <v>9.6</v>
      </c>
      <c r="I155" s="6" t="s">
        <v>46</v>
      </c>
      <c r="J155" s="6" t="str">
        <f aca="false">ROUND(75*1,0)&amp;"%"</f>
        <v>75%</v>
      </c>
    </row>
    <row r="156" customFormat="false" ht="15" hidden="false" customHeight="false" outlineLevel="0" collapsed="false">
      <c r="A156" s="5" t="s">
        <v>9641</v>
      </c>
      <c r="B156" s="5" t="s">
        <v>272</v>
      </c>
      <c r="C156" s="5" t="s">
        <v>133</v>
      </c>
      <c r="D156" s="5" t="s">
        <v>16</v>
      </c>
      <c r="E156" s="5" t="n">
        <f aca="false">ROUND(9723*1.05,2)</f>
        <v>10209.15</v>
      </c>
      <c r="F156" s="5" t="s">
        <v>49</v>
      </c>
      <c r="G156" s="5" t="s">
        <v>18</v>
      </c>
      <c r="H156" s="5" t="n">
        <f aca="true">ROUND(RAND()*4+6,1)</f>
        <v>7</v>
      </c>
      <c r="I156" s="5" t="s">
        <v>19</v>
      </c>
      <c r="J156" s="5" t="str">
        <f aca="false">ROUND(96*1,0)&amp;"%"</f>
        <v>96%</v>
      </c>
    </row>
    <row r="157" customFormat="false" ht="15" hidden="false" customHeight="false" outlineLevel="0" collapsed="false">
      <c r="A157" s="6" t="s">
        <v>9642</v>
      </c>
      <c r="B157" s="6" t="s">
        <v>274</v>
      </c>
      <c r="C157" s="6" t="s">
        <v>133</v>
      </c>
      <c r="D157" s="6" t="s">
        <v>22</v>
      </c>
      <c r="E157" s="6" t="n">
        <f aca="false">ROUND(16536*1.05,2)</f>
        <v>17362.8</v>
      </c>
      <c r="F157" s="6" t="s">
        <v>52</v>
      </c>
      <c r="G157" s="6" t="s">
        <v>24</v>
      </c>
      <c r="H157" s="6" t="n">
        <f aca="true">ROUND(RAND()*4+6,1)</f>
        <v>8.1</v>
      </c>
      <c r="I157" s="6" t="s">
        <v>25</v>
      </c>
      <c r="J157" s="6" t="str">
        <f aca="false">ROUND(68*1,0)&amp;"%"</f>
        <v>68%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9643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9644</v>
      </c>
      <c r="B162" s="5" t="s">
        <v>278</v>
      </c>
      <c r="C162" s="5" t="s">
        <v>152</v>
      </c>
      <c r="D162" s="5" t="s">
        <v>16</v>
      </c>
      <c r="E162" s="5" t="n">
        <f aca="false">ROUND(12639*1.05,2)</f>
        <v>13270.95</v>
      </c>
      <c r="F162" s="5" t="s">
        <v>17</v>
      </c>
      <c r="G162" s="5" t="s">
        <v>18</v>
      </c>
      <c r="H162" s="5" t="n">
        <f aca="true">ROUND(RAND()*4+6,1)</f>
        <v>6.8</v>
      </c>
      <c r="I162" s="5" t="s">
        <v>19</v>
      </c>
      <c r="J162" s="5" t="str">
        <f aca="false">ROUND(97*1,0)&amp;"%"</f>
        <v>97%</v>
      </c>
    </row>
    <row r="163" customFormat="false" ht="15" hidden="false" customHeight="false" outlineLevel="0" collapsed="false">
      <c r="A163" s="6" t="s">
        <v>9645</v>
      </c>
      <c r="B163" s="6" t="s">
        <v>280</v>
      </c>
      <c r="C163" s="6" t="s">
        <v>152</v>
      </c>
      <c r="D163" s="6" t="s">
        <v>22</v>
      </c>
      <c r="E163" s="6" t="n">
        <f aca="false">ROUND(4426*1.05,2)</f>
        <v>4647.3</v>
      </c>
      <c r="F163" s="6" t="s">
        <v>23</v>
      </c>
      <c r="G163" s="6" t="s">
        <v>24</v>
      </c>
      <c r="H163" s="6" t="n">
        <f aca="true">ROUND(RAND()*4+6,1)</f>
        <v>9.5</v>
      </c>
      <c r="I163" s="6" t="s">
        <v>25</v>
      </c>
      <c r="J163" s="6" t="str">
        <f aca="false">ROUND(70*1,0)&amp;"%"</f>
        <v>70%</v>
      </c>
    </row>
    <row r="164" customFormat="false" ht="15" hidden="false" customHeight="false" outlineLevel="0" collapsed="false">
      <c r="A164" s="5" t="s">
        <v>9646</v>
      </c>
      <c r="B164" s="5" t="s">
        <v>282</v>
      </c>
      <c r="C164" s="5" t="s">
        <v>152</v>
      </c>
      <c r="D164" s="5" t="s">
        <v>28</v>
      </c>
      <c r="E164" s="5" t="n">
        <f aca="false">ROUND(9159*1.05,2)</f>
        <v>9616.95</v>
      </c>
      <c r="F164" s="5" t="s">
        <v>29</v>
      </c>
      <c r="G164" s="5" t="s">
        <v>30</v>
      </c>
      <c r="H164" s="5" t="n">
        <f aca="true">ROUND(RAND()*4+6,1)</f>
        <v>9.9</v>
      </c>
      <c r="I164" s="5" t="s">
        <v>31</v>
      </c>
      <c r="J164" s="5" t="str">
        <f aca="false">ROUND(77*1,0)&amp;"%"</f>
        <v>77%</v>
      </c>
    </row>
    <row r="165" customFormat="false" ht="15" hidden="false" customHeight="false" outlineLevel="0" collapsed="false">
      <c r="A165" s="6" t="s">
        <v>9647</v>
      </c>
      <c r="B165" s="6" t="s">
        <v>284</v>
      </c>
      <c r="C165" s="6" t="s">
        <v>152</v>
      </c>
      <c r="D165" s="6" t="s">
        <v>34</v>
      </c>
      <c r="E165" s="6" t="n">
        <f aca="false">ROUND(16933*1.05,2)</f>
        <v>17779.65</v>
      </c>
      <c r="F165" s="6" t="s">
        <v>35</v>
      </c>
      <c r="G165" s="6" t="s">
        <v>18</v>
      </c>
      <c r="H165" s="6" t="n">
        <f aca="true">ROUND(RAND()*4+6,1)</f>
        <v>9.4</v>
      </c>
      <c r="I165" s="6" t="s">
        <v>36</v>
      </c>
      <c r="J165" s="6" t="str">
        <f aca="false">ROUND(86*1,0)&amp;"%"</f>
        <v>86%</v>
      </c>
    </row>
    <row r="166" customFormat="false" ht="15" hidden="false" customHeight="false" outlineLevel="0" collapsed="false">
      <c r="A166" s="5" t="s">
        <v>9648</v>
      </c>
      <c r="B166" s="5" t="s">
        <v>286</v>
      </c>
      <c r="C166" s="5" t="s">
        <v>152</v>
      </c>
      <c r="D166" s="5" t="s">
        <v>39</v>
      </c>
      <c r="E166" s="5" t="n">
        <f aca="false">ROUND(5880*1.05,2)</f>
        <v>6174</v>
      </c>
      <c r="F166" s="5" t="s">
        <v>40</v>
      </c>
      <c r="G166" s="5" t="s">
        <v>24</v>
      </c>
      <c r="H166" s="5" t="n">
        <f aca="true">ROUND(RAND()*4+6,1)</f>
        <v>7.5</v>
      </c>
      <c r="I166" s="5" t="s">
        <v>41</v>
      </c>
      <c r="J166" s="5" t="str">
        <f aca="false">ROUND(77*1,0)&amp;"%"</f>
        <v>77%</v>
      </c>
    </row>
    <row r="167" customFormat="false" ht="15" hidden="false" customHeight="false" outlineLevel="0" collapsed="false">
      <c r="A167" s="6" t="s">
        <v>9649</v>
      </c>
      <c r="B167" s="6" t="s">
        <v>288</v>
      </c>
      <c r="C167" s="6" t="s">
        <v>152</v>
      </c>
      <c r="D167" s="6" t="s">
        <v>44</v>
      </c>
      <c r="E167" s="6" t="n">
        <f aca="false">ROUND(8065*1.05,2)</f>
        <v>8468.25</v>
      </c>
      <c r="F167" s="6" t="s">
        <v>45</v>
      </c>
      <c r="G167" s="6" t="s">
        <v>30</v>
      </c>
      <c r="H167" s="6" t="n">
        <f aca="true">ROUND(RAND()*4+6,1)</f>
        <v>9.9</v>
      </c>
      <c r="I167" s="6" t="s">
        <v>46</v>
      </c>
      <c r="J167" s="6" t="str">
        <f aca="false">ROUND(92*1,0)&amp;"%"</f>
        <v>92%</v>
      </c>
    </row>
    <row r="168" customFormat="false" ht="15" hidden="false" customHeight="false" outlineLevel="0" collapsed="false">
      <c r="A168" s="5" t="s">
        <v>9650</v>
      </c>
      <c r="B168" s="5" t="s">
        <v>290</v>
      </c>
      <c r="C168" s="5" t="s">
        <v>152</v>
      </c>
      <c r="D168" s="5" t="s">
        <v>16</v>
      </c>
      <c r="E168" s="5" t="n">
        <f aca="false">ROUND(6387*1.05,2)</f>
        <v>6706.35</v>
      </c>
      <c r="F168" s="5" t="s">
        <v>49</v>
      </c>
      <c r="G168" s="5" t="s">
        <v>18</v>
      </c>
      <c r="H168" s="5" t="n">
        <f aca="true">ROUND(RAND()*4+6,1)</f>
        <v>9.4</v>
      </c>
      <c r="I168" s="5" t="s">
        <v>19</v>
      </c>
      <c r="J168" s="5" t="str">
        <f aca="false">ROUND(62*1,0)&amp;"%"</f>
        <v>62%</v>
      </c>
    </row>
    <row r="169" customFormat="false" ht="15" hidden="false" customHeight="false" outlineLevel="0" collapsed="false">
      <c r="A169" s="6" t="s">
        <v>9651</v>
      </c>
      <c r="B169" s="6" t="s">
        <v>292</v>
      </c>
      <c r="C169" s="6" t="s">
        <v>152</v>
      </c>
      <c r="D169" s="6" t="s">
        <v>22</v>
      </c>
      <c r="E169" s="6" t="n">
        <f aca="false">ROUND(7536*1.05,2)</f>
        <v>7912.8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ROUND(80*1,0)&amp;"%"</f>
        <v>80%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9652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9653</v>
      </c>
      <c r="B174" s="5" t="s">
        <v>296</v>
      </c>
      <c r="C174" s="5" t="s">
        <v>15</v>
      </c>
      <c r="D174" s="5" t="s">
        <v>16</v>
      </c>
      <c r="E174" s="5" t="n">
        <f aca="false">ROUND(6871*1.05,2)</f>
        <v>7214.55</v>
      </c>
      <c r="F174" s="5" t="s">
        <v>17</v>
      </c>
      <c r="G174" s="5" t="s">
        <v>18</v>
      </c>
      <c r="H174" s="5" t="n">
        <f aca="true">ROUND(RAND()*4+6,1)</f>
        <v>7.7</v>
      </c>
      <c r="I174" s="5" t="s">
        <v>19</v>
      </c>
      <c r="J174" s="5" t="str">
        <f aca="false">ROUND(62*1,0)&amp;"%"</f>
        <v>62%</v>
      </c>
    </row>
    <row r="175" customFormat="false" ht="15" hidden="false" customHeight="false" outlineLevel="0" collapsed="false">
      <c r="A175" s="6" t="s">
        <v>9654</v>
      </c>
      <c r="B175" s="6" t="s">
        <v>298</v>
      </c>
      <c r="C175" s="6" t="s">
        <v>15</v>
      </c>
      <c r="D175" s="6" t="s">
        <v>22</v>
      </c>
      <c r="E175" s="6" t="n">
        <f aca="false">ROUND(10675*1.05,2)</f>
        <v>11208.75</v>
      </c>
      <c r="F175" s="6" t="s">
        <v>23</v>
      </c>
      <c r="G175" s="6" t="s">
        <v>24</v>
      </c>
      <c r="H175" s="6" t="n">
        <f aca="true">ROUND(RAND()*4+6,1)</f>
        <v>6.9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9655</v>
      </c>
      <c r="B176" s="5" t="s">
        <v>300</v>
      </c>
      <c r="C176" s="5" t="s">
        <v>15</v>
      </c>
      <c r="D176" s="5" t="s">
        <v>28</v>
      </c>
      <c r="E176" s="5" t="n">
        <f aca="false">ROUND(5984*1.05,2)</f>
        <v>6283.2</v>
      </c>
      <c r="F176" s="5" t="s">
        <v>29</v>
      </c>
      <c r="G176" s="5" t="s">
        <v>30</v>
      </c>
      <c r="H176" s="5" t="n">
        <f aca="true">ROUND(RAND()*4+6,1)</f>
        <v>7.6</v>
      </c>
      <c r="I176" s="5" t="s">
        <v>31</v>
      </c>
      <c r="J176" s="5" t="str">
        <f aca="false">ROUND(79*1,0)&amp;"%"</f>
        <v>79%</v>
      </c>
    </row>
    <row r="177" customFormat="false" ht="15" hidden="false" customHeight="false" outlineLevel="0" collapsed="false">
      <c r="A177" s="6" t="s">
        <v>9656</v>
      </c>
      <c r="B177" s="6" t="s">
        <v>302</v>
      </c>
      <c r="C177" s="6" t="s">
        <v>15</v>
      </c>
      <c r="D177" s="6" t="s">
        <v>34</v>
      </c>
      <c r="E177" s="6" t="n">
        <f aca="false">ROUND(13589*1.05,2)</f>
        <v>14268.45</v>
      </c>
      <c r="F177" s="6" t="s">
        <v>35</v>
      </c>
      <c r="G177" s="6" t="s">
        <v>18</v>
      </c>
      <c r="H177" s="6" t="n">
        <f aca="true">ROUND(RAND()*4+6,1)</f>
        <v>8.5</v>
      </c>
      <c r="I177" s="6" t="s">
        <v>36</v>
      </c>
      <c r="J177" s="6" t="str">
        <f aca="false">ROUND(79*1,0)&amp;"%"</f>
        <v>79%</v>
      </c>
    </row>
    <row r="178" customFormat="false" ht="15" hidden="false" customHeight="false" outlineLevel="0" collapsed="false">
      <c r="A178" s="5" t="s">
        <v>9657</v>
      </c>
      <c r="B178" s="5" t="s">
        <v>304</v>
      </c>
      <c r="C178" s="5" t="s">
        <v>15</v>
      </c>
      <c r="D178" s="5" t="s">
        <v>39</v>
      </c>
      <c r="E178" s="5" t="n">
        <f aca="false">ROUND(6853*1.05,2)</f>
        <v>7195.65</v>
      </c>
      <c r="F178" s="5" t="s">
        <v>40</v>
      </c>
      <c r="G178" s="5" t="s">
        <v>24</v>
      </c>
      <c r="H178" s="5" t="n">
        <f aca="true">ROUND(RAND()*4+6,1)</f>
        <v>7.1</v>
      </c>
      <c r="I178" s="5" t="s">
        <v>41</v>
      </c>
      <c r="J178" s="5" t="str">
        <f aca="false">ROUND(89*1,0)&amp;"%"</f>
        <v>89%</v>
      </c>
    </row>
    <row r="179" customFormat="false" ht="15" hidden="false" customHeight="false" outlineLevel="0" collapsed="false">
      <c r="A179" s="6" t="s">
        <v>9658</v>
      </c>
      <c r="B179" s="6" t="s">
        <v>306</v>
      </c>
      <c r="C179" s="6" t="s">
        <v>15</v>
      </c>
      <c r="D179" s="6" t="s">
        <v>44</v>
      </c>
      <c r="E179" s="6" t="n">
        <f aca="false">ROUND(8496*1.05,2)</f>
        <v>8920.8</v>
      </c>
      <c r="F179" s="6" t="s">
        <v>45</v>
      </c>
      <c r="G179" s="6" t="s">
        <v>30</v>
      </c>
      <c r="H179" s="6" t="n">
        <f aca="true">ROUND(RAND()*4+6,1)</f>
        <v>6.1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9659</v>
      </c>
      <c r="B180" s="5" t="s">
        <v>308</v>
      </c>
      <c r="C180" s="5" t="s">
        <v>15</v>
      </c>
      <c r="D180" s="5" t="s">
        <v>16</v>
      </c>
      <c r="E180" s="5" t="n">
        <f aca="false">ROUND(13246*1.05,2)</f>
        <v>13908.3</v>
      </c>
      <c r="F180" s="5" t="s">
        <v>49</v>
      </c>
      <c r="G180" s="5" t="s">
        <v>18</v>
      </c>
      <c r="H180" s="5" t="n">
        <f aca="true">ROUND(RAND()*4+6,1)</f>
        <v>7.7</v>
      </c>
      <c r="I180" s="5" t="s">
        <v>19</v>
      </c>
      <c r="J180" s="5" t="str">
        <f aca="false">ROUND(93*1,0)&amp;"%"</f>
        <v>93%</v>
      </c>
    </row>
    <row r="181" customFormat="false" ht="15" hidden="false" customHeight="false" outlineLevel="0" collapsed="false">
      <c r="A181" s="6" t="s">
        <v>9660</v>
      </c>
      <c r="B181" s="6" t="s">
        <v>310</v>
      </c>
      <c r="C181" s="6" t="s">
        <v>15</v>
      </c>
      <c r="D181" s="6" t="s">
        <v>22</v>
      </c>
      <c r="E181" s="6" t="n">
        <f aca="false">ROUND(15445*1.05,2)</f>
        <v>16217.25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ROUND(62*1,0)&amp;"%"</f>
        <v>62%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9661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9662</v>
      </c>
      <c r="B186" s="5" t="s">
        <v>314</v>
      </c>
      <c r="C186" s="5" t="s">
        <v>57</v>
      </c>
      <c r="D186" s="5" t="s">
        <v>16</v>
      </c>
      <c r="E186" s="5" t="n">
        <f aca="false">ROUND(15204*1.05,2)</f>
        <v>15964.2</v>
      </c>
      <c r="F186" s="5" t="s">
        <v>17</v>
      </c>
      <c r="G186" s="5" t="s">
        <v>18</v>
      </c>
      <c r="H186" s="5" t="n">
        <f aca="true">ROUND(RAND()*4+6,1)</f>
        <v>7</v>
      </c>
      <c r="I186" s="5" t="s">
        <v>19</v>
      </c>
      <c r="J186" s="5" t="str">
        <f aca="false">ROUND(100*1,0)&amp;"%"</f>
        <v>100%</v>
      </c>
    </row>
    <row r="187" customFormat="false" ht="15" hidden="false" customHeight="false" outlineLevel="0" collapsed="false">
      <c r="A187" s="6" t="s">
        <v>9663</v>
      </c>
      <c r="B187" s="6" t="s">
        <v>316</v>
      </c>
      <c r="C187" s="6" t="s">
        <v>57</v>
      </c>
      <c r="D187" s="6" t="s">
        <v>22</v>
      </c>
      <c r="E187" s="6" t="n">
        <f aca="false">ROUND(15172*1.05,2)</f>
        <v>15930.6</v>
      </c>
      <c r="F187" s="6" t="s">
        <v>23</v>
      </c>
      <c r="G187" s="6" t="s">
        <v>24</v>
      </c>
      <c r="H187" s="6" t="n">
        <f aca="true">ROUND(RAND()*4+6,1)</f>
        <v>9.7</v>
      </c>
      <c r="I187" s="6" t="s">
        <v>25</v>
      </c>
      <c r="J187" s="6" t="str">
        <f aca="false">ROUND(89*1,0)&amp;"%"</f>
        <v>89%</v>
      </c>
    </row>
    <row r="188" customFormat="false" ht="15" hidden="false" customHeight="false" outlineLevel="0" collapsed="false">
      <c r="A188" s="5" t="s">
        <v>9664</v>
      </c>
      <c r="B188" s="5" t="s">
        <v>318</v>
      </c>
      <c r="C188" s="5" t="s">
        <v>57</v>
      </c>
      <c r="D188" s="5" t="s">
        <v>28</v>
      </c>
      <c r="E188" s="5" t="n">
        <f aca="false">ROUND(17445*1.05,2)</f>
        <v>18317.25</v>
      </c>
      <c r="F188" s="5" t="s">
        <v>29</v>
      </c>
      <c r="G188" s="5" t="s">
        <v>30</v>
      </c>
      <c r="H188" s="5" t="n">
        <f aca="true">ROUND(RAND()*4+6,1)</f>
        <v>7.9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9665</v>
      </c>
      <c r="B189" s="6" t="s">
        <v>320</v>
      </c>
      <c r="C189" s="6" t="s">
        <v>57</v>
      </c>
      <c r="D189" s="6" t="s">
        <v>34</v>
      </c>
      <c r="E189" s="6" t="n">
        <f aca="false">ROUND(13542*1.05,2)</f>
        <v>14219.1</v>
      </c>
      <c r="F189" s="6" t="s">
        <v>35</v>
      </c>
      <c r="G189" s="6" t="s">
        <v>18</v>
      </c>
      <c r="H189" s="6" t="n">
        <f aca="true">ROUND(RAND()*4+6,1)</f>
        <v>9</v>
      </c>
      <c r="I189" s="6" t="s">
        <v>36</v>
      </c>
      <c r="J189" s="6" t="str">
        <f aca="false">ROUND(77*1,0)&amp;"%"</f>
        <v>77%</v>
      </c>
    </row>
    <row r="190" customFormat="false" ht="15" hidden="false" customHeight="false" outlineLevel="0" collapsed="false">
      <c r="A190" s="5" t="s">
        <v>9666</v>
      </c>
      <c r="B190" s="5" t="s">
        <v>322</v>
      </c>
      <c r="C190" s="5" t="s">
        <v>57</v>
      </c>
      <c r="D190" s="5" t="s">
        <v>39</v>
      </c>
      <c r="E190" s="5" t="n">
        <f aca="false">ROUND(9778*1.05,2)</f>
        <v>10266.9</v>
      </c>
      <c r="F190" s="5" t="s">
        <v>40</v>
      </c>
      <c r="G190" s="5" t="s">
        <v>24</v>
      </c>
      <c r="H190" s="5" t="n">
        <f aca="true">ROUND(RAND()*4+6,1)</f>
        <v>7.9</v>
      </c>
      <c r="I190" s="5" t="s">
        <v>41</v>
      </c>
      <c r="J190" s="5" t="str">
        <f aca="false">ROUND(78*1,0)&amp;"%"</f>
        <v>78%</v>
      </c>
    </row>
    <row r="191" customFormat="false" ht="15" hidden="false" customHeight="false" outlineLevel="0" collapsed="false">
      <c r="A191" s="6" t="s">
        <v>9667</v>
      </c>
      <c r="B191" s="6" t="s">
        <v>324</v>
      </c>
      <c r="C191" s="6" t="s">
        <v>57</v>
      </c>
      <c r="D191" s="6" t="s">
        <v>44</v>
      </c>
      <c r="E191" s="6" t="n">
        <f aca="false">ROUND(12208*1.05,2)</f>
        <v>12818.4</v>
      </c>
      <c r="F191" s="6" t="s">
        <v>45</v>
      </c>
      <c r="G191" s="6" t="s">
        <v>30</v>
      </c>
      <c r="H191" s="6" t="n">
        <f aca="true">ROUND(RAND()*4+6,1)</f>
        <v>9.8</v>
      </c>
      <c r="I191" s="6" t="s">
        <v>46</v>
      </c>
      <c r="J191" s="6" t="str">
        <f aca="false">ROUND(67*1,0)&amp;"%"</f>
        <v>67%</v>
      </c>
    </row>
    <row r="192" customFormat="false" ht="15" hidden="false" customHeight="false" outlineLevel="0" collapsed="false">
      <c r="A192" s="5" t="s">
        <v>9668</v>
      </c>
      <c r="B192" s="5" t="s">
        <v>326</v>
      </c>
      <c r="C192" s="5" t="s">
        <v>57</v>
      </c>
      <c r="D192" s="5" t="s">
        <v>16</v>
      </c>
      <c r="E192" s="5" t="n">
        <f aca="false">ROUND(12901*1.05,2)</f>
        <v>13546.05</v>
      </c>
      <c r="F192" s="5" t="s">
        <v>49</v>
      </c>
      <c r="G192" s="5" t="s">
        <v>18</v>
      </c>
      <c r="H192" s="5" t="n">
        <f aca="true">ROUND(RAND()*4+6,1)</f>
        <v>9.3</v>
      </c>
      <c r="I192" s="5" t="s">
        <v>19</v>
      </c>
      <c r="J192" s="5" t="str">
        <f aca="false">ROUND(75*1,0)&amp;"%"</f>
        <v>75%</v>
      </c>
    </row>
    <row r="193" customFormat="false" ht="15" hidden="false" customHeight="false" outlineLevel="0" collapsed="false">
      <c r="A193" s="6" t="s">
        <v>9669</v>
      </c>
      <c r="B193" s="6" t="s">
        <v>328</v>
      </c>
      <c r="C193" s="6" t="s">
        <v>57</v>
      </c>
      <c r="D193" s="6" t="s">
        <v>22</v>
      </c>
      <c r="E193" s="6" t="n">
        <f aca="false">ROUND(15480*1.05,2)</f>
        <v>16254</v>
      </c>
      <c r="F193" s="6" t="s">
        <v>52</v>
      </c>
      <c r="G193" s="6" t="s">
        <v>24</v>
      </c>
      <c r="H193" s="6" t="n">
        <f aca="true">ROUND(RAND()*4+6,1)</f>
        <v>6.1</v>
      </c>
      <c r="I193" s="6" t="s">
        <v>25</v>
      </c>
      <c r="J193" s="6" t="str">
        <f aca="false">ROUND(70*1,0)&amp;"%"</f>
        <v>70%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9670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9671</v>
      </c>
      <c r="B198" s="5" t="s">
        <v>332</v>
      </c>
      <c r="C198" s="5" t="s">
        <v>76</v>
      </c>
      <c r="D198" s="5" t="s">
        <v>16</v>
      </c>
      <c r="E198" s="5" t="n">
        <f aca="false">ROUND(14342*1.05,2)</f>
        <v>15059.1</v>
      </c>
      <c r="F198" s="5" t="s">
        <v>17</v>
      </c>
      <c r="G198" s="5" t="s">
        <v>18</v>
      </c>
      <c r="H198" s="5" t="n">
        <f aca="true">ROUND(RAND()*4+6,1)</f>
        <v>7.5</v>
      </c>
      <c r="I198" s="5" t="s">
        <v>19</v>
      </c>
      <c r="J198" s="5" t="str">
        <f aca="false">ROUND(84*1,0)&amp;"%"</f>
        <v>84%</v>
      </c>
    </row>
    <row r="199" customFormat="false" ht="15" hidden="false" customHeight="false" outlineLevel="0" collapsed="false">
      <c r="A199" s="6" t="s">
        <v>9672</v>
      </c>
      <c r="B199" s="6" t="s">
        <v>334</v>
      </c>
      <c r="C199" s="6" t="s">
        <v>76</v>
      </c>
      <c r="D199" s="6" t="s">
        <v>22</v>
      </c>
      <c r="E199" s="6" t="n">
        <f aca="false">ROUND(12319*1.05,2)</f>
        <v>12934.95</v>
      </c>
      <c r="F199" s="6" t="s">
        <v>23</v>
      </c>
      <c r="G199" s="6" t="s">
        <v>24</v>
      </c>
      <c r="H199" s="6" t="n">
        <f aca="true">ROUND(RAND()*4+6,1)</f>
        <v>7.9</v>
      </c>
      <c r="I199" s="6" t="s">
        <v>25</v>
      </c>
      <c r="J199" s="6" t="str">
        <f aca="false">ROUND(65*1,0)&amp;"%"</f>
        <v>65%</v>
      </c>
    </row>
    <row r="200" customFormat="false" ht="15" hidden="false" customHeight="false" outlineLevel="0" collapsed="false">
      <c r="A200" s="5" t="s">
        <v>9673</v>
      </c>
      <c r="B200" s="5" t="s">
        <v>336</v>
      </c>
      <c r="C200" s="5" t="s">
        <v>76</v>
      </c>
      <c r="D200" s="5" t="s">
        <v>28</v>
      </c>
      <c r="E200" s="5" t="n">
        <f aca="false">ROUND(10315*1.05,2)</f>
        <v>10830.75</v>
      </c>
      <c r="F200" s="5" t="s">
        <v>29</v>
      </c>
      <c r="G200" s="5" t="s">
        <v>30</v>
      </c>
      <c r="H200" s="5" t="n">
        <f aca="true">ROUND(RAND()*4+6,1)</f>
        <v>8.5</v>
      </c>
      <c r="I200" s="5" t="s">
        <v>31</v>
      </c>
      <c r="J200" s="5" t="str">
        <f aca="false">ROUND(80*1,0)&amp;"%"</f>
        <v>80%</v>
      </c>
    </row>
    <row r="201" customFormat="false" ht="15" hidden="false" customHeight="false" outlineLevel="0" collapsed="false">
      <c r="A201" s="6" t="s">
        <v>9674</v>
      </c>
      <c r="B201" s="6" t="s">
        <v>338</v>
      </c>
      <c r="C201" s="6" t="s">
        <v>76</v>
      </c>
      <c r="D201" s="6" t="s">
        <v>34</v>
      </c>
      <c r="E201" s="6" t="n">
        <f aca="false">ROUND(15324*1.05,2)</f>
        <v>16090.2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ROUND(68*1,0)&amp;"%"</f>
        <v>68%</v>
      </c>
    </row>
    <row r="202" customFormat="false" ht="15" hidden="false" customHeight="false" outlineLevel="0" collapsed="false">
      <c r="A202" s="5" t="s">
        <v>9675</v>
      </c>
      <c r="B202" s="5" t="s">
        <v>340</v>
      </c>
      <c r="C202" s="5" t="s">
        <v>76</v>
      </c>
      <c r="D202" s="5" t="s">
        <v>39</v>
      </c>
      <c r="E202" s="5" t="n">
        <f aca="false">ROUND(4786*1.05,2)</f>
        <v>5025.3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ROUND(83*1,0)&amp;"%"</f>
        <v>83%</v>
      </c>
    </row>
    <row r="203" customFormat="false" ht="15" hidden="false" customHeight="false" outlineLevel="0" collapsed="false">
      <c r="A203" s="6" t="s">
        <v>9676</v>
      </c>
      <c r="B203" s="6" t="s">
        <v>342</v>
      </c>
      <c r="C203" s="6" t="s">
        <v>76</v>
      </c>
      <c r="D203" s="6" t="s">
        <v>44</v>
      </c>
      <c r="E203" s="6" t="n">
        <f aca="false">ROUND(9830*1.05,2)</f>
        <v>10321.5</v>
      </c>
      <c r="F203" s="6" t="s">
        <v>45</v>
      </c>
      <c r="G203" s="6" t="s">
        <v>30</v>
      </c>
      <c r="H203" s="6" t="n">
        <f aca="true">ROUND(RAND()*4+6,1)</f>
        <v>6.8</v>
      </c>
      <c r="I203" s="6" t="s">
        <v>46</v>
      </c>
      <c r="J203" s="6" t="str">
        <f aca="false">ROUND(66*1,0)&amp;"%"</f>
        <v>66%</v>
      </c>
    </row>
    <row r="204" customFormat="false" ht="15" hidden="false" customHeight="false" outlineLevel="0" collapsed="false">
      <c r="A204" s="5" t="s">
        <v>9677</v>
      </c>
      <c r="B204" s="5" t="s">
        <v>344</v>
      </c>
      <c r="C204" s="5" t="s">
        <v>76</v>
      </c>
      <c r="D204" s="5" t="s">
        <v>16</v>
      </c>
      <c r="E204" s="5" t="n">
        <f aca="false">ROUND(15085*1.05,2)</f>
        <v>15839.25</v>
      </c>
      <c r="F204" s="5" t="s">
        <v>49</v>
      </c>
      <c r="G204" s="5" t="s">
        <v>18</v>
      </c>
      <c r="H204" s="5" t="n">
        <f aca="true">ROUND(RAND()*4+6,1)</f>
        <v>9.7</v>
      </c>
      <c r="I204" s="5" t="s">
        <v>19</v>
      </c>
      <c r="J204" s="5" t="str">
        <f aca="false">ROUND(74*1,0)&amp;"%"</f>
        <v>74%</v>
      </c>
    </row>
    <row r="205" customFormat="false" ht="15" hidden="false" customHeight="false" outlineLevel="0" collapsed="false">
      <c r="A205" s="6" t="s">
        <v>9678</v>
      </c>
      <c r="B205" s="6" t="s">
        <v>346</v>
      </c>
      <c r="C205" s="6" t="s">
        <v>76</v>
      </c>
      <c r="D205" s="6" t="s">
        <v>22</v>
      </c>
      <c r="E205" s="6" t="n">
        <f aca="false">ROUND(15431*1.05,2)</f>
        <v>16202.55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ROUND(88*1,0)&amp;"%"</f>
        <v>88%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9679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9680</v>
      </c>
      <c r="B210" s="5" t="s">
        <v>350</v>
      </c>
      <c r="C210" s="5" t="s">
        <v>95</v>
      </c>
      <c r="D210" s="5" t="s">
        <v>16</v>
      </c>
      <c r="E210" s="5" t="n">
        <f aca="false">ROUND(10032*1.05,2)</f>
        <v>10533.6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ROUND(66*1,0)&amp;"%"</f>
        <v>66%</v>
      </c>
    </row>
    <row r="211" customFormat="false" ht="15" hidden="false" customHeight="false" outlineLevel="0" collapsed="false">
      <c r="A211" s="6" t="s">
        <v>9681</v>
      </c>
      <c r="B211" s="6" t="s">
        <v>352</v>
      </c>
      <c r="C211" s="6" t="s">
        <v>95</v>
      </c>
      <c r="D211" s="6" t="s">
        <v>22</v>
      </c>
      <c r="E211" s="6" t="n">
        <f aca="false">ROUND(9501*1.05,2)</f>
        <v>9976.05</v>
      </c>
      <c r="F211" s="6" t="s">
        <v>23</v>
      </c>
      <c r="G211" s="6" t="s">
        <v>24</v>
      </c>
      <c r="H211" s="6" t="n">
        <f aca="true">ROUND(RAND()*4+6,1)</f>
        <v>8.6</v>
      </c>
      <c r="I211" s="6" t="s">
        <v>25</v>
      </c>
      <c r="J211" s="6" t="str">
        <f aca="false">ROUND(71*1,0)&amp;"%"</f>
        <v>71%</v>
      </c>
    </row>
    <row r="212" customFormat="false" ht="15" hidden="false" customHeight="false" outlineLevel="0" collapsed="false">
      <c r="A212" s="5" t="s">
        <v>9682</v>
      </c>
      <c r="B212" s="5" t="s">
        <v>354</v>
      </c>
      <c r="C212" s="5" t="s">
        <v>95</v>
      </c>
      <c r="D212" s="5" t="s">
        <v>28</v>
      </c>
      <c r="E212" s="5" t="n">
        <f aca="false">ROUND(15169*1.05,2)</f>
        <v>15927.45</v>
      </c>
      <c r="F212" s="5" t="s">
        <v>29</v>
      </c>
      <c r="G212" s="5" t="s">
        <v>30</v>
      </c>
      <c r="H212" s="5" t="n">
        <f aca="true">ROUND(RAND()*4+6,1)</f>
        <v>9.3</v>
      </c>
      <c r="I212" s="5" t="s">
        <v>31</v>
      </c>
      <c r="J212" s="5" t="str">
        <f aca="false">ROUND(89*1,0)&amp;"%"</f>
        <v>89%</v>
      </c>
    </row>
    <row r="213" customFormat="false" ht="15" hidden="false" customHeight="false" outlineLevel="0" collapsed="false">
      <c r="A213" s="6" t="s">
        <v>9683</v>
      </c>
      <c r="B213" s="6" t="s">
        <v>356</v>
      </c>
      <c r="C213" s="6" t="s">
        <v>95</v>
      </c>
      <c r="D213" s="6" t="s">
        <v>34</v>
      </c>
      <c r="E213" s="6" t="n">
        <f aca="false">ROUND(5102*1.05,2)</f>
        <v>5357.1</v>
      </c>
      <c r="F213" s="6" t="s">
        <v>35</v>
      </c>
      <c r="G213" s="6" t="s">
        <v>18</v>
      </c>
      <c r="H213" s="6" t="n">
        <f aca="true">ROUND(RAND()*4+6,1)</f>
        <v>9.7</v>
      </c>
      <c r="I213" s="6" t="s">
        <v>36</v>
      </c>
      <c r="J213" s="6" t="str">
        <f aca="false">ROUND(75*1,0)&amp;"%"</f>
        <v>75%</v>
      </c>
    </row>
    <row r="214" customFormat="false" ht="15" hidden="false" customHeight="false" outlineLevel="0" collapsed="false">
      <c r="A214" s="5" t="s">
        <v>9684</v>
      </c>
      <c r="B214" s="5" t="s">
        <v>358</v>
      </c>
      <c r="C214" s="5" t="s">
        <v>95</v>
      </c>
      <c r="D214" s="5" t="s">
        <v>39</v>
      </c>
      <c r="E214" s="5" t="n">
        <f aca="false">ROUND(9503*1.05,2)</f>
        <v>9978.15</v>
      </c>
      <c r="F214" s="5" t="s">
        <v>40</v>
      </c>
      <c r="G214" s="5" t="s">
        <v>24</v>
      </c>
      <c r="H214" s="5" t="n">
        <f aca="true">ROUND(RAND()*4+6,1)</f>
        <v>8.5</v>
      </c>
      <c r="I214" s="5" t="s">
        <v>41</v>
      </c>
      <c r="J214" s="5" t="str">
        <f aca="false">ROUND(68*1,0)&amp;"%"</f>
        <v>68%</v>
      </c>
    </row>
    <row r="215" customFormat="false" ht="15" hidden="false" customHeight="false" outlineLevel="0" collapsed="false">
      <c r="A215" s="6" t="s">
        <v>9685</v>
      </c>
      <c r="B215" s="6" t="s">
        <v>360</v>
      </c>
      <c r="C215" s="6" t="s">
        <v>95</v>
      </c>
      <c r="D215" s="6" t="s">
        <v>44</v>
      </c>
      <c r="E215" s="6" t="n">
        <f aca="false">ROUND(10794*1.05,2)</f>
        <v>11333.7</v>
      </c>
      <c r="F215" s="6" t="s">
        <v>45</v>
      </c>
      <c r="G215" s="6" t="s">
        <v>30</v>
      </c>
      <c r="H215" s="6" t="n">
        <f aca="true">ROUND(RAND()*4+6,1)</f>
        <v>8.2</v>
      </c>
      <c r="I215" s="6" t="s">
        <v>46</v>
      </c>
      <c r="J215" s="6" t="str">
        <f aca="false">ROUND(70*1,0)&amp;"%"</f>
        <v>70%</v>
      </c>
    </row>
    <row r="216" customFormat="false" ht="15" hidden="false" customHeight="false" outlineLevel="0" collapsed="false">
      <c r="A216" s="5" t="s">
        <v>9686</v>
      </c>
      <c r="B216" s="5" t="s">
        <v>362</v>
      </c>
      <c r="C216" s="5" t="s">
        <v>95</v>
      </c>
      <c r="D216" s="5" t="s">
        <v>16</v>
      </c>
      <c r="E216" s="5" t="n">
        <f aca="false">ROUND(16999*1.05,2)</f>
        <v>17848.95</v>
      </c>
      <c r="F216" s="5" t="s">
        <v>49</v>
      </c>
      <c r="G216" s="5" t="s">
        <v>18</v>
      </c>
      <c r="H216" s="5" t="n">
        <f aca="true">ROUND(RAND()*4+6,1)</f>
        <v>9.3</v>
      </c>
      <c r="I216" s="5" t="s">
        <v>19</v>
      </c>
      <c r="J216" s="5" t="str">
        <f aca="false">ROUND(78*1,0)&amp;"%"</f>
        <v>78%</v>
      </c>
    </row>
    <row r="217" customFormat="false" ht="15" hidden="false" customHeight="false" outlineLevel="0" collapsed="false">
      <c r="A217" s="6" t="s">
        <v>9687</v>
      </c>
      <c r="B217" s="6" t="s">
        <v>364</v>
      </c>
      <c r="C217" s="6" t="s">
        <v>95</v>
      </c>
      <c r="D217" s="6" t="s">
        <v>22</v>
      </c>
      <c r="E217" s="6" t="n">
        <f aca="false">ROUND(10928*1.05,2)</f>
        <v>11474.4</v>
      </c>
      <c r="F217" s="6" t="s">
        <v>52</v>
      </c>
      <c r="G217" s="6" t="s">
        <v>24</v>
      </c>
      <c r="H217" s="6" t="n">
        <f aca="true">ROUND(RAND()*4+6,1)</f>
        <v>8.5</v>
      </c>
      <c r="I217" s="6" t="s">
        <v>25</v>
      </c>
      <c r="J217" s="6" t="str">
        <f aca="false">ROUND(95*1,0)&amp;"%"</f>
        <v>95%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9688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9689</v>
      </c>
      <c r="B222" s="5" t="s">
        <v>368</v>
      </c>
      <c r="C222" s="5" t="s">
        <v>114</v>
      </c>
      <c r="D222" s="5" t="s">
        <v>16</v>
      </c>
      <c r="E222" s="5" t="n">
        <f aca="false">ROUND(5638*1.05,2)</f>
        <v>5919.9</v>
      </c>
      <c r="F222" s="5" t="s">
        <v>17</v>
      </c>
      <c r="G222" s="5" t="s">
        <v>18</v>
      </c>
      <c r="H222" s="5" t="n">
        <f aca="true">ROUND(RAND()*4+6,1)</f>
        <v>7</v>
      </c>
      <c r="I222" s="5" t="s">
        <v>19</v>
      </c>
      <c r="J222" s="5" t="str">
        <f aca="false">ROUND(93*1,0)&amp;"%"</f>
        <v>93%</v>
      </c>
    </row>
    <row r="223" customFormat="false" ht="15" hidden="false" customHeight="false" outlineLevel="0" collapsed="false">
      <c r="A223" s="6" t="s">
        <v>9690</v>
      </c>
      <c r="B223" s="6" t="s">
        <v>370</v>
      </c>
      <c r="C223" s="6" t="s">
        <v>114</v>
      </c>
      <c r="D223" s="6" t="s">
        <v>22</v>
      </c>
      <c r="E223" s="6" t="n">
        <f aca="false">ROUND(14000*1.05,2)</f>
        <v>14700</v>
      </c>
      <c r="F223" s="6" t="s">
        <v>23</v>
      </c>
      <c r="G223" s="6" t="s">
        <v>24</v>
      </c>
      <c r="H223" s="6" t="n">
        <f aca="true">ROUND(RAND()*4+6,1)</f>
        <v>6.1</v>
      </c>
      <c r="I223" s="6" t="s">
        <v>25</v>
      </c>
      <c r="J223" s="6" t="str">
        <f aca="false">ROUND(92*1,0)&amp;"%"</f>
        <v>92%</v>
      </c>
    </row>
    <row r="224" customFormat="false" ht="15" hidden="false" customHeight="false" outlineLevel="0" collapsed="false">
      <c r="A224" s="5" t="s">
        <v>9691</v>
      </c>
      <c r="B224" s="5" t="s">
        <v>372</v>
      </c>
      <c r="C224" s="5" t="s">
        <v>114</v>
      </c>
      <c r="D224" s="5" t="s">
        <v>28</v>
      </c>
      <c r="E224" s="5" t="n">
        <f aca="false">ROUND(7206*1.05,2)</f>
        <v>7566.3</v>
      </c>
      <c r="F224" s="5" t="s">
        <v>29</v>
      </c>
      <c r="G224" s="5" t="s">
        <v>30</v>
      </c>
      <c r="H224" s="5" t="n">
        <f aca="true">ROUND(RAND()*4+6,1)</f>
        <v>9.3</v>
      </c>
      <c r="I224" s="5" t="s">
        <v>31</v>
      </c>
      <c r="J224" s="5" t="str">
        <f aca="false">ROUND(74*1,0)&amp;"%"</f>
        <v>74%</v>
      </c>
    </row>
    <row r="225" customFormat="false" ht="15" hidden="false" customHeight="false" outlineLevel="0" collapsed="false">
      <c r="A225" s="6" t="s">
        <v>9692</v>
      </c>
      <c r="B225" s="6" t="s">
        <v>374</v>
      </c>
      <c r="C225" s="6" t="s">
        <v>114</v>
      </c>
      <c r="D225" s="6" t="s">
        <v>34</v>
      </c>
      <c r="E225" s="6" t="n">
        <f aca="false">ROUND(14627*1.05,2)</f>
        <v>15358.35</v>
      </c>
      <c r="F225" s="6" t="s">
        <v>35</v>
      </c>
      <c r="G225" s="6" t="s">
        <v>18</v>
      </c>
      <c r="H225" s="6" t="n">
        <f aca="true">ROUND(RAND()*4+6,1)</f>
        <v>6.3</v>
      </c>
      <c r="I225" s="6" t="s">
        <v>36</v>
      </c>
      <c r="J225" s="6" t="str">
        <f aca="false">ROUND(62*1,0)&amp;"%"</f>
        <v>62%</v>
      </c>
    </row>
    <row r="226" customFormat="false" ht="15" hidden="false" customHeight="false" outlineLevel="0" collapsed="false">
      <c r="A226" s="5" t="s">
        <v>9693</v>
      </c>
      <c r="B226" s="5" t="s">
        <v>376</v>
      </c>
      <c r="C226" s="5" t="s">
        <v>114</v>
      </c>
      <c r="D226" s="5" t="s">
        <v>39</v>
      </c>
      <c r="E226" s="5" t="n">
        <f aca="false">ROUND(5349*1.05,2)</f>
        <v>5616.45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ROUND(71*1,0)&amp;"%"</f>
        <v>71%</v>
      </c>
    </row>
    <row r="227" customFormat="false" ht="15" hidden="false" customHeight="false" outlineLevel="0" collapsed="false">
      <c r="A227" s="6" t="s">
        <v>9694</v>
      </c>
      <c r="B227" s="6" t="s">
        <v>378</v>
      </c>
      <c r="C227" s="6" t="s">
        <v>114</v>
      </c>
      <c r="D227" s="6" t="s">
        <v>44</v>
      </c>
      <c r="E227" s="6" t="n">
        <f aca="false">ROUND(7424*1.05,2)</f>
        <v>7795.2</v>
      </c>
      <c r="F227" s="6" t="s">
        <v>45</v>
      </c>
      <c r="G227" s="6" t="s">
        <v>30</v>
      </c>
      <c r="H227" s="6" t="n">
        <f aca="true">ROUND(RAND()*4+6,1)</f>
        <v>8.2</v>
      </c>
      <c r="I227" s="6" t="s">
        <v>46</v>
      </c>
      <c r="J227" s="6" t="str">
        <f aca="false">ROUND(91*1,0)&amp;"%"</f>
        <v>91%</v>
      </c>
    </row>
    <row r="228" customFormat="false" ht="15" hidden="false" customHeight="false" outlineLevel="0" collapsed="false">
      <c r="A228" s="5" t="s">
        <v>9695</v>
      </c>
      <c r="B228" s="5" t="s">
        <v>380</v>
      </c>
      <c r="C228" s="5" t="s">
        <v>114</v>
      </c>
      <c r="D228" s="5" t="s">
        <v>16</v>
      </c>
      <c r="E228" s="5" t="n">
        <f aca="false">ROUND(15771*1.05,2)</f>
        <v>16559.55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ROUND(74*1,0)&amp;"%"</f>
        <v>74%</v>
      </c>
    </row>
    <row r="229" customFormat="false" ht="15" hidden="false" customHeight="false" outlineLevel="0" collapsed="false">
      <c r="A229" s="6" t="s">
        <v>9696</v>
      </c>
      <c r="B229" s="6" t="s">
        <v>382</v>
      </c>
      <c r="C229" s="6" t="s">
        <v>114</v>
      </c>
      <c r="D229" s="6" t="s">
        <v>22</v>
      </c>
      <c r="E229" s="6" t="n">
        <f aca="false">ROUND(17653*1.05,2)</f>
        <v>18535.65</v>
      </c>
      <c r="F229" s="6" t="s">
        <v>52</v>
      </c>
      <c r="G229" s="6" t="s">
        <v>24</v>
      </c>
      <c r="H229" s="6" t="n">
        <f aca="true">ROUND(RAND()*4+6,1)</f>
        <v>8.9</v>
      </c>
      <c r="I229" s="6" t="s">
        <v>25</v>
      </c>
      <c r="J229" s="6" t="str">
        <f aca="false">ROUND(97*1,0)&amp;"%"</f>
        <v>97%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9697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9698</v>
      </c>
      <c r="B234" s="5" t="s">
        <v>386</v>
      </c>
      <c r="C234" s="5" t="s">
        <v>133</v>
      </c>
      <c r="D234" s="5" t="s">
        <v>16</v>
      </c>
      <c r="E234" s="5" t="n">
        <f aca="false">ROUND(13466*1.05,2)</f>
        <v>14139.3</v>
      </c>
      <c r="F234" s="5" t="s">
        <v>17</v>
      </c>
      <c r="G234" s="5" t="s">
        <v>18</v>
      </c>
      <c r="H234" s="5" t="n">
        <f aca="true">ROUND(RAND()*4+6,1)</f>
        <v>8.5</v>
      </c>
      <c r="I234" s="5" t="s">
        <v>19</v>
      </c>
      <c r="J234" s="5" t="str">
        <f aca="false">ROUND(69*1,0)&amp;"%"</f>
        <v>69%</v>
      </c>
    </row>
    <row r="235" customFormat="false" ht="15" hidden="false" customHeight="false" outlineLevel="0" collapsed="false">
      <c r="A235" s="6" t="s">
        <v>9699</v>
      </c>
      <c r="B235" s="6" t="s">
        <v>388</v>
      </c>
      <c r="C235" s="6" t="s">
        <v>133</v>
      </c>
      <c r="D235" s="6" t="s">
        <v>22</v>
      </c>
      <c r="E235" s="6" t="n">
        <f aca="false">ROUND(6692*1.05,2)</f>
        <v>7026.6</v>
      </c>
      <c r="F235" s="6" t="s">
        <v>23</v>
      </c>
      <c r="G235" s="6" t="s">
        <v>24</v>
      </c>
      <c r="H235" s="6" t="n">
        <f aca="true">ROUND(RAND()*4+6,1)</f>
        <v>8.6</v>
      </c>
      <c r="I235" s="6" t="s">
        <v>25</v>
      </c>
      <c r="J235" s="6" t="str">
        <f aca="false">ROUND(67*1,0)&amp;"%"</f>
        <v>67%</v>
      </c>
    </row>
    <row r="236" customFormat="false" ht="15" hidden="false" customHeight="false" outlineLevel="0" collapsed="false">
      <c r="A236" s="5" t="s">
        <v>9700</v>
      </c>
      <c r="B236" s="5" t="s">
        <v>390</v>
      </c>
      <c r="C236" s="5" t="s">
        <v>133</v>
      </c>
      <c r="D236" s="5" t="s">
        <v>28</v>
      </c>
      <c r="E236" s="5" t="n">
        <f aca="false">ROUND(14839*1.05,2)</f>
        <v>15580.95</v>
      </c>
      <c r="F236" s="5" t="s">
        <v>29</v>
      </c>
      <c r="G236" s="5" t="s">
        <v>30</v>
      </c>
      <c r="H236" s="5" t="n">
        <f aca="true">ROUND(RAND()*4+6,1)</f>
        <v>6.9</v>
      </c>
      <c r="I236" s="5" t="s">
        <v>31</v>
      </c>
      <c r="J236" s="5" t="str">
        <f aca="false">ROUND(69*1,0)&amp;"%"</f>
        <v>69%</v>
      </c>
    </row>
    <row r="237" customFormat="false" ht="15" hidden="false" customHeight="false" outlineLevel="0" collapsed="false">
      <c r="A237" s="6" t="s">
        <v>9701</v>
      </c>
      <c r="B237" s="6" t="s">
        <v>392</v>
      </c>
      <c r="C237" s="6" t="s">
        <v>133</v>
      </c>
      <c r="D237" s="6" t="s">
        <v>34</v>
      </c>
      <c r="E237" s="6" t="n">
        <f aca="false">ROUND(5037*1.05,2)</f>
        <v>5288.85</v>
      </c>
      <c r="F237" s="6" t="s">
        <v>35</v>
      </c>
      <c r="G237" s="6" t="s">
        <v>18</v>
      </c>
      <c r="H237" s="6" t="n">
        <f aca="true">ROUND(RAND()*4+6,1)</f>
        <v>8.4</v>
      </c>
      <c r="I237" s="6" t="s">
        <v>36</v>
      </c>
      <c r="J237" s="6" t="str">
        <f aca="false">ROUND(90*1,0)&amp;"%"</f>
        <v>90%</v>
      </c>
    </row>
    <row r="238" customFormat="false" ht="15" hidden="false" customHeight="false" outlineLevel="0" collapsed="false">
      <c r="A238" s="5" t="s">
        <v>9702</v>
      </c>
      <c r="B238" s="5" t="s">
        <v>394</v>
      </c>
      <c r="C238" s="5" t="s">
        <v>133</v>
      </c>
      <c r="D238" s="5" t="s">
        <v>39</v>
      </c>
      <c r="E238" s="5" t="n">
        <f aca="false">ROUND(4977*1.05,2)</f>
        <v>5225.85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ROUND(77*1,0)&amp;"%"</f>
        <v>77%</v>
      </c>
    </row>
    <row r="239" customFormat="false" ht="15" hidden="false" customHeight="false" outlineLevel="0" collapsed="false">
      <c r="A239" s="6" t="s">
        <v>9703</v>
      </c>
      <c r="B239" s="6" t="s">
        <v>396</v>
      </c>
      <c r="C239" s="6" t="s">
        <v>133</v>
      </c>
      <c r="D239" s="6" t="s">
        <v>44</v>
      </c>
      <c r="E239" s="6" t="n">
        <f aca="false">ROUND(6080*1.05,2)</f>
        <v>6384</v>
      </c>
      <c r="F239" s="6" t="s">
        <v>45</v>
      </c>
      <c r="G239" s="6" t="s">
        <v>30</v>
      </c>
      <c r="H239" s="6" t="n">
        <f aca="true">ROUND(RAND()*4+6,1)</f>
        <v>6.1</v>
      </c>
      <c r="I239" s="6" t="s">
        <v>46</v>
      </c>
      <c r="J239" s="6" t="str">
        <f aca="false">ROUND(63*1,0)&amp;"%"</f>
        <v>63%</v>
      </c>
    </row>
    <row r="240" customFormat="false" ht="15" hidden="false" customHeight="false" outlineLevel="0" collapsed="false">
      <c r="A240" s="5" t="s">
        <v>9704</v>
      </c>
      <c r="B240" s="5" t="s">
        <v>398</v>
      </c>
      <c r="C240" s="5" t="s">
        <v>133</v>
      </c>
      <c r="D240" s="5" t="s">
        <v>16</v>
      </c>
      <c r="E240" s="5" t="n">
        <f aca="false">ROUND(10412*1.05,2)</f>
        <v>10932.6</v>
      </c>
      <c r="F240" s="5" t="s">
        <v>49</v>
      </c>
      <c r="G240" s="5" t="s">
        <v>18</v>
      </c>
      <c r="H240" s="5" t="n">
        <f aca="true">ROUND(RAND()*4+6,1)</f>
        <v>9.7</v>
      </c>
      <c r="I240" s="5" t="s">
        <v>19</v>
      </c>
      <c r="J240" s="5" t="str">
        <f aca="false">ROUND(83*1,0)&amp;"%"</f>
        <v>83%</v>
      </c>
    </row>
    <row r="241" customFormat="false" ht="15" hidden="false" customHeight="false" outlineLevel="0" collapsed="false">
      <c r="A241" s="6" t="s">
        <v>9705</v>
      </c>
      <c r="B241" s="6" t="s">
        <v>400</v>
      </c>
      <c r="C241" s="6" t="s">
        <v>133</v>
      </c>
      <c r="D241" s="6" t="s">
        <v>22</v>
      </c>
      <c r="E241" s="6" t="n">
        <f aca="false">ROUND(4706*1.05,2)</f>
        <v>4941.3</v>
      </c>
      <c r="F241" s="6" t="s">
        <v>52</v>
      </c>
      <c r="G241" s="6" t="s">
        <v>24</v>
      </c>
      <c r="H241" s="6" t="n">
        <f aca="true">ROUND(RAND()*4+6,1)</f>
        <v>7</v>
      </c>
      <c r="I241" s="6" t="s">
        <v>25</v>
      </c>
      <c r="J241" s="6" t="str">
        <f aca="false">ROUND(68*1,0)&amp;"%"</f>
        <v>68%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9706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9707</v>
      </c>
      <c r="B246" s="5" t="s">
        <v>404</v>
      </c>
      <c r="C246" s="5" t="s">
        <v>152</v>
      </c>
      <c r="D246" s="5" t="s">
        <v>16</v>
      </c>
      <c r="E246" s="5" t="n">
        <f aca="false">ROUND(7687*1.05,2)</f>
        <v>8071.35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ROUND(64*1,0)&amp;"%"</f>
        <v>64%</v>
      </c>
    </row>
    <row r="247" customFormat="false" ht="15" hidden="false" customHeight="false" outlineLevel="0" collapsed="false">
      <c r="A247" s="6" t="s">
        <v>9708</v>
      </c>
      <c r="B247" s="6" t="s">
        <v>406</v>
      </c>
      <c r="C247" s="6" t="s">
        <v>152</v>
      </c>
      <c r="D247" s="6" t="s">
        <v>22</v>
      </c>
      <c r="E247" s="6" t="n">
        <f aca="false">ROUND(10030*1.05,2)</f>
        <v>10531.5</v>
      </c>
      <c r="F247" s="6" t="s">
        <v>23</v>
      </c>
      <c r="G247" s="6" t="s">
        <v>24</v>
      </c>
      <c r="H247" s="6" t="n">
        <f aca="true">ROUND(RAND()*4+6,1)</f>
        <v>6.5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9709</v>
      </c>
      <c r="B248" s="5" t="s">
        <v>408</v>
      </c>
      <c r="C248" s="5" t="s">
        <v>152</v>
      </c>
      <c r="D248" s="5" t="s">
        <v>28</v>
      </c>
      <c r="E248" s="5" t="n">
        <f aca="false">ROUND(17285*1.05,2)</f>
        <v>18149.25</v>
      </c>
      <c r="F248" s="5" t="s">
        <v>29</v>
      </c>
      <c r="G248" s="5" t="s">
        <v>30</v>
      </c>
      <c r="H248" s="5" t="n">
        <f aca="true">ROUND(RAND()*4+6,1)</f>
        <v>7.1</v>
      </c>
      <c r="I248" s="5" t="s">
        <v>31</v>
      </c>
      <c r="J248" s="5" t="str">
        <f aca="false">ROUND(60*1,0)&amp;"%"</f>
        <v>60%</v>
      </c>
    </row>
    <row r="249" customFormat="false" ht="15" hidden="false" customHeight="false" outlineLevel="0" collapsed="false">
      <c r="A249" s="6" t="s">
        <v>9710</v>
      </c>
      <c r="B249" s="6" t="s">
        <v>410</v>
      </c>
      <c r="C249" s="6" t="s">
        <v>152</v>
      </c>
      <c r="D249" s="6" t="s">
        <v>34</v>
      </c>
      <c r="E249" s="6" t="n">
        <f aca="false">ROUND(7031*1.05,2)</f>
        <v>7382.55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ROUND(74*1,0)&amp;"%"</f>
        <v>74%</v>
      </c>
    </row>
    <row r="250" customFormat="false" ht="15" hidden="false" customHeight="false" outlineLevel="0" collapsed="false">
      <c r="A250" s="5" t="s">
        <v>9711</v>
      </c>
      <c r="B250" s="5" t="s">
        <v>412</v>
      </c>
      <c r="C250" s="5" t="s">
        <v>152</v>
      </c>
      <c r="D250" s="5" t="s">
        <v>39</v>
      </c>
      <c r="E250" s="5" t="n">
        <f aca="false">ROUND(16247*1.05,2)</f>
        <v>17059.35</v>
      </c>
      <c r="F250" s="5" t="s">
        <v>40</v>
      </c>
      <c r="G250" s="5" t="s">
        <v>24</v>
      </c>
      <c r="H250" s="5" t="n">
        <f aca="true">ROUND(RAND()*4+6,1)</f>
        <v>8.3</v>
      </c>
      <c r="I250" s="5" t="s">
        <v>41</v>
      </c>
      <c r="J250" s="5" t="str">
        <f aca="false">ROUND(81*1,0)&amp;"%"</f>
        <v>81%</v>
      </c>
    </row>
    <row r="251" customFormat="false" ht="15" hidden="false" customHeight="false" outlineLevel="0" collapsed="false">
      <c r="A251" s="6" t="s">
        <v>9712</v>
      </c>
      <c r="B251" s="6" t="s">
        <v>414</v>
      </c>
      <c r="C251" s="6" t="s">
        <v>152</v>
      </c>
      <c r="D251" s="6" t="s">
        <v>44</v>
      </c>
      <c r="E251" s="6" t="n">
        <f aca="false">ROUND(7904*1.05,2)</f>
        <v>8299.2</v>
      </c>
      <c r="F251" s="6" t="s">
        <v>45</v>
      </c>
      <c r="G251" s="6" t="s">
        <v>30</v>
      </c>
      <c r="H251" s="6" t="n">
        <f aca="true">ROUND(RAND()*4+6,1)</f>
        <v>6.7</v>
      </c>
      <c r="I251" s="6" t="s">
        <v>46</v>
      </c>
      <c r="J251" s="6" t="str">
        <f aca="false">ROUND(89*1,0)&amp;"%"</f>
        <v>89%</v>
      </c>
    </row>
    <row r="252" customFormat="false" ht="15" hidden="false" customHeight="false" outlineLevel="0" collapsed="false">
      <c r="A252" s="5" t="s">
        <v>9713</v>
      </c>
      <c r="B252" s="5" t="s">
        <v>416</v>
      </c>
      <c r="C252" s="5" t="s">
        <v>152</v>
      </c>
      <c r="D252" s="5" t="s">
        <v>16</v>
      </c>
      <c r="E252" s="5" t="n">
        <f aca="false">ROUND(15444*1.05,2)</f>
        <v>16216.2</v>
      </c>
      <c r="F252" s="5" t="s">
        <v>49</v>
      </c>
      <c r="G252" s="5" t="s">
        <v>18</v>
      </c>
      <c r="H252" s="5" t="n">
        <f aca="true">ROUND(RAND()*4+6,1)</f>
        <v>7.7</v>
      </c>
      <c r="I252" s="5" t="s">
        <v>19</v>
      </c>
      <c r="J252" s="5" t="str">
        <f aca="false">ROUND(97*1,0)&amp;"%"</f>
        <v>97%</v>
      </c>
    </row>
    <row r="253" customFormat="false" ht="15" hidden="false" customHeight="false" outlineLevel="0" collapsed="false">
      <c r="A253" s="6" t="s">
        <v>9714</v>
      </c>
      <c r="B253" s="6" t="s">
        <v>418</v>
      </c>
      <c r="C253" s="6" t="s">
        <v>152</v>
      </c>
      <c r="D253" s="6" t="s">
        <v>22</v>
      </c>
      <c r="E253" s="6" t="n">
        <f aca="false">ROUND(13711*1.05,2)</f>
        <v>14396.55</v>
      </c>
      <c r="F253" s="6" t="s">
        <v>52</v>
      </c>
      <c r="G253" s="6" t="s">
        <v>24</v>
      </c>
      <c r="H253" s="6" t="n">
        <f aca="true">ROUND(RAND()*4+6,1)</f>
        <v>9.8</v>
      </c>
      <c r="I253" s="6" t="s">
        <v>25</v>
      </c>
      <c r="J253" s="6" t="str">
        <f aca="false">ROUND(77*1,0)&amp;"%"</f>
        <v>77%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9715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9716</v>
      </c>
      <c r="B258" s="5" t="s">
        <v>422</v>
      </c>
      <c r="C258" s="5" t="s">
        <v>15</v>
      </c>
      <c r="D258" s="5" t="s">
        <v>16</v>
      </c>
      <c r="E258" s="5" t="n">
        <f aca="false">ROUND(7384*1.05,2)</f>
        <v>7753.2</v>
      </c>
      <c r="F258" s="5" t="s">
        <v>17</v>
      </c>
      <c r="G258" s="5" t="s">
        <v>18</v>
      </c>
      <c r="H258" s="5" t="n">
        <f aca="true">ROUND(RAND()*4+6,1)</f>
        <v>7.8</v>
      </c>
      <c r="I258" s="5" t="s">
        <v>19</v>
      </c>
      <c r="J258" s="5" t="str">
        <f aca="false">ROUND(83*1,0)&amp;"%"</f>
        <v>83%</v>
      </c>
    </row>
    <row r="259" customFormat="false" ht="15" hidden="false" customHeight="false" outlineLevel="0" collapsed="false">
      <c r="A259" s="6" t="s">
        <v>9717</v>
      </c>
      <c r="B259" s="6" t="s">
        <v>424</v>
      </c>
      <c r="C259" s="6" t="s">
        <v>15</v>
      </c>
      <c r="D259" s="6" t="s">
        <v>22</v>
      </c>
      <c r="E259" s="6" t="n">
        <f aca="false">ROUND(5221*1.05,2)</f>
        <v>5482.05</v>
      </c>
      <c r="F259" s="6" t="s">
        <v>23</v>
      </c>
      <c r="G259" s="6" t="s">
        <v>24</v>
      </c>
      <c r="H259" s="6" t="n">
        <f aca="true">ROUND(RAND()*4+6,1)</f>
        <v>6.8</v>
      </c>
      <c r="I259" s="6" t="s">
        <v>25</v>
      </c>
      <c r="J259" s="6" t="str">
        <f aca="false">ROUND(98*1,0)&amp;"%"</f>
        <v>98%</v>
      </c>
    </row>
    <row r="260" customFormat="false" ht="15" hidden="false" customHeight="false" outlineLevel="0" collapsed="false">
      <c r="A260" s="5" t="s">
        <v>9718</v>
      </c>
      <c r="B260" s="5" t="s">
        <v>426</v>
      </c>
      <c r="C260" s="5" t="s">
        <v>15</v>
      </c>
      <c r="D260" s="5" t="s">
        <v>28</v>
      </c>
      <c r="E260" s="5" t="n">
        <f aca="false">ROUND(11705*1.05,2)</f>
        <v>12290.25</v>
      </c>
      <c r="F260" s="5" t="s">
        <v>29</v>
      </c>
      <c r="G260" s="5" t="s">
        <v>30</v>
      </c>
      <c r="H260" s="5" t="n">
        <f aca="true">ROUND(RAND()*4+6,1)</f>
        <v>7.4</v>
      </c>
      <c r="I260" s="5" t="s">
        <v>31</v>
      </c>
      <c r="J260" s="5" t="str">
        <f aca="false">ROUND(83*1,0)&amp;"%"</f>
        <v>83%</v>
      </c>
    </row>
    <row r="261" customFormat="false" ht="15" hidden="false" customHeight="false" outlineLevel="0" collapsed="false">
      <c r="A261" s="6" t="s">
        <v>9719</v>
      </c>
      <c r="B261" s="6" t="s">
        <v>428</v>
      </c>
      <c r="C261" s="6" t="s">
        <v>15</v>
      </c>
      <c r="D261" s="6" t="s">
        <v>34</v>
      </c>
      <c r="E261" s="6" t="n">
        <f aca="false">ROUND(14178*1.05,2)</f>
        <v>14886.9</v>
      </c>
      <c r="F261" s="6" t="s">
        <v>35</v>
      </c>
      <c r="G261" s="6" t="s">
        <v>18</v>
      </c>
      <c r="H261" s="6" t="n">
        <f aca="true">ROUND(RAND()*4+6,1)</f>
        <v>8.7</v>
      </c>
      <c r="I261" s="6" t="s">
        <v>36</v>
      </c>
      <c r="J261" s="6" t="str">
        <f aca="false">ROUND(77*1,0)&amp;"%"</f>
        <v>77%</v>
      </c>
    </row>
    <row r="262" customFormat="false" ht="15" hidden="false" customHeight="false" outlineLevel="0" collapsed="false">
      <c r="A262" s="5" t="s">
        <v>9720</v>
      </c>
      <c r="B262" s="5" t="s">
        <v>430</v>
      </c>
      <c r="C262" s="5" t="s">
        <v>15</v>
      </c>
      <c r="D262" s="5" t="s">
        <v>39</v>
      </c>
      <c r="E262" s="5" t="n">
        <f aca="false">ROUND(12244*1.05,2)</f>
        <v>12856.2</v>
      </c>
      <c r="F262" s="5" t="s">
        <v>40</v>
      </c>
      <c r="G262" s="5" t="s">
        <v>24</v>
      </c>
      <c r="H262" s="5" t="n">
        <f aca="true">ROUND(RAND()*4+6,1)</f>
        <v>9.3</v>
      </c>
      <c r="I262" s="5" t="s">
        <v>41</v>
      </c>
      <c r="J262" s="5" t="str">
        <f aca="false">ROUND(87*1,0)&amp;"%"</f>
        <v>87%</v>
      </c>
    </row>
    <row r="263" customFormat="false" ht="15" hidden="false" customHeight="false" outlineLevel="0" collapsed="false">
      <c r="A263" s="6" t="s">
        <v>9721</v>
      </c>
      <c r="B263" s="6" t="s">
        <v>432</v>
      </c>
      <c r="C263" s="6" t="s">
        <v>15</v>
      </c>
      <c r="D263" s="6" t="s">
        <v>44</v>
      </c>
      <c r="E263" s="6" t="n">
        <f aca="false">ROUND(16475*1.05,2)</f>
        <v>17298.75</v>
      </c>
      <c r="F263" s="6" t="s">
        <v>45</v>
      </c>
      <c r="G263" s="6" t="s">
        <v>30</v>
      </c>
      <c r="H263" s="6" t="n">
        <f aca="true">ROUND(RAND()*4+6,1)</f>
        <v>6.4</v>
      </c>
      <c r="I263" s="6" t="s">
        <v>46</v>
      </c>
      <c r="J263" s="6" t="str">
        <f aca="false">ROUND(100*1,0)&amp;"%"</f>
        <v>100%</v>
      </c>
    </row>
    <row r="264" customFormat="false" ht="15" hidden="false" customHeight="false" outlineLevel="0" collapsed="false">
      <c r="A264" s="5" t="s">
        <v>9722</v>
      </c>
      <c r="B264" s="5" t="s">
        <v>434</v>
      </c>
      <c r="C264" s="5" t="s">
        <v>15</v>
      </c>
      <c r="D264" s="5" t="s">
        <v>16</v>
      </c>
      <c r="E264" s="5" t="n">
        <f aca="false">ROUND(12062*1.05,2)</f>
        <v>12665.1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ROUND(89*1,0)&amp;"%"</f>
        <v>89%</v>
      </c>
    </row>
    <row r="265" customFormat="false" ht="15" hidden="false" customHeight="false" outlineLevel="0" collapsed="false">
      <c r="A265" s="6" t="s">
        <v>9723</v>
      </c>
      <c r="B265" s="6" t="s">
        <v>436</v>
      </c>
      <c r="C265" s="6" t="s">
        <v>15</v>
      </c>
      <c r="D265" s="6" t="s">
        <v>22</v>
      </c>
      <c r="E265" s="6" t="n">
        <f aca="false">ROUND(16560*1.05,2)</f>
        <v>17388</v>
      </c>
      <c r="F265" s="6" t="s">
        <v>52</v>
      </c>
      <c r="G265" s="6" t="s">
        <v>24</v>
      </c>
      <c r="H265" s="6" t="n">
        <f aca="true">ROUND(RAND()*4+6,1)</f>
        <v>7.7</v>
      </c>
      <c r="I265" s="6" t="s">
        <v>25</v>
      </c>
      <c r="J265" s="6" t="str">
        <f aca="false">ROUND(89*1,0)&amp;"%"</f>
        <v>89%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9724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9725</v>
      </c>
      <c r="B270" s="5" t="s">
        <v>440</v>
      </c>
      <c r="C270" s="5" t="s">
        <v>57</v>
      </c>
      <c r="D270" s="5" t="s">
        <v>16</v>
      </c>
      <c r="E270" s="5" t="n">
        <f aca="false">ROUND(10967*1.05,2)</f>
        <v>11515.35</v>
      </c>
      <c r="F270" s="5" t="s">
        <v>17</v>
      </c>
      <c r="G270" s="5" t="s">
        <v>18</v>
      </c>
      <c r="H270" s="5" t="n">
        <f aca="true">ROUND(RAND()*4+6,1)</f>
        <v>9.9</v>
      </c>
      <c r="I270" s="5" t="s">
        <v>19</v>
      </c>
      <c r="J270" s="5" t="str">
        <f aca="false">ROUND(61*1,0)&amp;"%"</f>
        <v>61%</v>
      </c>
    </row>
    <row r="271" customFormat="false" ht="15" hidden="false" customHeight="false" outlineLevel="0" collapsed="false">
      <c r="A271" s="6" t="s">
        <v>9726</v>
      </c>
      <c r="B271" s="6" t="s">
        <v>442</v>
      </c>
      <c r="C271" s="6" t="s">
        <v>57</v>
      </c>
      <c r="D271" s="6" t="s">
        <v>22</v>
      </c>
      <c r="E271" s="6" t="n">
        <f aca="false">ROUND(11180*1.05,2)</f>
        <v>11739</v>
      </c>
      <c r="F271" s="6" t="s">
        <v>23</v>
      </c>
      <c r="G271" s="6" t="s">
        <v>24</v>
      </c>
      <c r="H271" s="6" t="n">
        <f aca="true">ROUND(RAND()*4+6,1)</f>
        <v>7.1</v>
      </c>
      <c r="I271" s="6" t="s">
        <v>25</v>
      </c>
      <c r="J271" s="6" t="str">
        <f aca="false">ROUND(65*1,0)&amp;"%"</f>
        <v>65%</v>
      </c>
    </row>
    <row r="272" customFormat="false" ht="15" hidden="false" customHeight="false" outlineLevel="0" collapsed="false">
      <c r="A272" s="5" t="s">
        <v>9727</v>
      </c>
      <c r="B272" s="5" t="s">
        <v>444</v>
      </c>
      <c r="C272" s="5" t="s">
        <v>57</v>
      </c>
      <c r="D272" s="5" t="s">
        <v>28</v>
      </c>
      <c r="E272" s="5" t="n">
        <f aca="false">ROUND(10924*1.05,2)</f>
        <v>11470.2</v>
      </c>
      <c r="F272" s="5" t="s">
        <v>29</v>
      </c>
      <c r="G272" s="5" t="s">
        <v>30</v>
      </c>
      <c r="H272" s="5" t="n">
        <f aca="true">ROUND(RAND()*4+6,1)</f>
        <v>9.1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9728</v>
      </c>
      <c r="B273" s="6" t="s">
        <v>446</v>
      </c>
      <c r="C273" s="6" t="s">
        <v>57</v>
      </c>
      <c r="D273" s="6" t="s">
        <v>34</v>
      </c>
      <c r="E273" s="6" t="n">
        <f aca="false">ROUND(7864*1.05,2)</f>
        <v>8257.2</v>
      </c>
      <c r="F273" s="6" t="s">
        <v>35</v>
      </c>
      <c r="G273" s="6" t="s">
        <v>18</v>
      </c>
      <c r="H273" s="6" t="n">
        <f aca="true">ROUND(RAND()*4+6,1)</f>
        <v>6.5</v>
      </c>
      <c r="I273" s="6" t="s">
        <v>36</v>
      </c>
      <c r="J273" s="6" t="str">
        <f aca="false">ROUND(62*1,0)&amp;"%"</f>
        <v>62%</v>
      </c>
    </row>
    <row r="274" customFormat="false" ht="15" hidden="false" customHeight="false" outlineLevel="0" collapsed="false">
      <c r="A274" s="5" t="s">
        <v>9729</v>
      </c>
      <c r="B274" s="5" t="s">
        <v>448</v>
      </c>
      <c r="C274" s="5" t="s">
        <v>57</v>
      </c>
      <c r="D274" s="5" t="s">
        <v>39</v>
      </c>
      <c r="E274" s="5" t="n">
        <f aca="false">ROUND(9795*1.05,2)</f>
        <v>10284.75</v>
      </c>
      <c r="F274" s="5" t="s">
        <v>40</v>
      </c>
      <c r="G274" s="5" t="s">
        <v>24</v>
      </c>
      <c r="H274" s="5" t="n">
        <f aca="true">ROUND(RAND()*4+6,1)</f>
        <v>7.4</v>
      </c>
      <c r="I274" s="5" t="s">
        <v>41</v>
      </c>
      <c r="J274" s="5" t="str">
        <f aca="false">ROUND(98*1,0)&amp;"%"</f>
        <v>98%</v>
      </c>
    </row>
    <row r="275" customFormat="false" ht="15" hidden="false" customHeight="false" outlineLevel="0" collapsed="false">
      <c r="A275" s="6" t="s">
        <v>9730</v>
      </c>
      <c r="B275" s="6" t="s">
        <v>450</v>
      </c>
      <c r="C275" s="6" t="s">
        <v>57</v>
      </c>
      <c r="D275" s="6" t="s">
        <v>44</v>
      </c>
      <c r="E275" s="6" t="n">
        <f aca="false">ROUND(6849*1.05,2)</f>
        <v>7191.45</v>
      </c>
      <c r="F275" s="6" t="s">
        <v>45</v>
      </c>
      <c r="G275" s="6" t="s">
        <v>30</v>
      </c>
      <c r="H275" s="6" t="n">
        <f aca="true">ROUND(RAND()*4+6,1)</f>
        <v>9.2</v>
      </c>
      <c r="I275" s="6" t="s">
        <v>46</v>
      </c>
      <c r="J275" s="6" t="str">
        <f aca="false">ROUND(96*1,0)&amp;"%"</f>
        <v>96%</v>
      </c>
    </row>
    <row r="276" customFormat="false" ht="15" hidden="false" customHeight="false" outlineLevel="0" collapsed="false">
      <c r="A276" s="5" t="s">
        <v>9731</v>
      </c>
      <c r="B276" s="5" t="s">
        <v>452</v>
      </c>
      <c r="C276" s="5" t="s">
        <v>57</v>
      </c>
      <c r="D276" s="5" t="s">
        <v>16</v>
      </c>
      <c r="E276" s="5" t="n">
        <f aca="false">ROUND(8826*1.05,2)</f>
        <v>9267.3</v>
      </c>
      <c r="F276" s="5" t="s">
        <v>49</v>
      </c>
      <c r="G276" s="5" t="s">
        <v>18</v>
      </c>
      <c r="H276" s="5" t="n">
        <f aca="true">ROUND(RAND()*4+6,1)</f>
        <v>6.3</v>
      </c>
      <c r="I276" s="5" t="s">
        <v>19</v>
      </c>
      <c r="J276" s="5" t="str">
        <f aca="false">ROUND(80*1,0)&amp;"%"</f>
        <v>80%</v>
      </c>
    </row>
    <row r="277" customFormat="false" ht="15" hidden="false" customHeight="false" outlineLevel="0" collapsed="false">
      <c r="A277" s="6" t="s">
        <v>9732</v>
      </c>
      <c r="B277" s="6" t="s">
        <v>454</v>
      </c>
      <c r="C277" s="6" t="s">
        <v>57</v>
      </c>
      <c r="D277" s="6" t="s">
        <v>22</v>
      </c>
      <c r="E277" s="6" t="n">
        <f aca="false">ROUND(13332*1.05,2)</f>
        <v>13998.6</v>
      </c>
      <c r="F277" s="6" t="s">
        <v>52</v>
      </c>
      <c r="G277" s="6" t="s">
        <v>24</v>
      </c>
      <c r="H277" s="6" t="n">
        <f aca="true">ROUND(RAND()*4+6,1)</f>
        <v>7.6</v>
      </c>
      <c r="I277" s="6" t="s">
        <v>25</v>
      </c>
      <c r="J277" s="6" t="str">
        <f aca="false">ROUND(75*1,0)&amp;"%"</f>
        <v>75%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9733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9734</v>
      </c>
      <c r="B282" s="5" t="s">
        <v>458</v>
      </c>
      <c r="C282" s="5" t="s">
        <v>76</v>
      </c>
      <c r="D282" s="5" t="s">
        <v>16</v>
      </c>
      <c r="E282" s="5" t="n">
        <f aca="false">ROUND(8649*1.05,2)</f>
        <v>9081.45</v>
      </c>
      <c r="F282" s="5" t="s">
        <v>17</v>
      </c>
      <c r="G282" s="5" t="s">
        <v>18</v>
      </c>
      <c r="H282" s="5" t="n">
        <f aca="true">ROUND(RAND()*4+6,1)</f>
        <v>6.5</v>
      </c>
      <c r="I282" s="5" t="s">
        <v>19</v>
      </c>
      <c r="J282" s="5" t="str">
        <f aca="false">ROUND(100*1,0)&amp;"%"</f>
        <v>100%</v>
      </c>
    </row>
    <row r="283" customFormat="false" ht="15" hidden="false" customHeight="false" outlineLevel="0" collapsed="false">
      <c r="A283" s="6" t="s">
        <v>9735</v>
      </c>
      <c r="B283" s="6" t="s">
        <v>460</v>
      </c>
      <c r="C283" s="6" t="s">
        <v>76</v>
      </c>
      <c r="D283" s="6" t="s">
        <v>22</v>
      </c>
      <c r="E283" s="6" t="n">
        <f aca="false">ROUND(10610*1.05,2)</f>
        <v>11140.5</v>
      </c>
      <c r="F283" s="6" t="s">
        <v>23</v>
      </c>
      <c r="G283" s="6" t="s">
        <v>24</v>
      </c>
      <c r="H283" s="6" t="n">
        <f aca="true">ROUND(RAND()*4+6,1)</f>
        <v>8.9</v>
      </c>
      <c r="I283" s="6" t="s">
        <v>25</v>
      </c>
      <c r="J283" s="6" t="str">
        <f aca="false">ROUND(65*1,0)&amp;"%"</f>
        <v>65%</v>
      </c>
    </row>
    <row r="284" customFormat="false" ht="15" hidden="false" customHeight="false" outlineLevel="0" collapsed="false">
      <c r="A284" s="5" t="s">
        <v>9736</v>
      </c>
      <c r="B284" s="5" t="s">
        <v>462</v>
      </c>
      <c r="C284" s="5" t="s">
        <v>76</v>
      </c>
      <c r="D284" s="5" t="s">
        <v>28</v>
      </c>
      <c r="E284" s="5" t="n">
        <f aca="false">ROUND(5055*1.05,2)</f>
        <v>5307.75</v>
      </c>
      <c r="F284" s="5" t="s">
        <v>29</v>
      </c>
      <c r="G284" s="5" t="s">
        <v>30</v>
      </c>
      <c r="H284" s="5" t="n">
        <f aca="true">ROUND(RAND()*4+6,1)</f>
        <v>8.7</v>
      </c>
      <c r="I284" s="5" t="s">
        <v>31</v>
      </c>
      <c r="J284" s="5" t="str">
        <f aca="false">ROUND(81*1,0)&amp;"%"</f>
        <v>81%</v>
      </c>
    </row>
    <row r="285" customFormat="false" ht="15" hidden="false" customHeight="false" outlineLevel="0" collapsed="false">
      <c r="A285" s="6" t="s">
        <v>9737</v>
      </c>
      <c r="B285" s="6" t="s">
        <v>464</v>
      </c>
      <c r="C285" s="6" t="s">
        <v>76</v>
      </c>
      <c r="D285" s="6" t="s">
        <v>34</v>
      </c>
      <c r="E285" s="6" t="n">
        <f aca="false">ROUND(17086*1.05,2)</f>
        <v>17940.3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9738</v>
      </c>
      <c r="B286" s="5" t="s">
        <v>466</v>
      </c>
      <c r="C286" s="5" t="s">
        <v>76</v>
      </c>
      <c r="D286" s="5" t="s">
        <v>39</v>
      </c>
      <c r="E286" s="5" t="n">
        <f aca="false">ROUND(17296*1.05,2)</f>
        <v>18160.8</v>
      </c>
      <c r="F286" s="5" t="s">
        <v>40</v>
      </c>
      <c r="G286" s="5" t="s">
        <v>24</v>
      </c>
      <c r="H286" s="5" t="n">
        <f aca="true">ROUND(RAND()*4+6,1)</f>
        <v>6.2</v>
      </c>
      <c r="I286" s="5" t="s">
        <v>41</v>
      </c>
      <c r="J286" s="5" t="str">
        <f aca="false">ROUND(71*1,0)&amp;"%"</f>
        <v>71%</v>
      </c>
    </row>
    <row r="287" customFormat="false" ht="15" hidden="false" customHeight="false" outlineLevel="0" collapsed="false">
      <c r="A287" s="6" t="s">
        <v>9739</v>
      </c>
      <c r="B287" s="6" t="s">
        <v>468</v>
      </c>
      <c r="C287" s="6" t="s">
        <v>76</v>
      </c>
      <c r="D287" s="6" t="s">
        <v>44</v>
      </c>
      <c r="E287" s="6" t="n">
        <f aca="false">ROUND(16828*1.05,2)</f>
        <v>17669.4</v>
      </c>
      <c r="F287" s="6" t="s">
        <v>45</v>
      </c>
      <c r="G287" s="6" t="s">
        <v>30</v>
      </c>
      <c r="H287" s="6" t="n">
        <f aca="true">ROUND(RAND()*4+6,1)</f>
        <v>6.7</v>
      </c>
      <c r="I287" s="6" t="s">
        <v>46</v>
      </c>
      <c r="J287" s="6" t="str">
        <f aca="false">ROUND(86*1,0)&amp;"%"</f>
        <v>86%</v>
      </c>
    </row>
    <row r="288" customFormat="false" ht="15" hidden="false" customHeight="false" outlineLevel="0" collapsed="false">
      <c r="A288" s="5" t="s">
        <v>9740</v>
      </c>
      <c r="B288" s="5" t="s">
        <v>470</v>
      </c>
      <c r="C288" s="5" t="s">
        <v>76</v>
      </c>
      <c r="D288" s="5" t="s">
        <v>16</v>
      </c>
      <c r="E288" s="5" t="n">
        <f aca="false">ROUND(14720*1.05,2)</f>
        <v>15456</v>
      </c>
      <c r="F288" s="5" t="s">
        <v>49</v>
      </c>
      <c r="G288" s="5" t="s">
        <v>18</v>
      </c>
      <c r="H288" s="5" t="n">
        <f aca="true">ROUND(RAND()*4+6,1)</f>
        <v>7.7</v>
      </c>
      <c r="I288" s="5" t="s">
        <v>19</v>
      </c>
      <c r="J288" s="5" t="str">
        <f aca="false">ROUND(94*1,0)&amp;"%"</f>
        <v>94%</v>
      </c>
    </row>
    <row r="289" customFormat="false" ht="15" hidden="false" customHeight="false" outlineLevel="0" collapsed="false">
      <c r="A289" s="6" t="s">
        <v>9741</v>
      </c>
      <c r="B289" s="6" t="s">
        <v>472</v>
      </c>
      <c r="C289" s="6" t="s">
        <v>76</v>
      </c>
      <c r="D289" s="6" t="s">
        <v>22</v>
      </c>
      <c r="E289" s="6" t="n">
        <f aca="false">ROUND(14242*1.05,2)</f>
        <v>14954.1</v>
      </c>
      <c r="F289" s="6" t="s">
        <v>52</v>
      </c>
      <c r="G289" s="6" t="s">
        <v>24</v>
      </c>
      <c r="H289" s="6" t="n">
        <f aca="true">ROUND(RAND()*4+6,1)</f>
        <v>6.5</v>
      </c>
      <c r="I289" s="6" t="s">
        <v>25</v>
      </c>
      <c r="J289" s="6" t="str">
        <f aca="false">ROUND(67*1,0)&amp;"%"</f>
        <v>67%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9742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9743</v>
      </c>
      <c r="B294" s="5" t="s">
        <v>476</v>
      </c>
      <c r="C294" s="5" t="s">
        <v>95</v>
      </c>
      <c r="D294" s="5" t="s">
        <v>16</v>
      </c>
      <c r="E294" s="5" t="n">
        <f aca="false">ROUND(4136*1.05,2)</f>
        <v>4342.8</v>
      </c>
      <c r="F294" s="5" t="s">
        <v>17</v>
      </c>
      <c r="G294" s="5" t="s">
        <v>18</v>
      </c>
      <c r="H294" s="5" t="n">
        <f aca="true">ROUND(RAND()*4+6,1)</f>
        <v>9.4</v>
      </c>
      <c r="I294" s="5" t="s">
        <v>19</v>
      </c>
      <c r="J294" s="5" t="str">
        <f aca="false">ROUND(89*1,0)&amp;"%"</f>
        <v>89%</v>
      </c>
    </row>
    <row r="295" customFormat="false" ht="15" hidden="false" customHeight="false" outlineLevel="0" collapsed="false">
      <c r="A295" s="6" t="s">
        <v>9744</v>
      </c>
      <c r="B295" s="6" t="s">
        <v>478</v>
      </c>
      <c r="C295" s="6" t="s">
        <v>95</v>
      </c>
      <c r="D295" s="6" t="s">
        <v>22</v>
      </c>
      <c r="E295" s="6" t="n">
        <f aca="false">ROUND(9933*1.05,2)</f>
        <v>10429.65</v>
      </c>
      <c r="F295" s="6" t="s">
        <v>23</v>
      </c>
      <c r="G295" s="6" t="s">
        <v>24</v>
      </c>
      <c r="H295" s="6" t="n">
        <f aca="true">ROUND(RAND()*4+6,1)</f>
        <v>7.8</v>
      </c>
      <c r="I295" s="6" t="s">
        <v>25</v>
      </c>
      <c r="J295" s="6" t="str">
        <f aca="false">ROUND(77*1,0)&amp;"%"</f>
        <v>77%</v>
      </c>
    </row>
    <row r="296" customFormat="false" ht="15" hidden="false" customHeight="false" outlineLevel="0" collapsed="false">
      <c r="A296" s="5" t="s">
        <v>9745</v>
      </c>
      <c r="B296" s="5" t="s">
        <v>480</v>
      </c>
      <c r="C296" s="5" t="s">
        <v>95</v>
      </c>
      <c r="D296" s="5" t="s">
        <v>28</v>
      </c>
      <c r="E296" s="5" t="n">
        <f aca="false">ROUND(16733*1.05,2)</f>
        <v>17569.65</v>
      </c>
      <c r="F296" s="5" t="s">
        <v>29</v>
      </c>
      <c r="G296" s="5" t="s">
        <v>30</v>
      </c>
      <c r="H296" s="5" t="n">
        <f aca="true">ROUND(RAND()*4+6,1)</f>
        <v>9.9</v>
      </c>
      <c r="I296" s="5" t="s">
        <v>31</v>
      </c>
      <c r="J296" s="5" t="str">
        <f aca="false">ROUND(92*1,0)&amp;"%"</f>
        <v>92%</v>
      </c>
    </row>
    <row r="297" customFormat="false" ht="15" hidden="false" customHeight="false" outlineLevel="0" collapsed="false">
      <c r="A297" s="6" t="s">
        <v>9746</v>
      </c>
      <c r="B297" s="6" t="s">
        <v>482</v>
      </c>
      <c r="C297" s="6" t="s">
        <v>95</v>
      </c>
      <c r="D297" s="6" t="s">
        <v>34</v>
      </c>
      <c r="E297" s="6" t="n">
        <f aca="false">ROUND(9859*1.05,2)</f>
        <v>10351.95</v>
      </c>
      <c r="F297" s="6" t="s">
        <v>35</v>
      </c>
      <c r="G297" s="6" t="s">
        <v>18</v>
      </c>
      <c r="H297" s="6" t="n">
        <f aca="true">ROUND(RAND()*4+6,1)</f>
        <v>8.4</v>
      </c>
      <c r="I297" s="6" t="s">
        <v>36</v>
      </c>
      <c r="J297" s="6" t="str">
        <f aca="false">ROUND(93*1,0)&amp;"%"</f>
        <v>93%</v>
      </c>
    </row>
    <row r="298" customFormat="false" ht="15" hidden="false" customHeight="false" outlineLevel="0" collapsed="false">
      <c r="A298" s="5" t="s">
        <v>9747</v>
      </c>
      <c r="B298" s="5" t="s">
        <v>484</v>
      </c>
      <c r="C298" s="5" t="s">
        <v>95</v>
      </c>
      <c r="D298" s="5" t="s">
        <v>39</v>
      </c>
      <c r="E298" s="5" t="n">
        <f aca="false">ROUND(11878*1.05,2)</f>
        <v>12471.9</v>
      </c>
      <c r="F298" s="5" t="s">
        <v>40</v>
      </c>
      <c r="G298" s="5" t="s">
        <v>24</v>
      </c>
      <c r="H298" s="5" t="n">
        <f aca="true">ROUND(RAND()*4+6,1)</f>
        <v>8.2</v>
      </c>
      <c r="I298" s="5" t="s">
        <v>41</v>
      </c>
      <c r="J298" s="5" t="str">
        <f aca="false">ROUND(99*1,0)&amp;"%"</f>
        <v>99%</v>
      </c>
    </row>
    <row r="299" customFormat="false" ht="15" hidden="false" customHeight="false" outlineLevel="0" collapsed="false">
      <c r="A299" s="6" t="s">
        <v>9748</v>
      </c>
      <c r="B299" s="6" t="s">
        <v>486</v>
      </c>
      <c r="C299" s="6" t="s">
        <v>95</v>
      </c>
      <c r="D299" s="6" t="s">
        <v>44</v>
      </c>
      <c r="E299" s="6" t="n">
        <f aca="false">ROUND(11647*1.05,2)</f>
        <v>12229.35</v>
      </c>
      <c r="F299" s="6" t="s">
        <v>45</v>
      </c>
      <c r="G299" s="6" t="s">
        <v>30</v>
      </c>
      <c r="H299" s="6" t="n">
        <f aca="true">ROUND(RAND()*4+6,1)</f>
        <v>7.5</v>
      </c>
      <c r="I299" s="6" t="s">
        <v>46</v>
      </c>
      <c r="J299" s="6" t="str">
        <f aca="false">ROUND(70*1,0)&amp;"%"</f>
        <v>70%</v>
      </c>
    </row>
    <row r="300" customFormat="false" ht="15" hidden="false" customHeight="false" outlineLevel="0" collapsed="false">
      <c r="A300" s="5" t="s">
        <v>9749</v>
      </c>
      <c r="B300" s="5" t="s">
        <v>488</v>
      </c>
      <c r="C300" s="5" t="s">
        <v>95</v>
      </c>
      <c r="D300" s="5" t="s">
        <v>16</v>
      </c>
      <c r="E300" s="5" t="n">
        <f aca="false">ROUND(7122*1.05,2)</f>
        <v>7478.1</v>
      </c>
      <c r="F300" s="5" t="s">
        <v>49</v>
      </c>
      <c r="G300" s="5" t="s">
        <v>18</v>
      </c>
      <c r="H300" s="5" t="n">
        <f aca="true">ROUND(RAND()*4+6,1)</f>
        <v>9.8</v>
      </c>
      <c r="I300" s="5" t="s">
        <v>19</v>
      </c>
      <c r="J300" s="5" t="str">
        <f aca="false">ROUND(88*1,0)&amp;"%"</f>
        <v>88%</v>
      </c>
    </row>
    <row r="301" customFormat="false" ht="15" hidden="false" customHeight="false" outlineLevel="0" collapsed="false">
      <c r="A301" s="6" t="s">
        <v>9750</v>
      </c>
      <c r="B301" s="6" t="s">
        <v>490</v>
      </c>
      <c r="C301" s="6" t="s">
        <v>95</v>
      </c>
      <c r="D301" s="6" t="s">
        <v>22</v>
      </c>
      <c r="E301" s="6" t="n">
        <f aca="false">ROUND(9746*1.05,2)</f>
        <v>10233.3</v>
      </c>
      <c r="F301" s="6" t="s">
        <v>52</v>
      </c>
      <c r="G301" s="6" t="s">
        <v>24</v>
      </c>
      <c r="H301" s="6" t="n">
        <f aca="true">ROUND(RAND()*4+6,1)</f>
        <v>6.4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9751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9752</v>
      </c>
      <c r="B306" s="5" t="s">
        <v>494</v>
      </c>
      <c r="C306" s="5" t="s">
        <v>114</v>
      </c>
      <c r="D306" s="5" t="s">
        <v>16</v>
      </c>
      <c r="E306" s="5" t="n">
        <f aca="false">ROUND(7279*1.05,2)</f>
        <v>7642.95</v>
      </c>
      <c r="F306" s="5" t="s">
        <v>17</v>
      </c>
      <c r="G306" s="5" t="s">
        <v>18</v>
      </c>
      <c r="H306" s="5" t="n">
        <f aca="true">ROUND(RAND()*4+6,1)</f>
        <v>6.3</v>
      </c>
      <c r="I306" s="5" t="s">
        <v>19</v>
      </c>
      <c r="J306" s="5" t="str">
        <f aca="false">ROUND(85*1,0)&amp;"%"</f>
        <v>85%</v>
      </c>
    </row>
    <row r="307" customFormat="false" ht="15" hidden="false" customHeight="false" outlineLevel="0" collapsed="false">
      <c r="A307" s="6" t="s">
        <v>9753</v>
      </c>
      <c r="B307" s="6" t="s">
        <v>496</v>
      </c>
      <c r="C307" s="6" t="s">
        <v>114</v>
      </c>
      <c r="D307" s="6" t="s">
        <v>22</v>
      </c>
      <c r="E307" s="6" t="n">
        <f aca="false">ROUND(16033*1.05,2)</f>
        <v>16834.65</v>
      </c>
      <c r="F307" s="6" t="s">
        <v>23</v>
      </c>
      <c r="G307" s="6" t="s">
        <v>24</v>
      </c>
      <c r="H307" s="6" t="n">
        <f aca="true">ROUND(RAND()*4+6,1)</f>
        <v>8.2</v>
      </c>
      <c r="I307" s="6" t="s">
        <v>25</v>
      </c>
      <c r="J307" s="6" t="str">
        <f aca="false">ROUND(62*1,0)&amp;"%"</f>
        <v>62%</v>
      </c>
    </row>
    <row r="308" customFormat="false" ht="15" hidden="false" customHeight="false" outlineLevel="0" collapsed="false">
      <c r="A308" s="5" t="s">
        <v>9754</v>
      </c>
      <c r="B308" s="5" t="s">
        <v>498</v>
      </c>
      <c r="C308" s="5" t="s">
        <v>114</v>
      </c>
      <c r="D308" s="5" t="s">
        <v>28</v>
      </c>
      <c r="E308" s="5" t="n">
        <f aca="false">ROUND(16959*1.05,2)</f>
        <v>17806.95</v>
      </c>
      <c r="F308" s="5" t="s">
        <v>29</v>
      </c>
      <c r="G308" s="5" t="s">
        <v>30</v>
      </c>
      <c r="H308" s="5" t="n">
        <f aca="true">ROUND(RAND()*4+6,1)</f>
        <v>9.7</v>
      </c>
      <c r="I308" s="5" t="s">
        <v>31</v>
      </c>
      <c r="J308" s="5" t="str">
        <f aca="false">ROUND(69*1,0)&amp;"%"</f>
        <v>69%</v>
      </c>
    </row>
    <row r="309" customFormat="false" ht="15" hidden="false" customHeight="false" outlineLevel="0" collapsed="false">
      <c r="A309" s="6" t="s">
        <v>9755</v>
      </c>
      <c r="B309" s="6" t="s">
        <v>500</v>
      </c>
      <c r="C309" s="6" t="s">
        <v>114</v>
      </c>
      <c r="D309" s="6" t="s">
        <v>34</v>
      </c>
      <c r="E309" s="6" t="n">
        <f aca="false">ROUND(15615*1.05,2)</f>
        <v>16395.75</v>
      </c>
      <c r="F309" s="6" t="s">
        <v>35</v>
      </c>
      <c r="G309" s="6" t="s">
        <v>18</v>
      </c>
      <c r="H309" s="6" t="n">
        <f aca="true">ROUND(RAND()*4+6,1)</f>
        <v>7.1</v>
      </c>
      <c r="I309" s="6" t="s">
        <v>36</v>
      </c>
      <c r="J309" s="6" t="str">
        <f aca="false">ROUND(100*1,0)&amp;"%"</f>
        <v>100%</v>
      </c>
    </row>
    <row r="310" customFormat="false" ht="15" hidden="false" customHeight="false" outlineLevel="0" collapsed="false">
      <c r="A310" s="5" t="s">
        <v>9756</v>
      </c>
      <c r="B310" s="5" t="s">
        <v>502</v>
      </c>
      <c r="C310" s="5" t="s">
        <v>114</v>
      </c>
      <c r="D310" s="5" t="s">
        <v>39</v>
      </c>
      <c r="E310" s="5" t="n">
        <f aca="false">ROUND(8479*1.05,2)</f>
        <v>8902.95</v>
      </c>
      <c r="F310" s="5" t="s">
        <v>40</v>
      </c>
      <c r="G310" s="5" t="s">
        <v>24</v>
      </c>
      <c r="H310" s="5" t="n">
        <f aca="true">ROUND(RAND()*4+6,1)</f>
        <v>8.2</v>
      </c>
      <c r="I310" s="5" t="s">
        <v>41</v>
      </c>
      <c r="J310" s="5" t="str">
        <f aca="false">ROUND(88*1,0)&amp;"%"</f>
        <v>88%</v>
      </c>
    </row>
    <row r="311" customFormat="false" ht="15" hidden="false" customHeight="false" outlineLevel="0" collapsed="false">
      <c r="A311" s="6" t="s">
        <v>9757</v>
      </c>
      <c r="B311" s="6" t="s">
        <v>504</v>
      </c>
      <c r="C311" s="6" t="s">
        <v>114</v>
      </c>
      <c r="D311" s="6" t="s">
        <v>44</v>
      </c>
      <c r="E311" s="6" t="n">
        <f aca="false">ROUND(16238*1.05,2)</f>
        <v>17049.9</v>
      </c>
      <c r="F311" s="6" t="s">
        <v>45</v>
      </c>
      <c r="G311" s="6" t="s">
        <v>30</v>
      </c>
      <c r="H311" s="6" t="n">
        <f aca="true">ROUND(RAND()*4+6,1)</f>
        <v>8.1</v>
      </c>
      <c r="I311" s="6" t="s">
        <v>46</v>
      </c>
      <c r="J311" s="6" t="str">
        <f aca="false">ROUND(88*1,0)&amp;"%"</f>
        <v>88%</v>
      </c>
    </row>
    <row r="312" customFormat="false" ht="15" hidden="false" customHeight="false" outlineLevel="0" collapsed="false">
      <c r="A312" s="5" t="s">
        <v>9758</v>
      </c>
      <c r="B312" s="5" t="s">
        <v>506</v>
      </c>
      <c r="C312" s="5" t="s">
        <v>114</v>
      </c>
      <c r="D312" s="5" t="s">
        <v>16</v>
      </c>
      <c r="E312" s="5" t="n">
        <f aca="false">ROUND(4833*1.05,2)</f>
        <v>5074.65</v>
      </c>
      <c r="F312" s="5" t="s">
        <v>49</v>
      </c>
      <c r="G312" s="5" t="s">
        <v>18</v>
      </c>
      <c r="H312" s="5" t="n">
        <f aca="true">ROUND(RAND()*4+6,1)</f>
        <v>6.8</v>
      </c>
      <c r="I312" s="5" t="s">
        <v>19</v>
      </c>
      <c r="J312" s="5" t="str">
        <f aca="false">ROUND(98*1,0)&amp;"%"</f>
        <v>98%</v>
      </c>
    </row>
    <row r="313" customFormat="false" ht="15" hidden="false" customHeight="false" outlineLevel="0" collapsed="false">
      <c r="A313" s="6" t="s">
        <v>9759</v>
      </c>
      <c r="B313" s="6" t="s">
        <v>508</v>
      </c>
      <c r="C313" s="6" t="s">
        <v>114</v>
      </c>
      <c r="D313" s="6" t="s">
        <v>22</v>
      </c>
      <c r="E313" s="6" t="n">
        <f aca="false">ROUND(15778*1.05,2)</f>
        <v>16566.9</v>
      </c>
      <c r="F313" s="6" t="s">
        <v>52</v>
      </c>
      <c r="G313" s="6" t="s">
        <v>24</v>
      </c>
      <c r="H313" s="6" t="n">
        <f aca="true">ROUND(RAND()*4+6,1)</f>
        <v>7</v>
      </c>
      <c r="I313" s="6" t="s">
        <v>25</v>
      </c>
      <c r="J313" s="6" t="str">
        <f aca="false">ROUND(85*1,0)&amp;"%"</f>
        <v>85%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9760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9761</v>
      </c>
      <c r="B318" s="5" t="s">
        <v>512</v>
      </c>
      <c r="C318" s="5" t="s">
        <v>133</v>
      </c>
      <c r="D318" s="5" t="s">
        <v>16</v>
      </c>
      <c r="E318" s="5" t="n">
        <f aca="false">ROUND(14469*1.05,2)</f>
        <v>15192.45</v>
      </c>
      <c r="F318" s="5" t="s">
        <v>17</v>
      </c>
      <c r="G318" s="5" t="s">
        <v>18</v>
      </c>
      <c r="H318" s="5" t="n">
        <f aca="true">ROUND(RAND()*4+6,1)</f>
        <v>8.2</v>
      </c>
      <c r="I318" s="5" t="s">
        <v>19</v>
      </c>
      <c r="J318" s="5" t="str">
        <f aca="false">ROUND(90*1,0)&amp;"%"</f>
        <v>90%</v>
      </c>
    </row>
    <row r="319" customFormat="false" ht="15" hidden="false" customHeight="false" outlineLevel="0" collapsed="false">
      <c r="A319" s="6" t="s">
        <v>9762</v>
      </c>
      <c r="B319" s="6" t="s">
        <v>514</v>
      </c>
      <c r="C319" s="6" t="s">
        <v>133</v>
      </c>
      <c r="D319" s="6" t="s">
        <v>22</v>
      </c>
      <c r="E319" s="6" t="n">
        <f aca="false">ROUND(12389*1.05,2)</f>
        <v>13008.45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ROUND(99*1,0)&amp;"%"</f>
        <v>99%</v>
      </c>
    </row>
    <row r="320" customFormat="false" ht="15" hidden="false" customHeight="false" outlineLevel="0" collapsed="false">
      <c r="A320" s="5" t="s">
        <v>9763</v>
      </c>
      <c r="B320" s="5" t="s">
        <v>516</v>
      </c>
      <c r="C320" s="5" t="s">
        <v>133</v>
      </c>
      <c r="D320" s="5" t="s">
        <v>28</v>
      </c>
      <c r="E320" s="5" t="n">
        <f aca="false">ROUND(14499*1.05,2)</f>
        <v>15223.95</v>
      </c>
      <c r="F320" s="5" t="s">
        <v>29</v>
      </c>
      <c r="G320" s="5" t="s">
        <v>30</v>
      </c>
      <c r="H320" s="5" t="n">
        <f aca="true">ROUND(RAND()*4+6,1)</f>
        <v>6.5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9764</v>
      </c>
      <c r="B321" s="6" t="s">
        <v>518</v>
      </c>
      <c r="C321" s="6" t="s">
        <v>133</v>
      </c>
      <c r="D321" s="6" t="s">
        <v>34</v>
      </c>
      <c r="E321" s="6" t="n">
        <f aca="false">ROUND(9947*1.05,2)</f>
        <v>10444.35</v>
      </c>
      <c r="F321" s="6" t="s">
        <v>35</v>
      </c>
      <c r="G321" s="6" t="s">
        <v>18</v>
      </c>
      <c r="H321" s="6" t="n">
        <f aca="true">ROUND(RAND()*4+6,1)</f>
        <v>9.6</v>
      </c>
      <c r="I321" s="6" t="s">
        <v>36</v>
      </c>
      <c r="J321" s="6" t="str">
        <f aca="false">ROUND(83*1,0)&amp;"%"</f>
        <v>83%</v>
      </c>
    </row>
    <row r="322" customFormat="false" ht="15" hidden="false" customHeight="false" outlineLevel="0" collapsed="false">
      <c r="A322" s="5" t="s">
        <v>9765</v>
      </c>
      <c r="B322" s="5" t="s">
        <v>520</v>
      </c>
      <c r="C322" s="5" t="s">
        <v>133</v>
      </c>
      <c r="D322" s="5" t="s">
        <v>39</v>
      </c>
      <c r="E322" s="5" t="n">
        <f aca="false">ROUND(16109*1.05,2)</f>
        <v>16914.45</v>
      </c>
      <c r="F322" s="5" t="s">
        <v>40</v>
      </c>
      <c r="G322" s="5" t="s">
        <v>24</v>
      </c>
      <c r="H322" s="5" t="n">
        <f aca="true">ROUND(RAND()*4+6,1)</f>
        <v>6.4</v>
      </c>
      <c r="I322" s="5" t="s">
        <v>41</v>
      </c>
      <c r="J322" s="5" t="str">
        <f aca="false">ROUND(98*1,0)&amp;"%"</f>
        <v>98%</v>
      </c>
    </row>
    <row r="323" customFormat="false" ht="15" hidden="false" customHeight="false" outlineLevel="0" collapsed="false">
      <c r="A323" s="6" t="s">
        <v>9766</v>
      </c>
      <c r="B323" s="6" t="s">
        <v>522</v>
      </c>
      <c r="C323" s="6" t="s">
        <v>133</v>
      </c>
      <c r="D323" s="6" t="s">
        <v>44</v>
      </c>
      <c r="E323" s="6" t="n">
        <f aca="false">ROUND(12999*1.05,2)</f>
        <v>13648.95</v>
      </c>
      <c r="F323" s="6" t="s">
        <v>45</v>
      </c>
      <c r="G323" s="6" t="s">
        <v>30</v>
      </c>
      <c r="H323" s="6" t="n">
        <f aca="true">ROUND(RAND()*4+6,1)</f>
        <v>8</v>
      </c>
      <c r="I323" s="6" t="s">
        <v>46</v>
      </c>
      <c r="J323" s="6" t="str">
        <f aca="false">ROUND(78*1,0)&amp;"%"</f>
        <v>78%</v>
      </c>
    </row>
    <row r="324" customFormat="false" ht="15" hidden="false" customHeight="false" outlineLevel="0" collapsed="false">
      <c r="A324" s="5" t="s">
        <v>9767</v>
      </c>
      <c r="B324" s="5" t="s">
        <v>524</v>
      </c>
      <c r="C324" s="5" t="s">
        <v>133</v>
      </c>
      <c r="D324" s="5" t="s">
        <v>16</v>
      </c>
      <c r="E324" s="5" t="n">
        <f aca="false">ROUND(13691*1.05,2)</f>
        <v>14375.55</v>
      </c>
      <c r="F324" s="5" t="s">
        <v>49</v>
      </c>
      <c r="G324" s="5" t="s">
        <v>18</v>
      </c>
      <c r="H324" s="5" t="n">
        <f aca="true">ROUND(RAND()*4+6,1)</f>
        <v>9.9</v>
      </c>
      <c r="I324" s="5" t="s">
        <v>19</v>
      </c>
      <c r="J324" s="5" t="str">
        <f aca="false">ROUND(78*1,0)&amp;"%"</f>
        <v>78%</v>
      </c>
    </row>
    <row r="325" customFormat="false" ht="15" hidden="false" customHeight="false" outlineLevel="0" collapsed="false">
      <c r="A325" s="6" t="s">
        <v>9768</v>
      </c>
      <c r="B325" s="6" t="s">
        <v>526</v>
      </c>
      <c r="C325" s="6" t="s">
        <v>133</v>
      </c>
      <c r="D325" s="6" t="s">
        <v>22</v>
      </c>
      <c r="E325" s="6" t="n">
        <f aca="false">ROUND(15596*1.05,2)</f>
        <v>16375.8</v>
      </c>
      <c r="F325" s="6" t="s">
        <v>52</v>
      </c>
      <c r="G325" s="6" t="s">
        <v>24</v>
      </c>
      <c r="H325" s="6" t="n">
        <f aca="true">ROUND(RAND()*4+6,1)</f>
        <v>8</v>
      </c>
      <c r="I325" s="6" t="s">
        <v>25</v>
      </c>
      <c r="J325" s="6" t="str">
        <f aca="false">ROUND(99*1,0)&amp;"%"</f>
        <v>99%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9769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9770</v>
      </c>
      <c r="B330" s="5" t="s">
        <v>530</v>
      </c>
      <c r="C330" s="5" t="s">
        <v>152</v>
      </c>
      <c r="D330" s="5" t="s">
        <v>16</v>
      </c>
      <c r="E330" s="5" t="n">
        <f aca="false">ROUND(16175*1.05,2)</f>
        <v>16983.75</v>
      </c>
      <c r="F330" s="5" t="s">
        <v>17</v>
      </c>
      <c r="G330" s="5" t="s">
        <v>18</v>
      </c>
      <c r="H330" s="5" t="n">
        <f aca="true">ROUND(RAND()*4+6,1)</f>
        <v>6.1</v>
      </c>
      <c r="I330" s="5" t="s">
        <v>19</v>
      </c>
      <c r="J330" s="5" t="str">
        <f aca="false">ROUND(66*1,0)&amp;"%"</f>
        <v>66%</v>
      </c>
    </row>
    <row r="331" customFormat="false" ht="15" hidden="false" customHeight="false" outlineLevel="0" collapsed="false">
      <c r="A331" s="6" t="s">
        <v>9771</v>
      </c>
      <c r="B331" s="6" t="s">
        <v>532</v>
      </c>
      <c r="C331" s="6" t="s">
        <v>152</v>
      </c>
      <c r="D331" s="6" t="s">
        <v>22</v>
      </c>
      <c r="E331" s="6" t="n">
        <f aca="false">ROUND(10845*1.05,2)</f>
        <v>11387.25</v>
      </c>
      <c r="F331" s="6" t="s">
        <v>23</v>
      </c>
      <c r="G331" s="6" t="s">
        <v>24</v>
      </c>
      <c r="H331" s="6" t="n">
        <f aca="true">ROUND(RAND()*4+6,1)</f>
        <v>9</v>
      </c>
      <c r="I331" s="6" t="s">
        <v>25</v>
      </c>
      <c r="J331" s="6" t="str">
        <f aca="false">ROUND(96*1,0)&amp;"%"</f>
        <v>96%</v>
      </c>
    </row>
    <row r="332" customFormat="false" ht="15" hidden="false" customHeight="false" outlineLevel="0" collapsed="false">
      <c r="A332" s="5" t="s">
        <v>9772</v>
      </c>
      <c r="B332" s="5" t="s">
        <v>534</v>
      </c>
      <c r="C332" s="5" t="s">
        <v>152</v>
      </c>
      <c r="D332" s="5" t="s">
        <v>28</v>
      </c>
      <c r="E332" s="5" t="n">
        <f aca="false">ROUND(17199*1.05,2)</f>
        <v>18058.95</v>
      </c>
      <c r="F332" s="5" t="s">
        <v>29</v>
      </c>
      <c r="G332" s="5" t="s">
        <v>30</v>
      </c>
      <c r="H332" s="5" t="n">
        <f aca="true">ROUND(RAND()*4+6,1)</f>
        <v>9.9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9773</v>
      </c>
      <c r="B333" s="6" t="s">
        <v>536</v>
      </c>
      <c r="C333" s="6" t="s">
        <v>152</v>
      </c>
      <c r="D333" s="6" t="s">
        <v>34</v>
      </c>
      <c r="E333" s="6" t="n">
        <f aca="false">ROUND(7215*1.05,2)</f>
        <v>7575.75</v>
      </c>
      <c r="F333" s="6" t="s">
        <v>35</v>
      </c>
      <c r="G333" s="6" t="s">
        <v>18</v>
      </c>
      <c r="H333" s="6" t="n">
        <f aca="true">ROUND(RAND()*4+6,1)</f>
        <v>9.6</v>
      </c>
      <c r="I333" s="6" t="s">
        <v>36</v>
      </c>
      <c r="J333" s="6" t="str">
        <f aca="false">ROUND(99*1,0)&amp;"%"</f>
        <v>99%</v>
      </c>
    </row>
    <row r="334" customFormat="false" ht="15" hidden="false" customHeight="false" outlineLevel="0" collapsed="false">
      <c r="A334" s="5" t="s">
        <v>9774</v>
      </c>
      <c r="B334" s="5" t="s">
        <v>538</v>
      </c>
      <c r="C334" s="5" t="s">
        <v>152</v>
      </c>
      <c r="D334" s="5" t="s">
        <v>39</v>
      </c>
      <c r="E334" s="5" t="n">
        <f aca="false">ROUND(16021*1.05,2)</f>
        <v>16822.05</v>
      </c>
      <c r="F334" s="5" t="s">
        <v>40</v>
      </c>
      <c r="G334" s="5" t="s">
        <v>24</v>
      </c>
      <c r="H334" s="5" t="n">
        <f aca="true">ROUND(RAND()*4+6,1)</f>
        <v>8.7</v>
      </c>
      <c r="I334" s="5" t="s">
        <v>41</v>
      </c>
      <c r="J334" s="5" t="str">
        <f aca="false">ROUND(100*1,0)&amp;"%"</f>
        <v>100%</v>
      </c>
    </row>
    <row r="335" customFormat="false" ht="15" hidden="false" customHeight="false" outlineLevel="0" collapsed="false">
      <c r="A335" s="6" t="s">
        <v>9775</v>
      </c>
      <c r="B335" s="6" t="s">
        <v>540</v>
      </c>
      <c r="C335" s="6" t="s">
        <v>152</v>
      </c>
      <c r="D335" s="6" t="s">
        <v>44</v>
      </c>
      <c r="E335" s="6" t="n">
        <f aca="false">ROUND(5693*1.05,2)</f>
        <v>5977.65</v>
      </c>
      <c r="F335" s="6" t="s">
        <v>45</v>
      </c>
      <c r="G335" s="6" t="s">
        <v>30</v>
      </c>
      <c r="H335" s="6" t="n">
        <f aca="true">ROUND(RAND()*4+6,1)</f>
        <v>6</v>
      </c>
      <c r="I335" s="6" t="s">
        <v>46</v>
      </c>
      <c r="J335" s="6" t="str">
        <f aca="false">ROUND(72*1,0)&amp;"%"</f>
        <v>72%</v>
      </c>
    </row>
    <row r="336" customFormat="false" ht="15" hidden="false" customHeight="false" outlineLevel="0" collapsed="false">
      <c r="A336" s="5" t="s">
        <v>9776</v>
      </c>
      <c r="B336" s="5" t="s">
        <v>542</v>
      </c>
      <c r="C336" s="5" t="s">
        <v>152</v>
      </c>
      <c r="D336" s="5" t="s">
        <v>16</v>
      </c>
      <c r="E336" s="5" t="n">
        <f aca="false">ROUND(7885*1.05,2)</f>
        <v>8279.25</v>
      </c>
      <c r="F336" s="5" t="s">
        <v>49</v>
      </c>
      <c r="G336" s="5" t="s">
        <v>18</v>
      </c>
      <c r="H336" s="5" t="n">
        <f aca="true">ROUND(RAND()*4+6,1)</f>
        <v>9</v>
      </c>
      <c r="I336" s="5" t="s">
        <v>19</v>
      </c>
      <c r="J336" s="5" t="str">
        <f aca="false">ROUND(65*1,0)&amp;"%"</f>
        <v>65%</v>
      </c>
    </row>
    <row r="337" customFormat="false" ht="15" hidden="false" customHeight="false" outlineLevel="0" collapsed="false">
      <c r="A337" s="6" t="s">
        <v>9777</v>
      </c>
      <c r="B337" s="6" t="s">
        <v>544</v>
      </c>
      <c r="C337" s="6" t="s">
        <v>152</v>
      </c>
      <c r="D337" s="6" t="s">
        <v>22</v>
      </c>
      <c r="E337" s="6" t="n">
        <f aca="false">ROUND(16430*1.05,2)</f>
        <v>17251.5</v>
      </c>
      <c r="F337" s="6" t="s">
        <v>52</v>
      </c>
      <c r="G337" s="6" t="s">
        <v>24</v>
      </c>
      <c r="H337" s="6" t="n">
        <f aca="true">ROUND(RAND()*4+6,1)</f>
        <v>9.7</v>
      </c>
      <c r="I337" s="6" t="s">
        <v>25</v>
      </c>
      <c r="J337" s="6" t="str">
        <f aca="false">ROUND(98*1,0)&amp;"%"</f>
        <v>98%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9778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9779</v>
      </c>
      <c r="B342" s="5" t="s">
        <v>548</v>
      </c>
      <c r="C342" s="5" t="s">
        <v>15</v>
      </c>
      <c r="D342" s="5" t="s">
        <v>16</v>
      </c>
      <c r="E342" s="5" t="n">
        <f aca="false">ROUND(15353*1.05,2)</f>
        <v>16120.65</v>
      </c>
      <c r="F342" s="5" t="s">
        <v>17</v>
      </c>
      <c r="G342" s="5" t="s">
        <v>18</v>
      </c>
      <c r="H342" s="5" t="n">
        <f aca="true">ROUND(RAND()*4+6,1)</f>
        <v>9.5</v>
      </c>
      <c r="I342" s="5" t="s">
        <v>19</v>
      </c>
      <c r="J342" s="5" t="str">
        <f aca="false">ROUND(94*1,0)&amp;"%"</f>
        <v>94%</v>
      </c>
    </row>
    <row r="343" customFormat="false" ht="15" hidden="false" customHeight="false" outlineLevel="0" collapsed="false">
      <c r="A343" s="6" t="s">
        <v>9780</v>
      </c>
      <c r="B343" s="6" t="s">
        <v>550</v>
      </c>
      <c r="C343" s="6" t="s">
        <v>15</v>
      </c>
      <c r="D343" s="6" t="s">
        <v>22</v>
      </c>
      <c r="E343" s="6" t="n">
        <f aca="false">ROUND(10538*1.05,2)</f>
        <v>11064.9</v>
      </c>
      <c r="F343" s="6" t="s">
        <v>23</v>
      </c>
      <c r="G343" s="6" t="s">
        <v>24</v>
      </c>
      <c r="H343" s="6" t="n">
        <f aca="true">ROUND(RAND()*4+6,1)</f>
        <v>9.6</v>
      </c>
      <c r="I343" s="6" t="s">
        <v>25</v>
      </c>
      <c r="J343" s="6" t="str">
        <f aca="false">ROUND(92*1,0)&amp;"%"</f>
        <v>92%</v>
      </c>
    </row>
    <row r="344" customFormat="false" ht="15" hidden="false" customHeight="false" outlineLevel="0" collapsed="false">
      <c r="A344" s="5" t="s">
        <v>9781</v>
      </c>
      <c r="B344" s="5" t="s">
        <v>552</v>
      </c>
      <c r="C344" s="5" t="s">
        <v>15</v>
      </c>
      <c r="D344" s="5" t="s">
        <v>28</v>
      </c>
      <c r="E344" s="5" t="n">
        <f aca="false">ROUND(9839*1.05,2)</f>
        <v>10330.95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ROUND(70*1,0)&amp;"%"</f>
        <v>70%</v>
      </c>
    </row>
    <row r="345" customFormat="false" ht="15" hidden="false" customHeight="false" outlineLevel="0" collapsed="false">
      <c r="A345" s="6" t="s">
        <v>9782</v>
      </c>
      <c r="B345" s="6" t="s">
        <v>554</v>
      </c>
      <c r="C345" s="6" t="s">
        <v>15</v>
      </c>
      <c r="D345" s="6" t="s">
        <v>34</v>
      </c>
      <c r="E345" s="6" t="n">
        <f aca="false">ROUND(17217*1.05,2)</f>
        <v>18077.85</v>
      </c>
      <c r="F345" s="6" t="s">
        <v>35</v>
      </c>
      <c r="G345" s="6" t="s">
        <v>18</v>
      </c>
      <c r="H345" s="6" t="n">
        <f aca="true">ROUND(RAND()*4+6,1)</f>
        <v>8.8</v>
      </c>
      <c r="I345" s="6" t="s">
        <v>36</v>
      </c>
      <c r="J345" s="6" t="str">
        <f aca="false">ROUND(82*1,0)&amp;"%"</f>
        <v>82%</v>
      </c>
    </row>
    <row r="346" customFormat="false" ht="15" hidden="false" customHeight="false" outlineLevel="0" collapsed="false">
      <c r="A346" s="5" t="s">
        <v>9783</v>
      </c>
      <c r="B346" s="5" t="s">
        <v>556</v>
      </c>
      <c r="C346" s="5" t="s">
        <v>15</v>
      </c>
      <c r="D346" s="5" t="s">
        <v>39</v>
      </c>
      <c r="E346" s="5" t="n">
        <f aca="false">ROUND(6120*1.05,2)</f>
        <v>6426</v>
      </c>
      <c r="F346" s="5" t="s">
        <v>40</v>
      </c>
      <c r="G346" s="5" t="s">
        <v>24</v>
      </c>
      <c r="H346" s="5" t="n">
        <f aca="true">ROUND(RAND()*4+6,1)</f>
        <v>6.9</v>
      </c>
      <c r="I346" s="5" t="s">
        <v>41</v>
      </c>
      <c r="J346" s="5" t="str">
        <f aca="false">ROUND(75*1,0)&amp;"%"</f>
        <v>75%</v>
      </c>
    </row>
    <row r="347" customFormat="false" ht="15" hidden="false" customHeight="false" outlineLevel="0" collapsed="false">
      <c r="A347" s="6" t="s">
        <v>9784</v>
      </c>
      <c r="B347" s="6" t="s">
        <v>558</v>
      </c>
      <c r="C347" s="6" t="s">
        <v>15</v>
      </c>
      <c r="D347" s="6" t="s">
        <v>44</v>
      </c>
      <c r="E347" s="6" t="n">
        <f aca="false">ROUND(16906*1.05,2)</f>
        <v>17751.3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9785</v>
      </c>
      <c r="B348" s="5" t="s">
        <v>560</v>
      </c>
      <c r="C348" s="5" t="s">
        <v>15</v>
      </c>
      <c r="D348" s="5" t="s">
        <v>16</v>
      </c>
      <c r="E348" s="5" t="n">
        <f aca="false">ROUND(6515*1.05,2)</f>
        <v>6840.75</v>
      </c>
      <c r="F348" s="5" t="s">
        <v>49</v>
      </c>
      <c r="G348" s="5" t="s">
        <v>18</v>
      </c>
      <c r="H348" s="5" t="n">
        <f aca="true">ROUND(RAND()*4+6,1)</f>
        <v>8.6</v>
      </c>
      <c r="I348" s="5" t="s">
        <v>19</v>
      </c>
      <c r="J348" s="5" t="str">
        <f aca="false">ROUND(100*1,0)&amp;"%"</f>
        <v>100%</v>
      </c>
    </row>
    <row r="349" customFormat="false" ht="15" hidden="false" customHeight="false" outlineLevel="0" collapsed="false">
      <c r="A349" s="6" t="s">
        <v>9786</v>
      </c>
      <c r="B349" s="6" t="s">
        <v>562</v>
      </c>
      <c r="C349" s="6" t="s">
        <v>15</v>
      </c>
      <c r="D349" s="6" t="s">
        <v>22</v>
      </c>
      <c r="E349" s="6" t="n">
        <f aca="false">ROUND(8520*1.05,2)</f>
        <v>8946</v>
      </c>
      <c r="F349" s="6" t="s">
        <v>52</v>
      </c>
      <c r="G349" s="6" t="s">
        <v>24</v>
      </c>
      <c r="H349" s="6" t="n">
        <f aca="true">ROUND(RAND()*4+6,1)</f>
        <v>9.6</v>
      </c>
      <c r="I349" s="6" t="s">
        <v>25</v>
      </c>
      <c r="J349" s="6" t="str">
        <f aca="false">ROUND(64*1,0)&amp;"%"</f>
        <v>64%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9787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9788</v>
      </c>
      <c r="B354" s="5" t="s">
        <v>566</v>
      </c>
      <c r="C354" s="5" t="s">
        <v>57</v>
      </c>
      <c r="D354" s="5" t="s">
        <v>16</v>
      </c>
      <c r="E354" s="5" t="n">
        <f aca="false">ROUND(17267*1.05,2)</f>
        <v>18130.35</v>
      </c>
      <c r="F354" s="5" t="s">
        <v>17</v>
      </c>
      <c r="G354" s="5" t="s">
        <v>18</v>
      </c>
      <c r="H354" s="5" t="n">
        <f aca="true">ROUND(RAND()*4+6,1)</f>
        <v>9.6</v>
      </c>
      <c r="I354" s="5" t="s">
        <v>19</v>
      </c>
      <c r="J354" s="5" t="str">
        <f aca="false">ROUND(73*1,0)&amp;"%"</f>
        <v>73%</v>
      </c>
    </row>
    <row r="355" customFormat="false" ht="15" hidden="false" customHeight="false" outlineLevel="0" collapsed="false">
      <c r="A355" s="6" t="s">
        <v>9789</v>
      </c>
      <c r="B355" s="6" t="s">
        <v>568</v>
      </c>
      <c r="C355" s="6" t="s">
        <v>57</v>
      </c>
      <c r="D355" s="6" t="s">
        <v>22</v>
      </c>
      <c r="E355" s="6" t="n">
        <f aca="false">ROUND(6610*1.05,2)</f>
        <v>6940.5</v>
      </c>
      <c r="F355" s="6" t="s">
        <v>23</v>
      </c>
      <c r="G355" s="6" t="s">
        <v>24</v>
      </c>
      <c r="H355" s="6" t="n">
        <f aca="true">ROUND(RAND()*4+6,1)</f>
        <v>6.2</v>
      </c>
      <c r="I355" s="6" t="s">
        <v>25</v>
      </c>
      <c r="J355" s="6" t="str">
        <f aca="false">ROUND(61*1,0)&amp;"%"</f>
        <v>61%</v>
      </c>
    </row>
    <row r="356" customFormat="false" ht="15" hidden="false" customHeight="false" outlineLevel="0" collapsed="false">
      <c r="A356" s="5" t="s">
        <v>9790</v>
      </c>
      <c r="B356" s="5" t="s">
        <v>570</v>
      </c>
      <c r="C356" s="5" t="s">
        <v>57</v>
      </c>
      <c r="D356" s="5" t="s">
        <v>28</v>
      </c>
      <c r="E356" s="5" t="n">
        <f aca="false">ROUND(5646*1.05,2)</f>
        <v>5928.3</v>
      </c>
      <c r="F356" s="5" t="s">
        <v>29</v>
      </c>
      <c r="G356" s="5" t="s">
        <v>30</v>
      </c>
      <c r="H356" s="5" t="n">
        <f aca="true">ROUND(RAND()*4+6,1)</f>
        <v>9.3</v>
      </c>
      <c r="I356" s="5" t="s">
        <v>31</v>
      </c>
      <c r="J356" s="5" t="str">
        <f aca="false">ROUND(80*1,0)&amp;"%"</f>
        <v>80%</v>
      </c>
    </row>
    <row r="357" customFormat="false" ht="15" hidden="false" customHeight="false" outlineLevel="0" collapsed="false">
      <c r="A357" s="6" t="s">
        <v>9791</v>
      </c>
      <c r="B357" s="6" t="s">
        <v>572</v>
      </c>
      <c r="C357" s="6" t="s">
        <v>57</v>
      </c>
      <c r="D357" s="6" t="s">
        <v>34</v>
      </c>
      <c r="E357" s="6" t="n">
        <f aca="false">ROUND(14273*1.05,2)</f>
        <v>14986.65</v>
      </c>
      <c r="F357" s="6" t="s">
        <v>35</v>
      </c>
      <c r="G357" s="6" t="s">
        <v>18</v>
      </c>
      <c r="H357" s="6" t="n">
        <f aca="true">ROUND(RAND()*4+6,1)</f>
        <v>6.1</v>
      </c>
      <c r="I357" s="6" t="s">
        <v>36</v>
      </c>
      <c r="J357" s="6" t="str">
        <f aca="false">ROUND(61*1,0)&amp;"%"</f>
        <v>61%</v>
      </c>
    </row>
    <row r="358" customFormat="false" ht="15" hidden="false" customHeight="false" outlineLevel="0" collapsed="false">
      <c r="A358" s="5" t="s">
        <v>9792</v>
      </c>
      <c r="B358" s="5" t="s">
        <v>574</v>
      </c>
      <c r="C358" s="5" t="s">
        <v>57</v>
      </c>
      <c r="D358" s="5" t="s">
        <v>39</v>
      </c>
      <c r="E358" s="5" t="n">
        <f aca="false">ROUND(14353*1.05,2)</f>
        <v>15070.65</v>
      </c>
      <c r="F358" s="5" t="s">
        <v>40</v>
      </c>
      <c r="G358" s="5" t="s">
        <v>24</v>
      </c>
      <c r="H358" s="5" t="n">
        <f aca="true">ROUND(RAND()*4+6,1)</f>
        <v>8.7</v>
      </c>
      <c r="I358" s="5" t="s">
        <v>41</v>
      </c>
      <c r="J358" s="5" t="str">
        <f aca="false">ROUND(60*1,0)&amp;"%"</f>
        <v>60%</v>
      </c>
    </row>
    <row r="359" customFormat="false" ht="15" hidden="false" customHeight="false" outlineLevel="0" collapsed="false">
      <c r="A359" s="6" t="s">
        <v>9793</v>
      </c>
      <c r="B359" s="6" t="s">
        <v>576</v>
      </c>
      <c r="C359" s="6" t="s">
        <v>57</v>
      </c>
      <c r="D359" s="6" t="s">
        <v>44</v>
      </c>
      <c r="E359" s="6" t="n">
        <f aca="false">ROUND(10647*1.05,2)</f>
        <v>11179.35</v>
      </c>
      <c r="F359" s="6" t="s">
        <v>45</v>
      </c>
      <c r="G359" s="6" t="s">
        <v>30</v>
      </c>
      <c r="H359" s="6" t="n">
        <f aca="true">ROUND(RAND()*4+6,1)</f>
        <v>9.6</v>
      </c>
      <c r="I359" s="6" t="s">
        <v>46</v>
      </c>
      <c r="J359" s="6" t="str">
        <f aca="false">ROUND(72*1,0)&amp;"%"</f>
        <v>72%</v>
      </c>
    </row>
    <row r="360" customFormat="false" ht="15" hidden="false" customHeight="false" outlineLevel="0" collapsed="false">
      <c r="A360" s="5" t="s">
        <v>9794</v>
      </c>
      <c r="B360" s="5" t="s">
        <v>578</v>
      </c>
      <c r="C360" s="5" t="s">
        <v>57</v>
      </c>
      <c r="D360" s="5" t="s">
        <v>16</v>
      </c>
      <c r="E360" s="5" t="n">
        <f aca="false">ROUND(5502*1.05,2)</f>
        <v>5777.1</v>
      </c>
      <c r="F360" s="5" t="s">
        <v>49</v>
      </c>
      <c r="G360" s="5" t="s">
        <v>18</v>
      </c>
      <c r="H360" s="5" t="n">
        <f aca="true">ROUND(RAND()*4+6,1)</f>
        <v>7.2</v>
      </c>
      <c r="I360" s="5" t="s">
        <v>19</v>
      </c>
      <c r="J360" s="5" t="str">
        <f aca="false">ROUND(63*1,0)&amp;"%"</f>
        <v>63%</v>
      </c>
    </row>
    <row r="361" customFormat="false" ht="15" hidden="false" customHeight="false" outlineLevel="0" collapsed="false">
      <c r="A361" s="6" t="s">
        <v>9795</v>
      </c>
      <c r="B361" s="6" t="s">
        <v>580</v>
      </c>
      <c r="C361" s="6" t="s">
        <v>57</v>
      </c>
      <c r="D361" s="6" t="s">
        <v>22</v>
      </c>
      <c r="E361" s="6" t="n">
        <f aca="false">ROUND(7748*1.05,2)</f>
        <v>8135.4</v>
      </c>
      <c r="F361" s="6" t="s">
        <v>52</v>
      </c>
      <c r="G361" s="6" t="s">
        <v>24</v>
      </c>
      <c r="H361" s="6" t="n">
        <f aca="true">ROUND(RAND()*4+6,1)</f>
        <v>6.9</v>
      </c>
      <c r="I361" s="6" t="s">
        <v>25</v>
      </c>
      <c r="J361" s="6" t="str">
        <f aca="false">ROUND(96*1,0)&amp;"%"</f>
        <v>96%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9796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9797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9798</v>
      </c>
      <c r="B6" s="5" t="s">
        <v>14</v>
      </c>
      <c r="C6" s="5" t="s">
        <v>15</v>
      </c>
      <c r="D6" s="5" t="s">
        <v>16</v>
      </c>
      <c r="E6" s="5" t="n">
        <f aca="false">ROUND(16586*1.05,2)</f>
        <v>17415.3</v>
      </c>
      <c r="F6" s="5" t="s">
        <v>17</v>
      </c>
      <c r="G6" s="5" t="s">
        <v>18</v>
      </c>
      <c r="H6" s="5" t="n">
        <f aca="true">ROUND(RAND()*4+6,1)</f>
        <v>6.9</v>
      </c>
      <c r="I6" s="5" t="s">
        <v>19</v>
      </c>
      <c r="J6" s="5" t="str">
        <f aca="false">ROUND(91*1,0)&amp;"%"</f>
        <v>91%</v>
      </c>
    </row>
    <row r="7" customFormat="false" ht="15" hidden="false" customHeight="false" outlineLevel="0" collapsed="false">
      <c r="A7" s="6" t="s">
        <v>9799</v>
      </c>
      <c r="B7" s="6" t="s">
        <v>21</v>
      </c>
      <c r="C7" s="6" t="s">
        <v>15</v>
      </c>
      <c r="D7" s="6" t="s">
        <v>22</v>
      </c>
      <c r="E7" s="6" t="n">
        <f aca="false">ROUND(12373*1.05,2)</f>
        <v>12991.65</v>
      </c>
      <c r="F7" s="6" t="s">
        <v>23</v>
      </c>
      <c r="G7" s="6" t="s">
        <v>24</v>
      </c>
      <c r="H7" s="6" t="n">
        <f aca="true">ROUND(RAND()*4+6,1)</f>
        <v>6.5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9800</v>
      </c>
      <c r="B8" s="5" t="s">
        <v>27</v>
      </c>
      <c r="C8" s="5" t="s">
        <v>15</v>
      </c>
      <c r="D8" s="5" t="s">
        <v>28</v>
      </c>
      <c r="E8" s="5" t="n">
        <f aca="false">ROUND(5843*1.05,2)</f>
        <v>6135.15</v>
      </c>
      <c r="F8" s="5" t="s">
        <v>29</v>
      </c>
      <c r="G8" s="5" t="s">
        <v>30</v>
      </c>
      <c r="H8" s="5" t="n">
        <f aca="true">ROUND(RAND()*4+6,1)</f>
        <v>6.4</v>
      </c>
      <c r="I8" s="5" t="s">
        <v>31</v>
      </c>
      <c r="J8" s="5" t="str">
        <f aca="false">ROUND(76*1,0)&amp;"%"</f>
        <v>76%</v>
      </c>
    </row>
    <row r="9" customFormat="false" ht="15" hidden="false" customHeight="false" outlineLevel="0" collapsed="false">
      <c r="A9" s="6" t="s">
        <v>9801</v>
      </c>
      <c r="B9" s="6" t="s">
        <v>33</v>
      </c>
      <c r="C9" s="6" t="s">
        <v>15</v>
      </c>
      <c r="D9" s="6" t="s">
        <v>34</v>
      </c>
      <c r="E9" s="6" t="n">
        <f aca="false">ROUND(11294*1.05,2)</f>
        <v>11858.7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ROUND(71*1,0)&amp;"%"</f>
        <v>71%</v>
      </c>
    </row>
    <row r="10" customFormat="false" ht="15" hidden="false" customHeight="false" outlineLevel="0" collapsed="false">
      <c r="A10" s="5" t="s">
        <v>9802</v>
      </c>
      <c r="B10" s="5" t="s">
        <v>38</v>
      </c>
      <c r="C10" s="5" t="s">
        <v>15</v>
      </c>
      <c r="D10" s="5" t="s">
        <v>39</v>
      </c>
      <c r="E10" s="5" t="n">
        <f aca="false">ROUND(4182*1.05,2)</f>
        <v>4391.1</v>
      </c>
      <c r="F10" s="5" t="s">
        <v>40</v>
      </c>
      <c r="G10" s="5" t="s">
        <v>24</v>
      </c>
      <c r="H10" s="5" t="n">
        <f aca="true">ROUND(RAND()*4+6,1)</f>
        <v>6.7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9803</v>
      </c>
      <c r="B11" s="6" t="s">
        <v>43</v>
      </c>
      <c r="C11" s="6" t="s">
        <v>15</v>
      </c>
      <c r="D11" s="6" t="s">
        <v>44</v>
      </c>
      <c r="E11" s="6" t="n">
        <f aca="false">ROUND(5188*1.05,2)</f>
        <v>5447.4</v>
      </c>
      <c r="F11" s="6" t="s">
        <v>45</v>
      </c>
      <c r="G11" s="6" t="s">
        <v>30</v>
      </c>
      <c r="H11" s="6" t="n">
        <f aca="true">ROUND(RAND()*4+6,1)</f>
        <v>8.9</v>
      </c>
      <c r="I11" s="6" t="s">
        <v>46</v>
      </c>
      <c r="J11" s="6" t="str">
        <f aca="false">ROUND(77*1,0)&amp;"%"</f>
        <v>77%</v>
      </c>
    </row>
    <row r="12" customFormat="false" ht="15" hidden="false" customHeight="false" outlineLevel="0" collapsed="false">
      <c r="A12" s="5" t="s">
        <v>9804</v>
      </c>
      <c r="B12" s="5" t="s">
        <v>48</v>
      </c>
      <c r="C12" s="5" t="s">
        <v>15</v>
      </c>
      <c r="D12" s="5" t="s">
        <v>16</v>
      </c>
      <c r="E12" s="5" t="n">
        <f aca="false">ROUND(7965*1.05,2)</f>
        <v>8363.25</v>
      </c>
      <c r="F12" s="5" t="s">
        <v>49</v>
      </c>
      <c r="G12" s="5" t="s">
        <v>18</v>
      </c>
      <c r="H12" s="5" t="n">
        <f aca="true">ROUND(RAND()*4+6,1)</f>
        <v>8.3</v>
      </c>
      <c r="I12" s="5" t="s">
        <v>19</v>
      </c>
      <c r="J12" s="5" t="str">
        <f aca="false">ROUND(63*1,0)&amp;"%"</f>
        <v>63%</v>
      </c>
    </row>
    <row r="13" customFormat="false" ht="15" hidden="false" customHeight="false" outlineLevel="0" collapsed="false">
      <c r="A13" s="6" t="s">
        <v>9805</v>
      </c>
      <c r="B13" s="6" t="s">
        <v>51</v>
      </c>
      <c r="C13" s="6" t="s">
        <v>15</v>
      </c>
      <c r="D13" s="6" t="s">
        <v>22</v>
      </c>
      <c r="E13" s="6" t="n">
        <f aca="false">ROUND(15845*1.05,2)</f>
        <v>16637.25</v>
      </c>
      <c r="F13" s="6" t="s">
        <v>52</v>
      </c>
      <c r="G13" s="6" t="s">
        <v>24</v>
      </c>
      <c r="H13" s="6" t="n">
        <f aca="true">ROUND(RAND()*4+6,1)</f>
        <v>9.5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9806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9807</v>
      </c>
      <c r="B18" s="5" t="s">
        <v>56</v>
      </c>
      <c r="C18" s="5" t="s">
        <v>57</v>
      </c>
      <c r="D18" s="5" t="s">
        <v>16</v>
      </c>
      <c r="E18" s="5" t="n">
        <f aca="false">ROUND(15741*1.05,2)</f>
        <v>16528.05</v>
      </c>
      <c r="F18" s="5" t="s">
        <v>17</v>
      </c>
      <c r="G18" s="5" t="s">
        <v>18</v>
      </c>
      <c r="H18" s="5" t="n">
        <f aca="true">ROUND(RAND()*4+6,1)</f>
        <v>8.5</v>
      </c>
      <c r="I18" s="5" t="s">
        <v>19</v>
      </c>
      <c r="J18" s="5" t="str">
        <f aca="false">ROUND(91*1,0)&amp;"%"</f>
        <v>91%</v>
      </c>
    </row>
    <row r="19" customFormat="false" ht="15" hidden="false" customHeight="false" outlineLevel="0" collapsed="false">
      <c r="A19" s="6" t="s">
        <v>9808</v>
      </c>
      <c r="B19" s="6" t="s">
        <v>59</v>
      </c>
      <c r="C19" s="6" t="s">
        <v>57</v>
      </c>
      <c r="D19" s="6" t="s">
        <v>22</v>
      </c>
      <c r="E19" s="6" t="n">
        <f aca="false">ROUND(4087*1.05,2)</f>
        <v>4291.35</v>
      </c>
      <c r="F19" s="6" t="s">
        <v>23</v>
      </c>
      <c r="G19" s="6" t="s">
        <v>24</v>
      </c>
      <c r="H19" s="6" t="n">
        <f aca="true">ROUND(RAND()*4+6,1)</f>
        <v>10</v>
      </c>
      <c r="I19" s="6" t="s">
        <v>25</v>
      </c>
      <c r="J19" s="6" t="str">
        <f aca="false">ROUND(77*1,0)&amp;"%"</f>
        <v>77%</v>
      </c>
    </row>
    <row r="20" customFormat="false" ht="15" hidden="false" customHeight="false" outlineLevel="0" collapsed="false">
      <c r="A20" s="5" t="s">
        <v>9809</v>
      </c>
      <c r="B20" s="5" t="s">
        <v>61</v>
      </c>
      <c r="C20" s="5" t="s">
        <v>57</v>
      </c>
      <c r="D20" s="5" t="s">
        <v>28</v>
      </c>
      <c r="E20" s="5" t="n">
        <f aca="false">ROUND(5026*1.05,2)</f>
        <v>5277.3</v>
      </c>
      <c r="F20" s="5" t="s">
        <v>29</v>
      </c>
      <c r="G20" s="5" t="s">
        <v>30</v>
      </c>
      <c r="H20" s="5" t="n">
        <f aca="true">ROUND(RAND()*4+6,1)</f>
        <v>8.3</v>
      </c>
      <c r="I20" s="5" t="s">
        <v>31</v>
      </c>
      <c r="J20" s="5" t="str">
        <f aca="false">ROUND(80*1,0)&amp;"%"</f>
        <v>80%</v>
      </c>
    </row>
    <row r="21" customFormat="false" ht="15" hidden="false" customHeight="false" outlineLevel="0" collapsed="false">
      <c r="A21" s="6" t="s">
        <v>9810</v>
      </c>
      <c r="B21" s="6" t="s">
        <v>63</v>
      </c>
      <c r="C21" s="6" t="s">
        <v>57</v>
      </c>
      <c r="D21" s="6" t="s">
        <v>34</v>
      </c>
      <c r="E21" s="6" t="n">
        <f aca="false">ROUND(10906*1.05,2)</f>
        <v>11451.3</v>
      </c>
      <c r="F21" s="6" t="s">
        <v>35</v>
      </c>
      <c r="G21" s="6" t="s">
        <v>18</v>
      </c>
      <c r="H21" s="6" t="n">
        <f aca="true">ROUND(RAND()*4+6,1)</f>
        <v>6.7</v>
      </c>
      <c r="I21" s="6" t="s">
        <v>36</v>
      </c>
      <c r="J21" s="6" t="str">
        <f aca="false">ROUND(99*1,0)&amp;"%"</f>
        <v>99%</v>
      </c>
    </row>
    <row r="22" customFormat="false" ht="15" hidden="false" customHeight="false" outlineLevel="0" collapsed="false">
      <c r="A22" s="5" t="s">
        <v>9811</v>
      </c>
      <c r="B22" s="5" t="s">
        <v>65</v>
      </c>
      <c r="C22" s="5" t="s">
        <v>57</v>
      </c>
      <c r="D22" s="5" t="s">
        <v>39</v>
      </c>
      <c r="E22" s="5" t="n">
        <f aca="false">ROUND(16961*1.05,2)</f>
        <v>17809.05</v>
      </c>
      <c r="F22" s="5" t="s">
        <v>40</v>
      </c>
      <c r="G22" s="5" t="s">
        <v>24</v>
      </c>
      <c r="H22" s="5" t="n">
        <f aca="true">ROUND(RAND()*4+6,1)</f>
        <v>8.5</v>
      </c>
      <c r="I22" s="5" t="s">
        <v>41</v>
      </c>
      <c r="J22" s="5" t="str">
        <f aca="false">ROUND(66*1,0)&amp;"%"</f>
        <v>66%</v>
      </c>
    </row>
    <row r="23" customFormat="false" ht="15" hidden="false" customHeight="false" outlineLevel="0" collapsed="false">
      <c r="A23" s="6" t="s">
        <v>9812</v>
      </c>
      <c r="B23" s="6" t="s">
        <v>67</v>
      </c>
      <c r="C23" s="6" t="s">
        <v>57</v>
      </c>
      <c r="D23" s="6" t="s">
        <v>44</v>
      </c>
      <c r="E23" s="6" t="n">
        <f aca="false">ROUND(5163*1.05,2)</f>
        <v>5421.15</v>
      </c>
      <c r="F23" s="6" t="s">
        <v>45</v>
      </c>
      <c r="G23" s="6" t="s">
        <v>30</v>
      </c>
      <c r="H23" s="6" t="n">
        <f aca="true">ROUND(RAND()*4+6,1)</f>
        <v>9.7</v>
      </c>
      <c r="I23" s="6" t="s">
        <v>46</v>
      </c>
      <c r="J23" s="6" t="str">
        <f aca="false">ROUND(96*1,0)&amp;"%"</f>
        <v>96%</v>
      </c>
    </row>
    <row r="24" customFormat="false" ht="15" hidden="false" customHeight="false" outlineLevel="0" collapsed="false">
      <c r="A24" s="5" t="s">
        <v>9813</v>
      </c>
      <c r="B24" s="5" t="s">
        <v>69</v>
      </c>
      <c r="C24" s="5" t="s">
        <v>57</v>
      </c>
      <c r="D24" s="5" t="s">
        <v>16</v>
      </c>
      <c r="E24" s="5" t="n">
        <f aca="false">ROUND(13404*1.05,2)</f>
        <v>14074.2</v>
      </c>
      <c r="F24" s="5" t="s">
        <v>49</v>
      </c>
      <c r="G24" s="5" t="s">
        <v>18</v>
      </c>
      <c r="H24" s="5" t="n">
        <f aca="true">ROUND(RAND()*4+6,1)</f>
        <v>6.1</v>
      </c>
      <c r="I24" s="5" t="s">
        <v>19</v>
      </c>
      <c r="J24" s="5" t="str">
        <f aca="false">ROUND(75*1,0)&amp;"%"</f>
        <v>75%</v>
      </c>
    </row>
    <row r="25" customFormat="false" ht="15" hidden="false" customHeight="false" outlineLevel="0" collapsed="false">
      <c r="A25" s="6" t="s">
        <v>9814</v>
      </c>
      <c r="B25" s="6" t="s">
        <v>71</v>
      </c>
      <c r="C25" s="6" t="s">
        <v>57</v>
      </c>
      <c r="D25" s="6" t="s">
        <v>22</v>
      </c>
      <c r="E25" s="6" t="n">
        <f aca="false">ROUND(8240*1.05,2)</f>
        <v>8652</v>
      </c>
      <c r="F25" s="6" t="s">
        <v>52</v>
      </c>
      <c r="G25" s="6" t="s">
        <v>24</v>
      </c>
      <c r="H25" s="6" t="n">
        <f aca="true">ROUND(RAND()*4+6,1)</f>
        <v>7.1</v>
      </c>
      <c r="I25" s="6" t="s">
        <v>25</v>
      </c>
      <c r="J25" s="6" t="str">
        <f aca="false">ROUND(97*1,0)&amp;"%"</f>
        <v>97%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9815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9816</v>
      </c>
      <c r="B30" s="5" t="s">
        <v>75</v>
      </c>
      <c r="C30" s="5" t="s">
        <v>76</v>
      </c>
      <c r="D30" s="5" t="s">
        <v>16</v>
      </c>
      <c r="E30" s="5" t="n">
        <f aca="false">ROUND(8266*1.05,2)</f>
        <v>8679.3</v>
      </c>
      <c r="F30" s="5" t="s">
        <v>17</v>
      </c>
      <c r="G30" s="5" t="s">
        <v>18</v>
      </c>
      <c r="H30" s="5" t="n">
        <f aca="true">ROUND(RAND()*4+6,1)</f>
        <v>7.3</v>
      </c>
      <c r="I30" s="5" t="s">
        <v>19</v>
      </c>
      <c r="J30" s="5" t="str">
        <f aca="false">ROUND(65*1,0)&amp;"%"</f>
        <v>65%</v>
      </c>
    </row>
    <row r="31" customFormat="false" ht="15" hidden="false" customHeight="false" outlineLevel="0" collapsed="false">
      <c r="A31" s="6" t="s">
        <v>9817</v>
      </c>
      <c r="B31" s="6" t="s">
        <v>78</v>
      </c>
      <c r="C31" s="6" t="s">
        <v>76</v>
      </c>
      <c r="D31" s="6" t="s">
        <v>22</v>
      </c>
      <c r="E31" s="6" t="n">
        <f aca="false">ROUND(8357*1.05,2)</f>
        <v>8774.85</v>
      </c>
      <c r="F31" s="6" t="s">
        <v>23</v>
      </c>
      <c r="G31" s="6" t="s">
        <v>24</v>
      </c>
      <c r="H31" s="6" t="n">
        <f aca="true">ROUND(RAND()*4+6,1)</f>
        <v>7.1</v>
      </c>
      <c r="I31" s="6" t="s">
        <v>25</v>
      </c>
      <c r="J31" s="6" t="str">
        <f aca="false">ROUND(86*1,0)&amp;"%"</f>
        <v>86%</v>
      </c>
    </row>
    <row r="32" customFormat="false" ht="15" hidden="false" customHeight="false" outlineLevel="0" collapsed="false">
      <c r="A32" s="5" t="s">
        <v>9818</v>
      </c>
      <c r="B32" s="5" t="s">
        <v>80</v>
      </c>
      <c r="C32" s="5" t="s">
        <v>76</v>
      </c>
      <c r="D32" s="5" t="s">
        <v>28</v>
      </c>
      <c r="E32" s="5" t="n">
        <f aca="false">ROUND(4732*1.05,2)</f>
        <v>4968.6</v>
      </c>
      <c r="F32" s="5" t="s">
        <v>29</v>
      </c>
      <c r="G32" s="5" t="s">
        <v>30</v>
      </c>
      <c r="H32" s="5" t="n">
        <f aca="true">ROUND(RAND()*4+6,1)</f>
        <v>9.2</v>
      </c>
      <c r="I32" s="5" t="s">
        <v>31</v>
      </c>
      <c r="J32" s="5" t="str">
        <f aca="false">ROUND(99*1,0)&amp;"%"</f>
        <v>99%</v>
      </c>
    </row>
    <row r="33" customFormat="false" ht="15" hidden="false" customHeight="false" outlineLevel="0" collapsed="false">
      <c r="A33" s="6" t="s">
        <v>9819</v>
      </c>
      <c r="B33" s="6" t="s">
        <v>82</v>
      </c>
      <c r="C33" s="6" t="s">
        <v>76</v>
      </c>
      <c r="D33" s="6" t="s">
        <v>34</v>
      </c>
      <c r="E33" s="6" t="n">
        <f aca="false">ROUND(10109*1.05,2)</f>
        <v>10614.45</v>
      </c>
      <c r="F33" s="6" t="s">
        <v>35</v>
      </c>
      <c r="G33" s="6" t="s">
        <v>18</v>
      </c>
      <c r="H33" s="6" t="n">
        <f aca="true">ROUND(RAND()*4+6,1)</f>
        <v>9.9</v>
      </c>
      <c r="I33" s="6" t="s">
        <v>36</v>
      </c>
      <c r="J33" s="6" t="str">
        <f aca="false">ROUND(78*1,0)&amp;"%"</f>
        <v>78%</v>
      </c>
    </row>
    <row r="34" customFormat="false" ht="15" hidden="false" customHeight="false" outlineLevel="0" collapsed="false">
      <c r="A34" s="5" t="s">
        <v>9820</v>
      </c>
      <c r="B34" s="5" t="s">
        <v>84</v>
      </c>
      <c r="C34" s="5" t="s">
        <v>76</v>
      </c>
      <c r="D34" s="5" t="s">
        <v>39</v>
      </c>
      <c r="E34" s="5" t="n">
        <f aca="false">ROUND(8054*1.05,2)</f>
        <v>8456.7</v>
      </c>
      <c r="F34" s="5" t="s">
        <v>40</v>
      </c>
      <c r="G34" s="5" t="s">
        <v>24</v>
      </c>
      <c r="H34" s="5" t="n">
        <f aca="true">ROUND(RAND()*4+6,1)</f>
        <v>9.9</v>
      </c>
      <c r="I34" s="5" t="s">
        <v>41</v>
      </c>
      <c r="J34" s="5" t="str">
        <f aca="false">ROUND(77*1,0)&amp;"%"</f>
        <v>77%</v>
      </c>
    </row>
    <row r="35" customFormat="false" ht="15" hidden="false" customHeight="false" outlineLevel="0" collapsed="false">
      <c r="A35" s="6" t="s">
        <v>9821</v>
      </c>
      <c r="B35" s="6" t="s">
        <v>86</v>
      </c>
      <c r="C35" s="6" t="s">
        <v>76</v>
      </c>
      <c r="D35" s="6" t="s">
        <v>44</v>
      </c>
      <c r="E35" s="6" t="n">
        <f aca="false">ROUND(14582*1.05,2)</f>
        <v>15311.1</v>
      </c>
      <c r="F35" s="6" t="s">
        <v>45</v>
      </c>
      <c r="G35" s="6" t="s">
        <v>30</v>
      </c>
      <c r="H35" s="6" t="n">
        <f aca="true">ROUND(RAND()*4+6,1)</f>
        <v>6.2</v>
      </c>
      <c r="I35" s="6" t="s">
        <v>46</v>
      </c>
      <c r="J35" s="6" t="str">
        <f aca="false">ROUND(71*1,0)&amp;"%"</f>
        <v>71%</v>
      </c>
    </row>
    <row r="36" customFormat="false" ht="15" hidden="false" customHeight="false" outlineLevel="0" collapsed="false">
      <c r="A36" s="5" t="s">
        <v>9822</v>
      </c>
      <c r="B36" s="5" t="s">
        <v>88</v>
      </c>
      <c r="C36" s="5" t="s">
        <v>76</v>
      </c>
      <c r="D36" s="5" t="s">
        <v>16</v>
      </c>
      <c r="E36" s="5" t="n">
        <f aca="false">ROUND(13218*1.05,2)</f>
        <v>13878.9</v>
      </c>
      <c r="F36" s="5" t="s">
        <v>49</v>
      </c>
      <c r="G36" s="5" t="s">
        <v>18</v>
      </c>
      <c r="H36" s="5" t="n">
        <f aca="true">ROUND(RAND()*4+6,1)</f>
        <v>6.2</v>
      </c>
      <c r="I36" s="5" t="s">
        <v>19</v>
      </c>
      <c r="J36" s="5" t="str">
        <f aca="false">ROUND(96*1,0)&amp;"%"</f>
        <v>96%</v>
      </c>
    </row>
    <row r="37" customFormat="false" ht="15" hidden="false" customHeight="false" outlineLevel="0" collapsed="false">
      <c r="A37" s="6" t="s">
        <v>9823</v>
      </c>
      <c r="B37" s="6" t="s">
        <v>90</v>
      </c>
      <c r="C37" s="6" t="s">
        <v>76</v>
      </c>
      <c r="D37" s="6" t="s">
        <v>22</v>
      </c>
      <c r="E37" s="6" t="n">
        <f aca="false">ROUND(16716*1.05,2)</f>
        <v>17551.8</v>
      </c>
      <c r="F37" s="6" t="s">
        <v>52</v>
      </c>
      <c r="G37" s="6" t="s">
        <v>24</v>
      </c>
      <c r="H37" s="6" t="n">
        <f aca="true">ROUND(RAND()*4+6,1)</f>
        <v>7.1</v>
      </c>
      <c r="I37" s="6" t="s">
        <v>25</v>
      </c>
      <c r="J37" s="6" t="str">
        <f aca="false">ROUND(100*1,0)&amp;"%"</f>
        <v>100%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9824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9825</v>
      </c>
      <c r="B42" s="5" t="s">
        <v>94</v>
      </c>
      <c r="C42" s="5" t="s">
        <v>95</v>
      </c>
      <c r="D42" s="5" t="s">
        <v>16</v>
      </c>
      <c r="E42" s="5" t="n">
        <f aca="false">ROUND(15210*1.05,2)</f>
        <v>15970.5</v>
      </c>
      <c r="F42" s="5" t="s">
        <v>17</v>
      </c>
      <c r="G42" s="5" t="s">
        <v>18</v>
      </c>
      <c r="H42" s="5" t="n">
        <f aca="true">ROUND(RAND()*4+6,1)</f>
        <v>8.9</v>
      </c>
      <c r="I42" s="5" t="s">
        <v>19</v>
      </c>
      <c r="J42" s="5" t="str">
        <f aca="false">ROUND(63*1,0)&amp;"%"</f>
        <v>63%</v>
      </c>
    </row>
    <row r="43" customFormat="false" ht="15" hidden="false" customHeight="false" outlineLevel="0" collapsed="false">
      <c r="A43" s="6" t="s">
        <v>9826</v>
      </c>
      <c r="B43" s="6" t="s">
        <v>97</v>
      </c>
      <c r="C43" s="6" t="s">
        <v>95</v>
      </c>
      <c r="D43" s="6" t="s">
        <v>22</v>
      </c>
      <c r="E43" s="6" t="n">
        <f aca="false">ROUND(6201*1.05,2)</f>
        <v>6511.05</v>
      </c>
      <c r="F43" s="6" t="s">
        <v>23</v>
      </c>
      <c r="G43" s="6" t="s">
        <v>24</v>
      </c>
      <c r="H43" s="6" t="n">
        <f aca="true">ROUND(RAND()*4+6,1)</f>
        <v>9.1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9827</v>
      </c>
      <c r="B44" s="5" t="s">
        <v>99</v>
      </c>
      <c r="C44" s="5" t="s">
        <v>95</v>
      </c>
      <c r="D44" s="5" t="s">
        <v>28</v>
      </c>
      <c r="E44" s="5" t="n">
        <f aca="false">ROUND(15980*1.05,2)</f>
        <v>16779</v>
      </c>
      <c r="F44" s="5" t="s">
        <v>29</v>
      </c>
      <c r="G44" s="5" t="s">
        <v>30</v>
      </c>
      <c r="H44" s="5" t="n">
        <f aca="true">ROUND(RAND()*4+6,1)</f>
        <v>7.2</v>
      </c>
      <c r="I44" s="5" t="s">
        <v>31</v>
      </c>
      <c r="J44" s="5" t="str">
        <f aca="false">ROUND(98*1,0)&amp;"%"</f>
        <v>98%</v>
      </c>
    </row>
    <row r="45" customFormat="false" ht="15" hidden="false" customHeight="false" outlineLevel="0" collapsed="false">
      <c r="A45" s="6" t="s">
        <v>9828</v>
      </c>
      <c r="B45" s="6" t="s">
        <v>101</v>
      </c>
      <c r="C45" s="6" t="s">
        <v>95</v>
      </c>
      <c r="D45" s="6" t="s">
        <v>34</v>
      </c>
      <c r="E45" s="6" t="n">
        <f aca="false">ROUND(6259*1.05,2)</f>
        <v>6571.95</v>
      </c>
      <c r="F45" s="6" t="s">
        <v>35</v>
      </c>
      <c r="G45" s="6" t="s">
        <v>18</v>
      </c>
      <c r="H45" s="6" t="n">
        <f aca="true">ROUND(RAND()*4+6,1)</f>
        <v>8.7</v>
      </c>
      <c r="I45" s="6" t="s">
        <v>36</v>
      </c>
      <c r="J45" s="6" t="str">
        <f aca="false">ROUND(90*1,0)&amp;"%"</f>
        <v>90%</v>
      </c>
    </row>
    <row r="46" customFormat="false" ht="15" hidden="false" customHeight="false" outlineLevel="0" collapsed="false">
      <c r="A46" s="5" t="s">
        <v>9829</v>
      </c>
      <c r="B46" s="5" t="s">
        <v>103</v>
      </c>
      <c r="C46" s="5" t="s">
        <v>95</v>
      </c>
      <c r="D46" s="5" t="s">
        <v>39</v>
      </c>
      <c r="E46" s="5" t="n">
        <f aca="false">ROUND(10566*1.05,2)</f>
        <v>11094.3</v>
      </c>
      <c r="F46" s="5" t="s">
        <v>40</v>
      </c>
      <c r="G46" s="5" t="s">
        <v>24</v>
      </c>
      <c r="H46" s="5" t="n">
        <f aca="true">ROUND(RAND()*4+6,1)</f>
        <v>8.2</v>
      </c>
      <c r="I46" s="5" t="s">
        <v>41</v>
      </c>
      <c r="J46" s="5" t="str">
        <f aca="false">ROUND(94*1,0)&amp;"%"</f>
        <v>94%</v>
      </c>
    </row>
    <row r="47" customFormat="false" ht="15" hidden="false" customHeight="false" outlineLevel="0" collapsed="false">
      <c r="A47" s="6" t="s">
        <v>9830</v>
      </c>
      <c r="B47" s="6" t="s">
        <v>105</v>
      </c>
      <c r="C47" s="6" t="s">
        <v>95</v>
      </c>
      <c r="D47" s="6" t="s">
        <v>44</v>
      </c>
      <c r="E47" s="6" t="n">
        <f aca="false">ROUND(14236*1.05,2)</f>
        <v>14947.8</v>
      </c>
      <c r="F47" s="6" t="s">
        <v>45</v>
      </c>
      <c r="G47" s="6" t="s">
        <v>30</v>
      </c>
      <c r="H47" s="6" t="n">
        <f aca="true">ROUND(RAND()*4+6,1)</f>
        <v>6.9</v>
      </c>
      <c r="I47" s="6" t="s">
        <v>46</v>
      </c>
      <c r="J47" s="6" t="str">
        <f aca="false">ROUND(100*1,0)&amp;"%"</f>
        <v>100%</v>
      </c>
    </row>
    <row r="48" customFormat="false" ht="15" hidden="false" customHeight="false" outlineLevel="0" collapsed="false">
      <c r="A48" s="5" t="s">
        <v>9831</v>
      </c>
      <c r="B48" s="5" t="s">
        <v>107</v>
      </c>
      <c r="C48" s="5" t="s">
        <v>95</v>
      </c>
      <c r="D48" s="5" t="s">
        <v>16</v>
      </c>
      <c r="E48" s="5" t="n">
        <f aca="false">ROUND(7317*1.05,2)</f>
        <v>7682.85</v>
      </c>
      <c r="F48" s="5" t="s">
        <v>49</v>
      </c>
      <c r="G48" s="5" t="s">
        <v>18</v>
      </c>
      <c r="H48" s="5" t="n">
        <f aca="true">ROUND(RAND()*4+6,1)</f>
        <v>6.6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9832</v>
      </c>
      <c r="B49" s="6" t="s">
        <v>109</v>
      </c>
      <c r="C49" s="6" t="s">
        <v>95</v>
      </c>
      <c r="D49" s="6" t="s">
        <v>22</v>
      </c>
      <c r="E49" s="6" t="n">
        <f aca="false">ROUND(12492*1.05,2)</f>
        <v>13116.6</v>
      </c>
      <c r="F49" s="6" t="s">
        <v>52</v>
      </c>
      <c r="G49" s="6" t="s">
        <v>24</v>
      </c>
      <c r="H49" s="6" t="n">
        <f aca="true">ROUND(RAND()*4+6,1)</f>
        <v>9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9833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9834</v>
      </c>
      <c r="B54" s="5" t="s">
        <v>113</v>
      </c>
      <c r="C54" s="5" t="s">
        <v>114</v>
      </c>
      <c r="D54" s="5" t="s">
        <v>16</v>
      </c>
      <c r="E54" s="5" t="n">
        <f aca="false">ROUND(15195*1.05,2)</f>
        <v>15954.75</v>
      </c>
      <c r="F54" s="5" t="s">
        <v>17</v>
      </c>
      <c r="G54" s="5" t="s">
        <v>18</v>
      </c>
      <c r="H54" s="5" t="n">
        <f aca="true">ROUND(RAND()*4+6,1)</f>
        <v>7.7</v>
      </c>
      <c r="I54" s="5" t="s">
        <v>19</v>
      </c>
      <c r="J54" s="5" t="str">
        <f aca="false">ROUND(61*1,0)&amp;"%"</f>
        <v>61%</v>
      </c>
    </row>
    <row r="55" customFormat="false" ht="15" hidden="false" customHeight="false" outlineLevel="0" collapsed="false">
      <c r="A55" s="6" t="s">
        <v>9835</v>
      </c>
      <c r="B55" s="6" t="s">
        <v>116</v>
      </c>
      <c r="C55" s="6" t="s">
        <v>114</v>
      </c>
      <c r="D55" s="6" t="s">
        <v>22</v>
      </c>
      <c r="E55" s="6" t="n">
        <f aca="false">ROUND(13594*1.05,2)</f>
        <v>14273.7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ROUND(90*1,0)&amp;"%"</f>
        <v>90%</v>
      </c>
    </row>
    <row r="56" customFormat="false" ht="15" hidden="false" customHeight="false" outlineLevel="0" collapsed="false">
      <c r="A56" s="5" t="s">
        <v>9836</v>
      </c>
      <c r="B56" s="5" t="s">
        <v>118</v>
      </c>
      <c r="C56" s="5" t="s">
        <v>114</v>
      </c>
      <c r="D56" s="5" t="s">
        <v>28</v>
      </c>
      <c r="E56" s="5" t="n">
        <f aca="false">ROUND(9811*1.05,2)</f>
        <v>10301.55</v>
      </c>
      <c r="F56" s="5" t="s">
        <v>29</v>
      </c>
      <c r="G56" s="5" t="s">
        <v>30</v>
      </c>
      <c r="H56" s="5" t="n">
        <f aca="true">ROUND(RAND()*4+6,1)</f>
        <v>7.2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9837</v>
      </c>
      <c r="B57" s="6" t="s">
        <v>120</v>
      </c>
      <c r="C57" s="6" t="s">
        <v>114</v>
      </c>
      <c r="D57" s="6" t="s">
        <v>34</v>
      </c>
      <c r="E57" s="6" t="n">
        <f aca="false">ROUND(16164*1.05,2)</f>
        <v>16972.2</v>
      </c>
      <c r="F57" s="6" t="s">
        <v>35</v>
      </c>
      <c r="G57" s="6" t="s">
        <v>18</v>
      </c>
      <c r="H57" s="6" t="n">
        <f aca="true">ROUND(RAND()*4+6,1)</f>
        <v>9.8</v>
      </c>
      <c r="I57" s="6" t="s">
        <v>36</v>
      </c>
      <c r="J57" s="6" t="str">
        <f aca="false">ROUND(97*1,0)&amp;"%"</f>
        <v>97%</v>
      </c>
    </row>
    <row r="58" customFormat="false" ht="15" hidden="false" customHeight="false" outlineLevel="0" collapsed="false">
      <c r="A58" s="5" t="s">
        <v>9838</v>
      </c>
      <c r="B58" s="5" t="s">
        <v>122</v>
      </c>
      <c r="C58" s="5" t="s">
        <v>114</v>
      </c>
      <c r="D58" s="5" t="s">
        <v>39</v>
      </c>
      <c r="E58" s="5" t="n">
        <f aca="false">ROUND(6375*1.05,2)</f>
        <v>6693.75</v>
      </c>
      <c r="F58" s="5" t="s">
        <v>40</v>
      </c>
      <c r="G58" s="5" t="s">
        <v>24</v>
      </c>
      <c r="H58" s="5" t="n">
        <f aca="true">ROUND(RAND()*4+6,1)</f>
        <v>9</v>
      </c>
      <c r="I58" s="5" t="s">
        <v>41</v>
      </c>
      <c r="J58" s="5" t="str">
        <f aca="false">ROUND(72*1,0)&amp;"%"</f>
        <v>72%</v>
      </c>
    </row>
    <row r="59" customFormat="false" ht="15" hidden="false" customHeight="false" outlineLevel="0" collapsed="false">
      <c r="A59" s="6" t="s">
        <v>9839</v>
      </c>
      <c r="B59" s="6" t="s">
        <v>124</v>
      </c>
      <c r="C59" s="6" t="s">
        <v>114</v>
      </c>
      <c r="D59" s="6" t="s">
        <v>44</v>
      </c>
      <c r="E59" s="6" t="n">
        <f aca="false">ROUND(13170*1.05,2)</f>
        <v>13828.5</v>
      </c>
      <c r="F59" s="6" t="s">
        <v>45</v>
      </c>
      <c r="G59" s="6" t="s">
        <v>30</v>
      </c>
      <c r="H59" s="6" t="n">
        <f aca="true">ROUND(RAND()*4+6,1)</f>
        <v>7.8</v>
      </c>
      <c r="I59" s="6" t="s">
        <v>46</v>
      </c>
      <c r="J59" s="6" t="str">
        <f aca="false">ROUND(97*1,0)&amp;"%"</f>
        <v>97%</v>
      </c>
    </row>
    <row r="60" customFormat="false" ht="15" hidden="false" customHeight="false" outlineLevel="0" collapsed="false">
      <c r="A60" s="5" t="s">
        <v>9840</v>
      </c>
      <c r="B60" s="5" t="s">
        <v>126</v>
      </c>
      <c r="C60" s="5" t="s">
        <v>114</v>
      </c>
      <c r="D60" s="5" t="s">
        <v>16</v>
      </c>
      <c r="E60" s="5" t="n">
        <f aca="false">ROUND(15680*1.05,2)</f>
        <v>16464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ROUND(82*1,0)&amp;"%"</f>
        <v>82%</v>
      </c>
    </row>
    <row r="61" customFormat="false" ht="15" hidden="false" customHeight="false" outlineLevel="0" collapsed="false">
      <c r="A61" s="6" t="s">
        <v>9841</v>
      </c>
      <c r="B61" s="6" t="s">
        <v>128</v>
      </c>
      <c r="C61" s="6" t="s">
        <v>114</v>
      </c>
      <c r="D61" s="6" t="s">
        <v>22</v>
      </c>
      <c r="E61" s="6" t="n">
        <f aca="false">ROUND(16649*1.05,2)</f>
        <v>17481.45</v>
      </c>
      <c r="F61" s="6" t="s">
        <v>52</v>
      </c>
      <c r="G61" s="6" t="s">
        <v>24</v>
      </c>
      <c r="H61" s="6" t="n">
        <f aca="true">ROUND(RAND()*4+6,1)</f>
        <v>7.5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9842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9843</v>
      </c>
      <c r="B66" s="5" t="s">
        <v>132</v>
      </c>
      <c r="C66" s="5" t="s">
        <v>133</v>
      </c>
      <c r="D66" s="5" t="s">
        <v>16</v>
      </c>
      <c r="E66" s="5" t="n">
        <f aca="false">ROUND(9536*1.05,2)</f>
        <v>10012.8</v>
      </c>
      <c r="F66" s="5" t="s">
        <v>17</v>
      </c>
      <c r="G66" s="5" t="s">
        <v>18</v>
      </c>
      <c r="H66" s="5" t="n">
        <f aca="true">ROUND(RAND()*4+6,1)</f>
        <v>9.1</v>
      </c>
      <c r="I66" s="5" t="s">
        <v>19</v>
      </c>
      <c r="J66" s="5" t="str">
        <f aca="false">ROUND(71*1,0)&amp;"%"</f>
        <v>71%</v>
      </c>
    </row>
    <row r="67" customFormat="false" ht="15" hidden="false" customHeight="false" outlineLevel="0" collapsed="false">
      <c r="A67" s="6" t="s">
        <v>9844</v>
      </c>
      <c r="B67" s="6" t="s">
        <v>135</v>
      </c>
      <c r="C67" s="6" t="s">
        <v>133</v>
      </c>
      <c r="D67" s="6" t="s">
        <v>22</v>
      </c>
      <c r="E67" s="6" t="n">
        <f aca="false">ROUND(5110*1.05,2)</f>
        <v>5365.5</v>
      </c>
      <c r="F67" s="6" t="s">
        <v>23</v>
      </c>
      <c r="G67" s="6" t="s">
        <v>24</v>
      </c>
      <c r="H67" s="6" t="n">
        <f aca="true">ROUND(RAND()*4+6,1)</f>
        <v>9.1</v>
      </c>
      <c r="I67" s="6" t="s">
        <v>25</v>
      </c>
      <c r="J67" s="6" t="str">
        <f aca="false">ROUND(75*1,0)&amp;"%"</f>
        <v>75%</v>
      </c>
    </row>
    <row r="68" customFormat="false" ht="15" hidden="false" customHeight="false" outlineLevel="0" collapsed="false">
      <c r="A68" s="5" t="s">
        <v>9845</v>
      </c>
      <c r="B68" s="5" t="s">
        <v>137</v>
      </c>
      <c r="C68" s="5" t="s">
        <v>133</v>
      </c>
      <c r="D68" s="5" t="s">
        <v>28</v>
      </c>
      <c r="E68" s="5" t="n">
        <f aca="false">ROUND(5235*1.05,2)</f>
        <v>5496.75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ROUND(89*1,0)&amp;"%"</f>
        <v>89%</v>
      </c>
    </row>
    <row r="69" customFormat="false" ht="15" hidden="false" customHeight="false" outlineLevel="0" collapsed="false">
      <c r="A69" s="6" t="s">
        <v>9846</v>
      </c>
      <c r="B69" s="6" t="s">
        <v>139</v>
      </c>
      <c r="C69" s="6" t="s">
        <v>133</v>
      </c>
      <c r="D69" s="6" t="s">
        <v>34</v>
      </c>
      <c r="E69" s="6" t="n">
        <f aca="false">ROUND(15188*1.05,2)</f>
        <v>15947.4</v>
      </c>
      <c r="F69" s="6" t="s">
        <v>35</v>
      </c>
      <c r="G69" s="6" t="s">
        <v>18</v>
      </c>
      <c r="H69" s="6" t="n">
        <f aca="true">ROUND(RAND()*4+6,1)</f>
        <v>9.1</v>
      </c>
      <c r="I69" s="6" t="s">
        <v>36</v>
      </c>
      <c r="J69" s="6" t="str">
        <f aca="false">ROUND(62*1,0)&amp;"%"</f>
        <v>62%</v>
      </c>
    </row>
    <row r="70" customFormat="false" ht="15" hidden="false" customHeight="false" outlineLevel="0" collapsed="false">
      <c r="A70" s="5" t="s">
        <v>9847</v>
      </c>
      <c r="B70" s="5" t="s">
        <v>141</v>
      </c>
      <c r="C70" s="5" t="s">
        <v>133</v>
      </c>
      <c r="D70" s="5" t="s">
        <v>39</v>
      </c>
      <c r="E70" s="5" t="n">
        <f aca="false">ROUND(5809*1.05,2)</f>
        <v>6099.45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ROUND(72*1,0)&amp;"%"</f>
        <v>72%</v>
      </c>
    </row>
    <row r="71" customFormat="false" ht="15" hidden="false" customHeight="false" outlineLevel="0" collapsed="false">
      <c r="A71" s="6" t="s">
        <v>9848</v>
      </c>
      <c r="B71" s="6" t="s">
        <v>143</v>
      </c>
      <c r="C71" s="6" t="s">
        <v>133</v>
      </c>
      <c r="D71" s="6" t="s">
        <v>44</v>
      </c>
      <c r="E71" s="6" t="n">
        <f aca="false">ROUND(4126*1.05,2)</f>
        <v>4332.3</v>
      </c>
      <c r="F71" s="6" t="s">
        <v>45</v>
      </c>
      <c r="G71" s="6" t="s">
        <v>30</v>
      </c>
      <c r="H71" s="6" t="n">
        <f aca="true">ROUND(RAND()*4+6,1)</f>
        <v>9.2</v>
      </c>
      <c r="I71" s="6" t="s">
        <v>46</v>
      </c>
      <c r="J71" s="6" t="str">
        <f aca="false">ROUND(71*1,0)&amp;"%"</f>
        <v>71%</v>
      </c>
    </row>
    <row r="72" customFormat="false" ht="15" hidden="false" customHeight="false" outlineLevel="0" collapsed="false">
      <c r="A72" s="5" t="s">
        <v>9849</v>
      </c>
      <c r="B72" s="5" t="s">
        <v>145</v>
      </c>
      <c r="C72" s="5" t="s">
        <v>133</v>
      </c>
      <c r="D72" s="5" t="s">
        <v>16</v>
      </c>
      <c r="E72" s="5" t="n">
        <f aca="false">ROUND(11471*1.05,2)</f>
        <v>12044.55</v>
      </c>
      <c r="F72" s="5" t="s">
        <v>49</v>
      </c>
      <c r="G72" s="5" t="s">
        <v>18</v>
      </c>
      <c r="H72" s="5" t="n">
        <f aca="true">ROUND(RAND()*4+6,1)</f>
        <v>7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9850</v>
      </c>
      <c r="B73" s="6" t="s">
        <v>147</v>
      </c>
      <c r="C73" s="6" t="s">
        <v>133</v>
      </c>
      <c r="D73" s="6" t="s">
        <v>22</v>
      </c>
      <c r="E73" s="6" t="n">
        <f aca="false">ROUND(12834*1.05,2)</f>
        <v>13475.7</v>
      </c>
      <c r="F73" s="6" t="s">
        <v>52</v>
      </c>
      <c r="G73" s="6" t="s">
        <v>24</v>
      </c>
      <c r="H73" s="6" t="n">
        <f aca="true">ROUND(RAND()*4+6,1)</f>
        <v>9.4</v>
      </c>
      <c r="I73" s="6" t="s">
        <v>25</v>
      </c>
      <c r="J73" s="6" t="str">
        <f aca="false">ROUND(95*1,0)&amp;"%"</f>
        <v>95%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9851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9852</v>
      </c>
      <c r="B78" s="5" t="s">
        <v>151</v>
      </c>
      <c r="C78" s="5" t="s">
        <v>152</v>
      </c>
      <c r="D78" s="5" t="s">
        <v>16</v>
      </c>
      <c r="E78" s="5" t="n">
        <f aca="false">ROUND(16345*1.05,2)</f>
        <v>17162.25</v>
      </c>
      <c r="F78" s="5" t="s">
        <v>17</v>
      </c>
      <c r="G78" s="5" t="s">
        <v>18</v>
      </c>
      <c r="H78" s="5" t="n">
        <f aca="true">ROUND(RAND()*4+6,1)</f>
        <v>6.1</v>
      </c>
      <c r="I78" s="5" t="s">
        <v>19</v>
      </c>
      <c r="J78" s="5" t="str">
        <f aca="false">ROUND(75*1,0)&amp;"%"</f>
        <v>75%</v>
      </c>
    </row>
    <row r="79" customFormat="false" ht="15" hidden="false" customHeight="false" outlineLevel="0" collapsed="false">
      <c r="A79" s="6" t="s">
        <v>9853</v>
      </c>
      <c r="B79" s="6" t="s">
        <v>154</v>
      </c>
      <c r="C79" s="6" t="s">
        <v>152</v>
      </c>
      <c r="D79" s="6" t="s">
        <v>22</v>
      </c>
      <c r="E79" s="6" t="n">
        <f aca="false">ROUND(9758*1.05,2)</f>
        <v>10245.9</v>
      </c>
      <c r="F79" s="6" t="s">
        <v>23</v>
      </c>
      <c r="G79" s="6" t="s">
        <v>24</v>
      </c>
      <c r="H79" s="6" t="n">
        <f aca="true">ROUND(RAND()*4+6,1)</f>
        <v>7.2</v>
      </c>
      <c r="I79" s="6" t="s">
        <v>25</v>
      </c>
      <c r="J79" s="6" t="str">
        <f aca="false">ROUND(72*1,0)&amp;"%"</f>
        <v>72%</v>
      </c>
    </row>
    <row r="80" customFormat="false" ht="15" hidden="false" customHeight="false" outlineLevel="0" collapsed="false">
      <c r="A80" s="5" t="s">
        <v>9854</v>
      </c>
      <c r="B80" s="5" t="s">
        <v>156</v>
      </c>
      <c r="C80" s="5" t="s">
        <v>152</v>
      </c>
      <c r="D80" s="5" t="s">
        <v>28</v>
      </c>
      <c r="E80" s="5" t="n">
        <f aca="false">ROUND(7204*1.05,2)</f>
        <v>7564.2</v>
      </c>
      <c r="F80" s="5" t="s">
        <v>29</v>
      </c>
      <c r="G80" s="5" t="s">
        <v>30</v>
      </c>
      <c r="H80" s="5" t="n">
        <f aca="true">ROUND(RAND()*4+6,1)</f>
        <v>8.2</v>
      </c>
      <c r="I80" s="5" t="s">
        <v>31</v>
      </c>
      <c r="J80" s="5" t="str">
        <f aca="false">ROUND(71*1,0)&amp;"%"</f>
        <v>71%</v>
      </c>
    </row>
    <row r="81" customFormat="false" ht="15" hidden="false" customHeight="false" outlineLevel="0" collapsed="false">
      <c r="A81" s="6" t="s">
        <v>9855</v>
      </c>
      <c r="B81" s="6" t="s">
        <v>158</v>
      </c>
      <c r="C81" s="6" t="s">
        <v>152</v>
      </c>
      <c r="D81" s="6" t="s">
        <v>34</v>
      </c>
      <c r="E81" s="6" t="n">
        <f aca="false">ROUND(16879*1.05,2)</f>
        <v>17722.95</v>
      </c>
      <c r="F81" s="6" t="s">
        <v>35</v>
      </c>
      <c r="G81" s="6" t="s">
        <v>18</v>
      </c>
      <c r="H81" s="6" t="n">
        <f aca="true">ROUND(RAND()*4+6,1)</f>
        <v>6.5</v>
      </c>
      <c r="I81" s="6" t="s">
        <v>36</v>
      </c>
      <c r="J81" s="6" t="str">
        <f aca="false">ROUND(75*1,0)&amp;"%"</f>
        <v>75%</v>
      </c>
    </row>
    <row r="82" customFormat="false" ht="15" hidden="false" customHeight="false" outlineLevel="0" collapsed="false">
      <c r="A82" s="5" t="s">
        <v>9856</v>
      </c>
      <c r="B82" s="5" t="s">
        <v>160</v>
      </c>
      <c r="C82" s="5" t="s">
        <v>152</v>
      </c>
      <c r="D82" s="5" t="s">
        <v>39</v>
      </c>
      <c r="E82" s="5" t="n">
        <f aca="false">ROUND(16074*1.05,2)</f>
        <v>16877.7</v>
      </c>
      <c r="F82" s="5" t="s">
        <v>40</v>
      </c>
      <c r="G82" s="5" t="s">
        <v>24</v>
      </c>
      <c r="H82" s="5" t="n">
        <f aca="true">ROUND(RAND()*4+6,1)</f>
        <v>7.9</v>
      </c>
      <c r="I82" s="5" t="s">
        <v>41</v>
      </c>
      <c r="J82" s="5" t="str">
        <f aca="false">ROUND(97*1,0)&amp;"%"</f>
        <v>97%</v>
      </c>
    </row>
    <row r="83" customFormat="false" ht="15" hidden="false" customHeight="false" outlineLevel="0" collapsed="false">
      <c r="A83" s="6" t="s">
        <v>9857</v>
      </c>
      <c r="B83" s="6" t="s">
        <v>162</v>
      </c>
      <c r="C83" s="6" t="s">
        <v>152</v>
      </c>
      <c r="D83" s="6" t="s">
        <v>44</v>
      </c>
      <c r="E83" s="6" t="n">
        <f aca="false">ROUND(8175*1.05,2)</f>
        <v>8583.75</v>
      </c>
      <c r="F83" s="6" t="s">
        <v>45</v>
      </c>
      <c r="G83" s="6" t="s">
        <v>30</v>
      </c>
      <c r="H83" s="6" t="n">
        <f aca="true">ROUND(RAND()*4+6,1)</f>
        <v>7.6</v>
      </c>
      <c r="I83" s="6" t="s">
        <v>46</v>
      </c>
      <c r="J83" s="6" t="str">
        <f aca="false">ROUND(73*1,0)&amp;"%"</f>
        <v>73%</v>
      </c>
    </row>
    <row r="84" customFormat="false" ht="15" hidden="false" customHeight="false" outlineLevel="0" collapsed="false">
      <c r="A84" s="5" t="s">
        <v>9858</v>
      </c>
      <c r="B84" s="5" t="s">
        <v>164</v>
      </c>
      <c r="C84" s="5" t="s">
        <v>152</v>
      </c>
      <c r="D84" s="5" t="s">
        <v>16</v>
      </c>
      <c r="E84" s="5" t="n">
        <f aca="false">ROUND(16537*1.05,2)</f>
        <v>17363.85</v>
      </c>
      <c r="F84" s="5" t="s">
        <v>49</v>
      </c>
      <c r="G84" s="5" t="s">
        <v>18</v>
      </c>
      <c r="H84" s="5" t="n">
        <f aca="true">ROUND(RAND()*4+6,1)</f>
        <v>8.6</v>
      </c>
      <c r="I84" s="5" t="s">
        <v>19</v>
      </c>
      <c r="J84" s="5" t="str">
        <f aca="false">ROUND(61*1,0)&amp;"%"</f>
        <v>61%</v>
      </c>
    </row>
    <row r="85" customFormat="false" ht="15" hidden="false" customHeight="false" outlineLevel="0" collapsed="false">
      <c r="A85" s="6" t="s">
        <v>9859</v>
      </c>
      <c r="B85" s="6" t="s">
        <v>166</v>
      </c>
      <c r="C85" s="6" t="s">
        <v>152</v>
      </c>
      <c r="D85" s="6" t="s">
        <v>22</v>
      </c>
      <c r="E85" s="6" t="n">
        <f aca="false">ROUND(13493*1.05,2)</f>
        <v>14167.65</v>
      </c>
      <c r="F85" s="6" t="s">
        <v>52</v>
      </c>
      <c r="G85" s="6" t="s">
        <v>24</v>
      </c>
      <c r="H85" s="6" t="n">
        <f aca="true">ROUND(RAND()*4+6,1)</f>
        <v>7.8</v>
      </c>
      <c r="I85" s="6" t="s">
        <v>25</v>
      </c>
      <c r="J85" s="6" t="str">
        <f aca="false">ROUND(65*1,0)&amp;"%"</f>
        <v>65%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9860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9861</v>
      </c>
      <c r="B90" s="5" t="s">
        <v>170</v>
      </c>
      <c r="C90" s="5" t="s">
        <v>15</v>
      </c>
      <c r="D90" s="5" t="s">
        <v>16</v>
      </c>
      <c r="E90" s="5" t="n">
        <f aca="false">ROUND(4322*1.05,2)</f>
        <v>4538.1</v>
      </c>
      <c r="F90" s="5" t="s">
        <v>17</v>
      </c>
      <c r="G90" s="5" t="s">
        <v>18</v>
      </c>
      <c r="H90" s="5" t="n">
        <f aca="true">ROUND(RAND()*4+6,1)</f>
        <v>9</v>
      </c>
      <c r="I90" s="5" t="s">
        <v>19</v>
      </c>
      <c r="J90" s="5" t="str">
        <f aca="false">ROUND(86*1,0)&amp;"%"</f>
        <v>86%</v>
      </c>
    </row>
    <row r="91" customFormat="false" ht="15" hidden="false" customHeight="false" outlineLevel="0" collapsed="false">
      <c r="A91" s="6" t="s">
        <v>9862</v>
      </c>
      <c r="B91" s="6" t="s">
        <v>172</v>
      </c>
      <c r="C91" s="6" t="s">
        <v>15</v>
      </c>
      <c r="D91" s="6" t="s">
        <v>22</v>
      </c>
      <c r="E91" s="6" t="n">
        <f aca="false">ROUND(16585*1.05,2)</f>
        <v>17414.25</v>
      </c>
      <c r="F91" s="6" t="s">
        <v>23</v>
      </c>
      <c r="G91" s="6" t="s">
        <v>24</v>
      </c>
      <c r="H91" s="6" t="n">
        <f aca="true">ROUND(RAND()*4+6,1)</f>
        <v>8.2</v>
      </c>
      <c r="I91" s="6" t="s">
        <v>25</v>
      </c>
      <c r="J91" s="6" t="str">
        <f aca="false">ROUND(92*1,0)&amp;"%"</f>
        <v>92%</v>
      </c>
    </row>
    <row r="92" customFormat="false" ht="15" hidden="false" customHeight="false" outlineLevel="0" collapsed="false">
      <c r="A92" s="5" t="s">
        <v>9863</v>
      </c>
      <c r="B92" s="5" t="s">
        <v>174</v>
      </c>
      <c r="C92" s="5" t="s">
        <v>15</v>
      </c>
      <c r="D92" s="5" t="s">
        <v>28</v>
      </c>
      <c r="E92" s="5" t="n">
        <f aca="false">ROUND(14593*1.05,2)</f>
        <v>15322.65</v>
      </c>
      <c r="F92" s="5" t="s">
        <v>29</v>
      </c>
      <c r="G92" s="5" t="s">
        <v>30</v>
      </c>
      <c r="H92" s="5" t="n">
        <f aca="true">ROUND(RAND()*4+6,1)</f>
        <v>7.7</v>
      </c>
      <c r="I92" s="5" t="s">
        <v>31</v>
      </c>
      <c r="J92" s="5" t="str">
        <f aca="false">ROUND(78*1,0)&amp;"%"</f>
        <v>78%</v>
      </c>
    </row>
    <row r="93" customFormat="false" ht="15" hidden="false" customHeight="false" outlineLevel="0" collapsed="false">
      <c r="A93" s="6" t="s">
        <v>9864</v>
      </c>
      <c r="B93" s="6" t="s">
        <v>176</v>
      </c>
      <c r="C93" s="6" t="s">
        <v>15</v>
      </c>
      <c r="D93" s="6" t="s">
        <v>34</v>
      </c>
      <c r="E93" s="6" t="n">
        <f aca="false">ROUND(10868*1.05,2)</f>
        <v>11411.4</v>
      </c>
      <c r="F93" s="6" t="s">
        <v>35</v>
      </c>
      <c r="G93" s="6" t="s">
        <v>18</v>
      </c>
      <c r="H93" s="6" t="n">
        <f aca="true">ROUND(RAND()*4+6,1)</f>
        <v>9.6</v>
      </c>
      <c r="I93" s="6" t="s">
        <v>36</v>
      </c>
      <c r="J93" s="6" t="str">
        <f aca="false">ROUND(94*1,0)&amp;"%"</f>
        <v>94%</v>
      </c>
    </row>
    <row r="94" customFormat="false" ht="15" hidden="false" customHeight="false" outlineLevel="0" collapsed="false">
      <c r="A94" s="5" t="s">
        <v>9865</v>
      </c>
      <c r="B94" s="5" t="s">
        <v>178</v>
      </c>
      <c r="C94" s="5" t="s">
        <v>15</v>
      </c>
      <c r="D94" s="5" t="s">
        <v>39</v>
      </c>
      <c r="E94" s="5" t="n">
        <f aca="false">ROUND(11185*1.05,2)</f>
        <v>11744.25</v>
      </c>
      <c r="F94" s="5" t="s">
        <v>40</v>
      </c>
      <c r="G94" s="5" t="s">
        <v>24</v>
      </c>
      <c r="H94" s="5" t="n">
        <f aca="true">ROUND(RAND()*4+6,1)</f>
        <v>9.6</v>
      </c>
      <c r="I94" s="5" t="s">
        <v>41</v>
      </c>
      <c r="J94" s="5" t="str">
        <f aca="false">ROUND(71*1,0)&amp;"%"</f>
        <v>71%</v>
      </c>
    </row>
    <row r="95" customFormat="false" ht="15" hidden="false" customHeight="false" outlineLevel="0" collapsed="false">
      <c r="A95" s="6" t="s">
        <v>9866</v>
      </c>
      <c r="B95" s="6" t="s">
        <v>180</v>
      </c>
      <c r="C95" s="6" t="s">
        <v>15</v>
      </c>
      <c r="D95" s="6" t="s">
        <v>44</v>
      </c>
      <c r="E95" s="6" t="n">
        <f aca="false">ROUND(13249*1.05,2)</f>
        <v>13911.45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ROUND(87*1,0)&amp;"%"</f>
        <v>87%</v>
      </c>
    </row>
    <row r="96" customFormat="false" ht="15" hidden="false" customHeight="false" outlineLevel="0" collapsed="false">
      <c r="A96" s="5" t="s">
        <v>9867</v>
      </c>
      <c r="B96" s="5" t="s">
        <v>182</v>
      </c>
      <c r="C96" s="5" t="s">
        <v>15</v>
      </c>
      <c r="D96" s="5" t="s">
        <v>16</v>
      </c>
      <c r="E96" s="5" t="n">
        <f aca="false">ROUND(9318*1.05,2)</f>
        <v>9783.9</v>
      </c>
      <c r="F96" s="5" t="s">
        <v>49</v>
      </c>
      <c r="G96" s="5" t="s">
        <v>18</v>
      </c>
      <c r="H96" s="5" t="n">
        <f aca="true">ROUND(RAND()*4+6,1)</f>
        <v>8.3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9868</v>
      </c>
      <c r="B97" s="6" t="s">
        <v>184</v>
      </c>
      <c r="C97" s="6" t="s">
        <v>15</v>
      </c>
      <c r="D97" s="6" t="s">
        <v>22</v>
      </c>
      <c r="E97" s="6" t="n">
        <f aca="false">ROUND(7924*1.05,2)</f>
        <v>8320.2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ROUND(80*1,0)&amp;"%"</f>
        <v>80%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9869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9870</v>
      </c>
      <c r="B102" s="5" t="s">
        <v>188</v>
      </c>
      <c r="C102" s="5" t="s">
        <v>57</v>
      </c>
      <c r="D102" s="5" t="s">
        <v>16</v>
      </c>
      <c r="E102" s="5" t="n">
        <f aca="false">ROUND(14450*1.05,2)</f>
        <v>15172.5</v>
      </c>
      <c r="F102" s="5" t="s">
        <v>17</v>
      </c>
      <c r="G102" s="5" t="s">
        <v>18</v>
      </c>
      <c r="H102" s="5" t="n">
        <f aca="true">ROUND(RAND()*4+6,1)</f>
        <v>7.9</v>
      </c>
      <c r="I102" s="5" t="s">
        <v>19</v>
      </c>
      <c r="J102" s="5" t="str">
        <f aca="false">ROUND(63*1,0)&amp;"%"</f>
        <v>63%</v>
      </c>
    </row>
    <row r="103" customFormat="false" ht="15" hidden="false" customHeight="false" outlineLevel="0" collapsed="false">
      <c r="A103" s="6" t="s">
        <v>9871</v>
      </c>
      <c r="B103" s="6" t="s">
        <v>190</v>
      </c>
      <c r="C103" s="6" t="s">
        <v>57</v>
      </c>
      <c r="D103" s="6" t="s">
        <v>22</v>
      </c>
      <c r="E103" s="6" t="n">
        <f aca="false">ROUND(7863*1.05,2)</f>
        <v>8256.15</v>
      </c>
      <c r="F103" s="6" t="s">
        <v>23</v>
      </c>
      <c r="G103" s="6" t="s">
        <v>24</v>
      </c>
      <c r="H103" s="6" t="n">
        <f aca="true">ROUND(RAND()*4+6,1)</f>
        <v>6.6</v>
      </c>
      <c r="I103" s="6" t="s">
        <v>25</v>
      </c>
      <c r="J103" s="6" t="str">
        <f aca="false">ROUND(68*1,0)&amp;"%"</f>
        <v>68%</v>
      </c>
    </row>
    <row r="104" customFormat="false" ht="15" hidden="false" customHeight="false" outlineLevel="0" collapsed="false">
      <c r="A104" s="5" t="s">
        <v>9872</v>
      </c>
      <c r="B104" s="5" t="s">
        <v>192</v>
      </c>
      <c r="C104" s="5" t="s">
        <v>57</v>
      </c>
      <c r="D104" s="5" t="s">
        <v>28</v>
      </c>
      <c r="E104" s="5" t="n">
        <f aca="false">ROUND(17073*1.05,2)</f>
        <v>17926.65</v>
      </c>
      <c r="F104" s="5" t="s">
        <v>29</v>
      </c>
      <c r="G104" s="5" t="s">
        <v>30</v>
      </c>
      <c r="H104" s="5" t="n">
        <f aca="true">ROUND(RAND()*4+6,1)</f>
        <v>8.9</v>
      </c>
      <c r="I104" s="5" t="s">
        <v>31</v>
      </c>
      <c r="J104" s="5" t="str">
        <f aca="false">ROUND(84*1,0)&amp;"%"</f>
        <v>84%</v>
      </c>
    </row>
    <row r="105" customFormat="false" ht="15" hidden="false" customHeight="false" outlineLevel="0" collapsed="false">
      <c r="A105" s="6" t="s">
        <v>9873</v>
      </c>
      <c r="B105" s="6" t="s">
        <v>194</v>
      </c>
      <c r="C105" s="6" t="s">
        <v>57</v>
      </c>
      <c r="D105" s="6" t="s">
        <v>34</v>
      </c>
      <c r="E105" s="6" t="n">
        <f aca="false">ROUND(4498*1.05,2)</f>
        <v>4722.9</v>
      </c>
      <c r="F105" s="6" t="s">
        <v>35</v>
      </c>
      <c r="G105" s="6" t="s">
        <v>18</v>
      </c>
      <c r="H105" s="6" t="n">
        <f aca="true">ROUND(RAND()*4+6,1)</f>
        <v>9.9</v>
      </c>
      <c r="I105" s="6" t="s">
        <v>36</v>
      </c>
      <c r="J105" s="6" t="str">
        <f aca="false">ROUND(73*1,0)&amp;"%"</f>
        <v>73%</v>
      </c>
    </row>
    <row r="106" customFormat="false" ht="15" hidden="false" customHeight="false" outlineLevel="0" collapsed="false">
      <c r="A106" s="5" t="s">
        <v>9874</v>
      </c>
      <c r="B106" s="5" t="s">
        <v>196</v>
      </c>
      <c r="C106" s="5" t="s">
        <v>57</v>
      </c>
      <c r="D106" s="5" t="s">
        <v>39</v>
      </c>
      <c r="E106" s="5" t="n">
        <f aca="false">ROUND(4432*1.05,2)</f>
        <v>4653.6</v>
      </c>
      <c r="F106" s="5" t="s">
        <v>40</v>
      </c>
      <c r="G106" s="5" t="s">
        <v>24</v>
      </c>
      <c r="H106" s="5" t="n">
        <f aca="true">ROUND(RAND()*4+6,1)</f>
        <v>9.9</v>
      </c>
      <c r="I106" s="5" t="s">
        <v>41</v>
      </c>
      <c r="J106" s="5" t="str">
        <f aca="false">ROUND(92*1,0)&amp;"%"</f>
        <v>92%</v>
      </c>
    </row>
    <row r="107" customFormat="false" ht="15" hidden="false" customHeight="false" outlineLevel="0" collapsed="false">
      <c r="A107" s="6" t="s">
        <v>9875</v>
      </c>
      <c r="B107" s="6" t="s">
        <v>198</v>
      </c>
      <c r="C107" s="6" t="s">
        <v>57</v>
      </c>
      <c r="D107" s="6" t="s">
        <v>44</v>
      </c>
      <c r="E107" s="6" t="n">
        <f aca="false">ROUND(12658*1.05,2)</f>
        <v>13290.9</v>
      </c>
      <c r="F107" s="6" t="s">
        <v>45</v>
      </c>
      <c r="G107" s="6" t="s">
        <v>30</v>
      </c>
      <c r="H107" s="6" t="n">
        <f aca="true">ROUND(RAND()*4+6,1)</f>
        <v>8.8</v>
      </c>
      <c r="I107" s="6" t="s">
        <v>46</v>
      </c>
      <c r="J107" s="6" t="str">
        <f aca="false">ROUND(64*1,0)&amp;"%"</f>
        <v>64%</v>
      </c>
    </row>
    <row r="108" customFormat="false" ht="15" hidden="false" customHeight="false" outlineLevel="0" collapsed="false">
      <c r="A108" s="5" t="s">
        <v>9876</v>
      </c>
      <c r="B108" s="5" t="s">
        <v>200</v>
      </c>
      <c r="C108" s="5" t="s">
        <v>57</v>
      </c>
      <c r="D108" s="5" t="s">
        <v>16</v>
      </c>
      <c r="E108" s="5" t="n">
        <f aca="false">ROUND(5011*1.05,2)</f>
        <v>5261.55</v>
      </c>
      <c r="F108" s="5" t="s">
        <v>49</v>
      </c>
      <c r="G108" s="5" t="s">
        <v>18</v>
      </c>
      <c r="H108" s="5" t="n">
        <f aca="true">ROUND(RAND()*4+6,1)</f>
        <v>6</v>
      </c>
      <c r="I108" s="5" t="s">
        <v>19</v>
      </c>
      <c r="J108" s="5" t="str">
        <f aca="false">ROUND(98*1,0)&amp;"%"</f>
        <v>98%</v>
      </c>
    </row>
    <row r="109" customFormat="false" ht="15" hidden="false" customHeight="false" outlineLevel="0" collapsed="false">
      <c r="A109" s="6" t="s">
        <v>9877</v>
      </c>
      <c r="B109" s="6" t="s">
        <v>202</v>
      </c>
      <c r="C109" s="6" t="s">
        <v>57</v>
      </c>
      <c r="D109" s="6" t="s">
        <v>22</v>
      </c>
      <c r="E109" s="6" t="n">
        <f aca="false">ROUND(16163*1.05,2)</f>
        <v>16971.15</v>
      </c>
      <c r="F109" s="6" t="s">
        <v>52</v>
      </c>
      <c r="G109" s="6" t="s">
        <v>24</v>
      </c>
      <c r="H109" s="6" t="n">
        <f aca="true">ROUND(RAND()*4+6,1)</f>
        <v>7.9</v>
      </c>
      <c r="I109" s="6" t="s">
        <v>25</v>
      </c>
      <c r="J109" s="6" t="str">
        <f aca="false">ROUND(93*1,0)&amp;"%"</f>
        <v>93%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9878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9879</v>
      </c>
      <c r="B114" s="5" t="s">
        <v>206</v>
      </c>
      <c r="C114" s="5" t="s">
        <v>76</v>
      </c>
      <c r="D114" s="5" t="s">
        <v>16</v>
      </c>
      <c r="E114" s="5" t="n">
        <f aca="false">ROUND(7643*1.05,2)</f>
        <v>8025.15</v>
      </c>
      <c r="F114" s="5" t="s">
        <v>17</v>
      </c>
      <c r="G114" s="5" t="s">
        <v>18</v>
      </c>
      <c r="H114" s="5" t="n">
        <f aca="true">ROUND(RAND()*4+6,1)</f>
        <v>7.8</v>
      </c>
      <c r="I114" s="5" t="s">
        <v>19</v>
      </c>
      <c r="J114" s="5" t="str">
        <f aca="false">ROUND(70*1,0)&amp;"%"</f>
        <v>70%</v>
      </c>
    </row>
    <row r="115" customFormat="false" ht="15" hidden="false" customHeight="false" outlineLevel="0" collapsed="false">
      <c r="A115" s="6" t="s">
        <v>9880</v>
      </c>
      <c r="B115" s="6" t="s">
        <v>208</v>
      </c>
      <c r="C115" s="6" t="s">
        <v>76</v>
      </c>
      <c r="D115" s="6" t="s">
        <v>22</v>
      </c>
      <c r="E115" s="6" t="n">
        <f aca="false">ROUND(16032*1.05,2)</f>
        <v>16833.6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ROUND(83*1,0)&amp;"%"</f>
        <v>83%</v>
      </c>
    </row>
    <row r="116" customFormat="false" ht="15" hidden="false" customHeight="false" outlineLevel="0" collapsed="false">
      <c r="A116" s="5" t="s">
        <v>9881</v>
      </c>
      <c r="B116" s="5" t="s">
        <v>210</v>
      </c>
      <c r="C116" s="5" t="s">
        <v>76</v>
      </c>
      <c r="D116" s="5" t="s">
        <v>28</v>
      </c>
      <c r="E116" s="5" t="n">
        <f aca="false">ROUND(11309*1.05,2)</f>
        <v>11874.45</v>
      </c>
      <c r="F116" s="5" t="s">
        <v>29</v>
      </c>
      <c r="G116" s="5" t="s">
        <v>30</v>
      </c>
      <c r="H116" s="5" t="n">
        <f aca="true">ROUND(RAND()*4+6,1)</f>
        <v>7.5</v>
      </c>
      <c r="I116" s="5" t="s">
        <v>31</v>
      </c>
      <c r="J116" s="5" t="str">
        <f aca="false">ROUND(60*1,0)&amp;"%"</f>
        <v>60%</v>
      </c>
    </row>
    <row r="117" customFormat="false" ht="15" hidden="false" customHeight="false" outlineLevel="0" collapsed="false">
      <c r="A117" s="6" t="s">
        <v>9882</v>
      </c>
      <c r="B117" s="6" t="s">
        <v>212</v>
      </c>
      <c r="C117" s="6" t="s">
        <v>76</v>
      </c>
      <c r="D117" s="6" t="s">
        <v>34</v>
      </c>
      <c r="E117" s="6" t="n">
        <f aca="false">ROUND(17524*1.05,2)</f>
        <v>18400.2</v>
      </c>
      <c r="F117" s="6" t="s">
        <v>35</v>
      </c>
      <c r="G117" s="6" t="s">
        <v>18</v>
      </c>
      <c r="H117" s="6" t="n">
        <f aca="true">ROUND(RAND()*4+6,1)</f>
        <v>7.9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9883</v>
      </c>
      <c r="B118" s="5" t="s">
        <v>214</v>
      </c>
      <c r="C118" s="5" t="s">
        <v>76</v>
      </c>
      <c r="D118" s="5" t="s">
        <v>39</v>
      </c>
      <c r="E118" s="5" t="n">
        <f aca="false">ROUND(5766*1.05,2)</f>
        <v>6054.3</v>
      </c>
      <c r="F118" s="5" t="s">
        <v>40</v>
      </c>
      <c r="G118" s="5" t="s">
        <v>24</v>
      </c>
      <c r="H118" s="5" t="n">
        <f aca="true">ROUND(RAND()*4+6,1)</f>
        <v>9</v>
      </c>
      <c r="I118" s="5" t="s">
        <v>41</v>
      </c>
      <c r="J118" s="5" t="str">
        <f aca="false">ROUND(70*1,0)&amp;"%"</f>
        <v>70%</v>
      </c>
    </row>
    <row r="119" customFormat="false" ht="15" hidden="false" customHeight="false" outlineLevel="0" collapsed="false">
      <c r="A119" s="6" t="s">
        <v>9884</v>
      </c>
      <c r="B119" s="6" t="s">
        <v>216</v>
      </c>
      <c r="C119" s="6" t="s">
        <v>76</v>
      </c>
      <c r="D119" s="6" t="s">
        <v>44</v>
      </c>
      <c r="E119" s="6" t="n">
        <f aca="false">ROUND(9179*1.05,2)</f>
        <v>9637.95</v>
      </c>
      <c r="F119" s="6" t="s">
        <v>45</v>
      </c>
      <c r="G119" s="6" t="s">
        <v>30</v>
      </c>
      <c r="H119" s="6" t="n">
        <f aca="true">ROUND(RAND()*4+6,1)</f>
        <v>9.6</v>
      </c>
      <c r="I119" s="6" t="s">
        <v>46</v>
      </c>
      <c r="J119" s="6" t="str">
        <f aca="false">ROUND(92*1,0)&amp;"%"</f>
        <v>92%</v>
      </c>
    </row>
    <row r="120" customFormat="false" ht="15" hidden="false" customHeight="false" outlineLevel="0" collapsed="false">
      <c r="A120" s="5" t="s">
        <v>9885</v>
      </c>
      <c r="B120" s="5" t="s">
        <v>218</v>
      </c>
      <c r="C120" s="5" t="s">
        <v>76</v>
      </c>
      <c r="D120" s="5" t="s">
        <v>16</v>
      </c>
      <c r="E120" s="5" t="n">
        <f aca="false">ROUND(7631*1.05,2)</f>
        <v>8012.55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ROUND(63*1,0)&amp;"%"</f>
        <v>63%</v>
      </c>
    </row>
    <row r="121" customFormat="false" ht="15" hidden="false" customHeight="false" outlineLevel="0" collapsed="false">
      <c r="A121" s="6" t="s">
        <v>9886</v>
      </c>
      <c r="B121" s="6" t="s">
        <v>220</v>
      </c>
      <c r="C121" s="6" t="s">
        <v>76</v>
      </c>
      <c r="D121" s="6" t="s">
        <v>22</v>
      </c>
      <c r="E121" s="6" t="n">
        <f aca="false">ROUND(15286*1.05,2)</f>
        <v>16050.3</v>
      </c>
      <c r="F121" s="6" t="s">
        <v>52</v>
      </c>
      <c r="G121" s="6" t="s">
        <v>24</v>
      </c>
      <c r="H121" s="6" t="n">
        <f aca="true">ROUND(RAND()*4+6,1)</f>
        <v>8.7</v>
      </c>
      <c r="I121" s="6" t="s">
        <v>25</v>
      </c>
      <c r="J121" s="6" t="str">
        <f aca="false">ROUND(92*1,0)&amp;"%"</f>
        <v>92%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9887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9888</v>
      </c>
      <c r="B126" s="5" t="s">
        <v>224</v>
      </c>
      <c r="C126" s="5" t="s">
        <v>95</v>
      </c>
      <c r="D126" s="5" t="s">
        <v>16</v>
      </c>
      <c r="E126" s="5" t="n">
        <f aca="false">ROUND(6848*1.05,2)</f>
        <v>7190.4</v>
      </c>
      <c r="F126" s="5" t="s">
        <v>17</v>
      </c>
      <c r="G126" s="5" t="s">
        <v>18</v>
      </c>
      <c r="H126" s="5" t="n">
        <f aca="true">ROUND(RAND()*4+6,1)</f>
        <v>6.2</v>
      </c>
      <c r="I126" s="5" t="s">
        <v>19</v>
      </c>
      <c r="J126" s="5" t="str">
        <f aca="false">ROUND(71*1,0)&amp;"%"</f>
        <v>71%</v>
      </c>
    </row>
    <row r="127" customFormat="false" ht="15" hidden="false" customHeight="false" outlineLevel="0" collapsed="false">
      <c r="A127" s="6" t="s">
        <v>9889</v>
      </c>
      <c r="B127" s="6" t="s">
        <v>226</v>
      </c>
      <c r="C127" s="6" t="s">
        <v>95</v>
      </c>
      <c r="D127" s="6" t="s">
        <v>22</v>
      </c>
      <c r="E127" s="6" t="n">
        <f aca="false">ROUND(15161*1.05,2)</f>
        <v>15919.05</v>
      </c>
      <c r="F127" s="6" t="s">
        <v>23</v>
      </c>
      <c r="G127" s="6" t="s">
        <v>24</v>
      </c>
      <c r="H127" s="6" t="n">
        <f aca="true">ROUND(RAND()*4+6,1)</f>
        <v>8.8</v>
      </c>
      <c r="I127" s="6" t="s">
        <v>25</v>
      </c>
      <c r="J127" s="6" t="str">
        <f aca="false">ROUND(95*1,0)&amp;"%"</f>
        <v>95%</v>
      </c>
    </row>
    <row r="128" customFormat="false" ht="15" hidden="false" customHeight="false" outlineLevel="0" collapsed="false">
      <c r="A128" s="5" t="s">
        <v>9890</v>
      </c>
      <c r="B128" s="5" t="s">
        <v>228</v>
      </c>
      <c r="C128" s="5" t="s">
        <v>95</v>
      </c>
      <c r="D128" s="5" t="s">
        <v>28</v>
      </c>
      <c r="E128" s="5" t="n">
        <f aca="false">ROUND(8458*1.05,2)</f>
        <v>8880.9</v>
      </c>
      <c r="F128" s="5" t="s">
        <v>29</v>
      </c>
      <c r="G128" s="5" t="s">
        <v>30</v>
      </c>
      <c r="H128" s="5" t="n">
        <f aca="true">ROUND(RAND()*4+6,1)</f>
        <v>9.8</v>
      </c>
      <c r="I128" s="5" t="s">
        <v>31</v>
      </c>
      <c r="J128" s="5" t="str">
        <f aca="false">ROUND(93*1,0)&amp;"%"</f>
        <v>93%</v>
      </c>
    </row>
    <row r="129" customFormat="false" ht="15" hidden="false" customHeight="false" outlineLevel="0" collapsed="false">
      <c r="A129" s="6" t="s">
        <v>9891</v>
      </c>
      <c r="B129" s="6" t="s">
        <v>230</v>
      </c>
      <c r="C129" s="6" t="s">
        <v>95</v>
      </c>
      <c r="D129" s="6" t="s">
        <v>34</v>
      </c>
      <c r="E129" s="6" t="n">
        <f aca="false">ROUND(9140*1.05,2)</f>
        <v>9597</v>
      </c>
      <c r="F129" s="6" t="s">
        <v>35</v>
      </c>
      <c r="G129" s="6" t="s">
        <v>18</v>
      </c>
      <c r="H129" s="6" t="n">
        <f aca="true">ROUND(RAND()*4+6,1)</f>
        <v>8.6</v>
      </c>
      <c r="I129" s="6" t="s">
        <v>36</v>
      </c>
      <c r="J129" s="6" t="str">
        <f aca="false">ROUND(87*1,0)&amp;"%"</f>
        <v>87%</v>
      </c>
    </row>
    <row r="130" customFormat="false" ht="15" hidden="false" customHeight="false" outlineLevel="0" collapsed="false">
      <c r="A130" s="5" t="s">
        <v>9892</v>
      </c>
      <c r="B130" s="5" t="s">
        <v>232</v>
      </c>
      <c r="C130" s="5" t="s">
        <v>95</v>
      </c>
      <c r="D130" s="5" t="s">
        <v>39</v>
      </c>
      <c r="E130" s="5" t="n">
        <f aca="false">ROUND(12173*1.05,2)</f>
        <v>12781.65</v>
      </c>
      <c r="F130" s="5" t="s">
        <v>40</v>
      </c>
      <c r="G130" s="5" t="s">
        <v>24</v>
      </c>
      <c r="H130" s="5" t="n">
        <f aca="true">ROUND(RAND()*4+6,1)</f>
        <v>7.7</v>
      </c>
      <c r="I130" s="5" t="s">
        <v>41</v>
      </c>
      <c r="J130" s="5" t="str">
        <f aca="false">ROUND(86*1,0)&amp;"%"</f>
        <v>86%</v>
      </c>
    </row>
    <row r="131" customFormat="false" ht="15" hidden="false" customHeight="false" outlineLevel="0" collapsed="false">
      <c r="A131" s="6" t="s">
        <v>9893</v>
      </c>
      <c r="B131" s="6" t="s">
        <v>234</v>
      </c>
      <c r="C131" s="6" t="s">
        <v>95</v>
      </c>
      <c r="D131" s="6" t="s">
        <v>44</v>
      </c>
      <c r="E131" s="6" t="n">
        <f aca="false">ROUND(13248*1.05,2)</f>
        <v>13910.4</v>
      </c>
      <c r="F131" s="6" t="s">
        <v>45</v>
      </c>
      <c r="G131" s="6" t="s">
        <v>30</v>
      </c>
      <c r="H131" s="6" t="n">
        <f aca="true">ROUND(RAND()*4+6,1)</f>
        <v>9.8</v>
      </c>
      <c r="I131" s="6" t="s">
        <v>46</v>
      </c>
      <c r="J131" s="6" t="str">
        <f aca="false">ROUND(63*1,0)&amp;"%"</f>
        <v>63%</v>
      </c>
    </row>
    <row r="132" customFormat="false" ht="15" hidden="false" customHeight="false" outlineLevel="0" collapsed="false">
      <c r="A132" s="5" t="s">
        <v>9894</v>
      </c>
      <c r="B132" s="5" t="s">
        <v>236</v>
      </c>
      <c r="C132" s="5" t="s">
        <v>95</v>
      </c>
      <c r="D132" s="5" t="s">
        <v>16</v>
      </c>
      <c r="E132" s="5" t="n">
        <f aca="false">ROUND(16908*1.05,2)</f>
        <v>17753.4</v>
      </c>
      <c r="F132" s="5" t="s">
        <v>49</v>
      </c>
      <c r="G132" s="5" t="s">
        <v>18</v>
      </c>
      <c r="H132" s="5" t="n">
        <f aca="true">ROUND(RAND()*4+6,1)</f>
        <v>8.9</v>
      </c>
      <c r="I132" s="5" t="s">
        <v>19</v>
      </c>
      <c r="J132" s="5" t="str">
        <f aca="false">ROUND(96*1,0)&amp;"%"</f>
        <v>96%</v>
      </c>
    </row>
    <row r="133" customFormat="false" ht="15" hidden="false" customHeight="false" outlineLevel="0" collapsed="false">
      <c r="A133" s="6" t="s">
        <v>9895</v>
      </c>
      <c r="B133" s="6" t="s">
        <v>238</v>
      </c>
      <c r="C133" s="6" t="s">
        <v>95</v>
      </c>
      <c r="D133" s="6" t="s">
        <v>22</v>
      </c>
      <c r="E133" s="6" t="n">
        <f aca="false">ROUND(10416*1.05,2)</f>
        <v>10936.8</v>
      </c>
      <c r="F133" s="6" t="s">
        <v>52</v>
      </c>
      <c r="G133" s="6" t="s">
        <v>24</v>
      </c>
      <c r="H133" s="6" t="n">
        <f aca="true">ROUND(RAND()*4+6,1)</f>
        <v>8.4</v>
      </c>
      <c r="I133" s="6" t="s">
        <v>25</v>
      </c>
      <c r="J133" s="6" t="str">
        <f aca="false">ROUND(100*1,0)&amp;"%"</f>
        <v>100%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9896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9897</v>
      </c>
      <c r="B138" s="5" t="s">
        <v>242</v>
      </c>
      <c r="C138" s="5" t="s">
        <v>114</v>
      </c>
      <c r="D138" s="5" t="s">
        <v>16</v>
      </c>
      <c r="E138" s="5" t="n">
        <f aca="false">ROUND(14846*1.05,2)</f>
        <v>15588.3</v>
      </c>
      <c r="F138" s="5" t="s">
        <v>17</v>
      </c>
      <c r="G138" s="5" t="s">
        <v>18</v>
      </c>
      <c r="H138" s="5" t="n">
        <f aca="true">ROUND(RAND()*4+6,1)</f>
        <v>7.3</v>
      </c>
      <c r="I138" s="5" t="s">
        <v>19</v>
      </c>
      <c r="J138" s="5" t="str">
        <f aca="false">ROUND(97*1,0)&amp;"%"</f>
        <v>97%</v>
      </c>
    </row>
    <row r="139" customFormat="false" ht="15" hidden="false" customHeight="false" outlineLevel="0" collapsed="false">
      <c r="A139" s="6" t="s">
        <v>9898</v>
      </c>
      <c r="B139" s="6" t="s">
        <v>244</v>
      </c>
      <c r="C139" s="6" t="s">
        <v>114</v>
      </c>
      <c r="D139" s="6" t="s">
        <v>22</v>
      </c>
      <c r="E139" s="6" t="n">
        <f aca="false">ROUND(17484*1.05,2)</f>
        <v>18358.2</v>
      </c>
      <c r="F139" s="6" t="s">
        <v>23</v>
      </c>
      <c r="G139" s="6" t="s">
        <v>24</v>
      </c>
      <c r="H139" s="6" t="n">
        <f aca="true">ROUND(RAND()*4+6,1)</f>
        <v>8.4</v>
      </c>
      <c r="I139" s="6" t="s">
        <v>25</v>
      </c>
      <c r="J139" s="6" t="str">
        <f aca="false">ROUND(97*1,0)&amp;"%"</f>
        <v>97%</v>
      </c>
    </row>
    <row r="140" customFormat="false" ht="15" hidden="false" customHeight="false" outlineLevel="0" collapsed="false">
      <c r="A140" s="5" t="s">
        <v>9899</v>
      </c>
      <c r="B140" s="5" t="s">
        <v>246</v>
      </c>
      <c r="C140" s="5" t="s">
        <v>114</v>
      </c>
      <c r="D140" s="5" t="s">
        <v>28</v>
      </c>
      <c r="E140" s="5" t="n">
        <f aca="false">ROUND(15285*1.05,2)</f>
        <v>16049.25</v>
      </c>
      <c r="F140" s="5" t="s">
        <v>29</v>
      </c>
      <c r="G140" s="5" t="s">
        <v>30</v>
      </c>
      <c r="H140" s="5" t="n">
        <f aca="true">ROUND(RAND()*4+6,1)</f>
        <v>8</v>
      </c>
      <c r="I140" s="5" t="s">
        <v>31</v>
      </c>
      <c r="J140" s="5" t="str">
        <f aca="false">ROUND(68*1,0)&amp;"%"</f>
        <v>68%</v>
      </c>
    </row>
    <row r="141" customFormat="false" ht="15" hidden="false" customHeight="false" outlineLevel="0" collapsed="false">
      <c r="A141" s="6" t="s">
        <v>9900</v>
      </c>
      <c r="B141" s="6" t="s">
        <v>248</v>
      </c>
      <c r="C141" s="6" t="s">
        <v>114</v>
      </c>
      <c r="D141" s="6" t="s">
        <v>34</v>
      </c>
      <c r="E141" s="6" t="n">
        <f aca="false">ROUND(9026*1.05,2)</f>
        <v>9477.3</v>
      </c>
      <c r="F141" s="6" t="s">
        <v>35</v>
      </c>
      <c r="G141" s="6" t="s">
        <v>18</v>
      </c>
      <c r="H141" s="6" t="n">
        <f aca="true">ROUND(RAND()*4+6,1)</f>
        <v>7.9</v>
      </c>
      <c r="I141" s="6" t="s">
        <v>36</v>
      </c>
      <c r="J141" s="6" t="str">
        <f aca="false">ROUND(96*1,0)&amp;"%"</f>
        <v>96%</v>
      </c>
    </row>
    <row r="142" customFormat="false" ht="15" hidden="false" customHeight="false" outlineLevel="0" collapsed="false">
      <c r="A142" s="5" t="s">
        <v>9901</v>
      </c>
      <c r="B142" s="5" t="s">
        <v>250</v>
      </c>
      <c r="C142" s="5" t="s">
        <v>114</v>
      </c>
      <c r="D142" s="5" t="s">
        <v>39</v>
      </c>
      <c r="E142" s="5" t="n">
        <f aca="false">ROUND(6141*1.05,2)</f>
        <v>6448.05</v>
      </c>
      <c r="F142" s="5" t="s">
        <v>40</v>
      </c>
      <c r="G142" s="5" t="s">
        <v>24</v>
      </c>
      <c r="H142" s="5" t="n">
        <f aca="true">ROUND(RAND()*4+6,1)</f>
        <v>9</v>
      </c>
      <c r="I142" s="5" t="s">
        <v>41</v>
      </c>
      <c r="J142" s="5" t="str">
        <f aca="false">ROUND(80*1,0)&amp;"%"</f>
        <v>80%</v>
      </c>
    </row>
    <row r="143" customFormat="false" ht="15" hidden="false" customHeight="false" outlineLevel="0" collapsed="false">
      <c r="A143" s="6" t="s">
        <v>9902</v>
      </c>
      <c r="B143" s="6" t="s">
        <v>252</v>
      </c>
      <c r="C143" s="6" t="s">
        <v>114</v>
      </c>
      <c r="D143" s="6" t="s">
        <v>44</v>
      </c>
      <c r="E143" s="6" t="n">
        <f aca="false">ROUND(13051*1.05,2)</f>
        <v>13703.55</v>
      </c>
      <c r="F143" s="6" t="s">
        <v>45</v>
      </c>
      <c r="G143" s="6" t="s">
        <v>30</v>
      </c>
      <c r="H143" s="6" t="n">
        <f aca="true">ROUND(RAND()*4+6,1)</f>
        <v>6.9</v>
      </c>
      <c r="I143" s="6" t="s">
        <v>46</v>
      </c>
      <c r="J143" s="6" t="str">
        <f aca="false">ROUND(71*1,0)&amp;"%"</f>
        <v>71%</v>
      </c>
    </row>
    <row r="144" customFormat="false" ht="15" hidden="false" customHeight="false" outlineLevel="0" collapsed="false">
      <c r="A144" s="5" t="s">
        <v>9903</v>
      </c>
      <c r="B144" s="5" t="s">
        <v>254</v>
      </c>
      <c r="C144" s="5" t="s">
        <v>114</v>
      </c>
      <c r="D144" s="5" t="s">
        <v>16</v>
      </c>
      <c r="E144" s="5" t="n">
        <f aca="false">ROUND(8110*1.05,2)</f>
        <v>8515.5</v>
      </c>
      <c r="F144" s="5" t="s">
        <v>49</v>
      </c>
      <c r="G144" s="5" t="s">
        <v>18</v>
      </c>
      <c r="H144" s="5" t="n">
        <f aca="true">ROUND(RAND()*4+6,1)</f>
        <v>9</v>
      </c>
      <c r="I144" s="5" t="s">
        <v>19</v>
      </c>
      <c r="J144" s="5" t="str">
        <f aca="false">ROUND(84*1,0)&amp;"%"</f>
        <v>84%</v>
      </c>
    </row>
    <row r="145" customFormat="false" ht="15" hidden="false" customHeight="false" outlineLevel="0" collapsed="false">
      <c r="A145" s="6" t="s">
        <v>9904</v>
      </c>
      <c r="B145" s="6" t="s">
        <v>256</v>
      </c>
      <c r="C145" s="6" t="s">
        <v>114</v>
      </c>
      <c r="D145" s="6" t="s">
        <v>22</v>
      </c>
      <c r="E145" s="6" t="n">
        <f aca="false">ROUND(10488*1.05,2)</f>
        <v>11012.4</v>
      </c>
      <c r="F145" s="6" t="s">
        <v>52</v>
      </c>
      <c r="G145" s="6" t="s">
        <v>24</v>
      </c>
      <c r="H145" s="6" t="n">
        <f aca="true">ROUND(RAND()*4+6,1)</f>
        <v>7</v>
      </c>
      <c r="I145" s="6" t="s">
        <v>25</v>
      </c>
      <c r="J145" s="6" t="str">
        <f aca="false">ROUND(68*1,0)&amp;"%"</f>
        <v>68%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9905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9906</v>
      </c>
      <c r="B150" s="5" t="s">
        <v>260</v>
      </c>
      <c r="C150" s="5" t="s">
        <v>133</v>
      </c>
      <c r="D150" s="5" t="s">
        <v>16</v>
      </c>
      <c r="E150" s="5" t="n">
        <f aca="false">ROUND(15379*1.05,2)</f>
        <v>16147.95</v>
      </c>
      <c r="F150" s="5" t="s">
        <v>17</v>
      </c>
      <c r="G150" s="5" t="s">
        <v>18</v>
      </c>
      <c r="H150" s="5" t="n">
        <f aca="true">ROUND(RAND()*4+6,1)</f>
        <v>7.8</v>
      </c>
      <c r="I150" s="5" t="s">
        <v>19</v>
      </c>
      <c r="J150" s="5" t="str">
        <f aca="false">ROUND(67*1,0)&amp;"%"</f>
        <v>67%</v>
      </c>
    </row>
    <row r="151" customFormat="false" ht="15" hidden="false" customHeight="false" outlineLevel="0" collapsed="false">
      <c r="A151" s="6" t="s">
        <v>9907</v>
      </c>
      <c r="B151" s="6" t="s">
        <v>262</v>
      </c>
      <c r="C151" s="6" t="s">
        <v>133</v>
      </c>
      <c r="D151" s="6" t="s">
        <v>22</v>
      </c>
      <c r="E151" s="6" t="n">
        <f aca="false">ROUND(4770*1.05,2)</f>
        <v>5008.5</v>
      </c>
      <c r="F151" s="6" t="s">
        <v>23</v>
      </c>
      <c r="G151" s="6" t="s">
        <v>24</v>
      </c>
      <c r="H151" s="6" t="n">
        <f aca="true">ROUND(RAND()*4+6,1)</f>
        <v>9</v>
      </c>
      <c r="I151" s="6" t="s">
        <v>25</v>
      </c>
      <c r="J151" s="6" t="str">
        <f aca="false">ROUND(68*1,0)&amp;"%"</f>
        <v>68%</v>
      </c>
    </row>
    <row r="152" customFormat="false" ht="15" hidden="false" customHeight="false" outlineLevel="0" collapsed="false">
      <c r="A152" s="5" t="s">
        <v>9908</v>
      </c>
      <c r="B152" s="5" t="s">
        <v>264</v>
      </c>
      <c r="C152" s="5" t="s">
        <v>133</v>
      </c>
      <c r="D152" s="5" t="s">
        <v>28</v>
      </c>
      <c r="E152" s="5" t="n">
        <f aca="false">ROUND(13649*1.05,2)</f>
        <v>14331.45</v>
      </c>
      <c r="F152" s="5" t="s">
        <v>29</v>
      </c>
      <c r="G152" s="5" t="s">
        <v>30</v>
      </c>
      <c r="H152" s="5" t="n">
        <f aca="true">ROUND(RAND()*4+6,1)</f>
        <v>8.7</v>
      </c>
      <c r="I152" s="5" t="s">
        <v>31</v>
      </c>
      <c r="J152" s="5" t="str">
        <f aca="false">ROUND(70*1,0)&amp;"%"</f>
        <v>70%</v>
      </c>
    </row>
    <row r="153" customFormat="false" ht="15" hidden="false" customHeight="false" outlineLevel="0" collapsed="false">
      <c r="A153" s="6" t="s">
        <v>9909</v>
      </c>
      <c r="B153" s="6" t="s">
        <v>266</v>
      </c>
      <c r="C153" s="6" t="s">
        <v>133</v>
      </c>
      <c r="D153" s="6" t="s">
        <v>34</v>
      </c>
      <c r="E153" s="6" t="n">
        <f aca="false">ROUND(5399*1.05,2)</f>
        <v>5668.95</v>
      </c>
      <c r="F153" s="6" t="s">
        <v>35</v>
      </c>
      <c r="G153" s="6" t="s">
        <v>18</v>
      </c>
      <c r="H153" s="6" t="n">
        <f aca="true">ROUND(RAND()*4+6,1)</f>
        <v>6.8</v>
      </c>
      <c r="I153" s="6" t="s">
        <v>36</v>
      </c>
      <c r="J153" s="6" t="str">
        <f aca="false">ROUND(60*1,0)&amp;"%"</f>
        <v>60%</v>
      </c>
    </row>
    <row r="154" customFormat="false" ht="15" hidden="false" customHeight="false" outlineLevel="0" collapsed="false">
      <c r="A154" s="5" t="s">
        <v>9910</v>
      </c>
      <c r="B154" s="5" t="s">
        <v>268</v>
      </c>
      <c r="C154" s="5" t="s">
        <v>133</v>
      </c>
      <c r="D154" s="5" t="s">
        <v>39</v>
      </c>
      <c r="E154" s="5" t="n">
        <f aca="false">ROUND(10026*1.05,2)</f>
        <v>10527.3</v>
      </c>
      <c r="F154" s="5" t="s">
        <v>40</v>
      </c>
      <c r="G154" s="5" t="s">
        <v>24</v>
      </c>
      <c r="H154" s="5" t="n">
        <f aca="true">ROUND(RAND()*4+6,1)</f>
        <v>9.7</v>
      </c>
      <c r="I154" s="5" t="s">
        <v>41</v>
      </c>
      <c r="J154" s="5" t="str">
        <f aca="false">ROUND(93*1,0)&amp;"%"</f>
        <v>93%</v>
      </c>
    </row>
    <row r="155" customFormat="false" ht="15" hidden="false" customHeight="false" outlineLevel="0" collapsed="false">
      <c r="A155" s="6" t="s">
        <v>9911</v>
      </c>
      <c r="B155" s="6" t="s">
        <v>270</v>
      </c>
      <c r="C155" s="6" t="s">
        <v>133</v>
      </c>
      <c r="D155" s="6" t="s">
        <v>44</v>
      </c>
      <c r="E155" s="6" t="n">
        <f aca="false">ROUND(7035*1.05,2)</f>
        <v>7386.75</v>
      </c>
      <c r="F155" s="6" t="s">
        <v>45</v>
      </c>
      <c r="G155" s="6" t="s">
        <v>30</v>
      </c>
      <c r="H155" s="6" t="n">
        <f aca="true">ROUND(RAND()*4+6,1)</f>
        <v>8.9</v>
      </c>
      <c r="I155" s="6" t="s">
        <v>46</v>
      </c>
      <c r="J155" s="6" t="str">
        <f aca="false">ROUND(80*1,0)&amp;"%"</f>
        <v>80%</v>
      </c>
    </row>
    <row r="156" customFormat="false" ht="15" hidden="false" customHeight="false" outlineLevel="0" collapsed="false">
      <c r="A156" s="5" t="s">
        <v>9912</v>
      </c>
      <c r="B156" s="5" t="s">
        <v>272</v>
      </c>
      <c r="C156" s="5" t="s">
        <v>133</v>
      </c>
      <c r="D156" s="5" t="s">
        <v>16</v>
      </c>
      <c r="E156" s="5" t="n">
        <f aca="false">ROUND(7368*1.05,2)</f>
        <v>7736.4</v>
      </c>
      <c r="F156" s="5" t="s">
        <v>49</v>
      </c>
      <c r="G156" s="5" t="s">
        <v>18</v>
      </c>
      <c r="H156" s="5" t="n">
        <f aca="true">ROUND(RAND()*4+6,1)</f>
        <v>6.7</v>
      </c>
      <c r="I156" s="5" t="s">
        <v>19</v>
      </c>
      <c r="J156" s="5" t="str">
        <f aca="false">ROUND(97*1,0)&amp;"%"</f>
        <v>97%</v>
      </c>
    </row>
    <row r="157" customFormat="false" ht="15" hidden="false" customHeight="false" outlineLevel="0" collapsed="false">
      <c r="A157" s="6" t="s">
        <v>9913</v>
      </c>
      <c r="B157" s="6" t="s">
        <v>274</v>
      </c>
      <c r="C157" s="6" t="s">
        <v>133</v>
      </c>
      <c r="D157" s="6" t="s">
        <v>22</v>
      </c>
      <c r="E157" s="6" t="n">
        <f aca="false">ROUND(6057*1.05,2)</f>
        <v>6359.85</v>
      </c>
      <c r="F157" s="6" t="s">
        <v>52</v>
      </c>
      <c r="G157" s="6" t="s">
        <v>24</v>
      </c>
      <c r="H157" s="6" t="n">
        <f aca="true">ROUND(RAND()*4+6,1)</f>
        <v>9.4</v>
      </c>
      <c r="I157" s="6" t="s">
        <v>25</v>
      </c>
      <c r="J157" s="6" t="str">
        <f aca="false">ROUND(91*1,0)&amp;"%"</f>
        <v>91%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9914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9915</v>
      </c>
      <c r="B162" s="5" t="s">
        <v>278</v>
      </c>
      <c r="C162" s="5" t="s">
        <v>152</v>
      </c>
      <c r="D162" s="5" t="s">
        <v>16</v>
      </c>
      <c r="E162" s="5" t="n">
        <f aca="false">ROUND(5432*1.05,2)</f>
        <v>5703.6</v>
      </c>
      <c r="F162" s="5" t="s">
        <v>17</v>
      </c>
      <c r="G162" s="5" t="s">
        <v>18</v>
      </c>
      <c r="H162" s="5" t="n">
        <f aca="true">ROUND(RAND()*4+6,1)</f>
        <v>8.8</v>
      </c>
      <c r="I162" s="5" t="s">
        <v>19</v>
      </c>
      <c r="J162" s="5" t="str">
        <f aca="false">ROUND(94*1,0)&amp;"%"</f>
        <v>94%</v>
      </c>
    </row>
    <row r="163" customFormat="false" ht="15" hidden="false" customHeight="false" outlineLevel="0" collapsed="false">
      <c r="A163" s="6" t="s">
        <v>9916</v>
      </c>
      <c r="B163" s="6" t="s">
        <v>280</v>
      </c>
      <c r="C163" s="6" t="s">
        <v>152</v>
      </c>
      <c r="D163" s="6" t="s">
        <v>22</v>
      </c>
      <c r="E163" s="6" t="n">
        <f aca="false">ROUND(16679*1.05,2)</f>
        <v>17512.95</v>
      </c>
      <c r="F163" s="6" t="s">
        <v>23</v>
      </c>
      <c r="G163" s="6" t="s">
        <v>24</v>
      </c>
      <c r="H163" s="6" t="n">
        <f aca="true">ROUND(RAND()*4+6,1)</f>
        <v>6.7</v>
      </c>
      <c r="I163" s="6" t="s">
        <v>25</v>
      </c>
      <c r="J163" s="6" t="str">
        <f aca="false">ROUND(62*1,0)&amp;"%"</f>
        <v>62%</v>
      </c>
    </row>
    <row r="164" customFormat="false" ht="15" hidden="false" customHeight="false" outlineLevel="0" collapsed="false">
      <c r="A164" s="5" t="s">
        <v>9917</v>
      </c>
      <c r="B164" s="5" t="s">
        <v>282</v>
      </c>
      <c r="C164" s="5" t="s">
        <v>152</v>
      </c>
      <c r="D164" s="5" t="s">
        <v>28</v>
      </c>
      <c r="E164" s="5" t="n">
        <f aca="false">ROUND(10906*1.05,2)</f>
        <v>11451.3</v>
      </c>
      <c r="F164" s="5" t="s">
        <v>29</v>
      </c>
      <c r="G164" s="5" t="s">
        <v>30</v>
      </c>
      <c r="H164" s="5" t="n">
        <f aca="true">ROUND(RAND()*4+6,1)</f>
        <v>6.1</v>
      </c>
      <c r="I164" s="5" t="s">
        <v>31</v>
      </c>
      <c r="J164" s="5" t="str">
        <f aca="false">ROUND(84*1,0)&amp;"%"</f>
        <v>84%</v>
      </c>
    </row>
    <row r="165" customFormat="false" ht="15" hidden="false" customHeight="false" outlineLevel="0" collapsed="false">
      <c r="A165" s="6" t="s">
        <v>9918</v>
      </c>
      <c r="B165" s="6" t="s">
        <v>284</v>
      </c>
      <c r="C165" s="6" t="s">
        <v>152</v>
      </c>
      <c r="D165" s="6" t="s">
        <v>34</v>
      </c>
      <c r="E165" s="6" t="n">
        <f aca="false">ROUND(17836*1.05,2)</f>
        <v>18727.8</v>
      </c>
      <c r="F165" s="6" t="s">
        <v>35</v>
      </c>
      <c r="G165" s="6" t="s">
        <v>18</v>
      </c>
      <c r="H165" s="6" t="n">
        <f aca="true">ROUND(RAND()*4+6,1)</f>
        <v>10</v>
      </c>
      <c r="I165" s="6" t="s">
        <v>36</v>
      </c>
      <c r="J165" s="6" t="str">
        <f aca="false">ROUND(95*1,0)&amp;"%"</f>
        <v>95%</v>
      </c>
    </row>
    <row r="166" customFormat="false" ht="15" hidden="false" customHeight="false" outlineLevel="0" collapsed="false">
      <c r="A166" s="5" t="s">
        <v>9919</v>
      </c>
      <c r="B166" s="5" t="s">
        <v>286</v>
      </c>
      <c r="C166" s="5" t="s">
        <v>152</v>
      </c>
      <c r="D166" s="5" t="s">
        <v>39</v>
      </c>
      <c r="E166" s="5" t="n">
        <f aca="false">ROUND(8369*1.05,2)</f>
        <v>8787.45</v>
      </c>
      <c r="F166" s="5" t="s">
        <v>40</v>
      </c>
      <c r="G166" s="5" t="s">
        <v>24</v>
      </c>
      <c r="H166" s="5" t="n">
        <f aca="true">ROUND(RAND()*4+6,1)</f>
        <v>7.8</v>
      </c>
      <c r="I166" s="5" t="s">
        <v>41</v>
      </c>
      <c r="J166" s="5" t="str">
        <f aca="false">ROUND(78*1,0)&amp;"%"</f>
        <v>78%</v>
      </c>
    </row>
    <row r="167" customFormat="false" ht="15" hidden="false" customHeight="false" outlineLevel="0" collapsed="false">
      <c r="A167" s="6" t="s">
        <v>9920</v>
      </c>
      <c r="B167" s="6" t="s">
        <v>288</v>
      </c>
      <c r="C167" s="6" t="s">
        <v>152</v>
      </c>
      <c r="D167" s="6" t="s">
        <v>44</v>
      </c>
      <c r="E167" s="6" t="n">
        <f aca="false">ROUND(10359*1.05,2)</f>
        <v>10876.95</v>
      </c>
      <c r="F167" s="6" t="s">
        <v>45</v>
      </c>
      <c r="G167" s="6" t="s">
        <v>30</v>
      </c>
      <c r="H167" s="6" t="n">
        <f aca="true">ROUND(RAND()*4+6,1)</f>
        <v>9.6</v>
      </c>
      <c r="I167" s="6" t="s">
        <v>46</v>
      </c>
      <c r="J167" s="6" t="str">
        <f aca="false">ROUND(86*1,0)&amp;"%"</f>
        <v>86%</v>
      </c>
    </row>
    <row r="168" customFormat="false" ht="15" hidden="false" customHeight="false" outlineLevel="0" collapsed="false">
      <c r="A168" s="5" t="s">
        <v>9921</v>
      </c>
      <c r="B168" s="5" t="s">
        <v>290</v>
      </c>
      <c r="C168" s="5" t="s">
        <v>152</v>
      </c>
      <c r="D168" s="5" t="s">
        <v>16</v>
      </c>
      <c r="E168" s="5" t="n">
        <f aca="false">ROUND(5893*1.05,2)</f>
        <v>6187.65</v>
      </c>
      <c r="F168" s="5" t="s">
        <v>49</v>
      </c>
      <c r="G168" s="5" t="s">
        <v>18</v>
      </c>
      <c r="H168" s="5" t="n">
        <f aca="true">ROUND(RAND()*4+6,1)</f>
        <v>6.3</v>
      </c>
      <c r="I168" s="5" t="s">
        <v>19</v>
      </c>
      <c r="J168" s="5" t="str">
        <f aca="false">ROUND(96*1,0)&amp;"%"</f>
        <v>96%</v>
      </c>
    </row>
    <row r="169" customFormat="false" ht="15" hidden="false" customHeight="false" outlineLevel="0" collapsed="false">
      <c r="A169" s="6" t="s">
        <v>9922</v>
      </c>
      <c r="B169" s="6" t="s">
        <v>292</v>
      </c>
      <c r="C169" s="6" t="s">
        <v>152</v>
      </c>
      <c r="D169" s="6" t="s">
        <v>22</v>
      </c>
      <c r="E169" s="6" t="n">
        <f aca="false">ROUND(10693*1.05,2)</f>
        <v>11227.65</v>
      </c>
      <c r="F169" s="6" t="s">
        <v>52</v>
      </c>
      <c r="G169" s="6" t="s">
        <v>24</v>
      </c>
      <c r="H169" s="6" t="n">
        <f aca="true">ROUND(RAND()*4+6,1)</f>
        <v>8.2</v>
      </c>
      <c r="I169" s="6" t="s">
        <v>25</v>
      </c>
      <c r="J169" s="6" t="str">
        <f aca="false">ROUND(89*1,0)&amp;"%"</f>
        <v>89%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9923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9924</v>
      </c>
      <c r="B174" s="5" t="s">
        <v>296</v>
      </c>
      <c r="C174" s="5" t="s">
        <v>15</v>
      </c>
      <c r="D174" s="5" t="s">
        <v>16</v>
      </c>
      <c r="E174" s="5" t="n">
        <f aca="false">ROUND(14900*1.05,2)</f>
        <v>15645</v>
      </c>
      <c r="F174" s="5" t="s">
        <v>17</v>
      </c>
      <c r="G174" s="5" t="s">
        <v>18</v>
      </c>
      <c r="H174" s="5" t="n">
        <f aca="true">ROUND(RAND()*4+6,1)</f>
        <v>7.6</v>
      </c>
      <c r="I174" s="5" t="s">
        <v>19</v>
      </c>
      <c r="J174" s="5" t="str">
        <f aca="false">ROUND(95*1,0)&amp;"%"</f>
        <v>95%</v>
      </c>
    </row>
    <row r="175" customFormat="false" ht="15" hidden="false" customHeight="false" outlineLevel="0" collapsed="false">
      <c r="A175" s="6" t="s">
        <v>9925</v>
      </c>
      <c r="B175" s="6" t="s">
        <v>298</v>
      </c>
      <c r="C175" s="6" t="s">
        <v>15</v>
      </c>
      <c r="D175" s="6" t="s">
        <v>22</v>
      </c>
      <c r="E175" s="6" t="n">
        <f aca="false">ROUND(10245*1.05,2)</f>
        <v>10757.25</v>
      </c>
      <c r="F175" s="6" t="s">
        <v>23</v>
      </c>
      <c r="G175" s="6" t="s">
        <v>24</v>
      </c>
      <c r="H175" s="6" t="n">
        <f aca="true">ROUND(RAND()*4+6,1)</f>
        <v>8.6</v>
      </c>
      <c r="I175" s="6" t="s">
        <v>25</v>
      </c>
      <c r="J175" s="6" t="str">
        <f aca="false">ROUND(78*1,0)&amp;"%"</f>
        <v>78%</v>
      </c>
    </row>
    <row r="176" customFormat="false" ht="15" hidden="false" customHeight="false" outlineLevel="0" collapsed="false">
      <c r="A176" s="5" t="s">
        <v>9926</v>
      </c>
      <c r="B176" s="5" t="s">
        <v>300</v>
      </c>
      <c r="C176" s="5" t="s">
        <v>15</v>
      </c>
      <c r="D176" s="5" t="s">
        <v>28</v>
      </c>
      <c r="E176" s="5" t="n">
        <f aca="false">ROUND(15567*1.05,2)</f>
        <v>16345.35</v>
      </c>
      <c r="F176" s="5" t="s">
        <v>29</v>
      </c>
      <c r="G176" s="5" t="s">
        <v>30</v>
      </c>
      <c r="H176" s="5" t="n">
        <f aca="true">ROUND(RAND()*4+6,1)</f>
        <v>10</v>
      </c>
      <c r="I176" s="5" t="s">
        <v>31</v>
      </c>
      <c r="J176" s="5" t="str">
        <f aca="false">ROUND(61*1,0)&amp;"%"</f>
        <v>61%</v>
      </c>
    </row>
    <row r="177" customFormat="false" ht="15" hidden="false" customHeight="false" outlineLevel="0" collapsed="false">
      <c r="A177" s="6" t="s">
        <v>9927</v>
      </c>
      <c r="B177" s="6" t="s">
        <v>302</v>
      </c>
      <c r="C177" s="6" t="s">
        <v>15</v>
      </c>
      <c r="D177" s="6" t="s">
        <v>34</v>
      </c>
      <c r="E177" s="6" t="n">
        <f aca="false">ROUND(5765*1.05,2)</f>
        <v>6053.25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ROUND(77*1,0)&amp;"%"</f>
        <v>77%</v>
      </c>
    </row>
    <row r="178" customFormat="false" ht="15" hidden="false" customHeight="false" outlineLevel="0" collapsed="false">
      <c r="A178" s="5" t="s">
        <v>9928</v>
      </c>
      <c r="B178" s="5" t="s">
        <v>304</v>
      </c>
      <c r="C178" s="5" t="s">
        <v>15</v>
      </c>
      <c r="D178" s="5" t="s">
        <v>39</v>
      </c>
      <c r="E178" s="5" t="n">
        <f aca="false">ROUND(16367*1.05,2)</f>
        <v>17185.35</v>
      </c>
      <c r="F178" s="5" t="s">
        <v>40</v>
      </c>
      <c r="G178" s="5" t="s">
        <v>24</v>
      </c>
      <c r="H178" s="5" t="n">
        <f aca="true">ROUND(RAND()*4+6,1)</f>
        <v>9</v>
      </c>
      <c r="I178" s="5" t="s">
        <v>41</v>
      </c>
      <c r="J178" s="5" t="str">
        <f aca="false">ROUND(95*1,0)&amp;"%"</f>
        <v>95%</v>
      </c>
    </row>
    <row r="179" customFormat="false" ht="15" hidden="false" customHeight="false" outlineLevel="0" collapsed="false">
      <c r="A179" s="6" t="s">
        <v>9929</v>
      </c>
      <c r="B179" s="6" t="s">
        <v>306</v>
      </c>
      <c r="C179" s="6" t="s">
        <v>15</v>
      </c>
      <c r="D179" s="6" t="s">
        <v>44</v>
      </c>
      <c r="E179" s="6" t="n">
        <f aca="false">ROUND(8149*1.05,2)</f>
        <v>8556.45</v>
      </c>
      <c r="F179" s="6" t="s">
        <v>45</v>
      </c>
      <c r="G179" s="6" t="s">
        <v>30</v>
      </c>
      <c r="H179" s="6" t="n">
        <f aca="true">ROUND(RAND()*4+6,1)</f>
        <v>9.6</v>
      </c>
      <c r="I179" s="6" t="s">
        <v>46</v>
      </c>
      <c r="J179" s="6" t="str">
        <f aca="false">ROUND(79*1,0)&amp;"%"</f>
        <v>79%</v>
      </c>
    </row>
    <row r="180" customFormat="false" ht="15" hidden="false" customHeight="false" outlineLevel="0" collapsed="false">
      <c r="A180" s="5" t="s">
        <v>9930</v>
      </c>
      <c r="B180" s="5" t="s">
        <v>308</v>
      </c>
      <c r="C180" s="5" t="s">
        <v>15</v>
      </c>
      <c r="D180" s="5" t="s">
        <v>16</v>
      </c>
      <c r="E180" s="5" t="n">
        <f aca="false">ROUND(11023*1.05,2)</f>
        <v>11574.15</v>
      </c>
      <c r="F180" s="5" t="s">
        <v>49</v>
      </c>
      <c r="G180" s="5" t="s">
        <v>18</v>
      </c>
      <c r="H180" s="5" t="n">
        <f aca="true">ROUND(RAND()*4+6,1)</f>
        <v>9.4</v>
      </c>
      <c r="I180" s="5" t="s">
        <v>19</v>
      </c>
      <c r="J180" s="5" t="str">
        <f aca="false">ROUND(61*1,0)&amp;"%"</f>
        <v>61%</v>
      </c>
    </row>
    <row r="181" customFormat="false" ht="15" hidden="false" customHeight="false" outlineLevel="0" collapsed="false">
      <c r="A181" s="6" t="s">
        <v>9931</v>
      </c>
      <c r="B181" s="6" t="s">
        <v>310</v>
      </c>
      <c r="C181" s="6" t="s">
        <v>15</v>
      </c>
      <c r="D181" s="6" t="s">
        <v>22</v>
      </c>
      <c r="E181" s="6" t="n">
        <f aca="false">ROUND(4292*1.05,2)</f>
        <v>4506.6</v>
      </c>
      <c r="F181" s="6" t="s">
        <v>52</v>
      </c>
      <c r="G181" s="6" t="s">
        <v>24</v>
      </c>
      <c r="H181" s="6" t="n">
        <f aca="true">ROUND(RAND()*4+6,1)</f>
        <v>8.1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9932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9933</v>
      </c>
      <c r="B186" s="5" t="s">
        <v>314</v>
      </c>
      <c r="C186" s="5" t="s">
        <v>57</v>
      </c>
      <c r="D186" s="5" t="s">
        <v>16</v>
      </c>
      <c r="E186" s="5" t="n">
        <f aca="false">ROUND(4949*1.05,2)</f>
        <v>5196.45</v>
      </c>
      <c r="F186" s="5" t="s">
        <v>17</v>
      </c>
      <c r="G186" s="5" t="s">
        <v>18</v>
      </c>
      <c r="H186" s="5" t="n">
        <f aca="true">ROUND(RAND()*4+6,1)</f>
        <v>6.2</v>
      </c>
      <c r="I186" s="5" t="s">
        <v>19</v>
      </c>
      <c r="J186" s="5" t="str">
        <f aca="false">ROUND(61*1,0)&amp;"%"</f>
        <v>61%</v>
      </c>
    </row>
    <row r="187" customFormat="false" ht="15" hidden="false" customHeight="false" outlineLevel="0" collapsed="false">
      <c r="A187" s="6" t="s">
        <v>9934</v>
      </c>
      <c r="B187" s="6" t="s">
        <v>316</v>
      </c>
      <c r="C187" s="6" t="s">
        <v>57</v>
      </c>
      <c r="D187" s="6" t="s">
        <v>22</v>
      </c>
      <c r="E187" s="6" t="n">
        <f aca="false">ROUND(13631*1.05,2)</f>
        <v>14312.55</v>
      </c>
      <c r="F187" s="6" t="s">
        <v>23</v>
      </c>
      <c r="G187" s="6" t="s">
        <v>24</v>
      </c>
      <c r="H187" s="6" t="n">
        <f aca="true">ROUND(RAND()*4+6,1)</f>
        <v>8</v>
      </c>
      <c r="I187" s="6" t="s">
        <v>25</v>
      </c>
      <c r="J187" s="6" t="str">
        <f aca="false">ROUND(89*1,0)&amp;"%"</f>
        <v>89%</v>
      </c>
    </row>
    <row r="188" customFormat="false" ht="15" hidden="false" customHeight="false" outlineLevel="0" collapsed="false">
      <c r="A188" s="5" t="s">
        <v>9935</v>
      </c>
      <c r="B188" s="5" t="s">
        <v>318</v>
      </c>
      <c r="C188" s="5" t="s">
        <v>57</v>
      </c>
      <c r="D188" s="5" t="s">
        <v>28</v>
      </c>
      <c r="E188" s="5" t="n">
        <f aca="false">ROUND(5919*1.05,2)</f>
        <v>6214.95</v>
      </c>
      <c r="F188" s="5" t="s">
        <v>29</v>
      </c>
      <c r="G188" s="5" t="s">
        <v>30</v>
      </c>
      <c r="H188" s="5" t="n">
        <f aca="true">ROUND(RAND()*4+6,1)</f>
        <v>9.7</v>
      </c>
      <c r="I188" s="5" t="s">
        <v>31</v>
      </c>
      <c r="J188" s="5" t="str">
        <f aca="false">ROUND(87*1,0)&amp;"%"</f>
        <v>87%</v>
      </c>
    </row>
    <row r="189" customFormat="false" ht="15" hidden="false" customHeight="false" outlineLevel="0" collapsed="false">
      <c r="A189" s="6" t="s">
        <v>9936</v>
      </c>
      <c r="B189" s="6" t="s">
        <v>320</v>
      </c>
      <c r="C189" s="6" t="s">
        <v>57</v>
      </c>
      <c r="D189" s="6" t="s">
        <v>34</v>
      </c>
      <c r="E189" s="6" t="n">
        <f aca="false">ROUND(13369*1.05,2)</f>
        <v>14037.45</v>
      </c>
      <c r="F189" s="6" t="s">
        <v>35</v>
      </c>
      <c r="G189" s="6" t="s">
        <v>18</v>
      </c>
      <c r="H189" s="6" t="n">
        <f aca="true">ROUND(RAND()*4+6,1)</f>
        <v>7.8</v>
      </c>
      <c r="I189" s="6" t="s">
        <v>36</v>
      </c>
      <c r="J189" s="6" t="str">
        <f aca="false">ROUND(92*1,0)&amp;"%"</f>
        <v>92%</v>
      </c>
    </row>
    <row r="190" customFormat="false" ht="15" hidden="false" customHeight="false" outlineLevel="0" collapsed="false">
      <c r="A190" s="5" t="s">
        <v>9937</v>
      </c>
      <c r="B190" s="5" t="s">
        <v>322</v>
      </c>
      <c r="C190" s="5" t="s">
        <v>57</v>
      </c>
      <c r="D190" s="5" t="s">
        <v>39</v>
      </c>
      <c r="E190" s="5" t="n">
        <f aca="false">ROUND(8973*1.05,2)</f>
        <v>9421.65</v>
      </c>
      <c r="F190" s="5" t="s">
        <v>40</v>
      </c>
      <c r="G190" s="5" t="s">
        <v>24</v>
      </c>
      <c r="H190" s="5" t="n">
        <f aca="true">ROUND(RAND()*4+6,1)</f>
        <v>6.7</v>
      </c>
      <c r="I190" s="5" t="s">
        <v>41</v>
      </c>
      <c r="J190" s="5" t="str">
        <f aca="false">ROUND(66*1,0)&amp;"%"</f>
        <v>66%</v>
      </c>
    </row>
    <row r="191" customFormat="false" ht="15" hidden="false" customHeight="false" outlineLevel="0" collapsed="false">
      <c r="A191" s="6" t="s">
        <v>9938</v>
      </c>
      <c r="B191" s="6" t="s">
        <v>324</v>
      </c>
      <c r="C191" s="6" t="s">
        <v>57</v>
      </c>
      <c r="D191" s="6" t="s">
        <v>44</v>
      </c>
      <c r="E191" s="6" t="n">
        <f aca="false">ROUND(4155*1.05,2)</f>
        <v>4362.75</v>
      </c>
      <c r="F191" s="6" t="s">
        <v>45</v>
      </c>
      <c r="G191" s="6" t="s">
        <v>30</v>
      </c>
      <c r="H191" s="6" t="n">
        <f aca="true">ROUND(RAND()*4+6,1)</f>
        <v>7.9</v>
      </c>
      <c r="I191" s="6" t="s">
        <v>46</v>
      </c>
      <c r="J191" s="6" t="str">
        <f aca="false">ROUND(90*1,0)&amp;"%"</f>
        <v>90%</v>
      </c>
    </row>
    <row r="192" customFormat="false" ht="15" hidden="false" customHeight="false" outlineLevel="0" collapsed="false">
      <c r="A192" s="5" t="s">
        <v>9939</v>
      </c>
      <c r="B192" s="5" t="s">
        <v>326</v>
      </c>
      <c r="C192" s="5" t="s">
        <v>57</v>
      </c>
      <c r="D192" s="5" t="s">
        <v>16</v>
      </c>
      <c r="E192" s="5" t="n">
        <f aca="false">ROUND(11967*1.05,2)</f>
        <v>12565.35</v>
      </c>
      <c r="F192" s="5" t="s">
        <v>49</v>
      </c>
      <c r="G192" s="5" t="s">
        <v>18</v>
      </c>
      <c r="H192" s="5" t="n">
        <f aca="true">ROUND(RAND()*4+6,1)</f>
        <v>9.3</v>
      </c>
      <c r="I192" s="5" t="s">
        <v>19</v>
      </c>
      <c r="J192" s="5" t="str">
        <f aca="false">ROUND(80*1,0)&amp;"%"</f>
        <v>80%</v>
      </c>
    </row>
    <row r="193" customFormat="false" ht="15" hidden="false" customHeight="false" outlineLevel="0" collapsed="false">
      <c r="A193" s="6" t="s">
        <v>9940</v>
      </c>
      <c r="B193" s="6" t="s">
        <v>328</v>
      </c>
      <c r="C193" s="6" t="s">
        <v>57</v>
      </c>
      <c r="D193" s="6" t="s">
        <v>22</v>
      </c>
      <c r="E193" s="6" t="n">
        <f aca="false">ROUND(13420*1.05,2)</f>
        <v>14091</v>
      </c>
      <c r="F193" s="6" t="s">
        <v>52</v>
      </c>
      <c r="G193" s="6" t="s">
        <v>24</v>
      </c>
      <c r="H193" s="6" t="n">
        <f aca="true">ROUND(RAND()*4+6,1)</f>
        <v>9.5</v>
      </c>
      <c r="I193" s="6" t="s">
        <v>25</v>
      </c>
      <c r="J193" s="6" t="str">
        <f aca="false">ROUND(82*1,0)&amp;"%"</f>
        <v>82%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9941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9942</v>
      </c>
      <c r="B198" s="5" t="s">
        <v>332</v>
      </c>
      <c r="C198" s="5" t="s">
        <v>76</v>
      </c>
      <c r="D198" s="5" t="s">
        <v>16</v>
      </c>
      <c r="E198" s="5" t="n">
        <f aca="false">ROUND(11725*1.05,2)</f>
        <v>12311.25</v>
      </c>
      <c r="F198" s="5" t="s">
        <v>17</v>
      </c>
      <c r="G198" s="5" t="s">
        <v>18</v>
      </c>
      <c r="H198" s="5" t="n">
        <f aca="true">ROUND(RAND()*4+6,1)</f>
        <v>9.9</v>
      </c>
      <c r="I198" s="5" t="s">
        <v>19</v>
      </c>
      <c r="J198" s="5" t="str">
        <f aca="false">ROUND(89*1,0)&amp;"%"</f>
        <v>89%</v>
      </c>
    </row>
    <row r="199" customFormat="false" ht="15" hidden="false" customHeight="false" outlineLevel="0" collapsed="false">
      <c r="A199" s="6" t="s">
        <v>9943</v>
      </c>
      <c r="B199" s="6" t="s">
        <v>334</v>
      </c>
      <c r="C199" s="6" t="s">
        <v>76</v>
      </c>
      <c r="D199" s="6" t="s">
        <v>22</v>
      </c>
      <c r="E199" s="6" t="n">
        <f aca="false">ROUND(7727*1.05,2)</f>
        <v>8113.35</v>
      </c>
      <c r="F199" s="6" t="s">
        <v>23</v>
      </c>
      <c r="G199" s="6" t="s">
        <v>24</v>
      </c>
      <c r="H199" s="6" t="n">
        <f aca="true">ROUND(RAND()*4+6,1)</f>
        <v>7.4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9944</v>
      </c>
      <c r="B200" s="5" t="s">
        <v>336</v>
      </c>
      <c r="C200" s="5" t="s">
        <v>76</v>
      </c>
      <c r="D200" s="5" t="s">
        <v>28</v>
      </c>
      <c r="E200" s="5" t="n">
        <f aca="false">ROUND(7436*1.05,2)</f>
        <v>7807.8</v>
      </c>
      <c r="F200" s="5" t="s">
        <v>29</v>
      </c>
      <c r="G200" s="5" t="s">
        <v>30</v>
      </c>
      <c r="H200" s="5" t="n">
        <f aca="true">ROUND(RAND()*4+6,1)</f>
        <v>8.7</v>
      </c>
      <c r="I200" s="5" t="s">
        <v>31</v>
      </c>
      <c r="J200" s="5" t="str">
        <f aca="false">ROUND(85*1,0)&amp;"%"</f>
        <v>85%</v>
      </c>
    </row>
    <row r="201" customFormat="false" ht="15" hidden="false" customHeight="false" outlineLevel="0" collapsed="false">
      <c r="A201" s="6" t="s">
        <v>9945</v>
      </c>
      <c r="B201" s="6" t="s">
        <v>338</v>
      </c>
      <c r="C201" s="6" t="s">
        <v>76</v>
      </c>
      <c r="D201" s="6" t="s">
        <v>34</v>
      </c>
      <c r="E201" s="6" t="n">
        <f aca="false">ROUND(17726*1.05,2)</f>
        <v>18612.3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ROUND(78*1,0)&amp;"%"</f>
        <v>78%</v>
      </c>
    </row>
    <row r="202" customFormat="false" ht="15" hidden="false" customHeight="false" outlineLevel="0" collapsed="false">
      <c r="A202" s="5" t="s">
        <v>9946</v>
      </c>
      <c r="B202" s="5" t="s">
        <v>340</v>
      </c>
      <c r="C202" s="5" t="s">
        <v>76</v>
      </c>
      <c r="D202" s="5" t="s">
        <v>39</v>
      </c>
      <c r="E202" s="5" t="n">
        <f aca="false">ROUND(10629*1.05,2)</f>
        <v>11160.45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ROUND(85*1,0)&amp;"%"</f>
        <v>85%</v>
      </c>
    </row>
    <row r="203" customFormat="false" ht="15" hidden="false" customHeight="false" outlineLevel="0" collapsed="false">
      <c r="A203" s="6" t="s">
        <v>9947</v>
      </c>
      <c r="B203" s="6" t="s">
        <v>342</v>
      </c>
      <c r="C203" s="6" t="s">
        <v>76</v>
      </c>
      <c r="D203" s="6" t="s">
        <v>44</v>
      </c>
      <c r="E203" s="6" t="n">
        <f aca="false">ROUND(17337*1.05,2)</f>
        <v>18203.85</v>
      </c>
      <c r="F203" s="6" t="s">
        <v>45</v>
      </c>
      <c r="G203" s="6" t="s">
        <v>30</v>
      </c>
      <c r="H203" s="6" t="n">
        <f aca="true">ROUND(RAND()*4+6,1)</f>
        <v>7.1</v>
      </c>
      <c r="I203" s="6" t="s">
        <v>46</v>
      </c>
      <c r="J203" s="6" t="str">
        <f aca="false">ROUND(80*1,0)&amp;"%"</f>
        <v>80%</v>
      </c>
    </row>
    <row r="204" customFormat="false" ht="15" hidden="false" customHeight="false" outlineLevel="0" collapsed="false">
      <c r="A204" s="5" t="s">
        <v>9948</v>
      </c>
      <c r="B204" s="5" t="s">
        <v>344</v>
      </c>
      <c r="C204" s="5" t="s">
        <v>76</v>
      </c>
      <c r="D204" s="5" t="s">
        <v>16</v>
      </c>
      <c r="E204" s="5" t="n">
        <f aca="false">ROUND(13244*1.05,2)</f>
        <v>13906.2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ROUND(78*1,0)&amp;"%"</f>
        <v>78%</v>
      </c>
    </row>
    <row r="205" customFormat="false" ht="15" hidden="false" customHeight="false" outlineLevel="0" collapsed="false">
      <c r="A205" s="6" t="s">
        <v>9949</v>
      </c>
      <c r="B205" s="6" t="s">
        <v>346</v>
      </c>
      <c r="C205" s="6" t="s">
        <v>76</v>
      </c>
      <c r="D205" s="6" t="s">
        <v>22</v>
      </c>
      <c r="E205" s="6" t="n">
        <f aca="false">ROUND(14802*1.05,2)</f>
        <v>15542.1</v>
      </c>
      <c r="F205" s="6" t="s">
        <v>52</v>
      </c>
      <c r="G205" s="6" t="s">
        <v>24</v>
      </c>
      <c r="H205" s="6" t="n">
        <f aca="true">ROUND(RAND()*4+6,1)</f>
        <v>9.2</v>
      </c>
      <c r="I205" s="6" t="s">
        <v>25</v>
      </c>
      <c r="J205" s="6" t="str">
        <f aca="false">ROUND(89*1,0)&amp;"%"</f>
        <v>89%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9950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9951</v>
      </c>
      <c r="B210" s="5" t="s">
        <v>350</v>
      </c>
      <c r="C210" s="5" t="s">
        <v>95</v>
      </c>
      <c r="D210" s="5" t="s">
        <v>16</v>
      </c>
      <c r="E210" s="5" t="n">
        <f aca="false">ROUND(11234*1.05,2)</f>
        <v>11795.7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ROUND(96*1,0)&amp;"%"</f>
        <v>96%</v>
      </c>
    </row>
    <row r="211" customFormat="false" ht="15" hidden="false" customHeight="false" outlineLevel="0" collapsed="false">
      <c r="A211" s="6" t="s">
        <v>9952</v>
      </c>
      <c r="B211" s="6" t="s">
        <v>352</v>
      </c>
      <c r="C211" s="6" t="s">
        <v>95</v>
      </c>
      <c r="D211" s="6" t="s">
        <v>22</v>
      </c>
      <c r="E211" s="6" t="n">
        <f aca="false">ROUND(10454*1.05,2)</f>
        <v>10976.7</v>
      </c>
      <c r="F211" s="6" t="s">
        <v>23</v>
      </c>
      <c r="G211" s="6" t="s">
        <v>24</v>
      </c>
      <c r="H211" s="6" t="n">
        <f aca="true">ROUND(RAND()*4+6,1)</f>
        <v>7.5</v>
      </c>
      <c r="I211" s="6" t="s">
        <v>25</v>
      </c>
      <c r="J211" s="6" t="str">
        <f aca="false">ROUND(83*1,0)&amp;"%"</f>
        <v>83%</v>
      </c>
    </row>
    <row r="212" customFormat="false" ht="15" hidden="false" customHeight="false" outlineLevel="0" collapsed="false">
      <c r="A212" s="5" t="s">
        <v>9953</v>
      </c>
      <c r="B212" s="5" t="s">
        <v>354</v>
      </c>
      <c r="C212" s="5" t="s">
        <v>95</v>
      </c>
      <c r="D212" s="5" t="s">
        <v>28</v>
      </c>
      <c r="E212" s="5" t="n">
        <f aca="false">ROUND(9379*1.05,2)</f>
        <v>9847.95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ROUND(79*1,0)&amp;"%"</f>
        <v>79%</v>
      </c>
    </row>
    <row r="213" customFormat="false" ht="15" hidden="false" customHeight="false" outlineLevel="0" collapsed="false">
      <c r="A213" s="6" t="s">
        <v>9954</v>
      </c>
      <c r="B213" s="6" t="s">
        <v>356</v>
      </c>
      <c r="C213" s="6" t="s">
        <v>95</v>
      </c>
      <c r="D213" s="6" t="s">
        <v>34</v>
      </c>
      <c r="E213" s="6" t="n">
        <f aca="false">ROUND(13290*1.05,2)</f>
        <v>13954.5</v>
      </c>
      <c r="F213" s="6" t="s">
        <v>35</v>
      </c>
      <c r="G213" s="6" t="s">
        <v>18</v>
      </c>
      <c r="H213" s="6" t="n">
        <f aca="true">ROUND(RAND()*4+6,1)</f>
        <v>8.1</v>
      </c>
      <c r="I213" s="6" t="s">
        <v>36</v>
      </c>
      <c r="J213" s="6" t="str">
        <f aca="false">ROUND(74*1,0)&amp;"%"</f>
        <v>74%</v>
      </c>
    </row>
    <row r="214" customFormat="false" ht="15" hidden="false" customHeight="false" outlineLevel="0" collapsed="false">
      <c r="A214" s="5" t="s">
        <v>9955</v>
      </c>
      <c r="B214" s="5" t="s">
        <v>358</v>
      </c>
      <c r="C214" s="5" t="s">
        <v>95</v>
      </c>
      <c r="D214" s="5" t="s">
        <v>39</v>
      </c>
      <c r="E214" s="5" t="n">
        <f aca="false">ROUND(12280*1.05,2)</f>
        <v>12894</v>
      </c>
      <c r="F214" s="5" t="s">
        <v>40</v>
      </c>
      <c r="G214" s="5" t="s">
        <v>24</v>
      </c>
      <c r="H214" s="5" t="n">
        <f aca="true">ROUND(RAND()*4+6,1)</f>
        <v>7.5</v>
      </c>
      <c r="I214" s="5" t="s">
        <v>41</v>
      </c>
      <c r="J214" s="5" t="str">
        <f aca="false">ROUND(82*1,0)&amp;"%"</f>
        <v>82%</v>
      </c>
    </row>
    <row r="215" customFormat="false" ht="15" hidden="false" customHeight="false" outlineLevel="0" collapsed="false">
      <c r="A215" s="6" t="s">
        <v>9956</v>
      </c>
      <c r="B215" s="6" t="s">
        <v>360</v>
      </c>
      <c r="C215" s="6" t="s">
        <v>95</v>
      </c>
      <c r="D215" s="6" t="s">
        <v>44</v>
      </c>
      <c r="E215" s="6" t="n">
        <f aca="false">ROUND(5602*1.05,2)</f>
        <v>5882.1</v>
      </c>
      <c r="F215" s="6" t="s">
        <v>45</v>
      </c>
      <c r="G215" s="6" t="s">
        <v>30</v>
      </c>
      <c r="H215" s="6" t="n">
        <f aca="true">ROUND(RAND()*4+6,1)</f>
        <v>7.3</v>
      </c>
      <c r="I215" s="6" t="s">
        <v>46</v>
      </c>
      <c r="J215" s="6" t="str">
        <f aca="false">ROUND(89*1,0)&amp;"%"</f>
        <v>89%</v>
      </c>
    </row>
    <row r="216" customFormat="false" ht="15" hidden="false" customHeight="false" outlineLevel="0" collapsed="false">
      <c r="A216" s="5" t="s">
        <v>9957</v>
      </c>
      <c r="B216" s="5" t="s">
        <v>362</v>
      </c>
      <c r="C216" s="5" t="s">
        <v>95</v>
      </c>
      <c r="D216" s="5" t="s">
        <v>16</v>
      </c>
      <c r="E216" s="5" t="n">
        <f aca="false">ROUND(7126*1.05,2)</f>
        <v>7482.3</v>
      </c>
      <c r="F216" s="5" t="s">
        <v>49</v>
      </c>
      <c r="G216" s="5" t="s">
        <v>18</v>
      </c>
      <c r="H216" s="5" t="n">
        <f aca="true">ROUND(RAND()*4+6,1)</f>
        <v>6.9</v>
      </c>
      <c r="I216" s="5" t="s">
        <v>19</v>
      </c>
      <c r="J216" s="5" t="str">
        <f aca="false">ROUND(61*1,0)&amp;"%"</f>
        <v>61%</v>
      </c>
    </row>
    <row r="217" customFormat="false" ht="15" hidden="false" customHeight="false" outlineLevel="0" collapsed="false">
      <c r="A217" s="6" t="s">
        <v>9958</v>
      </c>
      <c r="B217" s="6" t="s">
        <v>364</v>
      </c>
      <c r="C217" s="6" t="s">
        <v>95</v>
      </c>
      <c r="D217" s="6" t="s">
        <v>22</v>
      </c>
      <c r="E217" s="6" t="n">
        <f aca="false">ROUND(8254*1.05,2)</f>
        <v>8666.7</v>
      </c>
      <c r="F217" s="6" t="s">
        <v>52</v>
      </c>
      <c r="G217" s="6" t="s">
        <v>24</v>
      </c>
      <c r="H217" s="6" t="n">
        <f aca="true">ROUND(RAND()*4+6,1)</f>
        <v>6.6</v>
      </c>
      <c r="I217" s="6" t="s">
        <v>25</v>
      </c>
      <c r="J217" s="6" t="str">
        <f aca="false">ROUND(72*1,0)&amp;"%"</f>
        <v>72%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9959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9960</v>
      </c>
      <c r="B222" s="5" t="s">
        <v>368</v>
      </c>
      <c r="C222" s="5" t="s">
        <v>114</v>
      </c>
      <c r="D222" s="5" t="s">
        <v>16</v>
      </c>
      <c r="E222" s="5" t="n">
        <f aca="false">ROUND(11140*1.05,2)</f>
        <v>11697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ROUND(66*1,0)&amp;"%"</f>
        <v>66%</v>
      </c>
    </row>
    <row r="223" customFormat="false" ht="15" hidden="false" customHeight="false" outlineLevel="0" collapsed="false">
      <c r="A223" s="6" t="s">
        <v>9961</v>
      </c>
      <c r="B223" s="6" t="s">
        <v>370</v>
      </c>
      <c r="C223" s="6" t="s">
        <v>114</v>
      </c>
      <c r="D223" s="6" t="s">
        <v>22</v>
      </c>
      <c r="E223" s="6" t="n">
        <f aca="false">ROUND(13550*1.05,2)</f>
        <v>14227.5</v>
      </c>
      <c r="F223" s="6" t="s">
        <v>23</v>
      </c>
      <c r="G223" s="6" t="s">
        <v>24</v>
      </c>
      <c r="H223" s="6" t="n">
        <f aca="true">ROUND(RAND()*4+6,1)</f>
        <v>9.9</v>
      </c>
      <c r="I223" s="6" t="s">
        <v>25</v>
      </c>
      <c r="J223" s="6" t="str">
        <f aca="false">ROUND(78*1,0)&amp;"%"</f>
        <v>78%</v>
      </c>
    </row>
    <row r="224" customFormat="false" ht="15" hidden="false" customHeight="false" outlineLevel="0" collapsed="false">
      <c r="A224" s="5" t="s">
        <v>9962</v>
      </c>
      <c r="B224" s="5" t="s">
        <v>372</v>
      </c>
      <c r="C224" s="5" t="s">
        <v>114</v>
      </c>
      <c r="D224" s="5" t="s">
        <v>28</v>
      </c>
      <c r="E224" s="5" t="n">
        <f aca="false">ROUND(5106*1.05,2)</f>
        <v>5361.3</v>
      </c>
      <c r="F224" s="5" t="s">
        <v>29</v>
      </c>
      <c r="G224" s="5" t="s">
        <v>30</v>
      </c>
      <c r="H224" s="5" t="n">
        <f aca="true">ROUND(RAND()*4+6,1)</f>
        <v>8.1</v>
      </c>
      <c r="I224" s="5" t="s">
        <v>31</v>
      </c>
      <c r="J224" s="5" t="str">
        <f aca="false">ROUND(61*1,0)&amp;"%"</f>
        <v>61%</v>
      </c>
    </row>
    <row r="225" customFormat="false" ht="15" hidden="false" customHeight="false" outlineLevel="0" collapsed="false">
      <c r="A225" s="6" t="s">
        <v>9963</v>
      </c>
      <c r="B225" s="6" t="s">
        <v>374</v>
      </c>
      <c r="C225" s="6" t="s">
        <v>114</v>
      </c>
      <c r="D225" s="6" t="s">
        <v>34</v>
      </c>
      <c r="E225" s="6" t="n">
        <f aca="false">ROUND(12674*1.05,2)</f>
        <v>13307.7</v>
      </c>
      <c r="F225" s="6" t="s">
        <v>35</v>
      </c>
      <c r="G225" s="6" t="s">
        <v>18</v>
      </c>
      <c r="H225" s="6" t="n">
        <f aca="true">ROUND(RAND()*4+6,1)</f>
        <v>9.3</v>
      </c>
      <c r="I225" s="6" t="s">
        <v>36</v>
      </c>
      <c r="J225" s="6" t="str">
        <f aca="false">ROUND(90*1,0)&amp;"%"</f>
        <v>90%</v>
      </c>
    </row>
    <row r="226" customFormat="false" ht="15" hidden="false" customHeight="false" outlineLevel="0" collapsed="false">
      <c r="A226" s="5" t="s">
        <v>9964</v>
      </c>
      <c r="B226" s="5" t="s">
        <v>376</v>
      </c>
      <c r="C226" s="5" t="s">
        <v>114</v>
      </c>
      <c r="D226" s="5" t="s">
        <v>39</v>
      </c>
      <c r="E226" s="5" t="n">
        <f aca="false">ROUND(16393*1.05,2)</f>
        <v>17212.65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9965</v>
      </c>
      <c r="B227" s="6" t="s">
        <v>378</v>
      </c>
      <c r="C227" s="6" t="s">
        <v>114</v>
      </c>
      <c r="D227" s="6" t="s">
        <v>44</v>
      </c>
      <c r="E227" s="6" t="n">
        <f aca="false">ROUND(14784*1.05,2)</f>
        <v>15523.2</v>
      </c>
      <c r="F227" s="6" t="s">
        <v>45</v>
      </c>
      <c r="G227" s="6" t="s">
        <v>30</v>
      </c>
      <c r="H227" s="6" t="n">
        <f aca="true">ROUND(RAND()*4+6,1)</f>
        <v>7.7</v>
      </c>
      <c r="I227" s="6" t="s">
        <v>46</v>
      </c>
      <c r="J227" s="6" t="str">
        <f aca="false">ROUND(74*1,0)&amp;"%"</f>
        <v>74%</v>
      </c>
    </row>
    <row r="228" customFormat="false" ht="15" hidden="false" customHeight="false" outlineLevel="0" collapsed="false">
      <c r="A228" s="5" t="s">
        <v>9966</v>
      </c>
      <c r="B228" s="5" t="s">
        <v>380</v>
      </c>
      <c r="C228" s="5" t="s">
        <v>114</v>
      </c>
      <c r="D228" s="5" t="s">
        <v>16</v>
      </c>
      <c r="E228" s="5" t="n">
        <f aca="false">ROUND(11945*1.05,2)</f>
        <v>12542.25</v>
      </c>
      <c r="F228" s="5" t="s">
        <v>49</v>
      </c>
      <c r="G228" s="5" t="s">
        <v>18</v>
      </c>
      <c r="H228" s="5" t="n">
        <f aca="true">ROUND(RAND()*4+6,1)</f>
        <v>7.6</v>
      </c>
      <c r="I228" s="5" t="s">
        <v>19</v>
      </c>
      <c r="J228" s="5" t="str">
        <f aca="false">ROUND(60*1,0)&amp;"%"</f>
        <v>60%</v>
      </c>
    </row>
    <row r="229" customFormat="false" ht="15" hidden="false" customHeight="false" outlineLevel="0" collapsed="false">
      <c r="A229" s="6" t="s">
        <v>9967</v>
      </c>
      <c r="B229" s="6" t="s">
        <v>382</v>
      </c>
      <c r="C229" s="6" t="s">
        <v>114</v>
      </c>
      <c r="D229" s="6" t="s">
        <v>22</v>
      </c>
      <c r="E229" s="6" t="n">
        <f aca="false">ROUND(14713*1.05,2)</f>
        <v>15448.65</v>
      </c>
      <c r="F229" s="6" t="s">
        <v>52</v>
      </c>
      <c r="G229" s="6" t="s">
        <v>24</v>
      </c>
      <c r="H229" s="6" t="n">
        <f aca="true">ROUND(RAND()*4+6,1)</f>
        <v>8.4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9968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9969</v>
      </c>
      <c r="B234" s="5" t="s">
        <v>386</v>
      </c>
      <c r="C234" s="5" t="s">
        <v>133</v>
      </c>
      <c r="D234" s="5" t="s">
        <v>16</v>
      </c>
      <c r="E234" s="5" t="n">
        <f aca="false">ROUND(7307*1.05,2)</f>
        <v>7672.35</v>
      </c>
      <c r="F234" s="5" t="s">
        <v>17</v>
      </c>
      <c r="G234" s="5" t="s">
        <v>18</v>
      </c>
      <c r="H234" s="5" t="n">
        <f aca="true">ROUND(RAND()*4+6,1)</f>
        <v>7.4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9970</v>
      </c>
      <c r="B235" s="6" t="s">
        <v>388</v>
      </c>
      <c r="C235" s="6" t="s">
        <v>133</v>
      </c>
      <c r="D235" s="6" t="s">
        <v>22</v>
      </c>
      <c r="E235" s="6" t="n">
        <f aca="false">ROUND(5724*1.05,2)</f>
        <v>6010.2</v>
      </c>
      <c r="F235" s="6" t="s">
        <v>23</v>
      </c>
      <c r="G235" s="6" t="s">
        <v>24</v>
      </c>
      <c r="H235" s="6" t="n">
        <f aca="true">ROUND(RAND()*4+6,1)</f>
        <v>7</v>
      </c>
      <c r="I235" s="6" t="s">
        <v>25</v>
      </c>
      <c r="J235" s="6" t="str">
        <f aca="false">ROUND(73*1,0)&amp;"%"</f>
        <v>73%</v>
      </c>
    </row>
    <row r="236" customFormat="false" ht="15" hidden="false" customHeight="false" outlineLevel="0" collapsed="false">
      <c r="A236" s="5" t="s">
        <v>9971</v>
      </c>
      <c r="B236" s="5" t="s">
        <v>390</v>
      </c>
      <c r="C236" s="5" t="s">
        <v>133</v>
      </c>
      <c r="D236" s="5" t="s">
        <v>28</v>
      </c>
      <c r="E236" s="5" t="n">
        <f aca="false">ROUND(15265*1.05,2)</f>
        <v>16028.25</v>
      </c>
      <c r="F236" s="5" t="s">
        <v>29</v>
      </c>
      <c r="G236" s="5" t="s">
        <v>30</v>
      </c>
      <c r="H236" s="5" t="n">
        <f aca="true">ROUND(RAND()*4+6,1)</f>
        <v>6.3</v>
      </c>
      <c r="I236" s="5" t="s">
        <v>31</v>
      </c>
      <c r="J236" s="5" t="str">
        <f aca="false">ROUND(62*1,0)&amp;"%"</f>
        <v>62%</v>
      </c>
    </row>
    <row r="237" customFormat="false" ht="15" hidden="false" customHeight="false" outlineLevel="0" collapsed="false">
      <c r="A237" s="6" t="s">
        <v>9972</v>
      </c>
      <c r="B237" s="6" t="s">
        <v>392</v>
      </c>
      <c r="C237" s="6" t="s">
        <v>133</v>
      </c>
      <c r="D237" s="6" t="s">
        <v>34</v>
      </c>
      <c r="E237" s="6" t="n">
        <f aca="false">ROUND(14504*1.05,2)</f>
        <v>15229.2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ROUND(67*1,0)&amp;"%"</f>
        <v>67%</v>
      </c>
    </row>
    <row r="238" customFormat="false" ht="15" hidden="false" customHeight="false" outlineLevel="0" collapsed="false">
      <c r="A238" s="5" t="s">
        <v>9973</v>
      </c>
      <c r="B238" s="5" t="s">
        <v>394</v>
      </c>
      <c r="C238" s="5" t="s">
        <v>133</v>
      </c>
      <c r="D238" s="5" t="s">
        <v>39</v>
      </c>
      <c r="E238" s="5" t="n">
        <f aca="false">ROUND(17373*1.05,2)</f>
        <v>18241.65</v>
      </c>
      <c r="F238" s="5" t="s">
        <v>40</v>
      </c>
      <c r="G238" s="5" t="s">
        <v>24</v>
      </c>
      <c r="H238" s="5" t="n">
        <f aca="true">ROUND(RAND()*4+6,1)</f>
        <v>9.3</v>
      </c>
      <c r="I238" s="5" t="s">
        <v>41</v>
      </c>
      <c r="J238" s="5" t="str">
        <f aca="false">ROUND(85*1,0)&amp;"%"</f>
        <v>85%</v>
      </c>
    </row>
    <row r="239" customFormat="false" ht="15" hidden="false" customHeight="false" outlineLevel="0" collapsed="false">
      <c r="A239" s="6" t="s">
        <v>9974</v>
      </c>
      <c r="B239" s="6" t="s">
        <v>396</v>
      </c>
      <c r="C239" s="6" t="s">
        <v>133</v>
      </c>
      <c r="D239" s="6" t="s">
        <v>44</v>
      </c>
      <c r="E239" s="6" t="n">
        <f aca="false">ROUND(15472*1.05,2)</f>
        <v>16245.6</v>
      </c>
      <c r="F239" s="6" t="s">
        <v>45</v>
      </c>
      <c r="G239" s="6" t="s">
        <v>30</v>
      </c>
      <c r="H239" s="6" t="n">
        <f aca="true">ROUND(RAND()*4+6,1)</f>
        <v>6.4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9975</v>
      </c>
      <c r="B240" s="5" t="s">
        <v>398</v>
      </c>
      <c r="C240" s="5" t="s">
        <v>133</v>
      </c>
      <c r="D240" s="5" t="s">
        <v>16</v>
      </c>
      <c r="E240" s="5" t="n">
        <f aca="false">ROUND(11694*1.05,2)</f>
        <v>12278.7</v>
      </c>
      <c r="F240" s="5" t="s">
        <v>49</v>
      </c>
      <c r="G240" s="5" t="s">
        <v>18</v>
      </c>
      <c r="H240" s="5" t="n">
        <f aca="true">ROUND(RAND()*4+6,1)</f>
        <v>7.8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9976</v>
      </c>
      <c r="B241" s="6" t="s">
        <v>400</v>
      </c>
      <c r="C241" s="6" t="s">
        <v>133</v>
      </c>
      <c r="D241" s="6" t="s">
        <v>22</v>
      </c>
      <c r="E241" s="6" t="n">
        <f aca="false">ROUND(15934*1.05,2)</f>
        <v>16730.7</v>
      </c>
      <c r="F241" s="6" t="s">
        <v>52</v>
      </c>
      <c r="G241" s="6" t="s">
        <v>24</v>
      </c>
      <c r="H241" s="6" t="n">
        <f aca="true">ROUND(RAND()*4+6,1)</f>
        <v>7.1</v>
      </c>
      <c r="I241" s="6" t="s">
        <v>25</v>
      </c>
      <c r="J241" s="6" t="str">
        <f aca="false">ROUND(94*1,0)&amp;"%"</f>
        <v>94%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9977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9978</v>
      </c>
      <c r="B246" s="5" t="s">
        <v>404</v>
      </c>
      <c r="C246" s="5" t="s">
        <v>152</v>
      </c>
      <c r="D246" s="5" t="s">
        <v>16</v>
      </c>
      <c r="E246" s="5" t="n">
        <f aca="false">ROUND(10184*1.05,2)</f>
        <v>10693.2</v>
      </c>
      <c r="F246" s="5" t="s">
        <v>17</v>
      </c>
      <c r="G246" s="5" t="s">
        <v>18</v>
      </c>
      <c r="H246" s="5" t="n">
        <f aca="true">ROUND(RAND()*4+6,1)</f>
        <v>9</v>
      </c>
      <c r="I246" s="5" t="s">
        <v>19</v>
      </c>
      <c r="J246" s="5" t="str">
        <f aca="false">ROUND(96*1,0)&amp;"%"</f>
        <v>96%</v>
      </c>
    </row>
    <row r="247" customFormat="false" ht="15" hidden="false" customHeight="false" outlineLevel="0" collapsed="false">
      <c r="A247" s="6" t="s">
        <v>9979</v>
      </c>
      <c r="B247" s="6" t="s">
        <v>406</v>
      </c>
      <c r="C247" s="6" t="s">
        <v>152</v>
      </c>
      <c r="D247" s="6" t="s">
        <v>22</v>
      </c>
      <c r="E247" s="6" t="n">
        <f aca="false">ROUND(9821*1.05,2)</f>
        <v>10312.05</v>
      </c>
      <c r="F247" s="6" t="s">
        <v>23</v>
      </c>
      <c r="G247" s="6" t="s">
        <v>24</v>
      </c>
      <c r="H247" s="6" t="n">
        <f aca="true">ROUND(RAND()*4+6,1)</f>
        <v>7</v>
      </c>
      <c r="I247" s="6" t="s">
        <v>25</v>
      </c>
      <c r="J247" s="6" t="str">
        <f aca="false">ROUND(70*1,0)&amp;"%"</f>
        <v>70%</v>
      </c>
    </row>
    <row r="248" customFormat="false" ht="15" hidden="false" customHeight="false" outlineLevel="0" collapsed="false">
      <c r="A248" s="5" t="s">
        <v>9980</v>
      </c>
      <c r="B248" s="5" t="s">
        <v>408</v>
      </c>
      <c r="C248" s="5" t="s">
        <v>152</v>
      </c>
      <c r="D248" s="5" t="s">
        <v>28</v>
      </c>
      <c r="E248" s="5" t="n">
        <f aca="false">ROUND(5638*1.05,2)</f>
        <v>5919.9</v>
      </c>
      <c r="F248" s="5" t="s">
        <v>29</v>
      </c>
      <c r="G248" s="5" t="s">
        <v>30</v>
      </c>
      <c r="H248" s="5" t="n">
        <f aca="true">ROUND(RAND()*4+6,1)</f>
        <v>6.7</v>
      </c>
      <c r="I248" s="5" t="s">
        <v>31</v>
      </c>
      <c r="J248" s="5" t="str">
        <f aca="false">ROUND(71*1,0)&amp;"%"</f>
        <v>71%</v>
      </c>
    </row>
    <row r="249" customFormat="false" ht="15" hidden="false" customHeight="false" outlineLevel="0" collapsed="false">
      <c r="A249" s="6" t="s">
        <v>9981</v>
      </c>
      <c r="B249" s="6" t="s">
        <v>410</v>
      </c>
      <c r="C249" s="6" t="s">
        <v>152</v>
      </c>
      <c r="D249" s="6" t="s">
        <v>34</v>
      </c>
      <c r="E249" s="6" t="n">
        <f aca="false">ROUND(4514*1.05,2)</f>
        <v>4739.7</v>
      </c>
      <c r="F249" s="6" t="s">
        <v>35</v>
      </c>
      <c r="G249" s="6" t="s">
        <v>18</v>
      </c>
      <c r="H249" s="6" t="n">
        <f aca="true">ROUND(RAND()*4+6,1)</f>
        <v>9.9</v>
      </c>
      <c r="I249" s="6" t="s">
        <v>36</v>
      </c>
      <c r="J249" s="6" t="str">
        <f aca="false">ROUND(64*1,0)&amp;"%"</f>
        <v>64%</v>
      </c>
    </row>
    <row r="250" customFormat="false" ht="15" hidden="false" customHeight="false" outlineLevel="0" collapsed="false">
      <c r="A250" s="5" t="s">
        <v>9982</v>
      </c>
      <c r="B250" s="5" t="s">
        <v>412</v>
      </c>
      <c r="C250" s="5" t="s">
        <v>152</v>
      </c>
      <c r="D250" s="5" t="s">
        <v>39</v>
      </c>
      <c r="E250" s="5" t="n">
        <f aca="false">ROUND(4123*1.05,2)</f>
        <v>4329.15</v>
      </c>
      <c r="F250" s="5" t="s">
        <v>40</v>
      </c>
      <c r="G250" s="5" t="s">
        <v>24</v>
      </c>
      <c r="H250" s="5" t="n">
        <f aca="true">ROUND(RAND()*4+6,1)</f>
        <v>6.3</v>
      </c>
      <c r="I250" s="5" t="s">
        <v>41</v>
      </c>
      <c r="J250" s="5" t="str">
        <f aca="false">ROUND(84*1,0)&amp;"%"</f>
        <v>84%</v>
      </c>
    </row>
    <row r="251" customFormat="false" ht="15" hidden="false" customHeight="false" outlineLevel="0" collapsed="false">
      <c r="A251" s="6" t="s">
        <v>9983</v>
      </c>
      <c r="B251" s="6" t="s">
        <v>414</v>
      </c>
      <c r="C251" s="6" t="s">
        <v>152</v>
      </c>
      <c r="D251" s="6" t="s">
        <v>44</v>
      </c>
      <c r="E251" s="6" t="n">
        <f aca="false">ROUND(5095*1.05,2)</f>
        <v>5349.75</v>
      </c>
      <c r="F251" s="6" t="s">
        <v>45</v>
      </c>
      <c r="G251" s="6" t="s">
        <v>30</v>
      </c>
      <c r="H251" s="6" t="n">
        <f aca="true">ROUND(RAND()*4+6,1)</f>
        <v>7.9</v>
      </c>
      <c r="I251" s="6" t="s">
        <v>46</v>
      </c>
      <c r="J251" s="6" t="str">
        <f aca="false">ROUND(67*1,0)&amp;"%"</f>
        <v>67%</v>
      </c>
    </row>
    <row r="252" customFormat="false" ht="15" hidden="false" customHeight="false" outlineLevel="0" collapsed="false">
      <c r="A252" s="5" t="s">
        <v>9984</v>
      </c>
      <c r="B252" s="5" t="s">
        <v>416</v>
      </c>
      <c r="C252" s="5" t="s">
        <v>152</v>
      </c>
      <c r="D252" s="5" t="s">
        <v>16</v>
      </c>
      <c r="E252" s="5" t="n">
        <f aca="false">ROUND(7086*1.05,2)</f>
        <v>7440.3</v>
      </c>
      <c r="F252" s="5" t="s">
        <v>49</v>
      </c>
      <c r="G252" s="5" t="s">
        <v>18</v>
      </c>
      <c r="H252" s="5" t="n">
        <f aca="true">ROUND(RAND()*4+6,1)</f>
        <v>8.7</v>
      </c>
      <c r="I252" s="5" t="s">
        <v>19</v>
      </c>
      <c r="J252" s="5" t="str">
        <f aca="false">ROUND(70*1,0)&amp;"%"</f>
        <v>70%</v>
      </c>
    </row>
    <row r="253" customFormat="false" ht="15" hidden="false" customHeight="false" outlineLevel="0" collapsed="false">
      <c r="A253" s="6" t="s">
        <v>9985</v>
      </c>
      <c r="B253" s="6" t="s">
        <v>418</v>
      </c>
      <c r="C253" s="6" t="s">
        <v>152</v>
      </c>
      <c r="D253" s="6" t="s">
        <v>22</v>
      </c>
      <c r="E253" s="6" t="n">
        <f aca="false">ROUND(8282*1.05,2)</f>
        <v>8696.1</v>
      </c>
      <c r="F253" s="6" t="s">
        <v>52</v>
      </c>
      <c r="G253" s="6" t="s">
        <v>24</v>
      </c>
      <c r="H253" s="6" t="n">
        <f aca="true">ROUND(RAND()*4+6,1)</f>
        <v>7.8</v>
      </c>
      <c r="I253" s="6" t="s">
        <v>25</v>
      </c>
      <c r="J253" s="6" t="str">
        <f aca="false">ROUND(78*1,0)&amp;"%"</f>
        <v>78%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9986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9987</v>
      </c>
      <c r="B258" s="5" t="s">
        <v>422</v>
      </c>
      <c r="C258" s="5" t="s">
        <v>15</v>
      </c>
      <c r="D258" s="5" t="s">
        <v>16</v>
      </c>
      <c r="E258" s="5" t="n">
        <f aca="false">ROUND(9279*1.05,2)</f>
        <v>9742.95</v>
      </c>
      <c r="F258" s="5" t="s">
        <v>17</v>
      </c>
      <c r="G258" s="5" t="s">
        <v>18</v>
      </c>
      <c r="H258" s="5" t="n">
        <f aca="true">ROUND(RAND()*4+6,1)</f>
        <v>7.8</v>
      </c>
      <c r="I258" s="5" t="s">
        <v>19</v>
      </c>
      <c r="J258" s="5" t="str">
        <f aca="false">ROUND(60*1,0)&amp;"%"</f>
        <v>60%</v>
      </c>
    </row>
    <row r="259" customFormat="false" ht="15" hidden="false" customHeight="false" outlineLevel="0" collapsed="false">
      <c r="A259" s="6" t="s">
        <v>9988</v>
      </c>
      <c r="B259" s="6" t="s">
        <v>424</v>
      </c>
      <c r="C259" s="6" t="s">
        <v>15</v>
      </c>
      <c r="D259" s="6" t="s">
        <v>22</v>
      </c>
      <c r="E259" s="6" t="n">
        <f aca="false">ROUND(5231*1.05,2)</f>
        <v>5492.55</v>
      </c>
      <c r="F259" s="6" t="s">
        <v>23</v>
      </c>
      <c r="G259" s="6" t="s">
        <v>24</v>
      </c>
      <c r="H259" s="6" t="n">
        <f aca="true">ROUND(RAND()*4+6,1)</f>
        <v>7.8</v>
      </c>
      <c r="I259" s="6" t="s">
        <v>25</v>
      </c>
      <c r="J259" s="6" t="str">
        <f aca="false">ROUND(82*1,0)&amp;"%"</f>
        <v>82%</v>
      </c>
    </row>
    <row r="260" customFormat="false" ht="15" hidden="false" customHeight="false" outlineLevel="0" collapsed="false">
      <c r="A260" s="5" t="s">
        <v>9989</v>
      </c>
      <c r="B260" s="5" t="s">
        <v>426</v>
      </c>
      <c r="C260" s="5" t="s">
        <v>15</v>
      </c>
      <c r="D260" s="5" t="s">
        <v>28</v>
      </c>
      <c r="E260" s="5" t="n">
        <f aca="false">ROUND(14023*1.05,2)</f>
        <v>14724.15</v>
      </c>
      <c r="F260" s="5" t="s">
        <v>29</v>
      </c>
      <c r="G260" s="5" t="s">
        <v>30</v>
      </c>
      <c r="H260" s="5" t="n">
        <f aca="true">ROUND(RAND()*4+6,1)</f>
        <v>8.2</v>
      </c>
      <c r="I260" s="5" t="s">
        <v>31</v>
      </c>
      <c r="J260" s="5" t="str">
        <f aca="false">ROUND(95*1,0)&amp;"%"</f>
        <v>95%</v>
      </c>
    </row>
    <row r="261" customFormat="false" ht="15" hidden="false" customHeight="false" outlineLevel="0" collapsed="false">
      <c r="A261" s="6" t="s">
        <v>9990</v>
      </c>
      <c r="B261" s="6" t="s">
        <v>428</v>
      </c>
      <c r="C261" s="6" t="s">
        <v>15</v>
      </c>
      <c r="D261" s="6" t="s">
        <v>34</v>
      </c>
      <c r="E261" s="6" t="n">
        <f aca="false">ROUND(14338*1.05,2)</f>
        <v>15054.9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ROUND(82*1,0)&amp;"%"</f>
        <v>82%</v>
      </c>
    </row>
    <row r="262" customFormat="false" ht="15" hidden="false" customHeight="false" outlineLevel="0" collapsed="false">
      <c r="A262" s="5" t="s">
        <v>9991</v>
      </c>
      <c r="B262" s="5" t="s">
        <v>430</v>
      </c>
      <c r="C262" s="5" t="s">
        <v>15</v>
      </c>
      <c r="D262" s="5" t="s">
        <v>39</v>
      </c>
      <c r="E262" s="5" t="n">
        <f aca="false">ROUND(9874*1.05,2)</f>
        <v>10367.7</v>
      </c>
      <c r="F262" s="5" t="s">
        <v>40</v>
      </c>
      <c r="G262" s="5" t="s">
        <v>24</v>
      </c>
      <c r="H262" s="5" t="n">
        <f aca="true">ROUND(RAND()*4+6,1)</f>
        <v>6.9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9992</v>
      </c>
      <c r="B263" s="6" t="s">
        <v>432</v>
      </c>
      <c r="C263" s="6" t="s">
        <v>15</v>
      </c>
      <c r="D263" s="6" t="s">
        <v>44</v>
      </c>
      <c r="E263" s="6" t="n">
        <f aca="false">ROUND(7807*1.05,2)</f>
        <v>8197.35</v>
      </c>
      <c r="F263" s="6" t="s">
        <v>45</v>
      </c>
      <c r="G263" s="6" t="s">
        <v>30</v>
      </c>
      <c r="H263" s="6" t="n">
        <f aca="true">ROUND(RAND()*4+6,1)</f>
        <v>6.7</v>
      </c>
      <c r="I263" s="6" t="s">
        <v>46</v>
      </c>
      <c r="J263" s="6" t="str">
        <f aca="false">ROUND(69*1,0)&amp;"%"</f>
        <v>69%</v>
      </c>
    </row>
    <row r="264" customFormat="false" ht="15" hidden="false" customHeight="false" outlineLevel="0" collapsed="false">
      <c r="A264" s="5" t="s">
        <v>9993</v>
      </c>
      <c r="B264" s="5" t="s">
        <v>434</v>
      </c>
      <c r="C264" s="5" t="s">
        <v>15</v>
      </c>
      <c r="D264" s="5" t="s">
        <v>16</v>
      </c>
      <c r="E264" s="5" t="n">
        <f aca="false">ROUND(6648*1.05,2)</f>
        <v>6980.4</v>
      </c>
      <c r="F264" s="5" t="s">
        <v>49</v>
      </c>
      <c r="G264" s="5" t="s">
        <v>18</v>
      </c>
      <c r="H264" s="5" t="n">
        <f aca="true">ROUND(RAND()*4+6,1)</f>
        <v>8.3</v>
      </c>
      <c r="I264" s="5" t="s">
        <v>19</v>
      </c>
      <c r="J264" s="5" t="str">
        <f aca="false">ROUND(92*1,0)&amp;"%"</f>
        <v>92%</v>
      </c>
    </row>
    <row r="265" customFormat="false" ht="15" hidden="false" customHeight="false" outlineLevel="0" collapsed="false">
      <c r="A265" s="6" t="s">
        <v>9994</v>
      </c>
      <c r="B265" s="6" t="s">
        <v>436</v>
      </c>
      <c r="C265" s="6" t="s">
        <v>15</v>
      </c>
      <c r="D265" s="6" t="s">
        <v>22</v>
      </c>
      <c r="E265" s="6" t="n">
        <f aca="false">ROUND(4604*1.05,2)</f>
        <v>4834.2</v>
      </c>
      <c r="F265" s="6" t="s">
        <v>52</v>
      </c>
      <c r="G265" s="6" t="s">
        <v>24</v>
      </c>
      <c r="H265" s="6" t="n">
        <f aca="true">ROUND(RAND()*4+6,1)</f>
        <v>8.9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9995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9996</v>
      </c>
      <c r="B270" s="5" t="s">
        <v>440</v>
      </c>
      <c r="C270" s="5" t="s">
        <v>57</v>
      </c>
      <c r="D270" s="5" t="s">
        <v>16</v>
      </c>
      <c r="E270" s="5" t="n">
        <f aca="false">ROUND(6625*1.05,2)</f>
        <v>6956.25</v>
      </c>
      <c r="F270" s="5" t="s">
        <v>17</v>
      </c>
      <c r="G270" s="5" t="s">
        <v>18</v>
      </c>
      <c r="H270" s="5" t="n">
        <f aca="true">ROUND(RAND()*4+6,1)</f>
        <v>6.9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9997</v>
      </c>
      <c r="B271" s="6" t="s">
        <v>442</v>
      </c>
      <c r="C271" s="6" t="s">
        <v>57</v>
      </c>
      <c r="D271" s="6" t="s">
        <v>22</v>
      </c>
      <c r="E271" s="6" t="n">
        <f aca="false">ROUND(16254*1.05,2)</f>
        <v>17066.7</v>
      </c>
      <c r="F271" s="6" t="s">
        <v>23</v>
      </c>
      <c r="G271" s="6" t="s">
        <v>24</v>
      </c>
      <c r="H271" s="6" t="n">
        <f aca="true">ROUND(RAND()*4+6,1)</f>
        <v>6.8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9998</v>
      </c>
      <c r="B272" s="5" t="s">
        <v>444</v>
      </c>
      <c r="C272" s="5" t="s">
        <v>57</v>
      </c>
      <c r="D272" s="5" t="s">
        <v>28</v>
      </c>
      <c r="E272" s="5" t="n">
        <f aca="false">ROUND(9124*1.05,2)</f>
        <v>9580.2</v>
      </c>
      <c r="F272" s="5" t="s">
        <v>29</v>
      </c>
      <c r="G272" s="5" t="s">
        <v>30</v>
      </c>
      <c r="H272" s="5" t="n">
        <f aca="true">ROUND(RAND()*4+6,1)</f>
        <v>9</v>
      </c>
      <c r="I272" s="5" t="s">
        <v>31</v>
      </c>
      <c r="J272" s="5" t="str">
        <f aca="false">ROUND(84*1,0)&amp;"%"</f>
        <v>84%</v>
      </c>
    </row>
    <row r="273" customFormat="false" ht="15" hidden="false" customHeight="false" outlineLevel="0" collapsed="false">
      <c r="A273" s="6" t="s">
        <v>9999</v>
      </c>
      <c r="B273" s="6" t="s">
        <v>446</v>
      </c>
      <c r="C273" s="6" t="s">
        <v>57</v>
      </c>
      <c r="D273" s="6" t="s">
        <v>34</v>
      </c>
      <c r="E273" s="6" t="n">
        <f aca="false">ROUND(6409*1.05,2)</f>
        <v>6729.45</v>
      </c>
      <c r="F273" s="6" t="s">
        <v>35</v>
      </c>
      <c r="G273" s="6" t="s">
        <v>18</v>
      </c>
      <c r="H273" s="6" t="n">
        <f aca="true">ROUND(RAND()*4+6,1)</f>
        <v>7.5</v>
      </c>
      <c r="I273" s="6" t="s">
        <v>36</v>
      </c>
      <c r="J273" s="6" t="str">
        <f aca="false">ROUND(80*1,0)&amp;"%"</f>
        <v>80%</v>
      </c>
    </row>
    <row r="274" customFormat="false" ht="15" hidden="false" customHeight="false" outlineLevel="0" collapsed="false">
      <c r="A274" s="5" t="s">
        <v>10000</v>
      </c>
      <c r="B274" s="5" t="s">
        <v>448</v>
      </c>
      <c r="C274" s="5" t="s">
        <v>57</v>
      </c>
      <c r="D274" s="5" t="s">
        <v>39</v>
      </c>
      <c r="E274" s="5" t="n">
        <f aca="false">ROUND(13459*1.05,2)</f>
        <v>14131.95</v>
      </c>
      <c r="F274" s="5" t="s">
        <v>40</v>
      </c>
      <c r="G274" s="5" t="s">
        <v>24</v>
      </c>
      <c r="H274" s="5" t="n">
        <f aca="true">ROUND(RAND()*4+6,1)</f>
        <v>9.1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10001</v>
      </c>
      <c r="B275" s="6" t="s">
        <v>450</v>
      </c>
      <c r="C275" s="6" t="s">
        <v>57</v>
      </c>
      <c r="D275" s="6" t="s">
        <v>44</v>
      </c>
      <c r="E275" s="6" t="n">
        <f aca="false">ROUND(4910*1.05,2)</f>
        <v>5155.5</v>
      </c>
      <c r="F275" s="6" t="s">
        <v>45</v>
      </c>
      <c r="G275" s="6" t="s">
        <v>30</v>
      </c>
      <c r="H275" s="6" t="n">
        <f aca="true">ROUND(RAND()*4+6,1)</f>
        <v>8.7</v>
      </c>
      <c r="I275" s="6" t="s">
        <v>46</v>
      </c>
      <c r="J275" s="6" t="str">
        <f aca="false">ROUND(96*1,0)&amp;"%"</f>
        <v>96%</v>
      </c>
    </row>
    <row r="276" customFormat="false" ht="15" hidden="false" customHeight="false" outlineLevel="0" collapsed="false">
      <c r="A276" s="5" t="s">
        <v>10002</v>
      </c>
      <c r="B276" s="5" t="s">
        <v>452</v>
      </c>
      <c r="C276" s="5" t="s">
        <v>57</v>
      </c>
      <c r="D276" s="5" t="s">
        <v>16</v>
      </c>
      <c r="E276" s="5" t="n">
        <f aca="false">ROUND(16386*1.05,2)</f>
        <v>17205.3</v>
      </c>
      <c r="F276" s="5" t="s">
        <v>49</v>
      </c>
      <c r="G276" s="5" t="s">
        <v>18</v>
      </c>
      <c r="H276" s="5" t="n">
        <f aca="true">ROUND(RAND()*4+6,1)</f>
        <v>6.3</v>
      </c>
      <c r="I276" s="5" t="s">
        <v>19</v>
      </c>
      <c r="J276" s="5" t="str">
        <f aca="false">ROUND(97*1,0)&amp;"%"</f>
        <v>97%</v>
      </c>
    </row>
    <row r="277" customFormat="false" ht="15" hidden="false" customHeight="false" outlineLevel="0" collapsed="false">
      <c r="A277" s="6" t="s">
        <v>10003</v>
      </c>
      <c r="B277" s="6" t="s">
        <v>454</v>
      </c>
      <c r="C277" s="6" t="s">
        <v>57</v>
      </c>
      <c r="D277" s="6" t="s">
        <v>22</v>
      </c>
      <c r="E277" s="6" t="n">
        <f aca="false">ROUND(6774*1.05,2)</f>
        <v>7112.7</v>
      </c>
      <c r="F277" s="6" t="s">
        <v>52</v>
      </c>
      <c r="G277" s="6" t="s">
        <v>24</v>
      </c>
      <c r="H277" s="6" t="n">
        <f aca="true">ROUND(RAND()*4+6,1)</f>
        <v>7.5</v>
      </c>
      <c r="I277" s="6" t="s">
        <v>25</v>
      </c>
      <c r="J277" s="6" t="str">
        <f aca="false">ROUND(62*1,0)&amp;"%"</f>
        <v>62%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10004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10005</v>
      </c>
      <c r="B282" s="5" t="s">
        <v>458</v>
      </c>
      <c r="C282" s="5" t="s">
        <v>76</v>
      </c>
      <c r="D282" s="5" t="s">
        <v>16</v>
      </c>
      <c r="E282" s="5" t="n">
        <f aca="false">ROUND(16412*1.05,2)</f>
        <v>17232.6</v>
      </c>
      <c r="F282" s="5" t="s">
        <v>17</v>
      </c>
      <c r="G282" s="5" t="s">
        <v>18</v>
      </c>
      <c r="H282" s="5" t="n">
        <f aca="true">ROUND(RAND()*4+6,1)</f>
        <v>7.7</v>
      </c>
      <c r="I282" s="5" t="s">
        <v>19</v>
      </c>
      <c r="J282" s="5" t="str">
        <f aca="false">ROUND(84*1,0)&amp;"%"</f>
        <v>84%</v>
      </c>
    </row>
    <row r="283" customFormat="false" ht="15" hidden="false" customHeight="false" outlineLevel="0" collapsed="false">
      <c r="A283" s="6" t="s">
        <v>10006</v>
      </c>
      <c r="B283" s="6" t="s">
        <v>460</v>
      </c>
      <c r="C283" s="6" t="s">
        <v>76</v>
      </c>
      <c r="D283" s="6" t="s">
        <v>22</v>
      </c>
      <c r="E283" s="6" t="n">
        <f aca="false">ROUND(5065*1.05,2)</f>
        <v>5318.25</v>
      </c>
      <c r="F283" s="6" t="s">
        <v>23</v>
      </c>
      <c r="G283" s="6" t="s">
        <v>24</v>
      </c>
      <c r="H283" s="6" t="n">
        <f aca="true">ROUND(RAND()*4+6,1)</f>
        <v>9</v>
      </c>
      <c r="I283" s="6" t="s">
        <v>25</v>
      </c>
      <c r="J283" s="6" t="str">
        <f aca="false">ROUND(74*1,0)&amp;"%"</f>
        <v>74%</v>
      </c>
    </row>
    <row r="284" customFormat="false" ht="15" hidden="false" customHeight="false" outlineLevel="0" collapsed="false">
      <c r="A284" s="5" t="s">
        <v>10007</v>
      </c>
      <c r="B284" s="5" t="s">
        <v>462</v>
      </c>
      <c r="C284" s="5" t="s">
        <v>76</v>
      </c>
      <c r="D284" s="5" t="s">
        <v>28</v>
      </c>
      <c r="E284" s="5" t="n">
        <f aca="false">ROUND(15331*1.05,2)</f>
        <v>16097.55</v>
      </c>
      <c r="F284" s="5" t="s">
        <v>29</v>
      </c>
      <c r="G284" s="5" t="s">
        <v>30</v>
      </c>
      <c r="H284" s="5" t="n">
        <f aca="true">ROUND(RAND()*4+6,1)</f>
        <v>6.4</v>
      </c>
      <c r="I284" s="5" t="s">
        <v>31</v>
      </c>
      <c r="J284" s="5" t="str">
        <f aca="false">ROUND(69*1,0)&amp;"%"</f>
        <v>69%</v>
      </c>
    </row>
    <row r="285" customFormat="false" ht="15" hidden="false" customHeight="false" outlineLevel="0" collapsed="false">
      <c r="A285" s="6" t="s">
        <v>10008</v>
      </c>
      <c r="B285" s="6" t="s">
        <v>464</v>
      </c>
      <c r="C285" s="6" t="s">
        <v>76</v>
      </c>
      <c r="D285" s="6" t="s">
        <v>34</v>
      </c>
      <c r="E285" s="6" t="n">
        <f aca="false">ROUND(15983*1.05,2)</f>
        <v>16782.15</v>
      </c>
      <c r="F285" s="6" t="s">
        <v>35</v>
      </c>
      <c r="G285" s="6" t="s">
        <v>18</v>
      </c>
      <c r="H285" s="6" t="n">
        <f aca="true">ROUND(RAND()*4+6,1)</f>
        <v>6.2</v>
      </c>
      <c r="I285" s="6" t="s">
        <v>36</v>
      </c>
      <c r="J285" s="6" t="str">
        <f aca="false">ROUND(85*1,0)&amp;"%"</f>
        <v>85%</v>
      </c>
    </row>
    <row r="286" customFormat="false" ht="15" hidden="false" customHeight="false" outlineLevel="0" collapsed="false">
      <c r="A286" s="5" t="s">
        <v>10009</v>
      </c>
      <c r="B286" s="5" t="s">
        <v>466</v>
      </c>
      <c r="C286" s="5" t="s">
        <v>76</v>
      </c>
      <c r="D286" s="5" t="s">
        <v>39</v>
      </c>
      <c r="E286" s="5" t="n">
        <f aca="false">ROUND(4148*1.05,2)</f>
        <v>4355.4</v>
      </c>
      <c r="F286" s="5" t="s">
        <v>40</v>
      </c>
      <c r="G286" s="5" t="s">
        <v>24</v>
      </c>
      <c r="H286" s="5" t="n">
        <f aca="true">ROUND(RAND()*4+6,1)</f>
        <v>6.9</v>
      </c>
      <c r="I286" s="5" t="s">
        <v>41</v>
      </c>
      <c r="J286" s="5" t="str">
        <f aca="false">ROUND(82*1,0)&amp;"%"</f>
        <v>82%</v>
      </c>
    </row>
    <row r="287" customFormat="false" ht="15" hidden="false" customHeight="false" outlineLevel="0" collapsed="false">
      <c r="A287" s="6" t="s">
        <v>10010</v>
      </c>
      <c r="B287" s="6" t="s">
        <v>468</v>
      </c>
      <c r="C287" s="6" t="s">
        <v>76</v>
      </c>
      <c r="D287" s="6" t="s">
        <v>44</v>
      </c>
      <c r="E287" s="6" t="n">
        <f aca="false">ROUND(15102*1.05,2)</f>
        <v>15857.1</v>
      </c>
      <c r="F287" s="6" t="s">
        <v>45</v>
      </c>
      <c r="G287" s="6" t="s">
        <v>30</v>
      </c>
      <c r="H287" s="6" t="n">
        <f aca="true">ROUND(RAND()*4+6,1)</f>
        <v>6.3</v>
      </c>
      <c r="I287" s="6" t="s">
        <v>46</v>
      </c>
      <c r="J287" s="6" t="str">
        <f aca="false">ROUND(98*1,0)&amp;"%"</f>
        <v>98%</v>
      </c>
    </row>
    <row r="288" customFormat="false" ht="15" hidden="false" customHeight="false" outlineLevel="0" collapsed="false">
      <c r="A288" s="5" t="s">
        <v>10011</v>
      </c>
      <c r="B288" s="5" t="s">
        <v>470</v>
      </c>
      <c r="C288" s="5" t="s">
        <v>76</v>
      </c>
      <c r="D288" s="5" t="s">
        <v>16</v>
      </c>
      <c r="E288" s="5" t="n">
        <f aca="false">ROUND(11636*1.05,2)</f>
        <v>12217.8</v>
      </c>
      <c r="F288" s="5" t="s">
        <v>49</v>
      </c>
      <c r="G288" s="5" t="s">
        <v>18</v>
      </c>
      <c r="H288" s="5" t="n">
        <f aca="true">ROUND(RAND()*4+6,1)</f>
        <v>6.3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10012</v>
      </c>
      <c r="B289" s="6" t="s">
        <v>472</v>
      </c>
      <c r="C289" s="6" t="s">
        <v>76</v>
      </c>
      <c r="D289" s="6" t="s">
        <v>22</v>
      </c>
      <c r="E289" s="6" t="n">
        <f aca="false">ROUND(9914*1.05,2)</f>
        <v>10409.7</v>
      </c>
      <c r="F289" s="6" t="s">
        <v>52</v>
      </c>
      <c r="G289" s="6" t="s">
        <v>24</v>
      </c>
      <c r="H289" s="6" t="n">
        <f aca="true">ROUND(RAND()*4+6,1)</f>
        <v>9.1</v>
      </c>
      <c r="I289" s="6" t="s">
        <v>25</v>
      </c>
      <c r="J289" s="6" t="str">
        <f aca="false">ROUND(73*1,0)&amp;"%"</f>
        <v>73%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10013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10014</v>
      </c>
      <c r="B294" s="5" t="s">
        <v>476</v>
      </c>
      <c r="C294" s="5" t="s">
        <v>95</v>
      </c>
      <c r="D294" s="5" t="s">
        <v>16</v>
      </c>
      <c r="E294" s="5" t="n">
        <f aca="false">ROUND(13283*1.05,2)</f>
        <v>13947.15</v>
      </c>
      <c r="F294" s="5" t="s">
        <v>17</v>
      </c>
      <c r="G294" s="5" t="s">
        <v>18</v>
      </c>
      <c r="H294" s="5" t="n">
        <f aca="true">ROUND(RAND()*4+6,1)</f>
        <v>7.8</v>
      </c>
      <c r="I294" s="5" t="s">
        <v>19</v>
      </c>
      <c r="J294" s="5" t="str">
        <f aca="false">ROUND(88*1,0)&amp;"%"</f>
        <v>88%</v>
      </c>
    </row>
    <row r="295" customFormat="false" ht="15" hidden="false" customHeight="false" outlineLevel="0" collapsed="false">
      <c r="A295" s="6" t="s">
        <v>10015</v>
      </c>
      <c r="B295" s="6" t="s">
        <v>478</v>
      </c>
      <c r="C295" s="6" t="s">
        <v>95</v>
      </c>
      <c r="D295" s="6" t="s">
        <v>22</v>
      </c>
      <c r="E295" s="6" t="n">
        <f aca="false">ROUND(8619*1.05,2)</f>
        <v>9049.95</v>
      </c>
      <c r="F295" s="6" t="s">
        <v>23</v>
      </c>
      <c r="G295" s="6" t="s">
        <v>24</v>
      </c>
      <c r="H295" s="6" t="n">
        <f aca="true">ROUND(RAND()*4+6,1)</f>
        <v>7.4</v>
      </c>
      <c r="I295" s="6" t="s">
        <v>25</v>
      </c>
      <c r="J295" s="6" t="str">
        <f aca="false">ROUND(77*1,0)&amp;"%"</f>
        <v>77%</v>
      </c>
    </row>
    <row r="296" customFormat="false" ht="15" hidden="false" customHeight="false" outlineLevel="0" collapsed="false">
      <c r="A296" s="5" t="s">
        <v>10016</v>
      </c>
      <c r="B296" s="5" t="s">
        <v>480</v>
      </c>
      <c r="C296" s="5" t="s">
        <v>95</v>
      </c>
      <c r="D296" s="5" t="s">
        <v>28</v>
      </c>
      <c r="E296" s="5" t="n">
        <f aca="false">ROUND(10340*1.05,2)</f>
        <v>10857</v>
      </c>
      <c r="F296" s="5" t="s">
        <v>29</v>
      </c>
      <c r="G296" s="5" t="s">
        <v>30</v>
      </c>
      <c r="H296" s="5" t="n">
        <f aca="true">ROUND(RAND()*4+6,1)</f>
        <v>9.3</v>
      </c>
      <c r="I296" s="5" t="s">
        <v>31</v>
      </c>
      <c r="J296" s="5" t="str">
        <f aca="false">ROUND(90*1,0)&amp;"%"</f>
        <v>90%</v>
      </c>
    </row>
    <row r="297" customFormat="false" ht="15" hidden="false" customHeight="false" outlineLevel="0" collapsed="false">
      <c r="A297" s="6" t="s">
        <v>10017</v>
      </c>
      <c r="B297" s="6" t="s">
        <v>482</v>
      </c>
      <c r="C297" s="6" t="s">
        <v>95</v>
      </c>
      <c r="D297" s="6" t="s">
        <v>34</v>
      </c>
      <c r="E297" s="6" t="n">
        <f aca="false">ROUND(6874*1.05,2)</f>
        <v>7217.7</v>
      </c>
      <c r="F297" s="6" t="s">
        <v>35</v>
      </c>
      <c r="G297" s="6" t="s">
        <v>18</v>
      </c>
      <c r="H297" s="6" t="n">
        <f aca="true">ROUND(RAND()*4+6,1)</f>
        <v>9.4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10018</v>
      </c>
      <c r="B298" s="5" t="s">
        <v>484</v>
      </c>
      <c r="C298" s="5" t="s">
        <v>95</v>
      </c>
      <c r="D298" s="5" t="s">
        <v>39</v>
      </c>
      <c r="E298" s="5" t="n">
        <f aca="false">ROUND(10095*1.05,2)</f>
        <v>10599.75</v>
      </c>
      <c r="F298" s="5" t="s">
        <v>40</v>
      </c>
      <c r="G298" s="5" t="s">
        <v>24</v>
      </c>
      <c r="H298" s="5" t="n">
        <f aca="true">ROUND(RAND()*4+6,1)</f>
        <v>7.3</v>
      </c>
      <c r="I298" s="5" t="s">
        <v>41</v>
      </c>
      <c r="J298" s="5" t="str">
        <f aca="false">ROUND(87*1,0)&amp;"%"</f>
        <v>87%</v>
      </c>
    </row>
    <row r="299" customFormat="false" ht="15" hidden="false" customHeight="false" outlineLevel="0" collapsed="false">
      <c r="A299" s="6" t="s">
        <v>10019</v>
      </c>
      <c r="B299" s="6" t="s">
        <v>486</v>
      </c>
      <c r="C299" s="6" t="s">
        <v>95</v>
      </c>
      <c r="D299" s="6" t="s">
        <v>44</v>
      </c>
      <c r="E299" s="6" t="n">
        <f aca="false">ROUND(7516*1.05,2)</f>
        <v>7891.8</v>
      </c>
      <c r="F299" s="6" t="s">
        <v>45</v>
      </c>
      <c r="G299" s="6" t="s">
        <v>30</v>
      </c>
      <c r="H299" s="6" t="n">
        <f aca="true">ROUND(RAND()*4+6,1)</f>
        <v>9.1</v>
      </c>
      <c r="I299" s="6" t="s">
        <v>46</v>
      </c>
      <c r="J299" s="6" t="str">
        <f aca="false">ROUND(98*1,0)&amp;"%"</f>
        <v>98%</v>
      </c>
    </row>
    <row r="300" customFormat="false" ht="15" hidden="false" customHeight="false" outlineLevel="0" collapsed="false">
      <c r="A300" s="5" t="s">
        <v>10020</v>
      </c>
      <c r="B300" s="5" t="s">
        <v>488</v>
      </c>
      <c r="C300" s="5" t="s">
        <v>95</v>
      </c>
      <c r="D300" s="5" t="s">
        <v>16</v>
      </c>
      <c r="E300" s="5" t="n">
        <f aca="false">ROUND(13053*1.05,2)</f>
        <v>13705.65</v>
      </c>
      <c r="F300" s="5" t="s">
        <v>49</v>
      </c>
      <c r="G300" s="5" t="s">
        <v>18</v>
      </c>
      <c r="H300" s="5" t="n">
        <f aca="true">ROUND(RAND()*4+6,1)</f>
        <v>8.1</v>
      </c>
      <c r="I300" s="5" t="s">
        <v>19</v>
      </c>
      <c r="J300" s="5" t="str">
        <f aca="false">ROUND(66*1,0)&amp;"%"</f>
        <v>66%</v>
      </c>
    </row>
    <row r="301" customFormat="false" ht="15" hidden="false" customHeight="false" outlineLevel="0" collapsed="false">
      <c r="A301" s="6" t="s">
        <v>10021</v>
      </c>
      <c r="B301" s="6" t="s">
        <v>490</v>
      </c>
      <c r="C301" s="6" t="s">
        <v>95</v>
      </c>
      <c r="D301" s="6" t="s">
        <v>22</v>
      </c>
      <c r="E301" s="6" t="n">
        <f aca="false">ROUND(5645*1.05,2)</f>
        <v>5927.25</v>
      </c>
      <c r="F301" s="6" t="s">
        <v>52</v>
      </c>
      <c r="G301" s="6" t="s">
        <v>24</v>
      </c>
      <c r="H301" s="6" t="n">
        <f aca="true">ROUND(RAND()*4+6,1)</f>
        <v>9.1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10022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10023</v>
      </c>
      <c r="B306" s="5" t="s">
        <v>494</v>
      </c>
      <c r="C306" s="5" t="s">
        <v>114</v>
      </c>
      <c r="D306" s="5" t="s">
        <v>16</v>
      </c>
      <c r="E306" s="5" t="n">
        <f aca="false">ROUND(6900*1.05,2)</f>
        <v>7245</v>
      </c>
      <c r="F306" s="5" t="s">
        <v>17</v>
      </c>
      <c r="G306" s="5" t="s">
        <v>18</v>
      </c>
      <c r="H306" s="5" t="n">
        <f aca="true">ROUND(RAND()*4+6,1)</f>
        <v>9.2</v>
      </c>
      <c r="I306" s="5" t="s">
        <v>19</v>
      </c>
      <c r="J306" s="5" t="str">
        <f aca="false">ROUND(79*1,0)&amp;"%"</f>
        <v>79%</v>
      </c>
    </row>
    <row r="307" customFormat="false" ht="15" hidden="false" customHeight="false" outlineLevel="0" collapsed="false">
      <c r="A307" s="6" t="s">
        <v>10024</v>
      </c>
      <c r="B307" s="6" t="s">
        <v>496</v>
      </c>
      <c r="C307" s="6" t="s">
        <v>114</v>
      </c>
      <c r="D307" s="6" t="s">
        <v>22</v>
      </c>
      <c r="E307" s="6" t="n">
        <f aca="false">ROUND(14280*1.05,2)</f>
        <v>14994</v>
      </c>
      <c r="F307" s="6" t="s">
        <v>23</v>
      </c>
      <c r="G307" s="6" t="s">
        <v>24</v>
      </c>
      <c r="H307" s="6" t="n">
        <f aca="true">ROUND(RAND()*4+6,1)</f>
        <v>6</v>
      </c>
      <c r="I307" s="6" t="s">
        <v>25</v>
      </c>
      <c r="J307" s="6" t="str">
        <f aca="false">ROUND(91*1,0)&amp;"%"</f>
        <v>91%</v>
      </c>
    </row>
    <row r="308" customFormat="false" ht="15" hidden="false" customHeight="false" outlineLevel="0" collapsed="false">
      <c r="A308" s="5" t="s">
        <v>10025</v>
      </c>
      <c r="B308" s="5" t="s">
        <v>498</v>
      </c>
      <c r="C308" s="5" t="s">
        <v>114</v>
      </c>
      <c r="D308" s="5" t="s">
        <v>28</v>
      </c>
      <c r="E308" s="5" t="n">
        <f aca="false">ROUND(11748*1.05,2)</f>
        <v>12335.4</v>
      </c>
      <c r="F308" s="5" t="s">
        <v>29</v>
      </c>
      <c r="G308" s="5" t="s">
        <v>30</v>
      </c>
      <c r="H308" s="5" t="n">
        <f aca="true">ROUND(RAND()*4+6,1)</f>
        <v>7.2</v>
      </c>
      <c r="I308" s="5" t="s">
        <v>31</v>
      </c>
      <c r="J308" s="5" t="str">
        <f aca="false">ROUND(100*1,0)&amp;"%"</f>
        <v>100%</v>
      </c>
    </row>
    <row r="309" customFormat="false" ht="15" hidden="false" customHeight="false" outlineLevel="0" collapsed="false">
      <c r="A309" s="6" t="s">
        <v>10026</v>
      </c>
      <c r="B309" s="6" t="s">
        <v>500</v>
      </c>
      <c r="C309" s="6" t="s">
        <v>114</v>
      </c>
      <c r="D309" s="6" t="s">
        <v>34</v>
      </c>
      <c r="E309" s="6" t="n">
        <f aca="false">ROUND(14181*1.05,2)</f>
        <v>14890.05</v>
      </c>
      <c r="F309" s="6" t="s">
        <v>35</v>
      </c>
      <c r="G309" s="6" t="s">
        <v>18</v>
      </c>
      <c r="H309" s="6" t="n">
        <f aca="true">ROUND(RAND()*4+6,1)</f>
        <v>7.5</v>
      </c>
      <c r="I309" s="6" t="s">
        <v>36</v>
      </c>
      <c r="J309" s="6" t="str">
        <f aca="false">ROUND(67*1,0)&amp;"%"</f>
        <v>67%</v>
      </c>
    </row>
    <row r="310" customFormat="false" ht="15" hidden="false" customHeight="false" outlineLevel="0" collapsed="false">
      <c r="A310" s="5" t="s">
        <v>10027</v>
      </c>
      <c r="B310" s="5" t="s">
        <v>502</v>
      </c>
      <c r="C310" s="5" t="s">
        <v>114</v>
      </c>
      <c r="D310" s="5" t="s">
        <v>39</v>
      </c>
      <c r="E310" s="5" t="n">
        <f aca="false">ROUND(4170*1.05,2)</f>
        <v>4378.5</v>
      </c>
      <c r="F310" s="5" t="s">
        <v>40</v>
      </c>
      <c r="G310" s="5" t="s">
        <v>24</v>
      </c>
      <c r="H310" s="5" t="n">
        <f aca="true">ROUND(RAND()*4+6,1)</f>
        <v>7.7</v>
      </c>
      <c r="I310" s="5" t="s">
        <v>41</v>
      </c>
      <c r="J310" s="5" t="str">
        <f aca="false">ROUND(82*1,0)&amp;"%"</f>
        <v>82%</v>
      </c>
    </row>
    <row r="311" customFormat="false" ht="15" hidden="false" customHeight="false" outlineLevel="0" collapsed="false">
      <c r="A311" s="6" t="s">
        <v>10028</v>
      </c>
      <c r="B311" s="6" t="s">
        <v>504</v>
      </c>
      <c r="C311" s="6" t="s">
        <v>114</v>
      </c>
      <c r="D311" s="6" t="s">
        <v>44</v>
      </c>
      <c r="E311" s="6" t="n">
        <f aca="false">ROUND(16009*1.05,2)</f>
        <v>16809.45</v>
      </c>
      <c r="F311" s="6" t="s">
        <v>45</v>
      </c>
      <c r="G311" s="6" t="s">
        <v>30</v>
      </c>
      <c r="H311" s="6" t="n">
        <f aca="true">ROUND(RAND()*4+6,1)</f>
        <v>8.6</v>
      </c>
      <c r="I311" s="6" t="s">
        <v>46</v>
      </c>
      <c r="J311" s="6" t="str">
        <f aca="false">ROUND(100*1,0)&amp;"%"</f>
        <v>100%</v>
      </c>
    </row>
    <row r="312" customFormat="false" ht="15" hidden="false" customHeight="false" outlineLevel="0" collapsed="false">
      <c r="A312" s="5" t="s">
        <v>10029</v>
      </c>
      <c r="B312" s="5" t="s">
        <v>506</v>
      </c>
      <c r="C312" s="5" t="s">
        <v>114</v>
      </c>
      <c r="D312" s="5" t="s">
        <v>16</v>
      </c>
      <c r="E312" s="5" t="n">
        <f aca="false">ROUND(7203*1.05,2)</f>
        <v>7563.15</v>
      </c>
      <c r="F312" s="5" t="s">
        <v>49</v>
      </c>
      <c r="G312" s="5" t="s">
        <v>18</v>
      </c>
      <c r="H312" s="5" t="n">
        <f aca="true">ROUND(RAND()*4+6,1)</f>
        <v>6.2</v>
      </c>
      <c r="I312" s="5" t="s">
        <v>19</v>
      </c>
      <c r="J312" s="5" t="str">
        <f aca="false">ROUND(83*1,0)&amp;"%"</f>
        <v>83%</v>
      </c>
    </row>
    <row r="313" customFormat="false" ht="15" hidden="false" customHeight="false" outlineLevel="0" collapsed="false">
      <c r="A313" s="6" t="s">
        <v>10030</v>
      </c>
      <c r="B313" s="6" t="s">
        <v>508</v>
      </c>
      <c r="C313" s="6" t="s">
        <v>114</v>
      </c>
      <c r="D313" s="6" t="s">
        <v>22</v>
      </c>
      <c r="E313" s="6" t="n">
        <f aca="false">ROUND(12703*1.05,2)</f>
        <v>13338.15</v>
      </c>
      <c r="F313" s="6" t="s">
        <v>52</v>
      </c>
      <c r="G313" s="6" t="s">
        <v>24</v>
      </c>
      <c r="H313" s="6" t="n">
        <f aca="true">ROUND(RAND()*4+6,1)</f>
        <v>7.5</v>
      </c>
      <c r="I313" s="6" t="s">
        <v>25</v>
      </c>
      <c r="J313" s="6" t="str">
        <f aca="false">ROUND(90*1,0)&amp;"%"</f>
        <v>90%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10031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10032</v>
      </c>
      <c r="B318" s="5" t="s">
        <v>512</v>
      </c>
      <c r="C318" s="5" t="s">
        <v>133</v>
      </c>
      <c r="D318" s="5" t="s">
        <v>16</v>
      </c>
      <c r="E318" s="5" t="n">
        <f aca="false">ROUND(4256*1.05,2)</f>
        <v>4468.8</v>
      </c>
      <c r="F318" s="5" t="s">
        <v>17</v>
      </c>
      <c r="G318" s="5" t="s">
        <v>18</v>
      </c>
      <c r="H318" s="5" t="n">
        <f aca="true">ROUND(RAND()*4+6,1)</f>
        <v>6.2</v>
      </c>
      <c r="I318" s="5" t="s">
        <v>19</v>
      </c>
      <c r="J318" s="5" t="str">
        <f aca="false">ROUND(94*1,0)&amp;"%"</f>
        <v>94%</v>
      </c>
    </row>
    <row r="319" customFormat="false" ht="15" hidden="false" customHeight="false" outlineLevel="0" collapsed="false">
      <c r="A319" s="6" t="s">
        <v>10033</v>
      </c>
      <c r="B319" s="6" t="s">
        <v>514</v>
      </c>
      <c r="C319" s="6" t="s">
        <v>133</v>
      </c>
      <c r="D319" s="6" t="s">
        <v>22</v>
      </c>
      <c r="E319" s="6" t="n">
        <f aca="false">ROUND(4015*1.05,2)</f>
        <v>4215.75</v>
      </c>
      <c r="F319" s="6" t="s">
        <v>23</v>
      </c>
      <c r="G319" s="6" t="s">
        <v>24</v>
      </c>
      <c r="H319" s="6" t="n">
        <f aca="true">ROUND(RAND()*4+6,1)</f>
        <v>8.5</v>
      </c>
      <c r="I319" s="6" t="s">
        <v>25</v>
      </c>
      <c r="J319" s="6" t="str">
        <f aca="false">ROUND(77*1,0)&amp;"%"</f>
        <v>77%</v>
      </c>
    </row>
    <row r="320" customFormat="false" ht="15" hidden="false" customHeight="false" outlineLevel="0" collapsed="false">
      <c r="A320" s="5" t="s">
        <v>10034</v>
      </c>
      <c r="B320" s="5" t="s">
        <v>516</v>
      </c>
      <c r="C320" s="5" t="s">
        <v>133</v>
      </c>
      <c r="D320" s="5" t="s">
        <v>28</v>
      </c>
      <c r="E320" s="5" t="n">
        <f aca="false">ROUND(12802*1.05,2)</f>
        <v>13442.1</v>
      </c>
      <c r="F320" s="5" t="s">
        <v>29</v>
      </c>
      <c r="G320" s="5" t="s">
        <v>30</v>
      </c>
      <c r="H320" s="5" t="n">
        <f aca="true">ROUND(RAND()*4+6,1)</f>
        <v>7.2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10035</v>
      </c>
      <c r="B321" s="6" t="s">
        <v>518</v>
      </c>
      <c r="C321" s="6" t="s">
        <v>133</v>
      </c>
      <c r="D321" s="6" t="s">
        <v>34</v>
      </c>
      <c r="E321" s="6" t="n">
        <f aca="false">ROUND(15965*1.05,2)</f>
        <v>16763.25</v>
      </c>
      <c r="F321" s="6" t="s">
        <v>35</v>
      </c>
      <c r="G321" s="6" t="s">
        <v>18</v>
      </c>
      <c r="H321" s="6" t="n">
        <f aca="true">ROUND(RAND()*4+6,1)</f>
        <v>7.5</v>
      </c>
      <c r="I321" s="6" t="s">
        <v>36</v>
      </c>
      <c r="J321" s="6" t="str">
        <f aca="false">ROUND(68*1,0)&amp;"%"</f>
        <v>68%</v>
      </c>
    </row>
    <row r="322" customFormat="false" ht="15" hidden="false" customHeight="false" outlineLevel="0" collapsed="false">
      <c r="A322" s="5" t="s">
        <v>10036</v>
      </c>
      <c r="B322" s="5" t="s">
        <v>520</v>
      </c>
      <c r="C322" s="5" t="s">
        <v>133</v>
      </c>
      <c r="D322" s="5" t="s">
        <v>39</v>
      </c>
      <c r="E322" s="5" t="n">
        <f aca="false">ROUND(10562*1.05,2)</f>
        <v>11090.1</v>
      </c>
      <c r="F322" s="5" t="s">
        <v>40</v>
      </c>
      <c r="G322" s="5" t="s">
        <v>24</v>
      </c>
      <c r="H322" s="5" t="n">
        <f aca="true">ROUND(RAND()*4+6,1)</f>
        <v>7.8</v>
      </c>
      <c r="I322" s="5" t="s">
        <v>41</v>
      </c>
      <c r="J322" s="5" t="str">
        <f aca="false">ROUND(97*1,0)&amp;"%"</f>
        <v>97%</v>
      </c>
    </row>
    <row r="323" customFormat="false" ht="15" hidden="false" customHeight="false" outlineLevel="0" collapsed="false">
      <c r="A323" s="6" t="s">
        <v>10037</v>
      </c>
      <c r="B323" s="6" t="s">
        <v>522</v>
      </c>
      <c r="C323" s="6" t="s">
        <v>133</v>
      </c>
      <c r="D323" s="6" t="s">
        <v>44</v>
      </c>
      <c r="E323" s="6" t="n">
        <f aca="false">ROUND(10598*1.05,2)</f>
        <v>11127.9</v>
      </c>
      <c r="F323" s="6" t="s">
        <v>45</v>
      </c>
      <c r="G323" s="6" t="s">
        <v>30</v>
      </c>
      <c r="H323" s="6" t="n">
        <f aca="true">ROUND(RAND()*4+6,1)</f>
        <v>9.1</v>
      </c>
      <c r="I323" s="6" t="s">
        <v>46</v>
      </c>
      <c r="J323" s="6" t="str">
        <f aca="false">ROUND(77*1,0)&amp;"%"</f>
        <v>77%</v>
      </c>
    </row>
    <row r="324" customFormat="false" ht="15" hidden="false" customHeight="false" outlineLevel="0" collapsed="false">
      <c r="A324" s="5" t="s">
        <v>10038</v>
      </c>
      <c r="B324" s="5" t="s">
        <v>524</v>
      </c>
      <c r="C324" s="5" t="s">
        <v>133</v>
      </c>
      <c r="D324" s="5" t="s">
        <v>16</v>
      </c>
      <c r="E324" s="5" t="n">
        <f aca="false">ROUND(16802*1.05,2)</f>
        <v>17642.1</v>
      </c>
      <c r="F324" s="5" t="s">
        <v>49</v>
      </c>
      <c r="G324" s="5" t="s">
        <v>18</v>
      </c>
      <c r="H324" s="5" t="n">
        <f aca="true">ROUND(RAND()*4+6,1)</f>
        <v>9.8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10039</v>
      </c>
      <c r="B325" s="6" t="s">
        <v>526</v>
      </c>
      <c r="C325" s="6" t="s">
        <v>133</v>
      </c>
      <c r="D325" s="6" t="s">
        <v>22</v>
      </c>
      <c r="E325" s="6" t="n">
        <f aca="false">ROUND(7492*1.05,2)</f>
        <v>7866.6</v>
      </c>
      <c r="F325" s="6" t="s">
        <v>52</v>
      </c>
      <c r="G325" s="6" t="s">
        <v>24</v>
      </c>
      <c r="H325" s="6" t="n">
        <f aca="true">ROUND(RAND()*4+6,1)</f>
        <v>7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10040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10041</v>
      </c>
      <c r="B330" s="5" t="s">
        <v>530</v>
      </c>
      <c r="C330" s="5" t="s">
        <v>152</v>
      </c>
      <c r="D330" s="5" t="s">
        <v>16</v>
      </c>
      <c r="E330" s="5" t="n">
        <f aca="false">ROUND(6445*1.05,2)</f>
        <v>6767.25</v>
      </c>
      <c r="F330" s="5" t="s">
        <v>17</v>
      </c>
      <c r="G330" s="5" t="s">
        <v>18</v>
      </c>
      <c r="H330" s="5" t="n">
        <f aca="true">ROUND(RAND()*4+6,1)</f>
        <v>6.1</v>
      </c>
      <c r="I330" s="5" t="s">
        <v>19</v>
      </c>
      <c r="J330" s="5" t="str">
        <f aca="false">ROUND(79*1,0)&amp;"%"</f>
        <v>79%</v>
      </c>
    </row>
    <row r="331" customFormat="false" ht="15" hidden="false" customHeight="false" outlineLevel="0" collapsed="false">
      <c r="A331" s="6" t="s">
        <v>10042</v>
      </c>
      <c r="B331" s="6" t="s">
        <v>532</v>
      </c>
      <c r="C331" s="6" t="s">
        <v>152</v>
      </c>
      <c r="D331" s="6" t="s">
        <v>22</v>
      </c>
      <c r="E331" s="6" t="n">
        <f aca="false">ROUND(6514*1.05,2)</f>
        <v>6839.7</v>
      </c>
      <c r="F331" s="6" t="s">
        <v>23</v>
      </c>
      <c r="G331" s="6" t="s">
        <v>24</v>
      </c>
      <c r="H331" s="6" t="n">
        <f aca="true">ROUND(RAND()*4+6,1)</f>
        <v>9.3</v>
      </c>
      <c r="I331" s="6" t="s">
        <v>25</v>
      </c>
      <c r="J331" s="6" t="str">
        <f aca="false">ROUND(76*1,0)&amp;"%"</f>
        <v>76%</v>
      </c>
    </row>
    <row r="332" customFormat="false" ht="15" hidden="false" customHeight="false" outlineLevel="0" collapsed="false">
      <c r="A332" s="5" t="s">
        <v>10043</v>
      </c>
      <c r="B332" s="5" t="s">
        <v>534</v>
      </c>
      <c r="C332" s="5" t="s">
        <v>152</v>
      </c>
      <c r="D332" s="5" t="s">
        <v>28</v>
      </c>
      <c r="E332" s="5" t="n">
        <f aca="false">ROUND(11217*1.05,2)</f>
        <v>11777.85</v>
      </c>
      <c r="F332" s="5" t="s">
        <v>29</v>
      </c>
      <c r="G332" s="5" t="s">
        <v>30</v>
      </c>
      <c r="H332" s="5" t="n">
        <f aca="true">ROUND(RAND()*4+6,1)</f>
        <v>9.8</v>
      </c>
      <c r="I332" s="5" t="s">
        <v>31</v>
      </c>
      <c r="J332" s="5" t="str">
        <f aca="false">ROUND(75*1,0)&amp;"%"</f>
        <v>75%</v>
      </c>
    </row>
    <row r="333" customFormat="false" ht="15" hidden="false" customHeight="false" outlineLevel="0" collapsed="false">
      <c r="A333" s="6" t="s">
        <v>10044</v>
      </c>
      <c r="B333" s="6" t="s">
        <v>536</v>
      </c>
      <c r="C333" s="6" t="s">
        <v>152</v>
      </c>
      <c r="D333" s="6" t="s">
        <v>34</v>
      </c>
      <c r="E333" s="6" t="n">
        <f aca="false">ROUND(10415*1.05,2)</f>
        <v>10935.75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ROUND(72*1,0)&amp;"%"</f>
        <v>72%</v>
      </c>
    </row>
    <row r="334" customFormat="false" ht="15" hidden="false" customHeight="false" outlineLevel="0" collapsed="false">
      <c r="A334" s="5" t="s">
        <v>10045</v>
      </c>
      <c r="B334" s="5" t="s">
        <v>538</v>
      </c>
      <c r="C334" s="5" t="s">
        <v>152</v>
      </c>
      <c r="D334" s="5" t="s">
        <v>39</v>
      </c>
      <c r="E334" s="5" t="n">
        <f aca="false">ROUND(6251*1.05,2)</f>
        <v>6563.55</v>
      </c>
      <c r="F334" s="5" t="s">
        <v>40</v>
      </c>
      <c r="G334" s="5" t="s">
        <v>24</v>
      </c>
      <c r="H334" s="5" t="n">
        <f aca="true">ROUND(RAND()*4+6,1)</f>
        <v>8.3</v>
      </c>
      <c r="I334" s="5" t="s">
        <v>41</v>
      </c>
      <c r="J334" s="5" t="str">
        <f aca="false">ROUND(70*1,0)&amp;"%"</f>
        <v>70%</v>
      </c>
    </row>
    <row r="335" customFormat="false" ht="15" hidden="false" customHeight="false" outlineLevel="0" collapsed="false">
      <c r="A335" s="6" t="s">
        <v>10046</v>
      </c>
      <c r="B335" s="6" t="s">
        <v>540</v>
      </c>
      <c r="C335" s="6" t="s">
        <v>152</v>
      </c>
      <c r="D335" s="6" t="s">
        <v>44</v>
      </c>
      <c r="E335" s="6" t="n">
        <f aca="false">ROUND(5089*1.05,2)</f>
        <v>5343.45</v>
      </c>
      <c r="F335" s="6" t="s">
        <v>45</v>
      </c>
      <c r="G335" s="6" t="s">
        <v>30</v>
      </c>
      <c r="H335" s="6" t="n">
        <f aca="true">ROUND(RAND()*4+6,1)</f>
        <v>6.4</v>
      </c>
      <c r="I335" s="6" t="s">
        <v>46</v>
      </c>
      <c r="J335" s="6" t="str">
        <f aca="false">ROUND(64*1,0)&amp;"%"</f>
        <v>64%</v>
      </c>
    </row>
    <row r="336" customFormat="false" ht="15" hidden="false" customHeight="false" outlineLevel="0" collapsed="false">
      <c r="A336" s="5" t="s">
        <v>10047</v>
      </c>
      <c r="B336" s="5" t="s">
        <v>542</v>
      </c>
      <c r="C336" s="5" t="s">
        <v>152</v>
      </c>
      <c r="D336" s="5" t="s">
        <v>16</v>
      </c>
      <c r="E336" s="5" t="n">
        <f aca="false">ROUND(13781*1.05,2)</f>
        <v>14470.05</v>
      </c>
      <c r="F336" s="5" t="s">
        <v>49</v>
      </c>
      <c r="G336" s="5" t="s">
        <v>18</v>
      </c>
      <c r="H336" s="5" t="n">
        <f aca="true">ROUND(RAND()*4+6,1)</f>
        <v>6.3</v>
      </c>
      <c r="I336" s="5" t="s">
        <v>19</v>
      </c>
      <c r="J336" s="5" t="str">
        <f aca="false">ROUND(67*1,0)&amp;"%"</f>
        <v>67%</v>
      </c>
    </row>
    <row r="337" customFormat="false" ht="15" hidden="false" customHeight="false" outlineLevel="0" collapsed="false">
      <c r="A337" s="6" t="s">
        <v>10048</v>
      </c>
      <c r="B337" s="6" t="s">
        <v>544</v>
      </c>
      <c r="C337" s="6" t="s">
        <v>152</v>
      </c>
      <c r="D337" s="6" t="s">
        <v>22</v>
      </c>
      <c r="E337" s="6" t="n">
        <f aca="false">ROUND(14800*1.05,2)</f>
        <v>15540</v>
      </c>
      <c r="F337" s="6" t="s">
        <v>52</v>
      </c>
      <c r="G337" s="6" t="s">
        <v>24</v>
      </c>
      <c r="H337" s="6" t="n">
        <f aca="true">ROUND(RAND()*4+6,1)</f>
        <v>6.9</v>
      </c>
      <c r="I337" s="6" t="s">
        <v>25</v>
      </c>
      <c r="J337" s="6" t="str">
        <f aca="false">ROUND(95*1,0)&amp;"%"</f>
        <v>95%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10049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10050</v>
      </c>
      <c r="B342" s="5" t="s">
        <v>548</v>
      </c>
      <c r="C342" s="5" t="s">
        <v>15</v>
      </c>
      <c r="D342" s="5" t="s">
        <v>16</v>
      </c>
      <c r="E342" s="5" t="n">
        <f aca="false">ROUND(4990*1.05,2)</f>
        <v>5239.5</v>
      </c>
      <c r="F342" s="5" t="s">
        <v>17</v>
      </c>
      <c r="G342" s="5" t="s">
        <v>18</v>
      </c>
      <c r="H342" s="5" t="n">
        <f aca="true">ROUND(RAND()*4+6,1)</f>
        <v>6.7</v>
      </c>
      <c r="I342" s="5" t="s">
        <v>19</v>
      </c>
      <c r="J342" s="5" t="str">
        <f aca="false">ROUND(96*1,0)&amp;"%"</f>
        <v>96%</v>
      </c>
    </row>
    <row r="343" customFormat="false" ht="15" hidden="false" customHeight="false" outlineLevel="0" collapsed="false">
      <c r="A343" s="6" t="s">
        <v>10051</v>
      </c>
      <c r="B343" s="6" t="s">
        <v>550</v>
      </c>
      <c r="C343" s="6" t="s">
        <v>15</v>
      </c>
      <c r="D343" s="6" t="s">
        <v>22</v>
      </c>
      <c r="E343" s="6" t="n">
        <f aca="false">ROUND(5211*1.05,2)</f>
        <v>5471.55</v>
      </c>
      <c r="F343" s="6" t="s">
        <v>23</v>
      </c>
      <c r="G343" s="6" t="s">
        <v>24</v>
      </c>
      <c r="H343" s="6" t="n">
        <f aca="true">ROUND(RAND()*4+6,1)</f>
        <v>9.6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10052</v>
      </c>
      <c r="B344" s="5" t="s">
        <v>552</v>
      </c>
      <c r="C344" s="5" t="s">
        <v>15</v>
      </c>
      <c r="D344" s="5" t="s">
        <v>28</v>
      </c>
      <c r="E344" s="5" t="n">
        <f aca="false">ROUND(10604*1.05,2)</f>
        <v>11134.2</v>
      </c>
      <c r="F344" s="5" t="s">
        <v>29</v>
      </c>
      <c r="G344" s="5" t="s">
        <v>30</v>
      </c>
      <c r="H344" s="5" t="n">
        <f aca="true">ROUND(RAND()*4+6,1)</f>
        <v>7.4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10053</v>
      </c>
      <c r="B345" s="6" t="s">
        <v>554</v>
      </c>
      <c r="C345" s="6" t="s">
        <v>15</v>
      </c>
      <c r="D345" s="6" t="s">
        <v>34</v>
      </c>
      <c r="E345" s="6" t="n">
        <f aca="false">ROUND(14693*1.05,2)</f>
        <v>15427.65</v>
      </c>
      <c r="F345" s="6" t="s">
        <v>35</v>
      </c>
      <c r="G345" s="6" t="s">
        <v>18</v>
      </c>
      <c r="H345" s="6" t="n">
        <f aca="true">ROUND(RAND()*4+6,1)</f>
        <v>9.3</v>
      </c>
      <c r="I345" s="6" t="s">
        <v>36</v>
      </c>
      <c r="J345" s="6" t="str">
        <f aca="false">ROUND(73*1,0)&amp;"%"</f>
        <v>73%</v>
      </c>
    </row>
    <row r="346" customFormat="false" ht="15" hidden="false" customHeight="false" outlineLevel="0" collapsed="false">
      <c r="A346" s="5" t="s">
        <v>10054</v>
      </c>
      <c r="B346" s="5" t="s">
        <v>556</v>
      </c>
      <c r="C346" s="5" t="s">
        <v>15</v>
      </c>
      <c r="D346" s="5" t="s">
        <v>39</v>
      </c>
      <c r="E346" s="5" t="n">
        <f aca="false">ROUND(6799*1.05,2)</f>
        <v>7138.95</v>
      </c>
      <c r="F346" s="5" t="s">
        <v>40</v>
      </c>
      <c r="G346" s="5" t="s">
        <v>24</v>
      </c>
      <c r="H346" s="5" t="n">
        <f aca="true">ROUND(RAND()*4+6,1)</f>
        <v>8.2</v>
      </c>
      <c r="I346" s="5" t="s">
        <v>41</v>
      </c>
      <c r="J346" s="5" t="str">
        <f aca="false">ROUND(99*1,0)&amp;"%"</f>
        <v>99%</v>
      </c>
    </row>
    <row r="347" customFormat="false" ht="15" hidden="false" customHeight="false" outlineLevel="0" collapsed="false">
      <c r="A347" s="6" t="s">
        <v>10055</v>
      </c>
      <c r="B347" s="6" t="s">
        <v>558</v>
      </c>
      <c r="C347" s="6" t="s">
        <v>15</v>
      </c>
      <c r="D347" s="6" t="s">
        <v>44</v>
      </c>
      <c r="E347" s="6" t="n">
        <f aca="false">ROUND(16723*1.05,2)</f>
        <v>17559.15</v>
      </c>
      <c r="F347" s="6" t="s">
        <v>45</v>
      </c>
      <c r="G347" s="6" t="s">
        <v>30</v>
      </c>
      <c r="H347" s="6" t="n">
        <f aca="true">ROUND(RAND()*4+6,1)</f>
        <v>9.1</v>
      </c>
      <c r="I347" s="6" t="s">
        <v>46</v>
      </c>
      <c r="J347" s="6" t="str">
        <f aca="false">ROUND(88*1,0)&amp;"%"</f>
        <v>88%</v>
      </c>
    </row>
    <row r="348" customFormat="false" ht="15" hidden="false" customHeight="false" outlineLevel="0" collapsed="false">
      <c r="A348" s="5" t="s">
        <v>10056</v>
      </c>
      <c r="B348" s="5" t="s">
        <v>560</v>
      </c>
      <c r="C348" s="5" t="s">
        <v>15</v>
      </c>
      <c r="D348" s="5" t="s">
        <v>16</v>
      </c>
      <c r="E348" s="5" t="n">
        <f aca="false">ROUND(17178*1.05,2)</f>
        <v>18036.9</v>
      </c>
      <c r="F348" s="5" t="s">
        <v>49</v>
      </c>
      <c r="G348" s="5" t="s">
        <v>18</v>
      </c>
      <c r="H348" s="5" t="n">
        <f aca="true">ROUND(RAND()*4+6,1)</f>
        <v>6.7</v>
      </c>
      <c r="I348" s="5" t="s">
        <v>19</v>
      </c>
      <c r="J348" s="5" t="str">
        <f aca="false">ROUND(92*1,0)&amp;"%"</f>
        <v>92%</v>
      </c>
    </row>
    <row r="349" customFormat="false" ht="15" hidden="false" customHeight="false" outlineLevel="0" collapsed="false">
      <c r="A349" s="6" t="s">
        <v>10057</v>
      </c>
      <c r="B349" s="6" t="s">
        <v>562</v>
      </c>
      <c r="C349" s="6" t="s">
        <v>15</v>
      </c>
      <c r="D349" s="6" t="s">
        <v>22</v>
      </c>
      <c r="E349" s="6" t="n">
        <f aca="false">ROUND(6763*1.05,2)</f>
        <v>7101.15</v>
      </c>
      <c r="F349" s="6" t="s">
        <v>52</v>
      </c>
      <c r="G349" s="6" t="s">
        <v>24</v>
      </c>
      <c r="H349" s="6" t="n">
        <f aca="true">ROUND(RAND()*4+6,1)</f>
        <v>7.6</v>
      </c>
      <c r="I349" s="6" t="s">
        <v>25</v>
      </c>
      <c r="J349" s="6" t="str">
        <f aca="false">ROUND(79*1,0)&amp;"%"</f>
        <v>79%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10058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10059</v>
      </c>
      <c r="B354" s="5" t="s">
        <v>566</v>
      </c>
      <c r="C354" s="5" t="s">
        <v>57</v>
      </c>
      <c r="D354" s="5" t="s">
        <v>16</v>
      </c>
      <c r="E354" s="5" t="n">
        <f aca="false">ROUND(12371*1.05,2)</f>
        <v>12989.55</v>
      </c>
      <c r="F354" s="5" t="s">
        <v>17</v>
      </c>
      <c r="G354" s="5" t="s">
        <v>18</v>
      </c>
      <c r="H354" s="5" t="n">
        <f aca="true">ROUND(RAND()*4+6,1)</f>
        <v>6.6</v>
      </c>
      <c r="I354" s="5" t="s">
        <v>19</v>
      </c>
      <c r="J354" s="5" t="str">
        <f aca="false">ROUND(74*1,0)&amp;"%"</f>
        <v>74%</v>
      </c>
    </row>
    <row r="355" customFormat="false" ht="15" hidden="false" customHeight="false" outlineLevel="0" collapsed="false">
      <c r="A355" s="6" t="s">
        <v>10060</v>
      </c>
      <c r="B355" s="6" t="s">
        <v>568</v>
      </c>
      <c r="C355" s="6" t="s">
        <v>57</v>
      </c>
      <c r="D355" s="6" t="s">
        <v>22</v>
      </c>
      <c r="E355" s="6" t="n">
        <f aca="false">ROUND(9938*1.05,2)</f>
        <v>10434.9</v>
      </c>
      <c r="F355" s="6" t="s">
        <v>23</v>
      </c>
      <c r="G355" s="6" t="s">
        <v>24</v>
      </c>
      <c r="H355" s="6" t="n">
        <f aca="true">ROUND(RAND()*4+6,1)</f>
        <v>9.9</v>
      </c>
      <c r="I355" s="6" t="s">
        <v>25</v>
      </c>
      <c r="J355" s="6" t="str">
        <f aca="false">ROUND(72*1,0)&amp;"%"</f>
        <v>72%</v>
      </c>
    </row>
    <row r="356" customFormat="false" ht="15" hidden="false" customHeight="false" outlineLevel="0" collapsed="false">
      <c r="A356" s="5" t="s">
        <v>10061</v>
      </c>
      <c r="B356" s="5" t="s">
        <v>570</v>
      </c>
      <c r="C356" s="5" t="s">
        <v>57</v>
      </c>
      <c r="D356" s="5" t="s">
        <v>28</v>
      </c>
      <c r="E356" s="5" t="n">
        <f aca="false">ROUND(7919*1.05,2)</f>
        <v>8314.95</v>
      </c>
      <c r="F356" s="5" t="s">
        <v>29</v>
      </c>
      <c r="G356" s="5" t="s">
        <v>30</v>
      </c>
      <c r="H356" s="5" t="n">
        <f aca="true">ROUND(RAND()*4+6,1)</f>
        <v>9.4</v>
      </c>
      <c r="I356" s="5" t="s">
        <v>31</v>
      </c>
      <c r="J356" s="5" t="str">
        <f aca="false">ROUND(84*1,0)&amp;"%"</f>
        <v>84%</v>
      </c>
    </row>
    <row r="357" customFormat="false" ht="15" hidden="false" customHeight="false" outlineLevel="0" collapsed="false">
      <c r="A357" s="6" t="s">
        <v>10062</v>
      </c>
      <c r="B357" s="6" t="s">
        <v>572</v>
      </c>
      <c r="C357" s="6" t="s">
        <v>57</v>
      </c>
      <c r="D357" s="6" t="s">
        <v>34</v>
      </c>
      <c r="E357" s="6" t="n">
        <f aca="false">ROUND(14515*1.05,2)</f>
        <v>15240.75</v>
      </c>
      <c r="F357" s="6" t="s">
        <v>35</v>
      </c>
      <c r="G357" s="6" t="s">
        <v>18</v>
      </c>
      <c r="H357" s="6" t="n">
        <f aca="true">ROUND(RAND()*4+6,1)</f>
        <v>7</v>
      </c>
      <c r="I357" s="6" t="s">
        <v>36</v>
      </c>
      <c r="J357" s="6" t="str">
        <f aca="false">ROUND(89*1,0)&amp;"%"</f>
        <v>89%</v>
      </c>
    </row>
    <row r="358" customFormat="false" ht="15" hidden="false" customHeight="false" outlineLevel="0" collapsed="false">
      <c r="A358" s="5" t="s">
        <v>10063</v>
      </c>
      <c r="B358" s="5" t="s">
        <v>574</v>
      </c>
      <c r="C358" s="5" t="s">
        <v>57</v>
      </c>
      <c r="D358" s="5" t="s">
        <v>39</v>
      </c>
      <c r="E358" s="5" t="n">
        <f aca="false">ROUND(12529*1.05,2)</f>
        <v>13155.45</v>
      </c>
      <c r="F358" s="5" t="s">
        <v>40</v>
      </c>
      <c r="G358" s="5" t="s">
        <v>24</v>
      </c>
      <c r="H358" s="5" t="n">
        <f aca="true">ROUND(RAND()*4+6,1)</f>
        <v>8.5</v>
      </c>
      <c r="I358" s="5" t="s">
        <v>41</v>
      </c>
      <c r="J358" s="5" t="str">
        <f aca="false">ROUND(98*1,0)&amp;"%"</f>
        <v>98%</v>
      </c>
    </row>
    <row r="359" customFormat="false" ht="15" hidden="false" customHeight="false" outlineLevel="0" collapsed="false">
      <c r="A359" s="6" t="s">
        <v>10064</v>
      </c>
      <c r="B359" s="6" t="s">
        <v>576</v>
      </c>
      <c r="C359" s="6" t="s">
        <v>57</v>
      </c>
      <c r="D359" s="6" t="s">
        <v>44</v>
      </c>
      <c r="E359" s="6" t="n">
        <f aca="false">ROUND(14691*1.05,2)</f>
        <v>15425.55</v>
      </c>
      <c r="F359" s="6" t="s">
        <v>45</v>
      </c>
      <c r="G359" s="6" t="s">
        <v>30</v>
      </c>
      <c r="H359" s="6" t="n">
        <f aca="true">ROUND(RAND()*4+6,1)</f>
        <v>9.4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10065</v>
      </c>
      <c r="B360" s="5" t="s">
        <v>578</v>
      </c>
      <c r="C360" s="5" t="s">
        <v>57</v>
      </c>
      <c r="D360" s="5" t="s">
        <v>16</v>
      </c>
      <c r="E360" s="5" t="n">
        <f aca="false">ROUND(12889*1.05,2)</f>
        <v>13533.45</v>
      </c>
      <c r="F360" s="5" t="s">
        <v>49</v>
      </c>
      <c r="G360" s="5" t="s">
        <v>18</v>
      </c>
      <c r="H360" s="5" t="n">
        <f aca="true">ROUND(RAND()*4+6,1)</f>
        <v>7</v>
      </c>
      <c r="I360" s="5" t="s">
        <v>19</v>
      </c>
      <c r="J360" s="5" t="str">
        <f aca="false">ROUND(95*1,0)&amp;"%"</f>
        <v>95%</v>
      </c>
    </row>
    <row r="361" customFormat="false" ht="15" hidden="false" customHeight="false" outlineLevel="0" collapsed="false">
      <c r="A361" s="6" t="s">
        <v>10066</v>
      </c>
      <c r="B361" s="6" t="s">
        <v>580</v>
      </c>
      <c r="C361" s="6" t="s">
        <v>57</v>
      </c>
      <c r="D361" s="6" t="s">
        <v>22</v>
      </c>
      <c r="E361" s="6" t="n">
        <f aca="false">ROUND(13308*1.05,2)</f>
        <v>13973.4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ROUND(78*1,0)&amp;"%"</f>
        <v>78%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10067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10068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10069</v>
      </c>
      <c r="B6" s="5" t="s">
        <v>14</v>
      </c>
      <c r="C6" s="5" t="s">
        <v>15</v>
      </c>
      <c r="D6" s="5" t="s">
        <v>16</v>
      </c>
      <c r="E6" s="5" t="n">
        <f aca="false">ROUND(11357*1.05,2)</f>
        <v>11924.85</v>
      </c>
      <c r="F6" s="5" t="s">
        <v>17</v>
      </c>
      <c r="G6" s="5" t="s">
        <v>18</v>
      </c>
      <c r="H6" s="5" t="n">
        <f aca="true">ROUND(RAND()*4+6,1)</f>
        <v>9.5</v>
      </c>
      <c r="I6" s="5" t="s">
        <v>19</v>
      </c>
      <c r="J6" s="5" t="str">
        <f aca="false">ROUND(90*1,0)&amp;"%"</f>
        <v>90%</v>
      </c>
    </row>
    <row r="7" customFormat="false" ht="15" hidden="false" customHeight="false" outlineLevel="0" collapsed="false">
      <c r="A7" s="6" t="s">
        <v>10070</v>
      </c>
      <c r="B7" s="6" t="s">
        <v>21</v>
      </c>
      <c r="C7" s="6" t="s">
        <v>15</v>
      </c>
      <c r="D7" s="6" t="s">
        <v>22</v>
      </c>
      <c r="E7" s="6" t="n">
        <f aca="false">ROUND(7718*1.05,2)</f>
        <v>8103.9</v>
      </c>
      <c r="F7" s="6" t="s">
        <v>23</v>
      </c>
      <c r="G7" s="6" t="s">
        <v>24</v>
      </c>
      <c r="H7" s="6" t="n">
        <f aca="true">ROUND(RAND()*4+6,1)</f>
        <v>7.6</v>
      </c>
      <c r="I7" s="6" t="s">
        <v>25</v>
      </c>
      <c r="J7" s="6" t="str">
        <f aca="false">ROUND(84*1,0)&amp;"%"</f>
        <v>84%</v>
      </c>
    </row>
    <row r="8" customFormat="false" ht="15" hidden="false" customHeight="false" outlineLevel="0" collapsed="false">
      <c r="A8" s="5" t="s">
        <v>10071</v>
      </c>
      <c r="B8" s="5" t="s">
        <v>27</v>
      </c>
      <c r="C8" s="5" t="s">
        <v>15</v>
      </c>
      <c r="D8" s="5" t="s">
        <v>28</v>
      </c>
      <c r="E8" s="5" t="n">
        <f aca="false">ROUND(15782*1.05,2)</f>
        <v>16571.1</v>
      </c>
      <c r="F8" s="5" t="s">
        <v>29</v>
      </c>
      <c r="G8" s="5" t="s">
        <v>30</v>
      </c>
      <c r="H8" s="5" t="n">
        <f aca="true">ROUND(RAND()*4+6,1)</f>
        <v>9.1</v>
      </c>
      <c r="I8" s="5" t="s">
        <v>31</v>
      </c>
      <c r="J8" s="5" t="str">
        <f aca="false">ROUND(84*1,0)&amp;"%"</f>
        <v>84%</v>
      </c>
    </row>
    <row r="9" customFormat="false" ht="15" hidden="false" customHeight="false" outlineLevel="0" collapsed="false">
      <c r="A9" s="6" t="s">
        <v>10072</v>
      </c>
      <c r="B9" s="6" t="s">
        <v>33</v>
      </c>
      <c r="C9" s="6" t="s">
        <v>15</v>
      </c>
      <c r="D9" s="6" t="s">
        <v>34</v>
      </c>
      <c r="E9" s="6" t="n">
        <f aca="false">ROUND(6784*1.05,2)</f>
        <v>7123.2</v>
      </c>
      <c r="F9" s="6" t="s">
        <v>35</v>
      </c>
      <c r="G9" s="6" t="s">
        <v>18</v>
      </c>
      <c r="H9" s="6" t="n">
        <f aca="true">ROUND(RAND()*4+6,1)</f>
        <v>7.9</v>
      </c>
      <c r="I9" s="6" t="s">
        <v>36</v>
      </c>
      <c r="J9" s="6" t="str">
        <f aca="false">ROUND(98*1,0)&amp;"%"</f>
        <v>98%</v>
      </c>
    </row>
    <row r="10" customFormat="false" ht="15" hidden="false" customHeight="false" outlineLevel="0" collapsed="false">
      <c r="A10" s="5" t="s">
        <v>10073</v>
      </c>
      <c r="B10" s="5" t="s">
        <v>38</v>
      </c>
      <c r="C10" s="5" t="s">
        <v>15</v>
      </c>
      <c r="D10" s="5" t="s">
        <v>39</v>
      </c>
      <c r="E10" s="5" t="n">
        <f aca="false">ROUND(7277*1.05,2)</f>
        <v>7640.85</v>
      </c>
      <c r="F10" s="5" t="s">
        <v>40</v>
      </c>
      <c r="G10" s="5" t="s">
        <v>24</v>
      </c>
      <c r="H10" s="5" t="n">
        <f aca="true">ROUND(RAND()*4+6,1)</f>
        <v>8.6</v>
      </c>
      <c r="I10" s="5" t="s">
        <v>41</v>
      </c>
      <c r="J10" s="5" t="str">
        <f aca="false">ROUND(71*1,0)&amp;"%"</f>
        <v>71%</v>
      </c>
    </row>
    <row r="11" customFormat="false" ht="15" hidden="false" customHeight="false" outlineLevel="0" collapsed="false">
      <c r="A11" s="6" t="s">
        <v>10074</v>
      </c>
      <c r="B11" s="6" t="s">
        <v>43</v>
      </c>
      <c r="C11" s="6" t="s">
        <v>15</v>
      </c>
      <c r="D11" s="6" t="s">
        <v>44</v>
      </c>
      <c r="E11" s="6" t="n">
        <f aca="false">ROUND(16928*1.05,2)</f>
        <v>17774.4</v>
      </c>
      <c r="F11" s="6" t="s">
        <v>45</v>
      </c>
      <c r="G11" s="6" t="s">
        <v>30</v>
      </c>
      <c r="H11" s="6" t="n">
        <f aca="true">ROUND(RAND()*4+6,1)</f>
        <v>8.8</v>
      </c>
      <c r="I11" s="6" t="s">
        <v>46</v>
      </c>
      <c r="J11" s="6" t="str">
        <f aca="false">ROUND(71*1,0)&amp;"%"</f>
        <v>71%</v>
      </c>
    </row>
    <row r="12" customFormat="false" ht="15" hidden="false" customHeight="false" outlineLevel="0" collapsed="false">
      <c r="A12" s="5" t="s">
        <v>10075</v>
      </c>
      <c r="B12" s="5" t="s">
        <v>48</v>
      </c>
      <c r="C12" s="5" t="s">
        <v>15</v>
      </c>
      <c r="D12" s="5" t="s">
        <v>16</v>
      </c>
      <c r="E12" s="5" t="n">
        <f aca="false">ROUND(4970*1.05,2)</f>
        <v>5218.5</v>
      </c>
      <c r="F12" s="5" t="s">
        <v>49</v>
      </c>
      <c r="G12" s="5" t="s">
        <v>18</v>
      </c>
      <c r="H12" s="5" t="n">
        <f aca="true">ROUND(RAND()*4+6,1)</f>
        <v>7.1</v>
      </c>
      <c r="I12" s="5" t="s">
        <v>19</v>
      </c>
      <c r="J12" s="5" t="str">
        <f aca="false">ROUND(96*1,0)&amp;"%"</f>
        <v>96%</v>
      </c>
    </row>
    <row r="13" customFormat="false" ht="15" hidden="false" customHeight="false" outlineLevel="0" collapsed="false">
      <c r="A13" s="6" t="s">
        <v>10076</v>
      </c>
      <c r="B13" s="6" t="s">
        <v>51</v>
      </c>
      <c r="C13" s="6" t="s">
        <v>15</v>
      </c>
      <c r="D13" s="6" t="s">
        <v>22</v>
      </c>
      <c r="E13" s="6" t="n">
        <f aca="false">ROUND(8573*1.05,2)</f>
        <v>9001.65</v>
      </c>
      <c r="F13" s="6" t="s">
        <v>52</v>
      </c>
      <c r="G13" s="6" t="s">
        <v>24</v>
      </c>
      <c r="H13" s="6" t="n">
        <f aca="true">ROUND(RAND()*4+6,1)</f>
        <v>6.8</v>
      </c>
      <c r="I13" s="6" t="s">
        <v>25</v>
      </c>
      <c r="J13" s="6" t="str">
        <f aca="false">ROUND(89*1,0)&amp;"%"</f>
        <v>89%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10077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10078</v>
      </c>
      <c r="B18" s="5" t="s">
        <v>56</v>
      </c>
      <c r="C18" s="5" t="s">
        <v>57</v>
      </c>
      <c r="D18" s="5" t="s">
        <v>16</v>
      </c>
      <c r="E18" s="5" t="n">
        <f aca="false">ROUND(11528*1.05,2)</f>
        <v>12104.4</v>
      </c>
      <c r="F18" s="5" t="s">
        <v>17</v>
      </c>
      <c r="G18" s="5" t="s">
        <v>18</v>
      </c>
      <c r="H18" s="5" t="n">
        <f aca="true">ROUND(RAND()*4+6,1)</f>
        <v>7.4</v>
      </c>
      <c r="I18" s="5" t="s">
        <v>19</v>
      </c>
      <c r="J18" s="5" t="str">
        <f aca="false">ROUND(86*1,0)&amp;"%"</f>
        <v>86%</v>
      </c>
    </row>
    <row r="19" customFormat="false" ht="15" hidden="false" customHeight="false" outlineLevel="0" collapsed="false">
      <c r="A19" s="6" t="s">
        <v>10079</v>
      </c>
      <c r="B19" s="6" t="s">
        <v>59</v>
      </c>
      <c r="C19" s="6" t="s">
        <v>57</v>
      </c>
      <c r="D19" s="6" t="s">
        <v>22</v>
      </c>
      <c r="E19" s="6" t="n">
        <f aca="false">ROUND(12817*1.05,2)</f>
        <v>13457.85</v>
      </c>
      <c r="F19" s="6" t="s">
        <v>23</v>
      </c>
      <c r="G19" s="6" t="s">
        <v>24</v>
      </c>
      <c r="H19" s="6" t="n">
        <f aca="true">ROUND(RAND()*4+6,1)</f>
        <v>6.4</v>
      </c>
      <c r="I19" s="6" t="s">
        <v>25</v>
      </c>
      <c r="J19" s="6" t="str">
        <f aca="false">ROUND(83*1,0)&amp;"%"</f>
        <v>83%</v>
      </c>
    </row>
    <row r="20" customFormat="false" ht="15" hidden="false" customHeight="false" outlineLevel="0" collapsed="false">
      <c r="A20" s="5" t="s">
        <v>10080</v>
      </c>
      <c r="B20" s="5" t="s">
        <v>61</v>
      </c>
      <c r="C20" s="5" t="s">
        <v>57</v>
      </c>
      <c r="D20" s="5" t="s">
        <v>28</v>
      </c>
      <c r="E20" s="5" t="n">
        <f aca="false">ROUND(11716*1.05,2)</f>
        <v>12301.8</v>
      </c>
      <c r="F20" s="5" t="s">
        <v>29</v>
      </c>
      <c r="G20" s="5" t="s">
        <v>30</v>
      </c>
      <c r="H20" s="5" t="n">
        <f aca="true">ROUND(RAND()*4+6,1)</f>
        <v>9.8</v>
      </c>
      <c r="I20" s="5" t="s">
        <v>31</v>
      </c>
      <c r="J20" s="5" t="str">
        <f aca="false">ROUND(71*1,0)&amp;"%"</f>
        <v>71%</v>
      </c>
    </row>
    <row r="21" customFormat="false" ht="15" hidden="false" customHeight="false" outlineLevel="0" collapsed="false">
      <c r="A21" s="6" t="s">
        <v>10081</v>
      </c>
      <c r="B21" s="6" t="s">
        <v>63</v>
      </c>
      <c r="C21" s="6" t="s">
        <v>57</v>
      </c>
      <c r="D21" s="6" t="s">
        <v>34</v>
      </c>
      <c r="E21" s="6" t="n">
        <f aca="false">ROUND(6682*1.05,2)</f>
        <v>7016.1</v>
      </c>
      <c r="F21" s="6" t="s">
        <v>35</v>
      </c>
      <c r="G21" s="6" t="s">
        <v>18</v>
      </c>
      <c r="H21" s="6" t="n">
        <f aca="true">ROUND(RAND()*4+6,1)</f>
        <v>8.3</v>
      </c>
      <c r="I21" s="6" t="s">
        <v>36</v>
      </c>
      <c r="J21" s="6" t="str">
        <f aca="false">ROUND(96*1,0)&amp;"%"</f>
        <v>96%</v>
      </c>
    </row>
    <row r="22" customFormat="false" ht="15" hidden="false" customHeight="false" outlineLevel="0" collapsed="false">
      <c r="A22" s="5" t="s">
        <v>10082</v>
      </c>
      <c r="B22" s="5" t="s">
        <v>65</v>
      </c>
      <c r="C22" s="5" t="s">
        <v>57</v>
      </c>
      <c r="D22" s="5" t="s">
        <v>39</v>
      </c>
      <c r="E22" s="5" t="n">
        <f aca="false">ROUND(14141*1.05,2)</f>
        <v>14848.05</v>
      </c>
      <c r="F22" s="5" t="s">
        <v>40</v>
      </c>
      <c r="G22" s="5" t="s">
        <v>24</v>
      </c>
      <c r="H22" s="5" t="n">
        <f aca="true">ROUND(RAND()*4+6,1)</f>
        <v>8.4</v>
      </c>
      <c r="I22" s="5" t="s">
        <v>41</v>
      </c>
      <c r="J22" s="5" t="str">
        <f aca="false">ROUND(84*1,0)&amp;"%"</f>
        <v>84%</v>
      </c>
    </row>
    <row r="23" customFormat="false" ht="15" hidden="false" customHeight="false" outlineLevel="0" collapsed="false">
      <c r="A23" s="6" t="s">
        <v>10083</v>
      </c>
      <c r="B23" s="6" t="s">
        <v>67</v>
      </c>
      <c r="C23" s="6" t="s">
        <v>57</v>
      </c>
      <c r="D23" s="6" t="s">
        <v>44</v>
      </c>
      <c r="E23" s="6" t="n">
        <f aca="false">ROUND(13734*1.05,2)</f>
        <v>14420.7</v>
      </c>
      <c r="F23" s="6" t="s">
        <v>45</v>
      </c>
      <c r="G23" s="6" t="s">
        <v>30</v>
      </c>
      <c r="H23" s="6" t="n">
        <f aca="true">ROUND(RAND()*4+6,1)</f>
        <v>6.1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10084</v>
      </c>
      <c r="B24" s="5" t="s">
        <v>69</v>
      </c>
      <c r="C24" s="5" t="s">
        <v>57</v>
      </c>
      <c r="D24" s="5" t="s">
        <v>16</v>
      </c>
      <c r="E24" s="5" t="n">
        <f aca="false">ROUND(13262*1.05,2)</f>
        <v>13925.1</v>
      </c>
      <c r="F24" s="5" t="s">
        <v>49</v>
      </c>
      <c r="G24" s="5" t="s">
        <v>18</v>
      </c>
      <c r="H24" s="5" t="n">
        <f aca="true">ROUND(RAND()*4+6,1)</f>
        <v>7.3</v>
      </c>
      <c r="I24" s="5" t="s">
        <v>19</v>
      </c>
      <c r="J24" s="5" t="str">
        <f aca="false">ROUND(90*1,0)&amp;"%"</f>
        <v>90%</v>
      </c>
    </row>
    <row r="25" customFormat="false" ht="15" hidden="false" customHeight="false" outlineLevel="0" collapsed="false">
      <c r="A25" s="6" t="s">
        <v>10085</v>
      </c>
      <c r="B25" s="6" t="s">
        <v>71</v>
      </c>
      <c r="C25" s="6" t="s">
        <v>57</v>
      </c>
      <c r="D25" s="6" t="s">
        <v>22</v>
      </c>
      <c r="E25" s="6" t="n">
        <f aca="false">ROUND(10786*1.05,2)</f>
        <v>11325.3</v>
      </c>
      <c r="F25" s="6" t="s">
        <v>52</v>
      </c>
      <c r="G25" s="6" t="s">
        <v>24</v>
      </c>
      <c r="H25" s="6" t="n">
        <f aca="true">ROUND(RAND()*4+6,1)</f>
        <v>7.2</v>
      </c>
      <c r="I25" s="6" t="s">
        <v>25</v>
      </c>
      <c r="J25" s="6" t="str">
        <f aca="false">ROUND(73*1,0)&amp;"%"</f>
        <v>73%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10086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10087</v>
      </c>
      <c r="B30" s="5" t="s">
        <v>75</v>
      </c>
      <c r="C30" s="5" t="s">
        <v>76</v>
      </c>
      <c r="D30" s="5" t="s">
        <v>16</v>
      </c>
      <c r="E30" s="5" t="n">
        <f aca="false">ROUND(16771*1.05,2)</f>
        <v>17609.55</v>
      </c>
      <c r="F30" s="5" t="s">
        <v>17</v>
      </c>
      <c r="G30" s="5" t="s">
        <v>18</v>
      </c>
      <c r="H30" s="5" t="n">
        <f aca="true">ROUND(RAND()*4+6,1)</f>
        <v>9.4</v>
      </c>
      <c r="I30" s="5" t="s">
        <v>19</v>
      </c>
      <c r="J30" s="5" t="str">
        <f aca="false">ROUND(88*1,0)&amp;"%"</f>
        <v>88%</v>
      </c>
    </row>
    <row r="31" customFormat="false" ht="15" hidden="false" customHeight="false" outlineLevel="0" collapsed="false">
      <c r="A31" s="6" t="s">
        <v>10088</v>
      </c>
      <c r="B31" s="6" t="s">
        <v>78</v>
      </c>
      <c r="C31" s="6" t="s">
        <v>76</v>
      </c>
      <c r="D31" s="6" t="s">
        <v>22</v>
      </c>
      <c r="E31" s="6" t="n">
        <f aca="false">ROUND(13726*1.05,2)</f>
        <v>14412.3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ROUND(89*1,0)&amp;"%"</f>
        <v>89%</v>
      </c>
    </row>
    <row r="32" customFormat="false" ht="15" hidden="false" customHeight="false" outlineLevel="0" collapsed="false">
      <c r="A32" s="5" t="s">
        <v>10089</v>
      </c>
      <c r="B32" s="5" t="s">
        <v>80</v>
      </c>
      <c r="C32" s="5" t="s">
        <v>76</v>
      </c>
      <c r="D32" s="5" t="s">
        <v>28</v>
      </c>
      <c r="E32" s="5" t="n">
        <f aca="false">ROUND(17275*1.05,2)</f>
        <v>18138.75</v>
      </c>
      <c r="F32" s="5" t="s">
        <v>29</v>
      </c>
      <c r="G32" s="5" t="s">
        <v>30</v>
      </c>
      <c r="H32" s="5" t="n">
        <f aca="true">ROUND(RAND()*4+6,1)</f>
        <v>8.4</v>
      </c>
      <c r="I32" s="5" t="s">
        <v>31</v>
      </c>
      <c r="J32" s="5" t="str">
        <f aca="false">ROUND(95*1,0)&amp;"%"</f>
        <v>95%</v>
      </c>
    </row>
    <row r="33" customFormat="false" ht="15" hidden="false" customHeight="false" outlineLevel="0" collapsed="false">
      <c r="A33" s="6" t="s">
        <v>10090</v>
      </c>
      <c r="B33" s="6" t="s">
        <v>82</v>
      </c>
      <c r="C33" s="6" t="s">
        <v>76</v>
      </c>
      <c r="D33" s="6" t="s">
        <v>34</v>
      </c>
      <c r="E33" s="6" t="n">
        <f aca="false">ROUND(6947*1.05,2)</f>
        <v>7294.35</v>
      </c>
      <c r="F33" s="6" t="s">
        <v>35</v>
      </c>
      <c r="G33" s="6" t="s">
        <v>18</v>
      </c>
      <c r="H33" s="6" t="n">
        <f aca="true">ROUND(RAND()*4+6,1)</f>
        <v>9</v>
      </c>
      <c r="I33" s="6" t="s">
        <v>36</v>
      </c>
      <c r="J33" s="6" t="str">
        <f aca="false">ROUND(70*1,0)&amp;"%"</f>
        <v>70%</v>
      </c>
    </row>
    <row r="34" customFormat="false" ht="15" hidden="false" customHeight="false" outlineLevel="0" collapsed="false">
      <c r="A34" s="5" t="s">
        <v>10091</v>
      </c>
      <c r="B34" s="5" t="s">
        <v>84</v>
      </c>
      <c r="C34" s="5" t="s">
        <v>76</v>
      </c>
      <c r="D34" s="5" t="s">
        <v>39</v>
      </c>
      <c r="E34" s="5" t="n">
        <f aca="false">ROUND(5766*1.05,2)</f>
        <v>6054.3</v>
      </c>
      <c r="F34" s="5" t="s">
        <v>40</v>
      </c>
      <c r="G34" s="5" t="s">
        <v>24</v>
      </c>
      <c r="H34" s="5" t="n">
        <f aca="true">ROUND(RAND()*4+6,1)</f>
        <v>8</v>
      </c>
      <c r="I34" s="5" t="s">
        <v>41</v>
      </c>
      <c r="J34" s="5" t="str">
        <f aca="false">ROUND(62*1,0)&amp;"%"</f>
        <v>62%</v>
      </c>
    </row>
    <row r="35" customFormat="false" ht="15" hidden="false" customHeight="false" outlineLevel="0" collapsed="false">
      <c r="A35" s="6" t="s">
        <v>10092</v>
      </c>
      <c r="B35" s="6" t="s">
        <v>86</v>
      </c>
      <c r="C35" s="6" t="s">
        <v>76</v>
      </c>
      <c r="D35" s="6" t="s">
        <v>44</v>
      </c>
      <c r="E35" s="6" t="n">
        <f aca="false">ROUND(11882*1.05,2)</f>
        <v>12476.1</v>
      </c>
      <c r="F35" s="6" t="s">
        <v>45</v>
      </c>
      <c r="G35" s="6" t="s">
        <v>30</v>
      </c>
      <c r="H35" s="6" t="n">
        <f aca="true">ROUND(RAND()*4+6,1)</f>
        <v>6.9</v>
      </c>
      <c r="I35" s="6" t="s">
        <v>46</v>
      </c>
      <c r="J35" s="6" t="str">
        <f aca="false">ROUND(60*1,0)&amp;"%"</f>
        <v>60%</v>
      </c>
    </row>
    <row r="36" customFormat="false" ht="15" hidden="false" customHeight="false" outlineLevel="0" collapsed="false">
      <c r="A36" s="5" t="s">
        <v>10093</v>
      </c>
      <c r="B36" s="5" t="s">
        <v>88</v>
      </c>
      <c r="C36" s="5" t="s">
        <v>76</v>
      </c>
      <c r="D36" s="5" t="s">
        <v>16</v>
      </c>
      <c r="E36" s="5" t="n">
        <f aca="false">ROUND(10491*1.05,2)</f>
        <v>11015.55</v>
      </c>
      <c r="F36" s="5" t="s">
        <v>49</v>
      </c>
      <c r="G36" s="5" t="s">
        <v>18</v>
      </c>
      <c r="H36" s="5" t="n">
        <f aca="true">ROUND(RAND()*4+6,1)</f>
        <v>7.2</v>
      </c>
      <c r="I36" s="5" t="s">
        <v>19</v>
      </c>
      <c r="J36" s="5" t="str">
        <f aca="false">ROUND(67*1,0)&amp;"%"</f>
        <v>67%</v>
      </c>
    </row>
    <row r="37" customFormat="false" ht="15" hidden="false" customHeight="false" outlineLevel="0" collapsed="false">
      <c r="A37" s="6" t="s">
        <v>10094</v>
      </c>
      <c r="B37" s="6" t="s">
        <v>90</v>
      </c>
      <c r="C37" s="6" t="s">
        <v>76</v>
      </c>
      <c r="D37" s="6" t="s">
        <v>22</v>
      </c>
      <c r="E37" s="6" t="n">
        <f aca="false">ROUND(12736*1.05,2)</f>
        <v>13372.8</v>
      </c>
      <c r="F37" s="6" t="s">
        <v>52</v>
      </c>
      <c r="G37" s="6" t="s">
        <v>24</v>
      </c>
      <c r="H37" s="6" t="n">
        <f aca="true">ROUND(RAND()*4+6,1)</f>
        <v>9.8</v>
      </c>
      <c r="I37" s="6" t="s">
        <v>25</v>
      </c>
      <c r="J37" s="6" t="str">
        <f aca="false">ROUND(96*1,0)&amp;"%"</f>
        <v>96%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10095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10096</v>
      </c>
      <c r="B42" s="5" t="s">
        <v>94</v>
      </c>
      <c r="C42" s="5" t="s">
        <v>95</v>
      </c>
      <c r="D42" s="5" t="s">
        <v>16</v>
      </c>
      <c r="E42" s="5" t="n">
        <f aca="false">ROUND(14032*1.05,2)</f>
        <v>14733.6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ROUND(60*1,0)&amp;"%"</f>
        <v>60%</v>
      </c>
    </row>
    <row r="43" customFormat="false" ht="15" hidden="false" customHeight="false" outlineLevel="0" collapsed="false">
      <c r="A43" s="6" t="s">
        <v>10097</v>
      </c>
      <c r="B43" s="6" t="s">
        <v>97</v>
      </c>
      <c r="C43" s="6" t="s">
        <v>95</v>
      </c>
      <c r="D43" s="6" t="s">
        <v>22</v>
      </c>
      <c r="E43" s="6" t="n">
        <f aca="false">ROUND(14610*1.05,2)</f>
        <v>15340.5</v>
      </c>
      <c r="F43" s="6" t="s">
        <v>23</v>
      </c>
      <c r="G43" s="6" t="s">
        <v>24</v>
      </c>
      <c r="H43" s="6" t="n">
        <f aca="true">ROUND(RAND()*4+6,1)</f>
        <v>6.6</v>
      </c>
      <c r="I43" s="6" t="s">
        <v>25</v>
      </c>
      <c r="J43" s="6" t="str">
        <f aca="false">ROUND(62*1,0)&amp;"%"</f>
        <v>62%</v>
      </c>
    </row>
    <row r="44" customFormat="false" ht="15" hidden="false" customHeight="false" outlineLevel="0" collapsed="false">
      <c r="A44" s="5" t="s">
        <v>10098</v>
      </c>
      <c r="B44" s="5" t="s">
        <v>99</v>
      </c>
      <c r="C44" s="5" t="s">
        <v>95</v>
      </c>
      <c r="D44" s="5" t="s">
        <v>28</v>
      </c>
      <c r="E44" s="5" t="n">
        <f aca="false">ROUND(8966*1.05,2)</f>
        <v>9414.3</v>
      </c>
      <c r="F44" s="5" t="s">
        <v>29</v>
      </c>
      <c r="G44" s="5" t="s">
        <v>30</v>
      </c>
      <c r="H44" s="5" t="n">
        <f aca="true">ROUND(RAND()*4+6,1)</f>
        <v>6.3</v>
      </c>
      <c r="I44" s="5" t="s">
        <v>31</v>
      </c>
      <c r="J44" s="5" t="str">
        <f aca="false">ROUND(92*1,0)&amp;"%"</f>
        <v>92%</v>
      </c>
    </row>
    <row r="45" customFormat="false" ht="15" hidden="false" customHeight="false" outlineLevel="0" collapsed="false">
      <c r="A45" s="6" t="s">
        <v>10099</v>
      </c>
      <c r="B45" s="6" t="s">
        <v>101</v>
      </c>
      <c r="C45" s="6" t="s">
        <v>95</v>
      </c>
      <c r="D45" s="6" t="s">
        <v>34</v>
      </c>
      <c r="E45" s="6" t="n">
        <f aca="false">ROUND(11025*1.05,2)</f>
        <v>11576.25</v>
      </c>
      <c r="F45" s="6" t="s">
        <v>35</v>
      </c>
      <c r="G45" s="6" t="s">
        <v>18</v>
      </c>
      <c r="H45" s="6" t="n">
        <f aca="true">ROUND(RAND()*4+6,1)</f>
        <v>8.6</v>
      </c>
      <c r="I45" s="6" t="s">
        <v>36</v>
      </c>
      <c r="J45" s="6" t="str">
        <f aca="false">ROUND(89*1,0)&amp;"%"</f>
        <v>89%</v>
      </c>
    </row>
    <row r="46" customFormat="false" ht="15" hidden="false" customHeight="false" outlineLevel="0" collapsed="false">
      <c r="A46" s="5" t="s">
        <v>10100</v>
      </c>
      <c r="B46" s="5" t="s">
        <v>103</v>
      </c>
      <c r="C46" s="5" t="s">
        <v>95</v>
      </c>
      <c r="D46" s="5" t="s">
        <v>39</v>
      </c>
      <c r="E46" s="5" t="n">
        <f aca="false">ROUND(8686*1.05,2)</f>
        <v>9120.3</v>
      </c>
      <c r="F46" s="5" t="s">
        <v>40</v>
      </c>
      <c r="G46" s="5" t="s">
        <v>24</v>
      </c>
      <c r="H46" s="5" t="n">
        <f aca="true">ROUND(RAND()*4+6,1)</f>
        <v>9.6</v>
      </c>
      <c r="I46" s="5" t="s">
        <v>41</v>
      </c>
      <c r="J46" s="5" t="str">
        <f aca="false">ROUND(98*1,0)&amp;"%"</f>
        <v>98%</v>
      </c>
    </row>
    <row r="47" customFormat="false" ht="15" hidden="false" customHeight="false" outlineLevel="0" collapsed="false">
      <c r="A47" s="6" t="s">
        <v>10101</v>
      </c>
      <c r="B47" s="6" t="s">
        <v>105</v>
      </c>
      <c r="C47" s="6" t="s">
        <v>95</v>
      </c>
      <c r="D47" s="6" t="s">
        <v>44</v>
      </c>
      <c r="E47" s="6" t="n">
        <f aca="false">ROUND(15991*1.05,2)</f>
        <v>16790.55</v>
      </c>
      <c r="F47" s="6" t="s">
        <v>45</v>
      </c>
      <c r="G47" s="6" t="s">
        <v>30</v>
      </c>
      <c r="H47" s="6" t="n">
        <f aca="true">ROUND(RAND()*4+6,1)</f>
        <v>6.9</v>
      </c>
      <c r="I47" s="6" t="s">
        <v>46</v>
      </c>
      <c r="J47" s="6" t="str">
        <f aca="false">ROUND(68*1,0)&amp;"%"</f>
        <v>68%</v>
      </c>
    </row>
    <row r="48" customFormat="false" ht="15" hidden="false" customHeight="false" outlineLevel="0" collapsed="false">
      <c r="A48" s="5" t="s">
        <v>10102</v>
      </c>
      <c r="B48" s="5" t="s">
        <v>107</v>
      </c>
      <c r="C48" s="5" t="s">
        <v>95</v>
      </c>
      <c r="D48" s="5" t="s">
        <v>16</v>
      </c>
      <c r="E48" s="5" t="n">
        <f aca="false">ROUND(9233*1.05,2)</f>
        <v>9694.65</v>
      </c>
      <c r="F48" s="5" t="s">
        <v>49</v>
      </c>
      <c r="G48" s="5" t="s">
        <v>18</v>
      </c>
      <c r="H48" s="5" t="n">
        <f aca="true">ROUND(RAND()*4+6,1)</f>
        <v>6.2</v>
      </c>
      <c r="I48" s="5" t="s">
        <v>19</v>
      </c>
      <c r="J48" s="5" t="str">
        <f aca="false">ROUND(94*1,0)&amp;"%"</f>
        <v>94%</v>
      </c>
    </row>
    <row r="49" customFormat="false" ht="15" hidden="false" customHeight="false" outlineLevel="0" collapsed="false">
      <c r="A49" s="6" t="s">
        <v>10103</v>
      </c>
      <c r="B49" s="6" t="s">
        <v>109</v>
      </c>
      <c r="C49" s="6" t="s">
        <v>95</v>
      </c>
      <c r="D49" s="6" t="s">
        <v>22</v>
      </c>
      <c r="E49" s="6" t="n">
        <f aca="false">ROUND(4590*1.05,2)</f>
        <v>4819.5</v>
      </c>
      <c r="F49" s="6" t="s">
        <v>52</v>
      </c>
      <c r="G49" s="6" t="s">
        <v>24</v>
      </c>
      <c r="H49" s="6" t="n">
        <f aca="true">ROUND(RAND()*4+6,1)</f>
        <v>8.5</v>
      </c>
      <c r="I49" s="6" t="s">
        <v>25</v>
      </c>
      <c r="J49" s="6" t="str">
        <f aca="false">ROUND(88*1,0)&amp;"%"</f>
        <v>88%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10104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10105</v>
      </c>
      <c r="B54" s="5" t="s">
        <v>113</v>
      </c>
      <c r="C54" s="5" t="s">
        <v>114</v>
      </c>
      <c r="D54" s="5" t="s">
        <v>16</v>
      </c>
      <c r="E54" s="5" t="n">
        <f aca="false">ROUND(8082*1.05,2)</f>
        <v>8486.1</v>
      </c>
      <c r="F54" s="5" t="s">
        <v>17</v>
      </c>
      <c r="G54" s="5" t="s">
        <v>18</v>
      </c>
      <c r="H54" s="5" t="n">
        <f aca="true">ROUND(RAND()*4+6,1)</f>
        <v>8.4</v>
      </c>
      <c r="I54" s="5" t="s">
        <v>19</v>
      </c>
      <c r="J54" s="5" t="str">
        <f aca="false">ROUND(89*1,0)&amp;"%"</f>
        <v>89%</v>
      </c>
    </row>
    <row r="55" customFormat="false" ht="15" hidden="false" customHeight="false" outlineLevel="0" collapsed="false">
      <c r="A55" s="6" t="s">
        <v>10106</v>
      </c>
      <c r="B55" s="6" t="s">
        <v>116</v>
      </c>
      <c r="C55" s="6" t="s">
        <v>114</v>
      </c>
      <c r="D55" s="6" t="s">
        <v>22</v>
      </c>
      <c r="E55" s="6" t="n">
        <f aca="false">ROUND(12117*1.05,2)</f>
        <v>12722.85</v>
      </c>
      <c r="F55" s="6" t="s">
        <v>23</v>
      </c>
      <c r="G55" s="6" t="s">
        <v>24</v>
      </c>
      <c r="H55" s="6" t="n">
        <f aca="true">ROUND(RAND()*4+6,1)</f>
        <v>9.7</v>
      </c>
      <c r="I55" s="6" t="s">
        <v>25</v>
      </c>
      <c r="J55" s="6" t="str">
        <f aca="false">ROUND(80*1,0)&amp;"%"</f>
        <v>80%</v>
      </c>
    </row>
    <row r="56" customFormat="false" ht="15" hidden="false" customHeight="false" outlineLevel="0" collapsed="false">
      <c r="A56" s="5" t="s">
        <v>10107</v>
      </c>
      <c r="B56" s="5" t="s">
        <v>118</v>
      </c>
      <c r="C56" s="5" t="s">
        <v>114</v>
      </c>
      <c r="D56" s="5" t="s">
        <v>28</v>
      </c>
      <c r="E56" s="5" t="n">
        <f aca="false">ROUND(17666*1.05,2)</f>
        <v>18549.3</v>
      </c>
      <c r="F56" s="5" t="s">
        <v>29</v>
      </c>
      <c r="G56" s="5" t="s">
        <v>30</v>
      </c>
      <c r="H56" s="5" t="n">
        <f aca="true">ROUND(RAND()*4+6,1)</f>
        <v>9.9</v>
      </c>
      <c r="I56" s="5" t="s">
        <v>31</v>
      </c>
      <c r="J56" s="5" t="str">
        <f aca="false">ROUND(94*1,0)&amp;"%"</f>
        <v>94%</v>
      </c>
    </row>
    <row r="57" customFormat="false" ht="15" hidden="false" customHeight="false" outlineLevel="0" collapsed="false">
      <c r="A57" s="6" t="s">
        <v>10108</v>
      </c>
      <c r="B57" s="6" t="s">
        <v>120</v>
      </c>
      <c r="C57" s="6" t="s">
        <v>114</v>
      </c>
      <c r="D57" s="6" t="s">
        <v>34</v>
      </c>
      <c r="E57" s="6" t="n">
        <f aca="false">ROUND(7157*1.05,2)</f>
        <v>7514.85</v>
      </c>
      <c r="F57" s="6" t="s">
        <v>35</v>
      </c>
      <c r="G57" s="6" t="s">
        <v>18</v>
      </c>
      <c r="H57" s="6" t="n">
        <f aca="true">ROUND(RAND()*4+6,1)</f>
        <v>7.9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10109</v>
      </c>
      <c r="B58" s="5" t="s">
        <v>122</v>
      </c>
      <c r="C58" s="5" t="s">
        <v>114</v>
      </c>
      <c r="D58" s="5" t="s">
        <v>39</v>
      </c>
      <c r="E58" s="5" t="n">
        <f aca="false">ROUND(10723*1.05,2)</f>
        <v>11259.15</v>
      </c>
      <c r="F58" s="5" t="s">
        <v>40</v>
      </c>
      <c r="G58" s="5" t="s">
        <v>24</v>
      </c>
      <c r="H58" s="5" t="n">
        <f aca="true">ROUND(RAND()*4+6,1)</f>
        <v>9.3</v>
      </c>
      <c r="I58" s="5" t="s">
        <v>41</v>
      </c>
      <c r="J58" s="5" t="str">
        <f aca="false">ROUND(97*1,0)&amp;"%"</f>
        <v>97%</v>
      </c>
    </row>
    <row r="59" customFormat="false" ht="15" hidden="false" customHeight="false" outlineLevel="0" collapsed="false">
      <c r="A59" s="6" t="s">
        <v>10110</v>
      </c>
      <c r="B59" s="6" t="s">
        <v>124</v>
      </c>
      <c r="C59" s="6" t="s">
        <v>114</v>
      </c>
      <c r="D59" s="6" t="s">
        <v>44</v>
      </c>
      <c r="E59" s="6" t="n">
        <f aca="false">ROUND(13213*1.05,2)</f>
        <v>13873.65</v>
      </c>
      <c r="F59" s="6" t="s">
        <v>45</v>
      </c>
      <c r="G59" s="6" t="s">
        <v>30</v>
      </c>
      <c r="H59" s="6" t="n">
        <f aca="true">ROUND(RAND()*4+6,1)</f>
        <v>7.6</v>
      </c>
      <c r="I59" s="6" t="s">
        <v>46</v>
      </c>
      <c r="J59" s="6" t="str">
        <f aca="false">ROUND(100*1,0)&amp;"%"</f>
        <v>100%</v>
      </c>
    </row>
    <row r="60" customFormat="false" ht="15" hidden="false" customHeight="false" outlineLevel="0" collapsed="false">
      <c r="A60" s="5" t="s">
        <v>10111</v>
      </c>
      <c r="B60" s="5" t="s">
        <v>126</v>
      </c>
      <c r="C60" s="5" t="s">
        <v>114</v>
      </c>
      <c r="D60" s="5" t="s">
        <v>16</v>
      </c>
      <c r="E60" s="5" t="n">
        <f aca="false">ROUND(7432*1.05,2)</f>
        <v>7803.6</v>
      </c>
      <c r="F60" s="5" t="s">
        <v>49</v>
      </c>
      <c r="G60" s="5" t="s">
        <v>18</v>
      </c>
      <c r="H60" s="5" t="n">
        <f aca="true">ROUND(RAND()*4+6,1)</f>
        <v>7.5</v>
      </c>
      <c r="I60" s="5" t="s">
        <v>19</v>
      </c>
      <c r="J60" s="5" t="str">
        <f aca="false">ROUND(94*1,0)&amp;"%"</f>
        <v>94%</v>
      </c>
    </row>
    <row r="61" customFormat="false" ht="15" hidden="false" customHeight="false" outlineLevel="0" collapsed="false">
      <c r="A61" s="6" t="s">
        <v>10112</v>
      </c>
      <c r="B61" s="6" t="s">
        <v>128</v>
      </c>
      <c r="C61" s="6" t="s">
        <v>114</v>
      </c>
      <c r="D61" s="6" t="s">
        <v>22</v>
      </c>
      <c r="E61" s="6" t="n">
        <f aca="false">ROUND(9807*1.05,2)</f>
        <v>10297.35</v>
      </c>
      <c r="F61" s="6" t="s">
        <v>52</v>
      </c>
      <c r="G61" s="6" t="s">
        <v>24</v>
      </c>
      <c r="H61" s="6" t="n">
        <f aca="true">ROUND(RAND()*4+6,1)</f>
        <v>8</v>
      </c>
      <c r="I61" s="6" t="s">
        <v>25</v>
      </c>
      <c r="J61" s="6" t="str">
        <f aca="false">ROUND(92*1,0)&amp;"%"</f>
        <v>92%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10113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10114</v>
      </c>
      <c r="B66" s="5" t="s">
        <v>132</v>
      </c>
      <c r="C66" s="5" t="s">
        <v>133</v>
      </c>
      <c r="D66" s="5" t="s">
        <v>16</v>
      </c>
      <c r="E66" s="5" t="n">
        <f aca="false">ROUND(6912*1.05,2)</f>
        <v>7257.6</v>
      </c>
      <c r="F66" s="5" t="s">
        <v>17</v>
      </c>
      <c r="G66" s="5" t="s">
        <v>18</v>
      </c>
      <c r="H66" s="5" t="n">
        <f aca="true">ROUND(RAND()*4+6,1)</f>
        <v>9.4</v>
      </c>
      <c r="I66" s="5" t="s">
        <v>19</v>
      </c>
      <c r="J66" s="5" t="str">
        <f aca="false">ROUND(82*1,0)&amp;"%"</f>
        <v>82%</v>
      </c>
    </row>
    <row r="67" customFormat="false" ht="15" hidden="false" customHeight="false" outlineLevel="0" collapsed="false">
      <c r="A67" s="6" t="s">
        <v>10115</v>
      </c>
      <c r="B67" s="6" t="s">
        <v>135</v>
      </c>
      <c r="C67" s="6" t="s">
        <v>133</v>
      </c>
      <c r="D67" s="6" t="s">
        <v>22</v>
      </c>
      <c r="E67" s="6" t="n">
        <f aca="false">ROUND(9373*1.05,2)</f>
        <v>9841.65</v>
      </c>
      <c r="F67" s="6" t="s">
        <v>23</v>
      </c>
      <c r="G67" s="6" t="s">
        <v>24</v>
      </c>
      <c r="H67" s="6" t="n">
        <f aca="true">ROUND(RAND()*4+6,1)</f>
        <v>6.3</v>
      </c>
      <c r="I67" s="6" t="s">
        <v>25</v>
      </c>
      <c r="J67" s="6" t="str">
        <f aca="false">ROUND(67*1,0)&amp;"%"</f>
        <v>67%</v>
      </c>
    </row>
    <row r="68" customFormat="false" ht="15" hidden="false" customHeight="false" outlineLevel="0" collapsed="false">
      <c r="A68" s="5" t="s">
        <v>10116</v>
      </c>
      <c r="B68" s="5" t="s">
        <v>137</v>
      </c>
      <c r="C68" s="5" t="s">
        <v>133</v>
      </c>
      <c r="D68" s="5" t="s">
        <v>28</v>
      </c>
      <c r="E68" s="5" t="n">
        <f aca="false">ROUND(7206*1.05,2)</f>
        <v>7566.3</v>
      </c>
      <c r="F68" s="5" t="s">
        <v>29</v>
      </c>
      <c r="G68" s="5" t="s">
        <v>30</v>
      </c>
      <c r="H68" s="5" t="n">
        <f aca="true">ROUND(RAND()*4+6,1)</f>
        <v>7</v>
      </c>
      <c r="I68" s="5" t="s">
        <v>31</v>
      </c>
      <c r="J68" s="5" t="str">
        <f aca="false">ROUND(96*1,0)&amp;"%"</f>
        <v>96%</v>
      </c>
    </row>
    <row r="69" customFormat="false" ht="15" hidden="false" customHeight="false" outlineLevel="0" collapsed="false">
      <c r="A69" s="6" t="s">
        <v>10117</v>
      </c>
      <c r="B69" s="6" t="s">
        <v>139</v>
      </c>
      <c r="C69" s="6" t="s">
        <v>133</v>
      </c>
      <c r="D69" s="6" t="s">
        <v>34</v>
      </c>
      <c r="E69" s="6" t="n">
        <f aca="false">ROUND(8914*1.05,2)</f>
        <v>9359.7</v>
      </c>
      <c r="F69" s="6" t="s">
        <v>35</v>
      </c>
      <c r="G69" s="6" t="s">
        <v>18</v>
      </c>
      <c r="H69" s="6" t="n">
        <f aca="true">ROUND(RAND()*4+6,1)</f>
        <v>6.3</v>
      </c>
      <c r="I69" s="6" t="s">
        <v>36</v>
      </c>
      <c r="J69" s="6" t="str">
        <f aca="false">ROUND(96*1,0)&amp;"%"</f>
        <v>96%</v>
      </c>
    </row>
    <row r="70" customFormat="false" ht="15" hidden="false" customHeight="false" outlineLevel="0" collapsed="false">
      <c r="A70" s="5" t="s">
        <v>10118</v>
      </c>
      <c r="B70" s="5" t="s">
        <v>141</v>
      </c>
      <c r="C70" s="5" t="s">
        <v>133</v>
      </c>
      <c r="D70" s="5" t="s">
        <v>39</v>
      </c>
      <c r="E70" s="5" t="n">
        <f aca="false">ROUND(16715*1.05,2)</f>
        <v>17550.75</v>
      </c>
      <c r="F70" s="5" t="s">
        <v>40</v>
      </c>
      <c r="G70" s="5" t="s">
        <v>24</v>
      </c>
      <c r="H70" s="5" t="n">
        <f aca="true">ROUND(RAND()*4+6,1)</f>
        <v>7.3</v>
      </c>
      <c r="I70" s="5" t="s">
        <v>41</v>
      </c>
      <c r="J70" s="5" t="str">
        <f aca="false">ROUND(65*1,0)&amp;"%"</f>
        <v>65%</v>
      </c>
    </row>
    <row r="71" customFormat="false" ht="15" hidden="false" customHeight="false" outlineLevel="0" collapsed="false">
      <c r="A71" s="6" t="s">
        <v>10119</v>
      </c>
      <c r="B71" s="6" t="s">
        <v>143</v>
      </c>
      <c r="C71" s="6" t="s">
        <v>133</v>
      </c>
      <c r="D71" s="6" t="s">
        <v>44</v>
      </c>
      <c r="E71" s="6" t="n">
        <f aca="false">ROUND(12971*1.05,2)</f>
        <v>13619.55</v>
      </c>
      <c r="F71" s="6" t="s">
        <v>45</v>
      </c>
      <c r="G71" s="6" t="s">
        <v>30</v>
      </c>
      <c r="H71" s="6" t="n">
        <f aca="true">ROUND(RAND()*4+6,1)</f>
        <v>9.4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10120</v>
      </c>
      <c r="B72" s="5" t="s">
        <v>145</v>
      </c>
      <c r="C72" s="5" t="s">
        <v>133</v>
      </c>
      <c r="D72" s="5" t="s">
        <v>16</v>
      </c>
      <c r="E72" s="5" t="n">
        <f aca="false">ROUND(16915*1.05,2)</f>
        <v>17760.75</v>
      </c>
      <c r="F72" s="5" t="s">
        <v>49</v>
      </c>
      <c r="G72" s="5" t="s">
        <v>18</v>
      </c>
      <c r="H72" s="5" t="n">
        <f aca="true">ROUND(RAND()*4+6,1)</f>
        <v>8.9</v>
      </c>
      <c r="I72" s="5" t="s">
        <v>19</v>
      </c>
      <c r="J72" s="5" t="str">
        <f aca="false">ROUND(97*1,0)&amp;"%"</f>
        <v>97%</v>
      </c>
    </row>
    <row r="73" customFormat="false" ht="15" hidden="false" customHeight="false" outlineLevel="0" collapsed="false">
      <c r="A73" s="6" t="s">
        <v>10121</v>
      </c>
      <c r="B73" s="6" t="s">
        <v>147</v>
      </c>
      <c r="C73" s="6" t="s">
        <v>133</v>
      </c>
      <c r="D73" s="6" t="s">
        <v>22</v>
      </c>
      <c r="E73" s="6" t="n">
        <f aca="false">ROUND(13772*1.05,2)</f>
        <v>14460.6</v>
      </c>
      <c r="F73" s="6" t="s">
        <v>52</v>
      </c>
      <c r="G73" s="6" t="s">
        <v>24</v>
      </c>
      <c r="H73" s="6" t="n">
        <f aca="true">ROUND(RAND()*4+6,1)</f>
        <v>7.6</v>
      </c>
      <c r="I73" s="6" t="s">
        <v>25</v>
      </c>
      <c r="J73" s="6" t="str">
        <f aca="false">ROUND(71*1,0)&amp;"%"</f>
        <v>71%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10122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10123</v>
      </c>
      <c r="B78" s="5" t="s">
        <v>151</v>
      </c>
      <c r="C78" s="5" t="s">
        <v>152</v>
      </c>
      <c r="D78" s="5" t="s">
        <v>16</v>
      </c>
      <c r="E78" s="5" t="n">
        <f aca="false">ROUND(12062*1.05,2)</f>
        <v>12665.1</v>
      </c>
      <c r="F78" s="5" t="s">
        <v>17</v>
      </c>
      <c r="G78" s="5" t="s">
        <v>18</v>
      </c>
      <c r="H78" s="5" t="n">
        <f aca="true">ROUND(RAND()*4+6,1)</f>
        <v>6.2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10124</v>
      </c>
      <c r="B79" s="6" t="s">
        <v>154</v>
      </c>
      <c r="C79" s="6" t="s">
        <v>152</v>
      </c>
      <c r="D79" s="6" t="s">
        <v>22</v>
      </c>
      <c r="E79" s="6" t="n">
        <f aca="false">ROUND(12164*1.05,2)</f>
        <v>12772.2</v>
      </c>
      <c r="F79" s="6" t="s">
        <v>23</v>
      </c>
      <c r="G79" s="6" t="s">
        <v>24</v>
      </c>
      <c r="H79" s="6" t="n">
        <f aca="true">ROUND(RAND()*4+6,1)</f>
        <v>8.8</v>
      </c>
      <c r="I79" s="6" t="s">
        <v>25</v>
      </c>
      <c r="J79" s="6" t="str">
        <f aca="false">ROUND(62*1,0)&amp;"%"</f>
        <v>62%</v>
      </c>
    </row>
    <row r="80" customFormat="false" ht="15" hidden="false" customHeight="false" outlineLevel="0" collapsed="false">
      <c r="A80" s="5" t="s">
        <v>10125</v>
      </c>
      <c r="B80" s="5" t="s">
        <v>156</v>
      </c>
      <c r="C80" s="5" t="s">
        <v>152</v>
      </c>
      <c r="D80" s="5" t="s">
        <v>28</v>
      </c>
      <c r="E80" s="5" t="n">
        <f aca="false">ROUND(4209*1.05,2)</f>
        <v>4419.45</v>
      </c>
      <c r="F80" s="5" t="s">
        <v>29</v>
      </c>
      <c r="G80" s="5" t="s">
        <v>30</v>
      </c>
      <c r="H80" s="5" t="n">
        <f aca="true">ROUND(RAND()*4+6,1)</f>
        <v>6.9</v>
      </c>
      <c r="I80" s="5" t="s">
        <v>31</v>
      </c>
      <c r="J80" s="5" t="str">
        <f aca="false">ROUND(83*1,0)&amp;"%"</f>
        <v>83%</v>
      </c>
    </row>
    <row r="81" customFormat="false" ht="15" hidden="false" customHeight="false" outlineLevel="0" collapsed="false">
      <c r="A81" s="6" t="s">
        <v>10126</v>
      </c>
      <c r="B81" s="6" t="s">
        <v>158</v>
      </c>
      <c r="C81" s="6" t="s">
        <v>152</v>
      </c>
      <c r="D81" s="6" t="s">
        <v>34</v>
      </c>
      <c r="E81" s="6" t="n">
        <f aca="false">ROUND(11323*1.05,2)</f>
        <v>11889.15</v>
      </c>
      <c r="F81" s="6" t="s">
        <v>35</v>
      </c>
      <c r="G81" s="6" t="s">
        <v>18</v>
      </c>
      <c r="H81" s="6" t="n">
        <f aca="true">ROUND(RAND()*4+6,1)</f>
        <v>8.4</v>
      </c>
      <c r="I81" s="6" t="s">
        <v>36</v>
      </c>
      <c r="J81" s="6" t="str">
        <f aca="false">ROUND(92*1,0)&amp;"%"</f>
        <v>92%</v>
      </c>
    </row>
    <row r="82" customFormat="false" ht="15" hidden="false" customHeight="false" outlineLevel="0" collapsed="false">
      <c r="A82" s="5" t="s">
        <v>10127</v>
      </c>
      <c r="B82" s="5" t="s">
        <v>160</v>
      </c>
      <c r="C82" s="5" t="s">
        <v>152</v>
      </c>
      <c r="D82" s="5" t="s">
        <v>39</v>
      </c>
      <c r="E82" s="5" t="n">
        <f aca="false">ROUND(10708*1.05,2)</f>
        <v>11243.4</v>
      </c>
      <c r="F82" s="5" t="s">
        <v>40</v>
      </c>
      <c r="G82" s="5" t="s">
        <v>24</v>
      </c>
      <c r="H82" s="5" t="n">
        <f aca="true">ROUND(RAND()*4+6,1)</f>
        <v>9.6</v>
      </c>
      <c r="I82" s="5" t="s">
        <v>41</v>
      </c>
      <c r="J82" s="5" t="str">
        <f aca="false">ROUND(71*1,0)&amp;"%"</f>
        <v>71%</v>
      </c>
    </row>
    <row r="83" customFormat="false" ht="15" hidden="false" customHeight="false" outlineLevel="0" collapsed="false">
      <c r="A83" s="6" t="s">
        <v>10128</v>
      </c>
      <c r="B83" s="6" t="s">
        <v>162</v>
      </c>
      <c r="C83" s="6" t="s">
        <v>152</v>
      </c>
      <c r="D83" s="6" t="s">
        <v>44</v>
      </c>
      <c r="E83" s="6" t="n">
        <f aca="false">ROUND(10205*1.05,2)</f>
        <v>10715.25</v>
      </c>
      <c r="F83" s="6" t="s">
        <v>45</v>
      </c>
      <c r="G83" s="6" t="s">
        <v>30</v>
      </c>
      <c r="H83" s="6" t="n">
        <f aca="true">ROUND(RAND()*4+6,1)</f>
        <v>8.9</v>
      </c>
      <c r="I83" s="6" t="s">
        <v>46</v>
      </c>
      <c r="J83" s="6" t="str">
        <f aca="false">ROUND(89*1,0)&amp;"%"</f>
        <v>89%</v>
      </c>
    </row>
    <row r="84" customFormat="false" ht="15" hidden="false" customHeight="false" outlineLevel="0" collapsed="false">
      <c r="A84" s="5" t="s">
        <v>10129</v>
      </c>
      <c r="B84" s="5" t="s">
        <v>164</v>
      </c>
      <c r="C84" s="5" t="s">
        <v>152</v>
      </c>
      <c r="D84" s="5" t="s">
        <v>16</v>
      </c>
      <c r="E84" s="5" t="n">
        <f aca="false">ROUND(12615*1.05,2)</f>
        <v>13245.75</v>
      </c>
      <c r="F84" s="5" t="s">
        <v>49</v>
      </c>
      <c r="G84" s="5" t="s">
        <v>18</v>
      </c>
      <c r="H84" s="5" t="n">
        <f aca="true">ROUND(RAND()*4+6,1)</f>
        <v>6.5</v>
      </c>
      <c r="I84" s="5" t="s">
        <v>19</v>
      </c>
      <c r="J84" s="5" t="str">
        <f aca="false">ROUND(70*1,0)&amp;"%"</f>
        <v>70%</v>
      </c>
    </row>
    <row r="85" customFormat="false" ht="15" hidden="false" customHeight="false" outlineLevel="0" collapsed="false">
      <c r="A85" s="6" t="s">
        <v>10130</v>
      </c>
      <c r="B85" s="6" t="s">
        <v>166</v>
      </c>
      <c r="C85" s="6" t="s">
        <v>152</v>
      </c>
      <c r="D85" s="6" t="s">
        <v>22</v>
      </c>
      <c r="E85" s="6" t="n">
        <f aca="false">ROUND(9445*1.05,2)</f>
        <v>9917.25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10131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10132</v>
      </c>
      <c r="B90" s="5" t="s">
        <v>170</v>
      </c>
      <c r="C90" s="5" t="s">
        <v>15</v>
      </c>
      <c r="D90" s="5" t="s">
        <v>16</v>
      </c>
      <c r="E90" s="5" t="n">
        <f aca="false">ROUND(11682*1.05,2)</f>
        <v>12266.1</v>
      </c>
      <c r="F90" s="5" t="s">
        <v>17</v>
      </c>
      <c r="G90" s="5" t="s">
        <v>18</v>
      </c>
      <c r="H90" s="5" t="n">
        <f aca="true">ROUND(RAND()*4+6,1)</f>
        <v>7.4</v>
      </c>
      <c r="I90" s="5" t="s">
        <v>19</v>
      </c>
      <c r="J90" s="5" t="str">
        <f aca="false">ROUND(75*1,0)&amp;"%"</f>
        <v>75%</v>
      </c>
    </row>
    <row r="91" customFormat="false" ht="15" hidden="false" customHeight="false" outlineLevel="0" collapsed="false">
      <c r="A91" s="6" t="s">
        <v>10133</v>
      </c>
      <c r="B91" s="6" t="s">
        <v>172</v>
      </c>
      <c r="C91" s="6" t="s">
        <v>15</v>
      </c>
      <c r="D91" s="6" t="s">
        <v>22</v>
      </c>
      <c r="E91" s="6" t="n">
        <f aca="false">ROUND(14832*1.05,2)</f>
        <v>15573.6</v>
      </c>
      <c r="F91" s="6" t="s">
        <v>23</v>
      </c>
      <c r="G91" s="6" t="s">
        <v>24</v>
      </c>
      <c r="H91" s="6" t="n">
        <f aca="true">ROUND(RAND()*4+6,1)</f>
        <v>6.2</v>
      </c>
      <c r="I91" s="6" t="s">
        <v>25</v>
      </c>
      <c r="J91" s="6" t="str">
        <f aca="false">ROUND(80*1,0)&amp;"%"</f>
        <v>80%</v>
      </c>
    </row>
    <row r="92" customFormat="false" ht="15" hidden="false" customHeight="false" outlineLevel="0" collapsed="false">
      <c r="A92" s="5" t="s">
        <v>10134</v>
      </c>
      <c r="B92" s="5" t="s">
        <v>174</v>
      </c>
      <c r="C92" s="5" t="s">
        <v>15</v>
      </c>
      <c r="D92" s="5" t="s">
        <v>28</v>
      </c>
      <c r="E92" s="5" t="n">
        <f aca="false">ROUND(8211*1.05,2)</f>
        <v>8621.55</v>
      </c>
      <c r="F92" s="5" t="s">
        <v>29</v>
      </c>
      <c r="G92" s="5" t="s">
        <v>30</v>
      </c>
      <c r="H92" s="5" t="n">
        <f aca="true">ROUND(RAND()*4+6,1)</f>
        <v>6.2</v>
      </c>
      <c r="I92" s="5" t="s">
        <v>31</v>
      </c>
      <c r="J92" s="5" t="str">
        <f aca="false">ROUND(87*1,0)&amp;"%"</f>
        <v>87%</v>
      </c>
    </row>
    <row r="93" customFormat="false" ht="15" hidden="false" customHeight="false" outlineLevel="0" collapsed="false">
      <c r="A93" s="6" t="s">
        <v>10135</v>
      </c>
      <c r="B93" s="6" t="s">
        <v>176</v>
      </c>
      <c r="C93" s="6" t="s">
        <v>15</v>
      </c>
      <c r="D93" s="6" t="s">
        <v>34</v>
      </c>
      <c r="E93" s="6" t="n">
        <f aca="false">ROUND(13245*1.05,2)</f>
        <v>13907.25</v>
      </c>
      <c r="F93" s="6" t="s">
        <v>35</v>
      </c>
      <c r="G93" s="6" t="s">
        <v>18</v>
      </c>
      <c r="H93" s="6" t="n">
        <f aca="true">ROUND(RAND()*4+6,1)</f>
        <v>7.4</v>
      </c>
      <c r="I93" s="6" t="s">
        <v>36</v>
      </c>
      <c r="J93" s="6" t="str">
        <f aca="false">ROUND(94*1,0)&amp;"%"</f>
        <v>94%</v>
      </c>
    </row>
    <row r="94" customFormat="false" ht="15" hidden="false" customHeight="false" outlineLevel="0" collapsed="false">
      <c r="A94" s="5" t="s">
        <v>10136</v>
      </c>
      <c r="B94" s="5" t="s">
        <v>178</v>
      </c>
      <c r="C94" s="5" t="s">
        <v>15</v>
      </c>
      <c r="D94" s="5" t="s">
        <v>39</v>
      </c>
      <c r="E94" s="5" t="n">
        <f aca="false">ROUND(15791*1.05,2)</f>
        <v>16580.55</v>
      </c>
      <c r="F94" s="5" t="s">
        <v>40</v>
      </c>
      <c r="G94" s="5" t="s">
        <v>24</v>
      </c>
      <c r="H94" s="5" t="n">
        <f aca="true">ROUND(RAND()*4+6,1)</f>
        <v>9.8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10137</v>
      </c>
      <c r="B95" s="6" t="s">
        <v>180</v>
      </c>
      <c r="C95" s="6" t="s">
        <v>15</v>
      </c>
      <c r="D95" s="6" t="s">
        <v>44</v>
      </c>
      <c r="E95" s="6" t="n">
        <f aca="false">ROUND(11434*1.05,2)</f>
        <v>12005.7</v>
      </c>
      <c r="F95" s="6" t="s">
        <v>45</v>
      </c>
      <c r="G95" s="6" t="s">
        <v>30</v>
      </c>
      <c r="H95" s="6" t="n">
        <f aca="true">ROUND(RAND()*4+6,1)</f>
        <v>8.8</v>
      </c>
      <c r="I95" s="6" t="s">
        <v>46</v>
      </c>
      <c r="J95" s="6" t="str">
        <f aca="false">ROUND(82*1,0)&amp;"%"</f>
        <v>82%</v>
      </c>
    </row>
    <row r="96" customFormat="false" ht="15" hidden="false" customHeight="false" outlineLevel="0" collapsed="false">
      <c r="A96" s="5" t="s">
        <v>10138</v>
      </c>
      <c r="B96" s="5" t="s">
        <v>182</v>
      </c>
      <c r="C96" s="5" t="s">
        <v>15</v>
      </c>
      <c r="D96" s="5" t="s">
        <v>16</v>
      </c>
      <c r="E96" s="5" t="n">
        <f aca="false">ROUND(12811*1.05,2)</f>
        <v>13451.55</v>
      </c>
      <c r="F96" s="5" t="s">
        <v>49</v>
      </c>
      <c r="G96" s="5" t="s">
        <v>18</v>
      </c>
      <c r="H96" s="5" t="n">
        <f aca="true">ROUND(RAND()*4+6,1)</f>
        <v>7.3</v>
      </c>
      <c r="I96" s="5" t="s">
        <v>19</v>
      </c>
      <c r="J96" s="5" t="str">
        <f aca="false">ROUND(74*1,0)&amp;"%"</f>
        <v>74%</v>
      </c>
    </row>
    <row r="97" customFormat="false" ht="15" hidden="false" customHeight="false" outlineLevel="0" collapsed="false">
      <c r="A97" s="6" t="s">
        <v>10139</v>
      </c>
      <c r="B97" s="6" t="s">
        <v>184</v>
      </c>
      <c r="C97" s="6" t="s">
        <v>15</v>
      </c>
      <c r="D97" s="6" t="s">
        <v>22</v>
      </c>
      <c r="E97" s="6" t="n">
        <f aca="false">ROUND(14130*1.05,2)</f>
        <v>14836.5</v>
      </c>
      <c r="F97" s="6" t="s">
        <v>52</v>
      </c>
      <c r="G97" s="6" t="s">
        <v>24</v>
      </c>
      <c r="H97" s="6" t="n">
        <f aca="true">ROUND(RAND()*4+6,1)</f>
        <v>7</v>
      </c>
      <c r="I97" s="6" t="s">
        <v>25</v>
      </c>
      <c r="J97" s="6" t="str">
        <f aca="false">ROUND(99*1,0)&amp;"%"</f>
        <v>99%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10140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10141</v>
      </c>
      <c r="B102" s="5" t="s">
        <v>188</v>
      </c>
      <c r="C102" s="5" t="s">
        <v>57</v>
      </c>
      <c r="D102" s="5" t="s">
        <v>16</v>
      </c>
      <c r="E102" s="5" t="n">
        <f aca="false">ROUND(11258*1.05,2)</f>
        <v>11820.9</v>
      </c>
      <c r="F102" s="5" t="s">
        <v>17</v>
      </c>
      <c r="G102" s="5" t="s">
        <v>18</v>
      </c>
      <c r="H102" s="5" t="n">
        <f aca="true">ROUND(RAND()*4+6,1)</f>
        <v>8.8</v>
      </c>
      <c r="I102" s="5" t="s">
        <v>19</v>
      </c>
      <c r="J102" s="5" t="str">
        <f aca="false">ROUND(90*1,0)&amp;"%"</f>
        <v>90%</v>
      </c>
    </row>
    <row r="103" customFormat="false" ht="15" hidden="false" customHeight="false" outlineLevel="0" collapsed="false">
      <c r="A103" s="6" t="s">
        <v>10142</v>
      </c>
      <c r="B103" s="6" t="s">
        <v>190</v>
      </c>
      <c r="C103" s="6" t="s">
        <v>57</v>
      </c>
      <c r="D103" s="6" t="s">
        <v>22</v>
      </c>
      <c r="E103" s="6" t="n">
        <f aca="false">ROUND(8826*1.05,2)</f>
        <v>9267.3</v>
      </c>
      <c r="F103" s="6" t="s">
        <v>23</v>
      </c>
      <c r="G103" s="6" t="s">
        <v>24</v>
      </c>
      <c r="H103" s="6" t="n">
        <f aca="true">ROUND(RAND()*4+6,1)</f>
        <v>6.2</v>
      </c>
      <c r="I103" s="6" t="s">
        <v>25</v>
      </c>
      <c r="J103" s="6" t="str">
        <f aca="false">ROUND(96*1,0)&amp;"%"</f>
        <v>96%</v>
      </c>
    </row>
    <row r="104" customFormat="false" ht="15" hidden="false" customHeight="false" outlineLevel="0" collapsed="false">
      <c r="A104" s="5" t="s">
        <v>10143</v>
      </c>
      <c r="B104" s="5" t="s">
        <v>192</v>
      </c>
      <c r="C104" s="5" t="s">
        <v>57</v>
      </c>
      <c r="D104" s="5" t="s">
        <v>28</v>
      </c>
      <c r="E104" s="5" t="n">
        <f aca="false">ROUND(4389*1.05,2)</f>
        <v>4608.45</v>
      </c>
      <c r="F104" s="5" t="s">
        <v>29</v>
      </c>
      <c r="G104" s="5" t="s">
        <v>30</v>
      </c>
      <c r="H104" s="5" t="n">
        <f aca="true">ROUND(RAND()*4+6,1)</f>
        <v>8.8</v>
      </c>
      <c r="I104" s="5" t="s">
        <v>31</v>
      </c>
      <c r="J104" s="5" t="str">
        <f aca="false">ROUND(72*1,0)&amp;"%"</f>
        <v>72%</v>
      </c>
    </row>
    <row r="105" customFormat="false" ht="15" hidden="false" customHeight="false" outlineLevel="0" collapsed="false">
      <c r="A105" s="6" t="s">
        <v>10144</v>
      </c>
      <c r="B105" s="6" t="s">
        <v>194</v>
      </c>
      <c r="C105" s="6" t="s">
        <v>57</v>
      </c>
      <c r="D105" s="6" t="s">
        <v>34</v>
      </c>
      <c r="E105" s="6" t="n">
        <f aca="false">ROUND(8138*1.05,2)</f>
        <v>8544.9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ROUND(96*1,0)&amp;"%"</f>
        <v>96%</v>
      </c>
    </row>
    <row r="106" customFormat="false" ht="15" hidden="false" customHeight="false" outlineLevel="0" collapsed="false">
      <c r="A106" s="5" t="s">
        <v>10145</v>
      </c>
      <c r="B106" s="5" t="s">
        <v>196</v>
      </c>
      <c r="C106" s="5" t="s">
        <v>57</v>
      </c>
      <c r="D106" s="5" t="s">
        <v>39</v>
      </c>
      <c r="E106" s="5" t="n">
        <f aca="false">ROUND(9206*1.05,2)</f>
        <v>9666.3</v>
      </c>
      <c r="F106" s="5" t="s">
        <v>40</v>
      </c>
      <c r="G106" s="5" t="s">
        <v>24</v>
      </c>
      <c r="H106" s="5" t="n">
        <f aca="true">ROUND(RAND()*4+6,1)</f>
        <v>9.8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10146</v>
      </c>
      <c r="B107" s="6" t="s">
        <v>198</v>
      </c>
      <c r="C107" s="6" t="s">
        <v>57</v>
      </c>
      <c r="D107" s="6" t="s">
        <v>44</v>
      </c>
      <c r="E107" s="6" t="n">
        <f aca="false">ROUND(14916*1.05,2)</f>
        <v>15661.8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ROUND(79*1,0)&amp;"%"</f>
        <v>79%</v>
      </c>
    </row>
    <row r="108" customFormat="false" ht="15" hidden="false" customHeight="false" outlineLevel="0" collapsed="false">
      <c r="A108" s="5" t="s">
        <v>10147</v>
      </c>
      <c r="B108" s="5" t="s">
        <v>200</v>
      </c>
      <c r="C108" s="5" t="s">
        <v>57</v>
      </c>
      <c r="D108" s="5" t="s">
        <v>16</v>
      </c>
      <c r="E108" s="5" t="n">
        <f aca="false">ROUND(16858*1.05,2)</f>
        <v>17700.9</v>
      </c>
      <c r="F108" s="5" t="s">
        <v>49</v>
      </c>
      <c r="G108" s="5" t="s">
        <v>18</v>
      </c>
      <c r="H108" s="5" t="n">
        <f aca="true">ROUND(RAND()*4+6,1)</f>
        <v>9.2</v>
      </c>
      <c r="I108" s="5" t="s">
        <v>19</v>
      </c>
      <c r="J108" s="5" t="str">
        <f aca="false">ROUND(86*1,0)&amp;"%"</f>
        <v>86%</v>
      </c>
    </row>
    <row r="109" customFormat="false" ht="15" hidden="false" customHeight="false" outlineLevel="0" collapsed="false">
      <c r="A109" s="6" t="s">
        <v>10148</v>
      </c>
      <c r="B109" s="6" t="s">
        <v>202</v>
      </c>
      <c r="C109" s="6" t="s">
        <v>57</v>
      </c>
      <c r="D109" s="6" t="s">
        <v>22</v>
      </c>
      <c r="E109" s="6" t="n">
        <f aca="false">ROUND(7268*1.05,2)</f>
        <v>7631.4</v>
      </c>
      <c r="F109" s="6" t="s">
        <v>52</v>
      </c>
      <c r="G109" s="6" t="s">
        <v>24</v>
      </c>
      <c r="H109" s="6" t="n">
        <f aca="true">ROUND(RAND()*4+6,1)</f>
        <v>8.3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10149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10150</v>
      </c>
      <c r="B114" s="5" t="s">
        <v>206</v>
      </c>
      <c r="C114" s="5" t="s">
        <v>76</v>
      </c>
      <c r="D114" s="5" t="s">
        <v>16</v>
      </c>
      <c r="E114" s="5" t="n">
        <f aca="false">ROUND(5866*1.05,2)</f>
        <v>6159.3</v>
      </c>
      <c r="F114" s="5" t="s">
        <v>17</v>
      </c>
      <c r="G114" s="5" t="s">
        <v>18</v>
      </c>
      <c r="H114" s="5" t="n">
        <f aca="true">ROUND(RAND()*4+6,1)</f>
        <v>9.7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10151</v>
      </c>
      <c r="B115" s="6" t="s">
        <v>208</v>
      </c>
      <c r="C115" s="6" t="s">
        <v>76</v>
      </c>
      <c r="D115" s="6" t="s">
        <v>22</v>
      </c>
      <c r="E115" s="6" t="n">
        <f aca="false">ROUND(4681*1.05,2)</f>
        <v>4915.05</v>
      </c>
      <c r="F115" s="6" t="s">
        <v>23</v>
      </c>
      <c r="G115" s="6" t="s">
        <v>24</v>
      </c>
      <c r="H115" s="6" t="n">
        <f aca="true">ROUND(RAND()*4+6,1)</f>
        <v>7.5</v>
      </c>
      <c r="I115" s="6" t="s">
        <v>25</v>
      </c>
      <c r="J115" s="6" t="str">
        <f aca="false">ROUND(78*1,0)&amp;"%"</f>
        <v>78%</v>
      </c>
    </row>
    <row r="116" customFormat="false" ht="15" hidden="false" customHeight="false" outlineLevel="0" collapsed="false">
      <c r="A116" s="5" t="s">
        <v>10152</v>
      </c>
      <c r="B116" s="5" t="s">
        <v>210</v>
      </c>
      <c r="C116" s="5" t="s">
        <v>76</v>
      </c>
      <c r="D116" s="5" t="s">
        <v>28</v>
      </c>
      <c r="E116" s="5" t="n">
        <f aca="false">ROUND(14144*1.05,2)</f>
        <v>14851.2</v>
      </c>
      <c r="F116" s="5" t="s">
        <v>29</v>
      </c>
      <c r="G116" s="5" t="s">
        <v>30</v>
      </c>
      <c r="H116" s="5" t="n">
        <f aca="true">ROUND(RAND()*4+6,1)</f>
        <v>6.9</v>
      </c>
      <c r="I116" s="5" t="s">
        <v>31</v>
      </c>
      <c r="J116" s="5" t="str">
        <f aca="false">ROUND(78*1,0)&amp;"%"</f>
        <v>78%</v>
      </c>
    </row>
    <row r="117" customFormat="false" ht="15" hidden="false" customHeight="false" outlineLevel="0" collapsed="false">
      <c r="A117" s="6" t="s">
        <v>10153</v>
      </c>
      <c r="B117" s="6" t="s">
        <v>212</v>
      </c>
      <c r="C117" s="6" t="s">
        <v>76</v>
      </c>
      <c r="D117" s="6" t="s">
        <v>34</v>
      </c>
      <c r="E117" s="6" t="n">
        <f aca="false">ROUND(13971*1.05,2)</f>
        <v>14669.55</v>
      </c>
      <c r="F117" s="6" t="s">
        <v>35</v>
      </c>
      <c r="G117" s="6" t="s">
        <v>18</v>
      </c>
      <c r="H117" s="6" t="n">
        <f aca="true">ROUND(RAND()*4+6,1)</f>
        <v>6.9</v>
      </c>
      <c r="I117" s="6" t="s">
        <v>36</v>
      </c>
      <c r="J117" s="6" t="str">
        <f aca="false">ROUND(69*1,0)&amp;"%"</f>
        <v>69%</v>
      </c>
    </row>
    <row r="118" customFormat="false" ht="15" hidden="false" customHeight="false" outlineLevel="0" collapsed="false">
      <c r="A118" s="5" t="s">
        <v>10154</v>
      </c>
      <c r="B118" s="5" t="s">
        <v>214</v>
      </c>
      <c r="C118" s="5" t="s">
        <v>76</v>
      </c>
      <c r="D118" s="5" t="s">
        <v>39</v>
      </c>
      <c r="E118" s="5" t="n">
        <f aca="false">ROUND(11684*1.05,2)</f>
        <v>12268.2</v>
      </c>
      <c r="F118" s="5" t="s">
        <v>40</v>
      </c>
      <c r="G118" s="5" t="s">
        <v>24</v>
      </c>
      <c r="H118" s="5" t="n">
        <f aca="true">ROUND(RAND()*4+6,1)</f>
        <v>9.5</v>
      </c>
      <c r="I118" s="5" t="s">
        <v>41</v>
      </c>
      <c r="J118" s="5" t="str">
        <f aca="false">ROUND(79*1,0)&amp;"%"</f>
        <v>79%</v>
      </c>
    </row>
    <row r="119" customFormat="false" ht="15" hidden="false" customHeight="false" outlineLevel="0" collapsed="false">
      <c r="A119" s="6" t="s">
        <v>10155</v>
      </c>
      <c r="B119" s="6" t="s">
        <v>216</v>
      </c>
      <c r="C119" s="6" t="s">
        <v>76</v>
      </c>
      <c r="D119" s="6" t="s">
        <v>44</v>
      </c>
      <c r="E119" s="6" t="n">
        <f aca="false">ROUND(5765*1.05,2)</f>
        <v>6053.25</v>
      </c>
      <c r="F119" s="6" t="s">
        <v>45</v>
      </c>
      <c r="G119" s="6" t="s">
        <v>30</v>
      </c>
      <c r="H119" s="6" t="n">
        <f aca="true">ROUND(RAND()*4+6,1)</f>
        <v>6.1</v>
      </c>
      <c r="I119" s="6" t="s">
        <v>46</v>
      </c>
      <c r="J119" s="6" t="str">
        <f aca="false">ROUND(93*1,0)&amp;"%"</f>
        <v>93%</v>
      </c>
    </row>
    <row r="120" customFormat="false" ht="15" hidden="false" customHeight="false" outlineLevel="0" collapsed="false">
      <c r="A120" s="5" t="s">
        <v>10156</v>
      </c>
      <c r="B120" s="5" t="s">
        <v>218</v>
      </c>
      <c r="C120" s="5" t="s">
        <v>76</v>
      </c>
      <c r="D120" s="5" t="s">
        <v>16</v>
      </c>
      <c r="E120" s="5" t="n">
        <f aca="false">ROUND(12121*1.05,2)</f>
        <v>12727.05</v>
      </c>
      <c r="F120" s="5" t="s">
        <v>49</v>
      </c>
      <c r="G120" s="5" t="s">
        <v>18</v>
      </c>
      <c r="H120" s="5" t="n">
        <f aca="true">ROUND(RAND()*4+6,1)</f>
        <v>9.5</v>
      </c>
      <c r="I120" s="5" t="s">
        <v>19</v>
      </c>
      <c r="J120" s="5" t="str">
        <f aca="false">ROUND(79*1,0)&amp;"%"</f>
        <v>79%</v>
      </c>
    </row>
    <row r="121" customFormat="false" ht="15" hidden="false" customHeight="false" outlineLevel="0" collapsed="false">
      <c r="A121" s="6" t="s">
        <v>10157</v>
      </c>
      <c r="B121" s="6" t="s">
        <v>220</v>
      </c>
      <c r="C121" s="6" t="s">
        <v>76</v>
      </c>
      <c r="D121" s="6" t="s">
        <v>22</v>
      </c>
      <c r="E121" s="6" t="n">
        <f aca="false">ROUND(6881*1.05,2)</f>
        <v>7225.05</v>
      </c>
      <c r="F121" s="6" t="s">
        <v>52</v>
      </c>
      <c r="G121" s="6" t="s">
        <v>24</v>
      </c>
      <c r="H121" s="6" t="n">
        <f aca="true">ROUND(RAND()*4+6,1)</f>
        <v>6.4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10158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10159</v>
      </c>
      <c r="B126" s="5" t="s">
        <v>224</v>
      </c>
      <c r="C126" s="5" t="s">
        <v>95</v>
      </c>
      <c r="D126" s="5" t="s">
        <v>16</v>
      </c>
      <c r="E126" s="5" t="n">
        <f aca="false">ROUND(14744*1.05,2)</f>
        <v>15481.2</v>
      </c>
      <c r="F126" s="5" t="s">
        <v>17</v>
      </c>
      <c r="G126" s="5" t="s">
        <v>18</v>
      </c>
      <c r="H126" s="5" t="n">
        <f aca="true">ROUND(RAND()*4+6,1)</f>
        <v>9.4</v>
      </c>
      <c r="I126" s="5" t="s">
        <v>19</v>
      </c>
      <c r="J126" s="5" t="str">
        <f aca="false">ROUND(69*1,0)&amp;"%"</f>
        <v>69%</v>
      </c>
    </row>
    <row r="127" customFormat="false" ht="15" hidden="false" customHeight="false" outlineLevel="0" collapsed="false">
      <c r="A127" s="6" t="s">
        <v>10160</v>
      </c>
      <c r="B127" s="6" t="s">
        <v>226</v>
      </c>
      <c r="C127" s="6" t="s">
        <v>95</v>
      </c>
      <c r="D127" s="6" t="s">
        <v>22</v>
      </c>
      <c r="E127" s="6" t="n">
        <f aca="false">ROUND(14357*1.05,2)</f>
        <v>15074.85</v>
      </c>
      <c r="F127" s="6" t="s">
        <v>23</v>
      </c>
      <c r="G127" s="6" t="s">
        <v>24</v>
      </c>
      <c r="H127" s="6" t="n">
        <f aca="true">ROUND(RAND()*4+6,1)</f>
        <v>6.2</v>
      </c>
      <c r="I127" s="6" t="s">
        <v>25</v>
      </c>
      <c r="J127" s="6" t="str">
        <f aca="false">ROUND(91*1,0)&amp;"%"</f>
        <v>91%</v>
      </c>
    </row>
    <row r="128" customFormat="false" ht="15" hidden="false" customHeight="false" outlineLevel="0" collapsed="false">
      <c r="A128" s="5" t="s">
        <v>10161</v>
      </c>
      <c r="B128" s="5" t="s">
        <v>228</v>
      </c>
      <c r="C128" s="5" t="s">
        <v>95</v>
      </c>
      <c r="D128" s="5" t="s">
        <v>28</v>
      </c>
      <c r="E128" s="5" t="n">
        <f aca="false">ROUND(6757*1.05,2)</f>
        <v>7094.85</v>
      </c>
      <c r="F128" s="5" t="s">
        <v>29</v>
      </c>
      <c r="G128" s="5" t="s">
        <v>30</v>
      </c>
      <c r="H128" s="5" t="n">
        <f aca="true">ROUND(RAND()*4+6,1)</f>
        <v>6.5</v>
      </c>
      <c r="I128" s="5" t="s">
        <v>31</v>
      </c>
      <c r="J128" s="5" t="str">
        <f aca="false">ROUND(97*1,0)&amp;"%"</f>
        <v>97%</v>
      </c>
    </row>
    <row r="129" customFormat="false" ht="15" hidden="false" customHeight="false" outlineLevel="0" collapsed="false">
      <c r="A129" s="6" t="s">
        <v>10162</v>
      </c>
      <c r="B129" s="6" t="s">
        <v>230</v>
      </c>
      <c r="C129" s="6" t="s">
        <v>95</v>
      </c>
      <c r="D129" s="6" t="s">
        <v>34</v>
      </c>
      <c r="E129" s="6" t="n">
        <f aca="false">ROUND(10135*1.05,2)</f>
        <v>10641.75</v>
      </c>
      <c r="F129" s="6" t="s">
        <v>35</v>
      </c>
      <c r="G129" s="6" t="s">
        <v>18</v>
      </c>
      <c r="H129" s="6" t="n">
        <f aca="true">ROUND(RAND()*4+6,1)</f>
        <v>9.4</v>
      </c>
      <c r="I129" s="6" t="s">
        <v>36</v>
      </c>
      <c r="J129" s="6" t="str">
        <f aca="false">ROUND(72*1,0)&amp;"%"</f>
        <v>72%</v>
      </c>
    </row>
    <row r="130" customFormat="false" ht="15" hidden="false" customHeight="false" outlineLevel="0" collapsed="false">
      <c r="A130" s="5" t="s">
        <v>10163</v>
      </c>
      <c r="B130" s="5" t="s">
        <v>232</v>
      </c>
      <c r="C130" s="5" t="s">
        <v>95</v>
      </c>
      <c r="D130" s="5" t="s">
        <v>39</v>
      </c>
      <c r="E130" s="5" t="n">
        <f aca="false">ROUND(14206*1.05,2)</f>
        <v>14916.3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ROUND(79*1,0)&amp;"%"</f>
        <v>79%</v>
      </c>
    </row>
    <row r="131" customFormat="false" ht="15" hidden="false" customHeight="false" outlineLevel="0" collapsed="false">
      <c r="A131" s="6" t="s">
        <v>10164</v>
      </c>
      <c r="B131" s="6" t="s">
        <v>234</v>
      </c>
      <c r="C131" s="6" t="s">
        <v>95</v>
      </c>
      <c r="D131" s="6" t="s">
        <v>44</v>
      </c>
      <c r="E131" s="6" t="n">
        <f aca="false">ROUND(12221*1.05,2)</f>
        <v>12832.05</v>
      </c>
      <c r="F131" s="6" t="s">
        <v>45</v>
      </c>
      <c r="G131" s="6" t="s">
        <v>30</v>
      </c>
      <c r="H131" s="6" t="n">
        <f aca="true">ROUND(RAND()*4+6,1)</f>
        <v>7.7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10165</v>
      </c>
      <c r="B132" s="5" t="s">
        <v>236</v>
      </c>
      <c r="C132" s="5" t="s">
        <v>95</v>
      </c>
      <c r="D132" s="5" t="s">
        <v>16</v>
      </c>
      <c r="E132" s="5" t="n">
        <f aca="false">ROUND(15123*1.05,2)</f>
        <v>15879.15</v>
      </c>
      <c r="F132" s="5" t="s">
        <v>49</v>
      </c>
      <c r="G132" s="5" t="s">
        <v>18</v>
      </c>
      <c r="H132" s="5" t="n">
        <f aca="true">ROUND(RAND()*4+6,1)</f>
        <v>6.3</v>
      </c>
      <c r="I132" s="5" t="s">
        <v>19</v>
      </c>
      <c r="J132" s="5" t="str">
        <f aca="false">ROUND(78*1,0)&amp;"%"</f>
        <v>78%</v>
      </c>
    </row>
    <row r="133" customFormat="false" ht="15" hidden="false" customHeight="false" outlineLevel="0" collapsed="false">
      <c r="A133" s="6" t="s">
        <v>10166</v>
      </c>
      <c r="B133" s="6" t="s">
        <v>238</v>
      </c>
      <c r="C133" s="6" t="s">
        <v>95</v>
      </c>
      <c r="D133" s="6" t="s">
        <v>22</v>
      </c>
      <c r="E133" s="6" t="n">
        <f aca="false">ROUND(11975*1.05,2)</f>
        <v>12573.75</v>
      </c>
      <c r="F133" s="6" t="s">
        <v>52</v>
      </c>
      <c r="G133" s="6" t="s">
        <v>24</v>
      </c>
      <c r="H133" s="6" t="n">
        <f aca="true">ROUND(RAND()*4+6,1)</f>
        <v>6.4</v>
      </c>
      <c r="I133" s="6" t="s">
        <v>25</v>
      </c>
      <c r="J133" s="6" t="str">
        <f aca="false">ROUND(77*1,0)&amp;"%"</f>
        <v>77%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10167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10168</v>
      </c>
      <c r="B138" s="5" t="s">
        <v>242</v>
      </c>
      <c r="C138" s="5" t="s">
        <v>114</v>
      </c>
      <c r="D138" s="5" t="s">
        <v>16</v>
      </c>
      <c r="E138" s="5" t="n">
        <f aca="false">ROUND(13559*1.05,2)</f>
        <v>14236.95</v>
      </c>
      <c r="F138" s="5" t="s">
        <v>17</v>
      </c>
      <c r="G138" s="5" t="s">
        <v>18</v>
      </c>
      <c r="H138" s="5" t="n">
        <f aca="true">ROUND(RAND()*4+6,1)</f>
        <v>8.6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10169</v>
      </c>
      <c r="B139" s="6" t="s">
        <v>244</v>
      </c>
      <c r="C139" s="6" t="s">
        <v>114</v>
      </c>
      <c r="D139" s="6" t="s">
        <v>22</v>
      </c>
      <c r="E139" s="6" t="n">
        <f aca="false">ROUND(13903*1.05,2)</f>
        <v>14598.15</v>
      </c>
      <c r="F139" s="6" t="s">
        <v>23</v>
      </c>
      <c r="G139" s="6" t="s">
        <v>24</v>
      </c>
      <c r="H139" s="6" t="n">
        <f aca="true">ROUND(RAND()*4+6,1)</f>
        <v>7.4</v>
      </c>
      <c r="I139" s="6" t="s">
        <v>25</v>
      </c>
      <c r="J139" s="6" t="str">
        <f aca="false">ROUND(70*1,0)&amp;"%"</f>
        <v>70%</v>
      </c>
    </row>
    <row r="140" customFormat="false" ht="15" hidden="false" customHeight="false" outlineLevel="0" collapsed="false">
      <c r="A140" s="5" t="s">
        <v>10170</v>
      </c>
      <c r="B140" s="5" t="s">
        <v>246</v>
      </c>
      <c r="C140" s="5" t="s">
        <v>114</v>
      </c>
      <c r="D140" s="5" t="s">
        <v>28</v>
      </c>
      <c r="E140" s="5" t="n">
        <f aca="false">ROUND(13574*1.05,2)</f>
        <v>14252.7</v>
      </c>
      <c r="F140" s="5" t="s">
        <v>29</v>
      </c>
      <c r="G140" s="5" t="s">
        <v>30</v>
      </c>
      <c r="H140" s="5" t="n">
        <f aca="true">ROUND(RAND()*4+6,1)</f>
        <v>6.6</v>
      </c>
      <c r="I140" s="5" t="s">
        <v>31</v>
      </c>
      <c r="J140" s="5" t="str">
        <f aca="false">ROUND(75*1,0)&amp;"%"</f>
        <v>75%</v>
      </c>
    </row>
    <row r="141" customFormat="false" ht="15" hidden="false" customHeight="false" outlineLevel="0" collapsed="false">
      <c r="A141" s="6" t="s">
        <v>10171</v>
      </c>
      <c r="B141" s="6" t="s">
        <v>248</v>
      </c>
      <c r="C141" s="6" t="s">
        <v>114</v>
      </c>
      <c r="D141" s="6" t="s">
        <v>34</v>
      </c>
      <c r="E141" s="6" t="n">
        <f aca="false">ROUND(10229*1.05,2)</f>
        <v>10740.45</v>
      </c>
      <c r="F141" s="6" t="s">
        <v>35</v>
      </c>
      <c r="G141" s="6" t="s">
        <v>18</v>
      </c>
      <c r="H141" s="6" t="n">
        <f aca="true">ROUND(RAND()*4+6,1)</f>
        <v>7.3</v>
      </c>
      <c r="I141" s="6" t="s">
        <v>36</v>
      </c>
      <c r="J141" s="6" t="str">
        <f aca="false">ROUND(99*1,0)&amp;"%"</f>
        <v>99%</v>
      </c>
    </row>
    <row r="142" customFormat="false" ht="15" hidden="false" customHeight="false" outlineLevel="0" collapsed="false">
      <c r="A142" s="5" t="s">
        <v>10172</v>
      </c>
      <c r="B142" s="5" t="s">
        <v>250</v>
      </c>
      <c r="C142" s="5" t="s">
        <v>114</v>
      </c>
      <c r="D142" s="5" t="s">
        <v>39</v>
      </c>
      <c r="E142" s="5" t="n">
        <f aca="false">ROUND(4907*1.05,2)</f>
        <v>5152.35</v>
      </c>
      <c r="F142" s="5" t="s">
        <v>40</v>
      </c>
      <c r="G142" s="5" t="s">
        <v>24</v>
      </c>
      <c r="H142" s="5" t="n">
        <f aca="true">ROUND(RAND()*4+6,1)</f>
        <v>8.9</v>
      </c>
      <c r="I142" s="5" t="s">
        <v>41</v>
      </c>
      <c r="J142" s="5" t="str">
        <f aca="false">ROUND(66*1,0)&amp;"%"</f>
        <v>66%</v>
      </c>
    </row>
    <row r="143" customFormat="false" ht="15" hidden="false" customHeight="false" outlineLevel="0" collapsed="false">
      <c r="A143" s="6" t="s">
        <v>10173</v>
      </c>
      <c r="B143" s="6" t="s">
        <v>252</v>
      </c>
      <c r="C143" s="6" t="s">
        <v>114</v>
      </c>
      <c r="D143" s="6" t="s">
        <v>44</v>
      </c>
      <c r="E143" s="6" t="n">
        <f aca="false">ROUND(7038*1.05,2)</f>
        <v>7389.9</v>
      </c>
      <c r="F143" s="6" t="s">
        <v>45</v>
      </c>
      <c r="G143" s="6" t="s">
        <v>30</v>
      </c>
      <c r="H143" s="6" t="n">
        <f aca="true">ROUND(RAND()*4+6,1)</f>
        <v>6.3</v>
      </c>
      <c r="I143" s="6" t="s">
        <v>46</v>
      </c>
      <c r="J143" s="6" t="str">
        <f aca="false">ROUND(68*1,0)&amp;"%"</f>
        <v>68%</v>
      </c>
    </row>
    <row r="144" customFormat="false" ht="15" hidden="false" customHeight="false" outlineLevel="0" collapsed="false">
      <c r="A144" s="5" t="s">
        <v>10174</v>
      </c>
      <c r="B144" s="5" t="s">
        <v>254</v>
      </c>
      <c r="C144" s="5" t="s">
        <v>114</v>
      </c>
      <c r="D144" s="5" t="s">
        <v>16</v>
      </c>
      <c r="E144" s="5" t="n">
        <f aca="false">ROUND(8773*1.05,2)</f>
        <v>9211.65</v>
      </c>
      <c r="F144" s="5" t="s">
        <v>49</v>
      </c>
      <c r="G144" s="5" t="s">
        <v>18</v>
      </c>
      <c r="H144" s="5" t="n">
        <f aca="true">ROUND(RAND()*4+6,1)</f>
        <v>6.3</v>
      </c>
      <c r="I144" s="5" t="s">
        <v>19</v>
      </c>
      <c r="J144" s="5" t="str">
        <f aca="false">ROUND(83*1,0)&amp;"%"</f>
        <v>83%</v>
      </c>
    </row>
    <row r="145" customFormat="false" ht="15" hidden="false" customHeight="false" outlineLevel="0" collapsed="false">
      <c r="A145" s="6" t="s">
        <v>10175</v>
      </c>
      <c r="B145" s="6" t="s">
        <v>256</v>
      </c>
      <c r="C145" s="6" t="s">
        <v>114</v>
      </c>
      <c r="D145" s="6" t="s">
        <v>22</v>
      </c>
      <c r="E145" s="6" t="n">
        <f aca="false">ROUND(13533*1.05,2)</f>
        <v>14209.65</v>
      </c>
      <c r="F145" s="6" t="s">
        <v>52</v>
      </c>
      <c r="G145" s="6" t="s">
        <v>24</v>
      </c>
      <c r="H145" s="6" t="n">
        <f aca="true">ROUND(RAND()*4+6,1)</f>
        <v>8.5</v>
      </c>
      <c r="I145" s="6" t="s">
        <v>25</v>
      </c>
      <c r="J145" s="6" t="str">
        <f aca="false">ROUND(77*1,0)&amp;"%"</f>
        <v>77%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10176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10177</v>
      </c>
      <c r="B150" s="5" t="s">
        <v>260</v>
      </c>
      <c r="C150" s="5" t="s">
        <v>133</v>
      </c>
      <c r="D150" s="5" t="s">
        <v>16</v>
      </c>
      <c r="E150" s="5" t="n">
        <f aca="false">ROUND(14009*1.05,2)</f>
        <v>14709.45</v>
      </c>
      <c r="F150" s="5" t="s">
        <v>17</v>
      </c>
      <c r="G150" s="5" t="s">
        <v>18</v>
      </c>
      <c r="H150" s="5" t="n">
        <f aca="true">ROUND(RAND()*4+6,1)</f>
        <v>6.4</v>
      </c>
      <c r="I150" s="5" t="s">
        <v>19</v>
      </c>
      <c r="J150" s="5" t="str">
        <f aca="false">ROUND(78*1,0)&amp;"%"</f>
        <v>78%</v>
      </c>
    </row>
    <row r="151" customFormat="false" ht="15" hidden="false" customHeight="false" outlineLevel="0" collapsed="false">
      <c r="A151" s="6" t="s">
        <v>10178</v>
      </c>
      <c r="B151" s="6" t="s">
        <v>262</v>
      </c>
      <c r="C151" s="6" t="s">
        <v>133</v>
      </c>
      <c r="D151" s="6" t="s">
        <v>22</v>
      </c>
      <c r="E151" s="6" t="n">
        <f aca="false">ROUND(4952*1.05,2)</f>
        <v>5199.6</v>
      </c>
      <c r="F151" s="6" t="s">
        <v>23</v>
      </c>
      <c r="G151" s="6" t="s">
        <v>24</v>
      </c>
      <c r="H151" s="6" t="n">
        <f aca="true">ROUND(RAND()*4+6,1)</f>
        <v>7.4</v>
      </c>
      <c r="I151" s="6" t="s">
        <v>25</v>
      </c>
      <c r="J151" s="6" t="str">
        <f aca="false">ROUND(79*1,0)&amp;"%"</f>
        <v>79%</v>
      </c>
    </row>
    <row r="152" customFormat="false" ht="15" hidden="false" customHeight="false" outlineLevel="0" collapsed="false">
      <c r="A152" s="5" t="s">
        <v>10179</v>
      </c>
      <c r="B152" s="5" t="s">
        <v>264</v>
      </c>
      <c r="C152" s="5" t="s">
        <v>133</v>
      </c>
      <c r="D152" s="5" t="s">
        <v>28</v>
      </c>
      <c r="E152" s="5" t="n">
        <f aca="false">ROUND(5919*1.05,2)</f>
        <v>6214.95</v>
      </c>
      <c r="F152" s="5" t="s">
        <v>29</v>
      </c>
      <c r="G152" s="5" t="s">
        <v>30</v>
      </c>
      <c r="H152" s="5" t="n">
        <f aca="true">ROUND(RAND()*4+6,1)</f>
        <v>7.4</v>
      </c>
      <c r="I152" s="5" t="s">
        <v>31</v>
      </c>
      <c r="J152" s="5" t="str">
        <f aca="false">ROUND(91*1,0)&amp;"%"</f>
        <v>91%</v>
      </c>
    </row>
    <row r="153" customFormat="false" ht="15" hidden="false" customHeight="false" outlineLevel="0" collapsed="false">
      <c r="A153" s="6" t="s">
        <v>10180</v>
      </c>
      <c r="B153" s="6" t="s">
        <v>266</v>
      </c>
      <c r="C153" s="6" t="s">
        <v>133</v>
      </c>
      <c r="D153" s="6" t="s">
        <v>34</v>
      </c>
      <c r="E153" s="6" t="n">
        <f aca="false">ROUND(7707*1.05,2)</f>
        <v>8092.35</v>
      </c>
      <c r="F153" s="6" t="s">
        <v>35</v>
      </c>
      <c r="G153" s="6" t="s">
        <v>18</v>
      </c>
      <c r="H153" s="6" t="n">
        <f aca="true">ROUND(RAND()*4+6,1)</f>
        <v>7.7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10181</v>
      </c>
      <c r="B154" s="5" t="s">
        <v>268</v>
      </c>
      <c r="C154" s="5" t="s">
        <v>133</v>
      </c>
      <c r="D154" s="5" t="s">
        <v>39</v>
      </c>
      <c r="E154" s="5" t="n">
        <f aca="false">ROUND(17092*1.05,2)</f>
        <v>17946.6</v>
      </c>
      <c r="F154" s="5" t="s">
        <v>40</v>
      </c>
      <c r="G154" s="5" t="s">
        <v>24</v>
      </c>
      <c r="H154" s="5" t="n">
        <f aca="true">ROUND(RAND()*4+6,1)</f>
        <v>8.8</v>
      </c>
      <c r="I154" s="5" t="s">
        <v>41</v>
      </c>
      <c r="J154" s="5" t="str">
        <f aca="false">ROUND(89*1,0)&amp;"%"</f>
        <v>89%</v>
      </c>
    </row>
    <row r="155" customFormat="false" ht="15" hidden="false" customHeight="false" outlineLevel="0" collapsed="false">
      <c r="A155" s="6" t="s">
        <v>10182</v>
      </c>
      <c r="B155" s="6" t="s">
        <v>270</v>
      </c>
      <c r="C155" s="6" t="s">
        <v>133</v>
      </c>
      <c r="D155" s="6" t="s">
        <v>44</v>
      </c>
      <c r="E155" s="6" t="n">
        <f aca="false">ROUND(16597*1.05,2)</f>
        <v>17426.85</v>
      </c>
      <c r="F155" s="6" t="s">
        <v>45</v>
      </c>
      <c r="G155" s="6" t="s">
        <v>30</v>
      </c>
      <c r="H155" s="6" t="n">
        <f aca="true">ROUND(RAND()*4+6,1)</f>
        <v>9.3</v>
      </c>
      <c r="I155" s="6" t="s">
        <v>46</v>
      </c>
      <c r="J155" s="6" t="str">
        <f aca="false">ROUND(62*1,0)&amp;"%"</f>
        <v>62%</v>
      </c>
    </row>
    <row r="156" customFormat="false" ht="15" hidden="false" customHeight="false" outlineLevel="0" collapsed="false">
      <c r="A156" s="5" t="s">
        <v>10183</v>
      </c>
      <c r="B156" s="5" t="s">
        <v>272</v>
      </c>
      <c r="C156" s="5" t="s">
        <v>133</v>
      </c>
      <c r="D156" s="5" t="s">
        <v>16</v>
      </c>
      <c r="E156" s="5" t="n">
        <f aca="false">ROUND(14526*1.05,2)</f>
        <v>15252.3</v>
      </c>
      <c r="F156" s="5" t="s">
        <v>49</v>
      </c>
      <c r="G156" s="5" t="s">
        <v>18</v>
      </c>
      <c r="H156" s="5" t="n">
        <f aca="true">ROUND(RAND()*4+6,1)</f>
        <v>8.5</v>
      </c>
      <c r="I156" s="5" t="s">
        <v>19</v>
      </c>
      <c r="J156" s="5" t="str">
        <f aca="false">ROUND(96*1,0)&amp;"%"</f>
        <v>96%</v>
      </c>
    </row>
    <row r="157" customFormat="false" ht="15" hidden="false" customHeight="false" outlineLevel="0" collapsed="false">
      <c r="A157" s="6" t="s">
        <v>10184</v>
      </c>
      <c r="B157" s="6" t="s">
        <v>274</v>
      </c>
      <c r="C157" s="6" t="s">
        <v>133</v>
      </c>
      <c r="D157" s="6" t="s">
        <v>22</v>
      </c>
      <c r="E157" s="6" t="n">
        <f aca="false">ROUND(13974*1.05,2)</f>
        <v>14672.7</v>
      </c>
      <c r="F157" s="6" t="s">
        <v>52</v>
      </c>
      <c r="G157" s="6" t="s">
        <v>24</v>
      </c>
      <c r="H157" s="6" t="n">
        <f aca="true">ROUND(RAND()*4+6,1)</f>
        <v>7.3</v>
      </c>
      <c r="I157" s="6" t="s">
        <v>25</v>
      </c>
      <c r="J157" s="6" t="str">
        <f aca="false">ROUND(86*1,0)&amp;"%"</f>
        <v>86%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10185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10186</v>
      </c>
      <c r="B162" s="5" t="s">
        <v>278</v>
      </c>
      <c r="C162" s="5" t="s">
        <v>152</v>
      </c>
      <c r="D162" s="5" t="s">
        <v>16</v>
      </c>
      <c r="E162" s="5" t="n">
        <f aca="false">ROUND(17036*1.05,2)</f>
        <v>17887.8</v>
      </c>
      <c r="F162" s="5" t="s">
        <v>17</v>
      </c>
      <c r="G162" s="5" t="s">
        <v>18</v>
      </c>
      <c r="H162" s="5" t="n">
        <f aca="true">ROUND(RAND()*4+6,1)</f>
        <v>9.9</v>
      </c>
      <c r="I162" s="5" t="s">
        <v>19</v>
      </c>
      <c r="J162" s="5" t="str">
        <f aca="false">ROUND(71*1,0)&amp;"%"</f>
        <v>71%</v>
      </c>
    </row>
    <row r="163" customFormat="false" ht="15" hidden="false" customHeight="false" outlineLevel="0" collapsed="false">
      <c r="A163" s="6" t="s">
        <v>10187</v>
      </c>
      <c r="B163" s="6" t="s">
        <v>280</v>
      </c>
      <c r="C163" s="6" t="s">
        <v>152</v>
      </c>
      <c r="D163" s="6" t="s">
        <v>22</v>
      </c>
      <c r="E163" s="6" t="n">
        <f aca="false">ROUND(8283*1.05,2)</f>
        <v>8697.15</v>
      </c>
      <c r="F163" s="6" t="s">
        <v>23</v>
      </c>
      <c r="G163" s="6" t="s">
        <v>24</v>
      </c>
      <c r="H163" s="6" t="n">
        <f aca="true">ROUND(RAND()*4+6,1)</f>
        <v>6.4</v>
      </c>
      <c r="I163" s="6" t="s">
        <v>25</v>
      </c>
      <c r="J163" s="6" t="str">
        <f aca="false">ROUND(88*1,0)&amp;"%"</f>
        <v>88%</v>
      </c>
    </row>
    <row r="164" customFormat="false" ht="15" hidden="false" customHeight="false" outlineLevel="0" collapsed="false">
      <c r="A164" s="5" t="s">
        <v>10188</v>
      </c>
      <c r="B164" s="5" t="s">
        <v>282</v>
      </c>
      <c r="C164" s="5" t="s">
        <v>152</v>
      </c>
      <c r="D164" s="5" t="s">
        <v>28</v>
      </c>
      <c r="E164" s="5" t="n">
        <f aca="false">ROUND(13854*1.05,2)</f>
        <v>14546.7</v>
      </c>
      <c r="F164" s="5" t="s">
        <v>29</v>
      </c>
      <c r="G164" s="5" t="s">
        <v>30</v>
      </c>
      <c r="H164" s="5" t="n">
        <f aca="true">ROUND(RAND()*4+6,1)</f>
        <v>7</v>
      </c>
      <c r="I164" s="5" t="s">
        <v>31</v>
      </c>
      <c r="J164" s="5" t="str">
        <f aca="false">ROUND(70*1,0)&amp;"%"</f>
        <v>70%</v>
      </c>
    </row>
    <row r="165" customFormat="false" ht="15" hidden="false" customHeight="false" outlineLevel="0" collapsed="false">
      <c r="A165" s="6" t="s">
        <v>10189</v>
      </c>
      <c r="B165" s="6" t="s">
        <v>284</v>
      </c>
      <c r="C165" s="6" t="s">
        <v>152</v>
      </c>
      <c r="D165" s="6" t="s">
        <v>34</v>
      </c>
      <c r="E165" s="6" t="n">
        <f aca="false">ROUND(15296*1.05,2)</f>
        <v>16060.8</v>
      </c>
      <c r="F165" s="6" t="s">
        <v>35</v>
      </c>
      <c r="G165" s="6" t="s">
        <v>18</v>
      </c>
      <c r="H165" s="6" t="n">
        <f aca="true">ROUND(RAND()*4+6,1)</f>
        <v>7.9</v>
      </c>
      <c r="I165" s="6" t="s">
        <v>36</v>
      </c>
      <c r="J165" s="6" t="str">
        <f aca="false">ROUND(78*1,0)&amp;"%"</f>
        <v>78%</v>
      </c>
    </row>
    <row r="166" customFormat="false" ht="15" hidden="false" customHeight="false" outlineLevel="0" collapsed="false">
      <c r="A166" s="5" t="s">
        <v>10190</v>
      </c>
      <c r="B166" s="5" t="s">
        <v>286</v>
      </c>
      <c r="C166" s="5" t="s">
        <v>152</v>
      </c>
      <c r="D166" s="5" t="s">
        <v>39</v>
      </c>
      <c r="E166" s="5" t="n">
        <f aca="false">ROUND(8474*1.05,2)</f>
        <v>8897.7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10191</v>
      </c>
      <c r="B167" s="6" t="s">
        <v>288</v>
      </c>
      <c r="C167" s="6" t="s">
        <v>152</v>
      </c>
      <c r="D167" s="6" t="s">
        <v>44</v>
      </c>
      <c r="E167" s="6" t="n">
        <f aca="false">ROUND(16740*1.05,2)</f>
        <v>17577</v>
      </c>
      <c r="F167" s="6" t="s">
        <v>45</v>
      </c>
      <c r="G167" s="6" t="s">
        <v>30</v>
      </c>
      <c r="H167" s="6" t="n">
        <f aca="true">ROUND(RAND()*4+6,1)</f>
        <v>7.7</v>
      </c>
      <c r="I167" s="6" t="s">
        <v>46</v>
      </c>
      <c r="J167" s="6" t="str">
        <f aca="false">ROUND(99*1,0)&amp;"%"</f>
        <v>99%</v>
      </c>
    </row>
    <row r="168" customFormat="false" ht="15" hidden="false" customHeight="false" outlineLevel="0" collapsed="false">
      <c r="A168" s="5" t="s">
        <v>10192</v>
      </c>
      <c r="B168" s="5" t="s">
        <v>290</v>
      </c>
      <c r="C168" s="5" t="s">
        <v>152</v>
      </c>
      <c r="D168" s="5" t="s">
        <v>16</v>
      </c>
      <c r="E168" s="5" t="n">
        <f aca="false">ROUND(6098*1.05,2)</f>
        <v>6402.9</v>
      </c>
      <c r="F168" s="5" t="s">
        <v>49</v>
      </c>
      <c r="G168" s="5" t="s">
        <v>18</v>
      </c>
      <c r="H168" s="5" t="n">
        <f aca="true">ROUND(RAND()*4+6,1)</f>
        <v>6.8</v>
      </c>
      <c r="I168" s="5" t="s">
        <v>19</v>
      </c>
      <c r="J168" s="5" t="str">
        <f aca="false">ROUND(67*1,0)&amp;"%"</f>
        <v>67%</v>
      </c>
    </row>
    <row r="169" customFormat="false" ht="15" hidden="false" customHeight="false" outlineLevel="0" collapsed="false">
      <c r="A169" s="6" t="s">
        <v>10193</v>
      </c>
      <c r="B169" s="6" t="s">
        <v>292</v>
      </c>
      <c r="C169" s="6" t="s">
        <v>152</v>
      </c>
      <c r="D169" s="6" t="s">
        <v>22</v>
      </c>
      <c r="E169" s="6" t="n">
        <f aca="false">ROUND(4953*1.05,2)</f>
        <v>5200.65</v>
      </c>
      <c r="F169" s="6" t="s">
        <v>52</v>
      </c>
      <c r="G169" s="6" t="s">
        <v>24</v>
      </c>
      <c r="H169" s="6" t="n">
        <f aca="true">ROUND(RAND()*4+6,1)</f>
        <v>6.3</v>
      </c>
      <c r="I169" s="6" t="s">
        <v>25</v>
      </c>
      <c r="J169" s="6" t="str">
        <f aca="false">ROUND(100*1,0)&amp;"%"</f>
        <v>100%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10194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10195</v>
      </c>
      <c r="B174" s="5" t="s">
        <v>296</v>
      </c>
      <c r="C174" s="5" t="s">
        <v>15</v>
      </c>
      <c r="D174" s="5" t="s">
        <v>16</v>
      </c>
      <c r="E174" s="5" t="n">
        <f aca="false">ROUND(5284*1.05,2)</f>
        <v>5548.2</v>
      </c>
      <c r="F174" s="5" t="s">
        <v>17</v>
      </c>
      <c r="G174" s="5" t="s">
        <v>18</v>
      </c>
      <c r="H174" s="5" t="n">
        <f aca="true">ROUND(RAND()*4+6,1)</f>
        <v>6.2</v>
      </c>
      <c r="I174" s="5" t="s">
        <v>19</v>
      </c>
      <c r="J174" s="5" t="str">
        <f aca="false">ROUND(82*1,0)&amp;"%"</f>
        <v>82%</v>
      </c>
    </row>
    <row r="175" customFormat="false" ht="15" hidden="false" customHeight="false" outlineLevel="0" collapsed="false">
      <c r="A175" s="6" t="s">
        <v>10196</v>
      </c>
      <c r="B175" s="6" t="s">
        <v>298</v>
      </c>
      <c r="C175" s="6" t="s">
        <v>15</v>
      </c>
      <c r="D175" s="6" t="s">
        <v>22</v>
      </c>
      <c r="E175" s="6" t="n">
        <f aca="false">ROUND(11546*1.05,2)</f>
        <v>12123.3</v>
      </c>
      <c r="F175" s="6" t="s">
        <v>23</v>
      </c>
      <c r="G175" s="6" t="s">
        <v>24</v>
      </c>
      <c r="H175" s="6" t="n">
        <f aca="true">ROUND(RAND()*4+6,1)</f>
        <v>7.2</v>
      </c>
      <c r="I175" s="6" t="s">
        <v>25</v>
      </c>
      <c r="J175" s="6" t="str">
        <f aca="false">ROUND(98*1,0)&amp;"%"</f>
        <v>98%</v>
      </c>
    </row>
    <row r="176" customFormat="false" ht="15" hidden="false" customHeight="false" outlineLevel="0" collapsed="false">
      <c r="A176" s="5" t="s">
        <v>10197</v>
      </c>
      <c r="B176" s="5" t="s">
        <v>300</v>
      </c>
      <c r="C176" s="5" t="s">
        <v>15</v>
      </c>
      <c r="D176" s="5" t="s">
        <v>28</v>
      </c>
      <c r="E176" s="5" t="n">
        <f aca="false">ROUND(9593*1.05,2)</f>
        <v>10072.65</v>
      </c>
      <c r="F176" s="5" t="s">
        <v>29</v>
      </c>
      <c r="G176" s="5" t="s">
        <v>30</v>
      </c>
      <c r="H176" s="5" t="n">
        <f aca="true">ROUND(RAND()*4+6,1)</f>
        <v>6.8</v>
      </c>
      <c r="I176" s="5" t="s">
        <v>31</v>
      </c>
      <c r="J176" s="5" t="str">
        <f aca="false">ROUND(71*1,0)&amp;"%"</f>
        <v>71%</v>
      </c>
    </row>
    <row r="177" customFormat="false" ht="15" hidden="false" customHeight="false" outlineLevel="0" collapsed="false">
      <c r="A177" s="6" t="s">
        <v>10198</v>
      </c>
      <c r="B177" s="6" t="s">
        <v>302</v>
      </c>
      <c r="C177" s="6" t="s">
        <v>15</v>
      </c>
      <c r="D177" s="6" t="s">
        <v>34</v>
      </c>
      <c r="E177" s="6" t="n">
        <f aca="false">ROUND(8694*1.05,2)</f>
        <v>9128.7</v>
      </c>
      <c r="F177" s="6" t="s">
        <v>35</v>
      </c>
      <c r="G177" s="6" t="s">
        <v>18</v>
      </c>
      <c r="H177" s="6" t="n">
        <f aca="true">ROUND(RAND()*4+6,1)</f>
        <v>6.6</v>
      </c>
      <c r="I177" s="6" t="s">
        <v>36</v>
      </c>
      <c r="J177" s="6" t="str">
        <f aca="false">ROUND(85*1,0)&amp;"%"</f>
        <v>85%</v>
      </c>
    </row>
    <row r="178" customFormat="false" ht="15" hidden="false" customHeight="false" outlineLevel="0" collapsed="false">
      <c r="A178" s="5" t="s">
        <v>10199</v>
      </c>
      <c r="B178" s="5" t="s">
        <v>304</v>
      </c>
      <c r="C178" s="5" t="s">
        <v>15</v>
      </c>
      <c r="D178" s="5" t="s">
        <v>39</v>
      </c>
      <c r="E178" s="5" t="n">
        <f aca="false">ROUND(13053*1.05,2)</f>
        <v>13705.65</v>
      </c>
      <c r="F178" s="5" t="s">
        <v>40</v>
      </c>
      <c r="G178" s="5" t="s">
        <v>24</v>
      </c>
      <c r="H178" s="5" t="n">
        <f aca="true">ROUND(RAND()*4+6,1)</f>
        <v>6</v>
      </c>
      <c r="I178" s="5" t="s">
        <v>41</v>
      </c>
      <c r="J178" s="5" t="str">
        <f aca="false">ROUND(79*1,0)&amp;"%"</f>
        <v>79%</v>
      </c>
    </row>
    <row r="179" customFormat="false" ht="15" hidden="false" customHeight="false" outlineLevel="0" collapsed="false">
      <c r="A179" s="6" t="s">
        <v>10200</v>
      </c>
      <c r="B179" s="6" t="s">
        <v>306</v>
      </c>
      <c r="C179" s="6" t="s">
        <v>15</v>
      </c>
      <c r="D179" s="6" t="s">
        <v>44</v>
      </c>
      <c r="E179" s="6" t="n">
        <f aca="false">ROUND(12734*1.05,2)</f>
        <v>13370.7</v>
      </c>
      <c r="F179" s="6" t="s">
        <v>45</v>
      </c>
      <c r="G179" s="6" t="s">
        <v>30</v>
      </c>
      <c r="H179" s="6" t="n">
        <f aca="true">ROUND(RAND()*4+6,1)</f>
        <v>9.8</v>
      </c>
      <c r="I179" s="6" t="s">
        <v>46</v>
      </c>
      <c r="J179" s="6" t="str">
        <f aca="false">ROUND(70*1,0)&amp;"%"</f>
        <v>70%</v>
      </c>
    </row>
    <row r="180" customFormat="false" ht="15" hidden="false" customHeight="false" outlineLevel="0" collapsed="false">
      <c r="A180" s="5" t="s">
        <v>10201</v>
      </c>
      <c r="B180" s="5" t="s">
        <v>308</v>
      </c>
      <c r="C180" s="5" t="s">
        <v>15</v>
      </c>
      <c r="D180" s="5" t="s">
        <v>16</v>
      </c>
      <c r="E180" s="5" t="n">
        <f aca="false">ROUND(11239*1.05,2)</f>
        <v>11800.95</v>
      </c>
      <c r="F180" s="5" t="s">
        <v>49</v>
      </c>
      <c r="G180" s="5" t="s">
        <v>18</v>
      </c>
      <c r="H180" s="5" t="n">
        <f aca="true">ROUND(RAND()*4+6,1)</f>
        <v>7.8</v>
      </c>
      <c r="I180" s="5" t="s">
        <v>19</v>
      </c>
      <c r="J180" s="5" t="str">
        <f aca="false">ROUND(75*1,0)&amp;"%"</f>
        <v>75%</v>
      </c>
    </row>
    <row r="181" customFormat="false" ht="15" hidden="false" customHeight="false" outlineLevel="0" collapsed="false">
      <c r="A181" s="6" t="s">
        <v>10202</v>
      </c>
      <c r="B181" s="6" t="s">
        <v>310</v>
      </c>
      <c r="C181" s="6" t="s">
        <v>15</v>
      </c>
      <c r="D181" s="6" t="s">
        <v>22</v>
      </c>
      <c r="E181" s="6" t="n">
        <f aca="false">ROUND(10286*1.05,2)</f>
        <v>10800.3</v>
      </c>
      <c r="F181" s="6" t="s">
        <v>52</v>
      </c>
      <c r="G181" s="6" t="s">
        <v>24</v>
      </c>
      <c r="H181" s="6" t="n">
        <f aca="true">ROUND(RAND()*4+6,1)</f>
        <v>7.2</v>
      </c>
      <c r="I181" s="6" t="s">
        <v>25</v>
      </c>
      <c r="J181" s="6" t="str">
        <f aca="false">ROUND(96*1,0)&amp;"%"</f>
        <v>96%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10203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10204</v>
      </c>
      <c r="B186" s="5" t="s">
        <v>314</v>
      </c>
      <c r="C186" s="5" t="s">
        <v>57</v>
      </c>
      <c r="D186" s="5" t="s">
        <v>16</v>
      </c>
      <c r="E186" s="5" t="n">
        <f aca="false">ROUND(7242*1.05,2)</f>
        <v>7604.1</v>
      </c>
      <c r="F186" s="5" t="s">
        <v>17</v>
      </c>
      <c r="G186" s="5" t="s">
        <v>18</v>
      </c>
      <c r="H186" s="5" t="n">
        <f aca="true">ROUND(RAND()*4+6,1)</f>
        <v>7.8</v>
      </c>
      <c r="I186" s="5" t="s">
        <v>19</v>
      </c>
      <c r="J186" s="5" t="str">
        <f aca="false">ROUND(83*1,0)&amp;"%"</f>
        <v>83%</v>
      </c>
    </row>
    <row r="187" customFormat="false" ht="15" hidden="false" customHeight="false" outlineLevel="0" collapsed="false">
      <c r="A187" s="6" t="s">
        <v>10205</v>
      </c>
      <c r="B187" s="6" t="s">
        <v>316</v>
      </c>
      <c r="C187" s="6" t="s">
        <v>57</v>
      </c>
      <c r="D187" s="6" t="s">
        <v>22</v>
      </c>
      <c r="E187" s="6" t="n">
        <f aca="false">ROUND(7420*1.05,2)</f>
        <v>7791</v>
      </c>
      <c r="F187" s="6" t="s">
        <v>23</v>
      </c>
      <c r="G187" s="6" t="s">
        <v>24</v>
      </c>
      <c r="H187" s="6" t="n">
        <f aca="true">ROUND(RAND()*4+6,1)</f>
        <v>9.7</v>
      </c>
      <c r="I187" s="6" t="s">
        <v>25</v>
      </c>
      <c r="J187" s="6" t="str">
        <f aca="false">ROUND(73*1,0)&amp;"%"</f>
        <v>73%</v>
      </c>
    </row>
    <row r="188" customFormat="false" ht="15" hidden="false" customHeight="false" outlineLevel="0" collapsed="false">
      <c r="A188" s="5" t="s">
        <v>10206</v>
      </c>
      <c r="B188" s="5" t="s">
        <v>318</v>
      </c>
      <c r="C188" s="5" t="s">
        <v>57</v>
      </c>
      <c r="D188" s="5" t="s">
        <v>28</v>
      </c>
      <c r="E188" s="5" t="n">
        <f aca="false">ROUND(13435*1.05,2)</f>
        <v>14106.75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ROUND(64*1,0)&amp;"%"</f>
        <v>64%</v>
      </c>
    </row>
    <row r="189" customFormat="false" ht="15" hidden="false" customHeight="false" outlineLevel="0" collapsed="false">
      <c r="A189" s="6" t="s">
        <v>10207</v>
      </c>
      <c r="B189" s="6" t="s">
        <v>320</v>
      </c>
      <c r="C189" s="6" t="s">
        <v>57</v>
      </c>
      <c r="D189" s="6" t="s">
        <v>34</v>
      </c>
      <c r="E189" s="6" t="n">
        <f aca="false">ROUND(11780*1.05,2)</f>
        <v>12369</v>
      </c>
      <c r="F189" s="6" t="s">
        <v>35</v>
      </c>
      <c r="G189" s="6" t="s">
        <v>18</v>
      </c>
      <c r="H189" s="6" t="n">
        <f aca="true">ROUND(RAND()*4+6,1)</f>
        <v>9.8</v>
      </c>
      <c r="I189" s="6" t="s">
        <v>36</v>
      </c>
      <c r="J189" s="6" t="str">
        <f aca="false">ROUND(80*1,0)&amp;"%"</f>
        <v>80%</v>
      </c>
    </row>
    <row r="190" customFormat="false" ht="15" hidden="false" customHeight="false" outlineLevel="0" collapsed="false">
      <c r="A190" s="5" t="s">
        <v>10208</v>
      </c>
      <c r="B190" s="5" t="s">
        <v>322</v>
      </c>
      <c r="C190" s="5" t="s">
        <v>57</v>
      </c>
      <c r="D190" s="5" t="s">
        <v>39</v>
      </c>
      <c r="E190" s="5" t="n">
        <f aca="false">ROUND(11195*1.05,2)</f>
        <v>11754.75</v>
      </c>
      <c r="F190" s="5" t="s">
        <v>40</v>
      </c>
      <c r="G190" s="5" t="s">
        <v>24</v>
      </c>
      <c r="H190" s="5" t="n">
        <f aca="true">ROUND(RAND()*4+6,1)</f>
        <v>6.7</v>
      </c>
      <c r="I190" s="5" t="s">
        <v>41</v>
      </c>
      <c r="J190" s="5" t="str">
        <f aca="false">ROUND(93*1,0)&amp;"%"</f>
        <v>93%</v>
      </c>
    </row>
    <row r="191" customFormat="false" ht="15" hidden="false" customHeight="false" outlineLevel="0" collapsed="false">
      <c r="A191" s="6" t="s">
        <v>10209</v>
      </c>
      <c r="B191" s="6" t="s">
        <v>324</v>
      </c>
      <c r="C191" s="6" t="s">
        <v>57</v>
      </c>
      <c r="D191" s="6" t="s">
        <v>44</v>
      </c>
      <c r="E191" s="6" t="n">
        <f aca="false">ROUND(8544*1.05,2)</f>
        <v>8971.2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ROUND(86*1,0)&amp;"%"</f>
        <v>86%</v>
      </c>
    </row>
    <row r="192" customFormat="false" ht="15" hidden="false" customHeight="false" outlineLevel="0" collapsed="false">
      <c r="A192" s="5" t="s">
        <v>10210</v>
      </c>
      <c r="B192" s="5" t="s">
        <v>326</v>
      </c>
      <c r="C192" s="5" t="s">
        <v>57</v>
      </c>
      <c r="D192" s="5" t="s">
        <v>16</v>
      </c>
      <c r="E192" s="5" t="n">
        <f aca="false">ROUND(16771*1.05,2)</f>
        <v>17609.55</v>
      </c>
      <c r="F192" s="5" t="s">
        <v>49</v>
      </c>
      <c r="G192" s="5" t="s">
        <v>18</v>
      </c>
      <c r="H192" s="5" t="n">
        <f aca="true">ROUND(RAND()*4+6,1)</f>
        <v>8.7</v>
      </c>
      <c r="I192" s="5" t="s">
        <v>19</v>
      </c>
      <c r="J192" s="5" t="str">
        <f aca="false">ROUND(93*1,0)&amp;"%"</f>
        <v>93%</v>
      </c>
    </row>
    <row r="193" customFormat="false" ht="15" hidden="false" customHeight="false" outlineLevel="0" collapsed="false">
      <c r="A193" s="6" t="s">
        <v>10211</v>
      </c>
      <c r="B193" s="6" t="s">
        <v>328</v>
      </c>
      <c r="C193" s="6" t="s">
        <v>57</v>
      </c>
      <c r="D193" s="6" t="s">
        <v>22</v>
      </c>
      <c r="E193" s="6" t="n">
        <f aca="false">ROUND(16559*1.05,2)</f>
        <v>17386.95</v>
      </c>
      <c r="F193" s="6" t="s">
        <v>52</v>
      </c>
      <c r="G193" s="6" t="s">
        <v>24</v>
      </c>
      <c r="H193" s="6" t="n">
        <f aca="true">ROUND(RAND()*4+6,1)</f>
        <v>9.4</v>
      </c>
      <c r="I193" s="6" t="s">
        <v>25</v>
      </c>
      <c r="J193" s="6" t="str">
        <f aca="false">ROUND(76*1,0)&amp;"%"</f>
        <v>76%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10212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10213</v>
      </c>
      <c r="B198" s="5" t="s">
        <v>332</v>
      </c>
      <c r="C198" s="5" t="s">
        <v>76</v>
      </c>
      <c r="D198" s="5" t="s">
        <v>16</v>
      </c>
      <c r="E198" s="5" t="n">
        <f aca="false">ROUND(9294*1.05,2)</f>
        <v>9758.7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10214</v>
      </c>
      <c r="B199" s="6" t="s">
        <v>334</v>
      </c>
      <c r="C199" s="6" t="s">
        <v>76</v>
      </c>
      <c r="D199" s="6" t="s">
        <v>22</v>
      </c>
      <c r="E199" s="6" t="n">
        <f aca="false">ROUND(5965*1.05,2)</f>
        <v>6263.25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ROUND(95*1,0)&amp;"%"</f>
        <v>95%</v>
      </c>
    </row>
    <row r="200" customFormat="false" ht="15" hidden="false" customHeight="false" outlineLevel="0" collapsed="false">
      <c r="A200" s="5" t="s">
        <v>10215</v>
      </c>
      <c r="B200" s="5" t="s">
        <v>336</v>
      </c>
      <c r="C200" s="5" t="s">
        <v>76</v>
      </c>
      <c r="D200" s="5" t="s">
        <v>28</v>
      </c>
      <c r="E200" s="5" t="n">
        <f aca="false">ROUND(8728*1.05,2)</f>
        <v>9164.4</v>
      </c>
      <c r="F200" s="5" t="s">
        <v>29</v>
      </c>
      <c r="G200" s="5" t="s">
        <v>30</v>
      </c>
      <c r="H200" s="5" t="n">
        <f aca="true">ROUND(RAND()*4+6,1)</f>
        <v>8.1</v>
      </c>
      <c r="I200" s="5" t="s">
        <v>31</v>
      </c>
      <c r="J200" s="5" t="str">
        <f aca="false">ROUND(65*1,0)&amp;"%"</f>
        <v>65%</v>
      </c>
    </row>
    <row r="201" customFormat="false" ht="15" hidden="false" customHeight="false" outlineLevel="0" collapsed="false">
      <c r="A201" s="6" t="s">
        <v>10216</v>
      </c>
      <c r="B201" s="6" t="s">
        <v>338</v>
      </c>
      <c r="C201" s="6" t="s">
        <v>76</v>
      </c>
      <c r="D201" s="6" t="s">
        <v>34</v>
      </c>
      <c r="E201" s="6" t="n">
        <f aca="false">ROUND(15038*1.05,2)</f>
        <v>15789.9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ROUND(67*1,0)&amp;"%"</f>
        <v>67%</v>
      </c>
    </row>
    <row r="202" customFormat="false" ht="15" hidden="false" customHeight="false" outlineLevel="0" collapsed="false">
      <c r="A202" s="5" t="s">
        <v>10217</v>
      </c>
      <c r="B202" s="5" t="s">
        <v>340</v>
      </c>
      <c r="C202" s="5" t="s">
        <v>76</v>
      </c>
      <c r="D202" s="5" t="s">
        <v>39</v>
      </c>
      <c r="E202" s="5" t="n">
        <f aca="false">ROUND(12924*1.05,2)</f>
        <v>13570.2</v>
      </c>
      <c r="F202" s="5" t="s">
        <v>40</v>
      </c>
      <c r="G202" s="5" t="s">
        <v>24</v>
      </c>
      <c r="H202" s="5" t="n">
        <f aca="true">ROUND(RAND()*4+6,1)</f>
        <v>9.9</v>
      </c>
      <c r="I202" s="5" t="s">
        <v>41</v>
      </c>
      <c r="J202" s="5" t="str">
        <f aca="false">ROUND(91*1,0)&amp;"%"</f>
        <v>91%</v>
      </c>
    </row>
    <row r="203" customFormat="false" ht="15" hidden="false" customHeight="false" outlineLevel="0" collapsed="false">
      <c r="A203" s="6" t="s">
        <v>10218</v>
      </c>
      <c r="B203" s="6" t="s">
        <v>342</v>
      </c>
      <c r="C203" s="6" t="s">
        <v>76</v>
      </c>
      <c r="D203" s="6" t="s">
        <v>44</v>
      </c>
      <c r="E203" s="6" t="n">
        <f aca="false">ROUND(10973*1.05,2)</f>
        <v>11521.65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ROUND(73*1,0)&amp;"%"</f>
        <v>73%</v>
      </c>
    </row>
    <row r="204" customFormat="false" ht="15" hidden="false" customHeight="false" outlineLevel="0" collapsed="false">
      <c r="A204" s="5" t="s">
        <v>10219</v>
      </c>
      <c r="B204" s="5" t="s">
        <v>344</v>
      </c>
      <c r="C204" s="5" t="s">
        <v>76</v>
      </c>
      <c r="D204" s="5" t="s">
        <v>16</v>
      </c>
      <c r="E204" s="5" t="n">
        <f aca="false">ROUND(4230*1.05,2)</f>
        <v>4441.5</v>
      </c>
      <c r="F204" s="5" t="s">
        <v>49</v>
      </c>
      <c r="G204" s="5" t="s">
        <v>18</v>
      </c>
      <c r="H204" s="5" t="n">
        <f aca="true">ROUND(RAND()*4+6,1)</f>
        <v>6.5</v>
      </c>
      <c r="I204" s="5" t="s">
        <v>19</v>
      </c>
      <c r="J204" s="5" t="str">
        <f aca="false">ROUND(78*1,0)&amp;"%"</f>
        <v>78%</v>
      </c>
    </row>
    <row r="205" customFormat="false" ht="15" hidden="false" customHeight="false" outlineLevel="0" collapsed="false">
      <c r="A205" s="6" t="s">
        <v>10220</v>
      </c>
      <c r="B205" s="6" t="s">
        <v>346</v>
      </c>
      <c r="C205" s="6" t="s">
        <v>76</v>
      </c>
      <c r="D205" s="6" t="s">
        <v>22</v>
      </c>
      <c r="E205" s="6" t="n">
        <f aca="false">ROUND(11372*1.05,2)</f>
        <v>11940.6</v>
      </c>
      <c r="F205" s="6" t="s">
        <v>52</v>
      </c>
      <c r="G205" s="6" t="s">
        <v>24</v>
      </c>
      <c r="H205" s="6" t="n">
        <f aca="true">ROUND(RAND()*4+6,1)</f>
        <v>7.8</v>
      </c>
      <c r="I205" s="6" t="s">
        <v>25</v>
      </c>
      <c r="J205" s="6" t="str">
        <f aca="false">ROUND(83*1,0)&amp;"%"</f>
        <v>83%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10221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10222</v>
      </c>
      <c r="B210" s="5" t="s">
        <v>350</v>
      </c>
      <c r="C210" s="5" t="s">
        <v>95</v>
      </c>
      <c r="D210" s="5" t="s">
        <v>16</v>
      </c>
      <c r="E210" s="5" t="n">
        <f aca="false">ROUND(12416*1.05,2)</f>
        <v>13036.8</v>
      </c>
      <c r="F210" s="5" t="s">
        <v>17</v>
      </c>
      <c r="G210" s="5" t="s">
        <v>18</v>
      </c>
      <c r="H210" s="5" t="n">
        <f aca="true">ROUND(RAND()*4+6,1)</f>
        <v>6.3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10223</v>
      </c>
      <c r="B211" s="6" t="s">
        <v>352</v>
      </c>
      <c r="C211" s="6" t="s">
        <v>95</v>
      </c>
      <c r="D211" s="6" t="s">
        <v>22</v>
      </c>
      <c r="E211" s="6" t="n">
        <f aca="false">ROUND(12598*1.05,2)</f>
        <v>13227.9</v>
      </c>
      <c r="F211" s="6" t="s">
        <v>23</v>
      </c>
      <c r="G211" s="6" t="s">
        <v>24</v>
      </c>
      <c r="H211" s="6" t="n">
        <f aca="true">ROUND(RAND()*4+6,1)</f>
        <v>8.8</v>
      </c>
      <c r="I211" s="6" t="s">
        <v>25</v>
      </c>
      <c r="J211" s="6" t="str">
        <f aca="false">ROUND(61*1,0)&amp;"%"</f>
        <v>61%</v>
      </c>
    </row>
    <row r="212" customFormat="false" ht="15" hidden="false" customHeight="false" outlineLevel="0" collapsed="false">
      <c r="A212" s="5" t="s">
        <v>10224</v>
      </c>
      <c r="B212" s="5" t="s">
        <v>354</v>
      </c>
      <c r="C212" s="5" t="s">
        <v>95</v>
      </c>
      <c r="D212" s="5" t="s">
        <v>28</v>
      </c>
      <c r="E212" s="5" t="n">
        <f aca="false">ROUND(12714*1.05,2)</f>
        <v>13349.7</v>
      </c>
      <c r="F212" s="5" t="s">
        <v>29</v>
      </c>
      <c r="G212" s="5" t="s">
        <v>30</v>
      </c>
      <c r="H212" s="5" t="n">
        <f aca="true">ROUND(RAND()*4+6,1)</f>
        <v>9.5</v>
      </c>
      <c r="I212" s="5" t="s">
        <v>31</v>
      </c>
      <c r="J212" s="5" t="str">
        <f aca="false">ROUND(93*1,0)&amp;"%"</f>
        <v>93%</v>
      </c>
    </row>
    <row r="213" customFormat="false" ht="15" hidden="false" customHeight="false" outlineLevel="0" collapsed="false">
      <c r="A213" s="6" t="s">
        <v>10225</v>
      </c>
      <c r="B213" s="6" t="s">
        <v>356</v>
      </c>
      <c r="C213" s="6" t="s">
        <v>95</v>
      </c>
      <c r="D213" s="6" t="s">
        <v>34</v>
      </c>
      <c r="E213" s="6" t="n">
        <f aca="false">ROUND(5092*1.05,2)</f>
        <v>5346.6</v>
      </c>
      <c r="F213" s="6" t="s">
        <v>35</v>
      </c>
      <c r="G213" s="6" t="s">
        <v>18</v>
      </c>
      <c r="H213" s="6" t="n">
        <f aca="true">ROUND(RAND()*4+6,1)</f>
        <v>8.4</v>
      </c>
      <c r="I213" s="6" t="s">
        <v>36</v>
      </c>
      <c r="J213" s="6" t="str">
        <f aca="false">ROUND(62*1,0)&amp;"%"</f>
        <v>62%</v>
      </c>
    </row>
    <row r="214" customFormat="false" ht="15" hidden="false" customHeight="false" outlineLevel="0" collapsed="false">
      <c r="A214" s="5" t="s">
        <v>10226</v>
      </c>
      <c r="B214" s="5" t="s">
        <v>358</v>
      </c>
      <c r="C214" s="5" t="s">
        <v>95</v>
      </c>
      <c r="D214" s="5" t="s">
        <v>39</v>
      </c>
      <c r="E214" s="5" t="n">
        <f aca="false">ROUND(15839*1.05,2)</f>
        <v>16630.95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ROUND(100*1,0)&amp;"%"</f>
        <v>100%</v>
      </c>
    </row>
    <row r="215" customFormat="false" ht="15" hidden="false" customHeight="false" outlineLevel="0" collapsed="false">
      <c r="A215" s="6" t="s">
        <v>10227</v>
      </c>
      <c r="B215" s="6" t="s">
        <v>360</v>
      </c>
      <c r="C215" s="6" t="s">
        <v>95</v>
      </c>
      <c r="D215" s="6" t="s">
        <v>44</v>
      </c>
      <c r="E215" s="6" t="n">
        <f aca="false">ROUND(17866*1.05,2)</f>
        <v>18759.3</v>
      </c>
      <c r="F215" s="6" t="s">
        <v>45</v>
      </c>
      <c r="G215" s="6" t="s">
        <v>30</v>
      </c>
      <c r="H215" s="6" t="n">
        <f aca="true">ROUND(RAND()*4+6,1)</f>
        <v>8</v>
      </c>
      <c r="I215" s="6" t="s">
        <v>46</v>
      </c>
      <c r="J215" s="6" t="str">
        <f aca="false">ROUND(99*1,0)&amp;"%"</f>
        <v>99%</v>
      </c>
    </row>
    <row r="216" customFormat="false" ht="15" hidden="false" customHeight="false" outlineLevel="0" collapsed="false">
      <c r="A216" s="5" t="s">
        <v>10228</v>
      </c>
      <c r="B216" s="5" t="s">
        <v>362</v>
      </c>
      <c r="C216" s="5" t="s">
        <v>95</v>
      </c>
      <c r="D216" s="5" t="s">
        <v>16</v>
      </c>
      <c r="E216" s="5" t="n">
        <f aca="false">ROUND(14541*1.05,2)</f>
        <v>15268.05</v>
      </c>
      <c r="F216" s="5" t="s">
        <v>49</v>
      </c>
      <c r="G216" s="5" t="s">
        <v>18</v>
      </c>
      <c r="H216" s="5" t="n">
        <f aca="true">ROUND(RAND()*4+6,1)</f>
        <v>8.8</v>
      </c>
      <c r="I216" s="5" t="s">
        <v>19</v>
      </c>
      <c r="J216" s="5" t="str">
        <f aca="false">ROUND(76*1,0)&amp;"%"</f>
        <v>76%</v>
      </c>
    </row>
    <row r="217" customFormat="false" ht="15" hidden="false" customHeight="false" outlineLevel="0" collapsed="false">
      <c r="A217" s="6" t="s">
        <v>10229</v>
      </c>
      <c r="B217" s="6" t="s">
        <v>364</v>
      </c>
      <c r="C217" s="6" t="s">
        <v>95</v>
      </c>
      <c r="D217" s="6" t="s">
        <v>22</v>
      </c>
      <c r="E217" s="6" t="n">
        <f aca="false">ROUND(6629*1.05,2)</f>
        <v>6960.45</v>
      </c>
      <c r="F217" s="6" t="s">
        <v>52</v>
      </c>
      <c r="G217" s="6" t="s">
        <v>24</v>
      </c>
      <c r="H217" s="6" t="n">
        <f aca="true">ROUND(RAND()*4+6,1)</f>
        <v>9.7</v>
      </c>
      <c r="I217" s="6" t="s">
        <v>25</v>
      </c>
      <c r="J217" s="6" t="str">
        <f aca="false">ROUND(83*1,0)&amp;"%"</f>
        <v>83%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10230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10231</v>
      </c>
      <c r="B222" s="5" t="s">
        <v>368</v>
      </c>
      <c r="C222" s="5" t="s">
        <v>114</v>
      </c>
      <c r="D222" s="5" t="s">
        <v>16</v>
      </c>
      <c r="E222" s="5" t="n">
        <f aca="false">ROUND(11033*1.05,2)</f>
        <v>11584.65</v>
      </c>
      <c r="F222" s="5" t="s">
        <v>17</v>
      </c>
      <c r="G222" s="5" t="s">
        <v>18</v>
      </c>
      <c r="H222" s="5" t="n">
        <f aca="true">ROUND(RAND()*4+6,1)</f>
        <v>7.3</v>
      </c>
      <c r="I222" s="5" t="s">
        <v>19</v>
      </c>
      <c r="J222" s="5" t="str">
        <f aca="false">ROUND(87*1,0)&amp;"%"</f>
        <v>87%</v>
      </c>
    </row>
    <row r="223" customFormat="false" ht="15" hidden="false" customHeight="false" outlineLevel="0" collapsed="false">
      <c r="A223" s="6" t="s">
        <v>10232</v>
      </c>
      <c r="B223" s="6" t="s">
        <v>370</v>
      </c>
      <c r="C223" s="6" t="s">
        <v>114</v>
      </c>
      <c r="D223" s="6" t="s">
        <v>22</v>
      </c>
      <c r="E223" s="6" t="n">
        <f aca="false">ROUND(9808*1.05,2)</f>
        <v>10298.4</v>
      </c>
      <c r="F223" s="6" t="s">
        <v>23</v>
      </c>
      <c r="G223" s="6" t="s">
        <v>24</v>
      </c>
      <c r="H223" s="6" t="n">
        <f aca="true">ROUND(RAND()*4+6,1)</f>
        <v>6.9</v>
      </c>
      <c r="I223" s="6" t="s">
        <v>25</v>
      </c>
      <c r="J223" s="6" t="str">
        <f aca="false">ROUND(67*1,0)&amp;"%"</f>
        <v>67%</v>
      </c>
    </row>
    <row r="224" customFormat="false" ht="15" hidden="false" customHeight="false" outlineLevel="0" collapsed="false">
      <c r="A224" s="5" t="s">
        <v>10233</v>
      </c>
      <c r="B224" s="5" t="s">
        <v>372</v>
      </c>
      <c r="C224" s="5" t="s">
        <v>114</v>
      </c>
      <c r="D224" s="5" t="s">
        <v>28</v>
      </c>
      <c r="E224" s="5" t="n">
        <f aca="false">ROUND(11656*1.05,2)</f>
        <v>12238.8</v>
      </c>
      <c r="F224" s="5" t="s">
        <v>29</v>
      </c>
      <c r="G224" s="5" t="s">
        <v>30</v>
      </c>
      <c r="H224" s="5" t="n">
        <f aca="true">ROUND(RAND()*4+6,1)</f>
        <v>6.8</v>
      </c>
      <c r="I224" s="5" t="s">
        <v>31</v>
      </c>
      <c r="J224" s="5" t="str">
        <f aca="false">ROUND(83*1,0)&amp;"%"</f>
        <v>83%</v>
      </c>
    </row>
    <row r="225" customFormat="false" ht="15" hidden="false" customHeight="false" outlineLevel="0" collapsed="false">
      <c r="A225" s="6" t="s">
        <v>10234</v>
      </c>
      <c r="B225" s="6" t="s">
        <v>374</v>
      </c>
      <c r="C225" s="6" t="s">
        <v>114</v>
      </c>
      <c r="D225" s="6" t="s">
        <v>34</v>
      </c>
      <c r="E225" s="6" t="n">
        <f aca="false">ROUND(6769*1.05,2)</f>
        <v>7107.45</v>
      </c>
      <c r="F225" s="6" t="s">
        <v>35</v>
      </c>
      <c r="G225" s="6" t="s">
        <v>18</v>
      </c>
      <c r="H225" s="6" t="n">
        <f aca="true">ROUND(RAND()*4+6,1)</f>
        <v>6.6</v>
      </c>
      <c r="I225" s="6" t="s">
        <v>36</v>
      </c>
      <c r="J225" s="6" t="str">
        <f aca="false">ROUND(74*1,0)&amp;"%"</f>
        <v>74%</v>
      </c>
    </row>
    <row r="226" customFormat="false" ht="15" hidden="false" customHeight="false" outlineLevel="0" collapsed="false">
      <c r="A226" s="5" t="s">
        <v>10235</v>
      </c>
      <c r="B226" s="5" t="s">
        <v>376</v>
      </c>
      <c r="C226" s="5" t="s">
        <v>114</v>
      </c>
      <c r="D226" s="5" t="s">
        <v>39</v>
      </c>
      <c r="E226" s="5" t="n">
        <f aca="false">ROUND(13296*1.05,2)</f>
        <v>13960.8</v>
      </c>
      <c r="F226" s="5" t="s">
        <v>40</v>
      </c>
      <c r="G226" s="5" t="s">
        <v>24</v>
      </c>
      <c r="H226" s="5" t="n">
        <f aca="true">ROUND(RAND()*4+6,1)</f>
        <v>9.3</v>
      </c>
      <c r="I226" s="5" t="s">
        <v>41</v>
      </c>
      <c r="J226" s="5" t="str">
        <f aca="false">ROUND(94*1,0)&amp;"%"</f>
        <v>94%</v>
      </c>
    </row>
    <row r="227" customFormat="false" ht="15" hidden="false" customHeight="false" outlineLevel="0" collapsed="false">
      <c r="A227" s="6" t="s">
        <v>10236</v>
      </c>
      <c r="B227" s="6" t="s">
        <v>378</v>
      </c>
      <c r="C227" s="6" t="s">
        <v>114</v>
      </c>
      <c r="D227" s="6" t="s">
        <v>44</v>
      </c>
      <c r="E227" s="6" t="n">
        <f aca="false">ROUND(10319*1.05,2)</f>
        <v>10834.95</v>
      </c>
      <c r="F227" s="6" t="s">
        <v>45</v>
      </c>
      <c r="G227" s="6" t="s">
        <v>30</v>
      </c>
      <c r="H227" s="6" t="n">
        <f aca="true">ROUND(RAND()*4+6,1)</f>
        <v>6.5</v>
      </c>
      <c r="I227" s="6" t="s">
        <v>46</v>
      </c>
      <c r="J227" s="6" t="str">
        <f aca="false">ROUND(80*1,0)&amp;"%"</f>
        <v>80%</v>
      </c>
    </row>
    <row r="228" customFormat="false" ht="15" hidden="false" customHeight="false" outlineLevel="0" collapsed="false">
      <c r="A228" s="5" t="s">
        <v>10237</v>
      </c>
      <c r="B228" s="5" t="s">
        <v>380</v>
      </c>
      <c r="C228" s="5" t="s">
        <v>114</v>
      </c>
      <c r="D228" s="5" t="s">
        <v>16</v>
      </c>
      <c r="E228" s="5" t="n">
        <f aca="false">ROUND(7866*1.05,2)</f>
        <v>8259.3</v>
      </c>
      <c r="F228" s="5" t="s">
        <v>49</v>
      </c>
      <c r="G228" s="5" t="s">
        <v>18</v>
      </c>
      <c r="H228" s="5" t="n">
        <f aca="true">ROUND(RAND()*4+6,1)</f>
        <v>6.4</v>
      </c>
      <c r="I228" s="5" t="s">
        <v>19</v>
      </c>
      <c r="J228" s="5" t="str">
        <f aca="false">ROUND(80*1,0)&amp;"%"</f>
        <v>80%</v>
      </c>
    </row>
    <row r="229" customFormat="false" ht="15" hidden="false" customHeight="false" outlineLevel="0" collapsed="false">
      <c r="A229" s="6" t="s">
        <v>10238</v>
      </c>
      <c r="B229" s="6" t="s">
        <v>382</v>
      </c>
      <c r="C229" s="6" t="s">
        <v>114</v>
      </c>
      <c r="D229" s="6" t="s">
        <v>22</v>
      </c>
      <c r="E229" s="6" t="n">
        <f aca="false">ROUND(7075*1.05,2)</f>
        <v>7428.75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ROUND(63*1,0)&amp;"%"</f>
        <v>63%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10239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10240</v>
      </c>
      <c r="B234" s="5" t="s">
        <v>386</v>
      </c>
      <c r="C234" s="5" t="s">
        <v>133</v>
      </c>
      <c r="D234" s="5" t="s">
        <v>16</v>
      </c>
      <c r="E234" s="5" t="n">
        <f aca="false">ROUND(17556*1.05,2)</f>
        <v>18433.8</v>
      </c>
      <c r="F234" s="5" t="s">
        <v>17</v>
      </c>
      <c r="G234" s="5" t="s">
        <v>18</v>
      </c>
      <c r="H234" s="5" t="n">
        <f aca="true">ROUND(RAND()*4+6,1)</f>
        <v>6.2</v>
      </c>
      <c r="I234" s="5" t="s">
        <v>19</v>
      </c>
      <c r="J234" s="5" t="str">
        <f aca="false">ROUND(86*1,0)&amp;"%"</f>
        <v>86%</v>
      </c>
    </row>
    <row r="235" customFormat="false" ht="15" hidden="false" customHeight="false" outlineLevel="0" collapsed="false">
      <c r="A235" s="6" t="s">
        <v>10241</v>
      </c>
      <c r="B235" s="6" t="s">
        <v>388</v>
      </c>
      <c r="C235" s="6" t="s">
        <v>133</v>
      </c>
      <c r="D235" s="6" t="s">
        <v>22</v>
      </c>
      <c r="E235" s="6" t="n">
        <f aca="false">ROUND(9554*1.05,2)</f>
        <v>10031.7</v>
      </c>
      <c r="F235" s="6" t="s">
        <v>23</v>
      </c>
      <c r="G235" s="6" t="s">
        <v>24</v>
      </c>
      <c r="H235" s="6" t="n">
        <f aca="true">ROUND(RAND()*4+6,1)</f>
        <v>9.5</v>
      </c>
      <c r="I235" s="6" t="s">
        <v>25</v>
      </c>
      <c r="J235" s="6" t="str">
        <f aca="false">ROUND(68*1,0)&amp;"%"</f>
        <v>68%</v>
      </c>
    </row>
    <row r="236" customFormat="false" ht="15" hidden="false" customHeight="false" outlineLevel="0" collapsed="false">
      <c r="A236" s="5" t="s">
        <v>10242</v>
      </c>
      <c r="B236" s="5" t="s">
        <v>390</v>
      </c>
      <c r="C236" s="5" t="s">
        <v>133</v>
      </c>
      <c r="D236" s="5" t="s">
        <v>28</v>
      </c>
      <c r="E236" s="5" t="n">
        <f aca="false">ROUND(7663*1.05,2)</f>
        <v>8046.15</v>
      </c>
      <c r="F236" s="5" t="s">
        <v>29</v>
      </c>
      <c r="G236" s="5" t="s">
        <v>30</v>
      </c>
      <c r="H236" s="5" t="n">
        <f aca="true">ROUND(RAND()*4+6,1)</f>
        <v>9.8</v>
      </c>
      <c r="I236" s="5" t="s">
        <v>31</v>
      </c>
      <c r="J236" s="5" t="str">
        <f aca="false">ROUND(83*1,0)&amp;"%"</f>
        <v>83%</v>
      </c>
    </row>
    <row r="237" customFormat="false" ht="15" hidden="false" customHeight="false" outlineLevel="0" collapsed="false">
      <c r="A237" s="6" t="s">
        <v>10243</v>
      </c>
      <c r="B237" s="6" t="s">
        <v>392</v>
      </c>
      <c r="C237" s="6" t="s">
        <v>133</v>
      </c>
      <c r="D237" s="6" t="s">
        <v>34</v>
      </c>
      <c r="E237" s="6" t="n">
        <f aca="false">ROUND(4769*1.05,2)</f>
        <v>5007.45</v>
      </c>
      <c r="F237" s="6" t="s">
        <v>35</v>
      </c>
      <c r="G237" s="6" t="s">
        <v>18</v>
      </c>
      <c r="H237" s="6" t="n">
        <f aca="true">ROUND(RAND()*4+6,1)</f>
        <v>8.5</v>
      </c>
      <c r="I237" s="6" t="s">
        <v>36</v>
      </c>
      <c r="J237" s="6" t="str">
        <f aca="false">ROUND(88*1,0)&amp;"%"</f>
        <v>88%</v>
      </c>
    </row>
    <row r="238" customFormat="false" ht="15" hidden="false" customHeight="false" outlineLevel="0" collapsed="false">
      <c r="A238" s="5" t="s">
        <v>10244</v>
      </c>
      <c r="B238" s="5" t="s">
        <v>394</v>
      </c>
      <c r="C238" s="5" t="s">
        <v>133</v>
      </c>
      <c r="D238" s="5" t="s">
        <v>39</v>
      </c>
      <c r="E238" s="5" t="n">
        <f aca="false">ROUND(9965*1.05,2)</f>
        <v>10463.25</v>
      </c>
      <c r="F238" s="5" t="s">
        <v>40</v>
      </c>
      <c r="G238" s="5" t="s">
        <v>24</v>
      </c>
      <c r="H238" s="5" t="n">
        <f aca="true">ROUND(RAND()*4+6,1)</f>
        <v>8.9</v>
      </c>
      <c r="I238" s="5" t="s">
        <v>41</v>
      </c>
      <c r="J238" s="5" t="str">
        <f aca="false">ROUND(61*1,0)&amp;"%"</f>
        <v>61%</v>
      </c>
    </row>
    <row r="239" customFormat="false" ht="15" hidden="false" customHeight="false" outlineLevel="0" collapsed="false">
      <c r="A239" s="6" t="s">
        <v>10245</v>
      </c>
      <c r="B239" s="6" t="s">
        <v>396</v>
      </c>
      <c r="C239" s="6" t="s">
        <v>133</v>
      </c>
      <c r="D239" s="6" t="s">
        <v>44</v>
      </c>
      <c r="E239" s="6" t="n">
        <f aca="false">ROUND(17546*1.05,2)</f>
        <v>18423.3</v>
      </c>
      <c r="F239" s="6" t="s">
        <v>45</v>
      </c>
      <c r="G239" s="6" t="s">
        <v>30</v>
      </c>
      <c r="H239" s="6" t="n">
        <f aca="true">ROUND(RAND()*4+6,1)</f>
        <v>7.8</v>
      </c>
      <c r="I239" s="6" t="s">
        <v>46</v>
      </c>
      <c r="J239" s="6" t="str">
        <f aca="false">ROUND(75*1,0)&amp;"%"</f>
        <v>75%</v>
      </c>
    </row>
    <row r="240" customFormat="false" ht="15" hidden="false" customHeight="false" outlineLevel="0" collapsed="false">
      <c r="A240" s="5" t="s">
        <v>10246</v>
      </c>
      <c r="B240" s="5" t="s">
        <v>398</v>
      </c>
      <c r="C240" s="5" t="s">
        <v>133</v>
      </c>
      <c r="D240" s="5" t="s">
        <v>16</v>
      </c>
      <c r="E240" s="5" t="n">
        <f aca="false">ROUND(5910*1.05,2)</f>
        <v>6205.5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ROUND(75*1,0)&amp;"%"</f>
        <v>75%</v>
      </c>
    </row>
    <row r="241" customFormat="false" ht="15" hidden="false" customHeight="false" outlineLevel="0" collapsed="false">
      <c r="A241" s="6" t="s">
        <v>10247</v>
      </c>
      <c r="B241" s="6" t="s">
        <v>400</v>
      </c>
      <c r="C241" s="6" t="s">
        <v>133</v>
      </c>
      <c r="D241" s="6" t="s">
        <v>22</v>
      </c>
      <c r="E241" s="6" t="n">
        <f aca="false">ROUND(12272*1.05,2)</f>
        <v>12885.6</v>
      </c>
      <c r="F241" s="6" t="s">
        <v>52</v>
      </c>
      <c r="G241" s="6" t="s">
        <v>24</v>
      </c>
      <c r="H241" s="6" t="n">
        <f aca="true">ROUND(RAND()*4+6,1)</f>
        <v>8.7</v>
      </c>
      <c r="I241" s="6" t="s">
        <v>25</v>
      </c>
      <c r="J241" s="6" t="str">
        <f aca="false">ROUND(83*1,0)&amp;"%"</f>
        <v>83%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10248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10249</v>
      </c>
      <c r="B246" s="5" t="s">
        <v>404</v>
      </c>
      <c r="C246" s="5" t="s">
        <v>152</v>
      </c>
      <c r="D246" s="5" t="s">
        <v>16</v>
      </c>
      <c r="E246" s="5" t="n">
        <f aca="false">ROUND(12213*1.05,2)</f>
        <v>12823.65</v>
      </c>
      <c r="F246" s="5" t="s">
        <v>17</v>
      </c>
      <c r="G246" s="5" t="s">
        <v>18</v>
      </c>
      <c r="H246" s="5" t="n">
        <f aca="true">ROUND(RAND()*4+6,1)</f>
        <v>7.5</v>
      </c>
      <c r="I246" s="5" t="s">
        <v>19</v>
      </c>
      <c r="J246" s="5" t="str">
        <f aca="false">ROUND(73*1,0)&amp;"%"</f>
        <v>73%</v>
      </c>
    </row>
    <row r="247" customFormat="false" ht="15" hidden="false" customHeight="false" outlineLevel="0" collapsed="false">
      <c r="A247" s="6" t="s">
        <v>10250</v>
      </c>
      <c r="B247" s="6" t="s">
        <v>406</v>
      </c>
      <c r="C247" s="6" t="s">
        <v>152</v>
      </c>
      <c r="D247" s="6" t="s">
        <v>22</v>
      </c>
      <c r="E247" s="6" t="n">
        <f aca="false">ROUND(9991*1.05,2)</f>
        <v>10490.55</v>
      </c>
      <c r="F247" s="6" t="s">
        <v>23</v>
      </c>
      <c r="G247" s="6" t="s">
        <v>24</v>
      </c>
      <c r="H247" s="6" t="n">
        <f aca="true">ROUND(RAND()*4+6,1)</f>
        <v>7.6</v>
      </c>
      <c r="I247" s="6" t="s">
        <v>25</v>
      </c>
      <c r="J247" s="6" t="str">
        <f aca="false">ROUND(100*1,0)&amp;"%"</f>
        <v>100%</v>
      </c>
    </row>
    <row r="248" customFormat="false" ht="15" hidden="false" customHeight="false" outlineLevel="0" collapsed="false">
      <c r="A248" s="5" t="s">
        <v>10251</v>
      </c>
      <c r="B248" s="5" t="s">
        <v>408</v>
      </c>
      <c r="C248" s="5" t="s">
        <v>152</v>
      </c>
      <c r="D248" s="5" t="s">
        <v>28</v>
      </c>
      <c r="E248" s="5" t="n">
        <f aca="false">ROUND(5072*1.05,2)</f>
        <v>5325.6</v>
      </c>
      <c r="F248" s="5" t="s">
        <v>29</v>
      </c>
      <c r="G248" s="5" t="s">
        <v>30</v>
      </c>
      <c r="H248" s="5" t="n">
        <f aca="true">ROUND(RAND()*4+6,1)</f>
        <v>9.3</v>
      </c>
      <c r="I248" s="5" t="s">
        <v>31</v>
      </c>
      <c r="J248" s="5" t="str">
        <f aca="false">ROUND(95*1,0)&amp;"%"</f>
        <v>95%</v>
      </c>
    </row>
    <row r="249" customFormat="false" ht="15" hidden="false" customHeight="false" outlineLevel="0" collapsed="false">
      <c r="A249" s="6" t="s">
        <v>10252</v>
      </c>
      <c r="B249" s="6" t="s">
        <v>410</v>
      </c>
      <c r="C249" s="6" t="s">
        <v>152</v>
      </c>
      <c r="D249" s="6" t="s">
        <v>34</v>
      </c>
      <c r="E249" s="6" t="n">
        <f aca="false">ROUND(16173*1.05,2)</f>
        <v>16981.65</v>
      </c>
      <c r="F249" s="6" t="s">
        <v>35</v>
      </c>
      <c r="G249" s="6" t="s">
        <v>18</v>
      </c>
      <c r="H249" s="6" t="n">
        <f aca="true">ROUND(RAND()*4+6,1)</f>
        <v>6.7</v>
      </c>
      <c r="I249" s="6" t="s">
        <v>36</v>
      </c>
      <c r="J249" s="6" t="str">
        <f aca="false">ROUND(63*1,0)&amp;"%"</f>
        <v>63%</v>
      </c>
    </row>
    <row r="250" customFormat="false" ht="15" hidden="false" customHeight="false" outlineLevel="0" collapsed="false">
      <c r="A250" s="5" t="s">
        <v>10253</v>
      </c>
      <c r="B250" s="5" t="s">
        <v>412</v>
      </c>
      <c r="C250" s="5" t="s">
        <v>152</v>
      </c>
      <c r="D250" s="5" t="s">
        <v>39</v>
      </c>
      <c r="E250" s="5" t="n">
        <f aca="false">ROUND(14112*1.05,2)</f>
        <v>14817.6</v>
      </c>
      <c r="F250" s="5" t="s">
        <v>40</v>
      </c>
      <c r="G250" s="5" t="s">
        <v>24</v>
      </c>
      <c r="H250" s="5" t="n">
        <f aca="true">ROUND(RAND()*4+6,1)</f>
        <v>6.3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10254</v>
      </c>
      <c r="B251" s="6" t="s">
        <v>414</v>
      </c>
      <c r="C251" s="6" t="s">
        <v>152</v>
      </c>
      <c r="D251" s="6" t="s">
        <v>44</v>
      </c>
      <c r="E251" s="6" t="n">
        <f aca="false">ROUND(17154*1.05,2)</f>
        <v>18011.7</v>
      </c>
      <c r="F251" s="6" t="s">
        <v>45</v>
      </c>
      <c r="G251" s="6" t="s">
        <v>30</v>
      </c>
      <c r="H251" s="6" t="n">
        <f aca="true">ROUND(RAND()*4+6,1)</f>
        <v>6.4</v>
      </c>
      <c r="I251" s="6" t="s">
        <v>46</v>
      </c>
      <c r="J251" s="6" t="str">
        <f aca="false">ROUND(98*1,0)&amp;"%"</f>
        <v>98%</v>
      </c>
    </row>
    <row r="252" customFormat="false" ht="15" hidden="false" customHeight="false" outlineLevel="0" collapsed="false">
      <c r="A252" s="5" t="s">
        <v>10255</v>
      </c>
      <c r="B252" s="5" t="s">
        <v>416</v>
      </c>
      <c r="C252" s="5" t="s">
        <v>152</v>
      </c>
      <c r="D252" s="5" t="s">
        <v>16</v>
      </c>
      <c r="E252" s="5" t="n">
        <f aca="false">ROUND(14087*1.05,2)</f>
        <v>14791.35</v>
      </c>
      <c r="F252" s="5" t="s">
        <v>49</v>
      </c>
      <c r="G252" s="5" t="s">
        <v>18</v>
      </c>
      <c r="H252" s="5" t="n">
        <f aca="true">ROUND(RAND()*4+6,1)</f>
        <v>9.6</v>
      </c>
      <c r="I252" s="5" t="s">
        <v>19</v>
      </c>
      <c r="J252" s="5" t="str">
        <f aca="false">ROUND(92*1,0)&amp;"%"</f>
        <v>92%</v>
      </c>
    </row>
    <row r="253" customFormat="false" ht="15" hidden="false" customHeight="false" outlineLevel="0" collapsed="false">
      <c r="A253" s="6" t="s">
        <v>10256</v>
      </c>
      <c r="B253" s="6" t="s">
        <v>418</v>
      </c>
      <c r="C253" s="6" t="s">
        <v>152</v>
      </c>
      <c r="D253" s="6" t="s">
        <v>22</v>
      </c>
      <c r="E253" s="6" t="n">
        <f aca="false">ROUND(14636*1.05,2)</f>
        <v>15367.8</v>
      </c>
      <c r="F253" s="6" t="s">
        <v>52</v>
      </c>
      <c r="G253" s="6" t="s">
        <v>24</v>
      </c>
      <c r="H253" s="6" t="n">
        <f aca="true">ROUND(RAND()*4+6,1)</f>
        <v>8</v>
      </c>
      <c r="I253" s="6" t="s">
        <v>25</v>
      </c>
      <c r="J253" s="6" t="str">
        <f aca="false">ROUND(88*1,0)&amp;"%"</f>
        <v>88%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10257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10258</v>
      </c>
      <c r="B258" s="5" t="s">
        <v>422</v>
      </c>
      <c r="C258" s="5" t="s">
        <v>15</v>
      </c>
      <c r="D258" s="5" t="s">
        <v>16</v>
      </c>
      <c r="E258" s="5" t="n">
        <f aca="false">ROUND(13150*1.05,2)</f>
        <v>13807.5</v>
      </c>
      <c r="F258" s="5" t="s">
        <v>17</v>
      </c>
      <c r="G258" s="5" t="s">
        <v>18</v>
      </c>
      <c r="H258" s="5" t="n">
        <f aca="true">ROUND(RAND()*4+6,1)</f>
        <v>9.5</v>
      </c>
      <c r="I258" s="5" t="s">
        <v>19</v>
      </c>
      <c r="J258" s="5" t="str">
        <f aca="false">ROUND(77*1,0)&amp;"%"</f>
        <v>77%</v>
      </c>
    </row>
    <row r="259" customFormat="false" ht="15" hidden="false" customHeight="false" outlineLevel="0" collapsed="false">
      <c r="A259" s="6" t="s">
        <v>10259</v>
      </c>
      <c r="B259" s="6" t="s">
        <v>424</v>
      </c>
      <c r="C259" s="6" t="s">
        <v>15</v>
      </c>
      <c r="D259" s="6" t="s">
        <v>22</v>
      </c>
      <c r="E259" s="6" t="n">
        <f aca="false">ROUND(10708*1.05,2)</f>
        <v>11243.4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ROUND(69*1,0)&amp;"%"</f>
        <v>69%</v>
      </c>
    </row>
    <row r="260" customFormat="false" ht="15" hidden="false" customHeight="false" outlineLevel="0" collapsed="false">
      <c r="A260" s="5" t="s">
        <v>10260</v>
      </c>
      <c r="B260" s="5" t="s">
        <v>426</v>
      </c>
      <c r="C260" s="5" t="s">
        <v>15</v>
      </c>
      <c r="D260" s="5" t="s">
        <v>28</v>
      </c>
      <c r="E260" s="5" t="n">
        <f aca="false">ROUND(17178*1.05,2)</f>
        <v>18036.9</v>
      </c>
      <c r="F260" s="5" t="s">
        <v>29</v>
      </c>
      <c r="G260" s="5" t="s">
        <v>30</v>
      </c>
      <c r="H260" s="5" t="n">
        <f aca="true">ROUND(RAND()*4+6,1)</f>
        <v>7.5</v>
      </c>
      <c r="I260" s="5" t="s">
        <v>31</v>
      </c>
      <c r="J260" s="5" t="str">
        <f aca="false">ROUND(74*1,0)&amp;"%"</f>
        <v>74%</v>
      </c>
    </row>
    <row r="261" customFormat="false" ht="15" hidden="false" customHeight="false" outlineLevel="0" collapsed="false">
      <c r="A261" s="6" t="s">
        <v>10261</v>
      </c>
      <c r="B261" s="6" t="s">
        <v>428</v>
      </c>
      <c r="C261" s="6" t="s">
        <v>15</v>
      </c>
      <c r="D261" s="6" t="s">
        <v>34</v>
      </c>
      <c r="E261" s="6" t="n">
        <f aca="false">ROUND(8771*1.05,2)</f>
        <v>9209.55</v>
      </c>
      <c r="F261" s="6" t="s">
        <v>35</v>
      </c>
      <c r="G261" s="6" t="s">
        <v>18</v>
      </c>
      <c r="H261" s="6" t="n">
        <f aca="true">ROUND(RAND()*4+6,1)</f>
        <v>7.6</v>
      </c>
      <c r="I261" s="6" t="s">
        <v>36</v>
      </c>
      <c r="J261" s="6" t="str">
        <f aca="false">ROUND(78*1,0)&amp;"%"</f>
        <v>78%</v>
      </c>
    </row>
    <row r="262" customFormat="false" ht="15" hidden="false" customHeight="false" outlineLevel="0" collapsed="false">
      <c r="A262" s="5" t="s">
        <v>10262</v>
      </c>
      <c r="B262" s="5" t="s">
        <v>430</v>
      </c>
      <c r="C262" s="5" t="s">
        <v>15</v>
      </c>
      <c r="D262" s="5" t="s">
        <v>39</v>
      </c>
      <c r="E262" s="5" t="n">
        <f aca="false">ROUND(6630*1.05,2)</f>
        <v>6961.5</v>
      </c>
      <c r="F262" s="5" t="s">
        <v>40</v>
      </c>
      <c r="G262" s="5" t="s">
        <v>24</v>
      </c>
      <c r="H262" s="5" t="n">
        <f aca="true">ROUND(RAND()*4+6,1)</f>
        <v>6.2</v>
      </c>
      <c r="I262" s="5" t="s">
        <v>41</v>
      </c>
      <c r="J262" s="5" t="str">
        <f aca="false">ROUND(78*1,0)&amp;"%"</f>
        <v>78%</v>
      </c>
    </row>
    <row r="263" customFormat="false" ht="15" hidden="false" customHeight="false" outlineLevel="0" collapsed="false">
      <c r="A263" s="6" t="s">
        <v>10263</v>
      </c>
      <c r="B263" s="6" t="s">
        <v>432</v>
      </c>
      <c r="C263" s="6" t="s">
        <v>15</v>
      </c>
      <c r="D263" s="6" t="s">
        <v>44</v>
      </c>
      <c r="E263" s="6" t="n">
        <f aca="false">ROUND(6226*1.05,2)</f>
        <v>6537.3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ROUND(73*1,0)&amp;"%"</f>
        <v>73%</v>
      </c>
    </row>
    <row r="264" customFormat="false" ht="15" hidden="false" customHeight="false" outlineLevel="0" collapsed="false">
      <c r="A264" s="5" t="s">
        <v>10264</v>
      </c>
      <c r="B264" s="5" t="s">
        <v>434</v>
      </c>
      <c r="C264" s="5" t="s">
        <v>15</v>
      </c>
      <c r="D264" s="5" t="s">
        <v>16</v>
      </c>
      <c r="E264" s="5" t="n">
        <f aca="false">ROUND(12391*1.05,2)</f>
        <v>13010.55</v>
      </c>
      <c r="F264" s="5" t="s">
        <v>49</v>
      </c>
      <c r="G264" s="5" t="s">
        <v>18</v>
      </c>
      <c r="H264" s="5" t="n">
        <f aca="true">ROUND(RAND()*4+6,1)</f>
        <v>7.6</v>
      </c>
      <c r="I264" s="5" t="s">
        <v>19</v>
      </c>
      <c r="J264" s="5" t="str">
        <f aca="false">ROUND(63*1,0)&amp;"%"</f>
        <v>63%</v>
      </c>
    </row>
    <row r="265" customFormat="false" ht="15" hidden="false" customHeight="false" outlineLevel="0" collapsed="false">
      <c r="A265" s="6" t="s">
        <v>10265</v>
      </c>
      <c r="B265" s="6" t="s">
        <v>436</v>
      </c>
      <c r="C265" s="6" t="s">
        <v>15</v>
      </c>
      <c r="D265" s="6" t="s">
        <v>22</v>
      </c>
      <c r="E265" s="6" t="n">
        <f aca="false">ROUND(13828*1.05,2)</f>
        <v>14519.4</v>
      </c>
      <c r="F265" s="6" t="s">
        <v>52</v>
      </c>
      <c r="G265" s="6" t="s">
        <v>24</v>
      </c>
      <c r="H265" s="6" t="n">
        <f aca="true">ROUND(RAND()*4+6,1)</f>
        <v>9</v>
      </c>
      <c r="I265" s="6" t="s">
        <v>25</v>
      </c>
      <c r="J265" s="6" t="str">
        <f aca="false">ROUND(64*1,0)&amp;"%"</f>
        <v>64%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10266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10267</v>
      </c>
      <c r="B270" s="5" t="s">
        <v>440</v>
      </c>
      <c r="C270" s="5" t="s">
        <v>57</v>
      </c>
      <c r="D270" s="5" t="s">
        <v>16</v>
      </c>
      <c r="E270" s="5" t="n">
        <f aca="false">ROUND(11172*1.05,2)</f>
        <v>11730.6</v>
      </c>
      <c r="F270" s="5" t="s">
        <v>17</v>
      </c>
      <c r="G270" s="5" t="s">
        <v>18</v>
      </c>
      <c r="H270" s="5" t="n">
        <f aca="true">ROUND(RAND()*4+6,1)</f>
        <v>8.7</v>
      </c>
      <c r="I270" s="5" t="s">
        <v>19</v>
      </c>
      <c r="J270" s="5" t="str">
        <f aca="false">ROUND(82*1,0)&amp;"%"</f>
        <v>82%</v>
      </c>
    </row>
    <row r="271" customFormat="false" ht="15" hidden="false" customHeight="false" outlineLevel="0" collapsed="false">
      <c r="A271" s="6" t="s">
        <v>10268</v>
      </c>
      <c r="B271" s="6" t="s">
        <v>442</v>
      </c>
      <c r="C271" s="6" t="s">
        <v>57</v>
      </c>
      <c r="D271" s="6" t="s">
        <v>22</v>
      </c>
      <c r="E271" s="6" t="n">
        <f aca="false">ROUND(4962*1.05,2)</f>
        <v>5210.1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ROUND(69*1,0)&amp;"%"</f>
        <v>69%</v>
      </c>
    </row>
    <row r="272" customFormat="false" ht="15" hidden="false" customHeight="false" outlineLevel="0" collapsed="false">
      <c r="A272" s="5" t="s">
        <v>10269</v>
      </c>
      <c r="B272" s="5" t="s">
        <v>444</v>
      </c>
      <c r="C272" s="5" t="s">
        <v>57</v>
      </c>
      <c r="D272" s="5" t="s">
        <v>28</v>
      </c>
      <c r="E272" s="5" t="n">
        <f aca="false">ROUND(6317*1.05,2)</f>
        <v>6632.85</v>
      </c>
      <c r="F272" s="5" t="s">
        <v>29</v>
      </c>
      <c r="G272" s="5" t="s">
        <v>30</v>
      </c>
      <c r="H272" s="5" t="n">
        <f aca="true">ROUND(RAND()*4+6,1)</f>
        <v>8.7</v>
      </c>
      <c r="I272" s="5" t="s">
        <v>31</v>
      </c>
      <c r="J272" s="5" t="str">
        <f aca="false">ROUND(93*1,0)&amp;"%"</f>
        <v>93%</v>
      </c>
    </row>
    <row r="273" customFormat="false" ht="15" hidden="false" customHeight="false" outlineLevel="0" collapsed="false">
      <c r="A273" s="6" t="s">
        <v>10270</v>
      </c>
      <c r="B273" s="6" t="s">
        <v>446</v>
      </c>
      <c r="C273" s="6" t="s">
        <v>57</v>
      </c>
      <c r="D273" s="6" t="s">
        <v>34</v>
      </c>
      <c r="E273" s="6" t="n">
        <f aca="false">ROUND(16611*1.05,2)</f>
        <v>17441.55</v>
      </c>
      <c r="F273" s="6" t="s">
        <v>35</v>
      </c>
      <c r="G273" s="6" t="s">
        <v>18</v>
      </c>
      <c r="H273" s="6" t="n">
        <f aca="true">ROUND(RAND()*4+6,1)</f>
        <v>7.5</v>
      </c>
      <c r="I273" s="6" t="s">
        <v>36</v>
      </c>
      <c r="J273" s="6" t="str">
        <f aca="false">ROUND(99*1,0)&amp;"%"</f>
        <v>99%</v>
      </c>
    </row>
    <row r="274" customFormat="false" ht="15" hidden="false" customHeight="false" outlineLevel="0" collapsed="false">
      <c r="A274" s="5" t="s">
        <v>10271</v>
      </c>
      <c r="B274" s="5" t="s">
        <v>448</v>
      </c>
      <c r="C274" s="5" t="s">
        <v>57</v>
      </c>
      <c r="D274" s="5" t="s">
        <v>39</v>
      </c>
      <c r="E274" s="5" t="n">
        <f aca="false">ROUND(7535*1.05,2)</f>
        <v>7911.75</v>
      </c>
      <c r="F274" s="5" t="s">
        <v>40</v>
      </c>
      <c r="G274" s="5" t="s">
        <v>24</v>
      </c>
      <c r="H274" s="5" t="n">
        <f aca="true">ROUND(RAND()*4+6,1)</f>
        <v>7.5</v>
      </c>
      <c r="I274" s="5" t="s">
        <v>41</v>
      </c>
      <c r="J274" s="5" t="str">
        <f aca="false">ROUND(68*1,0)&amp;"%"</f>
        <v>68%</v>
      </c>
    </row>
    <row r="275" customFormat="false" ht="15" hidden="false" customHeight="false" outlineLevel="0" collapsed="false">
      <c r="A275" s="6" t="s">
        <v>10272</v>
      </c>
      <c r="B275" s="6" t="s">
        <v>450</v>
      </c>
      <c r="C275" s="6" t="s">
        <v>57</v>
      </c>
      <c r="D275" s="6" t="s">
        <v>44</v>
      </c>
      <c r="E275" s="6" t="n">
        <f aca="false">ROUND(8225*1.05,2)</f>
        <v>8636.25</v>
      </c>
      <c r="F275" s="6" t="s">
        <v>45</v>
      </c>
      <c r="G275" s="6" t="s">
        <v>30</v>
      </c>
      <c r="H275" s="6" t="n">
        <f aca="true">ROUND(RAND()*4+6,1)</f>
        <v>8.1</v>
      </c>
      <c r="I275" s="6" t="s">
        <v>46</v>
      </c>
      <c r="J275" s="6" t="str">
        <f aca="false">ROUND(80*1,0)&amp;"%"</f>
        <v>80%</v>
      </c>
    </row>
    <row r="276" customFormat="false" ht="15" hidden="false" customHeight="false" outlineLevel="0" collapsed="false">
      <c r="A276" s="5" t="s">
        <v>10273</v>
      </c>
      <c r="B276" s="5" t="s">
        <v>452</v>
      </c>
      <c r="C276" s="5" t="s">
        <v>57</v>
      </c>
      <c r="D276" s="5" t="s">
        <v>16</v>
      </c>
      <c r="E276" s="5" t="n">
        <f aca="false">ROUND(6404*1.05,2)</f>
        <v>6724.2</v>
      </c>
      <c r="F276" s="5" t="s">
        <v>49</v>
      </c>
      <c r="G276" s="5" t="s">
        <v>18</v>
      </c>
      <c r="H276" s="5" t="n">
        <f aca="true">ROUND(RAND()*4+6,1)</f>
        <v>7</v>
      </c>
      <c r="I276" s="5" t="s">
        <v>19</v>
      </c>
      <c r="J276" s="5" t="str">
        <f aca="false">ROUND(94*1,0)&amp;"%"</f>
        <v>94%</v>
      </c>
    </row>
    <row r="277" customFormat="false" ht="15" hidden="false" customHeight="false" outlineLevel="0" collapsed="false">
      <c r="A277" s="6" t="s">
        <v>10274</v>
      </c>
      <c r="B277" s="6" t="s">
        <v>454</v>
      </c>
      <c r="C277" s="6" t="s">
        <v>57</v>
      </c>
      <c r="D277" s="6" t="s">
        <v>22</v>
      </c>
      <c r="E277" s="6" t="n">
        <f aca="false">ROUND(9327*1.05,2)</f>
        <v>9793.35</v>
      </c>
      <c r="F277" s="6" t="s">
        <v>52</v>
      </c>
      <c r="G277" s="6" t="s">
        <v>24</v>
      </c>
      <c r="H277" s="6" t="n">
        <f aca="true">ROUND(RAND()*4+6,1)</f>
        <v>9.6</v>
      </c>
      <c r="I277" s="6" t="s">
        <v>25</v>
      </c>
      <c r="J277" s="6" t="str">
        <f aca="false">ROUND(70*1,0)&amp;"%"</f>
        <v>70%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10275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10276</v>
      </c>
      <c r="B282" s="5" t="s">
        <v>458</v>
      </c>
      <c r="C282" s="5" t="s">
        <v>76</v>
      </c>
      <c r="D282" s="5" t="s">
        <v>16</v>
      </c>
      <c r="E282" s="5" t="n">
        <f aca="false">ROUND(7987*1.05,2)</f>
        <v>8386.35</v>
      </c>
      <c r="F282" s="5" t="s">
        <v>17</v>
      </c>
      <c r="G282" s="5" t="s">
        <v>18</v>
      </c>
      <c r="H282" s="5" t="n">
        <f aca="true">ROUND(RAND()*4+6,1)</f>
        <v>8.5</v>
      </c>
      <c r="I282" s="5" t="s">
        <v>19</v>
      </c>
      <c r="J282" s="5" t="str">
        <f aca="false">ROUND(73*1,0)&amp;"%"</f>
        <v>73%</v>
      </c>
    </row>
    <row r="283" customFormat="false" ht="15" hidden="false" customHeight="false" outlineLevel="0" collapsed="false">
      <c r="A283" s="6" t="s">
        <v>10277</v>
      </c>
      <c r="B283" s="6" t="s">
        <v>460</v>
      </c>
      <c r="C283" s="6" t="s">
        <v>76</v>
      </c>
      <c r="D283" s="6" t="s">
        <v>22</v>
      </c>
      <c r="E283" s="6" t="n">
        <f aca="false">ROUND(15044*1.05,2)</f>
        <v>15796.2</v>
      </c>
      <c r="F283" s="6" t="s">
        <v>23</v>
      </c>
      <c r="G283" s="6" t="s">
        <v>24</v>
      </c>
      <c r="H283" s="6" t="n">
        <f aca="true">ROUND(RAND()*4+6,1)</f>
        <v>7.5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10278</v>
      </c>
      <c r="B284" s="5" t="s">
        <v>462</v>
      </c>
      <c r="C284" s="5" t="s">
        <v>76</v>
      </c>
      <c r="D284" s="5" t="s">
        <v>28</v>
      </c>
      <c r="E284" s="5" t="n">
        <f aca="false">ROUND(14643*1.05,2)</f>
        <v>15375.15</v>
      </c>
      <c r="F284" s="5" t="s">
        <v>29</v>
      </c>
      <c r="G284" s="5" t="s">
        <v>30</v>
      </c>
      <c r="H284" s="5" t="n">
        <f aca="true">ROUND(RAND()*4+6,1)</f>
        <v>8.4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10279</v>
      </c>
      <c r="B285" s="6" t="s">
        <v>464</v>
      </c>
      <c r="C285" s="6" t="s">
        <v>76</v>
      </c>
      <c r="D285" s="6" t="s">
        <v>34</v>
      </c>
      <c r="E285" s="6" t="n">
        <f aca="false">ROUND(14900*1.05,2)</f>
        <v>15645</v>
      </c>
      <c r="F285" s="6" t="s">
        <v>35</v>
      </c>
      <c r="G285" s="6" t="s">
        <v>18</v>
      </c>
      <c r="H285" s="6" t="n">
        <f aca="true">ROUND(RAND()*4+6,1)</f>
        <v>8.7</v>
      </c>
      <c r="I285" s="6" t="s">
        <v>36</v>
      </c>
      <c r="J285" s="6" t="str">
        <f aca="false">ROUND(67*1,0)&amp;"%"</f>
        <v>67%</v>
      </c>
    </row>
    <row r="286" customFormat="false" ht="15" hidden="false" customHeight="false" outlineLevel="0" collapsed="false">
      <c r="A286" s="5" t="s">
        <v>10280</v>
      </c>
      <c r="B286" s="5" t="s">
        <v>466</v>
      </c>
      <c r="C286" s="5" t="s">
        <v>76</v>
      </c>
      <c r="D286" s="5" t="s">
        <v>39</v>
      </c>
      <c r="E286" s="5" t="n">
        <f aca="false">ROUND(8415*1.05,2)</f>
        <v>8835.75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ROUND(89*1,0)&amp;"%"</f>
        <v>89%</v>
      </c>
    </row>
    <row r="287" customFormat="false" ht="15" hidden="false" customHeight="false" outlineLevel="0" collapsed="false">
      <c r="A287" s="6" t="s">
        <v>10281</v>
      </c>
      <c r="B287" s="6" t="s">
        <v>468</v>
      </c>
      <c r="C287" s="6" t="s">
        <v>76</v>
      </c>
      <c r="D287" s="6" t="s">
        <v>44</v>
      </c>
      <c r="E287" s="6" t="n">
        <f aca="false">ROUND(7155*1.05,2)</f>
        <v>7512.75</v>
      </c>
      <c r="F287" s="6" t="s">
        <v>45</v>
      </c>
      <c r="G287" s="6" t="s">
        <v>30</v>
      </c>
      <c r="H287" s="6" t="n">
        <f aca="true">ROUND(RAND()*4+6,1)</f>
        <v>8.6</v>
      </c>
      <c r="I287" s="6" t="s">
        <v>46</v>
      </c>
      <c r="J287" s="6" t="str">
        <f aca="false">ROUND(75*1,0)&amp;"%"</f>
        <v>75%</v>
      </c>
    </row>
    <row r="288" customFormat="false" ht="15" hidden="false" customHeight="false" outlineLevel="0" collapsed="false">
      <c r="A288" s="5" t="s">
        <v>10282</v>
      </c>
      <c r="B288" s="5" t="s">
        <v>470</v>
      </c>
      <c r="C288" s="5" t="s">
        <v>76</v>
      </c>
      <c r="D288" s="5" t="s">
        <v>16</v>
      </c>
      <c r="E288" s="5" t="n">
        <f aca="false">ROUND(15818*1.05,2)</f>
        <v>16608.9</v>
      </c>
      <c r="F288" s="5" t="s">
        <v>49</v>
      </c>
      <c r="G288" s="5" t="s">
        <v>18</v>
      </c>
      <c r="H288" s="5" t="n">
        <f aca="true">ROUND(RAND()*4+6,1)</f>
        <v>6.5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10283</v>
      </c>
      <c r="B289" s="6" t="s">
        <v>472</v>
      </c>
      <c r="C289" s="6" t="s">
        <v>76</v>
      </c>
      <c r="D289" s="6" t="s">
        <v>22</v>
      </c>
      <c r="E289" s="6" t="n">
        <f aca="false">ROUND(17109*1.05,2)</f>
        <v>17964.45</v>
      </c>
      <c r="F289" s="6" t="s">
        <v>52</v>
      </c>
      <c r="G289" s="6" t="s">
        <v>24</v>
      </c>
      <c r="H289" s="6" t="n">
        <f aca="true">ROUND(RAND()*4+6,1)</f>
        <v>8.6</v>
      </c>
      <c r="I289" s="6" t="s">
        <v>25</v>
      </c>
      <c r="J289" s="6" t="str">
        <f aca="false">ROUND(70*1,0)&amp;"%"</f>
        <v>70%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10284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10285</v>
      </c>
      <c r="B294" s="5" t="s">
        <v>476</v>
      </c>
      <c r="C294" s="5" t="s">
        <v>95</v>
      </c>
      <c r="D294" s="5" t="s">
        <v>16</v>
      </c>
      <c r="E294" s="5" t="n">
        <f aca="false">ROUND(14669*1.05,2)</f>
        <v>15402.45</v>
      </c>
      <c r="F294" s="5" t="s">
        <v>17</v>
      </c>
      <c r="G294" s="5" t="s">
        <v>18</v>
      </c>
      <c r="H294" s="5" t="n">
        <f aca="true">ROUND(RAND()*4+6,1)</f>
        <v>7.6</v>
      </c>
      <c r="I294" s="5" t="s">
        <v>19</v>
      </c>
      <c r="J294" s="5" t="str">
        <f aca="false">ROUND(79*1,0)&amp;"%"</f>
        <v>79%</v>
      </c>
    </row>
    <row r="295" customFormat="false" ht="15" hidden="false" customHeight="false" outlineLevel="0" collapsed="false">
      <c r="A295" s="6" t="s">
        <v>10286</v>
      </c>
      <c r="B295" s="6" t="s">
        <v>478</v>
      </c>
      <c r="C295" s="6" t="s">
        <v>95</v>
      </c>
      <c r="D295" s="6" t="s">
        <v>22</v>
      </c>
      <c r="E295" s="6" t="n">
        <f aca="false">ROUND(15941*1.05,2)</f>
        <v>16738.05</v>
      </c>
      <c r="F295" s="6" t="s">
        <v>23</v>
      </c>
      <c r="G295" s="6" t="s">
        <v>24</v>
      </c>
      <c r="H295" s="6" t="n">
        <f aca="true">ROUND(RAND()*4+6,1)</f>
        <v>9.9</v>
      </c>
      <c r="I295" s="6" t="s">
        <v>25</v>
      </c>
      <c r="J295" s="6" t="str">
        <f aca="false">ROUND(93*1,0)&amp;"%"</f>
        <v>93%</v>
      </c>
    </row>
    <row r="296" customFormat="false" ht="15" hidden="false" customHeight="false" outlineLevel="0" collapsed="false">
      <c r="A296" s="5" t="s">
        <v>10287</v>
      </c>
      <c r="B296" s="5" t="s">
        <v>480</v>
      </c>
      <c r="C296" s="5" t="s">
        <v>95</v>
      </c>
      <c r="D296" s="5" t="s">
        <v>28</v>
      </c>
      <c r="E296" s="5" t="n">
        <f aca="false">ROUND(8286*1.05,2)</f>
        <v>8700.3</v>
      </c>
      <c r="F296" s="5" t="s">
        <v>29</v>
      </c>
      <c r="G296" s="5" t="s">
        <v>30</v>
      </c>
      <c r="H296" s="5" t="n">
        <f aca="true">ROUND(RAND()*4+6,1)</f>
        <v>8.8</v>
      </c>
      <c r="I296" s="5" t="s">
        <v>31</v>
      </c>
      <c r="J296" s="5" t="str">
        <f aca="false">ROUND(77*1,0)&amp;"%"</f>
        <v>77%</v>
      </c>
    </row>
    <row r="297" customFormat="false" ht="15" hidden="false" customHeight="false" outlineLevel="0" collapsed="false">
      <c r="A297" s="6" t="s">
        <v>10288</v>
      </c>
      <c r="B297" s="6" t="s">
        <v>482</v>
      </c>
      <c r="C297" s="6" t="s">
        <v>95</v>
      </c>
      <c r="D297" s="6" t="s">
        <v>34</v>
      </c>
      <c r="E297" s="6" t="n">
        <f aca="false">ROUND(4419*1.05,2)</f>
        <v>4639.95</v>
      </c>
      <c r="F297" s="6" t="s">
        <v>35</v>
      </c>
      <c r="G297" s="6" t="s">
        <v>18</v>
      </c>
      <c r="H297" s="6" t="n">
        <f aca="true">ROUND(RAND()*4+6,1)</f>
        <v>6.7</v>
      </c>
      <c r="I297" s="6" t="s">
        <v>36</v>
      </c>
      <c r="J297" s="6" t="str">
        <f aca="false">ROUND(96*1,0)&amp;"%"</f>
        <v>96%</v>
      </c>
    </row>
    <row r="298" customFormat="false" ht="15" hidden="false" customHeight="false" outlineLevel="0" collapsed="false">
      <c r="A298" s="5" t="s">
        <v>10289</v>
      </c>
      <c r="B298" s="5" t="s">
        <v>484</v>
      </c>
      <c r="C298" s="5" t="s">
        <v>95</v>
      </c>
      <c r="D298" s="5" t="s">
        <v>39</v>
      </c>
      <c r="E298" s="5" t="n">
        <f aca="false">ROUND(7629*1.05,2)</f>
        <v>8010.45</v>
      </c>
      <c r="F298" s="5" t="s">
        <v>40</v>
      </c>
      <c r="G298" s="5" t="s">
        <v>24</v>
      </c>
      <c r="H298" s="5" t="n">
        <f aca="true">ROUND(RAND()*4+6,1)</f>
        <v>8</v>
      </c>
      <c r="I298" s="5" t="s">
        <v>41</v>
      </c>
      <c r="J298" s="5" t="str">
        <f aca="false">ROUND(69*1,0)&amp;"%"</f>
        <v>69%</v>
      </c>
    </row>
    <row r="299" customFormat="false" ht="15" hidden="false" customHeight="false" outlineLevel="0" collapsed="false">
      <c r="A299" s="6" t="s">
        <v>10290</v>
      </c>
      <c r="B299" s="6" t="s">
        <v>486</v>
      </c>
      <c r="C299" s="6" t="s">
        <v>95</v>
      </c>
      <c r="D299" s="6" t="s">
        <v>44</v>
      </c>
      <c r="E299" s="6" t="n">
        <f aca="false">ROUND(4895*1.05,2)</f>
        <v>5139.75</v>
      </c>
      <c r="F299" s="6" t="s">
        <v>45</v>
      </c>
      <c r="G299" s="6" t="s">
        <v>30</v>
      </c>
      <c r="H299" s="6" t="n">
        <f aca="true">ROUND(RAND()*4+6,1)</f>
        <v>7.3</v>
      </c>
      <c r="I299" s="6" t="s">
        <v>46</v>
      </c>
      <c r="J299" s="6" t="str">
        <f aca="false">ROUND(92*1,0)&amp;"%"</f>
        <v>92%</v>
      </c>
    </row>
    <row r="300" customFormat="false" ht="15" hidden="false" customHeight="false" outlineLevel="0" collapsed="false">
      <c r="A300" s="5" t="s">
        <v>10291</v>
      </c>
      <c r="B300" s="5" t="s">
        <v>488</v>
      </c>
      <c r="C300" s="5" t="s">
        <v>95</v>
      </c>
      <c r="D300" s="5" t="s">
        <v>16</v>
      </c>
      <c r="E300" s="5" t="n">
        <f aca="false">ROUND(7860*1.05,2)</f>
        <v>8253</v>
      </c>
      <c r="F300" s="5" t="s">
        <v>49</v>
      </c>
      <c r="G300" s="5" t="s">
        <v>18</v>
      </c>
      <c r="H300" s="5" t="n">
        <f aca="true">ROUND(RAND()*4+6,1)</f>
        <v>6.6</v>
      </c>
      <c r="I300" s="5" t="s">
        <v>19</v>
      </c>
      <c r="J300" s="5" t="str">
        <f aca="false">ROUND(86*1,0)&amp;"%"</f>
        <v>86%</v>
      </c>
    </row>
    <row r="301" customFormat="false" ht="15" hidden="false" customHeight="false" outlineLevel="0" collapsed="false">
      <c r="A301" s="6" t="s">
        <v>10292</v>
      </c>
      <c r="B301" s="6" t="s">
        <v>490</v>
      </c>
      <c r="C301" s="6" t="s">
        <v>95</v>
      </c>
      <c r="D301" s="6" t="s">
        <v>22</v>
      </c>
      <c r="E301" s="6" t="n">
        <f aca="false">ROUND(7952*1.05,2)</f>
        <v>8349.6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ROUND(73*1,0)&amp;"%"</f>
        <v>73%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10293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10294</v>
      </c>
      <c r="B306" s="5" t="s">
        <v>494</v>
      </c>
      <c r="C306" s="5" t="s">
        <v>114</v>
      </c>
      <c r="D306" s="5" t="s">
        <v>16</v>
      </c>
      <c r="E306" s="5" t="n">
        <f aca="false">ROUND(15629*1.05,2)</f>
        <v>16410.45</v>
      </c>
      <c r="F306" s="5" t="s">
        <v>17</v>
      </c>
      <c r="G306" s="5" t="s">
        <v>18</v>
      </c>
      <c r="H306" s="5" t="n">
        <f aca="true">ROUND(RAND()*4+6,1)</f>
        <v>6.1</v>
      </c>
      <c r="I306" s="5" t="s">
        <v>19</v>
      </c>
      <c r="J306" s="5" t="str">
        <f aca="false">ROUND(75*1,0)&amp;"%"</f>
        <v>75%</v>
      </c>
    </row>
    <row r="307" customFormat="false" ht="15" hidden="false" customHeight="false" outlineLevel="0" collapsed="false">
      <c r="A307" s="6" t="s">
        <v>10295</v>
      </c>
      <c r="B307" s="6" t="s">
        <v>496</v>
      </c>
      <c r="C307" s="6" t="s">
        <v>114</v>
      </c>
      <c r="D307" s="6" t="s">
        <v>22</v>
      </c>
      <c r="E307" s="6" t="n">
        <f aca="false">ROUND(6309*1.05,2)</f>
        <v>6624.45</v>
      </c>
      <c r="F307" s="6" t="s">
        <v>23</v>
      </c>
      <c r="G307" s="6" t="s">
        <v>24</v>
      </c>
      <c r="H307" s="6" t="n">
        <f aca="true">ROUND(RAND()*4+6,1)</f>
        <v>7.3</v>
      </c>
      <c r="I307" s="6" t="s">
        <v>25</v>
      </c>
      <c r="J307" s="6" t="str">
        <f aca="false">ROUND(65*1,0)&amp;"%"</f>
        <v>65%</v>
      </c>
    </row>
    <row r="308" customFormat="false" ht="15" hidden="false" customHeight="false" outlineLevel="0" collapsed="false">
      <c r="A308" s="5" t="s">
        <v>10296</v>
      </c>
      <c r="B308" s="5" t="s">
        <v>498</v>
      </c>
      <c r="C308" s="5" t="s">
        <v>114</v>
      </c>
      <c r="D308" s="5" t="s">
        <v>28</v>
      </c>
      <c r="E308" s="5" t="n">
        <f aca="false">ROUND(6048*1.05,2)</f>
        <v>6350.4</v>
      </c>
      <c r="F308" s="5" t="s">
        <v>29</v>
      </c>
      <c r="G308" s="5" t="s">
        <v>30</v>
      </c>
      <c r="H308" s="5" t="n">
        <f aca="true">ROUND(RAND()*4+6,1)</f>
        <v>6.5</v>
      </c>
      <c r="I308" s="5" t="s">
        <v>31</v>
      </c>
      <c r="J308" s="5" t="str">
        <f aca="false">ROUND(88*1,0)&amp;"%"</f>
        <v>88%</v>
      </c>
    </row>
    <row r="309" customFormat="false" ht="15" hidden="false" customHeight="false" outlineLevel="0" collapsed="false">
      <c r="A309" s="6" t="s">
        <v>10297</v>
      </c>
      <c r="B309" s="6" t="s">
        <v>500</v>
      </c>
      <c r="C309" s="6" t="s">
        <v>114</v>
      </c>
      <c r="D309" s="6" t="s">
        <v>34</v>
      </c>
      <c r="E309" s="6" t="n">
        <f aca="false">ROUND(12790*1.05,2)</f>
        <v>13429.5</v>
      </c>
      <c r="F309" s="6" t="s">
        <v>35</v>
      </c>
      <c r="G309" s="6" t="s">
        <v>18</v>
      </c>
      <c r="H309" s="6" t="n">
        <f aca="true">ROUND(RAND()*4+6,1)</f>
        <v>8.3</v>
      </c>
      <c r="I309" s="6" t="s">
        <v>36</v>
      </c>
      <c r="J309" s="6" t="str">
        <f aca="false">ROUND(65*1,0)&amp;"%"</f>
        <v>65%</v>
      </c>
    </row>
    <row r="310" customFormat="false" ht="15" hidden="false" customHeight="false" outlineLevel="0" collapsed="false">
      <c r="A310" s="5" t="s">
        <v>10298</v>
      </c>
      <c r="B310" s="5" t="s">
        <v>502</v>
      </c>
      <c r="C310" s="5" t="s">
        <v>114</v>
      </c>
      <c r="D310" s="5" t="s">
        <v>39</v>
      </c>
      <c r="E310" s="5" t="n">
        <f aca="false">ROUND(6791*1.05,2)</f>
        <v>7130.55</v>
      </c>
      <c r="F310" s="5" t="s">
        <v>40</v>
      </c>
      <c r="G310" s="5" t="s">
        <v>24</v>
      </c>
      <c r="H310" s="5" t="n">
        <f aca="true">ROUND(RAND()*4+6,1)</f>
        <v>7.2</v>
      </c>
      <c r="I310" s="5" t="s">
        <v>41</v>
      </c>
      <c r="J310" s="5" t="str">
        <f aca="false">ROUND(72*1,0)&amp;"%"</f>
        <v>72%</v>
      </c>
    </row>
    <row r="311" customFormat="false" ht="15" hidden="false" customHeight="false" outlineLevel="0" collapsed="false">
      <c r="A311" s="6" t="s">
        <v>10299</v>
      </c>
      <c r="B311" s="6" t="s">
        <v>504</v>
      </c>
      <c r="C311" s="6" t="s">
        <v>114</v>
      </c>
      <c r="D311" s="6" t="s">
        <v>44</v>
      </c>
      <c r="E311" s="6" t="n">
        <f aca="false">ROUND(6648*1.05,2)</f>
        <v>6980.4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ROUND(81*1,0)&amp;"%"</f>
        <v>81%</v>
      </c>
    </row>
    <row r="312" customFormat="false" ht="15" hidden="false" customHeight="false" outlineLevel="0" collapsed="false">
      <c r="A312" s="5" t="s">
        <v>10300</v>
      </c>
      <c r="B312" s="5" t="s">
        <v>506</v>
      </c>
      <c r="C312" s="5" t="s">
        <v>114</v>
      </c>
      <c r="D312" s="5" t="s">
        <v>16</v>
      </c>
      <c r="E312" s="5" t="n">
        <f aca="false">ROUND(5381*1.05,2)</f>
        <v>5650.05</v>
      </c>
      <c r="F312" s="5" t="s">
        <v>49</v>
      </c>
      <c r="G312" s="5" t="s">
        <v>18</v>
      </c>
      <c r="H312" s="5" t="n">
        <f aca="true">ROUND(RAND()*4+6,1)</f>
        <v>6.1</v>
      </c>
      <c r="I312" s="5" t="s">
        <v>19</v>
      </c>
      <c r="J312" s="5" t="str">
        <f aca="false">ROUND(74*1,0)&amp;"%"</f>
        <v>74%</v>
      </c>
    </row>
    <row r="313" customFormat="false" ht="15" hidden="false" customHeight="false" outlineLevel="0" collapsed="false">
      <c r="A313" s="6" t="s">
        <v>10301</v>
      </c>
      <c r="B313" s="6" t="s">
        <v>508</v>
      </c>
      <c r="C313" s="6" t="s">
        <v>114</v>
      </c>
      <c r="D313" s="6" t="s">
        <v>22</v>
      </c>
      <c r="E313" s="6" t="n">
        <f aca="false">ROUND(10426*1.05,2)</f>
        <v>10947.3</v>
      </c>
      <c r="F313" s="6" t="s">
        <v>52</v>
      </c>
      <c r="G313" s="6" t="s">
        <v>24</v>
      </c>
      <c r="H313" s="6" t="n">
        <f aca="true">ROUND(RAND()*4+6,1)</f>
        <v>9.3</v>
      </c>
      <c r="I313" s="6" t="s">
        <v>25</v>
      </c>
      <c r="J313" s="6" t="str">
        <f aca="false">ROUND(68*1,0)&amp;"%"</f>
        <v>68%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10302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10303</v>
      </c>
      <c r="B318" s="5" t="s">
        <v>512</v>
      </c>
      <c r="C318" s="5" t="s">
        <v>133</v>
      </c>
      <c r="D318" s="5" t="s">
        <v>16</v>
      </c>
      <c r="E318" s="5" t="n">
        <f aca="false">ROUND(13020*1.05,2)</f>
        <v>13671</v>
      </c>
      <c r="F318" s="5" t="s">
        <v>17</v>
      </c>
      <c r="G318" s="5" t="s">
        <v>18</v>
      </c>
      <c r="H318" s="5" t="n">
        <f aca="true">ROUND(RAND()*4+6,1)</f>
        <v>9.1</v>
      </c>
      <c r="I318" s="5" t="s">
        <v>19</v>
      </c>
      <c r="J318" s="5" t="str">
        <f aca="false">ROUND(66*1,0)&amp;"%"</f>
        <v>66%</v>
      </c>
    </row>
    <row r="319" customFormat="false" ht="15" hidden="false" customHeight="false" outlineLevel="0" collapsed="false">
      <c r="A319" s="6" t="s">
        <v>10304</v>
      </c>
      <c r="B319" s="6" t="s">
        <v>514</v>
      </c>
      <c r="C319" s="6" t="s">
        <v>133</v>
      </c>
      <c r="D319" s="6" t="s">
        <v>22</v>
      </c>
      <c r="E319" s="6" t="n">
        <f aca="false">ROUND(9414*1.05,2)</f>
        <v>9884.7</v>
      </c>
      <c r="F319" s="6" t="s">
        <v>23</v>
      </c>
      <c r="G319" s="6" t="s">
        <v>24</v>
      </c>
      <c r="H319" s="6" t="n">
        <f aca="true">ROUND(RAND()*4+6,1)</f>
        <v>9.2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10305</v>
      </c>
      <c r="B320" s="5" t="s">
        <v>516</v>
      </c>
      <c r="C320" s="5" t="s">
        <v>133</v>
      </c>
      <c r="D320" s="5" t="s">
        <v>28</v>
      </c>
      <c r="E320" s="5" t="n">
        <f aca="false">ROUND(17300*1.05,2)</f>
        <v>18165</v>
      </c>
      <c r="F320" s="5" t="s">
        <v>29</v>
      </c>
      <c r="G320" s="5" t="s">
        <v>30</v>
      </c>
      <c r="H320" s="5" t="n">
        <f aca="true">ROUND(RAND()*4+6,1)</f>
        <v>7.9</v>
      </c>
      <c r="I320" s="5" t="s">
        <v>31</v>
      </c>
      <c r="J320" s="5" t="str">
        <f aca="false">ROUND(71*1,0)&amp;"%"</f>
        <v>71%</v>
      </c>
    </row>
    <row r="321" customFormat="false" ht="15" hidden="false" customHeight="false" outlineLevel="0" collapsed="false">
      <c r="A321" s="6" t="s">
        <v>10306</v>
      </c>
      <c r="B321" s="6" t="s">
        <v>518</v>
      </c>
      <c r="C321" s="6" t="s">
        <v>133</v>
      </c>
      <c r="D321" s="6" t="s">
        <v>34</v>
      </c>
      <c r="E321" s="6" t="n">
        <f aca="false">ROUND(5722*1.05,2)</f>
        <v>6008.1</v>
      </c>
      <c r="F321" s="6" t="s">
        <v>35</v>
      </c>
      <c r="G321" s="6" t="s">
        <v>18</v>
      </c>
      <c r="H321" s="6" t="n">
        <f aca="true">ROUND(RAND()*4+6,1)</f>
        <v>7.7</v>
      </c>
      <c r="I321" s="6" t="s">
        <v>36</v>
      </c>
      <c r="J321" s="6" t="str">
        <f aca="false">ROUND(86*1,0)&amp;"%"</f>
        <v>86%</v>
      </c>
    </row>
    <row r="322" customFormat="false" ht="15" hidden="false" customHeight="false" outlineLevel="0" collapsed="false">
      <c r="A322" s="5" t="s">
        <v>10307</v>
      </c>
      <c r="B322" s="5" t="s">
        <v>520</v>
      </c>
      <c r="C322" s="5" t="s">
        <v>133</v>
      </c>
      <c r="D322" s="5" t="s">
        <v>39</v>
      </c>
      <c r="E322" s="5" t="n">
        <f aca="false">ROUND(12633*1.05,2)</f>
        <v>13264.65</v>
      </c>
      <c r="F322" s="5" t="s">
        <v>40</v>
      </c>
      <c r="G322" s="5" t="s">
        <v>24</v>
      </c>
      <c r="H322" s="5" t="n">
        <f aca="true">ROUND(RAND()*4+6,1)</f>
        <v>9.1</v>
      </c>
      <c r="I322" s="5" t="s">
        <v>41</v>
      </c>
      <c r="J322" s="5" t="str">
        <f aca="false">ROUND(71*1,0)&amp;"%"</f>
        <v>71%</v>
      </c>
    </row>
    <row r="323" customFormat="false" ht="15" hidden="false" customHeight="false" outlineLevel="0" collapsed="false">
      <c r="A323" s="6" t="s">
        <v>10308</v>
      </c>
      <c r="B323" s="6" t="s">
        <v>522</v>
      </c>
      <c r="C323" s="6" t="s">
        <v>133</v>
      </c>
      <c r="D323" s="6" t="s">
        <v>44</v>
      </c>
      <c r="E323" s="6" t="n">
        <f aca="false">ROUND(7863*1.05,2)</f>
        <v>8256.15</v>
      </c>
      <c r="F323" s="6" t="s">
        <v>45</v>
      </c>
      <c r="G323" s="6" t="s">
        <v>30</v>
      </c>
      <c r="H323" s="6" t="n">
        <f aca="true">ROUND(RAND()*4+6,1)</f>
        <v>6.7</v>
      </c>
      <c r="I323" s="6" t="s">
        <v>46</v>
      </c>
      <c r="J323" s="6" t="str">
        <f aca="false">ROUND(98*1,0)&amp;"%"</f>
        <v>98%</v>
      </c>
    </row>
    <row r="324" customFormat="false" ht="15" hidden="false" customHeight="false" outlineLevel="0" collapsed="false">
      <c r="A324" s="5" t="s">
        <v>10309</v>
      </c>
      <c r="B324" s="5" t="s">
        <v>524</v>
      </c>
      <c r="C324" s="5" t="s">
        <v>133</v>
      </c>
      <c r="D324" s="5" t="s">
        <v>16</v>
      </c>
      <c r="E324" s="5" t="n">
        <f aca="false">ROUND(4297*1.05,2)</f>
        <v>4511.85</v>
      </c>
      <c r="F324" s="5" t="s">
        <v>49</v>
      </c>
      <c r="G324" s="5" t="s">
        <v>18</v>
      </c>
      <c r="H324" s="5" t="n">
        <f aca="true">ROUND(RAND()*4+6,1)</f>
        <v>6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10310</v>
      </c>
      <c r="B325" s="6" t="s">
        <v>526</v>
      </c>
      <c r="C325" s="6" t="s">
        <v>133</v>
      </c>
      <c r="D325" s="6" t="s">
        <v>22</v>
      </c>
      <c r="E325" s="6" t="n">
        <f aca="false">ROUND(13552*1.05,2)</f>
        <v>14229.6</v>
      </c>
      <c r="F325" s="6" t="s">
        <v>52</v>
      </c>
      <c r="G325" s="6" t="s">
        <v>24</v>
      </c>
      <c r="H325" s="6" t="n">
        <f aca="true">ROUND(RAND()*4+6,1)</f>
        <v>9.6</v>
      </c>
      <c r="I325" s="6" t="s">
        <v>25</v>
      </c>
      <c r="J325" s="6" t="str">
        <f aca="false">ROUND(83*1,0)&amp;"%"</f>
        <v>83%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10311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10312</v>
      </c>
      <c r="B330" s="5" t="s">
        <v>530</v>
      </c>
      <c r="C330" s="5" t="s">
        <v>152</v>
      </c>
      <c r="D330" s="5" t="s">
        <v>16</v>
      </c>
      <c r="E330" s="5" t="n">
        <f aca="false">ROUND(15819*1.05,2)</f>
        <v>16609.95</v>
      </c>
      <c r="F330" s="5" t="s">
        <v>17</v>
      </c>
      <c r="G330" s="5" t="s">
        <v>18</v>
      </c>
      <c r="H330" s="5" t="n">
        <f aca="true">ROUND(RAND()*4+6,1)</f>
        <v>8</v>
      </c>
      <c r="I330" s="5" t="s">
        <v>19</v>
      </c>
      <c r="J330" s="5" t="str">
        <f aca="false">ROUND(87*1,0)&amp;"%"</f>
        <v>87%</v>
      </c>
    </row>
    <row r="331" customFormat="false" ht="15" hidden="false" customHeight="false" outlineLevel="0" collapsed="false">
      <c r="A331" s="6" t="s">
        <v>10313</v>
      </c>
      <c r="B331" s="6" t="s">
        <v>532</v>
      </c>
      <c r="C331" s="6" t="s">
        <v>152</v>
      </c>
      <c r="D331" s="6" t="s">
        <v>22</v>
      </c>
      <c r="E331" s="6" t="n">
        <f aca="false">ROUND(6857*1.05,2)</f>
        <v>7199.85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ROUND(93*1,0)&amp;"%"</f>
        <v>93%</v>
      </c>
    </row>
    <row r="332" customFormat="false" ht="15" hidden="false" customHeight="false" outlineLevel="0" collapsed="false">
      <c r="A332" s="5" t="s">
        <v>10314</v>
      </c>
      <c r="B332" s="5" t="s">
        <v>534</v>
      </c>
      <c r="C332" s="5" t="s">
        <v>152</v>
      </c>
      <c r="D332" s="5" t="s">
        <v>28</v>
      </c>
      <c r="E332" s="5" t="n">
        <f aca="false">ROUND(9052*1.05,2)</f>
        <v>9504.6</v>
      </c>
      <c r="F332" s="5" t="s">
        <v>29</v>
      </c>
      <c r="G332" s="5" t="s">
        <v>30</v>
      </c>
      <c r="H332" s="5" t="n">
        <f aca="true">ROUND(RAND()*4+6,1)</f>
        <v>9.6</v>
      </c>
      <c r="I332" s="5" t="s">
        <v>31</v>
      </c>
      <c r="J332" s="5" t="str">
        <f aca="false">ROUND(89*1,0)&amp;"%"</f>
        <v>89%</v>
      </c>
    </row>
    <row r="333" customFormat="false" ht="15" hidden="false" customHeight="false" outlineLevel="0" collapsed="false">
      <c r="A333" s="6" t="s">
        <v>10315</v>
      </c>
      <c r="B333" s="6" t="s">
        <v>536</v>
      </c>
      <c r="C333" s="6" t="s">
        <v>152</v>
      </c>
      <c r="D333" s="6" t="s">
        <v>34</v>
      </c>
      <c r="E333" s="6" t="n">
        <f aca="false">ROUND(5661*1.05,2)</f>
        <v>5944.05</v>
      </c>
      <c r="F333" s="6" t="s">
        <v>35</v>
      </c>
      <c r="G333" s="6" t="s">
        <v>18</v>
      </c>
      <c r="H333" s="6" t="n">
        <f aca="true">ROUND(RAND()*4+6,1)</f>
        <v>7.7</v>
      </c>
      <c r="I333" s="6" t="s">
        <v>36</v>
      </c>
      <c r="J333" s="6" t="str">
        <f aca="false">ROUND(71*1,0)&amp;"%"</f>
        <v>71%</v>
      </c>
    </row>
    <row r="334" customFormat="false" ht="15" hidden="false" customHeight="false" outlineLevel="0" collapsed="false">
      <c r="A334" s="5" t="s">
        <v>10316</v>
      </c>
      <c r="B334" s="5" t="s">
        <v>538</v>
      </c>
      <c r="C334" s="5" t="s">
        <v>152</v>
      </c>
      <c r="D334" s="5" t="s">
        <v>39</v>
      </c>
      <c r="E334" s="5" t="n">
        <f aca="false">ROUND(11014*1.05,2)</f>
        <v>11564.7</v>
      </c>
      <c r="F334" s="5" t="s">
        <v>40</v>
      </c>
      <c r="G334" s="5" t="s">
        <v>24</v>
      </c>
      <c r="H334" s="5" t="n">
        <f aca="true">ROUND(RAND()*4+6,1)</f>
        <v>7.9</v>
      </c>
      <c r="I334" s="5" t="s">
        <v>41</v>
      </c>
      <c r="J334" s="5" t="str">
        <f aca="false">ROUND(99*1,0)&amp;"%"</f>
        <v>99%</v>
      </c>
    </row>
    <row r="335" customFormat="false" ht="15" hidden="false" customHeight="false" outlineLevel="0" collapsed="false">
      <c r="A335" s="6" t="s">
        <v>10317</v>
      </c>
      <c r="B335" s="6" t="s">
        <v>540</v>
      </c>
      <c r="C335" s="6" t="s">
        <v>152</v>
      </c>
      <c r="D335" s="6" t="s">
        <v>44</v>
      </c>
      <c r="E335" s="6" t="n">
        <f aca="false">ROUND(13451*1.05,2)</f>
        <v>14123.55</v>
      </c>
      <c r="F335" s="6" t="s">
        <v>45</v>
      </c>
      <c r="G335" s="6" t="s">
        <v>30</v>
      </c>
      <c r="H335" s="6" t="n">
        <f aca="true">ROUND(RAND()*4+6,1)</f>
        <v>7.5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10318</v>
      </c>
      <c r="B336" s="5" t="s">
        <v>542</v>
      </c>
      <c r="C336" s="5" t="s">
        <v>152</v>
      </c>
      <c r="D336" s="5" t="s">
        <v>16</v>
      </c>
      <c r="E336" s="5" t="n">
        <f aca="false">ROUND(12317*1.05,2)</f>
        <v>12932.85</v>
      </c>
      <c r="F336" s="5" t="s">
        <v>49</v>
      </c>
      <c r="G336" s="5" t="s">
        <v>18</v>
      </c>
      <c r="H336" s="5" t="n">
        <f aca="true">ROUND(RAND()*4+6,1)</f>
        <v>10</v>
      </c>
      <c r="I336" s="5" t="s">
        <v>19</v>
      </c>
      <c r="J336" s="5" t="str">
        <f aca="false">ROUND(68*1,0)&amp;"%"</f>
        <v>68%</v>
      </c>
    </row>
    <row r="337" customFormat="false" ht="15" hidden="false" customHeight="false" outlineLevel="0" collapsed="false">
      <c r="A337" s="6" t="s">
        <v>10319</v>
      </c>
      <c r="B337" s="6" t="s">
        <v>544</v>
      </c>
      <c r="C337" s="6" t="s">
        <v>152</v>
      </c>
      <c r="D337" s="6" t="s">
        <v>22</v>
      </c>
      <c r="E337" s="6" t="n">
        <f aca="false">ROUND(16934*1.05,2)</f>
        <v>17780.7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ROUND(62*1,0)&amp;"%"</f>
        <v>62%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10320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10321</v>
      </c>
      <c r="B342" s="5" t="s">
        <v>548</v>
      </c>
      <c r="C342" s="5" t="s">
        <v>15</v>
      </c>
      <c r="D342" s="5" t="s">
        <v>16</v>
      </c>
      <c r="E342" s="5" t="n">
        <f aca="false">ROUND(10629*1.05,2)</f>
        <v>11160.45</v>
      </c>
      <c r="F342" s="5" t="s">
        <v>17</v>
      </c>
      <c r="G342" s="5" t="s">
        <v>18</v>
      </c>
      <c r="H342" s="5" t="n">
        <f aca="true">ROUND(RAND()*4+6,1)</f>
        <v>6.8</v>
      </c>
      <c r="I342" s="5" t="s">
        <v>19</v>
      </c>
      <c r="J342" s="5" t="str">
        <f aca="false">ROUND(95*1,0)&amp;"%"</f>
        <v>95%</v>
      </c>
    </row>
    <row r="343" customFormat="false" ht="15" hidden="false" customHeight="false" outlineLevel="0" collapsed="false">
      <c r="A343" s="6" t="s">
        <v>10322</v>
      </c>
      <c r="B343" s="6" t="s">
        <v>550</v>
      </c>
      <c r="C343" s="6" t="s">
        <v>15</v>
      </c>
      <c r="D343" s="6" t="s">
        <v>22</v>
      </c>
      <c r="E343" s="6" t="n">
        <f aca="false">ROUND(17308*1.05,2)</f>
        <v>18173.4</v>
      </c>
      <c r="F343" s="6" t="s">
        <v>23</v>
      </c>
      <c r="G343" s="6" t="s">
        <v>24</v>
      </c>
      <c r="H343" s="6" t="n">
        <f aca="true">ROUND(RAND()*4+6,1)</f>
        <v>9.7</v>
      </c>
      <c r="I343" s="6" t="s">
        <v>25</v>
      </c>
      <c r="J343" s="6" t="str">
        <f aca="false">ROUND(76*1,0)&amp;"%"</f>
        <v>76%</v>
      </c>
    </row>
    <row r="344" customFormat="false" ht="15" hidden="false" customHeight="false" outlineLevel="0" collapsed="false">
      <c r="A344" s="5" t="s">
        <v>10323</v>
      </c>
      <c r="B344" s="5" t="s">
        <v>552</v>
      </c>
      <c r="C344" s="5" t="s">
        <v>15</v>
      </c>
      <c r="D344" s="5" t="s">
        <v>28</v>
      </c>
      <c r="E344" s="5" t="n">
        <f aca="false">ROUND(13308*1.05,2)</f>
        <v>13973.4</v>
      </c>
      <c r="F344" s="5" t="s">
        <v>29</v>
      </c>
      <c r="G344" s="5" t="s">
        <v>30</v>
      </c>
      <c r="H344" s="5" t="n">
        <f aca="true">ROUND(RAND()*4+6,1)</f>
        <v>8.5</v>
      </c>
      <c r="I344" s="5" t="s">
        <v>31</v>
      </c>
      <c r="J344" s="5" t="str">
        <f aca="false">ROUND(83*1,0)&amp;"%"</f>
        <v>83%</v>
      </c>
    </row>
    <row r="345" customFormat="false" ht="15" hidden="false" customHeight="false" outlineLevel="0" collapsed="false">
      <c r="A345" s="6" t="s">
        <v>10324</v>
      </c>
      <c r="B345" s="6" t="s">
        <v>554</v>
      </c>
      <c r="C345" s="6" t="s">
        <v>15</v>
      </c>
      <c r="D345" s="6" t="s">
        <v>34</v>
      </c>
      <c r="E345" s="6" t="n">
        <f aca="false">ROUND(9480*1.05,2)</f>
        <v>9954</v>
      </c>
      <c r="F345" s="6" t="s">
        <v>35</v>
      </c>
      <c r="G345" s="6" t="s">
        <v>18</v>
      </c>
      <c r="H345" s="6" t="n">
        <f aca="true">ROUND(RAND()*4+6,1)</f>
        <v>9.9</v>
      </c>
      <c r="I345" s="6" t="s">
        <v>36</v>
      </c>
      <c r="J345" s="6" t="str">
        <f aca="false">ROUND(87*1,0)&amp;"%"</f>
        <v>87%</v>
      </c>
    </row>
    <row r="346" customFormat="false" ht="15" hidden="false" customHeight="false" outlineLevel="0" collapsed="false">
      <c r="A346" s="5" t="s">
        <v>10325</v>
      </c>
      <c r="B346" s="5" t="s">
        <v>556</v>
      </c>
      <c r="C346" s="5" t="s">
        <v>15</v>
      </c>
      <c r="D346" s="5" t="s">
        <v>39</v>
      </c>
      <c r="E346" s="5" t="n">
        <f aca="false">ROUND(12223*1.05,2)</f>
        <v>12834.15</v>
      </c>
      <c r="F346" s="5" t="s">
        <v>40</v>
      </c>
      <c r="G346" s="5" t="s">
        <v>24</v>
      </c>
      <c r="H346" s="5" t="n">
        <f aca="true">ROUND(RAND()*4+6,1)</f>
        <v>7.8</v>
      </c>
      <c r="I346" s="5" t="s">
        <v>41</v>
      </c>
      <c r="J346" s="5" t="str">
        <f aca="false">ROUND(97*1,0)&amp;"%"</f>
        <v>97%</v>
      </c>
    </row>
    <row r="347" customFormat="false" ht="15" hidden="false" customHeight="false" outlineLevel="0" collapsed="false">
      <c r="A347" s="6" t="s">
        <v>10326</v>
      </c>
      <c r="B347" s="6" t="s">
        <v>558</v>
      </c>
      <c r="C347" s="6" t="s">
        <v>15</v>
      </c>
      <c r="D347" s="6" t="s">
        <v>44</v>
      </c>
      <c r="E347" s="6" t="n">
        <f aca="false">ROUND(15574*1.05,2)</f>
        <v>16352.7</v>
      </c>
      <c r="F347" s="6" t="s">
        <v>45</v>
      </c>
      <c r="G347" s="6" t="s">
        <v>30</v>
      </c>
      <c r="H347" s="6" t="n">
        <f aca="true">ROUND(RAND()*4+6,1)</f>
        <v>9.8</v>
      </c>
      <c r="I347" s="6" t="s">
        <v>46</v>
      </c>
      <c r="J347" s="6" t="str">
        <f aca="false">ROUND(68*1,0)&amp;"%"</f>
        <v>68%</v>
      </c>
    </row>
    <row r="348" customFormat="false" ht="15" hidden="false" customHeight="false" outlineLevel="0" collapsed="false">
      <c r="A348" s="5" t="s">
        <v>10327</v>
      </c>
      <c r="B348" s="5" t="s">
        <v>560</v>
      </c>
      <c r="C348" s="5" t="s">
        <v>15</v>
      </c>
      <c r="D348" s="5" t="s">
        <v>16</v>
      </c>
      <c r="E348" s="5" t="n">
        <f aca="false">ROUND(5626*1.05,2)</f>
        <v>5907.3</v>
      </c>
      <c r="F348" s="5" t="s">
        <v>49</v>
      </c>
      <c r="G348" s="5" t="s">
        <v>18</v>
      </c>
      <c r="H348" s="5" t="n">
        <f aca="true">ROUND(RAND()*4+6,1)</f>
        <v>9.8</v>
      </c>
      <c r="I348" s="5" t="s">
        <v>19</v>
      </c>
      <c r="J348" s="5" t="str">
        <f aca="false">ROUND(74*1,0)&amp;"%"</f>
        <v>74%</v>
      </c>
    </row>
    <row r="349" customFormat="false" ht="15" hidden="false" customHeight="false" outlineLevel="0" collapsed="false">
      <c r="A349" s="6" t="s">
        <v>10328</v>
      </c>
      <c r="B349" s="6" t="s">
        <v>562</v>
      </c>
      <c r="C349" s="6" t="s">
        <v>15</v>
      </c>
      <c r="D349" s="6" t="s">
        <v>22</v>
      </c>
      <c r="E349" s="6" t="n">
        <f aca="false">ROUND(10846*1.05,2)</f>
        <v>11388.3</v>
      </c>
      <c r="F349" s="6" t="s">
        <v>52</v>
      </c>
      <c r="G349" s="6" t="s">
        <v>24</v>
      </c>
      <c r="H349" s="6" t="n">
        <f aca="true">ROUND(RAND()*4+6,1)</f>
        <v>7.2</v>
      </c>
      <c r="I349" s="6" t="s">
        <v>25</v>
      </c>
      <c r="J349" s="6" t="str">
        <f aca="false">ROUND(80*1,0)&amp;"%"</f>
        <v>80%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10329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10330</v>
      </c>
      <c r="B354" s="5" t="s">
        <v>566</v>
      </c>
      <c r="C354" s="5" t="s">
        <v>57</v>
      </c>
      <c r="D354" s="5" t="s">
        <v>16</v>
      </c>
      <c r="E354" s="5" t="n">
        <f aca="false">ROUND(9071*1.05,2)</f>
        <v>9524.55</v>
      </c>
      <c r="F354" s="5" t="s">
        <v>17</v>
      </c>
      <c r="G354" s="5" t="s">
        <v>18</v>
      </c>
      <c r="H354" s="5" t="n">
        <f aca="true">ROUND(RAND()*4+6,1)</f>
        <v>8.4</v>
      </c>
      <c r="I354" s="5" t="s">
        <v>19</v>
      </c>
      <c r="J354" s="5" t="str">
        <f aca="false">ROUND(95*1,0)&amp;"%"</f>
        <v>95%</v>
      </c>
    </row>
    <row r="355" customFormat="false" ht="15" hidden="false" customHeight="false" outlineLevel="0" collapsed="false">
      <c r="A355" s="6" t="s">
        <v>10331</v>
      </c>
      <c r="B355" s="6" t="s">
        <v>568</v>
      </c>
      <c r="C355" s="6" t="s">
        <v>57</v>
      </c>
      <c r="D355" s="6" t="s">
        <v>22</v>
      </c>
      <c r="E355" s="6" t="n">
        <f aca="false">ROUND(10448*1.05,2)</f>
        <v>10970.4</v>
      </c>
      <c r="F355" s="6" t="s">
        <v>23</v>
      </c>
      <c r="G355" s="6" t="s">
        <v>24</v>
      </c>
      <c r="H355" s="6" t="n">
        <f aca="true">ROUND(RAND()*4+6,1)</f>
        <v>7.6</v>
      </c>
      <c r="I355" s="6" t="s">
        <v>25</v>
      </c>
      <c r="J355" s="6" t="str">
        <f aca="false">ROUND(78*1,0)&amp;"%"</f>
        <v>78%</v>
      </c>
    </row>
    <row r="356" customFormat="false" ht="15" hidden="false" customHeight="false" outlineLevel="0" collapsed="false">
      <c r="A356" s="5" t="s">
        <v>10332</v>
      </c>
      <c r="B356" s="5" t="s">
        <v>570</v>
      </c>
      <c r="C356" s="5" t="s">
        <v>57</v>
      </c>
      <c r="D356" s="5" t="s">
        <v>28</v>
      </c>
      <c r="E356" s="5" t="n">
        <f aca="false">ROUND(4666*1.05,2)</f>
        <v>4899.3</v>
      </c>
      <c r="F356" s="5" t="s">
        <v>29</v>
      </c>
      <c r="G356" s="5" t="s">
        <v>30</v>
      </c>
      <c r="H356" s="5" t="n">
        <f aca="true">ROUND(RAND()*4+6,1)</f>
        <v>9.6</v>
      </c>
      <c r="I356" s="5" t="s">
        <v>31</v>
      </c>
      <c r="J356" s="5" t="str">
        <f aca="false">ROUND(78*1,0)&amp;"%"</f>
        <v>78%</v>
      </c>
    </row>
    <row r="357" customFormat="false" ht="15" hidden="false" customHeight="false" outlineLevel="0" collapsed="false">
      <c r="A357" s="6" t="s">
        <v>10333</v>
      </c>
      <c r="B357" s="6" t="s">
        <v>572</v>
      </c>
      <c r="C357" s="6" t="s">
        <v>57</v>
      </c>
      <c r="D357" s="6" t="s">
        <v>34</v>
      </c>
      <c r="E357" s="6" t="n">
        <f aca="false">ROUND(10646*1.05,2)</f>
        <v>11178.3</v>
      </c>
      <c r="F357" s="6" t="s">
        <v>35</v>
      </c>
      <c r="G357" s="6" t="s">
        <v>18</v>
      </c>
      <c r="H357" s="6" t="n">
        <f aca="true">ROUND(RAND()*4+6,1)</f>
        <v>7.7</v>
      </c>
      <c r="I357" s="6" t="s">
        <v>36</v>
      </c>
      <c r="J357" s="6" t="str">
        <f aca="false">ROUND(66*1,0)&amp;"%"</f>
        <v>66%</v>
      </c>
    </row>
    <row r="358" customFormat="false" ht="15" hidden="false" customHeight="false" outlineLevel="0" collapsed="false">
      <c r="A358" s="5" t="s">
        <v>10334</v>
      </c>
      <c r="B358" s="5" t="s">
        <v>574</v>
      </c>
      <c r="C358" s="5" t="s">
        <v>57</v>
      </c>
      <c r="D358" s="5" t="s">
        <v>39</v>
      </c>
      <c r="E358" s="5" t="n">
        <f aca="false">ROUND(17804*1.05,2)</f>
        <v>18694.2</v>
      </c>
      <c r="F358" s="5" t="s">
        <v>40</v>
      </c>
      <c r="G358" s="5" t="s">
        <v>24</v>
      </c>
      <c r="H358" s="5" t="n">
        <f aca="true">ROUND(RAND()*4+6,1)</f>
        <v>6.8</v>
      </c>
      <c r="I358" s="5" t="s">
        <v>41</v>
      </c>
      <c r="J358" s="5" t="str">
        <f aca="false">ROUND(90*1,0)&amp;"%"</f>
        <v>90%</v>
      </c>
    </row>
    <row r="359" customFormat="false" ht="15" hidden="false" customHeight="false" outlineLevel="0" collapsed="false">
      <c r="A359" s="6" t="s">
        <v>10335</v>
      </c>
      <c r="B359" s="6" t="s">
        <v>576</v>
      </c>
      <c r="C359" s="6" t="s">
        <v>57</v>
      </c>
      <c r="D359" s="6" t="s">
        <v>44</v>
      </c>
      <c r="E359" s="6" t="n">
        <f aca="false">ROUND(7385*1.05,2)</f>
        <v>7754.25</v>
      </c>
      <c r="F359" s="6" t="s">
        <v>45</v>
      </c>
      <c r="G359" s="6" t="s">
        <v>30</v>
      </c>
      <c r="H359" s="6" t="n">
        <f aca="true">ROUND(RAND()*4+6,1)</f>
        <v>6.8</v>
      </c>
      <c r="I359" s="6" t="s">
        <v>46</v>
      </c>
      <c r="J359" s="6" t="str">
        <f aca="false">ROUND(72*1,0)&amp;"%"</f>
        <v>72%</v>
      </c>
    </row>
    <row r="360" customFormat="false" ht="15" hidden="false" customHeight="false" outlineLevel="0" collapsed="false">
      <c r="A360" s="5" t="s">
        <v>10336</v>
      </c>
      <c r="B360" s="5" t="s">
        <v>578</v>
      </c>
      <c r="C360" s="5" t="s">
        <v>57</v>
      </c>
      <c r="D360" s="5" t="s">
        <v>16</v>
      </c>
      <c r="E360" s="5" t="n">
        <f aca="false">ROUND(8153*1.05,2)</f>
        <v>8560.65</v>
      </c>
      <c r="F360" s="5" t="s">
        <v>49</v>
      </c>
      <c r="G360" s="5" t="s">
        <v>18</v>
      </c>
      <c r="H360" s="5" t="n">
        <f aca="true">ROUND(RAND()*4+6,1)</f>
        <v>9.6</v>
      </c>
      <c r="I360" s="5" t="s">
        <v>19</v>
      </c>
      <c r="J360" s="5" t="str">
        <f aca="false">ROUND(82*1,0)&amp;"%"</f>
        <v>82%</v>
      </c>
    </row>
    <row r="361" customFormat="false" ht="15" hidden="false" customHeight="false" outlineLevel="0" collapsed="false">
      <c r="A361" s="6" t="s">
        <v>10337</v>
      </c>
      <c r="B361" s="6" t="s">
        <v>580</v>
      </c>
      <c r="C361" s="6" t="s">
        <v>57</v>
      </c>
      <c r="D361" s="6" t="s">
        <v>22</v>
      </c>
      <c r="E361" s="6" t="n">
        <f aca="false">ROUND(17591*1.05,2)</f>
        <v>18470.55</v>
      </c>
      <c r="F361" s="6" t="s">
        <v>52</v>
      </c>
      <c r="G361" s="6" t="s">
        <v>24</v>
      </c>
      <c r="H361" s="6" t="n">
        <f aca="true">ROUND(RAND()*4+6,1)</f>
        <v>10</v>
      </c>
      <c r="I361" s="6" t="s">
        <v>25</v>
      </c>
      <c r="J361" s="6" t="str">
        <f aca="false">ROUND(71*1,0)&amp;"%"</f>
        <v>71%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10338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10339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10340</v>
      </c>
      <c r="B6" s="5" t="s">
        <v>14</v>
      </c>
      <c r="C6" s="5" t="s">
        <v>15</v>
      </c>
      <c r="D6" s="5" t="s">
        <v>16</v>
      </c>
      <c r="E6" s="5" t="n">
        <f aca="false">ROUND(12516*1.05,2)</f>
        <v>13141.8</v>
      </c>
      <c r="F6" s="5" t="s">
        <v>17</v>
      </c>
      <c r="G6" s="5" t="s">
        <v>18</v>
      </c>
      <c r="H6" s="5" t="n">
        <f aca="true">ROUND(RAND()*4+6,1)</f>
        <v>6.5</v>
      </c>
      <c r="I6" s="5" t="s">
        <v>19</v>
      </c>
      <c r="J6" s="5" t="str">
        <f aca="false">ROUND(87*1,0)&amp;"%"</f>
        <v>87%</v>
      </c>
    </row>
    <row r="7" customFormat="false" ht="15" hidden="false" customHeight="false" outlineLevel="0" collapsed="false">
      <c r="A7" s="6" t="s">
        <v>10341</v>
      </c>
      <c r="B7" s="6" t="s">
        <v>21</v>
      </c>
      <c r="C7" s="6" t="s">
        <v>15</v>
      </c>
      <c r="D7" s="6" t="s">
        <v>22</v>
      </c>
      <c r="E7" s="6" t="n">
        <f aca="false">ROUND(11800*1.05,2)</f>
        <v>12390</v>
      </c>
      <c r="F7" s="6" t="s">
        <v>23</v>
      </c>
      <c r="G7" s="6" t="s">
        <v>24</v>
      </c>
      <c r="H7" s="6" t="n">
        <f aca="true">ROUND(RAND()*4+6,1)</f>
        <v>7.1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10342</v>
      </c>
      <c r="B8" s="5" t="s">
        <v>27</v>
      </c>
      <c r="C8" s="5" t="s">
        <v>15</v>
      </c>
      <c r="D8" s="5" t="s">
        <v>28</v>
      </c>
      <c r="E8" s="5" t="n">
        <f aca="false">ROUND(10047*1.05,2)</f>
        <v>10549.35</v>
      </c>
      <c r="F8" s="5" t="s">
        <v>29</v>
      </c>
      <c r="G8" s="5" t="s">
        <v>30</v>
      </c>
      <c r="H8" s="5" t="n">
        <f aca="true">ROUND(RAND()*4+6,1)</f>
        <v>9.4</v>
      </c>
      <c r="I8" s="5" t="s">
        <v>31</v>
      </c>
      <c r="J8" s="5" t="str">
        <f aca="false">ROUND(78*1,0)&amp;"%"</f>
        <v>78%</v>
      </c>
    </row>
    <row r="9" customFormat="false" ht="15" hidden="false" customHeight="false" outlineLevel="0" collapsed="false">
      <c r="A9" s="6" t="s">
        <v>10343</v>
      </c>
      <c r="B9" s="6" t="s">
        <v>33</v>
      </c>
      <c r="C9" s="6" t="s">
        <v>15</v>
      </c>
      <c r="D9" s="6" t="s">
        <v>34</v>
      </c>
      <c r="E9" s="6" t="n">
        <f aca="false">ROUND(17276*1.05,2)</f>
        <v>18139.8</v>
      </c>
      <c r="F9" s="6" t="s">
        <v>35</v>
      </c>
      <c r="G9" s="6" t="s">
        <v>18</v>
      </c>
      <c r="H9" s="6" t="n">
        <f aca="true">ROUND(RAND()*4+6,1)</f>
        <v>9.3</v>
      </c>
      <c r="I9" s="6" t="s">
        <v>36</v>
      </c>
      <c r="J9" s="6" t="str">
        <f aca="false">ROUND(88*1,0)&amp;"%"</f>
        <v>88%</v>
      </c>
    </row>
    <row r="10" customFormat="false" ht="15" hidden="false" customHeight="false" outlineLevel="0" collapsed="false">
      <c r="A10" s="5" t="s">
        <v>10344</v>
      </c>
      <c r="B10" s="5" t="s">
        <v>38</v>
      </c>
      <c r="C10" s="5" t="s">
        <v>15</v>
      </c>
      <c r="D10" s="5" t="s">
        <v>39</v>
      </c>
      <c r="E10" s="5" t="n">
        <f aca="false">ROUND(15862*1.05,2)</f>
        <v>16655.1</v>
      </c>
      <c r="F10" s="5" t="s">
        <v>40</v>
      </c>
      <c r="G10" s="5" t="s">
        <v>24</v>
      </c>
      <c r="H10" s="5" t="n">
        <f aca="true">ROUND(RAND()*4+6,1)</f>
        <v>9</v>
      </c>
      <c r="I10" s="5" t="s">
        <v>41</v>
      </c>
      <c r="J10" s="5" t="str">
        <f aca="false">ROUND(71*1,0)&amp;"%"</f>
        <v>71%</v>
      </c>
    </row>
    <row r="11" customFormat="false" ht="15" hidden="false" customHeight="false" outlineLevel="0" collapsed="false">
      <c r="A11" s="6" t="s">
        <v>10345</v>
      </c>
      <c r="B11" s="6" t="s">
        <v>43</v>
      </c>
      <c r="C11" s="6" t="s">
        <v>15</v>
      </c>
      <c r="D11" s="6" t="s">
        <v>44</v>
      </c>
      <c r="E11" s="6" t="n">
        <f aca="false">ROUND(8947*1.05,2)</f>
        <v>9394.35</v>
      </c>
      <c r="F11" s="6" t="s">
        <v>45</v>
      </c>
      <c r="G11" s="6" t="s">
        <v>30</v>
      </c>
      <c r="H11" s="6" t="n">
        <f aca="true">ROUND(RAND()*4+6,1)</f>
        <v>7.8</v>
      </c>
      <c r="I11" s="6" t="s">
        <v>46</v>
      </c>
      <c r="J11" s="6" t="str">
        <f aca="false">ROUND(67*1,0)&amp;"%"</f>
        <v>67%</v>
      </c>
    </row>
    <row r="12" customFormat="false" ht="15" hidden="false" customHeight="false" outlineLevel="0" collapsed="false">
      <c r="A12" s="5" t="s">
        <v>10346</v>
      </c>
      <c r="B12" s="5" t="s">
        <v>48</v>
      </c>
      <c r="C12" s="5" t="s">
        <v>15</v>
      </c>
      <c r="D12" s="5" t="s">
        <v>16</v>
      </c>
      <c r="E12" s="5" t="n">
        <f aca="false">ROUND(13366*1.05,2)</f>
        <v>14034.3</v>
      </c>
      <c r="F12" s="5" t="s">
        <v>49</v>
      </c>
      <c r="G12" s="5" t="s">
        <v>18</v>
      </c>
      <c r="H12" s="5" t="n">
        <f aca="true">ROUND(RAND()*4+6,1)</f>
        <v>6.2</v>
      </c>
      <c r="I12" s="5" t="s">
        <v>19</v>
      </c>
      <c r="J12" s="5" t="str">
        <f aca="false">ROUND(84*1,0)&amp;"%"</f>
        <v>84%</v>
      </c>
    </row>
    <row r="13" customFormat="false" ht="15" hidden="false" customHeight="false" outlineLevel="0" collapsed="false">
      <c r="A13" s="6" t="s">
        <v>10347</v>
      </c>
      <c r="B13" s="6" t="s">
        <v>51</v>
      </c>
      <c r="C13" s="6" t="s">
        <v>15</v>
      </c>
      <c r="D13" s="6" t="s">
        <v>22</v>
      </c>
      <c r="E13" s="6" t="n">
        <f aca="false">ROUND(5019*1.05,2)</f>
        <v>5269.95</v>
      </c>
      <c r="F13" s="6" t="s">
        <v>52</v>
      </c>
      <c r="G13" s="6" t="s">
        <v>24</v>
      </c>
      <c r="H13" s="6" t="n">
        <f aca="true">ROUND(RAND()*4+6,1)</f>
        <v>7.8</v>
      </c>
      <c r="I13" s="6" t="s">
        <v>25</v>
      </c>
      <c r="J13" s="6" t="str">
        <f aca="false">ROUND(71*1,0)&amp;"%"</f>
        <v>71%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10348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10349</v>
      </c>
      <c r="B18" s="5" t="s">
        <v>56</v>
      </c>
      <c r="C18" s="5" t="s">
        <v>57</v>
      </c>
      <c r="D18" s="5" t="s">
        <v>16</v>
      </c>
      <c r="E18" s="5" t="n">
        <f aca="false">ROUND(8974*1.05,2)</f>
        <v>9422.7</v>
      </c>
      <c r="F18" s="5" t="s">
        <v>17</v>
      </c>
      <c r="G18" s="5" t="s">
        <v>18</v>
      </c>
      <c r="H18" s="5" t="n">
        <f aca="true">ROUND(RAND()*4+6,1)</f>
        <v>8.4</v>
      </c>
      <c r="I18" s="5" t="s">
        <v>19</v>
      </c>
      <c r="J18" s="5" t="str">
        <f aca="false">ROUND(77*1,0)&amp;"%"</f>
        <v>77%</v>
      </c>
    </row>
    <row r="19" customFormat="false" ht="15" hidden="false" customHeight="false" outlineLevel="0" collapsed="false">
      <c r="A19" s="6" t="s">
        <v>10350</v>
      </c>
      <c r="B19" s="6" t="s">
        <v>59</v>
      </c>
      <c r="C19" s="6" t="s">
        <v>57</v>
      </c>
      <c r="D19" s="6" t="s">
        <v>22</v>
      </c>
      <c r="E19" s="6" t="n">
        <f aca="false">ROUND(14122*1.05,2)</f>
        <v>14828.1</v>
      </c>
      <c r="F19" s="6" t="s">
        <v>23</v>
      </c>
      <c r="G19" s="6" t="s">
        <v>24</v>
      </c>
      <c r="H19" s="6" t="n">
        <f aca="true">ROUND(RAND()*4+6,1)</f>
        <v>6.6</v>
      </c>
      <c r="I19" s="6" t="s">
        <v>25</v>
      </c>
      <c r="J19" s="6" t="str">
        <f aca="false">ROUND(90*1,0)&amp;"%"</f>
        <v>90%</v>
      </c>
    </row>
    <row r="20" customFormat="false" ht="15" hidden="false" customHeight="false" outlineLevel="0" collapsed="false">
      <c r="A20" s="5" t="s">
        <v>10351</v>
      </c>
      <c r="B20" s="5" t="s">
        <v>61</v>
      </c>
      <c r="C20" s="5" t="s">
        <v>57</v>
      </c>
      <c r="D20" s="5" t="s">
        <v>28</v>
      </c>
      <c r="E20" s="5" t="n">
        <f aca="false">ROUND(10214*1.05,2)</f>
        <v>10724.7</v>
      </c>
      <c r="F20" s="5" t="s">
        <v>29</v>
      </c>
      <c r="G20" s="5" t="s">
        <v>30</v>
      </c>
      <c r="H20" s="5" t="n">
        <f aca="true">ROUND(RAND()*4+6,1)</f>
        <v>9.8</v>
      </c>
      <c r="I20" s="5" t="s">
        <v>31</v>
      </c>
      <c r="J20" s="5" t="str">
        <f aca="false">ROUND(61*1,0)&amp;"%"</f>
        <v>61%</v>
      </c>
    </row>
    <row r="21" customFormat="false" ht="15" hidden="false" customHeight="false" outlineLevel="0" collapsed="false">
      <c r="A21" s="6" t="s">
        <v>10352</v>
      </c>
      <c r="B21" s="6" t="s">
        <v>63</v>
      </c>
      <c r="C21" s="6" t="s">
        <v>57</v>
      </c>
      <c r="D21" s="6" t="s">
        <v>34</v>
      </c>
      <c r="E21" s="6" t="n">
        <f aca="false">ROUND(9130*1.05,2)</f>
        <v>9586.5</v>
      </c>
      <c r="F21" s="6" t="s">
        <v>35</v>
      </c>
      <c r="G21" s="6" t="s">
        <v>18</v>
      </c>
      <c r="H21" s="6" t="n">
        <f aca="true">ROUND(RAND()*4+6,1)</f>
        <v>6.5</v>
      </c>
      <c r="I21" s="6" t="s">
        <v>36</v>
      </c>
      <c r="J21" s="6" t="str">
        <f aca="false">ROUND(62*1,0)&amp;"%"</f>
        <v>62%</v>
      </c>
    </row>
    <row r="22" customFormat="false" ht="15" hidden="false" customHeight="false" outlineLevel="0" collapsed="false">
      <c r="A22" s="5" t="s">
        <v>10353</v>
      </c>
      <c r="B22" s="5" t="s">
        <v>65</v>
      </c>
      <c r="C22" s="5" t="s">
        <v>57</v>
      </c>
      <c r="D22" s="5" t="s">
        <v>39</v>
      </c>
      <c r="E22" s="5" t="n">
        <f aca="false">ROUND(8604*1.05,2)</f>
        <v>9034.2</v>
      </c>
      <c r="F22" s="5" t="s">
        <v>40</v>
      </c>
      <c r="G22" s="5" t="s">
        <v>24</v>
      </c>
      <c r="H22" s="5" t="n">
        <f aca="true">ROUND(RAND()*4+6,1)</f>
        <v>9</v>
      </c>
      <c r="I22" s="5" t="s">
        <v>41</v>
      </c>
      <c r="J22" s="5" t="str">
        <f aca="false">ROUND(88*1,0)&amp;"%"</f>
        <v>88%</v>
      </c>
    </row>
    <row r="23" customFormat="false" ht="15" hidden="false" customHeight="false" outlineLevel="0" collapsed="false">
      <c r="A23" s="6" t="s">
        <v>10354</v>
      </c>
      <c r="B23" s="6" t="s">
        <v>67</v>
      </c>
      <c r="C23" s="6" t="s">
        <v>57</v>
      </c>
      <c r="D23" s="6" t="s">
        <v>44</v>
      </c>
      <c r="E23" s="6" t="n">
        <f aca="false">ROUND(15320*1.05,2)</f>
        <v>16086</v>
      </c>
      <c r="F23" s="6" t="s">
        <v>45</v>
      </c>
      <c r="G23" s="6" t="s">
        <v>30</v>
      </c>
      <c r="H23" s="6" t="n">
        <f aca="true">ROUND(RAND()*4+6,1)</f>
        <v>9.8</v>
      </c>
      <c r="I23" s="6" t="s">
        <v>46</v>
      </c>
      <c r="J23" s="6" t="str">
        <f aca="false">ROUND(65*1,0)&amp;"%"</f>
        <v>65%</v>
      </c>
    </row>
    <row r="24" customFormat="false" ht="15" hidden="false" customHeight="false" outlineLevel="0" collapsed="false">
      <c r="A24" s="5" t="s">
        <v>10355</v>
      </c>
      <c r="B24" s="5" t="s">
        <v>69</v>
      </c>
      <c r="C24" s="5" t="s">
        <v>57</v>
      </c>
      <c r="D24" s="5" t="s">
        <v>16</v>
      </c>
      <c r="E24" s="5" t="n">
        <f aca="false">ROUND(8043*1.05,2)</f>
        <v>8445.15</v>
      </c>
      <c r="F24" s="5" t="s">
        <v>49</v>
      </c>
      <c r="G24" s="5" t="s">
        <v>18</v>
      </c>
      <c r="H24" s="5" t="n">
        <f aca="true">ROUND(RAND()*4+6,1)</f>
        <v>9.4</v>
      </c>
      <c r="I24" s="5" t="s">
        <v>19</v>
      </c>
      <c r="J24" s="5" t="str">
        <f aca="false">ROUND(72*1,0)&amp;"%"</f>
        <v>72%</v>
      </c>
    </row>
    <row r="25" customFormat="false" ht="15" hidden="false" customHeight="false" outlineLevel="0" collapsed="false">
      <c r="A25" s="6" t="s">
        <v>10356</v>
      </c>
      <c r="B25" s="6" t="s">
        <v>71</v>
      </c>
      <c r="C25" s="6" t="s">
        <v>57</v>
      </c>
      <c r="D25" s="6" t="s">
        <v>22</v>
      </c>
      <c r="E25" s="6" t="n">
        <f aca="false">ROUND(10823*1.05,2)</f>
        <v>11364.15</v>
      </c>
      <c r="F25" s="6" t="s">
        <v>52</v>
      </c>
      <c r="G25" s="6" t="s">
        <v>24</v>
      </c>
      <c r="H25" s="6" t="n">
        <f aca="true">ROUND(RAND()*4+6,1)</f>
        <v>9.2</v>
      </c>
      <c r="I25" s="6" t="s">
        <v>25</v>
      </c>
      <c r="J25" s="6" t="str">
        <f aca="false">ROUND(93*1,0)&amp;"%"</f>
        <v>93%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10357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10358</v>
      </c>
      <c r="B30" s="5" t="s">
        <v>75</v>
      </c>
      <c r="C30" s="5" t="s">
        <v>76</v>
      </c>
      <c r="D30" s="5" t="s">
        <v>16</v>
      </c>
      <c r="E30" s="5" t="n">
        <f aca="false">ROUND(4152*1.05,2)</f>
        <v>4359.6</v>
      </c>
      <c r="F30" s="5" t="s">
        <v>17</v>
      </c>
      <c r="G30" s="5" t="s">
        <v>18</v>
      </c>
      <c r="H30" s="5" t="n">
        <f aca="true">ROUND(RAND()*4+6,1)</f>
        <v>8.5</v>
      </c>
      <c r="I30" s="5" t="s">
        <v>19</v>
      </c>
      <c r="J30" s="5" t="str">
        <f aca="false">ROUND(68*1,0)&amp;"%"</f>
        <v>68%</v>
      </c>
    </row>
    <row r="31" customFormat="false" ht="15" hidden="false" customHeight="false" outlineLevel="0" collapsed="false">
      <c r="A31" s="6" t="s">
        <v>10359</v>
      </c>
      <c r="B31" s="6" t="s">
        <v>78</v>
      </c>
      <c r="C31" s="6" t="s">
        <v>76</v>
      </c>
      <c r="D31" s="6" t="s">
        <v>22</v>
      </c>
      <c r="E31" s="6" t="n">
        <f aca="false">ROUND(17749*1.05,2)</f>
        <v>18636.45</v>
      </c>
      <c r="F31" s="6" t="s">
        <v>23</v>
      </c>
      <c r="G31" s="6" t="s">
        <v>24</v>
      </c>
      <c r="H31" s="6" t="n">
        <f aca="true">ROUND(RAND()*4+6,1)</f>
        <v>6.3</v>
      </c>
      <c r="I31" s="6" t="s">
        <v>25</v>
      </c>
      <c r="J31" s="6" t="str">
        <f aca="false">ROUND(66*1,0)&amp;"%"</f>
        <v>66%</v>
      </c>
    </row>
    <row r="32" customFormat="false" ht="15" hidden="false" customHeight="false" outlineLevel="0" collapsed="false">
      <c r="A32" s="5" t="s">
        <v>10360</v>
      </c>
      <c r="B32" s="5" t="s">
        <v>80</v>
      </c>
      <c r="C32" s="5" t="s">
        <v>76</v>
      </c>
      <c r="D32" s="5" t="s">
        <v>28</v>
      </c>
      <c r="E32" s="5" t="n">
        <f aca="false">ROUND(13750*1.05,2)</f>
        <v>14437.5</v>
      </c>
      <c r="F32" s="5" t="s">
        <v>29</v>
      </c>
      <c r="G32" s="5" t="s">
        <v>30</v>
      </c>
      <c r="H32" s="5" t="n">
        <f aca="true">ROUND(RAND()*4+6,1)</f>
        <v>6.1</v>
      </c>
      <c r="I32" s="5" t="s">
        <v>31</v>
      </c>
      <c r="J32" s="5" t="str">
        <f aca="false">ROUND(96*1,0)&amp;"%"</f>
        <v>96%</v>
      </c>
    </row>
    <row r="33" customFormat="false" ht="15" hidden="false" customHeight="false" outlineLevel="0" collapsed="false">
      <c r="A33" s="6" t="s">
        <v>10361</v>
      </c>
      <c r="B33" s="6" t="s">
        <v>82</v>
      </c>
      <c r="C33" s="6" t="s">
        <v>76</v>
      </c>
      <c r="D33" s="6" t="s">
        <v>34</v>
      </c>
      <c r="E33" s="6" t="n">
        <f aca="false">ROUND(13188*1.05,2)</f>
        <v>13847.4</v>
      </c>
      <c r="F33" s="6" t="s">
        <v>35</v>
      </c>
      <c r="G33" s="6" t="s">
        <v>18</v>
      </c>
      <c r="H33" s="6" t="n">
        <f aca="true">ROUND(RAND()*4+6,1)</f>
        <v>6.8</v>
      </c>
      <c r="I33" s="6" t="s">
        <v>36</v>
      </c>
      <c r="J33" s="6" t="str">
        <f aca="false">ROUND(60*1,0)&amp;"%"</f>
        <v>60%</v>
      </c>
    </row>
    <row r="34" customFormat="false" ht="15" hidden="false" customHeight="false" outlineLevel="0" collapsed="false">
      <c r="A34" s="5" t="s">
        <v>10362</v>
      </c>
      <c r="B34" s="5" t="s">
        <v>84</v>
      </c>
      <c r="C34" s="5" t="s">
        <v>76</v>
      </c>
      <c r="D34" s="5" t="s">
        <v>39</v>
      </c>
      <c r="E34" s="5" t="n">
        <f aca="false">ROUND(10141*1.05,2)</f>
        <v>10648.05</v>
      </c>
      <c r="F34" s="5" t="s">
        <v>40</v>
      </c>
      <c r="G34" s="5" t="s">
        <v>24</v>
      </c>
      <c r="H34" s="5" t="n">
        <f aca="true">ROUND(RAND()*4+6,1)</f>
        <v>6.6</v>
      </c>
      <c r="I34" s="5" t="s">
        <v>41</v>
      </c>
      <c r="J34" s="5" t="str">
        <f aca="false">ROUND(92*1,0)&amp;"%"</f>
        <v>92%</v>
      </c>
    </row>
    <row r="35" customFormat="false" ht="15" hidden="false" customHeight="false" outlineLevel="0" collapsed="false">
      <c r="A35" s="6" t="s">
        <v>10363</v>
      </c>
      <c r="B35" s="6" t="s">
        <v>86</v>
      </c>
      <c r="C35" s="6" t="s">
        <v>76</v>
      </c>
      <c r="D35" s="6" t="s">
        <v>44</v>
      </c>
      <c r="E35" s="6" t="n">
        <f aca="false">ROUND(16359*1.05,2)</f>
        <v>17176.95</v>
      </c>
      <c r="F35" s="6" t="s">
        <v>45</v>
      </c>
      <c r="G35" s="6" t="s">
        <v>30</v>
      </c>
      <c r="H35" s="6" t="n">
        <f aca="true">ROUND(RAND()*4+6,1)</f>
        <v>9.5</v>
      </c>
      <c r="I35" s="6" t="s">
        <v>46</v>
      </c>
      <c r="J35" s="6" t="str">
        <f aca="false">ROUND(88*1,0)&amp;"%"</f>
        <v>88%</v>
      </c>
    </row>
    <row r="36" customFormat="false" ht="15" hidden="false" customHeight="false" outlineLevel="0" collapsed="false">
      <c r="A36" s="5" t="s">
        <v>10364</v>
      </c>
      <c r="B36" s="5" t="s">
        <v>88</v>
      </c>
      <c r="C36" s="5" t="s">
        <v>76</v>
      </c>
      <c r="D36" s="5" t="s">
        <v>16</v>
      </c>
      <c r="E36" s="5" t="n">
        <f aca="false">ROUND(11546*1.05,2)</f>
        <v>12123.3</v>
      </c>
      <c r="F36" s="5" t="s">
        <v>49</v>
      </c>
      <c r="G36" s="5" t="s">
        <v>18</v>
      </c>
      <c r="H36" s="5" t="n">
        <f aca="true">ROUND(RAND()*4+6,1)</f>
        <v>6.7</v>
      </c>
      <c r="I36" s="5" t="s">
        <v>19</v>
      </c>
      <c r="J36" s="5" t="str">
        <f aca="false">ROUND(88*1,0)&amp;"%"</f>
        <v>88%</v>
      </c>
    </row>
    <row r="37" customFormat="false" ht="15" hidden="false" customHeight="false" outlineLevel="0" collapsed="false">
      <c r="A37" s="6" t="s">
        <v>10365</v>
      </c>
      <c r="B37" s="6" t="s">
        <v>90</v>
      </c>
      <c r="C37" s="6" t="s">
        <v>76</v>
      </c>
      <c r="D37" s="6" t="s">
        <v>22</v>
      </c>
      <c r="E37" s="6" t="n">
        <f aca="false">ROUND(10877*1.05,2)</f>
        <v>11420.85</v>
      </c>
      <c r="F37" s="6" t="s">
        <v>52</v>
      </c>
      <c r="G37" s="6" t="s">
        <v>24</v>
      </c>
      <c r="H37" s="6" t="n">
        <f aca="true">ROUND(RAND()*4+6,1)</f>
        <v>9.4</v>
      </c>
      <c r="I37" s="6" t="s">
        <v>25</v>
      </c>
      <c r="J37" s="6" t="str">
        <f aca="false">ROUND(76*1,0)&amp;"%"</f>
        <v>76%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10366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10367</v>
      </c>
      <c r="B42" s="5" t="s">
        <v>94</v>
      </c>
      <c r="C42" s="5" t="s">
        <v>95</v>
      </c>
      <c r="D42" s="5" t="s">
        <v>16</v>
      </c>
      <c r="E42" s="5" t="n">
        <f aca="false">ROUND(5452*1.05,2)</f>
        <v>5724.6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ROUND(65*1,0)&amp;"%"</f>
        <v>65%</v>
      </c>
    </row>
    <row r="43" customFormat="false" ht="15" hidden="false" customHeight="false" outlineLevel="0" collapsed="false">
      <c r="A43" s="6" t="s">
        <v>10368</v>
      </c>
      <c r="B43" s="6" t="s">
        <v>97</v>
      </c>
      <c r="C43" s="6" t="s">
        <v>95</v>
      </c>
      <c r="D43" s="6" t="s">
        <v>22</v>
      </c>
      <c r="E43" s="6" t="n">
        <f aca="false">ROUND(17726*1.05,2)</f>
        <v>18612.3</v>
      </c>
      <c r="F43" s="6" t="s">
        <v>23</v>
      </c>
      <c r="G43" s="6" t="s">
        <v>24</v>
      </c>
      <c r="H43" s="6" t="n">
        <f aca="true">ROUND(RAND()*4+6,1)</f>
        <v>7.7</v>
      </c>
      <c r="I43" s="6" t="s">
        <v>25</v>
      </c>
      <c r="J43" s="6" t="str">
        <f aca="false">ROUND(90*1,0)&amp;"%"</f>
        <v>90%</v>
      </c>
    </row>
    <row r="44" customFormat="false" ht="15" hidden="false" customHeight="false" outlineLevel="0" collapsed="false">
      <c r="A44" s="5" t="s">
        <v>10369</v>
      </c>
      <c r="B44" s="5" t="s">
        <v>99</v>
      </c>
      <c r="C44" s="5" t="s">
        <v>95</v>
      </c>
      <c r="D44" s="5" t="s">
        <v>28</v>
      </c>
      <c r="E44" s="5" t="n">
        <f aca="false">ROUND(14655*1.05,2)</f>
        <v>15387.75</v>
      </c>
      <c r="F44" s="5" t="s">
        <v>29</v>
      </c>
      <c r="G44" s="5" t="s">
        <v>30</v>
      </c>
      <c r="H44" s="5" t="n">
        <f aca="true">ROUND(RAND()*4+6,1)</f>
        <v>7.3</v>
      </c>
      <c r="I44" s="5" t="s">
        <v>31</v>
      </c>
      <c r="J44" s="5" t="str">
        <f aca="false">ROUND(87*1,0)&amp;"%"</f>
        <v>87%</v>
      </c>
    </row>
    <row r="45" customFormat="false" ht="15" hidden="false" customHeight="false" outlineLevel="0" collapsed="false">
      <c r="A45" s="6" t="s">
        <v>10370</v>
      </c>
      <c r="B45" s="6" t="s">
        <v>101</v>
      </c>
      <c r="C45" s="6" t="s">
        <v>95</v>
      </c>
      <c r="D45" s="6" t="s">
        <v>34</v>
      </c>
      <c r="E45" s="6" t="n">
        <f aca="false">ROUND(17807*1.05,2)</f>
        <v>18697.35</v>
      </c>
      <c r="F45" s="6" t="s">
        <v>35</v>
      </c>
      <c r="G45" s="6" t="s">
        <v>18</v>
      </c>
      <c r="H45" s="6" t="n">
        <f aca="true">ROUND(RAND()*4+6,1)</f>
        <v>9.4</v>
      </c>
      <c r="I45" s="6" t="s">
        <v>36</v>
      </c>
      <c r="J45" s="6" t="str">
        <f aca="false">ROUND(71*1,0)&amp;"%"</f>
        <v>71%</v>
      </c>
    </row>
    <row r="46" customFormat="false" ht="15" hidden="false" customHeight="false" outlineLevel="0" collapsed="false">
      <c r="A46" s="5" t="s">
        <v>10371</v>
      </c>
      <c r="B46" s="5" t="s">
        <v>103</v>
      </c>
      <c r="C46" s="5" t="s">
        <v>95</v>
      </c>
      <c r="D46" s="5" t="s">
        <v>39</v>
      </c>
      <c r="E46" s="5" t="n">
        <f aca="false">ROUND(11992*1.05,2)</f>
        <v>12591.6</v>
      </c>
      <c r="F46" s="5" t="s">
        <v>40</v>
      </c>
      <c r="G46" s="5" t="s">
        <v>24</v>
      </c>
      <c r="H46" s="5" t="n">
        <f aca="true">ROUND(RAND()*4+6,1)</f>
        <v>6.3</v>
      </c>
      <c r="I46" s="5" t="s">
        <v>41</v>
      </c>
      <c r="J46" s="5" t="str">
        <f aca="false">ROUND(61*1,0)&amp;"%"</f>
        <v>61%</v>
      </c>
    </row>
    <row r="47" customFormat="false" ht="15" hidden="false" customHeight="false" outlineLevel="0" collapsed="false">
      <c r="A47" s="6" t="s">
        <v>10372</v>
      </c>
      <c r="B47" s="6" t="s">
        <v>105</v>
      </c>
      <c r="C47" s="6" t="s">
        <v>95</v>
      </c>
      <c r="D47" s="6" t="s">
        <v>44</v>
      </c>
      <c r="E47" s="6" t="n">
        <f aca="false">ROUND(11552*1.05,2)</f>
        <v>12129.6</v>
      </c>
      <c r="F47" s="6" t="s">
        <v>45</v>
      </c>
      <c r="G47" s="6" t="s">
        <v>30</v>
      </c>
      <c r="H47" s="6" t="n">
        <f aca="true">ROUND(RAND()*4+6,1)</f>
        <v>8.9</v>
      </c>
      <c r="I47" s="6" t="s">
        <v>46</v>
      </c>
      <c r="J47" s="6" t="str">
        <f aca="false">ROUND(80*1,0)&amp;"%"</f>
        <v>80%</v>
      </c>
    </row>
    <row r="48" customFormat="false" ht="15" hidden="false" customHeight="false" outlineLevel="0" collapsed="false">
      <c r="A48" s="5" t="s">
        <v>10373</v>
      </c>
      <c r="B48" s="5" t="s">
        <v>107</v>
      </c>
      <c r="C48" s="5" t="s">
        <v>95</v>
      </c>
      <c r="D48" s="5" t="s">
        <v>16</v>
      </c>
      <c r="E48" s="5" t="n">
        <f aca="false">ROUND(5000*1.05,2)</f>
        <v>5250</v>
      </c>
      <c r="F48" s="5" t="s">
        <v>49</v>
      </c>
      <c r="G48" s="5" t="s">
        <v>18</v>
      </c>
      <c r="H48" s="5" t="n">
        <f aca="true">ROUND(RAND()*4+6,1)</f>
        <v>9.1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10374</v>
      </c>
      <c r="B49" s="6" t="s">
        <v>109</v>
      </c>
      <c r="C49" s="6" t="s">
        <v>95</v>
      </c>
      <c r="D49" s="6" t="s">
        <v>22</v>
      </c>
      <c r="E49" s="6" t="n">
        <f aca="false">ROUND(8968*1.05,2)</f>
        <v>9416.4</v>
      </c>
      <c r="F49" s="6" t="s">
        <v>52</v>
      </c>
      <c r="G49" s="6" t="s">
        <v>24</v>
      </c>
      <c r="H49" s="6" t="n">
        <f aca="true">ROUND(RAND()*4+6,1)</f>
        <v>9.8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10375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10376</v>
      </c>
      <c r="B54" s="5" t="s">
        <v>113</v>
      </c>
      <c r="C54" s="5" t="s">
        <v>114</v>
      </c>
      <c r="D54" s="5" t="s">
        <v>16</v>
      </c>
      <c r="E54" s="5" t="n">
        <f aca="false">ROUND(4294*1.05,2)</f>
        <v>4508.7</v>
      </c>
      <c r="F54" s="5" t="s">
        <v>17</v>
      </c>
      <c r="G54" s="5" t="s">
        <v>18</v>
      </c>
      <c r="H54" s="5" t="n">
        <f aca="true">ROUND(RAND()*4+6,1)</f>
        <v>9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10377</v>
      </c>
      <c r="B55" s="6" t="s">
        <v>116</v>
      </c>
      <c r="C55" s="6" t="s">
        <v>114</v>
      </c>
      <c r="D55" s="6" t="s">
        <v>22</v>
      </c>
      <c r="E55" s="6" t="n">
        <f aca="false">ROUND(10994*1.05,2)</f>
        <v>11543.7</v>
      </c>
      <c r="F55" s="6" t="s">
        <v>23</v>
      </c>
      <c r="G55" s="6" t="s">
        <v>24</v>
      </c>
      <c r="H55" s="6" t="n">
        <f aca="true">ROUND(RAND()*4+6,1)</f>
        <v>7.7</v>
      </c>
      <c r="I55" s="6" t="s">
        <v>25</v>
      </c>
      <c r="J55" s="6" t="str">
        <f aca="false">ROUND(90*1,0)&amp;"%"</f>
        <v>90%</v>
      </c>
    </row>
    <row r="56" customFormat="false" ht="15" hidden="false" customHeight="false" outlineLevel="0" collapsed="false">
      <c r="A56" s="5" t="s">
        <v>10378</v>
      </c>
      <c r="B56" s="5" t="s">
        <v>118</v>
      </c>
      <c r="C56" s="5" t="s">
        <v>114</v>
      </c>
      <c r="D56" s="5" t="s">
        <v>28</v>
      </c>
      <c r="E56" s="5" t="n">
        <f aca="false">ROUND(10649*1.05,2)</f>
        <v>11181.45</v>
      </c>
      <c r="F56" s="5" t="s">
        <v>29</v>
      </c>
      <c r="G56" s="5" t="s">
        <v>30</v>
      </c>
      <c r="H56" s="5" t="n">
        <f aca="true">ROUND(RAND()*4+6,1)</f>
        <v>8.2</v>
      </c>
      <c r="I56" s="5" t="s">
        <v>31</v>
      </c>
      <c r="J56" s="5" t="str">
        <f aca="false">ROUND(69*1,0)&amp;"%"</f>
        <v>69%</v>
      </c>
    </row>
    <row r="57" customFormat="false" ht="15" hidden="false" customHeight="false" outlineLevel="0" collapsed="false">
      <c r="A57" s="6" t="s">
        <v>10379</v>
      </c>
      <c r="B57" s="6" t="s">
        <v>120</v>
      </c>
      <c r="C57" s="6" t="s">
        <v>114</v>
      </c>
      <c r="D57" s="6" t="s">
        <v>34</v>
      </c>
      <c r="E57" s="6" t="n">
        <f aca="false">ROUND(10193*1.05,2)</f>
        <v>10702.65</v>
      </c>
      <c r="F57" s="6" t="s">
        <v>35</v>
      </c>
      <c r="G57" s="6" t="s">
        <v>18</v>
      </c>
      <c r="H57" s="6" t="n">
        <f aca="true">ROUND(RAND()*4+6,1)</f>
        <v>8.9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10380</v>
      </c>
      <c r="B58" s="5" t="s">
        <v>122</v>
      </c>
      <c r="C58" s="5" t="s">
        <v>114</v>
      </c>
      <c r="D58" s="5" t="s">
        <v>39</v>
      </c>
      <c r="E58" s="5" t="n">
        <f aca="false">ROUND(4633*1.05,2)</f>
        <v>4864.65</v>
      </c>
      <c r="F58" s="5" t="s">
        <v>40</v>
      </c>
      <c r="G58" s="5" t="s">
        <v>24</v>
      </c>
      <c r="H58" s="5" t="n">
        <f aca="true">ROUND(RAND()*4+6,1)</f>
        <v>7.7</v>
      </c>
      <c r="I58" s="5" t="s">
        <v>41</v>
      </c>
      <c r="J58" s="5" t="str">
        <f aca="false">ROUND(72*1,0)&amp;"%"</f>
        <v>72%</v>
      </c>
    </row>
    <row r="59" customFormat="false" ht="15" hidden="false" customHeight="false" outlineLevel="0" collapsed="false">
      <c r="A59" s="6" t="s">
        <v>10381</v>
      </c>
      <c r="B59" s="6" t="s">
        <v>124</v>
      </c>
      <c r="C59" s="6" t="s">
        <v>114</v>
      </c>
      <c r="D59" s="6" t="s">
        <v>44</v>
      </c>
      <c r="E59" s="6" t="n">
        <f aca="false">ROUND(12518*1.05,2)</f>
        <v>13143.9</v>
      </c>
      <c r="F59" s="6" t="s">
        <v>45</v>
      </c>
      <c r="G59" s="6" t="s">
        <v>30</v>
      </c>
      <c r="H59" s="6" t="n">
        <f aca="true">ROUND(RAND()*4+6,1)</f>
        <v>8.1</v>
      </c>
      <c r="I59" s="6" t="s">
        <v>46</v>
      </c>
      <c r="J59" s="6" t="str">
        <f aca="false">ROUND(66*1,0)&amp;"%"</f>
        <v>66%</v>
      </c>
    </row>
    <row r="60" customFormat="false" ht="15" hidden="false" customHeight="false" outlineLevel="0" collapsed="false">
      <c r="A60" s="5" t="s">
        <v>10382</v>
      </c>
      <c r="B60" s="5" t="s">
        <v>126</v>
      </c>
      <c r="C60" s="5" t="s">
        <v>114</v>
      </c>
      <c r="D60" s="5" t="s">
        <v>16</v>
      </c>
      <c r="E60" s="5" t="n">
        <f aca="false">ROUND(17693*1.05,2)</f>
        <v>18577.65</v>
      </c>
      <c r="F60" s="5" t="s">
        <v>49</v>
      </c>
      <c r="G60" s="5" t="s">
        <v>18</v>
      </c>
      <c r="H60" s="5" t="n">
        <f aca="true">ROUND(RAND()*4+6,1)</f>
        <v>8.4</v>
      </c>
      <c r="I60" s="5" t="s">
        <v>19</v>
      </c>
      <c r="J60" s="5" t="str">
        <f aca="false">ROUND(71*1,0)&amp;"%"</f>
        <v>71%</v>
      </c>
    </row>
    <row r="61" customFormat="false" ht="15" hidden="false" customHeight="false" outlineLevel="0" collapsed="false">
      <c r="A61" s="6" t="s">
        <v>10383</v>
      </c>
      <c r="B61" s="6" t="s">
        <v>128</v>
      </c>
      <c r="C61" s="6" t="s">
        <v>114</v>
      </c>
      <c r="D61" s="6" t="s">
        <v>22</v>
      </c>
      <c r="E61" s="6" t="n">
        <f aca="false">ROUND(16591*1.05,2)</f>
        <v>17420.55</v>
      </c>
      <c r="F61" s="6" t="s">
        <v>52</v>
      </c>
      <c r="G61" s="6" t="s">
        <v>24</v>
      </c>
      <c r="H61" s="6" t="n">
        <f aca="true">ROUND(RAND()*4+6,1)</f>
        <v>7.6</v>
      </c>
      <c r="I61" s="6" t="s">
        <v>25</v>
      </c>
      <c r="J61" s="6" t="str">
        <f aca="false">ROUND(77*1,0)&amp;"%"</f>
        <v>77%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10384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10385</v>
      </c>
      <c r="B66" s="5" t="s">
        <v>132</v>
      </c>
      <c r="C66" s="5" t="s">
        <v>133</v>
      </c>
      <c r="D66" s="5" t="s">
        <v>16</v>
      </c>
      <c r="E66" s="5" t="n">
        <f aca="false">ROUND(16931*1.05,2)</f>
        <v>17777.55</v>
      </c>
      <c r="F66" s="5" t="s">
        <v>17</v>
      </c>
      <c r="G66" s="5" t="s">
        <v>18</v>
      </c>
      <c r="H66" s="5" t="n">
        <f aca="true">ROUND(RAND()*4+6,1)</f>
        <v>6.8</v>
      </c>
      <c r="I66" s="5" t="s">
        <v>19</v>
      </c>
      <c r="J66" s="5" t="str">
        <f aca="false">ROUND(94*1,0)&amp;"%"</f>
        <v>94%</v>
      </c>
    </row>
    <row r="67" customFormat="false" ht="15" hidden="false" customHeight="false" outlineLevel="0" collapsed="false">
      <c r="A67" s="6" t="s">
        <v>10386</v>
      </c>
      <c r="B67" s="6" t="s">
        <v>135</v>
      </c>
      <c r="C67" s="6" t="s">
        <v>133</v>
      </c>
      <c r="D67" s="6" t="s">
        <v>22</v>
      </c>
      <c r="E67" s="6" t="n">
        <f aca="false">ROUND(7020*1.05,2)</f>
        <v>7371</v>
      </c>
      <c r="F67" s="6" t="s">
        <v>23</v>
      </c>
      <c r="G67" s="6" t="s">
        <v>24</v>
      </c>
      <c r="H67" s="6" t="n">
        <f aca="true">ROUND(RAND()*4+6,1)</f>
        <v>8.2</v>
      </c>
      <c r="I67" s="6" t="s">
        <v>25</v>
      </c>
      <c r="J67" s="6" t="str">
        <f aca="false">ROUND(96*1,0)&amp;"%"</f>
        <v>96%</v>
      </c>
    </row>
    <row r="68" customFormat="false" ht="15" hidden="false" customHeight="false" outlineLevel="0" collapsed="false">
      <c r="A68" s="5" t="s">
        <v>10387</v>
      </c>
      <c r="B68" s="5" t="s">
        <v>137</v>
      </c>
      <c r="C68" s="5" t="s">
        <v>133</v>
      </c>
      <c r="D68" s="5" t="s">
        <v>28</v>
      </c>
      <c r="E68" s="5" t="n">
        <f aca="false">ROUND(5902*1.05,2)</f>
        <v>6197.1</v>
      </c>
      <c r="F68" s="5" t="s">
        <v>29</v>
      </c>
      <c r="G68" s="5" t="s">
        <v>30</v>
      </c>
      <c r="H68" s="5" t="n">
        <f aca="true">ROUND(RAND()*4+6,1)</f>
        <v>9.7</v>
      </c>
      <c r="I68" s="5" t="s">
        <v>31</v>
      </c>
      <c r="J68" s="5" t="str">
        <f aca="false">ROUND(87*1,0)&amp;"%"</f>
        <v>87%</v>
      </c>
    </row>
    <row r="69" customFormat="false" ht="15" hidden="false" customHeight="false" outlineLevel="0" collapsed="false">
      <c r="A69" s="6" t="s">
        <v>10388</v>
      </c>
      <c r="B69" s="6" t="s">
        <v>139</v>
      </c>
      <c r="C69" s="6" t="s">
        <v>133</v>
      </c>
      <c r="D69" s="6" t="s">
        <v>34</v>
      </c>
      <c r="E69" s="6" t="n">
        <f aca="false">ROUND(4774*1.05,2)</f>
        <v>5012.7</v>
      </c>
      <c r="F69" s="6" t="s">
        <v>35</v>
      </c>
      <c r="G69" s="6" t="s">
        <v>18</v>
      </c>
      <c r="H69" s="6" t="n">
        <f aca="true">ROUND(RAND()*4+6,1)</f>
        <v>9.2</v>
      </c>
      <c r="I69" s="6" t="s">
        <v>36</v>
      </c>
      <c r="J69" s="6" t="str">
        <f aca="false">ROUND(77*1,0)&amp;"%"</f>
        <v>77%</v>
      </c>
    </row>
    <row r="70" customFormat="false" ht="15" hidden="false" customHeight="false" outlineLevel="0" collapsed="false">
      <c r="A70" s="5" t="s">
        <v>10389</v>
      </c>
      <c r="B70" s="5" t="s">
        <v>141</v>
      </c>
      <c r="C70" s="5" t="s">
        <v>133</v>
      </c>
      <c r="D70" s="5" t="s">
        <v>39</v>
      </c>
      <c r="E70" s="5" t="n">
        <f aca="false">ROUND(7894*1.05,2)</f>
        <v>8288.7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ROUND(93*1,0)&amp;"%"</f>
        <v>93%</v>
      </c>
    </row>
    <row r="71" customFormat="false" ht="15" hidden="false" customHeight="false" outlineLevel="0" collapsed="false">
      <c r="A71" s="6" t="s">
        <v>10390</v>
      </c>
      <c r="B71" s="6" t="s">
        <v>143</v>
      </c>
      <c r="C71" s="6" t="s">
        <v>133</v>
      </c>
      <c r="D71" s="6" t="s">
        <v>44</v>
      </c>
      <c r="E71" s="6" t="n">
        <f aca="false">ROUND(12327*1.05,2)</f>
        <v>12943.35</v>
      </c>
      <c r="F71" s="6" t="s">
        <v>45</v>
      </c>
      <c r="G71" s="6" t="s">
        <v>30</v>
      </c>
      <c r="H71" s="6" t="n">
        <f aca="true">ROUND(RAND()*4+6,1)</f>
        <v>7.5</v>
      </c>
      <c r="I71" s="6" t="s">
        <v>46</v>
      </c>
      <c r="J71" s="6" t="str">
        <f aca="false">ROUND(76*1,0)&amp;"%"</f>
        <v>76%</v>
      </c>
    </row>
    <row r="72" customFormat="false" ht="15" hidden="false" customHeight="false" outlineLevel="0" collapsed="false">
      <c r="A72" s="5" t="s">
        <v>10391</v>
      </c>
      <c r="B72" s="5" t="s">
        <v>145</v>
      </c>
      <c r="C72" s="5" t="s">
        <v>133</v>
      </c>
      <c r="D72" s="5" t="s">
        <v>16</v>
      </c>
      <c r="E72" s="5" t="n">
        <f aca="false">ROUND(7561*1.05,2)</f>
        <v>7939.05</v>
      </c>
      <c r="F72" s="5" t="s">
        <v>49</v>
      </c>
      <c r="G72" s="5" t="s">
        <v>18</v>
      </c>
      <c r="H72" s="5" t="n">
        <f aca="true">ROUND(RAND()*4+6,1)</f>
        <v>7.2</v>
      </c>
      <c r="I72" s="5" t="s">
        <v>19</v>
      </c>
      <c r="J72" s="5" t="str">
        <f aca="false">ROUND(75*1,0)&amp;"%"</f>
        <v>75%</v>
      </c>
    </row>
    <row r="73" customFormat="false" ht="15" hidden="false" customHeight="false" outlineLevel="0" collapsed="false">
      <c r="A73" s="6" t="s">
        <v>10392</v>
      </c>
      <c r="B73" s="6" t="s">
        <v>147</v>
      </c>
      <c r="C73" s="6" t="s">
        <v>133</v>
      </c>
      <c r="D73" s="6" t="s">
        <v>22</v>
      </c>
      <c r="E73" s="6" t="n">
        <f aca="false">ROUND(11165*1.05,2)</f>
        <v>11723.25</v>
      </c>
      <c r="F73" s="6" t="s">
        <v>52</v>
      </c>
      <c r="G73" s="6" t="s">
        <v>24</v>
      </c>
      <c r="H73" s="6" t="n">
        <f aca="true">ROUND(RAND()*4+6,1)</f>
        <v>6.2</v>
      </c>
      <c r="I73" s="6" t="s">
        <v>25</v>
      </c>
      <c r="J73" s="6" t="str">
        <f aca="false">ROUND(98*1,0)&amp;"%"</f>
        <v>98%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10393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10394</v>
      </c>
      <c r="B78" s="5" t="s">
        <v>151</v>
      </c>
      <c r="C78" s="5" t="s">
        <v>152</v>
      </c>
      <c r="D78" s="5" t="s">
        <v>16</v>
      </c>
      <c r="E78" s="5" t="n">
        <f aca="false">ROUND(17046*1.05,2)</f>
        <v>17898.3</v>
      </c>
      <c r="F78" s="5" t="s">
        <v>17</v>
      </c>
      <c r="G78" s="5" t="s">
        <v>18</v>
      </c>
      <c r="H78" s="5" t="n">
        <f aca="true">ROUND(RAND()*4+6,1)</f>
        <v>9.8</v>
      </c>
      <c r="I78" s="5" t="s">
        <v>19</v>
      </c>
      <c r="J78" s="5" t="str">
        <f aca="false">ROUND(99*1,0)&amp;"%"</f>
        <v>99%</v>
      </c>
    </row>
    <row r="79" customFormat="false" ht="15" hidden="false" customHeight="false" outlineLevel="0" collapsed="false">
      <c r="A79" s="6" t="s">
        <v>10395</v>
      </c>
      <c r="B79" s="6" t="s">
        <v>154</v>
      </c>
      <c r="C79" s="6" t="s">
        <v>152</v>
      </c>
      <c r="D79" s="6" t="s">
        <v>22</v>
      </c>
      <c r="E79" s="6" t="n">
        <f aca="false">ROUND(10292*1.05,2)</f>
        <v>10806.6</v>
      </c>
      <c r="F79" s="6" t="s">
        <v>23</v>
      </c>
      <c r="G79" s="6" t="s">
        <v>24</v>
      </c>
      <c r="H79" s="6" t="n">
        <f aca="true">ROUND(RAND()*4+6,1)</f>
        <v>9</v>
      </c>
      <c r="I79" s="6" t="s">
        <v>25</v>
      </c>
      <c r="J79" s="6" t="str">
        <f aca="false">ROUND(74*1,0)&amp;"%"</f>
        <v>74%</v>
      </c>
    </row>
    <row r="80" customFormat="false" ht="15" hidden="false" customHeight="false" outlineLevel="0" collapsed="false">
      <c r="A80" s="5" t="s">
        <v>10396</v>
      </c>
      <c r="B80" s="5" t="s">
        <v>156</v>
      </c>
      <c r="C80" s="5" t="s">
        <v>152</v>
      </c>
      <c r="D80" s="5" t="s">
        <v>28</v>
      </c>
      <c r="E80" s="5" t="n">
        <f aca="false">ROUND(4362*1.05,2)</f>
        <v>4580.1</v>
      </c>
      <c r="F80" s="5" t="s">
        <v>29</v>
      </c>
      <c r="G80" s="5" t="s">
        <v>30</v>
      </c>
      <c r="H80" s="5" t="n">
        <f aca="true">ROUND(RAND()*4+6,1)</f>
        <v>9.4</v>
      </c>
      <c r="I80" s="5" t="s">
        <v>31</v>
      </c>
      <c r="J80" s="5" t="str">
        <f aca="false">ROUND(70*1,0)&amp;"%"</f>
        <v>70%</v>
      </c>
    </row>
    <row r="81" customFormat="false" ht="15" hidden="false" customHeight="false" outlineLevel="0" collapsed="false">
      <c r="A81" s="6" t="s">
        <v>10397</v>
      </c>
      <c r="B81" s="6" t="s">
        <v>158</v>
      </c>
      <c r="C81" s="6" t="s">
        <v>152</v>
      </c>
      <c r="D81" s="6" t="s">
        <v>34</v>
      </c>
      <c r="E81" s="6" t="n">
        <f aca="false">ROUND(10922*1.05,2)</f>
        <v>11468.1</v>
      </c>
      <c r="F81" s="6" t="s">
        <v>35</v>
      </c>
      <c r="G81" s="6" t="s">
        <v>18</v>
      </c>
      <c r="H81" s="6" t="n">
        <f aca="true">ROUND(RAND()*4+6,1)</f>
        <v>8.8</v>
      </c>
      <c r="I81" s="6" t="s">
        <v>36</v>
      </c>
      <c r="J81" s="6" t="str">
        <f aca="false">ROUND(68*1,0)&amp;"%"</f>
        <v>68%</v>
      </c>
    </row>
    <row r="82" customFormat="false" ht="15" hidden="false" customHeight="false" outlineLevel="0" collapsed="false">
      <c r="A82" s="5" t="s">
        <v>10398</v>
      </c>
      <c r="B82" s="5" t="s">
        <v>160</v>
      </c>
      <c r="C82" s="5" t="s">
        <v>152</v>
      </c>
      <c r="D82" s="5" t="s">
        <v>39</v>
      </c>
      <c r="E82" s="5" t="n">
        <f aca="false">ROUND(14685*1.05,2)</f>
        <v>15419.25</v>
      </c>
      <c r="F82" s="5" t="s">
        <v>40</v>
      </c>
      <c r="G82" s="5" t="s">
        <v>24</v>
      </c>
      <c r="H82" s="5" t="n">
        <f aca="true">ROUND(RAND()*4+6,1)</f>
        <v>7</v>
      </c>
      <c r="I82" s="5" t="s">
        <v>41</v>
      </c>
      <c r="J82" s="5" t="str">
        <f aca="false">ROUND(65*1,0)&amp;"%"</f>
        <v>65%</v>
      </c>
    </row>
    <row r="83" customFormat="false" ht="15" hidden="false" customHeight="false" outlineLevel="0" collapsed="false">
      <c r="A83" s="6" t="s">
        <v>10399</v>
      </c>
      <c r="B83" s="6" t="s">
        <v>162</v>
      </c>
      <c r="C83" s="6" t="s">
        <v>152</v>
      </c>
      <c r="D83" s="6" t="s">
        <v>44</v>
      </c>
      <c r="E83" s="6" t="n">
        <f aca="false">ROUND(9676*1.05,2)</f>
        <v>10159.8</v>
      </c>
      <c r="F83" s="6" t="s">
        <v>45</v>
      </c>
      <c r="G83" s="6" t="s">
        <v>30</v>
      </c>
      <c r="H83" s="6" t="n">
        <f aca="true">ROUND(RAND()*4+6,1)</f>
        <v>8.5</v>
      </c>
      <c r="I83" s="6" t="s">
        <v>46</v>
      </c>
      <c r="J83" s="6" t="str">
        <f aca="false">ROUND(77*1,0)&amp;"%"</f>
        <v>77%</v>
      </c>
    </row>
    <row r="84" customFormat="false" ht="15" hidden="false" customHeight="false" outlineLevel="0" collapsed="false">
      <c r="A84" s="5" t="s">
        <v>10400</v>
      </c>
      <c r="B84" s="5" t="s">
        <v>164</v>
      </c>
      <c r="C84" s="5" t="s">
        <v>152</v>
      </c>
      <c r="D84" s="5" t="s">
        <v>16</v>
      </c>
      <c r="E84" s="5" t="n">
        <f aca="false">ROUND(11059*1.05,2)</f>
        <v>11611.95</v>
      </c>
      <c r="F84" s="5" t="s">
        <v>49</v>
      </c>
      <c r="G84" s="5" t="s">
        <v>18</v>
      </c>
      <c r="H84" s="5" t="n">
        <f aca="true">ROUND(RAND()*4+6,1)</f>
        <v>7.6</v>
      </c>
      <c r="I84" s="5" t="s">
        <v>19</v>
      </c>
      <c r="J84" s="5" t="str">
        <f aca="false">ROUND(88*1,0)&amp;"%"</f>
        <v>88%</v>
      </c>
    </row>
    <row r="85" customFormat="false" ht="15" hidden="false" customHeight="false" outlineLevel="0" collapsed="false">
      <c r="A85" s="6" t="s">
        <v>10401</v>
      </c>
      <c r="B85" s="6" t="s">
        <v>166</v>
      </c>
      <c r="C85" s="6" t="s">
        <v>152</v>
      </c>
      <c r="D85" s="6" t="s">
        <v>22</v>
      </c>
      <c r="E85" s="6" t="n">
        <f aca="false">ROUND(14870*1.05,2)</f>
        <v>15613.5</v>
      </c>
      <c r="F85" s="6" t="s">
        <v>52</v>
      </c>
      <c r="G85" s="6" t="s">
        <v>24</v>
      </c>
      <c r="H85" s="6" t="n">
        <f aca="true">ROUND(RAND()*4+6,1)</f>
        <v>8.6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10402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10403</v>
      </c>
      <c r="B90" s="5" t="s">
        <v>170</v>
      </c>
      <c r="C90" s="5" t="s">
        <v>15</v>
      </c>
      <c r="D90" s="5" t="s">
        <v>16</v>
      </c>
      <c r="E90" s="5" t="n">
        <f aca="false">ROUND(8971*1.05,2)</f>
        <v>9419.55</v>
      </c>
      <c r="F90" s="5" t="s">
        <v>17</v>
      </c>
      <c r="G90" s="5" t="s">
        <v>18</v>
      </c>
      <c r="H90" s="5" t="n">
        <f aca="true">ROUND(RAND()*4+6,1)</f>
        <v>8</v>
      </c>
      <c r="I90" s="5" t="s">
        <v>19</v>
      </c>
      <c r="J90" s="5" t="str">
        <f aca="false">ROUND(78*1,0)&amp;"%"</f>
        <v>78%</v>
      </c>
    </row>
    <row r="91" customFormat="false" ht="15" hidden="false" customHeight="false" outlineLevel="0" collapsed="false">
      <c r="A91" s="6" t="s">
        <v>10404</v>
      </c>
      <c r="B91" s="6" t="s">
        <v>172</v>
      </c>
      <c r="C91" s="6" t="s">
        <v>15</v>
      </c>
      <c r="D91" s="6" t="s">
        <v>22</v>
      </c>
      <c r="E91" s="6" t="n">
        <f aca="false">ROUND(17443*1.05,2)</f>
        <v>18315.15</v>
      </c>
      <c r="F91" s="6" t="s">
        <v>23</v>
      </c>
      <c r="G91" s="6" t="s">
        <v>24</v>
      </c>
      <c r="H91" s="6" t="n">
        <f aca="true">ROUND(RAND()*4+6,1)</f>
        <v>6</v>
      </c>
      <c r="I91" s="6" t="s">
        <v>25</v>
      </c>
      <c r="J91" s="6" t="str">
        <f aca="false">ROUND(91*1,0)&amp;"%"</f>
        <v>91%</v>
      </c>
    </row>
    <row r="92" customFormat="false" ht="15" hidden="false" customHeight="false" outlineLevel="0" collapsed="false">
      <c r="A92" s="5" t="s">
        <v>10405</v>
      </c>
      <c r="B92" s="5" t="s">
        <v>174</v>
      </c>
      <c r="C92" s="5" t="s">
        <v>15</v>
      </c>
      <c r="D92" s="5" t="s">
        <v>28</v>
      </c>
      <c r="E92" s="5" t="n">
        <f aca="false">ROUND(5305*1.05,2)</f>
        <v>5570.25</v>
      </c>
      <c r="F92" s="5" t="s">
        <v>29</v>
      </c>
      <c r="G92" s="5" t="s">
        <v>30</v>
      </c>
      <c r="H92" s="5" t="n">
        <f aca="true">ROUND(RAND()*4+6,1)</f>
        <v>9.7</v>
      </c>
      <c r="I92" s="5" t="s">
        <v>31</v>
      </c>
      <c r="J92" s="5" t="str">
        <f aca="false">ROUND(62*1,0)&amp;"%"</f>
        <v>62%</v>
      </c>
    </row>
    <row r="93" customFormat="false" ht="15" hidden="false" customHeight="false" outlineLevel="0" collapsed="false">
      <c r="A93" s="6" t="s">
        <v>10406</v>
      </c>
      <c r="B93" s="6" t="s">
        <v>176</v>
      </c>
      <c r="C93" s="6" t="s">
        <v>15</v>
      </c>
      <c r="D93" s="6" t="s">
        <v>34</v>
      </c>
      <c r="E93" s="6" t="n">
        <f aca="false">ROUND(17493*1.05,2)</f>
        <v>18367.65</v>
      </c>
      <c r="F93" s="6" t="s">
        <v>35</v>
      </c>
      <c r="G93" s="6" t="s">
        <v>18</v>
      </c>
      <c r="H93" s="6" t="n">
        <f aca="true">ROUND(RAND()*4+6,1)</f>
        <v>8.3</v>
      </c>
      <c r="I93" s="6" t="s">
        <v>36</v>
      </c>
      <c r="J93" s="6" t="str">
        <f aca="false">ROUND(96*1,0)&amp;"%"</f>
        <v>96%</v>
      </c>
    </row>
    <row r="94" customFormat="false" ht="15" hidden="false" customHeight="false" outlineLevel="0" collapsed="false">
      <c r="A94" s="5" t="s">
        <v>10407</v>
      </c>
      <c r="B94" s="5" t="s">
        <v>178</v>
      </c>
      <c r="C94" s="5" t="s">
        <v>15</v>
      </c>
      <c r="D94" s="5" t="s">
        <v>39</v>
      </c>
      <c r="E94" s="5" t="n">
        <f aca="false">ROUND(9025*1.05,2)</f>
        <v>9476.25</v>
      </c>
      <c r="F94" s="5" t="s">
        <v>40</v>
      </c>
      <c r="G94" s="5" t="s">
        <v>24</v>
      </c>
      <c r="H94" s="5" t="n">
        <f aca="true">ROUND(RAND()*4+6,1)</f>
        <v>9.2</v>
      </c>
      <c r="I94" s="5" t="s">
        <v>41</v>
      </c>
      <c r="J94" s="5" t="str">
        <f aca="false">ROUND(99*1,0)&amp;"%"</f>
        <v>99%</v>
      </c>
    </row>
    <row r="95" customFormat="false" ht="15" hidden="false" customHeight="false" outlineLevel="0" collapsed="false">
      <c r="A95" s="6" t="s">
        <v>10408</v>
      </c>
      <c r="B95" s="6" t="s">
        <v>180</v>
      </c>
      <c r="C95" s="6" t="s">
        <v>15</v>
      </c>
      <c r="D95" s="6" t="s">
        <v>44</v>
      </c>
      <c r="E95" s="6" t="n">
        <f aca="false">ROUND(9199*1.05,2)</f>
        <v>9658.95</v>
      </c>
      <c r="F95" s="6" t="s">
        <v>45</v>
      </c>
      <c r="G95" s="6" t="s">
        <v>30</v>
      </c>
      <c r="H95" s="6" t="n">
        <f aca="true">ROUND(RAND()*4+6,1)</f>
        <v>9.8</v>
      </c>
      <c r="I95" s="6" t="s">
        <v>46</v>
      </c>
      <c r="J95" s="6" t="str">
        <f aca="false">ROUND(90*1,0)&amp;"%"</f>
        <v>90%</v>
      </c>
    </row>
    <row r="96" customFormat="false" ht="15" hidden="false" customHeight="false" outlineLevel="0" collapsed="false">
      <c r="A96" s="5" t="s">
        <v>10409</v>
      </c>
      <c r="B96" s="5" t="s">
        <v>182</v>
      </c>
      <c r="C96" s="5" t="s">
        <v>15</v>
      </c>
      <c r="D96" s="5" t="s">
        <v>16</v>
      </c>
      <c r="E96" s="5" t="n">
        <f aca="false">ROUND(7840*1.05,2)</f>
        <v>8232</v>
      </c>
      <c r="F96" s="5" t="s">
        <v>49</v>
      </c>
      <c r="G96" s="5" t="s">
        <v>18</v>
      </c>
      <c r="H96" s="5" t="n">
        <f aca="true">ROUND(RAND()*4+6,1)</f>
        <v>8.9</v>
      </c>
      <c r="I96" s="5" t="s">
        <v>19</v>
      </c>
      <c r="J96" s="5" t="str">
        <f aca="false">ROUND(89*1,0)&amp;"%"</f>
        <v>89%</v>
      </c>
    </row>
    <row r="97" customFormat="false" ht="15" hidden="false" customHeight="false" outlineLevel="0" collapsed="false">
      <c r="A97" s="6" t="s">
        <v>10410</v>
      </c>
      <c r="B97" s="6" t="s">
        <v>184</v>
      </c>
      <c r="C97" s="6" t="s">
        <v>15</v>
      </c>
      <c r="D97" s="6" t="s">
        <v>22</v>
      </c>
      <c r="E97" s="6" t="n">
        <f aca="false">ROUND(12161*1.05,2)</f>
        <v>12769.05</v>
      </c>
      <c r="F97" s="6" t="s">
        <v>52</v>
      </c>
      <c r="G97" s="6" t="s">
        <v>24</v>
      </c>
      <c r="H97" s="6" t="n">
        <f aca="true">ROUND(RAND()*4+6,1)</f>
        <v>8.4</v>
      </c>
      <c r="I97" s="6" t="s">
        <v>25</v>
      </c>
      <c r="J97" s="6" t="str">
        <f aca="false">ROUND(100*1,0)&amp;"%"</f>
        <v>100%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10411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10412</v>
      </c>
      <c r="B102" s="5" t="s">
        <v>188</v>
      </c>
      <c r="C102" s="5" t="s">
        <v>57</v>
      </c>
      <c r="D102" s="5" t="s">
        <v>16</v>
      </c>
      <c r="E102" s="5" t="n">
        <f aca="false">ROUND(17408*1.05,2)</f>
        <v>18278.4</v>
      </c>
      <c r="F102" s="5" t="s">
        <v>17</v>
      </c>
      <c r="G102" s="5" t="s">
        <v>18</v>
      </c>
      <c r="H102" s="5" t="n">
        <f aca="true">ROUND(RAND()*4+6,1)</f>
        <v>7.2</v>
      </c>
      <c r="I102" s="5" t="s">
        <v>19</v>
      </c>
      <c r="J102" s="5" t="str">
        <f aca="false">ROUND(95*1,0)&amp;"%"</f>
        <v>95%</v>
      </c>
    </row>
    <row r="103" customFormat="false" ht="15" hidden="false" customHeight="false" outlineLevel="0" collapsed="false">
      <c r="A103" s="6" t="s">
        <v>10413</v>
      </c>
      <c r="B103" s="6" t="s">
        <v>190</v>
      </c>
      <c r="C103" s="6" t="s">
        <v>57</v>
      </c>
      <c r="D103" s="6" t="s">
        <v>22</v>
      </c>
      <c r="E103" s="6" t="n">
        <f aca="false">ROUND(16901*1.05,2)</f>
        <v>17746.05</v>
      </c>
      <c r="F103" s="6" t="s">
        <v>23</v>
      </c>
      <c r="G103" s="6" t="s">
        <v>24</v>
      </c>
      <c r="H103" s="6" t="n">
        <f aca="true">ROUND(RAND()*4+6,1)</f>
        <v>7.6</v>
      </c>
      <c r="I103" s="6" t="s">
        <v>25</v>
      </c>
      <c r="J103" s="6" t="str">
        <f aca="false">ROUND(80*1,0)&amp;"%"</f>
        <v>80%</v>
      </c>
    </row>
    <row r="104" customFormat="false" ht="15" hidden="false" customHeight="false" outlineLevel="0" collapsed="false">
      <c r="A104" s="5" t="s">
        <v>10414</v>
      </c>
      <c r="B104" s="5" t="s">
        <v>192</v>
      </c>
      <c r="C104" s="5" t="s">
        <v>57</v>
      </c>
      <c r="D104" s="5" t="s">
        <v>28</v>
      </c>
      <c r="E104" s="5" t="n">
        <f aca="false">ROUND(15086*1.05,2)</f>
        <v>15840.3</v>
      </c>
      <c r="F104" s="5" t="s">
        <v>29</v>
      </c>
      <c r="G104" s="5" t="s">
        <v>30</v>
      </c>
      <c r="H104" s="5" t="n">
        <f aca="true">ROUND(RAND()*4+6,1)</f>
        <v>8.4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10415</v>
      </c>
      <c r="B105" s="6" t="s">
        <v>194</v>
      </c>
      <c r="C105" s="6" t="s">
        <v>57</v>
      </c>
      <c r="D105" s="6" t="s">
        <v>34</v>
      </c>
      <c r="E105" s="6" t="n">
        <f aca="false">ROUND(13404*1.05,2)</f>
        <v>14074.2</v>
      </c>
      <c r="F105" s="6" t="s">
        <v>35</v>
      </c>
      <c r="G105" s="6" t="s">
        <v>18</v>
      </c>
      <c r="H105" s="6" t="n">
        <f aca="true">ROUND(RAND()*4+6,1)</f>
        <v>8.2</v>
      </c>
      <c r="I105" s="6" t="s">
        <v>36</v>
      </c>
      <c r="J105" s="6" t="str">
        <f aca="false">ROUND(75*1,0)&amp;"%"</f>
        <v>75%</v>
      </c>
    </row>
    <row r="106" customFormat="false" ht="15" hidden="false" customHeight="false" outlineLevel="0" collapsed="false">
      <c r="A106" s="5" t="s">
        <v>10416</v>
      </c>
      <c r="B106" s="5" t="s">
        <v>196</v>
      </c>
      <c r="C106" s="5" t="s">
        <v>57</v>
      </c>
      <c r="D106" s="5" t="s">
        <v>39</v>
      </c>
      <c r="E106" s="5" t="n">
        <f aca="false">ROUND(15489*1.05,2)</f>
        <v>16263.45</v>
      </c>
      <c r="F106" s="5" t="s">
        <v>40</v>
      </c>
      <c r="G106" s="5" t="s">
        <v>24</v>
      </c>
      <c r="H106" s="5" t="n">
        <f aca="true">ROUND(RAND()*4+6,1)</f>
        <v>9.7</v>
      </c>
      <c r="I106" s="5" t="s">
        <v>41</v>
      </c>
      <c r="J106" s="5" t="str">
        <f aca="false">ROUND(97*1,0)&amp;"%"</f>
        <v>97%</v>
      </c>
    </row>
    <row r="107" customFormat="false" ht="15" hidden="false" customHeight="false" outlineLevel="0" collapsed="false">
      <c r="A107" s="6" t="s">
        <v>10417</v>
      </c>
      <c r="B107" s="6" t="s">
        <v>198</v>
      </c>
      <c r="C107" s="6" t="s">
        <v>57</v>
      </c>
      <c r="D107" s="6" t="s">
        <v>44</v>
      </c>
      <c r="E107" s="6" t="n">
        <f aca="false">ROUND(9629*1.05,2)</f>
        <v>10110.45</v>
      </c>
      <c r="F107" s="6" t="s">
        <v>45</v>
      </c>
      <c r="G107" s="6" t="s">
        <v>30</v>
      </c>
      <c r="H107" s="6" t="n">
        <f aca="true">ROUND(RAND()*4+6,1)</f>
        <v>6.9</v>
      </c>
      <c r="I107" s="6" t="s">
        <v>46</v>
      </c>
      <c r="J107" s="6" t="str">
        <f aca="false">ROUND(68*1,0)&amp;"%"</f>
        <v>68%</v>
      </c>
    </row>
    <row r="108" customFormat="false" ht="15" hidden="false" customHeight="false" outlineLevel="0" collapsed="false">
      <c r="A108" s="5" t="s">
        <v>10418</v>
      </c>
      <c r="B108" s="5" t="s">
        <v>200</v>
      </c>
      <c r="C108" s="5" t="s">
        <v>57</v>
      </c>
      <c r="D108" s="5" t="s">
        <v>16</v>
      </c>
      <c r="E108" s="5" t="n">
        <f aca="false">ROUND(15410*1.05,2)</f>
        <v>16180.5</v>
      </c>
      <c r="F108" s="5" t="s">
        <v>49</v>
      </c>
      <c r="G108" s="5" t="s">
        <v>18</v>
      </c>
      <c r="H108" s="5" t="n">
        <f aca="true">ROUND(RAND()*4+6,1)</f>
        <v>8.3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10419</v>
      </c>
      <c r="B109" s="6" t="s">
        <v>202</v>
      </c>
      <c r="C109" s="6" t="s">
        <v>57</v>
      </c>
      <c r="D109" s="6" t="s">
        <v>22</v>
      </c>
      <c r="E109" s="6" t="n">
        <f aca="false">ROUND(8436*1.05,2)</f>
        <v>8857.8</v>
      </c>
      <c r="F109" s="6" t="s">
        <v>52</v>
      </c>
      <c r="G109" s="6" t="s">
        <v>24</v>
      </c>
      <c r="H109" s="6" t="n">
        <f aca="true">ROUND(RAND()*4+6,1)</f>
        <v>8.1</v>
      </c>
      <c r="I109" s="6" t="s">
        <v>25</v>
      </c>
      <c r="J109" s="6" t="str">
        <f aca="false">ROUND(63*1,0)&amp;"%"</f>
        <v>63%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10420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10421</v>
      </c>
      <c r="B114" s="5" t="s">
        <v>206</v>
      </c>
      <c r="C114" s="5" t="s">
        <v>76</v>
      </c>
      <c r="D114" s="5" t="s">
        <v>16</v>
      </c>
      <c r="E114" s="5" t="n">
        <f aca="false">ROUND(8941*1.05,2)</f>
        <v>9388.05</v>
      </c>
      <c r="F114" s="5" t="s">
        <v>17</v>
      </c>
      <c r="G114" s="5" t="s">
        <v>18</v>
      </c>
      <c r="H114" s="5" t="n">
        <f aca="true">ROUND(RAND()*4+6,1)</f>
        <v>9.7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10422</v>
      </c>
      <c r="B115" s="6" t="s">
        <v>208</v>
      </c>
      <c r="C115" s="6" t="s">
        <v>76</v>
      </c>
      <c r="D115" s="6" t="s">
        <v>22</v>
      </c>
      <c r="E115" s="6" t="n">
        <f aca="false">ROUND(10281*1.05,2)</f>
        <v>10795.05</v>
      </c>
      <c r="F115" s="6" t="s">
        <v>23</v>
      </c>
      <c r="G115" s="6" t="s">
        <v>24</v>
      </c>
      <c r="H115" s="6" t="n">
        <f aca="true">ROUND(RAND()*4+6,1)</f>
        <v>9.7</v>
      </c>
      <c r="I115" s="6" t="s">
        <v>25</v>
      </c>
      <c r="J115" s="6" t="str">
        <f aca="false">ROUND(69*1,0)&amp;"%"</f>
        <v>69%</v>
      </c>
    </row>
    <row r="116" customFormat="false" ht="15" hidden="false" customHeight="false" outlineLevel="0" collapsed="false">
      <c r="A116" s="5" t="s">
        <v>10423</v>
      </c>
      <c r="B116" s="5" t="s">
        <v>210</v>
      </c>
      <c r="C116" s="5" t="s">
        <v>76</v>
      </c>
      <c r="D116" s="5" t="s">
        <v>28</v>
      </c>
      <c r="E116" s="5" t="n">
        <f aca="false">ROUND(12760*1.05,2)</f>
        <v>13398</v>
      </c>
      <c r="F116" s="5" t="s">
        <v>29</v>
      </c>
      <c r="G116" s="5" t="s">
        <v>30</v>
      </c>
      <c r="H116" s="5" t="n">
        <f aca="true">ROUND(RAND()*4+6,1)</f>
        <v>9.3</v>
      </c>
      <c r="I116" s="5" t="s">
        <v>31</v>
      </c>
      <c r="J116" s="5" t="str">
        <f aca="false">ROUND(94*1,0)&amp;"%"</f>
        <v>94%</v>
      </c>
    </row>
    <row r="117" customFormat="false" ht="15" hidden="false" customHeight="false" outlineLevel="0" collapsed="false">
      <c r="A117" s="6" t="s">
        <v>10424</v>
      </c>
      <c r="B117" s="6" t="s">
        <v>212</v>
      </c>
      <c r="C117" s="6" t="s">
        <v>76</v>
      </c>
      <c r="D117" s="6" t="s">
        <v>34</v>
      </c>
      <c r="E117" s="6" t="n">
        <f aca="false">ROUND(17833*1.05,2)</f>
        <v>18724.65</v>
      </c>
      <c r="F117" s="6" t="s">
        <v>35</v>
      </c>
      <c r="G117" s="6" t="s">
        <v>18</v>
      </c>
      <c r="H117" s="6" t="n">
        <f aca="true">ROUND(RAND()*4+6,1)</f>
        <v>8.7</v>
      </c>
      <c r="I117" s="6" t="s">
        <v>36</v>
      </c>
      <c r="J117" s="6" t="str">
        <f aca="false">ROUND(81*1,0)&amp;"%"</f>
        <v>81%</v>
      </c>
    </row>
    <row r="118" customFormat="false" ht="15" hidden="false" customHeight="false" outlineLevel="0" collapsed="false">
      <c r="A118" s="5" t="s">
        <v>10425</v>
      </c>
      <c r="B118" s="5" t="s">
        <v>214</v>
      </c>
      <c r="C118" s="5" t="s">
        <v>76</v>
      </c>
      <c r="D118" s="5" t="s">
        <v>39</v>
      </c>
      <c r="E118" s="5" t="n">
        <f aca="false">ROUND(11945*1.05,2)</f>
        <v>12542.25</v>
      </c>
      <c r="F118" s="5" t="s">
        <v>40</v>
      </c>
      <c r="G118" s="5" t="s">
        <v>24</v>
      </c>
      <c r="H118" s="5" t="n">
        <f aca="true">ROUND(RAND()*4+6,1)</f>
        <v>8.5</v>
      </c>
      <c r="I118" s="5" t="s">
        <v>41</v>
      </c>
      <c r="J118" s="5" t="str">
        <f aca="false">ROUND(67*1,0)&amp;"%"</f>
        <v>67%</v>
      </c>
    </row>
    <row r="119" customFormat="false" ht="15" hidden="false" customHeight="false" outlineLevel="0" collapsed="false">
      <c r="A119" s="6" t="s">
        <v>10426</v>
      </c>
      <c r="B119" s="6" t="s">
        <v>216</v>
      </c>
      <c r="C119" s="6" t="s">
        <v>76</v>
      </c>
      <c r="D119" s="6" t="s">
        <v>44</v>
      </c>
      <c r="E119" s="6" t="n">
        <f aca="false">ROUND(12272*1.05,2)</f>
        <v>12885.6</v>
      </c>
      <c r="F119" s="6" t="s">
        <v>45</v>
      </c>
      <c r="G119" s="6" t="s">
        <v>30</v>
      </c>
      <c r="H119" s="6" t="n">
        <f aca="true">ROUND(RAND()*4+6,1)</f>
        <v>7.8</v>
      </c>
      <c r="I119" s="6" t="s">
        <v>46</v>
      </c>
      <c r="J119" s="6" t="str">
        <f aca="false">ROUND(75*1,0)&amp;"%"</f>
        <v>75%</v>
      </c>
    </row>
    <row r="120" customFormat="false" ht="15" hidden="false" customHeight="false" outlineLevel="0" collapsed="false">
      <c r="A120" s="5" t="s">
        <v>10427</v>
      </c>
      <c r="B120" s="5" t="s">
        <v>218</v>
      </c>
      <c r="C120" s="5" t="s">
        <v>76</v>
      </c>
      <c r="D120" s="5" t="s">
        <v>16</v>
      </c>
      <c r="E120" s="5" t="n">
        <f aca="false">ROUND(5590*1.05,2)</f>
        <v>5869.5</v>
      </c>
      <c r="F120" s="5" t="s">
        <v>49</v>
      </c>
      <c r="G120" s="5" t="s">
        <v>18</v>
      </c>
      <c r="H120" s="5" t="n">
        <f aca="true">ROUND(RAND()*4+6,1)</f>
        <v>9.9</v>
      </c>
      <c r="I120" s="5" t="s">
        <v>19</v>
      </c>
      <c r="J120" s="5" t="str">
        <f aca="false">ROUND(82*1,0)&amp;"%"</f>
        <v>82%</v>
      </c>
    </row>
    <row r="121" customFormat="false" ht="15" hidden="false" customHeight="false" outlineLevel="0" collapsed="false">
      <c r="A121" s="6" t="s">
        <v>10428</v>
      </c>
      <c r="B121" s="6" t="s">
        <v>220</v>
      </c>
      <c r="C121" s="6" t="s">
        <v>76</v>
      </c>
      <c r="D121" s="6" t="s">
        <v>22</v>
      </c>
      <c r="E121" s="6" t="n">
        <f aca="false">ROUND(16699*1.05,2)</f>
        <v>17533.95</v>
      </c>
      <c r="F121" s="6" t="s">
        <v>52</v>
      </c>
      <c r="G121" s="6" t="s">
        <v>24</v>
      </c>
      <c r="H121" s="6" t="n">
        <f aca="true">ROUND(RAND()*4+6,1)</f>
        <v>6.2</v>
      </c>
      <c r="I121" s="6" t="s">
        <v>25</v>
      </c>
      <c r="J121" s="6" t="str">
        <f aca="false">ROUND(66*1,0)&amp;"%"</f>
        <v>66%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10429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10430</v>
      </c>
      <c r="B126" s="5" t="s">
        <v>224</v>
      </c>
      <c r="C126" s="5" t="s">
        <v>95</v>
      </c>
      <c r="D126" s="5" t="s">
        <v>16</v>
      </c>
      <c r="E126" s="5" t="n">
        <f aca="false">ROUND(8277*1.05,2)</f>
        <v>8690.85</v>
      </c>
      <c r="F126" s="5" t="s">
        <v>17</v>
      </c>
      <c r="G126" s="5" t="s">
        <v>18</v>
      </c>
      <c r="H126" s="5" t="n">
        <f aca="true">ROUND(RAND()*4+6,1)</f>
        <v>9.2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10431</v>
      </c>
      <c r="B127" s="6" t="s">
        <v>226</v>
      </c>
      <c r="C127" s="6" t="s">
        <v>95</v>
      </c>
      <c r="D127" s="6" t="s">
        <v>22</v>
      </c>
      <c r="E127" s="6" t="n">
        <f aca="false">ROUND(10117*1.05,2)</f>
        <v>10622.85</v>
      </c>
      <c r="F127" s="6" t="s">
        <v>23</v>
      </c>
      <c r="G127" s="6" t="s">
        <v>24</v>
      </c>
      <c r="H127" s="6" t="n">
        <f aca="true">ROUND(RAND()*4+6,1)</f>
        <v>8.5</v>
      </c>
      <c r="I127" s="6" t="s">
        <v>25</v>
      </c>
      <c r="J127" s="6" t="str">
        <f aca="false">ROUND(75*1,0)&amp;"%"</f>
        <v>75%</v>
      </c>
    </row>
    <row r="128" customFormat="false" ht="15" hidden="false" customHeight="false" outlineLevel="0" collapsed="false">
      <c r="A128" s="5" t="s">
        <v>10432</v>
      </c>
      <c r="B128" s="5" t="s">
        <v>228</v>
      </c>
      <c r="C128" s="5" t="s">
        <v>95</v>
      </c>
      <c r="D128" s="5" t="s">
        <v>28</v>
      </c>
      <c r="E128" s="5" t="n">
        <f aca="false">ROUND(13122*1.05,2)</f>
        <v>13778.1</v>
      </c>
      <c r="F128" s="5" t="s">
        <v>29</v>
      </c>
      <c r="G128" s="5" t="s">
        <v>30</v>
      </c>
      <c r="H128" s="5" t="n">
        <f aca="true">ROUND(RAND()*4+6,1)</f>
        <v>10</v>
      </c>
      <c r="I128" s="5" t="s">
        <v>31</v>
      </c>
      <c r="J128" s="5" t="str">
        <f aca="false">ROUND(79*1,0)&amp;"%"</f>
        <v>79%</v>
      </c>
    </row>
    <row r="129" customFormat="false" ht="15" hidden="false" customHeight="false" outlineLevel="0" collapsed="false">
      <c r="A129" s="6" t="s">
        <v>10433</v>
      </c>
      <c r="B129" s="6" t="s">
        <v>230</v>
      </c>
      <c r="C129" s="6" t="s">
        <v>95</v>
      </c>
      <c r="D129" s="6" t="s">
        <v>34</v>
      </c>
      <c r="E129" s="6" t="n">
        <f aca="false">ROUND(12274*1.05,2)</f>
        <v>12887.7</v>
      </c>
      <c r="F129" s="6" t="s">
        <v>35</v>
      </c>
      <c r="G129" s="6" t="s">
        <v>18</v>
      </c>
      <c r="H129" s="6" t="n">
        <f aca="true">ROUND(RAND()*4+6,1)</f>
        <v>6.7</v>
      </c>
      <c r="I129" s="6" t="s">
        <v>36</v>
      </c>
      <c r="J129" s="6" t="str">
        <f aca="false">ROUND(61*1,0)&amp;"%"</f>
        <v>61%</v>
      </c>
    </row>
    <row r="130" customFormat="false" ht="15" hidden="false" customHeight="false" outlineLevel="0" collapsed="false">
      <c r="A130" s="5" t="s">
        <v>10434</v>
      </c>
      <c r="B130" s="5" t="s">
        <v>232</v>
      </c>
      <c r="C130" s="5" t="s">
        <v>95</v>
      </c>
      <c r="D130" s="5" t="s">
        <v>39</v>
      </c>
      <c r="E130" s="5" t="n">
        <f aca="false">ROUND(14548*1.05,2)</f>
        <v>15275.4</v>
      </c>
      <c r="F130" s="5" t="s">
        <v>40</v>
      </c>
      <c r="G130" s="5" t="s">
        <v>24</v>
      </c>
      <c r="H130" s="5" t="n">
        <f aca="true">ROUND(RAND()*4+6,1)</f>
        <v>9.6</v>
      </c>
      <c r="I130" s="5" t="s">
        <v>41</v>
      </c>
      <c r="J130" s="5" t="str">
        <f aca="false">ROUND(71*1,0)&amp;"%"</f>
        <v>71%</v>
      </c>
    </row>
    <row r="131" customFormat="false" ht="15" hidden="false" customHeight="false" outlineLevel="0" collapsed="false">
      <c r="A131" s="6" t="s">
        <v>10435</v>
      </c>
      <c r="B131" s="6" t="s">
        <v>234</v>
      </c>
      <c r="C131" s="6" t="s">
        <v>95</v>
      </c>
      <c r="D131" s="6" t="s">
        <v>44</v>
      </c>
      <c r="E131" s="6" t="n">
        <f aca="false">ROUND(8873*1.05,2)</f>
        <v>9316.65</v>
      </c>
      <c r="F131" s="6" t="s">
        <v>45</v>
      </c>
      <c r="G131" s="6" t="s">
        <v>30</v>
      </c>
      <c r="H131" s="6" t="n">
        <f aca="true">ROUND(RAND()*4+6,1)</f>
        <v>8</v>
      </c>
      <c r="I131" s="6" t="s">
        <v>46</v>
      </c>
      <c r="J131" s="6" t="str">
        <f aca="false">ROUND(66*1,0)&amp;"%"</f>
        <v>66%</v>
      </c>
    </row>
    <row r="132" customFormat="false" ht="15" hidden="false" customHeight="false" outlineLevel="0" collapsed="false">
      <c r="A132" s="5" t="s">
        <v>10436</v>
      </c>
      <c r="B132" s="5" t="s">
        <v>236</v>
      </c>
      <c r="C132" s="5" t="s">
        <v>95</v>
      </c>
      <c r="D132" s="5" t="s">
        <v>16</v>
      </c>
      <c r="E132" s="5" t="n">
        <f aca="false">ROUND(7848*1.05,2)</f>
        <v>8240.4</v>
      </c>
      <c r="F132" s="5" t="s">
        <v>49</v>
      </c>
      <c r="G132" s="5" t="s">
        <v>18</v>
      </c>
      <c r="H132" s="5" t="n">
        <f aca="true">ROUND(RAND()*4+6,1)</f>
        <v>9.6</v>
      </c>
      <c r="I132" s="5" t="s">
        <v>19</v>
      </c>
      <c r="J132" s="5" t="str">
        <f aca="false">ROUND(90*1,0)&amp;"%"</f>
        <v>90%</v>
      </c>
    </row>
    <row r="133" customFormat="false" ht="15" hidden="false" customHeight="false" outlineLevel="0" collapsed="false">
      <c r="A133" s="6" t="s">
        <v>10437</v>
      </c>
      <c r="B133" s="6" t="s">
        <v>238</v>
      </c>
      <c r="C133" s="6" t="s">
        <v>95</v>
      </c>
      <c r="D133" s="6" t="s">
        <v>22</v>
      </c>
      <c r="E133" s="6" t="n">
        <f aca="false">ROUND(17680*1.05,2)</f>
        <v>18564</v>
      </c>
      <c r="F133" s="6" t="s">
        <v>52</v>
      </c>
      <c r="G133" s="6" t="s">
        <v>24</v>
      </c>
      <c r="H133" s="6" t="n">
        <f aca="true">ROUND(RAND()*4+6,1)</f>
        <v>9.9</v>
      </c>
      <c r="I133" s="6" t="s">
        <v>25</v>
      </c>
      <c r="J133" s="6" t="str">
        <f aca="false">ROUND(62*1,0)&amp;"%"</f>
        <v>62%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10438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10439</v>
      </c>
      <c r="B138" s="5" t="s">
        <v>242</v>
      </c>
      <c r="C138" s="5" t="s">
        <v>114</v>
      </c>
      <c r="D138" s="5" t="s">
        <v>16</v>
      </c>
      <c r="E138" s="5" t="n">
        <f aca="false">ROUND(7822*1.05,2)</f>
        <v>8213.1</v>
      </c>
      <c r="F138" s="5" t="s">
        <v>17</v>
      </c>
      <c r="G138" s="5" t="s">
        <v>18</v>
      </c>
      <c r="H138" s="5" t="n">
        <f aca="true">ROUND(RAND()*4+6,1)</f>
        <v>7</v>
      </c>
      <c r="I138" s="5" t="s">
        <v>19</v>
      </c>
      <c r="J138" s="5" t="str">
        <f aca="false">ROUND(61*1,0)&amp;"%"</f>
        <v>61%</v>
      </c>
    </row>
    <row r="139" customFormat="false" ht="15" hidden="false" customHeight="false" outlineLevel="0" collapsed="false">
      <c r="A139" s="6" t="s">
        <v>10440</v>
      </c>
      <c r="B139" s="6" t="s">
        <v>244</v>
      </c>
      <c r="C139" s="6" t="s">
        <v>114</v>
      </c>
      <c r="D139" s="6" t="s">
        <v>22</v>
      </c>
      <c r="E139" s="6" t="n">
        <f aca="false">ROUND(4107*1.05,2)</f>
        <v>4312.35</v>
      </c>
      <c r="F139" s="6" t="s">
        <v>23</v>
      </c>
      <c r="G139" s="6" t="s">
        <v>24</v>
      </c>
      <c r="H139" s="6" t="n">
        <f aca="true">ROUND(RAND()*4+6,1)</f>
        <v>7.3</v>
      </c>
      <c r="I139" s="6" t="s">
        <v>25</v>
      </c>
      <c r="J139" s="6" t="str">
        <f aca="false">ROUND(100*1,0)&amp;"%"</f>
        <v>100%</v>
      </c>
    </row>
    <row r="140" customFormat="false" ht="15" hidden="false" customHeight="false" outlineLevel="0" collapsed="false">
      <c r="A140" s="5" t="s">
        <v>10441</v>
      </c>
      <c r="B140" s="5" t="s">
        <v>246</v>
      </c>
      <c r="C140" s="5" t="s">
        <v>114</v>
      </c>
      <c r="D140" s="5" t="s">
        <v>28</v>
      </c>
      <c r="E140" s="5" t="n">
        <f aca="false">ROUND(4243*1.05,2)</f>
        <v>4455.15</v>
      </c>
      <c r="F140" s="5" t="s">
        <v>29</v>
      </c>
      <c r="G140" s="5" t="s">
        <v>30</v>
      </c>
      <c r="H140" s="5" t="n">
        <f aca="true">ROUND(RAND()*4+6,1)</f>
        <v>8.8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10442</v>
      </c>
      <c r="B141" s="6" t="s">
        <v>248</v>
      </c>
      <c r="C141" s="6" t="s">
        <v>114</v>
      </c>
      <c r="D141" s="6" t="s">
        <v>34</v>
      </c>
      <c r="E141" s="6" t="n">
        <f aca="false">ROUND(4364*1.05,2)</f>
        <v>4582.2</v>
      </c>
      <c r="F141" s="6" t="s">
        <v>35</v>
      </c>
      <c r="G141" s="6" t="s">
        <v>18</v>
      </c>
      <c r="H141" s="6" t="n">
        <f aca="true">ROUND(RAND()*4+6,1)</f>
        <v>9.2</v>
      </c>
      <c r="I141" s="6" t="s">
        <v>36</v>
      </c>
      <c r="J141" s="6" t="str">
        <f aca="false">ROUND(100*1,0)&amp;"%"</f>
        <v>100%</v>
      </c>
    </row>
    <row r="142" customFormat="false" ht="15" hidden="false" customHeight="false" outlineLevel="0" collapsed="false">
      <c r="A142" s="5" t="s">
        <v>10443</v>
      </c>
      <c r="B142" s="5" t="s">
        <v>250</v>
      </c>
      <c r="C142" s="5" t="s">
        <v>114</v>
      </c>
      <c r="D142" s="5" t="s">
        <v>39</v>
      </c>
      <c r="E142" s="5" t="n">
        <f aca="false">ROUND(16081*1.05,2)</f>
        <v>16885.05</v>
      </c>
      <c r="F142" s="5" t="s">
        <v>40</v>
      </c>
      <c r="G142" s="5" t="s">
        <v>24</v>
      </c>
      <c r="H142" s="5" t="n">
        <f aca="true">ROUND(RAND()*4+6,1)</f>
        <v>8.2</v>
      </c>
      <c r="I142" s="5" t="s">
        <v>41</v>
      </c>
      <c r="J142" s="5" t="str">
        <f aca="false">ROUND(95*1,0)&amp;"%"</f>
        <v>95%</v>
      </c>
    </row>
    <row r="143" customFormat="false" ht="15" hidden="false" customHeight="false" outlineLevel="0" collapsed="false">
      <c r="A143" s="6" t="s">
        <v>10444</v>
      </c>
      <c r="B143" s="6" t="s">
        <v>252</v>
      </c>
      <c r="C143" s="6" t="s">
        <v>114</v>
      </c>
      <c r="D143" s="6" t="s">
        <v>44</v>
      </c>
      <c r="E143" s="6" t="n">
        <f aca="false">ROUND(15352*1.05,2)</f>
        <v>16119.6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ROUND(65*1,0)&amp;"%"</f>
        <v>65%</v>
      </c>
    </row>
    <row r="144" customFormat="false" ht="15" hidden="false" customHeight="false" outlineLevel="0" collapsed="false">
      <c r="A144" s="5" t="s">
        <v>10445</v>
      </c>
      <c r="B144" s="5" t="s">
        <v>254</v>
      </c>
      <c r="C144" s="5" t="s">
        <v>114</v>
      </c>
      <c r="D144" s="5" t="s">
        <v>16</v>
      </c>
      <c r="E144" s="5" t="n">
        <f aca="false">ROUND(12078*1.05,2)</f>
        <v>12681.9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10446</v>
      </c>
      <c r="B145" s="6" t="s">
        <v>256</v>
      </c>
      <c r="C145" s="6" t="s">
        <v>114</v>
      </c>
      <c r="D145" s="6" t="s">
        <v>22</v>
      </c>
      <c r="E145" s="6" t="n">
        <f aca="false">ROUND(4806*1.05,2)</f>
        <v>5046.3</v>
      </c>
      <c r="F145" s="6" t="s">
        <v>52</v>
      </c>
      <c r="G145" s="6" t="s">
        <v>24</v>
      </c>
      <c r="H145" s="6" t="n">
        <f aca="true">ROUND(RAND()*4+6,1)</f>
        <v>8.2</v>
      </c>
      <c r="I145" s="6" t="s">
        <v>25</v>
      </c>
      <c r="J145" s="6" t="str">
        <f aca="false">ROUND(64*1,0)&amp;"%"</f>
        <v>64%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10447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10448</v>
      </c>
      <c r="B150" s="5" t="s">
        <v>260</v>
      </c>
      <c r="C150" s="5" t="s">
        <v>133</v>
      </c>
      <c r="D150" s="5" t="s">
        <v>16</v>
      </c>
      <c r="E150" s="5" t="n">
        <f aca="false">ROUND(14152*1.05,2)</f>
        <v>14859.6</v>
      </c>
      <c r="F150" s="5" t="s">
        <v>17</v>
      </c>
      <c r="G150" s="5" t="s">
        <v>18</v>
      </c>
      <c r="H150" s="5" t="n">
        <f aca="true">ROUND(RAND()*4+6,1)</f>
        <v>7.9</v>
      </c>
      <c r="I150" s="5" t="s">
        <v>19</v>
      </c>
      <c r="J150" s="5" t="str">
        <f aca="false">ROUND(62*1,0)&amp;"%"</f>
        <v>62%</v>
      </c>
    </row>
    <row r="151" customFormat="false" ht="15" hidden="false" customHeight="false" outlineLevel="0" collapsed="false">
      <c r="A151" s="6" t="s">
        <v>10449</v>
      </c>
      <c r="B151" s="6" t="s">
        <v>262</v>
      </c>
      <c r="C151" s="6" t="s">
        <v>133</v>
      </c>
      <c r="D151" s="6" t="s">
        <v>22</v>
      </c>
      <c r="E151" s="6" t="n">
        <f aca="false">ROUND(13666*1.05,2)</f>
        <v>14349.3</v>
      </c>
      <c r="F151" s="6" t="s">
        <v>23</v>
      </c>
      <c r="G151" s="6" t="s">
        <v>24</v>
      </c>
      <c r="H151" s="6" t="n">
        <f aca="true">ROUND(RAND()*4+6,1)</f>
        <v>7.9</v>
      </c>
      <c r="I151" s="6" t="s">
        <v>25</v>
      </c>
      <c r="J151" s="6" t="str">
        <f aca="false">ROUND(94*1,0)&amp;"%"</f>
        <v>94%</v>
      </c>
    </row>
    <row r="152" customFormat="false" ht="15" hidden="false" customHeight="false" outlineLevel="0" collapsed="false">
      <c r="A152" s="5" t="s">
        <v>10450</v>
      </c>
      <c r="B152" s="5" t="s">
        <v>264</v>
      </c>
      <c r="C152" s="5" t="s">
        <v>133</v>
      </c>
      <c r="D152" s="5" t="s">
        <v>28</v>
      </c>
      <c r="E152" s="5" t="n">
        <f aca="false">ROUND(11478*1.05,2)</f>
        <v>12051.9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ROUND(60*1,0)&amp;"%"</f>
        <v>60%</v>
      </c>
    </row>
    <row r="153" customFormat="false" ht="15" hidden="false" customHeight="false" outlineLevel="0" collapsed="false">
      <c r="A153" s="6" t="s">
        <v>10451</v>
      </c>
      <c r="B153" s="6" t="s">
        <v>266</v>
      </c>
      <c r="C153" s="6" t="s">
        <v>133</v>
      </c>
      <c r="D153" s="6" t="s">
        <v>34</v>
      </c>
      <c r="E153" s="6" t="n">
        <f aca="false">ROUND(15349*1.05,2)</f>
        <v>16116.45</v>
      </c>
      <c r="F153" s="6" t="s">
        <v>35</v>
      </c>
      <c r="G153" s="6" t="s">
        <v>18</v>
      </c>
      <c r="H153" s="6" t="n">
        <f aca="true">ROUND(RAND()*4+6,1)</f>
        <v>6.5</v>
      </c>
      <c r="I153" s="6" t="s">
        <v>36</v>
      </c>
      <c r="J153" s="6" t="str">
        <f aca="false">ROUND(84*1,0)&amp;"%"</f>
        <v>84%</v>
      </c>
    </row>
    <row r="154" customFormat="false" ht="15" hidden="false" customHeight="false" outlineLevel="0" collapsed="false">
      <c r="A154" s="5" t="s">
        <v>10452</v>
      </c>
      <c r="B154" s="5" t="s">
        <v>268</v>
      </c>
      <c r="C154" s="5" t="s">
        <v>133</v>
      </c>
      <c r="D154" s="5" t="s">
        <v>39</v>
      </c>
      <c r="E154" s="5" t="n">
        <f aca="false">ROUND(14748*1.05,2)</f>
        <v>15485.4</v>
      </c>
      <c r="F154" s="5" t="s">
        <v>40</v>
      </c>
      <c r="G154" s="5" t="s">
        <v>24</v>
      </c>
      <c r="H154" s="5" t="n">
        <f aca="true">ROUND(RAND()*4+6,1)</f>
        <v>7.1</v>
      </c>
      <c r="I154" s="5" t="s">
        <v>41</v>
      </c>
      <c r="J154" s="5" t="str">
        <f aca="false">ROUND(92*1,0)&amp;"%"</f>
        <v>92%</v>
      </c>
    </row>
    <row r="155" customFormat="false" ht="15" hidden="false" customHeight="false" outlineLevel="0" collapsed="false">
      <c r="A155" s="6" t="s">
        <v>10453</v>
      </c>
      <c r="B155" s="6" t="s">
        <v>270</v>
      </c>
      <c r="C155" s="6" t="s">
        <v>133</v>
      </c>
      <c r="D155" s="6" t="s">
        <v>44</v>
      </c>
      <c r="E155" s="6" t="n">
        <f aca="false">ROUND(10237*1.05,2)</f>
        <v>10748.85</v>
      </c>
      <c r="F155" s="6" t="s">
        <v>45</v>
      </c>
      <c r="G155" s="6" t="s">
        <v>30</v>
      </c>
      <c r="H155" s="6" t="n">
        <f aca="true">ROUND(RAND()*4+6,1)</f>
        <v>9.2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10454</v>
      </c>
      <c r="B156" s="5" t="s">
        <v>272</v>
      </c>
      <c r="C156" s="5" t="s">
        <v>133</v>
      </c>
      <c r="D156" s="5" t="s">
        <v>16</v>
      </c>
      <c r="E156" s="5" t="n">
        <f aca="false">ROUND(15524*1.05,2)</f>
        <v>16300.2</v>
      </c>
      <c r="F156" s="5" t="s">
        <v>49</v>
      </c>
      <c r="G156" s="5" t="s">
        <v>18</v>
      </c>
      <c r="H156" s="5" t="n">
        <f aca="true">ROUND(RAND()*4+6,1)</f>
        <v>6.9</v>
      </c>
      <c r="I156" s="5" t="s">
        <v>19</v>
      </c>
      <c r="J156" s="5" t="str">
        <f aca="false">ROUND(75*1,0)&amp;"%"</f>
        <v>75%</v>
      </c>
    </row>
    <row r="157" customFormat="false" ht="15" hidden="false" customHeight="false" outlineLevel="0" collapsed="false">
      <c r="A157" s="6" t="s">
        <v>10455</v>
      </c>
      <c r="B157" s="6" t="s">
        <v>274</v>
      </c>
      <c r="C157" s="6" t="s">
        <v>133</v>
      </c>
      <c r="D157" s="6" t="s">
        <v>22</v>
      </c>
      <c r="E157" s="6" t="n">
        <f aca="false">ROUND(10896*1.05,2)</f>
        <v>11440.8</v>
      </c>
      <c r="F157" s="6" t="s">
        <v>52</v>
      </c>
      <c r="G157" s="6" t="s">
        <v>24</v>
      </c>
      <c r="H157" s="6" t="n">
        <f aca="true">ROUND(RAND()*4+6,1)</f>
        <v>8.1</v>
      </c>
      <c r="I157" s="6" t="s">
        <v>25</v>
      </c>
      <c r="J157" s="6" t="str">
        <f aca="false">ROUND(67*1,0)&amp;"%"</f>
        <v>67%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10456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10457</v>
      </c>
      <c r="B162" s="5" t="s">
        <v>278</v>
      </c>
      <c r="C162" s="5" t="s">
        <v>152</v>
      </c>
      <c r="D162" s="5" t="s">
        <v>16</v>
      </c>
      <c r="E162" s="5" t="n">
        <f aca="false">ROUND(17291*1.05,2)</f>
        <v>18155.55</v>
      </c>
      <c r="F162" s="5" t="s">
        <v>17</v>
      </c>
      <c r="G162" s="5" t="s">
        <v>18</v>
      </c>
      <c r="H162" s="5" t="n">
        <f aca="true">ROUND(RAND()*4+6,1)</f>
        <v>9.1</v>
      </c>
      <c r="I162" s="5" t="s">
        <v>19</v>
      </c>
      <c r="J162" s="5" t="str">
        <f aca="false">ROUND(67*1,0)&amp;"%"</f>
        <v>67%</v>
      </c>
    </row>
    <row r="163" customFormat="false" ht="15" hidden="false" customHeight="false" outlineLevel="0" collapsed="false">
      <c r="A163" s="6" t="s">
        <v>10458</v>
      </c>
      <c r="B163" s="6" t="s">
        <v>280</v>
      </c>
      <c r="C163" s="6" t="s">
        <v>152</v>
      </c>
      <c r="D163" s="6" t="s">
        <v>22</v>
      </c>
      <c r="E163" s="6" t="n">
        <f aca="false">ROUND(4698*1.05,2)</f>
        <v>4932.9</v>
      </c>
      <c r="F163" s="6" t="s">
        <v>23</v>
      </c>
      <c r="G163" s="6" t="s">
        <v>24</v>
      </c>
      <c r="H163" s="6" t="n">
        <f aca="true">ROUND(RAND()*4+6,1)</f>
        <v>9.8</v>
      </c>
      <c r="I163" s="6" t="s">
        <v>25</v>
      </c>
      <c r="J163" s="6" t="str">
        <f aca="false">ROUND(93*1,0)&amp;"%"</f>
        <v>93%</v>
      </c>
    </row>
    <row r="164" customFormat="false" ht="15" hidden="false" customHeight="false" outlineLevel="0" collapsed="false">
      <c r="A164" s="5" t="s">
        <v>10459</v>
      </c>
      <c r="B164" s="5" t="s">
        <v>282</v>
      </c>
      <c r="C164" s="5" t="s">
        <v>152</v>
      </c>
      <c r="D164" s="5" t="s">
        <v>28</v>
      </c>
      <c r="E164" s="5" t="n">
        <f aca="false">ROUND(7698*1.05,2)</f>
        <v>8082.9</v>
      </c>
      <c r="F164" s="5" t="s">
        <v>29</v>
      </c>
      <c r="G164" s="5" t="s">
        <v>30</v>
      </c>
      <c r="H164" s="5" t="n">
        <f aca="true">ROUND(RAND()*4+6,1)</f>
        <v>8.9</v>
      </c>
      <c r="I164" s="5" t="s">
        <v>31</v>
      </c>
      <c r="J164" s="5" t="str">
        <f aca="false">ROUND(88*1,0)&amp;"%"</f>
        <v>88%</v>
      </c>
    </row>
    <row r="165" customFormat="false" ht="15" hidden="false" customHeight="false" outlineLevel="0" collapsed="false">
      <c r="A165" s="6" t="s">
        <v>10460</v>
      </c>
      <c r="B165" s="6" t="s">
        <v>284</v>
      </c>
      <c r="C165" s="6" t="s">
        <v>152</v>
      </c>
      <c r="D165" s="6" t="s">
        <v>34</v>
      </c>
      <c r="E165" s="6" t="n">
        <f aca="false">ROUND(13883*1.05,2)</f>
        <v>14577.15</v>
      </c>
      <c r="F165" s="6" t="s">
        <v>35</v>
      </c>
      <c r="G165" s="6" t="s">
        <v>18</v>
      </c>
      <c r="H165" s="6" t="n">
        <f aca="true">ROUND(RAND()*4+6,1)</f>
        <v>8.6</v>
      </c>
      <c r="I165" s="6" t="s">
        <v>36</v>
      </c>
      <c r="J165" s="6" t="str">
        <f aca="false">ROUND(66*1,0)&amp;"%"</f>
        <v>66%</v>
      </c>
    </row>
    <row r="166" customFormat="false" ht="15" hidden="false" customHeight="false" outlineLevel="0" collapsed="false">
      <c r="A166" s="5" t="s">
        <v>10461</v>
      </c>
      <c r="B166" s="5" t="s">
        <v>286</v>
      </c>
      <c r="C166" s="5" t="s">
        <v>152</v>
      </c>
      <c r="D166" s="5" t="s">
        <v>39</v>
      </c>
      <c r="E166" s="5" t="n">
        <f aca="false">ROUND(8130*1.05,2)</f>
        <v>8536.5</v>
      </c>
      <c r="F166" s="5" t="s">
        <v>40</v>
      </c>
      <c r="G166" s="5" t="s">
        <v>24</v>
      </c>
      <c r="H166" s="5" t="n">
        <f aca="true">ROUND(RAND()*4+6,1)</f>
        <v>7.9</v>
      </c>
      <c r="I166" s="5" t="s">
        <v>41</v>
      </c>
      <c r="J166" s="5" t="str">
        <f aca="false">ROUND(66*1,0)&amp;"%"</f>
        <v>66%</v>
      </c>
    </row>
    <row r="167" customFormat="false" ht="15" hidden="false" customHeight="false" outlineLevel="0" collapsed="false">
      <c r="A167" s="6" t="s">
        <v>10462</v>
      </c>
      <c r="B167" s="6" t="s">
        <v>288</v>
      </c>
      <c r="C167" s="6" t="s">
        <v>152</v>
      </c>
      <c r="D167" s="6" t="s">
        <v>44</v>
      </c>
      <c r="E167" s="6" t="n">
        <f aca="false">ROUND(13593*1.05,2)</f>
        <v>14272.65</v>
      </c>
      <c r="F167" s="6" t="s">
        <v>45</v>
      </c>
      <c r="G167" s="6" t="s">
        <v>30</v>
      </c>
      <c r="H167" s="6" t="n">
        <f aca="true">ROUND(RAND()*4+6,1)</f>
        <v>8</v>
      </c>
      <c r="I167" s="6" t="s">
        <v>46</v>
      </c>
      <c r="J167" s="6" t="str">
        <f aca="false">ROUND(99*1,0)&amp;"%"</f>
        <v>99%</v>
      </c>
    </row>
    <row r="168" customFormat="false" ht="15" hidden="false" customHeight="false" outlineLevel="0" collapsed="false">
      <c r="A168" s="5" t="s">
        <v>10463</v>
      </c>
      <c r="B168" s="5" t="s">
        <v>290</v>
      </c>
      <c r="C168" s="5" t="s">
        <v>152</v>
      </c>
      <c r="D168" s="5" t="s">
        <v>16</v>
      </c>
      <c r="E168" s="5" t="n">
        <f aca="false">ROUND(5627*1.05,2)</f>
        <v>5908.35</v>
      </c>
      <c r="F168" s="5" t="s">
        <v>49</v>
      </c>
      <c r="G168" s="5" t="s">
        <v>18</v>
      </c>
      <c r="H168" s="5" t="n">
        <f aca="true">ROUND(RAND()*4+6,1)</f>
        <v>8.4</v>
      </c>
      <c r="I168" s="5" t="s">
        <v>19</v>
      </c>
      <c r="J168" s="5" t="str">
        <f aca="false">ROUND(72*1,0)&amp;"%"</f>
        <v>72%</v>
      </c>
    </row>
    <row r="169" customFormat="false" ht="15" hidden="false" customHeight="false" outlineLevel="0" collapsed="false">
      <c r="A169" s="6" t="s">
        <v>10464</v>
      </c>
      <c r="B169" s="6" t="s">
        <v>292</v>
      </c>
      <c r="C169" s="6" t="s">
        <v>152</v>
      </c>
      <c r="D169" s="6" t="s">
        <v>22</v>
      </c>
      <c r="E169" s="6" t="n">
        <f aca="false">ROUND(13661*1.05,2)</f>
        <v>14344.05</v>
      </c>
      <c r="F169" s="6" t="s">
        <v>52</v>
      </c>
      <c r="G169" s="6" t="s">
        <v>24</v>
      </c>
      <c r="H169" s="6" t="n">
        <f aca="true">ROUND(RAND()*4+6,1)</f>
        <v>8.4</v>
      </c>
      <c r="I169" s="6" t="s">
        <v>25</v>
      </c>
      <c r="J169" s="6" t="str">
        <f aca="false">ROUND(87*1,0)&amp;"%"</f>
        <v>87%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10465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10466</v>
      </c>
      <c r="B174" s="5" t="s">
        <v>296</v>
      </c>
      <c r="C174" s="5" t="s">
        <v>15</v>
      </c>
      <c r="D174" s="5" t="s">
        <v>16</v>
      </c>
      <c r="E174" s="5" t="n">
        <f aca="false">ROUND(12283*1.05,2)</f>
        <v>12897.15</v>
      </c>
      <c r="F174" s="5" t="s">
        <v>17</v>
      </c>
      <c r="G174" s="5" t="s">
        <v>18</v>
      </c>
      <c r="H174" s="5" t="n">
        <f aca="true">ROUND(RAND()*4+6,1)</f>
        <v>6</v>
      </c>
      <c r="I174" s="5" t="s">
        <v>19</v>
      </c>
      <c r="J174" s="5" t="str">
        <f aca="false">ROUND(74*1,0)&amp;"%"</f>
        <v>74%</v>
      </c>
    </row>
    <row r="175" customFormat="false" ht="15" hidden="false" customHeight="false" outlineLevel="0" collapsed="false">
      <c r="A175" s="6" t="s">
        <v>10467</v>
      </c>
      <c r="B175" s="6" t="s">
        <v>298</v>
      </c>
      <c r="C175" s="6" t="s">
        <v>15</v>
      </c>
      <c r="D175" s="6" t="s">
        <v>22</v>
      </c>
      <c r="E175" s="6" t="n">
        <f aca="false">ROUND(6119*1.05,2)</f>
        <v>6424.95</v>
      </c>
      <c r="F175" s="6" t="s">
        <v>23</v>
      </c>
      <c r="G175" s="6" t="s">
        <v>24</v>
      </c>
      <c r="H175" s="6" t="n">
        <f aca="true">ROUND(RAND()*4+6,1)</f>
        <v>9.1</v>
      </c>
      <c r="I175" s="6" t="s">
        <v>25</v>
      </c>
      <c r="J175" s="6" t="str">
        <f aca="false">ROUND(71*1,0)&amp;"%"</f>
        <v>71%</v>
      </c>
    </row>
    <row r="176" customFormat="false" ht="15" hidden="false" customHeight="false" outlineLevel="0" collapsed="false">
      <c r="A176" s="5" t="s">
        <v>10468</v>
      </c>
      <c r="B176" s="5" t="s">
        <v>300</v>
      </c>
      <c r="C176" s="5" t="s">
        <v>15</v>
      </c>
      <c r="D176" s="5" t="s">
        <v>28</v>
      </c>
      <c r="E176" s="5" t="n">
        <f aca="false">ROUND(17934*1.05,2)</f>
        <v>18830.7</v>
      </c>
      <c r="F176" s="5" t="s">
        <v>29</v>
      </c>
      <c r="G176" s="5" t="s">
        <v>30</v>
      </c>
      <c r="H176" s="5" t="n">
        <f aca="true">ROUND(RAND()*4+6,1)</f>
        <v>8.5</v>
      </c>
      <c r="I176" s="5" t="s">
        <v>31</v>
      </c>
      <c r="J176" s="5" t="str">
        <f aca="false">ROUND(97*1,0)&amp;"%"</f>
        <v>97%</v>
      </c>
    </row>
    <row r="177" customFormat="false" ht="15" hidden="false" customHeight="false" outlineLevel="0" collapsed="false">
      <c r="A177" s="6" t="s">
        <v>10469</v>
      </c>
      <c r="B177" s="6" t="s">
        <v>302</v>
      </c>
      <c r="C177" s="6" t="s">
        <v>15</v>
      </c>
      <c r="D177" s="6" t="s">
        <v>34</v>
      </c>
      <c r="E177" s="6" t="n">
        <f aca="false">ROUND(17725*1.05,2)</f>
        <v>18611.25</v>
      </c>
      <c r="F177" s="6" t="s">
        <v>35</v>
      </c>
      <c r="G177" s="6" t="s">
        <v>18</v>
      </c>
      <c r="H177" s="6" t="n">
        <f aca="true">ROUND(RAND()*4+6,1)</f>
        <v>7</v>
      </c>
      <c r="I177" s="6" t="s">
        <v>36</v>
      </c>
      <c r="J177" s="6" t="str">
        <f aca="false">ROUND(67*1,0)&amp;"%"</f>
        <v>67%</v>
      </c>
    </row>
    <row r="178" customFormat="false" ht="15" hidden="false" customHeight="false" outlineLevel="0" collapsed="false">
      <c r="A178" s="5" t="s">
        <v>10470</v>
      </c>
      <c r="B178" s="5" t="s">
        <v>304</v>
      </c>
      <c r="C178" s="5" t="s">
        <v>15</v>
      </c>
      <c r="D178" s="5" t="s">
        <v>39</v>
      </c>
      <c r="E178" s="5" t="n">
        <f aca="false">ROUND(8294*1.05,2)</f>
        <v>8708.7</v>
      </c>
      <c r="F178" s="5" t="s">
        <v>40</v>
      </c>
      <c r="G178" s="5" t="s">
        <v>24</v>
      </c>
      <c r="H178" s="5" t="n">
        <f aca="true">ROUND(RAND()*4+6,1)</f>
        <v>9</v>
      </c>
      <c r="I178" s="5" t="s">
        <v>41</v>
      </c>
      <c r="J178" s="5" t="str">
        <f aca="false">ROUND(80*1,0)&amp;"%"</f>
        <v>80%</v>
      </c>
    </row>
    <row r="179" customFormat="false" ht="15" hidden="false" customHeight="false" outlineLevel="0" collapsed="false">
      <c r="A179" s="6" t="s">
        <v>10471</v>
      </c>
      <c r="B179" s="6" t="s">
        <v>306</v>
      </c>
      <c r="C179" s="6" t="s">
        <v>15</v>
      </c>
      <c r="D179" s="6" t="s">
        <v>44</v>
      </c>
      <c r="E179" s="6" t="n">
        <f aca="false">ROUND(16507*1.05,2)</f>
        <v>17332.35</v>
      </c>
      <c r="F179" s="6" t="s">
        <v>45</v>
      </c>
      <c r="G179" s="6" t="s">
        <v>30</v>
      </c>
      <c r="H179" s="6" t="n">
        <f aca="true">ROUND(RAND()*4+6,1)</f>
        <v>7.7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10472</v>
      </c>
      <c r="B180" s="5" t="s">
        <v>308</v>
      </c>
      <c r="C180" s="5" t="s">
        <v>15</v>
      </c>
      <c r="D180" s="5" t="s">
        <v>16</v>
      </c>
      <c r="E180" s="5" t="n">
        <f aca="false">ROUND(14326*1.05,2)</f>
        <v>15042.3</v>
      </c>
      <c r="F180" s="5" t="s">
        <v>49</v>
      </c>
      <c r="G180" s="5" t="s">
        <v>18</v>
      </c>
      <c r="H180" s="5" t="n">
        <f aca="true">ROUND(RAND()*4+6,1)</f>
        <v>7.9</v>
      </c>
      <c r="I180" s="5" t="s">
        <v>19</v>
      </c>
      <c r="J180" s="5" t="str">
        <f aca="false">ROUND(95*1,0)&amp;"%"</f>
        <v>95%</v>
      </c>
    </row>
    <row r="181" customFormat="false" ht="15" hidden="false" customHeight="false" outlineLevel="0" collapsed="false">
      <c r="A181" s="6" t="s">
        <v>10473</v>
      </c>
      <c r="B181" s="6" t="s">
        <v>310</v>
      </c>
      <c r="C181" s="6" t="s">
        <v>15</v>
      </c>
      <c r="D181" s="6" t="s">
        <v>22</v>
      </c>
      <c r="E181" s="6" t="n">
        <f aca="false">ROUND(12460*1.05,2)</f>
        <v>13083</v>
      </c>
      <c r="F181" s="6" t="s">
        <v>52</v>
      </c>
      <c r="G181" s="6" t="s">
        <v>24</v>
      </c>
      <c r="H181" s="6" t="n">
        <f aca="true">ROUND(RAND()*4+6,1)</f>
        <v>6.1</v>
      </c>
      <c r="I181" s="6" t="s">
        <v>25</v>
      </c>
      <c r="J181" s="6" t="str">
        <f aca="false">ROUND(75*1,0)&amp;"%"</f>
        <v>75%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10474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10475</v>
      </c>
      <c r="B186" s="5" t="s">
        <v>314</v>
      </c>
      <c r="C186" s="5" t="s">
        <v>57</v>
      </c>
      <c r="D186" s="5" t="s">
        <v>16</v>
      </c>
      <c r="E186" s="5" t="n">
        <f aca="false">ROUND(8325*1.05,2)</f>
        <v>8741.25</v>
      </c>
      <c r="F186" s="5" t="s">
        <v>17</v>
      </c>
      <c r="G186" s="5" t="s">
        <v>18</v>
      </c>
      <c r="H186" s="5" t="n">
        <f aca="true">ROUND(RAND()*4+6,1)</f>
        <v>9.9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10476</v>
      </c>
      <c r="B187" s="6" t="s">
        <v>316</v>
      </c>
      <c r="C187" s="6" t="s">
        <v>57</v>
      </c>
      <c r="D187" s="6" t="s">
        <v>22</v>
      </c>
      <c r="E187" s="6" t="n">
        <f aca="false">ROUND(10156*1.05,2)</f>
        <v>10663.8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ROUND(74*1,0)&amp;"%"</f>
        <v>74%</v>
      </c>
    </row>
    <row r="188" customFormat="false" ht="15" hidden="false" customHeight="false" outlineLevel="0" collapsed="false">
      <c r="A188" s="5" t="s">
        <v>10477</v>
      </c>
      <c r="B188" s="5" t="s">
        <v>318</v>
      </c>
      <c r="C188" s="5" t="s">
        <v>57</v>
      </c>
      <c r="D188" s="5" t="s">
        <v>28</v>
      </c>
      <c r="E188" s="5" t="n">
        <f aca="false">ROUND(14976*1.05,2)</f>
        <v>15724.8</v>
      </c>
      <c r="F188" s="5" t="s">
        <v>29</v>
      </c>
      <c r="G188" s="5" t="s">
        <v>30</v>
      </c>
      <c r="H188" s="5" t="n">
        <f aca="true">ROUND(RAND()*4+6,1)</f>
        <v>8.3</v>
      </c>
      <c r="I188" s="5" t="s">
        <v>31</v>
      </c>
      <c r="J188" s="5" t="str">
        <f aca="false">ROUND(83*1,0)&amp;"%"</f>
        <v>83%</v>
      </c>
    </row>
    <row r="189" customFormat="false" ht="15" hidden="false" customHeight="false" outlineLevel="0" collapsed="false">
      <c r="A189" s="6" t="s">
        <v>10478</v>
      </c>
      <c r="B189" s="6" t="s">
        <v>320</v>
      </c>
      <c r="C189" s="6" t="s">
        <v>57</v>
      </c>
      <c r="D189" s="6" t="s">
        <v>34</v>
      </c>
      <c r="E189" s="6" t="n">
        <f aca="false">ROUND(11459*1.05,2)</f>
        <v>12031.95</v>
      </c>
      <c r="F189" s="6" t="s">
        <v>35</v>
      </c>
      <c r="G189" s="6" t="s">
        <v>18</v>
      </c>
      <c r="H189" s="6" t="n">
        <f aca="true">ROUND(RAND()*4+6,1)</f>
        <v>6.4</v>
      </c>
      <c r="I189" s="6" t="s">
        <v>36</v>
      </c>
      <c r="J189" s="6" t="str">
        <f aca="false">ROUND(64*1,0)&amp;"%"</f>
        <v>64%</v>
      </c>
    </row>
    <row r="190" customFormat="false" ht="15" hidden="false" customHeight="false" outlineLevel="0" collapsed="false">
      <c r="A190" s="5" t="s">
        <v>10479</v>
      </c>
      <c r="B190" s="5" t="s">
        <v>322</v>
      </c>
      <c r="C190" s="5" t="s">
        <v>57</v>
      </c>
      <c r="D190" s="5" t="s">
        <v>39</v>
      </c>
      <c r="E190" s="5" t="n">
        <f aca="false">ROUND(11509*1.05,2)</f>
        <v>12084.45</v>
      </c>
      <c r="F190" s="5" t="s">
        <v>40</v>
      </c>
      <c r="G190" s="5" t="s">
        <v>24</v>
      </c>
      <c r="H190" s="5" t="n">
        <f aca="true">ROUND(RAND()*4+6,1)</f>
        <v>7</v>
      </c>
      <c r="I190" s="5" t="s">
        <v>41</v>
      </c>
      <c r="J190" s="5" t="str">
        <f aca="false">ROUND(91*1,0)&amp;"%"</f>
        <v>91%</v>
      </c>
    </row>
    <row r="191" customFormat="false" ht="15" hidden="false" customHeight="false" outlineLevel="0" collapsed="false">
      <c r="A191" s="6" t="s">
        <v>10480</v>
      </c>
      <c r="B191" s="6" t="s">
        <v>324</v>
      </c>
      <c r="C191" s="6" t="s">
        <v>57</v>
      </c>
      <c r="D191" s="6" t="s">
        <v>44</v>
      </c>
      <c r="E191" s="6" t="n">
        <f aca="false">ROUND(14563*1.05,2)</f>
        <v>15291.15</v>
      </c>
      <c r="F191" s="6" t="s">
        <v>45</v>
      </c>
      <c r="G191" s="6" t="s">
        <v>30</v>
      </c>
      <c r="H191" s="6" t="n">
        <f aca="true">ROUND(RAND()*4+6,1)</f>
        <v>9.6</v>
      </c>
      <c r="I191" s="6" t="s">
        <v>46</v>
      </c>
      <c r="J191" s="6" t="str">
        <f aca="false">ROUND(86*1,0)&amp;"%"</f>
        <v>86%</v>
      </c>
    </row>
    <row r="192" customFormat="false" ht="15" hidden="false" customHeight="false" outlineLevel="0" collapsed="false">
      <c r="A192" s="5" t="s">
        <v>10481</v>
      </c>
      <c r="B192" s="5" t="s">
        <v>326</v>
      </c>
      <c r="C192" s="5" t="s">
        <v>57</v>
      </c>
      <c r="D192" s="5" t="s">
        <v>16</v>
      </c>
      <c r="E192" s="5" t="n">
        <f aca="false">ROUND(11978*1.05,2)</f>
        <v>12576.9</v>
      </c>
      <c r="F192" s="5" t="s">
        <v>49</v>
      </c>
      <c r="G192" s="5" t="s">
        <v>18</v>
      </c>
      <c r="H192" s="5" t="n">
        <f aca="true">ROUND(RAND()*4+6,1)</f>
        <v>7.8</v>
      </c>
      <c r="I192" s="5" t="s">
        <v>19</v>
      </c>
      <c r="J192" s="5" t="str">
        <f aca="false">ROUND(78*1,0)&amp;"%"</f>
        <v>78%</v>
      </c>
    </row>
    <row r="193" customFormat="false" ht="15" hidden="false" customHeight="false" outlineLevel="0" collapsed="false">
      <c r="A193" s="6" t="s">
        <v>10482</v>
      </c>
      <c r="B193" s="6" t="s">
        <v>328</v>
      </c>
      <c r="C193" s="6" t="s">
        <v>57</v>
      </c>
      <c r="D193" s="6" t="s">
        <v>22</v>
      </c>
      <c r="E193" s="6" t="n">
        <f aca="false">ROUND(16837*1.05,2)</f>
        <v>17678.85</v>
      </c>
      <c r="F193" s="6" t="s">
        <v>52</v>
      </c>
      <c r="G193" s="6" t="s">
        <v>24</v>
      </c>
      <c r="H193" s="6" t="n">
        <f aca="true">ROUND(RAND()*4+6,1)</f>
        <v>6.9</v>
      </c>
      <c r="I193" s="6" t="s">
        <v>25</v>
      </c>
      <c r="J193" s="6" t="str">
        <f aca="false">ROUND(98*1,0)&amp;"%"</f>
        <v>98%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10483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10484</v>
      </c>
      <c r="B198" s="5" t="s">
        <v>332</v>
      </c>
      <c r="C198" s="5" t="s">
        <v>76</v>
      </c>
      <c r="D198" s="5" t="s">
        <v>16</v>
      </c>
      <c r="E198" s="5" t="n">
        <f aca="false">ROUND(8697*1.05,2)</f>
        <v>9131.85</v>
      </c>
      <c r="F198" s="5" t="s">
        <v>17</v>
      </c>
      <c r="G198" s="5" t="s">
        <v>18</v>
      </c>
      <c r="H198" s="5" t="n">
        <f aca="true">ROUND(RAND()*4+6,1)</f>
        <v>7.4</v>
      </c>
      <c r="I198" s="5" t="s">
        <v>19</v>
      </c>
      <c r="J198" s="5" t="str">
        <f aca="false">ROUND(90*1,0)&amp;"%"</f>
        <v>90%</v>
      </c>
    </row>
    <row r="199" customFormat="false" ht="15" hidden="false" customHeight="false" outlineLevel="0" collapsed="false">
      <c r="A199" s="6" t="s">
        <v>10485</v>
      </c>
      <c r="B199" s="6" t="s">
        <v>334</v>
      </c>
      <c r="C199" s="6" t="s">
        <v>76</v>
      </c>
      <c r="D199" s="6" t="s">
        <v>22</v>
      </c>
      <c r="E199" s="6" t="n">
        <f aca="false">ROUND(7933*1.05,2)</f>
        <v>8329.65</v>
      </c>
      <c r="F199" s="6" t="s">
        <v>23</v>
      </c>
      <c r="G199" s="6" t="s">
        <v>24</v>
      </c>
      <c r="H199" s="6" t="n">
        <f aca="true">ROUND(RAND()*4+6,1)</f>
        <v>9</v>
      </c>
      <c r="I199" s="6" t="s">
        <v>25</v>
      </c>
      <c r="J199" s="6" t="str">
        <f aca="false">ROUND(75*1,0)&amp;"%"</f>
        <v>75%</v>
      </c>
    </row>
    <row r="200" customFormat="false" ht="15" hidden="false" customHeight="false" outlineLevel="0" collapsed="false">
      <c r="A200" s="5" t="s">
        <v>10486</v>
      </c>
      <c r="B200" s="5" t="s">
        <v>336</v>
      </c>
      <c r="C200" s="5" t="s">
        <v>76</v>
      </c>
      <c r="D200" s="5" t="s">
        <v>28</v>
      </c>
      <c r="E200" s="5" t="n">
        <f aca="false">ROUND(15165*1.05,2)</f>
        <v>15923.25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ROUND(92*1,0)&amp;"%"</f>
        <v>92%</v>
      </c>
    </row>
    <row r="201" customFormat="false" ht="15" hidden="false" customHeight="false" outlineLevel="0" collapsed="false">
      <c r="A201" s="6" t="s">
        <v>10487</v>
      </c>
      <c r="B201" s="6" t="s">
        <v>338</v>
      </c>
      <c r="C201" s="6" t="s">
        <v>76</v>
      </c>
      <c r="D201" s="6" t="s">
        <v>34</v>
      </c>
      <c r="E201" s="6" t="n">
        <f aca="false">ROUND(4628*1.05,2)</f>
        <v>4859.4</v>
      </c>
      <c r="F201" s="6" t="s">
        <v>35</v>
      </c>
      <c r="G201" s="6" t="s">
        <v>18</v>
      </c>
      <c r="H201" s="6" t="n">
        <f aca="true">ROUND(RAND()*4+6,1)</f>
        <v>10</v>
      </c>
      <c r="I201" s="6" t="s">
        <v>36</v>
      </c>
      <c r="J201" s="6" t="str">
        <f aca="false">ROUND(84*1,0)&amp;"%"</f>
        <v>84%</v>
      </c>
    </row>
    <row r="202" customFormat="false" ht="15" hidden="false" customHeight="false" outlineLevel="0" collapsed="false">
      <c r="A202" s="5" t="s">
        <v>10488</v>
      </c>
      <c r="B202" s="5" t="s">
        <v>340</v>
      </c>
      <c r="C202" s="5" t="s">
        <v>76</v>
      </c>
      <c r="D202" s="5" t="s">
        <v>39</v>
      </c>
      <c r="E202" s="5" t="n">
        <f aca="false">ROUND(6116*1.05,2)</f>
        <v>6421.8</v>
      </c>
      <c r="F202" s="5" t="s">
        <v>40</v>
      </c>
      <c r="G202" s="5" t="s">
        <v>24</v>
      </c>
      <c r="H202" s="5" t="n">
        <f aca="true">ROUND(RAND()*4+6,1)</f>
        <v>9.7</v>
      </c>
      <c r="I202" s="5" t="s">
        <v>41</v>
      </c>
      <c r="J202" s="5" t="str">
        <f aca="false">ROUND(79*1,0)&amp;"%"</f>
        <v>79%</v>
      </c>
    </row>
    <row r="203" customFormat="false" ht="15" hidden="false" customHeight="false" outlineLevel="0" collapsed="false">
      <c r="A203" s="6" t="s">
        <v>10489</v>
      </c>
      <c r="B203" s="6" t="s">
        <v>342</v>
      </c>
      <c r="C203" s="6" t="s">
        <v>76</v>
      </c>
      <c r="D203" s="6" t="s">
        <v>44</v>
      </c>
      <c r="E203" s="6" t="n">
        <f aca="false">ROUND(7186*1.05,2)</f>
        <v>7545.3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ROUND(78*1,0)&amp;"%"</f>
        <v>78%</v>
      </c>
    </row>
    <row r="204" customFormat="false" ht="15" hidden="false" customHeight="false" outlineLevel="0" collapsed="false">
      <c r="A204" s="5" t="s">
        <v>10490</v>
      </c>
      <c r="B204" s="5" t="s">
        <v>344</v>
      </c>
      <c r="C204" s="5" t="s">
        <v>76</v>
      </c>
      <c r="D204" s="5" t="s">
        <v>16</v>
      </c>
      <c r="E204" s="5" t="n">
        <f aca="false">ROUND(7130*1.05,2)</f>
        <v>7486.5</v>
      </c>
      <c r="F204" s="5" t="s">
        <v>49</v>
      </c>
      <c r="G204" s="5" t="s">
        <v>18</v>
      </c>
      <c r="H204" s="5" t="n">
        <f aca="true">ROUND(RAND()*4+6,1)</f>
        <v>8.7</v>
      </c>
      <c r="I204" s="5" t="s">
        <v>19</v>
      </c>
      <c r="J204" s="5" t="str">
        <f aca="false">ROUND(81*1,0)&amp;"%"</f>
        <v>81%</v>
      </c>
    </row>
    <row r="205" customFormat="false" ht="15" hidden="false" customHeight="false" outlineLevel="0" collapsed="false">
      <c r="A205" s="6" t="s">
        <v>10491</v>
      </c>
      <c r="B205" s="6" t="s">
        <v>346</v>
      </c>
      <c r="C205" s="6" t="s">
        <v>76</v>
      </c>
      <c r="D205" s="6" t="s">
        <v>22</v>
      </c>
      <c r="E205" s="6" t="n">
        <f aca="false">ROUND(4293*1.05,2)</f>
        <v>4507.65</v>
      </c>
      <c r="F205" s="6" t="s">
        <v>52</v>
      </c>
      <c r="G205" s="6" t="s">
        <v>24</v>
      </c>
      <c r="H205" s="6" t="n">
        <f aca="true">ROUND(RAND()*4+6,1)</f>
        <v>6.6</v>
      </c>
      <c r="I205" s="6" t="s">
        <v>25</v>
      </c>
      <c r="J205" s="6" t="str">
        <f aca="false">ROUND(96*1,0)&amp;"%"</f>
        <v>96%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10492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10493</v>
      </c>
      <c r="B210" s="5" t="s">
        <v>350</v>
      </c>
      <c r="C210" s="5" t="s">
        <v>95</v>
      </c>
      <c r="D210" s="5" t="s">
        <v>16</v>
      </c>
      <c r="E210" s="5" t="n">
        <f aca="false">ROUND(13614*1.05,2)</f>
        <v>14294.7</v>
      </c>
      <c r="F210" s="5" t="s">
        <v>17</v>
      </c>
      <c r="G210" s="5" t="s">
        <v>18</v>
      </c>
      <c r="H210" s="5" t="n">
        <f aca="true">ROUND(RAND()*4+6,1)</f>
        <v>8.4</v>
      </c>
      <c r="I210" s="5" t="s">
        <v>19</v>
      </c>
      <c r="J210" s="5" t="str">
        <f aca="false">ROUND(62*1,0)&amp;"%"</f>
        <v>62%</v>
      </c>
    </row>
    <row r="211" customFormat="false" ht="15" hidden="false" customHeight="false" outlineLevel="0" collapsed="false">
      <c r="A211" s="6" t="s">
        <v>10494</v>
      </c>
      <c r="B211" s="6" t="s">
        <v>352</v>
      </c>
      <c r="C211" s="6" t="s">
        <v>95</v>
      </c>
      <c r="D211" s="6" t="s">
        <v>22</v>
      </c>
      <c r="E211" s="6" t="n">
        <f aca="false">ROUND(14370*1.05,2)</f>
        <v>15088.5</v>
      </c>
      <c r="F211" s="6" t="s">
        <v>23</v>
      </c>
      <c r="G211" s="6" t="s">
        <v>24</v>
      </c>
      <c r="H211" s="6" t="n">
        <f aca="true">ROUND(RAND()*4+6,1)</f>
        <v>8.9</v>
      </c>
      <c r="I211" s="6" t="s">
        <v>25</v>
      </c>
      <c r="J211" s="6" t="str">
        <f aca="false">ROUND(91*1,0)&amp;"%"</f>
        <v>91%</v>
      </c>
    </row>
    <row r="212" customFormat="false" ht="15" hidden="false" customHeight="false" outlineLevel="0" collapsed="false">
      <c r="A212" s="5" t="s">
        <v>10495</v>
      </c>
      <c r="B212" s="5" t="s">
        <v>354</v>
      </c>
      <c r="C212" s="5" t="s">
        <v>95</v>
      </c>
      <c r="D212" s="5" t="s">
        <v>28</v>
      </c>
      <c r="E212" s="5" t="n">
        <f aca="false">ROUND(15107*1.05,2)</f>
        <v>15862.35</v>
      </c>
      <c r="F212" s="5" t="s">
        <v>29</v>
      </c>
      <c r="G212" s="5" t="s">
        <v>30</v>
      </c>
      <c r="H212" s="5" t="n">
        <f aca="true">ROUND(RAND()*4+6,1)</f>
        <v>8.8</v>
      </c>
      <c r="I212" s="5" t="s">
        <v>31</v>
      </c>
      <c r="J212" s="5" t="str">
        <f aca="false">ROUND(79*1,0)&amp;"%"</f>
        <v>79%</v>
      </c>
    </row>
    <row r="213" customFormat="false" ht="15" hidden="false" customHeight="false" outlineLevel="0" collapsed="false">
      <c r="A213" s="6" t="s">
        <v>10496</v>
      </c>
      <c r="B213" s="6" t="s">
        <v>356</v>
      </c>
      <c r="C213" s="6" t="s">
        <v>95</v>
      </c>
      <c r="D213" s="6" t="s">
        <v>34</v>
      </c>
      <c r="E213" s="6" t="n">
        <f aca="false">ROUND(7103*1.05,2)</f>
        <v>7458.15</v>
      </c>
      <c r="F213" s="6" t="s">
        <v>35</v>
      </c>
      <c r="G213" s="6" t="s">
        <v>18</v>
      </c>
      <c r="H213" s="6" t="n">
        <f aca="true">ROUND(RAND()*4+6,1)</f>
        <v>8.1</v>
      </c>
      <c r="I213" s="6" t="s">
        <v>36</v>
      </c>
      <c r="J213" s="6" t="str">
        <f aca="false">ROUND(72*1,0)&amp;"%"</f>
        <v>72%</v>
      </c>
    </row>
    <row r="214" customFormat="false" ht="15" hidden="false" customHeight="false" outlineLevel="0" collapsed="false">
      <c r="A214" s="5" t="s">
        <v>10497</v>
      </c>
      <c r="B214" s="5" t="s">
        <v>358</v>
      </c>
      <c r="C214" s="5" t="s">
        <v>95</v>
      </c>
      <c r="D214" s="5" t="s">
        <v>39</v>
      </c>
      <c r="E214" s="5" t="n">
        <f aca="false">ROUND(11687*1.05,2)</f>
        <v>12271.35</v>
      </c>
      <c r="F214" s="5" t="s">
        <v>40</v>
      </c>
      <c r="G214" s="5" t="s">
        <v>24</v>
      </c>
      <c r="H214" s="5" t="n">
        <f aca="true">ROUND(RAND()*4+6,1)</f>
        <v>6.9</v>
      </c>
      <c r="I214" s="5" t="s">
        <v>41</v>
      </c>
      <c r="J214" s="5" t="str">
        <f aca="false">ROUND(84*1,0)&amp;"%"</f>
        <v>84%</v>
      </c>
    </row>
    <row r="215" customFormat="false" ht="15" hidden="false" customHeight="false" outlineLevel="0" collapsed="false">
      <c r="A215" s="6" t="s">
        <v>10498</v>
      </c>
      <c r="B215" s="6" t="s">
        <v>360</v>
      </c>
      <c r="C215" s="6" t="s">
        <v>95</v>
      </c>
      <c r="D215" s="6" t="s">
        <v>44</v>
      </c>
      <c r="E215" s="6" t="n">
        <f aca="false">ROUND(12944*1.05,2)</f>
        <v>13591.2</v>
      </c>
      <c r="F215" s="6" t="s">
        <v>45</v>
      </c>
      <c r="G215" s="6" t="s">
        <v>30</v>
      </c>
      <c r="H215" s="6" t="n">
        <f aca="true">ROUND(RAND()*4+6,1)</f>
        <v>6</v>
      </c>
      <c r="I215" s="6" t="s">
        <v>46</v>
      </c>
      <c r="J215" s="6" t="str">
        <f aca="false">ROUND(81*1,0)&amp;"%"</f>
        <v>81%</v>
      </c>
    </row>
    <row r="216" customFormat="false" ht="15" hidden="false" customHeight="false" outlineLevel="0" collapsed="false">
      <c r="A216" s="5" t="s">
        <v>10499</v>
      </c>
      <c r="B216" s="5" t="s">
        <v>362</v>
      </c>
      <c r="C216" s="5" t="s">
        <v>95</v>
      </c>
      <c r="D216" s="5" t="s">
        <v>16</v>
      </c>
      <c r="E216" s="5" t="n">
        <f aca="false">ROUND(5903*1.05,2)</f>
        <v>6198.15</v>
      </c>
      <c r="F216" s="5" t="s">
        <v>49</v>
      </c>
      <c r="G216" s="5" t="s">
        <v>18</v>
      </c>
      <c r="H216" s="5" t="n">
        <f aca="true">ROUND(RAND()*4+6,1)</f>
        <v>9.3</v>
      </c>
      <c r="I216" s="5" t="s">
        <v>19</v>
      </c>
      <c r="J216" s="5" t="str">
        <f aca="false">ROUND(66*1,0)&amp;"%"</f>
        <v>66%</v>
      </c>
    </row>
    <row r="217" customFormat="false" ht="15" hidden="false" customHeight="false" outlineLevel="0" collapsed="false">
      <c r="A217" s="6" t="s">
        <v>10500</v>
      </c>
      <c r="B217" s="6" t="s">
        <v>364</v>
      </c>
      <c r="C217" s="6" t="s">
        <v>95</v>
      </c>
      <c r="D217" s="6" t="s">
        <v>22</v>
      </c>
      <c r="E217" s="6" t="n">
        <f aca="false">ROUND(16071*1.05,2)</f>
        <v>16874.55</v>
      </c>
      <c r="F217" s="6" t="s">
        <v>52</v>
      </c>
      <c r="G217" s="6" t="s">
        <v>24</v>
      </c>
      <c r="H217" s="6" t="n">
        <f aca="true">ROUND(RAND()*4+6,1)</f>
        <v>6.7</v>
      </c>
      <c r="I217" s="6" t="s">
        <v>25</v>
      </c>
      <c r="J217" s="6" t="str">
        <f aca="false">ROUND(87*1,0)&amp;"%"</f>
        <v>87%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10501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10502</v>
      </c>
      <c r="B222" s="5" t="s">
        <v>368</v>
      </c>
      <c r="C222" s="5" t="s">
        <v>114</v>
      </c>
      <c r="D222" s="5" t="s">
        <v>16</v>
      </c>
      <c r="E222" s="5" t="n">
        <f aca="false">ROUND(11749*1.05,2)</f>
        <v>12336.45</v>
      </c>
      <c r="F222" s="5" t="s">
        <v>17</v>
      </c>
      <c r="G222" s="5" t="s">
        <v>18</v>
      </c>
      <c r="H222" s="5" t="n">
        <f aca="true">ROUND(RAND()*4+6,1)</f>
        <v>6.2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10503</v>
      </c>
      <c r="B223" s="6" t="s">
        <v>370</v>
      </c>
      <c r="C223" s="6" t="s">
        <v>114</v>
      </c>
      <c r="D223" s="6" t="s">
        <v>22</v>
      </c>
      <c r="E223" s="6" t="n">
        <f aca="false">ROUND(13910*1.05,2)</f>
        <v>14605.5</v>
      </c>
      <c r="F223" s="6" t="s">
        <v>23</v>
      </c>
      <c r="G223" s="6" t="s">
        <v>24</v>
      </c>
      <c r="H223" s="6" t="n">
        <f aca="true">ROUND(RAND()*4+6,1)</f>
        <v>6.8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10504</v>
      </c>
      <c r="B224" s="5" t="s">
        <v>372</v>
      </c>
      <c r="C224" s="5" t="s">
        <v>114</v>
      </c>
      <c r="D224" s="5" t="s">
        <v>28</v>
      </c>
      <c r="E224" s="5" t="n">
        <f aca="false">ROUND(14490*1.05,2)</f>
        <v>15214.5</v>
      </c>
      <c r="F224" s="5" t="s">
        <v>29</v>
      </c>
      <c r="G224" s="5" t="s">
        <v>30</v>
      </c>
      <c r="H224" s="5" t="n">
        <f aca="true">ROUND(RAND()*4+6,1)</f>
        <v>7.3</v>
      </c>
      <c r="I224" s="5" t="s">
        <v>31</v>
      </c>
      <c r="J224" s="5" t="str">
        <f aca="false">ROUND(83*1,0)&amp;"%"</f>
        <v>83%</v>
      </c>
    </row>
    <row r="225" customFormat="false" ht="15" hidden="false" customHeight="false" outlineLevel="0" collapsed="false">
      <c r="A225" s="6" t="s">
        <v>10505</v>
      </c>
      <c r="B225" s="6" t="s">
        <v>374</v>
      </c>
      <c r="C225" s="6" t="s">
        <v>114</v>
      </c>
      <c r="D225" s="6" t="s">
        <v>34</v>
      </c>
      <c r="E225" s="6" t="n">
        <f aca="false">ROUND(10712*1.05,2)</f>
        <v>11247.6</v>
      </c>
      <c r="F225" s="6" t="s">
        <v>35</v>
      </c>
      <c r="G225" s="6" t="s">
        <v>18</v>
      </c>
      <c r="H225" s="6" t="n">
        <f aca="true">ROUND(RAND()*4+6,1)</f>
        <v>8.2</v>
      </c>
      <c r="I225" s="6" t="s">
        <v>36</v>
      </c>
      <c r="J225" s="6" t="str">
        <f aca="false">ROUND(93*1,0)&amp;"%"</f>
        <v>93%</v>
      </c>
    </row>
    <row r="226" customFormat="false" ht="15" hidden="false" customHeight="false" outlineLevel="0" collapsed="false">
      <c r="A226" s="5" t="s">
        <v>10506</v>
      </c>
      <c r="B226" s="5" t="s">
        <v>376</v>
      </c>
      <c r="C226" s="5" t="s">
        <v>114</v>
      </c>
      <c r="D226" s="5" t="s">
        <v>39</v>
      </c>
      <c r="E226" s="5" t="n">
        <f aca="false">ROUND(9158*1.05,2)</f>
        <v>9615.9</v>
      </c>
      <c r="F226" s="5" t="s">
        <v>40</v>
      </c>
      <c r="G226" s="5" t="s">
        <v>24</v>
      </c>
      <c r="H226" s="5" t="n">
        <f aca="true">ROUND(RAND()*4+6,1)</f>
        <v>8.5</v>
      </c>
      <c r="I226" s="5" t="s">
        <v>41</v>
      </c>
      <c r="J226" s="5" t="str">
        <f aca="false">ROUND(94*1,0)&amp;"%"</f>
        <v>94%</v>
      </c>
    </row>
    <row r="227" customFormat="false" ht="15" hidden="false" customHeight="false" outlineLevel="0" collapsed="false">
      <c r="A227" s="6" t="s">
        <v>10507</v>
      </c>
      <c r="B227" s="6" t="s">
        <v>378</v>
      </c>
      <c r="C227" s="6" t="s">
        <v>114</v>
      </c>
      <c r="D227" s="6" t="s">
        <v>44</v>
      </c>
      <c r="E227" s="6" t="n">
        <f aca="false">ROUND(17526*1.05,2)</f>
        <v>18402.3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ROUND(91*1,0)&amp;"%"</f>
        <v>91%</v>
      </c>
    </row>
    <row r="228" customFormat="false" ht="15" hidden="false" customHeight="false" outlineLevel="0" collapsed="false">
      <c r="A228" s="5" t="s">
        <v>10508</v>
      </c>
      <c r="B228" s="5" t="s">
        <v>380</v>
      </c>
      <c r="C228" s="5" t="s">
        <v>114</v>
      </c>
      <c r="D228" s="5" t="s">
        <v>16</v>
      </c>
      <c r="E228" s="5" t="n">
        <f aca="false">ROUND(9616*1.05,2)</f>
        <v>10096.8</v>
      </c>
      <c r="F228" s="5" t="s">
        <v>49</v>
      </c>
      <c r="G228" s="5" t="s">
        <v>18</v>
      </c>
      <c r="H228" s="5" t="n">
        <f aca="true">ROUND(RAND()*4+6,1)</f>
        <v>7.7</v>
      </c>
      <c r="I228" s="5" t="s">
        <v>19</v>
      </c>
      <c r="J228" s="5" t="str">
        <f aca="false">ROUND(84*1,0)&amp;"%"</f>
        <v>84%</v>
      </c>
    </row>
    <row r="229" customFormat="false" ht="15" hidden="false" customHeight="false" outlineLevel="0" collapsed="false">
      <c r="A229" s="6" t="s">
        <v>10509</v>
      </c>
      <c r="B229" s="6" t="s">
        <v>382</v>
      </c>
      <c r="C229" s="6" t="s">
        <v>114</v>
      </c>
      <c r="D229" s="6" t="s">
        <v>22</v>
      </c>
      <c r="E229" s="6" t="n">
        <f aca="false">ROUND(10578*1.05,2)</f>
        <v>11106.9</v>
      </c>
      <c r="F229" s="6" t="s">
        <v>52</v>
      </c>
      <c r="G229" s="6" t="s">
        <v>24</v>
      </c>
      <c r="H229" s="6" t="n">
        <f aca="true">ROUND(RAND()*4+6,1)</f>
        <v>8.5</v>
      </c>
      <c r="I229" s="6" t="s">
        <v>25</v>
      </c>
      <c r="J229" s="6" t="str">
        <f aca="false">ROUND(65*1,0)&amp;"%"</f>
        <v>65%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10510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10511</v>
      </c>
      <c r="B234" s="5" t="s">
        <v>386</v>
      </c>
      <c r="C234" s="5" t="s">
        <v>133</v>
      </c>
      <c r="D234" s="5" t="s">
        <v>16</v>
      </c>
      <c r="E234" s="5" t="n">
        <f aca="false">ROUND(4264*1.05,2)</f>
        <v>4477.2</v>
      </c>
      <c r="F234" s="5" t="s">
        <v>17</v>
      </c>
      <c r="G234" s="5" t="s">
        <v>18</v>
      </c>
      <c r="H234" s="5" t="n">
        <f aca="true">ROUND(RAND()*4+6,1)</f>
        <v>6.5</v>
      </c>
      <c r="I234" s="5" t="s">
        <v>19</v>
      </c>
      <c r="J234" s="5" t="str">
        <f aca="false">ROUND(71*1,0)&amp;"%"</f>
        <v>71%</v>
      </c>
    </row>
    <row r="235" customFormat="false" ht="15" hidden="false" customHeight="false" outlineLevel="0" collapsed="false">
      <c r="A235" s="6" t="s">
        <v>10512</v>
      </c>
      <c r="B235" s="6" t="s">
        <v>388</v>
      </c>
      <c r="C235" s="6" t="s">
        <v>133</v>
      </c>
      <c r="D235" s="6" t="s">
        <v>22</v>
      </c>
      <c r="E235" s="6" t="n">
        <f aca="false">ROUND(16483*1.05,2)</f>
        <v>17307.15</v>
      </c>
      <c r="F235" s="6" t="s">
        <v>23</v>
      </c>
      <c r="G235" s="6" t="s">
        <v>24</v>
      </c>
      <c r="H235" s="6" t="n">
        <f aca="true">ROUND(RAND()*4+6,1)</f>
        <v>6.2</v>
      </c>
      <c r="I235" s="6" t="s">
        <v>25</v>
      </c>
      <c r="J235" s="6" t="str">
        <f aca="false">ROUND(88*1,0)&amp;"%"</f>
        <v>88%</v>
      </c>
    </row>
    <row r="236" customFormat="false" ht="15" hidden="false" customHeight="false" outlineLevel="0" collapsed="false">
      <c r="A236" s="5" t="s">
        <v>10513</v>
      </c>
      <c r="B236" s="5" t="s">
        <v>390</v>
      </c>
      <c r="C236" s="5" t="s">
        <v>133</v>
      </c>
      <c r="D236" s="5" t="s">
        <v>28</v>
      </c>
      <c r="E236" s="5" t="n">
        <f aca="false">ROUND(10362*1.05,2)</f>
        <v>10880.1</v>
      </c>
      <c r="F236" s="5" t="s">
        <v>29</v>
      </c>
      <c r="G236" s="5" t="s">
        <v>30</v>
      </c>
      <c r="H236" s="5" t="n">
        <f aca="true">ROUND(RAND()*4+6,1)</f>
        <v>7.3</v>
      </c>
      <c r="I236" s="5" t="s">
        <v>31</v>
      </c>
      <c r="J236" s="5" t="str">
        <f aca="false">ROUND(70*1,0)&amp;"%"</f>
        <v>70%</v>
      </c>
    </row>
    <row r="237" customFormat="false" ht="15" hidden="false" customHeight="false" outlineLevel="0" collapsed="false">
      <c r="A237" s="6" t="s">
        <v>10514</v>
      </c>
      <c r="B237" s="6" t="s">
        <v>392</v>
      </c>
      <c r="C237" s="6" t="s">
        <v>133</v>
      </c>
      <c r="D237" s="6" t="s">
        <v>34</v>
      </c>
      <c r="E237" s="6" t="n">
        <f aca="false">ROUND(11792*1.05,2)</f>
        <v>12381.6</v>
      </c>
      <c r="F237" s="6" t="s">
        <v>35</v>
      </c>
      <c r="G237" s="6" t="s">
        <v>18</v>
      </c>
      <c r="H237" s="6" t="n">
        <f aca="true">ROUND(RAND()*4+6,1)</f>
        <v>6.9</v>
      </c>
      <c r="I237" s="6" t="s">
        <v>36</v>
      </c>
      <c r="J237" s="6" t="str">
        <f aca="false">ROUND(95*1,0)&amp;"%"</f>
        <v>95%</v>
      </c>
    </row>
    <row r="238" customFormat="false" ht="15" hidden="false" customHeight="false" outlineLevel="0" collapsed="false">
      <c r="A238" s="5" t="s">
        <v>10515</v>
      </c>
      <c r="B238" s="5" t="s">
        <v>394</v>
      </c>
      <c r="C238" s="5" t="s">
        <v>133</v>
      </c>
      <c r="D238" s="5" t="s">
        <v>39</v>
      </c>
      <c r="E238" s="5" t="n">
        <f aca="false">ROUND(13856*1.05,2)</f>
        <v>14548.8</v>
      </c>
      <c r="F238" s="5" t="s">
        <v>40</v>
      </c>
      <c r="G238" s="5" t="s">
        <v>24</v>
      </c>
      <c r="H238" s="5" t="n">
        <f aca="true">ROUND(RAND()*4+6,1)</f>
        <v>9.4</v>
      </c>
      <c r="I238" s="5" t="s">
        <v>41</v>
      </c>
      <c r="J238" s="5" t="str">
        <f aca="false">ROUND(71*1,0)&amp;"%"</f>
        <v>71%</v>
      </c>
    </row>
    <row r="239" customFormat="false" ht="15" hidden="false" customHeight="false" outlineLevel="0" collapsed="false">
      <c r="A239" s="6" t="s">
        <v>10516</v>
      </c>
      <c r="B239" s="6" t="s">
        <v>396</v>
      </c>
      <c r="C239" s="6" t="s">
        <v>133</v>
      </c>
      <c r="D239" s="6" t="s">
        <v>44</v>
      </c>
      <c r="E239" s="6" t="n">
        <f aca="false">ROUND(4328*1.05,2)</f>
        <v>4544.4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ROUND(88*1,0)&amp;"%"</f>
        <v>88%</v>
      </c>
    </row>
    <row r="240" customFormat="false" ht="15" hidden="false" customHeight="false" outlineLevel="0" collapsed="false">
      <c r="A240" s="5" t="s">
        <v>10517</v>
      </c>
      <c r="B240" s="5" t="s">
        <v>398</v>
      </c>
      <c r="C240" s="5" t="s">
        <v>133</v>
      </c>
      <c r="D240" s="5" t="s">
        <v>16</v>
      </c>
      <c r="E240" s="5" t="n">
        <f aca="false">ROUND(16028*1.05,2)</f>
        <v>16829.4</v>
      </c>
      <c r="F240" s="5" t="s">
        <v>49</v>
      </c>
      <c r="G240" s="5" t="s">
        <v>18</v>
      </c>
      <c r="H240" s="5" t="n">
        <f aca="true">ROUND(RAND()*4+6,1)</f>
        <v>7.6</v>
      </c>
      <c r="I240" s="5" t="s">
        <v>19</v>
      </c>
      <c r="J240" s="5" t="str">
        <f aca="false">ROUND(94*1,0)&amp;"%"</f>
        <v>94%</v>
      </c>
    </row>
    <row r="241" customFormat="false" ht="15" hidden="false" customHeight="false" outlineLevel="0" collapsed="false">
      <c r="A241" s="6" t="s">
        <v>10518</v>
      </c>
      <c r="B241" s="6" t="s">
        <v>400</v>
      </c>
      <c r="C241" s="6" t="s">
        <v>133</v>
      </c>
      <c r="D241" s="6" t="s">
        <v>22</v>
      </c>
      <c r="E241" s="6" t="n">
        <f aca="false">ROUND(16391*1.05,2)</f>
        <v>17210.55</v>
      </c>
      <c r="F241" s="6" t="s">
        <v>52</v>
      </c>
      <c r="G241" s="6" t="s">
        <v>24</v>
      </c>
      <c r="H241" s="6" t="n">
        <f aca="true">ROUND(RAND()*4+6,1)</f>
        <v>6.2</v>
      </c>
      <c r="I241" s="6" t="s">
        <v>25</v>
      </c>
      <c r="J241" s="6" t="str">
        <f aca="false">ROUND(96*1,0)&amp;"%"</f>
        <v>96%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10519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10520</v>
      </c>
      <c r="B246" s="5" t="s">
        <v>404</v>
      </c>
      <c r="C246" s="5" t="s">
        <v>152</v>
      </c>
      <c r="D246" s="5" t="s">
        <v>16</v>
      </c>
      <c r="E246" s="5" t="n">
        <f aca="false">ROUND(14441*1.05,2)</f>
        <v>15163.05</v>
      </c>
      <c r="F246" s="5" t="s">
        <v>17</v>
      </c>
      <c r="G246" s="5" t="s">
        <v>18</v>
      </c>
      <c r="H246" s="5" t="n">
        <f aca="true">ROUND(RAND()*4+6,1)</f>
        <v>7.7</v>
      </c>
      <c r="I246" s="5" t="s">
        <v>19</v>
      </c>
      <c r="J246" s="5" t="str">
        <f aca="false">ROUND(64*1,0)&amp;"%"</f>
        <v>64%</v>
      </c>
    </row>
    <row r="247" customFormat="false" ht="15" hidden="false" customHeight="false" outlineLevel="0" collapsed="false">
      <c r="A247" s="6" t="s">
        <v>10521</v>
      </c>
      <c r="B247" s="6" t="s">
        <v>406</v>
      </c>
      <c r="C247" s="6" t="s">
        <v>152</v>
      </c>
      <c r="D247" s="6" t="s">
        <v>22</v>
      </c>
      <c r="E247" s="6" t="n">
        <f aca="false">ROUND(10093*1.05,2)</f>
        <v>10597.65</v>
      </c>
      <c r="F247" s="6" t="s">
        <v>23</v>
      </c>
      <c r="G247" s="6" t="s">
        <v>24</v>
      </c>
      <c r="H247" s="6" t="n">
        <f aca="true">ROUND(RAND()*4+6,1)</f>
        <v>8.7</v>
      </c>
      <c r="I247" s="6" t="s">
        <v>25</v>
      </c>
      <c r="J247" s="6" t="str">
        <f aca="false">ROUND(90*1,0)&amp;"%"</f>
        <v>90%</v>
      </c>
    </row>
    <row r="248" customFormat="false" ht="15" hidden="false" customHeight="false" outlineLevel="0" collapsed="false">
      <c r="A248" s="5" t="s">
        <v>10522</v>
      </c>
      <c r="B248" s="5" t="s">
        <v>408</v>
      </c>
      <c r="C248" s="5" t="s">
        <v>152</v>
      </c>
      <c r="D248" s="5" t="s">
        <v>28</v>
      </c>
      <c r="E248" s="5" t="n">
        <f aca="false">ROUND(13775*1.05,2)</f>
        <v>14463.75</v>
      </c>
      <c r="F248" s="5" t="s">
        <v>29</v>
      </c>
      <c r="G248" s="5" t="s">
        <v>30</v>
      </c>
      <c r="H248" s="5" t="n">
        <f aca="true">ROUND(RAND()*4+6,1)</f>
        <v>8.3</v>
      </c>
      <c r="I248" s="5" t="s">
        <v>31</v>
      </c>
      <c r="J248" s="5" t="str">
        <f aca="false">ROUND(97*1,0)&amp;"%"</f>
        <v>97%</v>
      </c>
    </row>
    <row r="249" customFormat="false" ht="15" hidden="false" customHeight="false" outlineLevel="0" collapsed="false">
      <c r="A249" s="6" t="s">
        <v>10523</v>
      </c>
      <c r="B249" s="6" t="s">
        <v>410</v>
      </c>
      <c r="C249" s="6" t="s">
        <v>152</v>
      </c>
      <c r="D249" s="6" t="s">
        <v>34</v>
      </c>
      <c r="E249" s="6" t="n">
        <f aca="false">ROUND(15941*1.05,2)</f>
        <v>16738.05</v>
      </c>
      <c r="F249" s="6" t="s">
        <v>35</v>
      </c>
      <c r="G249" s="6" t="s">
        <v>18</v>
      </c>
      <c r="H249" s="6" t="n">
        <f aca="true">ROUND(RAND()*4+6,1)</f>
        <v>8.5</v>
      </c>
      <c r="I249" s="6" t="s">
        <v>36</v>
      </c>
      <c r="J249" s="6" t="str">
        <f aca="false">ROUND(100*1,0)&amp;"%"</f>
        <v>100%</v>
      </c>
    </row>
    <row r="250" customFormat="false" ht="15" hidden="false" customHeight="false" outlineLevel="0" collapsed="false">
      <c r="A250" s="5" t="s">
        <v>10524</v>
      </c>
      <c r="B250" s="5" t="s">
        <v>412</v>
      </c>
      <c r="C250" s="5" t="s">
        <v>152</v>
      </c>
      <c r="D250" s="5" t="s">
        <v>39</v>
      </c>
      <c r="E250" s="5" t="n">
        <f aca="false">ROUND(8404*1.05,2)</f>
        <v>8824.2</v>
      </c>
      <c r="F250" s="5" t="s">
        <v>40</v>
      </c>
      <c r="G250" s="5" t="s">
        <v>24</v>
      </c>
      <c r="H250" s="5" t="n">
        <f aca="true">ROUND(RAND()*4+6,1)</f>
        <v>7.6</v>
      </c>
      <c r="I250" s="5" t="s">
        <v>41</v>
      </c>
      <c r="J250" s="5" t="str">
        <f aca="false">ROUND(80*1,0)&amp;"%"</f>
        <v>80%</v>
      </c>
    </row>
    <row r="251" customFormat="false" ht="15" hidden="false" customHeight="false" outlineLevel="0" collapsed="false">
      <c r="A251" s="6" t="s">
        <v>10525</v>
      </c>
      <c r="B251" s="6" t="s">
        <v>414</v>
      </c>
      <c r="C251" s="6" t="s">
        <v>152</v>
      </c>
      <c r="D251" s="6" t="s">
        <v>44</v>
      </c>
      <c r="E251" s="6" t="n">
        <f aca="false">ROUND(11826*1.05,2)</f>
        <v>12417.3</v>
      </c>
      <c r="F251" s="6" t="s">
        <v>45</v>
      </c>
      <c r="G251" s="6" t="s">
        <v>30</v>
      </c>
      <c r="H251" s="6" t="n">
        <f aca="true">ROUND(RAND()*4+6,1)</f>
        <v>7.9</v>
      </c>
      <c r="I251" s="6" t="s">
        <v>46</v>
      </c>
      <c r="J251" s="6" t="str">
        <f aca="false">ROUND(68*1,0)&amp;"%"</f>
        <v>68%</v>
      </c>
    </row>
    <row r="252" customFormat="false" ht="15" hidden="false" customHeight="false" outlineLevel="0" collapsed="false">
      <c r="A252" s="5" t="s">
        <v>10526</v>
      </c>
      <c r="B252" s="5" t="s">
        <v>416</v>
      </c>
      <c r="C252" s="5" t="s">
        <v>152</v>
      </c>
      <c r="D252" s="5" t="s">
        <v>16</v>
      </c>
      <c r="E252" s="5" t="n">
        <f aca="false">ROUND(8344*1.05,2)</f>
        <v>8761.2</v>
      </c>
      <c r="F252" s="5" t="s">
        <v>49</v>
      </c>
      <c r="G252" s="5" t="s">
        <v>18</v>
      </c>
      <c r="H252" s="5" t="n">
        <f aca="true">ROUND(RAND()*4+6,1)</f>
        <v>6.7</v>
      </c>
      <c r="I252" s="5" t="s">
        <v>19</v>
      </c>
      <c r="J252" s="5" t="str">
        <f aca="false">ROUND(86*1,0)&amp;"%"</f>
        <v>86%</v>
      </c>
    </row>
    <row r="253" customFormat="false" ht="15" hidden="false" customHeight="false" outlineLevel="0" collapsed="false">
      <c r="A253" s="6" t="s">
        <v>10527</v>
      </c>
      <c r="B253" s="6" t="s">
        <v>418</v>
      </c>
      <c r="C253" s="6" t="s">
        <v>152</v>
      </c>
      <c r="D253" s="6" t="s">
        <v>22</v>
      </c>
      <c r="E253" s="6" t="n">
        <f aca="false">ROUND(4450*1.05,2)</f>
        <v>4672.5</v>
      </c>
      <c r="F253" s="6" t="s">
        <v>52</v>
      </c>
      <c r="G253" s="6" t="s">
        <v>24</v>
      </c>
      <c r="H253" s="6" t="n">
        <f aca="true">ROUND(RAND()*4+6,1)</f>
        <v>10</v>
      </c>
      <c r="I253" s="6" t="s">
        <v>25</v>
      </c>
      <c r="J253" s="6" t="str">
        <f aca="false">ROUND(63*1,0)&amp;"%"</f>
        <v>63%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10528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10529</v>
      </c>
      <c r="B258" s="5" t="s">
        <v>422</v>
      </c>
      <c r="C258" s="5" t="s">
        <v>15</v>
      </c>
      <c r="D258" s="5" t="s">
        <v>16</v>
      </c>
      <c r="E258" s="5" t="n">
        <f aca="false">ROUND(14517*1.05,2)</f>
        <v>15242.85</v>
      </c>
      <c r="F258" s="5" t="s">
        <v>17</v>
      </c>
      <c r="G258" s="5" t="s">
        <v>18</v>
      </c>
      <c r="H258" s="5" t="n">
        <f aca="true">ROUND(RAND()*4+6,1)</f>
        <v>7</v>
      </c>
      <c r="I258" s="5" t="s">
        <v>19</v>
      </c>
      <c r="J258" s="5" t="str">
        <f aca="false">ROUND(100*1,0)&amp;"%"</f>
        <v>100%</v>
      </c>
    </row>
    <row r="259" customFormat="false" ht="15" hidden="false" customHeight="false" outlineLevel="0" collapsed="false">
      <c r="A259" s="6" t="s">
        <v>10530</v>
      </c>
      <c r="B259" s="6" t="s">
        <v>424</v>
      </c>
      <c r="C259" s="6" t="s">
        <v>15</v>
      </c>
      <c r="D259" s="6" t="s">
        <v>22</v>
      </c>
      <c r="E259" s="6" t="n">
        <f aca="false">ROUND(9303*1.05,2)</f>
        <v>9768.15</v>
      </c>
      <c r="F259" s="6" t="s">
        <v>23</v>
      </c>
      <c r="G259" s="6" t="s">
        <v>24</v>
      </c>
      <c r="H259" s="6" t="n">
        <f aca="true">ROUND(RAND()*4+6,1)</f>
        <v>8.5</v>
      </c>
      <c r="I259" s="6" t="s">
        <v>25</v>
      </c>
      <c r="J259" s="6" t="str">
        <f aca="false">ROUND(79*1,0)&amp;"%"</f>
        <v>79%</v>
      </c>
    </row>
    <row r="260" customFormat="false" ht="15" hidden="false" customHeight="false" outlineLevel="0" collapsed="false">
      <c r="A260" s="5" t="s">
        <v>10531</v>
      </c>
      <c r="B260" s="5" t="s">
        <v>426</v>
      </c>
      <c r="C260" s="5" t="s">
        <v>15</v>
      </c>
      <c r="D260" s="5" t="s">
        <v>28</v>
      </c>
      <c r="E260" s="5" t="n">
        <f aca="false">ROUND(15436*1.05,2)</f>
        <v>16207.8</v>
      </c>
      <c r="F260" s="5" t="s">
        <v>29</v>
      </c>
      <c r="G260" s="5" t="s">
        <v>30</v>
      </c>
      <c r="H260" s="5" t="n">
        <f aca="true">ROUND(RAND()*4+6,1)</f>
        <v>8.6</v>
      </c>
      <c r="I260" s="5" t="s">
        <v>31</v>
      </c>
      <c r="J260" s="5" t="str">
        <f aca="false">ROUND(72*1,0)&amp;"%"</f>
        <v>72%</v>
      </c>
    </row>
    <row r="261" customFormat="false" ht="15" hidden="false" customHeight="false" outlineLevel="0" collapsed="false">
      <c r="A261" s="6" t="s">
        <v>10532</v>
      </c>
      <c r="B261" s="6" t="s">
        <v>428</v>
      </c>
      <c r="C261" s="6" t="s">
        <v>15</v>
      </c>
      <c r="D261" s="6" t="s">
        <v>34</v>
      </c>
      <c r="E261" s="6" t="n">
        <f aca="false">ROUND(15159*1.05,2)</f>
        <v>15916.95</v>
      </c>
      <c r="F261" s="6" t="s">
        <v>35</v>
      </c>
      <c r="G261" s="6" t="s">
        <v>18</v>
      </c>
      <c r="H261" s="6" t="n">
        <f aca="true">ROUND(RAND()*4+6,1)</f>
        <v>8.2</v>
      </c>
      <c r="I261" s="6" t="s">
        <v>36</v>
      </c>
      <c r="J261" s="6" t="str">
        <f aca="false">ROUND(81*1,0)&amp;"%"</f>
        <v>81%</v>
      </c>
    </row>
    <row r="262" customFormat="false" ht="15" hidden="false" customHeight="false" outlineLevel="0" collapsed="false">
      <c r="A262" s="5" t="s">
        <v>10533</v>
      </c>
      <c r="B262" s="5" t="s">
        <v>430</v>
      </c>
      <c r="C262" s="5" t="s">
        <v>15</v>
      </c>
      <c r="D262" s="5" t="s">
        <v>39</v>
      </c>
      <c r="E262" s="5" t="n">
        <f aca="false">ROUND(9462*1.05,2)</f>
        <v>9935.1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ROUND(78*1,0)&amp;"%"</f>
        <v>78%</v>
      </c>
    </row>
    <row r="263" customFormat="false" ht="15" hidden="false" customHeight="false" outlineLevel="0" collapsed="false">
      <c r="A263" s="6" t="s">
        <v>10534</v>
      </c>
      <c r="B263" s="6" t="s">
        <v>432</v>
      </c>
      <c r="C263" s="6" t="s">
        <v>15</v>
      </c>
      <c r="D263" s="6" t="s">
        <v>44</v>
      </c>
      <c r="E263" s="6" t="n">
        <f aca="false">ROUND(13540*1.05,2)</f>
        <v>14217</v>
      </c>
      <c r="F263" s="6" t="s">
        <v>45</v>
      </c>
      <c r="G263" s="6" t="s">
        <v>30</v>
      </c>
      <c r="H263" s="6" t="n">
        <f aca="true">ROUND(RAND()*4+6,1)</f>
        <v>9.6</v>
      </c>
      <c r="I263" s="6" t="s">
        <v>46</v>
      </c>
      <c r="J263" s="6" t="str">
        <f aca="false">ROUND(95*1,0)&amp;"%"</f>
        <v>95%</v>
      </c>
    </row>
    <row r="264" customFormat="false" ht="15" hidden="false" customHeight="false" outlineLevel="0" collapsed="false">
      <c r="A264" s="5" t="s">
        <v>10535</v>
      </c>
      <c r="B264" s="5" t="s">
        <v>434</v>
      </c>
      <c r="C264" s="5" t="s">
        <v>15</v>
      </c>
      <c r="D264" s="5" t="s">
        <v>16</v>
      </c>
      <c r="E264" s="5" t="n">
        <f aca="false">ROUND(7440*1.05,2)</f>
        <v>7812</v>
      </c>
      <c r="F264" s="5" t="s">
        <v>49</v>
      </c>
      <c r="G264" s="5" t="s">
        <v>18</v>
      </c>
      <c r="H264" s="5" t="n">
        <f aca="true">ROUND(RAND()*4+6,1)</f>
        <v>9.4</v>
      </c>
      <c r="I264" s="5" t="s">
        <v>19</v>
      </c>
      <c r="J264" s="5" t="str">
        <f aca="false">ROUND(83*1,0)&amp;"%"</f>
        <v>83%</v>
      </c>
    </row>
    <row r="265" customFormat="false" ht="15" hidden="false" customHeight="false" outlineLevel="0" collapsed="false">
      <c r="A265" s="6" t="s">
        <v>10536</v>
      </c>
      <c r="B265" s="6" t="s">
        <v>436</v>
      </c>
      <c r="C265" s="6" t="s">
        <v>15</v>
      </c>
      <c r="D265" s="6" t="s">
        <v>22</v>
      </c>
      <c r="E265" s="6" t="n">
        <f aca="false">ROUND(10286*1.05,2)</f>
        <v>10800.3</v>
      </c>
      <c r="F265" s="6" t="s">
        <v>52</v>
      </c>
      <c r="G265" s="6" t="s">
        <v>24</v>
      </c>
      <c r="H265" s="6" t="n">
        <f aca="true">ROUND(RAND()*4+6,1)</f>
        <v>8.9</v>
      </c>
      <c r="I265" s="6" t="s">
        <v>25</v>
      </c>
      <c r="J265" s="6" t="str">
        <f aca="false">ROUND(85*1,0)&amp;"%"</f>
        <v>85%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10537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10538</v>
      </c>
      <c r="B270" s="5" t="s">
        <v>440</v>
      </c>
      <c r="C270" s="5" t="s">
        <v>57</v>
      </c>
      <c r="D270" s="5" t="s">
        <v>16</v>
      </c>
      <c r="E270" s="5" t="n">
        <f aca="false">ROUND(4666*1.05,2)</f>
        <v>4899.3</v>
      </c>
      <c r="F270" s="5" t="s">
        <v>17</v>
      </c>
      <c r="G270" s="5" t="s">
        <v>18</v>
      </c>
      <c r="H270" s="5" t="n">
        <f aca="true">ROUND(RAND()*4+6,1)</f>
        <v>9.3</v>
      </c>
      <c r="I270" s="5" t="s">
        <v>19</v>
      </c>
      <c r="J270" s="5" t="str">
        <f aca="false">ROUND(67*1,0)&amp;"%"</f>
        <v>67%</v>
      </c>
    </row>
    <row r="271" customFormat="false" ht="15" hidden="false" customHeight="false" outlineLevel="0" collapsed="false">
      <c r="A271" s="6" t="s">
        <v>10539</v>
      </c>
      <c r="B271" s="6" t="s">
        <v>442</v>
      </c>
      <c r="C271" s="6" t="s">
        <v>57</v>
      </c>
      <c r="D271" s="6" t="s">
        <v>22</v>
      </c>
      <c r="E271" s="6" t="n">
        <f aca="false">ROUND(6198*1.05,2)</f>
        <v>6507.9</v>
      </c>
      <c r="F271" s="6" t="s">
        <v>23</v>
      </c>
      <c r="G271" s="6" t="s">
        <v>24</v>
      </c>
      <c r="H271" s="6" t="n">
        <f aca="true">ROUND(RAND()*4+6,1)</f>
        <v>7.8</v>
      </c>
      <c r="I271" s="6" t="s">
        <v>25</v>
      </c>
      <c r="J271" s="6" t="str">
        <f aca="false">ROUND(98*1,0)&amp;"%"</f>
        <v>98%</v>
      </c>
    </row>
    <row r="272" customFormat="false" ht="15" hidden="false" customHeight="false" outlineLevel="0" collapsed="false">
      <c r="A272" s="5" t="s">
        <v>10540</v>
      </c>
      <c r="B272" s="5" t="s">
        <v>444</v>
      </c>
      <c r="C272" s="5" t="s">
        <v>57</v>
      </c>
      <c r="D272" s="5" t="s">
        <v>28</v>
      </c>
      <c r="E272" s="5" t="n">
        <f aca="false">ROUND(17692*1.05,2)</f>
        <v>18576.6</v>
      </c>
      <c r="F272" s="5" t="s">
        <v>29</v>
      </c>
      <c r="G272" s="5" t="s">
        <v>30</v>
      </c>
      <c r="H272" s="5" t="n">
        <f aca="true">ROUND(RAND()*4+6,1)</f>
        <v>8.1</v>
      </c>
      <c r="I272" s="5" t="s">
        <v>31</v>
      </c>
      <c r="J272" s="5" t="str">
        <f aca="false">ROUND(97*1,0)&amp;"%"</f>
        <v>97%</v>
      </c>
    </row>
    <row r="273" customFormat="false" ht="15" hidden="false" customHeight="false" outlineLevel="0" collapsed="false">
      <c r="A273" s="6" t="s">
        <v>10541</v>
      </c>
      <c r="B273" s="6" t="s">
        <v>446</v>
      </c>
      <c r="C273" s="6" t="s">
        <v>57</v>
      </c>
      <c r="D273" s="6" t="s">
        <v>34</v>
      </c>
      <c r="E273" s="6" t="n">
        <f aca="false">ROUND(4521*1.05,2)</f>
        <v>4747.05</v>
      </c>
      <c r="F273" s="6" t="s">
        <v>35</v>
      </c>
      <c r="G273" s="6" t="s">
        <v>18</v>
      </c>
      <c r="H273" s="6" t="n">
        <f aca="true">ROUND(RAND()*4+6,1)</f>
        <v>6.9</v>
      </c>
      <c r="I273" s="6" t="s">
        <v>36</v>
      </c>
      <c r="J273" s="6" t="str">
        <f aca="false">ROUND(93*1,0)&amp;"%"</f>
        <v>93%</v>
      </c>
    </row>
    <row r="274" customFormat="false" ht="15" hidden="false" customHeight="false" outlineLevel="0" collapsed="false">
      <c r="A274" s="5" t="s">
        <v>10542</v>
      </c>
      <c r="B274" s="5" t="s">
        <v>448</v>
      </c>
      <c r="C274" s="5" t="s">
        <v>57</v>
      </c>
      <c r="D274" s="5" t="s">
        <v>39</v>
      </c>
      <c r="E274" s="5" t="n">
        <f aca="false">ROUND(6480*1.05,2)</f>
        <v>6804</v>
      </c>
      <c r="F274" s="5" t="s">
        <v>40</v>
      </c>
      <c r="G274" s="5" t="s">
        <v>24</v>
      </c>
      <c r="H274" s="5" t="n">
        <f aca="true">ROUND(RAND()*4+6,1)</f>
        <v>9.4</v>
      </c>
      <c r="I274" s="5" t="s">
        <v>41</v>
      </c>
      <c r="J274" s="5" t="str">
        <f aca="false">ROUND(95*1,0)&amp;"%"</f>
        <v>95%</v>
      </c>
    </row>
    <row r="275" customFormat="false" ht="15" hidden="false" customHeight="false" outlineLevel="0" collapsed="false">
      <c r="A275" s="6" t="s">
        <v>10543</v>
      </c>
      <c r="B275" s="6" t="s">
        <v>450</v>
      </c>
      <c r="C275" s="6" t="s">
        <v>57</v>
      </c>
      <c r="D275" s="6" t="s">
        <v>44</v>
      </c>
      <c r="E275" s="6" t="n">
        <f aca="false">ROUND(7599*1.05,2)</f>
        <v>7978.95</v>
      </c>
      <c r="F275" s="6" t="s">
        <v>45</v>
      </c>
      <c r="G275" s="6" t="s">
        <v>30</v>
      </c>
      <c r="H275" s="6" t="n">
        <f aca="true">ROUND(RAND()*4+6,1)</f>
        <v>9.6</v>
      </c>
      <c r="I275" s="6" t="s">
        <v>46</v>
      </c>
      <c r="J275" s="6" t="str">
        <f aca="false">ROUND(75*1,0)&amp;"%"</f>
        <v>75%</v>
      </c>
    </row>
    <row r="276" customFormat="false" ht="15" hidden="false" customHeight="false" outlineLevel="0" collapsed="false">
      <c r="A276" s="5" t="s">
        <v>10544</v>
      </c>
      <c r="B276" s="5" t="s">
        <v>452</v>
      </c>
      <c r="C276" s="5" t="s">
        <v>57</v>
      </c>
      <c r="D276" s="5" t="s">
        <v>16</v>
      </c>
      <c r="E276" s="5" t="n">
        <f aca="false">ROUND(11096*1.05,2)</f>
        <v>11650.8</v>
      </c>
      <c r="F276" s="5" t="s">
        <v>49</v>
      </c>
      <c r="G276" s="5" t="s">
        <v>18</v>
      </c>
      <c r="H276" s="5" t="n">
        <f aca="true">ROUND(RAND()*4+6,1)</f>
        <v>8.1</v>
      </c>
      <c r="I276" s="5" t="s">
        <v>19</v>
      </c>
      <c r="J276" s="5" t="str">
        <f aca="false">ROUND(72*1,0)&amp;"%"</f>
        <v>72%</v>
      </c>
    </row>
    <row r="277" customFormat="false" ht="15" hidden="false" customHeight="false" outlineLevel="0" collapsed="false">
      <c r="A277" s="6" t="s">
        <v>10545</v>
      </c>
      <c r="B277" s="6" t="s">
        <v>454</v>
      </c>
      <c r="C277" s="6" t="s">
        <v>57</v>
      </c>
      <c r="D277" s="6" t="s">
        <v>22</v>
      </c>
      <c r="E277" s="6" t="n">
        <f aca="false">ROUND(6335*1.05,2)</f>
        <v>6651.75</v>
      </c>
      <c r="F277" s="6" t="s">
        <v>52</v>
      </c>
      <c r="G277" s="6" t="s">
        <v>24</v>
      </c>
      <c r="H277" s="6" t="n">
        <f aca="true">ROUND(RAND()*4+6,1)</f>
        <v>7.9</v>
      </c>
      <c r="I277" s="6" t="s">
        <v>25</v>
      </c>
      <c r="J277" s="6" t="str">
        <f aca="false">ROUND(100*1,0)&amp;"%"</f>
        <v>100%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10546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10547</v>
      </c>
      <c r="B282" s="5" t="s">
        <v>458</v>
      </c>
      <c r="C282" s="5" t="s">
        <v>76</v>
      </c>
      <c r="D282" s="5" t="s">
        <v>16</v>
      </c>
      <c r="E282" s="5" t="n">
        <f aca="false">ROUND(16665*1.05,2)</f>
        <v>17498.25</v>
      </c>
      <c r="F282" s="5" t="s">
        <v>17</v>
      </c>
      <c r="G282" s="5" t="s">
        <v>18</v>
      </c>
      <c r="H282" s="5" t="n">
        <f aca="true">ROUND(RAND()*4+6,1)</f>
        <v>6.7</v>
      </c>
      <c r="I282" s="5" t="s">
        <v>19</v>
      </c>
      <c r="J282" s="5" t="str">
        <f aca="false">ROUND(82*1,0)&amp;"%"</f>
        <v>82%</v>
      </c>
    </row>
    <row r="283" customFormat="false" ht="15" hidden="false" customHeight="false" outlineLevel="0" collapsed="false">
      <c r="A283" s="6" t="s">
        <v>10548</v>
      </c>
      <c r="B283" s="6" t="s">
        <v>460</v>
      </c>
      <c r="C283" s="6" t="s">
        <v>76</v>
      </c>
      <c r="D283" s="6" t="s">
        <v>22</v>
      </c>
      <c r="E283" s="6" t="n">
        <f aca="false">ROUND(17160*1.05,2)</f>
        <v>18018</v>
      </c>
      <c r="F283" s="6" t="s">
        <v>23</v>
      </c>
      <c r="G283" s="6" t="s">
        <v>24</v>
      </c>
      <c r="H283" s="6" t="n">
        <f aca="true">ROUND(RAND()*4+6,1)</f>
        <v>9.4</v>
      </c>
      <c r="I283" s="6" t="s">
        <v>25</v>
      </c>
      <c r="J283" s="6" t="str">
        <f aca="false">ROUND(71*1,0)&amp;"%"</f>
        <v>71%</v>
      </c>
    </row>
    <row r="284" customFormat="false" ht="15" hidden="false" customHeight="false" outlineLevel="0" collapsed="false">
      <c r="A284" s="5" t="s">
        <v>10549</v>
      </c>
      <c r="B284" s="5" t="s">
        <v>462</v>
      </c>
      <c r="C284" s="5" t="s">
        <v>76</v>
      </c>
      <c r="D284" s="5" t="s">
        <v>28</v>
      </c>
      <c r="E284" s="5" t="n">
        <f aca="false">ROUND(6196*1.05,2)</f>
        <v>6505.8</v>
      </c>
      <c r="F284" s="5" t="s">
        <v>29</v>
      </c>
      <c r="G284" s="5" t="s">
        <v>30</v>
      </c>
      <c r="H284" s="5" t="n">
        <f aca="true">ROUND(RAND()*4+6,1)</f>
        <v>7.8</v>
      </c>
      <c r="I284" s="5" t="s">
        <v>31</v>
      </c>
      <c r="J284" s="5" t="str">
        <f aca="false">ROUND(98*1,0)&amp;"%"</f>
        <v>98%</v>
      </c>
    </row>
    <row r="285" customFormat="false" ht="15" hidden="false" customHeight="false" outlineLevel="0" collapsed="false">
      <c r="A285" s="6" t="s">
        <v>10550</v>
      </c>
      <c r="B285" s="6" t="s">
        <v>464</v>
      </c>
      <c r="C285" s="6" t="s">
        <v>76</v>
      </c>
      <c r="D285" s="6" t="s">
        <v>34</v>
      </c>
      <c r="E285" s="6" t="n">
        <f aca="false">ROUND(15569*1.05,2)</f>
        <v>16347.45</v>
      </c>
      <c r="F285" s="6" t="s">
        <v>35</v>
      </c>
      <c r="G285" s="6" t="s">
        <v>18</v>
      </c>
      <c r="H285" s="6" t="n">
        <f aca="true">ROUND(RAND()*4+6,1)</f>
        <v>9</v>
      </c>
      <c r="I285" s="6" t="s">
        <v>36</v>
      </c>
      <c r="J285" s="6" t="str">
        <f aca="false">ROUND(90*1,0)&amp;"%"</f>
        <v>90%</v>
      </c>
    </row>
    <row r="286" customFormat="false" ht="15" hidden="false" customHeight="false" outlineLevel="0" collapsed="false">
      <c r="A286" s="5" t="s">
        <v>10551</v>
      </c>
      <c r="B286" s="5" t="s">
        <v>466</v>
      </c>
      <c r="C286" s="5" t="s">
        <v>76</v>
      </c>
      <c r="D286" s="5" t="s">
        <v>39</v>
      </c>
      <c r="E286" s="5" t="n">
        <f aca="false">ROUND(14293*1.05,2)</f>
        <v>15007.65</v>
      </c>
      <c r="F286" s="5" t="s">
        <v>40</v>
      </c>
      <c r="G286" s="5" t="s">
        <v>24</v>
      </c>
      <c r="H286" s="5" t="n">
        <f aca="true">ROUND(RAND()*4+6,1)</f>
        <v>9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10552</v>
      </c>
      <c r="B287" s="6" t="s">
        <v>468</v>
      </c>
      <c r="C287" s="6" t="s">
        <v>76</v>
      </c>
      <c r="D287" s="6" t="s">
        <v>44</v>
      </c>
      <c r="E287" s="6" t="n">
        <f aca="false">ROUND(9742*1.05,2)</f>
        <v>10229.1</v>
      </c>
      <c r="F287" s="6" t="s">
        <v>45</v>
      </c>
      <c r="G287" s="6" t="s">
        <v>30</v>
      </c>
      <c r="H287" s="6" t="n">
        <f aca="true">ROUND(RAND()*4+6,1)</f>
        <v>9.9</v>
      </c>
      <c r="I287" s="6" t="s">
        <v>46</v>
      </c>
      <c r="J287" s="6" t="str">
        <f aca="false">ROUND(91*1,0)&amp;"%"</f>
        <v>91%</v>
      </c>
    </row>
    <row r="288" customFormat="false" ht="15" hidden="false" customHeight="false" outlineLevel="0" collapsed="false">
      <c r="A288" s="5" t="s">
        <v>10553</v>
      </c>
      <c r="B288" s="5" t="s">
        <v>470</v>
      </c>
      <c r="C288" s="5" t="s">
        <v>76</v>
      </c>
      <c r="D288" s="5" t="s">
        <v>16</v>
      </c>
      <c r="E288" s="5" t="n">
        <f aca="false">ROUND(8165*1.05,2)</f>
        <v>8573.25</v>
      </c>
      <c r="F288" s="5" t="s">
        <v>49</v>
      </c>
      <c r="G288" s="5" t="s">
        <v>18</v>
      </c>
      <c r="H288" s="5" t="n">
        <f aca="true">ROUND(RAND()*4+6,1)</f>
        <v>6.8</v>
      </c>
      <c r="I288" s="5" t="s">
        <v>19</v>
      </c>
      <c r="J288" s="5" t="str">
        <f aca="false">ROUND(80*1,0)&amp;"%"</f>
        <v>80%</v>
      </c>
    </row>
    <row r="289" customFormat="false" ht="15" hidden="false" customHeight="false" outlineLevel="0" collapsed="false">
      <c r="A289" s="6" t="s">
        <v>10554</v>
      </c>
      <c r="B289" s="6" t="s">
        <v>472</v>
      </c>
      <c r="C289" s="6" t="s">
        <v>76</v>
      </c>
      <c r="D289" s="6" t="s">
        <v>22</v>
      </c>
      <c r="E289" s="6" t="n">
        <f aca="false">ROUND(4797*1.05,2)</f>
        <v>5036.85</v>
      </c>
      <c r="F289" s="6" t="s">
        <v>52</v>
      </c>
      <c r="G289" s="6" t="s">
        <v>24</v>
      </c>
      <c r="H289" s="6" t="n">
        <f aca="true">ROUND(RAND()*4+6,1)</f>
        <v>8.8</v>
      </c>
      <c r="I289" s="6" t="s">
        <v>25</v>
      </c>
      <c r="J289" s="6" t="str">
        <f aca="false">ROUND(86*1,0)&amp;"%"</f>
        <v>86%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10555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10556</v>
      </c>
      <c r="B294" s="5" t="s">
        <v>476</v>
      </c>
      <c r="C294" s="5" t="s">
        <v>95</v>
      </c>
      <c r="D294" s="5" t="s">
        <v>16</v>
      </c>
      <c r="E294" s="5" t="n">
        <f aca="false">ROUND(6155*1.05,2)</f>
        <v>6462.75</v>
      </c>
      <c r="F294" s="5" t="s">
        <v>17</v>
      </c>
      <c r="G294" s="5" t="s">
        <v>18</v>
      </c>
      <c r="H294" s="5" t="n">
        <f aca="true">ROUND(RAND()*4+6,1)</f>
        <v>6.9</v>
      </c>
      <c r="I294" s="5" t="s">
        <v>19</v>
      </c>
      <c r="J294" s="5" t="str">
        <f aca="false">ROUND(99*1,0)&amp;"%"</f>
        <v>99%</v>
      </c>
    </row>
    <row r="295" customFormat="false" ht="15" hidden="false" customHeight="false" outlineLevel="0" collapsed="false">
      <c r="A295" s="6" t="s">
        <v>10557</v>
      </c>
      <c r="B295" s="6" t="s">
        <v>478</v>
      </c>
      <c r="C295" s="6" t="s">
        <v>95</v>
      </c>
      <c r="D295" s="6" t="s">
        <v>22</v>
      </c>
      <c r="E295" s="6" t="n">
        <f aca="false">ROUND(12761*1.05,2)</f>
        <v>13399.05</v>
      </c>
      <c r="F295" s="6" t="s">
        <v>23</v>
      </c>
      <c r="G295" s="6" t="s">
        <v>24</v>
      </c>
      <c r="H295" s="6" t="n">
        <f aca="true">ROUND(RAND()*4+6,1)</f>
        <v>9.2</v>
      </c>
      <c r="I295" s="6" t="s">
        <v>25</v>
      </c>
      <c r="J295" s="6" t="str">
        <f aca="false">ROUND(86*1,0)&amp;"%"</f>
        <v>86%</v>
      </c>
    </row>
    <row r="296" customFormat="false" ht="15" hidden="false" customHeight="false" outlineLevel="0" collapsed="false">
      <c r="A296" s="5" t="s">
        <v>10558</v>
      </c>
      <c r="B296" s="5" t="s">
        <v>480</v>
      </c>
      <c r="C296" s="5" t="s">
        <v>95</v>
      </c>
      <c r="D296" s="5" t="s">
        <v>28</v>
      </c>
      <c r="E296" s="5" t="n">
        <f aca="false">ROUND(12370*1.05,2)</f>
        <v>12988.5</v>
      </c>
      <c r="F296" s="5" t="s">
        <v>29</v>
      </c>
      <c r="G296" s="5" t="s">
        <v>30</v>
      </c>
      <c r="H296" s="5" t="n">
        <f aca="true">ROUND(RAND()*4+6,1)</f>
        <v>7.8</v>
      </c>
      <c r="I296" s="5" t="s">
        <v>31</v>
      </c>
      <c r="J296" s="5" t="str">
        <f aca="false">ROUND(89*1,0)&amp;"%"</f>
        <v>89%</v>
      </c>
    </row>
    <row r="297" customFormat="false" ht="15" hidden="false" customHeight="false" outlineLevel="0" collapsed="false">
      <c r="A297" s="6" t="s">
        <v>10559</v>
      </c>
      <c r="B297" s="6" t="s">
        <v>482</v>
      </c>
      <c r="C297" s="6" t="s">
        <v>95</v>
      </c>
      <c r="D297" s="6" t="s">
        <v>34</v>
      </c>
      <c r="E297" s="6" t="n">
        <f aca="false">ROUND(16668*1.05,2)</f>
        <v>17501.4</v>
      </c>
      <c r="F297" s="6" t="s">
        <v>35</v>
      </c>
      <c r="G297" s="6" t="s">
        <v>18</v>
      </c>
      <c r="H297" s="6" t="n">
        <f aca="true">ROUND(RAND()*4+6,1)</f>
        <v>6.6</v>
      </c>
      <c r="I297" s="6" t="s">
        <v>36</v>
      </c>
      <c r="J297" s="6" t="str">
        <f aca="false">ROUND(95*1,0)&amp;"%"</f>
        <v>95%</v>
      </c>
    </row>
    <row r="298" customFormat="false" ht="15" hidden="false" customHeight="false" outlineLevel="0" collapsed="false">
      <c r="A298" s="5" t="s">
        <v>10560</v>
      </c>
      <c r="B298" s="5" t="s">
        <v>484</v>
      </c>
      <c r="C298" s="5" t="s">
        <v>95</v>
      </c>
      <c r="D298" s="5" t="s">
        <v>39</v>
      </c>
      <c r="E298" s="5" t="n">
        <f aca="false">ROUND(10391*1.05,2)</f>
        <v>10910.55</v>
      </c>
      <c r="F298" s="5" t="s">
        <v>40</v>
      </c>
      <c r="G298" s="5" t="s">
        <v>24</v>
      </c>
      <c r="H298" s="5" t="n">
        <f aca="true">ROUND(RAND()*4+6,1)</f>
        <v>7.5</v>
      </c>
      <c r="I298" s="5" t="s">
        <v>41</v>
      </c>
      <c r="J298" s="5" t="str">
        <f aca="false">ROUND(87*1,0)&amp;"%"</f>
        <v>87%</v>
      </c>
    </row>
    <row r="299" customFormat="false" ht="15" hidden="false" customHeight="false" outlineLevel="0" collapsed="false">
      <c r="A299" s="6" t="s">
        <v>10561</v>
      </c>
      <c r="B299" s="6" t="s">
        <v>486</v>
      </c>
      <c r="C299" s="6" t="s">
        <v>95</v>
      </c>
      <c r="D299" s="6" t="s">
        <v>44</v>
      </c>
      <c r="E299" s="6" t="n">
        <f aca="false">ROUND(17223*1.05,2)</f>
        <v>18084.15</v>
      </c>
      <c r="F299" s="6" t="s">
        <v>45</v>
      </c>
      <c r="G299" s="6" t="s">
        <v>30</v>
      </c>
      <c r="H299" s="6" t="n">
        <f aca="true">ROUND(RAND()*4+6,1)</f>
        <v>7.5</v>
      </c>
      <c r="I299" s="6" t="s">
        <v>46</v>
      </c>
      <c r="J299" s="6" t="str">
        <f aca="false">ROUND(86*1,0)&amp;"%"</f>
        <v>86%</v>
      </c>
    </row>
    <row r="300" customFormat="false" ht="15" hidden="false" customHeight="false" outlineLevel="0" collapsed="false">
      <c r="A300" s="5" t="s">
        <v>10562</v>
      </c>
      <c r="B300" s="5" t="s">
        <v>488</v>
      </c>
      <c r="C300" s="5" t="s">
        <v>95</v>
      </c>
      <c r="D300" s="5" t="s">
        <v>16</v>
      </c>
      <c r="E300" s="5" t="n">
        <f aca="false">ROUND(6987*1.05,2)</f>
        <v>7336.35</v>
      </c>
      <c r="F300" s="5" t="s">
        <v>49</v>
      </c>
      <c r="G300" s="5" t="s">
        <v>18</v>
      </c>
      <c r="H300" s="5" t="n">
        <f aca="true">ROUND(RAND()*4+6,1)</f>
        <v>9.2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10563</v>
      </c>
      <c r="B301" s="6" t="s">
        <v>490</v>
      </c>
      <c r="C301" s="6" t="s">
        <v>95</v>
      </c>
      <c r="D301" s="6" t="s">
        <v>22</v>
      </c>
      <c r="E301" s="6" t="n">
        <f aca="false">ROUND(7257*1.05,2)</f>
        <v>7619.85</v>
      </c>
      <c r="F301" s="6" t="s">
        <v>52</v>
      </c>
      <c r="G301" s="6" t="s">
        <v>24</v>
      </c>
      <c r="H301" s="6" t="n">
        <f aca="true">ROUND(RAND()*4+6,1)</f>
        <v>8.9</v>
      </c>
      <c r="I301" s="6" t="s">
        <v>25</v>
      </c>
      <c r="J301" s="6" t="str">
        <f aca="false">ROUND(61*1,0)&amp;"%"</f>
        <v>61%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10564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10565</v>
      </c>
      <c r="B306" s="5" t="s">
        <v>494</v>
      </c>
      <c r="C306" s="5" t="s">
        <v>114</v>
      </c>
      <c r="D306" s="5" t="s">
        <v>16</v>
      </c>
      <c r="E306" s="5" t="n">
        <f aca="false">ROUND(7241*1.05,2)</f>
        <v>7603.05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ROUND(85*1,0)&amp;"%"</f>
        <v>85%</v>
      </c>
    </row>
    <row r="307" customFormat="false" ht="15" hidden="false" customHeight="false" outlineLevel="0" collapsed="false">
      <c r="A307" s="6" t="s">
        <v>10566</v>
      </c>
      <c r="B307" s="6" t="s">
        <v>496</v>
      </c>
      <c r="C307" s="6" t="s">
        <v>114</v>
      </c>
      <c r="D307" s="6" t="s">
        <v>22</v>
      </c>
      <c r="E307" s="6" t="n">
        <f aca="false">ROUND(6566*1.05,2)</f>
        <v>6894.3</v>
      </c>
      <c r="F307" s="6" t="s">
        <v>23</v>
      </c>
      <c r="G307" s="6" t="s">
        <v>24</v>
      </c>
      <c r="H307" s="6" t="n">
        <f aca="true">ROUND(RAND()*4+6,1)</f>
        <v>7.9</v>
      </c>
      <c r="I307" s="6" t="s">
        <v>25</v>
      </c>
      <c r="J307" s="6" t="str">
        <f aca="false">ROUND(71*1,0)&amp;"%"</f>
        <v>71%</v>
      </c>
    </row>
    <row r="308" customFormat="false" ht="15" hidden="false" customHeight="false" outlineLevel="0" collapsed="false">
      <c r="A308" s="5" t="s">
        <v>10567</v>
      </c>
      <c r="B308" s="5" t="s">
        <v>498</v>
      </c>
      <c r="C308" s="5" t="s">
        <v>114</v>
      </c>
      <c r="D308" s="5" t="s">
        <v>28</v>
      </c>
      <c r="E308" s="5" t="n">
        <f aca="false">ROUND(14421*1.05,2)</f>
        <v>15142.05</v>
      </c>
      <c r="F308" s="5" t="s">
        <v>29</v>
      </c>
      <c r="G308" s="5" t="s">
        <v>30</v>
      </c>
      <c r="H308" s="5" t="n">
        <f aca="true">ROUND(RAND()*4+6,1)</f>
        <v>9.6</v>
      </c>
      <c r="I308" s="5" t="s">
        <v>31</v>
      </c>
      <c r="J308" s="5" t="str">
        <f aca="false">ROUND(97*1,0)&amp;"%"</f>
        <v>97%</v>
      </c>
    </row>
    <row r="309" customFormat="false" ht="15" hidden="false" customHeight="false" outlineLevel="0" collapsed="false">
      <c r="A309" s="6" t="s">
        <v>10568</v>
      </c>
      <c r="B309" s="6" t="s">
        <v>500</v>
      </c>
      <c r="C309" s="6" t="s">
        <v>114</v>
      </c>
      <c r="D309" s="6" t="s">
        <v>34</v>
      </c>
      <c r="E309" s="6" t="n">
        <f aca="false">ROUND(17254*1.05,2)</f>
        <v>18116.7</v>
      </c>
      <c r="F309" s="6" t="s">
        <v>35</v>
      </c>
      <c r="G309" s="6" t="s">
        <v>18</v>
      </c>
      <c r="H309" s="6" t="n">
        <f aca="true">ROUND(RAND()*4+6,1)</f>
        <v>6.7</v>
      </c>
      <c r="I309" s="6" t="s">
        <v>36</v>
      </c>
      <c r="J309" s="6" t="str">
        <f aca="false">ROUND(89*1,0)&amp;"%"</f>
        <v>89%</v>
      </c>
    </row>
    <row r="310" customFormat="false" ht="15" hidden="false" customHeight="false" outlineLevel="0" collapsed="false">
      <c r="A310" s="5" t="s">
        <v>10569</v>
      </c>
      <c r="B310" s="5" t="s">
        <v>502</v>
      </c>
      <c r="C310" s="5" t="s">
        <v>114</v>
      </c>
      <c r="D310" s="5" t="s">
        <v>39</v>
      </c>
      <c r="E310" s="5" t="n">
        <f aca="false">ROUND(8819*1.05,2)</f>
        <v>9259.95</v>
      </c>
      <c r="F310" s="5" t="s">
        <v>40</v>
      </c>
      <c r="G310" s="5" t="s">
        <v>24</v>
      </c>
      <c r="H310" s="5" t="n">
        <f aca="true">ROUND(RAND()*4+6,1)</f>
        <v>6.4</v>
      </c>
      <c r="I310" s="5" t="s">
        <v>41</v>
      </c>
      <c r="J310" s="5" t="str">
        <f aca="false">ROUND(66*1,0)&amp;"%"</f>
        <v>66%</v>
      </c>
    </row>
    <row r="311" customFormat="false" ht="15" hidden="false" customHeight="false" outlineLevel="0" collapsed="false">
      <c r="A311" s="6" t="s">
        <v>10570</v>
      </c>
      <c r="B311" s="6" t="s">
        <v>504</v>
      </c>
      <c r="C311" s="6" t="s">
        <v>114</v>
      </c>
      <c r="D311" s="6" t="s">
        <v>44</v>
      </c>
      <c r="E311" s="6" t="n">
        <f aca="false">ROUND(6390*1.05,2)</f>
        <v>6709.5</v>
      </c>
      <c r="F311" s="6" t="s">
        <v>45</v>
      </c>
      <c r="G311" s="6" t="s">
        <v>30</v>
      </c>
      <c r="H311" s="6" t="n">
        <f aca="true">ROUND(RAND()*4+6,1)</f>
        <v>9.8</v>
      </c>
      <c r="I311" s="6" t="s">
        <v>46</v>
      </c>
      <c r="J311" s="6" t="str">
        <f aca="false">ROUND(95*1,0)&amp;"%"</f>
        <v>95%</v>
      </c>
    </row>
    <row r="312" customFormat="false" ht="15" hidden="false" customHeight="false" outlineLevel="0" collapsed="false">
      <c r="A312" s="5" t="s">
        <v>10571</v>
      </c>
      <c r="B312" s="5" t="s">
        <v>506</v>
      </c>
      <c r="C312" s="5" t="s">
        <v>114</v>
      </c>
      <c r="D312" s="5" t="s">
        <v>16</v>
      </c>
      <c r="E312" s="5" t="n">
        <f aca="false">ROUND(8278*1.05,2)</f>
        <v>8691.9</v>
      </c>
      <c r="F312" s="5" t="s">
        <v>49</v>
      </c>
      <c r="G312" s="5" t="s">
        <v>18</v>
      </c>
      <c r="H312" s="5" t="n">
        <f aca="true">ROUND(RAND()*4+6,1)</f>
        <v>8.9</v>
      </c>
      <c r="I312" s="5" t="s">
        <v>19</v>
      </c>
      <c r="J312" s="5" t="str">
        <f aca="false">ROUND(82*1,0)&amp;"%"</f>
        <v>82%</v>
      </c>
    </row>
    <row r="313" customFormat="false" ht="15" hidden="false" customHeight="false" outlineLevel="0" collapsed="false">
      <c r="A313" s="6" t="s">
        <v>10572</v>
      </c>
      <c r="B313" s="6" t="s">
        <v>508</v>
      </c>
      <c r="C313" s="6" t="s">
        <v>114</v>
      </c>
      <c r="D313" s="6" t="s">
        <v>22</v>
      </c>
      <c r="E313" s="6" t="n">
        <f aca="false">ROUND(6873*1.05,2)</f>
        <v>7216.65</v>
      </c>
      <c r="F313" s="6" t="s">
        <v>52</v>
      </c>
      <c r="G313" s="6" t="s">
        <v>24</v>
      </c>
      <c r="H313" s="6" t="n">
        <f aca="true">ROUND(RAND()*4+6,1)</f>
        <v>6.8</v>
      </c>
      <c r="I313" s="6" t="s">
        <v>25</v>
      </c>
      <c r="J313" s="6" t="str">
        <f aca="false">ROUND(88*1,0)&amp;"%"</f>
        <v>88%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10573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10574</v>
      </c>
      <c r="B318" s="5" t="s">
        <v>512</v>
      </c>
      <c r="C318" s="5" t="s">
        <v>133</v>
      </c>
      <c r="D318" s="5" t="s">
        <v>16</v>
      </c>
      <c r="E318" s="5" t="n">
        <f aca="false">ROUND(17165*1.05,2)</f>
        <v>18023.25</v>
      </c>
      <c r="F318" s="5" t="s">
        <v>17</v>
      </c>
      <c r="G318" s="5" t="s">
        <v>18</v>
      </c>
      <c r="H318" s="5" t="n">
        <f aca="true">ROUND(RAND()*4+6,1)</f>
        <v>6.4</v>
      </c>
      <c r="I318" s="5" t="s">
        <v>19</v>
      </c>
      <c r="J318" s="5" t="str">
        <f aca="false">ROUND(64*1,0)&amp;"%"</f>
        <v>64%</v>
      </c>
    </row>
    <row r="319" customFormat="false" ht="15" hidden="false" customHeight="false" outlineLevel="0" collapsed="false">
      <c r="A319" s="6" t="s">
        <v>10575</v>
      </c>
      <c r="B319" s="6" t="s">
        <v>514</v>
      </c>
      <c r="C319" s="6" t="s">
        <v>133</v>
      </c>
      <c r="D319" s="6" t="s">
        <v>22</v>
      </c>
      <c r="E319" s="6" t="n">
        <f aca="false">ROUND(5451*1.05,2)</f>
        <v>5723.55</v>
      </c>
      <c r="F319" s="6" t="s">
        <v>23</v>
      </c>
      <c r="G319" s="6" t="s">
        <v>24</v>
      </c>
      <c r="H319" s="6" t="n">
        <f aca="true">ROUND(RAND()*4+6,1)</f>
        <v>8.9</v>
      </c>
      <c r="I319" s="6" t="s">
        <v>25</v>
      </c>
      <c r="J319" s="6" t="str">
        <f aca="false">ROUND(83*1,0)&amp;"%"</f>
        <v>83%</v>
      </c>
    </row>
    <row r="320" customFormat="false" ht="15" hidden="false" customHeight="false" outlineLevel="0" collapsed="false">
      <c r="A320" s="5" t="s">
        <v>10576</v>
      </c>
      <c r="B320" s="5" t="s">
        <v>516</v>
      </c>
      <c r="C320" s="5" t="s">
        <v>133</v>
      </c>
      <c r="D320" s="5" t="s">
        <v>28</v>
      </c>
      <c r="E320" s="5" t="n">
        <f aca="false">ROUND(7230*1.05,2)</f>
        <v>7591.5</v>
      </c>
      <c r="F320" s="5" t="s">
        <v>29</v>
      </c>
      <c r="G320" s="5" t="s">
        <v>30</v>
      </c>
      <c r="H320" s="5" t="n">
        <f aca="true">ROUND(RAND()*4+6,1)</f>
        <v>7</v>
      </c>
      <c r="I320" s="5" t="s">
        <v>31</v>
      </c>
      <c r="J320" s="5" t="str">
        <f aca="false">ROUND(88*1,0)&amp;"%"</f>
        <v>88%</v>
      </c>
    </row>
    <row r="321" customFormat="false" ht="15" hidden="false" customHeight="false" outlineLevel="0" collapsed="false">
      <c r="A321" s="6" t="s">
        <v>10577</v>
      </c>
      <c r="B321" s="6" t="s">
        <v>518</v>
      </c>
      <c r="C321" s="6" t="s">
        <v>133</v>
      </c>
      <c r="D321" s="6" t="s">
        <v>34</v>
      </c>
      <c r="E321" s="6" t="n">
        <f aca="false">ROUND(7510*1.05,2)</f>
        <v>7885.5</v>
      </c>
      <c r="F321" s="6" t="s">
        <v>35</v>
      </c>
      <c r="G321" s="6" t="s">
        <v>18</v>
      </c>
      <c r="H321" s="6" t="n">
        <f aca="true">ROUND(RAND()*4+6,1)</f>
        <v>8.1</v>
      </c>
      <c r="I321" s="6" t="s">
        <v>36</v>
      </c>
      <c r="J321" s="6" t="str">
        <f aca="false">ROUND(96*1,0)&amp;"%"</f>
        <v>96%</v>
      </c>
    </row>
    <row r="322" customFormat="false" ht="15" hidden="false" customHeight="false" outlineLevel="0" collapsed="false">
      <c r="A322" s="5" t="s">
        <v>10578</v>
      </c>
      <c r="B322" s="5" t="s">
        <v>520</v>
      </c>
      <c r="C322" s="5" t="s">
        <v>133</v>
      </c>
      <c r="D322" s="5" t="s">
        <v>39</v>
      </c>
      <c r="E322" s="5" t="n">
        <f aca="false">ROUND(6587*1.05,2)</f>
        <v>6916.35</v>
      </c>
      <c r="F322" s="5" t="s">
        <v>40</v>
      </c>
      <c r="G322" s="5" t="s">
        <v>24</v>
      </c>
      <c r="H322" s="5" t="n">
        <f aca="true">ROUND(RAND()*4+6,1)</f>
        <v>9.9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10579</v>
      </c>
      <c r="B323" s="6" t="s">
        <v>522</v>
      </c>
      <c r="C323" s="6" t="s">
        <v>133</v>
      </c>
      <c r="D323" s="6" t="s">
        <v>44</v>
      </c>
      <c r="E323" s="6" t="n">
        <f aca="false">ROUND(10493*1.05,2)</f>
        <v>11017.65</v>
      </c>
      <c r="F323" s="6" t="s">
        <v>45</v>
      </c>
      <c r="G323" s="6" t="s">
        <v>30</v>
      </c>
      <c r="H323" s="6" t="n">
        <f aca="true">ROUND(RAND()*4+6,1)</f>
        <v>8.1</v>
      </c>
      <c r="I323" s="6" t="s">
        <v>46</v>
      </c>
      <c r="J323" s="6" t="str">
        <f aca="false">ROUND(94*1,0)&amp;"%"</f>
        <v>94%</v>
      </c>
    </row>
    <row r="324" customFormat="false" ht="15" hidden="false" customHeight="false" outlineLevel="0" collapsed="false">
      <c r="A324" s="5" t="s">
        <v>10580</v>
      </c>
      <c r="B324" s="5" t="s">
        <v>524</v>
      </c>
      <c r="C324" s="5" t="s">
        <v>133</v>
      </c>
      <c r="D324" s="5" t="s">
        <v>16</v>
      </c>
      <c r="E324" s="5" t="n">
        <f aca="false">ROUND(14487*1.05,2)</f>
        <v>15211.35</v>
      </c>
      <c r="F324" s="5" t="s">
        <v>49</v>
      </c>
      <c r="G324" s="5" t="s">
        <v>18</v>
      </c>
      <c r="H324" s="5" t="n">
        <f aca="true">ROUND(RAND()*4+6,1)</f>
        <v>7.8</v>
      </c>
      <c r="I324" s="5" t="s">
        <v>19</v>
      </c>
      <c r="J324" s="5" t="str">
        <f aca="false">ROUND(83*1,0)&amp;"%"</f>
        <v>83%</v>
      </c>
    </row>
    <row r="325" customFormat="false" ht="15" hidden="false" customHeight="false" outlineLevel="0" collapsed="false">
      <c r="A325" s="6" t="s">
        <v>10581</v>
      </c>
      <c r="B325" s="6" t="s">
        <v>526</v>
      </c>
      <c r="C325" s="6" t="s">
        <v>133</v>
      </c>
      <c r="D325" s="6" t="s">
        <v>22</v>
      </c>
      <c r="E325" s="6" t="n">
        <f aca="false">ROUND(6736*1.05,2)</f>
        <v>7072.8</v>
      </c>
      <c r="F325" s="6" t="s">
        <v>52</v>
      </c>
      <c r="G325" s="6" t="s">
        <v>24</v>
      </c>
      <c r="H325" s="6" t="n">
        <f aca="true">ROUND(RAND()*4+6,1)</f>
        <v>9.7</v>
      </c>
      <c r="I325" s="6" t="s">
        <v>25</v>
      </c>
      <c r="J325" s="6" t="str">
        <f aca="false">ROUND(72*1,0)&amp;"%"</f>
        <v>72%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10582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10583</v>
      </c>
      <c r="B330" s="5" t="s">
        <v>530</v>
      </c>
      <c r="C330" s="5" t="s">
        <v>152</v>
      </c>
      <c r="D330" s="5" t="s">
        <v>16</v>
      </c>
      <c r="E330" s="5" t="n">
        <f aca="false">ROUND(7822*1.05,2)</f>
        <v>8213.1</v>
      </c>
      <c r="F330" s="5" t="s">
        <v>17</v>
      </c>
      <c r="G330" s="5" t="s">
        <v>18</v>
      </c>
      <c r="H330" s="5" t="n">
        <f aca="true">ROUND(RAND()*4+6,1)</f>
        <v>9.8</v>
      </c>
      <c r="I330" s="5" t="s">
        <v>19</v>
      </c>
      <c r="J330" s="5" t="str">
        <f aca="false">ROUND(95*1,0)&amp;"%"</f>
        <v>95%</v>
      </c>
    </row>
    <row r="331" customFormat="false" ht="15" hidden="false" customHeight="false" outlineLevel="0" collapsed="false">
      <c r="A331" s="6" t="s">
        <v>10584</v>
      </c>
      <c r="B331" s="6" t="s">
        <v>532</v>
      </c>
      <c r="C331" s="6" t="s">
        <v>152</v>
      </c>
      <c r="D331" s="6" t="s">
        <v>22</v>
      </c>
      <c r="E331" s="6" t="n">
        <f aca="false">ROUND(13416*1.05,2)</f>
        <v>14086.8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ROUND(96*1,0)&amp;"%"</f>
        <v>96%</v>
      </c>
    </row>
    <row r="332" customFormat="false" ht="15" hidden="false" customHeight="false" outlineLevel="0" collapsed="false">
      <c r="A332" s="5" t="s">
        <v>10585</v>
      </c>
      <c r="B332" s="5" t="s">
        <v>534</v>
      </c>
      <c r="C332" s="5" t="s">
        <v>152</v>
      </c>
      <c r="D332" s="5" t="s">
        <v>28</v>
      </c>
      <c r="E332" s="5" t="n">
        <f aca="false">ROUND(10401*1.05,2)</f>
        <v>10921.05</v>
      </c>
      <c r="F332" s="5" t="s">
        <v>29</v>
      </c>
      <c r="G332" s="5" t="s">
        <v>30</v>
      </c>
      <c r="H332" s="5" t="n">
        <f aca="true">ROUND(RAND()*4+6,1)</f>
        <v>6.6</v>
      </c>
      <c r="I332" s="5" t="s">
        <v>31</v>
      </c>
      <c r="J332" s="5" t="str">
        <f aca="false">ROUND(88*1,0)&amp;"%"</f>
        <v>88%</v>
      </c>
    </row>
    <row r="333" customFormat="false" ht="15" hidden="false" customHeight="false" outlineLevel="0" collapsed="false">
      <c r="A333" s="6" t="s">
        <v>10586</v>
      </c>
      <c r="B333" s="6" t="s">
        <v>536</v>
      </c>
      <c r="C333" s="6" t="s">
        <v>152</v>
      </c>
      <c r="D333" s="6" t="s">
        <v>34</v>
      </c>
      <c r="E333" s="6" t="n">
        <f aca="false">ROUND(16908*1.05,2)</f>
        <v>17753.4</v>
      </c>
      <c r="F333" s="6" t="s">
        <v>35</v>
      </c>
      <c r="G333" s="6" t="s">
        <v>18</v>
      </c>
      <c r="H333" s="6" t="n">
        <f aca="true">ROUND(RAND()*4+6,1)</f>
        <v>7.4</v>
      </c>
      <c r="I333" s="6" t="s">
        <v>36</v>
      </c>
      <c r="J333" s="6" t="str">
        <f aca="false">ROUND(96*1,0)&amp;"%"</f>
        <v>96%</v>
      </c>
    </row>
    <row r="334" customFormat="false" ht="15" hidden="false" customHeight="false" outlineLevel="0" collapsed="false">
      <c r="A334" s="5" t="s">
        <v>10587</v>
      </c>
      <c r="B334" s="5" t="s">
        <v>538</v>
      </c>
      <c r="C334" s="5" t="s">
        <v>152</v>
      </c>
      <c r="D334" s="5" t="s">
        <v>39</v>
      </c>
      <c r="E334" s="5" t="n">
        <f aca="false">ROUND(12632*1.05,2)</f>
        <v>13263.6</v>
      </c>
      <c r="F334" s="5" t="s">
        <v>40</v>
      </c>
      <c r="G334" s="5" t="s">
        <v>24</v>
      </c>
      <c r="H334" s="5" t="n">
        <f aca="true">ROUND(RAND()*4+6,1)</f>
        <v>10</v>
      </c>
      <c r="I334" s="5" t="s">
        <v>41</v>
      </c>
      <c r="J334" s="5" t="str">
        <f aca="false">ROUND(87*1,0)&amp;"%"</f>
        <v>87%</v>
      </c>
    </row>
    <row r="335" customFormat="false" ht="15" hidden="false" customHeight="false" outlineLevel="0" collapsed="false">
      <c r="A335" s="6" t="s">
        <v>10588</v>
      </c>
      <c r="B335" s="6" t="s">
        <v>540</v>
      </c>
      <c r="C335" s="6" t="s">
        <v>152</v>
      </c>
      <c r="D335" s="6" t="s">
        <v>44</v>
      </c>
      <c r="E335" s="6" t="n">
        <f aca="false">ROUND(6597*1.05,2)</f>
        <v>6926.85</v>
      </c>
      <c r="F335" s="6" t="s">
        <v>45</v>
      </c>
      <c r="G335" s="6" t="s">
        <v>30</v>
      </c>
      <c r="H335" s="6" t="n">
        <f aca="true">ROUND(RAND()*4+6,1)</f>
        <v>8.7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10589</v>
      </c>
      <c r="B336" s="5" t="s">
        <v>542</v>
      </c>
      <c r="C336" s="5" t="s">
        <v>152</v>
      </c>
      <c r="D336" s="5" t="s">
        <v>16</v>
      </c>
      <c r="E336" s="5" t="n">
        <f aca="false">ROUND(15788*1.05,2)</f>
        <v>16577.4</v>
      </c>
      <c r="F336" s="5" t="s">
        <v>49</v>
      </c>
      <c r="G336" s="5" t="s">
        <v>18</v>
      </c>
      <c r="H336" s="5" t="n">
        <f aca="true">ROUND(RAND()*4+6,1)</f>
        <v>9.6</v>
      </c>
      <c r="I336" s="5" t="s">
        <v>19</v>
      </c>
      <c r="J336" s="5" t="str">
        <f aca="false">ROUND(88*1,0)&amp;"%"</f>
        <v>88%</v>
      </c>
    </row>
    <row r="337" customFormat="false" ht="15" hidden="false" customHeight="false" outlineLevel="0" collapsed="false">
      <c r="A337" s="6" t="s">
        <v>10590</v>
      </c>
      <c r="B337" s="6" t="s">
        <v>544</v>
      </c>
      <c r="C337" s="6" t="s">
        <v>152</v>
      </c>
      <c r="D337" s="6" t="s">
        <v>22</v>
      </c>
      <c r="E337" s="6" t="n">
        <f aca="false">ROUND(17200*1.05,2)</f>
        <v>18060</v>
      </c>
      <c r="F337" s="6" t="s">
        <v>52</v>
      </c>
      <c r="G337" s="6" t="s">
        <v>24</v>
      </c>
      <c r="H337" s="6" t="n">
        <f aca="true">ROUND(RAND()*4+6,1)</f>
        <v>8.5</v>
      </c>
      <c r="I337" s="6" t="s">
        <v>25</v>
      </c>
      <c r="J337" s="6" t="str">
        <f aca="false">ROUND(92*1,0)&amp;"%"</f>
        <v>92%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10591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10592</v>
      </c>
      <c r="B342" s="5" t="s">
        <v>548</v>
      </c>
      <c r="C342" s="5" t="s">
        <v>15</v>
      </c>
      <c r="D342" s="5" t="s">
        <v>16</v>
      </c>
      <c r="E342" s="5" t="n">
        <f aca="false">ROUND(13115*1.05,2)</f>
        <v>13770.75</v>
      </c>
      <c r="F342" s="5" t="s">
        <v>17</v>
      </c>
      <c r="G342" s="5" t="s">
        <v>18</v>
      </c>
      <c r="H342" s="5" t="n">
        <f aca="true">ROUND(RAND()*4+6,1)</f>
        <v>9.5</v>
      </c>
      <c r="I342" s="5" t="s">
        <v>19</v>
      </c>
      <c r="J342" s="5" t="str">
        <f aca="false">ROUND(67*1,0)&amp;"%"</f>
        <v>67%</v>
      </c>
    </row>
    <row r="343" customFormat="false" ht="15" hidden="false" customHeight="false" outlineLevel="0" collapsed="false">
      <c r="A343" s="6" t="s">
        <v>10593</v>
      </c>
      <c r="B343" s="6" t="s">
        <v>550</v>
      </c>
      <c r="C343" s="6" t="s">
        <v>15</v>
      </c>
      <c r="D343" s="6" t="s">
        <v>22</v>
      </c>
      <c r="E343" s="6" t="n">
        <f aca="false">ROUND(12243*1.05,2)</f>
        <v>12855.15</v>
      </c>
      <c r="F343" s="6" t="s">
        <v>23</v>
      </c>
      <c r="G343" s="6" t="s">
        <v>24</v>
      </c>
      <c r="H343" s="6" t="n">
        <f aca="true">ROUND(RAND()*4+6,1)</f>
        <v>9.7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10594</v>
      </c>
      <c r="B344" s="5" t="s">
        <v>552</v>
      </c>
      <c r="C344" s="5" t="s">
        <v>15</v>
      </c>
      <c r="D344" s="5" t="s">
        <v>28</v>
      </c>
      <c r="E344" s="5" t="n">
        <f aca="false">ROUND(12609*1.05,2)</f>
        <v>13239.45</v>
      </c>
      <c r="F344" s="5" t="s">
        <v>29</v>
      </c>
      <c r="G344" s="5" t="s">
        <v>30</v>
      </c>
      <c r="H344" s="5" t="n">
        <f aca="true">ROUND(RAND()*4+6,1)</f>
        <v>6.3</v>
      </c>
      <c r="I344" s="5" t="s">
        <v>31</v>
      </c>
      <c r="J344" s="5" t="str">
        <f aca="false">ROUND(65*1,0)&amp;"%"</f>
        <v>65%</v>
      </c>
    </row>
    <row r="345" customFormat="false" ht="15" hidden="false" customHeight="false" outlineLevel="0" collapsed="false">
      <c r="A345" s="6" t="s">
        <v>10595</v>
      </c>
      <c r="B345" s="6" t="s">
        <v>554</v>
      </c>
      <c r="C345" s="6" t="s">
        <v>15</v>
      </c>
      <c r="D345" s="6" t="s">
        <v>34</v>
      </c>
      <c r="E345" s="6" t="n">
        <f aca="false">ROUND(8223*1.05,2)</f>
        <v>8634.15</v>
      </c>
      <c r="F345" s="6" t="s">
        <v>35</v>
      </c>
      <c r="G345" s="6" t="s">
        <v>18</v>
      </c>
      <c r="H345" s="6" t="n">
        <f aca="true">ROUND(RAND()*4+6,1)</f>
        <v>8.3</v>
      </c>
      <c r="I345" s="6" t="s">
        <v>36</v>
      </c>
      <c r="J345" s="6" t="str">
        <f aca="false">ROUND(74*1,0)&amp;"%"</f>
        <v>74%</v>
      </c>
    </row>
    <row r="346" customFormat="false" ht="15" hidden="false" customHeight="false" outlineLevel="0" collapsed="false">
      <c r="A346" s="5" t="s">
        <v>10596</v>
      </c>
      <c r="B346" s="5" t="s">
        <v>556</v>
      </c>
      <c r="C346" s="5" t="s">
        <v>15</v>
      </c>
      <c r="D346" s="5" t="s">
        <v>39</v>
      </c>
      <c r="E346" s="5" t="n">
        <f aca="false">ROUND(6182*1.05,2)</f>
        <v>6491.1</v>
      </c>
      <c r="F346" s="5" t="s">
        <v>40</v>
      </c>
      <c r="G346" s="5" t="s">
        <v>24</v>
      </c>
      <c r="H346" s="5" t="n">
        <f aca="true">ROUND(RAND()*4+6,1)</f>
        <v>8.3</v>
      </c>
      <c r="I346" s="5" t="s">
        <v>41</v>
      </c>
      <c r="J346" s="5" t="str">
        <f aca="false">ROUND(70*1,0)&amp;"%"</f>
        <v>70%</v>
      </c>
    </row>
    <row r="347" customFormat="false" ht="15" hidden="false" customHeight="false" outlineLevel="0" collapsed="false">
      <c r="A347" s="6" t="s">
        <v>10597</v>
      </c>
      <c r="B347" s="6" t="s">
        <v>558</v>
      </c>
      <c r="C347" s="6" t="s">
        <v>15</v>
      </c>
      <c r="D347" s="6" t="s">
        <v>44</v>
      </c>
      <c r="E347" s="6" t="n">
        <f aca="false">ROUND(8861*1.05,2)</f>
        <v>9304.05</v>
      </c>
      <c r="F347" s="6" t="s">
        <v>45</v>
      </c>
      <c r="G347" s="6" t="s">
        <v>30</v>
      </c>
      <c r="H347" s="6" t="n">
        <f aca="true">ROUND(RAND()*4+6,1)</f>
        <v>6.4</v>
      </c>
      <c r="I347" s="6" t="s">
        <v>46</v>
      </c>
      <c r="J347" s="6" t="str">
        <f aca="false">ROUND(96*1,0)&amp;"%"</f>
        <v>96%</v>
      </c>
    </row>
    <row r="348" customFormat="false" ht="15" hidden="false" customHeight="false" outlineLevel="0" collapsed="false">
      <c r="A348" s="5" t="s">
        <v>10598</v>
      </c>
      <c r="B348" s="5" t="s">
        <v>560</v>
      </c>
      <c r="C348" s="5" t="s">
        <v>15</v>
      </c>
      <c r="D348" s="5" t="s">
        <v>16</v>
      </c>
      <c r="E348" s="5" t="n">
        <f aca="false">ROUND(12333*1.05,2)</f>
        <v>12949.65</v>
      </c>
      <c r="F348" s="5" t="s">
        <v>49</v>
      </c>
      <c r="G348" s="5" t="s">
        <v>18</v>
      </c>
      <c r="H348" s="5" t="n">
        <f aca="true">ROUND(RAND()*4+6,1)</f>
        <v>8.4</v>
      </c>
      <c r="I348" s="5" t="s">
        <v>19</v>
      </c>
      <c r="J348" s="5" t="str">
        <f aca="false">ROUND(85*1,0)&amp;"%"</f>
        <v>85%</v>
      </c>
    </row>
    <row r="349" customFormat="false" ht="15" hidden="false" customHeight="false" outlineLevel="0" collapsed="false">
      <c r="A349" s="6" t="s">
        <v>10599</v>
      </c>
      <c r="B349" s="6" t="s">
        <v>562</v>
      </c>
      <c r="C349" s="6" t="s">
        <v>15</v>
      </c>
      <c r="D349" s="6" t="s">
        <v>22</v>
      </c>
      <c r="E349" s="6" t="n">
        <f aca="false">ROUND(14837*1.05,2)</f>
        <v>15578.85</v>
      </c>
      <c r="F349" s="6" t="s">
        <v>52</v>
      </c>
      <c r="G349" s="6" t="s">
        <v>24</v>
      </c>
      <c r="H349" s="6" t="n">
        <f aca="true">ROUND(RAND()*4+6,1)</f>
        <v>7.7</v>
      </c>
      <c r="I349" s="6" t="s">
        <v>25</v>
      </c>
      <c r="J349" s="6" t="str">
        <f aca="false">ROUND(91*1,0)&amp;"%"</f>
        <v>91%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10600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10601</v>
      </c>
      <c r="B354" s="5" t="s">
        <v>566</v>
      </c>
      <c r="C354" s="5" t="s">
        <v>57</v>
      </c>
      <c r="D354" s="5" t="s">
        <v>16</v>
      </c>
      <c r="E354" s="5" t="n">
        <f aca="false">ROUND(13434*1.05,2)</f>
        <v>14105.7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ROUND(98*1,0)&amp;"%"</f>
        <v>98%</v>
      </c>
    </row>
    <row r="355" customFormat="false" ht="15" hidden="false" customHeight="false" outlineLevel="0" collapsed="false">
      <c r="A355" s="6" t="s">
        <v>10602</v>
      </c>
      <c r="B355" s="6" t="s">
        <v>568</v>
      </c>
      <c r="C355" s="6" t="s">
        <v>57</v>
      </c>
      <c r="D355" s="6" t="s">
        <v>22</v>
      </c>
      <c r="E355" s="6" t="n">
        <f aca="false">ROUND(5498*1.05,2)</f>
        <v>5772.9</v>
      </c>
      <c r="F355" s="6" t="s">
        <v>23</v>
      </c>
      <c r="G355" s="6" t="s">
        <v>24</v>
      </c>
      <c r="H355" s="6" t="n">
        <f aca="true">ROUND(RAND()*4+6,1)</f>
        <v>9.5</v>
      </c>
      <c r="I355" s="6" t="s">
        <v>25</v>
      </c>
      <c r="J355" s="6" t="str">
        <f aca="false">ROUND(73*1,0)&amp;"%"</f>
        <v>73%</v>
      </c>
    </row>
    <row r="356" customFormat="false" ht="15" hidden="false" customHeight="false" outlineLevel="0" collapsed="false">
      <c r="A356" s="5" t="s">
        <v>10603</v>
      </c>
      <c r="B356" s="5" t="s">
        <v>570</v>
      </c>
      <c r="C356" s="5" t="s">
        <v>57</v>
      </c>
      <c r="D356" s="5" t="s">
        <v>28</v>
      </c>
      <c r="E356" s="5" t="n">
        <f aca="false">ROUND(9551*1.05,2)</f>
        <v>10028.55</v>
      </c>
      <c r="F356" s="5" t="s">
        <v>29</v>
      </c>
      <c r="G356" s="5" t="s">
        <v>30</v>
      </c>
      <c r="H356" s="5" t="n">
        <f aca="true">ROUND(RAND()*4+6,1)</f>
        <v>9.2</v>
      </c>
      <c r="I356" s="5" t="s">
        <v>31</v>
      </c>
      <c r="J356" s="5" t="str">
        <f aca="false">ROUND(73*1,0)&amp;"%"</f>
        <v>73%</v>
      </c>
    </row>
    <row r="357" customFormat="false" ht="15" hidden="false" customHeight="false" outlineLevel="0" collapsed="false">
      <c r="A357" s="6" t="s">
        <v>10604</v>
      </c>
      <c r="B357" s="6" t="s">
        <v>572</v>
      </c>
      <c r="C357" s="6" t="s">
        <v>57</v>
      </c>
      <c r="D357" s="6" t="s">
        <v>34</v>
      </c>
      <c r="E357" s="6" t="n">
        <f aca="false">ROUND(7643*1.05,2)</f>
        <v>8025.15</v>
      </c>
      <c r="F357" s="6" t="s">
        <v>35</v>
      </c>
      <c r="G357" s="6" t="s">
        <v>18</v>
      </c>
      <c r="H357" s="6" t="n">
        <f aca="true">ROUND(RAND()*4+6,1)</f>
        <v>8</v>
      </c>
      <c r="I357" s="6" t="s">
        <v>36</v>
      </c>
      <c r="J357" s="6" t="str">
        <f aca="false">ROUND(63*1,0)&amp;"%"</f>
        <v>63%</v>
      </c>
    </row>
    <row r="358" customFormat="false" ht="15" hidden="false" customHeight="false" outlineLevel="0" collapsed="false">
      <c r="A358" s="5" t="s">
        <v>10605</v>
      </c>
      <c r="B358" s="5" t="s">
        <v>574</v>
      </c>
      <c r="C358" s="5" t="s">
        <v>57</v>
      </c>
      <c r="D358" s="5" t="s">
        <v>39</v>
      </c>
      <c r="E358" s="5" t="n">
        <f aca="false">ROUND(8689*1.05,2)</f>
        <v>9123.45</v>
      </c>
      <c r="F358" s="5" t="s">
        <v>40</v>
      </c>
      <c r="G358" s="5" t="s">
        <v>24</v>
      </c>
      <c r="H358" s="5" t="n">
        <f aca="true">ROUND(RAND()*4+6,1)</f>
        <v>7.6</v>
      </c>
      <c r="I358" s="5" t="s">
        <v>41</v>
      </c>
      <c r="J358" s="5" t="str">
        <f aca="false">ROUND(73*1,0)&amp;"%"</f>
        <v>73%</v>
      </c>
    </row>
    <row r="359" customFormat="false" ht="15" hidden="false" customHeight="false" outlineLevel="0" collapsed="false">
      <c r="A359" s="6" t="s">
        <v>10606</v>
      </c>
      <c r="B359" s="6" t="s">
        <v>576</v>
      </c>
      <c r="C359" s="6" t="s">
        <v>57</v>
      </c>
      <c r="D359" s="6" t="s">
        <v>44</v>
      </c>
      <c r="E359" s="6" t="n">
        <f aca="false">ROUND(9897*1.05,2)</f>
        <v>10391.85</v>
      </c>
      <c r="F359" s="6" t="s">
        <v>45</v>
      </c>
      <c r="G359" s="6" t="s">
        <v>30</v>
      </c>
      <c r="H359" s="6" t="n">
        <f aca="true">ROUND(RAND()*4+6,1)</f>
        <v>6.4</v>
      </c>
      <c r="I359" s="6" t="s">
        <v>46</v>
      </c>
      <c r="J359" s="6" t="str">
        <f aca="false">ROUND(60*1,0)&amp;"%"</f>
        <v>60%</v>
      </c>
    </row>
    <row r="360" customFormat="false" ht="15" hidden="false" customHeight="false" outlineLevel="0" collapsed="false">
      <c r="A360" s="5" t="s">
        <v>10607</v>
      </c>
      <c r="B360" s="5" t="s">
        <v>578</v>
      </c>
      <c r="C360" s="5" t="s">
        <v>57</v>
      </c>
      <c r="D360" s="5" t="s">
        <v>16</v>
      </c>
      <c r="E360" s="5" t="n">
        <f aca="false">ROUND(8440*1.05,2)</f>
        <v>8862</v>
      </c>
      <c r="F360" s="5" t="s">
        <v>49</v>
      </c>
      <c r="G360" s="5" t="s">
        <v>18</v>
      </c>
      <c r="H360" s="5" t="n">
        <f aca="true">ROUND(RAND()*4+6,1)</f>
        <v>6.2</v>
      </c>
      <c r="I360" s="5" t="s">
        <v>19</v>
      </c>
      <c r="J360" s="5" t="str">
        <f aca="false">ROUND(64*1,0)&amp;"%"</f>
        <v>64%</v>
      </c>
    </row>
    <row r="361" customFormat="false" ht="15" hidden="false" customHeight="false" outlineLevel="0" collapsed="false">
      <c r="A361" s="6" t="s">
        <v>10608</v>
      </c>
      <c r="B361" s="6" t="s">
        <v>580</v>
      </c>
      <c r="C361" s="6" t="s">
        <v>57</v>
      </c>
      <c r="D361" s="6" t="s">
        <v>22</v>
      </c>
      <c r="E361" s="6" t="n">
        <f aca="false">ROUND(11648*1.05,2)</f>
        <v>12230.4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ROUND(97*1,0)&amp;"%"</f>
        <v>97%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10609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10610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10611</v>
      </c>
      <c r="B6" s="5" t="s">
        <v>14</v>
      </c>
      <c r="C6" s="5" t="s">
        <v>15</v>
      </c>
      <c r="D6" s="5" t="s">
        <v>16</v>
      </c>
      <c r="E6" s="5" t="n">
        <f aca="false">ROUND(17935*1.05,2)</f>
        <v>18831.75</v>
      </c>
      <c r="F6" s="5" t="s">
        <v>17</v>
      </c>
      <c r="G6" s="5" t="s">
        <v>18</v>
      </c>
      <c r="H6" s="5" t="n">
        <f aca="true">ROUND(RAND()*4+6,1)</f>
        <v>8.6</v>
      </c>
      <c r="I6" s="5" t="s">
        <v>19</v>
      </c>
      <c r="J6" s="5" t="str">
        <f aca="false">ROUND(94*1,0)&amp;"%"</f>
        <v>94%</v>
      </c>
    </row>
    <row r="7" customFormat="false" ht="15" hidden="false" customHeight="false" outlineLevel="0" collapsed="false">
      <c r="A7" s="6" t="s">
        <v>10612</v>
      </c>
      <c r="B7" s="6" t="s">
        <v>21</v>
      </c>
      <c r="C7" s="6" t="s">
        <v>15</v>
      </c>
      <c r="D7" s="6" t="s">
        <v>22</v>
      </c>
      <c r="E7" s="6" t="n">
        <f aca="false">ROUND(16018*1.05,2)</f>
        <v>16818.9</v>
      </c>
      <c r="F7" s="6" t="s">
        <v>23</v>
      </c>
      <c r="G7" s="6" t="s">
        <v>24</v>
      </c>
      <c r="H7" s="6" t="n">
        <f aca="true">ROUND(RAND()*4+6,1)</f>
        <v>7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10613</v>
      </c>
      <c r="B8" s="5" t="s">
        <v>27</v>
      </c>
      <c r="C8" s="5" t="s">
        <v>15</v>
      </c>
      <c r="D8" s="5" t="s">
        <v>28</v>
      </c>
      <c r="E8" s="5" t="n">
        <f aca="false">ROUND(9857*1.05,2)</f>
        <v>10349.85</v>
      </c>
      <c r="F8" s="5" t="s">
        <v>29</v>
      </c>
      <c r="G8" s="5" t="s">
        <v>30</v>
      </c>
      <c r="H8" s="5" t="n">
        <f aca="true">ROUND(RAND()*4+6,1)</f>
        <v>8.8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10614</v>
      </c>
      <c r="B9" s="6" t="s">
        <v>33</v>
      </c>
      <c r="C9" s="6" t="s">
        <v>15</v>
      </c>
      <c r="D9" s="6" t="s">
        <v>34</v>
      </c>
      <c r="E9" s="6" t="n">
        <f aca="false">ROUND(5414*1.05,2)</f>
        <v>5684.7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ROUND(69*1,0)&amp;"%"</f>
        <v>69%</v>
      </c>
    </row>
    <row r="10" customFormat="false" ht="15" hidden="false" customHeight="false" outlineLevel="0" collapsed="false">
      <c r="A10" s="5" t="s">
        <v>10615</v>
      </c>
      <c r="B10" s="5" t="s">
        <v>38</v>
      </c>
      <c r="C10" s="5" t="s">
        <v>15</v>
      </c>
      <c r="D10" s="5" t="s">
        <v>39</v>
      </c>
      <c r="E10" s="5" t="n">
        <f aca="false">ROUND(15395*1.05,2)</f>
        <v>16164.75</v>
      </c>
      <c r="F10" s="5" t="s">
        <v>40</v>
      </c>
      <c r="G10" s="5" t="s">
        <v>24</v>
      </c>
      <c r="H10" s="5" t="n">
        <f aca="true">ROUND(RAND()*4+6,1)</f>
        <v>7.7</v>
      </c>
      <c r="I10" s="5" t="s">
        <v>41</v>
      </c>
      <c r="J10" s="5" t="str">
        <f aca="false">ROUND(99*1,0)&amp;"%"</f>
        <v>99%</v>
      </c>
    </row>
    <row r="11" customFormat="false" ht="15" hidden="false" customHeight="false" outlineLevel="0" collapsed="false">
      <c r="A11" s="6" t="s">
        <v>10616</v>
      </c>
      <c r="B11" s="6" t="s">
        <v>43</v>
      </c>
      <c r="C11" s="6" t="s">
        <v>15</v>
      </c>
      <c r="D11" s="6" t="s">
        <v>44</v>
      </c>
      <c r="E11" s="6" t="n">
        <f aca="false">ROUND(16251*1.05,2)</f>
        <v>17063.55</v>
      </c>
      <c r="F11" s="6" t="s">
        <v>45</v>
      </c>
      <c r="G11" s="6" t="s">
        <v>30</v>
      </c>
      <c r="H11" s="6" t="n">
        <f aca="true">ROUND(RAND()*4+6,1)</f>
        <v>9.1</v>
      </c>
      <c r="I11" s="6" t="s">
        <v>46</v>
      </c>
      <c r="J11" s="6" t="str">
        <f aca="false">ROUND(67*1,0)&amp;"%"</f>
        <v>67%</v>
      </c>
    </row>
    <row r="12" customFormat="false" ht="15" hidden="false" customHeight="false" outlineLevel="0" collapsed="false">
      <c r="A12" s="5" t="s">
        <v>10617</v>
      </c>
      <c r="B12" s="5" t="s">
        <v>48</v>
      </c>
      <c r="C12" s="5" t="s">
        <v>15</v>
      </c>
      <c r="D12" s="5" t="s">
        <v>16</v>
      </c>
      <c r="E12" s="5" t="n">
        <f aca="false">ROUND(4162*1.05,2)</f>
        <v>4370.1</v>
      </c>
      <c r="F12" s="5" t="s">
        <v>49</v>
      </c>
      <c r="G12" s="5" t="s">
        <v>18</v>
      </c>
      <c r="H12" s="5" t="n">
        <f aca="true">ROUND(RAND()*4+6,1)</f>
        <v>8.1</v>
      </c>
      <c r="I12" s="5" t="s">
        <v>19</v>
      </c>
      <c r="J12" s="5" t="str">
        <f aca="false">ROUND(63*1,0)&amp;"%"</f>
        <v>63%</v>
      </c>
    </row>
    <row r="13" customFormat="false" ht="15" hidden="false" customHeight="false" outlineLevel="0" collapsed="false">
      <c r="A13" s="6" t="s">
        <v>10618</v>
      </c>
      <c r="B13" s="6" t="s">
        <v>51</v>
      </c>
      <c r="C13" s="6" t="s">
        <v>15</v>
      </c>
      <c r="D13" s="6" t="s">
        <v>22</v>
      </c>
      <c r="E13" s="6" t="n">
        <f aca="false">ROUND(8371*1.05,2)</f>
        <v>8789.55</v>
      </c>
      <c r="F13" s="6" t="s">
        <v>52</v>
      </c>
      <c r="G13" s="6" t="s">
        <v>24</v>
      </c>
      <c r="H13" s="6" t="n">
        <f aca="true">ROUND(RAND()*4+6,1)</f>
        <v>6.2</v>
      </c>
      <c r="I13" s="6" t="s">
        <v>25</v>
      </c>
      <c r="J13" s="6" t="str">
        <f aca="false">ROUND(63*1,0)&amp;"%"</f>
        <v>63%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10619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10620</v>
      </c>
      <c r="B18" s="5" t="s">
        <v>56</v>
      </c>
      <c r="C18" s="5" t="s">
        <v>57</v>
      </c>
      <c r="D18" s="5" t="s">
        <v>16</v>
      </c>
      <c r="E18" s="5" t="n">
        <f aca="false">ROUND(8369*1.05,2)</f>
        <v>8787.45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10621</v>
      </c>
      <c r="B19" s="6" t="s">
        <v>59</v>
      </c>
      <c r="C19" s="6" t="s">
        <v>57</v>
      </c>
      <c r="D19" s="6" t="s">
        <v>22</v>
      </c>
      <c r="E19" s="6" t="n">
        <f aca="false">ROUND(11846*1.05,2)</f>
        <v>12438.3</v>
      </c>
      <c r="F19" s="6" t="s">
        <v>23</v>
      </c>
      <c r="G19" s="6" t="s">
        <v>24</v>
      </c>
      <c r="H19" s="6" t="n">
        <f aca="true">ROUND(RAND()*4+6,1)</f>
        <v>9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10622</v>
      </c>
      <c r="B20" s="5" t="s">
        <v>61</v>
      </c>
      <c r="C20" s="5" t="s">
        <v>57</v>
      </c>
      <c r="D20" s="5" t="s">
        <v>28</v>
      </c>
      <c r="E20" s="5" t="n">
        <f aca="false">ROUND(7697*1.05,2)</f>
        <v>8081.85</v>
      </c>
      <c r="F20" s="5" t="s">
        <v>29</v>
      </c>
      <c r="G20" s="5" t="s">
        <v>30</v>
      </c>
      <c r="H20" s="5" t="n">
        <f aca="true">ROUND(RAND()*4+6,1)</f>
        <v>6.2</v>
      </c>
      <c r="I20" s="5" t="s">
        <v>31</v>
      </c>
      <c r="J20" s="5" t="str">
        <f aca="false">ROUND(86*1,0)&amp;"%"</f>
        <v>86%</v>
      </c>
    </row>
    <row r="21" customFormat="false" ht="15" hidden="false" customHeight="false" outlineLevel="0" collapsed="false">
      <c r="A21" s="6" t="s">
        <v>10623</v>
      </c>
      <c r="B21" s="6" t="s">
        <v>63</v>
      </c>
      <c r="C21" s="6" t="s">
        <v>57</v>
      </c>
      <c r="D21" s="6" t="s">
        <v>34</v>
      </c>
      <c r="E21" s="6" t="n">
        <f aca="false">ROUND(8199*1.05,2)</f>
        <v>8608.95</v>
      </c>
      <c r="F21" s="6" t="s">
        <v>35</v>
      </c>
      <c r="G21" s="6" t="s">
        <v>18</v>
      </c>
      <c r="H21" s="6" t="n">
        <f aca="true">ROUND(RAND()*4+6,1)</f>
        <v>8</v>
      </c>
      <c r="I21" s="6" t="s">
        <v>36</v>
      </c>
      <c r="J21" s="6" t="str">
        <f aca="false">ROUND(91*1,0)&amp;"%"</f>
        <v>91%</v>
      </c>
    </row>
    <row r="22" customFormat="false" ht="15" hidden="false" customHeight="false" outlineLevel="0" collapsed="false">
      <c r="A22" s="5" t="s">
        <v>10624</v>
      </c>
      <c r="B22" s="5" t="s">
        <v>65</v>
      </c>
      <c r="C22" s="5" t="s">
        <v>57</v>
      </c>
      <c r="D22" s="5" t="s">
        <v>39</v>
      </c>
      <c r="E22" s="5" t="n">
        <f aca="false">ROUND(8978*1.05,2)</f>
        <v>9426.9</v>
      </c>
      <c r="F22" s="5" t="s">
        <v>40</v>
      </c>
      <c r="G22" s="5" t="s">
        <v>24</v>
      </c>
      <c r="H22" s="5" t="n">
        <f aca="true">ROUND(RAND()*4+6,1)</f>
        <v>9.8</v>
      </c>
      <c r="I22" s="5" t="s">
        <v>41</v>
      </c>
      <c r="J22" s="5" t="str">
        <f aca="false">ROUND(61*1,0)&amp;"%"</f>
        <v>61%</v>
      </c>
    </row>
    <row r="23" customFormat="false" ht="15" hidden="false" customHeight="false" outlineLevel="0" collapsed="false">
      <c r="A23" s="6" t="s">
        <v>10625</v>
      </c>
      <c r="B23" s="6" t="s">
        <v>67</v>
      </c>
      <c r="C23" s="6" t="s">
        <v>57</v>
      </c>
      <c r="D23" s="6" t="s">
        <v>44</v>
      </c>
      <c r="E23" s="6" t="n">
        <f aca="false">ROUND(4472*1.05,2)</f>
        <v>4695.6</v>
      </c>
      <c r="F23" s="6" t="s">
        <v>45</v>
      </c>
      <c r="G23" s="6" t="s">
        <v>30</v>
      </c>
      <c r="H23" s="6" t="n">
        <f aca="true">ROUND(RAND()*4+6,1)</f>
        <v>9.9</v>
      </c>
      <c r="I23" s="6" t="s">
        <v>46</v>
      </c>
      <c r="J23" s="6" t="str">
        <f aca="false">ROUND(93*1,0)&amp;"%"</f>
        <v>93%</v>
      </c>
    </row>
    <row r="24" customFormat="false" ht="15" hidden="false" customHeight="false" outlineLevel="0" collapsed="false">
      <c r="A24" s="5" t="s">
        <v>10626</v>
      </c>
      <c r="B24" s="5" t="s">
        <v>69</v>
      </c>
      <c r="C24" s="5" t="s">
        <v>57</v>
      </c>
      <c r="D24" s="5" t="s">
        <v>16</v>
      </c>
      <c r="E24" s="5" t="n">
        <f aca="false">ROUND(17569*1.05,2)</f>
        <v>18447.45</v>
      </c>
      <c r="F24" s="5" t="s">
        <v>49</v>
      </c>
      <c r="G24" s="5" t="s">
        <v>18</v>
      </c>
      <c r="H24" s="5" t="n">
        <f aca="true">ROUND(RAND()*4+6,1)</f>
        <v>6.4</v>
      </c>
      <c r="I24" s="5" t="s">
        <v>19</v>
      </c>
      <c r="J24" s="5" t="str">
        <f aca="false">ROUND(81*1,0)&amp;"%"</f>
        <v>81%</v>
      </c>
    </row>
    <row r="25" customFormat="false" ht="15" hidden="false" customHeight="false" outlineLevel="0" collapsed="false">
      <c r="A25" s="6" t="s">
        <v>10627</v>
      </c>
      <c r="B25" s="6" t="s">
        <v>71</v>
      </c>
      <c r="C25" s="6" t="s">
        <v>57</v>
      </c>
      <c r="D25" s="6" t="s">
        <v>22</v>
      </c>
      <c r="E25" s="6" t="n">
        <f aca="false">ROUND(4900*1.05,2)</f>
        <v>5145</v>
      </c>
      <c r="F25" s="6" t="s">
        <v>52</v>
      </c>
      <c r="G25" s="6" t="s">
        <v>24</v>
      </c>
      <c r="H25" s="6" t="n">
        <f aca="true">ROUND(RAND()*4+6,1)</f>
        <v>8.3</v>
      </c>
      <c r="I25" s="6" t="s">
        <v>25</v>
      </c>
      <c r="J25" s="6" t="str">
        <f aca="false">ROUND(96*1,0)&amp;"%"</f>
        <v>96%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10628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10629</v>
      </c>
      <c r="B30" s="5" t="s">
        <v>75</v>
      </c>
      <c r="C30" s="5" t="s">
        <v>76</v>
      </c>
      <c r="D30" s="5" t="s">
        <v>16</v>
      </c>
      <c r="E30" s="5" t="n">
        <f aca="false">ROUND(14660*1.05,2)</f>
        <v>15393</v>
      </c>
      <c r="F30" s="5" t="s">
        <v>17</v>
      </c>
      <c r="G30" s="5" t="s">
        <v>18</v>
      </c>
      <c r="H30" s="5" t="n">
        <f aca="true">ROUND(RAND()*4+6,1)</f>
        <v>9.2</v>
      </c>
      <c r="I30" s="5" t="s">
        <v>19</v>
      </c>
      <c r="J30" s="5" t="str">
        <f aca="false">ROUND(68*1,0)&amp;"%"</f>
        <v>68%</v>
      </c>
    </row>
    <row r="31" customFormat="false" ht="15" hidden="false" customHeight="false" outlineLevel="0" collapsed="false">
      <c r="A31" s="6" t="s">
        <v>10630</v>
      </c>
      <c r="B31" s="6" t="s">
        <v>78</v>
      </c>
      <c r="C31" s="6" t="s">
        <v>76</v>
      </c>
      <c r="D31" s="6" t="s">
        <v>22</v>
      </c>
      <c r="E31" s="6" t="n">
        <f aca="false">ROUND(6996*1.05,2)</f>
        <v>7345.8</v>
      </c>
      <c r="F31" s="6" t="s">
        <v>23</v>
      </c>
      <c r="G31" s="6" t="s">
        <v>24</v>
      </c>
      <c r="H31" s="6" t="n">
        <f aca="true">ROUND(RAND()*4+6,1)</f>
        <v>9.2</v>
      </c>
      <c r="I31" s="6" t="s">
        <v>25</v>
      </c>
      <c r="J31" s="6" t="str">
        <f aca="false">ROUND(67*1,0)&amp;"%"</f>
        <v>67%</v>
      </c>
    </row>
    <row r="32" customFormat="false" ht="15" hidden="false" customHeight="false" outlineLevel="0" collapsed="false">
      <c r="A32" s="5" t="s">
        <v>10631</v>
      </c>
      <c r="B32" s="5" t="s">
        <v>80</v>
      </c>
      <c r="C32" s="5" t="s">
        <v>76</v>
      </c>
      <c r="D32" s="5" t="s">
        <v>28</v>
      </c>
      <c r="E32" s="5" t="n">
        <f aca="false">ROUND(9780*1.05,2)</f>
        <v>10269</v>
      </c>
      <c r="F32" s="5" t="s">
        <v>29</v>
      </c>
      <c r="G32" s="5" t="s">
        <v>30</v>
      </c>
      <c r="H32" s="5" t="n">
        <f aca="true">ROUND(RAND()*4+6,1)</f>
        <v>8.9</v>
      </c>
      <c r="I32" s="5" t="s">
        <v>31</v>
      </c>
      <c r="J32" s="5" t="str">
        <f aca="false">ROUND(63*1,0)&amp;"%"</f>
        <v>63%</v>
      </c>
    </row>
    <row r="33" customFormat="false" ht="15" hidden="false" customHeight="false" outlineLevel="0" collapsed="false">
      <c r="A33" s="6" t="s">
        <v>10632</v>
      </c>
      <c r="B33" s="6" t="s">
        <v>82</v>
      </c>
      <c r="C33" s="6" t="s">
        <v>76</v>
      </c>
      <c r="D33" s="6" t="s">
        <v>34</v>
      </c>
      <c r="E33" s="6" t="n">
        <f aca="false">ROUND(12661*1.05,2)</f>
        <v>13294.05</v>
      </c>
      <c r="F33" s="6" t="s">
        <v>35</v>
      </c>
      <c r="G33" s="6" t="s">
        <v>18</v>
      </c>
      <c r="H33" s="6" t="n">
        <f aca="true">ROUND(RAND()*4+6,1)</f>
        <v>7.5</v>
      </c>
      <c r="I33" s="6" t="s">
        <v>36</v>
      </c>
      <c r="J33" s="6" t="str">
        <f aca="false">ROUND(100*1,0)&amp;"%"</f>
        <v>100%</v>
      </c>
    </row>
    <row r="34" customFormat="false" ht="15" hidden="false" customHeight="false" outlineLevel="0" collapsed="false">
      <c r="A34" s="5" t="s">
        <v>10633</v>
      </c>
      <c r="B34" s="5" t="s">
        <v>84</v>
      </c>
      <c r="C34" s="5" t="s">
        <v>76</v>
      </c>
      <c r="D34" s="5" t="s">
        <v>39</v>
      </c>
      <c r="E34" s="5" t="n">
        <f aca="false">ROUND(11886*1.05,2)</f>
        <v>12480.3</v>
      </c>
      <c r="F34" s="5" t="s">
        <v>40</v>
      </c>
      <c r="G34" s="5" t="s">
        <v>24</v>
      </c>
      <c r="H34" s="5" t="n">
        <f aca="true">ROUND(RAND()*4+6,1)</f>
        <v>8.9</v>
      </c>
      <c r="I34" s="5" t="s">
        <v>41</v>
      </c>
      <c r="J34" s="5" t="str">
        <f aca="false">ROUND(96*1,0)&amp;"%"</f>
        <v>96%</v>
      </c>
    </row>
    <row r="35" customFormat="false" ht="15" hidden="false" customHeight="false" outlineLevel="0" collapsed="false">
      <c r="A35" s="6" t="s">
        <v>10634</v>
      </c>
      <c r="B35" s="6" t="s">
        <v>86</v>
      </c>
      <c r="C35" s="6" t="s">
        <v>76</v>
      </c>
      <c r="D35" s="6" t="s">
        <v>44</v>
      </c>
      <c r="E35" s="6" t="n">
        <f aca="false">ROUND(8706*1.05,2)</f>
        <v>9141.3</v>
      </c>
      <c r="F35" s="6" t="s">
        <v>45</v>
      </c>
      <c r="G35" s="6" t="s">
        <v>30</v>
      </c>
      <c r="H35" s="6" t="n">
        <f aca="true">ROUND(RAND()*4+6,1)</f>
        <v>9.9</v>
      </c>
      <c r="I35" s="6" t="s">
        <v>46</v>
      </c>
      <c r="J35" s="6" t="str">
        <f aca="false">ROUND(91*1,0)&amp;"%"</f>
        <v>91%</v>
      </c>
    </row>
    <row r="36" customFormat="false" ht="15" hidden="false" customHeight="false" outlineLevel="0" collapsed="false">
      <c r="A36" s="5" t="s">
        <v>10635</v>
      </c>
      <c r="B36" s="5" t="s">
        <v>88</v>
      </c>
      <c r="C36" s="5" t="s">
        <v>76</v>
      </c>
      <c r="D36" s="5" t="s">
        <v>16</v>
      </c>
      <c r="E36" s="5" t="n">
        <f aca="false">ROUND(5094*1.05,2)</f>
        <v>5348.7</v>
      </c>
      <c r="F36" s="5" t="s">
        <v>49</v>
      </c>
      <c r="G36" s="5" t="s">
        <v>18</v>
      </c>
      <c r="H36" s="5" t="n">
        <f aca="true">ROUND(RAND()*4+6,1)</f>
        <v>9.6</v>
      </c>
      <c r="I36" s="5" t="s">
        <v>19</v>
      </c>
      <c r="J36" s="5" t="str">
        <f aca="false">ROUND(83*1,0)&amp;"%"</f>
        <v>83%</v>
      </c>
    </row>
    <row r="37" customFormat="false" ht="15" hidden="false" customHeight="false" outlineLevel="0" collapsed="false">
      <c r="A37" s="6" t="s">
        <v>10636</v>
      </c>
      <c r="B37" s="6" t="s">
        <v>90</v>
      </c>
      <c r="C37" s="6" t="s">
        <v>76</v>
      </c>
      <c r="D37" s="6" t="s">
        <v>22</v>
      </c>
      <c r="E37" s="6" t="n">
        <f aca="false">ROUND(9943*1.05,2)</f>
        <v>10440.15</v>
      </c>
      <c r="F37" s="6" t="s">
        <v>52</v>
      </c>
      <c r="G37" s="6" t="s">
        <v>24</v>
      </c>
      <c r="H37" s="6" t="n">
        <f aca="true">ROUND(RAND()*4+6,1)</f>
        <v>9.8</v>
      </c>
      <c r="I37" s="6" t="s">
        <v>25</v>
      </c>
      <c r="J37" s="6" t="str">
        <f aca="false">ROUND(62*1,0)&amp;"%"</f>
        <v>62%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10637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10638</v>
      </c>
      <c r="B42" s="5" t="s">
        <v>94</v>
      </c>
      <c r="C42" s="5" t="s">
        <v>95</v>
      </c>
      <c r="D42" s="5" t="s">
        <v>16</v>
      </c>
      <c r="E42" s="5" t="n">
        <f aca="false">ROUND(5554*1.05,2)</f>
        <v>5831.7</v>
      </c>
      <c r="F42" s="5" t="s">
        <v>17</v>
      </c>
      <c r="G42" s="5" t="s">
        <v>18</v>
      </c>
      <c r="H42" s="5" t="n">
        <f aca="true">ROUND(RAND()*4+6,1)</f>
        <v>9.5</v>
      </c>
      <c r="I42" s="5" t="s">
        <v>19</v>
      </c>
      <c r="J42" s="5" t="str">
        <f aca="false">ROUND(78*1,0)&amp;"%"</f>
        <v>78%</v>
      </c>
    </row>
    <row r="43" customFormat="false" ht="15" hidden="false" customHeight="false" outlineLevel="0" collapsed="false">
      <c r="A43" s="6" t="s">
        <v>10639</v>
      </c>
      <c r="B43" s="6" t="s">
        <v>97</v>
      </c>
      <c r="C43" s="6" t="s">
        <v>95</v>
      </c>
      <c r="D43" s="6" t="s">
        <v>22</v>
      </c>
      <c r="E43" s="6" t="n">
        <f aca="false">ROUND(14132*1.05,2)</f>
        <v>14838.6</v>
      </c>
      <c r="F43" s="6" t="s">
        <v>23</v>
      </c>
      <c r="G43" s="6" t="s">
        <v>24</v>
      </c>
      <c r="H43" s="6" t="n">
        <f aca="true">ROUND(RAND()*4+6,1)</f>
        <v>6.8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10640</v>
      </c>
      <c r="B44" s="5" t="s">
        <v>99</v>
      </c>
      <c r="C44" s="5" t="s">
        <v>95</v>
      </c>
      <c r="D44" s="5" t="s">
        <v>28</v>
      </c>
      <c r="E44" s="5" t="n">
        <f aca="false">ROUND(11744*1.05,2)</f>
        <v>12331.2</v>
      </c>
      <c r="F44" s="5" t="s">
        <v>29</v>
      </c>
      <c r="G44" s="5" t="s">
        <v>30</v>
      </c>
      <c r="H44" s="5" t="n">
        <f aca="true">ROUND(RAND()*4+6,1)</f>
        <v>6</v>
      </c>
      <c r="I44" s="5" t="s">
        <v>31</v>
      </c>
      <c r="J44" s="5" t="str">
        <f aca="false">ROUND(77*1,0)&amp;"%"</f>
        <v>77%</v>
      </c>
    </row>
    <row r="45" customFormat="false" ht="15" hidden="false" customHeight="false" outlineLevel="0" collapsed="false">
      <c r="A45" s="6" t="s">
        <v>10641</v>
      </c>
      <c r="B45" s="6" t="s">
        <v>101</v>
      </c>
      <c r="C45" s="6" t="s">
        <v>95</v>
      </c>
      <c r="D45" s="6" t="s">
        <v>34</v>
      </c>
      <c r="E45" s="6" t="n">
        <f aca="false">ROUND(10180*1.05,2)</f>
        <v>10689</v>
      </c>
      <c r="F45" s="6" t="s">
        <v>35</v>
      </c>
      <c r="G45" s="6" t="s">
        <v>18</v>
      </c>
      <c r="H45" s="6" t="n">
        <f aca="true">ROUND(RAND()*4+6,1)</f>
        <v>9</v>
      </c>
      <c r="I45" s="6" t="s">
        <v>36</v>
      </c>
      <c r="J45" s="6" t="str">
        <f aca="false">ROUND(73*1,0)&amp;"%"</f>
        <v>73%</v>
      </c>
    </row>
    <row r="46" customFormat="false" ht="15" hidden="false" customHeight="false" outlineLevel="0" collapsed="false">
      <c r="A46" s="5" t="s">
        <v>10642</v>
      </c>
      <c r="B46" s="5" t="s">
        <v>103</v>
      </c>
      <c r="C46" s="5" t="s">
        <v>95</v>
      </c>
      <c r="D46" s="5" t="s">
        <v>39</v>
      </c>
      <c r="E46" s="5" t="n">
        <f aca="false">ROUND(9218*1.05,2)</f>
        <v>9678.9</v>
      </c>
      <c r="F46" s="5" t="s">
        <v>40</v>
      </c>
      <c r="G46" s="5" t="s">
        <v>24</v>
      </c>
      <c r="H46" s="5" t="n">
        <f aca="true">ROUND(RAND()*4+6,1)</f>
        <v>6.7</v>
      </c>
      <c r="I46" s="5" t="s">
        <v>41</v>
      </c>
      <c r="J46" s="5" t="str">
        <f aca="false">ROUND(98*1,0)&amp;"%"</f>
        <v>98%</v>
      </c>
    </row>
    <row r="47" customFormat="false" ht="15" hidden="false" customHeight="false" outlineLevel="0" collapsed="false">
      <c r="A47" s="6" t="s">
        <v>10643</v>
      </c>
      <c r="B47" s="6" t="s">
        <v>105</v>
      </c>
      <c r="C47" s="6" t="s">
        <v>95</v>
      </c>
      <c r="D47" s="6" t="s">
        <v>44</v>
      </c>
      <c r="E47" s="6" t="n">
        <f aca="false">ROUND(10128*1.05,2)</f>
        <v>10634.4</v>
      </c>
      <c r="F47" s="6" t="s">
        <v>45</v>
      </c>
      <c r="G47" s="6" t="s">
        <v>30</v>
      </c>
      <c r="H47" s="6" t="n">
        <f aca="true">ROUND(RAND()*4+6,1)</f>
        <v>8.6</v>
      </c>
      <c r="I47" s="6" t="s">
        <v>46</v>
      </c>
      <c r="J47" s="6" t="str">
        <f aca="false">ROUND(88*1,0)&amp;"%"</f>
        <v>88%</v>
      </c>
    </row>
    <row r="48" customFormat="false" ht="15" hidden="false" customHeight="false" outlineLevel="0" collapsed="false">
      <c r="A48" s="5" t="s">
        <v>10644</v>
      </c>
      <c r="B48" s="5" t="s">
        <v>107</v>
      </c>
      <c r="C48" s="5" t="s">
        <v>95</v>
      </c>
      <c r="D48" s="5" t="s">
        <v>16</v>
      </c>
      <c r="E48" s="5" t="n">
        <f aca="false">ROUND(12430*1.05,2)</f>
        <v>13051.5</v>
      </c>
      <c r="F48" s="5" t="s">
        <v>49</v>
      </c>
      <c r="G48" s="5" t="s">
        <v>18</v>
      </c>
      <c r="H48" s="5" t="n">
        <f aca="true">ROUND(RAND()*4+6,1)</f>
        <v>6.1</v>
      </c>
      <c r="I48" s="5" t="s">
        <v>19</v>
      </c>
      <c r="J48" s="5" t="str">
        <f aca="false">ROUND(68*1,0)&amp;"%"</f>
        <v>68%</v>
      </c>
    </row>
    <row r="49" customFormat="false" ht="15" hidden="false" customHeight="false" outlineLevel="0" collapsed="false">
      <c r="A49" s="6" t="s">
        <v>10645</v>
      </c>
      <c r="B49" s="6" t="s">
        <v>109</v>
      </c>
      <c r="C49" s="6" t="s">
        <v>95</v>
      </c>
      <c r="D49" s="6" t="s">
        <v>22</v>
      </c>
      <c r="E49" s="6" t="n">
        <f aca="false">ROUND(6097*1.05,2)</f>
        <v>6401.85</v>
      </c>
      <c r="F49" s="6" t="s">
        <v>52</v>
      </c>
      <c r="G49" s="6" t="s">
        <v>24</v>
      </c>
      <c r="H49" s="6" t="n">
        <f aca="true">ROUND(RAND()*4+6,1)</f>
        <v>8.8</v>
      </c>
      <c r="I49" s="6" t="s">
        <v>25</v>
      </c>
      <c r="J49" s="6" t="str">
        <f aca="false">ROUND(86*1,0)&amp;"%"</f>
        <v>86%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10646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10647</v>
      </c>
      <c r="B54" s="5" t="s">
        <v>113</v>
      </c>
      <c r="C54" s="5" t="s">
        <v>114</v>
      </c>
      <c r="D54" s="5" t="s">
        <v>16</v>
      </c>
      <c r="E54" s="5" t="n">
        <f aca="false">ROUND(5245*1.05,2)</f>
        <v>5507.25</v>
      </c>
      <c r="F54" s="5" t="s">
        <v>17</v>
      </c>
      <c r="G54" s="5" t="s">
        <v>18</v>
      </c>
      <c r="H54" s="5" t="n">
        <f aca="true">ROUND(RAND()*4+6,1)</f>
        <v>6.3</v>
      </c>
      <c r="I54" s="5" t="s">
        <v>19</v>
      </c>
      <c r="J54" s="5" t="str">
        <f aca="false">ROUND(85*1,0)&amp;"%"</f>
        <v>85%</v>
      </c>
    </row>
    <row r="55" customFormat="false" ht="15" hidden="false" customHeight="false" outlineLevel="0" collapsed="false">
      <c r="A55" s="6" t="s">
        <v>10648</v>
      </c>
      <c r="B55" s="6" t="s">
        <v>116</v>
      </c>
      <c r="C55" s="6" t="s">
        <v>114</v>
      </c>
      <c r="D55" s="6" t="s">
        <v>22</v>
      </c>
      <c r="E55" s="6" t="n">
        <f aca="false">ROUND(9573*1.05,2)</f>
        <v>10051.65</v>
      </c>
      <c r="F55" s="6" t="s">
        <v>23</v>
      </c>
      <c r="G55" s="6" t="s">
        <v>24</v>
      </c>
      <c r="H55" s="6" t="n">
        <f aca="true">ROUND(RAND()*4+6,1)</f>
        <v>7.5</v>
      </c>
      <c r="I55" s="6" t="s">
        <v>25</v>
      </c>
      <c r="J55" s="6" t="str">
        <f aca="false">ROUND(100*1,0)&amp;"%"</f>
        <v>100%</v>
      </c>
    </row>
    <row r="56" customFormat="false" ht="15" hidden="false" customHeight="false" outlineLevel="0" collapsed="false">
      <c r="A56" s="5" t="s">
        <v>10649</v>
      </c>
      <c r="B56" s="5" t="s">
        <v>118</v>
      </c>
      <c r="C56" s="5" t="s">
        <v>114</v>
      </c>
      <c r="D56" s="5" t="s">
        <v>28</v>
      </c>
      <c r="E56" s="5" t="n">
        <f aca="false">ROUND(12676*1.05,2)</f>
        <v>13309.8</v>
      </c>
      <c r="F56" s="5" t="s">
        <v>29</v>
      </c>
      <c r="G56" s="5" t="s">
        <v>30</v>
      </c>
      <c r="H56" s="5" t="n">
        <f aca="true">ROUND(RAND()*4+6,1)</f>
        <v>9.1</v>
      </c>
      <c r="I56" s="5" t="s">
        <v>31</v>
      </c>
      <c r="J56" s="5" t="str">
        <f aca="false">ROUND(69*1,0)&amp;"%"</f>
        <v>69%</v>
      </c>
    </row>
    <row r="57" customFormat="false" ht="15" hidden="false" customHeight="false" outlineLevel="0" collapsed="false">
      <c r="A57" s="6" t="s">
        <v>10650</v>
      </c>
      <c r="B57" s="6" t="s">
        <v>120</v>
      </c>
      <c r="C57" s="6" t="s">
        <v>114</v>
      </c>
      <c r="D57" s="6" t="s">
        <v>34</v>
      </c>
      <c r="E57" s="6" t="n">
        <f aca="false">ROUND(9277*1.05,2)</f>
        <v>9740.85</v>
      </c>
      <c r="F57" s="6" t="s">
        <v>35</v>
      </c>
      <c r="G57" s="6" t="s">
        <v>18</v>
      </c>
      <c r="H57" s="6" t="n">
        <f aca="true">ROUND(RAND()*4+6,1)</f>
        <v>9.7</v>
      </c>
      <c r="I57" s="6" t="s">
        <v>36</v>
      </c>
      <c r="J57" s="6" t="str">
        <f aca="false">ROUND(63*1,0)&amp;"%"</f>
        <v>63%</v>
      </c>
    </row>
    <row r="58" customFormat="false" ht="15" hidden="false" customHeight="false" outlineLevel="0" collapsed="false">
      <c r="A58" s="5" t="s">
        <v>10651</v>
      </c>
      <c r="B58" s="5" t="s">
        <v>122</v>
      </c>
      <c r="C58" s="5" t="s">
        <v>114</v>
      </c>
      <c r="D58" s="5" t="s">
        <v>39</v>
      </c>
      <c r="E58" s="5" t="n">
        <f aca="false">ROUND(4542*1.05,2)</f>
        <v>4769.1</v>
      </c>
      <c r="F58" s="5" t="s">
        <v>40</v>
      </c>
      <c r="G58" s="5" t="s">
        <v>24</v>
      </c>
      <c r="H58" s="5" t="n">
        <f aca="true">ROUND(RAND()*4+6,1)</f>
        <v>9.9</v>
      </c>
      <c r="I58" s="5" t="s">
        <v>41</v>
      </c>
      <c r="J58" s="5" t="str">
        <f aca="false">ROUND(63*1,0)&amp;"%"</f>
        <v>63%</v>
      </c>
    </row>
    <row r="59" customFormat="false" ht="15" hidden="false" customHeight="false" outlineLevel="0" collapsed="false">
      <c r="A59" s="6" t="s">
        <v>10652</v>
      </c>
      <c r="B59" s="6" t="s">
        <v>124</v>
      </c>
      <c r="C59" s="6" t="s">
        <v>114</v>
      </c>
      <c r="D59" s="6" t="s">
        <v>44</v>
      </c>
      <c r="E59" s="6" t="n">
        <f aca="false">ROUND(5957*1.05,2)</f>
        <v>6254.85</v>
      </c>
      <c r="F59" s="6" t="s">
        <v>45</v>
      </c>
      <c r="G59" s="6" t="s">
        <v>30</v>
      </c>
      <c r="H59" s="6" t="n">
        <f aca="true">ROUND(RAND()*4+6,1)</f>
        <v>8.5</v>
      </c>
      <c r="I59" s="6" t="s">
        <v>46</v>
      </c>
      <c r="J59" s="6" t="str">
        <f aca="false">ROUND(74*1,0)&amp;"%"</f>
        <v>74%</v>
      </c>
    </row>
    <row r="60" customFormat="false" ht="15" hidden="false" customHeight="false" outlineLevel="0" collapsed="false">
      <c r="A60" s="5" t="s">
        <v>10653</v>
      </c>
      <c r="B60" s="5" t="s">
        <v>126</v>
      </c>
      <c r="C60" s="5" t="s">
        <v>114</v>
      </c>
      <c r="D60" s="5" t="s">
        <v>16</v>
      </c>
      <c r="E60" s="5" t="n">
        <f aca="false">ROUND(8570*1.05,2)</f>
        <v>8998.5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10654</v>
      </c>
      <c r="B61" s="6" t="s">
        <v>128</v>
      </c>
      <c r="C61" s="6" t="s">
        <v>114</v>
      </c>
      <c r="D61" s="6" t="s">
        <v>22</v>
      </c>
      <c r="E61" s="6" t="n">
        <f aca="false">ROUND(9556*1.05,2)</f>
        <v>10033.8</v>
      </c>
      <c r="F61" s="6" t="s">
        <v>52</v>
      </c>
      <c r="G61" s="6" t="s">
        <v>24</v>
      </c>
      <c r="H61" s="6" t="n">
        <f aca="true">ROUND(RAND()*4+6,1)</f>
        <v>6.6</v>
      </c>
      <c r="I61" s="6" t="s">
        <v>25</v>
      </c>
      <c r="J61" s="6" t="str">
        <f aca="false">ROUND(87*1,0)&amp;"%"</f>
        <v>87%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10655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10656</v>
      </c>
      <c r="B66" s="5" t="s">
        <v>132</v>
      </c>
      <c r="C66" s="5" t="s">
        <v>133</v>
      </c>
      <c r="D66" s="5" t="s">
        <v>16</v>
      </c>
      <c r="E66" s="5" t="n">
        <f aca="false">ROUND(12490*1.05,2)</f>
        <v>13114.5</v>
      </c>
      <c r="F66" s="5" t="s">
        <v>17</v>
      </c>
      <c r="G66" s="5" t="s">
        <v>18</v>
      </c>
      <c r="H66" s="5" t="n">
        <f aca="true">ROUND(RAND()*4+6,1)</f>
        <v>6.2</v>
      </c>
      <c r="I66" s="5" t="s">
        <v>19</v>
      </c>
      <c r="J66" s="5" t="str">
        <f aca="false">ROUND(96*1,0)&amp;"%"</f>
        <v>96%</v>
      </c>
    </row>
    <row r="67" customFormat="false" ht="15" hidden="false" customHeight="false" outlineLevel="0" collapsed="false">
      <c r="A67" s="6" t="s">
        <v>10657</v>
      </c>
      <c r="B67" s="6" t="s">
        <v>135</v>
      </c>
      <c r="C67" s="6" t="s">
        <v>133</v>
      </c>
      <c r="D67" s="6" t="s">
        <v>22</v>
      </c>
      <c r="E67" s="6" t="n">
        <f aca="false">ROUND(15627*1.05,2)</f>
        <v>16408.35</v>
      </c>
      <c r="F67" s="6" t="s">
        <v>23</v>
      </c>
      <c r="G67" s="6" t="s">
        <v>24</v>
      </c>
      <c r="H67" s="6" t="n">
        <f aca="true">ROUND(RAND()*4+6,1)</f>
        <v>9.2</v>
      </c>
      <c r="I67" s="6" t="s">
        <v>25</v>
      </c>
      <c r="J67" s="6" t="str">
        <f aca="false">ROUND(78*1,0)&amp;"%"</f>
        <v>78%</v>
      </c>
    </row>
    <row r="68" customFormat="false" ht="15" hidden="false" customHeight="false" outlineLevel="0" collapsed="false">
      <c r="A68" s="5" t="s">
        <v>10658</v>
      </c>
      <c r="B68" s="5" t="s">
        <v>137</v>
      </c>
      <c r="C68" s="5" t="s">
        <v>133</v>
      </c>
      <c r="D68" s="5" t="s">
        <v>28</v>
      </c>
      <c r="E68" s="5" t="n">
        <f aca="false">ROUND(13236*1.05,2)</f>
        <v>13897.8</v>
      </c>
      <c r="F68" s="5" t="s">
        <v>29</v>
      </c>
      <c r="G68" s="5" t="s">
        <v>30</v>
      </c>
      <c r="H68" s="5" t="n">
        <f aca="true">ROUND(RAND()*4+6,1)</f>
        <v>8.5</v>
      </c>
      <c r="I68" s="5" t="s">
        <v>31</v>
      </c>
      <c r="J68" s="5" t="str">
        <f aca="false">ROUND(74*1,0)&amp;"%"</f>
        <v>74%</v>
      </c>
    </row>
    <row r="69" customFormat="false" ht="15" hidden="false" customHeight="false" outlineLevel="0" collapsed="false">
      <c r="A69" s="6" t="s">
        <v>10659</v>
      </c>
      <c r="B69" s="6" t="s">
        <v>139</v>
      </c>
      <c r="C69" s="6" t="s">
        <v>133</v>
      </c>
      <c r="D69" s="6" t="s">
        <v>34</v>
      </c>
      <c r="E69" s="6" t="n">
        <f aca="false">ROUND(15872*1.05,2)</f>
        <v>16665.6</v>
      </c>
      <c r="F69" s="6" t="s">
        <v>35</v>
      </c>
      <c r="G69" s="6" t="s">
        <v>18</v>
      </c>
      <c r="H69" s="6" t="n">
        <f aca="true">ROUND(RAND()*4+6,1)</f>
        <v>6.3</v>
      </c>
      <c r="I69" s="6" t="s">
        <v>36</v>
      </c>
      <c r="J69" s="6" t="str">
        <f aca="false">ROUND(75*1,0)&amp;"%"</f>
        <v>75%</v>
      </c>
    </row>
    <row r="70" customFormat="false" ht="15" hidden="false" customHeight="false" outlineLevel="0" collapsed="false">
      <c r="A70" s="5" t="s">
        <v>10660</v>
      </c>
      <c r="B70" s="5" t="s">
        <v>141</v>
      </c>
      <c r="C70" s="5" t="s">
        <v>133</v>
      </c>
      <c r="D70" s="5" t="s">
        <v>39</v>
      </c>
      <c r="E70" s="5" t="n">
        <f aca="false">ROUND(8447*1.05,2)</f>
        <v>8869.35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ROUND(68*1,0)&amp;"%"</f>
        <v>68%</v>
      </c>
    </row>
    <row r="71" customFormat="false" ht="15" hidden="false" customHeight="false" outlineLevel="0" collapsed="false">
      <c r="A71" s="6" t="s">
        <v>10661</v>
      </c>
      <c r="B71" s="6" t="s">
        <v>143</v>
      </c>
      <c r="C71" s="6" t="s">
        <v>133</v>
      </c>
      <c r="D71" s="6" t="s">
        <v>44</v>
      </c>
      <c r="E71" s="6" t="n">
        <f aca="false">ROUND(11664*1.05,2)</f>
        <v>12247.2</v>
      </c>
      <c r="F71" s="6" t="s">
        <v>45</v>
      </c>
      <c r="G71" s="6" t="s">
        <v>30</v>
      </c>
      <c r="H71" s="6" t="n">
        <f aca="true">ROUND(RAND()*4+6,1)</f>
        <v>9.7</v>
      </c>
      <c r="I71" s="6" t="s">
        <v>46</v>
      </c>
      <c r="J71" s="6" t="str">
        <f aca="false">ROUND(60*1,0)&amp;"%"</f>
        <v>60%</v>
      </c>
    </row>
    <row r="72" customFormat="false" ht="15" hidden="false" customHeight="false" outlineLevel="0" collapsed="false">
      <c r="A72" s="5" t="s">
        <v>10662</v>
      </c>
      <c r="B72" s="5" t="s">
        <v>145</v>
      </c>
      <c r="C72" s="5" t="s">
        <v>133</v>
      </c>
      <c r="D72" s="5" t="s">
        <v>16</v>
      </c>
      <c r="E72" s="5" t="n">
        <f aca="false">ROUND(11959*1.05,2)</f>
        <v>12556.95</v>
      </c>
      <c r="F72" s="5" t="s">
        <v>49</v>
      </c>
      <c r="G72" s="5" t="s">
        <v>18</v>
      </c>
      <c r="H72" s="5" t="n">
        <f aca="true">ROUND(RAND()*4+6,1)</f>
        <v>9.8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10663</v>
      </c>
      <c r="B73" s="6" t="s">
        <v>147</v>
      </c>
      <c r="C73" s="6" t="s">
        <v>133</v>
      </c>
      <c r="D73" s="6" t="s">
        <v>22</v>
      </c>
      <c r="E73" s="6" t="n">
        <f aca="false">ROUND(8516*1.05,2)</f>
        <v>8941.8</v>
      </c>
      <c r="F73" s="6" t="s">
        <v>52</v>
      </c>
      <c r="G73" s="6" t="s">
        <v>24</v>
      </c>
      <c r="H73" s="6" t="n">
        <f aca="true">ROUND(RAND()*4+6,1)</f>
        <v>9.4</v>
      </c>
      <c r="I73" s="6" t="s">
        <v>25</v>
      </c>
      <c r="J73" s="6" t="str">
        <f aca="false">ROUND(70*1,0)&amp;"%"</f>
        <v>70%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10664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10665</v>
      </c>
      <c r="B78" s="5" t="s">
        <v>151</v>
      </c>
      <c r="C78" s="5" t="s">
        <v>152</v>
      </c>
      <c r="D78" s="5" t="s">
        <v>16</v>
      </c>
      <c r="E78" s="5" t="n">
        <f aca="false">ROUND(8427*1.05,2)</f>
        <v>8848.35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ROUND(93*1,0)&amp;"%"</f>
        <v>93%</v>
      </c>
    </row>
    <row r="79" customFormat="false" ht="15" hidden="false" customHeight="false" outlineLevel="0" collapsed="false">
      <c r="A79" s="6" t="s">
        <v>10666</v>
      </c>
      <c r="B79" s="6" t="s">
        <v>154</v>
      </c>
      <c r="C79" s="6" t="s">
        <v>152</v>
      </c>
      <c r="D79" s="6" t="s">
        <v>22</v>
      </c>
      <c r="E79" s="6" t="n">
        <f aca="false">ROUND(8171*1.05,2)</f>
        <v>8579.55</v>
      </c>
      <c r="F79" s="6" t="s">
        <v>23</v>
      </c>
      <c r="G79" s="6" t="s">
        <v>24</v>
      </c>
      <c r="H79" s="6" t="n">
        <f aca="true">ROUND(RAND()*4+6,1)</f>
        <v>8.5</v>
      </c>
      <c r="I79" s="6" t="s">
        <v>25</v>
      </c>
      <c r="J79" s="6" t="str">
        <f aca="false">ROUND(82*1,0)&amp;"%"</f>
        <v>82%</v>
      </c>
    </row>
    <row r="80" customFormat="false" ht="15" hidden="false" customHeight="false" outlineLevel="0" collapsed="false">
      <c r="A80" s="5" t="s">
        <v>10667</v>
      </c>
      <c r="B80" s="5" t="s">
        <v>156</v>
      </c>
      <c r="C80" s="5" t="s">
        <v>152</v>
      </c>
      <c r="D80" s="5" t="s">
        <v>28</v>
      </c>
      <c r="E80" s="5" t="n">
        <f aca="false">ROUND(5465*1.05,2)</f>
        <v>5738.25</v>
      </c>
      <c r="F80" s="5" t="s">
        <v>29</v>
      </c>
      <c r="G80" s="5" t="s">
        <v>30</v>
      </c>
      <c r="H80" s="5" t="n">
        <f aca="true">ROUND(RAND()*4+6,1)</f>
        <v>6.9</v>
      </c>
      <c r="I80" s="5" t="s">
        <v>31</v>
      </c>
      <c r="J80" s="5" t="str">
        <f aca="false">ROUND(89*1,0)&amp;"%"</f>
        <v>89%</v>
      </c>
    </row>
    <row r="81" customFormat="false" ht="15" hidden="false" customHeight="false" outlineLevel="0" collapsed="false">
      <c r="A81" s="6" t="s">
        <v>10668</v>
      </c>
      <c r="B81" s="6" t="s">
        <v>158</v>
      </c>
      <c r="C81" s="6" t="s">
        <v>152</v>
      </c>
      <c r="D81" s="6" t="s">
        <v>34</v>
      </c>
      <c r="E81" s="6" t="n">
        <f aca="false">ROUND(12911*1.05,2)</f>
        <v>13556.55</v>
      </c>
      <c r="F81" s="6" t="s">
        <v>35</v>
      </c>
      <c r="G81" s="6" t="s">
        <v>18</v>
      </c>
      <c r="H81" s="6" t="n">
        <f aca="true">ROUND(RAND()*4+6,1)</f>
        <v>7.7</v>
      </c>
      <c r="I81" s="6" t="s">
        <v>36</v>
      </c>
      <c r="J81" s="6" t="str">
        <f aca="false">ROUND(60*1,0)&amp;"%"</f>
        <v>60%</v>
      </c>
    </row>
    <row r="82" customFormat="false" ht="15" hidden="false" customHeight="false" outlineLevel="0" collapsed="false">
      <c r="A82" s="5" t="s">
        <v>10669</v>
      </c>
      <c r="B82" s="5" t="s">
        <v>160</v>
      </c>
      <c r="C82" s="5" t="s">
        <v>152</v>
      </c>
      <c r="D82" s="5" t="s">
        <v>39</v>
      </c>
      <c r="E82" s="5" t="n">
        <f aca="false">ROUND(15227*1.05,2)</f>
        <v>15988.35</v>
      </c>
      <c r="F82" s="5" t="s">
        <v>40</v>
      </c>
      <c r="G82" s="5" t="s">
        <v>24</v>
      </c>
      <c r="H82" s="5" t="n">
        <f aca="true">ROUND(RAND()*4+6,1)</f>
        <v>7.8</v>
      </c>
      <c r="I82" s="5" t="s">
        <v>41</v>
      </c>
      <c r="J82" s="5" t="str">
        <f aca="false">ROUND(77*1,0)&amp;"%"</f>
        <v>77%</v>
      </c>
    </row>
    <row r="83" customFormat="false" ht="15" hidden="false" customHeight="false" outlineLevel="0" collapsed="false">
      <c r="A83" s="6" t="s">
        <v>10670</v>
      </c>
      <c r="B83" s="6" t="s">
        <v>162</v>
      </c>
      <c r="C83" s="6" t="s">
        <v>152</v>
      </c>
      <c r="D83" s="6" t="s">
        <v>44</v>
      </c>
      <c r="E83" s="6" t="n">
        <f aca="false">ROUND(15818*1.05,2)</f>
        <v>16608.9</v>
      </c>
      <c r="F83" s="6" t="s">
        <v>45</v>
      </c>
      <c r="G83" s="6" t="s">
        <v>30</v>
      </c>
      <c r="H83" s="6" t="n">
        <f aca="true">ROUND(RAND()*4+6,1)</f>
        <v>6.6</v>
      </c>
      <c r="I83" s="6" t="s">
        <v>46</v>
      </c>
      <c r="J83" s="6" t="str">
        <f aca="false">ROUND(80*1,0)&amp;"%"</f>
        <v>80%</v>
      </c>
    </row>
    <row r="84" customFormat="false" ht="15" hidden="false" customHeight="false" outlineLevel="0" collapsed="false">
      <c r="A84" s="5" t="s">
        <v>10671</v>
      </c>
      <c r="B84" s="5" t="s">
        <v>164</v>
      </c>
      <c r="C84" s="5" t="s">
        <v>152</v>
      </c>
      <c r="D84" s="5" t="s">
        <v>16</v>
      </c>
      <c r="E84" s="5" t="n">
        <f aca="false">ROUND(5436*1.05,2)</f>
        <v>5707.8</v>
      </c>
      <c r="F84" s="5" t="s">
        <v>49</v>
      </c>
      <c r="G84" s="5" t="s">
        <v>18</v>
      </c>
      <c r="H84" s="5" t="n">
        <f aca="true">ROUND(RAND()*4+6,1)</f>
        <v>6.2</v>
      </c>
      <c r="I84" s="5" t="s">
        <v>19</v>
      </c>
      <c r="J84" s="5" t="str">
        <f aca="false">ROUND(60*1,0)&amp;"%"</f>
        <v>60%</v>
      </c>
    </row>
    <row r="85" customFormat="false" ht="15" hidden="false" customHeight="false" outlineLevel="0" collapsed="false">
      <c r="A85" s="6" t="s">
        <v>10672</v>
      </c>
      <c r="B85" s="6" t="s">
        <v>166</v>
      </c>
      <c r="C85" s="6" t="s">
        <v>152</v>
      </c>
      <c r="D85" s="6" t="s">
        <v>22</v>
      </c>
      <c r="E85" s="6" t="n">
        <f aca="false">ROUND(11004*1.05,2)</f>
        <v>11554.2</v>
      </c>
      <c r="F85" s="6" t="s">
        <v>52</v>
      </c>
      <c r="G85" s="6" t="s">
        <v>24</v>
      </c>
      <c r="H85" s="6" t="n">
        <f aca="true">ROUND(RAND()*4+6,1)</f>
        <v>8.3</v>
      </c>
      <c r="I85" s="6" t="s">
        <v>25</v>
      </c>
      <c r="J85" s="6" t="str">
        <f aca="false">ROUND(74*1,0)&amp;"%"</f>
        <v>74%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10673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10674</v>
      </c>
      <c r="B90" s="5" t="s">
        <v>170</v>
      </c>
      <c r="C90" s="5" t="s">
        <v>15</v>
      </c>
      <c r="D90" s="5" t="s">
        <v>16</v>
      </c>
      <c r="E90" s="5" t="n">
        <f aca="false">ROUND(6402*1.05,2)</f>
        <v>6722.1</v>
      </c>
      <c r="F90" s="5" t="s">
        <v>17</v>
      </c>
      <c r="G90" s="5" t="s">
        <v>18</v>
      </c>
      <c r="H90" s="5" t="n">
        <f aca="true">ROUND(RAND()*4+6,1)</f>
        <v>9.6</v>
      </c>
      <c r="I90" s="5" t="s">
        <v>19</v>
      </c>
      <c r="J90" s="5" t="str">
        <f aca="false">ROUND(70*1,0)&amp;"%"</f>
        <v>70%</v>
      </c>
    </row>
    <row r="91" customFormat="false" ht="15" hidden="false" customHeight="false" outlineLevel="0" collapsed="false">
      <c r="A91" s="6" t="s">
        <v>10675</v>
      </c>
      <c r="B91" s="6" t="s">
        <v>172</v>
      </c>
      <c r="C91" s="6" t="s">
        <v>15</v>
      </c>
      <c r="D91" s="6" t="s">
        <v>22</v>
      </c>
      <c r="E91" s="6" t="n">
        <f aca="false">ROUND(17954*1.05,2)</f>
        <v>18851.7</v>
      </c>
      <c r="F91" s="6" t="s">
        <v>23</v>
      </c>
      <c r="G91" s="6" t="s">
        <v>24</v>
      </c>
      <c r="H91" s="6" t="n">
        <f aca="true">ROUND(RAND()*4+6,1)</f>
        <v>7.9</v>
      </c>
      <c r="I91" s="6" t="s">
        <v>25</v>
      </c>
      <c r="J91" s="6" t="str">
        <f aca="false">ROUND(72*1,0)&amp;"%"</f>
        <v>72%</v>
      </c>
    </row>
    <row r="92" customFormat="false" ht="15" hidden="false" customHeight="false" outlineLevel="0" collapsed="false">
      <c r="A92" s="5" t="s">
        <v>10676</v>
      </c>
      <c r="B92" s="5" t="s">
        <v>174</v>
      </c>
      <c r="C92" s="5" t="s">
        <v>15</v>
      </c>
      <c r="D92" s="5" t="s">
        <v>28</v>
      </c>
      <c r="E92" s="5" t="n">
        <f aca="false">ROUND(7514*1.05,2)</f>
        <v>7889.7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ROUND(90*1,0)&amp;"%"</f>
        <v>90%</v>
      </c>
    </row>
    <row r="93" customFormat="false" ht="15" hidden="false" customHeight="false" outlineLevel="0" collapsed="false">
      <c r="A93" s="6" t="s">
        <v>10677</v>
      </c>
      <c r="B93" s="6" t="s">
        <v>176</v>
      </c>
      <c r="C93" s="6" t="s">
        <v>15</v>
      </c>
      <c r="D93" s="6" t="s">
        <v>34</v>
      </c>
      <c r="E93" s="6" t="n">
        <f aca="false">ROUND(17921*1.05,2)</f>
        <v>18817.05</v>
      </c>
      <c r="F93" s="6" t="s">
        <v>35</v>
      </c>
      <c r="G93" s="6" t="s">
        <v>18</v>
      </c>
      <c r="H93" s="6" t="n">
        <f aca="true">ROUND(RAND()*4+6,1)</f>
        <v>9.7</v>
      </c>
      <c r="I93" s="6" t="s">
        <v>36</v>
      </c>
      <c r="J93" s="6" t="str">
        <f aca="false">ROUND(69*1,0)&amp;"%"</f>
        <v>69%</v>
      </c>
    </row>
    <row r="94" customFormat="false" ht="15" hidden="false" customHeight="false" outlineLevel="0" collapsed="false">
      <c r="A94" s="5" t="s">
        <v>10678</v>
      </c>
      <c r="B94" s="5" t="s">
        <v>178</v>
      </c>
      <c r="C94" s="5" t="s">
        <v>15</v>
      </c>
      <c r="D94" s="5" t="s">
        <v>39</v>
      </c>
      <c r="E94" s="5" t="n">
        <f aca="false">ROUND(13305*1.05,2)</f>
        <v>13970.25</v>
      </c>
      <c r="F94" s="5" t="s">
        <v>40</v>
      </c>
      <c r="G94" s="5" t="s">
        <v>24</v>
      </c>
      <c r="H94" s="5" t="n">
        <f aca="true">ROUND(RAND()*4+6,1)</f>
        <v>9.1</v>
      </c>
      <c r="I94" s="5" t="s">
        <v>41</v>
      </c>
      <c r="J94" s="5" t="str">
        <f aca="false">ROUND(74*1,0)&amp;"%"</f>
        <v>74%</v>
      </c>
    </row>
    <row r="95" customFormat="false" ht="15" hidden="false" customHeight="false" outlineLevel="0" collapsed="false">
      <c r="A95" s="6" t="s">
        <v>10679</v>
      </c>
      <c r="B95" s="6" t="s">
        <v>180</v>
      </c>
      <c r="C95" s="6" t="s">
        <v>15</v>
      </c>
      <c r="D95" s="6" t="s">
        <v>44</v>
      </c>
      <c r="E95" s="6" t="n">
        <f aca="false">ROUND(17408*1.05,2)</f>
        <v>18278.4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ROUND(64*1,0)&amp;"%"</f>
        <v>64%</v>
      </c>
    </row>
    <row r="96" customFormat="false" ht="15" hidden="false" customHeight="false" outlineLevel="0" collapsed="false">
      <c r="A96" s="5" t="s">
        <v>10680</v>
      </c>
      <c r="B96" s="5" t="s">
        <v>182</v>
      </c>
      <c r="C96" s="5" t="s">
        <v>15</v>
      </c>
      <c r="D96" s="5" t="s">
        <v>16</v>
      </c>
      <c r="E96" s="5" t="n">
        <f aca="false">ROUND(11099*1.05,2)</f>
        <v>11653.95</v>
      </c>
      <c r="F96" s="5" t="s">
        <v>49</v>
      </c>
      <c r="G96" s="5" t="s">
        <v>18</v>
      </c>
      <c r="H96" s="5" t="n">
        <f aca="true">ROUND(RAND()*4+6,1)</f>
        <v>7.5</v>
      </c>
      <c r="I96" s="5" t="s">
        <v>19</v>
      </c>
      <c r="J96" s="5" t="str">
        <f aca="false">ROUND(63*1,0)&amp;"%"</f>
        <v>63%</v>
      </c>
    </row>
    <row r="97" customFormat="false" ht="15" hidden="false" customHeight="false" outlineLevel="0" collapsed="false">
      <c r="A97" s="6" t="s">
        <v>10681</v>
      </c>
      <c r="B97" s="6" t="s">
        <v>184</v>
      </c>
      <c r="C97" s="6" t="s">
        <v>15</v>
      </c>
      <c r="D97" s="6" t="s">
        <v>22</v>
      </c>
      <c r="E97" s="6" t="n">
        <f aca="false">ROUND(14434*1.05,2)</f>
        <v>15155.7</v>
      </c>
      <c r="F97" s="6" t="s">
        <v>52</v>
      </c>
      <c r="G97" s="6" t="s">
        <v>24</v>
      </c>
      <c r="H97" s="6" t="n">
        <f aca="true">ROUND(RAND()*4+6,1)</f>
        <v>8.3</v>
      </c>
      <c r="I97" s="6" t="s">
        <v>25</v>
      </c>
      <c r="J97" s="6" t="str">
        <f aca="false">ROUND(85*1,0)&amp;"%"</f>
        <v>85%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10682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10683</v>
      </c>
      <c r="B102" s="5" t="s">
        <v>188</v>
      </c>
      <c r="C102" s="5" t="s">
        <v>57</v>
      </c>
      <c r="D102" s="5" t="s">
        <v>16</v>
      </c>
      <c r="E102" s="5" t="n">
        <f aca="false">ROUND(10802*1.05,2)</f>
        <v>11342.1</v>
      </c>
      <c r="F102" s="5" t="s">
        <v>17</v>
      </c>
      <c r="G102" s="5" t="s">
        <v>18</v>
      </c>
      <c r="H102" s="5" t="n">
        <f aca="true">ROUND(RAND()*4+6,1)</f>
        <v>9.1</v>
      </c>
      <c r="I102" s="5" t="s">
        <v>19</v>
      </c>
      <c r="J102" s="5" t="str">
        <f aca="false">ROUND(79*1,0)&amp;"%"</f>
        <v>79%</v>
      </c>
    </row>
    <row r="103" customFormat="false" ht="15" hidden="false" customHeight="false" outlineLevel="0" collapsed="false">
      <c r="A103" s="6" t="s">
        <v>10684</v>
      </c>
      <c r="B103" s="6" t="s">
        <v>190</v>
      </c>
      <c r="C103" s="6" t="s">
        <v>57</v>
      </c>
      <c r="D103" s="6" t="s">
        <v>22</v>
      </c>
      <c r="E103" s="6" t="n">
        <f aca="false">ROUND(17551*1.05,2)</f>
        <v>18428.55</v>
      </c>
      <c r="F103" s="6" t="s">
        <v>23</v>
      </c>
      <c r="G103" s="6" t="s">
        <v>24</v>
      </c>
      <c r="H103" s="6" t="n">
        <f aca="true">ROUND(RAND()*4+6,1)</f>
        <v>7.5</v>
      </c>
      <c r="I103" s="6" t="s">
        <v>25</v>
      </c>
      <c r="J103" s="6" t="str">
        <f aca="false">ROUND(91*1,0)&amp;"%"</f>
        <v>91%</v>
      </c>
    </row>
    <row r="104" customFormat="false" ht="15" hidden="false" customHeight="false" outlineLevel="0" collapsed="false">
      <c r="A104" s="5" t="s">
        <v>10685</v>
      </c>
      <c r="B104" s="5" t="s">
        <v>192</v>
      </c>
      <c r="C104" s="5" t="s">
        <v>57</v>
      </c>
      <c r="D104" s="5" t="s">
        <v>28</v>
      </c>
      <c r="E104" s="5" t="n">
        <f aca="false">ROUND(4231*1.05,2)</f>
        <v>4442.55</v>
      </c>
      <c r="F104" s="5" t="s">
        <v>29</v>
      </c>
      <c r="G104" s="5" t="s">
        <v>30</v>
      </c>
      <c r="H104" s="5" t="n">
        <f aca="true">ROUND(RAND()*4+6,1)</f>
        <v>8.7</v>
      </c>
      <c r="I104" s="5" t="s">
        <v>31</v>
      </c>
      <c r="J104" s="5" t="str">
        <f aca="false">ROUND(60*1,0)&amp;"%"</f>
        <v>60%</v>
      </c>
    </row>
    <row r="105" customFormat="false" ht="15" hidden="false" customHeight="false" outlineLevel="0" collapsed="false">
      <c r="A105" s="6" t="s">
        <v>10686</v>
      </c>
      <c r="B105" s="6" t="s">
        <v>194</v>
      </c>
      <c r="C105" s="6" t="s">
        <v>57</v>
      </c>
      <c r="D105" s="6" t="s">
        <v>34</v>
      </c>
      <c r="E105" s="6" t="n">
        <f aca="false">ROUND(12535*1.05,2)</f>
        <v>13161.75</v>
      </c>
      <c r="F105" s="6" t="s">
        <v>35</v>
      </c>
      <c r="G105" s="6" t="s">
        <v>18</v>
      </c>
      <c r="H105" s="6" t="n">
        <f aca="true">ROUND(RAND()*4+6,1)</f>
        <v>8</v>
      </c>
      <c r="I105" s="6" t="s">
        <v>36</v>
      </c>
      <c r="J105" s="6" t="str">
        <f aca="false">ROUND(95*1,0)&amp;"%"</f>
        <v>95%</v>
      </c>
    </row>
    <row r="106" customFormat="false" ht="15" hidden="false" customHeight="false" outlineLevel="0" collapsed="false">
      <c r="A106" s="5" t="s">
        <v>10687</v>
      </c>
      <c r="B106" s="5" t="s">
        <v>196</v>
      </c>
      <c r="C106" s="5" t="s">
        <v>57</v>
      </c>
      <c r="D106" s="5" t="s">
        <v>39</v>
      </c>
      <c r="E106" s="5" t="n">
        <f aca="false">ROUND(15641*1.05,2)</f>
        <v>16423.05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ROUND(83*1,0)&amp;"%"</f>
        <v>83%</v>
      </c>
    </row>
    <row r="107" customFormat="false" ht="15" hidden="false" customHeight="false" outlineLevel="0" collapsed="false">
      <c r="A107" s="6" t="s">
        <v>10688</v>
      </c>
      <c r="B107" s="6" t="s">
        <v>198</v>
      </c>
      <c r="C107" s="6" t="s">
        <v>57</v>
      </c>
      <c r="D107" s="6" t="s">
        <v>44</v>
      </c>
      <c r="E107" s="6" t="n">
        <f aca="false">ROUND(6123*1.05,2)</f>
        <v>6429.15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ROUND(79*1,0)&amp;"%"</f>
        <v>79%</v>
      </c>
    </row>
    <row r="108" customFormat="false" ht="15" hidden="false" customHeight="false" outlineLevel="0" collapsed="false">
      <c r="A108" s="5" t="s">
        <v>10689</v>
      </c>
      <c r="B108" s="5" t="s">
        <v>200</v>
      </c>
      <c r="C108" s="5" t="s">
        <v>57</v>
      </c>
      <c r="D108" s="5" t="s">
        <v>16</v>
      </c>
      <c r="E108" s="5" t="n">
        <f aca="false">ROUND(7556*1.05,2)</f>
        <v>7933.8</v>
      </c>
      <c r="F108" s="5" t="s">
        <v>49</v>
      </c>
      <c r="G108" s="5" t="s">
        <v>18</v>
      </c>
      <c r="H108" s="5" t="n">
        <f aca="true">ROUND(RAND()*4+6,1)</f>
        <v>6.7</v>
      </c>
      <c r="I108" s="5" t="s">
        <v>19</v>
      </c>
      <c r="J108" s="5" t="str">
        <f aca="false">ROUND(65*1,0)&amp;"%"</f>
        <v>65%</v>
      </c>
    </row>
    <row r="109" customFormat="false" ht="15" hidden="false" customHeight="false" outlineLevel="0" collapsed="false">
      <c r="A109" s="6" t="s">
        <v>10690</v>
      </c>
      <c r="B109" s="6" t="s">
        <v>202</v>
      </c>
      <c r="C109" s="6" t="s">
        <v>57</v>
      </c>
      <c r="D109" s="6" t="s">
        <v>22</v>
      </c>
      <c r="E109" s="6" t="n">
        <f aca="false">ROUND(12372*1.05,2)</f>
        <v>12990.6</v>
      </c>
      <c r="F109" s="6" t="s">
        <v>52</v>
      </c>
      <c r="G109" s="6" t="s">
        <v>24</v>
      </c>
      <c r="H109" s="6" t="n">
        <f aca="true">ROUND(RAND()*4+6,1)</f>
        <v>9</v>
      </c>
      <c r="I109" s="6" t="s">
        <v>25</v>
      </c>
      <c r="J109" s="6" t="str">
        <f aca="false">ROUND(73*1,0)&amp;"%"</f>
        <v>73%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10691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10692</v>
      </c>
      <c r="B114" s="5" t="s">
        <v>206</v>
      </c>
      <c r="C114" s="5" t="s">
        <v>76</v>
      </c>
      <c r="D114" s="5" t="s">
        <v>16</v>
      </c>
      <c r="E114" s="5" t="n">
        <f aca="false">ROUND(16529*1.05,2)</f>
        <v>17355.45</v>
      </c>
      <c r="F114" s="5" t="s">
        <v>17</v>
      </c>
      <c r="G114" s="5" t="s">
        <v>18</v>
      </c>
      <c r="H114" s="5" t="n">
        <f aca="true">ROUND(RAND()*4+6,1)</f>
        <v>9.1</v>
      </c>
      <c r="I114" s="5" t="s">
        <v>19</v>
      </c>
      <c r="J114" s="5" t="str">
        <f aca="false">ROUND(100*1,0)&amp;"%"</f>
        <v>100%</v>
      </c>
    </row>
    <row r="115" customFormat="false" ht="15" hidden="false" customHeight="false" outlineLevel="0" collapsed="false">
      <c r="A115" s="6" t="s">
        <v>10693</v>
      </c>
      <c r="B115" s="6" t="s">
        <v>208</v>
      </c>
      <c r="C115" s="6" t="s">
        <v>76</v>
      </c>
      <c r="D115" s="6" t="s">
        <v>22</v>
      </c>
      <c r="E115" s="6" t="n">
        <f aca="false">ROUND(13658*1.05,2)</f>
        <v>14340.9</v>
      </c>
      <c r="F115" s="6" t="s">
        <v>23</v>
      </c>
      <c r="G115" s="6" t="s">
        <v>24</v>
      </c>
      <c r="H115" s="6" t="n">
        <f aca="true">ROUND(RAND()*4+6,1)</f>
        <v>8</v>
      </c>
      <c r="I115" s="6" t="s">
        <v>25</v>
      </c>
      <c r="J115" s="6" t="str">
        <f aca="false">ROUND(89*1,0)&amp;"%"</f>
        <v>89%</v>
      </c>
    </row>
    <row r="116" customFormat="false" ht="15" hidden="false" customHeight="false" outlineLevel="0" collapsed="false">
      <c r="A116" s="5" t="s">
        <v>10694</v>
      </c>
      <c r="B116" s="5" t="s">
        <v>210</v>
      </c>
      <c r="C116" s="5" t="s">
        <v>76</v>
      </c>
      <c r="D116" s="5" t="s">
        <v>28</v>
      </c>
      <c r="E116" s="5" t="n">
        <f aca="false">ROUND(4505*1.05,2)</f>
        <v>4730.25</v>
      </c>
      <c r="F116" s="5" t="s">
        <v>29</v>
      </c>
      <c r="G116" s="5" t="s">
        <v>30</v>
      </c>
      <c r="H116" s="5" t="n">
        <f aca="true">ROUND(RAND()*4+6,1)</f>
        <v>8</v>
      </c>
      <c r="I116" s="5" t="s">
        <v>31</v>
      </c>
      <c r="J116" s="5" t="str">
        <f aca="false">ROUND(81*1,0)&amp;"%"</f>
        <v>81%</v>
      </c>
    </row>
    <row r="117" customFormat="false" ht="15" hidden="false" customHeight="false" outlineLevel="0" collapsed="false">
      <c r="A117" s="6" t="s">
        <v>10695</v>
      </c>
      <c r="B117" s="6" t="s">
        <v>212</v>
      </c>
      <c r="C117" s="6" t="s">
        <v>76</v>
      </c>
      <c r="D117" s="6" t="s">
        <v>34</v>
      </c>
      <c r="E117" s="6" t="n">
        <f aca="false">ROUND(15045*1.05,2)</f>
        <v>15797.25</v>
      </c>
      <c r="F117" s="6" t="s">
        <v>35</v>
      </c>
      <c r="G117" s="6" t="s">
        <v>18</v>
      </c>
      <c r="H117" s="6" t="n">
        <f aca="true">ROUND(RAND()*4+6,1)</f>
        <v>6.5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10696</v>
      </c>
      <c r="B118" s="5" t="s">
        <v>214</v>
      </c>
      <c r="C118" s="5" t="s">
        <v>76</v>
      </c>
      <c r="D118" s="5" t="s">
        <v>39</v>
      </c>
      <c r="E118" s="5" t="n">
        <f aca="false">ROUND(6007*1.05,2)</f>
        <v>6307.35</v>
      </c>
      <c r="F118" s="5" t="s">
        <v>40</v>
      </c>
      <c r="G118" s="5" t="s">
        <v>24</v>
      </c>
      <c r="H118" s="5" t="n">
        <f aca="true">ROUND(RAND()*4+6,1)</f>
        <v>8.2</v>
      </c>
      <c r="I118" s="5" t="s">
        <v>41</v>
      </c>
      <c r="J118" s="5" t="str">
        <f aca="false">ROUND(100*1,0)&amp;"%"</f>
        <v>100%</v>
      </c>
    </row>
    <row r="119" customFormat="false" ht="15" hidden="false" customHeight="false" outlineLevel="0" collapsed="false">
      <c r="A119" s="6" t="s">
        <v>10697</v>
      </c>
      <c r="B119" s="6" t="s">
        <v>216</v>
      </c>
      <c r="C119" s="6" t="s">
        <v>76</v>
      </c>
      <c r="D119" s="6" t="s">
        <v>44</v>
      </c>
      <c r="E119" s="6" t="n">
        <f aca="false">ROUND(8541*1.05,2)</f>
        <v>8968.05</v>
      </c>
      <c r="F119" s="6" t="s">
        <v>45</v>
      </c>
      <c r="G119" s="6" t="s">
        <v>30</v>
      </c>
      <c r="H119" s="6" t="n">
        <f aca="true">ROUND(RAND()*4+6,1)</f>
        <v>7.7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10698</v>
      </c>
      <c r="B120" s="5" t="s">
        <v>218</v>
      </c>
      <c r="C120" s="5" t="s">
        <v>76</v>
      </c>
      <c r="D120" s="5" t="s">
        <v>16</v>
      </c>
      <c r="E120" s="5" t="n">
        <f aca="false">ROUND(14264*1.05,2)</f>
        <v>14977.2</v>
      </c>
      <c r="F120" s="5" t="s">
        <v>49</v>
      </c>
      <c r="G120" s="5" t="s">
        <v>18</v>
      </c>
      <c r="H120" s="5" t="n">
        <f aca="true">ROUND(RAND()*4+6,1)</f>
        <v>6.4</v>
      </c>
      <c r="I120" s="5" t="s">
        <v>19</v>
      </c>
      <c r="J120" s="5" t="str">
        <f aca="false">ROUND(89*1,0)&amp;"%"</f>
        <v>89%</v>
      </c>
    </row>
    <row r="121" customFormat="false" ht="15" hidden="false" customHeight="false" outlineLevel="0" collapsed="false">
      <c r="A121" s="6" t="s">
        <v>10699</v>
      </c>
      <c r="B121" s="6" t="s">
        <v>220</v>
      </c>
      <c r="C121" s="6" t="s">
        <v>76</v>
      </c>
      <c r="D121" s="6" t="s">
        <v>22</v>
      </c>
      <c r="E121" s="6" t="n">
        <f aca="false">ROUND(16829*1.05,2)</f>
        <v>17670.45</v>
      </c>
      <c r="F121" s="6" t="s">
        <v>52</v>
      </c>
      <c r="G121" s="6" t="s">
        <v>24</v>
      </c>
      <c r="H121" s="6" t="n">
        <f aca="true">ROUND(RAND()*4+6,1)</f>
        <v>8.6</v>
      </c>
      <c r="I121" s="6" t="s">
        <v>25</v>
      </c>
      <c r="J121" s="6" t="str">
        <f aca="false">ROUND(67*1,0)&amp;"%"</f>
        <v>67%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10700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10701</v>
      </c>
      <c r="B126" s="5" t="s">
        <v>224</v>
      </c>
      <c r="C126" s="5" t="s">
        <v>95</v>
      </c>
      <c r="D126" s="5" t="s">
        <v>16</v>
      </c>
      <c r="E126" s="5" t="n">
        <f aca="false">ROUND(5593*1.05,2)</f>
        <v>5872.65</v>
      </c>
      <c r="F126" s="5" t="s">
        <v>17</v>
      </c>
      <c r="G126" s="5" t="s">
        <v>18</v>
      </c>
      <c r="H126" s="5" t="n">
        <f aca="true">ROUND(RAND()*4+6,1)</f>
        <v>7.9</v>
      </c>
      <c r="I126" s="5" t="s">
        <v>19</v>
      </c>
      <c r="J126" s="5" t="str">
        <f aca="false">ROUND(83*1,0)&amp;"%"</f>
        <v>83%</v>
      </c>
    </row>
    <row r="127" customFormat="false" ht="15" hidden="false" customHeight="false" outlineLevel="0" collapsed="false">
      <c r="A127" s="6" t="s">
        <v>10702</v>
      </c>
      <c r="B127" s="6" t="s">
        <v>226</v>
      </c>
      <c r="C127" s="6" t="s">
        <v>95</v>
      </c>
      <c r="D127" s="6" t="s">
        <v>22</v>
      </c>
      <c r="E127" s="6" t="n">
        <f aca="false">ROUND(11688*1.05,2)</f>
        <v>12272.4</v>
      </c>
      <c r="F127" s="6" t="s">
        <v>23</v>
      </c>
      <c r="G127" s="6" t="s">
        <v>24</v>
      </c>
      <c r="H127" s="6" t="n">
        <f aca="true">ROUND(RAND()*4+6,1)</f>
        <v>8.7</v>
      </c>
      <c r="I127" s="6" t="s">
        <v>25</v>
      </c>
      <c r="J127" s="6" t="str">
        <f aca="false">ROUND(79*1,0)&amp;"%"</f>
        <v>79%</v>
      </c>
    </row>
    <row r="128" customFormat="false" ht="15" hidden="false" customHeight="false" outlineLevel="0" collapsed="false">
      <c r="A128" s="5" t="s">
        <v>10703</v>
      </c>
      <c r="B128" s="5" t="s">
        <v>228</v>
      </c>
      <c r="C128" s="5" t="s">
        <v>95</v>
      </c>
      <c r="D128" s="5" t="s">
        <v>28</v>
      </c>
      <c r="E128" s="5" t="n">
        <f aca="false">ROUND(15355*1.05,2)</f>
        <v>16122.75</v>
      </c>
      <c r="F128" s="5" t="s">
        <v>29</v>
      </c>
      <c r="G128" s="5" t="s">
        <v>30</v>
      </c>
      <c r="H128" s="5" t="n">
        <f aca="true">ROUND(RAND()*4+6,1)</f>
        <v>9</v>
      </c>
      <c r="I128" s="5" t="s">
        <v>31</v>
      </c>
      <c r="J128" s="5" t="str">
        <f aca="false">ROUND(83*1,0)&amp;"%"</f>
        <v>83%</v>
      </c>
    </row>
    <row r="129" customFormat="false" ht="15" hidden="false" customHeight="false" outlineLevel="0" collapsed="false">
      <c r="A129" s="6" t="s">
        <v>10704</v>
      </c>
      <c r="B129" s="6" t="s">
        <v>230</v>
      </c>
      <c r="C129" s="6" t="s">
        <v>95</v>
      </c>
      <c r="D129" s="6" t="s">
        <v>34</v>
      </c>
      <c r="E129" s="6" t="n">
        <f aca="false">ROUND(4145*1.05,2)</f>
        <v>4352.25</v>
      </c>
      <c r="F129" s="6" t="s">
        <v>35</v>
      </c>
      <c r="G129" s="6" t="s">
        <v>18</v>
      </c>
      <c r="H129" s="6" t="n">
        <f aca="true">ROUND(RAND()*4+6,1)</f>
        <v>6.6</v>
      </c>
      <c r="I129" s="6" t="s">
        <v>36</v>
      </c>
      <c r="J129" s="6" t="str">
        <f aca="false">ROUND(75*1,0)&amp;"%"</f>
        <v>75%</v>
      </c>
    </row>
    <row r="130" customFormat="false" ht="15" hidden="false" customHeight="false" outlineLevel="0" collapsed="false">
      <c r="A130" s="5" t="s">
        <v>10705</v>
      </c>
      <c r="B130" s="5" t="s">
        <v>232</v>
      </c>
      <c r="C130" s="5" t="s">
        <v>95</v>
      </c>
      <c r="D130" s="5" t="s">
        <v>39</v>
      </c>
      <c r="E130" s="5" t="n">
        <f aca="false">ROUND(4145*1.05,2)</f>
        <v>4352.25</v>
      </c>
      <c r="F130" s="5" t="s">
        <v>40</v>
      </c>
      <c r="G130" s="5" t="s">
        <v>24</v>
      </c>
      <c r="H130" s="5" t="n">
        <f aca="true">ROUND(RAND()*4+6,1)</f>
        <v>9.5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10706</v>
      </c>
      <c r="B131" s="6" t="s">
        <v>234</v>
      </c>
      <c r="C131" s="6" t="s">
        <v>95</v>
      </c>
      <c r="D131" s="6" t="s">
        <v>44</v>
      </c>
      <c r="E131" s="6" t="n">
        <f aca="false">ROUND(11556*1.05,2)</f>
        <v>12133.8</v>
      </c>
      <c r="F131" s="6" t="s">
        <v>45</v>
      </c>
      <c r="G131" s="6" t="s">
        <v>30</v>
      </c>
      <c r="H131" s="6" t="n">
        <f aca="true">ROUND(RAND()*4+6,1)</f>
        <v>6.6</v>
      </c>
      <c r="I131" s="6" t="s">
        <v>46</v>
      </c>
      <c r="J131" s="6" t="str">
        <f aca="false">ROUND(96*1,0)&amp;"%"</f>
        <v>96%</v>
      </c>
    </row>
    <row r="132" customFormat="false" ht="15" hidden="false" customHeight="false" outlineLevel="0" collapsed="false">
      <c r="A132" s="5" t="s">
        <v>10707</v>
      </c>
      <c r="B132" s="5" t="s">
        <v>236</v>
      </c>
      <c r="C132" s="5" t="s">
        <v>95</v>
      </c>
      <c r="D132" s="5" t="s">
        <v>16</v>
      </c>
      <c r="E132" s="5" t="n">
        <f aca="false">ROUND(13029*1.05,2)</f>
        <v>13680.45</v>
      </c>
      <c r="F132" s="5" t="s">
        <v>49</v>
      </c>
      <c r="G132" s="5" t="s">
        <v>18</v>
      </c>
      <c r="H132" s="5" t="n">
        <f aca="true">ROUND(RAND()*4+6,1)</f>
        <v>7.2</v>
      </c>
      <c r="I132" s="5" t="s">
        <v>19</v>
      </c>
      <c r="J132" s="5" t="str">
        <f aca="false">ROUND(93*1,0)&amp;"%"</f>
        <v>93%</v>
      </c>
    </row>
    <row r="133" customFormat="false" ht="15" hidden="false" customHeight="false" outlineLevel="0" collapsed="false">
      <c r="A133" s="6" t="s">
        <v>10708</v>
      </c>
      <c r="B133" s="6" t="s">
        <v>238</v>
      </c>
      <c r="C133" s="6" t="s">
        <v>95</v>
      </c>
      <c r="D133" s="6" t="s">
        <v>22</v>
      </c>
      <c r="E133" s="6" t="n">
        <f aca="false">ROUND(16256*1.05,2)</f>
        <v>17068.8</v>
      </c>
      <c r="F133" s="6" t="s">
        <v>52</v>
      </c>
      <c r="G133" s="6" t="s">
        <v>24</v>
      </c>
      <c r="H133" s="6" t="n">
        <f aca="true">ROUND(RAND()*4+6,1)</f>
        <v>9.7</v>
      </c>
      <c r="I133" s="6" t="s">
        <v>25</v>
      </c>
      <c r="J133" s="6" t="str">
        <f aca="false">ROUND(68*1,0)&amp;"%"</f>
        <v>68%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10709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10710</v>
      </c>
      <c r="B138" s="5" t="s">
        <v>242</v>
      </c>
      <c r="C138" s="5" t="s">
        <v>114</v>
      </c>
      <c r="D138" s="5" t="s">
        <v>16</v>
      </c>
      <c r="E138" s="5" t="n">
        <f aca="false">ROUND(4685*1.05,2)</f>
        <v>4919.25</v>
      </c>
      <c r="F138" s="5" t="s">
        <v>17</v>
      </c>
      <c r="G138" s="5" t="s">
        <v>18</v>
      </c>
      <c r="H138" s="5" t="n">
        <f aca="true">ROUND(RAND()*4+6,1)</f>
        <v>9.4</v>
      </c>
      <c r="I138" s="5" t="s">
        <v>19</v>
      </c>
      <c r="J138" s="5" t="str">
        <f aca="false">ROUND(74*1,0)&amp;"%"</f>
        <v>74%</v>
      </c>
    </row>
    <row r="139" customFormat="false" ht="15" hidden="false" customHeight="false" outlineLevel="0" collapsed="false">
      <c r="A139" s="6" t="s">
        <v>10711</v>
      </c>
      <c r="B139" s="6" t="s">
        <v>244</v>
      </c>
      <c r="C139" s="6" t="s">
        <v>114</v>
      </c>
      <c r="D139" s="6" t="s">
        <v>22</v>
      </c>
      <c r="E139" s="6" t="n">
        <f aca="false">ROUND(8332*1.05,2)</f>
        <v>8748.6</v>
      </c>
      <c r="F139" s="6" t="s">
        <v>23</v>
      </c>
      <c r="G139" s="6" t="s">
        <v>24</v>
      </c>
      <c r="H139" s="6" t="n">
        <f aca="true">ROUND(RAND()*4+6,1)</f>
        <v>7.2</v>
      </c>
      <c r="I139" s="6" t="s">
        <v>25</v>
      </c>
      <c r="J139" s="6" t="str">
        <f aca="false">ROUND(96*1,0)&amp;"%"</f>
        <v>96%</v>
      </c>
    </row>
    <row r="140" customFormat="false" ht="15" hidden="false" customHeight="false" outlineLevel="0" collapsed="false">
      <c r="A140" s="5" t="s">
        <v>10712</v>
      </c>
      <c r="B140" s="5" t="s">
        <v>246</v>
      </c>
      <c r="C140" s="5" t="s">
        <v>114</v>
      </c>
      <c r="D140" s="5" t="s">
        <v>28</v>
      </c>
      <c r="E140" s="5" t="n">
        <f aca="false">ROUND(11968*1.05,2)</f>
        <v>12566.4</v>
      </c>
      <c r="F140" s="5" t="s">
        <v>29</v>
      </c>
      <c r="G140" s="5" t="s">
        <v>30</v>
      </c>
      <c r="H140" s="5" t="n">
        <f aca="true">ROUND(RAND()*4+6,1)</f>
        <v>7.6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10713</v>
      </c>
      <c r="B141" s="6" t="s">
        <v>248</v>
      </c>
      <c r="C141" s="6" t="s">
        <v>114</v>
      </c>
      <c r="D141" s="6" t="s">
        <v>34</v>
      </c>
      <c r="E141" s="6" t="n">
        <f aca="false">ROUND(9886*1.05,2)</f>
        <v>10380.3</v>
      </c>
      <c r="F141" s="6" t="s">
        <v>35</v>
      </c>
      <c r="G141" s="6" t="s">
        <v>18</v>
      </c>
      <c r="H141" s="6" t="n">
        <f aca="true">ROUND(RAND()*4+6,1)</f>
        <v>9.9</v>
      </c>
      <c r="I141" s="6" t="s">
        <v>36</v>
      </c>
      <c r="J141" s="6" t="str">
        <f aca="false">ROUND(84*1,0)&amp;"%"</f>
        <v>84%</v>
      </c>
    </row>
    <row r="142" customFormat="false" ht="15" hidden="false" customHeight="false" outlineLevel="0" collapsed="false">
      <c r="A142" s="5" t="s">
        <v>10714</v>
      </c>
      <c r="B142" s="5" t="s">
        <v>250</v>
      </c>
      <c r="C142" s="5" t="s">
        <v>114</v>
      </c>
      <c r="D142" s="5" t="s">
        <v>39</v>
      </c>
      <c r="E142" s="5" t="n">
        <f aca="false">ROUND(9314*1.05,2)</f>
        <v>9779.7</v>
      </c>
      <c r="F142" s="5" t="s">
        <v>40</v>
      </c>
      <c r="G142" s="5" t="s">
        <v>24</v>
      </c>
      <c r="H142" s="5" t="n">
        <f aca="true">ROUND(RAND()*4+6,1)</f>
        <v>6.8</v>
      </c>
      <c r="I142" s="5" t="s">
        <v>41</v>
      </c>
      <c r="J142" s="5" t="str">
        <f aca="false">ROUND(98*1,0)&amp;"%"</f>
        <v>98%</v>
      </c>
    </row>
    <row r="143" customFormat="false" ht="15" hidden="false" customHeight="false" outlineLevel="0" collapsed="false">
      <c r="A143" s="6" t="s">
        <v>10715</v>
      </c>
      <c r="B143" s="6" t="s">
        <v>252</v>
      </c>
      <c r="C143" s="6" t="s">
        <v>114</v>
      </c>
      <c r="D143" s="6" t="s">
        <v>44</v>
      </c>
      <c r="E143" s="6" t="n">
        <f aca="false">ROUND(6557*1.05,2)</f>
        <v>6884.85</v>
      </c>
      <c r="F143" s="6" t="s">
        <v>45</v>
      </c>
      <c r="G143" s="6" t="s">
        <v>30</v>
      </c>
      <c r="H143" s="6" t="n">
        <f aca="true">ROUND(RAND()*4+6,1)</f>
        <v>6.6</v>
      </c>
      <c r="I143" s="6" t="s">
        <v>46</v>
      </c>
      <c r="J143" s="6" t="str">
        <f aca="false">ROUND(64*1,0)&amp;"%"</f>
        <v>64%</v>
      </c>
    </row>
    <row r="144" customFormat="false" ht="15" hidden="false" customHeight="false" outlineLevel="0" collapsed="false">
      <c r="A144" s="5" t="s">
        <v>10716</v>
      </c>
      <c r="B144" s="5" t="s">
        <v>254</v>
      </c>
      <c r="C144" s="5" t="s">
        <v>114</v>
      </c>
      <c r="D144" s="5" t="s">
        <v>16</v>
      </c>
      <c r="E144" s="5" t="n">
        <f aca="false">ROUND(15087*1.05,2)</f>
        <v>15841.35</v>
      </c>
      <c r="F144" s="5" t="s">
        <v>49</v>
      </c>
      <c r="G144" s="5" t="s">
        <v>18</v>
      </c>
      <c r="H144" s="5" t="n">
        <f aca="true">ROUND(RAND()*4+6,1)</f>
        <v>7.4</v>
      </c>
      <c r="I144" s="5" t="s">
        <v>19</v>
      </c>
      <c r="J144" s="5" t="str">
        <f aca="false">ROUND(77*1,0)&amp;"%"</f>
        <v>77%</v>
      </c>
    </row>
    <row r="145" customFormat="false" ht="15" hidden="false" customHeight="false" outlineLevel="0" collapsed="false">
      <c r="A145" s="6" t="s">
        <v>10717</v>
      </c>
      <c r="B145" s="6" t="s">
        <v>256</v>
      </c>
      <c r="C145" s="6" t="s">
        <v>114</v>
      </c>
      <c r="D145" s="6" t="s">
        <v>22</v>
      </c>
      <c r="E145" s="6" t="n">
        <f aca="false">ROUND(12040*1.05,2)</f>
        <v>12642</v>
      </c>
      <c r="F145" s="6" t="s">
        <v>52</v>
      </c>
      <c r="G145" s="6" t="s">
        <v>24</v>
      </c>
      <c r="H145" s="6" t="n">
        <f aca="true">ROUND(RAND()*4+6,1)</f>
        <v>6.3</v>
      </c>
      <c r="I145" s="6" t="s">
        <v>25</v>
      </c>
      <c r="J145" s="6" t="str">
        <f aca="false">ROUND(77*1,0)&amp;"%"</f>
        <v>77%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10718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10719</v>
      </c>
      <c r="B150" s="5" t="s">
        <v>260</v>
      </c>
      <c r="C150" s="5" t="s">
        <v>133</v>
      </c>
      <c r="D150" s="5" t="s">
        <v>16</v>
      </c>
      <c r="E150" s="5" t="n">
        <f aca="false">ROUND(13806*1.05,2)</f>
        <v>14496.3</v>
      </c>
      <c r="F150" s="5" t="s">
        <v>17</v>
      </c>
      <c r="G150" s="5" t="s">
        <v>18</v>
      </c>
      <c r="H150" s="5" t="n">
        <f aca="true">ROUND(RAND()*4+6,1)</f>
        <v>7.2</v>
      </c>
      <c r="I150" s="5" t="s">
        <v>19</v>
      </c>
      <c r="J150" s="5" t="str">
        <f aca="false">ROUND(71*1,0)&amp;"%"</f>
        <v>71%</v>
      </c>
    </row>
    <row r="151" customFormat="false" ht="15" hidden="false" customHeight="false" outlineLevel="0" collapsed="false">
      <c r="A151" s="6" t="s">
        <v>10720</v>
      </c>
      <c r="B151" s="6" t="s">
        <v>262</v>
      </c>
      <c r="C151" s="6" t="s">
        <v>133</v>
      </c>
      <c r="D151" s="6" t="s">
        <v>22</v>
      </c>
      <c r="E151" s="6" t="n">
        <f aca="false">ROUND(14806*1.05,2)</f>
        <v>15546.3</v>
      </c>
      <c r="F151" s="6" t="s">
        <v>23</v>
      </c>
      <c r="G151" s="6" t="s">
        <v>24</v>
      </c>
      <c r="H151" s="6" t="n">
        <f aca="true">ROUND(RAND()*4+6,1)</f>
        <v>6.7</v>
      </c>
      <c r="I151" s="6" t="s">
        <v>25</v>
      </c>
      <c r="J151" s="6" t="str">
        <f aca="false">ROUND(69*1,0)&amp;"%"</f>
        <v>69%</v>
      </c>
    </row>
    <row r="152" customFormat="false" ht="15" hidden="false" customHeight="false" outlineLevel="0" collapsed="false">
      <c r="A152" s="5" t="s">
        <v>10721</v>
      </c>
      <c r="B152" s="5" t="s">
        <v>264</v>
      </c>
      <c r="C152" s="5" t="s">
        <v>133</v>
      </c>
      <c r="D152" s="5" t="s">
        <v>28</v>
      </c>
      <c r="E152" s="5" t="n">
        <f aca="false">ROUND(16528*1.05,2)</f>
        <v>17354.4</v>
      </c>
      <c r="F152" s="5" t="s">
        <v>29</v>
      </c>
      <c r="G152" s="5" t="s">
        <v>30</v>
      </c>
      <c r="H152" s="5" t="n">
        <f aca="true">ROUND(RAND()*4+6,1)</f>
        <v>6.5</v>
      </c>
      <c r="I152" s="5" t="s">
        <v>31</v>
      </c>
      <c r="J152" s="5" t="str">
        <f aca="false">ROUND(94*1,0)&amp;"%"</f>
        <v>94%</v>
      </c>
    </row>
    <row r="153" customFormat="false" ht="15" hidden="false" customHeight="false" outlineLevel="0" collapsed="false">
      <c r="A153" s="6" t="s">
        <v>10722</v>
      </c>
      <c r="B153" s="6" t="s">
        <v>266</v>
      </c>
      <c r="C153" s="6" t="s">
        <v>133</v>
      </c>
      <c r="D153" s="6" t="s">
        <v>34</v>
      </c>
      <c r="E153" s="6" t="n">
        <f aca="false">ROUND(6261*1.05,2)</f>
        <v>6574.05</v>
      </c>
      <c r="F153" s="6" t="s">
        <v>35</v>
      </c>
      <c r="G153" s="6" t="s">
        <v>18</v>
      </c>
      <c r="H153" s="6" t="n">
        <f aca="true">ROUND(RAND()*4+6,1)</f>
        <v>6.9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10723</v>
      </c>
      <c r="B154" s="5" t="s">
        <v>268</v>
      </c>
      <c r="C154" s="5" t="s">
        <v>133</v>
      </c>
      <c r="D154" s="5" t="s">
        <v>39</v>
      </c>
      <c r="E154" s="5" t="n">
        <f aca="false">ROUND(12118*1.05,2)</f>
        <v>12723.9</v>
      </c>
      <c r="F154" s="5" t="s">
        <v>40</v>
      </c>
      <c r="G154" s="5" t="s">
        <v>24</v>
      </c>
      <c r="H154" s="5" t="n">
        <f aca="true">ROUND(RAND()*4+6,1)</f>
        <v>8</v>
      </c>
      <c r="I154" s="5" t="s">
        <v>41</v>
      </c>
      <c r="J154" s="5" t="str">
        <f aca="false">ROUND(61*1,0)&amp;"%"</f>
        <v>61%</v>
      </c>
    </row>
    <row r="155" customFormat="false" ht="15" hidden="false" customHeight="false" outlineLevel="0" collapsed="false">
      <c r="A155" s="6" t="s">
        <v>10724</v>
      </c>
      <c r="B155" s="6" t="s">
        <v>270</v>
      </c>
      <c r="C155" s="6" t="s">
        <v>133</v>
      </c>
      <c r="D155" s="6" t="s">
        <v>44</v>
      </c>
      <c r="E155" s="6" t="n">
        <f aca="false">ROUND(11578*1.05,2)</f>
        <v>12156.9</v>
      </c>
      <c r="F155" s="6" t="s">
        <v>45</v>
      </c>
      <c r="G155" s="6" t="s">
        <v>30</v>
      </c>
      <c r="H155" s="6" t="n">
        <f aca="true">ROUND(RAND()*4+6,1)</f>
        <v>9.5</v>
      </c>
      <c r="I155" s="6" t="s">
        <v>46</v>
      </c>
      <c r="J155" s="6" t="str">
        <f aca="false">ROUND(61*1,0)&amp;"%"</f>
        <v>61%</v>
      </c>
    </row>
    <row r="156" customFormat="false" ht="15" hidden="false" customHeight="false" outlineLevel="0" collapsed="false">
      <c r="A156" s="5" t="s">
        <v>10725</v>
      </c>
      <c r="B156" s="5" t="s">
        <v>272</v>
      </c>
      <c r="C156" s="5" t="s">
        <v>133</v>
      </c>
      <c r="D156" s="5" t="s">
        <v>16</v>
      </c>
      <c r="E156" s="5" t="n">
        <f aca="false">ROUND(9300*1.05,2)</f>
        <v>9765</v>
      </c>
      <c r="F156" s="5" t="s">
        <v>49</v>
      </c>
      <c r="G156" s="5" t="s">
        <v>18</v>
      </c>
      <c r="H156" s="5" t="n">
        <f aca="true">ROUND(RAND()*4+6,1)</f>
        <v>8.7</v>
      </c>
      <c r="I156" s="5" t="s">
        <v>19</v>
      </c>
      <c r="J156" s="5" t="str">
        <f aca="false">ROUND(89*1,0)&amp;"%"</f>
        <v>89%</v>
      </c>
    </row>
    <row r="157" customFormat="false" ht="15" hidden="false" customHeight="false" outlineLevel="0" collapsed="false">
      <c r="A157" s="6" t="s">
        <v>10726</v>
      </c>
      <c r="B157" s="6" t="s">
        <v>274</v>
      </c>
      <c r="C157" s="6" t="s">
        <v>133</v>
      </c>
      <c r="D157" s="6" t="s">
        <v>22</v>
      </c>
      <c r="E157" s="6" t="n">
        <f aca="false">ROUND(4986*1.05,2)</f>
        <v>5235.3</v>
      </c>
      <c r="F157" s="6" t="s">
        <v>52</v>
      </c>
      <c r="G157" s="6" t="s">
        <v>24</v>
      </c>
      <c r="H157" s="6" t="n">
        <f aca="true">ROUND(RAND()*4+6,1)</f>
        <v>9.1</v>
      </c>
      <c r="I157" s="6" t="s">
        <v>25</v>
      </c>
      <c r="J157" s="6" t="str">
        <f aca="false">ROUND(72*1,0)&amp;"%"</f>
        <v>72%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10727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10728</v>
      </c>
      <c r="B162" s="5" t="s">
        <v>278</v>
      </c>
      <c r="C162" s="5" t="s">
        <v>152</v>
      </c>
      <c r="D162" s="5" t="s">
        <v>16</v>
      </c>
      <c r="E162" s="5" t="n">
        <f aca="false">ROUND(10753*1.05,2)</f>
        <v>11290.65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10729</v>
      </c>
      <c r="B163" s="6" t="s">
        <v>280</v>
      </c>
      <c r="C163" s="6" t="s">
        <v>152</v>
      </c>
      <c r="D163" s="6" t="s">
        <v>22</v>
      </c>
      <c r="E163" s="6" t="n">
        <f aca="false">ROUND(14625*1.05,2)</f>
        <v>15356.25</v>
      </c>
      <c r="F163" s="6" t="s">
        <v>23</v>
      </c>
      <c r="G163" s="6" t="s">
        <v>24</v>
      </c>
      <c r="H163" s="6" t="n">
        <f aca="true">ROUND(RAND()*4+6,1)</f>
        <v>6.3</v>
      </c>
      <c r="I163" s="6" t="s">
        <v>25</v>
      </c>
      <c r="J163" s="6" t="str">
        <f aca="false">ROUND(67*1,0)&amp;"%"</f>
        <v>67%</v>
      </c>
    </row>
    <row r="164" customFormat="false" ht="15" hidden="false" customHeight="false" outlineLevel="0" collapsed="false">
      <c r="A164" s="5" t="s">
        <v>10730</v>
      </c>
      <c r="B164" s="5" t="s">
        <v>282</v>
      </c>
      <c r="C164" s="5" t="s">
        <v>152</v>
      </c>
      <c r="D164" s="5" t="s">
        <v>28</v>
      </c>
      <c r="E164" s="5" t="n">
        <f aca="false">ROUND(17870*1.05,2)</f>
        <v>18763.5</v>
      </c>
      <c r="F164" s="5" t="s">
        <v>29</v>
      </c>
      <c r="G164" s="5" t="s">
        <v>30</v>
      </c>
      <c r="H164" s="5" t="n">
        <f aca="true">ROUND(RAND()*4+6,1)</f>
        <v>8.2</v>
      </c>
      <c r="I164" s="5" t="s">
        <v>31</v>
      </c>
      <c r="J164" s="5" t="str">
        <f aca="false">ROUND(98*1,0)&amp;"%"</f>
        <v>98%</v>
      </c>
    </row>
    <row r="165" customFormat="false" ht="15" hidden="false" customHeight="false" outlineLevel="0" collapsed="false">
      <c r="A165" s="6" t="s">
        <v>10731</v>
      </c>
      <c r="B165" s="6" t="s">
        <v>284</v>
      </c>
      <c r="C165" s="6" t="s">
        <v>152</v>
      </c>
      <c r="D165" s="6" t="s">
        <v>34</v>
      </c>
      <c r="E165" s="6" t="n">
        <f aca="false">ROUND(17318*1.05,2)</f>
        <v>18183.9</v>
      </c>
      <c r="F165" s="6" t="s">
        <v>35</v>
      </c>
      <c r="G165" s="6" t="s">
        <v>18</v>
      </c>
      <c r="H165" s="6" t="n">
        <f aca="true">ROUND(RAND()*4+6,1)</f>
        <v>6.6</v>
      </c>
      <c r="I165" s="6" t="s">
        <v>36</v>
      </c>
      <c r="J165" s="6" t="str">
        <f aca="false">ROUND(99*1,0)&amp;"%"</f>
        <v>99%</v>
      </c>
    </row>
    <row r="166" customFormat="false" ht="15" hidden="false" customHeight="false" outlineLevel="0" collapsed="false">
      <c r="A166" s="5" t="s">
        <v>10732</v>
      </c>
      <c r="B166" s="5" t="s">
        <v>286</v>
      </c>
      <c r="C166" s="5" t="s">
        <v>152</v>
      </c>
      <c r="D166" s="5" t="s">
        <v>39</v>
      </c>
      <c r="E166" s="5" t="n">
        <f aca="false">ROUND(14041*1.05,2)</f>
        <v>14743.05</v>
      </c>
      <c r="F166" s="5" t="s">
        <v>40</v>
      </c>
      <c r="G166" s="5" t="s">
        <v>24</v>
      </c>
      <c r="H166" s="5" t="n">
        <f aca="true">ROUND(RAND()*4+6,1)</f>
        <v>8.2</v>
      </c>
      <c r="I166" s="5" t="s">
        <v>41</v>
      </c>
      <c r="J166" s="5" t="str">
        <f aca="false">ROUND(91*1,0)&amp;"%"</f>
        <v>91%</v>
      </c>
    </row>
    <row r="167" customFormat="false" ht="15" hidden="false" customHeight="false" outlineLevel="0" collapsed="false">
      <c r="A167" s="6" t="s">
        <v>10733</v>
      </c>
      <c r="B167" s="6" t="s">
        <v>288</v>
      </c>
      <c r="C167" s="6" t="s">
        <v>152</v>
      </c>
      <c r="D167" s="6" t="s">
        <v>44</v>
      </c>
      <c r="E167" s="6" t="n">
        <f aca="false">ROUND(15947*1.05,2)</f>
        <v>16744.35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ROUND(92*1,0)&amp;"%"</f>
        <v>92%</v>
      </c>
    </row>
    <row r="168" customFormat="false" ht="15" hidden="false" customHeight="false" outlineLevel="0" collapsed="false">
      <c r="A168" s="5" t="s">
        <v>10734</v>
      </c>
      <c r="B168" s="5" t="s">
        <v>290</v>
      </c>
      <c r="C168" s="5" t="s">
        <v>152</v>
      </c>
      <c r="D168" s="5" t="s">
        <v>16</v>
      </c>
      <c r="E168" s="5" t="n">
        <f aca="false">ROUND(8365*1.05,2)</f>
        <v>8783.25</v>
      </c>
      <c r="F168" s="5" t="s">
        <v>49</v>
      </c>
      <c r="G168" s="5" t="s">
        <v>18</v>
      </c>
      <c r="H168" s="5" t="n">
        <f aca="true">ROUND(RAND()*4+6,1)</f>
        <v>7.8</v>
      </c>
      <c r="I168" s="5" t="s">
        <v>19</v>
      </c>
      <c r="J168" s="5" t="str">
        <f aca="false">ROUND(73*1,0)&amp;"%"</f>
        <v>73%</v>
      </c>
    </row>
    <row r="169" customFormat="false" ht="15" hidden="false" customHeight="false" outlineLevel="0" collapsed="false">
      <c r="A169" s="6" t="s">
        <v>10735</v>
      </c>
      <c r="B169" s="6" t="s">
        <v>292</v>
      </c>
      <c r="C169" s="6" t="s">
        <v>152</v>
      </c>
      <c r="D169" s="6" t="s">
        <v>22</v>
      </c>
      <c r="E169" s="6" t="n">
        <f aca="false">ROUND(7745*1.05,2)</f>
        <v>8132.25</v>
      </c>
      <c r="F169" s="6" t="s">
        <v>52</v>
      </c>
      <c r="G169" s="6" t="s">
        <v>24</v>
      </c>
      <c r="H169" s="6" t="n">
        <f aca="true">ROUND(RAND()*4+6,1)</f>
        <v>7.5</v>
      </c>
      <c r="I169" s="6" t="s">
        <v>25</v>
      </c>
      <c r="J169" s="6" t="str">
        <f aca="false">ROUND(77*1,0)&amp;"%"</f>
        <v>77%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10736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10737</v>
      </c>
      <c r="B174" s="5" t="s">
        <v>296</v>
      </c>
      <c r="C174" s="5" t="s">
        <v>15</v>
      </c>
      <c r="D174" s="5" t="s">
        <v>16</v>
      </c>
      <c r="E174" s="5" t="n">
        <f aca="false">ROUND(9286*1.05,2)</f>
        <v>9750.3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ROUND(61*1,0)&amp;"%"</f>
        <v>61%</v>
      </c>
    </row>
    <row r="175" customFormat="false" ht="15" hidden="false" customHeight="false" outlineLevel="0" collapsed="false">
      <c r="A175" s="6" t="s">
        <v>10738</v>
      </c>
      <c r="B175" s="6" t="s">
        <v>298</v>
      </c>
      <c r="C175" s="6" t="s">
        <v>15</v>
      </c>
      <c r="D175" s="6" t="s">
        <v>22</v>
      </c>
      <c r="E175" s="6" t="n">
        <f aca="false">ROUND(7802*1.05,2)</f>
        <v>8192.1</v>
      </c>
      <c r="F175" s="6" t="s">
        <v>23</v>
      </c>
      <c r="G175" s="6" t="s">
        <v>24</v>
      </c>
      <c r="H175" s="6" t="n">
        <f aca="true">ROUND(RAND()*4+6,1)</f>
        <v>7.6</v>
      </c>
      <c r="I175" s="6" t="s">
        <v>25</v>
      </c>
      <c r="J175" s="6" t="str">
        <f aca="false">ROUND(77*1,0)&amp;"%"</f>
        <v>77%</v>
      </c>
    </row>
    <row r="176" customFormat="false" ht="15" hidden="false" customHeight="false" outlineLevel="0" collapsed="false">
      <c r="A176" s="5" t="s">
        <v>10739</v>
      </c>
      <c r="B176" s="5" t="s">
        <v>300</v>
      </c>
      <c r="C176" s="5" t="s">
        <v>15</v>
      </c>
      <c r="D176" s="5" t="s">
        <v>28</v>
      </c>
      <c r="E176" s="5" t="n">
        <f aca="false">ROUND(17083*1.05,2)</f>
        <v>17937.15</v>
      </c>
      <c r="F176" s="5" t="s">
        <v>29</v>
      </c>
      <c r="G176" s="5" t="s">
        <v>30</v>
      </c>
      <c r="H176" s="5" t="n">
        <f aca="true">ROUND(RAND()*4+6,1)</f>
        <v>9.5</v>
      </c>
      <c r="I176" s="5" t="s">
        <v>31</v>
      </c>
      <c r="J176" s="5" t="str">
        <f aca="false">ROUND(60*1,0)&amp;"%"</f>
        <v>60%</v>
      </c>
    </row>
    <row r="177" customFormat="false" ht="15" hidden="false" customHeight="false" outlineLevel="0" collapsed="false">
      <c r="A177" s="6" t="s">
        <v>10740</v>
      </c>
      <c r="B177" s="6" t="s">
        <v>302</v>
      </c>
      <c r="C177" s="6" t="s">
        <v>15</v>
      </c>
      <c r="D177" s="6" t="s">
        <v>34</v>
      </c>
      <c r="E177" s="6" t="n">
        <f aca="false">ROUND(6832*1.05,2)</f>
        <v>7173.6</v>
      </c>
      <c r="F177" s="6" t="s">
        <v>35</v>
      </c>
      <c r="G177" s="6" t="s">
        <v>18</v>
      </c>
      <c r="H177" s="6" t="n">
        <f aca="true">ROUND(RAND()*4+6,1)</f>
        <v>9.5</v>
      </c>
      <c r="I177" s="6" t="s">
        <v>36</v>
      </c>
      <c r="J177" s="6" t="str">
        <f aca="false">ROUND(76*1,0)&amp;"%"</f>
        <v>76%</v>
      </c>
    </row>
    <row r="178" customFormat="false" ht="15" hidden="false" customHeight="false" outlineLevel="0" collapsed="false">
      <c r="A178" s="5" t="s">
        <v>10741</v>
      </c>
      <c r="B178" s="5" t="s">
        <v>304</v>
      </c>
      <c r="C178" s="5" t="s">
        <v>15</v>
      </c>
      <c r="D178" s="5" t="s">
        <v>39</v>
      </c>
      <c r="E178" s="5" t="n">
        <f aca="false">ROUND(13660*1.05,2)</f>
        <v>14343</v>
      </c>
      <c r="F178" s="5" t="s">
        <v>40</v>
      </c>
      <c r="G178" s="5" t="s">
        <v>24</v>
      </c>
      <c r="H178" s="5" t="n">
        <f aca="true">ROUND(RAND()*4+6,1)</f>
        <v>9.1</v>
      </c>
      <c r="I178" s="5" t="s">
        <v>41</v>
      </c>
      <c r="J178" s="5" t="str">
        <f aca="false">ROUND(81*1,0)&amp;"%"</f>
        <v>81%</v>
      </c>
    </row>
    <row r="179" customFormat="false" ht="15" hidden="false" customHeight="false" outlineLevel="0" collapsed="false">
      <c r="A179" s="6" t="s">
        <v>10742</v>
      </c>
      <c r="B179" s="6" t="s">
        <v>306</v>
      </c>
      <c r="C179" s="6" t="s">
        <v>15</v>
      </c>
      <c r="D179" s="6" t="s">
        <v>44</v>
      </c>
      <c r="E179" s="6" t="n">
        <f aca="false">ROUND(6624*1.05,2)</f>
        <v>6955.2</v>
      </c>
      <c r="F179" s="6" t="s">
        <v>45</v>
      </c>
      <c r="G179" s="6" t="s">
        <v>30</v>
      </c>
      <c r="H179" s="6" t="n">
        <f aca="true">ROUND(RAND()*4+6,1)</f>
        <v>6</v>
      </c>
      <c r="I179" s="6" t="s">
        <v>46</v>
      </c>
      <c r="J179" s="6" t="str">
        <f aca="false">ROUND(84*1,0)&amp;"%"</f>
        <v>84%</v>
      </c>
    </row>
    <row r="180" customFormat="false" ht="15" hidden="false" customHeight="false" outlineLevel="0" collapsed="false">
      <c r="A180" s="5" t="s">
        <v>10743</v>
      </c>
      <c r="B180" s="5" t="s">
        <v>308</v>
      </c>
      <c r="C180" s="5" t="s">
        <v>15</v>
      </c>
      <c r="D180" s="5" t="s">
        <v>16</v>
      </c>
      <c r="E180" s="5" t="n">
        <f aca="false">ROUND(7243*1.05,2)</f>
        <v>7605.15</v>
      </c>
      <c r="F180" s="5" t="s">
        <v>49</v>
      </c>
      <c r="G180" s="5" t="s">
        <v>18</v>
      </c>
      <c r="H180" s="5" t="n">
        <f aca="true">ROUND(RAND()*4+6,1)</f>
        <v>8.1</v>
      </c>
      <c r="I180" s="5" t="s">
        <v>19</v>
      </c>
      <c r="J180" s="5" t="str">
        <f aca="false">ROUND(88*1,0)&amp;"%"</f>
        <v>88%</v>
      </c>
    </row>
    <row r="181" customFormat="false" ht="15" hidden="false" customHeight="false" outlineLevel="0" collapsed="false">
      <c r="A181" s="6" t="s">
        <v>10744</v>
      </c>
      <c r="B181" s="6" t="s">
        <v>310</v>
      </c>
      <c r="C181" s="6" t="s">
        <v>15</v>
      </c>
      <c r="D181" s="6" t="s">
        <v>22</v>
      </c>
      <c r="E181" s="6" t="n">
        <f aca="false">ROUND(11588*1.05,2)</f>
        <v>12167.4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ROUND(60*1,0)&amp;"%"</f>
        <v>60%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10745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10746</v>
      </c>
      <c r="B186" s="5" t="s">
        <v>314</v>
      </c>
      <c r="C186" s="5" t="s">
        <v>57</v>
      </c>
      <c r="D186" s="5" t="s">
        <v>16</v>
      </c>
      <c r="E186" s="5" t="n">
        <f aca="false">ROUND(6530*1.05,2)</f>
        <v>6856.5</v>
      </c>
      <c r="F186" s="5" t="s">
        <v>17</v>
      </c>
      <c r="G186" s="5" t="s">
        <v>18</v>
      </c>
      <c r="H186" s="5" t="n">
        <f aca="true">ROUND(RAND()*4+6,1)</f>
        <v>6</v>
      </c>
      <c r="I186" s="5" t="s">
        <v>19</v>
      </c>
      <c r="J186" s="5" t="str">
        <f aca="false">ROUND(65*1,0)&amp;"%"</f>
        <v>65%</v>
      </c>
    </row>
    <row r="187" customFormat="false" ht="15" hidden="false" customHeight="false" outlineLevel="0" collapsed="false">
      <c r="A187" s="6" t="s">
        <v>10747</v>
      </c>
      <c r="B187" s="6" t="s">
        <v>316</v>
      </c>
      <c r="C187" s="6" t="s">
        <v>57</v>
      </c>
      <c r="D187" s="6" t="s">
        <v>22</v>
      </c>
      <c r="E187" s="6" t="n">
        <f aca="false">ROUND(17988*1.05,2)</f>
        <v>18887.4</v>
      </c>
      <c r="F187" s="6" t="s">
        <v>23</v>
      </c>
      <c r="G187" s="6" t="s">
        <v>24</v>
      </c>
      <c r="H187" s="6" t="n">
        <f aca="true">ROUND(RAND()*4+6,1)</f>
        <v>8.3</v>
      </c>
      <c r="I187" s="6" t="s">
        <v>25</v>
      </c>
      <c r="J187" s="6" t="str">
        <f aca="false">ROUND(85*1,0)&amp;"%"</f>
        <v>85%</v>
      </c>
    </row>
    <row r="188" customFormat="false" ht="15" hidden="false" customHeight="false" outlineLevel="0" collapsed="false">
      <c r="A188" s="5" t="s">
        <v>10748</v>
      </c>
      <c r="B188" s="5" t="s">
        <v>318</v>
      </c>
      <c r="C188" s="5" t="s">
        <v>57</v>
      </c>
      <c r="D188" s="5" t="s">
        <v>28</v>
      </c>
      <c r="E188" s="5" t="n">
        <f aca="false">ROUND(8622*1.05,2)</f>
        <v>9053.1</v>
      </c>
      <c r="F188" s="5" t="s">
        <v>29</v>
      </c>
      <c r="G188" s="5" t="s">
        <v>30</v>
      </c>
      <c r="H188" s="5" t="n">
        <f aca="true">ROUND(RAND()*4+6,1)</f>
        <v>6.7</v>
      </c>
      <c r="I188" s="5" t="s">
        <v>31</v>
      </c>
      <c r="J188" s="5" t="str">
        <f aca="false">ROUND(64*1,0)&amp;"%"</f>
        <v>64%</v>
      </c>
    </row>
    <row r="189" customFormat="false" ht="15" hidden="false" customHeight="false" outlineLevel="0" collapsed="false">
      <c r="A189" s="6" t="s">
        <v>10749</v>
      </c>
      <c r="B189" s="6" t="s">
        <v>320</v>
      </c>
      <c r="C189" s="6" t="s">
        <v>57</v>
      </c>
      <c r="D189" s="6" t="s">
        <v>34</v>
      </c>
      <c r="E189" s="6" t="n">
        <f aca="false">ROUND(6312*1.05,2)</f>
        <v>6627.6</v>
      </c>
      <c r="F189" s="6" t="s">
        <v>35</v>
      </c>
      <c r="G189" s="6" t="s">
        <v>18</v>
      </c>
      <c r="H189" s="6" t="n">
        <f aca="true">ROUND(RAND()*4+6,1)</f>
        <v>6.5</v>
      </c>
      <c r="I189" s="6" t="s">
        <v>36</v>
      </c>
      <c r="J189" s="6" t="str">
        <f aca="false">ROUND(72*1,0)&amp;"%"</f>
        <v>72%</v>
      </c>
    </row>
    <row r="190" customFormat="false" ht="15" hidden="false" customHeight="false" outlineLevel="0" collapsed="false">
      <c r="A190" s="5" t="s">
        <v>10750</v>
      </c>
      <c r="B190" s="5" t="s">
        <v>322</v>
      </c>
      <c r="C190" s="5" t="s">
        <v>57</v>
      </c>
      <c r="D190" s="5" t="s">
        <v>39</v>
      </c>
      <c r="E190" s="5" t="n">
        <f aca="false">ROUND(7087*1.05,2)</f>
        <v>7441.35</v>
      </c>
      <c r="F190" s="5" t="s">
        <v>40</v>
      </c>
      <c r="G190" s="5" t="s">
        <v>24</v>
      </c>
      <c r="H190" s="5" t="n">
        <f aca="true">ROUND(RAND()*4+6,1)</f>
        <v>9.2</v>
      </c>
      <c r="I190" s="5" t="s">
        <v>41</v>
      </c>
      <c r="J190" s="5" t="str">
        <f aca="false">ROUND(68*1,0)&amp;"%"</f>
        <v>68%</v>
      </c>
    </row>
    <row r="191" customFormat="false" ht="15" hidden="false" customHeight="false" outlineLevel="0" collapsed="false">
      <c r="A191" s="6" t="s">
        <v>10751</v>
      </c>
      <c r="B191" s="6" t="s">
        <v>324</v>
      </c>
      <c r="C191" s="6" t="s">
        <v>57</v>
      </c>
      <c r="D191" s="6" t="s">
        <v>44</v>
      </c>
      <c r="E191" s="6" t="n">
        <f aca="false">ROUND(13136*1.05,2)</f>
        <v>13792.8</v>
      </c>
      <c r="F191" s="6" t="s">
        <v>45</v>
      </c>
      <c r="G191" s="6" t="s">
        <v>30</v>
      </c>
      <c r="H191" s="6" t="n">
        <f aca="true">ROUND(RAND()*4+6,1)</f>
        <v>6.6</v>
      </c>
      <c r="I191" s="6" t="s">
        <v>46</v>
      </c>
      <c r="J191" s="6" t="str">
        <f aca="false">ROUND(81*1,0)&amp;"%"</f>
        <v>81%</v>
      </c>
    </row>
    <row r="192" customFormat="false" ht="15" hidden="false" customHeight="false" outlineLevel="0" collapsed="false">
      <c r="A192" s="5" t="s">
        <v>10752</v>
      </c>
      <c r="B192" s="5" t="s">
        <v>326</v>
      </c>
      <c r="C192" s="5" t="s">
        <v>57</v>
      </c>
      <c r="D192" s="5" t="s">
        <v>16</v>
      </c>
      <c r="E192" s="5" t="n">
        <f aca="false">ROUND(14977*1.05,2)</f>
        <v>15725.85</v>
      </c>
      <c r="F192" s="5" t="s">
        <v>49</v>
      </c>
      <c r="G192" s="5" t="s">
        <v>18</v>
      </c>
      <c r="H192" s="5" t="n">
        <f aca="true">ROUND(RAND()*4+6,1)</f>
        <v>6.7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10753</v>
      </c>
      <c r="B193" s="6" t="s">
        <v>328</v>
      </c>
      <c r="C193" s="6" t="s">
        <v>57</v>
      </c>
      <c r="D193" s="6" t="s">
        <v>22</v>
      </c>
      <c r="E193" s="6" t="n">
        <f aca="false">ROUND(11788*1.05,2)</f>
        <v>12377.4</v>
      </c>
      <c r="F193" s="6" t="s">
        <v>52</v>
      </c>
      <c r="G193" s="6" t="s">
        <v>24</v>
      </c>
      <c r="H193" s="6" t="n">
        <f aca="true">ROUND(RAND()*4+6,1)</f>
        <v>7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10754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10755</v>
      </c>
      <c r="B198" s="5" t="s">
        <v>332</v>
      </c>
      <c r="C198" s="5" t="s">
        <v>76</v>
      </c>
      <c r="D198" s="5" t="s">
        <v>16</v>
      </c>
      <c r="E198" s="5" t="n">
        <f aca="false">ROUND(16411*1.05,2)</f>
        <v>17231.55</v>
      </c>
      <c r="F198" s="5" t="s">
        <v>17</v>
      </c>
      <c r="G198" s="5" t="s">
        <v>18</v>
      </c>
      <c r="H198" s="5" t="n">
        <f aca="true">ROUND(RAND()*4+6,1)</f>
        <v>6.1</v>
      </c>
      <c r="I198" s="5" t="s">
        <v>19</v>
      </c>
      <c r="J198" s="5" t="str">
        <f aca="false">ROUND(67*1,0)&amp;"%"</f>
        <v>67%</v>
      </c>
    </row>
    <row r="199" customFormat="false" ht="15" hidden="false" customHeight="false" outlineLevel="0" collapsed="false">
      <c r="A199" s="6" t="s">
        <v>10756</v>
      </c>
      <c r="B199" s="6" t="s">
        <v>334</v>
      </c>
      <c r="C199" s="6" t="s">
        <v>76</v>
      </c>
      <c r="D199" s="6" t="s">
        <v>22</v>
      </c>
      <c r="E199" s="6" t="n">
        <f aca="false">ROUND(12800*1.05,2)</f>
        <v>13440</v>
      </c>
      <c r="F199" s="6" t="s">
        <v>23</v>
      </c>
      <c r="G199" s="6" t="s">
        <v>24</v>
      </c>
      <c r="H199" s="6" t="n">
        <f aca="true">ROUND(RAND()*4+6,1)</f>
        <v>7.8</v>
      </c>
      <c r="I199" s="6" t="s">
        <v>25</v>
      </c>
      <c r="J199" s="6" t="str">
        <f aca="false">ROUND(99*1,0)&amp;"%"</f>
        <v>99%</v>
      </c>
    </row>
    <row r="200" customFormat="false" ht="15" hidden="false" customHeight="false" outlineLevel="0" collapsed="false">
      <c r="A200" s="5" t="s">
        <v>10757</v>
      </c>
      <c r="B200" s="5" t="s">
        <v>336</v>
      </c>
      <c r="C200" s="5" t="s">
        <v>76</v>
      </c>
      <c r="D200" s="5" t="s">
        <v>28</v>
      </c>
      <c r="E200" s="5" t="n">
        <f aca="false">ROUND(12598*1.05,2)</f>
        <v>13227.9</v>
      </c>
      <c r="F200" s="5" t="s">
        <v>29</v>
      </c>
      <c r="G200" s="5" t="s">
        <v>30</v>
      </c>
      <c r="H200" s="5" t="n">
        <f aca="true">ROUND(RAND()*4+6,1)</f>
        <v>7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10758</v>
      </c>
      <c r="B201" s="6" t="s">
        <v>338</v>
      </c>
      <c r="C201" s="6" t="s">
        <v>76</v>
      </c>
      <c r="D201" s="6" t="s">
        <v>34</v>
      </c>
      <c r="E201" s="6" t="n">
        <f aca="false">ROUND(4143*1.05,2)</f>
        <v>4350.15</v>
      </c>
      <c r="F201" s="6" t="s">
        <v>35</v>
      </c>
      <c r="G201" s="6" t="s">
        <v>18</v>
      </c>
      <c r="H201" s="6" t="n">
        <f aca="true">ROUND(RAND()*4+6,1)</f>
        <v>8.3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10759</v>
      </c>
      <c r="B202" s="5" t="s">
        <v>340</v>
      </c>
      <c r="C202" s="5" t="s">
        <v>76</v>
      </c>
      <c r="D202" s="5" t="s">
        <v>39</v>
      </c>
      <c r="E202" s="5" t="n">
        <f aca="false">ROUND(6113*1.05,2)</f>
        <v>6418.65</v>
      </c>
      <c r="F202" s="5" t="s">
        <v>40</v>
      </c>
      <c r="G202" s="5" t="s">
        <v>24</v>
      </c>
      <c r="H202" s="5" t="n">
        <f aca="true">ROUND(RAND()*4+6,1)</f>
        <v>6.2</v>
      </c>
      <c r="I202" s="5" t="s">
        <v>41</v>
      </c>
      <c r="J202" s="5" t="str">
        <f aca="false">ROUND(70*1,0)&amp;"%"</f>
        <v>70%</v>
      </c>
    </row>
    <row r="203" customFormat="false" ht="15" hidden="false" customHeight="false" outlineLevel="0" collapsed="false">
      <c r="A203" s="6" t="s">
        <v>10760</v>
      </c>
      <c r="B203" s="6" t="s">
        <v>342</v>
      </c>
      <c r="C203" s="6" t="s">
        <v>76</v>
      </c>
      <c r="D203" s="6" t="s">
        <v>44</v>
      </c>
      <c r="E203" s="6" t="n">
        <f aca="false">ROUND(4320*1.05,2)</f>
        <v>4536</v>
      </c>
      <c r="F203" s="6" t="s">
        <v>45</v>
      </c>
      <c r="G203" s="6" t="s">
        <v>30</v>
      </c>
      <c r="H203" s="6" t="n">
        <f aca="true">ROUND(RAND()*4+6,1)</f>
        <v>9.7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10761</v>
      </c>
      <c r="B204" s="5" t="s">
        <v>344</v>
      </c>
      <c r="C204" s="5" t="s">
        <v>76</v>
      </c>
      <c r="D204" s="5" t="s">
        <v>16</v>
      </c>
      <c r="E204" s="5" t="n">
        <f aca="false">ROUND(15676*1.05,2)</f>
        <v>16459.8</v>
      </c>
      <c r="F204" s="5" t="s">
        <v>49</v>
      </c>
      <c r="G204" s="5" t="s">
        <v>18</v>
      </c>
      <c r="H204" s="5" t="n">
        <f aca="true">ROUND(RAND()*4+6,1)</f>
        <v>8.7</v>
      </c>
      <c r="I204" s="5" t="s">
        <v>19</v>
      </c>
      <c r="J204" s="5" t="str">
        <f aca="false">ROUND(87*1,0)&amp;"%"</f>
        <v>87%</v>
      </c>
    </row>
    <row r="205" customFormat="false" ht="15" hidden="false" customHeight="false" outlineLevel="0" collapsed="false">
      <c r="A205" s="6" t="s">
        <v>10762</v>
      </c>
      <c r="B205" s="6" t="s">
        <v>346</v>
      </c>
      <c r="C205" s="6" t="s">
        <v>76</v>
      </c>
      <c r="D205" s="6" t="s">
        <v>22</v>
      </c>
      <c r="E205" s="6" t="n">
        <f aca="false">ROUND(10430*1.05,2)</f>
        <v>10951.5</v>
      </c>
      <c r="F205" s="6" t="s">
        <v>52</v>
      </c>
      <c r="G205" s="6" t="s">
        <v>24</v>
      </c>
      <c r="H205" s="6" t="n">
        <f aca="true">ROUND(RAND()*4+6,1)</f>
        <v>6.2</v>
      </c>
      <c r="I205" s="6" t="s">
        <v>25</v>
      </c>
      <c r="J205" s="6" t="str">
        <f aca="false">ROUND(60*1,0)&amp;"%"</f>
        <v>60%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10763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10764</v>
      </c>
      <c r="B210" s="5" t="s">
        <v>350</v>
      </c>
      <c r="C210" s="5" t="s">
        <v>95</v>
      </c>
      <c r="D210" s="5" t="s">
        <v>16</v>
      </c>
      <c r="E210" s="5" t="n">
        <f aca="false">ROUND(9973*1.05,2)</f>
        <v>10471.65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10765</v>
      </c>
      <c r="B211" s="6" t="s">
        <v>352</v>
      </c>
      <c r="C211" s="6" t="s">
        <v>95</v>
      </c>
      <c r="D211" s="6" t="s">
        <v>22</v>
      </c>
      <c r="E211" s="6" t="n">
        <f aca="false">ROUND(11014*1.05,2)</f>
        <v>11564.7</v>
      </c>
      <c r="F211" s="6" t="s">
        <v>23</v>
      </c>
      <c r="G211" s="6" t="s">
        <v>24</v>
      </c>
      <c r="H211" s="6" t="n">
        <f aca="true">ROUND(RAND()*4+6,1)</f>
        <v>7.6</v>
      </c>
      <c r="I211" s="6" t="s">
        <v>25</v>
      </c>
      <c r="J211" s="6" t="str">
        <f aca="false">ROUND(65*1,0)&amp;"%"</f>
        <v>65%</v>
      </c>
    </row>
    <row r="212" customFormat="false" ht="15" hidden="false" customHeight="false" outlineLevel="0" collapsed="false">
      <c r="A212" s="5" t="s">
        <v>10766</v>
      </c>
      <c r="B212" s="5" t="s">
        <v>354</v>
      </c>
      <c r="C212" s="5" t="s">
        <v>95</v>
      </c>
      <c r="D212" s="5" t="s">
        <v>28</v>
      </c>
      <c r="E212" s="5" t="n">
        <f aca="false">ROUND(5544*1.05,2)</f>
        <v>5821.2</v>
      </c>
      <c r="F212" s="5" t="s">
        <v>29</v>
      </c>
      <c r="G212" s="5" t="s">
        <v>30</v>
      </c>
      <c r="H212" s="5" t="n">
        <f aca="true">ROUND(RAND()*4+6,1)</f>
        <v>8</v>
      </c>
      <c r="I212" s="5" t="s">
        <v>31</v>
      </c>
      <c r="J212" s="5" t="str">
        <f aca="false">ROUND(80*1,0)&amp;"%"</f>
        <v>80%</v>
      </c>
    </row>
    <row r="213" customFormat="false" ht="15" hidden="false" customHeight="false" outlineLevel="0" collapsed="false">
      <c r="A213" s="6" t="s">
        <v>10767</v>
      </c>
      <c r="B213" s="6" t="s">
        <v>356</v>
      </c>
      <c r="C213" s="6" t="s">
        <v>95</v>
      </c>
      <c r="D213" s="6" t="s">
        <v>34</v>
      </c>
      <c r="E213" s="6" t="n">
        <f aca="false">ROUND(10771*1.05,2)</f>
        <v>11309.55</v>
      </c>
      <c r="F213" s="6" t="s">
        <v>35</v>
      </c>
      <c r="G213" s="6" t="s">
        <v>18</v>
      </c>
      <c r="H213" s="6" t="n">
        <f aca="true">ROUND(RAND()*4+6,1)</f>
        <v>7.2</v>
      </c>
      <c r="I213" s="6" t="s">
        <v>36</v>
      </c>
      <c r="J213" s="6" t="str">
        <f aca="false">ROUND(77*1,0)&amp;"%"</f>
        <v>77%</v>
      </c>
    </row>
    <row r="214" customFormat="false" ht="15" hidden="false" customHeight="false" outlineLevel="0" collapsed="false">
      <c r="A214" s="5" t="s">
        <v>10768</v>
      </c>
      <c r="B214" s="5" t="s">
        <v>358</v>
      </c>
      <c r="C214" s="5" t="s">
        <v>95</v>
      </c>
      <c r="D214" s="5" t="s">
        <v>39</v>
      </c>
      <c r="E214" s="5" t="n">
        <f aca="false">ROUND(8182*1.05,2)</f>
        <v>8591.1</v>
      </c>
      <c r="F214" s="5" t="s">
        <v>40</v>
      </c>
      <c r="G214" s="5" t="s">
        <v>24</v>
      </c>
      <c r="H214" s="5" t="n">
        <f aca="true">ROUND(RAND()*4+6,1)</f>
        <v>7.3</v>
      </c>
      <c r="I214" s="5" t="s">
        <v>41</v>
      </c>
      <c r="J214" s="5" t="str">
        <f aca="false">ROUND(64*1,0)&amp;"%"</f>
        <v>64%</v>
      </c>
    </row>
    <row r="215" customFormat="false" ht="15" hidden="false" customHeight="false" outlineLevel="0" collapsed="false">
      <c r="A215" s="6" t="s">
        <v>10769</v>
      </c>
      <c r="B215" s="6" t="s">
        <v>360</v>
      </c>
      <c r="C215" s="6" t="s">
        <v>95</v>
      </c>
      <c r="D215" s="6" t="s">
        <v>44</v>
      </c>
      <c r="E215" s="6" t="n">
        <f aca="false">ROUND(17876*1.05,2)</f>
        <v>18769.8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ROUND(77*1,0)&amp;"%"</f>
        <v>77%</v>
      </c>
    </row>
    <row r="216" customFormat="false" ht="15" hidden="false" customHeight="false" outlineLevel="0" collapsed="false">
      <c r="A216" s="5" t="s">
        <v>10770</v>
      </c>
      <c r="B216" s="5" t="s">
        <v>362</v>
      </c>
      <c r="C216" s="5" t="s">
        <v>95</v>
      </c>
      <c r="D216" s="5" t="s">
        <v>16</v>
      </c>
      <c r="E216" s="5" t="n">
        <f aca="false">ROUND(16009*1.05,2)</f>
        <v>16809.45</v>
      </c>
      <c r="F216" s="5" t="s">
        <v>49</v>
      </c>
      <c r="G216" s="5" t="s">
        <v>18</v>
      </c>
      <c r="H216" s="5" t="n">
        <f aca="true">ROUND(RAND()*4+6,1)</f>
        <v>8.5</v>
      </c>
      <c r="I216" s="5" t="s">
        <v>19</v>
      </c>
      <c r="J216" s="5" t="str">
        <f aca="false">ROUND(61*1,0)&amp;"%"</f>
        <v>61%</v>
      </c>
    </row>
    <row r="217" customFormat="false" ht="15" hidden="false" customHeight="false" outlineLevel="0" collapsed="false">
      <c r="A217" s="6" t="s">
        <v>10771</v>
      </c>
      <c r="B217" s="6" t="s">
        <v>364</v>
      </c>
      <c r="C217" s="6" t="s">
        <v>95</v>
      </c>
      <c r="D217" s="6" t="s">
        <v>22</v>
      </c>
      <c r="E217" s="6" t="n">
        <f aca="false">ROUND(14547*1.05,2)</f>
        <v>15274.35</v>
      </c>
      <c r="F217" s="6" t="s">
        <v>52</v>
      </c>
      <c r="G217" s="6" t="s">
        <v>24</v>
      </c>
      <c r="H217" s="6" t="n">
        <f aca="true">ROUND(RAND()*4+6,1)</f>
        <v>9.7</v>
      </c>
      <c r="I217" s="6" t="s">
        <v>25</v>
      </c>
      <c r="J217" s="6" t="str">
        <f aca="false">ROUND(77*1,0)&amp;"%"</f>
        <v>77%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10772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10773</v>
      </c>
      <c r="B222" s="5" t="s">
        <v>368</v>
      </c>
      <c r="C222" s="5" t="s">
        <v>114</v>
      </c>
      <c r="D222" s="5" t="s">
        <v>16</v>
      </c>
      <c r="E222" s="5" t="n">
        <f aca="false">ROUND(9751*1.05,2)</f>
        <v>10238.55</v>
      </c>
      <c r="F222" s="5" t="s">
        <v>17</v>
      </c>
      <c r="G222" s="5" t="s">
        <v>18</v>
      </c>
      <c r="H222" s="5" t="n">
        <f aca="true">ROUND(RAND()*4+6,1)</f>
        <v>9.3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10774</v>
      </c>
      <c r="B223" s="6" t="s">
        <v>370</v>
      </c>
      <c r="C223" s="6" t="s">
        <v>114</v>
      </c>
      <c r="D223" s="6" t="s">
        <v>22</v>
      </c>
      <c r="E223" s="6" t="n">
        <f aca="false">ROUND(7570*1.05,2)</f>
        <v>7948.5</v>
      </c>
      <c r="F223" s="6" t="s">
        <v>23</v>
      </c>
      <c r="G223" s="6" t="s">
        <v>24</v>
      </c>
      <c r="H223" s="6" t="n">
        <f aca="true">ROUND(RAND()*4+6,1)</f>
        <v>8.1</v>
      </c>
      <c r="I223" s="6" t="s">
        <v>25</v>
      </c>
      <c r="J223" s="6" t="str">
        <f aca="false">ROUND(90*1,0)&amp;"%"</f>
        <v>90%</v>
      </c>
    </row>
    <row r="224" customFormat="false" ht="15" hidden="false" customHeight="false" outlineLevel="0" collapsed="false">
      <c r="A224" s="5" t="s">
        <v>10775</v>
      </c>
      <c r="B224" s="5" t="s">
        <v>372</v>
      </c>
      <c r="C224" s="5" t="s">
        <v>114</v>
      </c>
      <c r="D224" s="5" t="s">
        <v>28</v>
      </c>
      <c r="E224" s="5" t="n">
        <f aca="false">ROUND(8325*1.05,2)</f>
        <v>8741.25</v>
      </c>
      <c r="F224" s="5" t="s">
        <v>29</v>
      </c>
      <c r="G224" s="5" t="s">
        <v>30</v>
      </c>
      <c r="H224" s="5" t="n">
        <f aca="true">ROUND(RAND()*4+6,1)</f>
        <v>7.3</v>
      </c>
      <c r="I224" s="5" t="s">
        <v>31</v>
      </c>
      <c r="J224" s="5" t="str">
        <f aca="false">ROUND(90*1,0)&amp;"%"</f>
        <v>90%</v>
      </c>
    </row>
    <row r="225" customFormat="false" ht="15" hidden="false" customHeight="false" outlineLevel="0" collapsed="false">
      <c r="A225" s="6" t="s">
        <v>10776</v>
      </c>
      <c r="B225" s="6" t="s">
        <v>374</v>
      </c>
      <c r="C225" s="6" t="s">
        <v>114</v>
      </c>
      <c r="D225" s="6" t="s">
        <v>34</v>
      </c>
      <c r="E225" s="6" t="n">
        <f aca="false">ROUND(8282*1.05,2)</f>
        <v>8696.1</v>
      </c>
      <c r="F225" s="6" t="s">
        <v>35</v>
      </c>
      <c r="G225" s="6" t="s">
        <v>18</v>
      </c>
      <c r="H225" s="6" t="n">
        <f aca="true">ROUND(RAND()*4+6,1)</f>
        <v>9.3</v>
      </c>
      <c r="I225" s="6" t="s">
        <v>36</v>
      </c>
      <c r="J225" s="6" t="str">
        <f aca="false">ROUND(62*1,0)&amp;"%"</f>
        <v>62%</v>
      </c>
    </row>
    <row r="226" customFormat="false" ht="15" hidden="false" customHeight="false" outlineLevel="0" collapsed="false">
      <c r="A226" s="5" t="s">
        <v>10777</v>
      </c>
      <c r="B226" s="5" t="s">
        <v>376</v>
      </c>
      <c r="C226" s="5" t="s">
        <v>114</v>
      </c>
      <c r="D226" s="5" t="s">
        <v>39</v>
      </c>
      <c r="E226" s="5" t="n">
        <f aca="false">ROUND(7837*1.05,2)</f>
        <v>8228.85</v>
      </c>
      <c r="F226" s="5" t="s">
        <v>40</v>
      </c>
      <c r="G226" s="5" t="s">
        <v>24</v>
      </c>
      <c r="H226" s="5" t="n">
        <f aca="true">ROUND(RAND()*4+6,1)</f>
        <v>8.2</v>
      </c>
      <c r="I226" s="5" t="s">
        <v>41</v>
      </c>
      <c r="J226" s="5" t="str">
        <f aca="false">ROUND(91*1,0)&amp;"%"</f>
        <v>91%</v>
      </c>
    </row>
    <row r="227" customFormat="false" ht="15" hidden="false" customHeight="false" outlineLevel="0" collapsed="false">
      <c r="A227" s="6" t="s">
        <v>10778</v>
      </c>
      <c r="B227" s="6" t="s">
        <v>378</v>
      </c>
      <c r="C227" s="6" t="s">
        <v>114</v>
      </c>
      <c r="D227" s="6" t="s">
        <v>44</v>
      </c>
      <c r="E227" s="6" t="n">
        <f aca="false">ROUND(9289*1.05,2)</f>
        <v>9753.45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ROUND(89*1,0)&amp;"%"</f>
        <v>89%</v>
      </c>
    </row>
    <row r="228" customFormat="false" ht="15" hidden="false" customHeight="false" outlineLevel="0" collapsed="false">
      <c r="A228" s="5" t="s">
        <v>10779</v>
      </c>
      <c r="B228" s="5" t="s">
        <v>380</v>
      </c>
      <c r="C228" s="5" t="s">
        <v>114</v>
      </c>
      <c r="D228" s="5" t="s">
        <v>16</v>
      </c>
      <c r="E228" s="5" t="n">
        <f aca="false">ROUND(11864*1.05,2)</f>
        <v>12457.2</v>
      </c>
      <c r="F228" s="5" t="s">
        <v>49</v>
      </c>
      <c r="G228" s="5" t="s">
        <v>18</v>
      </c>
      <c r="H228" s="5" t="n">
        <f aca="true">ROUND(RAND()*4+6,1)</f>
        <v>6.8</v>
      </c>
      <c r="I228" s="5" t="s">
        <v>19</v>
      </c>
      <c r="J228" s="5" t="str">
        <f aca="false">ROUND(72*1,0)&amp;"%"</f>
        <v>72%</v>
      </c>
    </row>
    <row r="229" customFormat="false" ht="15" hidden="false" customHeight="false" outlineLevel="0" collapsed="false">
      <c r="A229" s="6" t="s">
        <v>10780</v>
      </c>
      <c r="B229" s="6" t="s">
        <v>382</v>
      </c>
      <c r="C229" s="6" t="s">
        <v>114</v>
      </c>
      <c r="D229" s="6" t="s">
        <v>22</v>
      </c>
      <c r="E229" s="6" t="n">
        <f aca="false">ROUND(12902*1.05,2)</f>
        <v>13547.1</v>
      </c>
      <c r="F229" s="6" t="s">
        <v>52</v>
      </c>
      <c r="G229" s="6" t="s">
        <v>24</v>
      </c>
      <c r="H229" s="6" t="n">
        <f aca="true">ROUND(RAND()*4+6,1)</f>
        <v>6.4</v>
      </c>
      <c r="I229" s="6" t="s">
        <v>25</v>
      </c>
      <c r="J229" s="6" t="str">
        <f aca="false">ROUND(68*1,0)&amp;"%"</f>
        <v>68%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10781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10782</v>
      </c>
      <c r="B234" s="5" t="s">
        <v>386</v>
      </c>
      <c r="C234" s="5" t="s">
        <v>133</v>
      </c>
      <c r="D234" s="5" t="s">
        <v>16</v>
      </c>
      <c r="E234" s="5" t="n">
        <f aca="false">ROUND(10465*1.05,2)</f>
        <v>10988.25</v>
      </c>
      <c r="F234" s="5" t="s">
        <v>17</v>
      </c>
      <c r="G234" s="5" t="s">
        <v>18</v>
      </c>
      <c r="H234" s="5" t="n">
        <f aca="true">ROUND(RAND()*4+6,1)</f>
        <v>7.5</v>
      </c>
      <c r="I234" s="5" t="s">
        <v>19</v>
      </c>
      <c r="J234" s="5" t="str">
        <f aca="false">ROUND(96*1,0)&amp;"%"</f>
        <v>96%</v>
      </c>
    </row>
    <row r="235" customFormat="false" ht="15" hidden="false" customHeight="false" outlineLevel="0" collapsed="false">
      <c r="A235" s="6" t="s">
        <v>10783</v>
      </c>
      <c r="B235" s="6" t="s">
        <v>388</v>
      </c>
      <c r="C235" s="6" t="s">
        <v>133</v>
      </c>
      <c r="D235" s="6" t="s">
        <v>22</v>
      </c>
      <c r="E235" s="6" t="n">
        <f aca="false">ROUND(13659*1.05,2)</f>
        <v>14341.95</v>
      </c>
      <c r="F235" s="6" t="s">
        <v>23</v>
      </c>
      <c r="G235" s="6" t="s">
        <v>24</v>
      </c>
      <c r="H235" s="6" t="n">
        <f aca="true">ROUND(RAND()*4+6,1)</f>
        <v>9.9</v>
      </c>
      <c r="I235" s="6" t="s">
        <v>25</v>
      </c>
      <c r="J235" s="6" t="str">
        <f aca="false">ROUND(64*1,0)&amp;"%"</f>
        <v>64%</v>
      </c>
    </row>
    <row r="236" customFormat="false" ht="15" hidden="false" customHeight="false" outlineLevel="0" collapsed="false">
      <c r="A236" s="5" t="s">
        <v>10784</v>
      </c>
      <c r="B236" s="5" t="s">
        <v>390</v>
      </c>
      <c r="C236" s="5" t="s">
        <v>133</v>
      </c>
      <c r="D236" s="5" t="s">
        <v>28</v>
      </c>
      <c r="E236" s="5" t="n">
        <f aca="false">ROUND(5637*1.05,2)</f>
        <v>5918.85</v>
      </c>
      <c r="F236" s="5" t="s">
        <v>29</v>
      </c>
      <c r="G236" s="5" t="s">
        <v>30</v>
      </c>
      <c r="H236" s="5" t="n">
        <f aca="true">ROUND(RAND()*4+6,1)</f>
        <v>7.2</v>
      </c>
      <c r="I236" s="5" t="s">
        <v>31</v>
      </c>
      <c r="J236" s="5" t="str">
        <f aca="false">ROUND(99*1,0)&amp;"%"</f>
        <v>99%</v>
      </c>
    </row>
    <row r="237" customFormat="false" ht="15" hidden="false" customHeight="false" outlineLevel="0" collapsed="false">
      <c r="A237" s="6" t="s">
        <v>10785</v>
      </c>
      <c r="B237" s="6" t="s">
        <v>392</v>
      </c>
      <c r="C237" s="6" t="s">
        <v>133</v>
      </c>
      <c r="D237" s="6" t="s">
        <v>34</v>
      </c>
      <c r="E237" s="6" t="n">
        <f aca="false">ROUND(12616*1.05,2)</f>
        <v>13246.8</v>
      </c>
      <c r="F237" s="6" t="s">
        <v>35</v>
      </c>
      <c r="G237" s="6" t="s">
        <v>18</v>
      </c>
      <c r="H237" s="6" t="n">
        <f aca="true">ROUND(RAND()*4+6,1)</f>
        <v>9.4</v>
      </c>
      <c r="I237" s="6" t="s">
        <v>36</v>
      </c>
      <c r="J237" s="6" t="str">
        <f aca="false">ROUND(94*1,0)&amp;"%"</f>
        <v>94%</v>
      </c>
    </row>
    <row r="238" customFormat="false" ht="15" hidden="false" customHeight="false" outlineLevel="0" collapsed="false">
      <c r="A238" s="5" t="s">
        <v>10786</v>
      </c>
      <c r="B238" s="5" t="s">
        <v>394</v>
      </c>
      <c r="C238" s="5" t="s">
        <v>133</v>
      </c>
      <c r="D238" s="5" t="s">
        <v>39</v>
      </c>
      <c r="E238" s="5" t="n">
        <f aca="false">ROUND(15344*1.05,2)</f>
        <v>16111.2</v>
      </c>
      <c r="F238" s="5" t="s">
        <v>40</v>
      </c>
      <c r="G238" s="5" t="s">
        <v>24</v>
      </c>
      <c r="H238" s="5" t="n">
        <f aca="true">ROUND(RAND()*4+6,1)</f>
        <v>9.9</v>
      </c>
      <c r="I238" s="5" t="s">
        <v>41</v>
      </c>
      <c r="J238" s="5" t="str">
        <f aca="false">ROUND(77*1,0)&amp;"%"</f>
        <v>77%</v>
      </c>
    </row>
    <row r="239" customFormat="false" ht="15" hidden="false" customHeight="false" outlineLevel="0" collapsed="false">
      <c r="A239" s="6" t="s">
        <v>10787</v>
      </c>
      <c r="B239" s="6" t="s">
        <v>396</v>
      </c>
      <c r="C239" s="6" t="s">
        <v>133</v>
      </c>
      <c r="D239" s="6" t="s">
        <v>44</v>
      </c>
      <c r="E239" s="6" t="n">
        <f aca="false">ROUND(4419*1.05,2)</f>
        <v>4639.95</v>
      </c>
      <c r="F239" s="6" t="s">
        <v>45</v>
      </c>
      <c r="G239" s="6" t="s">
        <v>30</v>
      </c>
      <c r="H239" s="6" t="n">
        <f aca="true">ROUND(RAND()*4+6,1)</f>
        <v>6.3</v>
      </c>
      <c r="I239" s="6" t="s">
        <v>46</v>
      </c>
      <c r="J239" s="6" t="str">
        <f aca="false">ROUND(62*1,0)&amp;"%"</f>
        <v>62%</v>
      </c>
    </row>
    <row r="240" customFormat="false" ht="15" hidden="false" customHeight="false" outlineLevel="0" collapsed="false">
      <c r="A240" s="5" t="s">
        <v>10788</v>
      </c>
      <c r="B240" s="5" t="s">
        <v>398</v>
      </c>
      <c r="C240" s="5" t="s">
        <v>133</v>
      </c>
      <c r="D240" s="5" t="s">
        <v>16</v>
      </c>
      <c r="E240" s="5" t="n">
        <f aca="false">ROUND(4420*1.05,2)</f>
        <v>4641</v>
      </c>
      <c r="F240" s="5" t="s">
        <v>49</v>
      </c>
      <c r="G240" s="5" t="s">
        <v>18</v>
      </c>
      <c r="H240" s="5" t="n">
        <f aca="true">ROUND(RAND()*4+6,1)</f>
        <v>6.9</v>
      </c>
      <c r="I240" s="5" t="s">
        <v>19</v>
      </c>
      <c r="J240" s="5" t="str">
        <f aca="false">ROUND(85*1,0)&amp;"%"</f>
        <v>85%</v>
      </c>
    </row>
    <row r="241" customFormat="false" ht="15" hidden="false" customHeight="false" outlineLevel="0" collapsed="false">
      <c r="A241" s="6" t="s">
        <v>10789</v>
      </c>
      <c r="B241" s="6" t="s">
        <v>400</v>
      </c>
      <c r="C241" s="6" t="s">
        <v>133</v>
      </c>
      <c r="D241" s="6" t="s">
        <v>22</v>
      </c>
      <c r="E241" s="6" t="n">
        <f aca="false">ROUND(17684*1.05,2)</f>
        <v>18568.2</v>
      </c>
      <c r="F241" s="6" t="s">
        <v>52</v>
      </c>
      <c r="G241" s="6" t="s">
        <v>24</v>
      </c>
      <c r="H241" s="6" t="n">
        <f aca="true">ROUND(RAND()*4+6,1)</f>
        <v>9.7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10790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10791</v>
      </c>
      <c r="B246" s="5" t="s">
        <v>404</v>
      </c>
      <c r="C246" s="5" t="s">
        <v>152</v>
      </c>
      <c r="D246" s="5" t="s">
        <v>16</v>
      </c>
      <c r="E246" s="5" t="n">
        <f aca="false">ROUND(9389*1.05,2)</f>
        <v>9858.45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ROUND(98*1,0)&amp;"%"</f>
        <v>98%</v>
      </c>
    </row>
    <row r="247" customFormat="false" ht="15" hidden="false" customHeight="false" outlineLevel="0" collapsed="false">
      <c r="A247" s="6" t="s">
        <v>10792</v>
      </c>
      <c r="B247" s="6" t="s">
        <v>406</v>
      </c>
      <c r="C247" s="6" t="s">
        <v>152</v>
      </c>
      <c r="D247" s="6" t="s">
        <v>22</v>
      </c>
      <c r="E247" s="6" t="n">
        <f aca="false">ROUND(8248*1.05,2)</f>
        <v>8660.4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ROUND(62*1,0)&amp;"%"</f>
        <v>62%</v>
      </c>
    </row>
    <row r="248" customFormat="false" ht="15" hidden="false" customHeight="false" outlineLevel="0" collapsed="false">
      <c r="A248" s="5" t="s">
        <v>10793</v>
      </c>
      <c r="B248" s="5" t="s">
        <v>408</v>
      </c>
      <c r="C248" s="5" t="s">
        <v>152</v>
      </c>
      <c r="D248" s="5" t="s">
        <v>28</v>
      </c>
      <c r="E248" s="5" t="n">
        <f aca="false">ROUND(13508*1.05,2)</f>
        <v>14183.4</v>
      </c>
      <c r="F248" s="5" t="s">
        <v>29</v>
      </c>
      <c r="G248" s="5" t="s">
        <v>30</v>
      </c>
      <c r="H248" s="5" t="n">
        <f aca="true">ROUND(RAND()*4+6,1)</f>
        <v>8.2</v>
      </c>
      <c r="I248" s="5" t="s">
        <v>31</v>
      </c>
      <c r="J248" s="5" t="str">
        <f aca="false">ROUND(62*1,0)&amp;"%"</f>
        <v>62%</v>
      </c>
    </row>
    <row r="249" customFormat="false" ht="15" hidden="false" customHeight="false" outlineLevel="0" collapsed="false">
      <c r="A249" s="6" t="s">
        <v>10794</v>
      </c>
      <c r="B249" s="6" t="s">
        <v>410</v>
      </c>
      <c r="C249" s="6" t="s">
        <v>152</v>
      </c>
      <c r="D249" s="6" t="s">
        <v>34</v>
      </c>
      <c r="E249" s="6" t="n">
        <f aca="false">ROUND(8762*1.05,2)</f>
        <v>9200.1</v>
      </c>
      <c r="F249" s="6" t="s">
        <v>35</v>
      </c>
      <c r="G249" s="6" t="s">
        <v>18</v>
      </c>
      <c r="H249" s="6" t="n">
        <f aca="true">ROUND(RAND()*4+6,1)</f>
        <v>8.8</v>
      </c>
      <c r="I249" s="6" t="s">
        <v>36</v>
      </c>
      <c r="J249" s="6" t="str">
        <f aca="false">ROUND(76*1,0)&amp;"%"</f>
        <v>76%</v>
      </c>
    </row>
    <row r="250" customFormat="false" ht="15" hidden="false" customHeight="false" outlineLevel="0" collapsed="false">
      <c r="A250" s="5" t="s">
        <v>10795</v>
      </c>
      <c r="B250" s="5" t="s">
        <v>412</v>
      </c>
      <c r="C250" s="5" t="s">
        <v>152</v>
      </c>
      <c r="D250" s="5" t="s">
        <v>39</v>
      </c>
      <c r="E250" s="5" t="n">
        <f aca="false">ROUND(9027*1.05,2)</f>
        <v>9478.35</v>
      </c>
      <c r="F250" s="5" t="s">
        <v>40</v>
      </c>
      <c r="G250" s="5" t="s">
        <v>24</v>
      </c>
      <c r="H250" s="5" t="n">
        <f aca="true">ROUND(RAND()*4+6,1)</f>
        <v>8.4</v>
      </c>
      <c r="I250" s="5" t="s">
        <v>41</v>
      </c>
      <c r="J250" s="5" t="str">
        <f aca="false">ROUND(81*1,0)&amp;"%"</f>
        <v>81%</v>
      </c>
    </row>
    <row r="251" customFormat="false" ht="15" hidden="false" customHeight="false" outlineLevel="0" collapsed="false">
      <c r="A251" s="6" t="s">
        <v>10796</v>
      </c>
      <c r="B251" s="6" t="s">
        <v>414</v>
      </c>
      <c r="C251" s="6" t="s">
        <v>152</v>
      </c>
      <c r="D251" s="6" t="s">
        <v>44</v>
      </c>
      <c r="E251" s="6" t="n">
        <f aca="false">ROUND(10843*1.05,2)</f>
        <v>11385.15</v>
      </c>
      <c r="F251" s="6" t="s">
        <v>45</v>
      </c>
      <c r="G251" s="6" t="s">
        <v>30</v>
      </c>
      <c r="H251" s="6" t="n">
        <f aca="true">ROUND(RAND()*4+6,1)</f>
        <v>9.4</v>
      </c>
      <c r="I251" s="6" t="s">
        <v>46</v>
      </c>
      <c r="J251" s="6" t="str">
        <f aca="false">ROUND(82*1,0)&amp;"%"</f>
        <v>82%</v>
      </c>
    </row>
    <row r="252" customFormat="false" ht="15" hidden="false" customHeight="false" outlineLevel="0" collapsed="false">
      <c r="A252" s="5" t="s">
        <v>10797</v>
      </c>
      <c r="B252" s="5" t="s">
        <v>416</v>
      </c>
      <c r="C252" s="5" t="s">
        <v>152</v>
      </c>
      <c r="D252" s="5" t="s">
        <v>16</v>
      </c>
      <c r="E252" s="5" t="n">
        <f aca="false">ROUND(5065*1.05,2)</f>
        <v>5318.25</v>
      </c>
      <c r="F252" s="5" t="s">
        <v>49</v>
      </c>
      <c r="G252" s="5" t="s">
        <v>18</v>
      </c>
      <c r="H252" s="5" t="n">
        <f aca="true">ROUND(RAND()*4+6,1)</f>
        <v>7.4</v>
      </c>
      <c r="I252" s="5" t="s">
        <v>19</v>
      </c>
      <c r="J252" s="5" t="str">
        <f aca="false">ROUND(70*1,0)&amp;"%"</f>
        <v>70%</v>
      </c>
    </row>
    <row r="253" customFormat="false" ht="15" hidden="false" customHeight="false" outlineLevel="0" collapsed="false">
      <c r="A253" s="6" t="s">
        <v>10798</v>
      </c>
      <c r="B253" s="6" t="s">
        <v>418</v>
      </c>
      <c r="C253" s="6" t="s">
        <v>152</v>
      </c>
      <c r="D253" s="6" t="s">
        <v>22</v>
      </c>
      <c r="E253" s="6" t="n">
        <f aca="false">ROUND(17851*1.05,2)</f>
        <v>18743.55</v>
      </c>
      <c r="F253" s="6" t="s">
        <v>52</v>
      </c>
      <c r="G253" s="6" t="s">
        <v>24</v>
      </c>
      <c r="H253" s="6" t="n">
        <f aca="true">ROUND(RAND()*4+6,1)</f>
        <v>8.9</v>
      </c>
      <c r="I253" s="6" t="s">
        <v>25</v>
      </c>
      <c r="J253" s="6" t="str">
        <f aca="false">ROUND(100*1,0)&amp;"%"</f>
        <v>100%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10799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10800</v>
      </c>
      <c r="B258" s="5" t="s">
        <v>422</v>
      </c>
      <c r="C258" s="5" t="s">
        <v>15</v>
      </c>
      <c r="D258" s="5" t="s">
        <v>16</v>
      </c>
      <c r="E258" s="5" t="n">
        <f aca="false">ROUND(13801*1.05,2)</f>
        <v>14491.05</v>
      </c>
      <c r="F258" s="5" t="s">
        <v>17</v>
      </c>
      <c r="G258" s="5" t="s">
        <v>18</v>
      </c>
      <c r="H258" s="5" t="n">
        <f aca="true">ROUND(RAND()*4+6,1)</f>
        <v>8.1</v>
      </c>
      <c r="I258" s="5" t="s">
        <v>19</v>
      </c>
      <c r="J258" s="5" t="str">
        <f aca="false">ROUND(88*1,0)&amp;"%"</f>
        <v>88%</v>
      </c>
    </row>
    <row r="259" customFormat="false" ht="15" hidden="false" customHeight="false" outlineLevel="0" collapsed="false">
      <c r="A259" s="6" t="s">
        <v>10801</v>
      </c>
      <c r="B259" s="6" t="s">
        <v>424</v>
      </c>
      <c r="C259" s="6" t="s">
        <v>15</v>
      </c>
      <c r="D259" s="6" t="s">
        <v>22</v>
      </c>
      <c r="E259" s="6" t="n">
        <f aca="false">ROUND(10271*1.05,2)</f>
        <v>10784.55</v>
      </c>
      <c r="F259" s="6" t="s">
        <v>23</v>
      </c>
      <c r="G259" s="6" t="s">
        <v>24</v>
      </c>
      <c r="H259" s="6" t="n">
        <f aca="true">ROUND(RAND()*4+6,1)</f>
        <v>10</v>
      </c>
      <c r="I259" s="6" t="s">
        <v>25</v>
      </c>
      <c r="J259" s="6" t="str">
        <f aca="false">ROUND(69*1,0)&amp;"%"</f>
        <v>69%</v>
      </c>
    </row>
    <row r="260" customFormat="false" ht="15" hidden="false" customHeight="false" outlineLevel="0" collapsed="false">
      <c r="A260" s="5" t="s">
        <v>10802</v>
      </c>
      <c r="B260" s="5" t="s">
        <v>426</v>
      </c>
      <c r="C260" s="5" t="s">
        <v>15</v>
      </c>
      <c r="D260" s="5" t="s">
        <v>28</v>
      </c>
      <c r="E260" s="5" t="n">
        <f aca="false">ROUND(17056*1.05,2)</f>
        <v>17908.8</v>
      </c>
      <c r="F260" s="5" t="s">
        <v>29</v>
      </c>
      <c r="G260" s="5" t="s">
        <v>30</v>
      </c>
      <c r="H260" s="5" t="n">
        <f aca="true">ROUND(RAND()*4+6,1)</f>
        <v>6.8</v>
      </c>
      <c r="I260" s="5" t="s">
        <v>31</v>
      </c>
      <c r="J260" s="5" t="str">
        <f aca="false">ROUND(92*1,0)&amp;"%"</f>
        <v>92%</v>
      </c>
    </row>
    <row r="261" customFormat="false" ht="15" hidden="false" customHeight="false" outlineLevel="0" collapsed="false">
      <c r="A261" s="6" t="s">
        <v>10803</v>
      </c>
      <c r="B261" s="6" t="s">
        <v>428</v>
      </c>
      <c r="C261" s="6" t="s">
        <v>15</v>
      </c>
      <c r="D261" s="6" t="s">
        <v>34</v>
      </c>
      <c r="E261" s="6" t="n">
        <f aca="false">ROUND(8173*1.05,2)</f>
        <v>8581.65</v>
      </c>
      <c r="F261" s="6" t="s">
        <v>35</v>
      </c>
      <c r="G261" s="6" t="s">
        <v>18</v>
      </c>
      <c r="H261" s="6" t="n">
        <f aca="true">ROUND(RAND()*4+6,1)</f>
        <v>9.7</v>
      </c>
      <c r="I261" s="6" t="s">
        <v>36</v>
      </c>
      <c r="J261" s="6" t="str">
        <f aca="false">ROUND(80*1,0)&amp;"%"</f>
        <v>80%</v>
      </c>
    </row>
    <row r="262" customFormat="false" ht="15" hidden="false" customHeight="false" outlineLevel="0" collapsed="false">
      <c r="A262" s="5" t="s">
        <v>10804</v>
      </c>
      <c r="B262" s="5" t="s">
        <v>430</v>
      </c>
      <c r="C262" s="5" t="s">
        <v>15</v>
      </c>
      <c r="D262" s="5" t="s">
        <v>39</v>
      </c>
      <c r="E262" s="5" t="n">
        <f aca="false">ROUND(4040*1.05,2)</f>
        <v>4242</v>
      </c>
      <c r="F262" s="5" t="s">
        <v>40</v>
      </c>
      <c r="G262" s="5" t="s">
        <v>24</v>
      </c>
      <c r="H262" s="5" t="n">
        <f aca="true">ROUND(RAND()*4+6,1)</f>
        <v>7.4</v>
      </c>
      <c r="I262" s="5" t="s">
        <v>41</v>
      </c>
      <c r="J262" s="5" t="str">
        <f aca="false">ROUND(77*1,0)&amp;"%"</f>
        <v>77%</v>
      </c>
    </row>
    <row r="263" customFormat="false" ht="15" hidden="false" customHeight="false" outlineLevel="0" collapsed="false">
      <c r="A263" s="6" t="s">
        <v>10805</v>
      </c>
      <c r="B263" s="6" t="s">
        <v>432</v>
      </c>
      <c r="C263" s="6" t="s">
        <v>15</v>
      </c>
      <c r="D263" s="6" t="s">
        <v>44</v>
      </c>
      <c r="E263" s="6" t="n">
        <f aca="false">ROUND(6847*1.05,2)</f>
        <v>7189.35</v>
      </c>
      <c r="F263" s="6" t="s">
        <v>45</v>
      </c>
      <c r="G263" s="6" t="s">
        <v>30</v>
      </c>
      <c r="H263" s="6" t="n">
        <f aca="true">ROUND(RAND()*4+6,1)</f>
        <v>8.8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10806</v>
      </c>
      <c r="B264" s="5" t="s">
        <v>434</v>
      </c>
      <c r="C264" s="5" t="s">
        <v>15</v>
      </c>
      <c r="D264" s="5" t="s">
        <v>16</v>
      </c>
      <c r="E264" s="5" t="n">
        <f aca="false">ROUND(17214*1.05,2)</f>
        <v>18074.7</v>
      </c>
      <c r="F264" s="5" t="s">
        <v>49</v>
      </c>
      <c r="G264" s="5" t="s">
        <v>18</v>
      </c>
      <c r="H264" s="5" t="n">
        <f aca="true">ROUND(RAND()*4+6,1)</f>
        <v>8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10807</v>
      </c>
      <c r="B265" s="6" t="s">
        <v>436</v>
      </c>
      <c r="C265" s="6" t="s">
        <v>15</v>
      </c>
      <c r="D265" s="6" t="s">
        <v>22</v>
      </c>
      <c r="E265" s="6" t="n">
        <f aca="false">ROUND(17504*1.05,2)</f>
        <v>18379.2</v>
      </c>
      <c r="F265" s="6" t="s">
        <v>52</v>
      </c>
      <c r="G265" s="6" t="s">
        <v>24</v>
      </c>
      <c r="H265" s="6" t="n">
        <f aca="true">ROUND(RAND()*4+6,1)</f>
        <v>8.2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10808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10809</v>
      </c>
      <c r="B270" s="5" t="s">
        <v>440</v>
      </c>
      <c r="C270" s="5" t="s">
        <v>57</v>
      </c>
      <c r="D270" s="5" t="s">
        <v>16</v>
      </c>
      <c r="E270" s="5" t="n">
        <f aca="false">ROUND(14666*1.05,2)</f>
        <v>15399.3</v>
      </c>
      <c r="F270" s="5" t="s">
        <v>17</v>
      </c>
      <c r="G270" s="5" t="s">
        <v>18</v>
      </c>
      <c r="H270" s="5" t="n">
        <f aca="true">ROUND(RAND()*4+6,1)</f>
        <v>8.3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10810</v>
      </c>
      <c r="B271" s="6" t="s">
        <v>442</v>
      </c>
      <c r="C271" s="6" t="s">
        <v>57</v>
      </c>
      <c r="D271" s="6" t="s">
        <v>22</v>
      </c>
      <c r="E271" s="6" t="n">
        <f aca="false">ROUND(12478*1.05,2)</f>
        <v>13101.9</v>
      </c>
      <c r="F271" s="6" t="s">
        <v>23</v>
      </c>
      <c r="G271" s="6" t="s">
        <v>24</v>
      </c>
      <c r="H271" s="6" t="n">
        <f aca="true">ROUND(RAND()*4+6,1)</f>
        <v>7.5</v>
      </c>
      <c r="I271" s="6" t="s">
        <v>25</v>
      </c>
      <c r="J271" s="6" t="str">
        <f aca="false">ROUND(94*1,0)&amp;"%"</f>
        <v>94%</v>
      </c>
    </row>
    <row r="272" customFormat="false" ht="15" hidden="false" customHeight="false" outlineLevel="0" collapsed="false">
      <c r="A272" s="5" t="s">
        <v>10811</v>
      </c>
      <c r="B272" s="5" t="s">
        <v>444</v>
      </c>
      <c r="C272" s="5" t="s">
        <v>57</v>
      </c>
      <c r="D272" s="5" t="s">
        <v>28</v>
      </c>
      <c r="E272" s="5" t="n">
        <f aca="false">ROUND(11169*1.05,2)</f>
        <v>11727.45</v>
      </c>
      <c r="F272" s="5" t="s">
        <v>29</v>
      </c>
      <c r="G272" s="5" t="s">
        <v>30</v>
      </c>
      <c r="H272" s="5" t="n">
        <f aca="true">ROUND(RAND()*4+6,1)</f>
        <v>7.4</v>
      </c>
      <c r="I272" s="5" t="s">
        <v>31</v>
      </c>
      <c r="J272" s="5" t="str">
        <f aca="false">ROUND(66*1,0)&amp;"%"</f>
        <v>66%</v>
      </c>
    </row>
    <row r="273" customFormat="false" ht="15" hidden="false" customHeight="false" outlineLevel="0" collapsed="false">
      <c r="A273" s="6" t="s">
        <v>10812</v>
      </c>
      <c r="B273" s="6" t="s">
        <v>446</v>
      </c>
      <c r="C273" s="6" t="s">
        <v>57</v>
      </c>
      <c r="D273" s="6" t="s">
        <v>34</v>
      </c>
      <c r="E273" s="6" t="n">
        <f aca="false">ROUND(17469*1.05,2)</f>
        <v>18342.45</v>
      </c>
      <c r="F273" s="6" t="s">
        <v>35</v>
      </c>
      <c r="G273" s="6" t="s">
        <v>18</v>
      </c>
      <c r="H273" s="6" t="n">
        <f aca="true">ROUND(RAND()*4+6,1)</f>
        <v>9.3</v>
      </c>
      <c r="I273" s="6" t="s">
        <v>36</v>
      </c>
      <c r="J273" s="6" t="str">
        <f aca="false">ROUND(96*1,0)&amp;"%"</f>
        <v>96%</v>
      </c>
    </row>
    <row r="274" customFormat="false" ht="15" hidden="false" customHeight="false" outlineLevel="0" collapsed="false">
      <c r="A274" s="5" t="s">
        <v>10813</v>
      </c>
      <c r="B274" s="5" t="s">
        <v>448</v>
      </c>
      <c r="C274" s="5" t="s">
        <v>57</v>
      </c>
      <c r="D274" s="5" t="s">
        <v>39</v>
      </c>
      <c r="E274" s="5" t="n">
        <f aca="false">ROUND(9941*1.05,2)</f>
        <v>10438.05</v>
      </c>
      <c r="F274" s="5" t="s">
        <v>40</v>
      </c>
      <c r="G274" s="5" t="s">
        <v>24</v>
      </c>
      <c r="H274" s="5" t="n">
        <f aca="true">ROUND(RAND()*4+6,1)</f>
        <v>8</v>
      </c>
      <c r="I274" s="5" t="s">
        <v>41</v>
      </c>
      <c r="J274" s="5" t="str">
        <f aca="false">ROUND(76*1,0)&amp;"%"</f>
        <v>76%</v>
      </c>
    </row>
    <row r="275" customFormat="false" ht="15" hidden="false" customHeight="false" outlineLevel="0" collapsed="false">
      <c r="A275" s="6" t="s">
        <v>10814</v>
      </c>
      <c r="B275" s="6" t="s">
        <v>450</v>
      </c>
      <c r="C275" s="6" t="s">
        <v>57</v>
      </c>
      <c r="D275" s="6" t="s">
        <v>44</v>
      </c>
      <c r="E275" s="6" t="n">
        <f aca="false">ROUND(12011*1.05,2)</f>
        <v>12611.55</v>
      </c>
      <c r="F275" s="6" t="s">
        <v>45</v>
      </c>
      <c r="G275" s="6" t="s">
        <v>30</v>
      </c>
      <c r="H275" s="6" t="n">
        <f aca="true">ROUND(RAND()*4+6,1)</f>
        <v>8.6</v>
      </c>
      <c r="I275" s="6" t="s">
        <v>46</v>
      </c>
      <c r="J275" s="6" t="str">
        <f aca="false">ROUND(91*1,0)&amp;"%"</f>
        <v>91%</v>
      </c>
    </row>
    <row r="276" customFormat="false" ht="15" hidden="false" customHeight="false" outlineLevel="0" collapsed="false">
      <c r="A276" s="5" t="s">
        <v>10815</v>
      </c>
      <c r="B276" s="5" t="s">
        <v>452</v>
      </c>
      <c r="C276" s="5" t="s">
        <v>57</v>
      </c>
      <c r="D276" s="5" t="s">
        <v>16</v>
      </c>
      <c r="E276" s="5" t="n">
        <f aca="false">ROUND(15293*1.05,2)</f>
        <v>16057.65</v>
      </c>
      <c r="F276" s="5" t="s">
        <v>49</v>
      </c>
      <c r="G276" s="5" t="s">
        <v>18</v>
      </c>
      <c r="H276" s="5" t="n">
        <f aca="true">ROUND(RAND()*4+6,1)</f>
        <v>9.7</v>
      </c>
      <c r="I276" s="5" t="s">
        <v>19</v>
      </c>
      <c r="J276" s="5" t="str">
        <f aca="false">ROUND(91*1,0)&amp;"%"</f>
        <v>91%</v>
      </c>
    </row>
    <row r="277" customFormat="false" ht="15" hidden="false" customHeight="false" outlineLevel="0" collapsed="false">
      <c r="A277" s="6" t="s">
        <v>10816</v>
      </c>
      <c r="B277" s="6" t="s">
        <v>454</v>
      </c>
      <c r="C277" s="6" t="s">
        <v>57</v>
      </c>
      <c r="D277" s="6" t="s">
        <v>22</v>
      </c>
      <c r="E277" s="6" t="n">
        <f aca="false">ROUND(5013*1.05,2)</f>
        <v>5263.65</v>
      </c>
      <c r="F277" s="6" t="s">
        <v>52</v>
      </c>
      <c r="G277" s="6" t="s">
        <v>24</v>
      </c>
      <c r="H277" s="6" t="n">
        <f aca="true">ROUND(RAND()*4+6,1)</f>
        <v>6.2</v>
      </c>
      <c r="I277" s="6" t="s">
        <v>25</v>
      </c>
      <c r="J277" s="6" t="str">
        <f aca="false">ROUND(97*1,0)&amp;"%"</f>
        <v>97%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10817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10818</v>
      </c>
      <c r="B282" s="5" t="s">
        <v>458</v>
      </c>
      <c r="C282" s="5" t="s">
        <v>76</v>
      </c>
      <c r="D282" s="5" t="s">
        <v>16</v>
      </c>
      <c r="E282" s="5" t="n">
        <f aca="false">ROUND(13882*1.05,2)</f>
        <v>14576.1</v>
      </c>
      <c r="F282" s="5" t="s">
        <v>17</v>
      </c>
      <c r="G282" s="5" t="s">
        <v>18</v>
      </c>
      <c r="H282" s="5" t="n">
        <f aca="true">ROUND(RAND()*4+6,1)</f>
        <v>8.6</v>
      </c>
      <c r="I282" s="5" t="s">
        <v>19</v>
      </c>
      <c r="J282" s="5" t="str">
        <f aca="false">ROUND(99*1,0)&amp;"%"</f>
        <v>99%</v>
      </c>
    </row>
    <row r="283" customFormat="false" ht="15" hidden="false" customHeight="false" outlineLevel="0" collapsed="false">
      <c r="A283" s="6" t="s">
        <v>10819</v>
      </c>
      <c r="B283" s="6" t="s">
        <v>460</v>
      </c>
      <c r="C283" s="6" t="s">
        <v>76</v>
      </c>
      <c r="D283" s="6" t="s">
        <v>22</v>
      </c>
      <c r="E283" s="6" t="n">
        <f aca="false">ROUND(7502*1.05,2)</f>
        <v>7877.1</v>
      </c>
      <c r="F283" s="6" t="s">
        <v>23</v>
      </c>
      <c r="G283" s="6" t="s">
        <v>24</v>
      </c>
      <c r="H283" s="6" t="n">
        <f aca="true">ROUND(RAND()*4+6,1)</f>
        <v>6.8</v>
      </c>
      <c r="I283" s="6" t="s">
        <v>25</v>
      </c>
      <c r="J283" s="6" t="str">
        <f aca="false">ROUND(69*1,0)&amp;"%"</f>
        <v>69%</v>
      </c>
    </row>
    <row r="284" customFormat="false" ht="15" hidden="false" customHeight="false" outlineLevel="0" collapsed="false">
      <c r="A284" s="5" t="s">
        <v>10820</v>
      </c>
      <c r="B284" s="5" t="s">
        <v>462</v>
      </c>
      <c r="C284" s="5" t="s">
        <v>76</v>
      </c>
      <c r="D284" s="5" t="s">
        <v>28</v>
      </c>
      <c r="E284" s="5" t="n">
        <f aca="false">ROUND(15950*1.05,2)</f>
        <v>16747.5</v>
      </c>
      <c r="F284" s="5" t="s">
        <v>29</v>
      </c>
      <c r="G284" s="5" t="s">
        <v>30</v>
      </c>
      <c r="H284" s="5" t="n">
        <f aca="true">ROUND(RAND()*4+6,1)</f>
        <v>9.9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10821</v>
      </c>
      <c r="B285" s="6" t="s">
        <v>464</v>
      </c>
      <c r="C285" s="6" t="s">
        <v>76</v>
      </c>
      <c r="D285" s="6" t="s">
        <v>34</v>
      </c>
      <c r="E285" s="6" t="n">
        <f aca="false">ROUND(12582*1.05,2)</f>
        <v>13211.1</v>
      </c>
      <c r="F285" s="6" t="s">
        <v>35</v>
      </c>
      <c r="G285" s="6" t="s">
        <v>18</v>
      </c>
      <c r="H285" s="6" t="n">
        <f aca="true">ROUND(RAND()*4+6,1)</f>
        <v>8.7</v>
      </c>
      <c r="I285" s="6" t="s">
        <v>36</v>
      </c>
      <c r="J285" s="6" t="str">
        <f aca="false">ROUND(88*1,0)&amp;"%"</f>
        <v>88%</v>
      </c>
    </row>
    <row r="286" customFormat="false" ht="15" hidden="false" customHeight="false" outlineLevel="0" collapsed="false">
      <c r="A286" s="5" t="s">
        <v>10822</v>
      </c>
      <c r="B286" s="5" t="s">
        <v>466</v>
      </c>
      <c r="C286" s="5" t="s">
        <v>76</v>
      </c>
      <c r="D286" s="5" t="s">
        <v>39</v>
      </c>
      <c r="E286" s="5" t="n">
        <f aca="false">ROUND(12464*1.05,2)</f>
        <v>13087.2</v>
      </c>
      <c r="F286" s="5" t="s">
        <v>40</v>
      </c>
      <c r="G286" s="5" t="s">
        <v>24</v>
      </c>
      <c r="H286" s="5" t="n">
        <f aca="true">ROUND(RAND()*4+6,1)</f>
        <v>7.9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10823</v>
      </c>
      <c r="B287" s="6" t="s">
        <v>468</v>
      </c>
      <c r="C287" s="6" t="s">
        <v>76</v>
      </c>
      <c r="D287" s="6" t="s">
        <v>44</v>
      </c>
      <c r="E287" s="6" t="n">
        <f aca="false">ROUND(10925*1.05,2)</f>
        <v>11471.25</v>
      </c>
      <c r="F287" s="6" t="s">
        <v>45</v>
      </c>
      <c r="G287" s="6" t="s">
        <v>30</v>
      </c>
      <c r="H287" s="6" t="n">
        <f aca="true">ROUND(RAND()*4+6,1)</f>
        <v>7</v>
      </c>
      <c r="I287" s="6" t="s">
        <v>46</v>
      </c>
      <c r="J287" s="6" t="str">
        <f aca="false">ROUND(85*1,0)&amp;"%"</f>
        <v>85%</v>
      </c>
    </row>
    <row r="288" customFormat="false" ht="15" hidden="false" customHeight="false" outlineLevel="0" collapsed="false">
      <c r="A288" s="5" t="s">
        <v>10824</v>
      </c>
      <c r="B288" s="5" t="s">
        <v>470</v>
      </c>
      <c r="C288" s="5" t="s">
        <v>76</v>
      </c>
      <c r="D288" s="5" t="s">
        <v>16</v>
      </c>
      <c r="E288" s="5" t="n">
        <f aca="false">ROUND(11714*1.05,2)</f>
        <v>12299.7</v>
      </c>
      <c r="F288" s="5" t="s">
        <v>49</v>
      </c>
      <c r="G288" s="5" t="s">
        <v>18</v>
      </c>
      <c r="H288" s="5" t="n">
        <f aca="true">ROUND(RAND()*4+6,1)</f>
        <v>7.4</v>
      </c>
      <c r="I288" s="5" t="s">
        <v>19</v>
      </c>
      <c r="J288" s="5" t="str">
        <f aca="false">ROUND(90*1,0)&amp;"%"</f>
        <v>90%</v>
      </c>
    </row>
    <row r="289" customFormat="false" ht="15" hidden="false" customHeight="false" outlineLevel="0" collapsed="false">
      <c r="A289" s="6" t="s">
        <v>10825</v>
      </c>
      <c r="B289" s="6" t="s">
        <v>472</v>
      </c>
      <c r="C289" s="6" t="s">
        <v>76</v>
      </c>
      <c r="D289" s="6" t="s">
        <v>22</v>
      </c>
      <c r="E289" s="6" t="n">
        <f aca="false">ROUND(12979*1.05,2)</f>
        <v>13627.95</v>
      </c>
      <c r="F289" s="6" t="s">
        <v>52</v>
      </c>
      <c r="G289" s="6" t="s">
        <v>24</v>
      </c>
      <c r="H289" s="6" t="n">
        <f aca="true">ROUND(RAND()*4+6,1)</f>
        <v>6.8</v>
      </c>
      <c r="I289" s="6" t="s">
        <v>25</v>
      </c>
      <c r="J289" s="6" t="str">
        <f aca="false">ROUND(94*1,0)&amp;"%"</f>
        <v>94%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10826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10827</v>
      </c>
      <c r="B294" s="5" t="s">
        <v>476</v>
      </c>
      <c r="C294" s="5" t="s">
        <v>95</v>
      </c>
      <c r="D294" s="5" t="s">
        <v>16</v>
      </c>
      <c r="E294" s="5" t="n">
        <f aca="false">ROUND(13653*1.05,2)</f>
        <v>14335.65</v>
      </c>
      <c r="F294" s="5" t="s">
        <v>17</v>
      </c>
      <c r="G294" s="5" t="s">
        <v>18</v>
      </c>
      <c r="H294" s="5" t="n">
        <f aca="true">ROUND(RAND()*4+6,1)</f>
        <v>8.5</v>
      </c>
      <c r="I294" s="5" t="s">
        <v>19</v>
      </c>
      <c r="J294" s="5" t="str">
        <f aca="false">ROUND(61*1,0)&amp;"%"</f>
        <v>61%</v>
      </c>
    </row>
    <row r="295" customFormat="false" ht="15" hidden="false" customHeight="false" outlineLevel="0" collapsed="false">
      <c r="A295" s="6" t="s">
        <v>10828</v>
      </c>
      <c r="B295" s="6" t="s">
        <v>478</v>
      </c>
      <c r="C295" s="6" t="s">
        <v>95</v>
      </c>
      <c r="D295" s="6" t="s">
        <v>22</v>
      </c>
      <c r="E295" s="6" t="n">
        <f aca="false">ROUND(13734*1.05,2)</f>
        <v>14420.7</v>
      </c>
      <c r="F295" s="6" t="s">
        <v>23</v>
      </c>
      <c r="G295" s="6" t="s">
        <v>24</v>
      </c>
      <c r="H295" s="6" t="n">
        <f aca="true">ROUND(RAND()*4+6,1)</f>
        <v>9.2</v>
      </c>
      <c r="I295" s="6" t="s">
        <v>25</v>
      </c>
      <c r="J295" s="6" t="str">
        <f aca="false">ROUND(68*1,0)&amp;"%"</f>
        <v>68%</v>
      </c>
    </row>
    <row r="296" customFormat="false" ht="15" hidden="false" customHeight="false" outlineLevel="0" collapsed="false">
      <c r="A296" s="5" t="s">
        <v>10829</v>
      </c>
      <c r="B296" s="5" t="s">
        <v>480</v>
      </c>
      <c r="C296" s="5" t="s">
        <v>95</v>
      </c>
      <c r="D296" s="5" t="s">
        <v>28</v>
      </c>
      <c r="E296" s="5" t="n">
        <f aca="false">ROUND(4726*1.05,2)</f>
        <v>4962.3</v>
      </c>
      <c r="F296" s="5" t="s">
        <v>29</v>
      </c>
      <c r="G296" s="5" t="s">
        <v>30</v>
      </c>
      <c r="H296" s="5" t="n">
        <f aca="true">ROUND(RAND()*4+6,1)</f>
        <v>9.5</v>
      </c>
      <c r="I296" s="5" t="s">
        <v>31</v>
      </c>
      <c r="J296" s="5" t="str">
        <f aca="false">ROUND(70*1,0)&amp;"%"</f>
        <v>70%</v>
      </c>
    </row>
    <row r="297" customFormat="false" ht="15" hidden="false" customHeight="false" outlineLevel="0" collapsed="false">
      <c r="A297" s="6" t="s">
        <v>10830</v>
      </c>
      <c r="B297" s="6" t="s">
        <v>482</v>
      </c>
      <c r="C297" s="6" t="s">
        <v>95</v>
      </c>
      <c r="D297" s="6" t="s">
        <v>34</v>
      </c>
      <c r="E297" s="6" t="n">
        <f aca="false">ROUND(16088*1.05,2)</f>
        <v>16892.4</v>
      </c>
      <c r="F297" s="6" t="s">
        <v>35</v>
      </c>
      <c r="G297" s="6" t="s">
        <v>18</v>
      </c>
      <c r="H297" s="6" t="n">
        <f aca="true">ROUND(RAND()*4+6,1)</f>
        <v>7.2</v>
      </c>
      <c r="I297" s="6" t="s">
        <v>36</v>
      </c>
      <c r="J297" s="6" t="str">
        <f aca="false">ROUND(100*1,0)&amp;"%"</f>
        <v>100%</v>
      </c>
    </row>
    <row r="298" customFormat="false" ht="15" hidden="false" customHeight="false" outlineLevel="0" collapsed="false">
      <c r="A298" s="5" t="s">
        <v>10831</v>
      </c>
      <c r="B298" s="5" t="s">
        <v>484</v>
      </c>
      <c r="C298" s="5" t="s">
        <v>95</v>
      </c>
      <c r="D298" s="5" t="s">
        <v>39</v>
      </c>
      <c r="E298" s="5" t="n">
        <f aca="false">ROUND(5607*1.05,2)</f>
        <v>5887.35</v>
      </c>
      <c r="F298" s="5" t="s">
        <v>40</v>
      </c>
      <c r="G298" s="5" t="s">
        <v>24</v>
      </c>
      <c r="H298" s="5" t="n">
        <f aca="true">ROUND(RAND()*4+6,1)</f>
        <v>8.4</v>
      </c>
      <c r="I298" s="5" t="s">
        <v>41</v>
      </c>
      <c r="J298" s="5" t="str">
        <f aca="false">ROUND(100*1,0)&amp;"%"</f>
        <v>100%</v>
      </c>
    </row>
    <row r="299" customFormat="false" ht="15" hidden="false" customHeight="false" outlineLevel="0" collapsed="false">
      <c r="A299" s="6" t="s">
        <v>10832</v>
      </c>
      <c r="B299" s="6" t="s">
        <v>486</v>
      </c>
      <c r="C299" s="6" t="s">
        <v>95</v>
      </c>
      <c r="D299" s="6" t="s">
        <v>44</v>
      </c>
      <c r="E299" s="6" t="n">
        <f aca="false">ROUND(6357*1.05,2)</f>
        <v>6674.85</v>
      </c>
      <c r="F299" s="6" t="s">
        <v>45</v>
      </c>
      <c r="G299" s="6" t="s">
        <v>30</v>
      </c>
      <c r="H299" s="6" t="n">
        <f aca="true">ROUND(RAND()*4+6,1)</f>
        <v>9.5</v>
      </c>
      <c r="I299" s="6" t="s">
        <v>46</v>
      </c>
      <c r="J299" s="6" t="str">
        <f aca="false">ROUND(85*1,0)&amp;"%"</f>
        <v>85%</v>
      </c>
    </row>
    <row r="300" customFormat="false" ht="15" hidden="false" customHeight="false" outlineLevel="0" collapsed="false">
      <c r="A300" s="5" t="s">
        <v>10833</v>
      </c>
      <c r="B300" s="5" t="s">
        <v>488</v>
      </c>
      <c r="C300" s="5" t="s">
        <v>95</v>
      </c>
      <c r="D300" s="5" t="s">
        <v>16</v>
      </c>
      <c r="E300" s="5" t="n">
        <f aca="false">ROUND(7042*1.05,2)</f>
        <v>7394.1</v>
      </c>
      <c r="F300" s="5" t="s">
        <v>49</v>
      </c>
      <c r="G300" s="5" t="s">
        <v>18</v>
      </c>
      <c r="H300" s="5" t="n">
        <f aca="true">ROUND(RAND()*4+6,1)</f>
        <v>8.7</v>
      </c>
      <c r="I300" s="5" t="s">
        <v>19</v>
      </c>
      <c r="J300" s="5" t="str">
        <f aca="false">ROUND(78*1,0)&amp;"%"</f>
        <v>78%</v>
      </c>
    </row>
    <row r="301" customFormat="false" ht="15" hidden="false" customHeight="false" outlineLevel="0" collapsed="false">
      <c r="A301" s="6" t="s">
        <v>10834</v>
      </c>
      <c r="B301" s="6" t="s">
        <v>490</v>
      </c>
      <c r="C301" s="6" t="s">
        <v>95</v>
      </c>
      <c r="D301" s="6" t="s">
        <v>22</v>
      </c>
      <c r="E301" s="6" t="n">
        <f aca="false">ROUND(15109*1.05,2)</f>
        <v>15864.45</v>
      </c>
      <c r="F301" s="6" t="s">
        <v>52</v>
      </c>
      <c r="G301" s="6" t="s">
        <v>24</v>
      </c>
      <c r="H301" s="6" t="n">
        <f aca="true">ROUND(RAND()*4+6,1)</f>
        <v>6.3</v>
      </c>
      <c r="I301" s="6" t="s">
        <v>25</v>
      </c>
      <c r="J301" s="6" t="str">
        <f aca="false">ROUND(93*1,0)&amp;"%"</f>
        <v>93%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10835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10836</v>
      </c>
      <c r="B306" s="5" t="s">
        <v>494</v>
      </c>
      <c r="C306" s="5" t="s">
        <v>114</v>
      </c>
      <c r="D306" s="5" t="s">
        <v>16</v>
      </c>
      <c r="E306" s="5" t="n">
        <f aca="false">ROUND(13348*1.05,2)</f>
        <v>14015.4</v>
      </c>
      <c r="F306" s="5" t="s">
        <v>17</v>
      </c>
      <c r="G306" s="5" t="s">
        <v>18</v>
      </c>
      <c r="H306" s="5" t="n">
        <f aca="true">ROUND(RAND()*4+6,1)</f>
        <v>6.7</v>
      </c>
      <c r="I306" s="5" t="s">
        <v>19</v>
      </c>
      <c r="J306" s="5" t="str">
        <f aca="false">ROUND(65*1,0)&amp;"%"</f>
        <v>65%</v>
      </c>
    </row>
    <row r="307" customFormat="false" ht="15" hidden="false" customHeight="false" outlineLevel="0" collapsed="false">
      <c r="A307" s="6" t="s">
        <v>10837</v>
      </c>
      <c r="B307" s="6" t="s">
        <v>496</v>
      </c>
      <c r="C307" s="6" t="s">
        <v>114</v>
      </c>
      <c r="D307" s="6" t="s">
        <v>22</v>
      </c>
      <c r="E307" s="6" t="n">
        <f aca="false">ROUND(10742*1.05,2)</f>
        <v>11279.1</v>
      </c>
      <c r="F307" s="6" t="s">
        <v>23</v>
      </c>
      <c r="G307" s="6" t="s">
        <v>24</v>
      </c>
      <c r="H307" s="6" t="n">
        <f aca="true">ROUND(RAND()*4+6,1)</f>
        <v>6.5</v>
      </c>
      <c r="I307" s="6" t="s">
        <v>25</v>
      </c>
      <c r="J307" s="6" t="str">
        <f aca="false">ROUND(93*1,0)&amp;"%"</f>
        <v>93%</v>
      </c>
    </row>
    <row r="308" customFormat="false" ht="15" hidden="false" customHeight="false" outlineLevel="0" collapsed="false">
      <c r="A308" s="5" t="s">
        <v>10838</v>
      </c>
      <c r="B308" s="5" t="s">
        <v>498</v>
      </c>
      <c r="C308" s="5" t="s">
        <v>114</v>
      </c>
      <c r="D308" s="5" t="s">
        <v>28</v>
      </c>
      <c r="E308" s="5" t="n">
        <f aca="false">ROUND(8764*1.05,2)</f>
        <v>9202.2</v>
      </c>
      <c r="F308" s="5" t="s">
        <v>29</v>
      </c>
      <c r="G308" s="5" t="s">
        <v>30</v>
      </c>
      <c r="H308" s="5" t="n">
        <f aca="true">ROUND(RAND()*4+6,1)</f>
        <v>7.8</v>
      </c>
      <c r="I308" s="5" t="s">
        <v>31</v>
      </c>
      <c r="J308" s="5" t="str">
        <f aca="false">ROUND(93*1,0)&amp;"%"</f>
        <v>93%</v>
      </c>
    </row>
    <row r="309" customFormat="false" ht="15" hidden="false" customHeight="false" outlineLevel="0" collapsed="false">
      <c r="A309" s="6" t="s">
        <v>10839</v>
      </c>
      <c r="B309" s="6" t="s">
        <v>500</v>
      </c>
      <c r="C309" s="6" t="s">
        <v>114</v>
      </c>
      <c r="D309" s="6" t="s">
        <v>34</v>
      </c>
      <c r="E309" s="6" t="n">
        <f aca="false">ROUND(6237*1.05,2)</f>
        <v>6548.85</v>
      </c>
      <c r="F309" s="6" t="s">
        <v>35</v>
      </c>
      <c r="G309" s="6" t="s">
        <v>18</v>
      </c>
      <c r="H309" s="6" t="n">
        <f aca="true">ROUND(RAND()*4+6,1)</f>
        <v>6.4</v>
      </c>
      <c r="I309" s="6" t="s">
        <v>36</v>
      </c>
      <c r="J309" s="6" t="str">
        <f aca="false">ROUND(76*1,0)&amp;"%"</f>
        <v>76%</v>
      </c>
    </row>
    <row r="310" customFormat="false" ht="15" hidden="false" customHeight="false" outlineLevel="0" collapsed="false">
      <c r="A310" s="5" t="s">
        <v>10840</v>
      </c>
      <c r="B310" s="5" t="s">
        <v>502</v>
      </c>
      <c r="C310" s="5" t="s">
        <v>114</v>
      </c>
      <c r="D310" s="5" t="s">
        <v>39</v>
      </c>
      <c r="E310" s="5" t="n">
        <f aca="false">ROUND(10428*1.05,2)</f>
        <v>10949.4</v>
      </c>
      <c r="F310" s="5" t="s">
        <v>40</v>
      </c>
      <c r="G310" s="5" t="s">
        <v>24</v>
      </c>
      <c r="H310" s="5" t="n">
        <f aca="true">ROUND(RAND()*4+6,1)</f>
        <v>6.2</v>
      </c>
      <c r="I310" s="5" t="s">
        <v>41</v>
      </c>
      <c r="J310" s="5" t="str">
        <f aca="false">ROUND(78*1,0)&amp;"%"</f>
        <v>78%</v>
      </c>
    </row>
    <row r="311" customFormat="false" ht="15" hidden="false" customHeight="false" outlineLevel="0" collapsed="false">
      <c r="A311" s="6" t="s">
        <v>10841</v>
      </c>
      <c r="B311" s="6" t="s">
        <v>504</v>
      </c>
      <c r="C311" s="6" t="s">
        <v>114</v>
      </c>
      <c r="D311" s="6" t="s">
        <v>44</v>
      </c>
      <c r="E311" s="6" t="n">
        <f aca="false">ROUND(8798*1.05,2)</f>
        <v>9237.9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ROUND(92*1,0)&amp;"%"</f>
        <v>92%</v>
      </c>
    </row>
    <row r="312" customFormat="false" ht="15" hidden="false" customHeight="false" outlineLevel="0" collapsed="false">
      <c r="A312" s="5" t="s">
        <v>10842</v>
      </c>
      <c r="B312" s="5" t="s">
        <v>506</v>
      </c>
      <c r="C312" s="5" t="s">
        <v>114</v>
      </c>
      <c r="D312" s="5" t="s">
        <v>16</v>
      </c>
      <c r="E312" s="5" t="n">
        <f aca="false">ROUND(6734*1.05,2)</f>
        <v>7070.7</v>
      </c>
      <c r="F312" s="5" t="s">
        <v>49</v>
      </c>
      <c r="G312" s="5" t="s">
        <v>18</v>
      </c>
      <c r="H312" s="5" t="n">
        <f aca="true">ROUND(RAND()*4+6,1)</f>
        <v>6.5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10843</v>
      </c>
      <c r="B313" s="6" t="s">
        <v>508</v>
      </c>
      <c r="C313" s="6" t="s">
        <v>114</v>
      </c>
      <c r="D313" s="6" t="s">
        <v>22</v>
      </c>
      <c r="E313" s="6" t="n">
        <f aca="false">ROUND(9375*1.05,2)</f>
        <v>9843.75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ROUND(85*1,0)&amp;"%"</f>
        <v>85%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10844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10845</v>
      </c>
      <c r="B318" s="5" t="s">
        <v>512</v>
      </c>
      <c r="C318" s="5" t="s">
        <v>133</v>
      </c>
      <c r="D318" s="5" t="s">
        <v>16</v>
      </c>
      <c r="E318" s="5" t="n">
        <f aca="false">ROUND(17264*1.05,2)</f>
        <v>18127.2</v>
      </c>
      <c r="F318" s="5" t="s">
        <v>17</v>
      </c>
      <c r="G318" s="5" t="s">
        <v>18</v>
      </c>
      <c r="H318" s="5" t="n">
        <f aca="true">ROUND(RAND()*4+6,1)</f>
        <v>9</v>
      </c>
      <c r="I318" s="5" t="s">
        <v>19</v>
      </c>
      <c r="J318" s="5" t="str">
        <f aca="false">ROUND(62*1,0)&amp;"%"</f>
        <v>62%</v>
      </c>
    </row>
    <row r="319" customFormat="false" ht="15" hidden="false" customHeight="false" outlineLevel="0" collapsed="false">
      <c r="A319" s="6" t="s">
        <v>10846</v>
      </c>
      <c r="B319" s="6" t="s">
        <v>514</v>
      </c>
      <c r="C319" s="6" t="s">
        <v>133</v>
      </c>
      <c r="D319" s="6" t="s">
        <v>22</v>
      </c>
      <c r="E319" s="6" t="n">
        <f aca="false">ROUND(16494*1.05,2)</f>
        <v>17318.7</v>
      </c>
      <c r="F319" s="6" t="s">
        <v>23</v>
      </c>
      <c r="G319" s="6" t="s">
        <v>24</v>
      </c>
      <c r="H319" s="6" t="n">
        <f aca="true">ROUND(RAND()*4+6,1)</f>
        <v>6.4</v>
      </c>
      <c r="I319" s="6" t="s">
        <v>25</v>
      </c>
      <c r="J319" s="6" t="str">
        <f aca="false">ROUND(76*1,0)&amp;"%"</f>
        <v>76%</v>
      </c>
    </row>
    <row r="320" customFormat="false" ht="15" hidden="false" customHeight="false" outlineLevel="0" collapsed="false">
      <c r="A320" s="5" t="s">
        <v>10847</v>
      </c>
      <c r="B320" s="5" t="s">
        <v>516</v>
      </c>
      <c r="C320" s="5" t="s">
        <v>133</v>
      </c>
      <c r="D320" s="5" t="s">
        <v>28</v>
      </c>
      <c r="E320" s="5" t="n">
        <f aca="false">ROUND(16721*1.05,2)</f>
        <v>17557.05</v>
      </c>
      <c r="F320" s="5" t="s">
        <v>29</v>
      </c>
      <c r="G320" s="5" t="s">
        <v>30</v>
      </c>
      <c r="H320" s="5" t="n">
        <f aca="true">ROUND(RAND()*4+6,1)</f>
        <v>9.3</v>
      </c>
      <c r="I320" s="5" t="s">
        <v>31</v>
      </c>
      <c r="J320" s="5" t="str">
        <f aca="false">ROUND(97*1,0)&amp;"%"</f>
        <v>97%</v>
      </c>
    </row>
    <row r="321" customFormat="false" ht="15" hidden="false" customHeight="false" outlineLevel="0" collapsed="false">
      <c r="A321" s="6" t="s">
        <v>10848</v>
      </c>
      <c r="B321" s="6" t="s">
        <v>518</v>
      </c>
      <c r="C321" s="6" t="s">
        <v>133</v>
      </c>
      <c r="D321" s="6" t="s">
        <v>34</v>
      </c>
      <c r="E321" s="6" t="n">
        <f aca="false">ROUND(6932*1.05,2)</f>
        <v>7278.6</v>
      </c>
      <c r="F321" s="6" t="s">
        <v>35</v>
      </c>
      <c r="G321" s="6" t="s">
        <v>18</v>
      </c>
      <c r="H321" s="6" t="n">
        <f aca="true">ROUND(RAND()*4+6,1)</f>
        <v>8.3</v>
      </c>
      <c r="I321" s="6" t="s">
        <v>36</v>
      </c>
      <c r="J321" s="6" t="str">
        <f aca="false">ROUND(80*1,0)&amp;"%"</f>
        <v>80%</v>
      </c>
    </row>
    <row r="322" customFormat="false" ht="15" hidden="false" customHeight="false" outlineLevel="0" collapsed="false">
      <c r="A322" s="5" t="s">
        <v>10849</v>
      </c>
      <c r="B322" s="5" t="s">
        <v>520</v>
      </c>
      <c r="C322" s="5" t="s">
        <v>133</v>
      </c>
      <c r="D322" s="5" t="s">
        <v>39</v>
      </c>
      <c r="E322" s="5" t="n">
        <f aca="false">ROUND(8016*1.05,2)</f>
        <v>8416.8</v>
      </c>
      <c r="F322" s="5" t="s">
        <v>40</v>
      </c>
      <c r="G322" s="5" t="s">
        <v>24</v>
      </c>
      <c r="H322" s="5" t="n">
        <f aca="true">ROUND(RAND()*4+6,1)</f>
        <v>7.2</v>
      </c>
      <c r="I322" s="5" t="s">
        <v>41</v>
      </c>
      <c r="J322" s="5" t="str">
        <f aca="false">ROUND(67*1,0)&amp;"%"</f>
        <v>67%</v>
      </c>
    </row>
    <row r="323" customFormat="false" ht="15" hidden="false" customHeight="false" outlineLevel="0" collapsed="false">
      <c r="A323" s="6" t="s">
        <v>10850</v>
      </c>
      <c r="B323" s="6" t="s">
        <v>522</v>
      </c>
      <c r="C323" s="6" t="s">
        <v>133</v>
      </c>
      <c r="D323" s="6" t="s">
        <v>44</v>
      </c>
      <c r="E323" s="6" t="n">
        <f aca="false">ROUND(10136*1.05,2)</f>
        <v>10642.8</v>
      </c>
      <c r="F323" s="6" t="s">
        <v>45</v>
      </c>
      <c r="G323" s="6" t="s">
        <v>30</v>
      </c>
      <c r="H323" s="6" t="n">
        <f aca="true">ROUND(RAND()*4+6,1)</f>
        <v>6.1</v>
      </c>
      <c r="I323" s="6" t="s">
        <v>46</v>
      </c>
      <c r="J323" s="6" t="str">
        <f aca="false">ROUND(85*1,0)&amp;"%"</f>
        <v>85%</v>
      </c>
    </row>
    <row r="324" customFormat="false" ht="15" hidden="false" customHeight="false" outlineLevel="0" collapsed="false">
      <c r="A324" s="5" t="s">
        <v>10851</v>
      </c>
      <c r="B324" s="5" t="s">
        <v>524</v>
      </c>
      <c r="C324" s="5" t="s">
        <v>133</v>
      </c>
      <c r="D324" s="5" t="s">
        <v>16</v>
      </c>
      <c r="E324" s="5" t="n">
        <f aca="false">ROUND(8471*1.05,2)</f>
        <v>8894.55</v>
      </c>
      <c r="F324" s="5" t="s">
        <v>49</v>
      </c>
      <c r="G324" s="5" t="s">
        <v>18</v>
      </c>
      <c r="H324" s="5" t="n">
        <f aca="true">ROUND(RAND()*4+6,1)</f>
        <v>6.2</v>
      </c>
      <c r="I324" s="5" t="s">
        <v>19</v>
      </c>
      <c r="J324" s="5" t="str">
        <f aca="false">ROUND(71*1,0)&amp;"%"</f>
        <v>71%</v>
      </c>
    </row>
    <row r="325" customFormat="false" ht="15" hidden="false" customHeight="false" outlineLevel="0" collapsed="false">
      <c r="A325" s="6" t="s">
        <v>10852</v>
      </c>
      <c r="B325" s="6" t="s">
        <v>526</v>
      </c>
      <c r="C325" s="6" t="s">
        <v>133</v>
      </c>
      <c r="D325" s="6" t="s">
        <v>22</v>
      </c>
      <c r="E325" s="6" t="n">
        <f aca="false">ROUND(7800*1.05,2)</f>
        <v>8190</v>
      </c>
      <c r="F325" s="6" t="s">
        <v>52</v>
      </c>
      <c r="G325" s="6" t="s">
        <v>24</v>
      </c>
      <c r="H325" s="6" t="n">
        <f aca="true">ROUND(RAND()*4+6,1)</f>
        <v>7.6</v>
      </c>
      <c r="I325" s="6" t="s">
        <v>25</v>
      </c>
      <c r="J325" s="6" t="str">
        <f aca="false">ROUND(69*1,0)&amp;"%"</f>
        <v>69%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10853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10854</v>
      </c>
      <c r="B330" s="5" t="s">
        <v>530</v>
      </c>
      <c r="C330" s="5" t="s">
        <v>152</v>
      </c>
      <c r="D330" s="5" t="s">
        <v>16</v>
      </c>
      <c r="E330" s="5" t="n">
        <f aca="false">ROUND(9810*1.05,2)</f>
        <v>10300.5</v>
      </c>
      <c r="F330" s="5" t="s">
        <v>17</v>
      </c>
      <c r="G330" s="5" t="s">
        <v>18</v>
      </c>
      <c r="H330" s="5" t="n">
        <f aca="true">ROUND(RAND()*4+6,1)</f>
        <v>7.1</v>
      </c>
      <c r="I330" s="5" t="s">
        <v>19</v>
      </c>
      <c r="J330" s="5" t="str">
        <f aca="false">ROUND(81*1,0)&amp;"%"</f>
        <v>81%</v>
      </c>
    </row>
    <row r="331" customFormat="false" ht="15" hidden="false" customHeight="false" outlineLevel="0" collapsed="false">
      <c r="A331" s="6" t="s">
        <v>10855</v>
      </c>
      <c r="B331" s="6" t="s">
        <v>532</v>
      </c>
      <c r="C331" s="6" t="s">
        <v>152</v>
      </c>
      <c r="D331" s="6" t="s">
        <v>22</v>
      </c>
      <c r="E331" s="6" t="n">
        <f aca="false">ROUND(4144*1.05,2)</f>
        <v>4351.2</v>
      </c>
      <c r="F331" s="6" t="s">
        <v>23</v>
      </c>
      <c r="G331" s="6" t="s">
        <v>24</v>
      </c>
      <c r="H331" s="6" t="n">
        <f aca="true">ROUND(RAND()*4+6,1)</f>
        <v>8.5</v>
      </c>
      <c r="I331" s="6" t="s">
        <v>25</v>
      </c>
      <c r="J331" s="6" t="str">
        <f aca="false">ROUND(90*1,0)&amp;"%"</f>
        <v>90%</v>
      </c>
    </row>
    <row r="332" customFormat="false" ht="15" hidden="false" customHeight="false" outlineLevel="0" collapsed="false">
      <c r="A332" s="5" t="s">
        <v>10856</v>
      </c>
      <c r="B332" s="5" t="s">
        <v>534</v>
      </c>
      <c r="C332" s="5" t="s">
        <v>152</v>
      </c>
      <c r="D332" s="5" t="s">
        <v>28</v>
      </c>
      <c r="E332" s="5" t="n">
        <f aca="false">ROUND(14512*1.05,2)</f>
        <v>15237.6</v>
      </c>
      <c r="F332" s="5" t="s">
        <v>29</v>
      </c>
      <c r="G332" s="5" t="s">
        <v>30</v>
      </c>
      <c r="H332" s="5" t="n">
        <f aca="true">ROUND(RAND()*4+6,1)</f>
        <v>7.4</v>
      </c>
      <c r="I332" s="5" t="s">
        <v>31</v>
      </c>
      <c r="J332" s="5" t="str">
        <f aca="false">ROUND(66*1,0)&amp;"%"</f>
        <v>66%</v>
      </c>
    </row>
    <row r="333" customFormat="false" ht="15" hidden="false" customHeight="false" outlineLevel="0" collapsed="false">
      <c r="A333" s="6" t="s">
        <v>10857</v>
      </c>
      <c r="B333" s="6" t="s">
        <v>536</v>
      </c>
      <c r="C333" s="6" t="s">
        <v>152</v>
      </c>
      <c r="D333" s="6" t="s">
        <v>34</v>
      </c>
      <c r="E333" s="6" t="n">
        <f aca="false">ROUND(12787*1.05,2)</f>
        <v>13426.35</v>
      </c>
      <c r="F333" s="6" t="s">
        <v>35</v>
      </c>
      <c r="G333" s="6" t="s">
        <v>18</v>
      </c>
      <c r="H333" s="6" t="n">
        <f aca="true">ROUND(RAND()*4+6,1)</f>
        <v>9.8</v>
      </c>
      <c r="I333" s="6" t="s">
        <v>36</v>
      </c>
      <c r="J333" s="6" t="str">
        <f aca="false">ROUND(80*1,0)&amp;"%"</f>
        <v>80%</v>
      </c>
    </row>
    <row r="334" customFormat="false" ht="15" hidden="false" customHeight="false" outlineLevel="0" collapsed="false">
      <c r="A334" s="5" t="s">
        <v>10858</v>
      </c>
      <c r="B334" s="5" t="s">
        <v>538</v>
      </c>
      <c r="C334" s="5" t="s">
        <v>152</v>
      </c>
      <c r="D334" s="5" t="s">
        <v>39</v>
      </c>
      <c r="E334" s="5" t="n">
        <f aca="false">ROUND(15148*1.05,2)</f>
        <v>15905.4</v>
      </c>
      <c r="F334" s="5" t="s">
        <v>40</v>
      </c>
      <c r="G334" s="5" t="s">
        <v>24</v>
      </c>
      <c r="H334" s="5" t="n">
        <f aca="true">ROUND(RAND()*4+6,1)</f>
        <v>9.9</v>
      </c>
      <c r="I334" s="5" t="s">
        <v>41</v>
      </c>
      <c r="J334" s="5" t="str">
        <f aca="false">ROUND(61*1,0)&amp;"%"</f>
        <v>61%</v>
      </c>
    </row>
    <row r="335" customFormat="false" ht="15" hidden="false" customHeight="false" outlineLevel="0" collapsed="false">
      <c r="A335" s="6" t="s">
        <v>10859</v>
      </c>
      <c r="B335" s="6" t="s">
        <v>540</v>
      </c>
      <c r="C335" s="6" t="s">
        <v>152</v>
      </c>
      <c r="D335" s="6" t="s">
        <v>44</v>
      </c>
      <c r="E335" s="6" t="n">
        <f aca="false">ROUND(9138*1.05,2)</f>
        <v>9594.9</v>
      </c>
      <c r="F335" s="6" t="s">
        <v>45</v>
      </c>
      <c r="G335" s="6" t="s">
        <v>30</v>
      </c>
      <c r="H335" s="6" t="n">
        <f aca="true">ROUND(RAND()*4+6,1)</f>
        <v>8.7</v>
      </c>
      <c r="I335" s="6" t="s">
        <v>46</v>
      </c>
      <c r="J335" s="6" t="str">
        <f aca="false">ROUND(87*1,0)&amp;"%"</f>
        <v>87%</v>
      </c>
    </row>
    <row r="336" customFormat="false" ht="15" hidden="false" customHeight="false" outlineLevel="0" collapsed="false">
      <c r="A336" s="5" t="s">
        <v>10860</v>
      </c>
      <c r="B336" s="5" t="s">
        <v>542</v>
      </c>
      <c r="C336" s="5" t="s">
        <v>152</v>
      </c>
      <c r="D336" s="5" t="s">
        <v>16</v>
      </c>
      <c r="E336" s="5" t="n">
        <f aca="false">ROUND(10110*1.05,2)</f>
        <v>10615.5</v>
      </c>
      <c r="F336" s="5" t="s">
        <v>49</v>
      </c>
      <c r="G336" s="5" t="s">
        <v>18</v>
      </c>
      <c r="H336" s="5" t="n">
        <f aca="true">ROUND(RAND()*4+6,1)</f>
        <v>6.8</v>
      </c>
      <c r="I336" s="5" t="s">
        <v>19</v>
      </c>
      <c r="J336" s="5" t="str">
        <f aca="false">ROUND(90*1,0)&amp;"%"</f>
        <v>90%</v>
      </c>
    </row>
    <row r="337" customFormat="false" ht="15" hidden="false" customHeight="false" outlineLevel="0" collapsed="false">
      <c r="A337" s="6" t="s">
        <v>10861</v>
      </c>
      <c r="B337" s="6" t="s">
        <v>544</v>
      </c>
      <c r="C337" s="6" t="s">
        <v>152</v>
      </c>
      <c r="D337" s="6" t="s">
        <v>22</v>
      </c>
      <c r="E337" s="6" t="n">
        <f aca="false">ROUND(13129*1.05,2)</f>
        <v>13785.45</v>
      </c>
      <c r="F337" s="6" t="s">
        <v>52</v>
      </c>
      <c r="G337" s="6" t="s">
        <v>24</v>
      </c>
      <c r="H337" s="6" t="n">
        <f aca="true">ROUND(RAND()*4+6,1)</f>
        <v>9.4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10862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10863</v>
      </c>
      <c r="B342" s="5" t="s">
        <v>548</v>
      </c>
      <c r="C342" s="5" t="s">
        <v>15</v>
      </c>
      <c r="D342" s="5" t="s">
        <v>16</v>
      </c>
      <c r="E342" s="5" t="n">
        <f aca="false">ROUND(10285*1.05,2)</f>
        <v>10799.25</v>
      </c>
      <c r="F342" s="5" t="s">
        <v>17</v>
      </c>
      <c r="G342" s="5" t="s">
        <v>18</v>
      </c>
      <c r="H342" s="5" t="n">
        <f aca="true">ROUND(RAND()*4+6,1)</f>
        <v>8</v>
      </c>
      <c r="I342" s="5" t="s">
        <v>19</v>
      </c>
      <c r="J342" s="5" t="str">
        <f aca="false">ROUND(72*1,0)&amp;"%"</f>
        <v>72%</v>
      </c>
    </row>
    <row r="343" customFormat="false" ht="15" hidden="false" customHeight="false" outlineLevel="0" collapsed="false">
      <c r="A343" s="6" t="s">
        <v>10864</v>
      </c>
      <c r="B343" s="6" t="s">
        <v>550</v>
      </c>
      <c r="C343" s="6" t="s">
        <v>15</v>
      </c>
      <c r="D343" s="6" t="s">
        <v>22</v>
      </c>
      <c r="E343" s="6" t="n">
        <f aca="false">ROUND(14331*1.05,2)</f>
        <v>15047.55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ROUND(94*1,0)&amp;"%"</f>
        <v>94%</v>
      </c>
    </row>
    <row r="344" customFormat="false" ht="15" hidden="false" customHeight="false" outlineLevel="0" collapsed="false">
      <c r="A344" s="5" t="s">
        <v>10865</v>
      </c>
      <c r="B344" s="5" t="s">
        <v>552</v>
      </c>
      <c r="C344" s="5" t="s">
        <v>15</v>
      </c>
      <c r="D344" s="5" t="s">
        <v>28</v>
      </c>
      <c r="E344" s="5" t="n">
        <f aca="false">ROUND(7798*1.05,2)</f>
        <v>8187.9</v>
      </c>
      <c r="F344" s="5" t="s">
        <v>29</v>
      </c>
      <c r="G344" s="5" t="s">
        <v>30</v>
      </c>
      <c r="H344" s="5" t="n">
        <f aca="true">ROUND(RAND()*4+6,1)</f>
        <v>6.7</v>
      </c>
      <c r="I344" s="5" t="s">
        <v>31</v>
      </c>
      <c r="J344" s="5" t="str">
        <f aca="false">ROUND(69*1,0)&amp;"%"</f>
        <v>69%</v>
      </c>
    </row>
    <row r="345" customFormat="false" ht="15" hidden="false" customHeight="false" outlineLevel="0" collapsed="false">
      <c r="A345" s="6" t="s">
        <v>10866</v>
      </c>
      <c r="B345" s="6" t="s">
        <v>554</v>
      </c>
      <c r="C345" s="6" t="s">
        <v>15</v>
      </c>
      <c r="D345" s="6" t="s">
        <v>34</v>
      </c>
      <c r="E345" s="6" t="n">
        <f aca="false">ROUND(10568*1.05,2)</f>
        <v>11096.4</v>
      </c>
      <c r="F345" s="6" t="s">
        <v>35</v>
      </c>
      <c r="G345" s="6" t="s">
        <v>18</v>
      </c>
      <c r="H345" s="6" t="n">
        <f aca="true">ROUND(RAND()*4+6,1)</f>
        <v>6.7</v>
      </c>
      <c r="I345" s="6" t="s">
        <v>36</v>
      </c>
      <c r="J345" s="6" t="str">
        <f aca="false">ROUND(93*1,0)&amp;"%"</f>
        <v>93%</v>
      </c>
    </row>
    <row r="346" customFormat="false" ht="15" hidden="false" customHeight="false" outlineLevel="0" collapsed="false">
      <c r="A346" s="5" t="s">
        <v>10867</v>
      </c>
      <c r="B346" s="5" t="s">
        <v>556</v>
      </c>
      <c r="C346" s="5" t="s">
        <v>15</v>
      </c>
      <c r="D346" s="5" t="s">
        <v>39</v>
      </c>
      <c r="E346" s="5" t="n">
        <f aca="false">ROUND(5435*1.05,2)</f>
        <v>5706.75</v>
      </c>
      <c r="F346" s="5" t="s">
        <v>40</v>
      </c>
      <c r="G346" s="5" t="s">
        <v>24</v>
      </c>
      <c r="H346" s="5" t="n">
        <f aca="true">ROUND(RAND()*4+6,1)</f>
        <v>8.6</v>
      </c>
      <c r="I346" s="5" t="s">
        <v>41</v>
      </c>
      <c r="J346" s="5" t="str">
        <f aca="false">ROUND(92*1,0)&amp;"%"</f>
        <v>92%</v>
      </c>
    </row>
    <row r="347" customFormat="false" ht="15" hidden="false" customHeight="false" outlineLevel="0" collapsed="false">
      <c r="A347" s="6" t="s">
        <v>10868</v>
      </c>
      <c r="B347" s="6" t="s">
        <v>558</v>
      </c>
      <c r="C347" s="6" t="s">
        <v>15</v>
      </c>
      <c r="D347" s="6" t="s">
        <v>44</v>
      </c>
      <c r="E347" s="6" t="n">
        <f aca="false">ROUND(10945*1.05,2)</f>
        <v>11492.25</v>
      </c>
      <c r="F347" s="6" t="s">
        <v>45</v>
      </c>
      <c r="G347" s="6" t="s">
        <v>30</v>
      </c>
      <c r="H347" s="6" t="n">
        <f aca="true">ROUND(RAND()*4+6,1)</f>
        <v>6.7</v>
      </c>
      <c r="I347" s="6" t="s">
        <v>46</v>
      </c>
      <c r="J347" s="6" t="str">
        <f aca="false">ROUND(97*1,0)&amp;"%"</f>
        <v>97%</v>
      </c>
    </row>
    <row r="348" customFormat="false" ht="15" hidden="false" customHeight="false" outlineLevel="0" collapsed="false">
      <c r="A348" s="5" t="s">
        <v>10869</v>
      </c>
      <c r="B348" s="5" t="s">
        <v>560</v>
      </c>
      <c r="C348" s="5" t="s">
        <v>15</v>
      </c>
      <c r="D348" s="5" t="s">
        <v>16</v>
      </c>
      <c r="E348" s="5" t="n">
        <f aca="false">ROUND(7728*1.05,2)</f>
        <v>8114.4</v>
      </c>
      <c r="F348" s="5" t="s">
        <v>49</v>
      </c>
      <c r="G348" s="5" t="s">
        <v>18</v>
      </c>
      <c r="H348" s="5" t="n">
        <f aca="true">ROUND(RAND()*4+6,1)</f>
        <v>7.4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10870</v>
      </c>
      <c r="B349" s="6" t="s">
        <v>562</v>
      </c>
      <c r="C349" s="6" t="s">
        <v>15</v>
      </c>
      <c r="D349" s="6" t="s">
        <v>22</v>
      </c>
      <c r="E349" s="6" t="n">
        <f aca="false">ROUND(11663*1.05,2)</f>
        <v>12246.15</v>
      </c>
      <c r="F349" s="6" t="s">
        <v>52</v>
      </c>
      <c r="G349" s="6" t="s">
        <v>24</v>
      </c>
      <c r="H349" s="6" t="n">
        <f aca="true">ROUND(RAND()*4+6,1)</f>
        <v>6.2</v>
      </c>
      <c r="I349" s="6" t="s">
        <v>25</v>
      </c>
      <c r="J349" s="6" t="str">
        <f aca="false">ROUND(70*1,0)&amp;"%"</f>
        <v>70%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10871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10872</v>
      </c>
      <c r="B354" s="5" t="s">
        <v>566</v>
      </c>
      <c r="C354" s="5" t="s">
        <v>57</v>
      </c>
      <c r="D354" s="5" t="s">
        <v>16</v>
      </c>
      <c r="E354" s="5" t="n">
        <f aca="false">ROUND(11071*1.05,2)</f>
        <v>11624.55</v>
      </c>
      <c r="F354" s="5" t="s">
        <v>17</v>
      </c>
      <c r="G354" s="5" t="s">
        <v>18</v>
      </c>
      <c r="H354" s="5" t="n">
        <f aca="true">ROUND(RAND()*4+6,1)</f>
        <v>8.3</v>
      </c>
      <c r="I354" s="5" t="s">
        <v>19</v>
      </c>
      <c r="J354" s="5" t="str">
        <f aca="false">ROUND(79*1,0)&amp;"%"</f>
        <v>79%</v>
      </c>
    </row>
    <row r="355" customFormat="false" ht="15" hidden="false" customHeight="false" outlineLevel="0" collapsed="false">
      <c r="A355" s="6" t="s">
        <v>10873</v>
      </c>
      <c r="B355" s="6" t="s">
        <v>568</v>
      </c>
      <c r="C355" s="6" t="s">
        <v>57</v>
      </c>
      <c r="D355" s="6" t="s">
        <v>22</v>
      </c>
      <c r="E355" s="6" t="n">
        <f aca="false">ROUND(6855*1.05,2)</f>
        <v>7197.75</v>
      </c>
      <c r="F355" s="6" t="s">
        <v>23</v>
      </c>
      <c r="G355" s="6" t="s">
        <v>24</v>
      </c>
      <c r="H355" s="6" t="n">
        <f aca="true">ROUND(RAND()*4+6,1)</f>
        <v>8.7</v>
      </c>
      <c r="I355" s="6" t="s">
        <v>25</v>
      </c>
      <c r="J355" s="6" t="str">
        <f aca="false">ROUND(95*1,0)&amp;"%"</f>
        <v>95%</v>
      </c>
    </row>
    <row r="356" customFormat="false" ht="15" hidden="false" customHeight="false" outlineLevel="0" collapsed="false">
      <c r="A356" s="5" t="s">
        <v>10874</v>
      </c>
      <c r="B356" s="5" t="s">
        <v>570</v>
      </c>
      <c r="C356" s="5" t="s">
        <v>57</v>
      </c>
      <c r="D356" s="5" t="s">
        <v>28</v>
      </c>
      <c r="E356" s="5" t="n">
        <f aca="false">ROUND(8843*1.05,2)</f>
        <v>9285.15</v>
      </c>
      <c r="F356" s="5" t="s">
        <v>29</v>
      </c>
      <c r="G356" s="5" t="s">
        <v>30</v>
      </c>
      <c r="H356" s="5" t="n">
        <f aca="true">ROUND(RAND()*4+6,1)</f>
        <v>10</v>
      </c>
      <c r="I356" s="5" t="s">
        <v>31</v>
      </c>
      <c r="J356" s="5" t="str">
        <f aca="false">ROUND(61*1,0)&amp;"%"</f>
        <v>61%</v>
      </c>
    </row>
    <row r="357" customFormat="false" ht="15" hidden="false" customHeight="false" outlineLevel="0" collapsed="false">
      <c r="A357" s="6" t="s">
        <v>10875</v>
      </c>
      <c r="B357" s="6" t="s">
        <v>572</v>
      </c>
      <c r="C357" s="6" t="s">
        <v>57</v>
      </c>
      <c r="D357" s="6" t="s">
        <v>34</v>
      </c>
      <c r="E357" s="6" t="n">
        <f aca="false">ROUND(9811*1.05,2)</f>
        <v>10301.55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ROUND(92*1,0)&amp;"%"</f>
        <v>92%</v>
      </c>
    </row>
    <row r="358" customFormat="false" ht="15" hidden="false" customHeight="false" outlineLevel="0" collapsed="false">
      <c r="A358" s="5" t="s">
        <v>10876</v>
      </c>
      <c r="B358" s="5" t="s">
        <v>574</v>
      </c>
      <c r="C358" s="5" t="s">
        <v>57</v>
      </c>
      <c r="D358" s="5" t="s">
        <v>39</v>
      </c>
      <c r="E358" s="5" t="n">
        <f aca="false">ROUND(11408*1.05,2)</f>
        <v>11978.4</v>
      </c>
      <c r="F358" s="5" t="s">
        <v>40</v>
      </c>
      <c r="G358" s="5" t="s">
        <v>24</v>
      </c>
      <c r="H358" s="5" t="n">
        <f aca="true">ROUND(RAND()*4+6,1)</f>
        <v>7</v>
      </c>
      <c r="I358" s="5" t="s">
        <v>41</v>
      </c>
      <c r="J358" s="5" t="str">
        <f aca="false">ROUND(74*1,0)&amp;"%"</f>
        <v>74%</v>
      </c>
    </row>
    <row r="359" customFormat="false" ht="15" hidden="false" customHeight="false" outlineLevel="0" collapsed="false">
      <c r="A359" s="6" t="s">
        <v>10877</v>
      </c>
      <c r="B359" s="6" t="s">
        <v>576</v>
      </c>
      <c r="C359" s="6" t="s">
        <v>57</v>
      </c>
      <c r="D359" s="6" t="s">
        <v>44</v>
      </c>
      <c r="E359" s="6" t="n">
        <f aca="false">ROUND(7002*1.05,2)</f>
        <v>7352.1</v>
      </c>
      <c r="F359" s="6" t="s">
        <v>45</v>
      </c>
      <c r="G359" s="6" t="s">
        <v>30</v>
      </c>
      <c r="H359" s="6" t="n">
        <f aca="true">ROUND(RAND()*4+6,1)</f>
        <v>8.8</v>
      </c>
      <c r="I359" s="6" t="s">
        <v>46</v>
      </c>
      <c r="J359" s="6" t="str">
        <f aca="false">ROUND(81*1,0)&amp;"%"</f>
        <v>81%</v>
      </c>
    </row>
    <row r="360" customFormat="false" ht="15" hidden="false" customHeight="false" outlineLevel="0" collapsed="false">
      <c r="A360" s="5" t="s">
        <v>10878</v>
      </c>
      <c r="B360" s="5" t="s">
        <v>578</v>
      </c>
      <c r="C360" s="5" t="s">
        <v>57</v>
      </c>
      <c r="D360" s="5" t="s">
        <v>16</v>
      </c>
      <c r="E360" s="5" t="n">
        <f aca="false">ROUND(4711*1.05,2)</f>
        <v>4946.55</v>
      </c>
      <c r="F360" s="5" t="s">
        <v>49</v>
      </c>
      <c r="G360" s="5" t="s">
        <v>18</v>
      </c>
      <c r="H360" s="5" t="n">
        <f aca="true">ROUND(RAND()*4+6,1)</f>
        <v>9.3</v>
      </c>
      <c r="I360" s="5" t="s">
        <v>19</v>
      </c>
      <c r="J360" s="5" t="str">
        <f aca="false">ROUND(81*1,0)&amp;"%"</f>
        <v>81%</v>
      </c>
    </row>
    <row r="361" customFormat="false" ht="15" hidden="false" customHeight="false" outlineLevel="0" collapsed="false">
      <c r="A361" s="6" t="s">
        <v>10879</v>
      </c>
      <c r="B361" s="6" t="s">
        <v>580</v>
      </c>
      <c r="C361" s="6" t="s">
        <v>57</v>
      </c>
      <c r="D361" s="6" t="s">
        <v>22</v>
      </c>
      <c r="E361" s="6" t="n">
        <f aca="false">ROUND(13745*1.05,2)</f>
        <v>14432.25</v>
      </c>
      <c r="F361" s="6" t="s">
        <v>52</v>
      </c>
      <c r="G361" s="6" t="s">
        <v>24</v>
      </c>
      <c r="H361" s="6" t="n">
        <f aca="true">ROUND(RAND()*4+6,1)</f>
        <v>8.3</v>
      </c>
      <c r="I361" s="6" t="s">
        <v>25</v>
      </c>
      <c r="J361" s="6" t="str">
        <f aca="false">ROUND(92*1,0)&amp;"%"</f>
        <v>92%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10880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10881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10882</v>
      </c>
      <c r="B6" s="5" t="s">
        <v>14</v>
      </c>
      <c r="C6" s="5" t="s">
        <v>15</v>
      </c>
      <c r="D6" s="5" t="s">
        <v>16</v>
      </c>
      <c r="E6" s="5" t="n">
        <f aca="false">ROUND(4700*1.05,2)</f>
        <v>4935</v>
      </c>
      <c r="F6" s="5" t="s">
        <v>17</v>
      </c>
      <c r="G6" s="5" t="s">
        <v>18</v>
      </c>
      <c r="H6" s="5" t="n">
        <f aca="true">ROUND(RAND()*4+6,1)</f>
        <v>7.9</v>
      </c>
      <c r="I6" s="5" t="s">
        <v>19</v>
      </c>
      <c r="J6" s="5" t="str">
        <f aca="false">ROUND(72*1,0)&amp;"%"</f>
        <v>72%</v>
      </c>
    </row>
    <row r="7" customFormat="false" ht="15" hidden="false" customHeight="false" outlineLevel="0" collapsed="false">
      <c r="A7" s="6" t="s">
        <v>10883</v>
      </c>
      <c r="B7" s="6" t="s">
        <v>21</v>
      </c>
      <c r="C7" s="6" t="s">
        <v>15</v>
      </c>
      <c r="D7" s="6" t="s">
        <v>22</v>
      </c>
      <c r="E7" s="6" t="n">
        <f aca="false">ROUND(11417*1.05,2)</f>
        <v>11987.85</v>
      </c>
      <c r="F7" s="6" t="s">
        <v>23</v>
      </c>
      <c r="G7" s="6" t="s">
        <v>24</v>
      </c>
      <c r="H7" s="6" t="n">
        <f aca="true">ROUND(RAND()*4+6,1)</f>
        <v>6.6</v>
      </c>
      <c r="I7" s="6" t="s">
        <v>25</v>
      </c>
      <c r="J7" s="6" t="str">
        <f aca="false">ROUND(74*1,0)&amp;"%"</f>
        <v>74%</v>
      </c>
    </row>
    <row r="8" customFormat="false" ht="15" hidden="false" customHeight="false" outlineLevel="0" collapsed="false">
      <c r="A8" s="5" t="s">
        <v>10884</v>
      </c>
      <c r="B8" s="5" t="s">
        <v>27</v>
      </c>
      <c r="C8" s="5" t="s">
        <v>15</v>
      </c>
      <c r="D8" s="5" t="s">
        <v>28</v>
      </c>
      <c r="E8" s="5" t="n">
        <f aca="false">ROUND(6349*1.05,2)</f>
        <v>6666.45</v>
      </c>
      <c r="F8" s="5" t="s">
        <v>29</v>
      </c>
      <c r="G8" s="5" t="s">
        <v>30</v>
      </c>
      <c r="H8" s="5" t="n">
        <f aca="true">ROUND(RAND()*4+6,1)</f>
        <v>9.9</v>
      </c>
      <c r="I8" s="5" t="s">
        <v>31</v>
      </c>
      <c r="J8" s="5" t="str">
        <f aca="false">ROUND(65*1,0)&amp;"%"</f>
        <v>65%</v>
      </c>
    </row>
    <row r="9" customFormat="false" ht="15" hidden="false" customHeight="false" outlineLevel="0" collapsed="false">
      <c r="A9" s="6" t="s">
        <v>10885</v>
      </c>
      <c r="B9" s="6" t="s">
        <v>33</v>
      </c>
      <c r="C9" s="6" t="s">
        <v>15</v>
      </c>
      <c r="D9" s="6" t="s">
        <v>34</v>
      </c>
      <c r="E9" s="6" t="n">
        <f aca="false">ROUND(17832*1.05,2)</f>
        <v>18723.6</v>
      </c>
      <c r="F9" s="6" t="s">
        <v>35</v>
      </c>
      <c r="G9" s="6" t="s">
        <v>18</v>
      </c>
      <c r="H9" s="6" t="n">
        <f aca="true">ROUND(RAND()*4+6,1)</f>
        <v>7.3</v>
      </c>
      <c r="I9" s="6" t="s">
        <v>36</v>
      </c>
      <c r="J9" s="6" t="str">
        <f aca="false">ROUND(76*1,0)&amp;"%"</f>
        <v>76%</v>
      </c>
    </row>
    <row r="10" customFormat="false" ht="15" hidden="false" customHeight="false" outlineLevel="0" collapsed="false">
      <c r="A10" s="5" t="s">
        <v>10886</v>
      </c>
      <c r="B10" s="5" t="s">
        <v>38</v>
      </c>
      <c r="C10" s="5" t="s">
        <v>15</v>
      </c>
      <c r="D10" s="5" t="s">
        <v>39</v>
      </c>
      <c r="E10" s="5" t="n">
        <f aca="false">ROUND(13158*1.05,2)</f>
        <v>13815.9</v>
      </c>
      <c r="F10" s="5" t="s">
        <v>40</v>
      </c>
      <c r="G10" s="5" t="s">
        <v>24</v>
      </c>
      <c r="H10" s="5" t="n">
        <f aca="true">ROUND(RAND()*4+6,1)</f>
        <v>8.1</v>
      </c>
      <c r="I10" s="5" t="s">
        <v>41</v>
      </c>
      <c r="J10" s="5" t="str">
        <f aca="false">ROUND(89*1,0)&amp;"%"</f>
        <v>89%</v>
      </c>
    </row>
    <row r="11" customFormat="false" ht="15" hidden="false" customHeight="false" outlineLevel="0" collapsed="false">
      <c r="A11" s="6" t="s">
        <v>10887</v>
      </c>
      <c r="B11" s="6" t="s">
        <v>43</v>
      </c>
      <c r="C11" s="6" t="s">
        <v>15</v>
      </c>
      <c r="D11" s="6" t="s">
        <v>44</v>
      </c>
      <c r="E11" s="6" t="n">
        <f aca="false">ROUND(4611*1.05,2)</f>
        <v>4841.55</v>
      </c>
      <c r="F11" s="6" t="s">
        <v>45</v>
      </c>
      <c r="G11" s="6" t="s">
        <v>30</v>
      </c>
      <c r="H11" s="6" t="n">
        <f aca="true">ROUND(RAND()*4+6,1)</f>
        <v>9.7</v>
      </c>
      <c r="I11" s="6" t="s">
        <v>46</v>
      </c>
      <c r="J11" s="6" t="str">
        <f aca="false">ROUND(98*1,0)&amp;"%"</f>
        <v>98%</v>
      </c>
    </row>
    <row r="12" customFormat="false" ht="15" hidden="false" customHeight="false" outlineLevel="0" collapsed="false">
      <c r="A12" s="5" t="s">
        <v>10888</v>
      </c>
      <c r="B12" s="5" t="s">
        <v>48</v>
      </c>
      <c r="C12" s="5" t="s">
        <v>15</v>
      </c>
      <c r="D12" s="5" t="s">
        <v>16</v>
      </c>
      <c r="E12" s="5" t="n">
        <f aca="false">ROUND(11970*1.05,2)</f>
        <v>12568.5</v>
      </c>
      <c r="F12" s="5" t="s">
        <v>49</v>
      </c>
      <c r="G12" s="5" t="s">
        <v>18</v>
      </c>
      <c r="H12" s="5" t="n">
        <f aca="true">ROUND(RAND()*4+6,1)</f>
        <v>6.6</v>
      </c>
      <c r="I12" s="5" t="s">
        <v>19</v>
      </c>
      <c r="J12" s="5" t="str">
        <f aca="false">ROUND(78*1,0)&amp;"%"</f>
        <v>78%</v>
      </c>
    </row>
    <row r="13" customFormat="false" ht="15" hidden="false" customHeight="false" outlineLevel="0" collapsed="false">
      <c r="A13" s="6" t="s">
        <v>10889</v>
      </c>
      <c r="B13" s="6" t="s">
        <v>51</v>
      </c>
      <c r="C13" s="6" t="s">
        <v>15</v>
      </c>
      <c r="D13" s="6" t="s">
        <v>22</v>
      </c>
      <c r="E13" s="6" t="n">
        <f aca="false">ROUND(11308*1.05,2)</f>
        <v>11873.4</v>
      </c>
      <c r="F13" s="6" t="s">
        <v>52</v>
      </c>
      <c r="G13" s="6" t="s">
        <v>24</v>
      </c>
      <c r="H13" s="6" t="n">
        <f aca="true">ROUND(RAND()*4+6,1)</f>
        <v>7.8</v>
      </c>
      <c r="I13" s="6" t="s">
        <v>25</v>
      </c>
      <c r="J13" s="6" t="str">
        <f aca="false">ROUND(80*1,0)&amp;"%"</f>
        <v>80%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10890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10891</v>
      </c>
      <c r="B18" s="5" t="s">
        <v>56</v>
      </c>
      <c r="C18" s="5" t="s">
        <v>57</v>
      </c>
      <c r="D18" s="5" t="s">
        <v>16</v>
      </c>
      <c r="E18" s="5" t="n">
        <f aca="false">ROUND(10575*1.05,2)</f>
        <v>11103.75</v>
      </c>
      <c r="F18" s="5" t="s">
        <v>17</v>
      </c>
      <c r="G18" s="5" t="s">
        <v>18</v>
      </c>
      <c r="H18" s="5" t="n">
        <f aca="true">ROUND(RAND()*4+6,1)</f>
        <v>6.8</v>
      </c>
      <c r="I18" s="5" t="s">
        <v>19</v>
      </c>
      <c r="J18" s="5" t="str">
        <f aca="false">ROUND(71*1,0)&amp;"%"</f>
        <v>71%</v>
      </c>
    </row>
    <row r="19" customFormat="false" ht="15" hidden="false" customHeight="false" outlineLevel="0" collapsed="false">
      <c r="A19" s="6" t="s">
        <v>10892</v>
      </c>
      <c r="B19" s="6" t="s">
        <v>59</v>
      </c>
      <c r="C19" s="6" t="s">
        <v>57</v>
      </c>
      <c r="D19" s="6" t="s">
        <v>22</v>
      </c>
      <c r="E19" s="6" t="n">
        <f aca="false">ROUND(14822*1.05,2)</f>
        <v>15563.1</v>
      </c>
      <c r="F19" s="6" t="s">
        <v>23</v>
      </c>
      <c r="G19" s="6" t="s">
        <v>24</v>
      </c>
      <c r="H19" s="6" t="n">
        <f aca="true">ROUND(RAND()*4+6,1)</f>
        <v>8.1</v>
      </c>
      <c r="I19" s="6" t="s">
        <v>25</v>
      </c>
      <c r="J19" s="6" t="str">
        <f aca="false">ROUND(85*1,0)&amp;"%"</f>
        <v>85%</v>
      </c>
    </row>
    <row r="20" customFormat="false" ht="15" hidden="false" customHeight="false" outlineLevel="0" collapsed="false">
      <c r="A20" s="5" t="s">
        <v>10893</v>
      </c>
      <c r="B20" s="5" t="s">
        <v>61</v>
      </c>
      <c r="C20" s="5" t="s">
        <v>57</v>
      </c>
      <c r="D20" s="5" t="s">
        <v>28</v>
      </c>
      <c r="E20" s="5" t="n">
        <f aca="false">ROUND(15341*1.05,2)</f>
        <v>16108.05</v>
      </c>
      <c r="F20" s="5" t="s">
        <v>29</v>
      </c>
      <c r="G20" s="5" t="s">
        <v>30</v>
      </c>
      <c r="H20" s="5" t="n">
        <f aca="true">ROUND(RAND()*4+6,1)</f>
        <v>8.1</v>
      </c>
      <c r="I20" s="5" t="s">
        <v>31</v>
      </c>
      <c r="J20" s="5" t="str">
        <f aca="false">ROUND(88*1,0)&amp;"%"</f>
        <v>88%</v>
      </c>
    </row>
    <row r="21" customFormat="false" ht="15" hidden="false" customHeight="false" outlineLevel="0" collapsed="false">
      <c r="A21" s="6" t="s">
        <v>10894</v>
      </c>
      <c r="B21" s="6" t="s">
        <v>63</v>
      </c>
      <c r="C21" s="6" t="s">
        <v>57</v>
      </c>
      <c r="D21" s="6" t="s">
        <v>34</v>
      </c>
      <c r="E21" s="6" t="n">
        <f aca="false">ROUND(12575*1.05,2)</f>
        <v>13203.75</v>
      </c>
      <c r="F21" s="6" t="s">
        <v>35</v>
      </c>
      <c r="G21" s="6" t="s">
        <v>18</v>
      </c>
      <c r="H21" s="6" t="n">
        <f aca="true">ROUND(RAND()*4+6,1)</f>
        <v>6.6</v>
      </c>
      <c r="I21" s="6" t="s">
        <v>36</v>
      </c>
      <c r="J21" s="6" t="str">
        <f aca="false">ROUND(100*1,0)&amp;"%"</f>
        <v>100%</v>
      </c>
    </row>
    <row r="22" customFormat="false" ht="15" hidden="false" customHeight="false" outlineLevel="0" collapsed="false">
      <c r="A22" s="5" t="s">
        <v>10895</v>
      </c>
      <c r="B22" s="5" t="s">
        <v>65</v>
      </c>
      <c r="C22" s="5" t="s">
        <v>57</v>
      </c>
      <c r="D22" s="5" t="s">
        <v>39</v>
      </c>
      <c r="E22" s="5" t="n">
        <f aca="false">ROUND(9722*1.05,2)</f>
        <v>10208.1</v>
      </c>
      <c r="F22" s="5" t="s">
        <v>40</v>
      </c>
      <c r="G22" s="5" t="s">
        <v>24</v>
      </c>
      <c r="H22" s="5" t="n">
        <f aca="true">ROUND(RAND()*4+6,1)</f>
        <v>7.2</v>
      </c>
      <c r="I22" s="5" t="s">
        <v>41</v>
      </c>
      <c r="J22" s="5" t="str">
        <f aca="false">ROUND(77*1,0)&amp;"%"</f>
        <v>77%</v>
      </c>
    </row>
    <row r="23" customFormat="false" ht="15" hidden="false" customHeight="false" outlineLevel="0" collapsed="false">
      <c r="A23" s="6" t="s">
        <v>10896</v>
      </c>
      <c r="B23" s="6" t="s">
        <v>67</v>
      </c>
      <c r="C23" s="6" t="s">
        <v>57</v>
      </c>
      <c r="D23" s="6" t="s">
        <v>44</v>
      </c>
      <c r="E23" s="6" t="n">
        <f aca="false">ROUND(5305*1.05,2)</f>
        <v>5570.25</v>
      </c>
      <c r="F23" s="6" t="s">
        <v>45</v>
      </c>
      <c r="G23" s="6" t="s">
        <v>30</v>
      </c>
      <c r="H23" s="6" t="n">
        <f aca="true">ROUND(RAND()*4+6,1)</f>
        <v>9.4</v>
      </c>
      <c r="I23" s="6" t="s">
        <v>46</v>
      </c>
      <c r="J23" s="6" t="str">
        <f aca="false">ROUND(75*1,0)&amp;"%"</f>
        <v>75%</v>
      </c>
    </row>
    <row r="24" customFormat="false" ht="15" hidden="false" customHeight="false" outlineLevel="0" collapsed="false">
      <c r="A24" s="5" t="s">
        <v>10897</v>
      </c>
      <c r="B24" s="5" t="s">
        <v>69</v>
      </c>
      <c r="C24" s="5" t="s">
        <v>57</v>
      </c>
      <c r="D24" s="5" t="s">
        <v>16</v>
      </c>
      <c r="E24" s="5" t="n">
        <f aca="false">ROUND(11860*1.05,2)</f>
        <v>12453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ROUND(88*1,0)&amp;"%"</f>
        <v>88%</v>
      </c>
    </row>
    <row r="25" customFormat="false" ht="15" hidden="false" customHeight="false" outlineLevel="0" collapsed="false">
      <c r="A25" s="6" t="s">
        <v>10898</v>
      </c>
      <c r="B25" s="6" t="s">
        <v>71</v>
      </c>
      <c r="C25" s="6" t="s">
        <v>57</v>
      </c>
      <c r="D25" s="6" t="s">
        <v>22</v>
      </c>
      <c r="E25" s="6" t="n">
        <f aca="false">ROUND(10398*1.05,2)</f>
        <v>10917.9</v>
      </c>
      <c r="F25" s="6" t="s">
        <v>52</v>
      </c>
      <c r="G25" s="6" t="s">
        <v>24</v>
      </c>
      <c r="H25" s="6" t="n">
        <f aca="true">ROUND(RAND()*4+6,1)</f>
        <v>8.5</v>
      </c>
      <c r="I25" s="6" t="s">
        <v>25</v>
      </c>
      <c r="J25" s="6" t="str">
        <f aca="false">ROUND(73*1,0)&amp;"%"</f>
        <v>73%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10899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10900</v>
      </c>
      <c r="B30" s="5" t="s">
        <v>75</v>
      </c>
      <c r="C30" s="5" t="s">
        <v>76</v>
      </c>
      <c r="D30" s="5" t="s">
        <v>16</v>
      </c>
      <c r="E30" s="5" t="n">
        <f aca="false">ROUND(8633*1.05,2)</f>
        <v>9064.65</v>
      </c>
      <c r="F30" s="5" t="s">
        <v>17</v>
      </c>
      <c r="G30" s="5" t="s">
        <v>18</v>
      </c>
      <c r="H30" s="5" t="n">
        <f aca="true">ROUND(RAND()*4+6,1)</f>
        <v>8.6</v>
      </c>
      <c r="I30" s="5" t="s">
        <v>19</v>
      </c>
      <c r="J30" s="5" t="str">
        <f aca="false">ROUND(65*1,0)&amp;"%"</f>
        <v>65%</v>
      </c>
    </row>
    <row r="31" customFormat="false" ht="15" hidden="false" customHeight="false" outlineLevel="0" collapsed="false">
      <c r="A31" s="6" t="s">
        <v>10901</v>
      </c>
      <c r="B31" s="6" t="s">
        <v>78</v>
      </c>
      <c r="C31" s="6" t="s">
        <v>76</v>
      </c>
      <c r="D31" s="6" t="s">
        <v>22</v>
      </c>
      <c r="E31" s="6" t="n">
        <f aca="false">ROUND(6936*1.05,2)</f>
        <v>7282.8</v>
      </c>
      <c r="F31" s="6" t="s">
        <v>23</v>
      </c>
      <c r="G31" s="6" t="s">
        <v>24</v>
      </c>
      <c r="H31" s="6" t="n">
        <f aca="true">ROUND(RAND()*4+6,1)</f>
        <v>9.5</v>
      </c>
      <c r="I31" s="6" t="s">
        <v>25</v>
      </c>
      <c r="J31" s="6" t="str">
        <f aca="false">ROUND(79*1,0)&amp;"%"</f>
        <v>79%</v>
      </c>
    </row>
    <row r="32" customFormat="false" ht="15" hidden="false" customHeight="false" outlineLevel="0" collapsed="false">
      <c r="A32" s="5" t="s">
        <v>10902</v>
      </c>
      <c r="B32" s="5" t="s">
        <v>80</v>
      </c>
      <c r="C32" s="5" t="s">
        <v>76</v>
      </c>
      <c r="D32" s="5" t="s">
        <v>28</v>
      </c>
      <c r="E32" s="5" t="n">
        <f aca="false">ROUND(11566*1.05,2)</f>
        <v>12144.3</v>
      </c>
      <c r="F32" s="5" t="s">
        <v>29</v>
      </c>
      <c r="G32" s="5" t="s">
        <v>30</v>
      </c>
      <c r="H32" s="5" t="n">
        <f aca="true">ROUND(RAND()*4+6,1)</f>
        <v>7.9</v>
      </c>
      <c r="I32" s="5" t="s">
        <v>31</v>
      </c>
      <c r="J32" s="5" t="str">
        <f aca="false">ROUND(69*1,0)&amp;"%"</f>
        <v>69%</v>
      </c>
    </row>
    <row r="33" customFormat="false" ht="15" hidden="false" customHeight="false" outlineLevel="0" collapsed="false">
      <c r="A33" s="6" t="s">
        <v>10903</v>
      </c>
      <c r="B33" s="6" t="s">
        <v>82</v>
      </c>
      <c r="C33" s="6" t="s">
        <v>76</v>
      </c>
      <c r="D33" s="6" t="s">
        <v>34</v>
      </c>
      <c r="E33" s="6" t="n">
        <f aca="false">ROUND(4505*1.05,2)</f>
        <v>4730.25</v>
      </c>
      <c r="F33" s="6" t="s">
        <v>35</v>
      </c>
      <c r="G33" s="6" t="s">
        <v>18</v>
      </c>
      <c r="H33" s="6" t="n">
        <f aca="true">ROUND(RAND()*4+6,1)</f>
        <v>7.1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10904</v>
      </c>
      <c r="B34" s="5" t="s">
        <v>84</v>
      </c>
      <c r="C34" s="5" t="s">
        <v>76</v>
      </c>
      <c r="D34" s="5" t="s">
        <v>39</v>
      </c>
      <c r="E34" s="5" t="n">
        <f aca="false">ROUND(7339*1.05,2)</f>
        <v>7705.95</v>
      </c>
      <c r="F34" s="5" t="s">
        <v>40</v>
      </c>
      <c r="G34" s="5" t="s">
        <v>24</v>
      </c>
      <c r="H34" s="5" t="n">
        <f aca="true">ROUND(RAND()*4+6,1)</f>
        <v>6.4</v>
      </c>
      <c r="I34" s="5" t="s">
        <v>41</v>
      </c>
      <c r="J34" s="5" t="str">
        <f aca="false">ROUND(67*1,0)&amp;"%"</f>
        <v>67%</v>
      </c>
    </row>
    <row r="35" customFormat="false" ht="15" hidden="false" customHeight="false" outlineLevel="0" collapsed="false">
      <c r="A35" s="6" t="s">
        <v>10905</v>
      </c>
      <c r="B35" s="6" t="s">
        <v>86</v>
      </c>
      <c r="C35" s="6" t="s">
        <v>76</v>
      </c>
      <c r="D35" s="6" t="s">
        <v>44</v>
      </c>
      <c r="E35" s="6" t="n">
        <f aca="false">ROUND(8413*1.05,2)</f>
        <v>8833.65</v>
      </c>
      <c r="F35" s="6" t="s">
        <v>45</v>
      </c>
      <c r="G35" s="6" t="s">
        <v>30</v>
      </c>
      <c r="H35" s="6" t="n">
        <f aca="true">ROUND(RAND()*4+6,1)</f>
        <v>8.4</v>
      </c>
      <c r="I35" s="6" t="s">
        <v>46</v>
      </c>
      <c r="J35" s="6" t="str">
        <f aca="false">ROUND(84*1,0)&amp;"%"</f>
        <v>84%</v>
      </c>
    </row>
    <row r="36" customFormat="false" ht="15" hidden="false" customHeight="false" outlineLevel="0" collapsed="false">
      <c r="A36" s="5" t="s">
        <v>10906</v>
      </c>
      <c r="B36" s="5" t="s">
        <v>88</v>
      </c>
      <c r="C36" s="5" t="s">
        <v>76</v>
      </c>
      <c r="D36" s="5" t="s">
        <v>16</v>
      </c>
      <c r="E36" s="5" t="n">
        <f aca="false">ROUND(6872*1.05,2)</f>
        <v>7215.6</v>
      </c>
      <c r="F36" s="5" t="s">
        <v>49</v>
      </c>
      <c r="G36" s="5" t="s">
        <v>18</v>
      </c>
      <c r="H36" s="5" t="n">
        <f aca="true">ROUND(RAND()*4+6,1)</f>
        <v>7.3</v>
      </c>
      <c r="I36" s="5" t="s">
        <v>19</v>
      </c>
      <c r="J36" s="5" t="str">
        <f aca="false">ROUND(98*1,0)&amp;"%"</f>
        <v>98%</v>
      </c>
    </row>
    <row r="37" customFormat="false" ht="15" hidden="false" customHeight="false" outlineLevel="0" collapsed="false">
      <c r="A37" s="6" t="s">
        <v>10907</v>
      </c>
      <c r="B37" s="6" t="s">
        <v>90</v>
      </c>
      <c r="C37" s="6" t="s">
        <v>76</v>
      </c>
      <c r="D37" s="6" t="s">
        <v>22</v>
      </c>
      <c r="E37" s="6" t="n">
        <f aca="false">ROUND(12191*1.05,2)</f>
        <v>12800.55</v>
      </c>
      <c r="F37" s="6" t="s">
        <v>52</v>
      </c>
      <c r="G37" s="6" t="s">
        <v>24</v>
      </c>
      <c r="H37" s="6" t="n">
        <f aca="true">ROUND(RAND()*4+6,1)</f>
        <v>9.3</v>
      </c>
      <c r="I37" s="6" t="s">
        <v>25</v>
      </c>
      <c r="J37" s="6" t="str">
        <f aca="false">ROUND(94*1,0)&amp;"%"</f>
        <v>94%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10908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10909</v>
      </c>
      <c r="B42" s="5" t="s">
        <v>94</v>
      </c>
      <c r="C42" s="5" t="s">
        <v>95</v>
      </c>
      <c r="D42" s="5" t="s">
        <v>16</v>
      </c>
      <c r="E42" s="5" t="n">
        <f aca="false">ROUND(15100*1.05,2)</f>
        <v>15855</v>
      </c>
      <c r="F42" s="5" t="s">
        <v>17</v>
      </c>
      <c r="G42" s="5" t="s">
        <v>18</v>
      </c>
      <c r="H42" s="5" t="n">
        <f aca="true">ROUND(RAND()*4+6,1)</f>
        <v>7.6</v>
      </c>
      <c r="I42" s="5" t="s">
        <v>19</v>
      </c>
      <c r="J42" s="5" t="str">
        <f aca="false">ROUND(63*1,0)&amp;"%"</f>
        <v>63%</v>
      </c>
    </row>
    <row r="43" customFormat="false" ht="15" hidden="false" customHeight="false" outlineLevel="0" collapsed="false">
      <c r="A43" s="6" t="s">
        <v>10910</v>
      </c>
      <c r="B43" s="6" t="s">
        <v>97</v>
      </c>
      <c r="C43" s="6" t="s">
        <v>95</v>
      </c>
      <c r="D43" s="6" t="s">
        <v>22</v>
      </c>
      <c r="E43" s="6" t="n">
        <f aca="false">ROUND(13809*1.05,2)</f>
        <v>14499.45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ROUND(86*1,0)&amp;"%"</f>
        <v>86%</v>
      </c>
    </row>
    <row r="44" customFormat="false" ht="15" hidden="false" customHeight="false" outlineLevel="0" collapsed="false">
      <c r="A44" s="5" t="s">
        <v>10911</v>
      </c>
      <c r="B44" s="5" t="s">
        <v>99</v>
      </c>
      <c r="C44" s="5" t="s">
        <v>95</v>
      </c>
      <c r="D44" s="5" t="s">
        <v>28</v>
      </c>
      <c r="E44" s="5" t="n">
        <f aca="false">ROUND(9897*1.05,2)</f>
        <v>10391.85</v>
      </c>
      <c r="F44" s="5" t="s">
        <v>29</v>
      </c>
      <c r="G44" s="5" t="s">
        <v>30</v>
      </c>
      <c r="H44" s="5" t="n">
        <f aca="true">ROUND(RAND()*4+6,1)</f>
        <v>7.5</v>
      </c>
      <c r="I44" s="5" t="s">
        <v>31</v>
      </c>
      <c r="J44" s="5" t="str">
        <f aca="false">ROUND(68*1,0)&amp;"%"</f>
        <v>68%</v>
      </c>
    </row>
    <row r="45" customFormat="false" ht="15" hidden="false" customHeight="false" outlineLevel="0" collapsed="false">
      <c r="A45" s="6" t="s">
        <v>10912</v>
      </c>
      <c r="B45" s="6" t="s">
        <v>101</v>
      </c>
      <c r="C45" s="6" t="s">
        <v>95</v>
      </c>
      <c r="D45" s="6" t="s">
        <v>34</v>
      </c>
      <c r="E45" s="6" t="n">
        <f aca="false">ROUND(5517*1.05,2)</f>
        <v>5792.85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ROUND(95*1,0)&amp;"%"</f>
        <v>95%</v>
      </c>
    </row>
    <row r="46" customFormat="false" ht="15" hidden="false" customHeight="false" outlineLevel="0" collapsed="false">
      <c r="A46" s="5" t="s">
        <v>10913</v>
      </c>
      <c r="B46" s="5" t="s">
        <v>103</v>
      </c>
      <c r="C46" s="5" t="s">
        <v>95</v>
      </c>
      <c r="D46" s="5" t="s">
        <v>39</v>
      </c>
      <c r="E46" s="5" t="n">
        <f aca="false">ROUND(5420*1.05,2)</f>
        <v>5691</v>
      </c>
      <c r="F46" s="5" t="s">
        <v>40</v>
      </c>
      <c r="G46" s="5" t="s">
        <v>24</v>
      </c>
      <c r="H46" s="5" t="n">
        <f aca="true">ROUND(RAND()*4+6,1)</f>
        <v>8.8</v>
      </c>
      <c r="I46" s="5" t="s">
        <v>41</v>
      </c>
      <c r="J46" s="5" t="str">
        <f aca="false">ROUND(89*1,0)&amp;"%"</f>
        <v>89%</v>
      </c>
    </row>
    <row r="47" customFormat="false" ht="15" hidden="false" customHeight="false" outlineLevel="0" collapsed="false">
      <c r="A47" s="6" t="s">
        <v>10914</v>
      </c>
      <c r="B47" s="6" t="s">
        <v>105</v>
      </c>
      <c r="C47" s="6" t="s">
        <v>95</v>
      </c>
      <c r="D47" s="6" t="s">
        <v>44</v>
      </c>
      <c r="E47" s="6" t="n">
        <f aca="false">ROUND(16052*1.05,2)</f>
        <v>16854.6</v>
      </c>
      <c r="F47" s="6" t="s">
        <v>45</v>
      </c>
      <c r="G47" s="6" t="s">
        <v>30</v>
      </c>
      <c r="H47" s="6" t="n">
        <f aca="true">ROUND(RAND()*4+6,1)</f>
        <v>6.9</v>
      </c>
      <c r="I47" s="6" t="s">
        <v>46</v>
      </c>
      <c r="J47" s="6" t="str">
        <f aca="false">ROUND(79*1,0)&amp;"%"</f>
        <v>79%</v>
      </c>
    </row>
    <row r="48" customFormat="false" ht="15" hidden="false" customHeight="false" outlineLevel="0" collapsed="false">
      <c r="A48" s="5" t="s">
        <v>10915</v>
      </c>
      <c r="B48" s="5" t="s">
        <v>107</v>
      </c>
      <c r="C48" s="5" t="s">
        <v>95</v>
      </c>
      <c r="D48" s="5" t="s">
        <v>16</v>
      </c>
      <c r="E48" s="5" t="n">
        <f aca="false">ROUND(11323*1.05,2)</f>
        <v>11889.15</v>
      </c>
      <c r="F48" s="5" t="s">
        <v>49</v>
      </c>
      <c r="G48" s="5" t="s">
        <v>18</v>
      </c>
      <c r="H48" s="5" t="n">
        <f aca="true">ROUND(RAND()*4+6,1)</f>
        <v>9.8</v>
      </c>
      <c r="I48" s="5" t="s">
        <v>19</v>
      </c>
      <c r="J48" s="5" t="str">
        <f aca="false">ROUND(79*1,0)&amp;"%"</f>
        <v>79%</v>
      </c>
    </row>
    <row r="49" customFormat="false" ht="15" hidden="false" customHeight="false" outlineLevel="0" collapsed="false">
      <c r="A49" s="6" t="s">
        <v>10916</v>
      </c>
      <c r="B49" s="6" t="s">
        <v>109</v>
      </c>
      <c r="C49" s="6" t="s">
        <v>95</v>
      </c>
      <c r="D49" s="6" t="s">
        <v>22</v>
      </c>
      <c r="E49" s="6" t="n">
        <f aca="false">ROUND(5582*1.05,2)</f>
        <v>5861.1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ROUND(60*1,0)&amp;"%"</f>
        <v>60%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10917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10918</v>
      </c>
      <c r="B54" s="5" t="s">
        <v>113</v>
      </c>
      <c r="C54" s="5" t="s">
        <v>114</v>
      </c>
      <c r="D54" s="5" t="s">
        <v>16</v>
      </c>
      <c r="E54" s="5" t="n">
        <f aca="false">ROUND(17402*1.05,2)</f>
        <v>18272.1</v>
      </c>
      <c r="F54" s="5" t="s">
        <v>17</v>
      </c>
      <c r="G54" s="5" t="s">
        <v>18</v>
      </c>
      <c r="H54" s="5" t="n">
        <f aca="true">ROUND(RAND()*4+6,1)</f>
        <v>7</v>
      </c>
      <c r="I54" s="5" t="s">
        <v>19</v>
      </c>
      <c r="J54" s="5" t="str">
        <f aca="false">ROUND(88*1,0)&amp;"%"</f>
        <v>88%</v>
      </c>
    </row>
    <row r="55" customFormat="false" ht="15" hidden="false" customHeight="false" outlineLevel="0" collapsed="false">
      <c r="A55" s="6" t="s">
        <v>10919</v>
      </c>
      <c r="B55" s="6" t="s">
        <v>116</v>
      </c>
      <c r="C55" s="6" t="s">
        <v>114</v>
      </c>
      <c r="D55" s="6" t="s">
        <v>22</v>
      </c>
      <c r="E55" s="6" t="n">
        <f aca="false">ROUND(12023*1.05,2)</f>
        <v>12624.15</v>
      </c>
      <c r="F55" s="6" t="s">
        <v>23</v>
      </c>
      <c r="G55" s="6" t="s">
        <v>24</v>
      </c>
      <c r="H55" s="6" t="n">
        <f aca="true">ROUND(RAND()*4+6,1)</f>
        <v>6.2</v>
      </c>
      <c r="I55" s="6" t="s">
        <v>25</v>
      </c>
      <c r="J55" s="6" t="str">
        <f aca="false">ROUND(79*1,0)&amp;"%"</f>
        <v>79%</v>
      </c>
    </row>
    <row r="56" customFormat="false" ht="15" hidden="false" customHeight="false" outlineLevel="0" collapsed="false">
      <c r="A56" s="5" t="s">
        <v>10920</v>
      </c>
      <c r="B56" s="5" t="s">
        <v>118</v>
      </c>
      <c r="C56" s="5" t="s">
        <v>114</v>
      </c>
      <c r="D56" s="5" t="s">
        <v>28</v>
      </c>
      <c r="E56" s="5" t="n">
        <f aca="false">ROUND(16056*1.05,2)</f>
        <v>16858.8</v>
      </c>
      <c r="F56" s="5" t="s">
        <v>29</v>
      </c>
      <c r="G56" s="5" t="s">
        <v>30</v>
      </c>
      <c r="H56" s="5" t="n">
        <f aca="true">ROUND(RAND()*4+6,1)</f>
        <v>6.3</v>
      </c>
      <c r="I56" s="5" t="s">
        <v>31</v>
      </c>
      <c r="J56" s="5" t="str">
        <f aca="false">ROUND(73*1,0)&amp;"%"</f>
        <v>73%</v>
      </c>
    </row>
    <row r="57" customFormat="false" ht="15" hidden="false" customHeight="false" outlineLevel="0" collapsed="false">
      <c r="A57" s="6" t="s">
        <v>10921</v>
      </c>
      <c r="B57" s="6" t="s">
        <v>120</v>
      </c>
      <c r="C57" s="6" t="s">
        <v>114</v>
      </c>
      <c r="D57" s="6" t="s">
        <v>34</v>
      </c>
      <c r="E57" s="6" t="n">
        <f aca="false">ROUND(4039*1.05,2)</f>
        <v>4240.95</v>
      </c>
      <c r="F57" s="6" t="s">
        <v>35</v>
      </c>
      <c r="G57" s="6" t="s">
        <v>18</v>
      </c>
      <c r="H57" s="6" t="n">
        <f aca="true">ROUND(RAND()*4+6,1)</f>
        <v>8.2</v>
      </c>
      <c r="I57" s="6" t="s">
        <v>36</v>
      </c>
      <c r="J57" s="6" t="str">
        <f aca="false">ROUND(95*1,0)&amp;"%"</f>
        <v>95%</v>
      </c>
    </row>
    <row r="58" customFormat="false" ht="15" hidden="false" customHeight="false" outlineLevel="0" collapsed="false">
      <c r="A58" s="5" t="s">
        <v>10922</v>
      </c>
      <c r="B58" s="5" t="s">
        <v>122</v>
      </c>
      <c r="C58" s="5" t="s">
        <v>114</v>
      </c>
      <c r="D58" s="5" t="s">
        <v>39</v>
      </c>
      <c r="E58" s="5" t="n">
        <f aca="false">ROUND(5083*1.05,2)</f>
        <v>5337.15</v>
      </c>
      <c r="F58" s="5" t="s">
        <v>40</v>
      </c>
      <c r="G58" s="5" t="s">
        <v>24</v>
      </c>
      <c r="H58" s="5" t="n">
        <f aca="true">ROUND(RAND()*4+6,1)</f>
        <v>6.2</v>
      </c>
      <c r="I58" s="5" t="s">
        <v>41</v>
      </c>
      <c r="J58" s="5" t="str">
        <f aca="false">ROUND(93*1,0)&amp;"%"</f>
        <v>93%</v>
      </c>
    </row>
    <row r="59" customFormat="false" ht="15" hidden="false" customHeight="false" outlineLevel="0" collapsed="false">
      <c r="A59" s="6" t="s">
        <v>10923</v>
      </c>
      <c r="B59" s="6" t="s">
        <v>124</v>
      </c>
      <c r="C59" s="6" t="s">
        <v>114</v>
      </c>
      <c r="D59" s="6" t="s">
        <v>44</v>
      </c>
      <c r="E59" s="6" t="n">
        <f aca="false">ROUND(6512*1.05,2)</f>
        <v>6837.6</v>
      </c>
      <c r="F59" s="6" t="s">
        <v>45</v>
      </c>
      <c r="G59" s="6" t="s">
        <v>30</v>
      </c>
      <c r="H59" s="6" t="n">
        <f aca="true">ROUND(RAND()*4+6,1)</f>
        <v>8.8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10924</v>
      </c>
      <c r="B60" s="5" t="s">
        <v>126</v>
      </c>
      <c r="C60" s="5" t="s">
        <v>114</v>
      </c>
      <c r="D60" s="5" t="s">
        <v>16</v>
      </c>
      <c r="E60" s="5" t="n">
        <f aca="false">ROUND(10958*1.05,2)</f>
        <v>11505.9</v>
      </c>
      <c r="F60" s="5" t="s">
        <v>49</v>
      </c>
      <c r="G60" s="5" t="s">
        <v>18</v>
      </c>
      <c r="H60" s="5" t="n">
        <f aca="true">ROUND(RAND()*4+6,1)</f>
        <v>8.7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10925</v>
      </c>
      <c r="B61" s="6" t="s">
        <v>128</v>
      </c>
      <c r="C61" s="6" t="s">
        <v>114</v>
      </c>
      <c r="D61" s="6" t="s">
        <v>22</v>
      </c>
      <c r="E61" s="6" t="n">
        <f aca="false">ROUND(5715*1.05,2)</f>
        <v>6000.75</v>
      </c>
      <c r="F61" s="6" t="s">
        <v>52</v>
      </c>
      <c r="G61" s="6" t="s">
        <v>24</v>
      </c>
      <c r="H61" s="6" t="n">
        <f aca="true">ROUND(RAND()*4+6,1)</f>
        <v>7.8</v>
      </c>
      <c r="I61" s="6" t="s">
        <v>25</v>
      </c>
      <c r="J61" s="6" t="str">
        <f aca="false">ROUND(74*1,0)&amp;"%"</f>
        <v>74%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10926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10927</v>
      </c>
      <c r="B66" s="5" t="s">
        <v>132</v>
      </c>
      <c r="C66" s="5" t="s">
        <v>133</v>
      </c>
      <c r="D66" s="5" t="s">
        <v>16</v>
      </c>
      <c r="E66" s="5" t="n">
        <f aca="false">ROUND(13034*1.05,2)</f>
        <v>13685.7</v>
      </c>
      <c r="F66" s="5" t="s">
        <v>17</v>
      </c>
      <c r="G66" s="5" t="s">
        <v>18</v>
      </c>
      <c r="H66" s="5" t="n">
        <f aca="true">ROUND(RAND()*4+6,1)</f>
        <v>8.3</v>
      </c>
      <c r="I66" s="5" t="s">
        <v>19</v>
      </c>
      <c r="J66" s="5" t="str">
        <f aca="false">ROUND(64*1,0)&amp;"%"</f>
        <v>64%</v>
      </c>
    </row>
    <row r="67" customFormat="false" ht="15" hidden="false" customHeight="false" outlineLevel="0" collapsed="false">
      <c r="A67" s="6" t="s">
        <v>10928</v>
      </c>
      <c r="B67" s="6" t="s">
        <v>135</v>
      </c>
      <c r="C67" s="6" t="s">
        <v>133</v>
      </c>
      <c r="D67" s="6" t="s">
        <v>22</v>
      </c>
      <c r="E67" s="6" t="n">
        <f aca="false">ROUND(5102*1.05,2)</f>
        <v>5357.1</v>
      </c>
      <c r="F67" s="6" t="s">
        <v>23</v>
      </c>
      <c r="G67" s="6" t="s">
        <v>24</v>
      </c>
      <c r="H67" s="6" t="n">
        <f aca="true">ROUND(RAND()*4+6,1)</f>
        <v>7.3</v>
      </c>
      <c r="I67" s="6" t="s">
        <v>25</v>
      </c>
      <c r="J67" s="6" t="str">
        <f aca="false">ROUND(72*1,0)&amp;"%"</f>
        <v>72%</v>
      </c>
    </row>
    <row r="68" customFormat="false" ht="15" hidden="false" customHeight="false" outlineLevel="0" collapsed="false">
      <c r="A68" s="5" t="s">
        <v>10929</v>
      </c>
      <c r="B68" s="5" t="s">
        <v>137</v>
      </c>
      <c r="C68" s="5" t="s">
        <v>133</v>
      </c>
      <c r="D68" s="5" t="s">
        <v>28</v>
      </c>
      <c r="E68" s="5" t="n">
        <f aca="false">ROUND(15847*1.05,2)</f>
        <v>16639.35</v>
      </c>
      <c r="F68" s="5" t="s">
        <v>29</v>
      </c>
      <c r="G68" s="5" t="s">
        <v>30</v>
      </c>
      <c r="H68" s="5" t="n">
        <f aca="true">ROUND(RAND()*4+6,1)</f>
        <v>8.7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10930</v>
      </c>
      <c r="B69" s="6" t="s">
        <v>139</v>
      </c>
      <c r="C69" s="6" t="s">
        <v>133</v>
      </c>
      <c r="D69" s="6" t="s">
        <v>34</v>
      </c>
      <c r="E69" s="6" t="n">
        <f aca="false">ROUND(17628*1.05,2)</f>
        <v>18509.4</v>
      </c>
      <c r="F69" s="6" t="s">
        <v>35</v>
      </c>
      <c r="G69" s="6" t="s">
        <v>18</v>
      </c>
      <c r="H69" s="6" t="n">
        <f aca="true">ROUND(RAND()*4+6,1)</f>
        <v>8</v>
      </c>
      <c r="I69" s="6" t="s">
        <v>36</v>
      </c>
      <c r="J69" s="6" t="str">
        <f aca="false">ROUND(81*1,0)&amp;"%"</f>
        <v>81%</v>
      </c>
    </row>
    <row r="70" customFormat="false" ht="15" hidden="false" customHeight="false" outlineLevel="0" collapsed="false">
      <c r="A70" s="5" t="s">
        <v>10931</v>
      </c>
      <c r="B70" s="5" t="s">
        <v>141</v>
      </c>
      <c r="C70" s="5" t="s">
        <v>133</v>
      </c>
      <c r="D70" s="5" t="s">
        <v>39</v>
      </c>
      <c r="E70" s="5" t="n">
        <f aca="false">ROUND(16910*1.05,2)</f>
        <v>17755.5</v>
      </c>
      <c r="F70" s="5" t="s">
        <v>40</v>
      </c>
      <c r="G70" s="5" t="s">
        <v>24</v>
      </c>
      <c r="H70" s="5" t="n">
        <f aca="true">ROUND(RAND()*4+6,1)</f>
        <v>6.2</v>
      </c>
      <c r="I70" s="5" t="s">
        <v>41</v>
      </c>
      <c r="J70" s="5" t="str">
        <f aca="false">ROUND(97*1,0)&amp;"%"</f>
        <v>97%</v>
      </c>
    </row>
    <row r="71" customFormat="false" ht="15" hidden="false" customHeight="false" outlineLevel="0" collapsed="false">
      <c r="A71" s="6" t="s">
        <v>10932</v>
      </c>
      <c r="B71" s="6" t="s">
        <v>143</v>
      </c>
      <c r="C71" s="6" t="s">
        <v>133</v>
      </c>
      <c r="D71" s="6" t="s">
        <v>44</v>
      </c>
      <c r="E71" s="6" t="n">
        <f aca="false">ROUND(5089*1.05,2)</f>
        <v>5343.45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ROUND(94*1,0)&amp;"%"</f>
        <v>94%</v>
      </c>
    </row>
    <row r="72" customFormat="false" ht="15" hidden="false" customHeight="false" outlineLevel="0" collapsed="false">
      <c r="A72" s="5" t="s">
        <v>10933</v>
      </c>
      <c r="B72" s="5" t="s">
        <v>145</v>
      </c>
      <c r="C72" s="5" t="s">
        <v>133</v>
      </c>
      <c r="D72" s="5" t="s">
        <v>16</v>
      </c>
      <c r="E72" s="5" t="n">
        <f aca="false">ROUND(6955*1.05,2)</f>
        <v>7302.75</v>
      </c>
      <c r="F72" s="5" t="s">
        <v>49</v>
      </c>
      <c r="G72" s="5" t="s">
        <v>18</v>
      </c>
      <c r="H72" s="5" t="n">
        <f aca="true">ROUND(RAND()*4+6,1)</f>
        <v>7.7</v>
      </c>
      <c r="I72" s="5" t="s">
        <v>19</v>
      </c>
      <c r="J72" s="5" t="str">
        <f aca="false">ROUND(95*1,0)&amp;"%"</f>
        <v>95%</v>
      </c>
    </row>
    <row r="73" customFormat="false" ht="15" hidden="false" customHeight="false" outlineLevel="0" collapsed="false">
      <c r="A73" s="6" t="s">
        <v>10934</v>
      </c>
      <c r="B73" s="6" t="s">
        <v>147</v>
      </c>
      <c r="C73" s="6" t="s">
        <v>133</v>
      </c>
      <c r="D73" s="6" t="s">
        <v>22</v>
      </c>
      <c r="E73" s="6" t="n">
        <f aca="false">ROUND(6282*1.05,2)</f>
        <v>6596.1</v>
      </c>
      <c r="F73" s="6" t="s">
        <v>52</v>
      </c>
      <c r="G73" s="6" t="s">
        <v>24</v>
      </c>
      <c r="H73" s="6" t="n">
        <f aca="true">ROUND(RAND()*4+6,1)</f>
        <v>6.1</v>
      </c>
      <c r="I73" s="6" t="s">
        <v>25</v>
      </c>
      <c r="J73" s="6" t="str">
        <f aca="false">ROUND(91*1,0)&amp;"%"</f>
        <v>91%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10935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10936</v>
      </c>
      <c r="B78" s="5" t="s">
        <v>151</v>
      </c>
      <c r="C78" s="5" t="s">
        <v>152</v>
      </c>
      <c r="D78" s="5" t="s">
        <v>16</v>
      </c>
      <c r="E78" s="5" t="n">
        <f aca="false">ROUND(5960*1.05,2)</f>
        <v>6258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ROUND(93*1,0)&amp;"%"</f>
        <v>93%</v>
      </c>
    </row>
    <row r="79" customFormat="false" ht="15" hidden="false" customHeight="false" outlineLevel="0" collapsed="false">
      <c r="A79" s="6" t="s">
        <v>10937</v>
      </c>
      <c r="B79" s="6" t="s">
        <v>154</v>
      </c>
      <c r="C79" s="6" t="s">
        <v>152</v>
      </c>
      <c r="D79" s="6" t="s">
        <v>22</v>
      </c>
      <c r="E79" s="6" t="n">
        <f aca="false">ROUND(16253*1.05,2)</f>
        <v>17065.65</v>
      </c>
      <c r="F79" s="6" t="s">
        <v>23</v>
      </c>
      <c r="G79" s="6" t="s">
        <v>24</v>
      </c>
      <c r="H79" s="6" t="n">
        <f aca="true">ROUND(RAND()*4+6,1)</f>
        <v>9.3</v>
      </c>
      <c r="I79" s="6" t="s">
        <v>25</v>
      </c>
      <c r="J79" s="6" t="str">
        <f aca="false">ROUND(93*1,0)&amp;"%"</f>
        <v>93%</v>
      </c>
    </row>
    <row r="80" customFormat="false" ht="15" hidden="false" customHeight="false" outlineLevel="0" collapsed="false">
      <c r="A80" s="5" t="s">
        <v>10938</v>
      </c>
      <c r="B80" s="5" t="s">
        <v>156</v>
      </c>
      <c r="C80" s="5" t="s">
        <v>152</v>
      </c>
      <c r="D80" s="5" t="s">
        <v>28</v>
      </c>
      <c r="E80" s="5" t="n">
        <f aca="false">ROUND(16175*1.05,2)</f>
        <v>16983.75</v>
      </c>
      <c r="F80" s="5" t="s">
        <v>29</v>
      </c>
      <c r="G80" s="5" t="s">
        <v>30</v>
      </c>
      <c r="H80" s="5" t="n">
        <f aca="true">ROUND(RAND()*4+6,1)</f>
        <v>8.1</v>
      </c>
      <c r="I80" s="5" t="s">
        <v>31</v>
      </c>
      <c r="J80" s="5" t="str">
        <f aca="false">ROUND(63*1,0)&amp;"%"</f>
        <v>63%</v>
      </c>
    </row>
    <row r="81" customFormat="false" ht="15" hidden="false" customHeight="false" outlineLevel="0" collapsed="false">
      <c r="A81" s="6" t="s">
        <v>10939</v>
      </c>
      <c r="B81" s="6" t="s">
        <v>158</v>
      </c>
      <c r="C81" s="6" t="s">
        <v>152</v>
      </c>
      <c r="D81" s="6" t="s">
        <v>34</v>
      </c>
      <c r="E81" s="6" t="n">
        <f aca="false">ROUND(8528*1.05,2)</f>
        <v>8954.4</v>
      </c>
      <c r="F81" s="6" t="s">
        <v>35</v>
      </c>
      <c r="G81" s="6" t="s">
        <v>18</v>
      </c>
      <c r="H81" s="6" t="n">
        <f aca="true">ROUND(RAND()*4+6,1)</f>
        <v>8.2</v>
      </c>
      <c r="I81" s="6" t="s">
        <v>36</v>
      </c>
      <c r="J81" s="6" t="str">
        <f aca="false">ROUND(91*1,0)&amp;"%"</f>
        <v>91%</v>
      </c>
    </row>
    <row r="82" customFormat="false" ht="15" hidden="false" customHeight="false" outlineLevel="0" collapsed="false">
      <c r="A82" s="5" t="s">
        <v>10940</v>
      </c>
      <c r="B82" s="5" t="s">
        <v>160</v>
      </c>
      <c r="C82" s="5" t="s">
        <v>152</v>
      </c>
      <c r="D82" s="5" t="s">
        <v>39</v>
      </c>
      <c r="E82" s="5" t="n">
        <f aca="false">ROUND(15174*1.05,2)</f>
        <v>15932.7</v>
      </c>
      <c r="F82" s="5" t="s">
        <v>40</v>
      </c>
      <c r="G82" s="5" t="s">
        <v>24</v>
      </c>
      <c r="H82" s="5" t="n">
        <f aca="true">ROUND(RAND()*4+6,1)</f>
        <v>8.6</v>
      </c>
      <c r="I82" s="5" t="s">
        <v>41</v>
      </c>
      <c r="J82" s="5" t="str">
        <f aca="false">ROUND(90*1,0)&amp;"%"</f>
        <v>90%</v>
      </c>
    </row>
    <row r="83" customFormat="false" ht="15" hidden="false" customHeight="false" outlineLevel="0" collapsed="false">
      <c r="A83" s="6" t="s">
        <v>10941</v>
      </c>
      <c r="B83" s="6" t="s">
        <v>162</v>
      </c>
      <c r="C83" s="6" t="s">
        <v>152</v>
      </c>
      <c r="D83" s="6" t="s">
        <v>44</v>
      </c>
      <c r="E83" s="6" t="n">
        <f aca="false">ROUND(13978*1.05,2)</f>
        <v>14676.9</v>
      </c>
      <c r="F83" s="6" t="s">
        <v>45</v>
      </c>
      <c r="G83" s="6" t="s">
        <v>30</v>
      </c>
      <c r="H83" s="6" t="n">
        <f aca="true">ROUND(RAND()*4+6,1)</f>
        <v>6.3</v>
      </c>
      <c r="I83" s="6" t="s">
        <v>46</v>
      </c>
      <c r="J83" s="6" t="str">
        <f aca="false">ROUND(66*1,0)&amp;"%"</f>
        <v>66%</v>
      </c>
    </row>
    <row r="84" customFormat="false" ht="15" hidden="false" customHeight="false" outlineLevel="0" collapsed="false">
      <c r="A84" s="5" t="s">
        <v>10942</v>
      </c>
      <c r="B84" s="5" t="s">
        <v>164</v>
      </c>
      <c r="C84" s="5" t="s">
        <v>152</v>
      </c>
      <c r="D84" s="5" t="s">
        <v>16</v>
      </c>
      <c r="E84" s="5" t="n">
        <f aca="false">ROUND(14368*1.05,2)</f>
        <v>15086.4</v>
      </c>
      <c r="F84" s="5" t="s">
        <v>49</v>
      </c>
      <c r="G84" s="5" t="s">
        <v>18</v>
      </c>
      <c r="H84" s="5" t="n">
        <f aca="true">ROUND(RAND()*4+6,1)</f>
        <v>8.4</v>
      </c>
      <c r="I84" s="5" t="s">
        <v>19</v>
      </c>
      <c r="J84" s="5" t="str">
        <f aca="false">ROUND(91*1,0)&amp;"%"</f>
        <v>91%</v>
      </c>
    </row>
    <row r="85" customFormat="false" ht="15" hidden="false" customHeight="false" outlineLevel="0" collapsed="false">
      <c r="A85" s="6" t="s">
        <v>10943</v>
      </c>
      <c r="B85" s="6" t="s">
        <v>166</v>
      </c>
      <c r="C85" s="6" t="s">
        <v>152</v>
      </c>
      <c r="D85" s="6" t="s">
        <v>22</v>
      </c>
      <c r="E85" s="6" t="n">
        <f aca="false">ROUND(11615*1.05,2)</f>
        <v>12195.75</v>
      </c>
      <c r="F85" s="6" t="s">
        <v>52</v>
      </c>
      <c r="G85" s="6" t="s">
        <v>24</v>
      </c>
      <c r="H85" s="6" t="n">
        <f aca="true">ROUND(RAND()*4+6,1)</f>
        <v>8.1</v>
      </c>
      <c r="I85" s="6" t="s">
        <v>25</v>
      </c>
      <c r="J85" s="6" t="str">
        <f aca="false">ROUND(81*1,0)&amp;"%"</f>
        <v>81%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10944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10945</v>
      </c>
      <c r="B90" s="5" t="s">
        <v>170</v>
      </c>
      <c r="C90" s="5" t="s">
        <v>15</v>
      </c>
      <c r="D90" s="5" t="s">
        <v>16</v>
      </c>
      <c r="E90" s="5" t="n">
        <f aca="false">ROUND(14308*1.05,2)</f>
        <v>15023.4</v>
      </c>
      <c r="F90" s="5" t="s">
        <v>17</v>
      </c>
      <c r="G90" s="5" t="s">
        <v>18</v>
      </c>
      <c r="H90" s="5" t="n">
        <f aca="true">ROUND(RAND()*4+6,1)</f>
        <v>7.9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10946</v>
      </c>
      <c r="B91" s="6" t="s">
        <v>172</v>
      </c>
      <c r="C91" s="6" t="s">
        <v>15</v>
      </c>
      <c r="D91" s="6" t="s">
        <v>22</v>
      </c>
      <c r="E91" s="6" t="n">
        <f aca="false">ROUND(11976*1.05,2)</f>
        <v>12574.8</v>
      </c>
      <c r="F91" s="6" t="s">
        <v>23</v>
      </c>
      <c r="G91" s="6" t="s">
        <v>24</v>
      </c>
      <c r="H91" s="6" t="n">
        <f aca="true">ROUND(RAND()*4+6,1)</f>
        <v>9.8</v>
      </c>
      <c r="I91" s="6" t="s">
        <v>25</v>
      </c>
      <c r="J91" s="6" t="str">
        <f aca="false">ROUND(91*1,0)&amp;"%"</f>
        <v>91%</v>
      </c>
    </row>
    <row r="92" customFormat="false" ht="15" hidden="false" customHeight="false" outlineLevel="0" collapsed="false">
      <c r="A92" s="5" t="s">
        <v>10947</v>
      </c>
      <c r="B92" s="5" t="s">
        <v>174</v>
      </c>
      <c r="C92" s="5" t="s">
        <v>15</v>
      </c>
      <c r="D92" s="5" t="s">
        <v>28</v>
      </c>
      <c r="E92" s="5" t="n">
        <f aca="false">ROUND(11180*1.05,2)</f>
        <v>11739</v>
      </c>
      <c r="F92" s="5" t="s">
        <v>29</v>
      </c>
      <c r="G92" s="5" t="s">
        <v>30</v>
      </c>
      <c r="H92" s="5" t="n">
        <f aca="true">ROUND(RAND()*4+6,1)</f>
        <v>9.7</v>
      </c>
      <c r="I92" s="5" t="s">
        <v>31</v>
      </c>
      <c r="J92" s="5" t="str">
        <f aca="false">ROUND(94*1,0)&amp;"%"</f>
        <v>94%</v>
      </c>
    </row>
    <row r="93" customFormat="false" ht="15" hidden="false" customHeight="false" outlineLevel="0" collapsed="false">
      <c r="A93" s="6" t="s">
        <v>10948</v>
      </c>
      <c r="B93" s="6" t="s">
        <v>176</v>
      </c>
      <c r="C93" s="6" t="s">
        <v>15</v>
      </c>
      <c r="D93" s="6" t="s">
        <v>34</v>
      </c>
      <c r="E93" s="6" t="n">
        <f aca="false">ROUND(12651*1.05,2)</f>
        <v>13283.55</v>
      </c>
      <c r="F93" s="6" t="s">
        <v>35</v>
      </c>
      <c r="G93" s="6" t="s">
        <v>18</v>
      </c>
      <c r="H93" s="6" t="n">
        <f aca="true">ROUND(RAND()*4+6,1)</f>
        <v>6.3</v>
      </c>
      <c r="I93" s="6" t="s">
        <v>36</v>
      </c>
      <c r="J93" s="6" t="str">
        <f aca="false">ROUND(78*1,0)&amp;"%"</f>
        <v>78%</v>
      </c>
    </row>
    <row r="94" customFormat="false" ht="15" hidden="false" customHeight="false" outlineLevel="0" collapsed="false">
      <c r="A94" s="5" t="s">
        <v>10949</v>
      </c>
      <c r="B94" s="5" t="s">
        <v>178</v>
      </c>
      <c r="C94" s="5" t="s">
        <v>15</v>
      </c>
      <c r="D94" s="5" t="s">
        <v>39</v>
      </c>
      <c r="E94" s="5" t="n">
        <f aca="false">ROUND(11079*1.05,2)</f>
        <v>11632.95</v>
      </c>
      <c r="F94" s="5" t="s">
        <v>40</v>
      </c>
      <c r="G94" s="5" t="s">
        <v>24</v>
      </c>
      <c r="H94" s="5" t="n">
        <f aca="true">ROUND(RAND()*4+6,1)</f>
        <v>6.8</v>
      </c>
      <c r="I94" s="5" t="s">
        <v>41</v>
      </c>
      <c r="J94" s="5" t="str">
        <f aca="false">ROUND(78*1,0)&amp;"%"</f>
        <v>78%</v>
      </c>
    </row>
    <row r="95" customFormat="false" ht="15" hidden="false" customHeight="false" outlineLevel="0" collapsed="false">
      <c r="A95" s="6" t="s">
        <v>10950</v>
      </c>
      <c r="B95" s="6" t="s">
        <v>180</v>
      </c>
      <c r="C95" s="6" t="s">
        <v>15</v>
      </c>
      <c r="D95" s="6" t="s">
        <v>44</v>
      </c>
      <c r="E95" s="6" t="n">
        <f aca="false">ROUND(14686*1.05,2)</f>
        <v>15420.3</v>
      </c>
      <c r="F95" s="6" t="s">
        <v>45</v>
      </c>
      <c r="G95" s="6" t="s">
        <v>30</v>
      </c>
      <c r="H95" s="6" t="n">
        <f aca="true">ROUND(RAND()*4+6,1)</f>
        <v>9.6</v>
      </c>
      <c r="I95" s="6" t="s">
        <v>46</v>
      </c>
      <c r="J95" s="6" t="str">
        <f aca="false">ROUND(93*1,0)&amp;"%"</f>
        <v>93%</v>
      </c>
    </row>
    <row r="96" customFormat="false" ht="15" hidden="false" customHeight="false" outlineLevel="0" collapsed="false">
      <c r="A96" s="5" t="s">
        <v>10951</v>
      </c>
      <c r="B96" s="5" t="s">
        <v>182</v>
      </c>
      <c r="C96" s="5" t="s">
        <v>15</v>
      </c>
      <c r="D96" s="5" t="s">
        <v>16</v>
      </c>
      <c r="E96" s="5" t="n">
        <f aca="false">ROUND(7650*1.05,2)</f>
        <v>8032.5</v>
      </c>
      <c r="F96" s="5" t="s">
        <v>49</v>
      </c>
      <c r="G96" s="5" t="s">
        <v>18</v>
      </c>
      <c r="H96" s="5" t="n">
        <f aca="true">ROUND(RAND()*4+6,1)</f>
        <v>8.3</v>
      </c>
      <c r="I96" s="5" t="s">
        <v>19</v>
      </c>
      <c r="J96" s="5" t="str">
        <f aca="false">ROUND(73*1,0)&amp;"%"</f>
        <v>73%</v>
      </c>
    </row>
    <row r="97" customFormat="false" ht="15" hidden="false" customHeight="false" outlineLevel="0" collapsed="false">
      <c r="A97" s="6" t="s">
        <v>10952</v>
      </c>
      <c r="B97" s="6" t="s">
        <v>184</v>
      </c>
      <c r="C97" s="6" t="s">
        <v>15</v>
      </c>
      <c r="D97" s="6" t="s">
        <v>22</v>
      </c>
      <c r="E97" s="6" t="n">
        <f aca="false">ROUND(12411*1.05,2)</f>
        <v>13031.55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ROUND(95*1,0)&amp;"%"</f>
        <v>95%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10953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10954</v>
      </c>
      <c r="B102" s="5" t="s">
        <v>188</v>
      </c>
      <c r="C102" s="5" t="s">
        <v>57</v>
      </c>
      <c r="D102" s="5" t="s">
        <v>16</v>
      </c>
      <c r="E102" s="5" t="n">
        <f aca="false">ROUND(16904*1.05,2)</f>
        <v>17749.2</v>
      </c>
      <c r="F102" s="5" t="s">
        <v>17</v>
      </c>
      <c r="G102" s="5" t="s">
        <v>18</v>
      </c>
      <c r="H102" s="5" t="n">
        <f aca="true">ROUND(RAND()*4+6,1)</f>
        <v>8.7</v>
      </c>
      <c r="I102" s="5" t="s">
        <v>19</v>
      </c>
      <c r="J102" s="5" t="str">
        <f aca="false">ROUND(100*1,0)&amp;"%"</f>
        <v>100%</v>
      </c>
    </row>
    <row r="103" customFormat="false" ht="15" hidden="false" customHeight="false" outlineLevel="0" collapsed="false">
      <c r="A103" s="6" t="s">
        <v>10955</v>
      </c>
      <c r="B103" s="6" t="s">
        <v>190</v>
      </c>
      <c r="C103" s="6" t="s">
        <v>57</v>
      </c>
      <c r="D103" s="6" t="s">
        <v>22</v>
      </c>
      <c r="E103" s="6" t="n">
        <f aca="false">ROUND(12125*1.05,2)</f>
        <v>12731.25</v>
      </c>
      <c r="F103" s="6" t="s">
        <v>23</v>
      </c>
      <c r="G103" s="6" t="s">
        <v>24</v>
      </c>
      <c r="H103" s="6" t="n">
        <f aca="true">ROUND(RAND()*4+6,1)</f>
        <v>6.8</v>
      </c>
      <c r="I103" s="6" t="s">
        <v>25</v>
      </c>
      <c r="J103" s="6" t="str">
        <f aca="false">ROUND(93*1,0)&amp;"%"</f>
        <v>93%</v>
      </c>
    </row>
    <row r="104" customFormat="false" ht="15" hidden="false" customHeight="false" outlineLevel="0" collapsed="false">
      <c r="A104" s="5" t="s">
        <v>10956</v>
      </c>
      <c r="B104" s="5" t="s">
        <v>192</v>
      </c>
      <c r="C104" s="5" t="s">
        <v>57</v>
      </c>
      <c r="D104" s="5" t="s">
        <v>28</v>
      </c>
      <c r="E104" s="5" t="n">
        <f aca="false">ROUND(8532*1.05,2)</f>
        <v>8958.6</v>
      </c>
      <c r="F104" s="5" t="s">
        <v>29</v>
      </c>
      <c r="G104" s="5" t="s">
        <v>30</v>
      </c>
      <c r="H104" s="5" t="n">
        <f aca="true">ROUND(RAND()*4+6,1)</f>
        <v>7.8</v>
      </c>
      <c r="I104" s="5" t="s">
        <v>31</v>
      </c>
      <c r="J104" s="5" t="str">
        <f aca="false">ROUND(65*1,0)&amp;"%"</f>
        <v>65%</v>
      </c>
    </row>
    <row r="105" customFormat="false" ht="15" hidden="false" customHeight="false" outlineLevel="0" collapsed="false">
      <c r="A105" s="6" t="s">
        <v>10957</v>
      </c>
      <c r="B105" s="6" t="s">
        <v>194</v>
      </c>
      <c r="C105" s="6" t="s">
        <v>57</v>
      </c>
      <c r="D105" s="6" t="s">
        <v>34</v>
      </c>
      <c r="E105" s="6" t="n">
        <f aca="false">ROUND(13405*1.05,2)</f>
        <v>14075.25</v>
      </c>
      <c r="F105" s="6" t="s">
        <v>35</v>
      </c>
      <c r="G105" s="6" t="s">
        <v>18</v>
      </c>
      <c r="H105" s="6" t="n">
        <f aca="true">ROUND(RAND()*4+6,1)</f>
        <v>9</v>
      </c>
      <c r="I105" s="6" t="s">
        <v>36</v>
      </c>
      <c r="J105" s="6" t="str">
        <f aca="false">ROUND(68*1,0)&amp;"%"</f>
        <v>68%</v>
      </c>
    </row>
    <row r="106" customFormat="false" ht="15" hidden="false" customHeight="false" outlineLevel="0" collapsed="false">
      <c r="A106" s="5" t="s">
        <v>10958</v>
      </c>
      <c r="B106" s="5" t="s">
        <v>196</v>
      </c>
      <c r="C106" s="5" t="s">
        <v>57</v>
      </c>
      <c r="D106" s="5" t="s">
        <v>39</v>
      </c>
      <c r="E106" s="5" t="n">
        <f aca="false">ROUND(6584*1.05,2)</f>
        <v>6913.2</v>
      </c>
      <c r="F106" s="5" t="s">
        <v>40</v>
      </c>
      <c r="G106" s="5" t="s">
        <v>24</v>
      </c>
      <c r="H106" s="5" t="n">
        <f aca="true">ROUND(RAND()*4+6,1)</f>
        <v>9.6</v>
      </c>
      <c r="I106" s="5" t="s">
        <v>41</v>
      </c>
      <c r="J106" s="5" t="str">
        <f aca="false">ROUND(91*1,0)&amp;"%"</f>
        <v>91%</v>
      </c>
    </row>
    <row r="107" customFormat="false" ht="15" hidden="false" customHeight="false" outlineLevel="0" collapsed="false">
      <c r="A107" s="6" t="s">
        <v>10959</v>
      </c>
      <c r="B107" s="6" t="s">
        <v>198</v>
      </c>
      <c r="C107" s="6" t="s">
        <v>57</v>
      </c>
      <c r="D107" s="6" t="s">
        <v>44</v>
      </c>
      <c r="E107" s="6" t="n">
        <f aca="false">ROUND(6685*1.05,2)</f>
        <v>7019.25</v>
      </c>
      <c r="F107" s="6" t="s">
        <v>45</v>
      </c>
      <c r="G107" s="6" t="s">
        <v>30</v>
      </c>
      <c r="H107" s="6" t="n">
        <f aca="true">ROUND(RAND()*4+6,1)</f>
        <v>7.3</v>
      </c>
      <c r="I107" s="6" t="s">
        <v>46</v>
      </c>
      <c r="J107" s="6" t="str">
        <f aca="false">ROUND(82*1,0)&amp;"%"</f>
        <v>82%</v>
      </c>
    </row>
    <row r="108" customFormat="false" ht="15" hidden="false" customHeight="false" outlineLevel="0" collapsed="false">
      <c r="A108" s="5" t="s">
        <v>10960</v>
      </c>
      <c r="B108" s="5" t="s">
        <v>200</v>
      </c>
      <c r="C108" s="5" t="s">
        <v>57</v>
      </c>
      <c r="D108" s="5" t="s">
        <v>16</v>
      </c>
      <c r="E108" s="5" t="n">
        <f aca="false">ROUND(5269*1.05,2)</f>
        <v>5532.45</v>
      </c>
      <c r="F108" s="5" t="s">
        <v>49</v>
      </c>
      <c r="G108" s="5" t="s">
        <v>18</v>
      </c>
      <c r="H108" s="5" t="n">
        <f aca="true">ROUND(RAND()*4+6,1)</f>
        <v>7</v>
      </c>
      <c r="I108" s="5" t="s">
        <v>19</v>
      </c>
      <c r="J108" s="5" t="str">
        <f aca="false">ROUND(94*1,0)&amp;"%"</f>
        <v>94%</v>
      </c>
    </row>
    <row r="109" customFormat="false" ht="15" hidden="false" customHeight="false" outlineLevel="0" collapsed="false">
      <c r="A109" s="6" t="s">
        <v>10961</v>
      </c>
      <c r="B109" s="6" t="s">
        <v>202</v>
      </c>
      <c r="C109" s="6" t="s">
        <v>57</v>
      </c>
      <c r="D109" s="6" t="s">
        <v>22</v>
      </c>
      <c r="E109" s="6" t="n">
        <f aca="false">ROUND(11615*1.05,2)</f>
        <v>12195.75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ROUND(89*1,0)&amp;"%"</f>
        <v>89%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10962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10963</v>
      </c>
      <c r="B114" s="5" t="s">
        <v>206</v>
      </c>
      <c r="C114" s="5" t="s">
        <v>76</v>
      </c>
      <c r="D114" s="5" t="s">
        <v>16</v>
      </c>
      <c r="E114" s="5" t="n">
        <f aca="false">ROUND(13053*1.05,2)</f>
        <v>13705.65</v>
      </c>
      <c r="F114" s="5" t="s">
        <v>17</v>
      </c>
      <c r="G114" s="5" t="s">
        <v>18</v>
      </c>
      <c r="H114" s="5" t="n">
        <f aca="true">ROUND(RAND()*4+6,1)</f>
        <v>6.1</v>
      </c>
      <c r="I114" s="5" t="s">
        <v>19</v>
      </c>
      <c r="J114" s="5" t="str">
        <f aca="false">ROUND(89*1,0)&amp;"%"</f>
        <v>89%</v>
      </c>
    </row>
    <row r="115" customFormat="false" ht="15" hidden="false" customHeight="false" outlineLevel="0" collapsed="false">
      <c r="A115" s="6" t="s">
        <v>10964</v>
      </c>
      <c r="B115" s="6" t="s">
        <v>208</v>
      </c>
      <c r="C115" s="6" t="s">
        <v>76</v>
      </c>
      <c r="D115" s="6" t="s">
        <v>22</v>
      </c>
      <c r="E115" s="6" t="n">
        <f aca="false">ROUND(8964*1.05,2)</f>
        <v>9412.2</v>
      </c>
      <c r="F115" s="6" t="s">
        <v>23</v>
      </c>
      <c r="G115" s="6" t="s">
        <v>24</v>
      </c>
      <c r="H115" s="6" t="n">
        <f aca="true">ROUND(RAND()*4+6,1)</f>
        <v>7.3</v>
      </c>
      <c r="I115" s="6" t="s">
        <v>25</v>
      </c>
      <c r="J115" s="6" t="str">
        <f aca="false">ROUND(83*1,0)&amp;"%"</f>
        <v>83%</v>
      </c>
    </row>
    <row r="116" customFormat="false" ht="15" hidden="false" customHeight="false" outlineLevel="0" collapsed="false">
      <c r="A116" s="5" t="s">
        <v>10965</v>
      </c>
      <c r="B116" s="5" t="s">
        <v>210</v>
      </c>
      <c r="C116" s="5" t="s">
        <v>76</v>
      </c>
      <c r="D116" s="5" t="s">
        <v>28</v>
      </c>
      <c r="E116" s="5" t="n">
        <f aca="false">ROUND(9414*1.05,2)</f>
        <v>9884.7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ROUND(72*1,0)&amp;"%"</f>
        <v>72%</v>
      </c>
    </row>
    <row r="117" customFormat="false" ht="15" hidden="false" customHeight="false" outlineLevel="0" collapsed="false">
      <c r="A117" s="6" t="s">
        <v>10966</v>
      </c>
      <c r="B117" s="6" t="s">
        <v>212</v>
      </c>
      <c r="C117" s="6" t="s">
        <v>76</v>
      </c>
      <c r="D117" s="6" t="s">
        <v>34</v>
      </c>
      <c r="E117" s="6" t="n">
        <f aca="false">ROUND(6568*1.05,2)</f>
        <v>6896.4</v>
      </c>
      <c r="F117" s="6" t="s">
        <v>35</v>
      </c>
      <c r="G117" s="6" t="s">
        <v>18</v>
      </c>
      <c r="H117" s="6" t="n">
        <f aca="true">ROUND(RAND()*4+6,1)</f>
        <v>9.9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10967</v>
      </c>
      <c r="B118" s="5" t="s">
        <v>214</v>
      </c>
      <c r="C118" s="5" t="s">
        <v>76</v>
      </c>
      <c r="D118" s="5" t="s">
        <v>39</v>
      </c>
      <c r="E118" s="5" t="n">
        <f aca="false">ROUND(16035*1.05,2)</f>
        <v>16836.75</v>
      </c>
      <c r="F118" s="5" t="s">
        <v>40</v>
      </c>
      <c r="G118" s="5" t="s">
        <v>24</v>
      </c>
      <c r="H118" s="5" t="n">
        <f aca="true">ROUND(RAND()*4+6,1)</f>
        <v>10</v>
      </c>
      <c r="I118" s="5" t="s">
        <v>41</v>
      </c>
      <c r="J118" s="5" t="str">
        <f aca="false">ROUND(90*1,0)&amp;"%"</f>
        <v>90%</v>
      </c>
    </row>
    <row r="119" customFormat="false" ht="15" hidden="false" customHeight="false" outlineLevel="0" collapsed="false">
      <c r="A119" s="6" t="s">
        <v>10968</v>
      </c>
      <c r="B119" s="6" t="s">
        <v>216</v>
      </c>
      <c r="C119" s="6" t="s">
        <v>76</v>
      </c>
      <c r="D119" s="6" t="s">
        <v>44</v>
      </c>
      <c r="E119" s="6" t="n">
        <f aca="false">ROUND(16664*1.05,2)</f>
        <v>17497.2</v>
      </c>
      <c r="F119" s="6" t="s">
        <v>45</v>
      </c>
      <c r="G119" s="6" t="s">
        <v>30</v>
      </c>
      <c r="H119" s="6" t="n">
        <f aca="true">ROUND(RAND()*4+6,1)</f>
        <v>6.9</v>
      </c>
      <c r="I119" s="6" t="s">
        <v>46</v>
      </c>
      <c r="J119" s="6" t="str">
        <f aca="false">ROUND(100*1,0)&amp;"%"</f>
        <v>100%</v>
      </c>
    </row>
    <row r="120" customFormat="false" ht="15" hidden="false" customHeight="false" outlineLevel="0" collapsed="false">
      <c r="A120" s="5" t="s">
        <v>10969</v>
      </c>
      <c r="B120" s="5" t="s">
        <v>218</v>
      </c>
      <c r="C120" s="5" t="s">
        <v>76</v>
      </c>
      <c r="D120" s="5" t="s">
        <v>16</v>
      </c>
      <c r="E120" s="5" t="n">
        <f aca="false">ROUND(13501*1.05,2)</f>
        <v>14176.05</v>
      </c>
      <c r="F120" s="5" t="s">
        <v>49</v>
      </c>
      <c r="G120" s="5" t="s">
        <v>18</v>
      </c>
      <c r="H120" s="5" t="n">
        <f aca="true">ROUND(RAND()*4+6,1)</f>
        <v>6.9</v>
      </c>
      <c r="I120" s="5" t="s">
        <v>19</v>
      </c>
      <c r="J120" s="5" t="str">
        <f aca="false">ROUND(92*1,0)&amp;"%"</f>
        <v>92%</v>
      </c>
    </row>
    <row r="121" customFormat="false" ht="15" hidden="false" customHeight="false" outlineLevel="0" collapsed="false">
      <c r="A121" s="6" t="s">
        <v>10970</v>
      </c>
      <c r="B121" s="6" t="s">
        <v>220</v>
      </c>
      <c r="C121" s="6" t="s">
        <v>76</v>
      </c>
      <c r="D121" s="6" t="s">
        <v>22</v>
      </c>
      <c r="E121" s="6" t="n">
        <f aca="false">ROUND(10614*1.05,2)</f>
        <v>11144.7</v>
      </c>
      <c r="F121" s="6" t="s">
        <v>52</v>
      </c>
      <c r="G121" s="6" t="s">
        <v>24</v>
      </c>
      <c r="H121" s="6" t="n">
        <f aca="true">ROUND(RAND()*4+6,1)</f>
        <v>7.3</v>
      </c>
      <c r="I121" s="6" t="s">
        <v>25</v>
      </c>
      <c r="J121" s="6" t="str">
        <f aca="false">ROUND(100*1,0)&amp;"%"</f>
        <v>100%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10971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10972</v>
      </c>
      <c r="B126" s="5" t="s">
        <v>224</v>
      </c>
      <c r="C126" s="5" t="s">
        <v>95</v>
      </c>
      <c r="D126" s="5" t="s">
        <v>16</v>
      </c>
      <c r="E126" s="5" t="n">
        <f aca="false">ROUND(12480*1.05,2)</f>
        <v>13104</v>
      </c>
      <c r="F126" s="5" t="s">
        <v>17</v>
      </c>
      <c r="G126" s="5" t="s">
        <v>18</v>
      </c>
      <c r="H126" s="5" t="n">
        <f aca="true">ROUND(RAND()*4+6,1)</f>
        <v>9.9</v>
      </c>
      <c r="I126" s="5" t="s">
        <v>19</v>
      </c>
      <c r="J126" s="5" t="str">
        <f aca="false">ROUND(66*1,0)&amp;"%"</f>
        <v>66%</v>
      </c>
    </row>
    <row r="127" customFormat="false" ht="15" hidden="false" customHeight="false" outlineLevel="0" collapsed="false">
      <c r="A127" s="6" t="s">
        <v>10973</v>
      </c>
      <c r="B127" s="6" t="s">
        <v>226</v>
      </c>
      <c r="C127" s="6" t="s">
        <v>95</v>
      </c>
      <c r="D127" s="6" t="s">
        <v>22</v>
      </c>
      <c r="E127" s="6" t="n">
        <f aca="false">ROUND(16091*1.05,2)</f>
        <v>16895.55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ROUND(87*1,0)&amp;"%"</f>
        <v>87%</v>
      </c>
    </row>
    <row r="128" customFormat="false" ht="15" hidden="false" customHeight="false" outlineLevel="0" collapsed="false">
      <c r="A128" s="5" t="s">
        <v>10974</v>
      </c>
      <c r="B128" s="5" t="s">
        <v>228</v>
      </c>
      <c r="C128" s="5" t="s">
        <v>95</v>
      </c>
      <c r="D128" s="5" t="s">
        <v>28</v>
      </c>
      <c r="E128" s="5" t="n">
        <f aca="false">ROUND(11725*1.05,2)</f>
        <v>12311.25</v>
      </c>
      <c r="F128" s="5" t="s">
        <v>29</v>
      </c>
      <c r="G128" s="5" t="s">
        <v>30</v>
      </c>
      <c r="H128" s="5" t="n">
        <f aca="true">ROUND(RAND()*4+6,1)</f>
        <v>7.3</v>
      </c>
      <c r="I128" s="5" t="s">
        <v>31</v>
      </c>
      <c r="J128" s="5" t="str">
        <f aca="false">ROUND(92*1,0)&amp;"%"</f>
        <v>92%</v>
      </c>
    </row>
    <row r="129" customFormat="false" ht="15" hidden="false" customHeight="false" outlineLevel="0" collapsed="false">
      <c r="A129" s="6" t="s">
        <v>10975</v>
      </c>
      <c r="B129" s="6" t="s">
        <v>230</v>
      </c>
      <c r="C129" s="6" t="s">
        <v>95</v>
      </c>
      <c r="D129" s="6" t="s">
        <v>34</v>
      </c>
      <c r="E129" s="6" t="n">
        <f aca="false">ROUND(14778*1.05,2)</f>
        <v>15516.9</v>
      </c>
      <c r="F129" s="6" t="s">
        <v>35</v>
      </c>
      <c r="G129" s="6" t="s">
        <v>18</v>
      </c>
      <c r="H129" s="6" t="n">
        <f aca="true">ROUND(RAND()*4+6,1)</f>
        <v>8</v>
      </c>
      <c r="I129" s="6" t="s">
        <v>36</v>
      </c>
      <c r="J129" s="6" t="str">
        <f aca="false">ROUND(61*1,0)&amp;"%"</f>
        <v>61%</v>
      </c>
    </row>
    <row r="130" customFormat="false" ht="15" hidden="false" customHeight="false" outlineLevel="0" collapsed="false">
      <c r="A130" s="5" t="s">
        <v>10976</v>
      </c>
      <c r="B130" s="5" t="s">
        <v>232</v>
      </c>
      <c r="C130" s="5" t="s">
        <v>95</v>
      </c>
      <c r="D130" s="5" t="s">
        <v>39</v>
      </c>
      <c r="E130" s="5" t="n">
        <f aca="false">ROUND(13779*1.05,2)</f>
        <v>14467.95</v>
      </c>
      <c r="F130" s="5" t="s">
        <v>40</v>
      </c>
      <c r="G130" s="5" t="s">
        <v>24</v>
      </c>
      <c r="H130" s="5" t="n">
        <f aca="true">ROUND(RAND()*4+6,1)</f>
        <v>7.9</v>
      </c>
      <c r="I130" s="5" t="s">
        <v>41</v>
      </c>
      <c r="J130" s="5" t="str">
        <f aca="false">ROUND(68*1,0)&amp;"%"</f>
        <v>68%</v>
      </c>
    </row>
    <row r="131" customFormat="false" ht="15" hidden="false" customHeight="false" outlineLevel="0" collapsed="false">
      <c r="A131" s="6" t="s">
        <v>10977</v>
      </c>
      <c r="B131" s="6" t="s">
        <v>234</v>
      </c>
      <c r="C131" s="6" t="s">
        <v>95</v>
      </c>
      <c r="D131" s="6" t="s">
        <v>44</v>
      </c>
      <c r="E131" s="6" t="n">
        <f aca="false">ROUND(16010*1.05,2)</f>
        <v>16810.5</v>
      </c>
      <c r="F131" s="6" t="s">
        <v>45</v>
      </c>
      <c r="G131" s="6" t="s">
        <v>30</v>
      </c>
      <c r="H131" s="6" t="n">
        <f aca="true">ROUND(RAND()*4+6,1)</f>
        <v>7.4</v>
      </c>
      <c r="I131" s="6" t="s">
        <v>46</v>
      </c>
      <c r="J131" s="6" t="str">
        <f aca="false">ROUND(95*1,0)&amp;"%"</f>
        <v>95%</v>
      </c>
    </row>
    <row r="132" customFormat="false" ht="15" hidden="false" customHeight="false" outlineLevel="0" collapsed="false">
      <c r="A132" s="5" t="s">
        <v>10978</v>
      </c>
      <c r="B132" s="5" t="s">
        <v>236</v>
      </c>
      <c r="C132" s="5" t="s">
        <v>95</v>
      </c>
      <c r="D132" s="5" t="s">
        <v>16</v>
      </c>
      <c r="E132" s="5" t="n">
        <f aca="false">ROUND(11644*1.05,2)</f>
        <v>12226.2</v>
      </c>
      <c r="F132" s="5" t="s">
        <v>49</v>
      </c>
      <c r="G132" s="5" t="s">
        <v>18</v>
      </c>
      <c r="H132" s="5" t="n">
        <f aca="true">ROUND(RAND()*4+6,1)</f>
        <v>9.4</v>
      </c>
      <c r="I132" s="5" t="s">
        <v>19</v>
      </c>
      <c r="J132" s="5" t="str">
        <f aca="false">ROUND(89*1,0)&amp;"%"</f>
        <v>89%</v>
      </c>
    </row>
    <row r="133" customFormat="false" ht="15" hidden="false" customHeight="false" outlineLevel="0" collapsed="false">
      <c r="A133" s="6" t="s">
        <v>10979</v>
      </c>
      <c r="B133" s="6" t="s">
        <v>238</v>
      </c>
      <c r="C133" s="6" t="s">
        <v>95</v>
      </c>
      <c r="D133" s="6" t="s">
        <v>22</v>
      </c>
      <c r="E133" s="6" t="n">
        <f aca="false">ROUND(5066*1.05,2)</f>
        <v>5319.3</v>
      </c>
      <c r="F133" s="6" t="s">
        <v>52</v>
      </c>
      <c r="G133" s="6" t="s">
        <v>24</v>
      </c>
      <c r="H133" s="6" t="n">
        <f aca="true">ROUND(RAND()*4+6,1)</f>
        <v>8.2</v>
      </c>
      <c r="I133" s="6" t="s">
        <v>25</v>
      </c>
      <c r="J133" s="6" t="str">
        <f aca="false">ROUND(71*1,0)&amp;"%"</f>
        <v>71%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10980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10981</v>
      </c>
      <c r="B138" s="5" t="s">
        <v>242</v>
      </c>
      <c r="C138" s="5" t="s">
        <v>114</v>
      </c>
      <c r="D138" s="5" t="s">
        <v>16</v>
      </c>
      <c r="E138" s="5" t="n">
        <f aca="false">ROUND(9678*1.05,2)</f>
        <v>10161.9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ROUND(72*1,0)&amp;"%"</f>
        <v>72%</v>
      </c>
    </row>
    <row r="139" customFormat="false" ht="15" hidden="false" customHeight="false" outlineLevel="0" collapsed="false">
      <c r="A139" s="6" t="s">
        <v>10982</v>
      </c>
      <c r="B139" s="6" t="s">
        <v>244</v>
      </c>
      <c r="C139" s="6" t="s">
        <v>114</v>
      </c>
      <c r="D139" s="6" t="s">
        <v>22</v>
      </c>
      <c r="E139" s="6" t="n">
        <f aca="false">ROUND(6939*1.05,2)</f>
        <v>7285.95</v>
      </c>
      <c r="F139" s="6" t="s">
        <v>23</v>
      </c>
      <c r="G139" s="6" t="s">
        <v>24</v>
      </c>
      <c r="H139" s="6" t="n">
        <f aca="true">ROUND(RAND()*4+6,1)</f>
        <v>9</v>
      </c>
      <c r="I139" s="6" t="s">
        <v>25</v>
      </c>
      <c r="J139" s="6" t="str">
        <f aca="false">ROUND(97*1,0)&amp;"%"</f>
        <v>97%</v>
      </c>
    </row>
    <row r="140" customFormat="false" ht="15" hidden="false" customHeight="false" outlineLevel="0" collapsed="false">
      <c r="A140" s="5" t="s">
        <v>10983</v>
      </c>
      <c r="B140" s="5" t="s">
        <v>246</v>
      </c>
      <c r="C140" s="5" t="s">
        <v>114</v>
      </c>
      <c r="D140" s="5" t="s">
        <v>28</v>
      </c>
      <c r="E140" s="5" t="n">
        <f aca="false">ROUND(17356*1.05,2)</f>
        <v>18223.8</v>
      </c>
      <c r="F140" s="5" t="s">
        <v>29</v>
      </c>
      <c r="G140" s="5" t="s">
        <v>30</v>
      </c>
      <c r="H140" s="5" t="n">
        <f aca="true">ROUND(RAND()*4+6,1)</f>
        <v>8.9</v>
      </c>
      <c r="I140" s="5" t="s">
        <v>31</v>
      </c>
      <c r="J140" s="5" t="str">
        <f aca="false">ROUND(62*1,0)&amp;"%"</f>
        <v>62%</v>
      </c>
    </row>
    <row r="141" customFormat="false" ht="15" hidden="false" customHeight="false" outlineLevel="0" collapsed="false">
      <c r="A141" s="6" t="s">
        <v>10984</v>
      </c>
      <c r="B141" s="6" t="s">
        <v>248</v>
      </c>
      <c r="C141" s="6" t="s">
        <v>114</v>
      </c>
      <c r="D141" s="6" t="s">
        <v>34</v>
      </c>
      <c r="E141" s="6" t="n">
        <f aca="false">ROUND(4397*1.05,2)</f>
        <v>4616.85</v>
      </c>
      <c r="F141" s="6" t="s">
        <v>35</v>
      </c>
      <c r="G141" s="6" t="s">
        <v>18</v>
      </c>
      <c r="H141" s="6" t="n">
        <f aca="true">ROUND(RAND()*4+6,1)</f>
        <v>9.7</v>
      </c>
      <c r="I141" s="6" t="s">
        <v>36</v>
      </c>
      <c r="J141" s="6" t="str">
        <f aca="false">ROUND(73*1,0)&amp;"%"</f>
        <v>73%</v>
      </c>
    </row>
    <row r="142" customFormat="false" ht="15" hidden="false" customHeight="false" outlineLevel="0" collapsed="false">
      <c r="A142" s="5" t="s">
        <v>10985</v>
      </c>
      <c r="B142" s="5" t="s">
        <v>250</v>
      </c>
      <c r="C142" s="5" t="s">
        <v>114</v>
      </c>
      <c r="D142" s="5" t="s">
        <v>39</v>
      </c>
      <c r="E142" s="5" t="n">
        <f aca="false">ROUND(9262*1.05,2)</f>
        <v>9725.1</v>
      </c>
      <c r="F142" s="5" t="s">
        <v>40</v>
      </c>
      <c r="G142" s="5" t="s">
        <v>24</v>
      </c>
      <c r="H142" s="5" t="n">
        <f aca="true">ROUND(RAND()*4+6,1)</f>
        <v>9.4</v>
      </c>
      <c r="I142" s="5" t="s">
        <v>41</v>
      </c>
      <c r="J142" s="5" t="str">
        <f aca="false">ROUND(85*1,0)&amp;"%"</f>
        <v>85%</v>
      </c>
    </row>
    <row r="143" customFormat="false" ht="15" hidden="false" customHeight="false" outlineLevel="0" collapsed="false">
      <c r="A143" s="6" t="s">
        <v>10986</v>
      </c>
      <c r="B143" s="6" t="s">
        <v>252</v>
      </c>
      <c r="C143" s="6" t="s">
        <v>114</v>
      </c>
      <c r="D143" s="6" t="s">
        <v>44</v>
      </c>
      <c r="E143" s="6" t="n">
        <f aca="false">ROUND(7590*1.05,2)</f>
        <v>7969.5</v>
      </c>
      <c r="F143" s="6" t="s">
        <v>45</v>
      </c>
      <c r="G143" s="6" t="s">
        <v>30</v>
      </c>
      <c r="H143" s="6" t="n">
        <f aca="true">ROUND(RAND()*4+6,1)</f>
        <v>6.3</v>
      </c>
      <c r="I143" s="6" t="s">
        <v>46</v>
      </c>
      <c r="J143" s="6" t="str">
        <f aca="false">ROUND(84*1,0)&amp;"%"</f>
        <v>84%</v>
      </c>
    </row>
    <row r="144" customFormat="false" ht="15" hidden="false" customHeight="false" outlineLevel="0" collapsed="false">
      <c r="A144" s="5" t="s">
        <v>10987</v>
      </c>
      <c r="B144" s="5" t="s">
        <v>254</v>
      </c>
      <c r="C144" s="5" t="s">
        <v>114</v>
      </c>
      <c r="D144" s="5" t="s">
        <v>16</v>
      </c>
      <c r="E144" s="5" t="n">
        <f aca="false">ROUND(4768*1.05,2)</f>
        <v>5006.4</v>
      </c>
      <c r="F144" s="5" t="s">
        <v>49</v>
      </c>
      <c r="G144" s="5" t="s">
        <v>18</v>
      </c>
      <c r="H144" s="5" t="n">
        <f aca="true">ROUND(RAND()*4+6,1)</f>
        <v>8</v>
      </c>
      <c r="I144" s="5" t="s">
        <v>19</v>
      </c>
      <c r="J144" s="5" t="str">
        <f aca="false">ROUND(71*1,0)&amp;"%"</f>
        <v>71%</v>
      </c>
    </row>
    <row r="145" customFormat="false" ht="15" hidden="false" customHeight="false" outlineLevel="0" collapsed="false">
      <c r="A145" s="6" t="s">
        <v>10988</v>
      </c>
      <c r="B145" s="6" t="s">
        <v>256</v>
      </c>
      <c r="C145" s="6" t="s">
        <v>114</v>
      </c>
      <c r="D145" s="6" t="s">
        <v>22</v>
      </c>
      <c r="E145" s="6" t="n">
        <f aca="false">ROUND(15899*1.05,2)</f>
        <v>16693.95</v>
      </c>
      <c r="F145" s="6" t="s">
        <v>52</v>
      </c>
      <c r="G145" s="6" t="s">
        <v>24</v>
      </c>
      <c r="H145" s="6" t="n">
        <f aca="true">ROUND(RAND()*4+6,1)</f>
        <v>7.9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10989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10990</v>
      </c>
      <c r="B150" s="5" t="s">
        <v>260</v>
      </c>
      <c r="C150" s="5" t="s">
        <v>133</v>
      </c>
      <c r="D150" s="5" t="s">
        <v>16</v>
      </c>
      <c r="E150" s="5" t="n">
        <f aca="false">ROUND(14162*1.05,2)</f>
        <v>14870.1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ROUND(95*1,0)&amp;"%"</f>
        <v>95%</v>
      </c>
    </row>
    <row r="151" customFormat="false" ht="15" hidden="false" customHeight="false" outlineLevel="0" collapsed="false">
      <c r="A151" s="6" t="s">
        <v>10991</v>
      </c>
      <c r="B151" s="6" t="s">
        <v>262</v>
      </c>
      <c r="C151" s="6" t="s">
        <v>133</v>
      </c>
      <c r="D151" s="6" t="s">
        <v>22</v>
      </c>
      <c r="E151" s="6" t="n">
        <f aca="false">ROUND(6067*1.05,2)</f>
        <v>6370.35</v>
      </c>
      <c r="F151" s="6" t="s">
        <v>23</v>
      </c>
      <c r="G151" s="6" t="s">
        <v>24</v>
      </c>
      <c r="H151" s="6" t="n">
        <f aca="true">ROUND(RAND()*4+6,1)</f>
        <v>8.1</v>
      </c>
      <c r="I151" s="6" t="s">
        <v>25</v>
      </c>
      <c r="J151" s="6" t="str">
        <f aca="false">ROUND(77*1,0)&amp;"%"</f>
        <v>77%</v>
      </c>
    </row>
    <row r="152" customFormat="false" ht="15" hidden="false" customHeight="false" outlineLevel="0" collapsed="false">
      <c r="A152" s="5" t="s">
        <v>10992</v>
      </c>
      <c r="B152" s="5" t="s">
        <v>264</v>
      </c>
      <c r="C152" s="5" t="s">
        <v>133</v>
      </c>
      <c r="D152" s="5" t="s">
        <v>28</v>
      </c>
      <c r="E152" s="5" t="n">
        <f aca="false">ROUND(7002*1.05,2)</f>
        <v>7352.1</v>
      </c>
      <c r="F152" s="5" t="s">
        <v>29</v>
      </c>
      <c r="G152" s="5" t="s">
        <v>30</v>
      </c>
      <c r="H152" s="5" t="n">
        <f aca="true">ROUND(RAND()*4+6,1)</f>
        <v>6.6</v>
      </c>
      <c r="I152" s="5" t="s">
        <v>31</v>
      </c>
      <c r="J152" s="5" t="str">
        <f aca="false">ROUND(63*1,0)&amp;"%"</f>
        <v>63%</v>
      </c>
    </row>
    <row r="153" customFormat="false" ht="15" hidden="false" customHeight="false" outlineLevel="0" collapsed="false">
      <c r="A153" s="6" t="s">
        <v>10993</v>
      </c>
      <c r="B153" s="6" t="s">
        <v>266</v>
      </c>
      <c r="C153" s="6" t="s">
        <v>133</v>
      </c>
      <c r="D153" s="6" t="s">
        <v>34</v>
      </c>
      <c r="E153" s="6" t="n">
        <f aca="false">ROUND(12424*1.05,2)</f>
        <v>13045.2</v>
      </c>
      <c r="F153" s="6" t="s">
        <v>35</v>
      </c>
      <c r="G153" s="6" t="s">
        <v>18</v>
      </c>
      <c r="H153" s="6" t="n">
        <f aca="true">ROUND(RAND()*4+6,1)</f>
        <v>6.8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10994</v>
      </c>
      <c r="B154" s="5" t="s">
        <v>268</v>
      </c>
      <c r="C154" s="5" t="s">
        <v>133</v>
      </c>
      <c r="D154" s="5" t="s">
        <v>39</v>
      </c>
      <c r="E154" s="5" t="n">
        <f aca="false">ROUND(16938*1.05,2)</f>
        <v>17784.9</v>
      </c>
      <c r="F154" s="5" t="s">
        <v>40</v>
      </c>
      <c r="G154" s="5" t="s">
        <v>24</v>
      </c>
      <c r="H154" s="5" t="n">
        <f aca="true">ROUND(RAND()*4+6,1)</f>
        <v>6.1</v>
      </c>
      <c r="I154" s="5" t="s">
        <v>41</v>
      </c>
      <c r="J154" s="5" t="str">
        <f aca="false">ROUND(70*1,0)&amp;"%"</f>
        <v>70%</v>
      </c>
    </row>
    <row r="155" customFormat="false" ht="15" hidden="false" customHeight="false" outlineLevel="0" collapsed="false">
      <c r="A155" s="6" t="s">
        <v>10995</v>
      </c>
      <c r="B155" s="6" t="s">
        <v>270</v>
      </c>
      <c r="C155" s="6" t="s">
        <v>133</v>
      </c>
      <c r="D155" s="6" t="s">
        <v>44</v>
      </c>
      <c r="E155" s="6" t="n">
        <f aca="false">ROUND(13574*1.05,2)</f>
        <v>14252.7</v>
      </c>
      <c r="F155" s="6" t="s">
        <v>45</v>
      </c>
      <c r="G155" s="6" t="s">
        <v>30</v>
      </c>
      <c r="H155" s="6" t="n">
        <f aca="true">ROUND(RAND()*4+6,1)</f>
        <v>7.9</v>
      </c>
      <c r="I155" s="6" t="s">
        <v>46</v>
      </c>
      <c r="J155" s="6" t="str">
        <f aca="false">ROUND(84*1,0)&amp;"%"</f>
        <v>84%</v>
      </c>
    </row>
    <row r="156" customFormat="false" ht="15" hidden="false" customHeight="false" outlineLevel="0" collapsed="false">
      <c r="A156" s="5" t="s">
        <v>10996</v>
      </c>
      <c r="B156" s="5" t="s">
        <v>272</v>
      </c>
      <c r="C156" s="5" t="s">
        <v>133</v>
      </c>
      <c r="D156" s="5" t="s">
        <v>16</v>
      </c>
      <c r="E156" s="5" t="n">
        <f aca="false">ROUND(13510*1.05,2)</f>
        <v>14185.5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ROUND(64*1,0)&amp;"%"</f>
        <v>64%</v>
      </c>
    </row>
    <row r="157" customFormat="false" ht="15" hidden="false" customHeight="false" outlineLevel="0" collapsed="false">
      <c r="A157" s="6" t="s">
        <v>10997</v>
      </c>
      <c r="B157" s="6" t="s">
        <v>274</v>
      </c>
      <c r="C157" s="6" t="s">
        <v>133</v>
      </c>
      <c r="D157" s="6" t="s">
        <v>22</v>
      </c>
      <c r="E157" s="6" t="n">
        <f aca="false">ROUND(8194*1.05,2)</f>
        <v>8603.7</v>
      </c>
      <c r="F157" s="6" t="s">
        <v>52</v>
      </c>
      <c r="G157" s="6" t="s">
        <v>24</v>
      </c>
      <c r="H157" s="6" t="n">
        <f aca="true">ROUND(RAND()*4+6,1)</f>
        <v>6.2</v>
      </c>
      <c r="I157" s="6" t="s">
        <v>25</v>
      </c>
      <c r="J157" s="6" t="str">
        <f aca="false">ROUND(74*1,0)&amp;"%"</f>
        <v>74%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10998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10999</v>
      </c>
      <c r="B162" s="5" t="s">
        <v>278</v>
      </c>
      <c r="C162" s="5" t="s">
        <v>152</v>
      </c>
      <c r="D162" s="5" t="s">
        <v>16</v>
      </c>
      <c r="E162" s="5" t="n">
        <f aca="false">ROUND(5266*1.05,2)</f>
        <v>5529.3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ROUND(68*1,0)&amp;"%"</f>
        <v>68%</v>
      </c>
    </row>
    <row r="163" customFormat="false" ht="15" hidden="false" customHeight="false" outlineLevel="0" collapsed="false">
      <c r="A163" s="6" t="s">
        <v>11000</v>
      </c>
      <c r="B163" s="6" t="s">
        <v>280</v>
      </c>
      <c r="C163" s="6" t="s">
        <v>152</v>
      </c>
      <c r="D163" s="6" t="s">
        <v>22</v>
      </c>
      <c r="E163" s="6" t="n">
        <f aca="false">ROUND(6419*1.05,2)</f>
        <v>6739.95</v>
      </c>
      <c r="F163" s="6" t="s">
        <v>23</v>
      </c>
      <c r="G163" s="6" t="s">
        <v>24</v>
      </c>
      <c r="H163" s="6" t="n">
        <f aca="true">ROUND(RAND()*4+6,1)</f>
        <v>8.6</v>
      </c>
      <c r="I163" s="6" t="s">
        <v>25</v>
      </c>
      <c r="J163" s="6" t="str">
        <f aca="false">ROUND(83*1,0)&amp;"%"</f>
        <v>83%</v>
      </c>
    </row>
    <row r="164" customFormat="false" ht="15" hidden="false" customHeight="false" outlineLevel="0" collapsed="false">
      <c r="A164" s="5" t="s">
        <v>11001</v>
      </c>
      <c r="B164" s="5" t="s">
        <v>282</v>
      </c>
      <c r="C164" s="5" t="s">
        <v>152</v>
      </c>
      <c r="D164" s="5" t="s">
        <v>28</v>
      </c>
      <c r="E164" s="5" t="n">
        <f aca="false">ROUND(13386*1.05,2)</f>
        <v>14055.3</v>
      </c>
      <c r="F164" s="5" t="s">
        <v>29</v>
      </c>
      <c r="G164" s="5" t="s">
        <v>30</v>
      </c>
      <c r="H164" s="5" t="n">
        <f aca="true">ROUND(RAND()*4+6,1)</f>
        <v>9.2</v>
      </c>
      <c r="I164" s="5" t="s">
        <v>31</v>
      </c>
      <c r="J164" s="5" t="str">
        <f aca="false">ROUND(98*1,0)&amp;"%"</f>
        <v>98%</v>
      </c>
    </row>
    <row r="165" customFormat="false" ht="15" hidden="false" customHeight="false" outlineLevel="0" collapsed="false">
      <c r="A165" s="6" t="s">
        <v>11002</v>
      </c>
      <c r="B165" s="6" t="s">
        <v>284</v>
      </c>
      <c r="C165" s="6" t="s">
        <v>152</v>
      </c>
      <c r="D165" s="6" t="s">
        <v>34</v>
      </c>
      <c r="E165" s="6" t="n">
        <f aca="false">ROUND(4240*1.05,2)</f>
        <v>4452</v>
      </c>
      <c r="F165" s="6" t="s">
        <v>35</v>
      </c>
      <c r="G165" s="6" t="s">
        <v>18</v>
      </c>
      <c r="H165" s="6" t="n">
        <f aca="true">ROUND(RAND()*4+6,1)</f>
        <v>8.8</v>
      </c>
      <c r="I165" s="6" t="s">
        <v>36</v>
      </c>
      <c r="J165" s="6" t="str">
        <f aca="false">ROUND(96*1,0)&amp;"%"</f>
        <v>96%</v>
      </c>
    </row>
    <row r="166" customFormat="false" ht="15" hidden="false" customHeight="false" outlineLevel="0" collapsed="false">
      <c r="A166" s="5" t="s">
        <v>11003</v>
      </c>
      <c r="B166" s="5" t="s">
        <v>286</v>
      </c>
      <c r="C166" s="5" t="s">
        <v>152</v>
      </c>
      <c r="D166" s="5" t="s">
        <v>39</v>
      </c>
      <c r="E166" s="5" t="n">
        <f aca="false">ROUND(14654*1.05,2)</f>
        <v>15386.7</v>
      </c>
      <c r="F166" s="5" t="s">
        <v>40</v>
      </c>
      <c r="G166" s="5" t="s">
        <v>24</v>
      </c>
      <c r="H166" s="5" t="n">
        <f aca="true">ROUND(RAND()*4+6,1)</f>
        <v>9.3</v>
      </c>
      <c r="I166" s="5" t="s">
        <v>41</v>
      </c>
      <c r="J166" s="5" t="str">
        <f aca="false">ROUND(76*1,0)&amp;"%"</f>
        <v>76%</v>
      </c>
    </row>
    <row r="167" customFormat="false" ht="15" hidden="false" customHeight="false" outlineLevel="0" collapsed="false">
      <c r="A167" s="6" t="s">
        <v>11004</v>
      </c>
      <c r="B167" s="6" t="s">
        <v>288</v>
      </c>
      <c r="C167" s="6" t="s">
        <v>152</v>
      </c>
      <c r="D167" s="6" t="s">
        <v>44</v>
      </c>
      <c r="E167" s="6" t="n">
        <f aca="false">ROUND(4082*1.05,2)</f>
        <v>4286.1</v>
      </c>
      <c r="F167" s="6" t="s">
        <v>45</v>
      </c>
      <c r="G167" s="6" t="s">
        <v>30</v>
      </c>
      <c r="H167" s="6" t="n">
        <f aca="true">ROUND(RAND()*4+6,1)</f>
        <v>8.4</v>
      </c>
      <c r="I167" s="6" t="s">
        <v>46</v>
      </c>
      <c r="J167" s="6" t="str">
        <f aca="false">ROUND(69*1,0)&amp;"%"</f>
        <v>69%</v>
      </c>
    </row>
    <row r="168" customFormat="false" ht="15" hidden="false" customHeight="false" outlineLevel="0" collapsed="false">
      <c r="A168" s="5" t="s">
        <v>11005</v>
      </c>
      <c r="B168" s="5" t="s">
        <v>290</v>
      </c>
      <c r="C168" s="5" t="s">
        <v>152</v>
      </c>
      <c r="D168" s="5" t="s">
        <v>16</v>
      </c>
      <c r="E168" s="5" t="n">
        <f aca="false">ROUND(14163*1.05,2)</f>
        <v>14871.15</v>
      </c>
      <c r="F168" s="5" t="s">
        <v>49</v>
      </c>
      <c r="G168" s="5" t="s">
        <v>18</v>
      </c>
      <c r="H168" s="5" t="n">
        <f aca="true">ROUND(RAND()*4+6,1)</f>
        <v>7.5</v>
      </c>
      <c r="I168" s="5" t="s">
        <v>19</v>
      </c>
      <c r="J168" s="5" t="str">
        <f aca="false">ROUND(76*1,0)&amp;"%"</f>
        <v>76%</v>
      </c>
    </row>
    <row r="169" customFormat="false" ht="15" hidden="false" customHeight="false" outlineLevel="0" collapsed="false">
      <c r="A169" s="6" t="s">
        <v>11006</v>
      </c>
      <c r="B169" s="6" t="s">
        <v>292</v>
      </c>
      <c r="C169" s="6" t="s">
        <v>152</v>
      </c>
      <c r="D169" s="6" t="s">
        <v>22</v>
      </c>
      <c r="E169" s="6" t="n">
        <f aca="false">ROUND(4994*1.05,2)</f>
        <v>5243.7</v>
      </c>
      <c r="F169" s="6" t="s">
        <v>52</v>
      </c>
      <c r="G169" s="6" t="s">
        <v>24</v>
      </c>
      <c r="H169" s="6" t="n">
        <f aca="true">ROUND(RAND()*4+6,1)</f>
        <v>9.8</v>
      </c>
      <c r="I169" s="6" t="s">
        <v>25</v>
      </c>
      <c r="J169" s="6" t="str">
        <f aca="false">ROUND(91*1,0)&amp;"%"</f>
        <v>91%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11007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11008</v>
      </c>
      <c r="B174" s="5" t="s">
        <v>296</v>
      </c>
      <c r="C174" s="5" t="s">
        <v>15</v>
      </c>
      <c r="D174" s="5" t="s">
        <v>16</v>
      </c>
      <c r="E174" s="5" t="n">
        <f aca="false">ROUND(16062*1.05,2)</f>
        <v>16865.1</v>
      </c>
      <c r="F174" s="5" t="s">
        <v>17</v>
      </c>
      <c r="G174" s="5" t="s">
        <v>18</v>
      </c>
      <c r="H174" s="5" t="n">
        <f aca="true">ROUND(RAND()*4+6,1)</f>
        <v>9.1</v>
      </c>
      <c r="I174" s="5" t="s">
        <v>19</v>
      </c>
      <c r="J174" s="5" t="str">
        <f aca="false">ROUND(67*1,0)&amp;"%"</f>
        <v>67%</v>
      </c>
    </row>
    <row r="175" customFormat="false" ht="15" hidden="false" customHeight="false" outlineLevel="0" collapsed="false">
      <c r="A175" s="6" t="s">
        <v>11009</v>
      </c>
      <c r="B175" s="6" t="s">
        <v>298</v>
      </c>
      <c r="C175" s="6" t="s">
        <v>15</v>
      </c>
      <c r="D175" s="6" t="s">
        <v>22</v>
      </c>
      <c r="E175" s="6" t="n">
        <f aca="false">ROUND(14663*1.05,2)</f>
        <v>15396.15</v>
      </c>
      <c r="F175" s="6" t="s">
        <v>23</v>
      </c>
      <c r="G175" s="6" t="s">
        <v>24</v>
      </c>
      <c r="H175" s="6" t="n">
        <f aca="true">ROUND(RAND()*4+6,1)</f>
        <v>8</v>
      </c>
      <c r="I175" s="6" t="s">
        <v>25</v>
      </c>
      <c r="J175" s="6" t="str">
        <f aca="false">ROUND(68*1,0)&amp;"%"</f>
        <v>68%</v>
      </c>
    </row>
    <row r="176" customFormat="false" ht="15" hidden="false" customHeight="false" outlineLevel="0" collapsed="false">
      <c r="A176" s="5" t="s">
        <v>11010</v>
      </c>
      <c r="B176" s="5" t="s">
        <v>300</v>
      </c>
      <c r="C176" s="5" t="s">
        <v>15</v>
      </c>
      <c r="D176" s="5" t="s">
        <v>28</v>
      </c>
      <c r="E176" s="5" t="n">
        <f aca="false">ROUND(12194*1.05,2)</f>
        <v>12803.7</v>
      </c>
      <c r="F176" s="5" t="s">
        <v>29</v>
      </c>
      <c r="G176" s="5" t="s">
        <v>30</v>
      </c>
      <c r="H176" s="5" t="n">
        <f aca="true">ROUND(RAND()*4+6,1)</f>
        <v>8.1</v>
      </c>
      <c r="I176" s="5" t="s">
        <v>31</v>
      </c>
      <c r="J176" s="5" t="str">
        <f aca="false">ROUND(82*1,0)&amp;"%"</f>
        <v>82%</v>
      </c>
    </row>
    <row r="177" customFormat="false" ht="15" hidden="false" customHeight="false" outlineLevel="0" collapsed="false">
      <c r="A177" s="6" t="s">
        <v>11011</v>
      </c>
      <c r="B177" s="6" t="s">
        <v>302</v>
      </c>
      <c r="C177" s="6" t="s">
        <v>15</v>
      </c>
      <c r="D177" s="6" t="s">
        <v>34</v>
      </c>
      <c r="E177" s="6" t="n">
        <f aca="false">ROUND(7986*1.05,2)</f>
        <v>8385.3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ROUND(79*1,0)&amp;"%"</f>
        <v>79%</v>
      </c>
    </row>
    <row r="178" customFormat="false" ht="15" hidden="false" customHeight="false" outlineLevel="0" collapsed="false">
      <c r="A178" s="5" t="s">
        <v>11012</v>
      </c>
      <c r="B178" s="5" t="s">
        <v>304</v>
      </c>
      <c r="C178" s="5" t="s">
        <v>15</v>
      </c>
      <c r="D178" s="5" t="s">
        <v>39</v>
      </c>
      <c r="E178" s="5" t="n">
        <f aca="false">ROUND(17727*1.05,2)</f>
        <v>18613.35</v>
      </c>
      <c r="F178" s="5" t="s">
        <v>40</v>
      </c>
      <c r="G178" s="5" t="s">
        <v>24</v>
      </c>
      <c r="H178" s="5" t="n">
        <f aca="true">ROUND(RAND()*4+6,1)</f>
        <v>9.7</v>
      </c>
      <c r="I178" s="5" t="s">
        <v>41</v>
      </c>
      <c r="J178" s="5" t="str">
        <f aca="false">ROUND(66*1,0)&amp;"%"</f>
        <v>66%</v>
      </c>
    </row>
    <row r="179" customFormat="false" ht="15" hidden="false" customHeight="false" outlineLevel="0" collapsed="false">
      <c r="A179" s="6" t="s">
        <v>11013</v>
      </c>
      <c r="B179" s="6" t="s">
        <v>306</v>
      </c>
      <c r="C179" s="6" t="s">
        <v>15</v>
      </c>
      <c r="D179" s="6" t="s">
        <v>44</v>
      </c>
      <c r="E179" s="6" t="n">
        <f aca="false">ROUND(16201*1.05,2)</f>
        <v>17011.05</v>
      </c>
      <c r="F179" s="6" t="s">
        <v>45</v>
      </c>
      <c r="G179" s="6" t="s">
        <v>30</v>
      </c>
      <c r="H179" s="6" t="n">
        <f aca="true">ROUND(RAND()*4+6,1)</f>
        <v>9.4</v>
      </c>
      <c r="I179" s="6" t="s">
        <v>46</v>
      </c>
      <c r="J179" s="6" t="str">
        <f aca="false">ROUND(83*1,0)&amp;"%"</f>
        <v>83%</v>
      </c>
    </row>
    <row r="180" customFormat="false" ht="15" hidden="false" customHeight="false" outlineLevel="0" collapsed="false">
      <c r="A180" s="5" t="s">
        <v>11014</v>
      </c>
      <c r="B180" s="5" t="s">
        <v>308</v>
      </c>
      <c r="C180" s="5" t="s">
        <v>15</v>
      </c>
      <c r="D180" s="5" t="s">
        <v>16</v>
      </c>
      <c r="E180" s="5" t="n">
        <f aca="false">ROUND(17162*1.05,2)</f>
        <v>18020.1</v>
      </c>
      <c r="F180" s="5" t="s">
        <v>49</v>
      </c>
      <c r="G180" s="5" t="s">
        <v>18</v>
      </c>
      <c r="H180" s="5" t="n">
        <f aca="true">ROUND(RAND()*4+6,1)</f>
        <v>8.4</v>
      </c>
      <c r="I180" s="5" t="s">
        <v>19</v>
      </c>
      <c r="J180" s="5" t="str">
        <f aca="false">ROUND(92*1,0)&amp;"%"</f>
        <v>92%</v>
      </c>
    </row>
    <row r="181" customFormat="false" ht="15" hidden="false" customHeight="false" outlineLevel="0" collapsed="false">
      <c r="A181" s="6" t="s">
        <v>11015</v>
      </c>
      <c r="B181" s="6" t="s">
        <v>310</v>
      </c>
      <c r="C181" s="6" t="s">
        <v>15</v>
      </c>
      <c r="D181" s="6" t="s">
        <v>22</v>
      </c>
      <c r="E181" s="6" t="n">
        <f aca="false">ROUND(10851*1.05,2)</f>
        <v>11393.55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ROUND(60*1,0)&amp;"%"</f>
        <v>60%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11016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11017</v>
      </c>
      <c r="B186" s="5" t="s">
        <v>314</v>
      </c>
      <c r="C186" s="5" t="s">
        <v>57</v>
      </c>
      <c r="D186" s="5" t="s">
        <v>16</v>
      </c>
      <c r="E186" s="5" t="n">
        <f aca="false">ROUND(13902*1.05,2)</f>
        <v>14597.1</v>
      </c>
      <c r="F186" s="5" t="s">
        <v>17</v>
      </c>
      <c r="G186" s="5" t="s">
        <v>18</v>
      </c>
      <c r="H186" s="5" t="n">
        <f aca="true">ROUND(RAND()*4+6,1)</f>
        <v>6.7</v>
      </c>
      <c r="I186" s="5" t="s">
        <v>19</v>
      </c>
      <c r="J186" s="5" t="str">
        <f aca="false">ROUND(81*1,0)&amp;"%"</f>
        <v>81%</v>
      </c>
    </row>
    <row r="187" customFormat="false" ht="15" hidden="false" customHeight="false" outlineLevel="0" collapsed="false">
      <c r="A187" s="6" t="s">
        <v>11018</v>
      </c>
      <c r="B187" s="6" t="s">
        <v>316</v>
      </c>
      <c r="C187" s="6" t="s">
        <v>57</v>
      </c>
      <c r="D187" s="6" t="s">
        <v>22</v>
      </c>
      <c r="E187" s="6" t="n">
        <f aca="false">ROUND(14263*1.05,2)</f>
        <v>14976.15</v>
      </c>
      <c r="F187" s="6" t="s">
        <v>23</v>
      </c>
      <c r="G187" s="6" t="s">
        <v>24</v>
      </c>
      <c r="H187" s="6" t="n">
        <f aca="true">ROUND(RAND()*4+6,1)</f>
        <v>9.9</v>
      </c>
      <c r="I187" s="6" t="s">
        <v>25</v>
      </c>
      <c r="J187" s="6" t="str">
        <f aca="false">ROUND(66*1,0)&amp;"%"</f>
        <v>66%</v>
      </c>
    </row>
    <row r="188" customFormat="false" ht="15" hidden="false" customHeight="false" outlineLevel="0" collapsed="false">
      <c r="A188" s="5" t="s">
        <v>11019</v>
      </c>
      <c r="B188" s="5" t="s">
        <v>318</v>
      </c>
      <c r="C188" s="5" t="s">
        <v>57</v>
      </c>
      <c r="D188" s="5" t="s">
        <v>28</v>
      </c>
      <c r="E188" s="5" t="n">
        <f aca="false">ROUND(8558*1.05,2)</f>
        <v>8985.9</v>
      </c>
      <c r="F188" s="5" t="s">
        <v>29</v>
      </c>
      <c r="G188" s="5" t="s">
        <v>30</v>
      </c>
      <c r="H188" s="5" t="n">
        <f aca="true">ROUND(RAND()*4+6,1)</f>
        <v>9.4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11020</v>
      </c>
      <c r="B189" s="6" t="s">
        <v>320</v>
      </c>
      <c r="C189" s="6" t="s">
        <v>57</v>
      </c>
      <c r="D189" s="6" t="s">
        <v>34</v>
      </c>
      <c r="E189" s="6" t="n">
        <f aca="false">ROUND(16022*1.05,2)</f>
        <v>16823.1</v>
      </c>
      <c r="F189" s="6" t="s">
        <v>35</v>
      </c>
      <c r="G189" s="6" t="s">
        <v>18</v>
      </c>
      <c r="H189" s="6" t="n">
        <f aca="true">ROUND(RAND()*4+6,1)</f>
        <v>6.7</v>
      </c>
      <c r="I189" s="6" t="s">
        <v>36</v>
      </c>
      <c r="J189" s="6" t="str">
        <f aca="false">ROUND(72*1,0)&amp;"%"</f>
        <v>72%</v>
      </c>
    </row>
    <row r="190" customFormat="false" ht="15" hidden="false" customHeight="false" outlineLevel="0" collapsed="false">
      <c r="A190" s="5" t="s">
        <v>11021</v>
      </c>
      <c r="B190" s="5" t="s">
        <v>322</v>
      </c>
      <c r="C190" s="5" t="s">
        <v>57</v>
      </c>
      <c r="D190" s="5" t="s">
        <v>39</v>
      </c>
      <c r="E190" s="5" t="n">
        <f aca="false">ROUND(8101*1.05,2)</f>
        <v>8506.05</v>
      </c>
      <c r="F190" s="5" t="s">
        <v>40</v>
      </c>
      <c r="G190" s="5" t="s">
        <v>24</v>
      </c>
      <c r="H190" s="5" t="n">
        <f aca="true">ROUND(RAND()*4+6,1)</f>
        <v>6.6</v>
      </c>
      <c r="I190" s="5" t="s">
        <v>41</v>
      </c>
      <c r="J190" s="5" t="str">
        <f aca="false">ROUND(66*1,0)&amp;"%"</f>
        <v>66%</v>
      </c>
    </row>
    <row r="191" customFormat="false" ht="15" hidden="false" customHeight="false" outlineLevel="0" collapsed="false">
      <c r="A191" s="6" t="s">
        <v>11022</v>
      </c>
      <c r="B191" s="6" t="s">
        <v>324</v>
      </c>
      <c r="C191" s="6" t="s">
        <v>57</v>
      </c>
      <c r="D191" s="6" t="s">
        <v>44</v>
      </c>
      <c r="E191" s="6" t="n">
        <f aca="false">ROUND(16324*1.05,2)</f>
        <v>17140.2</v>
      </c>
      <c r="F191" s="6" t="s">
        <v>45</v>
      </c>
      <c r="G191" s="6" t="s">
        <v>30</v>
      </c>
      <c r="H191" s="6" t="n">
        <f aca="true">ROUND(RAND()*4+6,1)</f>
        <v>7.4</v>
      </c>
      <c r="I191" s="6" t="s">
        <v>46</v>
      </c>
      <c r="J191" s="6" t="str">
        <f aca="false">ROUND(65*1,0)&amp;"%"</f>
        <v>65%</v>
      </c>
    </row>
    <row r="192" customFormat="false" ht="15" hidden="false" customHeight="false" outlineLevel="0" collapsed="false">
      <c r="A192" s="5" t="s">
        <v>11023</v>
      </c>
      <c r="B192" s="5" t="s">
        <v>326</v>
      </c>
      <c r="C192" s="5" t="s">
        <v>57</v>
      </c>
      <c r="D192" s="5" t="s">
        <v>16</v>
      </c>
      <c r="E192" s="5" t="n">
        <f aca="false">ROUND(10002*1.05,2)</f>
        <v>10502.1</v>
      </c>
      <c r="F192" s="5" t="s">
        <v>49</v>
      </c>
      <c r="G192" s="5" t="s">
        <v>18</v>
      </c>
      <c r="H192" s="5" t="n">
        <f aca="true">ROUND(RAND()*4+6,1)</f>
        <v>7.8</v>
      </c>
      <c r="I192" s="5" t="s">
        <v>19</v>
      </c>
      <c r="J192" s="5" t="str">
        <f aca="false">ROUND(66*1,0)&amp;"%"</f>
        <v>66%</v>
      </c>
    </row>
    <row r="193" customFormat="false" ht="15" hidden="false" customHeight="false" outlineLevel="0" collapsed="false">
      <c r="A193" s="6" t="s">
        <v>11024</v>
      </c>
      <c r="B193" s="6" t="s">
        <v>328</v>
      </c>
      <c r="C193" s="6" t="s">
        <v>57</v>
      </c>
      <c r="D193" s="6" t="s">
        <v>22</v>
      </c>
      <c r="E193" s="6" t="n">
        <f aca="false">ROUND(10034*1.05,2)</f>
        <v>10535.7</v>
      </c>
      <c r="F193" s="6" t="s">
        <v>52</v>
      </c>
      <c r="G193" s="6" t="s">
        <v>24</v>
      </c>
      <c r="H193" s="6" t="n">
        <f aca="true">ROUND(RAND()*4+6,1)</f>
        <v>9</v>
      </c>
      <c r="I193" s="6" t="s">
        <v>25</v>
      </c>
      <c r="J193" s="6" t="str">
        <f aca="false">ROUND(93*1,0)&amp;"%"</f>
        <v>93%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11025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11026</v>
      </c>
      <c r="B198" s="5" t="s">
        <v>332</v>
      </c>
      <c r="C198" s="5" t="s">
        <v>76</v>
      </c>
      <c r="D198" s="5" t="s">
        <v>16</v>
      </c>
      <c r="E198" s="5" t="n">
        <f aca="false">ROUND(8723*1.05,2)</f>
        <v>9159.15</v>
      </c>
      <c r="F198" s="5" t="s">
        <v>17</v>
      </c>
      <c r="G198" s="5" t="s">
        <v>18</v>
      </c>
      <c r="H198" s="5" t="n">
        <f aca="true">ROUND(RAND()*4+6,1)</f>
        <v>7.5</v>
      </c>
      <c r="I198" s="5" t="s">
        <v>19</v>
      </c>
      <c r="J198" s="5" t="str">
        <f aca="false">ROUND(100*1,0)&amp;"%"</f>
        <v>100%</v>
      </c>
    </row>
    <row r="199" customFormat="false" ht="15" hidden="false" customHeight="false" outlineLevel="0" collapsed="false">
      <c r="A199" s="6" t="s">
        <v>11027</v>
      </c>
      <c r="B199" s="6" t="s">
        <v>334</v>
      </c>
      <c r="C199" s="6" t="s">
        <v>76</v>
      </c>
      <c r="D199" s="6" t="s">
        <v>22</v>
      </c>
      <c r="E199" s="6" t="n">
        <f aca="false">ROUND(9998*1.05,2)</f>
        <v>10497.9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ROUND(99*1,0)&amp;"%"</f>
        <v>99%</v>
      </c>
    </row>
    <row r="200" customFormat="false" ht="15" hidden="false" customHeight="false" outlineLevel="0" collapsed="false">
      <c r="A200" s="5" t="s">
        <v>11028</v>
      </c>
      <c r="B200" s="5" t="s">
        <v>336</v>
      </c>
      <c r="C200" s="5" t="s">
        <v>76</v>
      </c>
      <c r="D200" s="5" t="s">
        <v>28</v>
      </c>
      <c r="E200" s="5" t="n">
        <f aca="false">ROUND(10600*1.05,2)</f>
        <v>11130</v>
      </c>
      <c r="F200" s="5" t="s">
        <v>29</v>
      </c>
      <c r="G200" s="5" t="s">
        <v>30</v>
      </c>
      <c r="H200" s="5" t="n">
        <f aca="true">ROUND(RAND()*4+6,1)</f>
        <v>6.7</v>
      </c>
      <c r="I200" s="5" t="s">
        <v>31</v>
      </c>
      <c r="J200" s="5" t="str">
        <f aca="false">ROUND(70*1,0)&amp;"%"</f>
        <v>70%</v>
      </c>
    </row>
    <row r="201" customFormat="false" ht="15" hidden="false" customHeight="false" outlineLevel="0" collapsed="false">
      <c r="A201" s="6" t="s">
        <v>11029</v>
      </c>
      <c r="B201" s="6" t="s">
        <v>338</v>
      </c>
      <c r="C201" s="6" t="s">
        <v>76</v>
      </c>
      <c r="D201" s="6" t="s">
        <v>34</v>
      </c>
      <c r="E201" s="6" t="n">
        <f aca="false">ROUND(10167*1.05,2)</f>
        <v>10675.35</v>
      </c>
      <c r="F201" s="6" t="s">
        <v>35</v>
      </c>
      <c r="G201" s="6" t="s">
        <v>18</v>
      </c>
      <c r="H201" s="6" t="n">
        <f aca="true">ROUND(RAND()*4+6,1)</f>
        <v>6.2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11030</v>
      </c>
      <c r="B202" s="5" t="s">
        <v>340</v>
      </c>
      <c r="C202" s="5" t="s">
        <v>76</v>
      </c>
      <c r="D202" s="5" t="s">
        <v>39</v>
      </c>
      <c r="E202" s="5" t="n">
        <f aca="false">ROUND(17102*1.05,2)</f>
        <v>17957.1</v>
      </c>
      <c r="F202" s="5" t="s">
        <v>40</v>
      </c>
      <c r="G202" s="5" t="s">
        <v>24</v>
      </c>
      <c r="H202" s="5" t="n">
        <f aca="true">ROUND(RAND()*4+6,1)</f>
        <v>8.6</v>
      </c>
      <c r="I202" s="5" t="s">
        <v>41</v>
      </c>
      <c r="J202" s="5" t="str">
        <f aca="false">ROUND(78*1,0)&amp;"%"</f>
        <v>78%</v>
      </c>
    </row>
    <row r="203" customFormat="false" ht="15" hidden="false" customHeight="false" outlineLevel="0" collapsed="false">
      <c r="A203" s="6" t="s">
        <v>11031</v>
      </c>
      <c r="B203" s="6" t="s">
        <v>342</v>
      </c>
      <c r="C203" s="6" t="s">
        <v>76</v>
      </c>
      <c r="D203" s="6" t="s">
        <v>44</v>
      </c>
      <c r="E203" s="6" t="n">
        <f aca="false">ROUND(15278*1.05,2)</f>
        <v>16041.9</v>
      </c>
      <c r="F203" s="6" t="s">
        <v>45</v>
      </c>
      <c r="G203" s="6" t="s">
        <v>30</v>
      </c>
      <c r="H203" s="6" t="n">
        <f aca="true">ROUND(RAND()*4+6,1)</f>
        <v>6.8</v>
      </c>
      <c r="I203" s="6" t="s">
        <v>46</v>
      </c>
      <c r="J203" s="6" t="str">
        <f aca="false">ROUND(80*1,0)&amp;"%"</f>
        <v>80%</v>
      </c>
    </row>
    <row r="204" customFormat="false" ht="15" hidden="false" customHeight="false" outlineLevel="0" collapsed="false">
      <c r="A204" s="5" t="s">
        <v>11032</v>
      </c>
      <c r="B204" s="5" t="s">
        <v>344</v>
      </c>
      <c r="C204" s="5" t="s">
        <v>76</v>
      </c>
      <c r="D204" s="5" t="s">
        <v>16</v>
      </c>
      <c r="E204" s="5" t="n">
        <f aca="false">ROUND(7285*1.05,2)</f>
        <v>7649.25</v>
      </c>
      <c r="F204" s="5" t="s">
        <v>49</v>
      </c>
      <c r="G204" s="5" t="s">
        <v>18</v>
      </c>
      <c r="H204" s="5" t="n">
        <f aca="true">ROUND(RAND()*4+6,1)</f>
        <v>10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11033</v>
      </c>
      <c r="B205" s="6" t="s">
        <v>346</v>
      </c>
      <c r="C205" s="6" t="s">
        <v>76</v>
      </c>
      <c r="D205" s="6" t="s">
        <v>22</v>
      </c>
      <c r="E205" s="6" t="n">
        <f aca="false">ROUND(12736*1.05,2)</f>
        <v>13372.8</v>
      </c>
      <c r="F205" s="6" t="s">
        <v>52</v>
      </c>
      <c r="G205" s="6" t="s">
        <v>24</v>
      </c>
      <c r="H205" s="6" t="n">
        <f aca="true">ROUND(RAND()*4+6,1)</f>
        <v>7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11034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11035</v>
      </c>
      <c r="B210" s="5" t="s">
        <v>350</v>
      </c>
      <c r="C210" s="5" t="s">
        <v>95</v>
      </c>
      <c r="D210" s="5" t="s">
        <v>16</v>
      </c>
      <c r="E210" s="5" t="n">
        <f aca="false">ROUND(12783*1.05,2)</f>
        <v>13422.15</v>
      </c>
      <c r="F210" s="5" t="s">
        <v>17</v>
      </c>
      <c r="G210" s="5" t="s">
        <v>18</v>
      </c>
      <c r="H210" s="5" t="n">
        <f aca="true">ROUND(RAND()*4+6,1)</f>
        <v>6.6</v>
      </c>
      <c r="I210" s="5" t="s">
        <v>19</v>
      </c>
      <c r="J210" s="5" t="str">
        <f aca="false">ROUND(66*1,0)&amp;"%"</f>
        <v>66%</v>
      </c>
    </row>
    <row r="211" customFormat="false" ht="15" hidden="false" customHeight="false" outlineLevel="0" collapsed="false">
      <c r="A211" s="6" t="s">
        <v>11036</v>
      </c>
      <c r="B211" s="6" t="s">
        <v>352</v>
      </c>
      <c r="C211" s="6" t="s">
        <v>95</v>
      </c>
      <c r="D211" s="6" t="s">
        <v>22</v>
      </c>
      <c r="E211" s="6" t="n">
        <f aca="false">ROUND(7813*1.05,2)</f>
        <v>8203.65</v>
      </c>
      <c r="F211" s="6" t="s">
        <v>23</v>
      </c>
      <c r="G211" s="6" t="s">
        <v>24</v>
      </c>
      <c r="H211" s="6" t="n">
        <f aca="true">ROUND(RAND()*4+6,1)</f>
        <v>6.4</v>
      </c>
      <c r="I211" s="6" t="s">
        <v>25</v>
      </c>
      <c r="J211" s="6" t="str">
        <f aca="false">ROUND(71*1,0)&amp;"%"</f>
        <v>71%</v>
      </c>
    </row>
    <row r="212" customFormat="false" ht="15" hidden="false" customHeight="false" outlineLevel="0" collapsed="false">
      <c r="A212" s="5" t="s">
        <v>11037</v>
      </c>
      <c r="B212" s="5" t="s">
        <v>354</v>
      </c>
      <c r="C212" s="5" t="s">
        <v>95</v>
      </c>
      <c r="D212" s="5" t="s">
        <v>28</v>
      </c>
      <c r="E212" s="5" t="n">
        <f aca="false">ROUND(4032*1.05,2)</f>
        <v>4233.6</v>
      </c>
      <c r="F212" s="5" t="s">
        <v>29</v>
      </c>
      <c r="G212" s="5" t="s">
        <v>30</v>
      </c>
      <c r="H212" s="5" t="n">
        <f aca="true">ROUND(RAND()*4+6,1)</f>
        <v>6.8</v>
      </c>
      <c r="I212" s="5" t="s">
        <v>31</v>
      </c>
      <c r="J212" s="5" t="str">
        <f aca="false">ROUND(60*1,0)&amp;"%"</f>
        <v>60%</v>
      </c>
    </row>
    <row r="213" customFormat="false" ht="15" hidden="false" customHeight="false" outlineLevel="0" collapsed="false">
      <c r="A213" s="6" t="s">
        <v>11038</v>
      </c>
      <c r="B213" s="6" t="s">
        <v>356</v>
      </c>
      <c r="C213" s="6" t="s">
        <v>95</v>
      </c>
      <c r="D213" s="6" t="s">
        <v>34</v>
      </c>
      <c r="E213" s="6" t="n">
        <f aca="false">ROUND(9146*1.05,2)</f>
        <v>9603.3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ROUND(79*1,0)&amp;"%"</f>
        <v>79%</v>
      </c>
    </row>
    <row r="214" customFormat="false" ht="15" hidden="false" customHeight="false" outlineLevel="0" collapsed="false">
      <c r="A214" s="5" t="s">
        <v>11039</v>
      </c>
      <c r="B214" s="5" t="s">
        <v>358</v>
      </c>
      <c r="C214" s="5" t="s">
        <v>95</v>
      </c>
      <c r="D214" s="5" t="s">
        <v>39</v>
      </c>
      <c r="E214" s="5" t="n">
        <f aca="false">ROUND(12375*1.05,2)</f>
        <v>12993.75</v>
      </c>
      <c r="F214" s="5" t="s">
        <v>40</v>
      </c>
      <c r="G214" s="5" t="s">
        <v>24</v>
      </c>
      <c r="H214" s="5" t="n">
        <f aca="true">ROUND(RAND()*4+6,1)</f>
        <v>9.5</v>
      </c>
      <c r="I214" s="5" t="s">
        <v>41</v>
      </c>
      <c r="J214" s="5" t="str">
        <f aca="false">ROUND(98*1,0)&amp;"%"</f>
        <v>98%</v>
      </c>
    </row>
    <row r="215" customFormat="false" ht="15" hidden="false" customHeight="false" outlineLevel="0" collapsed="false">
      <c r="A215" s="6" t="s">
        <v>11040</v>
      </c>
      <c r="B215" s="6" t="s">
        <v>360</v>
      </c>
      <c r="C215" s="6" t="s">
        <v>95</v>
      </c>
      <c r="D215" s="6" t="s">
        <v>44</v>
      </c>
      <c r="E215" s="6" t="n">
        <f aca="false">ROUND(15149*1.05,2)</f>
        <v>15906.45</v>
      </c>
      <c r="F215" s="6" t="s">
        <v>45</v>
      </c>
      <c r="G215" s="6" t="s">
        <v>30</v>
      </c>
      <c r="H215" s="6" t="n">
        <f aca="true">ROUND(RAND()*4+6,1)</f>
        <v>6.1</v>
      </c>
      <c r="I215" s="6" t="s">
        <v>46</v>
      </c>
      <c r="J215" s="6" t="str">
        <f aca="false">ROUND(63*1,0)&amp;"%"</f>
        <v>63%</v>
      </c>
    </row>
    <row r="216" customFormat="false" ht="15" hidden="false" customHeight="false" outlineLevel="0" collapsed="false">
      <c r="A216" s="5" t="s">
        <v>11041</v>
      </c>
      <c r="B216" s="5" t="s">
        <v>362</v>
      </c>
      <c r="C216" s="5" t="s">
        <v>95</v>
      </c>
      <c r="D216" s="5" t="s">
        <v>16</v>
      </c>
      <c r="E216" s="5" t="n">
        <f aca="false">ROUND(15799*1.05,2)</f>
        <v>16588.95</v>
      </c>
      <c r="F216" s="5" t="s">
        <v>49</v>
      </c>
      <c r="G216" s="5" t="s">
        <v>18</v>
      </c>
      <c r="H216" s="5" t="n">
        <f aca="true">ROUND(RAND()*4+6,1)</f>
        <v>6.2</v>
      </c>
      <c r="I216" s="5" t="s">
        <v>19</v>
      </c>
      <c r="J216" s="5" t="str">
        <f aca="false">ROUND(75*1,0)&amp;"%"</f>
        <v>75%</v>
      </c>
    </row>
    <row r="217" customFormat="false" ht="15" hidden="false" customHeight="false" outlineLevel="0" collapsed="false">
      <c r="A217" s="6" t="s">
        <v>11042</v>
      </c>
      <c r="B217" s="6" t="s">
        <v>364</v>
      </c>
      <c r="C217" s="6" t="s">
        <v>95</v>
      </c>
      <c r="D217" s="6" t="s">
        <v>22</v>
      </c>
      <c r="E217" s="6" t="n">
        <f aca="false">ROUND(17593*1.05,2)</f>
        <v>18472.65</v>
      </c>
      <c r="F217" s="6" t="s">
        <v>52</v>
      </c>
      <c r="G217" s="6" t="s">
        <v>24</v>
      </c>
      <c r="H217" s="6" t="n">
        <f aca="true">ROUND(RAND()*4+6,1)</f>
        <v>9.8</v>
      </c>
      <c r="I217" s="6" t="s">
        <v>25</v>
      </c>
      <c r="J217" s="6" t="str">
        <f aca="false">ROUND(81*1,0)&amp;"%"</f>
        <v>81%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11043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11044</v>
      </c>
      <c r="B222" s="5" t="s">
        <v>368</v>
      </c>
      <c r="C222" s="5" t="s">
        <v>114</v>
      </c>
      <c r="D222" s="5" t="s">
        <v>16</v>
      </c>
      <c r="E222" s="5" t="n">
        <f aca="false">ROUND(8371*1.05,2)</f>
        <v>8789.55</v>
      </c>
      <c r="F222" s="5" t="s">
        <v>17</v>
      </c>
      <c r="G222" s="5" t="s">
        <v>18</v>
      </c>
      <c r="H222" s="5" t="n">
        <f aca="true">ROUND(RAND()*4+6,1)</f>
        <v>9.6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11045</v>
      </c>
      <c r="B223" s="6" t="s">
        <v>370</v>
      </c>
      <c r="C223" s="6" t="s">
        <v>114</v>
      </c>
      <c r="D223" s="6" t="s">
        <v>22</v>
      </c>
      <c r="E223" s="6" t="n">
        <f aca="false">ROUND(8405*1.05,2)</f>
        <v>8825.25</v>
      </c>
      <c r="F223" s="6" t="s">
        <v>23</v>
      </c>
      <c r="G223" s="6" t="s">
        <v>24</v>
      </c>
      <c r="H223" s="6" t="n">
        <f aca="true">ROUND(RAND()*4+6,1)</f>
        <v>7.1</v>
      </c>
      <c r="I223" s="6" t="s">
        <v>25</v>
      </c>
      <c r="J223" s="6" t="str">
        <f aca="false">ROUND(96*1,0)&amp;"%"</f>
        <v>96%</v>
      </c>
    </row>
    <row r="224" customFormat="false" ht="15" hidden="false" customHeight="false" outlineLevel="0" collapsed="false">
      <c r="A224" s="5" t="s">
        <v>11046</v>
      </c>
      <c r="B224" s="5" t="s">
        <v>372</v>
      </c>
      <c r="C224" s="5" t="s">
        <v>114</v>
      </c>
      <c r="D224" s="5" t="s">
        <v>28</v>
      </c>
      <c r="E224" s="5" t="n">
        <f aca="false">ROUND(6967*1.05,2)</f>
        <v>7315.35</v>
      </c>
      <c r="F224" s="5" t="s">
        <v>29</v>
      </c>
      <c r="G224" s="5" t="s">
        <v>30</v>
      </c>
      <c r="H224" s="5" t="n">
        <f aca="true">ROUND(RAND()*4+6,1)</f>
        <v>9.4</v>
      </c>
      <c r="I224" s="5" t="s">
        <v>31</v>
      </c>
      <c r="J224" s="5" t="str">
        <f aca="false">ROUND(74*1,0)&amp;"%"</f>
        <v>74%</v>
      </c>
    </row>
    <row r="225" customFormat="false" ht="15" hidden="false" customHeight="false" outlineLevel="0" collapsed="false">
      <c r="A225" s="6" t="s">
        <v>11047</v>
      </c>
      <c r="B225" s="6" t="s">
        <v>374</v>
      </c>
      <c r="C225" s="6" t="s">
        <v>114</v>
      </c>
      <c r="D225" s="6" t="s">
        <v>34</v>
      </c>
      <c r="E225" s="6" t="n">
        <f aca="false">ROUND(15550*1.05,2)</f>
        <v>16327.5</v>
      </c>
      <c r="F225" s="6" t="s">
        <v>35</v>
      </c>
      <c r="G225" s="6" t="s">
        <v>18</v>
      </c>
      <c r="H225" s="6" t="n">
        <f aca="true">ROUND(RAND()*4+6,1)</f>
        <v>9.7</v>
      </c>
      <c r="I225" s="6" t="s">
        <v>36</v>
      </c>
      <c r="J225" s="6" t="str">
        <f aca="false">ROUND(68*1,0)&amp;"%"</f>
        <v>68%</v>
      </c>
    </row>
    <row r="226" customFormat="false" ht="15" hidden="false" customHeight="false" outlineLevel="0" collapsed="false">
      <c r="A226" s="5" t="s">
        <v>11048</v>
      </c>
      <c r="B226" s="5" t="s">
        <v>376</v>
      </c>
      <c r="C226" s="5" t="s">
        <v>114</v>
      </c>
      <c r="D226" s="5" t="s">
        <v>39</v>
      </c>
      <c r="E226" s="5" t="n">
        <f aca="false">ROUND(9574*1.05,2)</f>
        <v>10052.7</v>
      </c>
      <c r="F226" s="5" t="s">
        <v>40</v>
      </c>
      <c r="G226" s="5" t="s">
        <v>24</v>
      </c>
      <c r="H226" s="5" t="n">
        <f aca="true">ROUND(RAND()*4+6,1)</f>
        <v>6.1</v>
      </c>
      <c r="I226" s="5" t="s">
        <v>41</v>
      </c>
      <c r="J226" s="5" t="str">
        <f aca="false">ROUND(77*1,0)&amp;"%"</f>
        <v>77%</v>
      </c>
    </row>
    <row r="227" customFormat="false" ht="15" hidden="false" customHeight="false" outlineLevel="0" collapsed="false">
      <c r="A227" s="6" t="s">
        <v>11049</v>
      </c>
      <c r="B227" s="6" t="s">
        <v>378</v>
      </c>
      <c r="C227" s="6" t="s">
        <v>114</v>
      </c>
      <c r="D227" s="6" t="s">
        <v>44</v>
      </c>
      <c r="E227" s="6" t="n">
        <f aca="false">ROUND(8497*1.05,2)</f>
        <v>8921.85</v>
      </c>
      <c r="F227" s="6" t="s">
        <v>45</v>
      </c>
      <c r="G227" s="6" t="s">
        <v>30</v>
      </c>
      <c r="H227" s="6" t="n">
        <f aca="true">ROUND(RAND()*4+6,1)</f>
        <v>6.8</v>
      </c>
      <c r="I227" s="6" t="s">
        <v>46</v>
      </c>
      <c r="J227" s="6" t="str">
        <f aca="false">ROUND(68*1,0)&amp;"%"</f>
        <v>68%</v>
      </c>
    </row>
    <row r="228" customFormat="false" ht="15" hidden="false" customHeight="false" outlineLevel="0" collapsed="false">
      <c r="A228" s="5" t="s">
        <v>11050</v>
      </c>
      <c r="B228" s="5" t="s">
        <v>380</v>
      </c>
      <c r="C228" s="5" t="s">
        <v>114</v>
      </c>
      <c r="D228" s="5" t="s">
        <v>16</v>
      </c>
      <c r="E228" s="5" t="n">
        <f aca="false">ROUND(17403*1.05,2)</f>
        <v>18273.15</v>
      </c>
      <c r="F228" s="5" t="s">
        <v>49</v>
      </c>
      <c r="G228" s="5" t="s">
        <v>18</v>
      </c>
      <c r="H228" s="5" t="n">
        <f aca="true">ROUND(RAND()*4+6,1)</f>
        <v>7.4</v>
      </c>
      <c r="I228" s="5" t="s">
        <v>19</v>
      </c>
      <c r="J228" s="5" t="str">
        <f aca="false">ROUND(67*1,0)&amp;"%"</f>
        <v>67%</v>
      </c>
    </row>
    <row r="229" customFormat="false" ht="15" hidden="false" customHeight="false" outlineLevel="0" collapsed="false">
      <c r="A229" s="6" t="s">
        <v>11051</v>
      </c>
      <c r="B229" s="6" t="s">
        <v>382</v>
      </c>
      <c r="C229" s="6" t="s">
        <v>114</v>
      </c>
      <c r="D229" s="6" t="s">
        <v>22</v>
      </c>
      <c r="E229" s="6" t="n">
        <f aca="false">ROUND(9780*1.05,2)</f>
        <v>10269</v>
      </c>
      <c r="F229" s="6" t="s">
        <v>52</v>
      </c>
      <c r="G229" s="6" t="s">
        <v>24</v>
      </c>
      <c r="H229" s="6" t="n">
        <f aca="true">ROUND(RAND()*4+6,1)</f>
        <v>9.4</v>
      </c>
      <c r="I229" s="6" t="s">
        <v>25</v>
      </c>
      <c r="J229" s="6" t="str">
        <f aca="false">ROUND(67*1,0)&amp;"%"</f>
        <v>67%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11052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11053</v>
      </c>
      <c r="B234" s="5" t="s">
        <v>386</v>
      </c>
      <c r="C234" s="5" t="s">
        <v>133</v>
      </c>
      <c r="D234" s="5" t="s">
        <v>16</v>
      </c>
      <c r="E234" s="5" t="n">
        <f aca="false">ROUND(17573*1.05,2)</f>
        <v>18451.65</v>
      </c>
      <c r="F234" s="5" t="s">
        <v>17</v>
      </c>
      <c r="G234" s="5" t="s">
        <v>18</v>
      </c>
      <c r="H234" s="5" t="n">
        <f aca="true">ROUND(RAND()*4+6,1)</f>
        <v>9.2</v>
      </c>
      <c r="I234" s="5" t="s">
        <v>19</v>
      </c>
      <c r="J234" s="5" t="str">
        <f aca="false">ROUND(96*1,0)&amp;"%"</f>
        <v>96%</v>
      </c>
    </row>
    <row r="235" customFormat="false" ht="15" hidden="false" customHeight="false" outlineLevel="0" collapsed="false">
      <c r="A235" s="6" t="s">
        <v>11054</v>
      </c>
      <c r="B235" s="6" t="s">
        <v>388</v>
      </c>
      <c r="C235" s="6" t="s">
        <v>133</v>
      </c>
      <c r="D235" s="6" t="s">
        <v>22</v>
      </c>
      <c r="E235" s="6" t="n">
        <f aca="false">ROUND(11256*1.05,2)</f>
        <v>11818.8</v>
      </c>
      <c r="F235" s="6" t="s">
        <v>23</v>
      </c>
      <c r="G235" s="6" t="s">
        <v>24</v>
      </c>
      <c r="H235" s="6" t="n">
        <f aca="true">ROUND(RAND()*4+6,1)</f>
        <v>7.2</v>
      </c>
      <c r="I235" s="6" t="s">
        <v>25</v>
      </c>
      <c r="J235" s="6" t="str">
        <f aca="false">ROUND(87*1,0)&amp;"%"</f>
        <v>87%</v>
      </c>
    </row>
    <row r="236" customFormat="false" ht="15" hidden="false" customHeight="false" outlineLevel="0" collapsed="false">
      <c r="A236" s="5" t="s">
        <v>11055</v>
      </c>
      <c r="B236" s="5" t="s">
        <v>390</v>
      </c>
      <c r="C236" s="5" t="s">
        <v>133</v>
      </c>
      <c r="D236" s="5" t="s">
        <v>28</v>
      </c>
      <c r="E236" s="5" t="n">
        <f aca="false">ROUND(9967*1.05,2)</f>
        <v>10465.35</v>
      </c>
      <c r="F236" s="5" t="s">
        <v>29</v>
      </c>
      <c r="G236" s="5" t="s">
        <v>30</v>
      </c>
      <c r="H236" s="5" t="n">
        <f aca="true">ROUND(RAND()*4+6,1)</f>
        <v>6.2</v>
      </c>
      <c r="I236" s="5" t="s">
        <v>31</v>
      </c>
      <c r="J236" s="5" t="str">
        <f aca="false">ROUND(98*1,0)&amp;"%"</f>
        <v>98%</v>
      </c>
    </row>
    <row r="237" customFormat="false" ht="15" hidden="false" customHeight="false" outlineLevel="0" collapsed="false">
      <c r="A237" s="6" t="s">
        <v>11056</v>
      </c>
      <c r="B237" s="6" t="s">
        <v>392</v>
      </c>
      <c r="C237" s="6" t="s">
        <v>133</v>
      </c>
      <c r="D237" s="6" t="s">
        <v>34</v>
      </c>
      <c r="E237" s="6" t="n">
        <f aca="false">ROUND(16442*1.05,2)</f>
        <v>17264.1</v>
      </c>
      <c r="F237" s="6" t="s">
        <v>35</v>
      </c>
      <c r="G237" s="6" t="s">
        <v>18</v>
      </c>
      <c r="H237" s="6" t="n">
        <f aca="true">ROUND(RAND()*4+6,1)</f>
        <v>7</v>
      </c>
      <c r="I237" s="6" t="s">
        <v>36</v>
      </c>
      <c r="J237" s="6" t="str">
        <f aca="false">ROUND(99*1,0)&amp;"%"</f>
        <v>99%</v>
      </c>
    </row>
    <row r="238" customFormat="false" ht="15" hidden="false" customHeight="false" outlineLevel="0" collapsed="false">
      <c r="A238" s="5" t="s">
        <v>11057</v>
      </c>
      <c r="B238" s="5" t="s">
        <v>394</v>
      </c>
      <c r="C238" s="5" t="s">
        <v>133</v>
      </c>
      <c r="D238" s="5" t="s">
        <v>39</v>
      </c>
      <c r="E238" s="5" t="n">
        <f aca="false">ROUND(10112*1.05,2)</f>
        <v>10617.6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ROUND(95*1,0)&amp;"%"</f>
        <v>95%</v>
      </c>
    </row>
    <row r="239" customFormat="false" ht="15" hidden="false" customHeight="false" outlineLevel="0" collapsed="false">
      <c r="A239" s="6" t="s">
        <v>11058</v>
      </c>
      <c r="B239" s="6" t="s">
        <v>396</v>
      </c>
      <c r="C239" s="6" t="s">
        <v>133</v>
      </c>
      <c r="D239" s="6" t="s">
        <v>44</v>
      </c>
      <c r="E239" s="6" t="n">
        <f aca="false">ROUND(7164*1.05,2)</f>
        <v>7522.2</v>
      </c>
      <c r="F239" s="6" t="s">
        <v>45</v>
      </c>
      <c r="G239" s="6" t="s">
        <v>30</v>
      </c>
      <c r="H239" s="6" t="n">
        <f aca="true">ROUND(RAND()*4+6,1)</f>
        <v>8.3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11059</v>
      </c>
      <c r="B240" s="5" t="s">
        <v>398</v>
      </c>
      <c r="C240" s="5" t="s">
        <v>133</v>
      </c>
      <c r="D240" s="5" t="s">
        <v>16</v>
      </c>
      <c r="E240" s="5" t="n">
        <f aca="false">ROUND(15223*1.05,2)</f>
        <v>15984.15</v>
      </c>
      <c r="F240" s="5" t="s">
        <v>49</v>
      </c>
      <c r="G240" s="5" t="s">
        <v>18</v>
      </c>
      <c r="H240" s="5" t="n">
        <f aca="true">ROUND(RAND()*4+6,1)</f>
        <v>8.3</v>
      </c>
      <c r="I240" s="5" t="s">
        <v>19</v>
      </c>
      <c r="J240" s="5" t="str">
        <f aca="false">ROUND(88*1,0)&amp;"%"</f>
        <v>88%</v>
      </c>
    </row>
    <row r="241" customFormat="false" ht="15" hidden="false" customHeight="false" outlineLevel="0" collapsed="false">
      <c r="A241" s="6" t="s">
        <v>11060</v>
      </c>
      <c r="B241" s="6" t="s">
        <v>400</v>
      </c>
      <c r="C241" s="6" t="s">
        <v>133</v>
      </c>
      <c r="D241" s="6" t="s">
        <v>22</v>
      </c>
      <c r="E241" s="6" t="n">
        <f aca="false">ROUND(12303*1.05,2)</f>
        <v>12918.15</v>
      </c>
      <c r="F241" s="6" t="s">
        <v>52</v>
      </c>
      <c r="G241" s="6" t="s">
        <v>24</v>
      </c>
      <c r="H241" s="6" t="n">
        <f aca="true">ROUND(RAND()*4+6,1)</f>
        <v>9</v>
      </c>
      <c r="I241" s="6" t="s">
        <v>25</v>
      </c>
      <c r="J241" s="6" t="str">
        <f aca="false">ROUND(93*1,0)&amp;"%"</f>
        <v>93%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11061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11062</v>
      </c>
      <c r="B246" s="5" t="s">
        <v>404</v>
      </c>
      <c r="C246" s="5" t="s">
        <v>152</v>
      </c>
      <c r="D246" s="5" t="s">
        <v>16</v>
      </c>
      <c r="E246" s="5" t="n">
        <f aca="false">ROUND(14922*1.05,2)</f>
        <v>15668.1</v>
      </c>
      <c r="F246" s="5" t="s">
        <v>17</v>
      </c>
      <c r="G246" s="5" t="s">
        <v>18</v>
      </c>
      <c r="H246" s="5" t="n">
        <f aca="true">ROUND(RAND()*4+6,1)</f>
        <v>9.3</v>
      </c>
      <c r="I246" s="5" t="s">
        <v>19</v>
      </c>
      <c r="J246" s="5" t="str">
        <f aca="false">ROUND(65*1,0)&amp;"%"</f>
        <v>65%</v>
      </c>
    </row>
    <row r="247" customFormat="false" ht="15" hidden="false" customHeight="false" outlineLevel="0" collapsed="false">
      <c r="A247" s="6" t="s">
        <v>11063</v>
      </c>
      <c r="B247" s="6" t="s">
        <v>406</v>
      </c>
      <c r="C247" s="6" t="s">
        <v>152</v>
      </c>
      <c r="D247" s="6" t="s">
        <v>22</v>
      </c>
      <c r="E247" s="6" t="n">
        <f aca="false">ROUND(16362*1.05,2)</f>
        <v>17180.1</v>
      </c>
      <c r="F247" s="6" t="s">
        <v>23</v>
      </c>
      <c r="G247" s="6" t="s">
        <v>24</v>
      </c>
      <c r="H247" s="6" t="n">
        <f aca="true">ROUND(RAND()*4+6,1)</f>
        <v>8</v>
      </c>
      <c r="I247" s="6" t="s">
        <v>25</v>
      </c>
      <c r="J247" s="6" t="str">
        <f aca="false">ROUND(81*1,0)&amp;"%"</f>
        <v>81%</v>
      </c>
    </row>
    <row r="248" customFormat="false" ht="15" hidden="false" customHeight="false" outlineLevel="0" collapsed="false">
      <c r="A248" s="5" t="s">
        <v>11064</v>
      </c>
      <c r="B248" s="5" t="s">
        <v>408</v>
      </c>
      <c r="C248" s="5" t="s">
        <v>152</v>
      </c>
      <c r="D248" s="5" t="s">
        <v>28</v>
      </c>
      <c r="E248" s="5" t="n">
        <f aca="false">ROUND(17154*1.05,2)</f>
        <v>18011.7</v>
      </c>
      <c r="F248" s="5" t="s">
        <v>29</v>
      </c>
      <c r="G248" s="5" t="s">
        <v>30</v>
      </c>
      <c r="H248" s="5" t="n">
        <f aca="true">ROUND(RAND()*4+6,1)</f>
        <v>6.7</v>
      </c>
      <c r="I248" s="5" t="s">
        <v>31</v>
      </c>
      <c r="J248" s="5" t="str">
        <f aca="false">ROUND(79*1,0)&amp;"%"</f>
        <v>79%</v>
      </c>
    </row>
    <row r="249" customFormat="false" ht="15" hidden="false" customHeight="false" outlineLevel="0" collapsed="false">
      <c r="A249" s="6" t="s">
        <v>11065</v>
      </c>
      <c r="B249" s="6" t="s">
        <v>410</v>
      </c>
      <c r="C249" s="6" t="s">
        <v>152</v>
      </c>
      <c r="D249" s="6" t="s">
        <v>34</v>
      </c>
      <c r="E249" s="6" t="n">
        <f aca="false">ROUND(6698*1.05,2)</f>
        <v>7032.9</v>
      </c>
      <c r="F249" s="6" t="s">
        <v>35</v>
      </c>
      <c r="G249" s="6" t="s">
        <v>18</v>
      </c>
      <c r="H249" s="6" t="n">
        <f aca="true">ROUND(RAND()*4+6,1)</f>
        <v>6.2</v>
      </c>
      <c r="I249" s="6" t="s">
        <v>36</v>
      </c>
      <c r="J249" s="6" t="str">
        <f aca="false">ROUND(77*1,0)&amp;"%"</f>
        <v>77%</v>
      </c>
    </row>
    <row r="250" customFormat="false" ht="15" hidden="false" customHeight="false" outlineLevel="0" collapsed="false">
      <c r="A250" s="5" t="s">
        <v>11066</v>
      </c>
      <c r="B250" s="5" t="s">
        <v>412</v>
      </c>
      <c r="C250" s="5" t="s">
        <v>152</v>
      </c>
      <c r="D250" s="5" t="s">
        <v>39</v>
      </c>
      <c r="E250" s="5" t="n">
        <f aca="false">ROUND(9984*1.05,2)</f>
        <v>10483.2</v>
      </c>
      <c r="F250" s="5" t="s">
        <v>40</v>
      </c>
      <c r="G250" s="5" t="s">
        <v>24</v>
      </c>
      <c r="H250" s="5" t="n">
        <f aca="true">ROUND(RAND()*4+6,1)</f>
        <v>9.7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11067</v>
      </c>
      <c r="B251" s="6" t="s">
        <v>414</v>
      </c>
      <c r="C251" s="6" t="s">
        <v>152</v>
      </c>
      <c r="D251" s="6" t="s">
        <v>44</v>
      </c>
      <c r="E251" s="6" t="n">
        <f aca="false">ROUND(4357*1.05,2)</f>
        <v>4574.85</v>
      </c>
      <c r="F251" s="6" t="s">
        <v>45</v>
      </c>
      <c r="G251" s="6" t="s">
        <v>30</v>
      </c>
      <c r="H251" s="6" t="n">
        <f aca="true">ROUND(RAND()*4+6,1)</f>
        <v>7.3</v>
      </c>
      <c r="I251" s="6" t="s">
        <v>46</v>
      </c>
      <c r="J251" s="6" t="str">
        <f aca="false">ROUND(73*1,0)&amp;"%"</f>
        <v>73%</v>
      </c>
    </row>
    <row r="252" customFormat="false" ht="15" hidden="false" customHeight="false" outlineLevel="0" collapsed="false">
      <c r="A252" s="5" t="s">
        <v>11068</v>
      </c>
      <c r="B252" s="5" t="s">
        <v>416</v>
      </c>
      <c r="C252" s="5" t="s">
        <v>152</v>
      </c>
      <c r="D252" s="5" t="s">
        <v>16</v>
      </c>
      <c r="E252" s="5" t="n">
        <f aca="false">ROUND(12508*1.05,2)</f>
        <v>13133.4</v>
      </c>
      <c r="F252" s="5" t="s">
        <v>49</v>
      </c>
      <c r="G252" s="5" t="s">
        <v>18</v>
      </c>
      <c r="H252" s="5" t="n">
        <f aca="true">ROUND(RAND()*4+6,1)</f>
        <v>6.6</v>
      </c>
      <c r="I252" s="5" t="s">
        <v>19</v>
      </c>
      <c r="J252" s="5" t="str">
        <f aca="false">ROUND(67*1,0)&amp;"%"</f>
        <v>67%</v>
      </c>
    </row>
    <row r="253" customFormat="false" ht="15" hidden="false" customHeight="false" outlineLevel="0" collapsed="false">
      <c r="A253" s="6" t="s">
        <v>11069</v>
      </c>
      <c r="B253" s="6" t="s">
        <v>418</v>
      </c>
      <c r="C253" s="6" t="s">
        <v>152</v>
      </c>
      <c r="D253" s="6" t="s">
        <v>22</v>
      </c>
      <c r="E253" s="6" t="n">
        <f aca="false">ROUND(5639*1.05,2)</f>
        <v>5920.95</v>
      </c>
      <c r="F253" s="6" t="s">
        <v>52</v>
      </c>
      <c r="G253" s="6" t="s">
        <v>24</v>
      </c>
      <c r="H253" s="6" t="n">
        <f aca="true">ROUND(RAND()*4+6,1)</f>
        <v>8.7</v>
      </c>
      <c r="I253" s="6" t="s">
        <v>25</v>
      </c>
      <c r="J253" s="6" t="str">
        <f aca="false">ROUND(75*1,0)&amp;"%"</f>
        <v>75%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11070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11071</v>
      </c>
      <c r="B258" s="5" t="s">
        <v>422</v>
      </c>
      <c r="C258" s="5" t="s">
        <v>15</v>
      </c>
      <c r="D258" s="5" t="s">
        <v>16</v>
      </c>
      <c r="E258" s="5" t="n">
        <f aca="false">ROUND(15402*1.05,2)</f>
        <v>16172.1</v>
      </c>
      <c r="F258" s="5" t="s">
        <v>17</v>
      </c>
      <c r="G258" s="5" t="s">
        <v>18</v>
      </c>
      <c r="H258" s="5" t="n">
        <f aca="true">ROUND(RAND()*4+6,1)</f>
        <v>8.9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11072</v>
      </c>
      <c r="B259" s="6" t="s">
        <v>424</v>
      </c>
      <c r="C259" s="6" t="s">
        <v>15</v>
      </c>
      <c r="D259" s="6" t="s">
        <v>22</v>
      </c>
      <c r="E259" s="6" t="n">
        <f aca="false">ROUND(9694*1.05,2)</f>
        <v>10178.7</v>
      </c>
      <c r="F259" s="6" t="s">
        <v>23</v>
      </c>
      <c r="G259" s="6" t="s">
        <v>24</v>
      </c>
      <c r="H259" s="6" t="n">
        <f aca="true">ROUND(RAND()*4+6,1)</f>
        <v>8.5</v>
      </c>
      <c r="I259" s="6" t="s">
        <v>25</v>
      </c>
      <c r="J259" s="6" t="str">
        <f aca="false">ROUND(98*1,0)&amp;"%"</f>
        <v>98%</v>
      </c>
    </row>
    <row r="260" customFormat="false" ht="15" hidden="false" customHeight="false" outlineLevel="0" collapsed="false">
      <c r="A260" s="5" t="s">
        <v>11073</v>
      </c>
      <c r="B260" s="5" t="s">
        <v>426</v>
      </c>
      <c r="C260" s="5" t="s">
        <v>15</v>
      </c>
      <c r="D260" s="5" t="s">
        <v>28</v>
      </c>
      <c r="E260" s="5" t="n">
        <f aca="false">ROUND(11693*1.05,2)</f>
        <v>12277.65</v>
      </c>
      <c r="F260" s="5" t="s">
        <v>29</v>
      </c>
      <c r="G260" s="5" t="s">
        <v>30</v>
      </c>
      <c r="H260" s="5" t="n">
        <f aca="true">ROUND(RAND()*4+6,1)</f>
        <v>9.7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11074</v>
      </c>
      <c r="B261" s="6" t="s">
        <v>428</v>
      </c>
      <c r="C261" s="6" t="s">
        <v>15</v>
      </c>
      <c r="D261" s="6" t="s">
        <v>34</v>
      </c>
      <c r="E261" s="6" t="n">
        <f aca="false">ROUND(16183*1.05,2)</f>
        <v>16992.15</v>
      </c>
      <c r="F261" s="6" t="s">
        <v>35</v>
      </c>
      <c r="G261" s="6" t="s">
        <v>18</v>
      </c>
      <c r="H261" s="6" t="n">
        <f aca="true">ROUND(RAND()*4+6,1)</f>
        <v>6.1</v>
      </c>
      <c r="I261" s="6" t="s">
        <v>36</v>
      </c>
      <c r="J261" s="6" t="str">
        <f aca="false">ROUND(68*1,0)&amp;"%"</f>
        <v>68%</v>
      </c>
    </row>
    <row r="262" customFormat="false" ht="15" hidden="false" customHeight="false" outlineLevel="0" collapsed="false">
      <c r="A262" s="5" t="s">
        <v>11075</v>
      </c>
      <c r="B262" s="5" t="s">
        <v>430</v>
      </c>
      <c r="C262" s="5" t="s">
        <v>15</v>
      </c>
      <c r="D262" s="5" t="s">
        <v>39</v>
      </c>
      <c r="E262" s="5" t="n">
        <f aca="false">ROUND(12445*1.05,2)</f>
        <v>13067.25</v>
      </c>
      <c r="F262" s="5" t="s">
        <v>40</v>
      </c>
      <c r="G262" s="5" t="s">
        <v>24</v>
      </c>
      <c r="H262" s="5" t="n">
        <f aca="true">ROUND(RAND()*4+6,1)</f>
        <v>7.9</v>
      </c>
      <c r="I262" s="5" t="s">
        <v>41</v>
      </c>
      <c r="J262" s="5" t="str">
        <f aca="false">ROUND(91*1,0)&amp;"%"</f>
        <v>91%</v>
      </c>
    </row>
    <row r="263" customFormat="false" ht="15" hidden="false" customHeight="false" outlineLevel="0" collapsed="false">
      <c r="A263" s="6" t="s">
        <v>11076</v>
      </c>
      <c r="B263" s="6" t="s">
        <v>432</v>
      </c>
      <c r="C263" s="6" t="s">
        <v>15</v>
      </c>
      <c r="D263" s="6" t="s">
        <v>44</v>
      </c>
      <c r="E263" s="6" t="n">
        <f aca="false">ROUND(4681*1.05,2)</f>
        <v>4915.05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ROUND(99*1,0)&amp;"%"</f>
        <v>99%</v>
      </c>
    </row>
    <row r="264" customFormat="false" ht="15" hidden="false" customHeight="false" outlineLevel="0" collapsed="false">
      <c r="A264" s="5" t="s">
        <v>11077</v>
      </c>
      <c r="B264" s="5" t="s">
        <v>434</v>
      </c>
      <c r="C264" s="5" t="s">
        <v>15</v>
      </c>
      <c r="D264" s="5" t="s">
        <v>16</v>
      </c>
      <c r="E264" s="5" t="n">
        <f aca="false">ROUND(14607*1.05,2)</f>
        <v>15337.35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ROUND(66*1,0)&amp;"%"</f>
        <v>66%</v>
      </c>
    </row>
    <row r="265" customFormat="false" ht="15" hidden="false" customHeight="false" outlineLevel="0" collapsed="false">
      <c r="A265" s="6" t="s">
        <v>11078</v>
      </c>
      <c r="B265" s="6" t="s">
        <v>436</v>
      </c>
      <c r="C265" s="6" t="s">
        <v>15</v>
      </c>
      <c r="D265" s="6" t="s">
        <v>22</v>
      </c>
      <c r="E265" s="6" t="n">
        <f aca="false">ROUND(10506*1.05,2)</f>
        <v>11031.3</v>
      </c>
      <c r="F265" s="6" t="s">
        <v>52</v>
      </c>
      <c r="G265" s="6" t="s">
        <v>24</v>
      </c>
      <c r="H265" s="6" t="n">
        <f aca="true">ROUND(RAND()*4+6,1)</f>
        <v>8.7</v>
      </c>
      <c r="I265" s="6" t="s">
        <v>25</v>
      </c>
      <c r="J265" s="6" t="str">
        <f aca="false">ROUND(78*1,0)&amp;"%"</f>
        <v>78%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11079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11080</v>
      </c>
      <c r="B270" s="5" t="s">
        <v>440</v>
      </c>
      <c r="C270" s="5" t="s">
        <v>57</v>
      </c>
      <c r="D270" s="5" t="s">
        <v>16</v>
      </c>
      <c r="E270" s="5" t="n">
        <f aca="false">ROUND(6251*1.05,2)</f>
        <v>6563.55</v>
      </c>
      <c r="F270" s="5" t="s">
        <v>17</v>
      </c>
      <c r="G270" s="5" t="s">
        <v>18</v>
      </c>
      <c r="H270" s="5" t="n">
        <f aca="true">ROUND(RAND()*4+6,1)</f>
        <v>9.1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11081</v>
      </c>
      <c r="B271" s="6" t="s">
        <v>442</v>
      </c>
      <c r="C271" s="6" t="s">
        <v>57</v>
      </c>
      <c r="D271" s="6" t="s">
        <v>22</v>
      </c>
      <c r="E271" s="6" t="n">
        <f aca="false">ROUND(10929*1.05,2)</f>
        <v>11475.45</v>
      </c>
      <c r="F271" s="6" t="s">
        <v>23</v>
      </c>
      <c r="G271" s="6" t="s">
        <v>24</v>
      </c>
      <c r="H271" s="6" t="n">
        <f aca="true">ROUND(RAND()*4+6,1)</f>
        <v>9.2</v>
      </c>
      <c r="I271" s="6" t="s">
        <v>25</v>
      </c>
      <c r="J271" s="6" t="str">
        <f aca="false">ROUND(82*1,0)&amp;"%"</f>
        <v>82%</v>
      </c>
    </row>
    <row r="272" customFormat="false" ht="15" hidden="false" customHeight="false" outlineLevel="0" collapsed="false">
      <c r="A272" s="5" t="s">
        <v>11082</v>
      </c>
      <c r="B272" s="5" t="s">
        <v>444</v>
      </c>
      <c r="C272" s="5" t="s">
        <v>57</v>
      </c>
      <c r="D272" s="5" t="s">
        <v>28</v>
      </c>
      <c r="E272" s="5" t="n">
        <f aca="false">ROUND(17133*1.05,2)</f>
        <v>17989.65</v>
      </c>
      <c r="F272" s="5" t="s">
        <v>29</v>
      </c>
      <c r="G272" s="5" t="s">
        <v>30</v>
      </c>
      <c r="H272" s="5" t="n">
        <f aca="true">ROUND(RAND()*4+6,1)</f>
        <v>9.7</v>
      </c>
      <c r="I272" s="5" t="s">
        <v>31</v>
      </c>
      <c r="J272" s="5" t="str">
        <f aca="false">ROUND(66*1,0)&amp;"%"</f>
        <v>66%</v>
      </c>
    </row>
    <row r="273" customFormat="false" ht="15" hidden="false" customHeight="false" outlineLevel="0" collapsed="false">
      <c r="A273" s="6" t="s">
        <v>11083</v>
      </c>
      <c r="B273" s="6" t="s">
        <v>446</v>
      </c>
      <c r="C273" s="6" t="s">
        <v>57</v>
      </c>
      <c r="D273" s="6" t="s">
        <v>34</v>
      </c>
      <c r="E273" s="6" t="n">
        <f aca="false">ROUND(4188*1.05,2)</f>
        <v>4397.4</v>
      </c>
      <c r="F273" s="6" t="s">
        <v>35</v>
      </c>
      <c r="G273" s="6" t="s">
        <v>18</v>
      </c>
      <c r="H273" s="6" t="n">
        <f aca="true">ROUND(RAND()*4+6,1)</f>
        <v>9.4</v>
      </c>
      <c r="I273" s="6" t="s">
        <v>36</v>
      </c>
      <c r="J273" s="6" t="str">
        <f aca="false">ROUND(67*1,0)&amp;"%"</f>
        <v>67%</v>
      </c>
    </row>
    <row r="274" customFormat="false" ht="15" hidden="false" customHeight="false" outlineLevel="0" collapsed="false">
      <c r="A274" s="5" t="s">
        <v>11084</v>
      </c>
      <c r="B274" s="5" t="s">
        <v>448</v>
      </c>
      <c r="C274" s="5" t="s">
        <v>57</v>
      </c>
      <c r="D274" s="5" t="s">
        <v>39</v>
      </c>
      <c r="E274" s="5" t="n">
        <f aca="false">ROUND(8883*1.05,2)</f>
        <v>9327.15</v>
      </c>
      <c r="F274" s="5" t="s">
        <v>40</v>
      </c>
      <c r="G274" s="5" t="s">
        <v>24</v>
      </c>
      <c r="H274" s="5" t="n">
        <f aca="true">ROUND(RAND()*4+6,1)</f>
        <v>6</v>
      </c>
      <c r="I274" s="5" t="s">
        <v>41</v>
      </c>
      <c r="J274" s="5" t="str">
        <f aca="false">ROUND(92*1,0)&amp;"%"</f>
        <v>92%</v>
      </c>
    </row>
    <row r="275" customFormat="false" ht="15" hidden="false" customHeight="false" outlineLevel="0" collapsed="false">
      <c r="A275" s="6" t="s">
        <v>11085</v>
      </c>
      <c r="B275" s="6" t="s">
        <v>450</v>
      </c>
      <c r="C275" s="6" t="s">
        <v>57</v>
      </c>
      <c r="D275" s="6" t="s">
        <v>44</v>
      </c>
      <c r="E275" s="6" t="n">
        <f aca="false">ROUND(5620*1.05,2)</f>
        <v>5901</v>
      </c>
      <c r="F275" s="6" t="s">
        <v>45</v>
      </c>
      <c r="G275" s="6" t="s">
        <v>30</v>
      </c>
      <c r="H275" s="6" t="n">
        <f aca="true">ROUND(RAND()*4+6,1)</f>
        <v>9.3</v>
      </c>
      <c r="I275" s="6" t="s">
        <v>46</v>
      </c>
      <c r="J275" s="6" t="str">
        <f aca="false">ROUND(95*1,0)&amp;"%"</f>
        <v>95%</v>
      </c>
    </row>
    <row r="276" customFormat="false" ht="15" hidden="false" customHeight="false" outlineLevel="0" collapsed="false">
      <c r="A276" s="5" t="s">
        <v>11086</v>
      </c>
      <c r="B276" s="5" t="s">
        <v>452</v>
      </c>
      <c r="C276" s="5" t="s">
        <v>57</v>
      </c>
      <c r="D276" s="5" t="s">
        <v>16</v>
      </c>
      <c r="E276" s="5" t="n">
        <f aca="false">ROUND(13017*1.05,2)</f>
        <v>13667.85</v>
      </c>
      <c r="F276" s="5" t="s">
        <v>49</v>
      </c>
      <c r="G276" s="5" t="s">
        <v>18</v>
      </c>
      <c r="H276" s="5" t="n">
        <f aca="true">ROUND(RAND()*4+6,1)</f>
        <v>7.2</v>
      </c>
      <c r="I276" s="5" t="s">
        <v>19</v>
      </c>
      <c r="J276" s="5" t="str">
        <f aca="false">ROUND(88*1,0)&amp;"%"</f>
        <v>88%</v>
      </c>
    </row>
    <row r="277" customFormat="false" ht="15" hidden="false" customHeight="false" outlineLevel="0" collapsed="false">
      <c r="A277" s="6" t="s">
        <v>11087</v>
      </c>
      <c r="B277" s="6" t="s">
        <v>454</v>
      </c>
      <c r="C277" s="6" t="s">
        <v>57</v>
      </c>
      <c r="D277" s="6" t="s">
        <v>22</v>
      </c>
      <c r="E277" s="6" t="n">
        <f aca="false">ROUND(7165*1.05,2)</f>
        <v>7523.25</v>
      </c>
      <c r="F277" s="6" t="s">
        <v>52</v>
      </c>
      <c r="G277" s="6" t="s">
        <v>24</v>
      </c>
      <c r="H277" s="6" t="n">
        <f aca="true">ROUND(RAND()*4+6,1)</f>
        <v>8.5</v>
      </c>
      <c r="I277" s="6" t="s">
        <v>25</v>
      </c>
      <c r="J277" s="6" t="str">
        <f aca="false">ROUND(86*1,0)&amp;"%"</f>
        <v>86%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11088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11089</v>
      </c>
      <c r="B282" s="5" t="s">
        <v>458</v>
      </c>
      <c r="C282" s="5" t="s">
        <v>76</v>
      </c>
      <c r="D282" s="5" t="s">
        <v>16</v>
      </c>
      <c r="E282" s="5" t="n">
        <f aca="false">ROUND(4439*1.05,2)</f>
        <v>4660.95</v>
      </c>
      <c r="F282" s="5" t="s">
        <v>17</v>
      </c>
      <c r="G282" s="5" t="s">
        <v>18</v>
      </c>
      <c r="H282" s="5" t="n">
        <f aca="true">ROUND(RAND()*4+6,1)</f>
        <v>7</v>
      </c>
      <c r="I282" s="5" t="s">
        <v>19</v>
      </c>
      <c r="J282" s="5" t="str">
        <f aca="false">ROUND(72*1,0)&amp;"%"</f>
        <v>72%</v>
      </c>
    </row>
    <row r="283" customFormat="false" ht="15" hidden="false" customHeight="false" outlineLevel="0" collapsed="false">
      <c r="A283" s="6" t="s">
        <v>11090</v>
      </c>
      <c r="B283" s="6" t="s">
        <v>460</v>
      </c>
      <c r="C283" s="6" t="s">
        <v>76</v>
      </c>
      <c r="D283" s="6" t="s">
        <v>22</v>
      </c>
      <c r="E283" s="6" t="n">
        <f aca="false">ROUND(5319*1.05,2)</f>
        <v>5584.95</v>
      </c>
      <c r="F283" s="6" t="s">
        <v>23</v>
      </c>
      <c r="G283" s="6" t="s">
        <v>24</v>
      </c>
      <c r="H283" s="6" t="n">
        <f aca="true">ROUND(RAND()*4+6,1)</f>
        <v>8.2</v>
      </c>
      <c r="I283" s="6" t="s">
        <v>25</v>
      </c>
      <c r="J283" s="6" t="str">
        <f aca="false">ROUND(71*1,0)&amp;"%"</f>
        <v>71%</v>
      </c>
    </row>
    <row r="284" customFormat="false" ht="15" hidden="false" customHeight="false" outlineLevel="0" collapsed="false">
      <c r="A284" s="5" t="s">
        <v>11091</v>
      </c>
      <c r="B284" s="5" t="s">
        <v>462</v>
      </c>
      <c r="C284" s="5" t="s">
        <v>76</v>
      </c>
      <c r="D284" s="5" t="s">
        <v>28</v>
      </c>
      <c r="E284" s="5" t="n">
        <f aca="false">ROUND(15045*1.05,2)</f>
        <v>15797.25</v>
      </c>
      <c r="F284" s="5" t="s">
        <v>29</v>
      </c>
      <c r="G284" s="5" t="s">
        <v>30</v>
      </c>
      <c r="H284" s="5" t="n">
        <f aca="true">ROUND(RAND()*4+6,1)</f>
        <v>6.1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11092</v>
      </c>
      <c r="B285" s="6" t="s">
        <v>464</v>
      </c>
      <c r="C285" s="6" t="s">
        <v>76</v>
      </c>
      <c r="D285" s="6" t="s">
        <v>34</v>
      </c>
      <c r="E285" s="6" t="n">
        <f aca="false">ROUND(12733*1.05,2)</f>
        <v>13369.65</v>
      </c>
      <c r="F285" s="6" t="s">
        <v>35</v>
      </c>
      <c r="G285" s="6" t="s">
        <v>18</v>
      </c>
      <c r="H285" s="6" t="n">
        <f aca="true">ROUND(RAND()*4+6,1)</f>
        <v>6.4</v>
      </c>
      <c r="I285" s="6" t="s">
        <v>36</v>
      </c>
      <c r="J285" s="6" t="str">
        <f aca="false">ROUND(67*1,0)&amp;"%"</f>
        <v>67%</v>
      </c>
    </row>
    <row r="286" customFormat="false" ht="15" hidden="false" customHeight="false" outlineLevel="0" collapsed="false">
      <c r="A286" s="5" t="s">
        <v>11093</v>
      </c>
      <c r="B286" s="5" t="s">
        <v>466</v>
      </c>
      <c r="C286" s="5" t="s">
        <v>76</v>
      </c>
      <c r="D286" s="5" t="s">
        <v>39</v>
      </c>
      <c r="E286" s="5" t="n">
        <f aca="false">ROUND(15918*1.05,2)</f>
        <v>16713.9</v>
      </c>
      <c r="F286" s="5" t="s">
        <v>40</v>
      </c>
      <c r="G286" s="5" t="s">
        <v>24</v>
      </c>
      <c r="H286" s="5" t="n">
        <f aca="true">ROUND(RAND()*4+6,1)</f>
        <v>9.6</v>
      </c>
      <c r="I286" s="5" t="s">
        <v>41</v>
      </c>
      <c r="J286" s="5" t="str">
        <f aca="false">ROUND(94*1,0)&amp;"%"</f>
        <v>94%</v>
      </c>
    </row>
    <row r="287" customFormat="false" ht="15" hidden="false" customHeight="false" outlineLevel="0" collapsed="false">
      <c r="A287" s="6" t="s">
        <v>11094</v>
      </c>
      <c r="B287" s="6" t="s">
        <v>468</v>
      </c>
      <c r="C287" s="6" t="s">
        <v>76</v>
      </c>
      <c r="D287" s="6" t="s">
        <v>44</v>
      </c>
      <c r="E287" s="6" t="n">
        <f aca="false">ROUND(12098*1.05,2)</f>
        <v>12702.9</v>
      </c>
      <c r="F287" s="6" t="s">
        <v>45</v>
      </c>
      <c r="G287" s="6" t="s">
        <v>30</v>
      </c>
      <c r="H287" s="6" t="n">
        <f aca="true">ROUND(RAND()*4+6,1)</f>
        <v>8.3</v>
      </c>
      <c r="I287" s="6" t="s">
        <v>46</v>
      </c>
      <c r="J287" s="6" t="str">
        <f aca="false">ROUND(82*1,0)&amp;"%"</f>
        <v>82%</v>
      </c>
    </row>
    <row r="288" customFormat="false" ht="15" hidden="false" customHeight="false" outlineLevel="0" collapsed="false">
      <c r="A288" s="5" t="s">
        <v>11095</v>
      </c>
      <c r="B288" s="5" t="s">
        <v>470</v>
      </c>
      <c r="C288" s="5" t="s">
        <v>76</v>
      </c>
      <c r="D288" s="5" t="s">
        <v>16</v>
      </c>
      <c r="E288" s="5" t="n">
        <f aca="false">ROUND(16119*1.05,2)</f>
        <v>16924.95</v>
      </c>
      <c r="F288" s="5" t="s">
        <v>49</v>
      </c>
      <c r="G288" s="5" t="s">
        <v>18</v>
      </c>
      <c r="H288" s="5" t="n">
        <f aca="true">ROUND(RAND()*4+6,1)</f>
        <v>8.8</v>
      </c>
      <c r="I288" s="5" t="s">
        <v>19</v>
      </c>
      <c r="J288" s="5" t="str">
        <f aca="false">ROUND(74*1,0)&amp;"%"</f>
        <v>74%</v>
      </c>
    </row>
    <row r="289" customFormat="false" ht="15" hidden="false" customHeight="false" outlineLevel="0" collapsed="false">
      <c r="A289" s="6" t="s">
        <v>11096</v>
      </c>
      <c r="B289" s="6" t="s">
        <v>472</v>
      </c>
      <c r="C289" s="6" t="s">
        <v>76</v>
      </c>
      <c r="D289" s="6" t="s">
        <v>22</v>
      </c>
      <c r="E289" s="6" t="n">
        <f aca="false">ROUND(16140*1.05,2)</f>
        <v>16947</v>
      </c>
      <c r="F289" s="6" t="s">
        <v>52</v>
      </c>
      <c r="G289" s="6" t="s">
        <v>24</v>
      </c>
      <c r="H289" s="6" t="n">
        <f aca="true">ROUND(RAND()*4+6,1)</f>
        <v>6.1</v>
      </c>
      <c r="I289" s="6" t="s">
        <v>25</v>
      </c>
      <c r="J289" s="6" t="str">
        <f aca="false">ROUND(100*1,0)&amp;"%"</f>
        <v>100%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11097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11098</v>
      </c>
      <c r="B294" s="5" t="s">
        <v>476</v>
      </c>
      <c r="C294" s="5" t="s">
        <v>95</v>
      </c>
      <c r="D294" s="5" t="s">
        <v>16</v>
      </c>
      <c r="E294" s="5" t="n">
        <f aca="false">ROUND(14096*1.05,2)</f>
        <v>14800.8</v>
      </c>
      <c r="F294" s="5" t="s">
        <v>17</v>
      </c>
      <c r="G294" s="5" t="s">
        <v>18</v>
      </c>
      <c r="H294" s="5" t="n">
        <f aca="true">ROUND(RAND()*4+6,1)</f>
        <v>8.7</v>
      </c>
      <c r="I294" s="5" t="s">
        <v>19</v>
      </c>
      <c r="J294" s="5" t="str">
        <f aca="false">ROUND(66*1,0)&amp;"%"</f>
        <v>66%</v>
      </c>
    </row>
    <row r="295" customFormat="false" ht="15" hidden="false" customHeight="false" outlineLevel="0" collapsed="false">
      <c r="A295" s="6" t="s">
        <v>11099</v>
      </c>
      <c r="B295" s="6" t="s">
        <v>478</v>
      </c>
      <c r="C295" s="6" t="s">
        <v>95</v>
      </c>
      <c r="D295" s="6" t="s">
        <v>22</v>
      </c>
      <c r="E295" s="6" t="n">
        <f aca="false">ROUND(14910*1.05,2)</f>
        <v>15655.5</v>
      </c>
      <c r="F295" s="6" t="s">
        <v>23</v>
      </c>
      <c r="G295" s="6" t="s">
        <v>24</v>
      </c>
      <c r="H295" s="6" t="n">
        <f aca="true">ROUND(RAND()*4+6,1)</f>
        <v>7.7</v>
      </c>
      <c r="I295" s="6" t="s">
        <v>25</v>
      </c>
      <c r="J295" s="6" t="str">
        <f aca="false">ROUND(74*1,0)&amp;"%"</f>
        <v>74%</v>
      </c>
    </row>
    <row r="296" customFormat="false" ht="15" hidden="false" customHeight="false" outlineLevel="0" collapsed="false">
      <c r="A296" s="5" t="s">
        <v>11100</v>
      </c>
      <c r="B296" s="5" t="s">
        <v>480</v>
      </c>
      <c r="C296" s="5" t="s">
        <v>95</v>
      </c>
      <c r="D296" s="5" t="s">
        <v>28</v>
      </c>
      <c r="E296" s="5" t="n">
        <f aca="false">ROUND(7582*1.05,2)</f>
        <v>7961.1</v>
      </c>
      <c r="F296" s="5" t="s">
        <v>29</v>
      </c>
      <c r="G296" s="5" t="s">
        <v>30</v>
      </c>
      <c r="H296" s="5" t="n">
        <f aca="true">ROUND(RAND()*4+6,1)</f>
        <v>9.1</v>
      </c>
      <c r="I296" s="5" t="s">
        <v>31</v>
      </c>
      <c r="J296" s="5" t="str">
        <f aca="false">ROUND(77*1,0)&amp;"%"</f>
        <v>77%</v>
      </c>
    </row>
    <row r="297" customFormat="false" ht="15" hidden="false" customHeight="false" outlineLevel="0" collapsed="false">
      <c r="A297" s="6" t="s">
        <v>11101</v>
      </c>
      <c r="B297" s="6" t="s">
        <v>482</v>
      </c>
      <c r="C297" s="6" t="s">
        <v>95</v>
      </c>
      <c r="D297" s="6" t="s">
        <v>34</v>
      </c>
      <c r="E297" s="6" t="n">
        <f aca="false">ROUND(17102*1.05,2)</f>
        <v>17957.1</v>
      </c>
      <c r="F297" s="6" t="s">
        <v>35</v>
      </c>
      <c r="G297" s="6" t="s">
        <v>18</v>
      </c>
      <c r="H297" s="6" t="n">
        <f aca="true">ROUND(RAND()*4+6,1)</f>
        <v>6.9</v>
      </c>
      <c r="I297" s="6" t="s">
        <v>36</v>
      </c>
      <c r="J297" s="6" t="str">
        <f aca="false">ROUND(80*1,0)&amp;"%"</f>
        <v>80%</v>
      </c>
    </row>
    <row r="298" customFormat="false" ht="15" hidden="false" customHeight="false" outlineLevel="0" collapsed="false">
      <c r="A298" s="5" t="s">
        <v>11102</v>
      </c>
      <c r="B298" s="5" t="s">
        <v>484</v>
      </c>
      <c r="C298" s="5" t="s">
        <v>95</v>
      </c>
      <c r="D298" s="5" t="s">
        <v>39</v>
      </c>
      <c r="E298" s="5" t="n">
        <f aca="false">ROUND(10045*1.05,2)</f>
        <v>10547.25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ROUND(83*1,0)&amp;"%"</f>
        <v>83%</v>
      </c>
    </row>
    <row r="299" customFormat="false" ht="15" hidden="false" customHeight="false" outlineLevel="0" collapsed="false">
      <c r="A299" s="6" t="s">
        <v>11103</v>
      </c>
      <c r="B299" s="6" t="s">
        <v>486</v>
      </c>
      <c r="C299" s="6" t="s">
        <v>95</v>
      </c>
      <c r="D299" s="6" t="s">
        <v>44</v>
      </c>
      <c r="E299" s="6" t="n">
        <f aca="false">ROUND(12907*1.05,2)</f>
        <v>13552.35</v>
      </c>
      <c r="F299" s="6" t="s">
        <v>45</v>
      </c>
      <c r="G299" s="6" t="s">
        <v>30</v>
      </c>
      <c r="H299" s="6" t="n">
        <f aca="true">ROUND(RAND()*4+6,1)</f>
        <v>6.3</v>
      </c>
      <c r="I299" s="6" t="s">
        <v>46</v>
      </c>
      <c r="J299" s="6" t="str">
        <f aca="false">ROUND(92*1,0)&amp;"%"</f>
        <v>92%</v>
      </c>
    </row>
    <row r="300" customFormat="false" ht="15" hidden="false" customHeight="false" outlineLevel="0" collapsed="false">
      <c r="A300" s="5" t="s">
        <v>11104</v>
      </c>
      <c r="B300" s="5" t="s">
        <v>488</v>
      </c>
      <c r="C300" s="5" t="s">
        <v>95</v>
      </c>
      <c r="D300" s="5" t="s">
        <v>16</v>
      </c>
      <c r="E300" s="5" t="n">
        <f aca="false">ROUND(16960*1.05,2)</f>
        <v>17808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ROUND(97*1,0)&amp;"%"</f>
        <v>97%</v>
      </c>
    </row>
    <row r="301" customFormat="false" ht="15" hidden="false" customHeight="false" outlineLevel="0" collapsed="false">
      <c r="A301" s="6" t="s">
        <v>11105</v>
      </c>
      <c r="B301" s="6" t="s">
        <v>490</v>
      </c>
      <c r="C301" s="6" t="s">
        <v>95</v>
      </c>
      <c r="D301" s="6" t="s">
        <v>22</v>
      </c>
      <c r="E301" s="6" t="n">
        <f aca="false">ROUND(10273*1.05,2)</f>
        <v>10786.65</v>
      </c>
      <c r="F301" s="6" t="s">
        <v>52</v>
      </c>
      <c r="G301" s="6" t="s">
        <v>24</v>
      </c>
      <c r="H301" s="6" t="n">
        <f aca="true">ROUND(RAND()*4+6,1)</f>
        <v>9</v>
      </c>
      <c r="I301" s="6" t="s">
        <v>25</v>
      </c>
      <c r="J301" s="6" t="str">
        <f aca="false">ROUND(77*1,0)&amp;"%"</f>
        <v>77%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11106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11107</v>
      </c>
      <c r="B306" s="5" t="s">
        <v>494</v>
      </c>
      <c r="C306" s="5" t="s">
        <v>114</v>
      </c>
      <c r="D306" s="5" t="s">
        <v>16</v>
      </c>
      <c r="E306" s="5" t="n">
        <f aca="false">ROUND(6594*1.05,2)</f>
        <v>6923.7</v>
      </c>
      <c r="F306" s="5" t="s">
        <v>17</v>
      </c>
      <c r="G306" s="5" t="s">
        <v>18</v>
      </c>
      <c r="H306" s="5" t="n">
        <f aca="true">ROUND(RAND()*4+6,1)</f>
        <v>6.6</v>
      </c>
      <c r="I306" s="5" t="s">
        <v>19</v>
      </c>
      <c r="J306" s="5" t="str">
        <f aca="false">ROUND(77*1,0)&amp;"%"</f>
        <v>77%</v>
      </c>
    </row>
    <row r="307" customFormat="false" ht="15" hidden="false" customHeight="false" outlineLevel="0" collapsed="false">
      <c r="A307" s="6" t="s">
        <v>11108</v>
      </c>
      <c r="B307" s="6" t="s">
        <v>496</v>
      </c>
      <c r="C307" s="6" t="s">
        <v>114</v>
      </c>
      <c r="D307" s="6" t="s">
        <v>22</v>
      </c>
      <c r="E307" s="6" t="n">
        <f aca="false">ROUND(10088*1.05,2)</f>
        <v>10592.4</v>
      </c>
      <c r="F307" s="6" t="s">
        <v>23</v>
      </c>
      <c r="G307" s="6" t="s">
        <v>24</v>
      </c>
      <c r="H307" s="6" t="n">
        <f aca="true">ROUND(RAND()*4+6,1)</f>
        <v>7.4</v>
      </c>
      <c r="I307" s="6" t="s">
        <v>25</v>
      </c>
      <c r="J307" s="6" t="str">
        <f aca="false">ROUND(96*1,0)&amp;"%"</f>
        <v>96%</v>
      </c>
    </row>
    <row r="308" customFormat="false" ht="15" hidden="false" customHeight="false" outlineLevel="0" collapsed="false">
      <c r="A308" s="5" t="s">
        <v>11109</v>
      </c>
      <c r="B308" s="5" t="s">
        <v>498</v>
      </c>
      <c r="C308" s="5" t="s">
        <v>114</v>
      </c>
      <c r="D308" s="5" t="s">
        <v>28</v>
      </c>
      <c r="E308" s="5" t="n">
        <f aca="false">ROUND(7193*1.05,2)</f>
        <v>7552.65</v>
      </c>
      <c r="F308" s="5" t="s">
        <v>29</v>
      </c>
      <c r="G308" s="5" t="s">
        <v>30</v>
      </c>
      <c r="H308" s="5" t="n">
        <f aca="true">ROUND(RAND()*4+6,1)</f>
        <v>8.6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11110</v>
      </c>
      <c r="B309" s="6" t="s">
        <v>500</v>
      </c>
      <c r="C309" s="6" t="s">
        <v>114</v>
      </c>
      <c r="D309" s="6" t="s">
        <v>34</v>
      </c>
      <c r="E309" s="6" t="n">
        <f aca="false">ROUND(4537*1.05,2)</f>
        <v>4763.85</v>
      </c>
      <c r="F309" s="6" t="s">
        <v>35</v>
      </c>
      <c r="G309" s="6" t="s">
        <v>18</v>
      </c>
      <c r="H309" s="6" t="n">
        <f aca="true">ROUND(RAND()*4+6,1)</f>
        <v>9.6</v>
      </c>
      <c r="I309" s="6" t="s">
        <v>36</v>
      </c>
      <c r="J309" s="6" t="str">
        <f aca="false">ROUND(72*1,0)&amp;"%"</f>
        <v>72%</v>
      </c>
    </row>
    <row r="310" customFormat="false" ht="15" hidden="false" customHeight="false" outlineLevel="0" collapsed="false">
      <c r="A310" s="5" t="s">
        <v>11111</v>
      </c>
      <c r="B310" s="5" t="s">
        <v>502</v>
      </c>
      <c r="C310" s="5" t="s">
        <v>114</v>
      </c>
      <c r="D310" s="5" t="s">
        <v>39</v>
      </c>
      <c r="E310" s="5" t="n">
        <f aca="false">ROUND(6292*1.05,2)</f>
        <v>6606.6</v>
      </c>
      <c r="F310" s="5" t="s">
        <v>40</v>
      </c>
      <c r="G310" s="5" t="s">
        <v>24</v>
      </c>
      <c r="H310" s="5" t="n">
        <f aca="true">ROUND(RAND()*4+6,1)</f>
        <v>8.2</v>
      </c>
      <c r="I310" s="5" t="s">
        <v>41</v>
      </c>
      <c r="J310" s="5" t="str">
        <f aca="false">ROUND(92*1,0)&amp;"%"</f>
        <v>92%</v>
      </c>
    </row>
    <row r="311" customFormat="false" ht="15" hidden="false" customHeight="false" outlineLevel="0" collapsed="false">
      <c r="A311" s="6" t="s">
        <v>11112</v>
      </c>
      <c r="B311" s="6" t="s">
        <v>504</v>
      </c>
      <c r="C311" s="6" t="s">
        <v>114</v>
      </c>
      <c r="D311" s="6" t="s">
        <v>44</v>
      </c>
      <c r="E311" s="6" t="n">
        <f aca="false">ROUND(5484*1.05,2)</f>
        <v>5758.2</v>
      </c>
      <c r="F311" s="6" t="s">
        <v>45</v>
      </c>
      <c r="G311" s="6" t="s">
        <v>30</v>
      </c>
      <c r="H311" s="6" t="n">
        <f aca="true">ROUND(RAND()*4+6,1)</f>
        <v>8.5</v>
      </c>
      <c r="I311" s="6" t="s">
        <v>46</v>
      </c>
      <c r="J311" s="6" t="str">
        <f aca="false">ROUND(95*1,0)&amp;"%"</f>
        <v>95%</v>
      </c>
    </row>
    <row r="312" customFormat="false" ht="15" hidden="false" customHeight="false" outlineLevel="0" collapsed="false">
      <c r="A312" s="5" t="s">
        <v>11113</v>
      </c>
      <c r="B312" s="5" t="s">
        <v>506</v>
      </c>
      <c r="C312" s="5" t="s">
        <v>114</v>
      </c>
      <c r="D312" s="5" t="s">
        <v>16</v>
      </c>
      <c r="E312" s="5" t="n">
        <f aca="false">ROUND(17442*1.05,2)</f>
        <v>18314.1</v>
      </c>
      <c r="F312" s="5" t="s">
        <v>49</v>
      </c>
      <c r="G312" s="5" t="s">
        <v>18</v>
      </c>
      <c r="H312" s="5" t="n">
        <f aca="true">ROUND(RAND()*4+6,1)</f>
        <v>7.9</v>
      </c>
      <c r="I312" s="5" t="s">
        <v>19</v>
      </c>
      <c r="J312" s="5" t="str">
        <f aca="false">ROUND(95*1,0)&amp;"%"</f>
        <v>95%</v>
      </c>
    </row>
    <row r="313" customFormat="false" ht="15" hidden="false" customHeight="false" outlineLevel="0" collapsed="false">
      <c r="A313" s="6" t="s">
        <v>11114</v>
      </c>
      <c r="B313" s="6" t="s">
        <v>508</v>
      </c>
      <c r="C313" s="6" t="s">
        <v>114</v>
      </c>
      <c r="D313" s="6" t="s">
        <v>22</v>
      </c>
      <c r="E313" s="6" t="n">
        <f aca="false">ROUND(5517*1.05,2)</f>
        <v>5792.85</v>
      </c>
      <c r="F313" s="6" t="s">
        <v>52</v>
      </c>
      <c r="G313" s="6" t="s">
        <v>24</v>
      </c>
      <c r="H313" s="6" t="n">
        <f aca="true">ROUND(RAND()*4+6,1)</f>
        <v>7.4</v>
      </c>
      <c r="I313" s="6" t="s">
        <v>25</v>
      </c>
      <c r="J313" s="6" t="str">
        <f aca="false">ROUND(99*1,0)&amp;"%"</f>
        <v>99%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11115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11116</v>
      </c>
      <c r="B318" s="5" t="s">
        <v>512</v>
      </c>
      <c r="C318" s="5" t="s">
        <v>133</v>
      </c>
      <c r="D318" s="5" t="s">
        <v>16</v>
      </c>
      <c r="E318" s="5" t="n">
        <f aca="false">ROUND(15618*1.05,2)</f>
        <v>16398.9</v>
      </c>
      <c r="F318" s="5" t="s">
        <v>17</v>
      </c>
      <c r="G318" s="5" t="s">
        <v>18</v>
      </c>
      <c r="H318" s="5" t="n">
        <f aca="true">ROUND(RAND()*4+6,1)</f>
        <v>9.9</v>
      </c>
      <c r="I318" s="5" t="s">
        <v>19</v>
      </c>
      <c r="J318" s="5" t="str">
        <f aca="false">ROUND(83*1,0)&amp;"%"</f>
        <v>83%</v>
      </c>
    </row>
    <row r="319" customFormat="false" ht="15" hidden="false" customHeight="false" outlineLevel="0" collapsed="false">
      <c r="A319" s="6" t="s">
        <v>11117</v>
      </c>
      <c r="B319" s="6" t="s">
        <v>514</v>
      </c>
      <c r="C319" s="6" t="s">
        <v>133</v>
      </c>
      <c r="D319" s="6" t="s">
        <v>22</v>
      </c>
      <c r="E319" s="6" t="n">
        <f aca="false">ROUND(5048*1.05,2)</f>
        <v>5300.4</v>
      </c>
      <c r="F319" s="6" t="s">
        <v>23</v>
      </c>
      <c r="G319" s="6" t="s">
        <v>24</v>
      </c>
      <c r="H319" s="6" t="n">
        <f aca="true">ROUND(RAND()*4+6,1)</f>
        <v>8.8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11118</v>
      </c>
      <c r="B320" s="5" t="s">
        <v>516</v>
      </c>
      <c r="C320" s="5" t="s">
        <v>133</v>
      </c>
      <c r="D320" s="5" t="s">
        <v>28</v>
      </c>
      <c r="E320" s="5" t="n">
        <f aca="false">ROUND(6737*1.05,2)</f>
        <v>7073.85</v>
      </c>
      <c r="F320" s="5" t="s">
        <v>29</v>
      </c>
      <c r="G320" s="5" t="s">
        <v>30</v>
      </c>
      <c r="H320" s="5" t="n">
        <f aca="true">ROUND(RAND()*4+6,1)</f>
        <v>7.1</v>
      </c>
      <c r="I320" s="5" t="s">
        <v>31</v>
      </c>
      <c r="J320" s="5" t="str">
        <f aca="false">ROUND(96*1,0)&amp;"%"</f>
        <v>96%</v>
      </c>
    </row>
    <row r="321" customFormat="false" ht="15" hidden="false" customHeight="false" outlineLevel="0" collapsed="false">
      <c r="A321" s="6" t="s">
        <v>11119</v>
      </c>
      <c r="B321" s="6" t="s">
        <v>518</v>
      </c>
      <c r="C321" s="6" t="s">
        <v>133</v>
      </c>
      <c r="D321" s="6" t="s">
        <v>34</v>
      </c>
      <c r="E321" s="6" t="n">
        <f aca="false">ROUND(13349*1.05,2)</f>
        <v>14016.45</v>
      </c>
      <c r="F321" s="6" t="s">
        <v>35</v>
      </c>
      <c r="G321" s="6" t="s">
        <v>18</v>
      </c>
      <c r="H321" s="6" t="n">
        <f aca="true">ROUND(RAND()*4+6,1)</f>
        <v>6.6</v>
      </c>
      <c r="I321" s="6" t="s">
        <v>36</v>
      </c>
      <c r="J321" s="6" t="str">
        <f aca="false">ROUND(96*1,0)&amp;"%"</f>
        <v>96%</v>
      </c>
    </row>
    <row r="322" customFormat="false" ht="15" hidden="false" customHeight="false" outlineLevel="0" collapsed="false">
      <c r="A322" s="5" t="s">
        <v>11120</v>
      </c>
      <c r="B322" s="5" t="s">
        <v>520</v>
      </c>
      <c r="C322" s="5" t="s">
        <v>133</v>
      </c>
      <c r="D322" s="5" t="s">
        <v>39</v>
      </c>
      <c r="E322" s="5" t="n">
        <f aca="false">ROUND(16680*1.05,2)</f>
        <v>17514</v>
      </c>
      <c r="F322" s="5" t="s">
        <v>40</v>
      </c>
      <c r="G322" s="5" t="s">
        <v>24</v>
      </c>
      <c r="H322" s="5" t="n">
        <f aca="true">ROUND(RAND()*4+6,1)</f>
        <v>6.1</v>
      </c>
      <c r="I322" s="5" t="s">
        <v>41</v>
      </c>
      <c r="J322" s="5" t="str">
        <f aca="false">ROUND(82*1,0)&amp;"%"</f>
        <v>82%</v>
      </c>
    </row>
    <row r="323" customFormat="false" ht="15" hidden="false" customHeight="false" outlineLevel="0" collapsed="false">
      <c r="A323" s="6" t="s">
        <v>11121</v>
      </c>
      <c r="B323" s="6" t="s">
        <v>522</v>
      </c>
      <c r="C323" s="6" t="s">
        <v>133</v>
      </c>
      <c r="D323" s="6" t="s">
        <v>44</v>
      </c>
      <c r="E323" s="6" t="n">
        <f aca="false">ROUND(6894*1.05,2)</f>
        <v>7238.7</v>
      </c>
      <c r="F323" s="6" t="s">
        <v>45</v>
      </c>
      <c r="G323" s="6" t="s">
        <v>30</v>
      </c>
      <c r="H323" s="6" t="n">
        <f aca="true">ROUND(RAND()*4+6,1)</f>
        <v>7.6</v>
      </c>
      <c r="I323" s="6" t="s">
        <v>46</v>
      </c>
      <c r="J323" s="6" t="str">
        <f aca="false">ROUND(69*1,0)&amp;"%"</f>
        <v>69%</v>
      </c>
    </row>
    <row r="324" customFormat="false" ht="15" hidden="false" customHeight="false" outlineLevel="0" collapsed="false">
      <c r="A324" s="5" t="s">
        <v>11122</v>
      </c>
      <c r="B324" s="5" t="s">
        <v>524</v>
      </c>
      <c r="C324" s="5" t="s">
        <v>133</v>
      </c>
      <c r="D324" s="5" t="s">
        <v>16</v>
      </c>
      <c r="E324" s="5" t="n">
        <f aca="false">ROUND(5736*1.05,2)</f>
        <v>6022.8</v>
      </c>
      <c r="F324" s="5" t="s">
        <v>49</v>
      </c>
      <c r="G324" s="5" t="s">
        <v>18</v>
      </c>
      <c r="H324" s="5" t="n">
        <f aca="true">ROUND(RAND()*4+6,1)</f>
        <v>8.7</v>
      </c>
      <c r="I324" s="5" t="s">
        <v>19</v>
      </c>
      <c r="J324" s="5" t="str">
        <f aca="false">ROUND(70*1,0)&amp;"%"</f>
        <v>70%</v>
      </c>
    </row>
    <row r="325" customFormat="false" ht="15" hidden="false" customHeight="false" outlineLevel="0" collapsed="false">
      <c r="A325" s="6" t="s">
        <v>11123</v>
      </c>
      <c r="B325" s="6" t="s">
        <v>526</v>
      </c>
      <c r="C325" s="6" t="s">
        <v>133</v>
      </c>
      <c r="D325" s="6" t="s">
        <v>22</v>
      </c>
      <c r="E325" s="6" t="n">
        <f aca="false">ROUND(12001*1.05,2)</f>
        <v>12601.05</v>
      </c>
      <c r="F325" s="6" t="s">
        <v>52</v>
      </c>
      <c r="G325" s="6" t="s">
        <v>24</v>
      </c>
      <c r="H325" s="6" t="n">
        <f aca="true">ROUND(RAND()*4+6,1)</f>
        <v>8.9</v>
      </c>
      <c r="I325" s="6" t="s">
        <v>25</v>
      </c>
      <c r="J325" s="6" t="str">
        <f aca="false">ROUND(79*1,0)&amp;"%"</f>
        <v>79%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11124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11125</v>
      </c>
      <c r="B330" s="5" t="s">
        <v>530</v>
      </c>
      <c r="C330" s="5" t="s">
        <v>152</v>
      </c>
      <c r="D330" s="5" t="s">
        <v>16</v>
      </c>
      <c r="E330" s="5" t="n">
        <f aca="false">ROUND(15664*1.05,2)</f>
        <v>16447.2</v>
      </c>
      <c r="F330" s="5" t="s">
        <v>17</v>
      </c>
      <c r="G330" s="5" t="s">
        <v>18</v>
      </c>
      <c r="H330" s="5" t="n">
        <f aca="true">ROUND(RAND()*4+6,1)</f>
        <v>8.1</v>
      </c>
      <c r="I330" s="5" t="s">
        <v>19</v>
      </c>
      <c r="J330" s="5" t="str">
        <f aca="false">ROUND(70*1,0)&amp;"%"</f>
        <v>70%</v>
      </c>
    </row>
    <row r="331" customFormat="false" ht="15" hidden="false" customHeight="false" outlineLevel="0" collapsed="false">
      <c r="A331" s="6" t="s">
        <v>11126</v>
      </c>
      <c r="B331" s="6" t="s">
        <v>532</v>
      </c>
      <c r="C331" s="6" t="s">
        <v>152</v>
      </c>
      <c r="D331" s="6" t="s">
        <v>22</v>
      </c>
      <c r="E331" s="6" t="n">
        <f aca="false">ROUND(6884*1.05,2)</f>
        <v>7228.2</v>
      </c>
      <c r="F331" s="6" t="s">
        <v>23</v>
      </c>
      <c r="G331" s="6" t="s">
        <v>24</v>
      </c>
      <c r="H331" s="6" t="n">
        <f aca="true">ROUND(RAND()*4+6,1)</f>
        <v>9.5</v>
      </c>
      <c r="I331" s="6" t="s">
        <v>25</v>
      </c>
      <c r="J331" s="6" t="str">
        <f aca="false">ROUND(95*1,0)&amp;"%"</f>
        <v>95%</v>
      </c>
    </row>
    <row r="332" customFormat="false" ht="15" hidden="false" customHeight="false" outlineLevel="0" collapsed="false">
      <c r="A332" s="5" t="s">
        <v>11127</v>
      </c>
      <c r="B332" s="5" t="s">
        <v>534</v>
      </c>
      <c r="C332" s="5" t="s">
        <v>152</v>
      </c>
      <c r="D332" s="5" t="s">
        <v>28</v>
      </c>
      <c r="E332" s="5" t="n">
        <f aca="false">ROUND(12681*1.05,2)</f>
        <v>13315.05</v>
      </c>
      <c r="F332" s="5" t="s">
        <v>29</v>
      </c>
      <c r="G332" s="5" t="s">
        <v>30</v>
      </c>
      <c r="H332" s="5" t="n">
        <f aca="true">ROUND(RAND()*4+6,1)</f>
        <v>9.3</v>
      </c>
      <c r="I332" s="5" t="s">
        <v>31</v>
      </c>
      <c r="J332" s="5" t="str">
        <f aca="false">ROUND(89*1,0)&amp;"%"</f>
        <v>89%</v>
      </c>
    </row>
    <row r="333" customFormat="false" ht="15" hidden="false" customHeight="false" outlineLevel="0" collapsed="false">
      <c r="A333" s="6" t="s">
        <v>11128</v>
      </c>
      <c r="B333" s="6" t="s">
        <v>536</v>
      </c>
      <c r="C333" s="6" t="s">
        <v>152</v>
      </c>
      <c r="D333" s="6" t="s">
        <v>34</v>
      </c>
      <c r="E333" s="6" t="n">
        <f aca="false">ROUND(13438*1.05,2)</f>
        <v>14109.9</v>
      </c>
      <c r="F333" s="6" t="s">
        <v>35</v>
      </c>
      <c r="G333" s="6" t="s">
        <v>18</v>
      </c>
      <c r="H333" s="6" t="n">
        <f aca="true">ROUND(RAND()*4+6,1)</f>
        <v>9.6</v>
      </c>
      <c r="I333" s="6" t="s">
        <v>36</v>
      </c>
      <c r="J333" s="6" t="str">
        <f aca="false">ROUND(96*1,0)&amp;"%"</f>
        <v>96%</v>
      </c>
    </row>
    <row r="334" customFormat="false" ht="15" hidden="false" customHeight="false" outlineLevel="0" collapsed="false">
      <c r="A334" s="5" t="s">
        <v>11129</v>
      </c>
      <c r="B334" s="5" t="s">
        <v>538</v>
      </c>
      <c r="C334" s="5" t="s">
        <v>152</v>
      </c>
      <c r="D334" s="5" t="s">
        <v>39</v>
      </c>
      <c r="E334" s="5" t="n">
        <f aca="false">ROUND(8470*1.05,2)</f>
        <v>8893.5</v>
      </c>
      <c r="F334" s="5" t="s">
        <v>40</v>
      </c>
      <c r="G334" s="5" t="s">
        <v>24</v>
      </c>
      <c r="H334" s="5" t="n">
        <f aca="true">ROUND(RAND()*4+6,1)</f>
        <v>6.6</v>
      </c>
      <c r="I334" s="5" t="s">
        <v>41</v>
      </c>
      <c r="J334" s="5" t="str">
        <f aca="false">ROUND(99*1,0)&amp;"%"</f>
        <v>99%</v>
      </c>
    </row>
    <row r="335" customFormat="false" ht="15" hidden="false" customHeight="false" outlineLevel="0" collapsed="false">
      <c r="A335" s="6" t="s">
        <v>11130</v>
      </c>
      <c r="B335" s="6" t="s">
        <v>540</v>
      </c>
      <c r="C335" s="6" t="s">
        <v>152</v>
      </c>
      <c r="D335" s="6" t="s">
        <v>44</v>
      </c>
      <c r="E335" s="6" t="n">
        <f aca="false">ROUND(15379*1.05,2)</f>
        <v>16147.95</v>
      </c>
      <c r="F335" s="6" t="s">
        <v>45</v>
      </c>
      <c r="G335" s="6" t="s">
        <v>30</v>
      </c>
      <c r="H335" s="6" t="n">
        <f aca="true">ROUND(RAND()*4+6,1)</f>
        <v>10</v>
      </c>
      <c r="I335" s="6" t="s">
        <v>46</v>
      </c>
      <c r="J335" s="6" t="str">
        <f aca="false">ROUND(90*1,0)&amp;"%"</f>
        <v>90%</v>
      </c>
    </row>
    <row r="336" customFormat="false" ht="15" hidden="false" customHeight="false" outlineLevel="0" collapsed="false">
      <c r="A336" s="5" t="s">
        <v>11131</v>
      </c>
      <c r="B336" s="5" t="s">
        <v>542</v>
      </c>
      <c r="C336" s="5" t="s">
        <v>152</v>
      </c>
      <c r="D336" s="5" t="s">
        <v>16</v>
      </c>
      <c r="E336" s="5" t="n">
        <f aca="false">ROUND(13601*1.05,2)</f>
        <v>14281.05</v>
      </c>
      <c r="F336" s="5" t="s">
        <v>49</v>
      </c>
      <c r="G336" s="5" t="s">
        <v>18</v>
      </c>
      <c r="H336" s="5" t="n">
        <f aca="true">ROUND(RAND()*4+6,1)</f>
        <v>6.4</v>
      </c>
      <c r="I336" s="5" t="s">
        <v>19</v>
      </c>
      <c r="J336" s="5" t="str">
        <f aca="false">ROUND(86*1,0)&amp;"%"</f>
        <v>86%</v>
      </c>
    </row>
    <row r="337" customFormat="false" ht="15" hidden="false" customHeight="false" outlineLevel="0" collapsed="false">
      <c r="A337" s="6" t="s">
        <v>11132</v>
      </c>
      <c r="B337" s="6" t="s">
        <v>544</v>
      </c>
      <c r="C337" s="6" t="s">
        <v>152</v>
      </c>
      <c r="D337" s="6" t="s">
        <v>22</v>
      </c>
      <c r="E337" s="6" t="n">
        <f aca="false">ROUND(10545*1.05,2)</f>
        <v>11072.25</v>
      </c>
      <c r="F337" s="6" t="s">
        <v>52</v>
      </c>
      <c r="G337" s="6" t="s">
        <v>24</v>
      </c>
      <c r="H337" s="6" t="n">
        <f aca="true">ROUND(RAND()*4+6,1)</f>
        <v>8.9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11133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11134</v>
      </c>
      <c r="B342" s="5" t="s">
        <v>548</v>
      </c>
      <c r="C342" s="5" t="s">
        <v>15</v>
      </c>
      <c r="D342" s="5" t="s">
        <v>16</v>
      </c>
      <c r="E342" s="5" t="n">
        <f aca="false">ROUND(12581*1.05,2)</f>
        <v>13210.05</v>
      </c>
      <c r="F342" s="5" t="s">
        <v>17</v>
      </c>
      <c r="G342" s="5" t="s">
        <v>18</v>
      </c>
      <c r="H342" s="5" t="n">
        <f aca="true">ROUND(RAND()*4+6,1)</f>
        <v>6.8</v>
      </c>
      <c r="I342" s="5" t="s">
        <v>19</v>
      </c>
      <c r="J342" s="5" t="str">
        <f aca="false">ROUND(72*1,0)&amp;"%"</f>
        <v>72%</v>
      </c>
    </row>
    <row r="343" customFormat="false" ht="15" hidden="false" customHeight="false" outlineLevel="0" collapsed="false">
      <c r="A343" s="6" t="s">
        <v>11135</v>
      </c>
      <c r="B343" s="6" t="s">
        <v>550</v>
      </c>
      <c r="C343" s="6" t="s">
        <v>15</v>
      </c>
      <c r="D343" s="6" t="s">
        <v>22</v>
      </c>
      <c r="E343" s="6" t="n">
        <f aca="false">ROUND(11556*1.05,2)</f>
        <v>12133.8</v>
      </c>
      <c r="F343" s="6" t="s">
        <v>23</v>
      </c>
      <c r="G343" s="6" t="s">
        <v>24</v>
      </c>
      <c r="H343" s="6" t="n">
        <f aca="true">ROUND(RAND()*4+6,1)</f>
        <v>7.8</v>
      </c>
      <c r="I343" s="6" t="s">
        <v>25</v>
      </c>
      <c r="J343" s="6" t="str">
        <f aca="false">ROUND(60*1,0)&amp;"%"</f>
        <v>60%</v>
      </c>
    </row>
    <row r="344" customFormat="false" ht="15" hidden="false" customHeight="false" outlineLevel="0" collapsed="false">
      <c r="A344" s="5" t="s">
        <v>11136</v>
      </c>
      <c r="B344" s="5" t="s">
        <v>552</v>
      </c>
      <c r="C344" s="5" t="s">
        <v>15</v>
      </c>
      <c r="D344" s="5" t="s">
        <v>28</v>
      </c>
      <c r="E344" s="5" t="n">
        <f aca="false">ROUND(7299*1.05,2)</f>
        <v>7663.95</v>
      </c>
      <c r="F344" s="5" t="s">
        <v>29</v>
      </c>
      <c r="G344" s="5" t="s">
        <v>30</v>
      </c>
      <c r="H344" s="5" t="n">
        <f aca="true">ROUND(RAND()*4+6,1)</f>
        <v>9.8</v>
      </c>
      <c r="I344" s="5" t="s">
        <v>31</v>
      </c>
      <c r="J344" s="5" t="str">
        <f aca="false">ROUND(92*1,0)&amp;"%"</f>
        <v>92%</v>
      </c>
    </row>
    <row r="345" customFormat="false" ht="15" hidden="false" customHeight="false" outlineLevel="0" collapsed="false">
      <c r="A345" s="6" t="s">
        <v>11137</v>
      </c>
      <c r="B345" s="6" t="s">
        <v>554</v>
      </c>
      <c r="C345" s="6" t="s">
        <v>15</v>
      </c>
      <c r="D345" s="6" t="s">
        <v>34</v>
      </c>
      <c r="E345" s="6" t="n">
        <f aca="false">ROUND(11384*1.05,2)</f>
        <v>11953.2</v>
      </c>
      <c r="F345" s="6" t="s">
        <v>35</v>
      </c>
      <c r="G345" s="6" t="s">
        <v>18</v>
      </c>
      <c r="H345" s="6" t="n">
        <f aca="true">ROUND(RAND()*4+6,1)</f>
        <v>9</v>
      </c>
      <c r="I345" s="6" t="s">
        <v>36</v>
      </c>
      <c r="J345" s="6" t="str">
        <f aca="false">ROUND(89*1,0)&amp;"%"</f>
        <v>89%</v>
      </c>
    </row>
    <row r="346" customFormat="false" ht="15" hidden="false" customHeight="false" outlineLevel="0" collapsed="false">
      <c r="A346" s="5" t="s">
        <v>11138</v>
      </c>
      <c r="B346" s="5" t="s">
        <v>556</v>
      </c>
      <c r="C346" s="5" t="s">
        <v>15</v>
      </c>
      <c r="D346" s="5" t="s">
        <v>39</v>
      </c>
      <c r="E346" s="5" t="n">
        <f aca="false">ROUND(12878*1.05,2)</f>
        <v>13521.9</v>
      </c>
      <c r="F346" s="5" t="s">
        <v>40</v>
      </c>
      <c r="G346" s="5" t="s">
        <v>24</v>
      </c>
      <c r="H346" s="5" t="n">
        <f aca="true">ROUND(RAND()*4+6,1)</f>
        <v>9.2</v>
      </c>
      <c r="I346" s="5" t="s">
        <v>41</v>
      </c>
      <c r="J346" s="5" t="str">
        <f aca="false">ROUND(67*1,0)&amp;"%"</f>
        <v>67%</v>
      </c>
    </row>
    <row r="347" customFormat="false" ht="15" hidden="false" customHeight="false" outlineLevel="0" collapsed="false">
      <c r="A347" s="6" t="s">
        <v>11139</v>
      </c>
      <c r="B347" s="6" t="s">
        <v>558</v>
      </c>
      <c r="C347" s="6" t="s">
        <v>15</v>
      </c>
      <c r="D347" s="6" t="s">
        <v>44</v>
      </c>
      <c r="E347" s="6" t="n">
        <f aca="false">ROUND(14584*1.05,2)</f>
        <v>15313.2</v>
      </c>
      <c r="F347" s="6" t="s">
        <v>45</v>
      </c>
      <c r="G347" s="6" t="s">
        <v>30</v>
      </c>
      <c r="H347" s="6" t="n">
        <f aca="true">ROUND(RAND()*4+6,1)</f>
        <v>6.6</v>
      </c>
      <c r="I347" s="6" t="s">
        <v>46</v>
      </c>
      <c r="J347" s="6" t="str">
        <f aca="false">ROUND(98*1,0)&amp;"%"</f>
        <v>98%</v>
      </c>
    </row>
    <row r="348" customFormat="false" ht="15" hidden="false" customHeight="false" outlineLevel="0" collapsed="false">
      <c r="A348" s="5" t="s">
        <v>11140</v>
      </c>
      <c r="B348" s="5" t="s">
        <v>560</v>
      </c>
      <c r="C348" s="5" t="s">
        <v>15</v>
      </c>
      <c r="D348" s="5" t="s">
        <v>16</v>
      </c>
      <c r="E348" s="5" t="n">
        <f aca="false">ROUND(17532*1.05,2)</f>
        <v>18408.6</v>
      </c>
      <c r="F348" s="5" t="s">
        <v>49</v>
      </c>
      <c r="G348" s="5" t="s">
        <v>18</v>
      </c>
      <c r="H348" s="5" t="n">
        <f aca="true">ROUND(RAND()*4+6,1)</f>
        <v>6.3</v>
      </c>
      <c r="I348" s="5" t="s">
        <v>19</v>
      </c>
      <c r="J348" s="5" t="str">
        <f aca="false">ROUND(98*1,0)&amp;"%"</f>
        <v>98%</v>
      </c>
    </row>
    <row r="349" customFormat="false" ht="15" hidden="false" customHeight="false" outlineLevel="0" collapsed="false">
      <c r="A349" s="6" t="s">
        <v>11141</v>
      </c>
      <c r="B349" s="6" t="s">
        <v>562</v>
      </c>
      <c r="C349" s="6" t="s">
        <v>15</v>
      </c>
      <c r="D349" s="6" t="s">
        <v>22</v>
      </c>
      <c r="E349" s="6" t="n">
        <f aca="false">ROUND(13437*1.05,2)</f>
        <v>14108.85</v>
      </c>
      <c r="F349" s="6" t="s">
        <v>52</v>
      </c>
      <c r="G349" s="6" t="s">
        <v>24</v>
      </c>
      <c r="H349" s="6" t="n">
        <f aca="true">ROUND(RAND()*4+6,1)</f>
        <v>7.1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11142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11143</v>
      </c>
      <c r="B354" s="5" t="s">
        <v>566</v>
      </c>
      <c r="C354" s="5" t="s">
        <v>57</v>
      </c>
      <c r="D354" s="5" t="s">
        <v>16</v>
      </c>
      <c r="E354" s="5" t="n">
        <f aca="false">ROUND(14562*1.05,2)</f>
        <v>15290.1</v>
      </c>
      <c r="F354" s="5" t="s">
        <v>17</v>
      </c>
      <c r="G354" s="5" t="s">
        <v>18</v>
      </c>
      <c r="H354" s="5" t="n">
        <f aca="true">ROUND(RAND()*4+6,1)</f>
        <v>7.7</v>
      </c>
      <c r="I354" s="5" t="s">
        <v>19</v>
      </c>
      <c r="J354" s="5" t="str">
        <f aca="false">ROUND(92*1,0)&amp;"%"</f>
        <v>92%</v>
      </c>
    </row>
    <row r="355" customFormat="false" ht="15" hidden="false" customHeight="false" outlineLevel="0" collapsed="false">
      <c r="A355" s="6" t="s">
        <v>11144</v>
      </c>
      <c r="B355" s="6" t="s">
        <v>568</v>
      </c>
      <c r="C355" s="6" t="s">
        <v>57</v>
      </c>
      <c r="D355" s="6" t="s">
        <v>22</v>
      </c>
      <c r="E355" s="6" t="n">
        <f aca="false">ROUND(8208*1.05,2)</f>
        <v>8618.4</v>
      </c>
      <c r="F355" s="6" t="s">
        <v>23</v>
      </c>
      <c r="G355" s="6" t="s">
        <v>24</v>
      </c>
      <c r="H355" s="6" t="n">
        <f aca="true">ROUND(RAND()*4+6,1)</f>
        <v>7.8</v>
      </c>
      <c r="I355" s="6" t="s">
        <v>25</v>
      </c>
      <c r="J355" s="6" t="str">
        <f aca="false">ROUND(74*1,0)&amp;"%"</f>
        <v>74%</v>
      </c>
    </row>
    <row r="356" customFormat="false" ht="15" hidden="false" customHeight="false" outlineLevel="0" collapsed="false">
      <c r="A356" s="5" t="s">
        <v>11145</v>
      </c>
      <c r="B356" s="5" t="s">
        <v>570</v>
      </c>
      <c r="C356" s="5" t="s">
        <v>57</v>
      </c>
      <c r="D356" s="5" t="s">
        <v>28</v>
      </c>
      <c r="E356" s="5" t="n">
        <f aca="false">ROUND(12391*1.05,2)</f>
        <v>13010.55</v>
      </c>
      <c r="F356" s="5" t="s">
        <v>29</v>
      </c>
      <c r="G356" s="5" t="s">
        <v>30</v>
      </c>
      <c r="H356" s="5" t="n">
        <f aca="true">ROUND(RAND()*4+6,1)</f>
        <v>6</v>
      </c>
      <c r="I356" s="5" t="s">
        <v>31</v>
      </c>
      <c r="J356" s="5" t="str">
        <f aca="false">ROUND(78*1,0)&amp;"%"</f>
        <v>78%</v>
      </c>
    </row>
    <row r="357" customFormat="false" ht="15" hidden="false" customHeight="false" outlineLevel="0" collapsed="false">
      <c r="A357" s="6" t="s">
        <v>11146</v>
      </c>
      <c r="B357" s="6" t="s">
        <v>572</v>
      </c>
      <c r="C357" s="6" t="s">
        <v>57</v>
      </c>
      <c r="D357" s="6" t="s">
        <v>34</v>
      </c>
      <c r="E357" s="6" t="n">
        <f aca="false">ROUND(12948*1.05,2)</f>
        <v>13595.4</v>
      </c>
      <c r="F357" s="6" t="s">
        <v>35</v>
      </c>
      <c r="G357" s="6" t="s">
        <v>18</v>
      </c>
      <c r="H357" s="6" t="n">
        <f aca="true">ROUND(RAND()*4+6,1)</f>
        <v>9.8</v>
      </c>
      <c r="I357" s="6" t="s">
        <v>36</v>
      </c>
      <c r="J357" s="6" t="str">
        <f aca="false">ROUND(65*1,0)&amp;"%"</f>
        <v>65%</v>
      </c>
    </row>
    <row r="358" customFormat="false" ht="15" hidden="false" customHeight="false" outlineLevel="0" collapsed="false">
      <c r="A358" s="5" t="s">
        <v>11147</v>
      </c>
      <c r="B358" s="5" t="s">
        <v>574</v>
      </c>
      <c r="C358" s="5" t="s">
        <v>57</v>
      </c>
      <c r="D358" s="5" t="s">
        <v>39</v>
      </c>
      <c r="E358" s="5" t="n">
        <f aca="false">ROUND(12217*1.05,2)</f>
        <v>12827.85</v>
      </c>
      <c r="F358" s="5" t="s">
        <v>40</v>
      </c>
      <c r="G358" s="5" t="s">
        <v>24</v>
      </c>
      <c r="H358" s="5" t="n">
        <f aca="true">ROUND(RAND()*4+6,1)</f>
        <v>7.3</v>
      </c>
      <c r="I358" s="5" t="s">
        <v>41</v>
      </c>
      <c r="J358" s="5" t="str">
        <f aca="false">ROUND(81*1,0)&amp;"%"</f>
        <v>81%</v>
      </c>
    </row>
    <row r="359" customFormat="false" ht="15" hidden="false" customHeight="false" outlineLevel="0" collapsed="false">
      <c r="A359" s="6" t="s">
        <v>11148</v>
      </c>
      <c r="B359" s="6" t="s">
        <v>576</v>
      </c>
      <c r="C359" s="6" t="s">
        <v>57</v>
      </c>
      <c r="D359" s="6" t="s">
        <v>44</v>
      </c>
      <c r="E359" s="6" t="n">
        <f aca="false">ROUND(16802*1.05,2)</f>
        <v>17642.1</v>
      </c>
      <c r="F359" s="6" t="s">
        <v>45</v>
      </c>
      <c r="G359" s="6" t="s">
        <v>30</v>
      </c>
      <c r="H359" s="6" t="n">
        <f aca="true">ROUND(RAND()*4+6,1)</f>
        <v>9.6</v>
      </c>
      <c r="I359" s="6" t="s">
        <v>46</v>
      </c>
      <c r="J359" s="6" t="str">
        <f aca="false">ROUND(81*1,0)&amp;"%"</f>
        <v>81%</v>
      </c>
    </row>
    <row r="360" customFormat="false" ht="15" hidden="false" customHeight="false" outlineLevel="0" collapsed="false">
      <c r="A360" s="5" t="s">
        <v>11149</v>
      </c>
      <c r="B360" s="5" t="s">
        <v>578</v>
      </c>
      <c r="C360" s="5" t="s">
        <v>57</v>
      </c>
      <c r="D360" s="5" t="s">
        <v>16</v>
      </c>
      <c r="E360" s="5" t="n">
        <f aca="false">ROUND(12387*1.05,2)</f>
        <v>13006.35</v>
      </c>
      <c r="F360" s="5" t="s">
        <v>49</v>
      </c>
      <c r="G360" s="5" t="s">
        <v>18</v>
      </c>
      <c r="H360" s="5" t="n">
        <f aca="true">ROUND(RAND()*4+6,1)</f>
        <v>9.1</v>
      </c>
      <c r="I360" s="5" t="s">
        <v>19</v>
      </c>
      <c r="J360" s="5" t="str">
        <f aca="false">ROUND(84*1,0)&amp;"%"</f>
        <v>84%</v>
      </c>
    </row>
    <row r="361" customFormat="false" ht="15" hidden="false" customHeight="false" outlineLevel="0" collapsed="false">
      <c r="A361" s="6" t="s">
        <v>11150</v>
      </c>
      <c r="B361" s="6" t="s">
        <v>580</v>
      </c>
      <c r="C361" s="6" t="s">
        <v>57</v>
      </c>
      <c r="D361" s="6" t="s">
        <v>22</v>
      </c>
      <c r="E361" s="6" t="n">
        <f aca="false">ROUND(16610*1.05,2)</f>
        <v>17440.5</v>
      </c>
      <c r="F361" s="6" t="s">
        <v>52</v>
      </c>
      <c r="G361" s="6" t="s">
        <v>24</v>
      </c>
      <c r="H361" s="6" t="n">
        <f aca="true">ROUND(RAND()*4+6,1)</f>
        <v>6.9</v>
      </c>
      <c r="I361" s="6" t="s">
        <v>25</v>
      </c>
      <c r="J361" s="6" t="str">
        <f aca="false">ROUND(69*1,0)&amp;"%"</f>
        <v>69%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11151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11152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11153</v>
      </c>
      <c r="B6" s="5" t="s">
        <v>14</v>
      </c>
      <c r="C6" s="5" t="s">
        <v>15</v>
      </c>
      <c r="D6" s="5" t="s">
        <v>16</v>
      </c>
      <c r="E6" s="5" t="n">
        <f aca="false">ROUND(9126*1.05,2)</f>
        <v>9582.3</v>
      </c>
      <c r="F6" s="5" t="s">
        <v>17</v>
      </c>
      <c r="G6" s="5" t="s">
        <v>18</v>
      </c>
      <c r="H6" s="5" t="n">
        <f aca="true">ROUND(RAND()*4+6,1)</f>
        <v>7.1</v>
      </c>
      <c r="I6" s="5" t="s">
        <v>19</v>
      </c>
      <c r="J6" s="5" t="str">
        <f aca="false">ROUND(64*1,0)&amp;"%"</f>
        <v>64%</v>
      </c>
    </row>
    <row r="7" customFormat="false" ht="15" hidden="false" customHeight="false" outlineLevel="0" collapsed="false">
      <c r="A7" s="6" t="s">
        <v>11154</v>
      </c>
      <c r="B7" s="6" t="s">
        <v>21</v>
      </c>
      <c r="C7" s="6" t="s">
        <v>15</v>
      </c>
      <c r="D7" s="6" t="s">
        <v>22</v>
      </c>
      <c r="E7" s="6" t="n">
        <f aca="false">ROUND(13978*1.05,2)</f>
        <v>14676.9</v>
      </c>
      <c r="F7" s="6" t="s">
        <v>23</v>
      </c>
      <c r="G7" s="6" t="s">
        <v>24</v>
      </c>
      <c r="H7" s="6" t="n">
        <f aca="true">ROUND(RAND()*4+6,1)</f>
        <v>7.7</v>
      </c>
      <c r="I7" s="6" t="s">
        <v>25</v>
      </c>
      <c r="J7" s="6" t="str">
        <f aca="false">ROUND(74*1,0)&amp;"%"</f>
        <v>74%</v>
      </c>
    </row>
    <row r="8" customFormat="false" ht="15" hidden="false" customHeight="false" outlineLevel="0" collapsed="false">
      <c r="A8" s="5" t="s">
        <v>11155</v>
      </c>
      <c r="B8" s="5" t="s">
        <v>27</v>
      </c>
      <c r="C8" s="5" t="s">
        <v>15</v>
      </c>
      <c r="D8" s="5" t="s">
        <v>28</v>
      </c>
      <c r="E8" s="5" t="n">
        <f aca="false">ROUND(9218*1.05,2)</f>
        <v>9678.9</v>
      </c>
      <c r="F8" s="5" t="s">
        <v>29</v>
      </c>
      <c r="G8" s="5" t="s">
        <v>30</v>
      </c>
      <c r="H8" s="5" t="n">
        <f aca="true">ROUND(RAND()*4+6,1)</f>
        <v>9.7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11156</v>
      </c>
      <c r="B9" s="6" t="s">
        <v>33</v>
      </c>
      <c r="C9" s="6" t="s">
        <v>15</v>
      </c>
      <c r="D9" s="6" t="s">
        <v>34</v>
      </c>
      <c r="E9" s="6" t="n">
        <f aca="false">ROUND(5582*1.05,2)</f>
        <v>5861.1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ROUND(95*1,0)&amp;"%"</f>
        <v>95%</v>
      </c>
    </row>
    <row r="10" customFormat="false" ht="15" hidden="false" customHeight="false" outlineLevel="0" collapsed="false">
      <c r="A10" s="5" t="s">
        <v>11157</v>
      </c>
      <c r="B10" s="5" t="s">
        <v>38</v>
      </c>
      <c r="C10" s="5" t="s">
        <v>15</v>
      </c>
      <c r="D10" s="5" t="s">
        <v>39</v>
      </c>
      <c r="E10" s="5" t="n">
        <f aca="false">ROUND(11029*1.05,2)</f>
        <v>11580.45</v>
      </c>
      <c r="F10" s="5" t="s">
        <v>40</v>
      </c>
      <c r="G10" s="5" t="s">
        <v>24</v>
      </c>
      <c r="H10" s="5" t="n">
        <f aca="true">ROUND(RAND()*4+6,1)</f>
        <v>8.7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11158</v>
      </c>
      <c r="B11" s="6" t="s">
        <v>43</v>
      </c>
      <c r="C11" s="6" t="s">
        <v>15</v>
      </c>
      <c r="D11" s="6" t="s">
        <v>44</v>
      </c>
      <c r="E11" s="6" t="n">
        <f aca="false">ROUND(12244*1.05,2)</f>
        <v>12856.2</v>
      </c>
      <c r="F11" s="6" t="s">
        <v>45</v>
      </c>
      <c r="G11" s="6" t="s">
        <v>30</v>
      </c>
      <c r="H11" s="6" t="n">
        <f aca="true">ROUND(RAND()*4+6,1)</f>
        <v>6.4</v>
      </c>
      <c r="I11" s="6" t="s">
        <v>46</v>
      </c>
      <c r="J11" s="6" t="str">
        <f aca="false">ROUND(96*1,0)&amp;"%"</f>
        <v>96%</v>
      </c>
    </row>
    <row r="12" customFormat="false" ht="15" hidden="false" customHeight="false" outlineLevel="0" collapsed="false">
      <c r="A12" s="5" t="s">
        <v>11159</v>
      </c>
      <c r="B12" s="5" t="s">
        <v>48</v>
      </c>
      <c r="C12" s="5" t="s">
        <v>15</v>
      </c>
      <c r="D12" s="5" t="s">
        <v>16</v>
      </c>
      <c r="E12" s="5" t="n">
        <f aca="false">ROUND(9285*1.05,2)</f>
        <v>9749.25</v>
      </c>
      <c r="F12" s="5" t="s">
        <v>49</v>
      </c>
      <c r="G12" s="5" t="s">
        <v>18</v>
      </c>
      <c r="H12" s="5" t="n">
        <f aca="true">ROUND(RAND()*4+6,1)</f>
        <v>7.3</v>
      </c>
      <c r="I12" s="5" t="s">
        <v>19</v>
      </c>
      <c r="J12" s="5" t="str">
        <f aca="false">ROUND(80*1,0)&amp;"%"</f>
        <v>80%</v>
      </c>
    </row>
    <row r="13" customFormat="false" ht="15" hidden="false" customHeight="false" outlineLevel="0" collapsed="false">
      <c r="A13" s="6" t="s">
        <v>11160</v>
      </c>
      <c r="B13" s="6" t="s">
        <v>51</v>
      </c>
      <c r="C13" s="6" t="s">
        <v>15</v>
      </c>
      <c r="D13" s="6" t="s">
        <v>22</v>
      </c>
      <c r="E13" s="6" t="n">
        <f aca="false">ROUND(6356*1.05,2)</f>
        <v>6673.8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ROUND(83*1,0)&amp;"%"</f>
        <v>83%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11161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11162</v>
      </c>
      <c r="B18" s="5" t="s">
        <v>56</v>
      </c>
      <c r="C18" s="5" t="s">
        <v>57</v>
      </c>
      <c r="D18" s="5" t="s">
        <v>16</v>
      </c>
      <c r="E18" s="5" t="n">
        <f aca="false">ROUND(14572*1.05,2)</f>
        <v>15300.6</v>
      </c>
      <c r="F18" s="5" t="s">
        <v>17</v>
      </c>
      <c r="G18" s="5" t="s">
        <v>18</v>
      </c>
      <c r="H18" s="5" t="n">
        <f aca="true">ROUND(RAND()*4+6,1)</f>
        <v>8.8</v>
      </c>
      <c r="I18" s="5" t="s">
        <v>19</v>
      </c>
      <c r="J18" s="5" t="str">
        <f aca="false">ROUND(95*1,0)&amp;"%"</f>
        <v>95%</v>
      </c>
    </row>
    <row r="19" customFormat="false" ht="15" hidden="false" customHeight="false" outlineLevel="0" collapsed="false">
      <c r="A19" s="6" t="s">
        <v>11163</v>
      </c>
      <c r="B19" s="6" t="s">
        <v>59</v>
      </c>
      <c r="C19" s="6" t="s">
        <v>57</v>
      </c>
      <c r="D19" s="6" t="s">
        <v>22</v>
      </c>
      <c r="E19" s="6" t="n">
        <f aca="false">ROUND(5349*1.05,2)</f>
        <v>5616.45</v>
      </c>
      <c r="F19" s="6" t="s">
        <v>23</v>
      </c>
      <c r="G19" s="6" t="s">
        <v>24</v>
      </c>
      <c r="H19" s="6" t="n">
        <f aca="true">ROUND(RAND()*4+6,1)</f>
        <v>7.9</v>
      </c>
      <c r="I19" s="6" t="s">
        <v>25</v>
      </c>
      <c r="J19" s="6" t="str">
        <f aca="false">ROUND(95*1,0)&amp;"%"</f>
        <v>95%</v>
      </c>
    </row>
    <row r="20" customFormat="false" ht="15" hidden="false" customHeight="false" outlineLevel="0" collapsed="false">
      <c r="A20" s="5" t="s">
        <v>11164</v>
      </c>
      <c r="B20" s="5" t="s">
        <v>61</v>
      </c>
      <c r="C20" s="5" t="s">
        <v>57</v>
      </c>
      <c r="D20" s="5" t="s">
        <v>28</v>
      </c>
      <c r="E20" s="5" t="n">
        <f aca="false">ROUND(17314*1.05,2)</f>
        <v>18179.7</v>
      </c>
      <c r="F20" s="5" t="s">
        <v>29</v>
      </c>
      <c r="G20" s="5" t="s">
        <v>30</v>
      </c>
      <c r="H20" s="5" t="n">
        <f aca="true">ROUND(RAND()*4+6,1)</f>
        <v>8.8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11165</v>
      </c>
      <c r="B21" s="6" t="s">
        <v>63</v>
      </c>
      <c r="C21" s="6" t="s">
        <v>57</v>
      </c>
      <c r="D21" s="6" t="s">
        <v>34</v>
      </c>
      <c r="E21" s="6" t="n">
        <f aca="false">ROUND(15033*1.05,2)</f>
        <v>15784.65</v>
      </c>
      <c r="F21" s="6" t="s">
        <v>35</v>
      </c>
      <c r="G21" s="6" t="s">
        <v>18</v>
      </c>
      <c r="H21" s="6" t="n">
        <f aca="true">ROUND(RAND()*4+6,1)</f>
        <v>7.1</v>
      </c>
      <c r="I21" s="6" t="s">
        <v>36</v>
      </c>
      <c r="J21" s="6" t="str">
        <f aca="false">ROUND(74*1,0)&amp;"%"</f>
        <v>74%</v>
      </c>
    </row>
    <row r="22" customFormat="false" ht="15" hidden="false" customHeight="false" outlineLevel="0" collapsed="false">
      <c r="A22" s="5" t="s">
        <v>11166</v>
      </c>
      <c r="B22" s="5" t="s">
        <v>65</v>
      </c>
      <c r="C22" s="5" t="s">
        <v>57</v>
      </c>
      <c r="D22" s="5" t="s">
        <v>39</v>
      </c>
      <c r="E22" s="5" t="n">
        <f aca="false">ROUND(11453*1.05,2)</f>
        <v>12025.65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ROUND(91*1,0)&amp;"%"</f>
        <v>91%</v>
      </c>
    </row>
    <row r="23" customFormat="false" ht="15" hidden="false" customHeight="false" outlineLevel="0" collapsed="false">
      <c r="A23" s="6" t="s">
        <v>11167</v>
      </c>
      <c r="B23" s="6" t="s">
        <v>67</v>
      </c>
      <c r="C23" s="6" t="s">
        <v>57</v>
      </c>
      <c r="D23" s="6" t="s">
        <v>44</v>
      </c>
      <c r="E23" s="6" t="n">
        <f aca="false">ROUND(16378*1.05,2)</f>
        <v>17196.9</v>
      </c>
      <c r="F23" s="6" t="s">
        <v>45</v>
      </c>
      <c r="G23" s="6" t="s">
        <v>30</v>
      </c>
      <c r="H23" s="6" t="n">
        <f aca="true">ROUND(RAND()*4+6,1)</f>
        <v>7.8</v>
      </c>
      <c r="I23" s="6" t="s">
        <v>46</v>
      </c>
      <c r="J23" s="6" t="str">
        <f aca="false">ROUND(99*1,0)&amp;"%"</f>
        <v>99%</v>
      </c>
    </row>
    <row r="24" customFormat="false" ht="15" hidden="false" customHeight="false" outlineLevel="0" collapsed="false">
      <c r="A24" s="5" t="s">
        <v>11168</v>
      </c>
      <c r="B24" s="5" t="s">
        <v>69</v>
      </c>
      <c r="C24" s="5" t="s">
        <v>57</v>
      </c>
      <c r="D24" s="5" t="s">
        <v>16</v>
      </c>
      <c r="E24" s="5" t="n">
        <f aca="false">ROUND(17157*1.05,2)</f>
        <v>18014.85</v>
      </c>
      <c r="F24" s="5" t="s">
        <v>49</v>
      </c>
      <c r="G24" s="5" t="s">
        <v>18</v>
      </c>
      <c r="H24" s="5" t="n">
        <f aca="true">ROUND(RAND()*4+6,1)</f>
        <v>8.8</v>
      </c>
      <c r="I24" s="5" t="s">
        <v>19</v>
      </c>
      <c r="J24" s="5" t="str">
        <f aca="false">ROUND(83*1,0)&amp;"%"</f>
        <v>83%</v>
      </c>
    </row>
    <row r="25" customFormat="false" ht="15" hidden="false" customHeight="false" outlineLevel="0" collapsed="false">
      <c r="A25" s="6" t="s">
        <v>11169</v>
      </c>
      <c r="B25" s="6" t="s">
        <v>71</v>
      </c>
      <c r="C25" s="6" t="s">
        <v>57</v>
      </c>
      <c r="D25" s="6" t="s">
        <v>22</v>
      </c>
      <c r="E25" s="6" t="n">
        <f aca="false">ROUND(12925*1.05,2)</f>
        <v>13571.25</v>
      </c>
      <c r="F25" s="6" t="s">
        <v>52</v>
      </c>
      <c r="G25" s="6" t="s">
        <v>24</v>
      </c>
      <c r="H25" s="6" t="n">
        <f aca="true">ROUND(RAND()*4+6,1)</f>
        <v>7.2</v>
      </c>
      <c r="I25" s="6" t="s">
        <v>25</v>
      </c>
      <c r="J25" s="6" t="str">
        <f aca="false">ROUND(65*1,0)&amp;"%"</f>
        <v>65%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11170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11171</v>
      </c>
      <c r="B30" s="5" t="s">
        <v>75</v>
      </c>
      <c r="C30" s="5" t="s">
        <v>76</v>
      </c>
      <c r="D30" s="5" t="s">
        <v>16</v>
      </c>
      <c r="E30" s="5" t="n">
        <f aca="false">ROUND(9061*1.05,2)</f>
        <v>9514.05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ROUND(90*1,0)&amp;"%"</f>
        <v>90%</v>
      </c>
    </row>
    <row r="31" customFormat="false" ht="15" hidden="false" customHeight="false" outlineLevel="0" collapsed="false">
      <c r="A31" s="6" t="s">
        <v>11172</v>
      </c>
      <c r="B31" s="6" t="s">
        <v>78</v>
      </c>
      <c r="C31" s="6" t="s">
        <v>76</v>
      </c>
      <c r="D31" s="6" t="s">
        <v>22</v>
      </c>
      <c r="E31" s="6" t="n">
        <f aca="false">ROUND(9108*1.05,2)</f>
        <v>9563.4</v>
      </c>
      <c r="F31" s="6" t="s">
        <v>23</v>
      </c>
      <c r="G31" s="6" t="s">
        <v>24</v>
      </c>
      <c r="H31" s="6" t="n">
        <f aca="true">ROUND(RAND()*4+6,1)</f>
        <v>7.4</v>
      </c>
      <c r="I31" s="6" t="s">
        <v>25</v>
      </c>
      <c r="J31" s="6" t="str">
        <f aca="false">ROUND(71*1,0)&amp;"%"</f>
        <v>71%</v>
      </c>
    </row>
    <row r="32" customFormat="false" ht="15" hidden="false" customHeight="false" outlineLevel="0" collapsed="false">
      <c r="A32" s="5" t="s">
        <v>11173</v>
      </c>
      <c r="B32" s="5" t="s">
        <v>80</v>
      </c>
      <c r="C32" s="5" t="s">
        <v>76</v>
      </c>
      <c r="D32" s="5" t="s">
        <v>28</v>
      </c>
      <c r="E32" s="5" t="n">
        <f aca="false">ROUND(14193*1.05,2)</f>
        <v>14902.65</v>
      </c>
      <c r="F32" s="5" t="s">
        <v>29</v>
      </c>
      <c r="G32" s="5" t="s">
        <v>30</v>
      </c>
      <c r="H32" s="5" t="n">
        <f aca="true">ROUND(RAND()*4+6,1)</f>
        <v>6.3</v>
      </c>
      <c r="I32" s="5" t="s">
        <v>31</v>
      </c>
      <c r="J32" s="5" t="str">
        <f aca="false">ROUND(82*1,0)&amp;"%"</f>
        <v>82%</v>
      </c>
    </row>
    <row r="33" customFormat="false" ht="15" hidden="false" customHeight="false" outlineLevel="0" collapsed="false">
      <c r="A33" s="6" t="s">
        <v>11174</v>
      </c>
      <c r="B33" s="6" t="s">
        <v>82</v>
      </c>
      <c r="C33" s="6" t="s">
        <v>76</v>
      </c>
      <c r="D33" s="6" t="s">
        <v>34</v>
      </c>
      <c r="E33" s="6" t="n">
        <f aca="false">ROUND(12118*1.05,2)</f>
        <v>12723.9</v>
      </c>
      <c r="F33" s="6" t="s">
        <v>35</v>
      </c>
      <c r="G33" s="6" t="s">
        <v>18</v>
      </c>
      <c r="H33" s="6" t="n">
        <f aca="true">ROUND(RAND()*4+6,1)</f>
        <v>9.2</v>
      </c>
      <c r="I33" s="6" t="s">
        <v>36</v>
      </c>
      <c r="J33" s="6" t="str">
        <f aca="false">ROUND(88*1,0)&amp;"%"</f>
        <v>88%</v>
      </c>
    </row>
    <row r="34" customFormat="false" ht="15" hidden="false" customHeight="false" outlineLevel="0" collapsed="false">
      <c r="A34" s="5" t="s">
        <v>11175</v>
      </c>
      <c r="B34" s="5" t="s">
        <v>84</v>
      </c>
      <c r="C34" s="5" t="s">
        <v>76</v>
      </c>
      <c r="D34" s="5" t="s">
        <v>39</v>
      </c>
      <c r="E34" s="5" t="n">
        <f aca="false">ROUND(17169*1.05,2)</f>
        <v>18027.45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ROUND(71*1,0)&amp;"%"</f>
        <v>71%</v>
      </c>
    </row>
    <row r="35" customFormat="false" ht="15" hidden="false" customHeight="false" outlineLevel="0" collapsed="false">
      <c r="A35" s="6" t="s">
        <v>11176</v>
      </c>
      <c r="B35" s="6" t="s">
        <v>86</v>
      </c>
      <c r="C35" s="6" t="s">
        <v>76</v>
      </c>
      <c r="D35" s="6" t="s">
        <v>44</v>
      </c>
      <c r="E35" s="6" t="n">
        <f aca="false">ROUND(14368*1.05,2)</f>
        <v>15086.4</v>
      </c>
      <c r="F35" s="6" t="s">
        <v>45</v>
      </c>
      <c r="G35" s="6" t="s">
        <v>30</v>
      </c>
      <c r="H35" s="6" t="n">
        <f aca="true">ROUND(RAND()*4+6,1)</f>
        <v>6.4</v>
      </c>
      <c r="I35" s="6" t="s">
        <v>46</v>
      </c>
      <c r="J35" s="6" t="str">
        <f aca="false">ROUND(77*1,0)&amp;"%"</f>
        <v>77%</v>
      </c>
    </row>
    <row r="36" customFormat="false" ht="15" hidden="false" customHeight="false" outlineLevel="0" collapsed="false">
      <c r="A36" s="5" t="s">
        <v>11177</v>
      </c>
      <c r="B36" s="5" t="s">
        <v>88</v>
      </c>
      <c r="C36" s="5" t="s">
        <v>76</v>
      </c>
      <c r="D36" s="5" t="s">
        <v>16</v>
      </c>
      <c r="E36" s="5" t="n">
        <f aca="false">ROUND(11650*1.05,2)</f>
        <v>12232.5</v>
      </c>
      <c r="F36" s="5" t="s">
        <v>49</v>
      </c>
      <c r="G36" s="5" t="s">
        <v>18</v>
      </c>
      <c r="H36" s="5" t="n">
        <f aca="true">ROUND(RAND()*4+6,1)</f>
        <v>6.2</v>
      </c>
      <c r="I36" s="5" t="s">
        <v>19</v>
      </c>
      <c r="J36" s="5" t="str">
        <f aca="false">ROUND(89*1,0)&amp;"%"</f>
        <v>89%</v>
      </c>
    </row>
    <row r="37" customFormat="false" ht="15" hidden="false" customHeight="false" outlineLevel="0" collapsed="false">
      <c r="A37" s="6" t="s">
        <v>11178</v>
      </c>
      <c r="B37" s="6" t="s">
        <v>90</v>
      </c>
      <c r="C37" s="6" t="s">
        <v>76</v>
      </c>
      <c r="D37" s="6" t="s">
        <v>22</v>
      </c>
      <c r="E37" s="6" t="n">
        <f aca="false">ROUND(11479*1.05,2)</f>
        <v>12052.95</v>
      </c>
      <c r="F37" s="6" t="s">
        <v>52</v>
      </c>
      <c r="G37" s="6" t="s">
        <v>24</v>
      </c>
      <c r="H37" s="6" t="n">
        <f aca="true">ROUND(RAND()*4+6,1)</f>
        <v>9.9</v>
      </c>
      <c r="I37" s="6" t="s">
        <v>25</v>
      </c>
      <c r="J37" s="6" t="str">
        <f aca="false">ROUND(77*1,0)&amp;"%"</f>
        <v>77%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11179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11180</v>
      </c>
      <c r="B42" s="5" t="s">
        <v>94</v>
      </c>
      <c r="C42" s="5" t="s">
        <v>95</v>
      </c>
      <c r="D42" s="5" t="s">
        <v>16</v>
      </c>
      <c r="E42" s="5" t="n">
        <f aca="false">ROUND(13543*1.05,2)</f>
        <v>14220.15</v>
      </c>
      <c r="F42" s="5" t="s">
        <v>17</v>
      </c>
      <c r="G42" s="5" t="s">
        <v>18</v>
      </c>
      <c r="H42" s="5" t="n">
        <f aca="true">ROUND(RAND()*4+6,1)</f>
        <v>6.9</v>
      </c>
      <c r="I42" s="5" t="s">
        <v>19</v>
      </c>
      <c r="J42" s="5" t="str">
        <f aca="false">ROUND(79*1,0)&amp;"%"</f>
        <v>79%</v>
      </c>
    </row>
    <row r="43" customFormat="false" ht="15" hidden="false" customHeight="false" outlineLevel="0" collapsed="false">
      <c r="A43" s="6" t="s">
        <v>11181</v>
      </c>
      <c r="B43" s="6" t="s">
        <v>97</v>
      </c>
      <c r="C43" s="6" t="s">
        <v>95</v>
      </c>
      <c r="D43" s="6" t="s">
        <v>22</v>
      </c>
      <c r="E43" s="6" t="n">
        <f aca="false">ROUND(4924*1.05,2)</f>
        <v>5170.2</v>
      </c>
      <c r="F43" s="6" t="s">
        <v>23</v>
      </c>
      <c r="G43" s="6" t="s">
        <v>24</v>
      </c>
      <c r="H43" s="6" t="n">
        <f aca="true">ROUND(RAND()*4+6,1)</f>
        <v>6.3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11182</v>
      </c>
      <c r="B44" s="5" t="s">
        <v>99</v>
      </c>
      <c r="C44" s="5" t="s">
        <v>95</v>
      </c>
      <c r="D44" s="5" t="s">
        <v>28</v>
      </c>
      <c r="E44" s="5" t="n">
        <f aca="false">ROUND(16877*1.05,2)</f>
        <v>17720.85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ROUND(90*1,0)&amp;"%"</f>
        <v>90%</v>
      </c>
    </row>
    <row r="45" customFormat="false" ht="15" hidden="false" customHeight="false" outlineLevel="0" collapsed="false">
      <c r="A45" s="6" t="s">
        <v>11183</v>
      </c>
      <c r="B45" s="6" t="s">
        <v>101</v>
      </c>
      <c r="C45" s="6" t="s">
        <v>95</v>
      </c>
      <c r="D45" s="6" t="s">
        <v>34</v>
      </c>
      <c r="E45" s="6" t="n">
        <f aca="false">ROUND(9012*1.05,2)</f>
        <v>9462.6</v>
      </c>
      <c r="F45" s="6" t="s">
        <v>35</v>
      </c>
      <c r="G45" s="6" t="s">
        <v>18</v>
      </c>
      <c r="H45" s="6" t="n">
        <f aca="true">ROUND(RAND()*4+6,1)</f>
        <v>7.5</v>
      </c>
      <c r="I45" s="6" t="s">
        <v>36</v>
      </c>
      <c r="J45" s="6" t="str">
        <f aca="false">ROUND(74*1,0)&amp;"%"</f>
        <v>74%</v>
      </c>
    </row>
    <row r="46" customFormat="false" ht="15" hidden="false" customHeight="false" outlineLevel="0" collapsed="false">
      <c r="A46" s="5" t="s">
        <v>11184</v>
      </c>
      <c r="B46" s="5" t="s">
        <v>103</v>
      </c>
      <c r="C46" s="5" t="s">
        <v>95</v>
      </c>
      <c r="D46" s="5" t="s">
        <v>39</v>
      </c>
      <c r="E46" s="5" t="n">
        <f aca="false">ROUND(13766*1.05,2)</f>
        <v>14454.3</v>
      </c>
      <c r="F46" s="5" t="s">
        <v>40</v>
      </c>
      <c r="G46" s="5" t="s">
        <v>24</v>
      </c>
      <c r="H46" s="5" t="n">
        <f aca="true">ROUND(RAND()*4+6,1)</f>
        <v>7.5</v>
      </c>
      <c r="I46" s="5" t="s">
        <v>41</v>
      </c>
      <c r="J46" s="5" t="str">
        <f aca="false">ROUND(73*1,0)&amp;"%"</f>
        <v>73%</v>
      </c>
    </row>
    <row r="47" customFormat="false" ht="15" hidden="false" customHeight="false" outlineLevel="0" collapsed="false">
      <c r="A47" s="6" t="s">
        <v>11185</v>
      </c>
      <c r="B47" s="6" t="s">
        <v>105</v>
      </c>
      <c r="C47" s="6" t="s">
        <v>95</v>
      </c>
      <c r="D47" s="6" t="s">
        <v>44</v>
      </c>
      <c r="E47" s="6" t="n">
        <f aca="false">ROUND(4926*1.05,2)</f>
        <v>5172.3</v>
      </c>
      <c r="F47" s="6" t="s">
        <v>45</v>
      </c>
      <c r="G47" s="6" t="s">
        <v>30</v>
      </c>
      <c r="H47" s="6" t="n">
        <f aca="true">ROUND(RAND()*4+6,1)</f>
        <v>6.1</v>
      </c>
      <c r="I47" s="6" t="s">
        <v>46</v>
      </c>
      <c r="J47" s="6" t="str">
        <f aca="false">ROUND(66*1,0)&amp;"%"</f>
        <v>66%</v>
      </c>
    </row>
    <row r="48" customFormat="false" ht="15" hidden="false" customHeight="false" outlineLevel="0" collapsed="false">
      <c r="A48" s="5" t="s">
        <v>11186</v>
      </c>
      <c r="B48" s="5" t="s">
        <v>107</v>
      </c>
      <c r="C48" s="5" t="s">
        <v>95</v>
      </c>
      <c r="D48" s="5" t="s">
        <v>16</v>
      </c>
      <c r="E48" s="5" t="n">
        <f aca="false">ROUND(11741*1.05,2)</f>
        <v>12328.05</v>
      </c>
      <c r="F48" s="5" t="s">
        <v>49</v>
      </c>
      <c r="G48" s="5" t="s">
        <v>18</v>
      </c>
      <c r="H48" s="5" t="n">
        <f aca="true">ROUND(RAND()*4+6,1)</f>
        <v>7</v>
      </c>
      <c r="I48" s="5" t="s">
        <v>19</v>
      </c>
      <c r="J48" s="5" t="str">
        <f aca="false">ROUND(72*1,0)&amp;"%"</f>
        <v>72%</v>
      </c>
    </row>
    <row r="49" customFormat="false" ht="15" hidden="false" customHeight="false" outlineLevel="0" collapsed="false">
      <c r="A49" s="6" t="s">
        <v>11187</v>
      </c>
      <c r="B49" s="6" t="s">
        <v>109</v>
      </c>
      <c r="C49" s="6" t="s">
        <v>95</v>
      </c>
      <c r="D49" s="6" t="s">
        <v>22</v>
      </c>
      <c r="E49" s="6" t="n">
        <f aca="false">ROUND(4836*1.05,2)</f>
        <v>5077.8</v>
      </c>
      <c r="F49" s="6" t="s">
        <v>52</v>
      </c>
      <c r="G49" s="6" t="s">
        <v>24</v>
      </c>
      <c r="H49" s="6" t="n">
        <f aca="true">ROUND(RAND()*4+6,1)</f>
        <v>6.1</v>
      </c>
      <c r="I49" s="6" t="s">
        <v>25</v>
      </c>
      <c r="J49" s="6" t="str">
        <f aca="false">ROUND(72*1,0)&amp;"%"</f>
        <v>72%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11188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11189</v>
      </c>
      <c r="B54" s="5" t="s">
        <v>113</v>
      </c>
      <c r="C54" s="5" t="s">
        <v>114</v>
      </c>
      <c r="D54" s="5" t="s">
        <v>16</v>
      </c>
      <c r="E54" s="5" t="n">
        <f aca="false">ROUND(9109*1.05,2)</f>
        <v>9564.45</v>
      </c>
      <c r="F54" s="5" t="s">
        <v>17</v>
      </c>
      <c r="G54" s="5" t="s">
        <v>18</v>
      </c>
      <c r="H54" s="5" t="n">
        <f aca="true">ROUND(RAND()*4+6,1)</f>
        <v>8.2</v>
      </c>
      <c r="I54" s="5" t="s">
        <v>19</v>
      </c>
      <c r="J54" s="5" t="str">
        <f aca="false">ROUND(99*1,0)&amp;"%"</f>
        <v>99%</v>
      </c>
    </row>
    <row r="55" customFormat="false" ht="15" hidden="false" customHeight="false" outlineLevel="0" collapsed="false">
      <c r="A55" s="6" t="s">
        <v>11190</v>
      </c>
      <c r="B55" s="6" t="s">
        <v>116</v>
      </c>
      <c r="C55" s="6" t="s">
        <v>114</v>
      </c>
      <c r="D55" s="6" t="s">
        <v>22</v>
      </c>
      <c r="E55" s="6" t="n">
        <f aca="false">ROUND(16263*1.05,2)</f>
        <v>17076.15</v>
      </c>
      <c r="F55" s="6" t="s">
        <v>23</v>
      </c>
      <c r="G55" s="6" t="s">
        <v>24</v>
      </c>
      <c r="H55" s="6" t="n">
        <f aca="true">ROUND(RAND()*4+6,1)</f>
        <v>6.9</v>
      </c>
      <c r="I55" s="6" t="s">
        <v>25</v>
      </c>
      <c r="J55" s="6" t="str">
        <f aca="false">ROUND(90*1,0)&amp;"%"</f>
        <v>90%</v>
      </c>
    </row>
    <row r="56" customFormat="false" ht="15" hidden="false" customHeight="false" outlineLevel="0" collapsed="false">
      <c r="A56" s="5" t="s">
        <v>11191</v>
      </c>
      <c r="B56" s="5" t="s">
        <v>118</v>
      </c>
      <c r="C56" s="5" t="s">
        <v>114</v>
      </c>
      <c r="D56" s="5" t="s">
        <v>28</v>
      </c>
      <c r="E56" s="5" t="n">
        <f aca="false">ROUND(11927*1.05,2)</f>
        <v>12523.35</v>
      </c>
      <c r="F56" s="5" t="s">
        <v>29</v>
      </c>
      <c r="G56" s="5" t="s">
        <v>30</v>
      </c>
      <c r="H56" s="5" t="n">
        <f aca="true">ROUND(RAND()*4+6,1)</f>
        <v>9.7</v>
      </c>
      <c r="I56" s="5" t="s">
        <v>31</v>
      </c>
      <c r="J56" s="5" t="str">
        <f aca="false">ROUND(87*1,0)&amp;"%"</f>
        <v>87%</v>
      </c>
    </row>
    <row r="57" customFormat="false" ht="15" hidden="false" customHeight="false" outlineLevel="0" collapsed="false">
      <c r="A57" s="6" t="s">
        <v>11192</v>
      </c>
      <c r="B57" s="6" t="s">
        <v>120</v>
      </c>
      <c r="C57" s="6" t="s">
        <v>114</v>
      </c>
      <c r="D57" s="6" t="s">
        <v>34</v>
      </c>
      <c r="E57" s="6" t="n">
        <f aca="false">ROUND(11397*1.05,2)</f>
        <v>11966.85</v>
      </c>
      <c r="F57" s="6" t="s">
        <v>35</v>
      </c>
      <c r="G57" s="6" t="s">
        <v>18</v>
      </c>
      <c r="H57" s="6" t="n">
        <f aca="true">ROUND(RAND()*4+6,1)</f>
        <v>8</v>
      </c>
      <c r="I57" s="6" t="s">
        <v>36</v>
      </c>
      <c r="J57" s="6" t="str">
        <f aca="false">ROUND(65*1,0)&amp;"%"</f>
        <v>65%</v>
      </c>
    </row>
    <row r="58" customFormat="false" ht="15" hidden="false" customHeight="false" outlineLevel="0" collapsed="false">
      <c r="A58" s="5" t="s">
        <v>11193</v>
      </c>
      <c r="B58" s="5" t="s">
        <v>122</v>
      </c>
      <c r="C58" s="5" t="s">
        <v>114</v>
      </c>
      <c r="D58" s="5" t="s">
        <v>39</v>
      </c>
      <c r="E58" s="5" t="n">
        <f aca="false">ROUND(14618*1.05,2)</f>
        <v>15348.9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ROUND(77*1,0)&amp;"%"</f>
        <v>77%</v>
      </c>
    </row>
    <row r="59" customFormat="false" ht="15" hidden="false" customHeight="false" outlineLevel="0" collapsed="false">
      <c r="A59" s="6" t="s">
        <v>11194</v>
      </c>
      <c r="B59" s="6" t="s">
        <v>124</v>
      </c>
      <c r="C59" s="6" t="s">
        <v>114</v>
      </c>
      <c r="D59" s="6" t="s">
        <v>44</v>
      </c>
      <c r="E59" s="6" t="n">
        <f aca="false">ROUND(7980*1.05,2)</f>
        <v>8379</v>
      </c>
      <c r="F59" s="6" t="s">
        <v>45</v>
      </c>
      <c r="G59" s="6" t="s">
        <v>30</v>
      </c>
      <c r="H59" s="6" t="n">
        <f aca="true">ROUND(RAND()*4+6,1)</f>
        <v>9.1</v>
      </c>
      <c r="I59" s="6" t="s">
        <v>46</v>
      </c>
      <c r="J59" s="6" t="str">
        <f aca="false">ROUND(82*1,0)&amp;"%"</f>
        <v>82%</v>
      </c>
    </row>
    <row r="60" customFormat="false" ht="15" hidden="false" customHeight="false" outlineLevel="0" collapsed="false">
      <c r="A60" s="5" t="s">
        <v>11195</v>
      </c>
      <c r="B60" s="5" t="s">
        <v>126</v>
      </c>
      <c r="C60" s="5" t="s">
        <v>114</v>
      </c>
      <c r="D60" s="5" t="s">
        <v>16</v>
      </c>
      <c r="E60" s="5" t="n">
        <f aca="false">ROUND(11417*1.05,2)</f>
        <v>11987.85</v>
      </c>
      <c r="F60" s="5" t="s">
        <v>49</v>
      </c>
      <c r="G60" s="5" t="s">
        <v>18</v>
      </c>
      <c r="H60" s="5" t="n">
        <f aca="true">ROUND(RAND()*4+6,1)</f>
        <v>7.9</v>
      </c>
      <c r="I60" s="5" t="s">
        <v>19</v>
      </c>
      <c r="J60" s="5" t="str">
        <f aca="false">ROUND(94*1,0)&amp;"%"</f>
        <v>94%</v>
      </c>
    </row>
    <row r="61" customFormat="false" ht="15" hidden="false" customHeight="false" outlineLevel="0" collapsed="false">
      <c r="A61" s="6" t="s">
        <v>11196</v>
      </c>
      <c r="B61" s="6" t="s">
        <v>128</v>
      </c>
      <c r="C61" s="6" t="s">
        <v>114</v>
      </c>
      <c r="D61" s="6" t="s">
        <v>22</v>
      </c>
      <c r="E61" s="6" t="n">
        <f aca="false">ROUND(7378*1.05,2)</f>
        <v>7746.9</v>
      </c>
      <c r="F61" s="6" t="s">
        <v>52</v>
      </c>
      <c r="G61" s="6" t="s">
        <v>24</v>
      </c>
      <c r="H61" s="6" t="n">
        <f aca="true">ROUND(RAND()*4+6,1)</f>
        <v>8</v>
      </c>
      <c r="I61" s="6" t="s">
        <v>25</v>
      </c>
      <c r="J61" s="6" t="str">
        <f aca="false">ROUND(74*1,0)&amp;"%"</f>
        <v>74%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11197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11198</v>
      </c>
      <c r="B66" s="5" t="s">
        <v>132</v>
      </c>
      <c r="C66" s="5" t="s">
        <v>133</v>
      </c>
      <c r="D66" s="5" t="s">
        <v>16</v>
      </c>
      <c r="E66" s="5" t="n">
        <f aca="false">ROUND(11622*1.05,2)</f>
        <v>12203.1</v>
      </c>
      <c r="F66" s="5" t="s">
        <v>17</v>
      </c>
      <c r="G66" s="5" t="s">
        <v>18</v>
      </c>
      <c r="H66" s="5" t="n">
        <f aca="true">ROUND(RAND()*4+6,1)</f>
        <v>9.8</v>
      </c>
      <c r="I66" s="5" t="s">
        <v>19</v>
      </c>
      <c r="J66" s="5" t="str">
        <f aca="false">ROUND(98*1,0)&amp;"%"</f>
        <v>98%</v>
      </c>
    </row>
    <row r="67" customFormat="false" ht="15" hidden="false" customHeight="false" outlineLevel="0" collapsed="false">
      <c r="A67" s="6" t="s">
        <v>11199</v>
      </c>
      <c r="B67" s="6" t="s">
        <v>135</v>
      </c>
      <c r="C67" s="6" t="s">
        <v>133</v>
      </c>
      <c r="D67" s="6" t="s">
        <v>22</v>
      </c>
      <c r="E67" s="6" t="n">
        <f aca="false">ROUND(16019*1.05,2)</f>
        <v>16819.95</v>
      </c>
      <c r="F67" s="6" t="s">
        <v>23</v>
      </c>
      <c r="G67" s="6" t="s">
        <v>24</v>
      </c>
      <c r="H67" s="6" t="n">
        <f aca="true">ROUND(RAND()*4+6,1)</f>
        <v>9</v>
      </c>
      <c r="I67" s="6" t="s">
        <v>25</v>
      </c>
      <c r="J67" s="6" t="str">
        <f aca="false">ROUND(61*1,0)&amp;"%"</f>
        <v>61%</v>
      </c>
    </row>
    <row r="68" customFormat="false" ht="15" hidden="false" customHeight="false" outlineLevel="0" collapsed="false">
      <c r="A68" s="5" t="s">
        <v>11200</v>
      </c>
      <c r="B68" s="5" t="s">
        <v>137</v>
      </c>
      <c r="C68" s="5" t="s">
        <v>133</v>
      </c>
      <c r="D68" s="5" t="s">
        <v>28</v>
      </c>
      <c r="E68" s="5" t="n">
        <f aca="false">ROUND(14958*1.05,2)</f>
        <v>15705.9</v>
      </c>
      <c r="F68" s="5" t="s">
        <v>29</v>
      </c>
      <c r="G68" s="5" t="s">
        <v>30</v>
      </c>
      <c r="H68" s="5" t="n">
        <f aca="true">ROUND(RAND()*4+6,1)</f>
        <v>8.7</v>
      </c>
      <c r="I68" s="5" t="s">
        <v>31</v>
      </c>
      <c r="J68" s="5" t="str">
        <f aca="false">ROUND(66*1,0)&amp;"%"</f>
        <v>66%</v>
      </c>
    </row>
    <row r="69" customFormat="false" ht="15" hidden="false" customHeight="false" outlineLevel="0" collapsed="false">
      <c r="A69" s="6" t="s">
        <v>11201</v>
      </c>
      <c r="B69" s="6" t="s">
        <v>139</v>
      </c>
      <c r="C69" s="6" t="s">
        <v>133</v>
      </c>
      <c r="D69" s="6" t="s">
        <v>34</v>
      </c>
      <c r="E69" s="6" t="n">
        <f aca="false">ROUND(17025*1.05,2)</f>
        <v>17876.25</v>
      </c>
      <c r="F69" s="6" t="s">
        <v>35</v>
      </c>
      <c r="G69" s="6" t="s">
        <v>18</v>
      </c>
      <c r="H69" s="6" t="n">
        <f aca="true">ROUND(RAND()*4+6,1)</f>
        <v>6.4</v>
      </c>
      <c r="I69" s="6" t="s">
        <v>36</v>
      </c>
      <c r="J69" s="6" t="str">
        <f aca="false">ROUND(87*1,0)&amp;"%"</f>
        <v>87%</v>
      </c>
    </row>
    <row r="70" customFormat="false" ht="15" hidden="false" customHeight="false" outlineLevel="0" collapsed="false">
      <c r="A70" s="5" t="s">
        <v>11202</v>
      </c>
      <c r="B70" s="5" t="s">
        <v>141</v>
      </c>
      <c r="C70" s="5" t="s">
        <v>133</v>
      </c>
      <c r="D70" s="5" t="s">
        <v>39</v>
      </c>
      <c r="E70" s="5" t="n">
        <f aca="false">ROUND(15032*1.05,2)</f>
        <v>15783.6</v>
      </c>
      <c r="F70" s="5" t="s">
        <v>40</v>
      </c>
      <c r="G70" s="5" t="s">
        <v>24</v>
      </c>
      <c r="H70" s="5" t="n">
        <f aca="true">ROUND(RAND()*4+6,1)</f>
        <v>8.1</v>
      </c>
      <c r="I70" s="5" t="s">
        <v>41</v>
      </c>
      <c r="J70" s="5" t="str">
        <f aca="false">ROUND(62*1,0)&amp;"%"</f>
        <v>62%</v>
      </c>
    </row>
    <row r="71" customFormat="false" ht="15" hidden="false" customHeight="false" outlineLevel="0" collapsed="false">
      <c r="A71" s="6" t="s">
        <v>11203</v>
      </c>
      <c r="B71" s="6" t="s">
        <v>143</v>
      </c>
      <c r="C71" s="6" t="s">
        <v>133</v>
      </c>
      <c r="D71" s="6" t="s">
        <v>44</v>
      </c>
      <c r="E71" s="6" t="n">
        <f aca="false">ROUND(14786*1.05,2)</f>
        <v>15525.3</v>
      </c>
      <c r="F71" s="6" t="s">
        <v>45</v>
      </c>
      <c r="G71" s="6" t="s">
        <v>30</v>
      </c>
      <c r="H71" s="6" t="n">
        <f aca="true">ROUND(RAND()*4+6,1)</f>
        <v>6.8</v>
      </c>
      <c r="I71" s="6" t="s">
        <v>46</v>
      </c>
      <c r="J71" s="6" t="str">
        <f aca="false">ROUND(77*1,0)&amp;"%"</f>
        <v>77%</v>
      </c>
    </row>
    <row r="72" customFormat="false" ht="15" hidden="false" customHeight="false" outlineLevel="0" collapsed="false">
      <c r="A72" s="5" t="s">
        <v>11204</v>
      </c>
      <c r="B72" s="5" t="s">
        <v>145</v>
      </c>
      <c r="C72" s="5" t="s">
        <v>133</v>
      </c>
      <c r="D72" s="5" t="s">
        <v>16</v>
      </c>
      <c r="E72" s="5" t="n">
        <f aca="false">ROUND(13784*1.05,2)</f>
        <v>14473.2</v>
      </c>
      <c r="F72" s="5" t="s">
        <v>49</v>
      </c>
      <c r="G72" s="5" t="s">
        <v>18</v>
      </c>
      <c r="H72" s="5" t="n">
        <f aca="true">ROUND(RAND()*4+6,1)</f>
        <v>6.8</v>
      </c>
      <c r="I72" s="5" t="s">
        <v>19</v>
      </c>
      <c r="J72" s="5" t="str">
        <f aca="false">ROUND(95*1,0)&amp;"%"</f>
        <v>95%</v>
      </c>
    </row>
    <row r="73" customFormat="false" ht="15" hidden="false" customHeight="false" outlineLevel="0" collapsed="false">
      <c r="A73" s="6" t="s">
        <v>11205</v>
      </c>
      <c r="B73" s="6" t="s">
        <v>147</v>
      </c>
      <c r="C73" s="6" t="s">
        <v>133</v>
      </c>
      <c r="D73" s="6" t="s">
        <v>22</v>
      </c>
      <c r="E73" s="6" t="n">
        <f aca="false">ROUND(4405*1.05,2)</f>
        <v>4625.25</v>
      </c>
      <c r="F73" s="6" t="s">
        <v>52</v>
      </c>
      <c r="G73" s="6" t="s">
        <v>24</v>
      </c>
      <c r="H73" s="6" t="n">
        <f aca="true">ROUND(RAND()*4+6,1)</f>
        <v>8.2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11206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11207</v>
      </c>
      <c r="B78" s="5" t="s">
        <v>151</v>
      </c>
      <c r="C78" s="5" t="s">
        <v>152</v>
      </c>
      <c r="D78" s="5" t="s">
        <v>16</v>
      </c>
      <c r="E78" s="5" t="n">
        <f aca="false">ROUND(5412*1.05,2)</f>
        <v>5682.6</v>
      </c>
      <c r="F78" s="5" t="s">
        <v>17</v>
      </c>
      <c r="G78" s="5" t="s">
        <v>18</v>
      </c>
      <c r="H78" s="5" t="n">
        <f aca="true">ROUND(RAND()*4+6,1)</f>
        <v>7.9</v>
      </c>
      <c r="I78" s="5" t="s">
        <v>19</v>
      </c>
      <c r="J78" s="5" t="str">
        <f aca="false">ROUND(72*1,0)&amp;"%"</f>
        <v>72%</v>
      </c>
    </row>
    <row r="79" customFormat="false" ht="15" hidden="false" customHeight="false" outlineLevel="0" collapsed="false">
      <c r="A79" s="6" t="s">
        <v>11208</v>
      </c>
      <c r="B79" s="6" t="s">
        <v>154</v>
      </c>
      <c r="C79" s="6" t="s">
        <v>152</v>
      </c>
      <c r="D79" s="6" t="s">
        <v>22</v>
      </c>
      <c r="E79" s="6" t="n">
        <f aca="false">ROUND(10770*1.05,2)</f>
        <v>11308.5</v>
      </c>
      <c r="F79" s="6" t="s">
        <v>23</v>
      </c>
      <c r="G79" s="6" t="s">
        <v>24</v>
      </c>
      <c r="H79" s="6" t="n">
        <f aca="true">ROUND(RAND()*4+6,1)</f>
        <v>7.5</v>
      </c>
      <c r="I79" s="6" t="s">
        <v>25</v>
      </c>
      <c r="J79" s="6" t="str">
        <f aca="false">ROUND(84*1,0)&amp;"%"</f>
        <v>84%</v>
      </c>
    </row>
    <row r="80" customFormat="false" ht="15" hidden="false" customHeight="false" outlineLevel="0" collapsed="false">
      <c r="A80" s="5" t="s">
        <v>11209</v>
      </c>
      <c r="B80" s="5" t="s">
        <v>156</v>
      </c>
      <c r="C80" s="5" t="s">
        <v>152</v>
      </c>
      <c r="D80" s="5" t="s">
        <v>28</v>
      </c>
      <c r="E80" s="5" t="n">
        <f aca="false">ROUND(13926*1.05,2)</f>
        <v>14622.3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ROUND(65*1,0)&amp;"%"</f>
        <v>65%</v>
      </c>
    </row>
    <row r="81" customFormat="false" ht="15" hidden="false" customHeight="false" outlineLevel="0" collapsed="false">
      <c r="A81" s="6" t="s">
        <v>11210</v>
      </c>
      <c r="B81" s="6" t="s">
        <v>158</v>
      </c>
      <c r="C81" s="6" t="s">
        <v>152</v>
      </c>
      <c r="D81" s="6" t="s">
        <v>34</v>
      </c>
      <c r="E81" s="6" t="n">
        <f aca="false">ROUND(16515*1.05,2)</f>
        <v>17340.75</v>
      </c>
      <c r="F81" s="6" t="s">
        <v>35</v>
      </c>
      <c r="G81" s="6" t="s">
        <v>18</v>
      </c>
      <c r="H81" s="6" t="n">
        <f aca="true">ROUND(RAND()*4+6,1)</f>
        <v>6.6</v>
      </c>
      <c r="I81" s="6" t="s">
        <v>36</v>
      </c>
      <c r="J81" s="6" t="str">
        <f aca="false">ROUND(90*1,0)&amp;"%"</f>
        <v>90%</v>
      </c>
    </row>
    <row r="82" customFormat="false" ht="15" hidden="false" customHeight="false" outlineLevel="0" collapsed="false">
      <c r="A82" s="5" t="s">
        <v>11211</v>
      </c>
      <c r="B82" s="5" t="s">
        <v>160</v>
      </c>
      <c r="C82" s="5" t="s">
        <v>152</v>
      </c>
      <c r="D82" s="5" t="s">
        <v>39</v>
      </c>
      <c r="E82" s="5" t="n">
        <f aca="false">ROUND(4388*1.05,2)</f>
        <v>4607.4</v>
      </c>
      <c r="F82" s="5" t="s">
        <v>40</v>
      </c>
      <c r="G82" s="5" t="s">
        <v>24</v>
      </c>
      <c r="H82" s="5" t="n">
        <f aca="true">ROUND(RAND()*4+6,1)</f>
        <v>8.6</v>
      </c>
      <c r="I82" s="5" t="s">
        <v>41</v>
      </c>
      <c r="J82" s="5" t="str">
        <f aca="false">ROUND(84*1,0)&amp;"%"</f>
        <v>84%</v>
      </c>
    </row>
    <row r="83" customFormat="false" ht="15" hidden="false" customHeight="false" outlineLevel="0" collapsed="false">
      <c r="A83" s="6" t="s">
        <v>11212</v>
      </c>
      <c r="B83" s="6" t="s">
        <v>162</v>
      </c>
      <c r="C83" s="6" t="s">
        <v>152</v>
      </c>
      <c r="D83" s="6" t="s">
        <v>44</v>
      </c>
      <c r="E83" s="6" t="n">
        <f aca="false">ROUND(5735*1.05,2)</f>
        <v>6021.75</v>
      </c>
      <c r="F83" s="6" t="s">
        <v>45</v>
      </c>
      <c r="G83" s="6" t="s">
        <v>30</v>
      </c>
      <c r="H83" s="6" t="n">
        <f aca="true">ROUND(RAND()*4+6,1)</f>
        <v>7.3</v>
      </c>
      <c r="I83" s="6" t="s">
        <v>46</v>
      </c>
      <c r="J83" s="6" t="str">
        <f aca="false">ROUND(68*1,0)&amp;"%"</f>
        <v>68%</v>
      </c>
    </row>
    <row r="84" customFormat="false" ht="15" hidden="false" customHeight="false" outlineLevel="0" collapsed="false">
      <c r="A84" s="5" t="s">
        <v>11213</v>
      </c>
      <c r="B84" s="5" t="s">
        <v>164</v>
      </c>
      <c r="C84" s="5" t="s">
        <v>152</v>
      </c>
      <c r="D84" s="5" t="s">
        <v>16</v>
      </c>
      <c r="E84" s="5" t="n">
        <f aca="false">ROUND(10083*1.05,2)</f>
        <v>10587.15</v>
      </c>
      <c r="F84" s="5" t="s">
        <v>49</v>
      </c>
      <c r="G84" s="5" t="s">
        <v>18</v>
      </c>
      <c r="H84" s="5" t="n">
        <f aca="true">ROUND(RAND()*4+6,1)</f>
        <v>8.7</v>
      </c>
      <c r="I84" s="5" t="s">
        <v>19</v>
      </c>
      <c r="J84" s="5" t="str">
        <f aca="false">ROUND(65*1,0)&amp;"%"</f>
        <v>65%</v>
      </c>
    </row>
    <row r="85" customFormat="false" ht="15" hidden="false" customHeight="false" outlineLevel="0" collapsed="false">
      <c r="A85" s="6" t="s">
        <v>11214</v>
      </c>
      <c r="B85" s="6" t="s">
        <v>166</v>
      </c>
      <c r="C85" s="6" t="s">
        <v>152</v>
      </c>
      <c r="D85" s="6" t="s">
        <v>22</v>
      </c>
      <c r="E85" s="6" t="n">
        <f aca="false">ROUND(4072*1.05,2)</f>
        <v>4275.6</v>
      </c>
      <c r="F85" s="6" t="s">
        <v>52</v>
      </c>
      <c r="G85" s="6" t="s">
        <v>24</v>
      </c>
      <c r="H85" s="6" t="n">
        <f aca="true">ROUND(RAND()*4+6,1)</f>
        <v>6.3</v>
      </c>
      <c r="I85" s="6" t="s">
        <v>25</v>
      </c>
      <c r="J85" s="6" t="str">
        <f aca="false">ROUND(77*1,0)&amp;"%"</f>
        <v>77%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11215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11216</v>
      </c>
      <c r="B90" s="5" t="s">
        <v>170</v>
      </c>
      <c r="C90" s="5" t="s">
        <v>15</v>
      </c>
      <c r="D90" s="5" t="s">
        <v>16</v>
      </c>
      <c r="E90" s="5" t="n">
        <f aca="false">ROUND(15948*1.05,2)</f>
        <v>16745.4</v>
      </c>
      <c r="F90" s="5" t="s">
        <v>17</v>
      </c>
      <c r="G90" s="5" t="s">
        <v>18</v>
      </c>
      <c r="H90" s="5" t="n">
        <f aca="true">ROUND(RAND()*4+6,1)</f>
        <v>9</v>
      </c>
      <c r="I90" s="5" t="s">
        <v>19</v>
      </c>
      <c r="J90" s="5" t="str">
        <f aca="false">ROUND(87*1,0)&amp;"%"</f>
        <v>87%</v>
      </c>
    </row>
    <row r="91" customFormat="false" ht="15" hidden="false" customHeight="false" outlineLevel="0" collapsed="false">
      <c r="A91" s="6" t="s">
        <v>11217</v>
      </c>
      <c r="B91" s="6" t="s">
        <v>172</v>
      </c>
      <c r="C91" s="6" t="s">
        <v>15</v>
      </c>
      <c r="D91" s="6" t="s">
        <v>22</v>
      </c>
      <c r="E91" s="6" t="n">
        <f aca="false">ROUND(4733*1.05,2)</f>
        <v>4969.65</v>
      </c>
      <c r="F91" s="6" t="s">
        <v>23</v>
      </c>
      <c r="G91" s="6" t="s">
        <v>24</v>
      </c>
      <c r="H91" s="6" t="n">
        <f aca="true">ROUND(RAND()*4+6,1)</f>
        <v>8.6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11218</v>
      </c>
      <c r="B92" s="5" t="s">
        <v>174</v>
      </c>
      <c r="C92" s="5" t="s">
        <v>15</v>
      </c>
      <c r="D92" s="5" t="s">
        <v>28</v>
      </c>
      <c r="E92" s="5" t="n">
        <f aca="false">ROUND(11006*1.05,2)</f>
        <v>11556.3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ROUND(88*1,0)&amp;"%"</f>
        <v>88%</v>
      </c>
    </row>
    <row r="93" customFormat="false" ht="15" hidden="false" customHeight="false" outlineLevel="0" collapsed="false">
      <c r="A93" s="6" t="s">
        <v>11219</v>
      </c>
      <c r="B93" s="6" t="s">
        <v>176</v>
      </c>
      <c r="C93" s="6" t="s">
        <v>15</v>
      </c>
      <c r="D93" s="6" t="s">
        <v>34</v>
      </c>
      <c r="E93" s="6" t="n">
        <f aca="false">ROUND(8441*1.05,2)</f>
        <v>8863.05</v>
      </c>
      <c r="F93" s="6" t="s">
        <v>35</v>
      </c>
      <c r="G93" s="6" t="s">
        <v>18</v>
      </c>
      <c r="H93" s="6" t="n">
        <f aca="true">ROUND(RAND()*4+6,1)</f>
        <v>9</v>
      </c>
      <c r="I93" s="6" t="s">
        <v>36</v>
      </c>
      <c r="J93" s="6" t="str">
        <f aca="false">ROUND(75*1,0)&amp;"%"</f>
        <v>75%</v>
      </c>
    </row>
    <row r="94" customFormat="false" ht="15" hidden="false" customHeight="false" outlineLevel="0" collapsed="false">
      <c r="A94" s="5" t="s">
        <v>11220</v>
      </c>
      <c r="B94" s="5" t="s">
        <v>178</v>
      </c>
      <c r="C94" s="5" t="s">
        <v>15</v>
      </c>
      <c r="D94" s="5" t="s">
        <v>39</v>
      </c>
      <c r="E94" s="5" t="n">
        <f aca="false">ROUND(8359*1.05,2)</f>
        <v>8776.95</v>
      </c>
      <c r="F94" s="5" t="s">
        <v>40</v>
      </c>
      <c r="G94" s="5" t="s">
        <v>24</v>
      </c>
      <c r="H94" s="5" t="n">
        <f aca="true">ROUND(RAND()*4+6,1)</f>
        <v>9.7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11221</v>
      </c>
      <c r="B95" s="6" t="s">
        <v>180</v>
      </c>
      <c r="C95" s="6" t="s">
        <v>15</v>
      </c>
      <c r="D95" s="6" t="s">
        <v>44</v>
      </c>
      <c r="E95" s="6" t="n">
        <f aca="false">ROUND(4046*1.05,2)</f>
        <v>4248.3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11222</v>
      </c>
      <c r="B96" s="5" t="s">
        <v>182</v>
      </c>
      <c r="C96" s="5" t="s">
        <v>15</v>
      </c>
      <c r="D96" s="5" t="s">
        <v>16</v>
      </c>
      <c r="E96" s="5" t="n">
        <f aca="false">ROUND(13677*1.05,2)</f>
        <v>14360.85</v>
      </c>
      <c r="F96" s="5" t="s">
        <v>49</v>
      </c>
      <c r="G96" s="5" t="s">
        <v>18</v>
      </c>
      <c r="H96" s="5" t="n">
        <f aca="true">ROUND(RAND()*4+6,1)</f>
        <v>8.6</v>
      </c>
      <c r="I96" s="5" t="s">
        <v>19</v>
      </c>
      <c r="J96" s="5" t="str">
        <f aca="false">ROUND(78*1,0)&amp;"%"</f>
        <v>78%</v>
      </c>
    </row>
    <row r="97" customFormat="false" ht="15" hidden="false" customHeight="false" outlineLevel="0" collapsed="false">
      <c r="A97" s="6" t="s">
        <v>11223</v>
      </c>
      <c r="B97" s="6" t="s">
        <v>184</v>
      </c>
      <c r="C97" s="6" t="s">
        <v>15</v>
      </c>
      <c r="D97" s="6" t="s">
        <v>22</v>
      </c>
      <c r="E97" s="6" t="n">
        <f aca="false">ROUND(13511*1.05,2)</f>
        <v>14186.55</v>
      </c>
      <c r="F97" s="6" t="s">
        <v>52</v>
      </c>
      <c r="G97" s="6" t="s">
        <v>24</v>
      </c>
      <c r="H97" s="6" t="n">
        <f aca="true">ROUND(RAND()*4+6,1)</f>
        <v>9.6</v>
      </c>
      <c r="I97" s="6" t="s">
        <v>25</v>
      </c>
      <c r="J97" s="6" t="str">
        <f aca="false">ROUND(100*1,0)&amp;"%"</f>
        <v>100%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11224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11225</v>
      </c>
      <c r="B102" s="5" t="s">
        <v>188</v>
      </c>
      <c r="C102" s="5" t="s">
        <v>57</v>
      </c>
      <c r="D102" s="5" t="s">
        <v>16</v>
      </c>
      <c r="E102" s="5" t="n">
        <f aca="false">ROUND(11001*1.05,2)</f>
        <v>11551.05</v>
      </c>
      <c r="F102" s="5" t="s">
        <v>17</v>
      </c>
      <c r="G102" s="5" t="s">
        <v>18</v>
      </c>
      <c r="H102" s="5" t="n">
        <f aca="true">ROUND(RAND()*4+6,1)</f>
        <v>8.9</v>
      </c>
      <c r="I102" s="5" t="s">
        <v>19</v>
      </c>
      <c r="J102" s="5" t="str">
        <f aca="false">ROUND(99*1,0)&amp;"%"</f>
        <v>99%</v>
      </c>
    </row>
    <row r="103" customFormat="false" ht="15" hidden="false" customHeight="false" outlineLevel="0" collapsed="false">
      <c r="A103" s="6" t="s">
        <v>11226</v>
      </c>
      <c r="B103" s="6" t="s">
        <v>190</v>
      </c>
      <c r="C103" s="6" t="s">
        <v>57</v>
      </c>
      <c r="D103" s="6" t="s">
        <v>22</v>
      </c>
      <c r="E103" s="6" t="n">
        <f aca="false">ROUND(17418*1.05,2)</f>
        <v>18288.9</v>
      </c>
      <c r="F103" s="6" t="s">
        <v>23</v>
      </c>
      <c r="G103" s="6" t="s">
        <v>24</v>
      </c>
      <c r="H103" s="6" t="n">
        <f aca="true">ROUND(RAND()*4+6,1)</f>
        <v>7.5</v>
      </c>
      <c r="I103" s="6" t="s">
        <v>25</v>
      </c>
      <c r="J103" s="6" t="str">
        <f aca="false">ROUND(82*1,0)&amp;"%"</f>
        <v>82%</v>
      </c>
    </row>
    <row r="104" customFormat="false" ht="15" hidden="false" customHeight="false" outlineLevel="0" collapsed="false">
      <c r="A104" s="5" t="s">
        <v>11227</v>
      </c>
      <c r="B104" s="5" t="s">
        <v>192</v>
      </c>
      <c r="C104" s="5" t="s">
        <v>57</v>
      </c>
      <c r="D104" s="5" t="s">
        <v>28</v>
      </c>
      <c r="E104" s="5" t="n">
        <f aca="false">ROUND(11692*1.05,2)</f>
        <v>12276.6</v>
      </c>
      <c r="F104" s="5" t="s">
        <v>29</v>
      </c>
      <c r="G104" s="5" t="s">
        <v>30</v>
      </c>
      <c r="H104" s="5" t="n">
        <f aca="true">ROUND(RAND()*4+6,1)</f>
        <v>6.4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11228</v>
      </c>
      <c r="B105" s="6" t="s">
        <v>194</v>
      </c>
      <c r="C105" s="6" t="s">
        <v>57</v>
      </c>
      <c r="D105" s="6" t="s">
        <v>34</v>
      </c>
      <c r="E105" s="6" t="n">
        <f aca="false">ROUND(16518*1.05,2)</f>
        <v>17343.9</v>
      </c>
      <c r="F105" s="6" t="s">
        <v>35</v>
      </c>
      <c r="G105" s="6" t="s">
        <v>18</v>
      </c>
      <c r="H105" s="6" t="n">
        <f aca="true">ROUND(RAND()*4+6,1)</f>
        <v>7.3</v>
      </c>
      <c r="I105" s="6" t="s">
        <v>36</v>
      </c>
      <c r="J105" s="6" t="str">
        <f aca="false">ROUND(94*1,0)&amp;"%"</f>
        <v>94%</v>
      </c>
    </row>
    <row r="106" customFormat="false" ht="15" hidden="false" customHeight="false" outlineLevel="0" collapsed="false">
      <c r="A106" s="5" t="s">
        <v>11229</v>
      </c>
      <c r="B106" s="5" t="s">
        <v>196</v>
      </c>
      <c r="C106" s="5" t="s">
        <v>57</v>
      </c>
      <c r="D106" s="5" t="s">
        <v>39</v>
      </c>
      <c r="E106" s="5" t="n">
        <f aca="false">ROUND(6544*1.05,2)</f>
        <v>6871.2</v>
      </c>
      <c r="F106" s="5" t="s">
        <v>40</v>
      </c>
      <c r="G106" s="5" t="s">
        <v>24</v>
      </c>
      <c r="H106" s="5" t="n">
        <f aca="true">ROUND(RAND()*4+6,1)</f>
        <v>6.1</v>
      </c>
      <c r="I106" s="5" t="s">
        <v>41</v>
      </c>
      <c r="J106" s="5" t="str">
        <f aca="false">ROUND(97*1,0)&amp;"%"</f>
        <v>97%</v>
      </c>
    </row>
    <row r="107" customFormat="false" ht="15" hidden="false" customHeight="false" outlineLevel="0" collapsed="false">
      <c r="A107" s="6" t="s">
        <v>11230</v>
      </c>
      <c r="B107" s="6" t="s">
        <v>198</v>
      </c>
      <c r="C107" s="6" t="s">
        <v>57</v>
      </c>
      <c r="D107" s="6" t="s">
        <v>44</v>
      </c>
      <c r="E107" s="6" t="n">
        <f aca="false">ROUND(5191*1.05,2)</f>
        <v>5450.55</v>
      </c>
      <c r="F107" s="6" t="s">
        <v>45</v>
      </c>
      <c r="G107" s="6" t="s">
        <v>30</v>
      </c>
      <c r="H107" s="6" t="n">
        <f aca="true">ROUND(RAND()*4+6,1)</f>
        <v>6.5</v>
      </c>
      <c r="I107" s="6" t="s">
        <v>46</v>
      </c>
      <c r="J107" s="6" t="str">
        <f aca="false">ROUND(99*1,0)&amp;"%"</f>
        <v>99%</v>
      </c>
    </row>
    <row r="108" customFormat="false" ht="15" hidden="false" customHeight="false" outlineLevel="0" collapsed="false">
      <c r="A108" s="5" t="s">
        <v>11231</v>
      </c>
      <c r="B108" s="5" t="s">
        <v>200</v>
      </c>
      <c r="C108" s="5" t="s">
        <v>57</v>
      </c>
      <c r="D108" s="5" t="s">
        <v>16</v>
      </c>
      <c r="E108" s="5" t="n">
        <f aca="false">ROUND(12266*1.05,2)</f>
        <v>12879.3</v>
      </c>
      <c r="F108" s="5" t="s">
        <v>49</v>
      </c>
      <c r="G108" s="5" t="s">
        <v>18</v>
      </c>
      <c r="H108" s="5" t="n">
        <f aca="true">ROUND(RAND()*4+6,1)</f>
        <v>7.9</v>
      </c>
      <c r="I108" s="5" t="s">
        <v>19</v>
      </c>
      <c r="J108" s="5" t="str">
        <f aca="false">ROUND(85*1,0)&amp;"%"</f>
        <v>85%</v>
      </c>
    </row>
    <row r="109" customFormat="false" ht="15" hidden="false" customHeight="false" outlineLevel="0" collapsed="false">
      <c r="A109" s="6" t="s">
        <v>11232</v>
      </c>
      <c r="B109" s="6" t="s">
        <v>202</v>
      </c>
      <c r="C109" s="6" t="s">
        <v>57</v>
      </c>
      <c r="D109" s="6" t="s">
        <v>22</v>
      </c>
      <c r="E109" s="6" t="n">
        <f aca="false">ROUND(15645*1.05,2)</f>
        <v>16427.25</v>
      </c>
      <c r="F109" s="6" t="s">
        <v>52</v>
      </c>
      <c r="G109" s="6" t="s">
        <v>24</v>
      </c>
      <c r="H109" s="6" t="n">
        <f aca="true">ROUND(RAND()*4+6,1)</f>
        <v>6.7</v>
      </c>
      <c r="I109" s="6" t="s">
        <v>25</v>
      </c>
      <c r="J109" s="6" t="str">
        <f aca="false">ROUND(84*1,0)&amp;"%"</f>
        <v>84%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11233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11234</v>
      </c>
      <c r="B114" s="5" t="s">
        <v>206</v>
      </c>
      <c r="C114" s="5" t="s">
        <v>76</v>
      </c>
      <c r="D114" s="5" t="s">
        <v>16</v>
      </c>
      <c r="E114" s="5" t="n">
        <f aca="false">ROUND(10133*1.05,2)</f>
        <v>10639.65</v>
      </c>
      <c r="F114" s="5" t="s">
        <v>17</v>
      </c>
      <c r="G114" s="5" t="s">
        <v>18</v>
      </c>
      <c r="H114" s="5" t="n">
        <f aca="true">ROUND(RAND()*4+6,1)</f>
        <v>8.3</v>
      </c>
      <c r="I114" s="5" t="s">
        <v>19</v>
      </c>
      <c r="J114" s="5" t="str">
        <f aca="false">ROUND(87*1,0)&amp;"%"</f>
        <v>87%</v>
      </c>
    </row>
    <row r="115" customFormat="false" ht="15" hidden="false" customHeight="false" outlineLevel="0" collapsed="false">
      <c r="A115" s="6" t="s">
        <v>11235</v>
      </c>
      <c r="B115" s="6" t="s">
        <v>208</v>
      </c>
      <c r="C115" s="6" t="s">
        <v>76</v>
      </c>
      <c r="D115" s="6" t="s">
        <v>22</v>
      </c>
      <c r="E115" s="6" t="n">
        <f aca="false">ROUND(14499*1.05,2)</f>
        <v>15223.95</v>
      </c>
      <c r="F115" s="6" t="s">
        <v>23</v>
      </c>
      <c r="G115" s="6" t="s">
        <v>24</v>
      </c>
      <c r="H115" s="6" t="n">
        <f aca="true">ROUND(RAND()*4+6,1)</f>
        <v>7</v>
      </c>
      <c r="I115" s="6" t="s">
        <v>25</v>
      </c>
      <c r="J115" s="6" t="str">
        <f aca="false">ROUND(64*1,0)&amp;"%"</f>
        <v>64%</v>
      </c>
    </row>
    <row r="116" customFormat="false" ht="15" hidden="false" customHeight="false" outlineLevel="0" collapsed="false">
      <c r="A116" s="5" t="s">
        <v>11236</v>
      </c>
      <c r="B116" s="5" t="s">
        <v>210</v>
      </c>
      <c r="C116" s="5" t="s">
        <v>76</v>
      </c>
      <c r="D116" s="5" t="s">
        <v>28</v>
      </c>
      <c r="E116" s="5" t="n">
        <f aca="false">ROUND(7110*1.05,2)</f>
        <v>7465.5</v>
      </c>
      <c r="F116" s="5" t="s">
        <v>29</v>
      </c>
      <c r="G116" s="5" t="s">
        <v>30</v>
      </c>
      <c r="H116" s="5" t="n">
        <f aca="true">ROUND(RAND()*4+6,1)</f>
        <v>9.9</v>
      </c>
      <c r="I116" s="5" t="s">
        <v>31</v>
      </c>
      <c r="J116" s="5" t="str">
        <f aca="false">ROUND(73*1,0)&amp;"%"</f>
        <v>73%</v>
      </c>
    </row>
    <row r="117" customFormat="false" ht="15" hidden="false" customHeight="false" outlineLevel="0" collapsed="false">
      <c r="A117" s="6" t="s">
        <v>11237</v>
      </c>
      <c r="B117" s="6" t="s">
        <v>212</v>
      </c>
      <c r="C117" s="6" t="s">
        <v>76</v>
      </c>
      <c r="D117" s="6" t="s">
        <v>34</v>
      </c>
      <c r="E117" s="6" t="n">
        <f aca="false">ROUND(14732*1.05,2)</f>
        <v>15468.6</v>
      </c>
      <c r="F117" s="6" t="s">
        <v>35</v>
      </c>
      <c r="G117" s="6" t="s">
        <v>18</v>
      </c>
      <c r="H117" s="6" t="n">
        <f aca="true">ROUND(RAND()*4+6,1)</f>
        <v>6.5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11238</v>
      </c>
      <c r="B118" s="5" t="s">
        <v>214</v>
      </c>
      <c r="C118" s="5" t="s">
        <v>76</v>
      </c>
      <c r="D118" s="5" t="s">
        <v>39</v>
      </c>
      <c r="E118" s="5" t="n">
        <f aca="false">ROUND(9886*1.05,2)</f>
        <v>10380.3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ROUND(85*1,0)&amp;"%"</f>
        <v>85%</v>
      </c>
    </row>
    <row r="119" customFormat="false" ht="15" hidden="false" customHeight="false" outlineLevel="0" collapsed="false">
      <c r="A119" s="6" t="s">
        <v>11239</v>
      </c>
      <c r="B119" s="6" t="s">
        <v>216</v>
      </c>
      <c r="C119" s="6" t="s">
        <v>76</v>
      </c>
      <c r="D119" s="6" t="s">
        <v>44</v>
      </c>
      <c r="E119" s="6" t="n">
        <f aca="false">ROUND(10481*1.05,2)</f>
        <v>11005.05</v>
      </c>
      <c r="F119" s="6" t="s">
        <v>45</v>
      </c>
      <c r="G119" s="6" t="s">
        <v>30</v>
      </c>
      <c r="H119" s="6" t="n">
        <f aca="true">ROUND(RAND()*4+6,1)</f>
        <v>9.4</v>
      </c>
      <c r="I119" s="6" t="s">
        <v>46</v>
      </c>
      <c r="J119" s="6" t="str">
        <f aca="false">ROUND(70*1,0)&amp;"%"</f>
        <v>70%</v>
      </c>
    </row>
    <row r="120" customFormat="false" ht="15" hidden="false" customHeight="false" outlineLevel="0" collapsed="false">
      <c r="A120" s="5" t="s">
        <v>11240</v>
      </c>
      <c r="B120" s="5" t="s">
        <v>218</v>
      </c>
      <c r="C120" s="5" t="s">
        <v>76</v>
      </c>
      <c r="D120" s="5" t="s">
        <v>16</v>
      </c>
      <c r="E120" s="5" t="n">
        <f aca="false">ROUND(9748*1.05,2)</f>
        <v>10235.4</v>
      </c>
      <c r="F120" s="5" t="s">
        <v>49</v>
      </c>
      <c r="G120" s="5" t="s">
        <v>18</v>
      </c>
      <c r="H120" s="5" t="n">
        <f aca="true">ROUND(RAND()*4+6,1)</f>
        <v>7.6</v>
      </c>
      <c r="I120" s="5" t="s">
        <v>19</v>
      </c>
      <c r="J120" s="5" t="str">
        <f aca="false">ROUND(76*1,0)&amp;"%"</f>
        <v>76%</v>
      </c>
    </row>
    <row r="121" customFormat="false" ht="15" hidden="false" customHeight="false" outlineLevel="0" collapsed="false">
      <c r="A121" s="6" t="s">
        <v>11241</v>
      </c>
      <c r="B121" s="6" t="s">
        <v>220</v>
      </c>
      <c r="C121" s="6" t="s">
        <v>76</v>
      </c>
      <c r="D121" s="6" t="s">
        <v>22</v>
      </c>
      <c r="E121" s="6" t="n">
        <f aca="false">ROUND(11733*1.05,2)</f>
        <v>12319.65</v>
      </c>
      <c r="F121" s="6" t="s">
        <v>52</v>
      </c>
      <c r="G121" s="6" t="s">
        <v>24</v>
      </c>
      <c r="H121" s="6" t="n">
        <f aca="true">ROUND(RAND()*4+6,1)</f>
        <v>6.2</v>
      </c>
      <c r="I121" s="6" t="s">
        <v>25</v>
      </c>
      <c r="J121" s="6" t="str">
        <f aca="false">ROUND(66*1,0)&amp;"%"</f>
        <v>66%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11242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11243</v>
      </c>
      <c r="B126" s="5" t="s">
        <v>224</v>
      </c>
      <c r="C126" s="5" t="s">
        <v>95</v>
      </c>
      <c r="D126" s="5" t="s">
        <v>16</v>
      </c>
      <c r="E126" s="5" t="n">
        <f aca="false">ROUND(16217*1.05,2)</f>
        <v>17027.85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ROUND(93*1,0)&amp;"%"</f>
        <v>93%</v>
      </c>
    </row>
    <row r="127" customFormat="false" ht="15" hidden="false" customHeight="false" outlineLevel="0" collapsed="false">
      <c r="A127" s="6" t="s">
        <v>11244</v>
      </c>
      <c r="B127" s="6" t="s">
        <v>226</v>
      </c>
      <c r="C127" s="6" t="s">
        <v>95</v>
      </c>
      <c r="D127" s="6" t="s">
        <v>22</v>
      </c>
      <c r="E127" s="6" t="n">
        <f aca="false">ROUND(6206*1.05,2)</f>
        <v>6516.3</v>
      </c>
      <c r="F127" s="6" t="s">
        <v>23</v>
      </c>
      <c r="G127" s="6" t="s">
        <v>24</v>
      </c>
      <c r="H127" s="6" t="n">
        <f aca="true">ROUND(RAND()*4+6,1)</f>
        <v>9.6</v>
      </c>
      <c r="I127" s="6" t="s">
        <v>25</v>
      </c>
      <c r="J127" s="6" t="str">
        <f aca="false">ROUND(100*1,0)&amp;"%"</f>
        <v>100%</v>
      </c>
    </row>
    <row r="128" customFormat="false" ht="15" hidden="false" customHeight="false" outlineLevel="0" collapsed="false">
      <c r="A128" s="5" t="s">
        <v>11245</v>
      </c>
      <c r="B128" s="5" t="s">
        <v>228</v>
      </c>
      <c r="C128" s="5" t="s">
        <v>95</v>
      </c>
      <c r="D128" s="5" t="s">
        <v>28</v>
      </c>
      <c r="E128" s="5" t="n">
        <f aca="false">ROUND(9620*1.05,2)</f>
        <v>10101</v>
      </c>
      <c r="F128" s="5" t="s">
        <v>29</v>
      </c>
      <c r="G128" s="5" t="s">
        <v>30</v>
      </c>
      <c r="H128" s="5" t="n">
        <f aca="true">ROUND(RAND()*4+6,1)</f>
        <v>6.1</v>
      </c>
      <c r="I128" s="5" t="s">
        <v>31</v>
      </c>
      <c r="J128" s="5" t="str">
        <f aca="false">ROUND(86*1,0)&amp;"%"</f>
        <v>86%</v>
      </c>
    </row>
    <row r="129" customFormat="false" ht="15" hidden="false" customHeight="false" outlineLevel="0" collapsed="false">
      <c r="A129" s="6" t="s">
        <v>11246</v>
      </c>
      <c r="B129" s="6" t="s">
        <v>230</v>
      </c>
      <c r="C129" s="6" t="s">
        <v>95</v>
      </c>
      <c r="D129" s="6" t="s">
        <v>34</v>
      </c>
      <c r="E129" s="6" t="n">
        <f aca="false">ROUND(11864*1.05,2)</f>
        <v>12457.2</v>
      </c>
      <c r="F129" s="6" t="s">
        <v>35</v>
      </c>
      <c r="G129" s="6" t="s">
        <v>18</v>
      </c>
      <c r="H129" s="6" t="n">
        <f aca="true">ROUND(RAND()*4+6,1)</f>
        <v>8.8</v>
      </c>
      <c r="I129" s="6" t="s">
        <v>36</v>
      </c>
      <c r="J129" s="6" t="str">
        <f aca="false">ROUND(65*1,0)&amp;"%"</f>
        <v>65%</v>
      </c>
    </row>
    <row r="130" customFormat="false" ht="15" hidden="false" customHeight="false" outlineLevel="0" collapsed="false">
      <c r="A130" s="5" t="s">
        <v>11247</v>
      </c>
      <c r="B130" s="5" t="s">
        <v>232</v>
      </c>
      <c r="C130" s="5" t="s">
        <v>95</v>
      </c>
      <c r="D130" s="5" t="s">
        <v>39</v>
      </c>
      <c r="E130" s="5" t="n">
        <f aca="false">ROUND(5388*1.05,2)</f>
        <v>5657.4</v>
      </c>
      <c r="F130" s="5" t="s">
        <v>40</v>
      </c>
      <c r="G130" s="5" t="s">
        <v>24</v>
      </c>
      <c r="H130" s="5" t="n">
        <f aca="true">ROUND(RAND()*4+6,1)</f>
        <v>6.8</v>
      </c>
      <c r="I130" s="5" t="s">
        <v>41</v>
      </c>
      <c r="J130" s="5" t="str">
        <f aca="false">ROUND(83*1,0)&amp;"%"</f>
        <v>83%</v>
      </c>
    </row>
    <row r="131" customFormat="false" ht="15" hidden="false" customHeight="false" outlineLevel="0" collapsed="false">
      <c r="A131" s="6" t="s">
        <v>11248</v>
      </c>
      <c r="B131" s="6" t="s">
        <v>234</v>
      </c>
      <c r="C131" s="6" t="s">
        <v>95</v>
      </c>
      <c r="D131" s="6" t="s">
        <v>44</v>
      </c>
      <c r="E131" s="6" t="n">
        <f aca="false">ROUND(12535*1.05,2)</f>
        <v>13161.75</v>
      </c>
      <c r="F131" s="6" t="s">
        <v>45</v>
      </c>
      <c r="G131" s="6" t="s">
        <v>30</v>
      </c>
      <c r="H131" s="6" t="n">
        <f aca="true">ROUND(RAND()*4+6,1)</f>
        <v>6</v>
      </c>
      <c r="I131" s="6" t="s">
        <v>46</v>
      </c>
      <c r="J131" s="6" t="str">
        <f aca="false">ROUND(77*1,0)&amp;"%"</f>
        <v>77%</v>
      </c>
    </row>
    <row r="132" customFormat="false" ht="15" hidden="false" customHeight="false" outlineLevel="0" collapsed="false">
      <c r="A132" s="5" t="s">
        <v>11249</v>
      </c>
      <c r="B132" s="5" t="s">
        <v>236</v>
      </c>
      <c r="C132" s="5" t="s">
        <v>95</v>
      </c>
      <c r="D132" s="5" t="s">
        <v>16</v>
      </c>
      <c r="E132" s="5" t="n">
        <f aca="false">ROUND(11574*1.05,2)</f>
        <v>12152.7</v>
      </c>
      <c r="F132" s="5" t="s">
        <v>49</v>
      </c>
      <c r="G132" s="5" t="s">
        <v>18</v>
      </c>
      <c r="H132" s="5" t="n">
        <f aca="true">ROUND(RAND()*4+6,1)</f>
        <v>7.4</v>
      </c>
      <c r="I132" s="5" t="s">
        <v>19</v>
      </c>
      <c r="J132" s="5" t="str">
        <f aca="false">ROUND(74*1,0)&amp;"%"</f>
        <v>74%</v>
      </c>
    </row>
    <row r="133" customFormat="false" ht="15" hidden="false" customHeight="false" outlineLevel="0" collapsed="false">
      <c r="A133" s="6" t="s">
        <v>11250</v>
      </c>
      <c r="B133" s="6" t="s">
        <v>238</v>
      </c>
      <c r="C133" s="6" t="s">
        <v>95</v>
      </c>
      <c r="D133" s="6" t="s">
        <v>22</v>
      </c>
      <c r="E133" s="6" t="n">
        <f aca="false">ROUND(14685*1.05,2)</f>
        <v>15419.25</v>
      </c>
      <c r="F133" s="6" t="s">
        <v>52</v>
      </c>
      <c r="G133" s="6" t="s">
        <v>24</v>
      </c>
      <c r="H133" s="6" t="n">
        <f aca="true">ROUND(RAND()*4+6,1)</f>
        <v>6.8</v>
      </c>
      <c r="I133" s="6" t="s">
        <v>25</v>
      </c>
      <c r="J133" s="6" t="str">
        <f aca="false">ROUND(95*1,0)&amp;"%"</f>
        <v>95%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11251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11252</v>
      </c>
      <c r="B138" s="5" t="s">
        <v>242</v>
      </c>
      <c r="C138" s="5" t="s">
        <v>114</v>
      </c>
      <c r="D138" s="5" t="s">
        <v>16</v>
      </c>
      <c r="E138" s="5" t="n">
        <f aca="false">ROUND(9859*1.05,2)</f>
        <v>10351.95</v>
      </c>
      <c r="F138" s="5" t="s">
        <v>17</v>
      </c>
      <c r="G138" s="5" t="s">
        <v>18</v>
      </c>
      <c r="H138" s="5" t="n">
        <f aca="true">ROUND(RAND()*4+6,1)</f>
        <v>6.7</v>
      </c>
      <c r="I138" s="5" t="s">
        <v>19</v>
      </c>
      <c r="J138" s="5" t="str">
        <f aca="false">ROUND(81*1,0)&amp;"%"</f>
        <v>81%</v>
      </c>
    </row>
    <row r="139" customFormat="false" ht="15" hidden="false" customHeight="false" outlineLevel="0" collapsed="false">
      <c r="A139" s="6" t="s">
        <v>11253</v>
      </c>
      <c r="B139" s="6" t="s">
        <v>244</v>
      </c>
      <c r="C139" s="6" t="s">
        <v>114</v>
      </c>
      <c r="D139" s="6" t="s">
        <v>22</v>
      </c>
      <c r="E139" s="6" t="n">
        <f aca="false">ROUND(8886*1.05,2)</f>
        <v>9330.3</v>
      </c>
      <c r="F139" s="6" t="s">
        <v>23</v>
      </c>
      <c r="G139" s="6" t="s">
        <v>24</v>
      </c>
      <c r="H139" s="6" t="n">
        <f aca="true">ROUND(RAND()*4+6,1)</f>
        <v>8.2</v>
      </c>
      <c r="I139" s="6" t="s">
        <v>25</v>
      </c>
      <c r="J139" s="6" t="str">
        <f aca="false">ROUND(63*1,0)&amp;"%"</f>
        <v>63%</v>
      </c>
    </row>
    <row r="140" customFormat="false" ht="15" hidden="false" customHeight="false" outlineLevel="0" collapsed="false">
      <c r="A140" s="5" t="s">
        <v>11254</v>
      </c>
      <c r="B140" s="5" t="s">
        <v>246</v>
      </c>
      <c r="C140" s="5" t="s">
        <v>114</v>
      </c>
      <c r="D140" s="5" t="s">
        <v>28</v>
      </c>
      <c r="E140" s="5" t="n">
        <f aca="false">ROUND(16910*1.05,2)</f>
        <v>17755.5</v>
      </c>
      <c r="F140" s="5" t="s">
        <v>29</v>
      </c>
      <c r="G140" s="5" t="s">
        <v>30</v>
      </c>
      <c r="H140" s="5" t="n">
        <f aca="true">ROUND(RAND()*4+6,1)</f>
        <v>9.1</v>
      </c>
      <c r="I140" s="5" t="s">
        <v>31</v>
      </c>
      <c r="J140" s="5" t="str">
        <f aca="false">ROUND(90*1,0)&amp;"%"</f>
        <v>90%</v>
      </c>
    </row>
    <row r="141" customFormat="false" ht="15" hidden="false" customHeight="false" outlineLevel="0" collapsed="false">
      <c r="A141" s="6" t="s">
        <v>11255</v>
      </c>
      <c r="B141" s="6" t="s">
        <v>248</v>
      </c>
      <c r="C141" s="6" t="s">
        <v>114</v>
      </c>
      <c r="D141" s="6" t="s">
        <v>34</v>
      </c>
      <c r="E141" s="6" t="n">
        <f aca="false">ROUND(14750*1.05,2)</f>
        <v>15487.5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11256</v>
      </c>
      <c r="B142" s="5" t="s">
        <v>250</v>
      </c>
      <c r="C142" s="5" t="s">
        <v>114</v>
      </c>
      <c r="D142" s="5" t="s">
        <v>39</v>
      </c>
      <c r="E142" s="5" t="n">
        <f aca="false">ROUND(13592*1.05,2)</f>
        <v>14271.6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ROUND(61*1,0)&amp;"%"</f>
        <v>61%</v>
      </c>
    </row>
    <row r="143" customFormat="false" ht="15" hidden="false" customHeight="false" outlineLevel="0" collapsed="false">
      <c r="A143" s="6" t="s">
        <v>11257</v>
      </c>
      <c r="B143" s="6" t="s">
        <v>252</v>
      </c>
      <c r="C143" s="6" t="s">
        <v>114</v>
      </c>
      <c r="D143" s="6" t="s">
        <v>44</v>
      </c>
      <c r="E143" s="6" t="n">
        <f aca="false">ROUND(8485*1.05,2)</f>
        <v>8909.25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ROUND(88*1,0)&amp;"%"</f>
        <v>88%</v>
      </c>
    </row>
    <row r="144" customFormat="false" ht="15" hidden="false" customHeight="false" outlineLevel="0" collapsed="false">
      <c r="A144" s="5" t="s">
        <v>11258</v>
      </c>
      <c r="B144" s="5" t="s">
        <v>254</v>
      </c>
      <c r="C144" s="5" t="s">
        <v>114</v>
      </c>
      <c r="D144" s="5" t="s">
        <v>16</v>
      </c>
      <c r="E144" s="5" t="n">
        <f aca="false">ROUND(12204*1.05,2)</f>
        <v>12814.2</v>
      </c>
      <c r="F144" s="5" t="s">
        <v>49</v>
      </c>
      <c r="G144" s="5" t="s">
        <v>18</v>
      </c>
      <c r="H144" s="5" t="n">
        <f aca="true">ROUND(RAND()*4+6,1)</f>
        <v>9.5</v>
      </c>
      <c r="I144" s="5" t="s">
        <v>19</v>
      </c>
      <c r="J144" s="5" t="str">
        <f aca="false">ROUND(84*1,0)&amp;"%"</f>
        <v>84%</v>
      </c>
    </row>
    <row r="145" customFormat="false" ht="15" hidden="false" customHeight="false" outlineLevel="0" collapsed="false">
      <c r="A145" s="6" t="s">
        <v>11259</v>
      </c>
      <c r="B145" s="6" t="s">
        <v>256</v>
      </c>
      <c r="C145" s="6" t="s">
        <v>114</v>
      </c>
      <c r="D145" s="6" t="s">
        <v>22</v>
      </c>
      <c r="E145" s="6" t="n">
        <f aca="false">ROUND(14514*1.05,2)</f>
        <v>15239.7</v>
      </c>
      <c r="F145" s="6" t="s">
        <v>52</v>
      </c>
      <c r="G145" s="6" t="s">
        <v>24</v>
      </c>
      <c r="H145" s="6" t="n">
        <f aca="true">ROUND(RAND()*4+6,1)</f>
        <v>8.7</v>
      </c>
      <c r="I145" s="6" t="s">
        <v>25</v>
      </c>
      <c r="J145" s="6" t="str">
        <f aca="false">ROUND(100*1,0)&amp;"%"</f>
        <v>100%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11260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11261</v>
      </c>
      <c r="B150" s="5" t="s">
        <v>260</v>
      </c>
      <c r="C150" s="5" t="s">
        <v>133</v>
      </c>
      <c r="D150" s="5" t="s">
        <v>16</v>
      </c>
      <c r="E150" s="5" t="n">
        <f aca="false">ROUND(12782*1.05,2)</f>
        <v>13421.1</v>
      </c>
      <c r="F150" s="5" t="s">
        <v>17</v>
      </c>
      <c r="G150" s="5" t="s">
        <v>18</v>
      </c>
      <c r="H150" s="5" t="n">
        <f aca="true">ROUND(RAND()*4+6,1)</f>
        <v>7.9</v>
      </c>
      <c r="I150" s="5" t="s">
        <v>19</v>
      </c>
      <c r="J150" s="5" t="str">
        <f aca="false">ROUND(79*1,0)&amp;"%"</f>
        <v>79%</v>
      </c>
    </row>
    <row r="151" customFormat="false" ht="15" hidden="false" customHeight="false" outlineLevel="0" collapsed="false">
      <c r="A151" s="6" t="s">
        <v>11262</v>
      </c>
      <c r="B151" s="6" t="s">
        <v>262</v>
      </c>
      <c r="C151" s="6" t="s">
        <v>133</v>
      </c>
      <c r="D151" s="6" t="s">
        <v>22</v>
      </c>
      <c r="E151" s="6" t="n">
        <f aca="false">ROUND(7788*1.05,2)</f>
        <v>8177.4</v>
      </c>
      <c r="F151" s="6" t="s">
        <v>23</v>
      </c>
      <c r="G151" s="6" t="s">
        <v>24</v>
      </c>
      <c r="H151" s="6" t="n">
        <f aca="true">ROUND(RAND()*4+6,1)</f>
        <v>9.4</v>
      </c>
      <c r="I151" s="6" t="s">
        <v>25</v>
      </c>
      <c r="J151" s="6" t="str">
        <f aca="false">ROUND(91*1,0)&amp;"%"</f>
        <v>91%</v>
      </c>
    </row>
    <row r="152" customFormat="false" ht="15" hidden="false" customHeight="false" outlineLevel="0" collapsed="false">
      <c r="A152" s="5" t="s">
        <v>11263</v>
      </c>
      <c r="B152" s="5" t="s">
        <v>264</v>
      </c>
      <c r="C152" s="5" t="s">
        <v>133</v>
      </c>
      <c r="D152" s="5" t="s">
        <v>28</v>
      </c>
      <c r="E152" s="5" t="n">
        <f aca="false">ROUND(16557*1.05,2)</f>
        <v>17384.85</v>
      </c>
      <c r="F152" s="5" t="s">
        <v>29</v>
      </c>
      <c r="G152" s="5" t="s">
        <v>30</v>
      </c>
      <c r="H152" s="5" t="n">
        <f aca="true">ROUND(RAND()*4+6,1)</f>
        <v>7.8</v>
      </c>
      <c r="I152" s="5" t="s">
        <v>31</v>
      </c>
      <c r="J152" s="5" t="str">
        <f aca="false">ROUND(60*1,0)&amp;"%"</f>
        <v>60%</v>
      </c>
    </row>
    <row r="153" customFormat="false" ht="15" hidden="false" customHeight="false" outlineLevel="0" collapsed="false">
      <c r="A153" s="6" t="s">
        <v>11264</v>
      </c>
      <c r="B153" s="6" t="s">
        <v>266</v>
      </c>
      <c r="C153" s="6" t="s">
        <v>133</v>
      </c>
      <c r="D153" s="6" t="s">
        <v>34</v>
      </c>
      <c r="E153" s="6" t="n">
        <f aca="false">ROUND(9670*1.05,2)</f>
        <v>10153.5</v>
      </c>
      <c r="F153" s="6" t="s">
        <v>35</v>
      </c>
      <c r="G153" s="6" t="s">
        <v>18</v>
      </c>
      <c r="H153" s="6" t="n">
        <f aca="true">ROUND(RAND()*4+6,1)</f>
        <v>9.5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11265</v>
      </c>
      <c r="B154" s="5" t="s">
        <v>268</v>
      </c>
      <c r="C154" s="5" t="s">
        <v>133</v>
      </c>
      <c r="D154" s="5" t="s">
        <v>39</v>
      </c>
      <c r="E154" s="5" t="n">
        <f aca="false">ROUND(4098*1.05,2)</f>
        <v>4302.9</v>
      </c>
      <c r="F154" s="5" t="s">
        <v>40</v>
      </c>
      <c r="G154" s="5" t="s">
        <v>24</v>
      </c>
      <c r="H154" s="5" t="n">
        <f aca="true">ROUND(RAND()*4+6,1)</f>
        <v>8.1</v>
      </c>
      <c r="I154" s="5" t="s">
        <v>41</v>
      </c>
      <c r="J154" s="5" t="str">
        <f aca="false">ROUND(64*1,0)&amp;"%"</f>
        <v>64%</v>
      </c>
    </row>
    <row r="155" customFormat="false" ht="15" hidden="false" customHeight="false" outlineLevel="0" collapsed="false">
      <c r="A155" s="6" t="s">
        <v>11266</v>
      </c>
      <c r="B155" s="6" t="s">
        <v>270</v>
      </c>
      <c r="C155" s="6" t="s">
        <v>133</v>
      </c>
      <c r="D155" s="6" t="s">
        <v>44</v>
      </c>
      <c r="E155" s="6" t="n">
        <f aca="false">ROUND(14830*1.05,2)</f>
        <v>15571.5</v>
      </c>
      <c r="F155" s="6" t="s">
        <v>45</v>
      </c>
      <c r="G155" s="6" t="s">
        <v>30</v>
      </c>
      <c r="H155" s="6" t="n">
        <f aca="true">ROUND(RAND()*4+6,1)</f>
        <v>6.6</v>
      </c>
      <c r="I155" s="6" t="s">
        <v>46</v>
      </c>
      <c r="J155" s="6" t="str">
        <f aca="false">ROUND(96*1,0)&amp;"%"</f>
        <v>96%</v>
      </c>
    </row>
    <row r="156" customFormat="false" ht="15" hidden="false" customHeight="false" outlineLevel="0" collapsed="false">
      <c r="A156" s="5" t="s">
        <v>11267</v>
      </c>
      <c r="B156" s="5" t="s">
        <v>272</v>
      </c>
      <c r="C156" s="5" t="s">
        <v>133</v>
      </c>
      <c r="D156" s="5" t="s">
        <v>16</v>
      </c>
      <c r="E156" s="5" t="n">
        <f aca="false">ROUND(6529*1.05,2)</f>
        <v>6855.45</v>
      </c>
      <c r="F156" s="5" t="s">
        <v>49</v>
      </c>
      <c r="G156" s="5" t="s">
        <v>18</v>
      </c>
      <c r="H156" s="5" t="n">
        <f aca="true">ROUND(RAND()*4+6,1)</f>
        <v>7.3</v>
      </c>
      <c r="I156" s="5" t="s">
        <v>19</v>
      </c>
      <c r="J156" s="5" t="str">
        <f aca="false">ROUND(87*1,0)&amp;"%"</f>
        <v>87%</v>
      </c>
    </row>
    <row r="157" customFormat="false" ht="15" hidden="false" customHeight="false" outlineLevel="0" collapsed="false">
      <c r="A157" s="6" t="s">
        <v>11268</v>
      </c>
      <c r="B157" s="6" t="s">
        <v>274</v>
      </c>
      <c r="C157" s="6" t="s">
        <v>133</v>
      </c>
      <c r="D157" s="6" t="s">
        <v>22</v>
      </c>
      <c r="E157" s="6" t="n">
        <f aca="false">ROUND(7390*1.05,2)</f>
        <v>7759.5</v>
      </c>
      <c r="F157" s="6" t="s">
        <v>52</v>
      </c>
      <c r="G157" s="6" t="s">
        <v>24</v>
      </c>
      <c r="H157" s="6" t="n">
        <f aca="true">ROUND(RAND()*4+6,1)</f>
        <v>6.2</v>
      </c>
      <c r="I157" s="6" t="s">
        <v>25</v>
      </c>
      <c r="J157" s="6" t="str">
        <f aca="false">ROUND(76*1,0)&amp;"%"</f>
        <v>76%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11269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11270</v>
      </c>
      <c r="B162" s="5" t="s">
        <v>278</v>
      </c>
      <c r="C162" s="5" t="s">
        <v>152</v>
      </c>
      <c r="D162" s="5" t="s">
        <v>16</v>
      </c>
      <c r="E162" s="5" t="n">
        <f aca="false">ROUND(9904*1.05,2)</f>
        <v>10399.2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ROUND(86*1,0)&amp;"%"</f>
        <v>86%</v>
      </c>
    </row>
    <row r="163" customFormat="false" ht="15" hidden="false" customHeight="false" outlineLevel="0" collapsed="false">
      <c r="A163" s="6" t="s">
        <v>11271</v>
      </c>
      <c r="B163" s="6" t="s">
        <v>280</v>
      </c>
      <c r="C163" s="6" t="s">
        <v>152</v>
      </c>
      <c r="D163" s="6" t="s">
        <v>22</v>
      </c>
      <c r="E163" s="6" t="n">
        <f aca="false">ROUND(4331*1.05,2)</f>
        <v>4547.55</v>
      </c>
      <c r="F163" s="6" t="s">
        <v>23</v>
      </c>
      <c r="G163" s="6" t="s">
        <v>24</v>
      </c>
      <c r="H163" s="6" t="n">
        <f aca="true">ROUND(RAND()*4+6,1)</f>
        <v>6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11272</v>
      </c>
      <c r="B164" s="5" t="s">
        <v>282</v>
      </c>
      <c r="C164" s="5" t="s">
        <v>152</v>
      </c>
      <c r="D164" s="5" t="s">
        <v>28</v>
      </c>
      <c r="E164" s="5" t="n">
        <f aca="false">ROUND(13005*1.05,2)</f>
        <v>13655.25</v>
      </c>
      <c r="F164" s="5" t="s">
        <v>29</v>
      </c>
      <c r="G164" s="5" t="s">
        <v>30</v>
      </c>
      <c r="H164" s="5" t="n">
        <f aca="true">ROUND(RAND()*4+6,1)</f>
        <v>7.1</v>
      </c>
      <c r="I164" s="5" t="s">
        <v>31</v>
      </c>
      <c r="J164" s="5" t="str">
        <f aca="false">ROUND(78*1,0)&amp;"%"</f>
        <v>78%</v>
      </c>
    </row>
    <row r="165" customFormat="false" ht="15" hidden="false" customHeight="false" outlineLevel="0" collapsed="false">
      <c r="A165" s="6" t="s">
        <v>11273</v>
      </c>
      <c r="B165" s="6" t="s">
        <v>284</v>
      </c>
      <c r="C165" s="6" t="s">
        <v>152</v>
      </c>
      <c r="D165" s="6" t="s">
        <v>34</v>
      </c>
      <c r="E165" s="6" t="n">
        <f aca="false">ROUND(14792*1.05,2)</f>
        <v>15531.6</v>
      </c>
      <c r="F165" s="6" t="s">
        <v>35</v>
      </c>
      <c r="G165" s="6" t="s">
        <v>18</v>
      </c>
      <c r="H165" s="6" t="n">
        <f aca="true">ROUND(RAND()*4+6,1)</f>
        <v>6.6</v>
      </c>
      <c r="I165" s="6" t="s">
        <v>36</v>
      </c>
      <c r="J165" s="6" t="str">
        <f aca="false">ROUND(74*1,0)&amp;"%"</f>
        <v>74%</v>
      </c>
    </row>
    <row r="166" customFormat="false" ht="15" hidden="false" customHeight="false" outlineLevel="0" collapsed="false">
      <c r="A166" s="5" t="s">
        <v>11274</v>
      </c>
      <c r="B166" s="5" t="s">
        <v>286</v>
      </c>
      <c r="C166" s="5" t="s">
        <v>152</v>
      </c>
      <c r="D166" s="5" t="s">
        <v>39</v>
      </c>
      <c r="E166" s="5" t="n">
        <f aca="false">ROUND(12694*1.05,2)</f>
        <v>13328.7</v>
      </c>
      <c r="F166" s="5" t="s">
        <v>40</v>
      </c>
      <c r="G166" s="5" t="s">
        <v>24</v>
      </c>
      <c r="H166" s="5" t="n">
        <f aca="true">ROUND(RAND()*4+6,1)</f>
        <v>6.8</v>
      </c>
      <c r="I166" s="5" t="s">
        <v>41</v>
      </c>
      <c r="J166" s="5" t="str">
        <f aca="false">ROUND(76*1,0)&amp;"%"</f>
        <v>76%</v>
      </c>
    </row>
    <row r="167" customFormat="false" ht="15" hidden="false" customHeight="false" outlineLevel="0" collapsed="false">
      <c r="A167" s="6" t="s">
        <v>11275</v>
      </c>
      <c r="B167" s="6" t="s">
        <v>288</v>
      </c>
      <c r="C167" s="6" t="s">
        <v>152</v>
      </c>
      <c r="D167" s="6" t="s">
        <v>44</v>
      </c>
      <c r="E167" s="6" t="n">
        <f aca="false">ROUND(7575*1.05,2)</f>
        <v>7953.75</v>
      </c>
      <c r="F167" s="6" t="s">
        <v>45</v>
      </c>
      <c r="G167" s="6" t="s">
        <v>30</v>
      </c>
      <c r="H167" s="6" t="n">
        <f aca="true">ROUND(RAND()*4+6,1)</f>
        <v>8.2</v>
      </c>
      <c r="I167" s="6" t="s">
        <v>46</v>
      </c>
      <c r="J167" s="6" t="str">
        <f aca="false">ROUND(69*1,0)&amp;"%"</f>
        <v>69%</v>
      </c>
    </row>
    <row r="168" customFormat="false" ht="15" hidden="false" customHeight="false" outlineLevel="0" collapsed="false">
      <c r="A168" s="5" t="s">
        <v>11276</v>
      </c>
      <c r="B168" s="5" t="s">
        <v>290</v>
      </c>
      <c r="C168" s="5" t="s">
        <v>152</v>
      </c>
      <c r="D168" s="5" t="s">
        <v>16</v>
      </c>
      <c r="E168" s="5" t="n">
        <f aca="false">ROUND(6618*1.05,2)</f>
        <v>6948.9</v>
      </c>
      <c r="F168" s="5" t="s">
        <v>49</v>
      </c>
      <c r="G168" s="5" t="s">
        <v>18</v>
      </c>
      <c r="H168" s="5" t="n">
        <f aca="true">ROUND(RAND()*4+6,1)</f>
        <v>7.5</v>
      </c>
      <c r="I168" s="5" t="s">
        <v>19</v>
      </c>
      <c r="J168" s="5" t="str">
        <f aca="false">ROUND(84*1,0)&amp;"%"</f>
        <v>84%</v>
      </c>
    </row>
    <row r="169" customFormat="false" ht="15" hidden="false" customHeight="false" outlineLevel="0" collapsed="false">
      <c r="A169" s="6" t="s">
        <v>11277</v>
      </c>
      <c r="B169" s="6" t="s">
        <v>292</v>
      </c>
      <c r="C169" s="6" t="s">
        <v>152</v>
      </c>
      <c r="D169" s="6" t="s">
        <v>22</v>
      </c>
      <c r="E169" s="6" t="n">
        <f aca="false">ROUND(12172*1.05,2)</f>
        <v>12780.6</v>
      </c>
      <c r="F169" s="6" t="s">
        <v>52</v>
      </c>
      <c r="G169" s="6" t="s">
        <v>24</v>
      </c>
      <c r="H169" s="6" t="n">
        <f aca="true">ROUND(RAND()*4+6,1)</f>
        <v>8.1</v>
      </c>
      <c r="I169" s="6" t="s">
        <v>25</v>
      </c>
      <c r="J169" s="6" t="str">
        <f aca="false">ROUND(60*1,0)&amp;"%"</f>
        <v>60%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11278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11279</v>
      </c>
      <c r="B174" s="5" t="s">
        <v>296</v>
      </c>
      <c r="C174" s="5" t="s">
        <v>15</v>
      </c>
      <c r="D174" s="5" t="s">
        <v>16</v>
      </c>
      <c r="E174" s="5" t="n">
        <f aca="false">ROUND(9550*1.05,2)</f>
        <v>10027.5</v>
      </c>
      <c r="F174" s="5" t="s">
        <v>17</v>
      </c>
      <c r="G174" s="5" t="s">
        <v>18</v>
      </c>
      <c r="H174" s="5" t="n">
        <f aca="true">ROUND(RAND()*4+6,1)</f>
        <v>7.9</v>
      </c>
      <c r="I174" s="5" t="s">
        <v>19</v>
      </c>
      <c r="J174" s="5" t="str">
        <f aca="false">ROUND(78*1,0)&amp;"%"</f>
        <v>78%</v>
      </c>
    </row>
    <row r="175" customFormat="false" ht="15" hidden="false" customHeight="false" outlineLevel="0" collapsed="false">
      <c r="A175" s="6" t="s">
        <v>11280</v>
      </c>
      <c r="B175" s="6" t="s">
        <v>298</v>
      </c>
      <c r="C175" s="6" t="s">
        <v>15</v>
      </c>
      <c r="D175" s="6" t="s">
        <v>22</v>
      </c>
      <c r="E175" s="6" t="n">
        <f aca="false">ROUND(8417*1.05,2)</f>
        <v>8837.85</v>
      </c>
      <c r="F175" s="6" t="s">
        <v>23</v>
      </c>
      <c r="G175" s="6" t="s">
        <v>24</v>
      </c>
      <c r="H175" s="6" t="n">
        <f aca="true">ROUND(RAND()*4+6,1)</f>
        <v>9.7</v>
      </c>
      <c r="I175" s="6" t="s">
        <v>25</v>
      </c>
      <c r="J175" s="6" t="str">
        <f aca="false">ROUND(91*1,0)&amp;"%"</f>
        <v>91%</v>
      </c>
    </row>
    <row r="176" customFormat="false" ht="15" hidden="false" customHeight="false" outlineLevel="0" collapsed="false">
      <c r="A176" s="5" t="s">
        <v>11281</v>
      </c>
      <c r="B176" s="5" t="s">
        <v>300</v>
      </c>
      <c r="C176" s="5" t="s">
        <v>15</v>
      </c>
      <c r="D176" s="5" t="s">
        <v>28</v>
      </c>
      <c r="E176" s="5" t="n">
        <f aca="false">ROUND(15993*1.05,2)</f>
        <v>16792.65</v>
      </c>
      <c r="F176" s="5" t="s">
        <v>29</v>
      </c>
      <c r="G176" s="5" t="s">
        <v>30</v>
      </c>
      <c r="H176" s="5" t="n">
        <f aca="true">ROUND(RAND()*4+6,1)</f>
        <v>8.1</v>
      </c>
      <c r="I176" s="5" t="s">
        <v>31</v>
      </c>
      <c r="J176" s="5" t="str">
        <f aca="false">ROUND(75*1,0)&amp;"%"</f>
        <v>75%</v>
      </c>
    </row>
    <row r="177" customFormat="false" ht="15" hidden="false" customHeight="false" outlineLevel="0" collapsed="false">
      <c r="A177" s="6" t="s">
        <v>11282</v>
      </c>
      <c r="B177" s="6" t="s">
        <v>302</v>
      </c>
      <c r="C177" s="6" t="s">
        <v>15</v>
      </c>
      <c r="D177" s="6" t="s">
        <v>34</v>
      </c>
      <c r="E177" s="6" t="n">
        <f aca="false">ROUND(9721*1.05,2)</f>
        <v>10207.05</v>
      </c>
      <c r="F177" s="6" t="s">
        <v>35</v>
      </c>
      <c r="G177" s="6" t="s">
        <v>18</v>
      </c>
      <c r="H177" s="6" t="n">
        <f aca="true">ROUND(RAND()*4+6,1)</f>
        <v>6.2</v>
      </c>
      <c r="I177" s="6" t="s">
        <v>36</v>
      </c>
      <c r="J177" s="6" t="str">
        <f aca="false">ROUND(92*1,0)&amp;"%"</f>
        <v>92%</v>
      </c>
    </row>
    <row r="178" customFormat="false" ht="15" hidden="false" customHeight="false" outlineLevel="0" collapsed="false">
      <c r="A178" s="5" t="s">
        <v>11283</v>
      </c>
      <c r="B178" s="5" t="s">
        <v>304</v>
      </c>
      <c r="C178" s="5" t="s">
        <v>15</v>
      </c>
      <c r="D178" s="5" t="s">
        <v>39</v>
      </c>
      <c r="E178" s="5" t="n">
        <f aca="false">ROUND(13875*1.05,2)</f>
        <v>14568.75</v>
      </c>
      <c r="F178" s="5" t="s">
        <v>40</v>
      </c>
      <c r="G178" s="5" t="s">
        <v>24</v>
      </c>
      <c r="H178" s="5" t="n">
        <f aca="true">ROUND(RAND()*4+6,1)</f>
        <v>7.7</v>
      </c>
      <c r="I178" s="5" t="s">
        <v>41</v>
      </c>
      <c r="J178" s="5" t="str">
        <f aca="false">ROUND(87*1,0)&amp;"%"</f>
        <v>87%</v>
      </c>
    </row>
    <row r="179" customFormat="false" ht="15" hidden="false" customHeight="false" outlineLevel="0" collapsed="false">
      <c r="A179" s="6" t="s">
        <v>11284</v>
      </c>
      <c r="B179" s="6" t="s">
        <v>306</v>
      </c>
      <c r="C179" s="6" t="s">
        <v>15</v>
      </c>
      <c r="D179" s="6" t="s">
        <v>44</v>
      </c>
      <c r="E179" s="6" t="n">
        <f aca="false">ROUND(15073*1.05,2)</f>
        <v>15826.65</v>
      </c>
      <c r="F179" s="6" t="s">
        <v>45</v>
      </c>
      <c r="G179" s="6" t="s">
        <v>30</v>
      </c>
      <c r="H179" s="6" t="n">
        <f aca="true">ROUND(RAND()*4+6,1)</f>
        <v>7.3</v>
      </c>
      <c r="I179" s="6" t="s">
        <v>46</v>
      </c>
      <c r="J179" s="6" t="str">
        <f aca="false">ROUND(91*1,0)&amp;"%"</f>
        <v>91%</v>
      </c>
    </row>
    <row r="180" customFormat="false" ht="15" hidden="false" customHeight="false" outlineLevel="0" collapsed="false">
      <c r="A180" s="5" t="s">
        <v>11285</v>
      </c>
      <c r="B180" s="5" t="s">
        <v>308</v>
      </c>
      <c r="C180" s="5" t="s">
        <v>15</v>
      </c>
      <c r="D180" s="5" t="s">
        <v>16</v>
      </c>
      <c r="E180" s="5" t="n">
        <f aca="false">ROUND(16890*1.05,2)</f>
        <v>17734.5</v>
      </c>
      <c r="F180" s="5" t="s">
        <v>49</v>
      </c>
      <c r="G180" s="5" t="s">
        <v>18</v>
      </c>
      <c r="H180" s="5" t="n">
        <f aca="true">ROUND(RAND()*4+6,1)</f>
        <v>7.6</v>
      </c>
      <c r="I180" s="5" t="s">
        <v>19</v>
      </c>
      <c r="J180" s="5" t="str">
        <f aca="false">ROUND(80*1,0)&amp;"%"</f>
        <v>80%</v>
      </c>
    </row>
    <row r="181" customFormat="false" ht="15" hidden="false" customHeight="false" outlineLevel="0" collapsed="false">
      <c r="A181" s="6" t="s">
        <v>11286</v>
      </c>
      <c r="B181" s="6" t="s">
        <v>310</v>
      </c>
      <c r="C181" s="6" t="s">
        <v>15</v>
      </c>
      <c r="D181" s="6" t="s">
        <v>22</v>
      </c>
      <c r="E181" s="6" t="n">
        <f aca="false">ROUND(7656*1.05,2)</f>
        <v>8038.8</v>
      </c>
      <c r="F181" s="6" t="s">
        <v>52</v>
      </c>
      <c r="G181" s="6" t="s">
        <v>24</v>
      </c>
      <c r="H181" s="6" t="n">
        <f aca="true">ROUND(RAND()*4+6,1)</f>
        <v>9.7</v>
      </c>
      <c r="I181" s="6" t="s">
        <v>25</v>
      </c>
      <c r="J181" s="6" t="str">
        <f aca="false">ROUND(84*1,0)&amp;"%"</f>
        <v>84%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11287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11288</v>
      </c>
      <c r="B186" s="5" t="s">
        <v>314</v>
      </c>
      <c r="C186" s="5" t="s">
        <v>57</v>
      </c>
      <c r="D186" s="5" t="s">
        <v>16</v>
      </c>
      <c r="E186" s="5" t="n">
        <f aca="false">ROUND(12572*1.05,2)</f>
        <v>13200.6</v>
      </c>
      <c r="F186" s="5" t="s">
        <v>17</v>
      </c>
      <c r="G186" s="5" t="s">
        <v>18</v>
      </c>
      <c r="H186" s="5" t="n">
        <f aca="true">ROUND(RAND()*4+6,1)</f>
        <v>10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11289</v>
      </c>
      <c r="B187" s="6" t="s">
        <v>316</v>
      </c>
      <c r="C187" s="6" t="s">
        <v>57</v>
      </c>
      <c r="D187" s="6" t="s">
        <v>22</v>
      </c>
      <c r="E187" s="6" t="n">
        <f aca="false">ROUND(15695*1.05,2)</f>
        <v>16479.75</v>
      </c>
      <c r="F187" s="6" t="s">
        <v>23</v>
      </c>
      <c r="G187" s="6" t="s">
        <v>24</v>
      </c>
      <c r="H187" s="6" t="n">
        <f aca="true">ROUND(RAND()*4+6,1)</f>
        <v>7.1</v>
      </c>
      <c r="I187" s="6" t="s">
        <v>25</v>
      </c>
      <c r="J187" s="6" t="str">
        <f aca="false">ROUND(62*1,0)&amp;"%"</f>
        <v>62%</v>
      </c>
    </row>
    <row r="188" customFormat="false" ht="15" hidden="false" customHeight="false" outlineLevel="0" collapsed="false">
      <c r="A188" s="5" t="s">
        <v>11290</v>
      </c>
      <c r="B188" s="5" t="s">
        <v>318</v>
      </c>
      <c r="C188" s="5" t="s">
        <v>57</v>
      </c>
      <c r="D188" s="5" t="s">
        <v>28</v>
      </c>
      <c r="E188" s="5" t="n">
        <f aca="false">ROUND(7019*1.05,2)</f>
        <v>7369.95</v>
      </c>
      <c r="F188" s="5" t="s">
        <v>29</v>
      </c>
      <c r="G188" s="5" t="s">
        <v>30</v>
      </c>
      <c r="H188" s="5" t="n">
        <f aca="true">ROUND(RAND()*4+6,1)</f>
        <v>9.8</v>
      </c>
      <c r="I188" s="5" t="s">
        <v>31</v>
      </c>
      <c r="J188" s="5" t="str">
        <f aca="false">ROUND(68*1,0)&amp;"%"</f>
        <v>68%</v>
      </c>
    </row>
    <row r="189" customFormat="false" ht="15" hidden="false" customHeight="false" outlineLevel="0" collapsed="false">
      <c r="A189" s="6" t="s">
        <v>11291</v>
      </c>
      <c r="B189" s="6" t="s">
        <v>320</v>
      </c>
      <c r="C189" s="6" t="s">
        <v>57</v>
      </c>
      <c r="D189" s="6" t="s">
        <v>34</v>
      </c>
      <c r="E189" s="6" t="n">
        <f aca="false">ROUND(5950*1.05,2)</f>
        <v>6247.5</v>
      </c>
      <c r="F189" s="6" t="s">
        <v>35</v>
      </c>
      <c r="G189" s="6" t="s">
        <v>18</v>
      </c>
      <c r="H189" s="6" t="n">
        <f aca="true">ROUND(RAND()*4+6,1)</f>
        <v>9.1</v>
      </c>
      <c r="I189" s="6" t="s">
        <v>36</v>
      </c>
      <c r="J189" s="6" t="str">
        <f aca="false">ROUND(69*1,0)&amp;"%"</f>
        <v>69%</v>
      </c>
    </row>
    <row r="190" customFormat="false" ht="15" hidden="false" customHeight="false" outlineLevel="0" collapsed="false">
      <c r="A190" s="5" t="s">
        <v>11292</v>
      </c>
      <c r="B190" s="5" t="s">
        <v>322</v>
      </c>
      <c r="C190" s="5" t="s">
        <v>57</v>
      </c>
      <c r="D190" s="5" t="s">
        <v>39</v>
      </c>
      <c r="E190" s="5" t="n">
        <f aca="false">ROUND(15656*1.05,2)</f>
        <v>16438.8</v>
      </c>
      <c r="F190" s="5" t="s">
        <v>40</v>
      </c>
      <c r="G190" s="5" t="s">
        <v>24</v>
      </c>
      <c r="H190" s="5" t="n">
        <f aca="true">ROUND(RAND()*4+6,1)</f>
        <v>6.1</v>
      </c>
      <c r="I190" s="5" t="s">
        <v>41</v>
      </c>
      <c r="J190" s="5" t="str">
        <f aca="false">ROUND(62*1,0)&amp;"%"</f>
        <v>62%</v>
      </c>
    </row>
    <row r="191" customFormat="false" ht="15" hidden="false" customHeight="false" outlineLevel="0" collapsed="false">
      <c r="A191" s="6" t="s">
        <v>11293</v>
      </c>
      <c r="B191" s="6" t="s">
        <v>324</v>
      </c>
      <c r="C191" s="6" t="s">
        <v>57</v>
      </c>
      <c r="D191" s="6" t="s">
        <v>44</v>
      </c>
      <c r="E191" s="6" t="n">
        <f aca="false">ROUND(10753*1.05,2)</f>
        <v>11290.65</v>
      </c>
      <c r="F191" s="6" t="s">
        <v>45</v>
      </c>
      <c r="G191" s="6" t="s">
        <v>30</v>
      </c>
      <c r="H191" s="6" t="n">
        <f aca="true">ROUND(RAND()*4+6,1)</f>
        <v>6.3</v>
      </c>
      <c r="I191" s="6" t="s">
        <v>46</v>
      </c>
      <c r="J191" s="6" t="str">
        <f aca="false">ROUND(69*1,0)&amp;"%"</f>
        <v>69%</v>
      </c>
    </row>
    <row r="192" customFormat="false" ht="15" hidden="false" customHeight="false" outlineLevel="0" collapsed="false">
      <c r="A192" s="5" t="s">
        <v>11294</v>
      </c>
      <c r="B192" s="5" t="s">
        <v>326</v>
      </c>
      <c r="C192" s="5" t="s">
        <v>57</v>
      </c>
      <c r="D192" s="5" t="s">
        <v>16</v>
      </c>
      <c r="E192" s="5" t="n">
        <f aca="false">ROUND(13071*1.05,2)</f>
        <v>13724.55</v>
      </c>
      <c r="F192" s="5" t="s">
        <v>49</v>
      </c>
      <c r="G192" s="5" t="s">
        <v>18</v>
      </c>
      <c r="H192" s="5" t="n">
        <f aca="true">ROUND(RAND()*4+6,1)</f>
        <v>9.1</v>
      </c>
      <c r="I192" s="5" t="s">
        <v>19</v>
      </c>
      <c r="J192" s="5" t="str">
        <f aca="false">ROUND(80*1,0)&amp;"%"</f>
        <v>80%</v>
      </c>
    </row>
    <row r="193" customFormat="false" ht="15" hidden="false" customHeight="false" outlineLevel="0" collapsed="false">
      <c r="A193" s="6" t="s">
        <v>11295</v>
      </c>
      <c r="B193" s="6" t="s">
        <v>328</v>
      </c>
      <c r="C193" s="6" t="s">
        <v>57</v>
      </c>
      <c r="D193" s="6" t="s">
        <v>22</v>
      </c>
      <c r="E193" s="6" t="n">
        <f aca="false">ROUND(15062*1.05,2)</f>
        <v>15815.1</v>
      </c>
      <c r="F193" s="6" t="s">
        <v>52</v>
      </c>
      <c r="G193" s="6" t="s">
        <v>24</v>
      </c>
      <c r="H193" s="6" t="n">
        <f aca="true">ROUND(RAND()*4+6,1)</f>
        <v>6.2</v>
      </c>
      <c r="I193" s="6" t="s">
        <v>25</v>
      </c>
      <c r="J193" s="6" t="str">
        <f aca="false">ROUND(73*1,0)&amp;"%"</f>
        <v>73%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11296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11297</v>
      </c>
      <c r="B198" s="5" t="s">
        <v>332</v>
      </c>
      <c r="C198" s="5" t="s">
        <v>76</v>
      </c>
      <c r="D198" s="5" t="s">
        <v>16</v>
      </c>
      <c r="E198" s="5" t="n">
        <f aca="false">ROUND(8503*1.05,2)</f>
        <v>8928.15</v>
      </c>
      <c r="F198" s="5" t="s">
        <v>17</v>
      </c>
      <c r="G198" s="5" t="s">
        <v>18</v>
      </c>
      <c r="H198" s="5" t="n">
        <f aca="true">ROUND(RAND()*4+6,1)</f>
        <v>6.2</v>
      </c>
      <c r="I198" s="5" t="s">
        <v>19</v>
      </c>
      <c r="J198" s="5" t="str">
        <f aca="false">ROUND(94*1,0)&amp;"%"</f>
        <v>94%</v>
      </c>
    </row>
    <row r="199" customFormat="false" ht="15" hidden="false" customHeight="false" outlineLevel="0" collapsed="false">
      <c r="A199" s="6" t="s">
        <v>11298</v>
      </c>
      <c r="B199" s="6" t="s">
        <v>334</v>
      </c>
      <c r="C199" s="6" t="s">
        <v>76</v>
      </c>
      <c r="D199" s="6" t="s">
        <v>22</v>
      </c>
      <c r="E199" s="6" t="n">
        <f aca="false">ROUND(11005*1.05,2)</f>
        <v>11555.25</v>
      </c>
      <c r="F199" s="6" t="s">
        <v>23</v>
      </c>
      <c r="G199" s="6" t="s">
        <v>24</v>
      </c>
      <c r="H199" s="6" t="n">
        <f aca="true">ROUND(RAND()*4+6,1)</f>
        <v>8.5</v>
      </c>
      <c r="I199" s="6" t="s">
        <v>25</v>
      </c>
      <c r="J199" s="6" t="str">
        <f aca="false">ROUND(90*1,0)&amp;"%"</f>
        <v>90%</v>
      </c>
    </row>
    <row r="200" customFormat="false" ht="15" hidden="false" customHeight="false" outlineLevel="0" collapsed="false">
      <c r="A200" s="5" t="s">
        <v>11299</v>
      </c>
      <c r="B200" s="5" t="s">
        <v>336</v>
      </c>
      <c r="C200" s="5" t="s">
        <v>76</v>
      </c>
      <c r="D200" s="5" t="s">
        <v>28</v>
      </c>
      <c r="E200" s="5" t="n">
        <f aca="false">ROUND(12563*1.05,2)</f>
        <v>13191.15</v>
      </c>
      <c r="F200" s="5" t="s">
        <v>29</v>
      </c>
      <c r="G200" s="5" t="s">
        <v>30</v>
      </c>
      <c r="H200" s="5" t="n">
        <f aca="true">ROUND(RAND()*4+6,1)</f>
        <v>8.4</v>
      </c>
      <c r="I200" s="5" t="s">
        <v>31</v>
      </c>
      <c r="J200" s="5" t="str">
        <f aca="false">ROUND(95*1,0)&amp;"%"</f>
        <v>95%</v>
      </c>
    </row>
    <row r="201" customFormat="false" ht="15" hidden="false" customHeight="false" outlineLevel="0" collapsed="false">
      <c r="A201" s="6" t="s">
        <v>11300</v>
      </c>
      <c r="B201" s="6" t="s">
        <v>338</v>
      </c>
      <c r="C201" s="6" t="s">
        <v>76</v>
      </c>
      <c r="D201" s="6" t="s">
        <v>34</v>
      </c>
      <c r="E201" s="6" t="n">
        <f aca="false">ROUND(8629*1.05,2)</f>
        <v>9060.45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ROUND(95*1,0)&amp;"%"</f>
        <v>95%</v>
      </c>
    </row>
    <row r="202" customFormat="false" ht="15" hidden="false" customHeight="false" outlineLevel="0" collapsed="false">
      <c r="A202" s="5" t="s">
        <v>11301</v>
      </c>
      <c r="B202" s="5" t="s">
        <v>340</v>
      </c>
      <c r="C202" s="5" t="s">
        <v>76</v>
      </c>
      <c r="D202" s="5" t="s">
        <v>39</v>
      </c>
      <c r="E202" s="5" t="n">
        <f aca="false">ROUND(16724*1.05,2)</f>
        <v>17560.2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ROUND(81*1,0)&amp;"%"</f>
        <v>81%</v>
      </c>
    </row>
    <row r="203" customFormat="false" ht="15" hidden="false" customHeight="false" outlineLevel="0" collapsed="false">
      <c r="A203" s="6" t="s">
        <v>11302</v>
      </c>
      <c r="B203" s="6" t="s">
        <v>342</v>
      </c>
      <c r="C203" s="6" t="s">
        <v>76</v>
      </c>
      <c r="D203" s="6" t="s">
        <v>44</v>
      </c>
      <c r="E203" s="6" t="n">
        <f aca="false">ROUND(7737*1.05,2)</f>
        <v>8123.85</v>
      </c>
      <c r="F203" s="6" t="s">
        <v>45</v>
      </c>
      <c r="G203" s="6" t="s">
        <v>30</v>
      </c>
      <c r="H203" s="6" t="n">
        <f aca="true">ROUND(RAND()*4+6,1)</f>
        <v>8</v>
      </c>
      <c r="I203" s="6" t="s">
        <v>46</v>
      </c>
      <c r="J203" s="6" t="str">
        <f aca="false">ROUND(82*1,0)&amp;"%"</f>
        <v>82%</v>
      </c>
    </row>
    <row r="204" customFormat="false" ht="15" hidden="false" customHeight="false" outlineLevel="0" collapsed="false">
      <c r="A204" s="5" t="s">
        <v>11303</v>
      </c>
      <c r="B204" s="5" t="s">
        <v>344</v>
      </c>
      <c r="C204" s="5" t="s">
        <v>76</v>
      </c>
      <c r="D204" s="5" t="s">
        <v>16</v>
      </c>
      <c r="E204" s="5" t="n">
        <f aca="false">ROUND(6501*1.05,2)</f>
        <v>6826.05</v>
      </c>
      <c r="F204" s="5" t="s">
        <v>49</v>
      </c>
      <c r="G204" s="5" t="s">
        <v>18</v>
      </c>
      <c r="H204" s="5" t="n">
        <f aca="true">ROUND(RAND()*4+6,1)</f>
        <v>8.1</v>
      </c>
      <c r="I204" s="5" t="s">
        <v>19</v>
      </c>
      <c r="J204" s="5" t="str">
        <f aca="false">ROUND(87*1,0)&amp;"%"</f>
        <v>87%</v>
      </c>
    </row>
    <row r="205" customFormat="false" ht="15" hidden="false" customHeight="false" outlineLevel="0" collapsed="false">
      <c r="A205" s="6" t="s">
        <v>11304</v>
      </c>
      <c r="B205" s="6" t="s">
        <v>346</v>
      </c>
      <c r="C205" s="6" t="s">
        <v>76</v>
      </c>
      <c r="D205" s="6" t="s">
        <v>22</v>
      </c>
      <c r="E205" s="6" t="n">
        <f aca="false">ROUND(15516*1.05,2)</f>
        <v>16291.8</v>
      </c>
      <c r="F205" s="6" t="s">
        <v>52</v>
      </c>
      <c r="G205" s="6" t="s">
        <v>24</v>
      </c>
      <c r="H205" s="6" t="n">
        <f aca="true">ROUND(RAND()*4+6,1)</f>
        <v>10</v>
      </c>
      <c r="I205" s="6" t="s">
        <v>25</v>
      </c>
      <c r="J205" s="6" t="str">
        <f aca="false">ROUND(71*1,0)&amp;"%"</f>
        <v>71%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11305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11306</v>
      </c>
      <c r="B210" s="5" t="s">
        <v>350</v>
      </c>
      <c r="C210" s="5" t="s">
        <v>95</v>
      </c>
      <c r="D210" s="5" t="s">
        <v>16</v>
      </c>
      <c r="E210" s="5" t="n">
        <f aca="false">ROUND(4342*1.05,2)</f>
        <v>4559.1</v>
      </c>
      <c r="F210" s="5" t="s">
        <v>17</v>
      </c>
      <c r="G210" s="5" t="s">
        <v>18</v>
      </c>
      <c r="H210" s="5" t="n">
        <f aca="true">ROUND(RAND()*4+6,1)</f>
        <v>9.7</v>
      </c>
      <c r="I210" s="5" t="s">
        <v>19</v>
      </c>
      <c r="J210" s="5" t="str">
        <f aca="false">ROUND(88*1,0)&amp;"%"</f>
        <v>88%</v>
      </c>
    </row>
    <row r="211" customFormat="false" ht="15" hidden="false" customHeight="false" outlineLevel="0" collapsed="false">
      <c r="A211" s="6" t="s">
        <v>11307</v>
      </c>
      <c r="B211" s="6" t="s">
        <v>352</v>
      </c>
      <c r="C211" s="6" t="s">
        <v>95</v>
      </c>
      <c r="D211" s="6" t="s">
        <v>22</v>
      </c>
      <c r="E211" s="6" t="n">
        <f aca="false">ROUND(9213*1.05,2)</f>
        <v>9673.65</v>
      </c>
      <c r="F211" s="6" t="s">
        <v>23</v>
      </c>
      <c r="G211" s="6" t="s">
        <v>24</v>
      </c>
      <c r="H211" s="6" t="n">
        <f aca="true">ROUND(RAND()*4+6,1)</f>
        <v>8.1</v>
      </c>
      <c r="I211" s="6" t="s">
        <v>25</v>
      </c>
      <c r="J211" s="6" t="str">
        <f aca="false">ROUND(97*1,0)&amp;"%"</f>
        <v>97%</v>
      </c>
    </row>
    <row r="212" customFormat="false" ht="15" hidden="false" customHeight="false" outlineLevel="0" collapsed="false">
      <c r="A212" s="5" t="s">
        <v>11308</v>
      </c>
      <c r="B212" s="5" t="s">
        <v>354</v>
      </c>
      <c r="C212" s="5" t="s">
        <v>95</v>
      </c>
      <c r="D212" s="5" t="s">
        <v>28</v>
      </c>
      <c r="E212" s="5" t="n">
        <f aca="false">ROUND(11308*1.05,2)</f>
        <v>11873.4</v>
      </c>
      <c r="F212" s="5" t="s">
        <v>29</v>
      </c>
      <c r="G212" s="5" t="s">
        <v>30</v>
      </c>
      <c r="H212" s="5" t="n">
        <f aca="true">ROUND(RAND()*4+6,1)</f>
        <v>8.3</v>
      </c>
      <c r="I212" s="5" t="s">
        <v>31</v>
      </c>
      <c r="J212" s="5" t="str">
        <f aca="false">ROUND(89*1,0)&amp;"%"</f>
        <v>89%</v>
      </c>
    </row>
    <row r="213" customFormat="false" ht="15" hidden="false" customHeight="false" outlineLevel="0" collapsed="false">
      <c r="A213" s="6" t="s">
        <v>11309</v>
      </c>
      <c r="B213" s="6" t="s">
        <v>356</v>
      </c>
      <c r="C213" s="6" t="s">
        <v>95</v>
      </c>
      <c r="D213" s="6" t="s">
        <v>34</v>
      </c>
      <c r="E213" s="6" t="n">
        <f aca="false">ROUND(7202*1.05,2)</f>
        <v>7562.1</v>
      </c>
      <c r="F213" s="6" t="s">
        <v>35</v>
      </c>
      <c r="G213" s="6" t="s">
        <v>18</v>
      </c>
      <c r="H213" s="6" t="n">
        <f aca="true">ROUND(RAND()*4+6,1)</f>
        <v>6.9</v>
      </c>
      <c r="I213" s="6" t="s">
        <v>36</v>
      </c>
      <c r="J213" s="6" t="str">
        <f aca="false">ROUND(62*1,0)&amp;"%"</f>
        <v>62%</v>
      </c>
    </row>
    <row r="214" customFormat="false" ht="15" hidden="false" customHeight="false" outlineLevel="0" collapsed="false">
      <c r="A214" s="5" t="s">
        <v>11310</v>
      </c>
      <c r="B214" s="5" t="s">
        <v>358</v>
      </c>
      <c r="C214" s="5" t="s">
        <v>95</v>
      </c>
      <c r="D214" s="5" t="s">
        <v>39</v>
      </c>
      <c r="E214" s="5" t="n">
        <f aca="false">ROUND(17736*1.05,2)</f>
        <v>18622.8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ROUND(65*1,0)&amp;"%"</f>
        <v>65%</v>
      </c>
    </row>
    <row r="215" customFormat="false" ht="15" hidden="false" customHeight="false" outlineLevel="0" collapsed="false">
      <c r="A215" s="6" t="s">
        <v>11311</v>
      </c>
      <c r="B215" s="6" t="s">
        <v>360</v>
      </c>
      <c r="C215" s="6" t="s">
        <v>95</v>
      </c>
      <c r="D215" s="6" t="s">
        <v>44</v>
      </c>
      <c r="E215" s="6" t="n">
        <f aca="false">ROUND(10880*1.05,2)</f>
        <v>11424</v>
      </c>
      <c r="F215" s="6" t="s">
        <v>45</v>
      </c>
      <c r="G215" s="6" t="s">
        <v>30</v>
      </c>
      <c r="H215" s="6" t="n">
        <f aca="true">ROUND(RAND()*4+6,1)</f>
        <v>8.3</v>
      </c>
      <c r="I215" s="6" t="s">
        <v>46</v>
      </c>
      <c r="J215" s="6" t="str">
        <f aca="false">ROUND(97*1,0)&amp;"%"</f>
        <v>97%</v>
      </c>
    </row>
    <row r="216" customFormat="false" ht="15" hidden="false" customHeight="false" outlineLevel="0" collapsed="false">
      <c r="A216" s="5" t="s">
        <v>11312</v>
      </c>
      <c r="B216" s="5" t="s">
        <v>362</v>
      </c>
      <c r="C216" s="5" t="s">
        <v>95</v>
      </c>
      <c r="D216" s="5" t="s">
        <v>16</v>
      </c>
      <c r="E216" s="5" t="n">
        <f aca="false">ROUND(15185*1.05,2)</f>
        <v>15944.25</v>
      </c>
      <c r="F216" s="5" t="s">
        <v>49</v>
      </c>
      <c r="G216" s="5" t="s">
        <v>18</v>
      </c>
      <c r="H216" s="5" t="n">
        <f aca="true">ROUND(RAND()*4+6,1)</f>
        <v>7.5</v>
      </c>
      <c r="I216" s="5" t="s">
        <v>19</v>
      </c>
      <c r="J216" s="5" t="str">
        <f aca="false">ROUND(72*1,0)&amp;"%"</f>
        <v>72%</v>
      </c>
    </row>
    <row r="217" customFormat="false" ht="15" hidden="false" customHeight="false" outlineLevel="0" collapsed="false">
      <c r="A217" s="6" t="s">
        <v>11313</v>
      </c>
      <c r="B217" s="6" t="s">
        <v>364</v>
      </c>
      <c r="C217" s="6" t="s">
        <v>95</v>
      </c>
      <c r="D217" s="6" t="s">
        <v>22</v>
      </c>
      <c r="E217" s="6" t="n">
        <f aca="false">ROUND(17420*1.05,2)</f>
        <v>18291</v>
      </c>
      <c r="F217" s="6" t="s">
        <v>52</v>
      </c>
      <c r="G217" s="6" t="s">
        <v>24</v>
      </c>
      <c r="H217" s="6" t="n">
        <f aca="true">ROUND(RAND()*4+6,1)</f>
        <v>6.1</v>
      </c>
      <c r="I217" s="6" t="s">
        <v>25</v>
      </c>
      <c r="J217" s="6" t="str">
        <f aca="false">ROUND(61*1,0)&amp;"%"</f>
        <v>61%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11314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11315</v>
      </c>
      <c r="B222" s="5" t="s">
        <v>368</v>
      </c>
      <c r="C222" s="5" t="s">
        <v>114</v>
      </c>
      <c r="D222" s="5" t="s">
        <v>16</v>
      </c>
      <c r="E222" s="5" t="n">
        <f aca="false">ROUND(8029*1.05,2)</f>
        <v>8430.45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ROUND(100*1,0)&amp;"%"</f>
        <v>100%</v>
      </c>
    </row>
    <row r="223" customFormat="false" ht="15" hidden="false" customHeight="false" outlineLevel="0" collapsed="false">
      <c r="A223" s="6" t="s">
        <v>11316</v>
      </c>
      <c r="B223" s="6" t="s">
        <v>370</v>
      </c>
      <c r="C223" s="6" t="s">
        <v>114</v>
      </c>
      <c r="D223" s="6" t="s">
        <v>22</v>
      </c>
      <c r="E223" s="6" t="n">
        <f aca="false">ROUND(4743*1.05,2)</f>
        <v>4980.15</v>
      </c>
      <c r="F223" s="6" t="s">
        <v>23</v>
      </c>
      <c r="G223" s="6" t="s">
        <v>24</v>
      </c>
      <c r="H223" s="6" t="n">
        <f aca="true">ROUND(RAND()*4+6,1)</f>
        <v>6.5</v>
      </c>
      <c r="I223" s="6" t="s">
        <v>25</v>
      </c>
      <c r="J223" s="6" t="str">
        <f aca="false">ROUND(84*1,0)&amp;"%"</f>
        <v>84%</v>
      </c>
    </row>
    <row r="224" customFormat="false" ht="15" hidden="false" customHeight="false" outlineLevel="0" collapsed="false">
      <c r="A224" s="5" t="s">
        <v>11317</v>
      </c>
      <c r="B224" s="5" t="s">
        <v>372</v>
      </c>
      <c r="C224" s="5" t="s">
        <v>114</v>
      </c>
      <c r="D224" s="5" t="s">
        <v>28</v>
      </c>
      <c r="E224" s="5" t="n">
        <f aca="false">ROUND(7190*1.05,2)</f>
        <v>7549.5</v>
      </c>
      <c r="F224" s="5" t="s">
        <v>29</v>
      </c>
      <c r="G224" s="5" t="s">
        <v>30</v>
      </c>
      <c r="H224" s="5" t="n">
        <f aca="true">ROUND(RAND()*4+6,1)</f>
        <v>9.4</v>
      </c>
      <c r="I224" s="5" t="s">
        <v>31</v>
      </c>
      <c r="J224" s="5" t="str">
        <f aca="false">ROUND(73*1,0)&amp;"%"</f>
        <v>73%</v>
      </c>
    </row>
    <row r="225" customFormat="false" ht="15" hidden="false" customHeight="false" outlineLevel="0" collapsed="false">
      <c r="A225" s="6" t="s">
        <v>11318</v>
      </c>
      <c r="B225" s="6" t="s">
        <v>374</v>
      </c>
      <c r="C225" s="6" t="s">
        <v>114</v>
      </c>
      <c r="D225" s="6" t="s">
        <v>34</v>
      </c>
      <c r="E225" s="6" t="n">
        <f aca="false">ROUND(10273*1.05,2)</f>
        <v>10786.65</v>
      </c>
      <c r="F225" s="6" t="s">
        <v>35</v>
      </c>
      <c r="G225" s="6" t="s">
        <v>18</v>
      </c>
      <c r="H225" s="6" t="n">
        <f aca="true">ROUND(RAND()*4+6,1)</f>
        <v>9.6</v>
      </c>
      <c r="I225" s="6" t="s">
        <v>36</v>
      </c>
      <c r="J225" s="6" t="str">
        <f aca="false">ROUND(68*1,0)&amp;"%"</f>
        <v>68%</v>
      </c>
    </row>
    <row r="226" customFormat="false" ht="15" hidden="false" customHeight="false" outlineLevel="0" collapsed="false">
      <c r="A226" s="5" t="s">
        <v>11319</v>
      </c>
      <c r="B226" s="5" t="s">
        <v>376</v>
      </c>
      <c r="C226" s="5" t="s">
        <v>114</v>
      </c>
      <c r="D226" s="5" t="s">
        <v>39</v>
      </c>
      <c r="E226" s="5" t="n">
        <f aca="false">ROUND(5819*1.05,2)</f>
        <v>6109.95</v>
      </c>
      <c r="F226" s="5" t="s">
        <v>40</v>
      </c>
      <c r="G226" s="5" t="s">
        <v>24</v>
      </c>
      <c r="H226" s="5" t="n">
        <f aca="true">ROUND(RAND()*4+6,1)</f>
        <v>6.7</v>
      </c>
      <c r="I226" s="5" t="s">
        <v>41</v>
      </c>
      <c r="J226" s="5" t="str">
        <f aca="false">ROUND(68*1,0)&amp;"%"</f>
        <v>68%</v>
      </c>
    </row>
    <row r="227" customFormat="false" ht="15" hidden="false" customHeight="false" outlineLevel="0" collapsed="false">
      <c r="A227" s="6" t="s">
        <v>11320</v>
      </c>
      <c r="B227" s="6" t="s">
        <v>378</v>
      </c>
      <c r="C227" s="6" t="s">
        <v>114</v>
      </c>
      <c r="D227" s="6" t="s">
        <v>44</v>
      </c>
      <c r="E227" s="6" t="n">
        <f aca="false">ROUND(4809*1.05,2)</f>
        <v>5049.45</v>
      </c>
      <c r="F227" s="6" t="s">
        <v>45</v>
      </c>
      <c r="G227" s="6" t="s">
        <v>30</v>
      </c>
      <c r="H227" s="6" t="n">
        <f aca="true">ROUND(RAND()*4+6,1)</f>
        <v>6.1</v>
      </c>
      <c r="I227" s="6" t="s">
        <v>46</v>
      </c>
      <c r="J227" s="6" t="str">
        <f aca="false">ROUND(94*1,0)&amp;"%"</f>
        <v>94%</v>
      </c>
    </row>
    <row r="228" customFormat="false" ht="15" hidden="false" customHeight="false" outlineLevel="0" collapsed="false">
      <c r="A228" s="5" t="s">
        <v>11321</v>
      </c>
      <c r="B228" s="5" t="s">
        <v>380</v>
      </c>
      <c r="C228" s="5" t="s">
        <v>114</v>
      </c>
      <c r="D228" s="5" t="s">
        <v>16</v>
      </c>
      <c r="E228" s="5" t="n">
        <f aca="false">ROUND(9299*1.05,2)</f>
        <v>9763.95</v>
      </c>
      <c r="F228" s="5" t="s">
        <v>49</v>
      </c>
      <c r="G228" s="5" t="s">
        <v>18</v>
      </c>
      <c r="H228" s="5" t="n">
        <f aca="true">ROUND(RAND()*4+6,1)</f>
        <v>9</v>
      </c>
      <c r="I228" s="5" t="s">
        <v>19</v>
      </c>
      <c r="J228" s="5" t="str">
        <f aca="false">ROUND(93*1,0)&amp;"%"</f>
        <v>93%</v>
      </c>
    </row>
    <row r="229" customFormat="false" ht="15" hidden="false" customHeight="false" outlineLevel="0" collapsed="false">
      <c r="A229" s="6" t="s">
        <v>11322</v>
      </c>
      <c r="B229" s="6" t="s">
        <v>382</v>
      </c>
      <c r="C229" s="6" t="s">
        <v>114</v>
      </c>
      <c r="D229" s="6" t="s">
        <v>22</v>
      </c>
      <c r="E229" s="6" t="n">
        <f aca="false">ROUND(8559*1.05,2)</f>
        <v>8986.95</v>
      </c>
      <c r="F229" s="6" t="s">
        <v>52</v>
      </c>
      <c r="G229" s="6" t="s">
        <v>24</v>
      </c>
      <c r="H229" s="6" t="n">
        <f aca="true">ROUND(RAND()*4+6,1)</f>
        <v>9.2</v>
      </c>
      <c r="I229" s="6" t="s">
        <v>25</v>
      </c>
      <c r="J229" s="6" t="str">
        <f aca="false">ROUND(80*1,0)&amp;"%"</f>
        <v>80%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11323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11324</v>
      </c>
      <c r="B234" s="5" t="s">
        <v>386</v>
      </c>
      <c r="C234" s="5" t="s">
        <v>133</v>
      </c>
      <c r="D234" s="5" t="s">
        <v>16</v>
      </c>
      <c r="E234" s="5" t="n">
        <f aca="false">ROUND(13785*1.05,2)</f>
        <v>14474.25</v>
      </c>
      <c r="F234" s="5" t="s">
        <v>17</v>
      </c>
      <c r="G234" s="5" t="s">
        <v>18</v>
      </c>
      <c r="H234" s="5" t="n">
        <f aca="true">ROUND(RAND()*4+6,1)</f>
        <v>8.1</v>
      </c>
      <c r="I234" s="5" t="s">
        <v>19</v>
      </c>
      <c r="J234" s="5" t="str">
        <f aca="false">ROUND(88*1,0)&amp;"%"</f>
        <v>88%</v>
      </c>
    </row>
    <row r="235" customFormat="false" ht="15" hidden="false" customHeight="false" outlineLevel="0" collapsed="false">
      <c r="A235" s="6" t="s">
        <v>11325</v>
      </c>
      <c r="B235" s="6" t="s">
        <v>388</v>
      </c>
      <c r="C235" s="6" t="s">
        <v>133</v>
      </c>
      <c r="D235" s="6" t="s">
        <v>22</v>
      </c>
      <c r="E235" s="6" t="n">
        <f aca="false">ROUND(8024*1.05,2)</f>
        <v>8425.2</v>
      </c>
      <c r="F235" s="6" t="s">
        <v>23</v>
      </c>
      <c r="G235" s="6" t="s">
        <v>24</v>
      </c>
      <c r="H235" s="6" t="n">
        <f aca="true">ROUND(RAND()*4+6,1)</f>
        <v>8.3</v>
      </c>
      <c r="I235" s="6" t="s">
        <v>25</v>
      </c>
      <c r="J235" s="6" t="str">
        <f aca="false">ROUND(97*1,0)&amp;"%"</f>
        <v>97%</v>
      </c>
    </row>
    <row r="236" customFormat="false" ht="15" hidden="false" customHeight="false" outlineLevel="0" collapsed="false">
      <c r="A236" s="5" t="s">
        <v>11326</v>
      </c>
      <c r="B236" s="5" t="s">
        <v>390</v>
      </c>
      <c r="C236" s="5" t="s">
        <v>133</v>
      </c>
      <c r="D236" s="5" t="s">
        <v>28</v>
      </c>
      <c r="E236" s="5" t="n">
        <f aca="false">ROUND(17995*1.05,2)</f>
        <v>18894.75</v>
      </c>
      <c r="F236" s="5" t="s">
        <v>29</v>
      </c>
      <c r="G236" s="5" t="s">
        <v>30</v>
      </c>
      <c r="H236" s="5" t="n">
        <f aca="true">ROUND(RAND()*4+6,1)</f>
        <v>9</v>
      </c>
      <c r="I236" s="5" t="s">
        <v>31</v>
      </c>
      <c r="J236" s="5" t="str">
        <f aca="false">ROUND(67*1,0)&amp;"%"</f>
        <v>67%</v>
      </c>
    </row>
    <row r="237" customFormat="false" ht="15" hidden="false" customHeight="false" outlineLevel="0" collapsed="false">
      <c r="A237" s="6" t="s">
        <v>11327</v>
      </c>
      <c r="B237" s="6" t="s">
        <v>392</v>
      </c>
      <c r="C237" s="6" t="s">
        <v>133</v>
      </c>
      <c r="D237" s="6" t="s">
        <v>34</v>
      </c>
      <c r="E237" s="6" t="n">
        <f aca="false">ROUND(16047*1.05,2)</f>
        <v>16849.35</v>
      </c>
      <c r="F237" s="6" t="s">
        <v>35</v>
      </c>
      <c r="G237" s="6" t="s">
        <v>18</v>
      </c>
      <c r="H237" s="6" t="n">
        <f aca="true">ROUND(RAND()*4+6,1)</f>
        <v>8.3</v>
      </c>
      <c r="I237" s="6" t="s">
        <v>36</v>
      </c>
      <c r="J237" s="6" t="str">
        <f aca="false">ROUND(77*1,0)&amp;"%"</f>
        <v>77%</v>
      </c>
    </row>
    <row r="238" customFormat="false" ht="15" hidden="false" customHeight="false" outlineLevel="0" collapsed="false">
      <c r="A238" s="5" t="s">
        <v>11328</v>
      </c>
      <c r="B238" s="5" t="s">
        <v>394</v>
      </c>
      <c r="C238" s="5" t="s">
        <v>133</v>
      </c>
      <c r="D238" s="5" t="s">
        <v>39</v>
      </c>
      <c r="E238" s="5" t="n">
        <f aca="false">ROUND(16725*1.05,2)</f>
        <v>17561.25</v>
      </c>
      <c r="F238" s="5" t="s">
        <v>40</v>
      </c>
      <c r="G238" s="5" t="s">
        <v>24</v>
      </c>
      <c r="H238" s="5" t="n">
        <f aca="true">ROUND(RAND()*4+6,1)</f>
        <v>9</v>
      </c>
      <c r="I238" s="5" t="s">
        <v>41</v>
      </c>
      <c r="J238" s="5" t="str">
        <f aca="false">ROUND(92*1,0)&amp;"%"</f>
        <v>92%</v>
      </c>
    </row>
    <row r="239" customFormat="false" ht="15" hidden="false" customHeight="false" outlineLevel="0" collapsed="false">
      <c r="A239" s="6" t="s">
        <v>11329</v>
      </c>
      <c r="B239" s="6" t="s">
        <v>396</v>
      </c>
      <c r="C239" s="6" t="s">
        <v>133</v>
      </c>
      <c r="D239" s="6" t="s">
        <v>44</v>
      </c>
      <c r="E239" s="6" t="n">
        <f aca="false">ROUND(4057*1.05,2)</f>
        <v>4259.85</v>
      </c>
      <c r="F239" s="6" t="s">
        <v>45</v>
      </c>
      <c r="G239" s="6" t="s">
        <v>30</v>
      </c>
      <c r="H239" s="6" t="n">
        <f aca="true">ROUND(RAND()*4+6,1)</f>
        <v>7.6</v>
      </c>
      <c r="I239" s="6" t="s">
        <v>46</v>
      </c>
      <c r="J239" s="6" t="str">
        <f aca="false">ROUND(62*1,0)&amp;"%"</f>
        <v>62%</v>
      </c>
    </row>
    <row r="240" customFormat="false" ht="15" hidden="false" customHeight="false" outlineLevel="0" collapsed="false">
      <c r="A240" s="5" t="s">
        <v>11330</v>
      </c>
      <c r="B240" s="5" t="s">
        <v>398</v>
      </c>
      <c r="C240" s="5" t="s">
        <v>133</v>
      </c>
      <c r="D240" s="5" t="s">
        <v>16</v>
      </c>
      <c r="E240" s="5" t="n">
        <f aca="false">ROUND(16949*1.05,2)</f>
        <v>17796.45</v>
      </c>
      <c r="F240" s="5" t="s">
        <v>49</v>
      </c>
      <c r="G240" s="5" t="s">
        <v>18</v>
      </c>
      <c r="H240" s="5" t="n">
        <f aca="true">ROUND(RAND()*4+6,1)</f>
        <v>8.6</v>
      </c>
      <c r="I240" s="5" t="s">
        <v>19</v>
      </c>
      <c r="J240" s="5" t="str">
        <f aca="false">ROUND(64*1,0)&amp;"%"</f>
        <v>64%</v>
      </c>
    </row>
    <row r="241" customFormat="false" ht="15" hidden="false" customHeight="false" outlineLevel="0" collapsed="false">
      <c r="A241" s="6" t="s">
        <v>11331</v>
      </c>
      <c r="B241" s="6" t="s">
        <v>400</v>
      </c>
      <c r="C241" s="6" t="s">
        <v>133</v>
      </c>
      <c r="D241" s="6" t="s">
        <v>22</v>
      </c>
      <c r="E241" s="6" t="n">
        <f aca="false">ROUND(17644*1.05,2)</f>
        <v>18526.2</v>
      </c>
      <c r="F241" s="6" t="s">
        <v>52</v>
      </c>
      <c r="G241" s="6" t="s">
        <v>24</v>
      </c>
      <c r="H241" s="6" t="n">
        <f aca="true">ROUND(RAND()*4+6,1)</f>
        <v>7.3</v>
      </c>
      <c r="I241" s="6" t="s">
        <v>25</v>
      </c>
      <c r="J241" s="6" t="str">
        <f aca="false">ROUND(99*1,0)&amp;"%"</f>
        <v>99%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11332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11333</v>
      </c>
      <c r="B246" s="5" t="s">
        <v>404</v>
      </c>
      <c r="C246" s="5" t="s">
        <v>152</v>
      </c>
      <c r="D246" s="5" t="s">
        <v>16</v>
      </c>
      <c r="E246" s="5" t="n">
        <f aca="false">ROUND(9846*1.05,2)</f>
        <v>10338.3</v>
      </c>
      <c r="F246" s="5" t="s">
        <v>17</v>
      </c>
      <c r="G246" s="5" t="s">
        <v>18</v>
      </c>
      <c r="H246" s="5" t="n">
        <f aca="true">ROUND(RAND()*4+6,1)</f>
        <v>8.4</v>
      </c>
      <c r="I246" s="5" t="s">
        <v>19</v>
      </c>
      <c r="J246" s="5" t="str">
        <f aca="false">ROUND(81*1,0)&amp;"%"</f>
        <v>81%</v>
      </c>
    </row>
    <row r="247" customFormat="false" ht="15" hidden="false" customHeight="false" outlineLevel="0" collapsed="false">
      <c r="A247" s="6" t="s">
        <v>11334</v>
      </c>
      <c r="B247" s="6" t="s">
        <v>406</v>
      </c>
      <c r="C247" s="6" t="s">
        <v>152</v>
      </c>
      <c r="D247" s="6" t="s">
        <v>22</v>
      </c>
      <c r="E247" s="6" t="n">
        <f aca="false">ROUND(5180*1.05,2)</f>
        <v>5439</v>
      </c>
      <c r="F247" s="6" t="s">
        <v>23</v>
      </c>
      <c r="G247" s="6" t="s">
        <v>24</v>
      </c>
      <c r="H247" s="6" t="n">
        <f aca="true">ROUND(RAND()*4+6,1)</f>
        <v>7</v>
      </c>
      <c r="I247" s="6" t="s">
        <v>25</v>
      </c>
      <c r="J247" s="6" t="str">
        <f aca="false">ROUND(75*1,0)&amp;"%"</f>
        <v>75%</v>
      </c>
    </row>
    <row r="248" customFormat="false" ht="15" hidden="false" customHeight="false" outlineLevel="0" collapsed="false">
      <c r="A248" s="5" t="s">
        <v>11335</v>
      </c>
      <c r="B248" s="5" t="s">
        <v>408</v>
      </c>
      <c r="C248" s="5" t="s">
        <v>152</v>
      </c>
      <c r="D248" s="5" t="s">
        <v>28</v>
      </c>
      <c r="E248" s="5" t="n">
        <f aca="false">ROUND(8297*1.05,2)</f>
        <v>8711.85</v>
      </c>
      <c r="F248" s="5" t="s">
        <v>29</v>
      </c>
      <c r="G248" s="5" t="s">
        <v>30</v>
      </c>
      <c r="H248" s="5" t="n">
        <f aca="true">ROUND(RAND()*4+6,1)</f>
        <v>8.3</v>
      </c>
      <c r="I248" s="5" t="s">
        <v>31</v>
      </c>
      <c r="J248" s="5" t="str">
        <f aca="false">ROUND(88*1,0)&amp;"%"</f>
        <v>88%</v>
      </c>
    </row>
    <row r="249" customFormat="false" ht="15" hidden="false" customHeight="false" outlineLevel="0" collapsed="false">
      <c r="A249" s="6" t="s">
        <v>11336</v>
      </c>
      <c r="B249" s="6" t="s">
        <v>410</v>
      </c>
      <c r="C249" s="6" t="s">
        <v>152</v>
      </c>
      <c r="D249" s="6" t="s">
        <v>34</v>
      </c>
      <c r="E249" s="6" t="n">
        <f aca="false">ROUND(9610*1.05,2)</f>
        <v>10090.5</v>
      </c>
      <c r="F249" s="6" t="s">
        <v>35</v>
      </c>
      <c r="G249" s="6" t="s">
        <v>18</v>
      </c>
      <c r="H249" s="6" t="n">
        <f aca="true">ROUND(RAND()*4+6,1)</f>
        <v>9.7</v>
      </c>
      <c r="I249" s="6" t="s">
        <v>36</v>
      </c>
      <c r="J249" s="6" t="str">
        <f aca="false">ROUND(95*1,0)&amp;"%"</f>
        <v>95%</v>
      </c>
    </row>
    <row r="250" customFormat="false" ht="15" hidden="false" customHeight="false" outlineLevel="0" collapsed="false">
      <c r="A250" s="5" t="s">
        <v>11337</v>
      </c>
      <c r="B250" s="5" t="s">
        <v>412</v>
      </c>
      <c r="C250" s="5" t="s">
        <v>152</v>
      </c>
      <c r="D250" s="5" t="s">
        <v>39</v>
      </c>
      <c r="E250" s="5" t="n">
        <f aca="false">ROUND(12313*1.05,2)</f>
        <v>12928.65</v>
      </c>
      <c r="F250" s="5" t="s">
        <v>40</v>
      </c>
      <c r="G250" s="5" t="s">
        <v>24</v>
      </c>
      <c r="H250" s="5" t="n">
        <f aca="true">ROUND(RAND()*4+6,1)</f>
        <v>9.7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11338</v>
      </c>
      <c r="B251" s="6" t="s">
        <v>414</v>
      </c>
      <c r="C251" s="6" t="s">
        <v>152</v>
      </c>
      <c r="D251" s="6" t="s">
        <v>44</v>
      </c>
      <c r="E251" s="6" t="n">
        <f aca="false">ROUND(6380*1.05,2)</f>
        <v>6699</v>
      </c>
      <c r="F251" s="6" t="s">
        <v>45</v>
      </c>
      <c r="G251" s="6" t="s">
        <v>30</v>
      </c>
      <c r="H251" s="6" t="n">
        <f aca="true">ROUND(RAND()*4+6,1)</f>
        <v>7.3</v>
      </c>
      <c r="I251" s="6" t="s">
        <v>46</v>
      </c>
      <c r="J251" s="6" t="str">
        <f aca="false">ROUND(100*1,0)&amp;"%"</f>
        <v>100%</v>
      </c>
    </row>
    <row r="252" customFormat="false" ht="15" hidden="false" customHeight="false" outlineLevel="0" collapsed="false">
      <c r="A252" s="5" t="s">
        <v>11339</v>
      </c>
      <c r="B252" s="5" t="s">
        <v>416</v>
      </c>
      <c r="C252" s="5" t="s">
        <v>152</v>
      </c>
      <c r="D252" s="5" t="s">
        <v>16</v>
      </c>
      <c r="E252" s="5" t="n">
        <f aca="false">ROUND(12293*1.05,2)</f>
        <v>12907.65</v>
      </c>
      <c r="F252" s="5" t="s">
        <v>49</v>
      </c>
      <c r="G252" s="5" t="s">
        <v>18</v>
      </c>
      <c r="H252" s="5" t="n">
        <f aca="true">ROUND(RAND()*4+6,1)</f>
        <v>9.2</v>
      </c>
      <c r="I252" s="5" t="s">
        <v>19</v>
      </c>
      <c r="J252" s="5" t="str">
        <f aca="false">ROUND(68*1,0)&amp;"%"</f>
        <v>68%</v>
      </c>
    </row>
    <row r="253" customFormat="false" ht="15" hidden="false" customHeight="false" outlineLevel="0" collapsed="false">
      <c r="A253" s="6" t="s">
        <v>11340</v>
      </c>
      <c r="B253" s="6" t="s">
        <v>418</v>
      </c>
      <c r="C253" s="6" t="s">
        <v>152</v>
      </c>
      <c r="D253" s="6" t="s">
        <v>22</v>
      </c>
      <c r="E253" s="6" t="n">
        <f aca="false">ROUND(13154*1.05,2)</f>
        <v>13811.7</v>
      </c>
      <c r="F253" s="6" t="s">
        <v>52</v>
      </c>
      <c r="G253" s="6" t="s">
        <v>24</v>
      </c>
      <c r="H253" s="6" t="n">
        <f aca="true">ROUND(RAND()*4+6,1)</f>
        <v>8.3</v>
      </c>
      <c r="I253" s="6" t="s">
        <v>25</v>
      </c>
      <c r="J253" s="6" t="str">
        <f aca="false">ROUND(72*1,0)&amp;"%"</f>
        <v>72%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11341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11342</v>
      </c>
      <c r="B258" s="5" t="s">
        <v>422</v>
      </c>
      <c r="C258" s="5" t="s">
        <v>15</v>
      </c>
      <c r="D258" s="5" t="s">
        <v>16</v>
      </c>
      <c r="E258" s="5" t="n">
        <f aca="false">ROUND(10588*1.05,2)</f>
        <v>11117.4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11343</v>
      </c>
      <c r="B259" s="6" t="s">
        <v>424</v>
      </c>
      <c r="C259" s="6" t="s">
        <v>15</v>
      </c>
      <c r="D259" s="6" t="s">
        <v>22</v>
      </c>
      <c r="E259" s="6" t="n">
        <f aca="false">ROUND(15356*1.05,2)</f>
        <v>16123.8</v>
      </c>
      <c r="F259" s="6" t="s">
        <v>23</v>
      </c>
      <c r="G259" s="6" t="s">
        <v>24</v>
      </c>
      <c r="H259" s="6" t="n">
        <f aca="true">ROUND(RAND()*4+6,1)</f>
        <v>7.4</v>
      </c>
      <c r="I259" s="6" t="s">
        <v>25</v>
      </c>
      <c r="J259" s="6" t="str">
        <f aca="false">ROUND(87*1,0)&amp;"%"</f>
        <v>87%</v>
      </c>
    </row>
    <row r="260" customFormat="false" ht="15" hidden="false" customHeight="false" outlineLevel="0" collapsed="false">
      <c r="A260" s="5" t="s">
        <v>11344</v>
      </c>
      <c r="B260" s="5" t="s">
        <v>426</v>
      </c>
      <c r="C260" s="5" t="s">
        <v>15</v>
      </c>
      <c r="D260" s="5" t="s">
        <v>28</v>
      </c>
      <c r="E260" s="5" t="n">
        <f aca="false">ROUND(6921*1.05,2)</f>
        <v>7267.05</v>
      </c>
      <c r="F260" s="5" t="s">
        <v>29</v>
      </c>
      <c r="G260" s="5" t="s">
        <v>30</v>
      </c>
      <c r="H260" s="5" t="n">
        <f aca="true">ROUND(RAND()*4+6,1)</f>
        <v>7.4</v>
      </c>
      <c r="I260" s="5" t="s">
        <v>31</v>
      </c>
      <c r="J260" s="5" t="str">
        <f aca="false">ROUND(63*1,0)&amp;"%"</f>
        <v>63%</v>
      </c>
    </row>
    <row r="261" customFormat="false" ht="15" hidden="false" customHeight="false" outlineLevel="0" collapsed="false">
      <c r="A261" s="6" t="s">
        <v>11345</v>
      </c>
      <c r="B261" s="6" t="s">
        <v>428</v>
      </c>
      <c r="C261" s="6" t="s">
        <v>15</v>
      </c>
      <c r="D261" s="6" t="s">
        <v>34</v>
      </c>
      <c r="E261" s="6" t="n">
        <f aca="false">ROUND(16125*1.05,2)</f>
        <v>16931.25</v>
      </c>
      <c r="F261" s="6" t="s">
        <v>35</v>
      </c>
      <c r="G261" s="6" t="s">
        <v>18</v>
      </c>
      <c r="H261" s="6" t="n">
        <f aca="true">ROUND(RAND()*4+6,1)</f>
        <v>7.1</v>
      </c>
      <c r="I261" s="6" t="s">
        <v>36</v>
      </c>
      <c r="J261" s="6" t="str">
        <f aca="false">ROUND(91*1,0)&amp;"%"</f>
        <v>91%</v>
      </c>
    </row>
    <row r="262" customFormat="false" ht="15" hidden="false" customHeight="false" outlineLevel="0" collapsed="false">
      <c r="A262" s="5" t="s">
        <v>11346</v>
      </c>
      <c r="B262" s="5" t="s">
        <v>430</v>
      </c>
      <c r="C262" s="5" t="s">
        <v>15</v>
      </c>
      <c r="D262" s="5" t="s">
        <v>39</v>
      </c>
      <c r="E262" s="5" t="n">
        <f aca="false">ROUND(9237*1.05,2)</f>
        <v>9698.85</v>
      </c>
      <c r="F262" s="5" t="s">
        <v>40</v>
      </c>
      <c r="G262" s="5" t="s">
        <v>24</v>
      </c>
      <c r="H262" s="5" t="n">
        <f aca="true">ROUND(RAND()*4+6,1)</f>
        <v>7.4</v>
      </c>
      <c r="I262" s="5" t="s">
        <v>41</v>
      </c>
      <c r="J262" s="5" t="str">
        <f aca="false">ROUND(95*1,0)&amp;"%"</f>
        <v>95%</v>
      </c>
    </row>
    <row r="263" customFormat="false" ht="15" hidden="false" customHeight="false" outlineLevel="0" collapsed="false">
      <c r="A263" s="6" t="s">
        <v>11347</v>
      </c>
      <c r="B263" s="6" t="s">
        <v>432</v>
      </c>
      <c r="C263" s="6" t="s">
        <v>15</v>
      </c>
      <c r="D263" s="6" t="s">
        <v>44</v>
      </c>
      <c r="E263" s="6" t="n">
        <f aca="false">ROUND(9679*1.05,2)</f>
        <v>10162.95</v>
      </c>
      <c r="F263" s="6" t="s">
        <v>45</v>
      </c>
      <c r="G263" s="6" t="s">
        <v>30</v>
      </c>
      <c r="H263" s="6" t="n">
        <f aca="true">ROUND(RAND()*4+6,1)</f>
        <v>8</v>
      </c>
      <c r="I263" s="6" t="s">
        <v>46</v>
      </c>
      <c r="J263" s="6" t="str">
        <f aca="false">ROUND(73*1,0)&amp;"%"</f>
        <v>73%</v>
      </c>
    </row>
    <row r="264" customFormat="false" ht="15" hidden="false" customHeight="false" outlineLevel="0" collapsed="false">
      <c r="A264" s="5" t="s">
        <v>11348</v>
      </c>
      <c r="B264" s="5" t="s">
        <v>434</v>
      </c>
      <c r="C264" s="5" t="s">
        <v>15</v>
      </c>
      <c r="D264" s="5" t="s">
        <v>16</v>
      </c>
      <c r="E264" s="5" t="n">
        <f aca="false">ROUND(6414*1.05,2)</f>
        <v>6734.7</v>
      </c>
      <c r="F264" s="5" t="s">
        <v>49</v>
      </c>
      <c r="G264" s="5" t="s">
        <v>18</v>
      </c>
      <c r="H264" s="5" t="n">
        <f aca="true">ROUND(RAND()*4+6,1)</f>
        <v>6.7</v>
      </c>
      <c r="I264" s="5" t="s">
        <v>19</v>
      </c>
      <c r="J264" s="5" t="str">
        <f aca="false">ROUND(70*1,0)&amp;"%"</f>
        <v>70%</v>
      </c>
    </row>
    <row r="265" customFormat="false" ht="15" hidden="false" customHeight="false" outlineLevel="0" collapsed="false">
      <c r="A265" s="6" t="s">
        <v>11349</v>
      </c>
      <c r="B265" s="6" t="s">
        <v>436</v>
      </c>
      <c r="C265" s="6" t="s">
        <v>15</v>
      </c>
      <c r="D265" s="6" t="s">
        <v>22</v>
      </c>
      <c r="E265" s="6" t="n">
        <f aca="false">ROUND(10800*1.05,2)</f>
        <v>11340</v>
      </c>
      <c r="F265" s="6" t="s">
        <v>52</v>
      </c>
      <c r="G265" s="6" t="s">
        <v>24</v>
      </c>
      <c r="H265" s="6" t="n">
        <f aca="true">ROUND(RAND()*4+6,1)</f>
        <v>6.3</v>
      </c>
      <c r="I265" s="6" t="s">
        <v>25</v>
      </c>
      <c r="J265" s="6" t="str">
        <f aca="false">ROUND(95*1,0)&amp;"%"</f>
        <v>95%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11350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11351</v>
      </c>
      <c r="B270" s="5" t="s">
        <v>440</v>
      </c>
      <c r="C270" s="5" t="s">
        <v>57</v>
      </c>
      <c r="D270" s="5" t="s">
        <v>16</v>
      </c>
      <c r="E270" s="5" t="n">
        <f aca="false">ROUND(10774*1.05,2)</f>
        <v>11312.7</v>
      </c>
      <c r="F270" s="5" t="s">
        <v>17</v>
      </c>
      <c r="G270" s="5" t="s">
        <v>18</v>
      </c>
      <c r="H270" s="5" t="n">
        <f aca="true">ROUND(RAND()*4+6,1)</f>
        <v>9.6</v>
      </c>
      <c r="I270" s="5" t="s">
        <v>19</v>
      </c>
      <c r="J270" s="5" t="str">
        <f aca="false">ROUND(65*1,0)&amp;"%"</f>
        <v>65%</v>
      </c>
    </row>
    <row r="271" customFormat="false" ht="15" hidden="false" customHeight="false" outlineLevel="0" collapsed="false">
      <c r="A271" s="6" t="s">
        <v>11352</v>
      </c>
      <c r="B271" s="6" t="s">
        <v>442</v>
      </c>
      <c r="C271" s="6" t="s">
        <v>57</v>
      </c>
      <c r="D271" s="6" t="s">
        <v>22</v>
      </c>
      <c r="E271" s="6" t="n">
        <f aca="false">ROUND(4364*1.05,2)</f>
        <v>4582.2</v>
      </c>
      <c r="F271" s="6" t="s">
        <v>23</v>
      </c>
      <c r="G271" s="6" t="s">
        <v>24</v>
      </c>
      <c r="H271" s="6" t="n">
        <f aca="true">ROUND(RAND()*4+6,1)</f>
        <v>7</v>
      </c>
      <c r="I271" s="6" t="s">
        <v>25</v>
      </c>
      <c r="J271" s="6" t="str">
        <f aca="false">ROUND(82*1,0)&amp;"%"</f>
        <v>82%</v>
      </c>
    </row>
    <row r="272" customFormat="false" ht="15" hidden="false" customHeight="false" outlineLevel="0" collapsed="false">
      <c r="A272" s="5" t="s">
        <v>11353</v>
      </c>
      <c r="B272" s="5" t="s">
        <v>444</v>
      </c>
      <c r="C272" s="5" t="s">
        <v>57</v>
      </c>
      <c r="D272" s="5" t="s">
        <v>28</v>
      </c>
      <c r="E272" s="5" t="n">
        <f aca="false">ROUND(12935*1.05,2)</f>
        <v>13581.75</v>
      </c>
      <c r="F272" s="5" t="s">
        <v>29</v>
      </c>
      <c r="G272" s="5" t="s">
        <v>30</v>
      </c>
      <c r="H272" s="5" t="n">
        <f aca="true">ROUND(RAND()*4+6,1)</f>
        <v>7.5</v>
      </c>
      <c r="I272" s="5" t="s">
        <v>31</v>
      </c>
      <c r="J272" s="5" t="str">
        <f aca="false">ROUND(64*1,0)&amp;"%"</f>
        <v>64%</v>
      </c>
    </row>
    <row r="273" customFormat="false" ht="15" hidden="false" customHeight="false" outlineLevel="0" collapsed="false">
      <c r="A273" s="6" t="s">
        <v>11354</v>
      </c>
      <c r="B273" s="6" t="s">
        <v>446</v>
      </c>
      <c r="C273" s="6" t="s">
        <v>57</v>
      </c>
      <c r="D273" s="6" t="s">
        <v>34</v>
      </c>
      <c r="E273" s="6" t="n">
        <f aca="false">ROUND(8080*1.05,2)</f>
        <v>8484</v>
      </c>
      <c r="F273" s="6" t="s">
        <v>35</v>
      </c>
      <c r="G273" s="6" t="s">
        <v>18</v>
      </c>
      <c r="H273" s="6" t="n">
        <f aca="true">ROUND(RAND()*4+6,1)</f>
        <v>9.8</v>
      </c>
      <c r="I273" s="6" t="s">
        <v>36</v>
      </c>
      <c r="J273" s="6" t="str">
        <f aca="false">ROUND(94*1,0)&amp;"%"</f>
        <v>94%</v>
      </c>
    </row>
    <row r="274" customFormat="false" ht="15" hidden="false" customHeight="false" outlineLevel="0" collapsed="false">
      <c r="A274" s="5" t="s">
        <v>11355</v>
      </c>
      <c r="B274" s="5" t="s">
        <v>448</v>
      </c>
      <c r="C274" s="5" t="s">
        <v>57</v>
      </c>
      <c r="D274" s="5" t="s">
        <v>39</v>
      </c>
      <c r="E274" s="5" t="n">
        <f aca="false">ROUND(8114*1.05,2)</f>
        <v>8519.7</v>
      </c>
      <c r="F274" s="5" t="s">
        <v>40</v>
      </c>
      <c r="G274" s="5" t="s">
        <v>24</v>
      </c>
      <c r="H274" s="5" t="n">
        <f aca="true">ROUND(RAND()*4+6,1)</f>
        <v>9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11356</v>
      </c>
      <c r="B275" s="6" t="s">
        <v>450</v>
      </c>
      <c r="C275" s="6" t="s">
        <v>57</v>
      </c>
      <c r="D275" s="6" t="s">
        <v>44</v>
      </c>
      <c r="E275" s="6" t="n">
        <f aca="false">ROUND(11548*1.05,2)</f>
        <v>12125.4</v>
      </c>
      <c r="F275" s="6" t="s">
        <v>45</v>
      </c>
      <c r="G275" s="6" t="s">
        <v>30</v>
      </c>
      <c r="H275" s="6" t="n">
        <f aca="true">ROUND(RAND()*4+6,1)</f>
        <v>8.6</v>
      </c>
      <c r="I275" s="6" t="s">
        <v>46</v>
      </c>
      <c r="J275" s="6" t="str">
        <f aca="false">ROUND(66*1,0)&amp;"%"</f>
        <v>66%</v>
      </c>
    </row>
    <row r="276" customFormat="false" ht="15" hidden="false" customHeight="false" outlineLevel="0" collapsed="false">
      <c r="A276" s="5" t="s">
        <v>11357</v>
      </c>
      <c r="B276" s="5" t="s">
        <v>452</v>
      </c>
      <c r="C276" s="5" t="s">
        <v>57</v>
      </c>
      <c r="D276" s="5" t="s">
        <v>16</v>
      </c>
      <c r="E276" s="5" t="n">
        <f aca="false">ROUND(6652*1.05,2)</f>
        <v>6984.6</v>
      </c>
      <c r="F276" s="5" t="s">
        <v>49</v>
      </c>
      <c r="G276" s="5" t="s">
        <v>18</v>
      </c>
      <c r="H276" s="5" t="n">
        <f aca="true">ROUND(RAND()*4+6,1)</f>
        <v>6.7</v>
      </c>
      <c r="I276" s="5" t="s">
        <v>19</v>
      </c>
      <c r="J276" s="5" t="str">
        <f aca="false">ROUND(94*1,0)&amp;"%"</f>
        <v>94%</v>
      </c>
    </row>
    <row r="277" customFormat="false" ht="15" hidden="false" customHeight="false" outlineLevel="0" collapsed="false">
      <c r="A277" s="6" t="s">
        <v>11358</v>
      </c>
      <c r="B277" s="6" t="s">
        <v>454</v>
      </c>
      <c r="C277" s="6" t="s">
        <v>57</v>
      </c>
      <c r="D277" s="6" t="s">
        <v>22</v>
      </c>
      <c r="E277" s="6" t="n">
        <f aca="false">ROUND(6005*1.05,2)</f>
        <v>6305.25</v>
      </c>
      <c r="F277" s="6" t="s">
        <v>52</v>
      </c>
      <c r="G277" s="6" t="s">
        <v>24</v>
      </c>
      <c r="H277" s="6" t="n">
        <f aca="true">ROUND(RAND()*4+6,1)</f>
        <v>8.8</v>
      </c>
      <c r="I277" s="6" t="s">
        <v>25</v>
      </c>
      <c r="J277" s="6" t="str">
        <f aca="false">ROUND(75*1,0)&amp;"%"</f>
        <v>75%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11359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11360</v>
      </c>
      <c r="B282" s="5" t="s">
        <v>458</v>
      </c>
      <c r="C282" s="5" t="s">
        <v>76</v>
      </c>
      <c r="D282" s="5" t="s">
        <v>16</v>
      </c>
      <c r="E282" s="5" t="n">
        <f aca="false">ROUND(7658*1.05,2)</f>
        <v>8040.9</v>
      </c>
      <c r="F282" s="5" t="s">
        <v>17</v>
      </c>
      <c r="G282" s="5" t="s">
        <v>18</v>
      </c>
      <c r="H282" s="5" t="n">
        <f aca="true">ROUND(RAND()*4+6,1)</f>
        <v>9.4</v>
      </c>
      <c r="I282" s="5" t="s">
        <v>19</v>
      </c>
      <c r="J282" s="5" t="str">
        <f aca="false">ROUND(65*1,0)&amp;"%"</f>
        <v>65%</v>
      </c>
    </row>
    <row r="283" customFormat="false" ht="15" hidden="false" customHeight="false" outlineLevel="0" collapsed="false">
      <c r="A283" s="6" t="s">
        <v>11361</v>
      </c>
      <c r="B283" s="6" t="s">
        <v>460</v>
      </c>
      <c r="C283" s="6" t="s">
        <v>76</v>
      </c>
      <c r="D283" s="6" t="s">
        <v>22</v>
      </c>
      <c r="E283" s="6" t="n">
        <f aca="false">ROUND(12642*1.05,2)</f>
        <v>13274.1</v>
      </c>
      <c r="F283" s="6" t="s">
        <v>23</v>
      </c>
      <c r="G283" s="6" t="s">
        <v>24</v>
      </c>
      <c r="H283" s="6" t="n">
        <f aca="true">ROUND(RAND()*4+6,1)</f>
        <v>6.2</v>
      </c>
      <c r="I283" s="6" t="s">
        <v>25</v>
      </c>
      <c r="J283" s="6" t="str">
        <f aca="false">ROUND(89*1,0)&amp;"%"</f>
        <v>89%</v>
      </c>
    </row>
    <row r="284" customFormat="false" ht="15" hidden="false" customHeight="false" outlineLevel="0" collapsed="false">
      <c r="A284" s="5" t="s">
        <v>11362</v>
      </c>
      <c r="B284" s="5" t="s">
        <v>462</v>
      </c>
      <c r="C284" s="5" t="s">
        <v>76</v>
      </c>
      <c r="D284" s="5" t="s">
        <v>28</v>
      </c>
      <c r="E284" s="5" t="n">
        <f aca="false">ROUND(16658*1.05,2)</f>
        <v>17490.9</v>
      </c>
      <c r="F284" s="5" t="s">
        <v>29</v>
      </c>
      <c r="G284" s="5" t="s">
        <v>30</v>
      </c>
      <c r="H284" s="5" t="n">
        <f aca="true">ROUND(RAND()*4+6,1)</f>
        <v>10</v>
      </c>
      <c r="I284" s="5" t="s">
        <v>31</v>
      </c>
      <c r="J284" s="5" t="str">
        <f aca="false">ROUND(66*1,0)&amp;"%"</f>
        <v>66%</v>
      </c>
    </row>
    <row r="285" customFormat="false" ht="15" hidden="false" customHeight="false" outlineLevel="0" collapsed="false">
      <c r="A285" s="6" t="s">
        <v>11363</v>
      </c>
      <c r="B285" s="6" t="s">
        <v>464</v>
      </c>
      <c r="C285" s="6" t="s">
        <v>76</v>
      </c>
      <c r="D285" s="6" t="s">
        <v>34</v>
      </c>
      <c r="E285" s="6" t="n">
        <f aca="false">ROUND(4834*1.05,2)</f>
        <v>5075.7</v>
      </c>
      <c r="F285" s="6" t="s">
        <v>35</v>
      </c>
      <c r="G285" s="6" t="s">
        <v>18</v>
      </c>
      <c r="H285" s="6" t="n">
        <f aca="true">ROUND(RAND()*4+6,1)</f>
        <v>7</v>
      </c>
      <c r="I285" s="6" t="s">
        <v>36</v>
      </c>
      <c r="J285" s="6" t="str">
        <f aca="false">ROUND(72*1,0)&amp;"%"</f>
        <v>72%</v>
      </c>
    </row>
    <row r="286" customFormat="false" ht="15" hidden="false" customHeight="false" outlineLevel="0" collapsed="false">
      <c r="A286" s="5" t="s">
        <v>11364</v>
      </c>
      <c r="B286" s="5" t="s">
        <v>466</v>
      </c>
      <c r="C286" s="5" t="s">
        <v>76</v>
      </c>
      <c r="D286" s="5" t="s">
        <v>39</v>
      </c>
      <c r="E286" s="5" t="n">
        <f aca="false">ROUND(17556*1.05,2)</f>
        <v>18433.8</v>
      </c>
      <c r="F286" s="5" t="s">
        <v>40</v>
      </c>
      <c r="G286" s="5" t="s">
        <v>24</v>
      </c>
      <c r="H286" s="5" t="n">
        <f aca="true">ROUND(RAND()*4+6,1)</f>
        <v>6.7</v>
      </c>
      <c r="I286" s="5" t="s">
        <v>41</v>
      </c>
      <c r="J286" s="5" t="str">
        <f aca="false">ROUND(71*1,0)&amp;"%"</f>
        <v>71%</v>
      </c>
    </row>
    <row r="287" customFormat="false" ht="15" hidden="false" customHeight="false" outlineLevel="0" collapsed="false">
      <c r="A287" s="6" t="s">
        <v>11365</v>
      </c>
      <c r="B287" s="6" t="s">
        <v>468</v>
      </c>
      <c r="C287" s="6" t="s">
        <v>76</v>
      </c>
      <c r="D287" s="6" t="s">
        <v>44</v>
      </c>
      <c r="E287" s="6" t="n">
        <f aca="false">ROUND(16938*1.05,2)</f>
        <v>17784.9</v>
      </c>
      <c r="F287" s="6" t="s">
        <v>45</v>
      </c>
      <c r="G287" s="6" t="s">
        <v>30</v>
      </c>
      <c r="H287" s="6" t="n">
        <f aca="true">ROUND(RAND()*4+6,1)</f>
        <v>7.5</v>
      </c>
      <c r="I287" s="6" t="s">
        <v>46</v>
      </c>
      <c r="J287" s="6" t="str">
        <f aca="false">ROUND(63*1,0)&amp;"%"</f>
        <v>63%</v>
      </c>
    </row>
    <row r="288" customFormat="false" ht="15" hidden="false" customHeight="false" outlineLevel="0" collapsed="false">
      <c r="A288" s="5" t="s">
        <v>11366</v>
      </c>
      <c r="B288" s="5" t="s">
        <v>470</v>
      </c>
      <c r="C288" s="5" t="s">
        <v>76</v>
      </c>
      <c r="D288" s="5" t="s">
        <v>16</v>
      </c>
      <c r="E288" s="5" t="n">
        <f aca="false">ROUND(17337*1.05,2)</f>
        <v>18203.85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ROUND(98*1,0)&amp;"%"</f>
        <v>98%</v>
      </c>
    </row>
    <row r="289" customFormat="false" ht="15" hidden="false" customHeight="false" outlineLevel="0" collapsed="false">
      <c r="A289" s="6" t="s">
        <v>11367</v>
      </c>
      <c r="B289" s="6" t="s">
        <v>472</v>
      </c>
      <c r="C289" s="6" t="s">
        <v>76</v>
      </c>
      <c r="D289" s="6" t="s">
        <v>22</v>
      </c>
      <c r="E289" s="6" t="n">
        <f aca="false">ROUND(14319*1.05,2)</f>
        <v>15034.95</v>
      </c>
      <c r="F289" s="6" t="s">
        <v>52</v>
      </c>
      <c r="G289" s="6" t="s">
        <v>24</v>
      </c>
      <c r="H289" s="6" t="n">
        <f aca="true">ROUND(RAND()*4+6,1)</f>
        <v>9.5</v>
      </c>
      <c r="I289" s="6" t="s">
        <v>25</v>
      </c>
      <c r="J289" s="6" t="str">
        <f aca="false">ROUND(85*1,0)&amp;"%"</f>
        <v>85%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11368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11369</v>
      </c>
      <c r="B294" s="5" t="s">
        <v>476</v>
      </c>
      <c r="C294" s="5" t="s">
        <v>95</v>
      </c>
      <c r="D294" s="5" t="s">
        <v>16</v>
      </c>
      <c r="E294" s="5" t="n">
        <f aca="false">ROUND(9858*1.05,2)</f>
        <v>10350.9</v>
      </c>
      <c r="F294" s="5" t="s">
        <v>17</v>
      </c>
      <c r="G294" s="5" t="s">
        <v>18</v>
      </c>
      <c r="H294" s="5" t="n">
        <f aca="true">ROUND(RAND()*4+6,1)</f>
        <v>9.9</v>
      </c>
      <c r="I294" s="5" t="s">
        <v>19</v>
      </c>
      <c r="J294" s="5" t="str">
        <f aca="false">ROUND(75*1,0)&amp;"%"</f>
        <v>75%</v>
      </c>
    </row>
    <row r="295" customFormat="false" ht="15" hidden="false" customHeight="false" outlineLevel="0" collapsed="false">
      <c r="A295" s="6" t="s">
        <v>11370</v>
      </c>
      <c r="B295" s="6" t="s">
        <v>478</v>
      </c>
      <c r="C295" s="6" t="s">
        <v>95</v>
      </c>
      <c r="D295" s="6" t="s">
        <v>22</v>
      </c>
      <c r="E295" s="6" t="n">
        <f aca="false">ROUND(10380*1.05,2)</f>
        <v>10899</v>
      </c>
      <c r="F295" s="6" t="s">
        <v>23</v>
      </c>
      <c r="G295" s="6" t="s">
        <v>24</v>
      </c>
      <c r="H295" s="6" t="n">
        <f aca="true">ROUND(RAND()*4+6,1)</f>
        <v>9.9</v>
      </c>
      <c r="I295" s="6" t="s">
        <v>25</v>
      </c>
      <c r="J295" s="6" t="str">
        <f aca="false">ROUND(92*1,0)&amp;"%"</f>
        <v>92%</v>
      </c>
    </row>
    <row r="296" customFormat="false" ht="15" hidden="false" customHeight="false" outlineLevel="0" collapsed="false">
      <c r="A296" s="5" t="s">
        <v>11371</v>
      </c>
      <c r="B296" s="5" t="s">
        <v>480</v>
      </c>
      <c r="C296" s="5" t="s">
        <v>95</v>
      </c>
      <c r="D296" s="5" t="s">
        <v>28</v>
      </c>
      <c r="E296" s="5" t="n">
        <f aca="false">ROUND(10188*1.05,2)</f>
        <v>10697.4</v>
      </c>
      <c r="F296" s="5" t="s">
        <v>29</v>
      </c>
      <c r="G296" s="5" t="s">
        <v>30</v>
      </c>
      <c r="H296" s="5" t="n">
        <f aca="true">ROUND(RAND()*4+6,1)</f>
        <v>8.2</v>
      </c>
      <c r="I296" s="5" t="s">
        <v>31</v>
      </c>
      <c r="J296" s="5" t="str">
        <f aca="false">ROUND(61*1,0)&amp;"%"</f>
        <v>61%</v>
      </c>
    </row>
    <row r="297" customFormat="false" ht="15" hidden="false" customHeight="false" outlineLevel="0" collapsed="false">
      <c r="A297" s="6" t="s">
        <v>11372</v>
      </c>
      <c r="B297" s="6" t="s">
        <v>482</v>
      </c>
      <c r="C297" s="6" t="s">
        <v>95</v>
      </c>
      <c r="D297" s="6" t="s">
        <v>34</v>
      </c>
      <c r="E297" s="6" t="n">
        <f aca="false">ROUND(9348*1.05,2)</f>
        <v>9815.4</v>
      </c>
      <c r="F297" s="6" t="s">
        <v>35</v>
      </c>
      <c r="G297" s="6" t="s">
        <v>18</v>
      </c>
      <c r="H297" s="6" t="n">
        <f aca="true">ROUND(RAND()*4+6,1)</f>
        <v>8</v>
      </c>
      <c r="I297" s="6" t="s">
        <v>36</v>
      </c>
      <c r="J297" s="6" t="str">
        <f aca="false">ROUND(92*1,0)&amp;"%"</f>
        <v>92%</v>
      </c>
    </row>
    <row r="298" customFormat="false" ht="15" hidden="false" customHeight="false" outlineLevel="0" collapsed="false">
      <c r="A298" s="5" t="s">
        <v>11373</v>
      </c>
      <c r="B298" s="5" t="s">
        <v>484</v>
      </c>
      <c r="C298" s="5" t="s">
        <v>95</v>
      </c>
      <c r="D298" s="5" t="s">
        <v>39</v>
      </c>
      <c r="E298" s="5" t="n">
        <f aca="false">ROUND(6076*1.05,2)</f>
        <v>6379.8</v>
      </c>
      <c r="F298" s="5" t="s">
        <v>40</v>
      </c>
      <c r="G298" s="5" t="s">
        <v>24</v>
      </c>
      <c r="H298" s="5" t="n">
        <f aca="true">ROUND(RAND()*4+6,1)</f>
        <v>8.9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11374</v>
      </c>
      <c r="B299" s="6" t="s">
        <v>486</v>
      </c>
      <c r="C299" s="6" t="s">
        <v>95</v>
      </c>
      <c r="D299" s="6" t="s">
        <v>44</v>
      </c>
      <c r="E299" s="6" t="n">
        <f aca="false">ROUND(4448*1.05,2)</f>
        <v>4670.4</v>
      </c>
      <c r="F299" s="6" t="s">
        <v>45</v>
      </c>
      <c r="G299" s="6" t="s">
        <v>30</v>
      </c>
      <c r="H299" s="6" t="n">
        <f aca="true">ROUND(RAND()*4+6,1)</f>
        <v>9.8</v>
      </c>
      <c r="I299" s="6" t="s">
        <v>46</v>
      </c>
      <c r="J299" s="6" t="str">
        <f aca="false">ROUND(96*1,0)&amp;"%"</f>
        <v>96%</v>
      </c>
    </row>
    <row r="300" customFormat="false" ht="15" hidden="false" customHeight="false" outlineLevel="0" collapsed="false">
      <c r="A300" s="5" t="s">
        <v>11375</v>
      </c>
      <c r="B300" s="5" t="s">
        <v>488</v>
      </c>
      <c r="C300" s="5" t="s">
        <v>95</v>
      </c>
      <c r="D300" s="5" t="s">
        <v>16</v>
      </c>
      <c r="E300" s="5" t="n">
        <f aca="false">ROUND(12348*1.05,2)</f>
        <v>12965.4</v>
      </c>
      <c r="F300" s="5" t="s">
        <v>49</v>
      </c>
      <c r="G300" s="5" t="s">
        <v>18</v>
      </c>
      <c r="H300" s="5" t="n">
        <f aca="true">ROUND(RAND()*4+6,1)</f>
        <v>6.1</v>
      </c>
      <c r="I300" s="5" t="s">
        <v>19</v>
      </c>
      <c r="J300" s="5" t="str">
        <f aca="false">ROUND(97*1,0)&amp;"%"</f>
        <v>97%</v>
      </c>
    </row>
    <row r="301" customFormat="false" ht="15" hidden="false" customHeight="false" outlineLevel="0" collapsed="false">
      <c r="A301" s="6" t="s">
        <v>11376</v>
      </c>
      <c r="B301" s="6" t="s">
        <v>490</v>
      </c>
      <c r="C301" s="6" t="s">
        <v>95</v>
      </c>
      <c r="D301" s="6" t="s">
        <v>22</v>
      </c>
      <c r="E301" s="6" t="n">
        <f aca="false">ROUND(5735*1.05,2)</f>
        <v>6021.75</v>
      </c>
      <c r="F301" s="6" t="s">
        <v>52</v>
      </c>
      <c r="G301" s="6" t="s">
        <v>24</v>
      </c>
      <c r="H301" s="6" t="n">
        <f aca="true">ROUND(RAND()*4+6,1)</f>
        <v>9.3</v>
      </c>
      <c r="I301" s="6" t="s">
        <v>25</v>
      </c>
      <c r="J301" s="6" t="str">
        <f aca="false">ROUND(60*1,0)&amp;"%"</f>
        <v>60%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11377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11378</v>
      </c>
      <c r="B306" s="5" t="s">
        <v>494</v>
      </c>
      <c r="C306" s="5" t="s">
        <v>114</v>
      </c>
      <c r="D306" s="5" t="s">
        <v>16</v>
      </c>
      <c r="E306" s="5" t="n">
        <f aca="false">ROUND(11752*1.05,2)</f>
        <v>12339.6</v>
      </c>
      <c r="F306" s="5" t="s">
        <v>17</v>
      </c>
      <c r="G306" s="5" t="s">
        <v>18</v>
      </c>
      <c r="H306" s="5" t="n">
        <f aca="true">ROUND(RAND()*4+6,1)</f>
        <v>6.9</v>
      </c>
      <c r="I306" s="5" t="s">
        <v>19</v>
      </c>
      <c r="J306" s="5" t="str">
        <f aca="false">ROUND(70*1,0)&amp;"%"</f>
        <v>70%</v>
      </c>
    </row>
    <row r="307" customFormat="false" ht="15" hidden="false" customHeight="false" outlineLevel="0" collapsed="false">
      <c r="A307" s="6" t="s">
        <v>11379</v>
      </c>
      <c r="B307" s="6" t="s">
        <v>496</v>
      </c>
      <c r="C307" s="6" t="s">
        <v>114</v>
      </c>
      <c r="D307" s="6" t="s">
        <v>22</v>
      </c>
      <c r="E307" s="6" t="n">
        <f aca="false">ROUND(9419*1.05,2)</f>
        <v>9889.95</v>
      </c>
      <c r="F307" s="6" t="s">
        <v>23</v>
      </c>
      <c r="G307" s="6" t="s">
        <v>24</v>
      </c>
      <c r="H307" s="6" t="n">
        <f aca="true">ROUND(RAND()*4+6,1)</f>
        <v>6.1</v>
      </c>
      <c r="I307" s="6" t="s">
        <v>25</v>
      </c>
      <c r="J307" s="6" t="str">
        <f aca="false">ROUND(68*1,0)&amp;"%"</f>
        <v>68%</v>
      </c>
    </row>
    <row r="308" customFormat="false" ht="15" hidden="false" customHeight="false" outlineLevel="0" collapsed="false">
      <c r="A308" s="5" t="s">
        <v>11380</v>
      </c>
      <c r="B308" s="5" t="s">
        <v>498</v>
      </c>
      <c r="C308" s="5" t="s">
        <v>114</v>
      </c>
      <c r="D308" s="5" t="s">
        <v>28</v>
      </c>
      <c r="E308" s="5" t="n">
        <f aca="false">ROUND(11126*1.05,2)</f>
        <v>11682.3</v>
      </c>
      <c r="F308" s="5" t="s">
        <v>29</v>
      </c>
      <c r="G308" s="5" t="s">
        <v>30</v>
      </c>
      <c r="H308" s="5" t="n">
        <f aca="true">ROUND(RAND()*4+6,1)</f>
        <v>7.1</v>
      </c>
      <c r="I308" s="5" t="s">
        <v>31</v>
      </c>
      <c r="J308" s="5" t="str">
        <f aca="false">ROUND(90*1,0)&amp;"%"</f>
        <v>90%</v>
      </c>
    </row>
    <row r="309" customFormat="false" ht="15" hidden="false" customHeight="false" outlineLevel="0" collapsed="false">
      <c r="A309" s="6" t="s">
        <v>11381</v>
      </c>
      <c r="B309" s="6" t="s">
        <v>500</v>
      </c>
      <c r="C309" s="6" t="s">
        <v>114</v>
      </c>
      <c r="D309" s="6" t="s">
        <v>34</v>
      </c>
      <c r="E309" s="6" t="n">
        <f aca="false">ROUND(10274*1.05,2)</f>
        <v>10787.7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ROUND(67*1,0)&amp;"%"</f>
        <v>67%</v>
      </c>
    </row>
    <row r="310" customFormat="false" ht="15" hidden="false" customHeight="false" outlineLevel="0" collapsed="false">
      <c r="A310" s="5" t="s">
        <v>11382</v>
      </c>
      <c r="B310" s="5" t="s">
        <v>502</v>
      </c>
      <c r="C310" s="5" t="s">
        <v>114</v>
      </c>
      <c r="D310" s="5" t="s">
        <v>39</v>
      </c>
      <c r="E310" s="5" t="n">
        <f aca="false">ROUND(17883*1.05,2)</f>
        <v>18777.15</v>
      </c>
      <c r="F310" s="5" t="s">
        <v>40</v>
      </c>
      <c r="G310" s="5" t="s">
        <v>24</v>
      </c>
      <c r="H310" s="5" t="n">
        <f aca="true">ROUND(RAND()*4+6,1)</f>
        <v>9.5</v>
      </c>
      <c r="I310" s="5" t="s">
        <v>41</v>
      </c>
      <c r="J310" s="5" t="str">
        <f aca="false">ROUND(91*1,0)&amp;"%"</f>
        <v>91%</v>
      </c>
    </row>
    <row r="311" customFormat="false" ht="15" hidden="false" customHeight="false" outlineLevel="0" collapsed="false">
      <c r="A311" s="6" t="s">
        <v>11383</v>
      </c>
      <c r="B311" s="6" t="s">
        <v>504</v>
      </c>
      <c r="C311" s="6" t="s">
        <v>114</v>
      </c>
      <c r="D311" s="6" t="s">
        <v>44</v>
      </c>
      <c r="E311" s="6" t="n">
        <f aca="false">ROUND(15179*1.05,2)</f>
        <v>15937.95</v>
      </c>
      <c r="F311" s="6" t="s">
        <v>45</v>
      </c>
      <c r="G311" s="6" t="s">
        <v>30</v>
      </c>
      <c r="H311" s="6" t="n">
        <f aca="true">ROUND(RAND()*4+6,1)</f>
        <v>8.1</v>
      </c>
      <c r="I311" s="6" t="s">
        <v>46</v>
      </c>
      <c r="J311" s="6" t="str">
        <f aca="false">ROUND(84*1,0)&amp;"%"</f>
        <v>84%</v>
      </c>
    </row>
    <row r="312" customFormat="false" ht="15" hidden="false" customHeight="false" outlineLevel="0" collapsed="false">
      <c r="A312" s="5" t="s">
        <v>11384</v>
      </c>
      <c r="B312" s="5" t="s">
        <v>506</v>
      </c>
      <c r="C312" s="5" t="s">
        <v>114</v>
      </c>
      <c r="D312" s="5" t="s">
        <v>16</v>
      </c>
      <c r="E312" s="5" t="n">
        <f aca="false">ROUND(6971*1.05,2)</f>
        <v>7319.55</v>
      </c>
      <c r="F312" s="5" t="s">
        <v>49</v>
      </c>
      <c r="G312" s="5" t="s">
        <v>18</v>
      </c>
      <c r="H312" s="5" t="n">
        <f aca="true">ROUND(RAND()*4+6,1)</f>
        <v>7.6</v>
      </c>
      <c r="I312" s="5" t="s">
        <v>19</v>
      </c>
      <c r="J312" s="5" t="str">
        <f aca="false">ROUND(70*1,0)&amp;"%"</f>
        <v>70%</v>
      </c>
    </row>
    <row r="313" customFormat="false" ht="15" hidden="false" customHeight="false" outlineLevel="0" collapsed="false">
      <c r="A313" s="6" t="s">
        <v>11385</v>
      </c>
      <c r="B313" s="6" t="s">
        <v>508</v>
      </c>
      <c r="C313" s="6" t="s">
        <v>114</v>
      </c>
      <c r="D313" s="6" t="s">
        <v>22</v>
      </c>
      <c r="E313" s="6" t="n">
        <f aca="false">ROUND(13145*1.05,2)</f>
        <v>13802.25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ROUND(64*1,0)&amp;"%"</f>
        <v>64%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11386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11387</v>
      </c>
      <c r="B318" s="5" t="s">
        <v>512</v>
      </c>
      <c r="C318" s="5" t="s">
        <v>133</v>
      </c>
      <c r="D318" s="5" t="s">
        <v>16</v>
      </c>
      <c r="E318" s="5" t="n">
        <f aca="false">ROUND(16968*1.05,2)</f>
        <v>17816.4</v>
      </c>
      <c r="F318" s="5" t="s">
        <v>17</v>
      </c>
      <c r="G318" s="5" t="s">
        <v>18</v>
      </c>
      <c r="H318" s="5" t="n">
        <f aca="true">ROUND(RAND()*4+6,1)</f>
        <v>9.7</v>
      </c>
      <c r="I318" s="5" t="s">
        <v>19</v>
      </c>
      <c r="J318" s="5" t="str">
        <f aca="false">ROUND(93*1,0)&amp;"%"</f>
        <v>93%</v>
      </c>
    </row>
    <row r="319" customFormat="false" ht="15" hidden="false" customHeight="false" outlineLevel="0" collapsed="false">
      <c r="A319" s="6" t="s">
        <v>11388</v>
      </c>
      <c r="B319" s="6" t="s">
        <v>514</v>
      </c>
      <c r="C319" s="6" t="s">
        <v>133</v>
      </c>
      <c r="D319" s="6" t="s">
        <v>22</v>
      </c>
      <c r="E319" s="6" t="n">
        <f aca="false">ROUND(13022*1.05,2)</f>
        <v>13673.1</v>
      </c>
      <c r="F319" s="6" t="s">
        <v>23</v>
      </c>
      <c r="G319" s="6" t="s">
        <v>24</v>
      </c>
      <c r="H319" s="6" t="n">
        <f aca="true">ROUND(RAND()*4+6,1)</f>
        <v>7.3</v>
      </c>
      <c r="I319" s="6" t="s">
        <v>25</v>
      </c>
      <c r="J319" s="6" t="str">
        <f aca="false">ROUND(94*1,0)&amp;"%"</f>
        <v>94%</v>
      </c>
    </row>
    <row r="320" customFormat="false" ht="15" hidden="false" customHeight="false" outlineLevel="0" collapsed="false">
      <c r="A320" s="5" t="s">
        <v>11389</v>
      </c>
      <c r="B320" s="5" t="s">
        <v>516</v>
      </c>
      <c r="C320" s="5" t="s">
        <v>133</v>
      </c>
      <c r="D320" s="5" t="s">
        <v>28</v>
      </c>
      <c r="E320" s="5" t="n">
        <f aca="false">ROUND(16894*1.05,2)</f>
        <v>17738.7</v>
      </c>
      <c r="F320" s="5" t="s">
        <v>29</v>
      </c>
      <c r="G320" s="5" t="s">
        <v>30</v>
      </c>
      <c r="H320" s="5" t="n">
        <f aca="true">ROUND(RAND()*4+6,1)</f>
        <v>6.2</v>
      </c>
      <c r="I320" s="5" t="s">
        <v>31</v>
      </c>
      <c r="J320" s="5" t="str">
        <f aca="false">ROUND(65*1,0)&amp;"%"</f>
        <v>65%</v>
      </c>
    </row>
    <row r="321" customFormat="false" ht="15" hidden="false" customHeight="false" outlineLevel="0" collapsed="false">
      <c r="A321" s="6" t="s">
        <v>11390</v>
      </c>
      <c r="B321" s="6" t="s">
        <v>518</v>
      </c>
      <c r="C321" s="6" t="s">
        <v>133</v>
      </c>
      <c r="D321" s="6" t="s">
        <v>34</v>
      </c>
      <c r="E321" s="6" t="n">
        <f aca="false">ROUND(17086*1.05,2)</f>
        <v>17940.3</v>
      </c>
      <c r="F321" s="6" t="s">
        <v>35</v>
      </c>
      <c r="G321" s="6" t="s">
        <v>18</v>
      </c>
      <c r="H321" s="6" t="n">
        <f aca="true">ROUND(RAND()*4+6,1)</f>
        <v>7.2</v>
      </c>
      <c r="I321" s="6" t="s">
        <v>36</v>
      </c>
      <c r="J321" s="6" t="str">
        <f aca="false">ROUND(85*1,0)&amp;"%"</f>
        <v>85%</v>
      </c>
    </row>
    <row r="322" customFormat="false" ht="15" hidden="false" customHeight="false" outlineLevel="0" collapsed="false">
      <c r="A322" s="5" t="s">
        <v>11391</v>
      </c>
      <c r="B322" s="5" t="s">
        <v>520</v>
      </c>
      <c r="C322" s="5" t="s">
        <v>133</v>
      </c>
      <c r="D322" s="5" t="s">
        <v>39</v>
      </c>
      <c r="E322" s="5" t="n">
        <f aca="false">ROUND(14046*1.05,2)</f>
        <v>14748.3</v>
      </c>
      <c r="F322" s="5" t="s">
        <v>40</v>
      </c>
      <c r="G322" s="5" t="s">
        <v>24</v>
      </c>
      <c r="H322" s="5" t="n">
        <f aca="true">ROUND(RAND()*4+6,1)</f>
        <v>6.4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11392</v>
      </c>
      <c r="B323" s="6" t="s">
        <v>522</v>
      </c>
      <c r="C323" s="6" t="s">
        <v>133</v>
      </c>
      <c r="D323" s="6" t="s">
        <v>44</v>
      </c>
      <c r="E323" s="6" t="n">
        <f aca="false">ROUND(13138*1.05,2)</f>
        <v>13794.9</v>
      </c>
      <c r="F323" s="6" t="s">
        <v>45</v>
      </c>
      <c r="G323" s="6" t="s">
        <v>30</v>
      </c>
      <c r="H323" s="6" t="n">
        <f aca="true">ROUND(RAND()*4+6,1)</f>
        <v>6.5</v>
      </c>
      <c r="I323" s="6" t="s">
        <v>46</v>
      </c>
      <c r="J323" s="6" t="str">
        <f aca="false">ROUND(76*1,0)&amp;"%"</f>
        <v>76%</v>
      </c>
    </row>
    <row r="324" customFormat="false" ht="15" hidden="false" customHeight="false" outlineLevel="0" collapsed="false">
      <c r="A324" s="5" t="s">
        <v>11393</v>
      </c>
      <c r="B324" s="5" t="s">
        <v>524</v>
      </c>
      <c r="C324" s="5" t="s">
        <v>133</v>
      </c>
      <c r="D324" s="5" t="s">
        <v>16</v>
      </c>
      <c r="E324" s="5" t="n">
        <f aca="false">ROUND(8458*1.05,2)</f>
        <v>8880.9</v>
      </c>
      <c r="F324" s="5" t="s">
        <v>49</v>
      </c>
      <c r="G324" s="5" t="s">
        <v>18</v>
      </c>
      <c r="H324" s="5" t="n">
        <f aca="true">ROUND(RAND()*4+6,1)</f>
        <v>9.9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11394</v>
      </c>
      <c r="B325" s="6" t="s">
        <v>526</v>
      </c>
      <c r="C325" s="6" t="s">
        <v>133</v>
      </c>
      <c r="D325" s="6" t="s">
        <v>22</v>
      </c>
      <c r="E325" s="6" t="n">
        <f aca="false">ROUND(15409*1.05,2)</f>
        <v>16179.45</v>
      </c>
      <c r="F325" s="6" t="s">
        <v>52</v>
      </c>
      <c r="G325" s="6" t="s">
        <v>24</v>
      </c>
      <c r="H325" s="6" t="n">
        <f aca="true">ROUND(RAND()*4+6,1)</f>
        <v>6.7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11395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11396</v>
      </c>
      <c r="B330" s="5" t="s">
        <v>530</v>
      </c>
      <c r="C330" s="5" t="s">
        <v>152</v>
      </c>
      <c r="D330" s="5" t="s">
        <v>16</v>
      </c>
      <c r="E330" s="5" t="n">
        <f aca="false">ROUND(6711*1.05,2)</f>
        <v>7046.55</v>
      </c>
      <c r="F330" s="5" t="s">
        <v>17</v>
      </c>
      <c r="G330" s="5" t="s">
        <v>18</v>
      </c>
      <c r="H330" s="5" t="n">
        <f aca="true">ROUND(RAND()*4+6,1)</f>
        <v>7.4</v>
      </c>
      <c r="I330" s="5" t="s">
        <v>19</v>
      </c>
      <c r="J330" s="5" t="str">
        <f aca="false">ROUND(66*1,0)&amp;"%"</f>
        <v>66%</v>
      </c>
    </row>
    <row r="331" customFormat="false" ht="15" hidden="false" customHeight="false" outlineLevel="0" collapsed="false">
      <c r="A331" s="6" t="s">
        <v>11397</v>
      </c>
      <c r="B331" s="6" t="s">
        <v>532</v>
      </c>
      <c r="C331" s="6" t="s">
        <v>152</v>
      </c>
      <c r="D331" s="6" t="s">
        <v>22</v>
      </c>
      <c r="E331" s="6" t="n">
        <f aca="false">ROUND(5606*1.05,2)</f>
        <v>5886.3</v>
      </c>
      <c r="F331" s="6" t="s">
        <v>23</v>
      </c>
      <c r="G331" s="6" t="s">
        <v>24</v>
      </c>
      <c r="H331" s="6" t="n">
        <f aca="true">ROUND(RAND()*4+6,1)</f>
        <v>9.7</v>
      </c>
      <c r="I331" s="6" t="s">
        <v>25</v>
      </c>
      <c r="J331" s="6" t="str">
        <f aca="false">ROUND(95*1,0)&amp;"%"</f>
        <v>95%</v>
      </c>
    </row>
    <row r="332" customFormat="false" ht="15" hidden="false" customHeight="false" outlineLevel="0" collapsed="false">
      <c r="A332" s="5" t="s">
        <v>11398</v>
      </c>
      <c r="B332" s="5" t="s">
        <v>534</v>
      </c>
      <c r="C332" s="5" t="s">
        <v>152</v>
      </c>
      <c r="D332" s="5" t="s">
        <v>28</v>
      </c>
      <c r="E332" s="5" t="n">
        <f aca="false">ROUND(17349*1.05,2)</f>
        <v>18216.45</v>
      </c>
      <c r="F332" s="5" t="s">
        <v>29</v>
      </c>
      <c r="G332" s="5" t="s">
        <v>30</v>
      </c>
      <c r="H332" s="5" t="n">
        <f aca="true">ROUND(RAND()*4+6,1)</f>
        <v>7.3</v>
      </c>
      <c r="I332" s="5" t="s">
        <v>31</v>
      </c>
      <c r="J332" s="5" t="str">
        <f aca="false">ROUND(86*1,0)&amp;"%"</f>
        <v>86%</v>
      </c>
    </row>
    <row r="333" customFormat="false" ht="15" hidden="false" customHeight="false" outlineLevel="0" collapsed="false">
      <c r="A333" s="6" t="s">
        <v>11399</v>
      </c>
      <c r="B333" s="6" t="s">
        <v>536</v>
      </c>
      <c r="C333" s="6" t="s">
        <v>152</v>
      </c>
      <c r="D333" s="6" t="s">
        <v>34</v>
      </c>
      <c r="E333" s="6" t="n">
        <f aca="false">ROUND(11836*1.05,2)</f>
        <v>12427.8</v>
      </c>
      <c r="F333" s="6" t="s">
        <v>35</v>
      </c>
      <c r="G333" s="6" t="s">
        <v>18</v>
      </c>
      <c r="H333" s="6" t="n">
        <f aca="true">ROUND(RAND()*4+6,1)</f>
        <v>8.2</v>
      </c>
      <c r="I333" s="6" t="s">
        <v>36</v>
      </c>
      <c r="J333" s="6" t="str">
        <f aca="false">ROUND(71*1,0)&amp;"%"</f>
        <v>71%</v>
      </c>
    </row>
    <row r="334" customFormat="false" ht="15" hidden="false" customHeight="false" outlineLevel="0" collapsed="false">
      <c r="A334" s="5" t="s">
        <v>11400</v>
      </c>
      <c r="B334" s="5" t="s">
        <v>538</v>
      </c>
      <c r="C334" s="5" t="s">
        <v>152</v>
      </c>
      <c r="D334" s="5" t="s">
        <v>39</v>
      </c>
      <c r="E334" s="5" t="n">
        <f aca="false">ROUND(13154*1.05,2)</f>
        <v>13811.7</v>
      </c>
      <c r="F334" s="5" t="s">
        <v>40</v>
      </c>
      <c r="G334" s="5" t="s">
        <v>24</v>
      </c>
      <c r="H334" s="5" t="n">
        <f aca="true">ROUND(RAND()*4+6,1)</f>
        <v>6.5</v>
      </c>
      <c r="I334" s="5" t="s">
        <v>41</v>
      </c>
      <c r="J334" s="5" t="str">
        <f aca="false">ROUND(72*1,0)&amp;"%"</f>
        <v>72%</v>
      </c>
    </row>
    <row r="335" customFormat="false" ht="15" hidden="false" customHeight="false" outlineLevel="0" collapsed="false">
      <c r="A335" s="6" t="s">
        <v>11401</v>
      </c>
      <c r="B335" s="6" t="s">
        <v>540</v>
      </c>
      <c r="C335" s="6" t="s">
        <v>152</v>
      </c>
      <c r="D335" s="6" t="s">
        <v>44</v>
      </c>
      <c r="E335" s="6" t="n">
        <f aca="false">ROUND(7172*1.05,2)</f>
        <v>7530.6</v>
      </c>
      <c r="F335" s="6" t="s">
        <v>45</v>
      </c>
      <c r="G335" s="6" t="s">
        <v>30</v>
      </c>
      <c r="H335" s="6" t="n">
        <f aca="true">ROUND(RAND()*4+6,1)</f>
        <v>8.9</v>
      </c>
      <c r="I335" s="6" t="s">
        <v>46</v>
      </c>
      <c r="J335" s="6" t="str">
        <f aca="false">ROUND(90*1,0)&amp;"%"</f>
        <v>90%</v>
      </c>
    </row>
    <row r="336" customFormat="false" ht="15" hidden="false" customHeight="false" outlineLevel="0" collapsed="false">
      <c r="A336" s="5" t="s">
        <v>11402</v>
      </c>
      <c r="B336" s="5" t="s">
        <v>542</v>
      </c>
      <c r="C336" s="5" t="s">
        <v>152</v>
      </c>
      <c r="D336" s="5" t="s">
        <v>16</v>
      </c>
      <c r="E336" s="5" t="n">
        <f aca="false">ROUND(5238*1.05,2)</f>
        <v>5499.9</v>
      </c>
      <c r="F336" s="5" t="s">
        <v>49</v>
      </c>
      <c r="G336" s="5" t="s">
        <v>18</v>
      </c>
      <c r="H336" s="5" t="n">
        <f aca="true">ROUND(RAND()*4+6,1)</f>
        <v>9.7</v>
      </c>
      <c r="I336" s="5" t="s">
        <v>19</v>
      </c>
      <c r="J336" s="5" t="str">
        <f aca="false">ROUND(74*1,0)&amp;"%"</f>
        <v>74%</v>
      </c>
    </row>
    <row r="337" customFormat="false" ht="15" hidden="false" customHeight="false" outlineLevel="0" collapsed="false">
      <c r="A337" s="6" t="s">
        <v>11403</v>
      </c>
      <c r="B337" s="6" t="s">
        <v>544</v>
      </c>
      <c r="C337" s="6" t="s">
        <v>152</v>
      </c>
      <c r="D337" s="6" t="s">
        <v>22</v>
      </c>
      <c r="E337" s="6" t="n">
        <f aca="false">ROUND(9283*1.05,2)</f>
        <v>9747.15</v>
      </c>
      <c r="F337" s="6" t="s">
        <v>52</v>
      </c>
      <c r="G337" s="6" t="s">
        <v>24</v>
      </c>
      <c r="H337" s="6" t="n">
        <f aca="true">ROUND(RAND()*4+6,1)</f>
        <v>9.7</v>
      </c>
      <c r="I337" s="6" t="s">
        <v>25</v>
      </c>
      <c r="J337" s="6" t="str">
        <f aca="false">ROUND(80*1,0)&amp;"%"</f>
        <v>80%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11404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11405</v>
      </c>
      <c r="B342" s="5" t="s">
        <v>548</v>
      </c>
      <c r="C342" s="5" t="s">
        <v>15</v>
      </c>
      <c r="D342" s="5" t="s">
        <v>16</v>
      </c>
      <c r="E342" s="5" t="n">
        <f aca="false">ROUND(13044*1.05,2)</f>
        <v>13696.2</v>
      </c>
      <c r="F342" s="5" t="s">
        <v>17</v>
      </c>
      <c r="G342" s="5" t="s">
        <v>18</v>
      </c>
      <c r="H342" s="5" t="n">
        <f aca="true">ROUND(RAND()*4+6,1)</f>
        <v>9.6</v>
      </c>
      <c r="I342" s="5" t="s">
        <v>19</v>
      </c>
      <c r="J342" s="5" t="str">
        <f aca="false">ROUND(67*1,0)&amp;"%"</f>
        <v>67%</v>
      </c>
    </row>
    <row r="343" customFormat="false" ht="15" hidden="false" customHeight="false" outlineLevel="0" collapsed="false">
      <c r="A343" s="6" t="s">
        <v>11406</v>
      </c>
      <c r="B343" s="6" t="s">
        <v>550</v>
      </c>
      <c r="C343" s="6" t="s">
        <v>15</v>
      </c>
      <c r="D343" s="6" t="s">
        <v>22</v>
      </c>
      <c r="E343" s="6" t="n">
        <f aca="false">ROUND(13106*1.05,2)</f>
        <v>13761.3</v>
      </c>
      <c r="F343" s="6" t="s">
        <v>23</v>
      </c>
      <c r="G343" s="6" t="s">
        <v>24</v>
      </c>
      <c r="H343" s="6" t="n">
        <f aca="true">ROUND(RAND()*4+6,1)</f>
        <v>9.4</v>
      </c>
      <c r="I343" s="6" t="s">
        <v>25</v>
      </c>
      <c r="J343" s="6" t="str">
        <f aca="false">ROUND(83*1,0)&amp;"%"</f>
        <v>83%</v>
      </c>
    </row>
    <row r="344" customFormat="false" ht="15" hidden="false" customHeight="false" outlineLevel="0" collapsed="false">
      <c r="A344" s="5" t="s">
        <v>11407</v>
      </c>
      <c r="B344" s="5" t="s">
        <v>552</v>
      </c>
      <c r="C344" s="5" t="s">
        <v>15</v>
      </c>
      <c r="D344" s="5" t="s">
        <v>28</v>
      </c>
      <c r="E344" s="5" t="n">
        <f aca="false">ROUND(9900*1.05,2)</f>
        <v>10395</v>
      </c>
      <c r="F344" s="5" t="s">
        <v>29</v>
      </c>
      <c r="G344" s="5" t="s">
        <v>30</v>
      </c>
      <c r="H344" s="5" t="n">
        <f aca="true">ROUND(RAND()*4+6,1)</f>
        <v>9.3</v>
      </c>
      <c r="I344" s="5" t="s">
        <v>31</v>
      </c>
      <c r="J344" s="5" t="str">
        <f aca="false">ROUND(72*1,0)&amp;"%"</f>
        <v>72%</v>
      </c>
    </row>
    <row r="345" customFormat="false" ht="15" hidden="false" customHeight="false" outlineLevel="0" collapsed="false">
      <c r="A345" s="6" t="s">
        <v>11408</v>
      </c>
      <c r="B345" s="6" t="s">
        <v>554</v>
      </c>
      <c r="C345" s="6" t="s">
        <v>15</v>
      </c>
      <c r="D345" s="6" t="s">
        <v>34</v>
      </c>
      <c r="E345" s="6" t="n">
        <f aca="false">ROUND(14221*1.05,2)</f>
        <v>14932.05</v>
      </c>
      <c r="F345" s="6" t="s">
        <v>35</v>
      </c>
      <c r="G345" s="6" t="s">
        <v>18</v>
      </c>
      <c r="H345" s="6" t="n">
        <f aca="true">ROUND(RAND()*4+6,1)</f>
        <v>8.6</v>
      </c>
      <c r="I345" s="6" t="s">
        <v>36</v>
      </c>
      <c r="J345" s="6" t="str">
        <f aca="false">ROUND(75*1,0)&amp;"%"</f>
        <v>75%</v>
      </c>
    </row>
    <row r="346" customFormat="false" ht="15" hidden="false" customHeight="false" outlineLevel="0" collapsed="false">
      <c r="A346" s="5" t="s">
        <v>11409</v>
      </c>
      <c r="B346" s="5" t="s">
        <v>556</v>
      </c>
      <c r="C346" s="5" t="s">
        <v>15</v>
      </c>
      <c r="D346" s="5" t="s">
        <v>39</v>
      </c>
      <c r="E346" s="5" t="n">
        <f aca="false">ROUND(7271*1.05,2)</f>
        <v>7634.55</v>
      </c>
      <c r="F346" s="5" t="s">
        <v>40</v>
      </c>
      <c r="G346" s="5" t="s">
        <v>24</v>
      </c>
      <c r="H346" s="5" t="n">
        <f aca="true">ROUND(RAND()*4+6,1)</f>
        <v>7.9</v>
      </c>
      <c r="I346" s="5" t="s">
        <v>41</v>
      </c>
      <c r="J346" s="5" t="str">
        <f aca="false">ROUND(89*1,0)&amp;"%"</f>
        <v>89%</v>
      </c>
    </row>
    <row r="347" customFormat="false" ht="15" hidden="false" customHeight="false" outlineLevel="0" collapsed="false">
      <c r="A347" s="6" t="s">
        <v>11410</v>
      </c>
      <c r="B347" s="6" t="s">
        <v>558</v>
      </c>
      <c r="C347" s="6" t="s">
        <v>15</v>
      </c>
      <c r="D347" s="6" t="s">
        <v>44</v>
      </c>
      <c r="E347" s="6" t="n">
        <f aca="false">ROUND(13532*1.05,2)</f>
        <v>14208.6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ROUND(89*1,0)&amp;"%"</f>
        <v>89%</v>
      </c>
    </row>
    <row r="348" customFormat="false" ht="15" hidden="false" customHeight="false" outlineLevel="0" collapsed="false">
      <c r="A348" s="5" t="s">
        <v>11411</v>
      </c>
      <c r="B348" s="5" t="s">
        <v>560</v>
      </c>
      <c r="C348" s="5" t="s">
        <v>15</v>
      </c>
      <c r="D348" s="5" t="s">
        <v>16</v>
      </c>
      <c r="E348" s="5" t="n">
        <f aca="false">ROUND(7513*1.05,2)</f>
        <v>7888.65</v>
      </c>
      <c r="F348" s="5" t="s">
        <v>49</v>
      </c>
      <c r="G348" s="5" t="s">
        <v>18</v>
      </c>
      <c r="H348" s="5" t="n">
        <f aca="true">ROUND(RAND()*4+6,1)</f>
        <v>8.4</v>
      </c>
      <c r="I348" s="5" t="s">
        <v>19</v>
      </c>
      <c r="J348" s="5" t="str">
        <f aca="false">ROUND(65*1,0)&amp;"%"</f>
        <v>65%</v>
      </c>
    </row>
    <row r="349" customFormat="false" ht="15" hidden="false" customHeight="false" outlineLevel="0" collapsed="false">
      <c r="A349" s="6" t="s">
        <v>11412</v>
      </c>
      <c r="B349" s="6" t="s">
        <v>562</v>
      </c>
      <c r="C349" s="6" t="s">
        <v>15</v>
      </c>
      <c r="D349" s="6" t="s">
        <v>22</v>
      </c>
      <c r="E349" s="6" t="n">
        <f aca="false">ROUND(13905*1.05,2)</f>
        <v>14600.25</v>
      </c>
      <c r="F349" s="6" t="s">
        <v>52</v>
      </c>
      <c r="G349" s="6" t="s">
        <v>24</v>
      </c>
      <c r="H349" s="6" t="n">
        <f aca="true">ROUND(RAND()*4+6,1)</f>
        <v>6.7</v>
      </c>
      <c r="I349" s="6" t="s">
        <v>25</v>
      </c>
      <c r="J349" s="6" t="str">
        <f aca="false">ROUND(95*1,0)&amp;"%"</f>
        <v>95%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11413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11414</v>
      </c>
      <c r="B354" s="5" t="s">
        <v>566</v>
      </c>
      <c r="C354" s="5" t="s">
        <v>57</v>
      </c>
      <c r="D354" s="5" t="s">
        <v>16</v>
      </c>
      <c r="E354" s="5" t="n">
        <f aca="false">ROUND(15700*1.05,2)</f>
        <v>16485</v>
      </c>
      <c r="F354" s="5" t="s">
        <v>17</v>
      </c>
      <c r="G354" s="5" t="s">
        <v>18</v>
      </c>
      <c r="H354" s="5" t="n">
        <f aca="true">ROUND(RAND()*4+6,1)</f>
        <v>7.2</v>
      </c>
      <c r="I354" s="5" t="s">
        <v>19</v>
      </c>
      <c r="J354" s="5" t="str">
        <f aca="false">ROUND(97*1,0)&amp;"%"</f>
        <v>97%</v>
      </c>
    </row>
    <row r="355" customFormat="false" ht="15" hidden="false" customHeight="false" outlineLevel="0" collapsed="false">
      <c r="A355" s="6" t="s">
        <v>11415</v>
      </c>
      <c r="B355" s="6" t="s">
        <v>568</v>
      </c>
      <c r="C355" s="6" t="s">
        <v>57</v>
      </c>
      <c r="D355" s="6" t="s">
        <v>22</v>
      </c>
      <c r="E355" s="6" t="n">
        <f aca="false">ROUND(16871*1.05,2)</f>
        <v>17714.55</v>
      </c>
      <c r="F355" s="6" t="s">
        <v>23</v>
      </c>
      <c r="G355" s="6" t="s">
        <v>24</v>
      </c>
      <c r="H355" s="6" t="n">
        <f aca="true">ROUND(RAND()*4+6,1)</f>
        <v>9.2</v>
      </c>
      <c r="I355" s="6" t="s">
        <v>25</v>
      </c>
      <c r="J355" s="6" t="str">
        <f aca="false">ROUND(98*1,0)&amp;"%"</f>
        <v>98%</v>
      </c>
    </row>
    <row r="356" customFormat="false" ht="15" hidden="false" customHeight="false" outlineLevel="0" collapsed="false">
      <c r="A356" s="5" t="s">
        <v>11416</v>
      </c>
      <c r="B356" s="5" t="s">
        <v>570</v>
      </c>
      <c r="C356" s="5" t="s">
        <v>57</v>
      </c>
      <c r="D356" s="5" t="s">
        <v>28</v>
      </c>
      <c r="E356" s="5" t="n">
        <f aca="false">ROUND(17626*1.05,2)</f>
        <v>18507.3</v>
      </c>
      <c r="F356" s="5" t="s">
        <v>29</v>
      </c>
      <c r="G356" s="5" t="s">
        <v>30</v>
      </c>
      <c r="H356" s="5" t="n">
        <f aca="true">ROUND(RAND()*4+6,1)</f>
        <v>8.8</v>
      </c>
      <c r="I356" s="5" t="s">
        <v>31</v>
      </c>
      <c r="J356" s="5" t="str">
        <f aca="false">ROUND(83*1,0)&amp;"%"</f>
        <v>83%</v>
      </c>
    </row>
    <row r="357" customFormat="false" ht="15" hidden="false" customHeight="false" outlineLevel="0" collapsed="false">
      <c r="A357" s="6" t="s">
        <v>11417</v>
      </c>
      <c r="B357" s="6" t="s">
        <v>572</v>
      </c>
      <c r="C357" s="6" t="s">
        <v>57</v>
      </c>
      <c r="D357" s="6" t="s">
        <v>34</v>
      </c>
      <c r="E357" s="6" t="n">
        <f aca="false">ROUND(15094*1.05,2)</f>
        <v>15848.7</v>
      </c>
      <c r="F357" s="6" t="s">
        <v>35</v>
      </c>
      <c r="G357" s="6" t="s">
        <v>18</v>
      </c>
      <c r="H357" s="6" t="n">
        <f aca="true">ROUND(RAND()*4+6,1)</f>
        <v>9.6</v>
      </c>
      <c r="I357" s="6" t="s">
        <v>36</v>
      </c>
      <c r="J357" s="6" t="str">
        <f aca="false">ROUND(83*1,0)&amp;"%"</f>
        <v>83%</v>
      </c>
    </row>
    <row r="358" customFormat="false" ht="15" hidden="false" customHeight="false" outlineLevel="0" collapsed="false">
      <c r="A358" s="5" t="s">
        <v>11418</v>
      </c>
      <c r="B358" s="5" t="s">
        <v>574</v>
      </c>
      <c r="C358" s="5" t="s">
        <v>57</v>
      </c>
      <c r="D358" s="5" t="s">
        <v>39</v>
      </c>
      <c r="E358" s="5" t="n">
        <f aca="false">ROUND(12377*1.05,2)</f>
        <v>12995.85</v>
      </c>
      <c r="F358" s="5" t="s">
        <v>40</v>
      </c>
      <c r="G358" s="5" t="s">
        <v>24</v>
      </c>
      <c r="H358" s="5" t="n">
        <f aca="true">ROUND(RAND()*4+6,1)</f>
        <v>7</v>
      </c>
      <c r="I358" s="5" t="s">
        <v>41</v>
      </c>
      <c r="J358" s="5" t="str">
        <f aca="false">ROUND(69*1,0)&amp;"%"</f>
        <v>69%</v>
      </c>
    </row>
    <row r="359" customFormat="false" ht="15" hidden="false" customHeight="false" outlineLevel="0" collapsed="false">
      <c r="A359" s="6" t="s">
        <v>11419</v>
      </c>
      <c r="B359" s="6" t="s">
        <v>576</v>
      </c>
      <c r="C359" s="6" t="s">
        <v>57</v>
      </c>
      <c r="D359" s="6" t="s">
        <v>44</v>
      </c>
      <c r="E359" s="6" t="n">
        <f aca="false">ROUND(5455*1.05,2)</f>
        <v>5727.75</v>
      </c>
      <c r="F359" s="6" t="s">
        <v>45</v>
      </c>
      <c r="G359" s="6" t="s">
        <v>30</v>
      </c>
      <c r="H359" s="6" t="n">
        <f aca="true">ROUND(RAND()*4+6,1)</f>
        <v>9</v>
      </c>
      <c r="I359" s="6" t="s">
        <v>46</v>
      </c>
      <c r="J359" s="6" t="str">
        <f aca="false">ROUND(67*1,0)&amp;"%"</f>
        <v>67%</v>
      </c>
    </row>
    <row r="360" customFormat="false" ht="15" hidden="false" customHeight="false" outlineLevel="0" collapsed="false">
      <c r="A360" s="5" t="s">
        <v>11420</v>
      </c>
      <c r="B360" s="5" t="s">
        <v>578</v>
      </c>
      <c r="C360" s="5" t="s">
        <v>57</v>
      </c>
      <c r="D360" s="5" t="s">
        <v>16</v>
      </c>
      <c r="E360" s="5" t="n">
        <f aca="false">ROUND(10917*1.05,2)</f>
        <v>11462.85</v>
      </c>
      <c r="F360" s="5" t="s">
        <v>49</v>
      </c>
      <c r="G360" s="5" t="s">
        <v>18</v>
      </c>
      <c r="H360" s="5" t="n">
        <f aca="true">ROUND(RAND()*4+6,1)</f>
        <v>9</v>
      </c>
      <c r="I360" s="5" t="s">
        <v>19</v>
      </c>
      <c r="J360" s="5" t="str">
        <f aca="false">ROUND(68*1,0)&amp;"%"</f>
        <v>68%</v>
      </c>
    </row>
    <row r="361" customFormat="false" ht="15" hidden="false" customHeight="false" outlineLevel="0" collapsed="false">
      <c r="A361" s="6" t="s">
        <v>11421</v>
      </c>
      <c r="B361" s="6" t="s">
        <v>580</v>
      </c>
      <c r="C361" s="6" t="s">
        <v>57</v>
      </c>
      <c r="D361" s="6" t="s">
        <v>22</v>
      </c>
      <c r="E361" s="6" t="n">
        <f aca="false">ROUND(15616*1.05,2)</f>
        <v>16396.8</v>
      </c>
      <c r="F361" s="6" t="s">
        <v>52</v>
      </c>
      <c r="G361" s="6" t="s">
        <v>24</v>
      </c>
      <c r="H361" s="6" t="n">
        <f aca="true">ROUND(RAND()*4+6,1)</f>
        <v>6.6</v>
      </c>
      <c r="I361" s="6" t="s">
        <v>25</v>
      </c>
      <c r="J361" s="6" t="str">
        <f aca="false">ROUND(89*1,0)&amp;"%"</f>
        <v>89%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11422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11423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11424</v>
      </c>
      <c r="B6" s="5" t="s">
        <v>14</v>
      </c>
      <c r="C6" s="5" t="s">
        <v>15</v>
      </c>
      <c r="D6" s="5" t="s">
        <v>16</v>
      </c>
      <c r="E6" s="5" t="n">
        <f aca="false">ROUND(12739*1.05,2)</f>
        <v>13375.95</v>
      </c>
      <c r="F6" s="5" t="s">
        <v>17</v>
      </c>
      <c r="G6" s="5" t="s">
        <v>18</v>
      </c>
      <c r="H6" s="5" t="n">
        <f aca="true">ROUND(RAND()*4+6,1)</f>
        <v>8.6</v>
      </c>
      <c r="I6" s="5" t="s">
        <v>19</v>
      </c>
      <c r="J6" s="5" t="str">
        <f aca="false">ROUND(98*1,0)&amp;"%"</f>
        <v>98%</v>
      </c>
    </row>
    <row r="7" customFormat="false" ht="15" hidden="false" customHeight="false" outlineLevel="0" collapsed="false">
      <c r="A7" s="6" t="s">
        <v>11425</v>
      </c>
      <c r="B7" s="6" t="s">
        <v>21</v>
      </c>
      <c r="C7" s="6" t="s">
        <v>15</v>
      </c>
      <c r="D7" s="6" t="s">
        <v>22</v>
      </c>
      <c r="E7" s="6" t="n">
        <f aca="false">ROUND(4465*1.05,2)</f>
        <v>4688.25</v>
      </c>
      <c r="F7" s="6" t="s">
        <v>23</v>
      </c>
      <c r="G7" s="6" t="s">
        <v>24</v>
      </c>
      <c r="H7" s="6" t="n">
        <f aca="true">ROUND(RAND()*4+6,1)</f>
        <v>6.8</v>
      </c>
      <c r="I7" s="6" t="s">
        <v>25</v>
      </c>
      <c r="J7" s="6" t="str">
        <f aca="false">ROUND(82*1,0)&amp;"%"</f>
        <v>82%</v>
      </c>
    </row>
    <row r="8" customFormat="false" ht="15" hidden="false" customHeight="false" outlineLevel="0" collapsed="false">
      <c r="A8" s="5" t="s">
        <v>11426</v>
      </c>
      <c r="B8" s="5" t="s">
        <v>27</v>
      </c>
      <c r="C8" s="5" t="s">
        <v>15</v>
      </c>
      <c r="D8" s="5" t="s">
        <v>28</v>
      </c>
      <c r="E8" s="5" t="n">
        <f aca="false">ROUND(6312*1.05,2)</f>
        <v>6627.6</v>
      </c>
      <c r="F8" s="5" t="s">
        <v>29</v>
      </c>
      <c r="G8" s="5" t="s">
        <v>30</v>
      </c>
      <c r="H8" s="5" t="n">
        <f aca="true">ROUND(RAND()*4+6,1)</f>
        <v>6.5</v>
      </c>
      <c r="I8" s="5" t="s">
        <v>31</v>
      </c>
      <c r="J8" s="5" t="str">
        <f aca="false">ROUND(71*1,0)&amp;"%"</f>
        <v>71%</v>
      </c>
    </row>
    <row r="9" customFormat="false" ht="15" hidden="false" customHeight="false" outlineLevel="0" collapsed="false">
      <c r="A9" s="6" t="s">
        <v>11427</v>
      </c>
      <c r="B9" s="6" t="s">
        <v>33</v>
      </c>
      <c r="C9" s="6" t="s">
        <v>15</v>
      </c>
      <c r="D9" s="6" t="s">
        <v>34</v>
      </c>
      <c r="E9" s="6" t="n">
        <f aca="false">ROUND(4927*1.05,2)</f>
        <v>5173.35</v>
      </c>
      <c r="F9" s="6" t="s">
        <v>35</v>
      </c>
      <c r="G9" s="6" t="s">
        <v>18</v>
      </c>
      <c r="H9" s="6" t="n">
        <f aca="true">ROUND(RAND()*4+6,1)</f>
        <v>7.9</v>
      </c>
      <c r="I9" s="6" t="s">
        <v>36</v>
      </c>
      <c r="J9" s="6" t="str">
        <f aca="false">ROUND(60*1,0)&amp;"%"</f>
        <v>60%</v>
      </c>
    </row>
    <row r="10" customFormat="false" ht="15" hidden="false" customHeight="false" outlineLevel="0" collapsed="false">
      <c r="A10" s="5" t="s">
        <v>11428</v>
      </c>
      <c r="B10" s="5" t="s">
        <v>38</v>
      </c>
      <c r="C10" s="5" t="s">
        <v>15</v>
      </c>
      <c r="D10" s="5" t="s">
        <v>39</v>
      </c>
      <c r="E10" s="5" t="n">
        <f aca="false">ROUND(17388*1.05,2)</f>
        <v>18257.4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ROUND(98*1,0)&amp;"%"</f>
        <v>98%</v>
      </c>
    </row>
    <row r="11" customFormat="false" ht="15" hidden="false" customHeight="false" outlineLevel="0" collapsed="false">
      <c r="A11" s="6" t="s">
        <v>11429</v>
      </c>
      <c r="B11" s="6" t="s">
        <v>43</v>
      </c>
      <c r="C11" s="6" t="s">
        <v>15</v>
      </c>
      <c r="D11" s="6" t="s">
        <v>44</v>
      </c>
      <c r="E11" s="6" t="n">
        <f aca="false">ROUND(7206*1.05,2)</f>
        <v>7566.3</v>
      </c>
      <c r="F11" s="6" t="s">
        <v>45</v>
      </c>
      <c r="G11" s="6" t="s">
        <v>30</v>
      </c>
      <c r="H11" s="6" t="n">
        <f aca="true">ROUND(RAND()*4+6,1)</f>
        <v>8.5</v>
      </c>
      <c r="I11" s="6" t="s">
        <v>46</v>
      </c>
      <c r="J11" s="6" t="str">
        <f aca="false">ROUND(80*1,0)&amp;"%"</f>
        <v>80%</v>
      </c>
    </row>
    <row r="12" customFormat="false" ht="15" hidden="false" customHeight="false" outlineLevel="0" collapsed="false">
      <c r="A12" s="5" t="s">
        <v>11430</v>
      </c>
      <c r="B12" s="5" t="s">
        <v>48</v>
      </c>
      <c r="C12" s="5" t="s">
        <v>15</v>
      </c>
      <c r="D12" s="5" t="s">
        <v>16</v>
      </c>
      <c r="E12" s="5" t="n">
        <f aca="false">ROUND(17972*1.05,2)</f>
        <v>18870.6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ROUND(63*1,0)&amp;"%"</f>
        <v>63%</v>
      </c>
    </row>
    <row r="13" customFormat="false" ht="15" hidden="false" customHeight="false" outlineLevel="0" collapsed="false">
      <c r="A13" s="6" t="s">
        <v>11431</v>
      </c>
      <c r="B13" s="6" t="s">
        <v>51</v>
      </c>
      <c r="C13" s="6" t="s">
        <v>15</v>
      </c>
      <c r="D13" s="6" t="s">
        <v>22</v>
      </c>
      <c r="E13" s="6" t="n">
        <f aca="false">ROUND(8330*1.05,2)</f>
        <v>8746.5</v>
      </c>
      <c r="F13" s="6" t="s">
        <v>52</v>
      </c>
      <c r="G13" s="6" t="s">
        <v>24</v>
      </c>
      <c r="H13" s="6" t="n">
        <f aca="true">ROUND(RAND()*4+6,1)</f>
        <v>7.7</v>
      </c>
      <c r="I13" s="6" t="s">
        <v>25</v>
      </c>
      <c r="J13" s="6" t="str">
        <f aca="false">ROUND(83*1,0)&amp;"%"</f>
        <v>83%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11432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11433</v>
      </c>
      <c r="B18" s="5" t="s">
        <v>56</v>
      </c>
      <c r="C18" s="5" t="s">
        <v>57</v>
      </c>
      <c r="D18" s="5" t="s">
        <v>16</v>
      </c>
      <c r="E18" s="5" t="n">
        <f aca="false">ROUND(5673*1.05,2)</f>
        <v>5956.65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ROUND(88*1,0)&amp;"%"</f>
        <v>88%</v>
      </c>
    </row>
    <row r="19" customFormat="false" ht="15" hidden="false" customHeight="false" outlineLevel="0" collapsed="false">
      <c r="A19" s="6" t="s">
        <v>11434</v>
      </c>
      <c r="B19" s="6" t="s">
        <v>59</v>
      </c>
      <c r="C19" s="6" t="s">
        <v>57</v>
      </c>
      <c r="D19" s="6" t="s">
        <v>22</v>
      </c>
      <c r="E19" s="6" t="n">
        <f aca="false">ROUND(8585*1.05,2)</f>
        <v>9014.25</v>
      </c>
      <c r="F19" s="6" t="s">
        <v>23</v>
      </c>
      <c r="G19" s="6" t="s">
        <v>24</v>
      </c>
      <c r="H19" s="6" t="n">
        <f aca="true">ROUND(RAND()*4+6,1)</f>
        <v>7.3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11435</v>
      </c>
      <c r="B20" s="5" t="s">
        <v>61</v>
      </c>
      <c r="C20" s="5" t="s">
        <v>57</v>
      </c>
      <c r="D20" s="5" t="s">
        <v>28</v>
      </c>
      <c r="E20" s="5" t="n">
        <f aca="false">ROUND(12848*1.05,2)</f>
        <v>13490.4</v>
      </c>
      <c r="F20" s="5" t="s">
        <v>29</v>
      </c>
      <c r="G20" s="5" t="s">
        <v>30</v>
      </c>
      <c r="H20" s="5" t="n">
        <f aca="true">ROUND(RAND()*4+6,1)</f>
        <v>6.5</v>
      </c>
      <c r="I20" s="5" t="s">
        <v>31</v>
      </c>
      <c r="J20" s="5" t="str">
        <f aca="false">ROUND(79*1,0)&amp;"%"</f>
        <v>79%</v>
      </c>
    </row>
    <row r="21" customFormat="false" ht="15" hidden="false" customHeight="false" outlineLevel="0" collapsed="false">
      <c r="A21" s="6" t="s">
        <v>11436</v>
      </c>
      <c r="B21" s="6" t="s">
        <v>63</v>
      </c>
      <c r="C21" s="6" t="s">
        <v>57</v>
      </c>
      <c r="D21" s="6" t="s">
        <v>34</v>
      </c>
      <c r="E21" s="6" t="n">
        <f aca="false">ROUND(9898*1.05,2)</f>
        <v>10392.9</v>
      </c>
      <c r="F21" s="6" t="s">
        <v>35</v>
      </c>
      <c r="G21" s="6" t="s">
        <v>18</v>
      </c>
      <c r="H21" s="6" t="n">
        <f aca="true">ROUND(RAND()*4+6,1)</f>
        <v>6.1</v>
      </c>
      <c r="I21" s="6" t="s">
        <v>36</v>
      </c>
      <c r="J21" s="6" t="str">
        <f aca="false">ROUND(96*1,0)&amp;"%"</f>
        <v>96%</v>
      </c>
    </row>
    <row r="22" customFormat="false" ht="15" hidden="false" customHeight="false" outlineLevel="0" collapsed="false">
      <c r="A22" s="5" t="s">
        <v>11437</v>
      </c>
      <c r="B22" s="5" t="s">
        <v>65</v>
      </c>
      <c r="C22" s="5" t="s">
        <v>57</v>
      </c>
      <c r="D22" s="5" t="s">
        <v>39</v>
      </c>
      <c r="E22" s="5" t="n">
        <f aca="false">ROUND(13090*1.05,2)</f>
        <v>13744.5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ROUND(82*1,0)&amp;"%"</f>
        <v>82%</v>
      </c>
    </row>
    <row r="23" customFormat="false" ht="15" hidden="false" customHeight="false" outlineLevel="0" collapsed="false">
      <c r="A23" s="6" t="s">
        <v>11438</v>
      </c>
      <c r="B23" s="6" t="s">
        <v>67</v>
      </c>
      <c r="C23" s="6" t="s">
        <v>57</v>
      </c>
      <c r="D23" s="6" t="s">
        <v>44</v>
      </c>
      <c r="E23" s="6" t="n">
        <f aca="false">ROUND(13859*1.05,2)</f>
        <v>14551.95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ROUND(60*1,0)&amp;"%"</f>
        <v>60%</v>
      </c>
    </row>
    <row r="24" customFormat="false" ht="15" hidden="false" customHeight="false" outlineLevel="0" collapsed="false">
      <c r="A24" s="5" t="s">
        <v>11439</v>
      </c>
      <c r="B24" s="5" t="s">
        <v>69</v>
      </c>
      <c r="C24" s="5" t="s">
        <v>57</v>
      </c>
      <c r="D24" s="5" t="s">
        <v>16</v>
      </c>
      <c r="E24" s="5" t="n">
        <f aca="false">ROUND(12065*1.05,2)</f>
        <v>12668.25</v>
      </c>
      <c r="F24" s="5" t="s">
        <v>49</v>
      </c>
      <c r="G24" s="5" t="s">
        <v>18</v>
      </c>
      <c r="H24" s="5" t="n">
        <f aca="true">ROUND(RAND()*4+6,1)</f>
        <v>6</v>
      </c>
      <c r="I24" s="5" t="s">
        <v>19</v>
      </c>
      <c r="J24" s="5" t="str">
        <f aca="false">ROUND(69*1,0)&amp;"%"</f>
        <v>69%</v>
      </c>
    </row>
    <row r="25" customFormat="false" ht="15" hidden="false" customHeight="false" outlineLevel="0" collapsed="false">
      <c r="A25" s="6" t="s">
        <v>11440</v>
      </c>
      <c r="B25" s="6" t="s">
        <v>71</v>
      </c>
      <c r="C25" s="6" t="s">
        <v>57</v>
      </c>
      <c r="D25" s="6" t="s">
        <v>22</v>
      </c>
      <c r="E25" s="6" t="n">
        <f aca="false">ROUND(16091*1.05,2)</f>
        <v>16895.55</v>
      </c>
      <c r="F25" s="6" t="s">
        <v>52</v>
      </c>
      <c r="G25" s="6" t="s">
        <v>24</v>
      </c>
      <c r="H25" s="6" t="n">
        <f aca="true">ROUND(RAND()*4+6,1)</f>
        <v>8.5</v>
      </c>
      <c r="I25" s="6" t="s">
        <v>25</v>
      </c>
      <c r="J25" s="6" t="str">
        <f aca="false">ROUND(87*1,0)&amp;"%"</f>
        <v>87%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11441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11442</v>
      </c>
      <c r="B30" s="5" t="s">
        <v>75</v>
      </c>
      <c r="C30" s="5" t="s">
        <v>76</v>
      </c>
      <c r="D30" s="5" t="s">
        <v>16</v>
      </c>
      <c r="E30" s="5" t="n">
        <f aca="false">ROUND(8051*1.05,2)</f>
        <v>8453.55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11443</v>
      </c>
      <c r="B31" s="6" t="s">
        <v>78</v>
      </c>
      <c r="C31" s="6" t="s">
        <v>76</v>
      </c>
      <c r="D31" s="6" t="s">
        <v>22</v>
      </c>
      <c r="E31" s="6" t="n">
        <f aca="false">ROUND(8164*1.05,2)</f>
        <v>8572.2</v>
      </c>
      <c r="F31" s="6" t="s">
        <v>23</v>
      </c>
      <c r="G31" s="6" t="s">
        <v>24</v>
      </c>
      <c r="H31" s="6" t="n">
        <f aca="true">ROUND(RAND()*4+6,1)</f>
        <v>7.4</v>
      </c>
      <c r="I31" s="6" t="s">
        <v>25</v>
      </c>
      <c r="J31" s="6" t="str">
        <f aca="false">ROUND(71*1,0)&amp;"%"</f>
        <v>71%</v>
      </c>
    </row>
    <row r="32" customFormat="false" ht="15" hidden="false" customHeight="false" outlineLevel="0" collapsed="false">
      <c r="A32" s="5" t="s">
        <v>11444</v>
      </c>
      <c r="B32" s="5" t="s">
        <v>80</v>
      </c>
      <c r="C32" s="5" t="s">
        <v>76</v>
      </c>
      <c r="D32" s="5" t="s">
        <v>28</v>
      </c>
      <c r="E32" s="5" t="n">
        <f aca="false">ROUND(12973*1.05,2)</f>
        <v>13621.65</v>
      </c>
      <c r="F32" s="5" t="s">
        <v>29</v>
      </c>
      <c r="G32" s="5" t="s">
        <v>30</v>
      </c>
      <c r="H32" s="5" t="n">
        <f aca="true">ROUND(RAND()*4+6,1)</f>
        <v>8</v>
      </c>
      <c r="I32" s="5" t="s">
        <v>31</v>
      </c>
      <c r="J32" s="5" t="str">
        <f aca="false">ROUND(67*1,0)&amp;"%"</f>
        <v>67%</v>
      </c>
    </row>
    <row r="33" customFormat="false" ht="15" hidden="false" customHeight="false" outlineLevel="0" collapsed="false">
      <c r="A33" s="6" t="s">
        <v>11445</v>
      </c>
      <c r="B33" s="6" t="s">
        <v>82</v>
      </c>
      <c r="C33" s="6" t="s">
        <v>76</v>
      </c>
      <c r="D33" s="6" t="s">
        <v>34</v>
      </c>
      <c r="E33" s="6" t="n">
        <f aca="false">ROUND(11590*1.05,2)</f>
        <v>12169.5</v>
      </c>
      <c r="F33" s="6" t="s">
        <v>35</v>
      </c>
      <c r="G33" s="6" t="s">
        <v>18</v>
      </c>
      <c r="H33" s="6" t="n">
        <f aca="true">ROUND(RAND()*4+6,1)</f>
        <v>7.4</v>
      </c>
      <c r="I33" s="6" t="s">
        <v>36</v>
      </c>
      <c r="J33" s="6" t="str">
        <f aca="false">ROUND(65*1,0)&amp;"%"</f>
        <v>65%</v>
      </c>
    </row>
    <row r="34" customFormat="false" ht="15" hidden="false" customHeight="false" outlineLevel="0" collapsed="false">
      <c r="A34" s="5" t="s">
        <v>11446</v>
      </c>
      <c r="B34" s="5" t="s">
        <v>84</v>
      </c>
      <c r="C34" s="5" t="s">
        <v>76</v>
      </c>
      <c r="D34" s="5" t="s">
        <v>39</v>
      </c>
      <c r="E34" s="5" t="n">
        <f aca="false">ROUND(10663*1.05,2)</f>
        <v>11196.15</v>
      </c>
      <c r="F34" s="5" t="s">
        <v>40</v>
      </c>
      <c r="G34" s="5" t="s">
        <v>24</v>
      </c>
      <c r="H34" s="5" t="n">
        <f aca="true">ROUND(RAND()*4+6,1)</f>
        <v>8.6</v>
      </c>
      <c r="I34" s="5" t="s">
        <v>41</v>
      </c>
      <c r="J34" s="5" t="str">
        <f aca="false">ROUND(89*1,0)&amp;"%"</f>
        <v>89%</v>
      </c>
    </row>
    <row r="35" customFormat="false" ht="15" hidden="false" customHeight="false" outlineLevel="0" collapsed="false">
      <c r="A35" s="6" t="s">
        <v>11447</v>
      </c>
      <c r="B35" s="6" t="s">
        <v>86</v>
      </c>
      <c r="C35" s="6" t="s">
        <v>76</v>
      </c>
      <c r="D35" s="6" t="s">
        <v>44</v>
      </c>
      <c r="E35" s="6" t="n">
        <f aca="false">ROUND(17105*1.05,2)</f>
        <v>17960.25</v>
      </c>
      <c r="F35" s="6" t="s">
        <v>45</v>
      </c>
      <c r="G35" s="6" t="s">
        <v>30</v>
      </c>
      <c r="H35" s="6" t="n">
        <f aca="true">ROUND(RAND()*4+6,1)</f>
        <v>8</v>
      </c>
      <c r="I35" s="6" t="s">
        <v>46</v>
      </c>
      <c r="J35" s="6" t="str">
        <f aca="false">ROUND(88*1,0)&amp;"%"</f>
        <v>88%</v>
      </c>
    </row>
    <row r="36" customFormat="false" ht="15" hidden="false" customHeight="false" outlineLevel="0" collapsed="false">
      <c r="A36" s="5" t="s">
        <v>11448</v>
      </c>
      <c r="B36" s="5" t="s">
        <v>88</v>
      </c>
      <c r="C36" s="5" t="s">
        <v>76</v>
      </c>
      <c r="D36" s="5" t="s">
        <v>16</v>
      </c>
      <c r="E36" s="5" t="n">
        <f aca="false">ROUND(9305*1.05,2)</f>
        <v>9770.25</v>
      </c>
      <c r="F36" s="5" t="s">
        <v>49</v>
      </c>
      <c r="G36" s="5" t="s">
        <v>18</v>
      </c>
      <c r="H36" s="5" t="n">
        <f aca="true">ROUND(RAND()*4+6,1)</f>
        <v>7.5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11449</v>
      </c>
      <c r="B37" s="6" t="s">
        <v>90</v>
      </c>
      <c r="C37" s="6" t="s">
        <v>76</v>
      </c>
      <c r="D37" s="6" t="s">
        <v>22</v>
      </c>
      <c r="E37" s="6" t="n">
        <f aca="false">ROUND(6291*1.05,2)</f>
        <v>6605.55</v>
      </c>
      <c r="F37" s="6" t="s">
        <v>52</v>
      </c>
      <c r="G37" s="6" t="s">
        <v>24</v>
      </c>
      <c r="H37" s="6" t="n">
        <f aca="true">ROUND(RAND()*4+6,1)</f>
        <v>8.4</v>
      </c>
      <c r="I37" s="6" t="s">
        <v>25</v>
      </c>
      <c r="J37" s="6" t="str">
        <f aca="false">ROUND(67*1,0)&amp;"%"</f>
        <v>67%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11450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11451</v>
      </c>
      <c r="B42" s="5" t="s">
        <v>94</v>
      </c>
      <c r="C42" s="5" t="s">
        <v>95</v>
      </c>
      <c r="D42" s="5" t="s">
        <v>16</v>
      </c>
      <c r="E42" s="5" t="n">
        <f aca="false">ROUND(17371*1.05,2)</f>
        <v>18239.55</v>
      </c>
      <c r="F42" s="5" t="s">
        <v>17</v>
      </c>
      <c r="G42" s="5" t="s">
        <v>18</v>
      </c>
      <c r="H42" s="5" t="n">
        <f aca="true">ROUND(RAND()*4+6,1)</f>
        <v>6.9</v>
      </c>
      <c r="I42" s="5" t="s">
        <v>19</v>
      </c>
      <c r="J42" s="5" t="str">
        <f aca="false">ROUND(84*1,0)&amp;"%"</f>
        <v>84%</v>
      </c>
    </row>
    <row r="43" customFormat="false" ht="15" hidden="false" customHeight="false" outlineLevel="0" collapsed="false">
      <c r="A43" s="6" t="s">
        <v>11452</v>
      </c>
      <c r="B43" s="6" t="s">
        <v>97</v>
      </c>
      <c r="C43" s="6" t="s">
        <v>95</v>
      </c>
      <c r="D43" s="6" t="s">
        <v>22</v>
      </c>
      <c r="E43" s="6" t="n">
        <f aca="false">ROUND(7422*1.05,2)</f>
        <v>7793.1</v>
      </c>
      <c r="F43" s="6" t="s">
        <v>23</v>
      </c>
      <c r="G43" s="6" t="s">
        <v>24</v>
      </c>
      <c r="H43" s="6" t="n">
        <f aca="true">ROUND(RAND()*4+6,1)</f>
        <v>7.3</v>
      </c>
      <c r="I43" s="6" t="s">
        <v>25</v>
      </c>
      <c r="J43" s="6" t="str">
        <f aca="false">ROUND(86*1,0)&amp;"%"</f>
        <v>86%</v>
      </c>
    </row>
    <row r="44" customFormat="false" ht="15" hidden="false" customHeight="false" outlineLevel="0" collapsed="false">
      <c r="A44" s="5" t="s">
        <v>11453</v>
      </c>
      <c r="B44" s="5" t="s">
        <v>99</v>
      </c>
      <c r="C44" s="5" t="s">
        <v>95</v>
      </c>
      <c r="D44" s="5" t="s">
        <v>28</v>
      </c>
      <c r="E44" s="5" t="n">
        <f aca="false">ROUND(7644*1.05,2)</f>
        <v>8026.2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ROUND(88*1,0)&amp;"%"</f>
        <v>88%</v>
      </c>
    </row>
    <row r="45" customFormat="false" ht="15" hidden="false" customHeight="false" outlineLevel="0" collapsed="false">
      <c r="A45" s="6" t="s">
        <v>11454</v>
      </c>
      <c r="B45" s="6" t="s">
        <v>101</v>
      </c>
      <c r="C45" s="6" t="s">
        <v>95</v>
      </c>
      <c r="D45" s="6" t="s">
        <v>34</v>
      </c>
      <c r="E45" s="6" t="n">
        <f aca="false">ROUND(17538*1.05,2)</f>
        <v>18414.9</v>
      </c>
      <c r="F45" s="6" t="s">
        <v>35</v>
      </c>
      <c r="G45" s="6" t="s">
        <v>18</v>
      </c>
      <c r="H45" s="6" t="n">
        <f aca="true">ROUND(RAND()*4+6,1)</f>
        <v>8.5</v>
      </c>
      <c r="I45" s="6" t="s">
        <v>36</v>
      </c>
      <c r="J45" s="6" t="str">
        <f aca="false">ROUND(99*1,0)&amp;"%"</f>
        <v>99%</v>
      </c>
    </row>
    <row r="46" customFormat="false" ht="15" hidden="false" customHeight="false" outlineLevel="0" collapsed="false">
      <c r="A46" s="5" t="s">
        <v>11455</v>
      </c>
      <c r="B46" s="5" t="s">
        <v>103</v>
      </c>
      <c r="C46" s="5" t="s">
        <v>95</v>
      </c>
      <c r="D46" s="5" t="s">
        <v>39</v>
      </c>
      <c r="E46" s="5" t="n">
        <f aca="false">ROUND(4610*1.05,2)</f>
        <v>4840.5</v>
      </c>
      <c r="F46" s="5" t="s">
        <v>40</v>
      </c>
      <c r="G46" s="5" t="s">
        <v>24</v>
      </c>
      <c r="H46" s="5" t="n">
        <f aca="true">ROUND(RAND()*4+6,1)</f>
        <v>7.5</v>
      </c>
      <c r="I46" s="5" t="s">
        <v>41</v>
      </c>
      <c r="J46" s="5" t="str">
        <f aca="false">ROUND(99*1,0)&amp;"%"</f>
        <v>99%</v>
      </c>
    </row>
    <row r="47" customFormat="false" ht="15" hidden="false" customHeight="false" outlineLevel="0" collapsed="false">
      <c r="A47" s="6" t="s">
        <v>11456</v>
      </c>
      <c r="B47" s="6" t="s">
        <v>105</v>
      </c>
      <c r="C47" s="6" t="s">
        <v>95</v>
      </c>
      <c r="D47" s="6" t="s">
        <v>44</v>
      </c>
      <c r="E47" s="6" t="n">
        <f aca="false">ROUND(12134*1.05,2)</f>
        <v>12740.7</v>
      </c>
      <c r="F47" s="6" t="s">
        <v>45</v>
      </c>
      <c r="G47" s="6" t="s">
        <v>30</v>
      </c>
      <c r="H47" s="6" t="n">
        <f aca="true">ROUND(RAND()*4+6,1)</f>
        <v>6.7</v>
      </c>
      <c r="I47" s="6" t="s">
        <v>46</v>
      </c>
      <c r="J47" s="6" t="str">
        <f aca="false">ROUND(89*1,0)&amp;"%"</f>
        <v>89%</v>
      </c>
    </row>
    <row r="48" customFormat="false" ht="15" hidden="false" customHeight="false" outlineLevel="0" collapsed="false">
      <c r="A48" s="5" t="s">
        <v>11457</v>
      </c>
      <c r="B48" s="5" t="s">
        <v>107</v>
      </c>
      <c r="C48" s="5" t="s">
        <v>95</v>
      </c>
      <c r="D48" s="5" t="s">
        <v>16</v>
      </c>
      <c r="E48" s="5" t="n">
        <f aca="false">ROUND(7603*1.05,2)</f>
        <v>7983.15</v>
      </c>
      <c r="F48" s="5" t="s">
        <v>49</v>
      </c>
      <c r="G48" s="5" t="s">
        <v>18</v>
      </c>
      <c r="H48" s="5" t="n">
        <f aca="true">ROUND(RAND()*4+6,1)</f>
        <v>9.7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11458</v>
      </c>
      <c r="B49" s="6" t="s">
        <v>109</v>
      </c>
      <c r="C49" s="6" t="s">
        <v>95</v>
      </c>
      <c r="D49" s="6" t="s">
        <v>22</v>
      </c>
      <c r="E49" s="6" t="n">
        <f aca="false">ROUND(16744*1.05,2)</f>
        <v>17581.2</v>
      </c>
      <c r="F49" s="6" t="s">
        <v>52</v>
      </c>
      <c r="G49" s="6" t="s">
        <v>24</v>
      </c>
      <c r="H49" s="6" t="n">
        <f aca="true">ROUND(RAND()*4+6,1)</f>
        <v>6.2</v>
      </c>
      <c r="I49" s="6" t="s">
        <v>25</v>
      </c>
      <c r="J49" s="6" t="str">
        <f aca="false">ROUND(73*1,0)&amp;"%"</f>
        <v>73%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11459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11460</v>
      </c>
      <c r="B54" s="5" t="s">
        <v>113</v>
      </c>
      <c r="C54" s="5" t="s">
        <v>114</v>
      </c>
      <c r="D54" s="5" t="s">
        <v>16</v>
      </c>
      <c r="E54" s="5" t="n">
        <f aca="false">ROUND(16202*1.05,2)</f>
        <v>17012.1</v>
      </c>
      <c r="F54" s="5" t="s">
        <v>17</v>
      </c>
      <c r="G54" s="5" t="s">
        <v>18</v>
      </c>
      <c r="H54" s="5" t="n">
        <f aca="true">ROUND(RAND()*4+6,1)</f>
        <v>7.6</v>
      </c>
      <c r="I54" s="5" t="s">
        <v>19</v>
      </c>
      <c r="J54" s="5" t="str">
        <f aca="false">ROUND(68*1,0)&amp;"%"</f>
        <v>68%</v>
      </c>
    </row>
    <row r="55" customFormat="false" ht="15" hidden="false" customHeight="false" outlineLevel="0" collapsed="false">
      <c r="A55" s="6" t="s">
        <v>11461</v>
      </c>
      <c r="B55" s="6" t="s">
        <v>116</v>
      </c>
      <c r="C55" s="6" t="s">
        <v>114</v>
      </c>
      <c r="D55" s="6" t="s">
        <v>22</v>
      </c>
      <c r="E55" s="6" t="n">
        <f aca="false">ROUND(8576*1.05,2)</f>
        <v>9004.8</v>
      </c>
      <c r="F55" s="6" t="s">
        <v>23</v>
      </c>
      <c r="G55" s="6" t="s">
        <v>24</v>
      </c>
      <c r="H55" s="6" t="n">
        <f aca="true">ROUND(RAND()*4+6,1)</f>
        <v>9.3</v>
      </c>
      <c r="I55" s="6" t="s">
        <v>25</v>
      </c>
      <c r="J55" s="6" t="str">
        <f aca="false">ROUND(75*1,0)&amp;"%"</f>
        <v>75%</v>
      </c>
    </row>
    <row r="56" customFormat="false" ht="15" hidden="false" customHeight="false" outlineLevel="0" collapsed="false">
      <c r="A56" s="5" t="s">
        <v>11462</v>
      </c>
      <c r="B56" s="5" t="s">
        <v>118</v>
      </c>
      <c r="C56" s="5" t="s">
        <v>114</v>
      </c>
      <c r="D56" s="5" t="s">
        <v>28</v>
      </c>
      <c r="E56" s="5" t="n">
        <f aca="false">ROUND(8851*1.05,2)</f>
        <v>9293.55</v>
      </c>
      <c r="F56" s="5" t="s">
        <v>29</v>
      </c>
      <c r="G56" s="5" t="s">
        <v>30</v>
      </c>
      <c r="H56" s="5" t="n">
        <f aca="true">ROUND(RAND()*4+6,1)</f>
        <v>9.1</v>
      </c>
      <c r="I56" s="5" t="s">
        <v>31</v>
      </c>
      <c r="J56" s="5" t="str">
        <f aca="false">ROUND(84*1,0)&amp;"%"</f>
        <v>84%</v>
      </c>
    </row>
    <row r="57" customFormat="false" ht="15" hidden="false" customHeight="false" outlineLevel="0" collapsed="false">
      <c r="A57" s="6" t="s">
        <v>11463</v>
      </c>
      <c r="B57" s="6" t="s">
        <v>120</v>
      </c>
      <c r="C57" s="6" t="s">
        <v>114</v>
      </c>
      <c r="D57" s="6" t="s">
        <v>34</v>
      </c>
      <c r="E57" s="6" t="n">
        <f aca="false">ROUND(5826*1.05,2)</f>
        <v>6117.3</v>
      </c>
      <c r="F57" s="6" t="s">
        <v>35</v>
      </c>
      <c r="G57" s="6" t="s">
        <v>18</v>
      </c>
      <c r="H57" s="6" t="n">
        <f aca="true">ROUND(RAND()*4+6,1)</f>
        <v>8.5</v>
      </c>
      <c r="I57" s="6" t="s">
        <v>36</v>
      </c>
      <c r="J57" s="6" t="str">
        <f aca="false">ROUND(62*1,0)&amp;"%"</f>
        <v>62%</v>
      </c>
    </row>
    <row r="58" customFormat="false" ht="15" hidden="false" customHeight="false" outlineLevel="0" collapsed="false">
      <c r="A58" s="5" t="s">
        <v>11464</v>
      </c>
      <c r="B58" s="5" t="s">
        <v>122</v>
      </c>
      <c r="C58" s="5" t="s">
        <v>114</v>
      </c>
      <c r="D58" s="5" t="s">
        <v>39</v>
      </c>
      <c r="E58" s="5" t="n">
        <f aca="false">ROUND(11918*1.05,2)</f>
        <v>12513.9</v>
      </c>
      <c r="F58" s="5" t="s">
        <v>40</v>
      </c>
      <c r="G58" s="5" t="s">
        <v>24</v>
      </c>
      <c r="H58" s="5" t="n">
        <f aca="true">ROUND(RAND()*4+6,1)</f>
        <v>8.2</v>
      </c>
      <c r="I58" s="5" t="s">
        <v>41</v>
      </c>
      <c r="J58" s="5" t="str">
        <f aca="false">ROUND(67*1,0)&amp;"%"</f>
        <v>67%</v>
      </c>
    </row>
    <row r="59" customFormat="false" ht="15" hidden="false" customHeight="false" outlineLevel="0" collapsed="false">
      <c r="A59" s="6" t="s">
        <v>11465</v>
      </c>
      <c r="B59" s="6" t="s">
        <v>124</v>
      </c>
      <c r="C59" s="6" t="s">
        <v>114</v>
      </c>
      <c r="D59" s="6" t="s">
        <v>44</v>
      </c>
      <c r="E59" s="6" t="n">
        <f aca="false">ROUND(5060*1.05,2)</f>
        <v>5313</v>
      </c>
      <c r="F59" s="6" t="s">
        <v>45</v>
      </c>
      <c r="G59" s="6" t="s">
        <v>30</v>
      </c>
      <c r="H59" s="6" t="n">
        <f aca="true">ROUND(RAND()*4+6,1)</f>
        <v>8.2</v>
      </c>
      <c r="I59" s="6" t="s">
        <v>46</v>
      </c>
      <c r="J59" s="6" t="str">
        <f aca="false">ROUND(68*1,0)&amp;"%"</f>
        <v>68%</v>
      </c>
    </row>
    <row r="60" customFormat="false" ht="15" hidden="false" customHeight="false" outlineLevel="0" collapsed="false">
      <c r="A60" s="5" t="s">
        <v>11466</v>
      </c>
      <c r="B60" s="5" t="s">
        <v>126</v>
      </c>
      <c r="C60" s="5" t="s">
        <v>114</v>
      </c>
      <c r="D60" s="5" t="s">
        <v>16</v>
      </c>
      <c r="E60" s="5" t="n">
        <f aca="false">ROUND(4808*1.05,2)</f>
        <v>5048.4</v>
      </c>
      <c r="F60" s="5" t="s">
        <v>49</v>
      </c>
      <c r="G60" s="5" t="s">
        <v>18</v>
      </c>
      <c r="H60" s="5" t="n">
        <f aca="true">ROUND(RAND()*4+6,1)</f>
        <v>8</v>
      </c>
      <c r="I60" s="5" t="s">
        <v>19</v>
      </c>
      <c r="J60" s="5" t="str">
        <f aca="false">ROUND(81*1,0)&amp;"%"</f>
        <v>81%</v>
      </c>
    </row>
    <row r="61" customFormat="false" ht="15" hidden="false" customHeight="false" outlineLevel="0" collapsed="false">
      <c r="A61" s="6" t="s">
        <v>11467</v>
      </c>
      <c r="B61" s="6" t="s">
        <v>128</v>
      </c>
      <c r="C61" s="6" t="s">
        <v>114</v>
      </c>
      <c r="D61" s="6" t="s">
        <v>22</v>
      </c>
      <c r="E61" s="6" t="n">
        <f aca="false">ROUND(13900*1.05,2)</f>
        <v>14595</v>
      </c>
      <c r="F61" s="6" t="s">
        <v>52</v>
      </c>
      <c r="G61" s="6" t="s">
        <v>24</v>
      </c>
      <c r="H61" s="6" t="n">
        <f aca="true">ROUND(RAND()*4+6,1)</f>
        <v>6.3</v>
      </c>
      <c r="I61" s="6" t="s">
        <v>25</v>
      </c>
      <c r="J61" s="6" t="str">
        <f aca="false">ROUND(90*1,0)&amp;"%"</f>
        <v>90%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11468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11469</v>
      </c>
      <c r="B66" s="5" t="s">
        <v>132</v>
      </c>
      <c r="C66" s="5" t="s">
        <v>133</v>
      </c>
      <c r="D66" s="5" t="s">
        <v>16</v>
      </c>
      <c r="E66" s="5" t="n">
        <f aca="false">ROUND(11074*1.05,2)</f>
        <v>11627.7</v>
      </c>
      <c r="F66" s="5" t="s">
        <v>17</v>
      </c>
      <c r="G66" s="5" t="s">
        <v>18</v>
      </c>
      <c r="H66" s="5" t="n">
        <f aca="true">ROUND(RAND()*4+6,1)</f>
        <v>6.9</v>
      </c>
      <c r="I66" s="5" t="s">
        <v>19</v>
      </c>
      <c r="J66" s="5" t="str">
        <f aca="false">ROUND(84*1,0)&amp;"%"</f>
        <v>84%</v>
      </c>
    </row>
    <row r="67" customFormat="false" ht="15" hidden="false" customHeight="false" outlineLevel="0" collapsed="false">
      <c r="A67" s="6" t="s">
        <v>11470</v>
      </c>
      <c r="B67" s="6" t="s">
        <v>135</v>
      </c>
      <c r="C67" s="6" t="s">
        <v>133</v>
      </c>
      <c r="D67" s="6" t="s">
        <v>22</v>
      </c>
      <c r="E67" s="6" t="n">
        <f aca="false">ROUND(13292*1.05,2)</f>
        <v>13956.6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ROUND(65*1,0)&amp;"%"</f>
        <v>65%</v>
      </c>
    </row>
    <row r="68" customFormat="false" ht="15" hidden="false" customHeight="false" outlineLevel="0" collapsed="false">
      <c r="A68" s="5" t="s">
        <v>11471</v>
      </c>
      <c r="B68" s="5" t="s">
        <v>137</v>
      </c>
      <c r="C68" s="5" t="s">
        <v>133</v>
      </c>
      <c r="D68" s="5" t="s">
        <v>28</v>
      </c>
      <c r="E68" s="5" t="n">
        <f aca="false">ROUND(12362*1.05,2)</f>
        <v>12980.1</v>
      </c>
      <c r="F68" s="5" t="s">
        <v>29</v>
      </c>
      <c r="G68" s="5" t="s">
        <v>30</v>
      </c>
      <c r="H68" s="5" t="n">
        <f aca="true">ROUND(RAND()*4+6,1)</f>
        <v>6.8</v>
      </c>
      <c r="I68" s="5" t="s">
        <v>31</v>
      </c>
      <c r="J68" s="5" t="str">
        <f aca="false">ROUND(69*1,0)&amp;"%"</f>
        <v>69%</v>
      </c>
    </row>
    <row r="69" customFormat="false" ht="15" hidden="false" customHeight="false" outlineLevel="0" collapsed="false">
      <c r="A69" s="6" t="s">
        <v>11472</v>
      </c>
      <c r="B69" s="6" t="s">
        <v>139</v>
      </c>
      <c r="C69" s="6" t="s">
        <v>133</v>
      </c>
      <c r="D69" s="6" t="s">
        <v>34</v>
      </c>
      <c r="E69" s="6" t="n">
        <f aca="false">ROUND(9723*1.05,2)</f>
        <v>10209.15</v>
      </c>
      <c r="F69" s="6" t="s">
        <v>35</v>
      </c>
      <c r="G69" s="6" t="s">
        <v>18</v>
      </c>
      <c r="H69" s="6" t="n">
        <f aca="true">ROUND(RAND()*4+6,1)</f>
        <v>8.3</v>
      </c>
      <c r="I69" s="6" t="s">
        <v>36</v>
      </c>
      <c r="J69" s="6" t="str">
        <f aca="false">ROUND(88*1,0)&amp;"%"</f>
        <v>88%</v>
      </c>
    </row>
    <row r="70" customFormat="false" ht="15" hidden="false" customHeight="false" outlineLevel="0" collapsed="false">
      <c r="A70" s="5" t="s">
        <v>11473</v>
      </c>
      <c r="B70" s="5" t="s">
        <v>141</v>
      </c>
      <c r="C70" s="5" t="s">
        <v>133</v>
      </c>
      <c r="D70" s="5" t="s">
        <v>39</v>
      </c>
      <c r="E70" s="5" t="n">
        <f aca="false">ROUND(4620*1.05,2)</f>
        <v>4851</v>
      </c>
      <c r="F70" s="5" t="s">
        <v>40</v>
      </c>
      <c r="G70" s="5" t="s">
        <v>24</v>
      </c>
      <c r="H70" s="5" t="n">
        <f aca="true">ROUND(RAND()*4+6,1)</f>
        <v>7.5</v>
      </c>
      <c r="I70" s="5" t="s">
        <v>41</v>
      </c>
      <c r="J70" s="5" t="str">
        <f aca="false">ROUND(96*1,0)&amp;"%"</f>
        <v>96%</v>
      </c>
    </row>
    <row r="71" customFormat="false" ht="15" hidden="false" customHeight="false" outlineLevel="0" collapsed="false">
      <c r="A71" s="6" t="s">
        <v>11474</v>
      </c>
      <c r="B71" s="6" t="s">
        <v>143</v>
      </c>
      <c r="C71" s="6" t="s">
        <v>133</v>
      </c>
      <c r="D71" s="6" t="s">
        <v>44</v>
      </c>
      <c r="E71" s="6" t="n">
        <f aca="false">ROUND(13133*1.05,2)</f>
        <v>13789.65</v>
      </c>
      <c r="F71" s="6" t="s">
        <v>45</v>
      </c>
      <c r="G71" s="6" t="s">
        <v>30</v>
      </c>
      <c r="H71" s="6" t="n">
        <f aca="true">ROUND(RAND()*4+6,1)</f>
        <v>9.9</v>
      </c>
      <c r="I71" s="6" t="s">
        <v>46</v>
      </c>
      <c r="J71" s="6" t="str">
        <f aca="false">ROUND(62*1,0)&amp;"%"</f>
        <v>62%</v>
      </c>
    </row>
    <row r="72" customFormat="false" ht="15" hidden="false" customHeight="false" outlineLevel="0" collapsed="false">
      <c r="A72" s="5" t="s">
        <v>11475</v>
      </c>
      <c r="B72" s="5" t="s">
        <v>145</v>
      </c>
      <c r="C72" s="5" t="s">
        <v>133</v>
      </c>
      <c r="D72" s="5" t="s">
        <v>16</v>
      </c>
      <c r="E72" s="5" t="n">
        <f aca="false">ROUND(6260*1.05,2)</f>
        <v>6573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ROUND(80*1,0)&amp;"%"</f>
        <v>80%</v>
      </c>
    </row>
    <row r="73" customFormat="false" ht="15" hidden="false" customHeight="false" outlineLevel="0" collapsed="false">
      <c r="A73" s="6" t="s">
        <v>11476</v>
      </c>
      <c r="B73" s="6" t="s">
        <v>147</v>
      </c>
      <c r="C73" s="6" t="s">
        <v>133</v>
      </c>
      <c r="D73" s="6" t="s">
        <v>22</v>
      </c>
      <c r="E73" s="6" t="n">
        <f aca="false">ROUND(8319*1.05,2)</f>
        <v>8734.95</v>
      </c>
      <c r="F73" s="6" t="s">
        <v>52</v>
      </c>
      <c r="G73" s="6" t="s">
        <v>24</v>
      </c>
      <c r="H73" s="6" t="n">
        <f aca="true">ROUND(RAND()*4+6,1)</f>
        <v>6.2</v>
      </c>
      <c r="I73" s="6" t="s">
        <v>25</v>
      </c>
      <c r="J73" s="6" t="str">
        <f aca="false">ROUND(93*1,0)&amp;"%"</f>
        <v>93%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11477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11478</v>
      </c>
      <c r="B78" s="5" t="s">
        <v>151</v>
      </c>
      <c r="C78" s="5" t="s">
        <v>152</v>
      </c>
      <c r="D78" s="5" t="s">
        <v>16</v>
      </c>
      <c r="E78" s="5" t="n">
        <f aca="false">ROUND(17225*1.05,2)</f>
        <v>18086.25</v>
      </c>
      <c r="F78" s="5" t="s">
        <v>17</v>
      </c>
      <c r="G78" s="5" t="s">
        <v>18</v>
      </c>
      <c r="H78" s="5" t="n">
        <f aca="true">ROUND(RAND()*4+6,1)</f>
        <v>8.6</v>
      </c>
      <c r="I78" s="5" t="s">
        <v>19</v>
      </c>
      <c r="J78" s="5" t="str">
        <f aca="false">ROUND(63*1,0)&amp;"%"</f>
        <v>63%</v>
      </c>
    </row>
    <row r="79" customFormat="false" ht="15" hidden="false" customHeight="false" outlineLevel="0" collapsed="false">
      <c r="A79" s="6" t="s">
        <v>11479</v>
      </c>
      <c r="B79" s="6" t="s">
        <v>154</v>
      </c>
      <c r="C79" s="6" t="s">
        <v>152</v>
      </c>
      <c r="D79" s="6" t="s">
        <v>22</v>
      </c>
      <c r="E79" s="6" t="n">
        <f aca="false">ROUND(8860*1.05,2)</f>
        <v>9303</v>
      </c>
      <c r="F79" s="6" t="s">
        <v>23</v>
      </c>
      <c r="G79" s="6" t="s">
        <v>24</v>
      </c>
      <c r="H79" s="6" t="n">
        <f aca="true">ROUND(RAND()*4+6,1)</f>
        <v>7.2</v>
      </c>
      <c r="I79" s="6" t="s">
        <v>25</v>
      </c>
      <c r="J79" s="6" t="str">
        <f aca="false">ROUND(83*1,0)&amp;"%"</f>
        <v>83%</v>
      </c>
    </row>
    <row r="80" customFormat="false" ht="15" hidden="false" customHeight="false" outlineLevel="0" collapsed="false">
      <c r="A80" s="5" t="s">
        <v>11480</v>
      </c>
      <c r="B80" s="5" t="s">
        <v>156</v>
      </c>
      <c r="C80" s="5" t="s">
        <v>152</v>
      </c>
      <c r="D80" s="5" t="s">
        <v>28</v>
      </c>
      <c r="E80" s="5" t="n">
        <f aca="false">ROUND(10560*1.05,2)</f>
        <v>11088</v>
      </c>
      <c r="F80" s="5" t="s">
        <v>29</v>
      </c>
      <c r="G80" s="5" t="s">
        <v>30</v>
      </c>
      <c r="H80" s="5" t="n">
        <f aca="true">ROUND(RAND()*4+6,1)</f>
        <v>7</v>
      </c>
      <c r="I80" s="5" t="s">
        <v>31</v>
      </c>
      <c r="J80" s="5" t="str">
        <f aca="false">ROUND(78*1,0)&amp;"%"</f>
        <v>78%</v>
      </c>
    </row>
    <row r="81" customFormat="false" ht="15" hidden="false" customHeight="false" outlineLevel="0" collapsed="false">
      <c r="A81" s="6" t="s">
        <v>11481</v>
      </c>
      <c r="B81" s="6" t="s">
        <v>158</v>
      </c>
      <c r="C81" s="6" t="s">
        <v>152</v>
      </c>
      <c r="D81" s="6" t="s">
        <v>34</v>
      </c>
      <c r="E81" s="6" t="n">
        <f aca="false">ROUND(11758*1.05,2)</f>
        <v>12345.9</v>
      </c>
      <c r="F81" s="6" t="s">
        <v>35</v>
      </c>
      <c r="G81" s="6" t="s">
        <v>18</v>
      </c>
      <c r="H81" s="6" t="n">
        <f aca="true">ROUND(RAND()*4+6,1)</f>
        <v>7.2</v>
      </c>
      <c r="I81" s="6" t="s">
        <v>36</v>
      </c>
      <c r="J81" s="6" t="str">
        <f aca="false">ROUND(87*1,0)&amp;"%"</f>
        <v>87%</v>
      </c>
    </row>
    <row r="82" customFormat="false" ht="15" hidden="false" customHeight="false" outlineLevel="0" collapsed="false">
      <c r="A82" s="5" t="s">
        <v>11482</v>
      </c>
      <c r="B82" s="5" t="s">
        <v>160</v>
      </c>
      <c r="C82" s="5" t="s">
        <v>152</v>
      </c>
      <c r="D82" s="5" t="s">
        <v>39</v>
      </c>
      <c r="E82" s="5" t="n">
        <f aca="false">ROUND(10493*1.05,2)</f>
        <v>11017.65</v>
      </c>
      <c r="F82" s="5" t="s">
        <v>40</v>
      </c>
      <c r="G82" s="5" t="s">
        <v>24</v>
      </c>
      <c r="H82" s="5" t="n">
        <f aca="true">ROUND(RAND()*4+6,1)</f>
        <v>7.3</v>
      </c>
      <c r="I82" s="5" t="s">
        <v>41</v>
      </c>
      <c r="J82" s="5" t="str">
        <f aca="false">ROUND(78*1,0)&amp;"%"</f>
        <v>78%</v>
      </c>
    </row>
    <row r="83" customFormat="false" ht="15" hidden="false" customHeight="false" outlineLevel="0" collapsed="false">
      <c r="A83" s="6" t="s">
        <v>11483</v>
      </c>
      <c r="B83" s="6" t="s">
        <v>162</v>
      </c>
      <c r="C83" s="6" t="s">
        <v>152</v>
      </c>
      <c r="D83" s="6" t="s">
        <v>44</v>
      </c>
      <c r="E83" s="6" t="n">
        <f aca="false">ROUND(16336*1.05,2)</f>
        <v>17152.8</v>
      </c>
      <c r="F83" s="6" t="s">
        <v>45</v>
      </c>
      <c r="G83" s="6" t="s">
        <v>30</v>
      </c>
      <c r="H83" s="6" t="n">
        <f aca="true">ROUND(RAND()*4+6,1)</f>
        <v>8.3</v>
      </c>
      <c r="I83" s="6" t="s">
        <v>46</v>
      </c>
      <c r="J83" s="6" t="str">
        <f aca="false">ROUND(68*1,0)&amp;"%"</f>
        <v>68%</v>
      </c>
    </row>
    <row r="84" customFormat="false" ht="15" hidden="false" customHeight="false" outlineLevel="0" collapsed="false">
      <c r="A84" s="5" t="s">
        <v>11484</v>
      </c>
      <c r="B84" s="5" t="s">
        <v>164</v>
      </c>
      <c r="C84" s="5" t="s">
        <v>152</v>
      </c>
      <c r="D84" s="5" t="s">
        <v>16</v>
      </c>
      <c r="E84" s="5" t="n">
        <f aca="false">ROUND(4533*1.05,2)</f>
        <v>4759.65</v>
      </c>
      <c r="F84" s="5" t="s">
        <v>49</v>
      </c>
      <c r="G84" s="5" t="s">
        <v>18</v>
      </c>
      <c r="H84" s="5" t="n">
        <f aca="true">ROUND(RAND()*4+6,1)</f>
        <v>8.8</v>
      </c>
      <c r="I84" s="5" t="s">
        <v>19</v>
      </c>
      <c r="J84" s="5" t="str">
        <f aca="false">ROUND(73*1,0)&amp;"%"</f>
        <v>73%</v>
      </c>
    </row>
    <row r="85" customFormat="false" ht="15" hidden="false" customHeight="false" outlineLevel="0" collapsed="false">
      <c r="A85" s="6" t="s">
        <v>11485</v>
      </c>
      <c r="B85" s="6" t="s">
        <v>166</v>
      </c>
      <c r="C85" s="6" t="s">
        <v>152</v>
      </c>
      <c r="D85" s="6" t="s">
        <v>22</v>
      </c>
      <c r="E85" s="6" t="n">
        <f aca="false">ROUND(6282*1.05,2)</f>
        <v>6596.1</v>
      </c>
      <c r="F85" s="6" t="s">
        <v>52</v>
      </c>
      <c r="G85" s="6" t="s">
        <v>24</v>
      </c>
      <c r="H85" s="6" t="n">
        <f aca="true">ROUND(RAND()*4+6,1)</f>
        <v>7.1</v>
      </c>
      <c r="I85" s="6" t="s">
        <v>25</v>
      </c>
      <c r="J85" s="6" t="str">
        <f aca="false">ROUND(87*1,0)&amp;"%"</f>
        <v>87%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11486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11487</v>
      </c>
      <c r="B90" s="5" t="s">
        <v>170</v>
      </c>
      <c r="C90" s="5" t="s">
        <v>15</v>
      </c>
      <c r="D90" s="5" t="s">
        <v>16</v>
      </c>
      <c r="E90" s="5" t="n">
        <f aca="false">ROUND(9061*1.05,2)</f>
        <v>9514.05</v>
      </c>
      <c r="F90" s="5" t="s">
        <v>17</v>
      </c>
      <c r="G90" s="5" t="s">
        <v>18</v>
      </c>
      <c r="H90" s="5" t="n">
        <f aca="true">ROUND(RAND()*4+6,1)</f>
        <v>7.5</v>
      </c>
      <c r="I90" s="5" t="s">
        <v>19</v>
      </c>
      <c r="J90" s="5" t="str">
        <f aca="false">ROUND(74*1,0)&amp;"%"</f>
        <v>74%</v>
      </c>
    </row>
    <row r="91" customFormat="false" ht="15" hidden="false" customHeight="false" outlineLevel="0" collapsed="false">
      <c r="A91" s="6" t="s">
        <v>11488</v>
      </c>
      <c r="B91" s="6" t="s">
        <v>172</v>
      </c>
      <c r="C91" s="6" t="s">
        <v>15</v>
      </c>
      <c r="D91" s="6" t="s">
        <v>22</v>
      </c>
      <c r="E91" s="6" t="n">
        <f aca="false">ROUND(9261*1.05,2)</f>
        <v>9724.05</v>
      </c>
      <c r="F91" s="6" t="s">
        <v>23</v>
      </c>
      <c r="G91" s="6" t="s">
        <v>24</v>
      </c>
      <c r="H91" s="6" t="n">
        <f aca="true">ROUND(RAND()*4+6,1)</f>
        <v>9.2</v>
      </c>
      <c r="I91" s="6" t="s">
        <v>25</v>
      </c>
      <c r="J91" s="6" t="str">
        <f aca="false">ROUND(86*1,0)&amp;"%"</f>
        <v>86%</v>
      </c>
    </row>
    <row r="92" customFormat="false" ht="15" hidden="false" customHeight="false" outlineLevel="0" collapsed="false">
      <c r="A92" s="5" t="s">
        <v>11489</v>
      </c>
      <c r="B92" s="5" t="s">
        <v>174</v>
      </c>
      <c r="C92" s="5" t="s">
        <v>15</v>
      </c>
      <c r="D92" s="5" t="s">
        <v>28</v>
      </c>
      <c r="E92" s="5" t="n">
        <f aca="false">ROUND(13788*1.05,2)</f>
        <v>14477.4</v>
      </c>
      <c r="F92" s="5" t="s">
        <v>29</v>
      </c>
      <c r="G92" s="5" t="s">
        <v>30</v>
      </c>
      <c r="H92" s="5" t="n">
        <f aca="true">ROUND(RAND()*4+6,1)</f>
        <v>6.7</v>
      </c>
      <c r="I92" s="5" t="s">
        <v>31</v>
      </c>
      <c r="J92" s="5" t="str">
        <f aca="false">ROUND(69*1,0)&amp;"%"</f>
        <v>69%</v>
      </c>
    </row>
    <row r="93" customFormat="false" ht="15" hidden="false" customHeight="false" outlineLevel="0" collapsed="false">
      <c r="A93" s="6" t="s">
        <v>11490</v>
      </c>
      <c r="B93" s="6" t="s">
        <v>176</v>
      </c>
      <c r="C93" s="6" t="s">
        <v>15</v>
      </c>
      <c r="D93" s="6" t="s">
        <v>34</v>
      </c>
      <c r="E93" s="6" t="n">
        <f aca="false">ROUND(12538*1.05,2)</f>
        <v>13164.9</v>
      </c>
      <c r="F93" s="6" t="s">
        <v>35</v>
      </c>
      <c r="G93" s="6" t="s">
        <v>18</v>
      </c>
      <c r="H93" s="6" t="n">
        <f aca="true">ROUND(RAND()*4+6,1)</f>
        <v>9.3</v>
      </c>
      <c r="I93" s="6" t="s">
        <v>36</v>
      </c>
      <c r="J93" s="6" t="str">
        <f aca="false">ROUND(98*1,0)&amp;"%"</f>
        <v>98%</v>
      </c>
    </row>
    <row r="94" customFormat="false" ht="15" hidden="false" customHeight="false" outlineLevel="0" collapsed="false">
      <c r="A94" s="5" t="s">
        <v>11491</v>
      </c>
      <c r="B94" s="5" t="s">
        <v>178</v>
      </c>
      <c r="C94" s="5" t="s">
        <v>15</v>
      </c>
      <c r="D94" s="5" t="s">
        <v>39</v>
      </c>
      <c r="E94" s="5" t="n">
        <f aca="false">ROUND(5412*1.05,2)</f>
        <v>5682.6</v>
      </c>
      <c r="F94" s="5" t="s">
        <v>40</v>
      </c>
      <c r="G94" s="5" t="s">
        <v>24</v>
      </c>
      <c r="H94" s="5" t="n">
        <f aca="true">ROUND(RAND()*4+6,1)</f>
        <v>7</v>
      </c>
      <c r="I94" s="5" t="s">
        <v>41</v>
      </c>
      <c r="J94" s="5" t="str">
        <f aca="false">ROUND(60*1,0)&amp;"%"</f>
        <v>60%</v>
      </c>
    </row>
    <row r="95" customFormat="false" ht="15" hidden="false" customHeight="false" outlineLevel="0" collapsed="false">
      <c r="A95" s="6" t="s">
        <v>11492</v>
      </c>
      <c r="B95" s="6" t="s">
        <v>180</v>
      </c>
      <c r="C95" s="6" t="s">
        <v>15</v>
      </c>
      <c r="D95" s="6" t="s">
        <v>44</v>
      </c>
      <c r="E95" s="6" t="n">
        <f aca="false">ROUND(10762*1.05,2)</f>
        <v>11300.1</v>
      </c>
      <c r="F95" s="6" t="s">
        <v>45</v>
      </c>
      <c r="G95" s="6" t="s">
        <v>30</v>
      </c>
      <c r="H95" s="6" t="n">
        <f aca="true">ROUND(RAND()*4+6,1)</f>
        <v>9.9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11493</v>
      </c>
      <c r="B96" s="5" t="s">
        <v>182</v>
      </c>
      <c r="C96" s="5" t="s">
        <v>15</v>
      </c>
      <c r="D96" s="5" t="s">
        <v>16</v>
      </c>
      <c r="E96" s="5" t="n">
        <f aca="false">ROUND(16286*1.05,2)</f>
        <v>17100.3</v>
      </c>
      <c r="F96" s="5" t="s">
        <v>49</v>
      </c>
      <c r="G96" s="5" t="s">
        <v>18</v>
      </c>
      <c r="H96" s="5" t="n">
        <f aca="true">ROUND(RAND()*4+6,1)</f>
        <v>7.7</v>
      </c>
      <c r="I96" s="5" t="s">
        <v>19</v>
      </c>
      <c r="J96" s="5" t="str">
        <f aca="false">ROUND(89*1,0)&amp;"%"</f>
        <v>89%</v>
      </c>
    </row>
    <row r="97" customFormat="false" ht="15" hidden="false" customHeight="false" outlineLevel="0" collapsed="false">
      <c r="A97" s="6" t="s">
        <v>11494</v>
      </c>
      <c r="B97" s="6" t="s">
        <v>184</v>
      </c>
      <c r="C97" s="6" t="s">
        <v>15</v>
      </c>
      <c r="D97" s="6" t="s">
        <v>22</v>
      </c>
      <c r="E97" s="6" t="n">
        <f aca="false">ROUND(10638*1.05,2)</f>
        <v>11169.9</v>
      </c>
      <c r="F97" s="6" t="s">
        <v>52</v>
      </c>
      <c r="G97" s="6" t="s">
        <v>24</v>
      </c>
      <c r="H97" s="6" t="n">
        <f aca="true">ROUND(RAND()*4+6,1)</f>
        <v>8.3</v>
      </c>
      <c r="I97" s="6" t="s">
        <v>25</v>
      </c>
      <c r="J97" s="6" t="str">
        <f aca="false">ROUND(72*1,0)&amp;"%"</f>
        <v>72%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11495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11496</v>
      </c>
      <c r="B102" s="5" t="s">
        <v>188</v>
      </c>
      <c r="C102" s="5" t="s">
        <v>57</v>
      </c>
      <c r="D102" s="5" t="s">
        <v>16</v>
      </c>
      <c r="E102" s="5" t="n">
        <f aca="false">ROUND(8510*1.05,2)</f>
        <v>8935.5</v>
      </c>
      <c r="F102" s="5" t="s">
        <v>17</v>
      </c>
      <c r="G102" s="5" t="s">
        <v>18</v>
      </c>
      <c r="H102" s="5" t="n">
        <f aca="true">ROUND(RAND()*4+6,1)</f>
        <v>7.8</v>
      </c>
      <c r="I102" s="5" t="s">
        <v>19</v>
      </c>
      <c r="J102" s="5" t="str">
        <f aca="false">ROUND(70*1,0)&amp;"%"</f>
        <v>70%</v>
      </c>
    </row>
    <row r="103" customFormat="false" ht="15" hidden="false" customHeight="false" outlineLevel="0" collapsed="false">
      <c r="A103" s="6" t="s">
        <v>11497</v>
      </c>
      <c r="B103" s="6" t="s">
        <v>190</v>
      </c>
      <c r="C103" s="6" t="s">
        <v>57</v>
      </c>
      <c r="D103" s="6" t="s">
        <v>22</v>
      </c>
      <c r="E103" s="6" t="n">
        <f aca="false">ROUND(13005*1.05,2)</f>
        <v>13655.25</v>
      </c>
      <c r="F103" s="6" t="s">
        <v>23</v>
      </c>
      <c r="G103" s="6" t="s">
        <v>24</v>
      </c>
      <c r="H103" s="6" t="n">
        <f aca="true">ROUND(RAND()*4+6,1)</f>
        <v>8</v>
      </c>
      <c r="I103" s="6" t="s">
        <v>25</v>
      </c>
      <c r="J103" s="6" t="str">
        <f aca="false">ROUND(74*1,0)&amp;"%"</f>
        <v>74%</v>
      </c>
    </row>
    <row r="104" customFormat="false" ht="15" hidden="false" customHeight="false" outlineLevel="0" collapsed="false">
      <c r="A104" s="5" t="s">
        <v>11498</v>
      </c>
      <c r="B104" s="5" t="s">
        <v>192</v>
      </c>
      <c r="C104" s="5" t="s">
        <v>57</v>
      </c>
      <c r="D104" s="5" t="s">
        <v>28</v>
      </c>
      <c r="E104" s="5" t="n">
        <f aca="false">ROUND(6967*1.05,2)</f>
        <v>7315.35</v>
      </c>
      <c r="F104" s="5" t="s">
        <v>29</v>
      </c>
      <c r="G104" s="5" t="s">
        <v>30</v>
      </c>
      <c r="H104" s="5" t="n">
        <f aca="true">ROUND(RAND()*4+6,1)</f>
        <v>7.5</v>
      </c>
      <c r="I104" s="5" t="s">
        <v>31</v>
      </c>
      <c r="J104" s="5" t="str">
        <f aca="false">ROUND(80*1,0)&amp;"%"</f>
        <v>80%</v>
      </c>
    </row>
    <row r="105" customFormat="false" ht="15" hidden="false" customHeight="false" outlineLevel="0" collapsed="false">
      <c r="A105" s="6" t="s">
        <v>11499</v>
      </c>
      <c r="B105" s="6" t="s">
        <v>194</v>
      </c>
      <c r="C105" s="6" t="s">
        <v>57</v>
      </c>
      <c r="D105" s="6" t="s">
        <v>34</v>
      </c>
      <c r="E105" s="6" t="n">
        <f aca="false">ROUND(10484*1.05,2)</f>
        <v>11008.2</v>
      </c>
      <c r="F105" s="6" t="s">
        <v>35</v>
      </c>
      <c r="G105" s="6" t="s">
        <v>18</v>
      </c>
      <c r="H105" s="6" t="n">
        <f aca="true">ROUND(RAND()*4+6,1)</f>
        <v>6.1</v>
      </c>
      <c r="I105" s="6" t="s">
        <v>36</v>
      </c>
      <c r="J105" s="6" t="str">
        <f aca="false">ROUND(94*1,0)&amp;"%"</f>
        <v>94%</v>
      </c>
    </row>
    <row r="106" customFormat="false" ht="15" hidden="false" customHeight="false" outlineLevel="0" collapsed="false">
      <c r="A106" s="5" t="s">
        <v>11500</v>
      </c>
      <c r="B106" s="5" t="s">
        <v>196</v>
      </c>
      <c r="C106" s="5" t="s">
        <v>57</v>
      </c>
      <c r="D106" s="5" t="s">
        <v>39</v>
      </c>
      <c r="E106" s="5" t="n">
        <f aca="false">ROUND(16628*1.05,2)</f>
        <v>17459.4</v>
      </c>
      <c r="F106" s="5" t="s">
        <v>40</v>
      </c>
      <c r="G106" s="5" t="s">
        <v>24</v>
      </c>
      <c r="H106" s="5" t="n">
        <f aca="true">ROUND(RAND()*4+6,1)</f>
        <v>6.8</v>
      </c>
      <c r="I106" s="5" t="s">
        <v>41</v>
      </c>
      <c r="J106" s="5" t="str">
        <f aca="false">ROUND(76*1,0)&amp;"%"</f>
        <v>76%</v>
      </c>
    </row>
    <row r="107" customFormat="false" ht="15" hidden="false" customHeight="false" outlineLevel="0" collapsed="false">
      <c r="A107" s="6" t="s">
        <v>11501</v>
      </c>
      <c r="B107" s="6" t="s">
        <v>198</v>
      </c>
      <c r="C107" s="6" t="s">
        <v>57</v>
      </c>
      <c r="D107" s="6" t="s">
        <v>44</v>
      </c>
      <c r="E107" s="6" t="n">
        <f aca="false">ROUND(11193*1.05,2)</f>
        <v>11752.65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ROUND(71*1,0)&amp;"%"</f>
        <v>71%</v>
      </c>
    </row>
    <row r="108" customFormat="false" ht="15" hidden="false" customHeight="false" outlineLevel="0" collapsed="false">
      <c r="A108" s="5" t="s">
        <v>11502</v>
      </c>
      <c r="B108" s="5" t="s">
        <v>200</v>
      </c>
      <c r="C108" s="5" t="s">
        <v>57</v>
      </c>
      <c r="D108" s="5" t="s">
        <v>16</v>
      </c>
      <c r="E108" s="5" t="n">
        <f aca="false">ROUND(8450*1.05,2)</f>
        <v>8872.5</v>
      </c>
      <c r="F108" s="5" t="s">
        <v>49</v>
      </c>
      <c r="G108" s="5" t="s">
        <v>18</v>
      </c>
      <c r="H108" s="5" t="n">
        <f aca="true">ROUND(RAND()*4+6,1)</f>
        <v>6.2</v>
      </c>
      <c r="I108" s="5" t="s">
        <v>19</v>
      </c>
      <c r="J108" s="5" t="str">
        <f aca="false">ROUND(90*1,0)&amp;"%"</f>
        <v>90%</v>
      </c>
    </row>
    <row r="109" customFormat="false" ht="15" hidden="false" customHeight="false" outlineLevel="0" collapsed="false">
      <c r="A109" s="6" t="s">
        <v>11503</v>
      </c>
      <c r="B109" s="6" t="s">
        <v>202</v>
      </c>
      <c r="C109" s="6" t="s">
        <v>57</v>
      </c>
      <c r="D109" s="6" t="s">
        <v>22</v>
      </c>
      <c r="E109" s="6" t="n">
        <f aca="false">ROUND(13794*1.05,2)</f>
        <v>14483.7</v>
      </c>
      <c r="F109" s="6" t="s">
        <v>52</v>
      </c>
      <c r="G109" s="6" t="s">
        <v>24</v>
      </c>
      <c r="H109" s="6" t="n">
        <f aca="true">ROUND(RAND()*4+6,1)</f>
        <v>8.5</v>
      </c>
      <c r="I109" s="6" t="s">
        <v>25</v>
      </c>
      <c r="J109" s="6" t="str">
        <f aca="false">ROUND(95*1,0)&amp;"%"</f>
        <v>95%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11504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11505</v>
      </c>
      <c r="B114" s="5" t="s">
        <v>206</v>
      </c>
      <c r="C114" s="5" t="s">
        <v>76</v>
      </c>
      <c r="D114" s="5" t="s">
        <v>16</v>
      </c>
      <c r="E114" s="5" t="n">
        <f aca="false">ROUND(7059*1.05,2)</f>
        <v>7411.95</v>
      </c>
      <c r="F114" s="5" t="s">
        <v>17</v>
      </c>
      <c r="G114" s="5" t="s">
        <v>18</v>
      </c>
      <c r="H114" s="5" t="n">
        <f aca="true">ROUND(RAND()*4+6,1)</f>
        <v>7.5</v>
      </c>
      <c r="I114" s="5" t="s">
        <v>19</v>
      </c>
      <c r="J114" s="5" t="str">
        <f aca="false">ROUND(84*1,0)&amp;"%"</f>
        <v>84%</v>
      </c>
    </row>
    <row r="115" customFormat="false" ht="15" hidden="false" customHeight="false" outlineLevel="0" collapsed="false">
      <c r="A115" s="6" t="s">
        <v>11506</v>
      </c>
      <c r="B115" s="6" t="s">
        <v>208</v>
      </c>
      <c r="C115" s="6" t="s">
        <v>76</v>
      </c>
      <c r="D115" s="6" t="s">
        <v>22</v>
      </c>
      <c r="E115" s="6" t="n">
        <f aca="false">ROUND(11885*1.05,2)</f>
        <v>12479.25</v>
      </c>
      <c r="F115" s="6" t="s">
        <v>23</v>
      </c>
      <c r="G115" s="6" t="s">
        <v>24</v>
      </c>
      <c r="H115" s="6" t="n">
        <f aca="true">ROUND(RAND()*4+6,1)</f>
        <v>9.8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11507</v>
      </c>
      <c r="B116" s="5" t="s">
        <v>210</v>
      </c>
      <c r="C116" s="5" t="s">
        <v>76</v>
      </c>
      <c r="D116" s="5" t="s">
        <v>28</v>
      </c>
      <c r="E116" s="5" t="n">
        <f aca="false">ROUND(5794*1.05,2)</f>
        <v>6083.7</v>
      </c>
      <c r="F116" s="5" t="s">
        <v>29</v>
      </c>
      <c r="G116" s="5" t="s">
        <v>30</v>
      </c>
      <c r="H116" s="5" t="n">
        <f aca="true">ROUND(RAND()*4+6,1)</f>
        <v>8</v>
      </c>
      <c r="I116" s="5" t="s">
        <v>31</v>
      </c>
      <c r="J116" s="5" t="str">
        <f aca="false">ROUND(80*1,0)&amp;"%"</f>
        <v>80%</v>
      </c>
    </row>
    <row r="117" customFormat="false" ht="15" hidden="false" customHeight="false" outlineLevel="0" collapsed="false">
      <c r="A117" s="6" t="s">
        <v>11508</v>
      </c>
      <c r="B117" s="6" t="s">
        <v>212</v>
      </c>
      <c r="C117" s="6" t="s">
        <v>76</v>
      </c>
      <c r="D117" s="6" t="s">
        <v>34</v>
      </c>
      <c r="E117" s="6" t="n">
        <f aca="false">ROUND(16034*1.05,2)</f>
        <v>16835.7</v>
      </c>
      <c r="F117" s="6" t="s">
        <v>35</v>
      </c>
      <c r="G117" s="6" t="s">
        <v>18</v>
      </c>
      <c r="H117" s="6" t="n">
        <f aca="true">ROUND(RAND()*4+6,1)</f>
        <v>9.6</v>
      </c>
      <c r="I117" s="6" t="s">
        <v>36</v>
      </c>
      <c r="J117" s="6" t="str">
        <f aca="false">ROUND(98*1,0)&amp;"%"</f>
        <v>98%</v>
      </c>
    </row>
    <row r="118" customFormat="false" ht="15" hidden="false" customHeight="false" outlineLevel="0" collapsed="false">
      <c r="A118" s="5" t="s">
        <v>11509</v>
      </c>
      <c r="B118" s="5" t="s">
        <v>214</v>
      </c>
      <c r="C118" s="5" t="s">
        <v>76</v>
      </c>
      <c r="D118" s="5" t="s">
        <v>39</v>
      </c>
      <c r="E118" s="5" t="n">
        <f aca="false">ROUND(9635*1.05,2)</f>
        <v>10116.75</v>
      </c>
      <c r="F118" s="5" t="s">
        <v>40</v>
      </c>
      <c r="G118" s="5" t="s">
        <v>24</v>
      </c>
      <c r="H118" s="5" t="n">
        <f aca="true">ROUND(RAND()*4+6,1)</f>
        <v>9.1</v>
      </c>
      <c r="I118" s="5" t="s">
        <v>41</v>
      </c>
      <c r="J118" s="5" t="str">
        <f aca="false">ROUND(65*1,0)&amp;"%"</f>
        <v>65%</v>
      </c>
    </row>
    <row r="119" customFormat="false" ht="15" hidden="false" customHeight="false" outlineLevel="0" collapsed="false">
      <c r="A119" s="6" t="s">
        <v>11510</v>
      </c>
      <c r="B119" s="6" t="s">
        <v>216</v>
      </c>
      <c r="C119" s="6" t="s">
        <v>76</v>
      </c>
      <c r="D119" s="6" t="s">
        <v>44</v>
      </c>
      <c r="E119" s="6" t="n">
        <f aca="false">ROUND(16955*1.05,2)</f>
        <v>17802.75</v>
      </c>
      <c r="F119" s="6" t="s">
        <v>45</v>
      </c>
      <c r="G119" s="6" t="s">
        <v>30</v>
      </c>
      <c r="H119" s="6" t="n">
        <f aca="true">ROUND(RAND()*4+6,1)</f>
        <v>6.7</v>
      </c>
      <c r="I119" s="6" t="s">
        <v>46</v>
      </c>
      <c r="J119" s="6" t="str">
        <f aca="false">ROUND(85*1,0)&amp;"%"</f>
        <v>85%</v>
      </c>
    </row>
    <row r="120" customFormat="false" ht="15" hidden="false" customHeight="false" outlineLevel="0" collapsed="false">
      <c r="A120" s="5" t="s">
        <v>11511</v>
      </c>
      <c r="B120" s="5" t="s">
        <v>218</v>
      </c>
      <c r="C120" s="5" t="s">
        <v>76</v>
      </c>
      <c r="D120" s="5" t="s">
        <v>16</v>
      </c>
      <c r="E120" s="5" t="n">
        <f aca="false">ROUND(15330*1.05,2)</f>
        <v>16096.5</v>
      </c>
      <c r="F120" s="5" t="s">
        <v>49</v>
      </c>
      <c r="G120" s="5" t="s">
        <v>18</v>
      </c>
      <c r="H120" s="5" t="n">
        <f aca="true">ROUND(RAND()*4+6,1)</f>
        <v>6.7</v>
      </c>
      <c r="I120" s="5" t="s">
        <v>19</v>
      </c>
      <c r="J120" s="5" t="str">
        <f aca="false">ROUND(75*1,0)&amp;"%"</f>
        <v>75%</v>
      </c>
    </row>
    <row r="121" customFormat="false" ht="15" hidden="false" customHeight="false" outlineLevel="0" collapsed="false">
      <c r="A121" s="6" t="s">
        <v>11512</v>
      </c>
      <c r="B121" s="6" t="s">
        <v>220</v>
      </c>
      <c r="C121" s="6" t="s">
        <v>76</v>
      </c>
      <c r="D121" s="6" t="s">
        <v>22</v>
      </c>
      <c r="E121" s="6" t="n">
        <f aca="false">ROUND(14404*1.05,2)</f>
        <v>15124.2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11513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11514</v>
      </c>
      <c r="B126" s="5" t="s">
        <v>224</v>
      </c>
      <c r="C126" s="5" t="s">
        <v>95</v>
      </c>
      <c r="D126" s="5" t="s">
        <v>16</v>
      </c>
      <c r="E126" s="5" t="n">
        <f aca="false">ROUND(11255*1.05,2)</f>
        <v>11817.75</v>
      </c>
      <c r="F126" s="5" t="s">
        <v>17</v>
      </c>
      <c r="G126" s="5" t="s">
        <v>18</v>
      </c>
      <c r="H126" s="5" t="n">
        <f aca="true">ROUND(RAND()*4+6,1)</f>
        <v>8.4</v>
      </c>
      <c r="I126" s="5" t="s">
        <v>19</v>
      </c>
      <c r="J126" s="5" t="str">
        <f aca="false">ROUND(88*1,0)&amp;"%"</f>
        <v>88%</v>
      </c>
    </row>
    <row r="127" customFormat="false" ht="15" hidden="false" customHeight="false" outlineLevel="0" collapsed="false">
      <c r="A127" s="6" t="s">
        <v>11515</v>
      </c>
      <c r="B127" s="6" t="s">
        <v>226</v>
      </c>
      <c r="C127" s="6" t="s">
        <v>95</v>
      </c>
      <c r="D127" s="6" t="s">
        <v>22</v>
      </c>
      <c r="E127" s="6" t="n">
        <f aca="false">ROUND(6173*1.05,2)</f>
        <v>6481.65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ROUND(97*1,0)&amp;"%"</f>
        <v>97%</v>
      </c>
    </row>
    <row r="128" customFormat="false" ht="15" hidden="false" customHeight="false" outlineLevel="0" collapsed="false">
      <c r="A128" s="5" t="s">
        <v>11516</v>
      </c>
      <c r="B128" s="5" t="s">
        <v>228</v>
      </c>
      <c r="C128" s="5" t="s">
        <v>95</v>
      </c>
      <c r="D128" s="5" t="s">
        <v>28</v>
      </c>
      <c r="E128" s="5" t="n">
        <f aca="false">ROUND(13003*1.05,2)</f>
        <v>13653.15</v>
      </c>
      <c r="F128" s="5" t="s">
        <v>29</v>
      </c>
      <c r="G128" s="5" t="s">
        <v>30</v>
      </c>
      <c r="H128" s="5" t="n">
        <f aca="true">ROUND(RAND()*4+6,1)</f>
        <v>6.2</v>
      </c>
      <c r="I128" s="5" t="s">
        <v>31</v>
      </c>
      <c r="J128" s="5" t="str">
        <f aca="false">ROUND(72*1,0)&amp;"%"</f>
        <v>72%</v>
      </c>
    </row>
    <row r="129" customFormat="false" ht="15" hidden="false" customHeight="false" outlineLevel="0" collapsed="false">
      <c r="A129" s="6" t="s">
        <v>11517</v>
      </c>
      <c r="B129" s="6" t="s">
        <v>230</v>
      </c>
      <c r="C129" s="6" t="s">
        <v>95</v>
      </c>
      <c r="D129" s="6" t="s">
        <v>34</v>
      </c>
      <c r="E129" s="6" t="n">
        <f aca="false">ROUND(16251*1.05,2)</f>
        <v>17063.55</v>
      </c>
      <c r="F129" s="6" t="s">
        <v>35</v>
      </c>
      <c r="G129" s="6" t="s">
        <v>18</v>
      </c>
      <c r="H129" s="6" t="n">
        <f aca="true">ROUND(RAND()*4+6,1)</f>
        <v>9.8</v>
      </c>
      <c r="I129" s="6" t="s">
        <v>36</v>
      </c>
      <c r="J129" s="6" t="str">
        <f aca="false">ROUND(88*1,0)&amp;"%"</f>
        <v>88%</v>
      </c>
    </row>
    <row r="130" customFormat="false" ht="15" hidden="false" customHeight="false" outlineLevel="0" collapsed="false">
      <c r="A130" s="5" t="s">
        <v>11518</v>
      </c>
      <c r="B130" s="5" t="s">
        <v>232</v>
      </c>
      <c r="C130" s="5" t="s">
        <v>95</v>
      </c>
      <c r="D130" s="5" t="s">
        <v>39</v>
      </c>
      <c r="E130" s="5" t="n">
        <f aca="false">ROUND(4562*1.05,2)</f>
        <v>4790.1</v>
      </c>
      <c r="F130" s="5" t="s">
        <v>40</v>
      </c>
      <c r="G130" s="5" t="s">
        <v>24</v>
      </c>
      <c r="H130" s="5" t="n">
        <f aca="true">ROUND(RAND()*4+6,1)</f>
        <v>7.2</v>
      </c>
      <c r="I130" s="5" t="s">
        <v>41</v>
      </c>
      <c r="J130" s="5" t="str">
        <f aca="false">ROUND(74*1,0)&amp;"%"</f>
        <v>74%</v>
      </c>
    </row>
    <row r="131" customFormat="false" ht="15" hidden="false" customHeight="false" outlineLevel="0" collapsed="false">
      <c r="A131" s="6" t="s">
        <v>11519</v>
      </c>
      <c r="B131" s="6" t="s">
        <v>234</v>
      </c>
      <c r="C131" s="6" t="s">
        <v>95</v>
      </c>
      <c r="D131" s="6" t="s">
        <v>44</v>
      </c>
      <c r="E131" s="6" t="n">
        <f aca="false">ROUND(15493*1.05,2)</f>
        <v>16267.65</v>
      </c>
      <c r="F131" s="6" t="s">
        <v>45</v>
      </c>
      <c r="G131" s="6" t="s">
        <v>30</v>
      </c>
      <c r="H131" s="6" t="n">
        <f aca="true">ROUND(RAND()*4+6,1)</f>
        <v>8.8</v>
      </c>
      <c r="I131" s="6" t="s">
        <v>46</v>
      </c>
      <c r="J131" s="6" t="str">
        <f aca="false">ROUND(91*1,0)&amp;"%"</f>
        <v>91%</v>
      </c>
    </row>
    <row r="132" customFormat="false" ht="15" hidden="false" customHeight="false" outlineLevel="0" collapsed="false">
      <c r="A132" s="5" t="s">
        <v>11520</v>
      </c>
      <c r="B132" s="5" t="s">
        <v>236</v>
      </c>
      <c r="C132" s="5" t="s">
        <v>95</v>
      </c>
      <c r="D132" s="5" t="s">
        <v>16</v>
      </c>
      <c r="E132" s="5" t="n">
        <f aca="false">ROUND(7521*1.05,2)</f>
        <v>7897.05</v>
      </c>
      <c r="F132" s="5" t="s">
        <v>49</v>
      </c>
      <c r="G132" s="5" t="s">
        <v>18</v>
      </c>
      <c r="H132" s="5" t="n">
        <f aca="true">ROUND(RAND()*4+6,1)</f>
        <v>8.7</v>
      </c>
      <c r="I132" s="5" t="s">
        <v>19</v>
      </c>
      <c r="J132" s="5" t="str">
        <f aca="false">ROUND(98*1,0)&amp;"%"</f>
        <v>98%</v>
      </c>
    </row>
    <row r="133" customFormat="false" ht="15" hidden="false" customHeight="false" outlineLevel="0" collapsed="false">
      <c r="A133" s="6" t="s">
        <v>11521</v>
      </c>
      <c r="B133" s="6" t="s">
        <v>238</v>
      </c>
      <c r="C133" s="6" t="s">
        <v>95</v>
      </c>
      <c r="D133" s="6" t="s">
        <v>22</v>
      </c>
      <c r="E133" s="6" t="n">
        <f aca="false">ROUND(16458*1.05,2)</f>
        <v>17280.9</v>
      </c>
      <c r="F133" s="6" t="s">
        <v>52</v>
      </c>
      <c r="G133" s="6" t="s">
        <v>24</v>
      </c>
      <c r="H133" s="6" t="n">
        <f aca="true">ROUND(RAND()*4+6,1)</f>
        <v>9.8</v>
      </c>
      <c r="I133" s="6" t="s">
        <v>25</v>
      </c>
      <c r="J133" s="6" t="str">
        <f aca="false">ROUND(64*1,0)&amp;"%"</f>
        <v>64%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11522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11523</v>
      </c>
      <c r="B138" s="5" t="s">
        <v>242</v>
      </c>
      <c r="C138" s="5" t="s">
        <v>114</v>
      </c>
      <c r="D138" s="5" t="s">
        <v>16</v>
      </c>
      <c r="E138" s="5" t="n">
        <f aca="false">ROUND(7995*1.05,2)</f>
        <v>8394.75</v>
      </c>
      <c r="F138" s="5" t="s">
        <v>17</v>
      </c>
      <c r="G138" s="5" t="s">
        <v>18</v>
      </c>
      <c r="H138" s="5" t="n">
        <f aca="true">ROUND(RAND()*4+6,1)</f>
        <v>7.4</v>
      </c>
      <c r="I138" s="5" t="s">
        <v>19</v>
      </c>
      <c r="J138" s="5" t="str">
        <f aca="false">ROUND(74*1,0)&amp;"%"</f>
        <v>74%</v>
      </c>
    </row>
    <row r="139" customFormat="false" ht="15" hidden="false" customHeight="false" outlineLevel="0" collapsed="false">
      <c r="A139" s="6" t="s">
        <v>11524</v>
      </c>
      <c r="B139" s="6" t="s">
        <v>244</v>
      </c>
      <c r="C139" s="6" t="s">
        <v>114</v>
      </c>
      <c r="D139" s="6" t="s">
        <v>22</v>
      </c>
      <c r="E139" s="6" t="n">
        <f aca="false">ROUND(10881*1.05,2)</f>
        <v>11425.05</v>
      </c>
      <c r="F139" s="6" t="s">
        <v>23</v>
      </c>
      <c r="G139" s="6" t="s">
        <v>24</v>
      </c>
      <c r="H139" s="6" t="n">
        <f aca="true">ROUND(RAND()*4+6,1)</f>
        <v>7.1</v>
      </c>
      <c r="I139" s="6" t="s">
        <v>25</v>
      </c>
      <c r="J139" s="6" t="str">
        <f aca="false">ROUND(69*1,0)&amp;"%"</f>
        <v>69%</v>
      </c>
    </row>
    <row r="140" customFormat="false" ht="15" hidden="false" customHeight="false" outlineLevel="0" collapsed="false">
      <c r="A140" s="5" t="s">
        <v>11525</v>
      </c>
      <c r="B140" s="5" t="s">
        <v>246</v>
      </c>
      <c r="C140" s="5" t="s">
        <v>114</v>
      </c>
      <c r="D140" s="5" t="s">
        <v>28</v>
      </c>
      <c r="E140" s="5" t="n">
        <f aca="false">ROUND(13201*1.05,2)</f>
        <v>13861.05</v>
      </c>
      <c r="F140" s="5" t="s">
        <v>29</v>
      </c>
      <c r="G140" s="5" t="s">
        <v>30</v>
      </c>
      <c r="H140" s="5" t="n">
        <f aca="true">ROUND(RAND()*4+6,1)</f>
        <v>9.5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11526</v>
      </c>
      <c r="B141" s="6" t="s">
        <v>248</v>
      </c>
      <c r="C141" s="6" t="s">
        <v>114</v>
      </c>
      <c r="D141" s="6" t="s">
        <v>34</v>
      </c>
      <c r="E141" s="6" t="n">
        <f aca="false">ROUND(8333*1.05,2)</f>
        <v>8749.65</v>
      </c>
      <c r="F141" s="6" t="s">
        <v>35</v>
      </c>
      <c r="G141" s="6" t="s">
        <v>18</v>
      </c>
      <c r="H141" s="6" t="n">
        <f aca="true">ROUND(RAND()*4+6,1)</f>
        <v>6.7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11527</v>
      </c>
      <c r="B142" s="5" t="s">
        <v>250</v>
      </c>
      <c r="C142" s="5" t="s">
        <v>114</v>
      </c>
      <c r="D142" s="5" t="s">
        <v>39</v>
      </c>
      <c r="E142" s="5" t="n">
        <f aca="false">ROUND(13256*1.05,2)</f>
        <v>13918.8</v>
      </c>
      <c r="F142" s="5" t="s">
        <v>40</v>
      </c>
      <c r="G142" s="5" t="s">
        <v>24</v>
      </c>
      <c r="H142" s="5" t="n">
        <f aca="true">ROUND(RAND()*4+6,1)</f>
        <v>7.1</v>
      </c>
      <c r="I142" s="5" t="s">
        <v>41</v>
      </c>
      <c r="J142" s="5" t="str">
        <f aca="false">ROUND(61*1,0)&amp;"%"</f>
        <v>61%</v>
      </c>
    </row>
    <row r="143" customFormat="false" ht="15" hidden="false" customHeight="false" outlineLevel="0" collapsed="false">
      <c r="A143" s="6" t="s">
        <v>11528</v>
      </c>
      <c r="B143" s="6" t="s">
        <v>252</v>
      </c>
      <c r="C143" s="6" t="s">
        <v>114</v>
      </c>
      <c r="D143" s="6" t="s">
        <v>44</v>
      </c>
      <c r="E143" s="6" t="n">
        <f aca="false">ROUND(6425*1.05,2)</f>
        <v>6746.25</v>
      </c>
      <c r="F143" s="6" t="s">
        <v>45</v>
      </c>
      <c r="G143" s="6" t="s">
        <v>30</v>
      </c>
      <c r="H143" s="6" t="n">
        <f aca="true">ROUND(RAND()*4+6,1)</f>
        <v>9.3</v>
      </c>
      <c r="I143" s="6" t="s">
        <v>46</v>
      </c>
      <c r="J143" s="6" t="str">
        <f aca="false">ROUND(89*1,0)&amp;"%"</f>
        <v>89%</v>
      </c>
    </row>
    <row r="144" customFormat="false" ht="15" hidden="false" customHeight="false" outlineLevel="0" collapsed="false">
      <c r="A144" s="5" t="s">
        <v>11529</v>
      </c>
      <c r="B144" s="5" t="s">
        <v>254</v>
      </c>
      <c r="C144" s="5" t="s">
        <v>114</v>
      </c>
      <c r="D144" s="5" t="s">
        <v>16</v>
      </c>
      <c r="E144" s="5" t="n">
        <f aca="false">ROUND(8923*1.05,2)</f>
        <v>9369.15</v>
      </c>
      <c r="F144" s="5" t="s">
        <v>49</v>
      </c>
      <c r="G144" s="5" t="s">
        <v>18</v>
      </c>
      <c r="H144" s="5" t="n">
        <f aca="true">ROUND(RAND()*4+6,1)</f>
        <v>9.9</v>
      </c>
      <c r="I144" s="5" t="s">
        <v>19</v>
      </c>
      <c r="J144" s="5" t="str">
        <f aca="false">ROUND(78*1,0)&amp;"%"</f>
        <v>78%</v>
      </c>
    </row>
    <row r="145" customFormat="false" ht="15" hidden="false" customHeight="false" outlineLevel="0" collapsed="false">
      <c r="A145" s="6" t="s">
        <v>11530</v>
      </c>
      <c r="B145" s="6" t="s">
        <v>256</v>
      </c>
      <c r="C145" s="6" t="s">
        <v>114</v>
      </c>
      <c r="D145" s="6" t="s">
        <v>22</v>
      </c>
      <c r="E145" s="6" t="n">
        <f aca="false">ROUND(12147*1.05,2)</f>
        <v>12754.35</v>
      </c>
      <c r="F145" s="6" t="s">
        <v>52</v>
      </c>
      <c r="G145" s="6" t="s">
        <v>24</v>
      </c>
      <c r="H145" s="6" t="n">
        <f aca="true">ROUND(RAND()*4+6,1)</f>
        <v>8.1</v>
      </c>
      <c r="I145" s="6" t="s">
        <v>25</v>
      </c>
      <c r="J145" s="6" t="str">
        <f aca="false">ROUND(66*1,0)&amp;"%"</f>
        <v>66%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11531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11532</v>
      </c>
      <c r="B150" s="5" t="s">
        <v>260</v>
      </c>
      <c r="C150" s="5" t="s">
        <v>133</v>
      </c>
      <c r="D150" s="5" t="s">
        <v>16</v>
      </c>
      <c r="E150" s="5" t="n">
        <f aca="false">ROUND(14411*1.05,2)</f>
        <v>15131.55</v>
      </c>
      <c r="F150" s="5" t="s">
        <v>17</v>
      </c>
      <c r="G150" s="5" t="s">
        <v>18</v>
      </c>
      <c r="H150" s="5" t="n">
        <f aca="true">ROUND(RAND()*4+6,1)</f>
        <v>9.1</v>
      </c>
      <c r="I150" s="5" t="s">
        <v>19</v>
      </c>
      <c r="J150" s="5" t="str">
        <f aca="false">ROUND(80*1,0)&amp;"%"</f>
        <v>80%</v>
      </c>
    </row>
    <row r="151" customFormat="false" ht="15" hidden="false" customHeight="false" outlineLevel="0" collapsed="false">
      <c r="A151" s="6" t="s">
        <v>11533</v>
      </c>
      <c r="B151" s="6" t="s">
        <v>262</v>
      </c>
      <c r="C151" s="6" t="s">
        <v>133</v>
      </c>
      <c r="D151" s="6" t="s">
        <v>22</v>
      </c>
      <c r="E151" s="6" t="n">
        <f aca="false">ROUND(13695*1.05,2)</f>
        <v>14379.75</v>
      </c>
      <c r="F151" s="6" t="s">
        <v>23</v>
      </c>
      <c r="G151" s="6" t="s">
        <v>24</v>
      </c>
      <c r="H151" s="6" t="n">
        <f aca="true">ROUND(RAND()*4+6,1)</f>
        <v>6.2</v>
      </c>
      <c r="I151" s="6" t="s">
        <v>25</v>
      </c>
      <c r="J151" s="6" t="str">
        <f aca="false">ROUND(82*1,0)&amp;"%"</f>
        <v>82%</v>
      </c>
    </row>
    <row r="152" customFormat="false" ht="15" hidden="false" customHeight="false" outlineLevel="0" collapsed="false">
      <c r="A152" s="5" t="s">
        <v>11534</v>
      </c>
      <c r="B152" s="5" t="s">
        <v>264</v>
      </c>
      <c r="C152" s="5" t="s">
        <v>133</v>
      </c>
      <c r="D152" s="5" t="s">
        <v>28</v>
      </c>
      <c r="E152" s="5" t="n">
        <f aca="false">ROUND(12547*1.05,2)</f>
        <v>13174.35</v>
      </c>
      <c r="F152" s="5" t="s">
        <v>29</v>
      </c>
      <c r="G152" s="5" t="s">
        <v>30</v>
      </c>
      <c r="H152" s="5" t="n">
        <f aca="true">ROUND(RAND()*4+6,1)</f>
        <v>6.1</v>
      </c>
      <c r="I152" s="5" t="s">
        <v>31</v>
      </c>
      <c r="J152" s="5" t="str">
        <f aca="false">ROUND(78*1,0)&amp;"%"</f>
        <v>78%</v>
      </c>
    </row>
    <row r="153" customFormat="false" ht="15" hidden="false" customHeight="false" outlineLevel="0" collapsed="false">
      <c r="A153" s="6" t="s">
        <v>11535</v>
      </c>
      <c r="B153" s="6" t="s">
        <v>266</v>
      </c>
      <c r="C153" s="6" t="s">
        <v>133</v>
      </c>
      <c r="D153" s="6" t="s">
        <v>34</v>
      </c>
      <c r="E153" s="6" t="n">
        <f aca="false">ROUND(5583*1.05,2)</f>
        <v>5862.15</v>
      </c>
      <c r="F153" s="6" t="s">
        <v>35</v>
      </c>
      <c r="G153" s="6" t="s">
        <v>18</v>
      </c>
      <c r="H153" s="6" t="n">
        <f aca="true">ROUND(RAND()*4+6,1)</f>
        <v>7.5</v>
      </c>
      <c r="I153" s="6" t="s">
        <v>36</v>
      </c>
      <c r="J153" s="6" t="str">
        <f aca="false">ROUND(65*1,0)&amp;"%"</f>
        <v>65%</v>
      </c>
    </row>
    <row r="154" customFormat="false" ht="15" hidden="false" customHeight="false" outlineLevel="0" collapsed="false">
      <c r="A154" s="5" t="s">
        <v>11536</v>
      </c>
      <c r="B154" s="5" t="s">
        <v>268</v>
      </c>
      <c r="C154" s="5" t="s">
        <v>133</v>
      </c>
      <c r="D154" s="5" t="s">
        <v>39</v>
      </c>
      <c r="E154" s="5" t="n">
        <f aca="false">ROUND(10501*1.05,2)</f>
        <v>11026.05</v>
      </c>
      <c r="F154" s="5" t="s">
        <v>40</v>
      </c>
      <c r="G154" s="5" t="s">
        <v>24</v>
      </c>
      <c r="H154" s="5" t="n">
        <f aca="true">ROUND(RAND()*4+6,1)</f>
        <v>6.5</v>
      </c>
      <c r="I154" s="5" t="s">
        <v>41</v>
      </c>
      <c r="J154" s="5" t="str">
        <f aca="false">ROUND(73*1,0)&amp;"%"</f>
        <v>73%</v>
      </c>
    </row>
    <row r="155" customFormat="false" ht="15" hidden="false" customHeight="false" outlineLevel="0" collapsed="false">
      <c r="A155" s="6" t="s">
        <v>11537</v>
      </c>
      <c r="B155" s="6" t="s">
        <v>270</v>
      </c>
      <c r="C155" s="6" t="s">
        <v>133</v>
      </c>
      <c r="D155" s="6" t="s">
        <v>44</v>
      </c>
      <c r="E155" s="6" t="n">
        <f aca="false">ROUND(5962*1.05,2)</f>
        <v>6260.1</v>
      </c>
      <c r="F155" s="6" t="s">
        <v>45</v>
      </c>
      <c r="G155" s="6" t="s">
        <v>30</v>
      </c>
      <c r="H155" s="6" t="n">
        <f aca="true">ROUND(RAND()*4+6,1)</f>
        <v>7</v>
      </c>
      <c r="I155" s="6" t="s">
        <v>46</v>
      </c>
      <c r="J155" s="6" t="str">
        <f aca="false">ROUND(73*1,0)&amp;"%"</f>
        <v>73%</v>
      </c>
    </row>
    <row r="156" customFormat="false" ht="15" hidden="false" customHeight="false" outlineLevel="0" collapsed="false">
      <c r="A156" s="5" t="s">
        <v>11538</v>
      </c>
      <c r="B156" s="5" t="s">
        <v>272</v>
      </c>
      <c r="C156" s="5" t="s">
        <v>133</v>
      </c>
      <c r="D156" s="5" t="s">
        <v>16</v>
      </c>
      <c r="E156" s="5" t="n">
        <f aca="false">ROUND(8721*1.05,2)</f>
        <v>9157.05</v>
      </c>
      <c r="F156" s="5" t="s">
        <v>49</v>
      </c>
      <c r="G156" s="5" t="s">
        <v>18</v>
      </c>
      <c r="H156" s="5" t="n">
        <f aca="true">ROUND(RAND()*4+6,1)</f>
        <v>7.3</v>
      </c>
      <c r="I156" s="5" t="s">
        <v>19</v>
      </c>
      <c r="J156" s="5" t="str">
        <f aca="false">ROUND(77*1,0)&amp;"%"</f>
        <v>77%</v>
      </c>
    </row>
    <row r="157" customFormat="false" ht="15" hidden="false" customHeight="false" outlineLevel="0" collapsed="false">
      <c r="A157" s="6" t="s">
        <v>11539</v>
      </c>
      <c r="B157" s="6" t="s">
        <v>274</v>
      </c>
      <c r="C157" s="6" t="s">
        <v>133</v>
      </c>
      <c r="D157" s="6" t="s">
        <v>22</v>
      </c>
      <c r="E157" s="6" t="n">
        <f aca="false">ROUND(4695*1.05,2)</f>
        <v>4929.75</v>
      </c>
      <c r="F157" s="6" t="s">
        <v>52</v>
      </c>
      <c r="G157" s="6" t="s">
        <v>24</v>
      </c>
      <c r="H157" s="6" t="n">
        <f aca="true">ROUND(RAND()*4+6,1)</f>
        <v>6.6</v>
      </c>
      <c r="I157" s="6" t="s">
        <v>25</v>
      </c>
      <c r="J157" s="6" t="str">
        <f aca="false">ROUND(99*1,0)&amp;"%"</f>
        <v>99%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11540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11541</v>
      </c>
      <c r="B162" s="5" t="s">
        <v>278</v>
      </c>
      <c r="C162" s="5" t="s">
        <v>152</v>
      </c>
      <c r="D162" s="5" t="s">
        <v>16</v>
      </c>
      <c r="E162" s="5" t="n">
        <f aca="false">ROUND(15958*1.05,2)</f>
        <v>16755.9</v>
      </c>
      <c r="F162" s="5" t="s">
        <v>17</v>
      </c>
      <c r="G162" s="5" t="s">
        <v>18</v>
      </c>
      <c r="H162" s="5" t="n">
        <f aca="true">ROUND(RAND()*4+6,1)</f>
        <v>9.7</v>
      </c>
      <c r="I162" s="5" t="s">
        <v>19</v>
      </c>
      <c r="J162" s="5" t="str">
        <f aca="false">ROUND(73*1,0)&amp;"%"</f>
        <v>73%</v>
      </c>
    </row>
    <row r="163" customFormat="false" ht="15" hidden="false" customHeight="false" outlineLevel="0" collapsed="false">
      <c r="A163" s="6" t="s">
        <v>11542</v>
      </c>
      <c r="B163" s="6" t="s">
        <v>280</v>
      </c>
      <c r="C163" s="6" t="s">
        <v>152</v>
      </c>
      <c r="D163" s="6" t="s">
        <v>22</v>
      </c>
      <c r="E163" s="6" t="n">
        <f aca="false">ROUND(12968*1.05,2)</f>
        <v>13616.4</v>
      </c>
      <c r="F163" s="6" t="s">
        <v>23</v>
      </c>
      <c r="G163" s="6" t="s">
        <v>24</v>
      </c>
      <c r="H163" s="6" t="n">
        <f aca="true">ROUND(RAND()*4+6,1)</f>
        <v>6.9</v>
      </c>
      <c r="I163" s="6" t="s">
        <v>25</v>
      </c>
      <c r="J163" s="6" t="str">
        <f aca="false">ROUND(76*1,0)&amp;"%"</f>
        <v>76%</v>
      </c>
    </row>
    <row r="164" customFormat="false" ht="15" hidden="false" customHeight="false" outlineLevel="0" collapsed="false">
      <c r="A164" s="5" t="s">
        <v>11543</v>
      </c>
      <c r="B164" s="5" t="s">
        <v>282</v>
      </c>
      <c r="C164" s="5" t="s">
        <v>152</v>
      </c>
      <c r="D164" s="5" t="s">
        <v>28</v>
      </c>
      <c r="E164" s="5" t="n">
        <f aca="false">ROUND(8975*1.05,2)</f>
        <v>9423.75</v>
      </c>
      <c r="F164" s="5" t="s">
        <v>29</v>
      </c>
      <c r="G164" s="5" t="s">
        <v>30</v>
      </c>
      <c r="H164" s="5" t="n">
        <f aca="true">ROUND(RAND()*4+6,1)</f>
        <v>8.7</v>
      </c>
      <c r="I164" s="5" t="s">
        <v>31</v>
      </c>
      <c r="J164" s="5" t="str">
        <f aca="false">ROUND(72*1,0)&amp;"%"</f>
        <v>72%</v>
      </c>
    </row>
    <row r="165" customFormat="false" ht="15" hidden="false" customHeight="false" outlineLevel="0" collapsed="false">
      <c r="A165" s="6" t="s">
        <v>11544</v>
      </c>
      <c r="B165" s="6" t="s">
        <v>284</v>
      </c>
      <c r="C165" s="6" t="s">
        <v>152</v>
      </c>
      <c r="D165" s="6" t="s">
        <v>34</v>
      </c>
      <c r="E165" s="6" t="n">
        <f aca="false">ROUND(8309*1.05,2)</f>
        <v>8724.45</v>
      </c>
      <c r="F165" s="6" t="s">
        <v>35</v>
      </c>
      <c r="G165" s="6" t="s">
        <v>18</v>
      </c>
      <c r="H165" s="6" t="n">
        <f aca="true">ROUND(RAND()*4+6,1)</f>
        <v>6.8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11545</v>
      </c>
      <c r="B166" s="5" t="s">
        <v>286</v>
      </c>
      <c r="C166" s="5" t="s">
        <v>152</v>
      </c>
      <c r="D166" s="5" t="s">
        <v>39</v>
      </c>
      <c r="E166" s="5" t="n">
        <f aca="false">ROUND(12487*1.05,2)</f>
        <v>13111.35</v>
      </c>
      <c r="F166" s="5" t="s">
        <v>40</v>
      </c>
      <c r="G166" s="5" t="s">
        <v>24</v>
      </c>
      <c r="H166" s="5" t="n">
        <f aca="true">ROUND(RAND()*4+6,1)</f>
        <v>6.6</v>
      </c>
      <c r="I166" s="5" t="s">
        <v>41</v>
      </c>
      <c r="J166" s="5" t="str">
        <f aca="false">ROUND(66*1,0)&amp;"%"</f>
        <v>66%</v>
      </c>
    </row>
    <row r="167" customFormat="false" ht="15" hidden="false" customHeight="false" outlineLevel="0" collapsed="false">
      <c r="A167" s="6" t="s">
        <v>11546</v>
      </c>
      <c r="B167" s="6" t="s">
        <v>288</v>
      </c>
      <c r="C167" s="6" t="s">
        <v>152</v>
      </c>
      <c r="D167" s="6" t="s">
        <v>44</v>
      </c>
      <c r="E167" s="6" t="n">
        <f aca="false">ROUND(9913*1.05,2)</f>
        <v>10408.65</v>
      </c>
      <c r="F167" s="6" t="s">
        <v>45</v>
      </c>
      <c r="G167" s="6" t="s">
        <v>30</v>
      </c>
      <c r="H167" s="6" t="n">
        <f aca="true">ROUND(RAND()*4+6,1)</f>
        <v>7.3</v>
      </c>
      <c r="I167" s="6" t="s">
        <v>46</v>
      </c>
      <c r="J167" s="6" t="str">
        <f aca="false">ROUND(69*1,0)&amp;"%"</f>
        <v>69%</v>
      </c>
    </row>
    <row r="168" customFormat="false" ht="15" hidden="false" customHeight="false" outlineLevel="0" collapsed="false">
      <c r="A168" s="5" t="s">
        <v>11547</v>
      </c>
      <c r="B168" s="5" t="s">
        <v>290</v>
      </c>
      <c r="C168" s="5" t="s">
        <v>152</v>
      </c>
      <c r="D168" s="5" t="s">
        <v>16</v>
      </c>
      <c r="E168" s="5" t="n">
        <f aca="false">ROUND(6918*1.05,2)</f>
        <v>7263.9</v>
      </c>
      <c r="F168" s="5" t="s">
        <v>49</v>
      </c>
      <c r="G168" s="5" t="s">
        <v>18</v>
      </c>
      <c r="H168" s="5" t="n">
        <f aca="true">ROUND(RAND()*4+6,1)</f>
        <v>9.3</v>
      </c>
      <c r="I168" s="5" t="s">
        <v>19</v>
      </c>
      <c r="J168" s="5" t="str">
        <f aca="false">ROUND(76*1,0)&amp;"%"</f>
        <v>76%</v>
      </c>
    </row>
    <row r="169" customFormat="false" ht="15" hidden="false" customHeight="false" outlineLevel="0" collapsed="false">
      <c r="A169" s="6" t="s">
        <v>11548</v>
      </c>
      <c r="B169" s="6" t="s">
        <v>292</v>
      </c>
      <c r="C169" s="6" t="s">
        <v>152</v>
      </c>
      <c r="D169" s="6" t="s">
        <v>22</v>
      </c>
      <c r="E169" s="6" t="n">
        <f aca="false">ROUND(10707*1.05,2)</f>
        <v>11242.35</v>
      </c>
      <c r="F169" s="6" t="s">
        <v>52</v>
      </c>
      <c r="G169" s="6" t="s">
        <v>24</v>
      </c>
      <c r="H169" s="6" t="n">
        <f aca="true">ROUND(RAND()*4+6,1)</f>
        <v>9.6</v>
      </c>
      <c r="I169" s="6" t="s">
        <v>25</v>
      </c>
      <c r="J169" s="6" t="str">
        <f aca="false">ROUND(89*1,0)&amp;"%"</f>
        <v>89%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11549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11550</v>
      </c>
      <c r="B174" s="5" t="s">
        <v>296</v>
      </c>
      <c r="C174" s="5" t="s">
        <v>15</v>
      </c>
      <c r="D174" s="5" t="s">
        <v>16</v>
      </c>
      <c r="E174" s="5" t="n">
        <f aca="false">ROUND(12682*1.05,2)</f>
        <v>13316.1</v>
      </c>
      <c r="F174" s="5" t="s">
        <v>17</v>
      </c>
      <c r="G174" s="5" t="s">
        <v>18</v>
      </c>
      <c r="H174" s="5" t="n">
        <f aca="true">ROUND(RAND()*4+6,1)</f>
        <v>6.4</v>
      </c>
      <c r="I174" s="5" t="s">
        <v>19</v>
      </c>
      <c r="J174" s="5" t="str">
        <f aca="false">ROUND(96*1,0)&amp;"%"</f>
        <v>96%</v>
      </c>
    </row>
    <row r="175" customFormat="false" ht="15" hidden="false" customHeight="false" outlineLevel="0" collapsed="false">
      <c r="A175" s="6" t="s">
        <v>11551</v>
      </c>
      <c r="B175" s="6" t="s">
        <v>298</v>
      </c>
      <c r="C175" s="6" t="s">
        <v>15</v>
      </c>
      <c r="D175" s="6" t="s">
        <v>22</v>
      </c>
      <c r="E175" s="6" t="n">
        <f aca="false">ROUND(4871*1.05,2)</f>
        <v>5114.55</v>
      </c>
      <c r="F175" s="6" t="s">
        <v>23</v>
      </c>
      <c r="G175" s="6" t="s">
        <v>24</v>
      </c>
      <c r="H175" s="6" t="n">
        <f aca="true">ROUND(RAND()*4+6,1)</f>
        <v>9.3</v>
      </c>
      <c r="I175" s="6" t="s">
        <v>25</v>
      </c>
      <c r="J175" s="6" t="str">
        <f aca="false">ROUND(89*1,0)&amp;"%"</f>
        <v>89%</v>
      </c>
    </row>
    <row r="176" customFormat="false" ht="15" hidden="false" customHeight="false" outlineLevel="0" collapsed="false">
      <c r="A176" s="5" t="s">
        <v>11552</v>
      </c>
      <c r="B176" s="5" t="s">
        <v>300</v>
      </c>
      <c r="C176" s="5" t="s">
        <v>15</v>
      </c>
      <c r="D176" s="5" t="s">
        <v>28</v>
      </c>
      <c r="E176" s="5" t="n">
        <f aca="false">ROUND(13066*1.05,2)</f>
        <v>13719.3</v>
      </c>
      <c r="F176" s="5" t="s">
        <v>29</v>
      </c>
      <c r="G176" s="5" t="s">
        <v>30</v>
      </c>
      <c r="H176" s="5" t="n">
        <f aca="true">ROUND(RAND()*4+6,1)</f>
        <v>8.8</v>
      </c>
      <c r="I176" s="5" t="s">
        <v>31</v>
      </c>
      <c r="J176" s="5" t="str">
        <f aca="false">ROUND(93*1,0)&amp;"%"</f>
        <v>93%</v>
      </c>
    </row>
    <row r="177" customFormat="false" ht="15" hidden="false" customHeight="false" outlineLevel="0" collapsed="false">
      <c r="A177" s="6" t="s">
        <v>11553</v>
      </c>
      <c r="B177" s="6" t="s">
        <v>302</v>
      </c>
      <c r="C177" s="6" t="s">
        <v>15</v>
      </c>
      <c r="D177" s="6" t="s">
        <v>34</v>
      </c>
      <c r="E177" s="6" t="n">
        <f aca="false">ROUND(15346*1.05,2)</f>
        <v>16113.3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ROUND(87*1,0)&amp;"%"</f>
        <v>87%</v>
      </c>
    </row>
    <row r="178" customFormat="false" ht="15" hidden="false" customHeight="false" outlineLevel="0" collapsed="false">
      <c r="A178" s="5" t="s">
        <v>11554</v>
      </c>
      <c r="B178" s="5" t="s">
        <v>304</v>
      </c>
      <c r="C178" s="5" t="s">
        <v>15</v>
      </c>
      <c r="D178" s="5" t="s">
        <v>39</v>
      </c>
      <c r="E178" s="5" t="n">
        <f aca="false">ROUND(12450*1.05,2)</f>
        <v>13072.5</v>
      </c>
      <c r="F178" s="5" t="s">
        <v>40</v>
      </c>
      <c r="G178" s="5" t="s">
        <v>24</v>
      </c>
      <c r="H178" s="5" t="n">
        <f aca="true">ROUND(RAND()*4+6,1)</f>
        <v>9.7</v>
      </c>
      <c r="I178" s="5" t="s">
        <v>41</v>
      </c>
      <c r="J178" s="5" t="str">
        <f aca="false">ROUND(68*1,0)&amp;"%"</f>
        <v>68%</v>
      </c>
    </row>
    <row r="179" customFormat="false" ht="15" hidden="false" customHeight="false" outlineLevel="0" collapsed="false">
      <c r="A179" s="6" t="s">
        <v>11555</v>
      </c>
      <c r="B179" s="6" t="s">
        <v>306</v>
      </c>
      <c r="C179" s="6" t="s">
        <v>15</v>
      </c>
      <c r="D179" s="6" t="s">
        <v>44</v>
      </c>
      <c r="E179" s="6" t="n">
        <f aca="false">ROUND(6558*1.05,2)</f>
        <v>6885.9</v>
      </c>
      <c r="F179" s="6" t="s">
        <v>45</v>
      </c>
      <c r="G179" s="6" t="s">
        <v>30</v>
      </c>
      <c r="H179" s="6" t="n">
        <f aca="true">ROUND(RAND()*4+6,1)</f>
        <v>7.4</v>
      </c>
      <c r="I179" s="6" t="s">
        <v>46</v>
      </c>
      <c r="J179" s="6" t="str">
        <f aca="false">ROUND(84*1,0)&amp;"%"</f>
        <v>84%</v>
      </c>
    </row>
    <row r="180" customFormat="false" ht="15" hidden="false" customHeight="false" outlineLevel="0" collapsed="false">
      <c r="A180" s="5" t="s">
        <v>11556</v>
      </c>
      <c r="B180" s="5" t="s">
        <v>308</v>
      </c>
      <c r="C180" s="5" t="s">
        <v>15</v>
      </c>
      <c r="D180" s="5" t="s">
        <v>16</v>
      </c>
      <c r="E180" s="5" t="n">
        <f aca="false">ROUND(11453*1.05,2)</f>
        <v>12025.65</v>
      </c>
      <c r="F180" s="5" t="s">
        <v>49</v>
      </c>
      <c r="G180" s="5" t="s">
        <v>18</v>
      </c>
      <c r="H180" s="5" t="n">
        <f aca="true">ROUND(RAND()*4+6,1)</f>
        <v>8.4</v>
      </c>
      <c r="I180" s="5" t="s">
        <v>19</v>
      </c>
      <c r="J180" s="5" t="str">
        <f aca="false">ROUND(93*1,0)&amp;"%"</f>
        <v>93%</v>
      </c>
    </row>
    <row r="181" customFormat="false" ht="15" hidden="false" customHeight="false" outlineLevel="0" collapsed="false">
      <c r="A181" s="6" t="s">
        <v>11557</v>
      </c>
      <c r="B181" s="6" t="s">
        <v>310</v>
      </c>
      <c r="C181" s="6" t="s">
        <v>15</v>
      </c>
      <c r="D181" s="6" t="s">
        <v>22</v>
      </c>
      <c r="E181" s="6" t="n">
        <f aca="false">ROUND(9389*1.05,2)</f>
        <v>9858.45</v>
      </c>
      <c r="F181" s="6" t="s">
        <v>52</v>
      </c>
      <c r="G181" s="6" t="s">
        <v>24</v>
      </c>
      <c r="H181" s="6" t="n">
        <f aca="true">ROUND(RAND()*4+6,1)</f>
        <v>9.3</v>
      </c>
      <c r="I181" s="6" t="s">
        <v>25</v>
      </c>
      <c r="J181" s="6" t="str">
        <f aca="false">ROUND(80*1,0)&amp;"%"</f>
        <v>80%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11558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11559</v>
      </c>
      <c r="B186" s="5" t="s">
        <v>314</v>
      </c>
      <c r="C186" s="5" t="s">
        <v>57</v>
      </c>
      <c r="D186" s="5" t="s">
        <v>16</v>
      </c>
      <c r="E186" s="5" t="n">
        <f aca="false">ROUND(6816*1.05,2)</f>
        <v>7156.8</v>
      </c>
      <c r="F186" s="5" t="s">
        <v>17</v>
      </c>
      <c r="G186" s="5" t="s">
        <v>18</v>
      </c>
      <c r="H186" s="5" t="n">
        <f aca="true">ROUND(RAND()*4+6,1)</f>
        <v>6.1</v>
      </c>
      <c r="I186" s="5" t="s">
        <v>19</v>
      </c>
      <c r="J186" s="5" t="str">
        <f aca="false">ROUND(87*1,0)&amp;"%"</f>
        <v>87%</v>
      </c>
    </row>
    <row r="187" customFormat="false" ht="15" hidden="false" customHeight="false" outlineLevel="0" collapsed="false">
      <c r="A187" s="6" t="s">
        <v>11560</v>
      </c>
      <c r="B187" s="6" t="s">
        <v>316</v>
      </c>
      <c r="C187" s="6" t="s">
        <v>57</v>
      </c>
      <c r="D187" s="6" t="s">
        <v>22</v>
      </c>
      <c r="E187" s="6" t="n">
        <f aca="false">ROUND(6463*1.05,2)</f>
        <v>6786.15</v>
      </c>
      <c r="F187" s="6" t="s">
        <v>23</v>
      </c>
      <c r="G187" s="6" t="s">
        <v>24</v>
      </c>
      <c r="H187" s="6" t="n">
        <f aca="true">ROUND(RAND()*4+6,1)</f>
        <v>6.6</v>
      </c>
      <c r="I187" s="6" t="s">
        <v>25</v>
      </c>
      <c r="J187" s="6" t="str">
        <f aca="false">ROUND(78*1,0)&amp;"%"</f>
        <v>78%</v>
      </c>
    </row>
    <row r="188" customFormat="false" ht="15" hidden="false" customHeight="false" outlineLevel="0" collapsed="false">
      <c r="A188" s="5" t="s">
        <v>11561</v>
      </c>
      <c r="B188" s="5" t="s">
        <v>318</v>
      </c>
      <c r="C188" s="5" t="s">
        <v>57</v>
      </c>
      <c r="D188" s="5" t="s">
        <v>28</v>
      </c>
      <c r="E188" s="5" t="n">
        <f aca="false">ROUND(15965*1.05,2)</f>
        <v>16763.25</v>
      </c>
      <c r="F188" s="5" t="s">
        <v>29</v>
      </c>
      <c r="G188" s="5" t="s">
        <v>30</v>
      </c>
      <c r="H188" s="5" t="n">
        <f aca="true">ROUND(RAND()*4+6,1)</f>
        <v>7.2</v>
      </c>
      <c r="I188" s="5" t="s">
        <v>31</v>
      </c>
      <c r="J188" s="5" t="str">
        <f aca="false">ROUND(71*1,0)&amp;"%"</f>
        <v>71%</v>
      </c>
    </row>
    <row r="189" customFormat="false" ht="15" hidden="false" customHeight="false" outlineLevel="0" collapsed="false">
      <c r="A189" s="6" t="s">
        <v>11562</v>
      </c>
      <c r="B189" s="6" t="s">
        <v>320</v>
      </c>
      <c r="C189" s="6" t="s">
        <v>57</v>
      </c>
      <c r="D189" s="6" t="s">
        <v>34</v>
      </c>
      <c r="E189" s="6" t="n">
        <f aca="false">ROUND(17696*1.05,2)</f>
        <v>18580.8</v>
      </c>
      <c r="F189" s="6" t="s">
        <v>35</v>
      </c>
      <c r="G189" s="6" t="s">
        <v>18</v>
      </c>
      <c r="H189" s="6" t="n">
        <f aca="true">ROUND(RAND()*4+6,1)</f>
        <v>8.2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11563</v>
      </c>
      <c r="B190" s="5" t="s">
        <v>322</v>
      </c>
      <c r="C190" s="5" t="s">
        <v>57</v>
      </c>
      <c r="D190" s="5" t="s">
        <v>39</v>
      </c>
      <c r="E190" s="5" t="n">
        <f aca="false">ROUND(6827*1.05,2)</f>
        <v>7168.35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ROUND(87*1,0)&amp;"%"</f>
        <v>87%</v>
      </c>
    </row>
    <row r="191" customFormat="false" ht="15" hidden="false" customHeight="false" outlineLevel="0" collapsed="false">
      <c r="A191" s="6" t="s">
        <v>11564</v>
      </c>
      <c r="B191" s="6" t="s">
        <v>324</v>
      </c>
      <c r="C191" s="6" t="s">
        <v>57</v>
      </c>
      <c r="D191" s="6" t="s">
        <v>44</v>
      </c>
      <c r="E191" s="6" t="n">
        <f aca="false">ROUND(8821*1.05,2)</f>
        <v>9262.05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ROUND(84*1,0)&amp;"%"</f>
        <v>84%</v>
      </c>
    </row>
    <row r="192" customFormat="false" ht="15" hidden="false" customHeight="false" outlineLevel="0" collapsed="false">
      <c r="A192" s="5" t="s">
        <v>11565</v>
      </c>
      <c r="B192" s="5" t="s">
        <v>326</v>
      </c>
      <c r="C192" s="5" t="s">
        <v>57</v>
      </c>
      <c r="D192" s="5" t="s">
        <v>16</v>
      </c>
      <c r="E192" s="5" t="n">
        <f aca="false">ROUND(9038*1.05,2)</f>
        <v>9489.9</v>
      </c>
      <c r="F192" s="5" t="s">
        <v>49</v>
      </c>
      <c r="G192" s="5" t="s">
        <v>18</v>
      </c>
      <c r="H192" s="5" t="n">
        <f aca="true">ROUND(RAND()*4+6,1)</f>
        <v>9.1</v>
      </c>
      <c r="I192" s="5" t="s">
        <v>19</v>
      </c>
      <c r="J192" s="5" t="str">
        <f aca="false">ROUND(93*1,0)&amp;"%"</f>
        <v>93%</v>
      </c>
    </row>
    <row r="193" customFormat="false" ht="15" hidden="false" customHeight="false" outlineLevel="0" collapsed="false">
      <c r="A193" s="6" t="s">
        <v>11566</v>
      </c>
      <c r="B193" s="6" t="s">
        <v>328</v>
      </c>
      <c r="C193" s="6" t="s">
        <v>57</v>
      </c>
      <c r="D193" s="6" t="s">
        <v>22</v>
      </c>
      <c r="E193" s="6" t="n">
        <f aca="false">ROUND(15165*1.05,2)</f>
        <v>15923.25</v>
      </c>
      <c r="F193" s="6" t="s">
        <v>52</v>
      </c>
      <c r="G193" s="6" t="s">
        <v>24</v>
      </c>
      <c r="H193" s="6" t="n">
        <f aca="true">ROUND(RAND()*4+6,1)</f>
        <v>6.1</v>
      </c>
      <c r="I193" s="6" t="s">
        <v>25</v>
      </c>
      <c r="J193" s="6" t="str">
        <f aca="false">ROUND(75*1,0)&amp;"%"</f>
        <v>75%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11567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11568</v>
      </c>
      <c r="B198" s="5" t="s">
        <v>332</v>
      </c>
      <c r="C198" s="5" t="s">
        <v>76</v>
      </c>
      <c r="D198" s="5" t="s">
        <v>16</v>
      </c>
      <c r="E198" s="5" t="n">
        <f aca="false">ROUND(14101*1.05,2)</f>
        <v>14806.05</v>
      </c>
      <c r="F198" s="5" t="s">
        <v>17</v>
      </c>
      <c r="G198" s="5" t="s">
        <v>18</v>
      </c>
      <c r="H198" s="5" t="n">
        <f aca="true">ROUND(RAND()*4+6,1)</f>
        <v>7.5</v>
      </c>
      <c r="I198" s="5" t="s">
        <v>19</v>
      </c>
      <c r="J198" s="5" t="str">
        <f aca="false">ROUND(70*1,0)&amp;"%"</f>
        <v>70%</v>
      </c>
    </row>
    <row r="199" customFormat="false" ht="15" hidden="false" customHeight="false" outlineLevel="0" collapsed="false">
      <c r="A199" s="6" t="s">
        <v>11569</v>
      </c>
      <c r="B199" s="6" t="s">
        <v>334</v>
      </c>
      <c r="C199" s="6" t="s">
        <v>76</v>
      </c>
      <c r="D199" s="6" t="s">
        <v>22</v>
      </c>
      <c r="E199" s="6" t="n">
        <f aca="false">ROUND(17241*1.05,2)</f>
        <v>18103.05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ROUND(84*1,0)&amp;"%"</f>
        <v>84%</v>
      </c>
    </row>
    <row r="200" customFormat="false" ht="15" hidden="false" customHeight="false" outlineLevel="0" collapsed="false">
      <c r="A200" s="5" t="s">
        <v>11570</v>
      </c>
      <c r="B200" s="5" t="s">
        <v>336</v>
      </c>
      <c r="C200" s="5" t="s">
        <v>76</v>
      </c>
      <c r="D200" s="5" t="s">
        <v>28</v>
      </c>
      <c r="E200" s="5" t="n">
        <f aca="false">ROUND(9056*1.05,2)</f>
        <v>9508.8</v>
      </c>
      <c r="F200" s="5" t="s">
        <v>29</v>
      </c>
      <c r="G200" s="5" t="s">
        <v>30</v>
      </c>
      <c r="H200" s="5" t="n">
        <f aca="true">ROUND(RAND()*4+6,1)</f>
        <v>6.9</v>
      </c>
      <c r="I200" s="5" t="s">
        <v>31</v>
      </c>
      <c r="J200" s="5" t="str">
        <f aca="false">ROUND(88*1,0)&amp;"%"</f>
        <v>88%</v>
      </c>
    </row>
    <row r="201" customFormat="false" ht="15" hidden="false" customHeight="false" outlineLevel="0" collapsed="false">
      <c r="A201" s="6" t="s">
        <v>11571</v>
      </c>
      <c r="B201" s="6" t="s">
        <v>338</v>
      </c>
      <c r="C201" s="6" t="s">
        <v>76</v>
      </c>
      <c r="D201" s="6" t="s">
        <v>34</v>
      </c>
      <c r="E201" s="6" t="n">
        <f aca="false">ROUND(9639*1.05,2)</f>
        <v>10120.95</v>
      </c>
      <c r="F201" s="6" t="s">
        <v>35</v>
      </c>
      <c r="G201" s="6" t="s">
        <v>18</v>
      </c>
      <c r="H201" s="6" t="n">
        <f aca="true">ROUND(RAND()*4+6,1)</f>
        <v>6.3</v>
      </c>
      <c r="I201" s="6" t="s">
        <v>36</v>
      </c>
      <c r="J201" s="6" t="str">
        <f aca="false">ROUND(70*1,0)&amp;"%"</f>
        <v>70%</v>
      </c>
    </row>
    <row r="202" customFormat="false" ht="15" hidden="false" customHeight="false" outlineLevel="0" collapsed="false">
      <c r="A202" s="5" t="s">
        <v>11572</v>
      </c>
      <c r="B202" s="5" t="s">
        <v>340</v>
      </c>
      <c r="C202" s="5" t="s">
        <v>76</v>
      </c>
      <c r="D202" s="5" t="s">
        <v>39</v>
      </c>
      <c r="E202" s="5" t="n">
        <f aca="false">ROUND(16548*1.05,2)</f>
        <v>17375.4</v>
      </c>
      <c r="F202" s="5" t="s">
        <v>40</v>
      </c>
      <c r="G202" s="5" t="s">
        <v>24</v>
      </c>
      <c r="H202" s="5" t="n">
        <f aca="true">ROUND(RAND()*4+6,1)</f>
        <v>7.9</v>
      </c>
      <c r="I202" s="5" t="s">
        <v>41</v>
      </c>
      <c r="J202" s="5" t="str">
        <f aca="false">ROUND(64*1,0)&amp;"%"</f>
        <v>64%</v>
      </c>
    </row>
    <row r="203" customFormat="false" ht="15" hidden="false" customHeight="false" outlineLevel="0" collapsed="false">
      <c r="A203" s="6" t="s">
        <v>11573</v>
      </c>
      <c r="B203" s="6" t="s">
        <v>342</v>
      </c>
      <c r="C203" s="6" t="s">
        <v>76</v>
      </c>
      <c r="D203" s="6" t="s">
        <v>44</v>
      </c>
      <c r="E203" s="6" t="n">
        <f aca="false">ROUND(12493*1.05,2)</f>
        <v>13117.65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ROUND(78*1,0)&amp;"%"</f>
        <v>78%</v>
      </c>
    </row>
    <row r="204" customFormat="false" ht="15" hidden="false" customHeight="false" outlineLevel="0" collapsed="false">
      <c r="A204" s="5" t="s">
        <v>11574</v>
      </c>
      <c r="B204" s="5" t="s">
        <v>344</v>
      </c>
      <c r="C204" s="5" t="s">
        <v>76</v>
      </c>
      <c r="D204" s="5" t="s">
        <v>16</v>
      </c>
      <c r="E204" s="5" t="n">
        <f aca="false">ROUND(4938*1.05,2)</f>
        <v>5184.9</v>
      </c>
      <c r="F204" s="5" t="s">
        <v>49</v>
      </c>
      <c r="G204" s="5" t="s">
        <v>18</v>
      </c>
      <c r="H204" s="5" t="n">
        <f aca="true">ROUND(RAND()*4+6,1)</f>
        <v>6.5</v>
      </c>
      <c r="I204" s="5" t="s">
        <v>19</v>
      </c>
      <c r="J204" s="5" t="str">
        <f aca="false">ROUND(83*1,0)&amp;"%"</f>
        <v>83%</v>
      </c>
    </row>
    <row r="205" customFormat="false" ht="15" hidden="false" customHeight="false" outlineLevel="0" collapsed="false">
      <c r="A205" s="6" t="s">
        <v>11575</v>
      </c>
      <c r="B205" s="6" t="s">
        <v>346</v>
      </c>
      <c r="C205" s="6" t="s">
        <v>76</v>
      </c>
      <c r="D205" s="6" t="s">
        <v>22</v>
      </c>
      <c r="E205" s="6" t="n">
        <f aca="false">ROUND(4755*1.05,2)</f>
        <v>4992.75</v>
      </c>
      <c r="F205" s="6" t="s">
        <v>52</v>
      </c>
      <c r="G205" s="6" t="s">
        <v>24</v>
      </c>
      <c r="H205" s="6" t="n">
        <f aca="true">ROUND(RAND()*4+6,1)</f>
        <v>7.7</v>
      </c>
      <c r="I205" s="6" t="s">
        <v>25</v>
      </c>
      <c r="J205" s="6" t="str">
        <f aca="false">ROUND(72*1,0)&amp;"%"</f>
        <v>72%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11576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11577</v>
      </c>
      <c r="B210" s="5" t="s">
        <v>350</v>
      </c>
      <c r="C210" s="5" t="s">
        <v>95</v>
      </c>
      <c r="D210" s="5" t="s">
        <v>16</v>
      </c>
      <c r="E210" s="5" t="n">
        <f aca="false">ROUND(15794*1.05,2)</f>
        <v>16583.7</v>
      </c>
      <c r="F210" s="5" t="s">
        <v>17</v>
      </c>
      <c r="G210" s="5" t="s">
        <v>18</v>
      </c>
      <c r="H210" s="5" t="n">
        <f aca="true">ROUND(RAND()*4+6,1)</f>
        <v>6.7</v>
      </c>
      <c r="I210" s="5" t="s">
        <v>19</v>
      </c>
      <c r="J210" s="5" t="str">
        <f aca="false">ROUND(84*1,0)&amp;"%"</f>
        <v>84%</v>
      </c>
    </row>
    <row r="211" customFormat="false" ht="15" hidden="false" customHeight="false" outlineLevel="0" collapsed="false">
      <c r="A211" s="6" t="s">
        <v>11578</v>
      </c>
      <c r="B211" s="6" t="s">
        <v>352</v>
      </c>
      <c r="C211" s="6" t="s">
        <v>95</v>
      </c>
      <c r="D211" s="6" t="s">
        <v>22</v>
      </c>
      <c r="E211" s="6" t="n">
        <f aca="false">ROUND(12602*1.05,2)</f>
        <v>13232.1</v>
      </c>
      <c r="F211" s="6" t="s">
        <v>23</v>
      </c>
      <c r="G211" s="6" t="s">
        <v>24</v>
      </c>
      <c r="H211" s="6" t="n">
        <f aca="true">ROUND(RAND()*4+6,1)</f>
        <v>8.8</v>
      </c>
      <c r="I211" s="6" t="s">
        <v>25</v>
      </c>
      <c r="J211" s="6" t="str">
        <f aca="false">ROUND(93*1,0)&amp;"%"</f>
        <v>93%</v>
      </c>
    </row>
    <row r="212" customFormat="false" ht="15" hidden="false" customHeight="false" outlineLevel="0" collapsed="false">
      <c r="A212" s="5" t="s">
        <v>11579</v>
      </c>
      <c r="B212" s="5" t="s">
        <v>354</v>
      </c>
      <c r="C212" s="5" t="s">
        <v>95</v>
      </c>
      <c r="D212" s="5" t="s">
        <v>28</v>
      </c>
      <c r="E212" s="5" t="n">
        <f aca="false">ROUND(13566*1.05,2)</f>
        <v>14244.3</v>
      </c>
      <c r="F212" s="5" t="s">
        <v>29</v>
      </c>
      <c r="G212" s="5" t="s">
        <v>30</v>
      </c>
      <c r="H212" s="5" t="n">
        <f aca="true">ROUND(RAND()*4+6,1)</f>
        <v>8.8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11580</v>
      </c>
      <c r="B213" s="6" t="s">
        <v>356</v>
      </c>
      <c r="C213" s="6" t="s">
        <v>95</v>
      </c>
      <c r="D213" s="6" t="s">
        <v>34</v>
      </c>
      <c r="E213" s="6" t="n">
        <f aca="false">ROUND(12517*1.05,2)</f>
        <v>13142.85</v>
      </c>
      <c r="F213" s="6" t="s">
        <v>35</v>
      </c>
      <c r="G213" s="6" t="s">
        <v>18</v>
      </c>
      <c r="H213" s="6" t="n">
        <f aca="true">ROUND(RAND()*4+6,1)</f>
        <v>7.7</v>
      </c>
      <c r="I213" s="6" t="s">
        <v>36</v>
      </c>
      <c r="J213" s="6" t="str">
        <f aca="false">ROUND(73*1,0)&amp;"%"</f>
        <v>73%</v>
      </c>
    </row>
    <row r="214" customFormat="false" ht="15" hidden="false" customHeight="false" outlineLevel="0" collapsed="false">
      <c r="A214" s="5" t="s">
        <v>11581</v>
      </c>
      <c r="B214" s="5" t="s">
        <v>358</v>
      </c>
      <c r="C214" s="5" t="s">
        <v>95</v>
      </c>
      <c r="D214" s="5" t="s">
        <v>39</v>
      </c>
      <c r="E214" s="5" t="n">
        <f aca="false">ROUND(7251*1.05,2)</f>
        <v>7613.55</v>
      </c>
      <c r="F214" s="5" t="s">
        <v>40</v>
      </c>
      <c r="G214" s="5" t="s">
        <v>24</v>
      </c>
      <c r="H214" s="5" t="n">
        <f aca="true">ROUND(RAND()*4+6,1)</f>
        <v>6</v>
      </c>
      <c r="I214" s="5" t="s">
        <v>41</v>
      </c>
      <c r="J214" s="5" t="str">
        <f aca="false">ROUND(83*1,0)&amp;"%"</f>
        <v>83%</v>
      </c>
    </row>
    <row r="215" customFormat="false" ht="15" hidden="false" customHeight="false" outlineLevel="0" collapsed="false">
      <c r="A215" s="6" t="s">
        <v>11582</v>
      </c>
      <c r="B215" s="6" t="s">
        <v>360</v>
      </c>
      <c r="C215" s="6" t="s">
        <v>95</v>
      </c>
      <c r="D215" s="6" t="s">
        <v>44</v>
      </c>
      <c r="E215" s="6" t="n">
        <f aca="false">ROUND(4163*1.05,2)</f>
        <v>4371.15</v>
      </c>
      <c r="F215" s="6" t="s">
        <v>45</v>
      </c>
      <c r="G215" s="6" t="s">
        <v>30</v>
      </c>
      <c r="H215" s="6" t="n">
        <f aca="true">ROUND(RAND()*4+6,1)</f>
        <v>8.9</v>
      </c>
      <c r="I215" s="6" t="s">
        <v>46</v>
      </c>
      <c r="J215" s="6" t="str">
        <f aca="false">ROUND(72*1,0)&amp;"%"</f>
        <v>72%</v>
      </c>
    </row>
    <row r="216" customFormat="false" ht="15" hidden="false" customHeight="false" outlineLevel="0" collapsed="false">
      <c r="A216" s="5" t="s">
        <v>11583</v>
      </c>
      <c r="B216" s="5" t="s">
        <v>362</v>
      </c>
      <c r="C216" s="5" t="s">
        <v>95</v>
      </c>
      <c r="D216" s="5" t="s">
        <v>16</v>
      </c>
      <c r="E216" s="5" t="n">
        <f aca="false">ROUND(9996*1.05,2)</f>
        <v>10495.8</v>
      </c>
      <c r="F216" s="5" t="s">
        <v>49</v>
      </c>
      <c r="G216" s="5" t="s">
        <v>18</v>
      </c>
      <c r="H216" s="5" t="n">
        <f aca="true">ROUND(RAND()*4+6,1)</f>
        <v>8.9</v>
      </c>
      <c r="I216" s="5" t="s">
        <v>19</v>
      </c>
      <c r="J216" s="5" t="str">
        <f aca="false">ROUND(68*1,0)&amp;"%"</f>
        <v>68%</v>
      </c>
    </row>
    <row r="217" customFormat="false" ht="15" hidden="false" customHeight="false" outlineLevel="0" collapsed="false">
      <c r="A217" s="6" t="s">
        <v>11584</v>
      </c>
      <c r="B217" s="6" t="s">
        <v>364</v>
      </c>
      <c r="C217" s="6" t="s">
        <v>95</v>
      </c>
      <c r="D217" s="6" t="s">
        <v>22</v>
      </c>
      <c r="E217" s="6" t="n">
        <f aca="false">ROUND(7056*1.05,2)</f>
        <v>7408.8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ROUND(77*1,0)&amp;"%"</f>
        <v>77%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11585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11586</v>
      </c>
      <c r="B222" s="5" t="s">
        <v>368</v>
      </c>
      <c r="C222" s="5" t="s">
        <v>114</v>
      </c>
      <c r="D222" s="5" t="s">
        <v>16</v>
      </c>
      <c r="E222" s="5" t="n">
        <f aca="false">ROUND(6372*1.05,2)</f>
        <v>6690.6</v>
      </c>
      <c r="F222" s="5" t="s">
        <v>17</v>
      </c>
      <c r="G222" s="5" t="s">
        <v>18</v>
      </c>
      <c r="H222" s="5" t="n">
        <f aca="true">ROUND(RAND()*4+6,1)</f>
        <v>6.1</v>
      </c>
      <c r="I222" s="5" t="s">
        <v>19</v>
      </c>
      <c r="J222" s="5" t="str">
        <f aca="false">ROUND(68*1,0)&amp;"%"</f>
        <v>68%</v>
      </c>
    </row>
    <row r="223" customFormat="false" ht="15" hidden="false" customHeight="false" outlineLevel="0" collapsed="false">
      <c r="A223" s="6" t="s">
        <v>11587</v>
      </c>
      <c r="B223" s="6" t="s">
        <v>370</v>
      </c>
      <c r="C223" s="6" t="s">
        <v>114</v>
      </c>
      <c r="D223" s="6" t="s">
        <v>22</v>
      </c>
      <c r="E223" s="6" t="n">
        <f aca="false">ROUND(12555*1.05,2)</f>
        <v>13182.75</v>
      </c>
      <c r="F223" s="6" t="s">
        <v>23</v>
      </c>
      <c r="G223" s="6" t="s">
        <v>24</v>
      </c>
      <c r="H223" s="6" t="n">
        <f aca="true">ROUND(RAND()*4+6,1)</f>
        <v>9.8</v>
      </c>
      <c r="I223" s="6" t="s">
        <v>25</v>
      </c>
      <c r="J223" s="6" t="str">
        <f aca="false">ROUND(94*1,0)&amp;"%"</f>
        <v>94%</v>
      </c>
    </row>
    <row r="224" customFormat="false" ht="15" hidden="false" customHeight="false" outlineLevel="0" collapsed="false">
      <c r="A224" s="5" t="s">
        <v>11588</v>
      </c>
      <c r="B224" s="5" t="s">
        <v>372</v>
      </c>
      <c r="C224" s="5" t="s">
        <v>114</v>
      </c>
      <c r="D224" s="5" t="s">
        <v>28</v>
      </c>
      <c r="E224" s="5" t="n">
        <f aca="false">ROUND(9566*1.05,2)</f>
        <v>10044.3</v>
      </c>
      <c r="F224" s="5" t="s">
        <v>29</v>
      </c>
      <c r="G224" s="5" t="s">
        <v>30</v>
      </c>
      <c r="H224" s="5" t="n">
        <f aca="true">ROUND(RAND()*4+6,1)</f>
        <v>8.5</v>
      </c>
      <c r="I224" s="5" t="s">
        <v>31</v>
      </c>
      <c r="J224" s="5" t="str">
        <f aca="false">ROUND(66*1,0)&amp;"%"</f>
        <v>66%</v>
      </c>
    </row>
    <row r="225" customFormat="false" ht="15" hidden="false" customHeight="false" outlineLevel="0" collapsed="false">
      <c r="A225" s="6" t="s">
        <v>11589</v>
      </c>
      <c r="B225" s="6" t="s">
        <v>374</v>
      </c>
      <c r="C225" s="6" t="s">
        <v>114</v>
      </c>
      <c r="D225" s="6" t="s">
        <v>34</v>
      </c>
      <c r="E225" s="6" t="n">
        <f aca="false">ROUND(15068*1.05,2)</f>
        <v>15821.4</v>
      </c>
      <c r="F225" s="6" t="s">
        <v>35</v>
      </c>
      <c r="G225" s="6" t="s">
        <v>18</v>
      </c>
      <c r="H225" s="6" t="n">
        <f aca="true">ROUND(RAND()*4+6,1)</f>
        <v>6.3</v>
      </c>
      <c r="I225" s="6" t="s">
        <v>36</v>
      </c>
      <c r="J225" s="6" t="str">
        <f aca="false">ROUND(92*1,0)&amp;"%"</f>
        <v>92%</v>
      </c>
    </row>
    <row r="226" customFormat="false" ht="15" hidden="false" customHeight="false" outlineLevel="0" collapsed="false">
      <c r="A226" s="5" t="s">
        <v>11590</v>
      </c>
      <c r="B226" s="5" t="s">
        <v>376</v>
      </c>
      <c r="C226" s="5" t="s">
        <v>114</v>
      </c>
      <c r="D226" s="5" t="s">
        <v>39</v>
      </c>
      <c r="E226" s="5" t="n">
        <f aca="false">ROUND(8200*1.05,2)</f>
        <v>8610</v>
      </c>
      <c r="F226" s="5" t="s">
        <v>40</v>
      </c>
      <c r="G226" s="5" t="s">
        <v>24</v>
      </c>
      <c r="H226" s="5" t="n">
        <f aca="true">ROUND(RAND()*4+6,1)</f>
        <v>9.2</v>
      </c>
      <c r="I226" s="5" t="s">
        <v>41</v>
      </c>
      <c r="J226" s="5" t="str">
        <f aca="false">ROUND(68*1,0)&amp;"%"</f>
        <v>68%</v>
      </c>
    </row>
    <row r="227" customFormat="false" ht="15" hidden="false" customHeight="false" outlineLevel="0" collapsed="false">
      <c r="A227" s="6" t="s">
        <v>11591</v>
      </c>
      <c r="B227" s="6" t="s">
        <v>378</v>
      </c>
      <c r="C227" s="6" t="s">
        <v>114</v>
      </c>
      <c r="D227" s="6" t="s">
        <v>44</v>
      </c>
      <c r="E227" s="6" t="n">
        <f aca="false">ROUND(16889*1.05,2)</f>
        <v>17733.45</v>
      </c>
      <c r="F227" s="6" t="s">
        <v>45</v>
      </c>
      <c r="G227" s="6" t="s">
        <v>30</v>
      </c>
      <c r="H227" s="6" t="n">
        <f aca="true">ROUND(RAND()*4+6,1)</f>
        <v>9.7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11592</v>
      </c>
      <c r="B228" s="5" t="s">
        <v>380</v>
      </c>
      <c r="C228" s="5" t="s">
        <v>114</v>
      </c>
      <c r="D228" s="5" t="s">
        <v>16</v>
      </c>
      <c r="E228" s="5" t="n">
        <f aca="false">ROUND(6272*1.05,2)</f>
        <v>6585.6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ROUND(75*1,0)&amp;"%"</f>
        <v>75%</v>
      </c>
    </row>
    <row r="229" customFormat="false" ht="15" hidden="false" customHeight="false" outlineLevel="0" collapsed="false">
      <c r="A229" s="6" t="s">
        <v>11593</v>
      </c>
      <c r="B229" s="6" t="s">
        <v>382</v>
      </c>
      <c r="C229" s="6" t="s">
        <v>114</v>
      </c>
      <c r="D229" s="6" t="s">
        <v>22</v>
      </c>
      <c r="E229" s="6" t="n">
        <f aca="false">ROUND(4938*1.05,2)</f>
        <v>5184.9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ROUND(60*1,0)&amp;"%"</f>
        <v>60%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11594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11595</v>
      </c>
      <c r="B234" s="5" t="s">
        <v>386</v>
      </c>
      <c r="C234" s="5" t="s">
        <v>133</v>
      </c>
      <c r="D234" s="5" t="s">
        <v>16</v>
      </c>
      <c r="E234" s="5" t="n">
        <f aca="false">ROUND(16968*1.05,2)</f>
        <v>17816.4</v>
      </c>
      <c r="F234" s="5" t="s">
        <v>17</v>
      </c>
      <c r="G234" s="5" t="s">
        <v>18</v>
      </c>
      <c r="H234" s="5" t="n">
        <f aca="true">ROUND(RAND()*4+6,1)</f>
        <v>7.5</v>
      </c>
      <c r="I234" s="5" t="s">
        <v>19</v>
      </c>
      <c r="J234" s="5" t="str">
        <f aca="false">ROUND(98*1,0)&amp;"%"</f>
        <v>98%</v>
      </c>
    </row>
    <row r="235" customFormat="false" ht="15" hidden="false" customHeight="false" outlineLevel="0" collapsed="false">
      <c r="A235" s="6" t="s">
        <v>11596</v>
      </c>
      <c r="B235" s="6" t="s">
        <v>388</v>
      </c>
      <c r="C235" s="6" t="s">
        <v>133</v>
      </c>
      <c r="D235" s="6" t="s">
        <v>22</v>
      </c>
      <c r="E235" s="6" t="n">
        <f aca="false">ROUND(4684*1.05,2)</f>
        <v>4918.2</v>
      </c>
      <c r="F235" s="6" t="s">
        <v>23</v>
      </c>
      <c r="G235" s="6" t="s">
        <v>24</v>
      </c>
      <c r="H235" s="6" t="n">
        <f aca="true">ROUND(RAND()*4+6,1)</f>
        <v>8.7</v>
      </c>
      <c r="I235" s="6" t="s">
        <v>25</v>
      </c>
      <c r="J235" s="6" t="str">
        <f aca="false">ROUND(92*1,0)&amp;"%"</f>
        <v>92%</v>
      </c>
    </row>
    <row r="236" customFormat="false" ht="15" hidden="false" customHeight="false" outlineLevel="0" collapsed="false">
      <c r="A236" s="5" t="s">
        <v>11597</v>
      </c>
      <c r="B236" s="5" t="s">
        <v>390</v>
      </c>
      <c r="C236" s="5" t="s">
        <v>133</v>
      </c>
      <c r="D236" s="5" t="s">
        <v>28</v>
      </c>
      <c r="E236" s="5" t="n">
        <f aca="false">ROUND(16000*1.05,2)</f>
        <v>16800</v>
      </c>
      <c r="F236" s="5" t="s">
        <v>29</v>
      </c>
      <c r="G236" s="5" t="s">
        <v>30</v>
      </c>
      <c r="H236" s="5" t="n">
        <f aca="true">ROUND(RAND()*4+6,1)</f>
        <v>6.9</v>
      </c>
      <c r="I236" s="5" t="s">
        <v>31</v>
      </c>
      <c r="J236" s="5" t="str">
        <f aca="false">ROUND(90*1,0)&amp;"%"</f>
        <v>90%</v>
      </c>
    </row>
    <row r="237" customFormat="false" ht="15" hidden="false" customHeight="false" outlineLevel="0" collapsed="false">
      <c r="A237" s="6" t="s">
        <v>11598</v>
      </c>
      <c r="B237" s="6" t="s">
        <v>392</v>
      </c>
      <c r="C237" s="6" t="s">
        <v>133</v>
      </c>
      <c r="D237" s="6" t="s">
        <v>34</v>
      </c>
      <c r="E237" s="6" t="n">
        <f aca="false">ROUND(10144*1.05,2)</f>
        <v>10651.2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11599</v>
      </c>
      <c r="B238" s="5" t="s">
        <v>394</v>
      </c>
      <c r="C238" s="5" t="s">
        <v>133</v>
      </c>
      <c r="D238" s="5" t="s">
        <v>39</v>
      </c>
      <c r="E238" s="5" t="n">
        <f aca="false">ROUND(14195*1.05,2)</f>
        <v>14904.75</v>
      </c>
      <c r="F238" s="5" t="s">
        <v>40</v>
      </c>
      <c r="G238" s="5" t="s">
        <v>24</v>
      </c>
      <c r="H238" s="5" t="n">
        <f aca="true">ROUND(RAND()*4+6,1)</f>
        <v>6.7</v>
      </c>
      <c r="I238" s="5" t="s">
        <v>41</v>
      </c>
      <c r="J238" s="5" t="str">
        <f aca="false">ROUND(74*1,0)&amp;"%"</f>
        <v>74%</v>
      </c>
    </row>
    <row r="239" customFormat="false" ht="15" hidden="false" customHeight="false" outlineLevel="0" collapsed="false">
      <c r="A239" s="6" t="s">
        <v>11600</v>
      </c>
      <c r="B239" s="6" t="s">
        <v>396</v>
      </c>
      <c r="C239" s="6" t="s">
        <v>133</v>
      </c>
      <c r="D239" s="6" t="s">
        <v>44</v>
      </c>
      <c r="E239" s="6" t="n">
        <f aca="false">ROUND(13948*1.05,2)</f>
        <v>14645.4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ROUND(71*1,0)&amp;"%"</f>
        <v>71%</v>
      </c>
    </row>
    <row r="240" customFormat="false" ht="15" hidden="false" customHeight="false" outlineLevel="0" collapsed="false">
      <c r="A240" s="5" t="s">
        <v>11601</v>
      </c>
      <c r="B240" s="5" t="s">
        <v>398</v>
      </c>
      <c r="C240" s="5" t="s">
        <v>133</v>
      </c>
      <c r="D240" s="5" t="s">
        <v>16</v>
      </c>
      <c r="E240" s="5" t="n">
        <f aca="false">ROUND(6103*1.05,2)</f>
        <v>6408.15</v>
      </c>
      <c r="F240" s="5" t="s">
        <v>49</v>
      </c>
      <c r="G240" s="5" t="s">
        <v>18</v>
      </c>
      <c r="H240" s="5" t="n">
        <f aca="true">ROUND(RAND()*4+6,1)</f>
        <v>8.5</v>
      </c>
      <c r="I240" s="5" t="s">
        <v>19</v>
      </c>
      <c r="J240" s="5" t="str">
        <f aca="false">ROUND(88*1,0)&amp;"%"</f>
        <v>88%</v>
      </c>
    </row>
    <row r="241" customFormat="false" ht="15" hidden="false" customHeight="false" outlineLevel="0" collapsed="false">
      <c r="A241" s="6" t="s">
        <v>11602</v>
      </c>
      <c r="B241" s="6" t="s">
        <v>400</v>
      </c>
      <c r="C241" s="6" t="s">
        <v>133</v>
      </c>
      <c r="D241" s="6" t="s">
        <v>22</v>
      </c>
      <c r="E241" s="6" t="n">
        <f aca="false">ROUND(10497*1.05,2)</f>
        <v>11021.85</v>
      </c>
      <c r="F241" s="6" t="s">
        <v>52</v>
      </c>
      <c r="G241" s="6" t="s">
        <v>24</v>
      </c>
      <c r="H241" s="6" t="n">
        <f aca="true">ROUND(RAND()*4+6,1)</f>
        <v>8.4</v>
      </c>
      <c r="I241" s="6" t="s">
        <v>25</v>
      </c>
      <c r="J241" s="6" t="str">
        <f aca="false">ROUND(87*1,0)&amp;"%"</f>
        <v>87%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11603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11604</v>
      </c>
      <c r="B246" s="5" t="s">
        <v>404</v>
      </c>
      <c r="C246" s="5" t="s">
        <v>152</v>
      </c>
      <c r="D246" s="5" t="s">
        <v>16</v>
      </c>
      <c r="E246" s="5" t="n">
        <f aca="false">ROUND(17130*1.05,2)</f>
        <v>17986.5</v>
      </c>
      <c r="F246" s="5" t="s">
        <v>17</v>
      </c>
      <c r="G246" s="5" t="s">
        <v>18</v>
      </c>
      <c r="H246" s="5" t="n">
        <f aca="true">ROUND(RAND()*4+6,1)</f>
        <v>8</v>
      </c>
      <c r="I246" s="5" t="s">
        <v>19</v>
      </c>
      <c r="J246" s="5" t="str">
        <f aca="false">ROUND(70*1,0)&amp;"%"</f>
        <v>70%</v>
      </c>
    </row>
    <row r="247" customFormat="false" ht="15" hidden="false" customHeight="false" outlineLevel="0" collapsed="false">
      <c r="A247" s="6" t="s">
        <v>11605</v>
      </c>
      <c r="B247" s="6" t="s">
        <v>406</v>
      </c>
      <c r="C247" s="6" t="s">
        <v>152</v>
      </c>
      <c r="D247" s="6" t="s">
        <v>22</v>
      </c>
      <c r="E247" s="6" t="n">
        <f aca="false">ROUND(14116*1.05,2)</f>
        <v>14821.8</v>
      </c>
      <c r="F247" s="6" t="s">
        <v>23</v>
      </c>
      <c r="G247" s="6" t="s">
        <v>24</v>
      </c>
      <c r="H247" s="6" t="n">
        <f aca="true">ROUND(RAND()*4+6,1)</f>
        <v>6.3</v>
      </c>
      <c r="I247" s="6" t="s">
        <v>25</v>
      </c>
      <c r="J247" s="6" t="str">
        <f aca="false">ROUND(99*1,0)&amp;"%"</f>
        <v>99%</v>
      </c>
    </row>
    <row r="248" customFormat="false" ht="15" hidden="false" customHeight="false" outlineLevel="0" collapsed="false">
      <c r="A248" s="5" t="s">
        <v>11606</v>
      </c>
      <c r="B248" s="5" t="s">
        <v>408</v>
      </c>
      <c r="C248" s="5" t="s">
        <v>152</v>
      </c>
      <c r="D248" s="5" t="s">
        <v>28</v>
      </c>
      <c r="E248" s="5" t="n">
        <f aca="false">ROUND(15277*1.05,2)</f>
        <v>16040.85</v>
      </c>
      <c r="F248" s="5" t="s">
        <v>29</v>
      </c>
      <c r="G248" s="5" t="s">
        <v>30</v>
      </c>
      <c r="H248" s="5" t="n">
        <f aca="true">ROUND(RAND()*4+6,1)</f>
        <v>6.6</v>
      </c>
      <c r="I248" s="5" t="s">
        <v>31</v>
      </c>
      <c r="J248" s="5" t="str">
        <f aca="false">ROUND(70*1,0)&amp;"%"</f>
        <v>70%</v>
      </c>
    </row>
    <row r="249" customFormat="false" ht="15" hidden="false" customHeight="false" outlineLevel="0" collapsed="false">
      <c r="A249" s="6" t="s">
        <v>11607</v>
      </c>
      <c r="B249" s="6" t="s">
        <v>410</v>
      </c>
      <c r="C249" s="6" t="s">
        <v>152</v>
      </c>
      <c r="D249" s="6" t="s">
        <v>34</v>
      </c>
      <c r="E249" s="6" t="n">
        <f aca="false">ROUND(17290*1.05,2)</f>
        <v>18154.5</v>
      </c>
      <c r="F249" s="6" t="s">
        <v>35</v>
      </c>
      <c r="G249" s="6" t="s">
        <v>18</v>
      </c>
      <c r="H249" s="6" t="n">
        <f aca="true">ROUND(RAND()*4+6,1)</f>
        <v>8.4</v>
      </c>
      <c r="I249" s="6" t="s">
        <v>36</v>
      </c>
      <c r="J249" s="6" t="str">
        <f aca="false">ROUND(97*1,0)&amp;"%"</f>
        <v>97%</v>
      </c>
    </row>
    <row r="250" customFormat="false" ht="15" hidden="false" customHeight="false" outlineLevel="0" collapsed="false">
      <c r="A250" s="5" t="s">
        <v>11608</v>
      </c>
      <c r="B250" s="5" t="s">
        <v>412</v>
      </c>
      <c r="C250" s="5" t="s">
        <v>152</v>
      </c>
      <c r="D250" s="5" t="s">
        <v>39</v>
      </c>
      <c r="E250" s="5" t="n">
        <f aca="false">ROUND(10363*1.05,2)</f>
        <v>10881.15</v>
      </c>
      <c r="F250" s="5" t="s">
        <v>40</v>
      </c>
      <c r="G250" s="5" t="s">
        <v>24</v>
      </c>
      <c r="H250" s="5" t="n">
        <f aca="true">ROUND(RAND()*4+6,1)</f>
        <v>6.2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11609</v>
      </c>
      <c r="B251" s="6" t="s">
        <v>414</v>
      </c>
      <c r="C251" s="6" t="s">
        <v>152</v>
      </c>
      <c r="D251" s="6" t="s">
        <v>44</v>
      </c>
      <c r="E251" s="6" t="n">
        <f aca="false">ROUND(15868*1.05,2)</f>
        <v>16661.4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ROUND(68*1,0)&amp;"%"</f>
        <v>68%</v>
      </c>
    </row>
    <row r="252" customFormat="false" ht="15" hidden="false" customHeight="false" outlineLevel="0" collapsed="false">
      <c r="A252" s="5" t="s">
        <v>11610</v>
      </c>
      <c r="B252" s="5" t="s">
        <v>416</v>
      </c>
      <c r="C252" s="5" t="s">
        <v>152</v>
      </c>
      <c r="D252" s="5" t="s">
        <v>16</v>
      </c>
      <c r="E252" s="5" t="n">
        <f aca="false">ROUND(14042*1.05,2)</f>
        <v>14744.1</v>
      </c>
      <c r="F252" s="5" t="s">
        <v>49</v>
      </c>
      <c r="G252" s="5" t="s">
        <v>18</v>
      </c>
      <c r="H252" s="5" t="n">
        <f aca="true">ROUND(RAND()*4+6,1)</f>
        <v>7.6</v>
      </c>
      <c r="I252" s="5" t="s">
        <v>19</v>
      </c>
      <c r="J252" s="5" t="str">
        <f aca="false">ROUND(87*1,0)&amp;"%"</f>
        <v>87%</v>
      </c>
    </row>
    <row r="253" customFormat="false" ht="15" hidden="false" customHeight="false" outlineLevel="0" collapsed="false">
      <c r="A253" s="6" t="s">
        <v>11611</v>
      </c>
      <c r="B253" s="6" t="s">
        <v>418</v>
      </c>
      <c r="C253" s="6" t="s">
        <v>152</v>
      </c>
      <c r="D253" s="6" t="s">
        <v>22</v>
      </c>
      <c r="E253" s="6" t="n">
        <f aca="false">ROUND(7777*1.05,2)</f>
        <v>8165.85</v>
      </c>
      <c r="F253" s="6" t="s">
        <v>52</v>
      </c>
      <c r="G253" s="6" t="s">
        <v>24</v>
      </c>
      <c r="H253" s="6" t="n">
        <f aca="true">ROUND(RAND()*4+6,1)</f>
        <v>7.6</v>
      </c>
      <c r="I253" s="6" t="s">
        <v>25</v>
      </c>
      <c r="J253" s="6" t="str">
        <f aca="false">ROUND(64*1,0)&amp;"%"</f>
        <v>64%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11612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11613</v>
      </c>
      <c r="B258" s="5" t="s">
        <v>422</v>
      </c>
      <c r="C258" s="5" t="s">
        <v>15</v>
      </c>
      <c r="D258" s="5" t="s">
        <v>16</v>
      </c>
      <c r="E258" s="5" t="n">
        <f aca="false">ROUND(7693*1.05,2)</f>
        <v>8077.65</v>
      </c>
      <c r="F258" s="5" t="s">
        <v>17</v>
      </c>
      <c r="G258" s="5" t="s">
        <v>18</v>
      </c>
      <c r="H258" s="5" t="n">
        <f aca="true">ROUND(RAND()*4+6,1)</f>
        <v>6.9</v>
      </c>
      <c r="I258" s="5" t="s">
        <v>19</v>
      </c>
      <c r="J258" s="5" t="str">
        <f aca="false">ROUND(66*1,0)&amp;"%"</f>
        <v>66%</v>
      </c>
    </row>
    <row r="259" customFormat="false" ht="15" hidden="false" customHeight="false" outlineLevel="0" collapsed="false">
      <c r="A259" s="6" t="s">
        <v>11614</v>
      </c>
      <c r="B259" s="6" t="s">
        <v>424</v>
      </c>
      <c r="C259" s="6" t="s">
        <v>15</v>
      </c>
      <c r="D259" s="6" t="s">
        <v>22</v>
      </c>
      <c r="E259" s="6" t="n">
        <f aca="false">ROUND(13953*1.05,2)</f>
        <v>14650.65</v>
      </c>
      <c r="F259" s="6" t="s">
        <v>23</v>
      </c>
      <c r="G259" s="6" t="s">
        <v>24</v>
      </c>
      <c r="H259" s="6" t="n">
        <f aca="true">ROUND(RAND()*4+6,1)</f>
        <v>8.9</v>
      </c>
      <c r="I259" s="6" t="s">
        <v>25</v>
      </c>
      <c r="J259" s="6" t="str">
        <f aca="false">ROUND(81*1,0)&amp;"%"</f>
        <v>81%</v>
      </c>
    </row>
    <row r="260" customFormat="false" ht="15" hidden="false" customHeight="false" outlineLevel="0" collapsed="false">
      <c r="A260" s="5" t="s">
        <v>11615</v>
      </c>
      <c r="B260" s="5" t="s">
        <v>426</v>
      </c>
      <c r="C260" s="5" t="s">
        <v>15</v>
      </c>
      <c r="D260" s="5" t="s">
        <v>28</v>
      </c>
      <c r="E260" s="5" t="n">
        <f aca="false">ROUND(17462*1.05,2)</f>
        <v>18335.1</v>
      </c>
      <c r="F260" s="5" t="s">
        <v>29</v>
      </c>
      <c r="G260" s="5" t="s">
        <v>30</v>
      </c>
      <c r="H260" s="5" t="n">
        <f aca="true">ROUND(RAND()*4+6,1)</f>
        <v>8.4</v>
      </c>
      <c r="I260" s="5" t="s">
        <v>31</v>
      </c>
      <c r="J260" s="5" t="str">
        <f aca="false">ROUND(98*1,0)&amp;"%"</f>
        <v>98%</v>
      </c>
    </row>
    <row r="261" customFormat="false" ht="15" hidden="false" customHeight="false" outlineLevel="0" collapsed="false">
      <c r="A261" s="6" t="s">
        <v>11616</v>
      </c>
      <c r="B261" s="6" t="s">
        <v>428</v>
      </c>
      <c r="C261" s="6" t="s">
        <v>15</v>
      </c>
      <c r="D261" s="6" t="s">
        <v>34</v>
      </c>
      <c r="E261" s="6" t="n">
        <f aca="false">ROUND(14355*1.05,2)</f>
        <v>15072.75</v>
      </c>
      <c r="F261" s="6" t="s">
        <v>35</v>
      </c>
      <c r="G261" s="6" t="s">
        <v>18</v>
      </c>
      <c r="H261" s="6" t="n">
        <f aca="true">ROUND(RAND()*4+6,1)</f>
        <v>9.9</v>
      </c>
      <c r="I261" s="6" t="s">
        <v>36</v>
      </c>
      <c r="J261" s="6" t="str">
        <f aca="false">ROUND(73*1,0)&amp;"%"</f>
        <v>73%</v>
      </c>
    </row>
    <row r="262" customFormat="false" ht="15" hidden="false" customHeight="false" outlineLevel="0" collapsed="false">
      <c r="A262" s="5" t="s">
        <v>11617</v>
      </c>
      <c r="B262" s="5" t="s">
        <v>430</v>
      </c>
      <c r="C262" s="5" t="s">
        <v>15</v>
      </c>
      <c r="D262" s="5" t="s">
        <v>39</v>
      </c>
      <c r="E262" s="5" t="n">
        <f aca="false">ROUND(12975*1.05,2)</f>
        <v>13623.75</v>
      </c>
      <c r="F262" s="5" t="s">
        <v>40</v>
      </c>
      <c r="G262" s="5" t="s">
        <v>24</v>
      </c>
      <c r="H262" s="5" t="n">
        <f aca="true">ROUND(RAND()*4+6,1)</f>
        <v>8.4</v>
      </c>
      <c r="I262" s="5" t="s">
        <v>41</v>
      </c>
      <c r="J262" s="5" t="str">
        <f aca="false">ROUND(84*1,0)&amp;"%"</f>
        <v>84%</v>
      </c>
    </row>
    <row r="263" customFormat="false" ht="15" hidden="false" customHeight="false" outlineLevel="0" collapsed="false">
      <c r="A263" s="6" t="s">
        <v>11618</v>
      </c>
      <c r="B263" s="6" t="s">
        <v>432</v>
      </c>
      <c r="C263" s="6" t="s">
        <v>15</v>
      </c>
      <c r="D263" s="6" t="s">
        <v>44</v>
      </c>
      <c r="E263" s="6" t="n">
        <f aca="false">ROUND(12053*1.05,2)</f>
        <v>12655.65</v>
      </c>
      <c r="F263" s="6" t="s">
        <v>45</v>
      </c>
      <c r="G263" s="6" t="s">
        <v>30</v>
      </c>
      <c r="H263" s="6" t="n">
        <f aca="true">ROUND(RAND()*4+6,1)</f>
        <v>8.7</v>
      </c>
      <c r="I263" s="6" t="s">
        <v>46</v>
      </c>
      <c r="J263" s="6" t="str">
        <f aca="false">ROUND(95*1,0)&amp;"%"</f>
        <v>95%</v>
      </c>
    </row>
    <row r="264" customFormat="false" ht="15" hidden="false" customHeight="false" outlineLevel="0" collapsed="false">
      <c r="A264" s="5" t="s">
        <v>11619</v>
      </c>
      <c r="B264" s="5" t="s">
        <v>434</v>
      </c>
      <c r="C264" s="5" t="s">
        <v>15</v>
      </c>
      <c r="D264" s="5" t="s">
        <v>16</v>
      </c>
      <c r="E264" s="5" t="n">
        <f aca="false">ROUND(12693*1.05,2)</f>
        <v>13327.65</v>
      </c>
      <c r="F264" s="5" t="s">
        <v>49</v>
      </c>
      <c r="G264" s="5" t="s">
        <v>18</v>
      </c>
      <c r="H264" s="5" t="n">
        <f aca="true">ROUND(RAND()*4+6,1)</f>
        <v>9.4</v>
      </c>
      <c r="I264" s="5" t="s">
        <v>19</v>
      </c>
      <c r="J264" s="5" t="str">
        <f aca="false">ROUND(92*1,0)&amp;"%"</f>
        <v>92%</v>
      </c>
    </row>
    <row r="265" customFormat="false" ht="15" hidden="false" customHeight="false" outlineLevel="0" collapsed="false">
      <c r="A265" s="6" t="s">
        <v>11620</v>
      </c>
      <c r="B265" s="6" t="s">
        <v>436</v>
      </c>
      <c r="C265" s="6" t="s">
        <v>15</v>
      </c>
      <c r="D265" s="6" t="s">
        <v>22</v>
      </c>
      <c r="E265" s="6" t="n">
        <f aca="false">ROUND(6359*1.05,2)</f>
        <v>6676.95</v>
      </c>
      <c r="F265" s="6" t="s">
        <v>52</v>
      </c>
      <c r="G265" s="6" t="s">
        <v>24</v>
      </c>
      <c r="H265" s="6" t="n">
        <f aca="true">ROUND(RAND()*4+6,1)</f>
        <v>7.6</v>
      </c>
      <c r="I265" s="6" t="s">
        <v>25</v>
      </c>
      <c r="J265" s="6" t="str">
        <f aca="false">ROUND(80*1,0)&amp;"%"</f>
        <v>80%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11621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11622</v>
      </c>
      <c r="B270" s="5" t="s">
        <v>440</v>
      </c>
      <c r="C270" s="5" t="s">
        <v>57</v>
      </c>
      <c r="D270" s="5" t="s">
        <v>16</v>
      </c>
      <c r="E270" s="5" t="n">
        <f aca="false">ROUND(5205*1.05,2)</f>
        <v>5465.25</v>
      </c>
      <c r="F270" s="5" t="s">
        <v>17</v>
      </c>
      <c r="G270" s="5" t="s">
        <v>18</v>
      </c>
      <c r="H270" s="5" t="n">
        <f aca="true">ROUND(RAND()*4+6,1)</f>
        <v>9.3</v>
      </c>
      <c r="I270" s="5" t="s">
        <v>19</v>
      </c>
      <c r="J270" s="5" t="str">
        <f aca="false">ROUND(62*1,0)&amp;"%"</f>
        <v>62%</v>
      </c>
    </row>
    <row r="271" customFormat="false" ht="15" hidden="false" customHeight="false" outlineLevel="0" collapsed="false">
      <c r="A271" s="6" t="s">
        <v>11623</v>
      </c>
      <c r="B271" s="6" t="s">
        <v>442</v>
      </c>
      <c r="C271" s="6" t="s">
        <v>57</v>
      </c>
      <c r="D271" s="6" t="s">
        <v>22</v>
      </c>
      <c r="E271" s="6" t="n">
        <f aca="false">ROUND(5002*1.05,2)</f>
        <v>5252.1</v>
      </c>
      <c r="F271" s="6" t="s">
        <v>23</v>
      </c>
      <c r="G271" s="6" t="s">
        <v>24</v>
      </c>
      <c r="H271" s="6" t="n">
        <f aca="true">ROUND(RAND()*4+6,1)</f>
        <v>8.1</v>
      </c>
      <c r="I271" s="6" t="s">
        <v>25</v>
      </c>
      <c r="J271" s="6" t="str">
        <f aca="false">ROUND(95*1,0)&amp;"%"</f>
        <v>95%</v>
      </c>
    </row>
    <row r="272" customFormat="false" ht="15" hidden="false" customHeight="false" outlineLevel="0" collapsed="false">
      <c r="A272" s="5" t="s">
        <v>11624</v>
      </c>
      <c r="B272" s="5" t="s">
        <v>444</v>
      </c>
      <c r="C272" s="5" t="s">
        <v>57</v>
      </c>
      <c r="D272" s="5" t="s">
        <v>28</v>
      </c>
      <c r="E272" s="5" t="n">
        <f aca="false">ROUND(17086*1.05,2)</f>
        <v>17940.3</v>
      </c>
      <c r="F272" s="5" t="s">
        <v>29</v>
      </c>
      <c r="G272" s="5" t="s">
        <v>30</v>
      </c>
      <c r="H272" s="5" t="n">
        <f aca="true">ROUND(RAND()*4+6,1)</f>
        <v>7.9</v>
      </c>
      <c r="I272" s="5" t="s">
        <v>31</v>
      </c>
      <c r="J272" s="5" t="str">
        <f aca="false">ROUND(79*1,0)&amp;"%"</f>
        <v>79%</v>
      </c>
    </row>
    <row r="273" customFormat="false" ht="15" hidden="false" customHeight="false" outlineLevel="0" collapsed="false">
      <c r="A273" s="6" t="s">
        <v>11625</v>
      </c>
      <c r="B273" s="6" t="s">
        <v>446</v>
      </c>
      <c r="C273" s="6" t="s">
        <v>57</v>
      </c>
      <c r="D273" s="6" t="s">
        <v>34</v>
      </c>
      <c r="E273" s="6" t="n">
        <f aca="false">ROUND(14971*1.05,2)</f>
        <v>15719.55</v>
      </c>
      <c r="F273" s="6" t="s">
        <v>35</v>
      </c>
      <c r="G273" s="6" t="s">
        <v>18</v>
      </c>
      <c r="H273" s="6" t="n">
        <f aca="true">ROUND(RAND()*4+6,1)</f>
        <v>9.4</v>
      </c>
      <c r="I273" s="6" t="s">
        <v>36</v>
      </c>
      <c r="J273" s="6" t="str">
        <f aca="false">ROUND(72*1,0)&amp;"%"</f>
        <v>72%</v>
      </c>
    </row>
    <row r="274" customFormat="false" ht="15" hidden="false" customHeight="false" outlineLevel="0" collapsed="false">
      <c r="A274" s="5" t="s">
        <v>11626</v>
      </c>
      <c r="B274" s="5" t="s">
        <v>448</v>
      </c>
      <c r="C274" s="5" t="s">
        <v>57</v>
      </c>
      <c r="D274" s="5" t="s">
        <v>39</v>
      </c>
      <c r="E274" s="5" t="n">
        <f aca="false">ROUND(6492*1.05,2)</f>
        <v>6816.6</v>
      </c>
      <c r="F274" s="5" t="s">
        <v>40</v>
      </c>
      <c r="G274" s="5" t="s">
        <v>24</v>
      </c>
      <c r="H274" s="5" t="n">
        <f aca="true">ROUND(RAND()*4+6,1)</f>
        <v>9.5</v>
      </c>
      <c r="I274" s="5" t="s">
        <v>41</v>
      </c>
      <c r="J274" s="5" t="str">
        <f aca="false">ROUND(91*1,0)&amp;"%"</f>
        <v>91%</v>
      </c>
    </row>
    <row r="275" customFormat="false" ht="15" hidden="false" customHeight="false" outlineLevel="0" collapsed="false">
      <c r="A275" s="6" t="s">
        <v>11627</v>
      </c>
      <c r="B275" s="6" t="s">
        <v>450</v>
      </c>
      <c r="C275" s="6" t="s">
        <v>57</v>
      </c>
      <c r="D275" s="6" t="s">
        <v>44</v>
      </c>
      <c r="E275" s="6" t="n">
        <f aca="false">ROUND(11865*1.05,2)</f>
        <v>12458.25</v>
      </c>
      <c r="F275" s="6" t="s">
        <v>45</v>
      </c>
      <c r="G275" s="6" t="s">
        <v>30</v>
      </c>
      <c r="H275" s="6" t="n">
        <f aca="true">ROUND(RAND()*4+6,1)</f>
        <v>8.2</v>
      </c>
      <c r="I275" s="6" t="s">
        <v>46</v>
      </c>
      <c r="J275" s="6" t="str">
        <f aca="false">ROUND(73*1,0)&amp;"%"</f>
        <v>73%</v>
      </c>
    </row>
    <row r="276" customFormat="false" ht="15" hidden="false" customHeight="false" outlineLevel="0" collapsed="false">
      <c r="A276" s="5" t="s">
        <v>11628</v>
      </c>
      <c r="B276" s="5" t="s">
        <v>452</v>
      </c>
      <c r="C276" s="5" t="s">
        <v>57</v>
      </c>
      <c r="D276" s="5" t="s">
        <v>16</v>
      </c>
      <c r="E276" s="5" t="n">
        <f aca="false">ROUND(17152*1.05,2)</f>
        <v>18009.6</v>
      </c>
      <c r="F276" s="5" t="s">
        <v>49</v>
      </c>
      <c r="G276" s="5" t="s">
        <v>18</v>
      </c>
      <c r="H276" s="5" t="n">
        <f aca="true">ROUND(RAND()*4+6,1)</f>
        <v>9.1</v>
      </c>
      <c r="I276" s="5" t="s">
        <v>19</v>
      </c>
      <c r="J276" s="5" t="str">
        <f aca="false">ROUND(61*1,0)&amp;"%"</f>
        <v>61%</v>
      </c>
    </row>
    <row r="277" customFormat="false" ht="15" hidden="false" customHeight="false" outlineLevel="0" collapsed="false">
      <c r="A277" s="6" t="s">
        <v>11629</v>
      </c>
      <c r="B277" s="6" t="s">
        <v>454</v>
      </c>
      <c r="C277" s="6" t="s">
        <v>57</v>
      </c>
      <c r="D277" s="6" t="s">
        <v>22</v>
      </c>
      <c r="E277" s="6" t="n">
        <f aca="false">ROUND(8245*1.05,2)</f>
        <v>8657.25</v>
      </c>
      <c r="F277" s="6" t="s">
        <v>52</v>
      </c>
      <c r="G277" s="6" t="s">
        <v>24</v>
      </c>
      <c r="H277" s="6" t="n">
        <f aca="true">ROUND(RAND()*4+6,1)</f>
        <v>6.9</v>
      </c>
      <c r="I277" s="6" t="s">
        <v>25</v>
      </c>
      <c r="J277" s="6" t="str">
        <f aca="false">ROUND(97*1,0)&amp;"%"</f>
        <v>97%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11630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11631</v>
      </c>
      <c r="B282" s="5" t="s">
        <v>458</v>
      </c>
      <c r="C282" s="5" t="s">
        <v>76</v>
      </c>
      <c r="D282" s="5" t="s">
        <v>16</v>
      </c>
      <c r="E282" s="5" t="n">
        <f aca="false">ROUND(12380*1.05,2)</f>
        <v>12999</v>
      </c>
      <c r="F282" s="5" t="s">
        <v>17</v>
      </c>
      <c r="G282" s="5" t="s">
        <v>18</v>
      </c>
      <c r="H282" s="5" t="n">
        <f aca="true">ROUND(RAND()*4+6,1)</f>
        <v>9.3</v>
      </c>
      <c r="I282" s="5" t="s">
        <v>19</v>
      </c>
      <c r="J282" s="5" t="str">
        <f aca="false">ROUND(93*1,0)&amp;"%"</f>
        <v>93%</v>
      </c>
    </row>
    <row r="283" customFormat="false" ht="15" hidden="false" customHeight="false" outlineLevel="0" collapsed="false">
      <c r="A283" s="6" t="s">
        <v>11632</v>
      </c>
      <c r="B283" s="6" t="s">
        <v>460</v>
      </c>
      <c r="C283" s="6" t="s">
        <v>76</v>
      </c>
      <c r="D283" s="6" t="s">
        <v>22</v>
      </c>
      <c r="E283" s="6" t="n">
        <f aca="false">ROUND(15834*1.05,2)</f>
        <v>16625.7</v>
      </c>
      <c r="F283" s="6" t="s">
        <v>23</v>
      </c>
      <c r="G283" s="6" t="s">
        <v>24</v>
      </c>
      <c r="H283" s="6" t="n">
        <f aca="true">ROUND(RAND()*4+6,1)</f>
        <v>7.4</v>
      </c>
      <c r="I283" s="6" t="s">
        <v>25</v>
      </c>
      <c r="J283" s="6" t="str">
        <f aca="false">ROUND(72*1,0)&amp;"%"</f>
        <v>72%</v>
      </c>
    </row>
    <row r="284" customFormat="false" ht="15" hidden="false" customHeight="false" outlineLevel="0" collapsed="false">
      <c r="A284" s="5" t="s">
        <v>11633</v>
      </c>
      <c r="B284" s="5" t="s">
        <v>462</v>
      </c>
      <c r="C284" s="5" t="s">
        <v>76</v>
      </c>
      <c r="D284" s="5" t="s">
        <v>28</v>
      </c>
      <c r="E284" s="5" t="n">
        <f aca="false">ROUND(11029*1.05,2)</f>
        <v>11580.45</v>
      </c>
      <c r="F284" s="5" t="s">
        <v>29</v>
      </c>
      <c r="G284" s="5" t="s">
        <v>30</v>
      </c>
      <c r="H284" s="5" t="n">
        <f aca="true">ROUND(RAND()*4+6,1)</f>
        <v>8</v>
      </c>
      <c r="I284" s="5" t="s">
        <v>31</v>
      </c>
      <c r="J284" s="5" t="str">
        <f aca="false">ROUND(100*1,0)&amp;"%"</f>
        <v>100%</v>
      </c>
    </row>
    <row r="285" customFormat="false" ht="15" hidden="false" customHeight="false" outlineLevel="0" collapsed="false">
      <c r="A285" s="6" t="s">
        <v>11634</v>
      </c>
      <c r="B285" s="6" t="s">
        <v>464</v>
      </c>
      <c r="C285" s="6" t="s">
        <v>76</v>
      </c>
      <c r="D285" s="6" t="s">
        <v>34</v>
      </c>
      <c r="E285" s="6" t="n">
        <f aca="false">ROUND(12770*1.05,2)</f>
        <v>13408.5</v>
      </c>
      <c r="F285" s="6" t="s">
        <v>35</v>
      </c>
      <c r="G285" s="6" t="s">
        <v>18</v>
      </c>
      <c r="H285" s="6" t="n">
        <f aca="true">ROUND(RAND()*4+6,1)</f>
        <v>8.6</v>
      </c>
      <c r="I285" s="6" t="s">
        <v>36</v>
      </c>
      <c r="J285" s="6" t="str">
        <f aca="false">ROUND(67*1,0)&amp;"%"</f>
        <v>67%</v>
      </c>
    </row>
    <row r="286" customFormat="false" ht="15" hidden="false" customHeight="false" outlineLevel="0" collapsed="false">
      <c r="A286" s="5" t="s">
        <v>11635</v>
      </c>
      <c r="B286" s="5" t="s">
        <v>466</v>
      </c>
      <c r="C286" s="5" t="s">
        <v>76</v>
      </c>
      <c r="D286" s="5" t="s">
        <v>39</v>
      </c>
      <c r="E286" s="5" t="n">
        <f aca="false">ROUND(9648*1.05,2)</f>
        <v>10130.4</v>
      </c>
      <c r="F286" s="5" t="s">
        <v>40</v>
      </c>
      <c r="G286" s="5" t="s">
        <v>24</v>
      </c>
      <c r="H286" s="5" t="n">
        <f aca="true">ROUND(RAND()*4+6,1)</f>
        <v>8.6</v>
      </c>
      <c r="I286" s="5" t="s">
        <v>41</v>
      </c>
      <c r="J286" s="5" t="str">
        <f aca="false">ROUND(80*1,0)&amp;"%"</f>
        <v>80%</v>
      </c>
    </row>
    <row r="287" customFormat="false" ht="15" hidden="false" customHeight="false" outlineLevel="0" collapsed="false">
      <c r="A287" s="6" t="s">
        <v>11636</v>
      </c>
      <c r="B287" s="6" t="s">
        <v>468</v>
      </c>
      <c r="C287" s="6" t="s">
        <v>76</v>
      </c>
      <c r="D287" s="6" t="s">
        <v>44</v>
      </c>
      <c r="E287" s="6" t="n">
        <f aca="false">ROUND(5912*1.05,2)</f>
        <v>6207.6</v>
      </c>
      <c r="F287" s="6" t="s">
        <v>45</v>
      </c>
      <c r="G287" s="6" t="s">
        <v>30</v>
      </c>
      <c r="H287" s="6" t="n">
        <f aca="true">ROUND(RAND()*4+6,1)</f>
        <v>8.9</v>
      </c>
      <c r="I287" s="6" t="s">
        <v>46</v>
      </c>
      <c r="J287" s="6" t="str">
        <f aca="false">ROUND(70*1,0)&amp;"%"</f>
        <v>70%</v>
      </c>
    </row>
    <row r="288" customFormat="false" ht="15" hidden="false" customHeight="false" outlineLevel="0" collapsed="false">
      <c r="A288" s="5" t="s">
        <v>11637</v>
      </c>
      <c r="B288" s="5" t="s">
        <v>470</v>
      </c>
      <c r="C288" s="5" t="s">
        <v>76</v>
      </c>
      <c r="D288" s="5" t="s">
        <v>16</v>
      </c>
      <c r="E288" s="5" t="n">
        <f aca="false">ROUND(15665*1.05,2)</f>
        <v>16448.25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ROUND(91*1,0)&amp;"%"</f>
        <v>91%</v>
      </c>
    </row>
    <row r="289" customFormat="false" ht="15" hidden="false" customHeight="false" outlineLevel="0" collapsed="false">
      <c r="A289" s="6" t="s">
        <v>11638</v>
      </c>
      <c r="B289" s="6" t="s">
        <v>472</v>
      </c>
      <c r="C289" s="6" t="s">
        <v>76</v>
      </c>
      <c r="D289" s="6" t="s">
        <v>22</v>
      </c>
      <c r="E289" s="6" t="n">
        <f aca="false">ROUND(5397*1.05,2)</f>
        <v>5666.85</v>
      </c>
      <c r="F289" s="6" t="s">
        <v>52</v>
      </c>
      <c r="G289" s="6" t="s">
        <v>24</v>
      </c>
      <c r="H289" s="6" t="n">
        <f aca="true">ROUND(RAND()*4+6,1)</f>
        <v>7.7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11639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11640</v>
      </c>
      <c r="B294" s="5" t="s">
        <v>476</v>
      </c>
      <c r="C294" s="5" t="s">
        <v>95</v>
      </c>
      <c r="D294" s="5" t="s">
        <v>16</v>
      </c>
      <c r="E294" s="5" t="n">
        <f aca="false">ROUND(7983*1.05,2)</f>
        <v>8382.15</v>
      </c>
      <c r="F294" s="5" t="s">
        <v>17</v>
      </c>
      <c r="G294" s="5" t="s">
        <v>18</v>
      </c>
      <c r="H294" s="5" t="n">
        <f aca="true">ROUND(RAND()*4+6,1)</f>
        <v>9.4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11641</v>
      </c>
      <c r="B295" s="6" t="s">
        <v>478</v>
      </c>
      <c r="C295" s="6" t="s">
        <v>95</v>
      </c>
      <c r="D295" s="6" t="s">
        <v>22</v>
      </c>
      <c r="E295" s="6" t="n">
        <f aca="false">ROUND(14253*1.05,2)</f>
        <v>14965.65</v>
      </c>
      <c r="F295" s="6" t="s">
        <v>23</v>
      </c>
      <c r="G295" s="6" t="s">
        <v>24</v>
      </c>
      <c r="H295" s="6" t="n">
        <f aca="true">ROUND(RAND()*4+6,1)</f>
        <v>6.6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11642</v>
      </c>
      <c r="B296" s="5" t="s">
        <v>480</v>
      </c>
      <c r="C296" s="5" t="s">
        <v>95</v>
      </c>
      <c r="D296" s="5" t="s">
        <v>28</v>
      </c>
      <c r="E296" s="5" t="n">
        <f aca="false">ROUND(17920*1.05,2)</f>
        <v>18816</v>
      </c>
      <c r="F296" s="5" t="s">
        <v>29</v>
      </c>
      <c r="G296" s="5" t="s">
        <v>30</v>
      </c>
      <c r="H296" s="5" t="n">
        <f aca="true">ROUND(RAND()*4+6,1)</f>
        <v>6.5</v>
      </c>
      <c r="I296" s="5" t="s">
        <v>31</v>
      </c>
      <c r="J296" s="5" t="str">
        <f aca="false">ROUND(82*1,0)&amp;"%"</f>
        <v>82%</v>
      </c>
    </row>
    <row r="297" customFormat="false" ht="15" hidden="false" customHeight="false" outlineLevel="0" collapsed="false">
      <c r="A297" s="6" t="s">
        <v>11643</v>
      </c>
      <c r="B297" s="6" t="s">
        <v>482</v>
      </c>
      <c r="C297" s="6" t="s">
        <v>95</v>
      </c>
      <c r="D297" s="6" t="s">
        <v>34</v>
      </c>
      <c r="E297" s="6" t="n">
        <f aca="false">ROUND(17720*1.05,2)</f>
        <v>18606</v>
      </c>
      <c r="F297" s="6" t="s">
        <v>35</v>
      </c>
      <c r="G297" s="6" t="s">
        <v>18</v>
      </c>
      <c r="H297" s="6" t="n">
        <f aca="true">ROUND(RAND()*4+6,1)</f>
        <v>9.7</v>
      </c>
      <c r="I297" s="6" t="s">
        <v>36</v>
      </c>
      <c r="J297" s="6" t="str">
        <f aca="false">ROUND(97*1,0)&amp;"%"</f>
        <v>97%</v>
      </c>
    </row>
    <row r="298" customFormat="false" ht="15" hidden="false" customHeight="false" outlineLevel="0" collapsed="false">
      <c r="A298" s="5" t="s">
        <v>11644</v>
      </c>
      <c r="B298" s="5" t="s">
        <v>484</v>
      </c>
      <c r="C298" s="5" t="s">
        <v>95</v>
      </c>
      <c r="D298" s="5" t="s">
        <v>39</v>
      </c>
      <c r="E298" s="5" t="n">
        <f aca="false">ROUND(13152*1.05,2)</f>
        <v>13809.6</v>
      </c>
      <c r="F298" s="5" t="s">
        <v>40</v>
      </c>
      <c r="G298" s="5" t="s">
        <v>24</v>
      </c>
      <c r="H298" s="5" t="n">
        <f aca="true">ROUND(RAND()*4+6,1)</f>
        <v>6.7</v>
      </c>
      <c r="I298" s="5" t="s">
        <v>41</v>
      </c>
      <c r="J298" s="5" t="str">
        <f aca="false">ROUND(61*1,0)&amp;"%"</f>
        <v>61%</v>
      </c>
    </row>
    <row r="299" customFormat="false" ht="15" hidden="false" customHeight="false" outlineLevel="0" collapsed="false">
      <c r="A299" s="6" t="s">
        <v>11645</v>
      </c>
      <c r="B299" s="6" t="s">
        <v>486</v>
      </c>
      <c r="C299" s="6" t="s">
        <v>95</v>
      </c>
      <c r="D299" s="6" t="s">
        <v>44</v>
      </c>
      <c r="E299" s="6" t="n">
        <f aca="false">ROUND(14942*1.05,2)</f>
        <v>15689.1</v>
      </c>
      <c r="F299" s="6" t="s">
        <v>45</v>
      </c>
      <c r="G299" s="6" t="s">
        <v>30</v>
      </c>
      <c r="H299" s="6" t="n">
        <f aca="true">ROUND(RAND()*4+6,1)</f>
        <v>6.7</v>
      </c>
      <c r="I299" s="6" t="s">
        <v>46</v>
      </c>
      <c r="J299" s="6" t="str">
        <f aca="false">ROUND(78*1,0)&amp;"%"</f>
        <v>78%</v>
      </c>
    </row>
    <row r="300" customFormat="false" ht="15" hidden="false" customHeight="false" outlineLevel="0" collapsed="false">
      <c r="A300" s="5" t="s">
        <v>11646</v>
      </c>
      <c r="B300" s="5" t="s">
        <v>488</v>
      </c>
      <c r="C300" s="5" t="s">
        <v>95</v>
      </c>
      <c r="D300" s="5" t="s">
        <v>16</v>
      </c>
      <c r="E300" s="5" t="n">
        <f aca="false">ROUND(10440*1.05,2)</f>
        <v>10962</v>
      </c>
      <c r="F300" s="5" t="s">
        <v>49</v>
      </c>
      <c r="G300" s="5" t="s">
        <v>18</v>
      </c>
      <c r="H300" s="5" t="n">
        <f aca="true">ROUND(RAND()*4+6,1)</f>
        <v>7.6</v>
      </c>
      <c r="I300" s="5" t="s">
        <v>19</v>
      </c>
      <c r="J300" s="5" t="str">
        <f aca="false">ROUND(75*1,0)&amp;"%"</f>
        <v>75%</v>
      </c>
    </row>
    <row r="301" customFormat="false" ht="15" hidden="false" customHeight="false" outlineLevel="0" collapsed="false">
      <c r="A301" s="6" t="s">
        <v>11647</v>
      </c>
      <c r="B301" s="6" t="s">
        <v>490</v>
      </c>
      <c r="C301" s="6" t="s">
        <v>95</v>
      </c>
      <c r="D301" s="6" t="s">
        <v>22</v>
      </c>
      <c r="E301" s="6" t="n">
        <f aca="false">ROUND(8286*1.05,2)</f>
        <v>8700.3</v>
      </c>
      <c r="F301" s="6" t="s">
        <v>52</v>
      </c>
      <c r="G301" s="6" t="s">
        <v>24</v>
      </c>
      <c r="H301" s="6" t="n">
        <f aca="true">ROUND(RAND()*4+6,1)</f>
        <v>6.8</v>
      </c>
      <c r="I301" s="6" t="s">
        <v>25</v>
      </c>
      <c r="J301" s="6" t="str">
        <f aca="false">ROUND(77*1,0)&amp;"%"</f>
        <v>77%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11648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11649</v>
      </c>
      <c r="B306" s="5" t="s">
        <v>494</v>
      </c>
      <c r="C306" s="5" t="s">
        <v>114</v>
      </c>
      <c r="D306" s="5" t="s">
        <v>16</v>
      </c>
      <c r="E306" s="5" t="n">
        <f aca="false">ROUND(7094*1.05,2)</f>
        <v>7448.7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ROUND(96*1,0)&amp;"%"</f>
        <v>96%</v>
      </c>
    </row>
    <row r="307" customFormat="false" ht="15" hidden="false" customHeight="false" outlineLevel="0" collapsed="false">
      <c r="A307" s="6" t="s">
        <v>11650</v>
      </c>
      <c r="B307" s="6" t="s">
        <v>496</v>
      </c>
      <c r="C307" s="6" t="s">
        <v>114</v>
      </c>
      <c r="D307" s="6" t="s">
        <v>22</v>
      </c>
      <c r="E307" s="6" t="n">
        <f aca="false">ROUND(17875*1.05,2)</f>
        <v>18768.75</v>
      </c>
      <c r="F307" s="6" t="s">
        <v>23</v>
      </c>
      <c r="G307" s="6" t="s">
        <v>24</v>
      </c>
      <c r="H307" s="6" t="n">
        <f aca="true">ROUND(RAND()*4+6,1)</f>
        <v>7.7</v>
      </c>
      <c r="I307" s="6" t="s">
        <v>25</v>
      </c>
      <c r="J307" s="6" t="str">
        <f aca="false">ROUND(69*1,0)&amp;"%"</f>
        <v>69%</v>
      </c>
    </row>
    <row r="308" customFormat="false" ht="15" hidden="false" customHeight="false" outlineLevel="0" collapsed="false">
      <c r="A308" s="5" t="s">
        <v>11651</v>
      </c>
      <c r="B308" s="5" t="s">
        <v>498</v>
      </c>
      <c r="C308" s="5" t="s">
        <v>114</v>
      </c>
      <c r="D308" s="5" t="s">
        <v>28</v>
      </c>
      <c r="E308" s="5" t="n">
        <f aca="false">ROUND(17938*1.05,2)</f>
        <v>18834.9</v>
      </c>
      <c r="F308" s="5" t="s">
        <v>29</v>
      </c>
      <c r="G308" s="5" t="s">
        <v>30</v>
      </c>
      <c r="H308" s="5" t="n">
        <f aca="true">ROUND(RAND()*4+6,1)</f>
        <v>7.7</v>
      </c>
      <c r="I308" s="5" t="s">
        <v>31</v>
      </c>
      <c r="J308" s="5" t="str">
        <f aca="false">ROUND(70*1,0)&amp;"%"</f>
        <v>70%</v>
      </c>
    </row>
    <row r="309" customFormat="false" ht="15" hidden="false" customHeight="false" outlineLevel="0" collapsed="false">
      <c r="A309" s="6" t="s">
        <v>11652</v>
      </c>
      <c r="B309" s="6" t="s">
        <v>500</v>
      </c>
      <c r="C309" s="6" t="s">
        <v>114</v>
      </c>
      <c r="D309" s="6" t="s">
        <v>34</v>
      </c>
      <c r="E309" s="6" t="n">
        <f aca="false">ROUND(15231*1.05,2)</f>
        <v>15992.55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ROUND(87*1,0)&amp;"%"</f>
        <v>87%</v>
      </c>
    </row>
    <row r="310" customFormat="false" ht="15" hidden="false" customHeight="false" outlineLevel="0" collapsed="false">
      <c r="A310" s="5" t="s">
        <v>11653</v>
      </c>
      <c r="B310" s="5" t="s">
        <v>502</v>
      </c>
      <c r="C310" s="5" t="s">
        <v>114</v>
      </c>
      <c r="D310" s="5" t="s">
        <v>39</v>
      </c>
      <c r="E310" s="5" t="n">
        <f aca="false">ROUND(15700*1.05,2)</f>
        <v>16485</v>
      </c>
      <c r="F310" s="5" t="s">
        <v>40</v>
      </c>
      <c r="G310" s="5" t="s">
        <v>24</v>
      </c>
      <c r="H310" s="5" t="n">
        <f aca="true">ROUND(RAND()*4+6,1)</f>
        <v>9.9</v>
      </c>
      <c r="I310" s="5" t="s">
        <v>41</v>
      </c>
      <c r="J310" s="5" t="str">
        <f aca="false">ROUND(84*1,0)&amp;"%"</f>
        <v>84%</v>
      </c>
    </row>
    <row r="311" customFormat="false" ht="15" hidden="false" customHeight="false" outlineLevel="0" collapsed="false">
      <c r="A311" s="6" t="s">
        <v>11654</v>
      </c>
      <c r="B311" s="6" t="s">
        <v>504</v>
      </c>
      <c r="C311" s="6" t="s">
        <v>114</v>
      </c>
      <c r="D311" s="6" t="s">
        <v>44</v>
      </c>
      <c r="E311" s="6" t="n">
        <f aca="false">ROUND(15499*1.05,2)</f>
        <v>16273.95</v>
      </c>
      <c r="F311" s="6" t="s">
        <v>45</v>
      </c>
      <c r="G311" s="6" t="s">
        <v>30</v>
      </c>
      <c r="H311" s="6" t="n">
        <f aca="true">ROUND(RAND()*4+6,1)</f>
        <v>7.6</v>
      </c>
      <c r="I311" s="6" t="s">
        <v>46</v>
      </c>
      <c r="J311" s="6" t="str">
        <f aca="false">ROUND(89*1,0)&amp;"%"</f>
        <v>89%</v>
      </c>
    </row>
    <row r="312" customFormat="false" ht="15" hidden="false" customHeight="false" outlineLevel="0" collapsed="false">
      <c r="A312" s="5" t="s">
        <v>11655</v>
      </c>
      <c r="B312" s="5" t="s">
        <v>506</v>
      </c>
      <c r="C312" s="5" t="s">
        <v>114</v>
      </c>
      <c r="D312" s="5" t="s">
        <v>16</v>
      </c>
      <c r="E312" s="5" t="n">
        <f aca="false">ROUND(17933*1.05,2)</f>
        <v>18829.65</v>
      </c>
      <c r="F312" s="5" t="s">
        <v>49</v>
      </c>
      <c r="G312" s="5" t="s">
        <v>18</v>
      </c>
      <c r="H312" s="5" t="n">
        <f aca="true">ROUND(RAND()*4+6,1)</f>
        <v>8.4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11656</v>
      </c>
      <c r="B313" s="6" t="s">
        <v>508</v>
      </c>
      <c r="C313" s="6" t="s">
        <v>114</v>
      </c>
      <c r="D313" s="6" t="s">
        <v>22</v>
      </c>
      <c r="E313" s="6" t="n">
        <f aca="false">ROUND(12876*1.05,2)</f>
        <v>13519.8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ROUND(75*1,0)&amp;"%"</f>
        <v>75%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11657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11658</v>
      </c>
      <c r="B318" s="5" t="s">
        <v>512</v>
      </c>
      <c r="C318" s="5" t="s">
        <v>133</v>
      </c>
      <c r="D318" s="5" t="s">
        <v>16</v>
      </c>
      <c r="E318" s="5" t="n">
        <f aca="false">ROUND(13108*1.05,2)</f>
        <v>13763.4</v>
      </c>
      <c r="F318" s="5" t="s">
        <v>17</v>
      </c>
      <c r="G318" s="5" t="s">
        <v>18</v>
      </c>
      <c r="H318" s="5" t="n">
        <f aca="true">ROUND(RAND()*4+6,1)</f>
        <v>8.5</v>
      </c>
      <c r="I318" s="5" t="s">
        <v>19</v>
      </c>
      <c r="J318" s="5" t="str">
        <f aca="false">ROUND(65*1,0)&amp;"%"</f>
        <v>65%</v>
      </c>
    </row>
    <row r="319" customFormat="false" ht="15" hidden="false" customHeight="false" outlineLevel="0" collapsed="false">
      <c r="A319" s="6" t="s">
        <v>11659</v>
      </c>
      <c r="B319" s="6" t="s">
        <v>514</v>
      </c>
      <c r="C319" s="6" t="s">
        <v>133</v>
      </c>
      <c r="D319" s="6" t="s">
        <v>22</v>
      </c>
      <c r="E319" s="6" t="n">
        <f aca="false">ROUND(10263*1.05,2)</f>
        <v>10776.15</v>
      </c>
      <c r="F319" s="6" t="s">
        <v>23</v>
      </c>
      <c r="G319" s="6" t="s">
        <v>24</v>
      </c>
      <c r="H319" s="6" t="n">
        <f aca="true">ROUND(RAND()*4+6,1)</f>
        <v>9</v>
      </c>
      <c r="I319" s="6" t="s">
        <v>25</v>
      </c>
      <c r="J319" s="6" t="str">
        <f aca="false">ROUND(86*1,0)&amp;"%"</f>
        <v>86%</v>
      </c>
    </row>
    <row r="320" customFormat="false" ht="15" hidden="false" customHeight="false" outlineLevel="0" collapsed="false">
      <c r="A320" s="5" t="s">
        <v>11660</v>
      </c>
      <c r="B320" s="5" t="s">
        <v>516</v>
      </c>
      <c r="C320" s="5" t="s">
        <v>133</v>
      </c>
      <c r="D320" s="5" t="s">
        <v>28</v>
      </c>
      <c r="E320" s="5" t="n">
        <f aca="false">ROUND(8260*1.05,2)</f>
        <v>8673</v>
      </c>
      <c r="F320" s="5" t="s">
        <v>29</v>
      </c>
      <c r="G320" s="5" t="s">
        <v>30</v>
      </c>
      <c r="H320" s="5" t="n">
        <f aca="true">ROUND(RAND()*4+6,1)</f>
        <v>9.4</v>
      </c>
      <c r="I320" s="5" t="s">
        <v>31</v>
      </c>
      <c r="J320" s="5" t="str">
        <f aca="false">ROUND(82*1,0)&amp;"%"</f>
        <v>82%</v>
      </c>
    </row>
    <row r="321" customFormat="false" ht="15" hidden="false" customHeight="false" outlineLevel="0" collapsed="false">
      <c r="A321" s="6" t="s">
        <v>11661</v>
      </c>
      <c r="B321" s="6" t="s">
        <v>518</v>
      </c>
      <c r="C321" s="6" t="s">
        <v>133</v>
      </c>
      <c r="D321" s="6" t="s">
        <v>34</v>
      </c>
      <c r="E321" s="6" t="n">
        <f aca="false">ROUND(8259*1.05,2)</f>
        <v>8671.95</v>
      </c>
      <c r="F321" s="6" t="s">
        <v>35</v>
      </c>
      <c r="G321" s="6" t="s">
        <v>18</v>
      </c>
      <c r="H321" s="6" t="n">
        <f aca="true">ROUND(RAND()*4+6,1)</f>
        <v>7.9</v>
      </c>
      <c r="I321" s="6" t="s">
        <v>36</v>
      </c>
      <c r="J321" s="6" t="str">
        <f aca="false">ROUND(62*1,0)&amp;"%"</f>
        <v>62%</v>
      </c>
    </row>
    <row r="322" customFormat="false" ht="15" hidden="false" customHeight="false" outlineLevel="0" collapsed="false">
      <c r="A322" s="5" t="s">
        <v>11662</v>
      </c>
      <c r="B322" s="5" t="s">
        <v>520</v>
      </c>
      <c r="C322" s="5" t="s">
        <v>133</v>
      </c>
      <c r="D322" s="5" t="s">
        <v>39</v>
      </c>
      <c r="E322" s="5" t="n">
        <f aca="false">ROUND(6508*1.05,2)</f>
        <v>6833.4</v>
      </c>
      <c r="F322" s="5" t="s">
        <v>40</v>
      </c>
      <c r="G322" s="5" t="s">
        <v>24</v>
      </c>
      <c r="H322" s="5" t="n">
        <f aca="true">ROUND(RAND()*4+6,1)</f>
        <v>7.2</v>
      </c>
      <c r="I322" s="5" t="s">
        <v>41</v>
      </c>
      <c r="J322" s="5" t="str">
        <f aca="false">ROUND(71*1,0)&amp;"%"</f>
        <v>71%</v>
      </c>
    </row>
    <row r="323" customFormat="false" ht="15" hidden="false" customHeight="false" outlineLevel="0" collapsed="false">
      <c r="A323" s="6" t="s">
        <v>11663</v>
      </c>
      <c r="B323" s="6" t="s">
        <v>522</v>
      </c>
      <c r="C323" s="6" t="s">
        <v>133</v>
      </c>
      <c r="D323" s="6" t="s">
        <v>44</v>
      </c>
      <c r="E323" s="6" t="n">
        <f aca="false">ROUND(15253*1.05,2)</f>
        <v>16015.65</v>
      </c>
      <c r="F323" s="6" t="s">
        <v>45</v>
      </c>
      <c r="G323" s="6" t="s">
        <v>30</v>
      </c>
      <c r="H323" s="6" t="n">
        <f aca="true">ROUND(RAND()*4+6,1)</f>
        <v>10</v>
      </c>
      <c r="I323" s="6" t="s">
        <v>46</v>
      </c>
      <c r="J323" s="6" t="str">
        <f aca="false">ROUND(63*1,0)&amp;"%"</f>
        <v>63%</v>
      </c>
    </row>
    <row r="324" customFormat="false" ht="15" hidden="false" customHeight="false" outlineLevel="0" collapsed="false">
      <c r="A324" s="5" t="s">
        <v>11664</v>
      </c>
      <c r="B324" s="5" t="s">
        <v>524</v>
      </c>
      <c r="C324" s="5" t="s">
        <v>133</v>
      </c>
      <c r="D324" s="5" t="s">
        <v>16</v>
      </c>
      <c r="E324" s="5" t="n">
        <f aca="false">ROUND(13394*1.05,2)</f>
        <v>14063.7</v>
      </c>
      <c r="F324" s="5" t="s">
        <v>49</v>
      </c>
      <c r="G324" s="5" t="s">
        <v>18</v>
      </c>
      <c r="H324" s="5" t="n">
        <f aca="true">ROUND(RAND()*4+6,1)</f>
        <v>8.1</v>
      </c>
      <c r="I324" s="5" t="s">
        <v>19</v>
      </c>
      <c r="J324" s="5" t="str">
        <f aca="false">ROUND(72*1,0)&amp;"%"</f>
        <v>72%</v>
      </c>
    </row>
    <row r="325" customFormat="false" ht="15" hidden="false" customHeight="false" outlineLevel="0" collapsed="false">
      <c r="A325" s="6" t="s">
        <v>11665</v>
      </c>
      <c r="B325" s="6" t="s">
        <v>526</v>
      </c>
      <c r="C325" s="6" t="s">
        <v>133</v>
      </c>
      <c r="D325" s="6" t="s">
        <v>22</v>
      </c>
      <c r="E325" s="6" t="n">
        <f aca="false">ROUND(13271*1.05,2)</f>
        <v>13934.55</v>
      </c>
      <c r="F325" s="6" t="s">
        <v>52</v>
      </c>
      <c r="G325" s="6" t="s">
        <v>24</v>
      </c>
      <c r="H325" s="6" t="n">
        <f aca="true">ROUND(RAND()*4+6,1)</f>
        <v>9.6</v>
      </c>
      <c r="I325" s="6" t="s">
        <v>25</v>
      </c>
      <c r="J325" s="6" t="str">
        <f aca="false">ROUND(73*1,0)&amp;"%"</f>
        <v>73%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11666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11667</v>
      </c>
      <c r="B330" s="5" t="s">
        <v>530</v>
      </c>
      <c r="C330" s="5" t="s">
        <v>152</v>
      </c>
      <c r="D330" s="5" t="s">
        <v>16</v>
      </c>
      <c r="E330" s="5" t="n">
        <f aca="false">ROUND(8532*1.05,2)</f>
        <v>8958.6</v>
      </c>
      <c r="F330" s="5" t="s">
        <v>17</v>
      </c>
      <c r="G330" s="5" t="s">
        <v>18</v>
      </c>
      <c r="H330" s="5" t="n">
        <f aca="true">ROUND(RAND()*4+6,1)</f>
        <v>7</v>
      </c>
      <c r="I330" s="5" t="s">
        <v>19</v>
      </c>
      <c r="J330" s="5" t="str">
        <f aca="false">ROUND(83*1,0)&amp;"%"</f>
        <v>83%</v>
      </c>
    </row>
    <row r="331" customFormat="false" ht="15" hidden="false" customHeight="false" outlineLevel="0" collapsed="false">
      <c r="A331" s="6" t="s">
        <v>11668</v>
      </c>
      <c r="B331" s="6" t="s">
        <v>532</v>
      </c>
      <c r="C331" s="6" t="s">
        <v>152</v>
      </c>
      <c r="D331" s="6" t="s">
        <v>22</v>
      </c>
      <c r="E331" s="6" t="n">
        <f aca="false">ROUND(17850*1.05,2)</f>
        <v>18742.5</v>
      </c>
      <c r="F331" s="6" t="s">
        <v>23</v>
      </c>
      <c r="G331" s="6" t="s">
        <v>24</v>
      </c>
      <c r="H331" s="6" t="n">
        <f aca="true">ROUND(RAND()*4+6,1)</f>
        <v>8.3</v>
      </c>
      <c r="I331" s="6" t="s">
        <v>25</v>
      </c>
      <c r="J331" s="6" t="str">
        <f aca="false">ROUND(92*1,0)&amp;"%"</f>
        <v>92%</v>
      </c>
    </row>
    <row r="332" customFormat="false" ht="15" hidden="false" customHeight="false" outlineLevel="0" collapsed="false">
      <c r="A332" s="5" t="s">
        <v>11669</v>
      </c>
      <c r="B332" s="5" t="s">
        <v>534</v>
      </c>
      <c r="C332" s="5" t="s">
        <v>152</v>
      </c>
      <c r="D332" s="5" t="s">
        <v>28</v>
      </c>
      <c r="E332" s="5" t="n">
        <f aca="false">ROUND(8217*1.05,2)</f>
        <v>8627.85</v>
      </c>
      <c r="F332" s="5" t="s">
        <v>29</v>
      </c>
      <c r="G332" s="5" t="s">
        <v>30</v>
      </c>
      <c r="H332" s="5" t="n">
        <f aca="true">ROUND(RAND()*4+6,1)</f>
        <v>6.7</v>
      </c>
      <c r="I332" s="5" t="s">
        <v>31</v>
      </c>
      <c r="J332" s="5" t="str">
        <f aca="false">ROUND(93*1,0)&amp;"%"</f>
        <v>93%</v>
      </c>
    </row>
    <row r="333" customFormat="false" ht="15" hidden="false" customHeight="false" outlineLevel="0" collapsed="false">
      <c r="A333" s="6" t="s">
        <v>11670</v>
      </c>
      <c r="B333" s="6" t="s">
        <v>536</v>
      </c>
      <c r="C333" s="6" t="s">
        <v>152</v>
      </c>
      <c r="D333" s="6" t="s">
        <v>34</v>
      </c>
      <c r="E333" s="6" t="n">
        <f aca="false">ROUND(15640*1.05,2)</f>
        <v>16422</v>
      </c>
      <c r="F333" s="6" t="s">
        <v>35</v>
      </c>
      <c r="G333" s="6" t="s">
        <v>18</v>
      </c>
      <c r="H333" s="6" t="n">
        <f aca="true">ROUND(RAND()*4+6,1)</f>
        <v>8.7</v>
      </c>
      <c r="I333" s="6" t="s">
        <v>36</v>
      </c>
      <c r="J333" s="6" t="str">
        <f aca="false">ROUND(62*1,0)&amp;"%"</f>
        <v>62%</v>
      </c>
    </row>
    <row r="334" customFormat="false" ht="15" hidden="false" customHeight="false" outlineLevel="0" collapsed="false">
      <c r="A334" s="5" t="s">
        <v>11671</v>
      </c>
      <c r="B334" s="5" t="s">
        <v>538</v>
      </c>
      <c r="C334" s="5" t="s">
        <v>152</v>
      </c>
      <c r="D334" s="5" t="s">
        <v>39</v>
      </c>
      <c r="E334" s="5" t="n">
        <f aca="false">ROUND(7534*1.05,2)</f>
        <v>7910.7</v>
      </c>
      <c r="F334" s="5" t="s">
        <v>40</v>
      </c>
      <c r="G334" s="5" t="s">
        <v>24</v>
      </c>
      <c r="H334" s="5" t="n">
        <f aca="true">ROUND(RAND()*4+6,1)</f>
        <v>7.6</v>
      </c>
      <c r="I334" s="5" t="s">
        <v>41</v>
      </c>
      <c r="J334" s="5" t="str">
        <f aca="false">ROUND(89*1,0)&amp;"%"</f>
        <v>89%</v>
      </c>
    </row>
    <row r="335" customFormat="false" ht="15" hidden="false" customHeight="false" outlineLevel="0" collapsed="false">
      <c r="A335" s="6" t="s">
        <v>11672</v>
      </c>
      <c r="B335" s="6" t="s">
        <v>540</v>
      </c>
      <c r="C335" s="6" t="s">
        <v>152</v>
      </c>
      <c r="D335" s="6" t="s">
        <v>44</v>
      </c>
      <c r="E335" s="6" t="n">
        <f aca="false">ROUND(17739*1.05,2)</f>
        <v>18625.95</v>
      </c>
      <c r="F335" s="6" t="s">
        <v>45</v>
      </c>
      <c r="G335" s="6" t="s">
        <v>30</v>
      </c>
      <c r="H335" s="6" t="n">
        <f aca="true">ROUND(RAND()*4+6,1)</f>
        <v>7.6</v>
      </c>
      <c r="I335" s="6" t="s">
        <v>46</v>
      </c>
      <c r="J335" s="6" t="str">
        <f aca="false">ROUND(100*1,0)&amp;"%"</f>
        <v>100%</v>
      </c>
    </row>
    <row r="336" customFormat="false" ht="15" hidden="false" customHeight="false" outlineLevel="0" collapsed="false">
      <c r="A336" s="5" t="s">
        <v>11673</v>
      </c>
      <c r="B336" s="5" t="s">
        <v>542</v>
      </c>
      <c r="C336" s="5" t="s">
        <v>152</v>
      </c>
      <c r="D336" s="5" t="s">
        <v>16</v>
      </c>
      <c r="E336" s="5" t="n">
        <f aca="false">ROUND(9838*1.05,2)</f>
        <v>10329.9</v>
      </c>
      <c r="F336" s="5" t="s">
        <v>49</v>
      </c>
      <c r="G336" s="5" t="s">
        <v>18</v>
      </c>
      <c r="H336" s="5" t="n">
        <f aca="true">ROUND(RAND()*4+6,1)</f>
        <v>6.5</v>
      </c>
      <c r="I336" s="5" t="s">
        <v>19</v>
      </c>
      <c r="J336" s="5" t="str">
        <f aca="false">ROUND(67*1,0)&amp;"%"</f>
        <v>67%</v>
      </c>
    </row>
    <row r="337" customFormat="false" ht="15" hidden="false" customHeight="false" outlineLevel="0" collapsed="false">
      <c r="A337" s="6" t="s">
        <v>11674</v>
      </c>
      <c r="B337" s="6" t="s">
        <v>544</v>
      </c>
      <c r="C337" s="6" t="s">
        <v>152</v>
      </c>
      <c r="D337" s="6" t="s">
        <v>22</v>
      </c>
      <c r="E337" s="6" t="n">
        <f aca="false">ROUND(15570*1.05,2)</f>
        <v>16348.5</v>
      </c>
      <c r="F337" s="6" t="s">
        <v>52</v>
      </c>
      <c r="G337" s="6" t="s">
        <v>24</v>
      </c>
      <c r="H337" s="6" t="n">
        <f aca="true">ROUND(RAND()*4+6,1)</f>
        <v>6.7</v>
      </c>
      <c r="I337" s="6" t="s">
        <v>25</v>
      </c>
      <c r="J337" s="6" t="str">
        <f aca="false">ROUND(78*1,0)&amp;"%"</f>
        <v>78%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11675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11676</v>
      </c>
      <c r="B342" s="5" t="s">
        <v>548</v>
      </c>
      <c r="C342" s="5" t="s">
        <v>15</v>
      </c>
      <c r="D342" s="5" t="s">
        <v>16</v>
      </c>
      <c r="E342" s="5" t="n">
        <f aca="false">ROUND(15957*1.05,2)</f>
        <v>16754.85</v>
      </c>
      <c r="F342" s="5" t="s">
        <v>17</v>
      </c>
      <c r="G342" s="5" t="s">
        <v>18</v>
      </c>
      <c r="H342" s="5" t="n">
        <f aca="true">ROUND(RAND()*4+6,1)</f>
        <v>8.7</v>
      </c>
      <c r="I342" s="5" t="s">
        <v>19</v>
      </c>
      <c r="J342" s="5" t="str">
        <f aca="false">ROUND(97*1,0)&amp;"%"</f>
        <v>97%</v>
      </c>
    </row>
    <row r="343" customFormat="false" ht="15" hidden="false" customHeight="false" outlineLevel="0" collapsed="false">
      <c r="A343" s="6" t="s">
        <v>11677</v>
      </c>
      <c r="B343" s="6" t="s">
        <v>550</v>
      </c>
      <c r="C343" s="6" t="s">
        <v>15</v>
      </c>
      <c r="D343" s="6" t="s">
        <v>22</v>
      </c>
      <c r="E343" s="6" t="n">
        <f aca="false">ROUND(13406*1.05,2)</f>
        <v>14076.3</v>
      </c>
      <c r="F343" s="6" t="s">
        <v>23</v>
      </c>
      <c r="G343" s="6" t="s">
        <v>24</v>
      </c>
      <c r="H343" s="6" t="n">
        <f aca="true">ROUND(RAND()*4+6,1)</f>
        <v>9.4</v>
      </c>
      <c r="I343" s="6" t="s">
        <v>25</v>
      </c>
      <c r="J343" s="6" t="str">
        <f aca="false">ROUND(94*1,0)&amp;"%"</f>
        <v>94%</v>
      </c>
    </row>
    <row r="344" customFormat="false" ht="15" hidden="false" customHeight="false" outlineLevel="0" collapsed="false">
      <c r="A344" s="5" t="s">
        <v>11678</v>
      </c>
      <c r="B344" s="5" t="s">
        <v>552</v>
      </c>
      <c r="C344" s="5" t="s">
        <v>15</v>
      </c>
      <c r="D344" s="5" t="s">
        <v>28</v>
      </c>
      <c r="E344" s="5" t="n">
        <f aca="false">ROUND(10702*1.05,2)</f>
        <v>11237.1</v>
      </c>
      <c r="F344" s="5" t="s">
        <v>29</v>
      </c>
      <c r="G344" s="5" t="s">
        <v>30</v>
      </c>
      <c r="H344" s="5" t="n">
        <f aca="true">ROUND(RAND()*4+6,1)</f>
        <v>9.4</v>
      </c>
      <c r="I344" s="5" t="s">
        <v>31</v>
      </c>
      <c r="J344" s="5" t="str">
        <f aca="false">ROUND(74*1,0)&amp;"%"</f>
        <v>74%</v>
      </c>
    </row>
    <row r="345" customFormat="false" ht="15" hidden="false" customHeight="false" outlineLevel="0" collapsed="false">
      <c r="A345" s="6" t="s">
        <v>11679</v>
      </c>
      <c r="B345" s="6" t="s">
        <v>554</v>
      </c>
      <c r="C345" s="6" t="s">
        <v>15</v>
      </c>
      <c r="D345" s="6" t="s">
        <v>34</v>
      </c>
      <c r="E345" s="6" t="n">
        <f aca="false">ROUND(12186*1.05,2)</f>
        <v>12795.3</v>
      </c>
      <c r="F345" s="6" t="s">
        <v>35</v>
      </c>
      <c r="G345" s="6" t="s">
        <v>18</v>
      </c>
      <c r="H345" s="6" t="n">
        <f aca="true">ROUND(RAND()*4+6,1)</f>
        <v>8</v>
      </c>
      <c r="I345" s="6" t="s">
        <v>36</v>
      </c>
      <c r="J345" s="6" t="str">
        <f aca="false">ROUND(99*1,0)&amp;"%"</f>
        <v>99%</v>
      </c>
    </row>
    <row r="346" customFormat="false" ht="15" hidden="false" customHeight="false" outlineLevel="0" collapsed="false">
      <c r="A346" s="5" t="s">
        <v>11680</v>
      </c>
      <c r="B346" s="5" t="s">
        <v>556</v>
      </c>
      <c r="C346" s="5" t="s">
        <v>15</v>
      </c>
      <c r="D346" s="5" t="s">
        <v>39</v>
      </c>
      <c r="E346" s="5" t="n">
        <f aca="false">ROUND(17243*1.05,2)</f>
        <v>18105.15</v>
      </c>
      <c r="F346" s="5" t="s">
        <v>40</v>
      </c>
      <c r="G346" s="5" t="s">
        <v>24</v>
      </c>
      <c r="H346" s="5" t="n">
        <f aca="true">ROUND(RAND()*4+6,1)</f>
        <v>9.5</v>
      </c>
      <c r="I346" s="5" t="s">
        <v>41</v>
      </c>
      <c r="J346" s="5" t="str">
        <f aca="false">ROUND(84*1,0)&amp;"%"</f>
        <v>84%</v>
      </c>
    </row>
    <row r="347" customFormat="false" ht="15" hidden="false" customHeight="false" outlineLevel="0" collapsed="false">
      <c r="A347" s="6" t="s">
        <v>11681</v>
      </c>
      <c r="B347" s="6" t="s">
        <v>558</v>
      </c>
      <c r="C347" s="6" t="s">
        <v>15</v>
      </c>
      <c r="D347" s="6" t="s">
        <v>44</v>
      </c>
      <c r="E347" s="6" t="n">
        <f aca="false">ROUND(12309*1.05,2)</f>
        <v>12924.45</v>
      </c>
      <c r="F347" s="6" t="s">
        <v>45</v>
      </c>
      <c r="G347" s="6" t="s">
        <v>30</v>
      </c>
      <c r="H347" s="6" t="n">
        <f aca="true">ROUND(RAND()*4+6,1)</f>
        <v>8.9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11682</v>
      </c>
      <c r="B348" s="5" t="s">
        <v>560</v>
      </c>
      <c r="C348" s="5" t="s">
        <v>15</v>
      </c>
      <c r="D348" s="5" t="s">
        <v>16</v>
      </c>
      <c r="E348" s="5" t="n">
        <f aca="false">ROUND(13911*1.05,2)</f>
        <v>14606.55</v>
      </c>
      <c r="F348" s="5" t="s">
        <v>49</v>
      </c>
      <c r="G348" s="5" t="s">
        <v>18</v>
      </c>
      <c r="H348" s="5" t="n">
        <f aca="true">ROUND(RAND()*4+6,1)</f>
        <v>8.7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11683</v>
      </c>
      <c r="B349" s="6" t="s">
        <v>562</v>
      </c>
      <c r="C349" s="6" t="s">
        <v>15</v>
      </c>
      <c r="D349" s="6" t="s">
        <v>22</v>
      </c>
      <c r="E349" s="6" t="n">
        <f aca="false">ROUND(12036*1.05,2)</f>
        <v>12637.8</v>
      </c>
      <c r="F349" s="6" t="s">
        <v>52</v>
      </c>
      <c r="G349" s="6" t="s">
        <v>24</v>
      </c>
      <c r="H349" s="6" t="n">
        <f aca="true">ROUND(RAND()*4+6,1)</f>
        <v>6.5</v>
      </c>
      <c r="I349" s="6" t="s">
        <v>25</v>
      </c>
      <c r="J349" s="6" t="str">
        <f aca="false">ROUND(70*1,0)&amp;"%"</f>
        <v>70%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11684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11685</v>
      </c>
      <c r="B354" s="5" t="s">
        <v>566</v>
      </c>
      <c r="C354" s="5" t="s">
        <v>57</v>
      </c>
      <c r="D354" s="5" t="s">
        <v>16</v>
      </c>
      <c r="E354" s="5" t="n">
        <f aca="false">ROUND(16488*1.05,2)</f>
        <v>17312.4</v>
      </c>
      <c r="F354" s="5" t="s">
        <v>17</v>
      </c>
      <c r="G354" s="5" t="s">
        <v>18</v>
      </c>
      <c r="H354" s="5" t="n">
        <f aca="true">ROUND(RAND()*4+6,1)</f>
        <v>9.1</v>
      </c>
      <c r="I354" s="5" t="s">
        <v>19</v>
      </c>
      <c r="J354" s="5" t="str">
        <f aca="false">ROUND(81*1,0)&amp;"%"</f>
        <v>81%</v>
      </c>
    </row>
    <row r="355" customFormat="false" ht="15" hidden="false" customHeight="false" outlineLevel="0" collapsed="false">
      <c r="A355" s="6" t="s">
        <v>11686</v>
      </c>
      <c r="B355" s="6" t="s">
        <v>568</v>
      </c>
      <c r="C355" s="6" t="s">
        <v>57</v>
      </c>
      <c r="D355" s="6" t="s">
        <v>22</v>
      </c>
      <c r="E355" s="6" t="n">
        <f aca="false">ROUND(17992*1.05,2)</f>
        <v>18891.6</v>
      </c>
      <c r="F355" s="6" t="s">
        <v>23</v>
      </c>
      <c r="G355" s="6" t="s">
        <v>24</v>
      </c>
      <c r="H355" s="6" t="n">
        <f aca="true">ROUND(RAND()*4+6,1)</f>
        <v>7.2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11687</v>
      </c>
      <c r="B356" s="5" t="s">
        <v>570</v>
      </c>
      <c r="C356" s="5" t="s">
        <v>57</v>
      </c>
      <c r="D356" s="5" t="s">
        <v>28</v>
      </c>
      <c r="E356" s="5" t="n">
        <f aca="false">ROUND(6542*1.05,2)</f>
        <v>6869.1</v>
      </c>
      <c r="F356" s="5" t="s">
        <v>29</v>
      </c>
      <c r="G356" s="5" t="s">
        <v>30</v>
      </c>
      <c r="H356" s="5" t="n">
        <f aca="true">ROUND(RAND()*4+6,1)</f>
        <v>6.5</v>
      </c>
      <c r="I356" s="5" t="s">
        <v>31</v>
      </c>
      <c r="J356" s="5" t="str">
        <f aca="false">ROUND(87*1,0)&amp;"%"</f>
        <v>87%</v>
      </c>
    </row>
    <row r="357" customFormat="false" ht="15" hidden="false" customHeight="false" outlineLevel="0" collapsed="false">
      <c r="A357" s="6" t="s">
        <v>11688</v>
      </c>
      <c r="B357" s="6" t="s">
        <v>572</v>
      </c>
      <c r="C357" s="6" t="s">
        <v>57</v>
      </c>
      <c r="D357" s="6" t="s">
        <v>34</v>
      </c>
      <c r="E357" s="6" t="n">
        <f aca="false">ROUND(14709*1.05,2)</f>
        <v>15444.45</v>
      </c>
      <c r="F357" s="6" t="s">
        <v>35</v>
      </c>
      <c r="G357" s="6" t="s">
        <v>18</v>
      </c>
      <c r="H357" s="6" t="n">
        <f aca="true">ROUND(RAND()*4+6,1)</f>
        <v>8</v>
      </c>
      <c r="I357" s="6" t="s">
        <v>36</v>
      </c>
      <c r="J357" s="6" t="str">
        <f aca="false">ROUND(99*1,0)&amp;"%"</f>
        <v>99%</v>
      </c>
    </row>
    <row r="358" customFormat="false" ht="15" hidden="false" customHeight="false" outlineLevel="0" collapsed="false">
      <c r="A358" s="5" t="s">
        <v>11689</v>
      </c>
      <c r="B358" s="5" t="s">
        <v>574</v>
      </c>
      <c r="C358" s="5" t="s">
        <v>57</v>
      </c>
      <c r="D358" s="5" t="s">
        <v>39</v>
      </c>
      <c r="E358" s="5" t="n">
        <f aca="false">ROUND(14806*1.05,2)</f>
        <v>15546.3</v>
      </c>
      <c r="F358" s="5" t="s">
        <v>40</v>
      </c>
      <c r="G358" s="5" t="s">
        <v>24</v>
      </c>
      <c r="H358" s="5" t="n">
        <f aca="true">ROUND(RAND()*4+6,1)</f>
        <v>9.5</v>
      </c>
      <c r="I358" s="5" t="s">
        <v>41</v>
      </c>
      <c r="J358" s="5" t="str">
        <f aca="false">ROUND(88*1,0)&amp;"%"</f>
        <v>88%</v>
      </c>
    </row>
    <row r="359" customFormat="false" ht="15" hidden="false" customHeight="false" outlineLevel="0" collapsed="false">
      <c r="A359" s="6" t="s">
        <v>11690</v>
      </c>
      <c r="B359" s="6" t="s">
        <v>576</v>
      </c>
      <c r="C359" s="6" t="s">
        <v>57</v>
      </c>
      <c r="D359" s="6" t="s">
        <v>44</v>
      </c>
      <c r="E359" s="6" t="n">
        <f aca="false">ROUND(12085*1.05,2)</f>
        <v>12689.25</v>
      </c>
      <c r="F359" s="6" t="s">
        <v>45</v>
      </c>
      <c r="G359" s="6" t="s">
        <v>30</v>
      </c>
      <c r="H359" s="6" t="n">
        <f aca="true">ROUND(RAND()*4+6,1)</f>
        <v>7</v>
      </c>
      <c r="I359" s="6" t="s">
        <v>46</v>
      </c>
      <c r="J359" s="6" t="str">
        <f aca="false">ROUND(75*1,0)&amp;"%"</f>
        <v>75%</v>
      </c>
    </row>
    <row r="360" customFormat="false" ht="15" hidden="false" customHeight="false" outlineLevel="0" collapsed="false">
      <c r="A360" s="5" t="s">
        <v>11691</v>
      </c>
      <c r="B360" s="5" t="s">
        <v>578</v>
      </c>
      <c r="C360" s="5" t="s">
        <v>57</v>
      </c>
      <c r="D360" s="5" t="s">
        <v>16</v>
      </c>
      <c r="E360" s="5" t="n">
        <f aca="false">ROUND(15465*1.05,2)</f>
        <v>16238.25</v>
      </c>
      <c r="F360" s="5" t="s">
        <v>49</v>
      </c>
      <c r="G360" s="5" t="s">
        <v>18</v>
      </c>
      <c r="H360" s="5" t="n">
        <f aca="true">ROUND(RAND()*4+6,1)</f>
        <v>7.4</v>
      </c>
      <c r="I360" s="5" t="s">
        <v>19</v>
      </c>
      <c r="J360" s="5" t="str">
        <f aca="false">ROUND(89*1,0)&amp;"%"</f>
        <v>89%</v>
      </c>
    </row>
    <row r="361" customFormat="false" ht="15" hidden="false" customHeight="false" outlineLevel="0" collapsed="false">
      <c r="A361" s="6" t="s">
        <v>11692</v>
      </c>
      <c r="B361" s="6" t="s">
        <v>580</v>
      </c>
      <c r="C361" s="6" t="s">
        <v>57</v>
      </c>
      <c r="D361" s="6" t="s">
        <v>22</v>
      </c>
      <c r="E361" s="6" t="n">
        <f aca="false">ROUND(5205*1.05,2)</f>
        <v>5465.25</v>
      </c>
      <c r="F361" s="6" t="s">
        <v>52</v>
      </c>
      <c r="G361" s="6" t="s">
        <v>24</v>
      </c>
      <c r="H361" s="6" t="n">
        <f aca="true">ROUND(RAND()*4+6,1)</f>
        <v>9.9</v>
      </c>
      <c r="I361" s="6" t="s">
        <v>25</v>
      </c>
      <c r="J361" s="6" t="str">
        <f aca="false">ROUND(79*1,0)&amp;"%"</f>
        <v>79%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11693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11694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11695</v>
      </c>
      <c r="B6" s="5" t="s">
        <v>14</v>
      </c>
      <c r="C6" s="5" t="s">
        <v>15</v>
      </c>
      <c r="D6" s="5" t="s">
        <v>16</v>
      </c>
      <c r="E6" s="5" t="n">
        <f aca="false">ROUND(11646*1.05,2)</f>
        <v>12228.3</v>
      </c>
      <c r="F6" s="5" t="s">
        <v>17</v>
      </c>
      <c r="G6" s="5" t="s">
        <v>18</v>
      </c>
      <c r="H6" s="5" t="n">
        <f aca="true">ROUND(RAND()*4+6,1)</f>
        <v>9.9</v>
      </c>
      <c r="I6" s="5" t="s">
        <v>19</v>
      </c>
      <c r="J6" s="5" t="str">
        <f aca="false">ROUND(71*1,0)&amp;"%"</f>
        <v>71%</v>
      </c>
    </row>
    <row r="7" customFormat="false" ht="15" hidden="false" customHeight="false" outlineLevel="0" collapsed="false">
      <c r="A7" s="6" t="s">
        <v>11696</v>
      </c>
      <c r="B7" s="6" t="s">
        <v>21</v>
      </c>
      <c r="C7" s="6" t="s">
        <v>15</v>
      </c>
      <c r="D7" s="6" t="s">
        <v>22</v>
      </c>
      <c r="E7" s="6" t="n">
        <f aca="false">ROUND(10005*1.05,2)</f>
        <v>10505.25</v>
      </c>
      <c r="F7" s="6" t="s">
        <v>23</v>
      </c>
      <c r="G7" s="6" t="s">
        <v>24</v>
      </c>
      <c r="H7" s="6" t="n">
        <f aca="true">ROUND(RAND()*4+6,1)</f>
        <v>8.3</v>
      </c>
      <c r="I7" s="6" t="s">
        <v>25</v>
      </c>
      <c r="J7" s="6" t="str">
        <f aca="false">ROUND(78*1,0)&amp;"%"</f>
        <v>78%</v>
      </c>
    </row>
    <row r="8" customFormat="false" ht="15" hidden="false" customHeight="false" outlineLevel="0" collapsed="false">
      <c r="A8" s="5" t="s">
        <v>11697</v>
      </c>
      <c r="B8" s="5" t="s">
        <v>27</v>
      </c>
      <c r="C8" s="5" t="s">
        <v>15</v>
      </c>
      <c r="D8" s="5" t="s">
        <v>28</v>
      </c>
      <c r="E8" s="5" t="n">
        <f aca="false">ROUND(7841*1.05,2)</f>
        <v>8233.05</v>
      </c>
      <c r="F8" s="5" t="s">
        <v>29</v>
      </c>
      <c r="G8" s="5" t="s">
        <v>30</v>
      </c>
      <c r="H8" s="5" t="n">
        <f aca="true">ROUND(RAND()*4+6,1)</f>
        <v>6.8</v>
      </c>
      <c r="I8" s="5" t="s">
        <v>31</v>
      </c>
      <c r="J8" s="5" t="str">
        <f aca="false">ROUND(82*1,0)&amp;"%"</f>
        <v>82%</v>
      </c>
    </row>
    <row r="9" customFormat="false" ht="15" hidden="false" customHeight="false" outlineLevel="0" collapsed="false">
      <c r="A9" s="6" t="s">
        <v>11698</v>
      </c>
      <c r="B9" s="6" t="s">
        <v>33</v>
      </c>
      <c r="C9" s="6" t="s">
        <v>15</v>
      </c>
      <c r="D9" s="6" t="s">
        <v>34</v>
      </c>
      <c r="E9" s="6" t="n">
        <f aca="false">ROUND(16643*1.05,2)</f>
        <v>17475.15</v>
      </c>
      <c r="F9" s="6" t="s">
        <v>35</v>
      </c>
      <c r="G9" s="6" t="s">
        <v>18</v>
      </c>
      <c r="H9" s="6" t="n">
        <f aca="true">ROUND(RAND()*4+6,1)</f>
        <v>8.9</v>
      </c>
      <c r="I9" s="6" t="s">
        <v>36</v>
      </c>
      <c r="J9" s="6" t="str">
        <f aca="false">ROUND(71*1,0)&amp;"%"</f>
        <v>71%</v>
      </c>
    </row>
    <row r="10" customFormat="false" ht="15" hidden="false" customHeight="false" outlineLevel="0" collapsed="false">
      <c r="A10" s="5" t="s">
        <v>11699</v>
      </c>
      <c r="B10" s="5" t="s">
        <v>38</v>
      </c>
      <c r="C10" s="5" t="s">
        <v>15</v>
      </c>
      <c r="D10" s="5" t="s">
        <v>39</v>
      </c>
      <c r="E10" s="5" t="n">
        <f aca="false">ROUND(13187*1.05,2)</f>
        <v>13846.35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ROUND(84*1,0)&amp;"%"</f>
        <v>84%</v>
      </c>
    </row>
    <row r="11" customFormat="false" ht="15" hidden="false" customHeight="false" outlineLevel="0" collapsed="false">
      <c r="A11" s="6" t="s">
        <v>11700</v>
      </c>
      <c r="B11" s="6" t="s">
        <v>43</v>
      </c>
      <c r="C11" s="6" t="s">
        <v>15</v>
      </c>
      <c r="D11" s="6" t="s">
        <v>44</v>
      </c>
      <c r="E11" s="6" t="n">
        <f aca="false">ROUND(4003*1.05,2)</f>
        <v>4203.15</v>
      </c>
      <c r="F11" s="6" t="s">
        <v>45</v>
      </c>
      <c r="G11" s="6" t="s">
        <v>30</v>
      </c>
      <c r="H11" s="6" t="n">
        <f aca="true">ROUND(RAND()*4+6,1)</f>
        <v>10</v>
      </c>
      <c r="I11" s="6" t="s">
        <v>46</v>
      </c>
      <c r="J11" s="6" t="str">
        <f aca="false">ROUND(87*1,0)&amp;"%"</f>
        <v>87%</v>
      </c>
    </row>
    <row r="12" customFormat="false" ht="15" hidden="false" customHeight="false" outlineLevel="0" collapsed="false">
      <c r="A12" s="5" t="s">
        <v>11701</v>
      </c>
      <c r="B12" s="5" t="s">
        <v>48</v>
      </c>
      <c r="C12" s="5" t="s">
        <v>15</v>
      </c>
      <c r="D12" s="5" t="s">
        <v>16</v>
      </c>
      <c r="E12" s="5" t="n">
        <f aca="false">ROUND(6309*1.05,2)</f>
        <v>6624.45</v>
      </c>
      <c r="F12" s="5" t="s">
        <v>49</v>
      </c>
      <c r="G12" s="5" t="s">
        <v>18</v>
      </c>
      <c r="H12" s="5" t="n">
        <f aca="true">ROUND(RAND()*4+6,1)</f>
        <v>9.2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11702</v>
      </c>
      <c r="B13" s="6" t="s">
        <v>51</v>
      </c>
      <c r="C13" s="6" t="s">
        <v>15</v>
      </c>
      <c r="D13" s="6" t="s">
        <v>22</v>
      </c>
      <c r="E13" s="6" t="n">
        <f aca="false">ROUND(14015*1.05,2)</f>
        <v>14715.75</v>
      </c>
      <c r="F13" s="6" t="s">
        <v>52</v>
      </c>
      <c r="G13" s="6" t="s">
        <v>24</v>
      </c>
      <c r="H13" s="6" t="n">
        <f aca="true">ROUND(RAND()*4+6,1)</f>
        <v>6.1</v>
      </c>
      <c r="I13" s="6" t="s">
        <v>25</v>
      </c>
      <c r="J13" s="6" t="str">
        <f aca="false">ROUND(93*1,0)&amp;"%"</f>
        <v>93%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11703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11704</v>
      </c>
      <c r="B18" s="5" t="s">
        <v>56</v>
      </c>
      <c r="C18" s="5" t="s">
        <v>57</v>
      </c>
      <c r="D18" s="5" t="s">
        <v>16</v>
      </c>
      <c r="E18" s="5" t="n">
        <f aca="false">ROUND(6400*1.05,2)</f>
        <v>6720</v>
      </c>
      <c r="F18" s="5" t="s">
        <v>17</v>
      </c>
      <c r="G18" s="5" t="s">
        <v>18</v>
      </c>
      <c r="H18" s="5" t="n">
        <f aca="true">ROUND(RAND()*4+6,1)</f>
        <v>6.1</v>
      </c>
      <c r="I18" s="5" t="s">
        <v>19</v>
      </c>
      <c r="J18" s="5" t="str">
        <f aca="false">ROUND(100*1,0)&amp;"%"</f>
        <v>100%</v>
      </c>
    </row>
    <row r="19" customFormat="false" ht="15" hidden="false" customHeight="false" outlineLevel="0" collapsed="false">
      <c r="A19" s="6" t="s">
        <v>11705</v>
      </c>
      <c r="B19" s="6" t="s">
        <v>59</v>
      </c>
      <c r="C19" s="6" t="s">
        <v>57</v>
      </c>
      <c r="D19" s="6" t="s">
        <v>22</v>
      </c>
      <c r="E19" s="6" t="n">
        <f aca="false">ROUND(12293*1.05,2)</f>
        <v>12907.65</v>
      </c>
      <c r="F19" s="6" t="s">
        <v>23</v>
      </c>
      <c r="G19" s="6" t="s">
        <v>24</v>
      </c>
      <c r="H19" s="6" t="n">
        <f aca="true">ROUND(RAND()*4+6,1)</f>
        <v>7.2</v>
      </c>
      <c r="I19" s="6" t="s">
        <v>25</v>
      </c>
      <c r="J19" s="6" t="str">
        <f aca="false">ROUND(78*1,0)&amp;"%"</f>
        <v>78%</v>
      </c>
    </row>
    <row r="20" customFormat="false" ht="15" hidden="false" customHeight="false" outlineLevel="0" collapsed="false">
      <c r="A20" s="5" t="s">
        <v>11706</v>
      </c>
      <c r="B20" s="5" t="s">
        <v>61</v>
      </c>
      <c r="C20" s="5" t="s">
        <v>57</v>
      </c>
      <c r="D20" s="5" t="s">
        <v>28</v>
      </c>
      <c r="E20" s="5" t="n">
        <f aca="false">ROUND(10328*1.05,2)</f>
        <v>10844.4</v>
      </c>
      <c r="F20" s="5" t="s">
        <v>29</v>
      </c>
      <c r="G20" s="5" t="s">
        <v>30</v>
      </c>
      <c r="H20" s="5" t="n">
        <f aca="true">ROUND(RAND()*4+6,1)</f>
        <v>8.3</v>
      </c>
      <c r="I20" s="5" t="s">
        <v>31</v>
      </c>
      <c r="J20" s="5" t="str">
        <f aca="false">ROUND(71*1,0)&amp;"%"</f>
        <v>71%</v>
      </c>
    </row>
    <row r="21" customFormat="false" ht="15" hidden="false" customHeight="false" outlineLevel="0" collapsed="false">
      <c r="A21" s="6" t="s">
        <v>11707</v>
      </c>
      <c r="B21" s="6" t="s">
        <v>63</v>
      </c>
      <c r="C21" s="6" t="s">
        <v>57</v>
      </c>
      <c r="D21" s="6" t="s">
        <v>34</v>
      </c>
      <c r="E21" s="6" t="n">
        <f aca="false">ROUND(5363*1.05,2)</f>
        <v>5631.15</v>
      </c>
      <c r="F21" s="6" t="s">
        <v>35</v>
      </c>
      <c r="G21" s="6" t="s">
        <v>18</v>
      </c>
      <c r="H21" s="6" t="n">
        <f aca="true">ROUND(RAND()*4+6,1)</f>
        <v>9.1</v>
      </c>
      <c r="I21" s="6" t="s">
        <v>36</v>
      </c>
      <c r="J21" s="6" t="str">
        <f aca="false">ROUND(78*1,0)&amp;"%"</f>
        <v>78%</v>
      </c>
    </row>
    <row r="22" customFormat="false" ht="15" hidden="false" customHeight="false" outlineLevel="0" collapsed="false">
      <c r="A22" s="5" t="s">
        <v>11708</v>
      </c>
      <c r="B22" s="5" t="s">
        <v>65</v>
      </c>
      <c r="C22" s="5" t="s">
        <v>57</v>
      </c>
      <c r="D22" s="5" t="s">
        <v>39</v>
      </c>
      <c r="E22" s="5" t="n">
        <f aca="false">ROUND(17617*1.05,2)</f>
        <v>18497.85</v>
      </c>
      <c r="F22" s="5" t="s">
        <v>40</v>
      </c>
      <c r="G22" s="5" t="s">
        <v>24</v>
      </c>
      <c r="H22" s="5" t="n">
        <f aca="true">ROUND(RAND()*4+6,1)</f>
        <v>6.6</v>
      </c>
      <c r="I22" s="5" t="s">
        <v>41</v>
      </c>
      <c r="J22" s="5" t="str">
        <f aca="false">ROUND(96*1,0)&amp;"%"</f>
        <v>96%</v>
      </c>
    </row>
    <row r="23" customFormat="false" ht="15" hidden="false" customHeight="false" outlineLevel="0" collapsed="false">
      <c r="A23" s="6" t="s">
        <v>11709</v>
      </c>
      <c r="B23" s="6" t="s">
        <v>67</v>
      </c>
      <c r="C23" s="6" t="s">
        <v>57</v>
      </c>
      <c r="D23" s="6" t="s">
        <v>44</v>
      </c>
      <c r="E23" s="6" t="n">
        <f aca="false">ROUND(12343*1.05,2)</f>
        <v>12960.15</v>
      </c>
      <c r="F23" s="6" t="s">
        <v>45</v>
      </c>
      <c r="G23" s="6" t="s">
        <v>30</v>
      </c>
      <c r="H23" s="6" t="n">
        <f aca="true">ROUND(RAND()*4+6,1)</f>
        <v>8.3</v>
      </c>
      <c r="I23" s="6" t="s">
        <v>46</v>
      </c>
      <c r="J23" s="6" t="str">
        <f aca="false">ROUND(63*1,0)&amp;"%"</f>
        <v>63%</v>
      </c>
    </row>
    <row r="24" customFormat="false" ht="15" hidden="false" customHeight="false" outlineLevel="0" collapsed="false">
      <c r="A24" s="5" t="s">
        <v>11710</v>
      </c>
      <c r="B24" s="5" t="s">
        <v>69</v>
      </c>
      <c r="C24" s="5" t="s">
        <v>57</v>
      </c>
      <c r="D24" s="5" t="s">
        <v>16</v>
      </c>
      <c r="E24" s="5" t="n">
        <f aca="false">ROUND(6503*1.05,2)</f>
        <v>6828.15</v>
      </c>
      <c r="F24" s="5" t="s">
        <v>49</v>
      </c>
      <c r="G24" s="5" t="s">
        <v>18</v>
      </c>
      <c r="H24" s="5" t="n">
        <f aca="true">ROUND(RAND()*4+6,1)</f>
        <v>9.9</v>
      </c>
      <c r="I24" s="5" t="s">
        <v>19</v>
      </c>
      <c r="J24" s="5" t="str">
        <f aca="false">ROUND(77*1,0)&amp;"%"</f>
        <v>77%</v>
      </c>
    </row>
    <row r="25" customFormat="false" ht="15" hidden="false" customHeight="false" outlineLevel="0" collapsed="false">
      <c r="A25" s="6" t="s">
        <v>11711</v>
      </c>
      <c r="B25" s="6" t="s">
        <v>71</v>
      </c>
      <c r="C25" s="6" t="s">
        <v>57</v>
      </c>
      <c r="D25" s="6" t="s">
        <v>22</v>
      </c>
      <c r="E25" s="6" t="n">
        <f aca="false">ROUND(17483*1.05,2)</f>
        <v>18357.15</v>
      </c>
      <c r="F25" s="6" t="s">
        <v>52</v>
      </c>
      <c r="G25" s="6" t="s">
        <v>24</v>
      </c>
      <c r="H25" s="6" t="n">
        <f aca="true">ROUND(RAND()*4+6,1)</f>
        <v>7.3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11712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11713</v>
      </c>
      <c r="B30" s="5" t="s">
        <v>75</v>
      </c>
      <c r="C30" s="5" t="s">
        <v>76</v>
      </c>
      <c r="D30" s="5" t="s">
        <v>16</v>
      </c>
      <c r="E30" s="5" t="n">
        <f aca="false">ROUND(4742*1.05,2)</f>
        <v>4979.1</v>
      </c>
      <c r="F30" s="5" t="s">
        <v>17</v>
      </c>
      <c r="G30" s="5" t="s">
        <v>18</v>
      </c>
      <c r="H30" s="5" t="n">
        <f aca="true">ROUND(RAND()*4+6,1)</f>
        <v>8.4</v>
      </c>
      <c r="I30" s="5" t="s">
        <v>19</v>
      </c>
      <c r="J30" s="5" t="str">
        <f aca="false">ROUND(96*1,0)&amp;"%"</f>
        <v>96%</v>
      </c>
    </row>
    <row r="31" customFormat="false" ht="15" hidden="false" customHeight="false" outlineLevel="0" collapsed="false">
      <c r="A31" s="6" t="s">
        <v>11714</v>
      </c>
      <c r="B31" s="6" t="s">
        <v>78</v>
      </c>
      <c r="C31" s="6" t="s">
        <v>76</v>
      </c>
      <c r="D31" s="6" t="s">
        <v>22</v>
      </c>
      <c r="E31" s="6" t="n">
        <f aca="false">ROUND(9720*1.05,2)</f>
        <v>10206</v>
      </c>
      <c r="F31" s="6" t="s">
        <v>23</v>
      </c>
      <c r="G31" s="6" t="s">
        <v>24</v>
      </c>
      <c r="H31" s="6" t="n">
        <f aca="true">ROUND(RAND()*4+6,1)</f>
        <v>9.9</v>
      </c>
      <c r="I31" s="6" t="s">
        <v>25</v>
      </c>
      <c r="J31" s="6" t="str">
        <f aca="false">ROUND(80*1,0)&amp;"%"</f>
        <v>80%</v>
      </c>
    </row>
    <row r="32" customFormat="false" ht="15" hidden="false" customHeight="false" outlineLevel="0" collapsed="false">
      <c r="A32" s="5" t="s">
        <v>11715</v>
      </c>
      <c r="B32" s="5" t="s">
        <v>80</v>
      </c>
      <c r="C32" s="5" t="s">
        <v>76</v>
      </c>
      <c r="D32" s="5" t="s">
        <v>28</v>
      </c>
      <c r="E32" s="5" t="n">
        <f aca="false">ROUND(4217*1.05,2)</f>
        <v>4427.85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ROUND(66*1,0)&amp;"%"</f>
        <v>66%</v>
      </c>
    </row>
    <row r="33" customFormat="false" ht="15" hidden="false" customHeight="false" outlineLevel="0" collapsed="false">
      <c r="A33" s="6" t="s">
        <v>11716</v>
      </c>
      <c r="B33" s="6" t="s">
        <v>82</v>
      </c>
      <c r="C33" s="6" t="s">
        <v>76</v>
      </c>
      <c r="D33" s="6" t="s">
        <v>34</v>
      </c>
      <c r="E33" s="6" t="n">
        <f aca="false">ROUND(13139*1.05,2)</f>
        <v>13795.95</v>
      </c>
      <c r="F33" s="6" t="s">
        <v>35</v>
      </c>
      <c r="G33" s="6" t="s">
        <v>18</v>
      </c>
      <c r="H33" s="6" t="n">
        <f aca="true">ROUND(RAND()*4+6,1)</f>
        <v>9</v>
      </c>
      <c r="I33" s="6" t="s">
        <v>36</v>
      </c>
      <c r="J33" s="6" t="str">
        <f aca="false">ROUND(74*1,0)&amp;"%"</f>
        <v>74%</v>
      </c>
    </row>
    <row r="34" customFormat="false" ht="15" hidden="false" customHeight="false" outlineLevel="0" collapsed="false">
      <c r="A34" s="5" t="s">
        <v>11717</v>
      </c>
      <c r="B34" s="5" t="s">
        <v>84</v>
      </c>
      <c r="C34" s="5" t="s">
        <v>76</v>
      </c>
      <c r="D34" s="5" t="s">
        <v>39</v>
      </c>
      <c r="E34" s="5" t="n">
        <f aca="false">ROUND(17005*1.05,2)</f>
        <v>17855.25</v>
      </c>
      <c r="F34" s="5" t="s">
        <v>40</v>
      </c>
      <c r="G34" s="5" t="s">
        <v>24</v>
      </c>
      <c r="H34" s="5" t="n">
        <f aca="true">ROUND(RAND()*4+6,1)</f>
        <v>9</v>
      </c>
      <c r="I34" s="5" t="s">
        <v>41</v>
      </c>
      <c r="J34" s="5" t="str">
        <f aca="false">ROUND(67*1,0)&amp;"%"</f>
        <v>67%</v>
      </c>
    </row>
    <row r="35" customFormat="false" ht="15" hidden="false" customHeight="false" outlineLevel="0" collapsed="false">
      <c r="A35" s="6" t="s">
        <v>11718</v>
      </c>
      <c r="B35" s="6" t="s">
        <v>86</v>
      </c>
      <c r="C35" s="6" t="s">
        <v>76</v>
      </c>
      <c r="D35" s="6" t="s">
        <v>44</v>
      </c>
      <c r="E35" s="6" t="n">
        <f aca="false">ROUND(8072*1.05,2)</f>
        <v>8475.6</v>
      </c>
      <c r="F35" s="6" t="s">
        <v>45</v>
      </c>
      <c r="G35" s="6" t="s">
        <v>30</v>
      </c>
      <c r="H35" s="6" t="n">
        <f aca="true">ROUND(RAND()*4+6,1)</f>
        <v>6.8</v>
      </c>
      <c r="I35" s="6" t="s">
        <v>46</v>
      </c>
      <c r="J35" s="6" t="str">
        <f aca="false">ROUND(89*1,0)&amp;"%"</f>
        <v>89%</v>
      </c>
    </row>
    <row r="36" customFormat="false" ht="15" hidden="false" customHeight="false" outlineLevel="0" collapsed="false">
      <c r="A36" s="5" t="s">
        <v>11719</v>
      </c>
      <c r="B36" s="5" t="s">
        <v>88</v>
      </c>
      <c r="C36" s="5" t="s">
        <v>76</v>
      </c>
      <c r="D36" s="5" t="s">
        <v>16</v>
      </c>
      <c r="E36" s="5" t="n">
        <f aca="false">ROUND(4056*1.05,2)</f>
        <v>4258.8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ROUND(64*1,0)&amp;"%"</f>
        <v>64%</v>
      </c>
    </row>
    <row r="37" customFormat="false" ht="15" hidden="false" customHeight="false" outlineLevel="0" collapsed="false">
      <c r="A37" s="6" t="s">
        <v>11720</v>
      </c>
      <c r="B37" s="6" t="s">
        <v>90</v>
      </c>
      <c r="C37" s="6" t="s">
        <v>76</v>
      </c>
      <c r="D37" s="6" t="s">
        <v>22</v>
      </c>
      <c r="E37" s="6" t="n">
        <f aca="false">ROUND(14435*1.05,2)</f>
        <v>15156.75</v>
      </c>
      <c r="F37" s="6" t="s">
        <v>52</v>
      </c>
      <c r="G37" s="6" t="s">
        <v>24</v>
      </c>
      <c r="H37" s="6" t="n">
        <f aca="true">ROUND(RAND()*4+6,1)</f>
        <v>7.4</v>
      </c>
      <c r="I37" s="6" t="s">
        <v>25</v>
      </c>
      <c r="J37" s="6" t="str">
        <f aca="false">ROUND(75*1,0)&amp;"%"</f>
        <v>75%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11721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11722</v>
      </c>
      <c r="B42" s="5" t="s">
        <v>94</v>
      </c>
      <c r="C42" s="5" t="s">
        <v>95</v>
      </c>
      <c r="D42" s="5" t="s">
        <v>16</v>
      </c>
      <c r="E42" s="5" t="n">
        <f aca="false">ROUND(13497*1.05,2)</f>
        <v>14171.85</v>
      </c>
      <c r="F42" s="5" t="s">
        <v>17</v>
      </c>
      <c r="G42" s="5" t="s">
        <v>18</v>
      </c>
      <c r="H42" s="5" t="n">
        <f aca="true">ROUND(RAND()*4+6,1)</f>
        <v>6.2</v>
      </c>
      <c r="I42" s="5" t="s">
        <v>19</v>
      </c>
      <c r="J42" s="5" t="str">
        <f aca="false">ROUND(92*1,0)&amp;"%"</f>
        <v>92%</v>
      </c>
    </row>
    <row r="43" customFormat="false" ht="15" hidden="false" customHeight="false" outlineLevel="0" collapsed="false">
      <c r="A43" s="6" t="s">
        <v>11723</v>
      </c>
      <c r="B43" s="6" t="s">
        <v>97</v>
      </c>
      <c r="C43" s="6" t="s">
        <v>95</v>
      </c>
      <c r="D43" s="6" t="s">
        <v>22</v>
      </c>
      <c r="E43" s="6" t="n">
        <f aca="false">ROUND(13974*1.05,2)</f>
        <v>14672.7</v>
      </c>
      <c r="F43" s="6" t="s">
        <v>23</v>
      </c>
      <c r="G43" s="6" t="s">
        <v>24</v>
      </c>
      <c r="H43" s="6" t="n">
        <f aca="true">ROUND(RAND()*4+6,1)</f>
        <v>9.5</v>
      </c>
      <c r="I43" s="6" t="s">
        <v>25</v>
      </c>
      <c r="J43" s="6" t="str">
        <f aca="false">ROUND(97*1,0)&amp;"%"</f>
        <v>97%</v>
      </c>
    </row>
    <row r="44" customFormat="false" ht="15" hidden="false" customHeight="false" outlineLevel="0" collapsed="false">
      <c r="A44" s="5" t="s">
        <v>11724</v>
      </c>
      <c r="B44" s="5" t="s">
        <v>99</v>
      </c>
      <c r="C44" s="5" t="s">
        <v>95</v>
      </c>
      <c r="D44" s="5" t="s">
        <v>28</v>
      </c>
      <c r="E44" s="5" t="n">
        <f aca="false">ROUND(10262*1.05,2)</f>
        <v>10775.1</v>
      </c>
      <c r="F44" s="5" t="s">
        <v>29</v>
      </c>
      <c r="G44" s="5" t="s">
        <v>30</v>
      </c>
      <c r="H44" s="5" t="n">
        <f aca="true">ROUND(RAND()*4+6,1)</f>
        <v>8</v>
      </c>
      <c r="I44" s="5" t="s">
        <v>31</v>
      </c>
      <c r="J44" s="5" t="str">
        <f aca="false">ROUND(82*1,0)&amp;"%"</f>
        <v>82%</v>
      </c>
    </row>
    <row r="45" customFormat="false" ht="15" hidden="false" customHeight="false" outlineLevel="0" collapsed="false">
      <c r="A45" s="6" t="s">
        <v>11725</v>
      </c>
      <c r="B45" s="6" t="s">
        <v>101</v>
      </c>
      <c r="C45" s="6" t="s">
        <v>95</v>
      </c>
      <c r="D45" s="6" t="s">
        <v>34</v>
      </c>
      <c r="E45" s="6" t="n">
        <f aca="false">ROUND(6031*1.05,2)</f>
        <v>6332.55</v>
      </c>
      <c r="F45" s="6" t="s">
        <v>35</v>
      </c>
      <c r="G45" s="6" t="s">
        <v>18</v>
      </c>
      <c r="H45" s="6" t="n">
        <f aca="true">ROUND(RAND()*4+6,1)</f>
        <v>7.1</v>
      </c>
      <c r="I45" s="6" t="s">
        <v>36</v>
      </c>
      <c r="J45" s="6" t="str">
        <f aca="false">ROUND(84*1,0)&amp;"%"</f>
        <v>84%</v>
      </c>
    </row>
    <row r="46" customFormat="false" ht="15" hidden="false" customHeight="false" outlineLevel="0" collapsed="false">
      <c r="A46" s="5" t="s">
        <v>11726</v>
      </c>
      <c r="B46" s="5" t="s">
        <v>103</v>
      </c>
      <c r="C46" s="5" t="s">
        <v>95</v>
      </c>
      <c r="D46" s="5" t="s">
        <v>39</v>
      </c>
      <c r="E46" s="5" t="n">
        <f aca="false">ROUND(11418*1.05,2)</f>
        <v>11988.9</v>
      </c>
      <c r="F46" s="5" t="s">
        <v>40</v>
      </c>
      <c r="G46" s="5" t="s">
        <v>24</v>
      </c>
      <c r="H46" s="5" t="n">
        <f aca="true">ROUND(RAND()*4+6,1)</f>
        <v>8.5</v>
      </c>
      <c r="I46" s="5" t="s">
        <v>41</v>
      </c>
      <c r="J46" s="5" t="str">
        <f aca="false">ROUND(76*1,0)&amp;"%"</f>
        <v>76%</v>
      </c>
    </row>
    <row r="47" customFormat="false" ht="15" hidden="false" customHeight="false" outlineLevel="0" collapsed="false">
      <c r="A47" s="6" t="s">
        <v>11727</v>
      </c>
      <c r="B47" s="6" t="s">
        <v>105</v>
      </c>
      <c r="C47" s="6" t="s">
        <v>95</v>
      </c>
      <c r="D47" s="6" t="s">
        <v>44</v>
      </c>
      <c r="E47" s="6" t="n">
        <f aca="false">ROUND(17760*1.05,2)</f>
        <v>18648</v>
      </c>
      <c r="F47" s="6" t="s">
        <v>45</v>
      </c>
      <c r="G47" s="6" t="s">
        <v>30</v>
      </c>
      <c r="H47" s="6" t="n">
        <f aca="true">ROUND(RAND()*4+6,1)</f>
        <v>6.7</v>
      </c>
      <c r="I47" s="6" t="s">
        <v>46</v>
      </c>
      <c r="J47" s="6" t="str">
        <f aca="false">ROUND(85*1,0)&amp;"%"</f>
        <v>85%</v>
      </c>
    </row>
    <row r="48" customFormat="false" ht="15" hidden="false" customHeight="false" outlineLevel="0" collapsed="false">
      <c r="A48" s="5" t="s">
        <v>11728</v>
      </c>
      <c r="B48" s="5" t="s">
        <v>107</v>
      </c>
      <c r="C48" s="5" t="s">
        <v>95</v>
      </c>
      <c r="D48" s="5" t="s">
        <v>16</v>
      </c>
      <c r="E48" s="5" t="n">
        <f aca="false">ROUND(15640*1.05,2)</f>
        <v>16422</v>
      </c>
      <c r="F48" s="5" t="s">
        <v>49</v>
      </c>
      <c r="G48" s="5" t="s">
        <v>18</v>
      </c>
      <c r="H48" s="5" t="n">
        <f aca="true">ROUND(RAND()*4+6,1)</f>
        <v>9.8</v>
      </c>
      <c r="I48" s="5" t="s">
        <v>19</v>
      </c>
      <c r="J48" s="5" t="str">
        <f aca="false">ROUND(81*1,0)&amp;"%"</f>
        <v>81%</v>
      </c>
    </row>
    <row r="49" customFormat="false" ht="15" hidden="false" customHeight="false" outlineLevel="0" collapsed="false">
      <c r="A49" s="6" t="s">
        <v>11729</v>
      </c>
      <c r="B49" s="6" t="s">
        <v>109</v>
      </c>
      <c r="C49" s="6" t="s">
        <v>95</v>
      </c>
      <c r="D49" s="6" t="s">
        <v>22</v>
      </c>
      <c r="E49" s="6" t="n">
        <f aca="false">ROUND(15404*1.05,2)</f>
        <v>16174.2</v>
      </c>
      <c r="F49" s="6" t="s">
        <v>52</v>
      </c>
      <c r="G49" s="6" t="s">
        <v>24</v>
      </c>
      <c r="H49" s="6" t="n">
        <f aca="true">ROUND(RAND()*4+6,1)</f>
        <v>9.1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11730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11731</v>
      </c>
      <c r="B54" s="5" t="s">
        <v>113</v>
      </c>
      <c r="C54" s="5" t="s">
        <v>114</v>
      </c>
      <c r="D54" s="5" t="s">
        <v>16</v>
      </c>
      <c r="E54" s="5" t="n">
        <f aca="false">ROUND(12511*1.05,2)</f>
        <v>13136.55</v>
      </c>
      <c r="F54" s="5" t="s">
        <v>17</v>
      </c>
      <c r="G54" s="5" t="s">
        <v>18</v>
      </c>
      <c r="H54" s="5" t="n">
        <f aca="true">ROUND(RAND()*4+6,1)</f>
        <v>8.3</v>
      </c>
      <c r="I54" s="5" t="s">
        <v>19</v>
      </c>
      <c r="J54" s="5" t="str">
        <f aca="false">ROUND(80*1,0)&amp;"%"</f>
        <v>80%</v>
      </c>
    </row>
    <row r="55" customFormat="false" ht="15" hidden="false" customHeight="false" outlineLevel="0" collapsed="false">
      <c r="A55" s="6" t="s">
        <v>11732</v>
      </c>
      <c r="B55" s="6" t="s">
        <v>116</v>
      </c>
      <c r="C55" s="6" t="s">
        <v>114</v>
      </c>
      <c r="D55" s="6" t="s">
        <v>22</v>
      </c>
      <c r="E55" s="6" t="n">
        <f aca="false">ROUND(7921*1.05,2)</f>
        <v>8317.05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ROUND(61*1,0)&amp;"%"</f>
        <v>61%</v>
      </c>
    </row>
    <row r="56" customFormat="false" ht="15" hidden="false" customHeight="false" outlineLevel="0" collapsed="false">
      <c r="A56" s="5" t="s">
        <v>11733</v>
      </c>
      <c r="B56" s="5" t="s">
        <v>118</v>
      </c>
      <c r="C56" s="5" t="s">
        <v>114</v>
      </c>
      <c r="D56" s="5" t="s">
        <v>28</v>
      </c>
      <c r="E56" s="5" t="n">
        <f aca="false">ROUND(5755*1.05,2)</f>
        <v>6042.75</v>
      </c>
      <c r="F56" s="5" t="s">
        <v>29</v>
      </c>
      <c r="G56" s="5" t="s">
        <v>30</v>
      </c>
      <c r="H56" s="5" t="n">
        <f aca="true">ROUND(RAND()*4+6,1)</f>
        <v>7.3</v>
      </c>
      <c r="I56" s="5" t="s">
        <v>31</v>
      </c>
      <c r="J56" s="5" t="str">
        <f aca="false">ROUND(80*1,0)&amp;"%"</f>
        <v>80%</v>
      </c>
    </row>
    <row r="57" customFormat="false" ht="15" hidden="false" customHeight="false" outlineLevel="0" collapsed="false">
      <c r="A57" s="6" t="s">
        <v>11734</v>
      </c>
      <c r="B57" s="6" t="s">
        <v>120</v>
      </c>
      <c r="C57" s="6" t="s">
        <v>114</v>
      </c>
      <c r="D57" s="6" t="s">
        <v>34</v>
      </c>
      <c r="E57" s="6" t="n">
        <f aca="false">ROUND(8643*1.05,2)</f>
        <v>9075.15</v>
      </c>
      <c r="F57" s="6" t="s">
        <v>35</v>
      </c>
      <c r="G57" s="6" t="s">
        <v>18</v>
      </c>
      <c r="H57" s="6" t="n">
        <f aca="true">ROUND(RAND()*4+6,1)</f>
        <v>9.1</v>
      </c>
      <c r="I57" s="6" t="s">
        <v>36</v>
      </c>
      <c r="J57" s="6" t="str">
        <f aca="false">ROUND(74*1,0)&amp;"%"</f>
        <v>74%</v>
      </c>
    </row>
    <row r="58" customFormat="false" ht="15" hidden="false" customHeight="false" outlineLevel="0" collapsed="false">
      <c r="A58" s="5" t="s">
        <v>11735</v>
      </c>
      <c r="B58" s="5" t="s">
        <v>122</v>
      </c>
      <c r="C58" s="5" t="s">
        <v>114</v>
      </c>
      <c r="D58" s="5" t="s">
        <v>39</v>
      </c>
      <c r="E58" s="5" t="n">
        <f aca="false">ROUND(6466*1.05,2)</f>
        <v>6789.3</v>
      </c>
      <c r="F58" s="5" t="s">
        <v>40</v>
      </c>
      <c r="G58" s="5" t="s">
        <v>24</v>
      </c>
      <c r="H58" s="5" t="n">
        <f aca="true">ROUND(RAND()*4+6,1)</f>
        <v>6.5</v>
      </c>
      <c r="I58" s="5" t="s">
        <v>41</v>
      </c>
      <c r="J58" s="5" t="str">
        <f aca="false">ROUND(98*1,0)&amp;"%"</f>
        <v>98%</v>
      </c>
    </row>
    <row r="59" customFormat="false" ht="15" hidden="false" customHeight="false" outlineLevel="0" collapsed="false">
      <c r="A59" s="6" t="s">
        <v>11736</v>
      </c>
      <c r="B59" s="6" t="s">
        <v>124</v>
      </c>
      <c r="C59" s="6" t="s">
        <v>114</v>
      </c>
      <c r="D59" s="6" t="s">
        <v>44</v>
      </c>
      <c r="E59" s="6" t="n">
        <f aca="false">ROUND(17159*1.05,2)</f>
        <v>18016.95</v>
      </c>
      <c r="F59" s="6" t="s">
        <v>45</v>
      </c>
      <c r="G59" s="6" t="s">
        <v>30</v>
      </c>
      <c r="H59" s="6" t="n">
        <f aca="true">ROUND(RAND()*4+6,1)</f>
        <v>6</v>
      </c>
      <c r="I59" s="6" t="s">
        <v>46</v>
      </c>
      <c r="J59" s="6" t="str">
        <f aca="false">ROUND(89*1,0)&amp;"%"</f>
        <v>89%</v>
      </c>
    </row>
    <row r="60" customFormat="false" ht="15" hidden="false" customHeight="false" outlineLevel="0" collapsed="false">
      <c r="A60" s="5" t="s">
        <v>11737</v>
      </c>
      <c r="B60" s="5" t="s">
        <v>126</v>
      </c>
      <c r="C60" s="5" t="s">
        <v>114</v>
      </c>
      <c r="D60" s="5" t="s">
        <v>16</v>
      </c>
      <c r="E60" s="5" t="n">
        <f aca="false">ROUND(12928*1.05,2)</f>
        <v>13574.4</v>
      </c>
      <c r="F60" s="5" t="s">
        <v>49</v>
      </c>
      <c r="G60" s="5" t="s">
        <v>18</v>
      </c>
      <c r="H60" s="5" t="n">
        <f aca="true">ROUND(RAND()*4+6,1)</f>
        <v>8.7</v>
      </c>
      <c r="I60" s="5" t="s">
        <v>19</v>
      </c>
      <c r="J60" s="5" t="str">
        <f aca="false">ROUND(87*1,0)&amp;"%"</f>
        <v>87%</v>
      </c>
    </row>
    <row r="61" customFormat="false" ht="15" hidden="false" customHeight="false" outlineLevel="0" collapsed="false">
      <c r="A61" s="6" t="s">
        <v>11738</v>
      </c>
      <c r="B61" s="6" t="s">
        <v>128</v>
      </c>
      <c r="C61" s="6" t="s">
        <v>114</v>
      </c>
      <c r="D61" s="6" t="s">
        <v>22</v>
      </c>
      <c r="E61" s="6" t="n">
        <f aca="false">ROUND(9918*1.05,2)</f>
        <v>10413.9</v>
      </c>
      <c r="F61" s="6" t="s">
        <v>52</v>
      </c>
      <c r="G61" s="6" t="s">
        <v>24</v>
      </c>
      <c r="H61" s="6" t="n">
        <f aca="true">ROUND(RAND()*4+6,1)</f>
        <v>9.3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11739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11740</v>
      </c>
      <c r="B66" s="5" t="s">
        <v>132</v>
      </c>
      <c r="C66" s="5" t="s">
        <v>133</v>
      </c>
      <c r="D66" s="5" t="s">
        <v>16</v>
      </c>
      <c r="E66" s="5" t="n">
        <f aca="false">ROUND(13201*1.05,2)</f>
        <v>13861.05</v>
      </c>
      <c r="F66" s="5" t="s">
        <v>17</v>
      </c>
      <c r="G66" s="5" t="s">
        <v>18</v>
      </c>
      <c r="H66" s="5" t="n">
        <f aca="true">ROUND(RAND()*4+6,1)</f>
        <v>6.2</v>
      </c>
      <c r="I66" s="5" t="s">
        <v>19</v>
      </c>
      <c r="J66" s="5" t="str">
        <f aca="false">ROUND(83*1,0)&amp;"%"</f>
        <v>83%</v>
      </c>
    </row>
    <row r="67" customFormat="false" ht="15" hidden="false" customHeight="false" outlineLevel="0" collapsed="false">
      <c r="A67" s="6" t="s">
        <v>11741</v>
      </c>
      <c r="B67" s="6" t="s">
        <v>135</v>
      </c>
      <c r="C67" s="6" t="s">
        <v>133</v>
      </c>
      <c r="D67" s="6" t="s">
        <v>22</v>
      </c>
      <c r="E67" s="6" t="n">
        <f aca="false">ROUND(4168*1.05,2)</f>
        <v>4376.4</v>
      </c>
      <c r="F67" s="6" t="s">
        <v>23</v>
      </c>
      <c r="G67" s="6" t="s">
        <v>24</v>
      </c>
      <c r="H67" s="6" t="n">
        <f aca="true">ROUND(RAND()*4+6,1)</f>
        <v>6</v>
      </c>
      <c r="I67" s="6" t="s">
        <v>25</v>
      </c>
      <c r="J67" s="6" t="str">
        <f aca="false">ROUND(88*1,0)&amp;"%"</f>
        <v>88%</v>
      </c>
    </row>
    <row r="68" customFormat="false" ht="15" hidden="false" customHeight="false" outlineLevel="0" collapsed="false">
      <c r="A68" s="5" t="s">
        <v>11742</v>
      </c>
      <c r="B68" s="5" t="s">
        <v>137</v>
      </c>
      <c r="C68" s="5" t="s">
        <v>133</v>
      </c>
      <c r="D68" s="5" t="s">
        <v>28</v>
      </c>
      <c r="E68" s="5" t="n">
        <f aca="false">ROUND(17266*1.05,2)</f>
        <v>18129.3</v>
      </c>
      <c r="F68" s="5" t="s">
        <v>29</v>
      </c>
      <c r="G68" s="5" t="s">
        <v>30</v>
      </c>
      <c r="H68" s="5" t="n">
        <f aca="true">ROUND(RAND()*4+6,1)</f>
        <v>9.3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11743</v>
      </c>
      <c r="B69" s="6" t="s">
        <v>139</v>
      </c>
      <c r="C69" s="6" t="s">
        <v>133</v>
      </c>
      <c r="D69" s="6" t="s">
        <v>34</v>
      </c>
      <c r="E69" s="6" t="n">
        <f aca="false">ROUND(5254*1.05,2)</f>
        <v>5516.7</v>
      </c>
      <c r="F69" s="6" t="s">
        <v>35</v>
      </c>
      <c r="G69" s="6" t="s">
        <v>18</v>
      </c>
      <c r="H69" s="6" t="n">
        <f aca="true">ROUND(RAND()*4+6,1)</f>
        <v>8.5</v>
      </c>
      <c r="I69" s="6" t="s">
        <v>36</v>
      </c>
      <c r="J69" s="6" t="str">
        <f aca="false">ROUND(99*1,0)&amp;"%"</f>
        <v>99%</v>
      </c>
    </row>
    <row r="70" customFormat="false" ht="15" hidden="false" customHeight="false" outlineLevel="0" collapsed="false">
      <c r="A70" s="5" t="s">
        <v>11744</v>
      </c>
      <c r="B70" s="5" t="s">
        <v>141</v>
      </c>
      <c r="C70" s="5" t="s">
        <v>133</v>
      </c>
      <c r="D70" s="5" t="s">
        <v>39</v>
      </c>
      <c r="E70" s="5" t="n">
        <f aca="false">ROUND(7983*1.05,2)</f>
        <v>8382.15</v>
      </c>
      <c r="F70" s="5" t="s">
        <v>40</v>
      </c>
      <c r="G70" s="5" t="s">
        <v>24</v>
      </c>
      <c r="H70" s="5" t="n">
        <f aca="true">ROUND(RAND()*4+6,1)</f>
        <v>6.9</v>
      </c>
      <c r="I70" s="5" t="s">
        <v>41</v>
      </c>
      <c r="J70" s="5" t="str">
        <f aca="false">ROUND(85*1,0)&amp;"%"</f>
        <v>85%</v>
      </c>
    </row>
    <row r="71" customFormat="false" ht="15" hidden="false" customHeight="false" outlineLevel="0" collapsed="false">
      <c r="A71" s="6" t="s">
        <v>11745</v>
      </c>
      <c r="B71" s="6" t="s">
        <v>143</v>
      </c>
      <c r="C71" s="6" t="s">
        <v>133</v>
      </c>
      <c r="D71" s="6" t="s">
        <v>44</v>
      </c>
      <c r="E71" s="6" t="n">
        <f aca="false">ROUND(14468*1.05,2)</f>
        <v>15191.4</v>
      </c>
      <c r="F71" s="6" t="s">
        <v>45</v>
      </c>
      <c r="G71" s="6" t="s">
        <v>30</v>
      </c>
      <c r="H71" s="6" t="n">
        <f aca="true">ROUND(RAND()*4+6,1)</f>
        <v>7.5</v>
      </c>
      <c r="I71" s="6" t="s">
        <v>46</v>
      </c>
      <c r="J71" s="6" t="str">
        <f aca="false">ROUND(74*1,0)&amp;"%"</f>
        <v>74%</v>
      </c>
    </row>
    <row r="72" customFormat="false" ht="15" hidden="false" customHeight="false" outlineLevel="0" collapsed="false">
      <c r="A72" s="5" t="s">
        <v>11746</v>
      </c>
      <c r="B72" s="5" t="s">
        <v>145</v>
      </c>
      <c r="C72" s="5" t="s">
        <v>133</v>
      </c>
      <c r="D72" s="5" t="s">
        <v>16</v>
      </c>
      <c r="E72" s="5" t="n">
        <f aca="false">ROUND(8360*1.05,2)</f>
        <v>8778</v>
      </c>
      <c r="F72" s="5" t="s">
        <v>49</v>
      </c>
      <c r="G72" s="5" t="s">
        <v>18</v>
      </c>
      <c r="H72" s="5" t="n">
        <f aca="true">ROUND(RAND()*4+6,1)</f>
        <v>9.8</v>
      </c>
      <c r="I72" s="5" t="s">
        <v>19</v>
      </c>
      <c r="J72" s="5" t="str">
        <f aca="false">ROUND(79*1,0)&amp;"%"</f>
        <v>79%</v>
      </c>
    </row>
    <row r="73" customFormat="false" ht="15" hidden="false" customHeight="false" outlineLevel="0" collapsed="false">
      <c r="A73" s="6" t="s">
        <v>11747</v>
      </c>
      <c r="B73" s="6" t="s">
        <v>147</v>
      </c>
      <c r="C73" s="6" t="s">
        <v>133</v>
      </c>
      <c r="D73" s="6" t="s">
        <v>22</v>
      </c>
      <c r="E73" s="6" t="n">
        <f aca="false">ROUND(17288*1.05,2)</f>
        <v>18152.4</v>
      </c>
      <c r="F73" s="6" t="s">
        <v>52</v>
      </c>
      <c r="G73" s="6" t="s">
        <v>24</v>
      </c>
      <c r="H73" s="6" t="n">
        <f aca="true">ROUND(RAND()*4+6,1)</f>
        <v>7.6</v>
      </c>
      <c r="I73" s="6" t="s">
        <v>25</v>
      </c>
      <c r="J73" s="6" t="str">
        <f aca="false">ROUND(96*1,0)&amp;"%"</f>
        <v>96%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11748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11749</v>
      </c>
      <c r="B78" s="5" t="s">
        <v>151</v>
      </c>
      <c r="C78" s="5" t="s">
        <v>152</v>
      </c>
      <c r="D78" s="5" t="s">
        <v>16</v>
      </c>
      <c r="E78" s="5" t="n">
        <f aca="false">ROUND(17206*1.05,2)</f>
        <v>18066.3</v>
      </c>
      <c r="F78" s="5" t="s">
        <v>17</v>
      </c>
      <c r="G78" s="5" t="s">
        <v>18</v>
      </c>
      <c r="H78" s="5" t="n">
        <f aca="true">ROUND(RAND()*4+6,1)</f>
        <v>8.6</v>
      </c>
      <c r="I78" s="5" t="s">
        <v>19</v>
      </c>
      <c r="J78" s="5" t="str">
        <f aca="false">ROUND(91*1,0)&amp;"%"</f>
        <v>91%</v>
      </c>
    </row>
    <row r="79" customFormat="false" ht="15" hidden="false" customHeight="false" outlineLevel="0" collapsed="false">
      <c r="A79" s="6" t="s">
        <v>11750</v>
      </c>
      <c r="B79" s="6" t="s">
        <v>154</v>
      </c>
      <c r="C79" s="6" t="s">
        <v>152</v>
      </c>
      <c r="D79" s="6" t="s">
        <v>22</v>
      </c>
      <c r="E79" s="6" t="n">
        <f aca="false">ROUND(5031*1.05,2)</f>
        <v>5282.55</v>
      </c>
      <c r="F79" s="6" t="s">
        <v>23</v>
      </c>
      <c r="G79" s="6" t="s">
        <v>24</v>
      </c>
      <c r="H79" s="6" t="n">
        <f aca="true">ROUND(RAND()*4+6,1)</f>
        <v>7.1</v>
      </c>
      <c r="I79" s="6" t="s">
        <v>25</v>
      </c>
      <c r="J79" s="6" t="str">
        <f aca="false">ROUND(76*1,0)&amp;"%"</f>
        <v>76%</v>
      </c>
    </row>
    <row r="80" customFormat="false" ht="15" hidden="false" customHeight="false" outlineLevel="0" collapsed="false">
      <c r="A80" s="5" t="s">
        <v>11751</v>
      </c>
      <c r="B80" s="5" t="s">
        <v>156</v>
      </c>
      <c r="C80" s="5" t="s">
        <v>152</v>
      </c>
      <c r="D80" s="5" t="s">
        <v>28</v>
      </c>
      <c r="E80" s="5" t="n">
        <f aca="false">ROUND(17333*1.05,2)</f>
        <v>18199.65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ROUND(95*1,0)&amp;"%"</f>
        <v>95%</v>
      </c>
    </row>
    <row r="81" customFormat="false" ht="15" hidden="false" customHeight="false" outlineLevel="0" collapsed="false">
      <c r="A81" s="6" t="s">
        <v>11752</v>
      </c>
      <c r="B81" s="6" t="s">
        <v>158</v>
      </c>
      <c r="C81" s="6" t="s">
        <v>152</v>
      </c>
      <c r="D81" s="6" t="s">
        <v>34</v>
      </c>
      <c r="E81" s="6" t="n">
        <f aca="false">ROUND(6021*1.05,2)</f>
        <v>6322.05</v>
      </c>
      <c r="F81" s="6" t="s">
        <v>35</v>
      </c>
      <c r="G81" s="6" t="s">
        <v>18</v>
      </c>
      <c r="H81" s="6" t="n">
        <f aca="true">ROUND(RAND()*4+6,1)</f>
        <v>9</v>
      </c>
      <c r="I81" s="6" t="s">
        <v>36</v>
      </c>
      <c r="J81" s="6" t="str">
        <f aca="false">ROUND(83*1,0)&amp;"%"</f>
        <v>83%</v>
      </c>
    </row>
    <row r="82" customFormat="false" ht="15" hidden="false" customHeight="false" outlineLevel="0" collapsed="false">
      <c r="A82" s="5" t="s">
        <v>11753</v>
      </c>
      <c r="B82" s="5" t="s">
        <v>160</v>
      </c>
      <c r="C82" s="5" t="s">
        <v>152</v>
      </c>
      <c r="D82" s="5" t="s">
        <v>39</v>
      </c>
      <c r="E82" s="5" t="n">
        <f aca="false">ROUND(14875*1.05,2)</f>
        <v>15618.75</v>
      </c>
      <c r="F82" s="5" t="s">
        <v>40</v>
      </c>
      <c r="G82" s="5" t="s">
        <v>24</v>
      </c>
      <c r="H82" s="5" t="n">
        <f aca="true">ROUND(RAND()*4+6,1)</f>
        <v>8.5</v>
      </c>
      <c r="I82" s="5" t="s">
        <v>41</v>
      </c>
      <c r="J82" s="5" t="str">
        <f aca="false">ROUND(92*1,0)&amp;"%"</f>
        <v>92%</v>
      </c>
    </row>
    <row r="83" customFormat="false" ht="15" hidden="false" customHeight="false" outlineLevel="0" collapsed="false">
      <c r="A83" s="6" t="s">
        <v>11754</v>
      </c>
      <c r="B83" s="6" t="s">
        <v>162</v>
      </c>
      <c r="C83" s="6" t="s">
        <v>152</v>
      </c>
      <c r="D83" s="6" t="s">
        <v>44</v>
      </c>
      <c r="E83" s="6" t="n">
        <f aca="false">ROUND(6700*1.05,2)</f>
        <v>7035</v>
      </c>
      <c r="F83" s="6" t="s">
        <v>45</v>
      </c>
      <c r="G83" s="6" t="s">
        <v>30</v>
      </c>
      <c r="H83" s="6" t="n">
        <f aca="true">ROUND(RAND()*4+6,1)</f>
        <v>9.9</v>
      </c>
      <c r="I83" s="6" t="s">
        <v>46</v>
      </c>
      <c r="J83" s="6" t="str">
        <f aca="false">ROUND(77*1,0)&amp;"%"</f>
        <v>77%</v>
      </c>
    </row>
    <row r="84" customFormat="false" ht="15" hidden="false" customHeight="false" outlineLevel="0" collapsed="false">
      <c r="A84" s="5" t="s">
        <v>11755</v>
      </c>
      <c r="B84" s="5" t="s">
        <v>164</v>
      </c>
      <c r="C84" s="5" t="s">
        <v>152</v>
      </c>
      <c r="D84" s="5" t="s">
        <v>16</v>
      </c>
      <c r="E84" s="5" t="n">
        <f aca="false">ROUND(7947*1.05,2)</f>
        <v>8344.35</v>
      </c>
      <c r="F84" s="5" t="s">
        <v>49</v>
      </c>
      <c r="G84" s="5" t="s">
        <v>18</v>
      </c>
      <c r="H84" s="5" t="n">
        <f aca="true">ROUND(RAND()*4+6,1)</f>
        <v>6.2</v>
      </c>
      <c r="I84" s="5" t="s">
        <v>19</v>
      </c>
      <c r="J84" s="5" t="str">
        <f aca="false">ROUND(82*1,0)&amp;"%"</f>
        <v>82%</v>
      </c>
    </row>
    <row r="85" customFormat="false" ht="15" hidden="false" customHeight="false" outlineLevel="0" collapsed="false">
      <c r="A85" s="6" t="s">
        <v>11756</v>
      </c>
      <c r="B85" s="6" t="s">
        <v>166</v>
      </c>
      <c r="C85" s="6" t="s">
        <v>152</v>
      </c>
      <c r="D85" s="6" t="s">
        <v>22</v>
      </c>
      <c r="E85" s="6" t="n">
        <f aca="false">ROUND(13099*1.05,2)</f>
        <v>13753.95</v>
      </c>
      <c r="F85" s="6" t="s">
        <v>52</v>
      </c>
      <c r="G85" s="6" t="s">
        <v>24</v>
      </c>
      <c r="H85" s="6" t="n">
        <f aca="true">ROUND(RAND()*4+6,1)</f>
        <v>8.3</v>
      </c>
      <c r="I85" s="6" t="s">
        <v>25</v>
      </c>
      <c r="J85" s="6" t="str">
        <f aca="false">ROUND(78*1,0)&amp;"%"</f>
        <v>78%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11757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11758</v>
      </c>
      <c r="B90" s="5" t="s">
        <v>170</v>
      </c>
      <c r="C90" s="5" t="s">
        <v>15</v>
      </c>
      <c r="D90" s="5" t="s">
        <v>16</v>
      </c>
      <c r="E90" s="5" t="n">
        <f aca="false">ROUND(10207*1.05,2)</f>
        <v>10717.35</v>
      </c>
      <c r="F90" s="5" t="s">
        <v>17</v>
      </c>
      <c r="G90" s="5" t="s">
        <v>18</v>
      </c>
      <c r="H90" s="5" t="n">
        <f aca="true">ROUND(RAND()*4+6,1)</f>
        <v>8.2</v>
      </c>
      <c r="I90" s="5" t="s">
        <v>19</v>
      </c>
      <c r="J90" s="5" t="str">
        <f aca="false">ROUND(79*1,0)&amp;"%"</f>
        <v>79%</v>
      </c>
    </row>
    <row r="91" customFormat="false" ht="15" hidden="false" customHeight="false" outlineLevel="0" collapsed="false">
      <c r="A91" s="6" t="s">
        <v>11759</v>
      </c>
      <c r="B91" s="6" t="s">
        <v>172</v>
      </c>
      <c r="C91" s="6" t="s">
        <v>15</v>
      </c>
      <c r="D91" s="6" t="s">
        <v>22</v>
      </c>
      <c r="E91" s="6" t="n">
        <f aca="false">ROUND(5558*1.05,2)</f>
        <v>5835.9</v>
      </c>
      <c r="F91" s="6" t="s">
        <v>23</v>
      </c>
      <c r="G91" s="6" t="s">
        <v>24</v>
      </c>
      <c r="H91" s="6" t="n">
        <f aca="true">ROUND(RAND()*4+6,1)</f>
        <v>8.6</v>
      </c>
      <c r="I91" s="6" t="s">
        <v>25</v>
      </c>
      <c r="J91" s="6" t="str">
        <f aca="false">ROUND(97*1,0)&amp;"%"</f>
        <v>97%</v>
      </c>
    </row>
    <row r="92" customFormat="false" ht="15" hidden="false" customHeight="false" outlineLevel="0" collapsed="false">
      <c r="A92" s="5" t="s">
        <v>11760</v>
      </c>
      <c r="B92" s="5" t="s">
        <v>174</v>
      </c>
      <c r="C92" s="5" t="s">
        <v>15</v>
      </c>
      <c r="D92" s="5" t="s">
        <v>28</v>
      </c>
      <c r="E92" s="5" t="n">
        <f aca="false">ROUND(17795*1.05,2)</f>
        <v>18684.75</v>
      </c>
      <c r="F92" s="5" t="s">
        <v>29</v>
      </c>
      <c r="G92" s="5" t="s">
        <v>30</v>
      </c>
      <c r="H92" s="5" t="n">
        <f aca="true">ROUND(RAND()*4+6,1)</f>
        <v>7.4</v>
      </c>
      <c r="I92" s="5" t="s">
        <v>31</v>
      </c>
      <c r="J92" s="5" t="str">
        <f aca="false">ROUND(74*1,0)&amp;"%"</f>
        <v>74%</v>
      </c>
    </row>
    <row r="93" customFormat="false" ht="15" hidden="false" customHeight="false" outlineLevel="0" collapsed="false">
      <c r="A93" s="6" t="s">
        <v>11761</v>
      </c>
      <c r="B93" s="6" t="s">
        <v>176</v>
      </c>
      <c r="C93" s="6" t="s">
        <v>15</v>
      </c>
      <c r="D93" s="6" t="s">
        <v>34</v>
      </c>
      <c r="E93" s="6" t="n">
        <f aca="false">ROUND(11983*1.05,2)</f>
        <v>12582.15</v>
      </c>
      <c r="F93" s="6" t="s">
        <v>35</v>
      </c>
      <c r="G93" s="6" t="s">
        <v>18</v>
      </c>
      <c r="H93" s="6" t="n">
        <f aca="true">ROUND(RAND()*4+6,1)</f>
        <v>6.7</v>
      </c>
      <c r="I93" s="6" t="s">
        <v>36</v>
      </c>
      <c r="J93" s="6" t="str">
        <f aca="false">ROUND(69*1,0)&amp;"%"</f>
        <v>69%</v>
      </c>
    </row>
    <row r="94" customFormat="false" ht="15" hidden="false" customHeight="false" outlineLevel="0" collapsed="false">
      <c r="A94" s="5" t="s">
        <v>11762</v>
      </c>
      <c r="B94" s="5" t="s">
        <v>178</v>
      </c>
      <c r="C94" s="5" t="s">
        <v>15</v>
      </c>
      <c r="D94" s="5" t="s">
        <v>39</v>
      </c>
      <c r="E94" s="5" t="n">
        <f aca="false">ROUND(10190*1.05,2)</f>
        <v>10699.5</v>
      </c>
      <c r="F94" s="5" t="s">
        <v>40</v>
      </c>
      <c r="G94" s="5" t="s">
        <v>24</v>
      </c>
      <c r="H94" s="5" t="n">
        <f aca="true">ROUND(RAND()*4+6,1)</f>
        <v>8.6</v>
      </c>
      <c r="I94" s="5" t="s">
        <v>41</v>
      </c>
      <c r="J94" s="5" t="str">
        <f aca="false">ROUND(61*1,0)&amp;"%"</f>
        <v>61%</v>
      </c>
    </row>
    <row r="95" customFormat="false" ht="15" hidden="false" customHeight="false" outlineLevel="0" collapsed="false">
      <c r="A95" s="6" t="s">
        <v>11763</v>
      </c>
      <c r="B95" s="6" t="s">
        <v>180</v>
      </c>
      <c r="C95" s="6" t="s">
        <v>15</v>
      </c>
      <c r="D95" s="6" t="s">
        <v>44</v>
      </c>
      <c r="E95" s="6" t="n">
        <f aca="false">ROUND(13970*1.05,2)</f>
        <v>14668.5</v>
      </c>
      <c r="F95" s="6" t="s">
        <v>45</v>
      </c>
      <c r="G95" s="6" t="s">
        <v>30</v>
      </c>
      <c r="H95" s="6" t="n">
        <f aca="true">ROUND(RAND()*4+6,1)</f>
        <v>7.8</v>
      </c>
      <c r="I95" s="6" t="s">
        <v>46</v>
      </c>
      <c r="J95" s="6" t="str">
        <f aca="false">ROUND(97*1,0)&amp;"%"</f>
        <v>97%</v>
      </c>
    </row>
    <row r="96" customFormat="false" ht="15" hidden="false" customHeight="false" outlineLevel="0" collapsed="false">
      <c r="A96" s="5" t="s">
        <v>11764</v>
      </c>
      <c r="B96" s="5" t="s">
        <v>182</v>
      </c>
      <c r="C96" s="5" t="s">
        <v>15</v>
      </c>
      <c r="D96" s="5" t="s">
        <v>16</v>
      </c>
      <c r="E96" s="5" t="n">
        <f aca="false">ROUND(14770*1.05,2)</f>
        <v>15508.5</v>
      </c>
      <c r="F96" s="5" t="s">
        <v>49</v>
      </c>
      <c r="G96" s="5" t="s">
        <v>18</v>
      </c>
      <c r="H96" s="5" t="n">
        <f aca="true">ROUND(RAND()*4+6,1)</f>
        <v>8.2</v>
      </c>
      <c r="I96" s="5" t="s">
        <v>19</v>
      </c>
      <c r="J96" s="5" t="str">
        <f aca="false">ROUND(72*1,0)&amp;"%"</f>
        <v>72%</v>
      </c>
    </row>
    <row r="97" customFormat="false" ht="15" hidden="false" customHeight="false" outlineLevel="0" collapsed="false">
      <c r="A97" s="6" t="s">
        <v>11765</v>
      </c>
      <c r="B97" s="6" t="s">
        <v>184</v>
      </c>
      <c r="C97" s="6" t="s">
        <v>15</v>
      </c>
      <c r="D97" s="6" t="s">
        <v>22</v>
      </c>
      <c r="E97" s="6" t="n">
        <f aca="false">ROUND(9016*1.05,2)</f>
        <v>9466.8</v>
      </c>
      <c r="F97" s="6" t="s">
        <v>52</v>
      </c>
      <c r="G97" s="6" t="s">
        <v>24</v>
      </c>
      <c r="H97" s="6" t="n">
        <f aca="true">ROUND(RAND()*4+6,1)</f>
        <v>7.7</v>
      </c>
      <c r="I97" s="6" t="s">
        <v>25</v>
      </c>
      <c r="J97" s="6" t="str">
        <f aca="false">ROUND(80*1,0)&amp;"%"</f>
        <v>80%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11766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11767</v>
      </c>
      <c r="B102" s="5" t="s">
        <v>188</v>
      </c>
      <c r="C102" s="5" t="s">
        <v>57</v>
      </c>
      <c r="D102" s="5" t="s">
        <v>16</v>
      </c>
      <c r="E102" s="5" t="n">
        <f aca="false">ROUND(12176*1.05,2)</f>
        <v>12784.8</v>
      </c>
      <c r="F102" s="5" t="s">
        <v>17</v>
      </c>
      <c r="G102" s="5" t="s">
        <v>18</v>
      </c>
      <c r="H102" s="5" t="n">
        <f aca="true">ROUND(RAND()*4+6,1)</f>
        <v>7.3</v>
      </c>
      <c r="I102" s="5" t="s">
        <v>19</v>
      </c>
      <c r="J102" s="5" t="str">
        <f aca="false">ROUND(89*1,0)&amp;"%"</f>
        <v>89%</v>
      </c>
    </row>
    <row r="103" customFormat="false" ht="15" hidden="false" customHeight="false" outlineLevel="0" collapsed="false">
      <c r="A103" s="6" t="s">
        <v>11768</v>
      </c>
      <c r="B103" s="6" t="s">
        <v>190</v>
      </c>
      <c r="C103" s="6" t="s">
        <v>57</v>
      </c>
      <c r="D103" s="6" t="s">
        <v>22</v>
      </c>
      <c r="E103" s="6" t="n">
        <f aca="false">ROUND(9250*1.05,2)</f>
        <v>9712.5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ROUND(62*1,0)&amp;"%"</f>
        <v>62%</v>
      </c>
    </row>
    <row r="104" customFormat="false" ht="15" hidden="false" customHeight="false" outlineLevel="0" collapsed="false">
      <c r="A104" s="5" t="s">
        <v>11769</v>
      </c>
      <c r="B104" s="5" t="s">
        <v>192</v>
      </c>
      <c r="C104" s="5" t="s">
        <v>57</v>
      </c>
      <c r="D104" s="5" t="s">
        <v>28</v>
      </c>
      <c r="E104" s="5" t="n">
        <f aca="false">ROUND(13837*1.05,2)</f>
        <v>14528.85</v>
      </c>
      <c r="F104" s="5" t="s">
        <v>29</v>
      </c>
      <c r="G104" s="5" t="s">
        <v>30</v>
      </c>
      <c r="H104" s="5" t="n">
        <f aca="true">ROUND(RAND()*4+6,1)</f>
        <v>9.9</v>
      </c>
      <c r="I104" s="5" t="s">
        <v>31</v>
      </c>
      <c r="J104" s="5" t="str">
        <f aca="false">ROUND(91*1,0)&amp;"%"</f>
        <v>91%</v>
      </c>
    </row>
    <row r="105" customFormat="false" ht="15" hidden="false" customHeight="false" outlineLevel="0" collapsed="false">
      <c r="A105" s="6" t="s">
        <v>11770</v>
      </c>
      <c r="B105" s="6" t="s">
        <v>194</v>
      </c>
      <c r="C105" s="6" t="s">
        <v>57</v>
      </c>
      <c r="D105" s="6" t="s">
        <v>34</v>
      </c>
      <c r="E105" s="6" t="n">
        <f aca="false">ROUND(7598*1.05,2)</f>
        <v>7977.9</v>
      </c>
      <c r="F105" s="6" t="s">
        <v>35</v>
      </c>
      <c r="G105" s="6" t="s">
        <v>18</v>
      </c>
      <c r="H105" s="6" t="n">
        <f aca="true">ROUND(RAND()*4+6,1)</f>
        <v>9</v>
      </c>
      <c r="I105" s="6" t="s">
        <v>36</v>
      </c>
      <c r="J105" s="6" t="str">
        <f aca="false">ROUND(78*1,0)&amp;"%"</f>
        <v>78%</v>
      </c>
    </row>
    <row r="106" customFormat="false" ht="15" hidden="false" customHeight="false" outlineLevel="0" collapsed="false">
      <c r="A106" s="5" t="s">
        <v>11771</v>
      </c>
      <c r="B106" s="5" t="s">
        <v>196</v>
      </c>
      <c r="C106" s="5" t="s">
        <v>57</v>
      </c>
      <c r="D106" s="5" t="s">
        <v>39</v>
      </c>
      <c r="E106" s="5" t="n">
        <f aca="false">ROUND(11500*1.05,2)</f>
        <v>12075</v>
      </c>
      <c r="F106" s="5" t="s">
        <v>40</v>
      </c>
      <c r="G106" s="5" t="s">
        <v>24</v>
      </c>
      <c r="H106" s="5" t="n">
        <f aca="true">ROUND(RAND()*4+6,1)</f>
        <v>9.5</v>
      </c>
      <c r="I106" s="5" t="s">
        <v>41</v>
      </c>
      <c r="J106" s="5" t="str">
        <f aca="false">ROUND(78*1,0)&amp;"%"</f>
        <v>78%</v>
      </c>
    </row>
    <row r="107" customFormat="false" ht="15" hidden="false" customHeight="false" outlineLevel="0" collapsed="false">
      <c r="A107" s="6" t="s">
        <v>11772</v>
      </c>
      <c r="B107" s="6" t="s">
        <v>198</v>
      </c>
      <c r="C107" s="6" t="s">
        <v>57</v>
      </c>
      <c r="D107" s="6" t="s">
        <v>44</v>
      </c>
      <c r="E107" s="6" t="n">
        <f aca="false">ROUND(9001*1.05,2)</f>
        <v>9451.05</v>
      </c>
      <c r="F107" s="6" t="s">
        <v>45</v>
      </c>
      <c r="G107" s="6" t="s">
        <v>30</v>
      </c>
      <c r="H107" s="6" t="n">
        <f aca="true">ROUND(RAND()*4+6,1)</f>
        <v>10</v>
      </c>
      <c r="I107" s="6" t="s">
        <v>46</v>
      </c>
      <c r="J107" s="6" t="str">
        <f aca="false">ROUND(95*1,0)&amp;"%"</f>
        <v>95%</v>
      </c>
    </row>
    <row r="108" customFormat="false" ht="15" hidden="false" customHeight="false" outlineLevel="0" collapsed="false">
      <c r="A108" s="5" t="s">
        <v>11773</v>
      </c>
      <c r="B108" s="5" t="s">
        <v>200</v>
      </c>
      <c r="C108" s="5" t="s">
        <v>57</v>
      </c>
      <c r="D108" s="5" t="s">
        <v>16</v>
      </c>
      <c r="E108" s="5" t="n">
        <f aca="false">ROUND(9569*1.05,2)</f>
        <v>10047.45</v>
      </c>
      <c r="F108" s="5" t="s">
        <v>49</v>
      </c>
      <c r="G108" s="5" t="s">
        <v>18</v>
      </c>
      <c r="H108" s="5" t="n">
        <f aca="true">ROUND(RAND()*4+6,1)</f>
        <v>6</v>
      </c>
      <c r="I108" s="5" t="s">
        <v>19</v>
      </c>
      <c r="J108" s="5" t="str">
        <f aca="false">ROUND(84*1,0)&amp;"%"</f>
        <v>84%</v>
      </c>
    </row>
    <row r="109" customFormat="false" ht="15" hidden="false" customHeight="false" outlineLevel="0" collapsed="false">
      <c r="A109" s="6" t="s">
        <v>11774</v>
      </c>
      <c r="B109" s="6" t="s">
        <v>202</v>
      </c>
      <c r="C109" s="6" t="s">
        <v>57</v>
      </c>
      <c r="D109" s="6" t="s">
        <v>22</v>
      </c>
      <c r="E109" s="6" t="n">
        <f aca="false">ROUND(9566*1.05,2)</f>
        <v>10044.3</v>
      </c>
      <c r="F109" s="6" t="s">
        <v>52</v>
      </c>
      <c r="G109" s="6" t="s">
        <v>24</v>
      </c>
      <c r="H109" s="6" t="n">
        <f aca="true">ROUND(RAND()*4+6,1)</f>
        <v>6.8</v>
      </c>
      <c r="I109" s="6" t="s">
        <v>25</v>
      </c>
      <c r="J109" s="6" t="str">
        <f aca="false">ROUND(79*1,0)&amp;"%"</f>
        <v>79%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11775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11776</v>
      </c>
      <c r="B114" s="5" t="s">
        <v>206</v>
      </c>
      <c r="C114" s="5" t="s">
        <v>76</v>
      </c>
      <c r="D114" s="5" t="s">
        <v>16</v>
      </c>
      <c r="E114" s="5" t="n">
        <f aca="false">ROUND(10498*1.05,2)</f>
        <v>11022.9</v>
      </c>
      <c r="F114" s="5" t="s">
        <v>17</v>
      </c>
      <c r="G114" s="5" t="s">
        <v>18</v>
      </c>
      <c r="H114" s="5" t="n">
        <f aca="true">ROUND(RAND()*4+6,1)</f>
        <v>7.7</v>
      </c>
      <c r="I114" s="5" t="s">
        <v>19</v>
      </c>
      <c r="J114" s="5" t="str">
        <f aca="false">ROUND(65*1,0)&amp;"%"</f>
        <v>65%</v>
      </c>
    </row>
    <row r="115" customFormat="false" ht="15" hidden="false" customHeight="false" outlineLevel="0" collapsed="false">
      <c r="A115" s="6" t="s">
        <v>11777</v>
      </c>
      <c r="B115" s="6" t="s">
        <v>208</v>
      </c>
      <c r="C115" s="6" t="s">
        <v>76</v>
      </c>
      <c r="D115" s="6" t="s">
        <v>22</v>
      </c>
      <c r="E115" s="6" t="n">
        <f aca="false">ROUND(13911*1.05,2)</f>
        <v>14606.55</v>
      </c>
      <c r="F115" s="6" t="s">
        <v>23</v>
      </c>
      <c r="G115" s="6" t="s">
        <v>24</v>
      </c>
      <c r="H115" s="6" t="n">
        <f aca="true">ROUND(RAND()*4+6,1)</f>
        <v>9.4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11778</v>
      </c>
      <c r="B116" s="5" t="s">
        <v>210</v>
      </c>
      <c r="C116" s="5" t="s">
        <v>76</v>
      </c>
      <c r="D116" s="5" t="s">
        <v>28</v>
      </c>
      <c r="E116" s="5" t="n">
        <f aca="false">ROUND(6790*1.05,2)</f>
        <v>7129.5</v>
      </c>
      <c r="F116" s="5" t="s">
        <v>29</v>
      </c>
      <c r="G116" s="5" t="s">
        <v>30</v>
      </c>
      <c r="H116" s="5" t="n">
        <f aca="true">ROUND(RAND()*4+6,1)</f>
        <v>8.4</v>
      </c>
      <c r="I116" s="5" t="s">
        <v>31</v>
      </c>
      <c r="J116" s="5" t="str">
        <f aca="false">ROUND(63*1,0)&amp;"%"</f>
        <v>63%</v>
      </c>
    </row>
    <row r="117" customFormat="false" ht="15" hidden="false" customHeight="false" outlineLevel="0" collapsed="false">
      <c r="A117" s="6" t="s">
        <v>11779</v>
      </c>
      <c r="B117" s="6" t="s">
        <v>212</v>
      </c>
      <c r="C117" s="6" t="s">
        <v>76</v>
      </c>
      <c r="D117" s="6" t="s">
        <v>34</v>
      </c>
      <c r="E117" s="6" t="n">
        <f aca="false">ROUND(4114*1.05,2)</f>
        <v>4319.7</v>
      </c>
      <c r="F117" s="6" t="s">
        <v>35</v>
      </c>
      <c r="G117" s="6" t="s">
        <v>18</v>
      </c>
      <c r="H117" s="6" t="n">
        <f aca="true">ROUND(RAND()*4+6,1)</f>
        <v>7.8</v>
      </c>
      <c r="I117" s="6" t="s">
        <v>36</v>
      </c>
      <c r="J117" s="6" t="str">
        <f aca="false">ROUND(62*1,0)&amp;"%"</f>
        <v>62%</v>
      </c>
    </row>
    <row r="118" customFormat="false" ht="15" hidden="false" customHeight="false" outlineLevel="0" collapsed="false">
      <c r="A118" s="5" t="s">
        <v>11780</v>
      </c>
      <c r="B118" s="5" t="s">
        <v>214</v>
      </c>
      <c r="C118" s="5" t="s">
        <v>76</v>
      </c>
      <c r="D118" s="5" t="s">
        <v>39</v>
      </c>
      <c r="E118" s="5" t="n">
        <f aca="false">ROUND(15120*1.05,2)</f>
        <v>15876</v>
      </c>
      <c r="F118" s="5" t="s">
        <v>40</v>
      </c>
      <c r="G118" s="5" t="s">
        <v>24</v>
      </c>
      <c r="H118" s="5" t="n">
        <f aca="true">ROUND(RAND()*4+6,1)</f>
        <v>7.3</v>
      </c>
      <c r="I118" s="5" t="s">
        <v>41</v>
      </c>
      <c r="J118" s="5" t="str">
        <f aca="false">ROUND(70*1,0)&amp;"%"</f>
        <v>70%</v>
      </c>
    </row>
    <row r="119" customFormat="false" ht="15" hidden="false" customHeight="false" outlineLevel="0" collapsed="false">
      <c r="A119" s="6" t="s">
        <v>11781</v>
      </c>
      <c r="B119" s="6" t="s">
        <v>216</v>
      </c>
      <c r="C119" s="6" t="s">
        <v>76</v>
      </c>
      <c r="D119" s="6" t="s">
        <v>44</v>
      </c>
      <c r="E119" s="6" t="n">
        <f aca="false">ROUND(14225*1.05,2)</f>
        <v>14936.25</v>
      </c>
      <c r="F119" s="6" t="s">
        <v>45</v>
      </c>
      <c r="G119" s="6" t="s">
        <v>30</v>
      </c>
      <c r="H119" s="6" t="n">
        <f aca="true">ROUND(RAND()*4+6,1)</f>
        <v>7.9</v>
      </c>
      <c r="I119" s="6" t="s">
        <v>46</v>
      </c>
      <c r="J119" s="6" t="str">
        <f aca="false">ROUND(79*1,0)&amp;"%"</f>
        <v>79%</v>
      </c>
    </row>
    <row r="120" customFormat="false" ht="15" hidden="false" customHeight="false" outlineLevel="0" collapsed="false">
      <c r="A120" s="5" t="s">
        <v>11782</v>
      </c>
      <c r="B120" s="5" t="s">
        <v>218</v>
      </c>
      <c r="C120" s="5" t="s">
        <v>76</v>
      </c>
      <c r="D120" s="5" t="s">
        <v>16</v>
      </c>
      <c r="E120" s="5" t="n">
        <f aca="false">ROUND(9320*1.05,2)</f>
        <v>9786</v>
      </c>
      <c r="F120" s="5" t="s">
        <v>49</v>
      </c>
      <c r="G120" s="5" t="s">
        <v>18</v>
      </c>
      <c r="H120" s="5" t="n">
        <f aca="true">ROUND(RAND()*4+6,1)</f>
        <v>8.4</v>
      </c>
      <c r="I120" s="5" t="s">
        <v>19</v>
      </c>
      <c r="J120" s="5" t="str">
        <f aca="false">ROUND(94*1,0)&amp;"%"</f>
        <v>94%</v>
      </c>
    </row>
    <row r="121" customFormat="false" ht="15" hidden="false" customHeight="false" outlineLevel="0" collapsed="false">
      <c r="A121" s="6" t="s">
        <v>11783</v>
      </c>
      <c r="B121" s="6" t="s">
        <v>220</v>
      </c>
      <c r="C121" s="6" t="s">
        <v>76</v>
      </c>
      <c r="D121" s="6" t="s">
        <v>22</v>
      </c>
      <c r="E121" s="6" t="n">
        <f aca="false">ROUND(13495*1.05,2)</f>
        <v>14169.75</v>
      </c>
      <c r="F121" s="6" t="s">
        <v>52</v>
      </c>
      <c r="G121" s="6" t="s">
        <v>24</v>
      </c>
      <c r="H121" s="6" t="n">
        <f aca="true">ROUND(RAND()*4+6,1)</f>
        <v>7.7</v>
      </c>
      <c r="I121" s="6" t="s">
        <v>25</v>
      </c>
      <c r="J121" s="6" t="str">
        <f aca="false">ROUND(74*1,0)&amp;"%"</f>
        <v>74%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11784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11785</v>
      </c>
      <c r="B126" s="5" t="s">
        <v>224</v>
      </c>
      <c r="C126" s="5" t="s">
        <v>95</v>
      </c>
      <c r="D126" s="5" t="s">
        <v>16</v>
      </c>
      <c r="E126" s="5" t="n">
        <f aca="false">ROUND(14931*1.05,2)</f>
        <v>15677.55</v>
      </c>
      <c r="F126" s="5" t="s">
        <v>17</v>
      </c>
      <c r="G126" s="5" t="s">
        <v>18</v>
      </c>
      <c r="H126" s="5" t="n">
        <f aca="true">ROUND(RAND()*4+6,1)</f>
        <v>7.2</v>
      </c>
      <c r="I126" s="5" t="s">
        <v>19</v>
      </c>
      <c r="J126" s="5" t="str">
        <f aca="false">ROUND(69*1,0)&amp;"%"</f>
        <v>69%</v>
      </c>
    </row>
    <row r="127" customFormat="false" ht="15" hidden="false" customHeight="false" outlineLevel="0" collapsed="false">
      <c r="A127" s="6" t="s">
        <v>11786</v>
      </c>
      <c r="B127" s="6" t="s">
        <v>226</v>
      </c>
      <c r="C127" s="6" t="s">
        <v>95</v>
      </c>
      <c r="D127" s="6" t="s">
        <v>22</v>
      </c>
      <c r="E127" s="6" t="n">
        <f aca="false">ROUND(5773*1.05,2)</f>
        <v>6061.65</v>
      </c>
      <c r="F127" s="6" t="s">
        <v>23</v>
      </c>
      <c r="G127" s="6" t="s">
        <v>24</v>
      </c>
      <c r="H127" s="6" t="n">
        <f aca="true">ROUND(RAND()*4+6,1)</f>
        <v>9.2</v>
      </c>
      <c r="I127" s="6" t="s">
        <v>25</v>
      </c>
      <c r="J127" s="6" t="str">
        <f aca="false">ROUND(74*1,0)&amp;"%"</f>
        <v>74%</v>
      </c>
    </row>
    <row r="128" customFormat="false" ht="15" hidden="false" customHeight="false" outlineLevel="0" collapsed="false">
      <c r="A128" s="5" t="s">
        <v>11787</v>
      </c>
      <c r="B128" s="5" t="s">
        <v>228</v>
      </c>
      <c r="C128" s="5" t="s">
        <v>95</v>
      </c>
      <c r="D128" s="5" t="s">
        <v>28</v>
      </c>
      <c r="E128" s="5" t="n">
        <f aca="false">ROUND(14898*1.05,2)</f>
        <v>15642.9</v>
      </c>
      <c r="F128" s="5" t="s">
        <v>29</v>
      </c>
      <c r="G128" s="5" t="s">
        <v>30</v>
      </c>
      <c r="H128" s="5" t="n">
        <f aca="true">ROUND(RAND()*4+6,1)</f>
        <v>9.1</v>
      </c>
      <c r="I128" s="5" t="s">
        <v>31</v>
      </c>
      <c r="J128" s="5" t="str">
        <f aca="false">ROUND(65*1,0)&amp;"%"</f>
        <v>65%</v>
      </c>
    </row>
    <row r="129" customFormat="false" ht="15" hidden="false" customHeight="false" outlineLevel="0" collapsed="false">
      <c r="A129" s="6" t="s">
        <v>11788</v>
      </c>
      <c r="B129" s="6" t="s">
        <v>230</v>
      </c>
      <c r="C129" s="6" t="s">
        <v>95</v>
      </c>
      <c r="D129" s="6" t="s">
        <v>34</v>
      </c>
      <c r="E129" s="6" t="n">
        <f aca="false">ROUND(7920*1.05,2)</f>
        <v>8316</v>
      </c>
      <c r="F129" s="6" t="s">
        <v>35</v>
      </c>
      <c r="G129" s="6" t="s">
        <v>18</v>
      </c>
      <c r="H129" s="6" t="n">
        <f aca="true">ROUND(RAND()*4+6,1)</f>
        <v>8</v>
      </c>
      <c r="I129" s="6" t="s">
        <v>36</v>
      </c>
      <c r="J129" s="6" t="str">
        <f aca="false">ROUND(90*1,0)&amp;"%"</f>
        <v>90%</v>
      </c>
    </row>
    <row r="130" customFormat="false" ht="15" hidden="false" customHeight="false" outlineLevel="0" collapsed="false">
      <c r="A130" s="5" t="s">
        <v>11789</v>
      </c>
      <c r="B130" s="5" t="s">
        <v>232</v>
      </c>
      <c r="C130" s="5" t="s">
        <v>95</v>
      </c>
      <c r="D130" s="5" t="s">
        <v>39</v>
      </c>
      <c r="E130" s="5" t="n">
        <f aca="false">ROUND(15428*1.05,2)</f>
        <v>16199.4</v>
      </c>
      <c r="F130" s="5" t="s">
        <v>40</v>
      </c>
      <c r="G130" s="5" t="s">
        <v>24</v>
      </c>
      <c r="H130" s="5" t="n">
        <f aca="true">ROUND(RAND()*4+6,1)</f>
        <v>9.1</v>
      </c>
      <c r="I130" s="5" t="s">
        <v>41</v>
      </c>
      <c r="J130" s="5" t="str">
        <f aca="false">ROUND(65*1,0)&amp;"%"</f>
        <v>65%</v>
      </c>
    </row>
    <row r="131" customFormat="false" ht="15" hidden="false" customHeight="false" outlineLevel="0" collapsed="false">
      <c r="A131" s="6" t="s">
        <v>11790</v>
      </c>
      <c r="B131" s="6" t="s">
        <v>234</v>
      </c>
      <c r="C131" s="6" t="s">
        <v>95</v>
      </c>
      <c r="D131" s="6" t="s">
        <v>44</v>
      </c>
      <c r="E131" s="6" t="n">
        <f aca="false">ROUND(17375*1.05,2)</f>
        <v>18243.75</v>
      </c>
      <c r="F131" s="6" t="s">
        <v>45</v>
      </c>
      <c r="G131" s="6" t="s">
        <v>30</v>
      </c>
      <c r="H131" s="6" t="n">
        <f aca="true">ROUND(RAND()*4+6,1)</f>
        <v>7.7</v>
      </c>
      <c r="I131" s="6" t="s">
        <v>46</v>
      </c>
      <c r="J131" s="6" t="str">
        <f aca="false">ROUND(75*1,0)&amp;"%"</f>
        <v>75%</v>
      </c>
    </row>
    <row r="132" customFormat="false" ht="15" hidden="false" customHeight="false" outlineLevel="0" collapsed="false">
      <c r="A132" s="5" t="s">
        <v>11791</v>
      </c>
      <c r="B132" s="5" t="s">
        <v>236</v>
      </c>
      <c r="C132" s="5" t="s">
        <v>95</v>
      </c>
      <c r="D132" s="5" t="s">
        <v>16</v>
      </c>
      <c r="E132" s="5" t="n">
        <f aca="false">ROUND(11201*1.05,2)</f>
        <v>11761.05</v>
      </c>
      <c r="F132" s="5" t="s">
        <v>49</v>
      </c>
      <c r="G132" s="5" t="s">
        <v>18</v>
      </c>
      <c r="H132" s="5" t="n">
        <f aca="true">ROUND(RAND()*4+6,1)</f>
        <v>6.5</v>
      </c>
      <c r="I132" s="5" t="s">
        <v>19</v>
      </c>
      <c r="J132" s="5" t="str">
        <f aca="false">ROUND(70*1,0)&amp;"%"</f>
        <v>70%</v>
      </c>
    </row>
    <row r="133" customFormat="false" ht="15" hidden="false" customHeight="false" outlineLevel="0" collapsed="false">
      <c r="A133" s="6" t="s">
        <v>11792</v>
      </c>
      <c r="B133" s="6" t="s">
        <v>238</v>
      </c>
      <c r="C133" s="6" t="s">
        <v>95</v>
      </c>
      <c r="D133" s="6" t="s">
        <v>22</v>
      </c>
      <c r="E133" s="6" t="n">
        <f aca="false">ROUND(9215*1.05,2)</f>
        <v>9675.75</v>
      </c>
      <c r="F133" s="6" t="s">
        <v>52</v>
      </c>
      <c r="G133" s="6" t="s">
        <v>24</v>
      </c>
      <c r="H133" s="6" t="n">
        <f aca="true">ROUND(RAND()*4+6,1)</f>
        <v>7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11793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11794</v>
      </c>
      <c r="B138" s="5" t="s">
        <v>242</v>
      </c>
      <c r="C138" s="5" t="s">
        <v>114</v>
      </c>
      <c r="D138" s="5" t="s">
        <v>16</v>
      </c>
      <c r="E138" s="5" t="n">
        <f aca="false">ROUND(11267*1.05,2)</f>
        <v>11830.35</v>
      </c>
      <c r="F138" s="5" t="s">
        <v>17</v>
      </c>
      <c r="G138" s="5" t="s">
        <v>18</v>
      </c>
      <c r="H138" s="5" t="n">
        <f aca="true">ROUND(RAND()*4+6,1)</f>
        <v>9.3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11795</v>
      </c>
      <c r="B139" s="6" t="s">
        <v>244</v>
      </c>
      <c r="C139" s="6" t="s">
        <v>114</v>
      </c>
      <c r="D139" s="6" t="s">
        <v>22</v>
      </c>
      <c r="E139" s="6" t="n">
        <f aca="false">ROUND(12057*1.05,2)</f>
        <v>12659.85</v>
      </c>
      <c r="F139" s="6" t="s">
        <v>23</v>
      </c>
      <c r="G139" s="6" t="s">
        <v>24</v>
      </c>
      <c r="H139" s="6" t="n">
        <f aca="true">ROUND(RAND()*4+6,1)</f>
        <v>6.5</v>
      </c>
      <c r="I139" s="6" t="s">
        <v>25</v>
      </c>
      <c r="J139" s="6" t="str">
        <f aca="false">ROUND(77*1,0)&amp;"%"</f>
        <v>77%</v>
      </c>
    </row>
    <row r="140" customFormat="false" ht="15" hidden="false" customHeight="false" outlineLevel="0" collapsed="false">
      <c r="A140" s="5" t="s">
        <v>11796</v>
      </c>
      <c r="B140" s="5" t="s">
        <v>246</v>
      </c>
      <c r="C140" s="5" t="s">
        <v>114</v>
      </c>
      <c r="D140" s="5" t="s">
        <v>28</v>
      </c>
      <c r="E140" s="5" t="n">
        <f aca="false">ROUND(8815*1.05,2)</f>
        <v>9255.75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ROUND(68*1,0)&amp;"%"</f>
        <v>68%</v>
      </c>
    </row>
    <row r="141" customFormat="false" ht="15" hidden="false" customHeight="false" outlineLevel="0" collapsed="false">
      <c r="A141" s="6" t="s">
        <v>11797</v>
      </c>
      <c r="B141" s="6" t="s">
        <v>248</v>
      </c>
      <c r="C141" s="6" t="s">
        <v>114</v>
      </c>
      <c r="D141" s="6" t="s">
        <v>34</v>
      </c>
      <c r="E141" s="6" t="n">
        <f aca="false">ROUND(16964*1.05,2)</f>
        <v>17812.2</v>
      </c>
      <c r="F141" s="6" t="s">
        <v>35</v>
      </c>
      <c r="G141" s="6" t="s">
        <v>18</v>
      </c>
      <c r="H141" s="6" t="n">
        <f aca="true">ROUND(RAND()*4+6,1)</f>
        <v>7.8</v>
      </c>
      <c r="I141" s="6" t="s">
        <v>36</v>
      </c>
      <c r="J141" s="6" t="str">
        <f aca="false">ROUND(79*1,0)&amp;"%"</f>
        <v>79%</v>
      </c>
    </row>
    <row r="142" customFormat="false" ht="15" hidden="false" customHeight="false" outlineLevel="0" collapsed="false">
      <c r="A142" s="5" t="s">
        <v>11798</v>
      </c>
      <c r="B142" s="5" t="s">
        <v>250</v>
      </c>
      <c r="C142" s="5" t="s">
        <v>114</v>
      </c>
      <c r="D142" s="5" t="s">
        <v>39</v>
      </c>
      <c r="E142" s="5" t="n">
        <f aca="false">ROUND(9493*1.05,2)</f>
        <v>9967.65</v>
      </c>
      <c r="F142" s="5" t="s">
        <v>40</v>
      </c>
      <c r="G142" s="5" t="s">
        <v>24</v>
      </c>
      <c r="H142" s="5" t="n">
        <f aca="true">ROUND(RAND()*4+6,1)</f>
        <v>9.5</v>
      </c>
      <c r="I142" s="5" t="s">
        <v>41</v>
      </c>
      <c r="J142" s="5" t="str">
        <f aca="false">ROUND(73*1,0)&amp;"%"</f>
        <v>73%</v>
      </c>
    </row>
    <row r="143" customFormat="false" ht="15" hidden="false" customHeight="false" outlineLevel="0" collapsed="false">
      <c r="A143" s="6" t="s">
        <v>11799</v>
      </c>
      <c r="B143" s="6" t="s">
        <v>252</v>
      </c>
      <c r="C143" s="6" t="s">
        <v>114</v>
      </c>
      <c r="D143" s="6" t="s">
        <v>44</v>
      </c>
      <c r="E143" s="6" t="n">
        <f aca="false">ROUND(15470*1.05,2)</f>
        <v>16243.5</v>
      </c>
      <c r="F143" s="6" t="s">
        <v>45</v>
      </c>
      <c r="G143" s="6" t="s">
        <v>30</v>
      </c>
      <c r="H143" s="6" t="n">
        <f aca="true">ROUND(RAND()*4+6,1)</f>
        <v>9.4</v>
      </c>
      <c r="I143" s="6" t="s">
        <v>46</v>
      </c>
      <c r="J143" s="6" t="str">
        <f aca="false">ROUND(76*1,0)&amp;"%"</f>
        <v>76%</v>
      </c>
    </row>
    <row r="144" customFormat="false" ht="15" hidden="false" customHeight="false" outlineLevel="0" collapsed="false">
      <c r="A144" s="5" t="s">
        <v>11800</v>
      </c>
      <c r="B144" s="5" t="s">
        <v>254</v>
      </c>
      <c r="C144" s="5" t="s">
        <v>114</v>
      </c>
      <c r="D144" s="5" t="s">
        <v>16</v>
      </c>
      <c r="E144" s="5" t="n">
        <f aca="false">ROUND(11871*1.05,2)</f>
        <v>12464.55</v>
      </c>
      <c r="F144" s="5" t="s">
        <v>49</v>
      </c>
      <c r="G144" s="5" t="s">
        <v>18</v>
      </c>
      <c r="H144" s="5" t="n">
        <f aca="true">ROUND(RAND()*4+6,1)</f>
        <v>8.5</v>
      </c>
      <c r="I144" s="5" t="s">
        <v>19</v>
      </c>
      <c r="J144" s="5" t="str">
        <f aca="false">ROUND(97*1,0)&amp;"%"</f>
        <v>97%</v>
      </c>
    </row>
    <row r="145" customFormat="false" ht="15" hidden="false" customHeight="false" outlineLevel="0" collapsed="false">
      <c r="A145" s="6" t="s">
        <v>11801</v>
      </c>
      <c r="B145" s="6" t="s">
        <v>256</v>
      </c>
      <c r="C145" s="6" t="s">
        <v>114</v>
      </c>
      <c r="D145" s="6" t="s">
        <v>22</v>
      </c>
      <c r="E145" s="6" t="n">
        <f aca="false">ROUND(16538*1.05,2)</f>
        <v>17364.9</v>
      </c>
      <c r="F145" s="6" t="s">
        <v>52</v>
      </c>
      <c r="G145" s="6" t="s">
        <v>24</v>
      </c>
      <c r="H145" s="6" t="n">
        <f aca="true">ROUND(RAND()*4+6,1)</f>
        <v>6.4</v>
      </c>
      <c r="I145" s="6" t="s">
        <v>25</v>
      </c>
      <c r="J145" s="6" t="str">
        <f aca="false">ROUND(72*1,0)&amp;"%"</f>
        <v>72%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11802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11803</v>
      </c>
      <c r="B150" s="5" t="s">
        <v>260</v>
      </c>
      <c r="C150" s="5" t="s">
        <v>133</v>
      </c>
      <c r="D150" s="5" t="s">
        <v>16</v>
      </c>
      <c r="E150" s="5" t="n">
        <f aca="false">ROUND(10375*1.05,2)</f>
        <v>10893.75</v>
      </c>
      <c r="F150" s="5" t="s">
        <v>17</v>
      </c>
      <c r="G150" s="5" t="s">
        <v>18</v>
      </c>
      <c r="H150" s="5" t="n">
        <f aca="true">ROUND(RAND()*4+6,1)</f>
        <v>7.3</v>
      </c>
      <c r="I150" s="5" t="s">
        <v>19</v>
      </c>
      <c r="J150" s="5" t="str">
        <f aca="false">ROUND(79*1,0)&amp;"%"</f>
        <v>79%</v>
      </c>
    </row>
    <row r="151" customFormat="false" ht="15" hidden="false" customHeight="false" outlineLevel="0" collapsed="false">
      <c r="A151" s="6" t="s">
        <v>11804</v>
      </c>
      <c r="B151" s="6" t="s">
        <v>262</v>
      </c>
      <c r="C151" s="6" t="s">
        <v>133</v>
      </c>
      <c r="D151" s="6" t="s">
        <v>22</v>
      </c>
      <c r="E151" s="6" t="n">
        <f aca="false">ROUND(13980*1.05,2)</f>
        <v>14679</v>
      </c>
      <c r="F151" s="6" t="s">
        <v>23</v>
      </c>
      <c r="G151" s="6" t="s">
        <v>24</v>
      </c>
      <c r="H151" s="6" t="n">
        <f aca="true">ROUND(RAND()*4+6,1)</f>
        <v>8.4</v>
      </c>
      <c r="I151" s="6" t="s">
        <v>25</v>
      </c>
      <c r="J151" s="6" t="str">
        <f aca="false">ROUND(72*1,0)&amp;"%"</f>
        <v>72%</v>
      </c>
    </row>
    <row r="152" customFormat="false" ht="15" hidden="false" customHeight="false" outlineLevel="0" collapsed="false">
      <c r="A152" s="5" t="s">
        <v>11805</v>
      </c>
      <c r="B152" s="5" t="s">
        <v>264</v>
      </c>
      <c r="C152" s="5" t="s">
        <v>133</v>
      </c>
      <c r="D152" s="5" t="s">
        <v>28</v>
      </c>
      <c r="E152" s="5" t="n">
        <f aca="false">ROUND(15202*1.05,2)</f>
        <v>15962.1</v>
      </c>
      <c r="F152" s="5" t="s">
        <v>29</v>
      </c>
      <c r="G152" s="5" t="s">
        <v>30</v>
      </c>
      <c r="H152" s="5" t="n">
        <f aca="true">ROUND(RAND()*4+6,1)</f>
        <v>9.3</v>
      </c>
      <c r="I152" s="5" t="s">
        <v>31</v>
      </c>
      <c r="J152" s="5" t="str">
        <f aca="false">ROUND(88*1,0)&amp;"%"</f>
        <v>88%</v>
      </c>
    </row>
    <row r="153" customFormat="false" ht="15" hidden="false" customHeight="false" outlineLevel="0" collapsed="false">
      <c r="A153" s="6" t="s">
        <v>11806</v>
      </c>
      <c r="B153" s="6" t="s">
        <v>266</v>
      </c>
      <c r="C153" s="6" t="s">
        <v>133</v>
      </c>
      <c r="D153" s="6" t="s">
        <v>34</v>
      </c>
      <c r="E153" s="6" t="n">
        <f aca="false">ROUND(12476*1.05,2)</f>
        <v>13099.8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ROUND(65*1,0)&amp;"%"</f>
        <v>65%</v>
      </c>
    </row>
    <row r="154" customFormat="false" ht="15" hidden="false" customHeight="false" outlineLevel="0" collapsed="false">
      <c r="A154" s="5" t="s">
        <v>11807</v>
      </c>
      <c r="B154" s="5" t="s">
        <v>268</v>
      </c>
      <c r="C154" s="5" t="s">
        <v>133</v>
      </c>
      <c r="D154" s="5" t="s">
        <v>39</v>
      </c>
      <c r="E154" s="5" t="n">
        <f aca="false">ROUND(6550*1.05,2)</f>
        <v>6877.5</v>
      </c>
      <c r="F154" s="5" t="s">
        <v>40</v>
      </c>
      <c r="G154" s="5" t="s">
        <v>24</v>
      </c>
      <c r="H154" s="5" t="n">
        <f aca="true">ROUND(RAND()*4+6,1)</f>
        <v>6.5</v>
      </c>
      <c r="I154" s="5" t="s">
        <v>41</v>
      </c>
      <c r="J154" s="5" t="str">
        <f aca="false">ROUND(100*1,0)&amp;"%"</f>
        <v>100%</v>
      </c>
    </row>
    <row r="155" customFormat="false" ht="15" hidden="false" customHeight="false" outlineLevel="0" collapsed="false">
      <c r="A155" s="6" t="s">
        <v>11808</v>
      </c>
      <c r="B155" s="6" t="s">
        <v>270</v>
      </c>
      <c r="C155" s="6" t="s">
        <v>133</v>
      </c>
      <c r="D155" s="6" t="s">
        <v>44</v>
      </c>
      <c r="E155" s="6" t="n">
        <f aca="false">ROUND(6090*1.05,2)</f>
        <v>6394.5</v>
      </c>
      <c r="F155" s="6" t="s">
        <v>45</v>
      </c>
      <c r="G155" s="6" t="s">
        <v>30</v>
      </c>
      <c r="H155" s="6" t="n">
        <f aca="true">ROUND(RAND()*4+6,1)</f>
        <v>9.2</v>
      </c>
      <c r="I155" s="6" t="s">
        <v>46</v>
      </c>
      <c r="J155" s="6" t="str">
        <f aca="false">ROUND(65*1,0)&amp;"%"</f>
        <v>65%</v>
      </c>
    </row>
    <row r="156" customFormat="false" ht="15" hidden="false" customHeight="false" outlineLevel="0" collapsed="false">
      <c r="A156" s="5" t="s">
        <v>11809</v>
      </c>
      <c r="B156" s="5" t="s">
        <v>272</v>
      </c>
      <c r="C156" s="5" t="s">
        <v>133</v>
      </c>
      <c r="D156" s="5" t="s">
        <v>16</v>
      </c>
      <c r="E156" s="5" t="n">
        <f aca="false">ROUND(11053*1.05,2)</f>
        <v>11605.65</v>
      </c>
      <c r="F156" s="5" t="s">
        <v>49</v>
      </c>
      <c r="G156" s="5" t="s">
        <v>18</v>
      </c>
      <c r="H156" s="5" t="n">
        <f aca="true">ROUND(RAND()*4+6,1)</f>
        <v>6.7</v>
      </c>
      <c r="I156" s="5" t="s">
        <v>19</v>
      </c>
      <c r="J156" s="5" t="str">
        <f aca="false">ROUND(85*1,0)&amp;"%"</f>
        <v>85%</v>
      </c>
    </row>
    <row r="157" customFormat="false" ht="15" hidden="false" customHeight="false" outlineLevel="0" collapsed="false">
      <c r="A157" s="6" t="s">
        <v>11810</v>
      </c>
      <c r="B157" s="6" t="s">
        <v>274</v>
      </c>
      <c r="C157" s="6" t="s">
        <v>133</v>
      </c>
      <c r="D157" s="6" t="s">
        <v>22</v>
      </c>
      <c r="E157" s="6" t="n">
        <f aca="false">ROUND(8338*1.05,2)</f>
        <v>8754.9</v>
      </c>
      <c r="F157" s="6" t="s">
        <v>52</v>
      </c>
      <c r="G157" s="6" t="s">
        <v>24</v>
      </c>
      <c r="H157" s="6" t="n">
        <f aca="true">ROUND(RAND()*4+6,1)</f>
        <v>8.6</v>
      </c>
      <c r="I157" s="6" t="s">
        <v>25</v>
      </c>
      <c r="J157" s="6" t="str">
        <f aca="false">ROUND(95*1,0)&amp;"%"</f>
        <v>95%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11811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11812</v>
      </c>
      <c r="B162" s="5" t="s">
        <v>278</v>
      </c>
      <c r="C162" s="5" t="s">
        <v>152</v>
      </c>
      <c r="D162" s="5" t="s">
        <v>16</v>
      </c>
      <c r="E162" s="5" t="n">
        <f aca="false">ROUND(10513*1.05,2)</f>
        <v>11038.65</v>
      </c>
      <c r="F162" s="5" t="s">
        <v>17</v>
      </c>
      <c r="G162" s="5" t="s">
        <v>18</v>
      </c>
      <c r="H162" s="5" t="n">
        <f aca="true">ROUND(RAND()*4+6,1)</f>
        <v>7.3</v>
      </c>
      <c r="I162" s="5" t="s">
        <v>19</v>
      </c>
      <c r="J162" s="5" t="str">
        <f aca="false">ROUND(95*1,0)&amp;"%"</f>
        <v>95%</v>
      </c>
    </row>
    <row r="163" customFormat="false" ht="15" hidden="false" customHeight="false" outlineLevel="0" collapsed="false">
      <c r="A163" s="6" t="s">
        <v>11813</v>
      </c>
      <c r="B163" s="6" t="s">
        <v>280</v>
      </c>
      <c r="C163" s="6" t="s">
        <v>152</v>
      </c>
      <c r="D163" s="6" t="s">
        <v>22</v>
      </c>
      <c r="E163" s="6" t="n">
        <f aca="false">ROUND(5252*1.05,2)</f>
        <v>5514.6</v>
      </c>
      <c r="F163" s="6" t="s">
        <v>23</v>
      </c>
      <c r="G163" s="6" t="s">
        <v>24</v>
      </c>
      <c r="H163" s="6" t="n">
        <f aca="true">ROUND(RAND()*4+6,1)</f>
        <v>8.8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11814</v>
      </c>
      <c r="B164" s="5" t="s">
        <v>282</v>
      </c>
      <c r="C164" s="5" t="s">
        <v>152</v>
      </c>
      <c r="D164" s="5" t="s">
        <v>28</v>
      </c>
      <c r="E164" s="5" t="n">
        <f aca="false">ROUND(9779*1.05,2)</f>
        <v>10267.95</v>
      </c>
      <c r="F164" s="5" t="s">
        <v>29</v>
      </c>
      <c r="G164" s="5" t="s">
        <v>30</v>
      </c>
      <c r="H164" s="5" t="n">
        <f aca="true">ROUND(RAND()*4+6,1)</f>
        <v>6.8</v>
      </c>
      <c r="I164" s="5" t="s">
        <v>31</v>
      </c>
      <c r="J164" s="5" t="str">
        <f aca="false">ROUND(86*1,0)&amp;"%"</f>
        <v>86%</v>
      </c>
    </row>
    <row r="165" customFormat="false" ht="15" hidden="false" customHeight="false" outlineLevel="0" collapsed="false">
      <c r="A165" s="6" t="s">
        <v>11815</v>
      </c>
      <c r="B165" s="6" t="s">
        <v>284</v>
      </c>
      <c r="C165" s="6" t="s">
        <v>152</v>
      </c>
      <c r="D165" s="6" t="s">
        <v>34</v>
      </c>
      <c r="E165" s="6" t="n">
        <f aca="false">ROUND(13556*1.05,2)</f>
        <v>14233.8</v>
      </c>
      <c r="F165" s="6" t="s">
        <v>35</v>
      </c>
      <c r="G165" s="6" t="s">
        <v>18</v>
      </c>
      <c r="H165" s="6" t="n">
        <f aca="true">ROUND(RAND()*4+6,1)</f>
        <v>8.2</v>
      </c>
      <c r="I165" s="6" t="s">
        <v>36</v>
      </c>
      <c r="J165" s="6" t="str">
        <f aca="false">ROUND(70*1,0)&amp;"%"</f>
        <v>70%</v>
      </c>
    </row>
    <row r="166" customFormat="false" ht="15" hidden="false" customHeight="false" outlineLevel="0" collapsed="false">
      <c r="A166" s="5" t="s">
        <v>11816</v>
      </c>
      <c r="B166" s="5" t="s">
        <v>286</v>
      </c>
      <c r="C166" s="5" t="s">
        <v>152</v>
      </c>
      <c r="D166" s="5" t="s">
        <v>39</v>
      </c>
      <c r="E166" s="5" t="n">
        <f aca="false">ROUND(7061*1.05,2)</f>
        <v>7414.05</v>
      </c>
      <c r="F166" s="5" t="s">
        <v>40</v>
      </c>
      <c r="G166" s="5" t="s">
        <v>24</v>
      </c>
      <c r="H166" s="5" t="n">
        <f aca="true">ROUND(RAND()*4+6,1)</f>
        <v>8</v>
      </c>
      <c r="I166" s="5" t="s">
        <v>41</v>
      </c>
      <c r="J166" s="5" t="str">
        <f aca="false">ROUND(74*1,0)&amp;"%"</f>
        <v>74%</v>
      </c>
    </row>
    <row r="167" customFormat="false" ht="15" hidden="false" customHeight="false" outlineLevel="0" collapsed="false">
      <c r="A167" s="6" t="s">
        <v>11817</v>
      </c>
      <c r="B167" s="6" t="s">
        <v>288</v>
      </c>
      <c r="C167" s="6" t="s">
        <v>152</v>
      </c>
      <c r="D167" s="6" t="s">
        <v>44</v>
      </c>
      <c r="E167" s="6" t="n">
        <f aca="false">ROUND(12717*1.05,2)</f>
        <v>13352.85</v>
      </c>
      <c r="F167" s="6" t="s">
        <v>45</v>
      </c>
      <c r="G167" s="6" t="s">
        <v>30</v>
      </c>
      <c r="H167" s="6" t="n">
        <f aca="true">ROUND(RAND()*4+6,1)</f>
        <v>6.3</v>
      </c>
      <c r="I167" s="6" t="s">
        <v>46</v>
      </c>
      <c r="J167" s="6" t="str">
        <f aca="false">ROUND(63*1,0)&amp;"%"</f>
        <v>63%</v>
      </c>
    </row>
    <row r="168" customFormat="false" ht="15" hidden="false" customHeight="false" outlineLevel="0" collapsed="false">
      <c r="A168" s="5" t="s">
        <v>11818</v>
      </c>
      <c r="B168" s="5" t="s">
        <v>290</v>
      </c>
      <c r="C168" s="5" t="s">
        <v>152</v>
      </c>
      <c r="D168" s="5" t="s">
        <v>16</v>
      </c>
      <c r="E168" s="5" t="n">
        <f aca="false">ROUND(4139*1.05,2)</f>
        <v>4345.95</v>
      </c>
      <c r="F168" s="5" t="s">
        <v>49</v>
      </c>
      <c r="G168" s="5" t="s">
        <v>18</v>
      </c>
      <c r="H168" s="5" t="n">
        <f aca="true">ROUND(RAND()*4+6,1)</f>
        <v>7</v>
      </c>
      <c r="I168" s="5" t="s">
        <v>19</v>
      </c>
      <c r="J168" s="5" t="str">
        <f aca="false">ROUND(85*1,0)&amp;"%"</f>
        <v>85%</v>
      </c>
    </row>
    <row r="169" customFormat="false" ht="15" hidden="false" customHeight="false" outlineLevel="0" collapsed="false">
      <c r="A169" s="6" t="s">
        <v>11819</v>
      </c>
      <c r="B169" s="6" t="s">
        <v>292</v>
      </c>
      <c r="C169" s="6" t="s">
        <v>152</v>
      </c>
      <c r="D169" s="6" t="s">
        <v>22</v>
      </c>
      <c r="E169" s="6" t="n">
        <f aca="false">ROUND(4999*1.05,2)</f>
        <v>5248.95</v>
      </c>
      <c r="F169" s="6" t="s">
        <v>52</v>
      </c>
      <c r="G169" s="6" t="s">
        <v>24</v>
      </c>
      <c r="H169" s="6" t="n">
        <f aca="true">ROUND(RAND()*4+6,1)</f>
        <v>9.8</v>
      </c>
      <c r="I169" s="6" t="s">
        <v>25</v>
      </c>
      <c r="J169" s="6" t="str">
        <f aca="false">ROUND(81*1,0)&amp;"%"</f>
        <v>81%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11820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11821</v>
      </c>
      <c r="B174" s="5" t="s">
        <v>296</v>
      </c>
      <c r="C174" s="5" t="s">
        <v>15</v>
      </c>
      <c r="D174" s="5" t="s">
        <v>16</v>
      </c>
      <c r="E174" s="5" t="n">
        <f aca="false">ROUND(5496*1.05,2)</f>
        <v>5770.8</v>
      </c>
      <c r="F174" s="5" t="s">
        <v>17</v>
      </c>
      <c r="G174" s="5" t="s">
        <v>18</v>
      </c>
      <c r="H174" s="5" t="n">
        <f aca="true">ROUND(RAND()*4+6,1)</f>
        <v>8.2</v>
      </c>
      <c r="I174" s="5" t="s">
        <v>19</v>
      </c>
      <c r="J174" s="5" t="str">
        <f aca="false">ROUND(78*1,0)&amp;"%"</f>
        <v>78%</v>
      </c>
    </row>
    <row r="175" customFormat="false" ht="15" hidden="false" customHeight="false" outlineLevel="0" collapsed="false">
      <c r="A175" s="6" t="s">
        <v>11822</v>
      </c>
      <c r="B175" s="6" t="s">
        <v>298</v>
      </c>
      <c r="C175" s="6" t="s">
        <v>15</v>
      </c>
      <c r="D175" s="6" t="s">
        <v>22</v>
      </c>
      <c r="E175" s="6" t="n">
        <f aca="false">ROUND(9417*1.05,2)</f>
        <v>9887.85</v>
      </c>
      <c r="F175" s="6" t="s">
        <v>23</v>
      </c>
      <c r="G175" s="6" t="s">
        <v>24</v>
      </c>
      <c r="H175" s="6" t="n">
        <f aca="true">ROUND(RAND()*4+6,1)</f>
        <v>6.6</v>
      </c>
      <c r="I175" s="6" t="s">
        <v>25</v>
      </c>
      <c r="J175" s="6" t="str">
        <f aca="false">ROUND(87*1,0)&amp;"%"</f>
        <v>87%</v>
      </c>
    </row>
    <row r="176" customFormat="false" ht="15" hidden="false" customHeight="false" outlineLevel="0" collapsed="false">
      <c r="A176" s="5" t="s">
        <v>11823</v>
      </c>
      <c r="B176" s="5" t="s">
        <v>300</v>
      </c>
      <c r="C176" s="5" t="s">
        <v>15</v>
      </c>
      <c r="D176" s="5" t="s">
        <v>28</v>
      </c>
      <c r="E176" s="5" t="n">
        <f aca="false">ROUND(10614*1.05,2)</f>
        <v>11144.7</v>
      </c>
      <c r="F176" s="5" t="s">
        <v>29</v>
      </c>
      <c r="G176" s="5" t="s">
        <v>30</v>
      </c>
      <c r="H176" s="5" t="n">
        <f aca="true">ROUND(RAND()*4+6,1)</f>
        <v>7.6</v>
      </c>
      <c r="I176" s="5" t="s">
        <v>31</v>
      </c>
      <c r="J176" s="5" t="str">
        <f aca="false">ROUND(94*1,0)&amp;"%"</f>
        <v>94%</v>
      </c>
    </row>
    <row r="177" customFormat="false" ht="15" hidden="false" customHeight="false" outlineLevel="0" collapsed="false">
      <c r="A177" s="6" t="s">
        <v>11824</v>
      </c>
      <c r="B177" s="6" t="s">
        <v>302</v>
      </c>
      <c r="C177" s="6" t="s">
        <v>15</v>
      </c>
      <c r="D177" s="6" t="s">
        <v>34</v>
      </c>
      <c r="E177" s="6" t="n">
        <f aca="false">ROUND(4172*1.05,2)</f>
        <v>4380.6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ROUND(98*1,0)&amp;"%"</f>
        <v>98%</v>
      </c>
    </row>
    <row r="178" customFormat="false" ht="15" hidden="false" customHeight="false" outlineLevel="0" collapsed="false">
      <c r="A178" s="5" t="s">
        <v>11825</v>
      </c>
      <c r="B178" s="5" t="s">
        <v>304</v>
      </c>
      <c r="C178" s="5" t="s">
        <v>15</v>
      </c>
      <c r="D178" s="5" t="s">
        <v>39</v>
      </c>
      <c r="E178" s="5" t="n">
        <f aca="false">ROUND(8799*1.05,2)</f>
        <v>9238.95</v>
      </c>
      <c r="F178" s="5" t="s">
        <v>40</v>
      </c>
      <c r="G178" s="5" t="s">
        <v>24</v>
      </c>
      <c r="H178" s="5" t="n">
        <f aca="true">ROUND(RAND()*4+6,1)</f>
        <v>6.3</v>
      </c>
      <c r="I178" s="5" t="s">
        <v>41</v>
      </c>
      <c r="J178" s="5" t="str">
        <f aca="false">ROUND(91*1,0)&amp;"%"</f>
        <v>91%</v>
      </c>
    </row>
    <row r="179" customFormat="false" ht="15" hidden="false" customHeight="false" outlineLevel="0" collapsed="false">
      <c r="A179" s="6" t="s">
        <v>11826</v>
      </c>
      <c r="B179" s="6" t="s">
        <v>306</v>
      </c>
      <c r="C179" s="6" t="s">
        <v>15</v>
      </c>
      <c r="D179" s="6" t="s">
        <v>44</v>
      </c>
      <c r="E179" s="6" t="n">
        <f aca="false">ROUND(15198*1.05,2)</f>
        <v>15957.9</v>
      </c>
      <c r="F179" s="6" t="s">
        <v>45</v>
      </c>
      <c r="G179" s="6" t="s">
        <v>30</v>
      </c>
      <c r="H179" s="6" t="n">
        <f aca="true">ROUND(RAND()*4+6,1)</f>
        <v>7.2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11827</v>
      </c>
      <c r="B180" s="5" t="s">
        <v>308</v>
      </c>
      <c r="C180" s="5" t="s">
        <v>15</v>
      </c>
      <c r="D180" s="5" t="s">
        <v>16</v>
      </c>
      <c r="E180" s="5" t="n">
        <f aca="false">ROUND(10537*1.05,2)</f>
        <v>11063.85</v>
      </c>
      <c r="F180" s="5" t="s">
        <v>49</v>
      </c>
      <c r="G180" s="5" t="s">
        <v>18</v>
      </c>
      <c r="H180" s="5" t="n">
        <f aca="true">ROUND(RAND()*4+6,1)</f>
        <v>9.6</v>
      </c>
      <c r="I180" s="5" t="s">
        <v>19</v>
      </c>
      <c r="J180" s="5" t="str">
        <f aca="false">ROUND(77*1,0)&amp;"%"</f>
        <v>77%</v>
      </c>
    </row>
    <row r="181" customFormat="false" ht="15" hidden="false" customHeight="false" outlineLevel="0" collapsed="false">
      <c r="A181" s="6" t="s">
        <v>11828</v>
      </c>
      <c r="B181" s="6" t="s">
        <v>310</v>
      </c>
      <c r="C181" s="6" t="s">
        <v>15</v>
      </c>
      <c r="D181" s="6" t="s">
        <v>22</v>
      </c>
      <c r="E181" s="6" t="n">
        <f aca="false">ROUND(14674*1.05,2)</f>
        <v>15407.7</v>
      </c>
      <c r="F181" s="6" t="s">
        <v>52</v>
      </c>
      <c r="G181" s="6" t="s">
        <v>24</v>
      </c>
      <c r="H181" s="6" t="n">
        <f aca="true">ROUND(RAND()*4+6,1)</f>
        <v>6.4</v>
      </c>
      <c r="I181" s="6" t="s">
        <v>25</v>
      </c>
      <c r="J181" s="6" t="str">
        <f aca="false">ROUND(100*1,0)&amp;"%"</f>
        <v>100%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11829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11830</v>
      </c>
      <c r="B186" s="5" t="s">
        <v>314</v>
      </c>
      <c r="C186" s="5" t="s">
        <v>57</v>
      </c>
      <c r="D186" s="5" t="s">
        <v>16</v>
      </c>
      <c r="E186" s="5" t="n">
        <f aca="false">ROUND(10163*1.05,2)</f>
        <v>10671.15</v>
      </c>
      <c r="F186" s="5" t="s">
        <v>17</v>
      </c>
      <c r="G186" s="5" t="s">
        <v>18</v>
      </c>
      <c r="H186" s="5" t="n">
        <f aca="true">ROUND(RAND()*4+6,1)</f>
        <v>8.4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11831</v>
      </c>
      <c r="B187" s="6" t="s">
        <v>316</v>
      </c>
      <c r="C187" s="6" t="s">
        <v>57</v>
      </c>
      <c r="D187" s="6" t="s">
        <v>22</v>
      </c>
      <c r="E187" s="6" t="n">
        <f aca="false">ROUND(8400*1.05,2)</f>
        <v>8820</v>
      </c>
      <c r="F187" s="6" t="s">
        <v>23</v>
      </c>
      <c r="G187" s="6" t="s">
        <v>24</v>
      </c>
      <c r="H187" s="6" t="n">
        <f aca="true">ROUND(RAND()*4+6,1)</f>
        <v>6.2</v>
      </c>
      <c r="I187" s="6" t="s">
        <v>25</v>
      </c>
      <c r="J187" s="6" t="str">
        <f aca="false">ROUND(71*1,0)&amp;"%"</f>
        <v>71%</v>
      </c>
    </row>
    <row r="188" customFormat="false" ht="15" hidden="false" customHeight="false" outlineLevel="0" collapsed="false">
      <c r="A188" s="5" t="s">
        <v>11832</v>
      </c>
      <c r="B188" s="5" t="s">
        <v>318</v>
      </c>
      <c r="C188" s="5" t="s">
        <v>57</v>
      </c>
      <c r="D188" s="5" t="s">
        <v>28</v>
      </c>
      <c r="E188" s="5" t="n">
        <f aca="false">ROUND(9673*1.05,2)</f>
        <v>10156.65</v>
      </c>
      <c r="F188" s="5" t="s">
        <v>29</v>
      </c>
      <c r="G188" s="5" t="s">
        <v>30</v>
      </c>
      <c r="H188" s="5" t="n">
        <f aca="true">ROUND(RAND()*4+6,1)</f>
        <v>8.9</v>
      </c>
      <c r="I188" s="5" t="s">
        <v>31</v>
      </c>
      <c r="J188" s="5" t="str">
        <f aca="false">ROUND(93*1,0)&amp;"%"</f>
        <v>93%</v>
      </c>
    </row>
    <row r="189" customFormat="false" ht="15" hidden="false" customHeight="false" outlineLevel="0" collapsed="false">
      <c r="A189" s="6" t="s">
        <v>11833</v>
      </c>
      <c r="B189" s="6" t="s">
        <v>320</v>
      </c>
      <c r="C189" s="6" t="s">
        <v>57</v>
      </c>
      <c r="D189" s="6" t="s">
        <v>34</v>
      </c>
      <c r="E189" s="6" t="n">
        <f aca="false">ROUND(14644*1.05,2)</f>
        <v>15376.2</v>
      </c>
      <c r="F189" s="6" t="s">
        <v>35</v>
      </c>
      <c r="G189" s="6" t="s">
        <v>18</v>
      </c>
      <c r="H189" s="6" t="n">
        <f aca="true">ROUND(RAND()*4+6,1)</f>
        <v>6.7</v>
      </c>
      <c r="I189" s="6" t="s">
        <v>36</v>
      </c>
      <c r="J189" s="6" t="str">
        <f aca="false">ROUND(90*1,0)&amp;"%"</f>
        <v>90%</v>
      </c>
    </row>
    <row r="190" customFormat="false" ht="15" hidden="false" customHeight="false" outlineLevel="0" collapsed="false">
      <c r="A190" s="5" t="s">
        <v>11834</v>
      </c>
      <c r="B190" s="5" t="s">
        <v>322</v>
      </c>
      <c r="C190" s="5" t="s">
        <v>57</v>
      </c>
      <c r="D190" s="5" t="s">
        <v>39</v>
      </c>
      <c r="E190" s="5" t="n">
        <f aca="false">ROUND(6000*1.05,2)</f>
        <v>6300</v>
      </c>
      <c r="F190" s="5" t="s">
        <v>40</v>
      </c>
      <c r="G190" s="5" t="s">
        <v>24</v>
      </c>
      <c r="H190" s="5" t="n">
        <f aca="true">ROUND(RAND()*4+6,1)</f>
        <v>9.2</v>
      </c>
      <c r="I190" s="5" t="s">
        <v>41</v>
      </c>
      <c r="J190" s="5" t="str">
        <f aca="false">ROUND(71*1,0)&amp;"%"</f>
        <v>71%</v>
      </c>
    </row>
    <row r="191" customFormat="false" ht="15" hidden="false" customHeight="false" outlineLevel="0" collapsed="false">
      <c r="A191" s="6" t="s">
        <v>11835</v>
      </c>
      <c r="B191" s="6" t="s">
        <v>324</v>
      </c>
      <c r="C191" s="6" t="s">
        <v>57</v>
      </c>
      <c r="D191" s="6" t="s">
        <v>44</v>
      </c>
      <c r="E191" s="6" t="n">
        <f aca="false">ROUND(7152*1.05,2)</f>
        <v>7509.6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11836</v>
      </c>
      <c r="B192" s="5" t="s">
        <v>326</v>
      </c>
      <c r="C192" s="5" t="s">
        <v>57</v>
      </c>
      <c r="D192" s="5" t="s">
        <v>16</v>
      </c>
      <c r="E192" s="5" t="n">
        <f aca="false">ROUND(15429*1.05,2)</f>
        <v>16200.45</v>
      </c>
      <c r="F192" s="5" t="s">
        <v>49</v>
      </c>
      <c r="G192" s="5" t="s">
        <v>18</v>
      </c>
      <c r="H192" s="5" t="n">
        <f aca="true">ROUND(RAND()*4+6,1)</f>
        <v>9.2</v>
      </c>
      <c r="I192" s="5" t="s">
        <v>19</v>
      </c>
      <c r="J192" s="5" t="str">
        <f aca="false">ROUND(74*1,0)&amp;"%"</f>
        <v>74%</v>
      </c>
    </row>
    <row r="193" customFormat="false" ht="15" hidden="false" customHeight="false" outlineLevel="0" collapsed="false">
      <c r="A193" s="6" t="s">
        <v>11837</v>
      </c>
      <c r="B193" s="6" t="s">
        <v>328</v>
      </c>
      <c r="C193" s="6" t="s">
        <v>57</v>
      </c>
      <c r="D193" s="6" t="s">
        <v>22</v>
      </c>
      <c r="E193" s="6" t="n">
        <f aca="false">ROUND(16272*1.05,2)</f>
        <v>17085.6</v>
      </c>
      <c r="F193" s="6" t="s">
        <v>52</v>
      </c>
      <c r="G193" s="6" t="s">
        <v>24</v>
      </c>
      <c r="H193" s="6" t="n">
        <f aca="true">ROUND(RAND()*4+6,1)</f>
        <v>6.1</v>
      </c>
      <c r="I193" s="6" t="s">
        <v>25</v>
      </c>
      <c r="J193" s="6" t="str">
        <f aca="false">ROUND(94*1,0)&amp;"%"</f>
        <v>94%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11838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11839</v>
      </c>
      <c r="B198" s="5" t="s">
        <v>332</v>
      </c>
      <c r="C198" s="5" t="s">
        <v>76</v>
      </c>
      <c r="D198" s="5" t="s">
        <v>16</v>
      </c>
      <c r="E198" s="5" t="n">
        <f aca="false">ROUND(5592*1.05,2)</f>
        <v>5871.6</v>
      </c>
      <c r="F198" s="5" t="s">
        <v>17</v>
      </c>
      <c r="G198" s="5" t="s">
        <v>18</v>
      </c>
      <c r="H198" s="5" t="n">
        <f aca="true">ROUND(RAND()*4+6,1)</f>
        <v>9.1</v>
      </c>
      <c r="I198" s="5" t="s">
        <v>19</v>
      </c>
      <c r="J198" s="5" t="str">
        <f aca="false">ROUND(81*1,0)&amp;"%"</f>
        <v>81%</v>
      </c>
    </row>
    <row r="199" customFormat="false" ht="15" hidden="false" customHeight="false" outlineLevel="0" collapsed="false">
      <c r="A199" s="6" t="s">
        <v>11840</v>
      </c>
      <c r="B199" s="6" t="s">
        <v>334</v>
      </c>
      <c r="C199" s="6" t="s">
        <v>76</v>
      </c>
      <c r="D199" s="6" t="s">
        <v>22</v>
      </c>
      <c r="E199" s="6" t="n">
        <f aca="false">ROUND(13310*1.05,2)</f>
        <v>13975.5</v>
      </c>
      <c r="F199" s="6" t="s">
        <v>23</v>
      </c>
      <c r="G199" s="6" t="s">
        <v>24</v>
      </c>
      <c r="H199" s="6" t="n">
        <f aca="true">ROUND(RAND()*4+6,1)</f>
        <v>6.8</v>
      </c>
      <c r="I199" s="6" t="s">
        <v>25</v>
      </c>
      <c r="J199" s="6" t="str">
        <f aca="false">ROUND(90*1,0)&amp;"%"</f>
        <v>90%</v>
      </c>
    </row>
    <row r="200" customFormat="false" ht="15" hidden="false" customHeight="false" outlineLevel="0" collapsed="false">
      <c r="A200" s="5" t="s">
        <v>11841</v>
      </c>
      <c r="B200" s="5" t="s">
        <v>336</v>
      </c>
      <c r="C200" s="5" t="s">
        <v>76</v>
      </c>
      <c r="D200" s="5" t="s">
        <v>28</v>
      </c>
      <c r="E200" s="5" t="n">
        <f aca="false">ROUND(5251*1.05,2)</f>
        <v>5513.55</v>
      </c>
      <c r="F200" s="5" t="s">
        <v>29</v>
      </c>
      <c r="G200" s="5" t="s">
        <v>30</v>
      </c>
      <c r="H200" s="5" t="n">
        <f aca="true">ROUND(RAND()*4+6,1)</f>
        <v>7.5</v>
      </c>
      <c r="I200" s="5" t="s">
        <v>31</v>
      </c>
      <c r="J200" s="5" t="str">
        <f aca="false">ROUND(84*1,0)&amp;"%"</f>
        <v>84%</v>
      </c>
    </row>
    <row r="201" customFormat="false" ht="15" hidden="false" customHeight="false" outlineLevel="0" collapsed="false">
      <c r="A201" s="6" t="s">
        <v>11842</v>
      </c>
      <c r="B201" s="6" t="s">
        <v>338</v>
      </c>
      <c r="C201" s="6" t="s">
        <v>76</v>
      </c>
      <c r="D201" s="6" t="s">
        <v>34</v>
      </c>
      <c r="E201" s="6" t="n">
        <f aca="false">ROUND(4293*1.05,2)</f>
        <v>4507.65</v>
      </c>
      <c r="F201" s="6" t="s">
        <v>35</v>
      </c>
      <c r="G201" s="6" t="s">
        <v>18</v>
      </c>
      <c r="H201" s="6" t="n">
        <f aca="true">ROUND(RAND()*4+6,1)</f>
        <v>9.1</v>
      </c>
      <c r="I201" s="6" t="s">
        <v>36</v>
      </c>
      <c r="J201" s="6" t="str">
        <f aca="false">ROUND(76*1,0)&amp;"%"</f>
        <v>76%</v>
      </c>
    </row>
    <row r="202" customFormat="false" ht="15" hidden="false" customHeight="false" outlineLevel="0" collapsed="false">
      <c r="A202" s="5" t="s">
        <v>11843</v>
      </c>
      <c r="B202" s="5" t="s">
        <v>340</v>
      </c>
      <c r="C202" s="5" t="s">
        <v>76</v>
      </c>
      <c r="D202" s="5" t="s">
        <v>39</v>
      </c>
      <c r="E202" s="5" t="n">
        <f aca="false">ROUND(16148*1.05,2)</f>
        <v>16955.4</v>
      </c>
      <c r="F202" s="5" t="s">
        <v>40</v>
      </c>
      <c r="G202" s="5" t="s">
        <v>24</v>
      </c>
      <c r="H202" s="5" t="n">
        <f aca="true">ROUND(RAND()*4+6,1)</f>
        <v>7.3</v>
      </c>
      <c r="I202" s="5" t="s">
        <v>41</v>
      </c>
      <c r="J202" s="5" t="str">
        <f aca="false">ROUND(89*1,0)&amp;"%"</f>
        <v>89%</v>
      </c>
    </row>
    <row r="203" customFormat="false" ht="15" hidden="false" customHeight="false" outlineLevel="0" collapsed="false">
      <c r="A203" s="6" t="s">
        <v>11844</v>
      </c>
      <c r="B203" s="6" t="s">
        <v>342</v>
      </c>
      <c r="C203" s="6" t="s">
        <v>76</v>
      </c>
      <c r="D203" s="6" t="s">
        <v>44</v>
      </c>
      <c r="E203" s="6" t="n">
        <f aca="false">ROUND(17538*1.05,2)</f>
        <v>18414.9</v>
      </c>
      <c r="F203" s="6" t="s">
        <v>45</v>
      </c>
      <c r="G203" s="6" t="s">
        <v>30</v>
      </c>
      <c r="H203" s="6" t="n">
        <f aca="true">ROUND(RAND()*4+6,1)</f>
        <v>7.6</v>
      </c>
      <c r="I203" s="6" t="s">
        <v>46</v>
      </c>
      <c r="J203" s="6" t="str">
        <f aca="false">ROUND(97*1,0)&amp;"%"</f>
        <v>97%</v>
      </c>
    </row>
    <row r="204" customFormat="false" ht="15" hidden="false" customHeight="false" outlineLevel="0" collapsed="false">
      <c r="A204" s="5" t="s">
        <v>11845</v>
      </c>
      <c r="B204" s="5" t="s">
        <v>344</v>
      </c>
      <c r="C204" s="5" t="s">
        <v>76</v>
      </c>
      <c r="D204" s="5" t="s">
        <v>16</v>
      </c>
      <c r="E204" s="5" t="n">
        <f aca="false">ROUND(7653*1.05,2)</f>
        <v>8035.65</v>
      </c>
      <c r="F204" s="5" t="s">
        <v>49</v>
      </c>
      <c r="G204" s="5" t="s">
        <v>18</v>
      </c>
      <c r="H204" s="5" t="n">
        <f aca="true">ROUND(RAND()*4+6,1)</f>
        <v>6.9</v>
      </c>
      <c r="I204" s="5" t="s">
        <v>19</v>
      </c>
      <c r="J204" s="5" t="str">
        <f aca="false">ROUND(94*1,0)&amp;"%"</f>
        <v>94%</v>
      </c>
    </row>
    <row r="205" customFormat="false" ht="15" hidden="false" customHeight="false" outlineLevel="0" collapsed="false">
      <c r="A205" s="6" t="s">
        <v>11846</v>
      </c>
      <c r="B205" s="6" t="s">
        <v>346</v>
      </c>
      <c r="C205" s="6" t="s">
        <v>76</v>
      </c>
      <c r="D205" s="6" t="s">
        <v>22</v>
      </c>
      <c r="E205" s="6" t="n">
        <f aca="false">ROUND(5006*1.05,2)</f>
        <v>5256.3</v>
      </c>
      <c r="F205" s="6" t="s">
        <v>52</v>
      </c>
      <c r="G205" s="6" t="s">
        <v>24</v>
      </c>
      <c r="H205" s="6" t="n">
        <f aca="true">ROUND(RAND()*4+6,1)</f>
        <v>7.8</v>
      </c>
      <c r="I205" s="6" t="s">
        <v>25</v>
      </c>
      <c r="J205" s="6" t="str">
        <f aca="false">ROUND(85*1,0)&amp;"%"</f>
        <v>85%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11847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11848</v>
      </c>
      <c r="B210" s="5" t="s">
        <v>350</v>
      </c>
      <c r="C210" s="5" t="s">
        <v>95</v>
      </c>
      <c r="D210" s="5" t="s">
        <v>16</v>
      </c>
      <c r="E210" s="5" t="n">
        <f aca="false">ROUND(15542*1.05,2)</f>
        <v>16319.1</v>
      </c>
      <c r="F210" s="5" t="s">
        <v>17</v>
      </c>
      <c r="G210" s="5" t="s">
        <v>18</v>
      </c>
      <c r="H210" s="5" t="n">
        <f aca="true">ROUND(RAND()*4+6,1)</f>
        <v>10</v>
      </c>
      <c r="I210" s="5" t="s">
        <v>19</v>
      </c>
      <c r="J210" s="5" t="str">
        <f aca="false">ROUND(82*1,0)&amp;"%"</f>
        <v>82%</v>
      </c>
    </row>
    <row r="211" customFormat="false" ht="15" hidden="false" customHeight="false" outlineLevel="0" collapsed="false">
      <c r="A211" s="6" t="s">
        <v>11849</v>
      </c>
      <c r="B211" s="6" t="s">
        <v>352</v>
      </c>
      <c r="C211" s="6" t="s">
        <v>95</v>
      </c>
      <c r="D211" s="6" t="s">
        <v>22</v>
      </c>
      <c r="E211" s="6" t="n">
        <f aca="false">ROUND(17092*1.05,2)</f>
        <v>17946.6</v>
      </c>
      <c r="F211" s="6" t="s">
        <v>23</v>
      </c>
      <c r="G211" s="6" t="s">
        <v>24</v>
      </c>
      <c r="H211" s="6" t="n">
        <f aca="true">ROUND(RAND()*4+6,1)</f>
        <v>6.6</v>
      </c>
      <c r="I211" s="6" t="s">
        <v>25</v>
      </c>
      <c r="J211" s="6" t="str">
        <f aca="false">ROUND(91*1,0)&amp;"%"</f>
        <v>91%</v>
      </c>
    </row>
    <row r="212" customFormat="false" ht="15" hidden="false" customHeight="false" outlineLevel="0" collapsed="false">
      <c r="A212" s="5" t="s">
        <v>11850</v>
      </c>
      <c r="B212" s="5" t="s">
        <v>354</v>
      </c>
      <c r="C212" s="5" t="s">
        <v>95</v>
      </c>
      <c r="D212" s="5" t="s">
        <v>28</v>
      </c>
      <c r="E212" s="5" t="n">
        <f aca="false">ROUND(7151*1.05,2)</f>
        <v>7508.55</v>
      </c>
      <c r="F212" s="5" t="s">
        <v>29</v>
      </c>
      <c r="G212" s="5" t="s">
        <v>30</v>
      </c>
      <c r="H212" s="5" t="n">
        <f aca="true">ROUND(RAND()*4+6,1)</f>
        <v>9</v>
      </c>
      <c r="I212" s="5" t="s">
        <v>31</v>
      </c>
      <c r="J212" s="5" t="str">
        <f aca="false">ROUND(100*1,0)&amp;"%"</f>
        <v>100%</v>
      </c>
    </row>
    <row r="213" customFormat="false" ht="15" hidden="false" customHeight="false" outlineLevel="0" collapsed="false">
      <c r="A213" s="6" t="s">
        <v>11851</v>
      </c>
      <c r="B213" s="6" t="s">
        <v>356</v>
      </c>
      <c r="C213" s="6" t="s">
        <v>95</v>
      </c>
      <c r="D213" s="6" t="s">
        <v>34</v>
      </c>
      <c r="E213" s="6" t="n">
        <f aca="false">ROUND(14123*1.05,2)</f>
        <v>14829.15</v>
      </c>
      <c r="F213" s="6" t="s">
        <v>35</v>
      </c>
      <c r="G213" s="6" t="s">
        <v>18</v>
      </c>
      <c r="H213" s="6" t="n">
        <f aca="true">ROUND(RAND()*4+6,1)</f>
        <v>9.9</v>
      </c>
      <c r="I213" s="6" t="s">
        <v>36</v>
      </c>
      <c r="J213" s="6" t="str">
        <f aca="false">ROUND(81*1,0)&amp;"%"</f>
        <v>81%</v>
      </c>
    </row>
    <row r="214" customFormat="false" ht="15" hidden="false" customHeight="false" outlineLevel="0" collapsed="false">
      <c r="A214" s="5" t="s">
        <v>11852</v>
      </c>
      <c r="B214" s="5" t="s">
        <v>358</v>
      </c>
      <c r="C214" s="5" t="s">
        <v>95</v>
      </c>
      <c r="D214" s="5" t="s">
        <v>39</v>
      </c>
      <c r="E214" s="5" t="n">
        <f aca="false">ROUND(6626*1.05,2)</f>
        <v>6957.3</v>
      </c>
      <c r="F214" s="5" t="s">
        <v>40</v>
      </c>
      <c r="G214" s="5" t="s">
        <v>24</v>
      </c>
      <c r="H214" s="5" t="n">
        <f aca="true">ROUND(RAND()*4+6,1)</f>
        <v>8.7</v>
      </c>
      <c r="I214" s="5" t="s">
        <v>41</v>
      </c>
      <c r="J214" s="5" t="str">
        <f aca="false">ROUND(96*1,0)&amp;"%"</f>
        <v>96%</v>
      </c>
    </row>
    <row r="215" customFormat="false" ht="15" hidden="false" customHeight="false" outlineLevel="0" collapsed="false">
      <c r="A215" s="6" t="s">
        <v>11853</v>
      </c>
      <c r="B215" s="6" t="s">
        <v>360</v>
      </c>
      <c r="C215" s="6" t="s">
        <v>95</v>
      </c>
      <c r="D215" s="6" t="s">
        <v>44</v>
      </c>
      <c r="E215" s="6" t="n">
        <f aca="false">ROUND(9338*1.05,2)</f>
        <v>9804.9</v>
      </c>
      <c r="F215" s="6" t="s">
        <v>45</v>
      </c>
      <c r="G215" s="6" t="s">
        <v>30</v>
      </c>
      <c r="H215" s="6" t="n">
        <f aca="true">ROUND(RAND()*4+6,1)</f>
        <v>6.6</v>
      </c>
      <c r="I215" s="6" t="s">
        <v>46</v>
      </c>
      <c r="J215" s="6" t="str">
        <f aca="false">ROUND(72*1,0)&amp;"%"</f>
        <v>72%</v>
      </c>
    </row>
    <row r="216" customFormat="false" ht="15" hidden="false" customHeight="false" outlineLevel="0" collapsed="false">
      <c r="A216" s="5" t="s">
        <v>11854</v>
      </c>
      <c r="B216" s="5" t="s">
        <v>362</v>
      </c>
      <c r="C216" s="5" t="s">
        <v>95</v>
      </c>
      <c r="D216" s="5" t="s">
        <v>16</v>
      </c>
      <c r="E216" s="5" t="n">
        <f aca="false">ROUND(13671*1.05,2)</f>
        <v>14354.55</v>
      </c>
      <c r="F216" s="5" t="s">
        <v>49</v>
      </c>
      <c r="G216" s="5" t="s">
        <v>18</v>
      </c>
      <c r="H216" s="5" t="n">
        <f aca="true">ROUND(RAND()*4+6,1)</f>
        <v>8.3</v>
      </c>
      <c r="I216" s="5" t="s">
        <v>19</v>
      </c>
      <c r="J216" s="5" t="str">
        <f aca="false">ROUND(78*1,0)&amp;"%"</f>
        <v>78%</v>
      </c>
    </row>
    <row r="217" customFormat="false" ht="15" hidden="false" customHeight="false" outlineLevel="0" collapsed="false">
      <c r="A217" s="6" t="s">
        <v>11855</v>
      </c>
      <c r="B217" s="6" t="s">
        <v>364</v>
      </c>
      <c r="C217" s="6" t="s">
        <v>95</v>
      </c>
      <c r="D217" s="6" t="s">
        <v>22</v>
      </c>
      <c r="E217" s="6" t="n">
        <f aca="false">ROUND(7650*1.05,2)</f>
        <v>8032.5</v>
      </c>
      <c r="F217" s="6" t="s">
        <v>52</v>
      </c>
      <c r="G217" s="6" t="s">
        <v>24</v>
      </c>
      <c r="H217" s="6" t="n">
        <f aca="true">ROUND(RAND()*4+6,1)</f>
        <v>6.5</v>
      </c>
      <c r="I217" s="6" t="s">
        <v>25</v>
      </c>
      <c r="J217" s="6" t="str">
        <f aca="false">ROUND(62*1,0)&amp;"%"</f>
        <v>62%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11856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11857</v>
      </c>
      <c r="B222" s="5" t="s">
        <v>368</v>
      </c>
      <c r="C222" s="5" t="s">
        <v>114</v>
      </c>
      <c r="D222" s="5" t="s">
        <v>16</v>
      </c>
      <c r="E222" s="5" t="n">
        <f aca="false">ROUND(17408*1.05,2)</f>
        <v>18278.4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ROUND(84*1,0)&amp;"%"</f>
        <v>84%</v>
      </c>
    </row>
    <row r="223" customFormat="false" ht="15" hidden="false" customHeight="false" outlineLevel="0" collapsed="false">
      <c r="A223" s="6" t="s">
        <v>11858</v>
      </c>
      <c r="B223" s="6" t="s">
        <v>370</v>
      </c>
      <c r="C223" s="6" t="s">
        <v>114</v>
      </c>
      <c r="D223" s="6" t="s">
        <v>22</v>
      </c>
      <c r="E223" s="6" t="n">
        <f aca="false">ROUND(15000*1.05,2)</f>
        <v>15750</v>
      </c>
      <c r="F223" s="6" t="s">
        <v>23</v>
      </c>
      <c r="G223" s="6" t="s">
        <v>24</v>
      </c>
      <c r="H223" s="6" t="n">
        <f aca="true">ROUND(RAND()*4+6,1)</f>
        <v>9.4</v>
      </c>
      <c r="I223" s="6" t="s">
        <v>25</v>
      </c>
      <c r="J223" s="6" t="str">
        <f aca="false">ROUND(83*1,0)&amp;"%"</f>
        <v>83%</v>
      </c>
    </row>
    <row r="224" customFormat="false" ht="15" hidden="false" customHeight="false" outlineLevel="0" collapsed="false">
      <c r="A224" s="5" t="s">
        <v>11859</v>
      </c>
      <c r="B224" s="5" t="s">
        <v>372</v>
      </c>
      <c r="C224" s="5" t="s">
        <v>114</v>
      </c>
      <c r="D224" s="5" t="s">
        <v>28</v>
      </c>
      <c r="E224" s="5" t="n">
        <f aca="false">ROUND(8977*1.05,2)</f>
        <v>9425.85</v>
      </c>
      <c r="F224" s="5" t="s">
        <v>29</v>
      </c>
      <c r="G224" s="5" t="s">
        <v>30</v>
      </c>
      <c r="H224" s="5" t="n">
        <f aca="true">ROUND(RAND()*4+6,1)</f>
        <v>7.2</v>
      </c>
      <c r="I224" s="5" t="s">
        <v>31</v>
      </c>
      <c r="J224" s="5" t="str">
        <f aca="false">ROUND(96*1,0)&amp;"%"</f>
        <v>96%</v>
      </c>
    </row>
    <row r="225" customFormat="false" ht="15" hidden="false" customHeight="false" outlineLevel="0" collapsed="false">
      <c r="A225" s="6" t="s">
        <v>11860</v>
      </c>
      <c r="B225" s="6" t="s">
        <v>374</v>
      </c>
      <c r="C225" s="6" t="s">
        <v>114</v>
      </c>
      <c r="D225" s="6" t="s">
        <v>34</v>
      </c>
      <c r="E225" s="6" t="n">
        <f aca="false">ROUND(6379*1.05,2)</f>
        <v>6697.95</v>
      </c>
      <c r="F225" s="6" t="s">
        <v>35</v>
      </c>
      <c r="G225" s="6" t="s">
        <v>18</v>
      </c>
      <c r="H225" s="6" t="n">
        <f aca="true">ROUND(RAND()*4+6,1)</f>
        <v>7.6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11861</v>
      </c>
      <c r="B226" s="5" t="s">
        <v>376</v>
      </c>
      <c r="C226" s="5" t="s">
        <v>114</v>
      </c>
      <c r="D226" s="5" t="s">
        <v>39</v>
      </c>
      <c r="E226" s="5" t="n">
        <f aca="false">ROUND(12939*1.05,2)</f>
        <v>13585.95</v>
      </c>
      <c r="F226" s="5" t="s">
        <v>40</v>
      </c>
      <c r="G226" s="5" t="s">
        <v>24</v>
      </c>
      <c r="H226" s="5" t="n">
        <f aca="true">ROUND(RAND()*4+6,1)</f>
        <v>8.5</v>
      </c>
      <c r="I226" s="5" t="s">
        <v>41</v>
      </c>
      <c r="J226" s="5" t="str">
        <f aca="false">ROUND(61*1,0)&amp;"%"</f>
        <v>61%</v>
      </c>
    </row>
    <row r="227" customFormat="false" ht="15" hidden="false" customHeight="false" outlineLevel="0" collapsed="false">
      <c r="A227" s="6" t="s">
        <v>11862</v>
      </c>
      <c r="B227" s="6" t="s">
        <v>378</v>
      </c>
      <c r="C227" s="6" t="s">
        <v>114</v>
      </c>
      <c r="D227" s="6" t="s">
        <v>44</v>
      </c>
      <c r="E227" s="6" t="n">
        <f aca="false">ROUND(11962*1.05,2)</f>
        <v>12560.1</v>
      </c>
      <c r="F227" s="6" t="s">
        <v>45</v>
      </c>
      <c r="G227" s="6" t="s">
        <v>30</v>
      </c>
      <c r="H227" s="6" t="n">
        <f aca="true">ROUND(RAND()*4+6,1)</f>
        <v>7.4</v>
      </c>
      <c r="I227" s="6" t="s">
        <v>46</v>
      </c>
      <c r="J227" s="6" t="str">
        <f aca="false">ROUND(93*1,0)&amp;"%"</f>
        <v>93%</v>
      </c>
    </row>
    <row r="228" customFormat="false" ht="15" hidden="false" customHeight="false" outlineLevel="0" collapsed="false">
      <c r="A228" s="5" t="s">
        <v>11863</v>
      </c>
      <c r="B228" s="5" t="s">
        <v>380</v>
      </c>
      <c r="C228" s="5" t="s">
        <v>114</v>
      </c>
      <c r="D228" s="5" t="s">
        <v>16</v>
      </c>
      <c r="E228" s="5" t="n">
        <f aca="false">ROUND(9172*1.05,2)</f>
        <v>9630.6</v>
      </c>
      <c r="F228" s="5" t="s">
        <v>49</v>
      </c>
      <c r="G228" s="5" t="s">
        <v>18</v>
      </c>
      <c r="H228" s="5" t="n">
        <f aca="true">ROUND(RAND()*4+6,1)</f>
        <v>7.5</v>
      </c>
      <c r="I228" s="5" t="s">
        <v>19</v>
      </c>
      <c r="J228" s="5" t="str">
        <f aca="false">ROUND(80*1,0)&amp;"%"</f>
        <v>80%</v>
      </c>
    </row>
    <row r="229" customFormat="false" ht="15" hidden="false" customHeight="false" outlineLevel="0" collapsed="false">
      <c r="A229" s="6" t="s">
        <v>11864</v>
      </c>
      <c r="B229" s="6" t="s">
        <v>382</v>
      </c>
      <c r="C229" s="6" t="s">
        <v>114</v>
      </c>
      <c r="D229" s="6" t="s">
        <v>22</v>
      </c>
      <c r="E229" s="6" t="n">
        <f aca="false">ROUND(12189*1.05,2)</f>
        <v>12798.45</v>
      </c>
      <c r="F229" s="6" t="s">
        <v>52</v>
      </c>
      <c r="G229" s="6" t="s">
        <v>24</v>
      </c>
      <c r="H229" s="6" t="n">
        <f aca="true">ROUND(RAND()*4+6,1)</f>
        <v>8</v>
      </c>
      <c r="I229" s="6" t="s">
        <v>25</v>
      </c>
      <c r="J229" s="6" t="str">
        <f aca="false">ROUND(74*1,0)&amp;"%"</f>
        <v>74%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11865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11866</v>
      </c>
      <c r="B234" s="5" t="s">
        <v>386</v>
      </c>
      <c r="C234" s="5" t="s">
        <v>133</v>
      </c>
      <c r="D234" s="5" t="s">
        <v>16</v>
      </c>
      <c r="E234" s="5" t="n">
        <f aca="false">ROUND(4946*1.05,2)</f>
        <v>5193.3</v>
      </c>
      <c r="F234" s="5" t="s">
        <v>17</v>
      </c>
      <c r="G234" s="5" t="s">
        <v>18</v>
      </c>
      <c r="H234" s="5" t="n">
        <f aca="true">ROUND(RAND()*4+6,1)</f>
        <v>9.3</v>
      </c>
      <c r="I234" s="5" t="s">
        <v>19</v>
      </c>
      <c r="J234" s="5" t="str">
        <f aca="false">ROUND(87*1,0)&amp;"%"</f>
        <v>87%</v>
      </c>
    </row>
    <row r="235" customFormat="false" ht="15" hidden="false" customHeight="false" outlineLevel="0" collapsed="false">
      <c r="A235" s="6" t="s">
        <v>11867</v>
      </c>
      <c r="B235" s="6" t="s">
        <v>388</v>
      </c>
      <c r="C235" s="6" t="s">
        <v>133</v>
      </c>
      <c r="D235" s="6" t="s">
        <v>22</v>
      </c>
      <c r="E235" s="6" t="n">
        <f aca="false">ROUND(15713*1.05,2)</f>
        <v>16498.65</v>
      </c>
      <c r="F235" s="6" t="s">
        <v>23</v>
      </c>
      <c r="G235" s="6" t="s">
        <v>24</v>
      </c>
      <c r="H235" s="6" t="n">
        <f aca="true">ROUND(RAND()*4+6,1)</f>
        <v>10</v>
      </c>
      <c r="I235" s="6" t="s">
        <v>25</v>
      </c>
      <c r="J235" s="6" t="str">
        <f aca="false">ROUND(72*1,0)&amp;"%"</f>
        <v>72%</v>
      </c>
    </row>
    <row r="236" customFormat="false" ht="15" hidden="false" customHeight="false" outlineLevel="0" collapsed="false">
      <c r="A236" s="5" t="s">
        <v>11868</v>
      </c>
      <c r="B236" s="5" t="s">
        <v>390</v>
      </c>
      <c r="C236" s="5" t="s">
        <v>133</v>
      </c>
      <c r="D236" s="5" t="s">
        <v>28</v>
      </c>
      <c r="E236" s="5" t="n">
        <f aca="false">ROUND(7739*1.05,2)</f>
        <v>8125.95</v>
      </c>
      <c r="F236" s="5" t="s">
        <v>29</v>
      </c>
      <c r="G236" s="5" t="s">
        <v>30</v>
      </c>
      <c r="H236" s="5" t="n">
        <f aca="true">ROUND(RAND()*4+6,1)</f>
        <v>9.7</v>
      </c>
      <c r="I236" s="5" t="s">
        <v>31</v>
      </c>
      <c r="J236" s="5" t="str">
        <f aca="false">ROUND(73*1,0)&amp;"%"</f>
        <v>73%</v>
      </c>
    </row>
    <row r="237" customFormat="false" ht="15" hidden="false" customHeight="false" outlineLevel="0" collapsed="false">
      <c r="A237" s="6" t="s">
        <v>11869</v>
      </c>
      <c r="B237" s="6" t="s">
        <v>392</v>
      </c>
      <c r="C237" s="6" t="s">
        <v>133</v>
      </c>
      <c r="D237" s="6" t="s">
        <v>34</v>
      </c>
      <c r="E237" s="6" t="n">
        <f aca="false">ROUND(15550*1.05,2)</f>
        <v>16327.5</v>
      </c>
      <c r="F237" s="6" t="s">
        <v>35</v>
      </c>
      <c r="G237" s="6" t="s">
        <v>18</v>
      </c>
      <c r="H237" s="6" t="n">
        <f aca="true">ROUND(RAND()*4+6,1)</f>
        <v>6.4</v>
      </c>
      <c r="I237" s="6" t="s">
        <v>36</v>
      </c>
      <c r="J237" s="6" t="str">
        <f aca="false">ROUND(93*1,0)&amp;"%"</f>
        <v>93%</v>
      </c>
    </row>
    <row r="238" customFormat="false" ht="15" hidden="false" customHeight="false" outlineLevel="0" collapsed="false">
      <c r="A238" s="5" t="s">
        <v>11870</v>
      </c>
      <c r="B238" s="5" t="s">
        <v>394</v>
      </c>
      <c r="C238" s="5" t="s">
        <v>133</v>
      </c>
      <c r="D238" s="5" t="s">
        <v>39</v>
      </c>
      <c r="E238" s="5" t="n">
        <f aca="false">ROUND(6185*1.05,2)</f>
        <v>6494.25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ROUND(74*1,0)&amp;"%"</f>
        <v>74%</v>
      </c>
    </row>
    <row r="239" customFormat="false" ht="15" hidden="false" customHeight="false" outlineLevel="0" collapsed="false">
      <c r="A239" s="6" t="s">
        <v>11871</v>
      </c>
      <c r="B239" s="6" t="s">
        <v>396</v>
      </c>
      <c r="C239" s="6" t="s">
        <v>133</v>
      </c>
      <c r="D239" s="6" t="s">
        <v>44</v>
      </c>
      <c r="E239" s="6" t="n">
        <f aca="false">ROUND(16095*1.05,2)</f>
        <v>16899.75</v>
      </c>
      <c r="F239" s="6" t="s">
        <v>45</v>
      </c>
      <c r="G239" s="6" t="s">
        <v>30</v>
      </c>
      <c r="H239" s="6" t="n">
        <f aca="true">ROUND(RAND()*4+6,1)</f>
        <v>9.1</v>
      </c>
      <c r="I239" s="6" t="s">
        <v>46</v>
      </c>
      <c r="J239" s="6" t="str">
        <f aca="false">ROUND(73*1,0)&amp;"%"</f>
        <v>73%</v>
      </c>
    </row>
    <row r="240" customFormat="false" ht="15" hidden="false" customHeight="false" outlineLevel="0" collapsed="false">
      <c r="A240" s="5" t="s">
        <v>11872</v>
      </c>
      <c r="B240" s="5" t="s">
        <v>398</v>
      </c>
      <c r="C240" s="5" t="s">
        <v>133</v>
      </c>
      <c r="D240" s="5" t="s">
        <v>16</v>
      </c>
      <c r="E240" s="5" t="n">
        <f aca="false">ROUND(16693*1.05,2)</f>
        <v>17527.65</v>
      </c>
      <c r="F240" s="5" t="s">
        <v>49</v>
      </c>
      <c r="G240" s="5" t="s">
        <v>18</v>
      </c>
      <c r="H240" s="5" t="n">
        <f aca="true">ROUND(RAND()*4+6,1)</f>
        <v>6.1</v>
      </c>
      <c r="I240" s="5" t="s">
        <v>19</v>
      </c>
      <c r="J240" s="5" t="str">
        <f aca="false">ROUND(91*1,0)&amp;"%"</f>
        <v>91%</v>
      </c>
    </row>
    <row r="241" customFormat="false" ht="15" hidden="false" customHeight="false" outlineLevel="0" collapsed="false">
      <c r="A241" s="6" t="s">
        <v>11873</v>
      </c>
      <c r="B241" s="6" t="s">
        <v>400</v>
      </c>
      <c r="C241" s="6" t="s">
        <v>133</v>
      </c>
      <c r="D241" s="6" t="s">
        <v>22</v>
      </c>
      <c r="E241" s="6" t="n">
        <f aca="false">ROUND(4940*1.05,2)</f>
        <v>5187</v>
      </c>
      <c r="F241" s="6" t="s">
        <v>52</v>
      </c>
      <c r="G241" s="6" t="s">
        <v>24</v>
      </c>
      <c r="H241" s="6" t="n">
        <f aca="true">ROUND(RAND()*4+6,1)</f>
        <v>9.2</v>
      </c>
      <c r="I241" s="6" t="s">
        <v>25</v>
      </c>
      <c r="J241" s="6" t="str">
        <f aca="false">ROUND(88*1,0)&amp;"%"</f>
        <v>88%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11874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11875</v>
      </c>
      <c r="B246" s="5" t="s">
        <v>404</v>
      </c>
      <c r="C246" s="5" t="s">
        <v>152</v>
      </c>
      <c r="D246" s="5" t="s">
        <v>16</v>
      </c>
      <c r="E246" s="5" t="n">
        <f aca="false">ROUND(11081*1.05,2)</f>
        <v>11635.05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ROUND(94*1,0)&amp;"%"</f>
        <v>94%</v>
      </c>
    </row>
    <row r="247" customFormat="false" ht="15" hidden="false" customHeight="false" outlineLevel="0" collapsed="false">
      <c r="A247" s="6" t="s">
        <v>11876</v>
      </c>
      <c r="B247" s="6" t="s">
        <v>406</v>
      </c>
      <c r="C247" s="6" t="s">
        <v>152</v>
      </c>
      <c r="D247" s="6" t="s">
        <v>22</v>
      </c>
      <c r="E247" s="6" t="n">
        <f aca="false">ROUND(14736*1.05,2)</f>
        <v>15472.8</v>
      </c>
      <c r="F247" s="6" t="s">
        <v>23</v>
      </c>
      <c r="G247" s="6" t="s">
        <v>24</v>
      </c>
      <c r="H247" s="6" t="n">
        <f aca="true">ROUND(RAND()*4+6,1)</f>
        <v>6.9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11877</v>
      </c>
      <c r="B248" s="5" t="s">
        <v>408</v>
      </c>
      <c r="C248" s="5" t="s">
        <v>152</v>
      </c>
      <c r="D248" s="5" t="s">
        <v>28</v>
      </c>
      <c r="E248" s="5" t="n">
        <f aca="false">ROUND(13235*1.05,2)</f>
        <v>13896.75</v>
      </c>
      <c r="F248" s="5" t="s">
        <v>29</v>
      </c>
      <c r="G248" s="5" t="s">
        <v>30</v>
      </c>
      <c r="H248" s="5" t="n">
        <f aca="true">ROUND(RAND()*4+6,1)</f>
        <v>6.5</v>
      </c>
      <c r="I248" s="5" t="s">
        <v>31</v>
      </c>
      <c r="J248" s="5" t="str">
        <f aca="false">ROUND(92*1,0)&amp;"%"</f>
        <v>92%</v>
      </c>
    </row>
    <row r="249" customFormat="false" ht="15" hidden="false" customHeight="false" outlineLevel="0" collapsed="false">
      <c r="A249" s="6" t="s">
        <v>11878</v>
      </c>
      <c r="B249" s="6" t="s">
        <v>410</v>
      </c>
      <c r="C249" s="6" t="s">
        <v>152</v>
      </c>
      <c r="D249" s="6" t="s">
        <v>34</v>
      </c>
      <c r="E249" s="6" t="n">
        <f aca="false">ROUND(10002*1.05,2)</f>
        <v>10502.1</v>
      </c>
      <c r="F249" s="6" t="s">
        <v>35</v>
      </c>
      <c r="G249" s="6" t="s">
        <v>18</v>
      </c>
      <c r="H249" s="6" t="n">
        <f aca="true">ROUND(RAND()*4+6,1)</f>
        <v>8.6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11879</v>
      </c>
      <c r="B250" s="5" t="s">
        <v>412</v>
      </c>
      <c r="C250" s="5" t="s">
        <v>152</v>
      </c>
      <c r="D250" s="5" t="s">
        <v>39</v>
      </c>
      <c r="E250" s="5" t="n">
        <f aca="false">ROUND(11889*1.05,2)</f>
        <v>12483.45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ROUND(95*1,0)&amp;"%"</f>
        <v>95%</v>
      </c>
    </row>
    <row r="251" customFormat="false" ht="15" hidden="false" customHeight="false" outlineLevel="0" collapsed="false">
      <c r="A251" s="6" t="s">
        <v>11880</v>
      </c>
      <c r="B251" s="6" t="s">
        <v>414</v>
      </c>
      <c r="C251" s="6" t="s">
        <v>152</v>
      </c>
      <c r="D251" s="6" t="s">
        <v>44</v>
      </c>
      <c r="E251" s="6" t="n">
        <f aca="false">ROUND(16944*1.05,2)</f>
        <v>17791.2</v>
      </c>
      <c r="F251" s="6" t="s">
        <v>45</v>
      </c>
      <c r="G251" s="6" t="s">
        <v>30</v>
      </c>
      <c r="H251" s="6" t="n">
        <f aca="true">ROUND(RAND()*4+6,1)</f>
        <v>9.9</v>
      </c>
      <c r="I251" s="6" t="s">
        <v>46</v>
      </c>
      <c r="J251" s="6" t="str">
        <f aca="false">ROUND(74*1,0)&amp;"%"</f>
        <v>74%</v>
      </c>
    </row>
    <row r="252" customFormat="false" ht="15" hidden="false" customHeight="false" outlineLevel="0" collapsed="false">
      <c r="A252" s="5" t="s">
        <v>11881</v>
      </c>
      <c r="B252" s="5" t="s">
        <v>416</v>
      </c>
      <c r="C252" s="5" t="s">
        <v>152</v>
      </c>
      <c r="D252" s="5" t="s">
        <v>16</v>
      </c>
      <c r="E252" s="5" t="n">
        <f aca="false">ROUND(16978*1.05,2)</f>
        <v>17826.9</v>
      </c>
      <c r="F252" s="5" t="s">
        <v>49</v>
      </c>
      <c r="G252" s="5" t="s">
        <v>18</v>
      </c>
      <c r="H252" s="5" t="n">
        <f aca="true">ROUND(RAND()*4+6,1)</f>
        <v>6.5</v>
      </c>
      <c r="I252" s="5" t="s">
        <v>19</v>
      </c>
      <c r="J252" s="5" t="str">
        <f aca="false">ROUND(73*1,0)&amp;"%"</f>
        <v>73%</v>
      </c>
    </row>
    <row r="253" customFormat="false" ht="15" hidden="false" customHeight="false" outlineLevel="0" collapsed="false">
      <c r="A253" s="6" t="s">
        <v>11882</v>
      </c>
      <c r="B253" s="6" t="s">
        <v>418</v>
      </c>
      <c r="C253" s="6" t="s">
        <v>152</v>
      </c>
      <c r="D253" s="6" t="s">
        <v>22</v>
      </c>
      <c r="E253" s="6" t="n">
        <f aca="false">ROUND(15946*1.05,2)</f>
        <v>16743.3</v>
      </c>
      <c r="F253" s="6" t="s">
        <v>52</v>
      </c>
      <c r="G253" s="6" t="s">
        <v>24</v>
      </c>
      <c r="H253" s="6" t="n">
        <f aca="true">ROUND(RAND()*4+6,1)</f>
        <v>8.5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11883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11884</v>
      </c>
      <c r="B258" s="5" t="s">
        <v>422</v>
      </c>
      <c r="C258" s="5" t="s">
        <v>15</v>
      </c>
      <c r="D258" s="5" t="s">
        <v>16</v>
      </c>
      <c r="E258" s="5" t="n">
        <f aca="false">ROUND(16323*1.05,2)</f>
        <v>17139.15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ROUND(68*1,0)&amp;"%"</f>
        <v>68%</v>
      </c>
    </row>
    <row r="259" customFormat="false" ht="15" hidden="false" customHeight="false" outlineLevel="0" collapsed="false">
      <c r="A259" s="6" t="s">
        <v>11885</v>
      </c>
      <c r="B259" s="6" t="s">
        <v>424</v>
      </c>
      <c r="C259" s="6" t="s">
        <v>15</v>
      </c>
      <c r="D259" s="6" t="s">
        <v>22</v>
      </c>
      <c r="E259" s="6" t="n">
        <f aca="false">ROUND(16908*1.05,2)</f>
        <v>17753.4</v>
      </c>
      <c r="F259" s="6" t="s">
        <v>23</v>
      </c>
      <c r="G259" s="6" t="s">
        <v>24</v>
      </c>
      <c r="H259" s="6" t="n">
        <f aca="true">ROUND(RAND()*4+6,1)</f>
        <v>6.6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11886</v>
      </c>
      <c r="B260" s="5" t="s">
        <v>426</v>
      </c>
      <c r="C260" s="5" t="s">
        <v>15</v>
      </c>
      <c r="D260" s="5" t="s">
        <v>28</v>
      </c>
      <c r="E260" s="5" t="n">
        <f aca="false">ROUND(10931*1.05,2)</f>
        <v>11477.55</v>
      </c>
      <c r="F260" s="5" t="s">
        <v>29</v>
      </c>
      <c r="G260" s="5" t="s">
        <v>30</v>
      </c>
      <c r="H260" s="5" t="n">
        <f aca="true">ROUND(RAND()*4+6,1)</f>
        <v>7.8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11887</v>
      </c>
      <c r="B261" s="6" t="s">
        <v>428</v>
      </c>
      <c r="C261" s="6" t="s">
        <v>15</v>
      </c>
      <c r="D261" s="6" t="s">
        <v>34</v>
      </c>
      <c r="E261" s="6" t="n">
        <f aca="false">ROUND(14011*1.05,2)</f>
        <v>14711.55</v>
      </c>
      <c r="F261" s="6" t="s">
        <v>35</v>
      </c>
      <c r="G261" s="6" t="s">
        <v>18</v>
      </c>
      <c r="H261" s="6" t="n">
        <f aca="true">ROUND(RAND()*4+6,1)</f>
        <v>7.1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11888</v>
      </c>
      <c r="B262" s="5" t="s">
        <v>430</v>
      </c>
      <c r="C262" s="5" t="s">
        <v>15</v>
      </c>
      <c r="D262" s="5" t="s">
        <v>39</v>
      </c>
      <c r="E262" s="5" t="n">
        <f aca="false">ROUND(5067*1.05,2)</f>
        <v>5320.35</v>
      </c>
      <c r="F262" s="5" t="s">
        <v>40</v>
      </c>
      <c r="G262" s="5" t="s">
        <v>24</v>
      </c>
      <c r="H262" s="5" t="n">
        <f aca="true">ROUND(RAND()*4+6,1)</f>
        <v>7.4</v>
      </c>
      <c r="I262" s="5" t="s">
        <v>41</v>
      </c>
      <c r="J262" s="5" t="str">
        <f aca="false">ROUND(65*1,0)&amp;"%"</f>
        <v>65%</v>
      </c>
    </row>
    <row r="263" customFormat="false" ht="15" hidden="false" customHeight="false" outlineLevel="0" collapsed="false">
      <c r="A263" s="6" t="s">
        <v>11889</v>
      </c>
      <c r="B263" s="6" t="s">
        <v>432</v>
      </c>
      <c r="C263" s="6" t="s">
        <v>15</v>
      </c>
      <c r="D263" s="6" t="s">
        <v>44</v>
      </c>
      <c r="E263" s="6" t="n">
        <f aca="false">ROUND(12322*1.05,2)</f>
        <v>12938.1</v>
      </c>
      <c r="F263" s="6" t="s">
        <v>45</v>
      </c>
      <c r="G263" s="6" t="s">
        <v>30</v>
      </c>
      <c r="H263" s="6" t="n">
        <f aca="true">ROUND(RAND()*4+6,1)</f>
        <v>8.9</v>
      </c>
      <c r="I263" s="6" t="s">
        <v>46</v>
      </c>
      <c r="J263" s="6" t="str">
        <f aca="false">ROUND(89*1,0)&amp;"%"</f>
        <v>89%</v>
      </c>
    </row>
    <row r="264" customFormat="false" ht="15" hidden="false" customHeight="false" outlineLevel="0" collapsed="false">
      <c r="A264" s="5" t="s">
        <v>11890</v>
      </c>
      <c r="B264" s="5" t="s">
        <v>434</v>
      </c>
      <c r="C264" s="5" t="s">
        <v>15</v>
      </c>
      <c r="D264" s="5" t="s">
        <v>16</v>
      </c>
      <c r="E264" s="5" t="n">
        <f aca="false">ROUND(9536*1.05,2)</f>
        <v>10012.8</v>
      </c>
      <c r="F264" s="5" t="s">
        <v>49</v>
      </c>
      <c r="G264" s="5" t="s">
        <v>18</v>
      </c>
      <c r="H264" s="5" t="n">
        <f aca="true">ROUND(RAND()*4+6,1)</f>
        <v>6.7</v>
      </c>
      <c r="I264" s="5" t="s">
        <v>19</v>
      </c>
      <c r="J264" s="5" t="str">
        <f aca="false">ROUND(84*1,0)&amp;"%"</f>
        <v>84%</v>
      </c>
    </row>
    <row r="265" customFormat="false" ht="15" hidden="false" customHeight="false" outlineLevel="0" collapsed="false">
      <c r="A265" s="6" t="s">
        <v>11891</v>
      </c>
      <c r="B265" s="6" t="s">
        <v>436</v>
      </c>
      <c r="C265" s="6" t="s">
        <v>15</v>
      </c>
      <c r="D265" s="6" t="s">
        <v>22</v>
      </c>
      <c r="E265" s="6" t="n">
        <f aca="false">ROUND(17069*1.05,2)</f>
        <v>17922.45</v>
      </c>
      <c r="F265" s="6" t="s">
        <v>52</v>
      </c>
      <c r="G265" s="6" t="s">
        <v>24</v>
      </c>
      <c r="H265" s="6" t="n">
        <f aca="true">ROUND(RAND()*4+6,1)</f>
        <v>7.4</v>
      </c>
      <c r="I265" s="6" t="s">
        <v>25</v>
      </c>
      <c r="J265" s="6" t="str">
        <f aca="false">ROUND(69*1,0)&amp;"%"</f>
        <v>69%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11892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11893</v>
      </c>
      <c r="B270" s="5" t="s">
        <v>440</v>
      </c>
      <c r="C270" s="5" t="s">
        <v>57</v>
      </c>
      <c r="D270" s="5" t="s">
        <v>16</v>
      </c>
      <c r="E270" s="5" t="n">
        <f aca="false">ROUND(8354*1.05,2)</f>
        <v>8771.7</v>
      </c>
      <c r="F270" s="5" t="s">
        <v>17</v>
      </c>
      <c r="G270" s="5" t="s">
        <v>18</v>
      </c>
      <c r="H270" s="5" t="n">
        <f aca="true">ROUND(RAND()*4+6,1)</f>
        <v>6.9</v>
      </c>
      <c r="I270" s="5" t="s">
        <v>19</v>
      </c>
      <c r="J270" s="5" t="str">
        <f aca="false">ROUND(66*1,0)&amp;"%"</f>
        <v>66%</v>
      </c>
    </row>
    <row r="271" customFormat="false" ht="15" hidden="false" customHeight="false" outlineLevel="0" collapsed="false">
      <c r="A271" s="6" t="s">
        <v>11894</v>
      </c>
      <c r="B271" s="6" t="s">
        <v>442</v>
      </c>
      <c r="C271" s="6" t="s">
        <v>57</v>
      </c>
      <c r="D271" s="6" t="s">
        <v>22</v>
      </c>
      <c r="E271" s="6" t="n">
        <f aca="false">ROUND(11724*1.05,2)</f>
        <v>12310.2</v>
      </c>
      <c r="F271" s="6" t="s">
        <v>23</v>
      </c>
      <c r="G271" s="6" t="s">
        <v>24</v>
      </c>
      <c r="H271" s="6" t="n">
        <f aca="true">ROUND(RAND()*4+6,1)</f>
        <v>6.8</v>
      </c>
      <c r="I271" s="6" t="s">
        <v>25</v>
      </c>
      <c r="J271" s="6" t="str">
        <f aca="false">ROUND(73*1,0)&amp;"%"</f>
        <v>73%</v>
      </c>
    </row>
    <row r="272" customFormat="false" ht="15" hidden="false" customHeight="false" outlineLevel="0" collapsed="false">
      <c r="A272" s="5" t="s">
        <v>11895</v>
      </c>
      <c r="B272" s="5" t="s">
        <v>444</v>
      </c>
      <c r="C272" s="5" t="s">
        <v>57</v>
      </c>
      <c r="D272" s="5" t="s">
        <v>28</v>
      </c>
      <c r="E272" s="5" t="n">
        <f aca="false">ROUND(15648*1.05,2)</f>
        <v>16430.4</v>
      </c>
      <c r="F272" s="5" t="s">
        <v>29</v>
      </c>
      <c r="G272" s="5" t="s">
        <v>30</v>
      </c>
      <c r="H272" s="5" t="n">
        <f aca="true">ROUND(RAND()*4+6,1)</f>
        <v>7.5</v>
      </c>
      <c r="I272" s="5" t="s">
        <v>31</v>
      </c>
      <c r="J272" s="5" t="str">
        <f aca="false">ROUND(60*1,0)&amp;"%"</f>
        <v>60%</v>
      </c>
    </row>
    <row r="273" customFormat="false" ht="15" hidden="false" customHeight="false" outlineLevel="0" collapsed="false">
      <c r="A273" s="6" t="s">
        <v>11896</v>
      </c>
      <c r="B273" s="6" t="s">
        <v>446</v>
      </c>
      <c r="C273" s="6" t="s">
        <v>57</v>
      </c>
      <c r="D273" s="6" t="s">
        <v>34</v>
      </c>
      <c r="E273" s="6" t="n">
        <f aca="false">ROUND(7305*1.05,2)</f>
        <v>7670.25</v>
      </c>
      <c r="F273" s="6" t="s">
        <v>35</v>
      </c>
      <c r="G273" s="6" t="s">
        <v>18</v>
      </c>
      <c r="H273" s="6" t="n">
        <f aca="true">ROUND(RAND()*4+6,1)</f>
        <v>7.1</v>
      </c>
      <c r="I273" s="6" t="s">
        <v>36</v>
      </c>
      <c r="J273" s="6" t="str">
        <f aca="false">ROUND(61*1,0)&amp;"%"</f>
        <v>61%</v>
      </c>
    </row>
    <row r="274" customFormat="false" ht="15" hidden="false" customHeight="false" outlineLevel="0" collapsed="false">
      <c r="A274" s="5" t="s">
        <v>11897</v>
      </c>
      <c r="B274" s="5" t="s">
        <v>448</v>
      </c>
      <c r="C274" s="5" t="s">
        <v>57</v>
      </c>
      <c r="D274" s="5" t="s">
        <v>39</v>
      </c>
      <c r="E274" s="5" t="n">
        <f aca="false">ROUND(11117*1.05,2)</f>
        <v>11672.85</v>
      </c>
      <c r="F274" s="5" t="s">
        <v>40</v>
      </c>
      <c r="G274" s="5" t="s">
        <v>24</v>
      </c>
      <c r="H274" s="5" t="n">
        <f aca="true">ROUND(RAND()*4+6,1)</f>
        <v>8.4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11898</v>
      </c>
      <c r="B275" s="6" t="s">
        <v>450</v>
      </c>
      <c r="C275" s="6" t="s">
        <v>57</v>
      </c>
      <c r="D275" s="6" t="s">
        <v>44</v>
      </c>
      <c r="E275" s="6" t="n">
        <f aca="false">ROUND(11597*1.05,2)</f>
        <v>12176.85</v>
      </c>
      <c r="F275" s="6" t="s">
        <v>45</v>
      </c>
      <c r="G275" s="6" t="s">
        <v>30</v>
      </c>
      <c r="H275" s="6" t="n">
        <f aca="true">ROUND(RAND()*4+6,1)</f>
        <v>6.7</v>
      </c>
      <c r="I275" s="6" t="s">
        <v>46</v>
      </c>
      <c r="J275" s="6" t="str">
        <f aca="false">ROUND(74*1,0)&amp;"%"</f>
        <v>74%</v>
      </c>
    </row>
    <row r="276" customFormat="false" ht="15" hidden="false" customHeight="false" outlineLevel="0" collapsed="false">
      <c r="A276" s="5" t="s">
        <v>11899</v>
      </c>
      <c r="B276" s="5" t="s">
        <v>452</v>
      </c>
      <c r="C276" s="5" t="s">
        <v>57</v>
      </c>
      <c r="D276" s="5" t="s">
        <v>16</v>
      </c>
      <c r="E276" s="5" t="n">
        <f aca="false">ROUND(12048*1.05,2)</f>
        <v>12650.4</v>
      </c>
      <c r="F276" s="5" t="s">
        <v>49</v>
      </c>
      <c r="G276" s="5" t="s">
        <v>18</v>
      </c>
      <c r="H276" s="5" t="n">
        <f aca="true">ROUND(RAND()*4+6,1)</f>
        <v>8.6</v>
      </c>
      <c r="I276" s="5" t="s">
        <v>19</v>
      </c>
      <c r="J276" s="5" t="str">
        <f aca="false">ROUND(75*1,0)&amp;"%"</f>
        <v>75%</v>
      </c>
    </row>
    <row r="277" customFormat="false" ht="15" hidden="false" customHeight="false" outlineLevel="0" collapsed="false">
      <c r="A277" s="6" t="s">
        <v>11900</v>
      </c>
      <c r="B277" s="6" t="s">
        <v>454</v>
      </c>
      <c r="C277" s="6" t="s">
        <v>57</v>
      </c>
      <c r="D277" s="6" t="s">
        <v>22</v>
      </c>
      <c r="E277" s="6" t="n">
        <f aca="false">ROUND(15284*1.05,2)</f>
        <v>16048.2</v>
      </c>
      <c r="F277" s="6" t="s">
        <v>52</v>
      </c>
      <c r="G277" s="6" t="s">
        <v>24</v>
      </c>
      <c r="H277" s="6" t="n">
        <f aca="true">ROUND(RAND()*4+6,1)</f>
        <v>9.2</v>
      </c>
      <c r="I277" s="6" t="s">
        <v>25</v>
      </c>
      <c r="J277" s="6" t="str">
        <f aca="false">ROUND(80*1,0)&amp;"%"</f>
        <v>80%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11901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11902</v>
      </c>
      <c r="B282" s="5" t="s">
        <v>458</v>
      </c>
      <c r="C282" s="5" t="s">
        <v>76</v>
      </c>
      <c r="D282" s="5" t="s">
        <v>16</v>
      </c>
      <c r="E282" s="5" t="n">
        <f aca="false">ROUND(15153*1.05,2)</f>
        <v>15910.65</v>
      </c>
      <c r="F282" s="5" t="s">
        <v>17</v>
      </c>
      <c r="G282" s="5" t="s">
        <v>18</v>
      </c>
      <c r="H282" s="5" t="n">
        <f aca="true">ROUND(RAND()*4+6,1)</f>
        <v>6.6</v>
      </c>
      <c r="I282" s="5" t="s">
        <v>19</v>
      </c>
      <c r="J282" s="5" t="str">
        <f aca="false">ROUND(83*1,0)&amp;"%"</f>
        <v>83%</v>
      </c>
    </row>
    <row r="283" customFormat="false" ht="15" hidden="false" customHeight="false" outlineLevel="0" collapsed="false">
      <c r="A283" s="6" t="s">
        <v>11903</v>
      </c>
      <c r="B283" s="6" t="s">
        <v>460</v>
      </c>
      <c r="C283" s="6" t="s">
        <v>76</v>
      </c>
      <c r="D283" s="6" t="s">
        <v>22</v>
      </c>
      <c r="E283" s="6" t="n">
        <f aca="false">ROUND(7484*1.05,2)</f>
        <v>7858.2</v>
      </c>
      <c r="F283" s="6" t="s">
        <v>23</v>
      </c>
      <c r="G283" s="6" t="s">
        <v>24</v>
      </c>
      <c r="H283" s="6" t="n">
        <f aca="true">ROUND(RAND()*4+6,1)</f>
        <v>7</v>
      </c>
      <c r="I283" s="6" t="s">
        <v>25</v>
      </c>
      <c r="J283" s="6" t="str">
        <f aca="false">ROUND(82*1,0)&amp;"%"</f>
        <v>82%</v>
      </c>
    </row>
    <row r="284" customFormat="false" ht="15" hidden="false" customHeight="false" outlineLevel="0" collapsed="false">
      <c r="A284" s="5" t="s">
        <v>11904</v>
      </c>
      <c r="B284" s="5" t="s">
        <v>462</v>
      </c>
      <c r="C284" s="5" t="s">
        <v>76</v>
      </c>
      <c r="D284" s="5" t="s">
        <v>28</v>
      </c>
      <c r="E284" s="5" t="n">
        <f aca="false">ROUND(16665*1.05,2)</f>
        <v>17498.25</v>
      </c>
      <c r="F284" s="5" t="s">
        <v>29</v>
      </c>
      <c r="G284" s="5" t="s">
        <v>30</v>
      </c>
      <c r="H284" s="5" t="n">
        <f aca="true">ROUND(RAND()*4+6,1)</f>
        <v>8.1</v>
      </c>
      <c r="I284" s="5" t="s">
        <v>31</v>
      </c>
      <c r="J284" s="5" t="str">
        <f aca="false">ROUND(98*1,0)&amp;"%"</f>
        <v>98%</v>
      </c>
    </row>
    <row r="285" customFormat="false" ht="15" hidden="false" customHeight="false" outlineLevel="0" collapsed="false">
      <c r="A285" s="6" t="s">
        <v>11905</v>
      </c>
      <c r="B285" s="6" t="s">
        <v>464</v>
      </c>
      <c r="C285" s="6" t="s">
        <v>76</v>
      </c>
      <c r="D285" s="6" t="s">
        <v>34</v>
      </c>
      <c r="E285" s="6" t="n">
        <f aca="false">ROUND(14334*1.05,2)</f>
        <v>15050.7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ROUND(71*1,0)&amp;"%"</f>
        <v>71%</v>
      </c>
    </row>
    <row r="286" customFormat="false" ht="15" hidden="false" customHeight="false" outlineLevel="0" collapsed="false">
      <c r="A286" s="5" t="s">
        <v>11906</v>
      </c>
      <c r="B286" s="5" t="s">
        <v>466</v>
      </c>
      <c r="C286" s="5" t="s">
        <v>76</v>
      </c>
      <c r="D286" s="5" t="s">
        <v>39</v>
      </c>
      <c r="E286" s="5" t="n">
        <f aca="false">ROUND(7561*1.05,2)</f>
        <v>7939.05</v>
      </c>
      <c r="F286" s="5" t="s">
        <v>40</v>
      </c>
      <c r="G286" s="5" t="s">
        <v>24</v>
      </c>
      <c r="H286" s="5" t="n">
        <f aca="true">ROUND(RAND()*4+6,1)</f>
        <v>8.5</v>
      </c>
      <c r="I286" s="5" t="s">
        <v>41</v>
      </c>
      <c r="J286" s="5" t="str">
        <f aca="false">ROUND(60*1,0)&amp;"%"</f>
        <v>60%</v>
      </c>
    </row>
    <row r="287" customFormat="false" ht="15" hidden="false" customHeight="false" outlineLevel="0" collapsed="false">
      <c r="A287" s="6" t="s">
        <v>11907</v>
      </c>
      <c r="B287" s="6" t="s">
        <v>468</v>
      </c>
      <c r="C287" s="6" t="s">
        <v>76</v>
      </c>
      <c r="D287" s="6" t="s">
        <v>44</v>
      </c>
      <c r="E287" s="6" t="n">
        <f aca="false">ROUND(15523*1.05,2)</f>
        <v>16299.15</v>
      </c>
      <c r="F287" s="6" t="s">
        <v>45</v>
      </c>
      <c r="G287" s="6" t="s">
        <v>30</v>
      </c>
      <c r="H287" s="6" t="n">
        <f aca="true">ROUND(RAND()*4+6,1)</f>
        <v>9.6</v>
      </c>
      <c r="I287" s="6" t="s">
        <v>46</v>
      </c>
      <c r="J287" s="6" t="str">
        <f aca="false">ROUND(77*1,0)&amp;"%"</f>
        <v>77%</v>
      </c>
    </row>
    <row r="288" customFormat="false" ht="15" hidden="false" customHeight="false" outlineLevel="0" collapsed="false">
      <c r="A288" s="5" t="s">
        <v>11908</v>
      </c>
      <c r="B288" s="5" t="s">
        <v>470</v>
      </c>
      <c r="C288" s="5" t="s">
        <v>76</v>
      </c>
      <c r="D288" s="5" t="s">
        <v>16</v>
      </c>
      <c r="E288" s="5" t="n">
        <f aca="false">ROUND(4224*1.05,2)</f>
        <v>4435.2</v>
      </c>
      <c r="F288" s="5" t="s">
        <v>49</v>
      </c>
      <c r="G288" s="5" t="s">
        <v>18</v>
      </c>
      <c r="H288" s="5" t="n">
        <f aca="true">ROUND(RAND()*4+6,1)</f>
        <v>10</v>
      </c>
      <c r="I288" s="5" t="s">
        <v>19</v>
      </c>
      <c r="J288" s="5" t="str">
        <f aca="false">ROUND(99*1,0)&amp;"%"</f>
        <v>99%</v>
      </c>
    </row>
    <row r="289" customFormat="false" ht="15" hidden="false" customHeight="false" outlineLevel="0" collapsed="false">
      <c r="A289" s="6" t="s">
        <v>11909</v>
      </c>
      <c r="B289" s="6" t="s">
        <v>472</v>
      </c>
      <c r="C289" s="6" t="s">
        <v>76</v>
      </c>
      <c r="D289" s="6" t="s">
        <v>22</v>
      </c>
      <c r="E289" s="6" t="n">
        <f aca="false">ROUND(11696*1.05,2)</f>
        <v>12280.8</v>
      </c>
      <c r="F289" s="6" t="s">
        <v>52</v>
      </c>
      <c r="G289" s="6" t="s">
        <v>24</v>
      </c>
      <c r="H289" s="6" t="n">
        <f aca="true">ROUND(RAND()*4+6,1)</f>
        <v>8.4</v>
      </c>
      <c r="I289" s="6" t="s">
        <v>25</v>
      </c>
      <c r="J289" s="6" t="str">
        <f aca="false">ROUND(68*1,0)&amp;"%"</f>
        <v>68%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11910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11911</v>
      </c>
      <c r="B294" s="5" t="s">
        <v>476</v>
      </c>
      <c r="C294" s="5" t="s">
        <v>95</v>
      </c>
      <c r="D294" s="5" t="s">
        <v>16</v>
      </c>
      <c r="E294" s="5" t="n">
        <f aca="false">ROUND(15632*1.05,2)</f>
        <v>16413.6</v>
      </c>
      <c r="F294" s="5" t="s">
        <v>17</v>
      </c>
      <c r="G294" s="5" t="s">
        <v>18</v>
      </c>
      <c r="H294" s="5" t="n">
        <f aca="true">ROUND(RAND()*4+6,1)</f>
        <v>9</v>
      </c>
      <c r="I294" s="5" t="s">
        <v>19</v>
      </c>
      <c r="J294" s="5" t="str">
        <f aca="false">ROUND(90*1,0)&amp;"%"</f>
        <v>90%</v>
      </c>
    </row>
    <row r="295" customFormat="false" ht="15" hidden="false" customHeight="false" outlineLevel="0" collapsed="false">
      <c r="A295" s="6" t="s">
        <v>11912</v>
      </c>
      <c r="B295" s="6" t="s">
        <v>478</v>
      </c>
      <c r="C295" s="6" t="s">
        <v>95</v>
      </c>
      <c r="D295" s="6" t="s">
        <v>22</v>
      </c>
      <c r="E295" s="6" t="n">
        <f aca="false">ROUND(10241*1.05,2)</f>
        <v>10753.05</v>
      </c>
      <c r="F295" s="6" t="s">
        <v>23</v>
      </c>
      <c r="G295" s="6" t="s">
        <v>24</v>
      </c>
      <c r="H295" s="6" t="n">
        <f aca="true">ROUND(RAND()*4+6,1)</f>
        <v>9.7</v>
      </c>
      <c r="I295" s="6" t="s">
        <v>25</v>
      </c>
      <c r="J295" s="6" t="str">
        <f aca="false">ROUND(86*1,0)&amp;"%"</f>
        <v>86%</v>
      </c>
    </row>
    <row r="296" customFormat="false" ht="15" hidden="false" customHeight="false" outlineLevel="0" collapsed="false">
      <c r="A296" s="5" t="s">
        <v>11913</v>
      </c>
      <c r="B296" s="5" t="s">
        <v>480</v>
      </c>
      <c r="C296" s="5" t="s">
        <v>95</v>
      </c>
      <c r="D296" s="5" t="s">
        <v>28</v>
      </c>
      <c r="E296" s="5" t="n">
        <f aca="false">ROUND(9322*1.05,2)</f>
        <v>9788.1</v>
      </c>
      <c r="F296" s="5" t="s">
        <v>29</v>
      </c>
      <c r="G296" s="5" t="s">
        <v>30</v>
      </c>
      <c r="H296" s="5" t="n">
        <f aca="true">ROUND(RAND()*4+6,1)</f>
        <v>6.3</v>
      </c>
      <c r="I296" s="5" t="s">
        <v>31</v>
      </c>
      <c r="J296" s="5" t="str">
        <f aca="false">ROUND(93*1,0)&amp;"%"</f>
        <v>93%</v>
      </c>
    </row>
    <row r="297" customFormat="false" ht="15" hidden="false" customHeight="false" outlineLevel="0" collapsed="false">
      <c r="A297" s="6" t="s">
        <v>11914</v>
      </c>
      <c r="B297" s="6" t="s">
        <v>482</v>
      </c>
      <c r="C297" s="6" t="s">
        <v>95</v>
      </c>
      <c r="D297" s="6" t="s">
        <v>34</v>
      </c>
      <c r="E297" s="6" t="n">
        <f aca="false">ROUND(7144*1.05,2)</f>
        <v>7501.2</v>
      </c>
      <c r="F297" s="6" t="s">
        <v>35</v>
      </c>
      <c r="G297" s="6" t="s">
        <v>18</v>
      </c>
      <c r="H297" s="6" t="n">
        <f aca="true">ROUND(RAND()*4+6,1)</f>
        <v>8.1</v>
      </c>
      <c r="I297" s="6" t="s">
        <v>36</v>
      </c>
      <c r="J297" s="6" t="str">
        <f aca="false">ROUND(82*1,0)&amp;"%"</f>
        <v>82%</v>
      </c>
    </row>
    <row r="298" customFormat="false" ht="15" hidden="false" customHeight="false" outlineLevel="0" collapsed="false">
      <c r="A298" s="5" t="s">
        <v>11915</v>
      </c>
      <c r="B298" s="5" t="s">
        <v>484</v>
      </c>
      <c r="C298" s="5" t="s">
        <v>95</v>
      </c>
      <c r="D298" s="5" t="s">
        <v>39</v>
      </c>
      <c r="E298" s="5" t="n">
        <f aca="false">ROUND(7440*1.05,2)</f>
        <v>7812</v>
      </c>
      <c r="F298" s="5" t="s">
        <v>40</v>
      </c>
      <c r="G298" s="5" t="s">
        <v>24</v>
      </c>
      <c r="H298" s="5" t="n">
        <f aca="true">ROUND(RAND()*4+6,1)</f>
        <v>6.2</v>
      </c>
      <c r="I298" s="5" t="s">
        <v>41</v>
      </c>
      <c r="J298" s="5" t="str">
        <f aca="false">ROUND(63*1,0)&amp;"%"</f>
        <v>63%</v>
      </c>
    </row>
    <row r="299" customFormat="false" ht="15" hidden="false" customHeight="false" outlineLevel="0" collapsed="false">
      <c r="A299" s="6" t="s">
        <v>11916</v>
      </c>
      <c r="B299" s="6" t="s">
        <v>486</v>
      </c>
      <c r="C299" s="6" t="s">
        <v>95</v>
      </c>
      <c r="D299" s="6" t="s">
        <v>44</v>
      </c>
      <c r="E299" s="6" t="n">
        <f aca="false">ROUND(12914*1.05,2)</f>
        <v>13559.7</v>
      </c>
      <c r="F299" s="6" t="s">
        <v>45</v>
      </c>
      <c r="G299" s="6" t="s">
        <v>30</v>
      </c>
      <c r="H299" s="6" t="n">
        <f aca="true">ROUND(RAND()*4+6,1)</f>
        <v>9.9</v>
      </c>
      <c r="I299" s="6" t="s">
        <v>46</v>
      </c>
      <c r="J299" s="6" t="str">
        <f aca="false">ROUND(81*1,0)&amp;"%"</f>
        <v>81%</v>
      </c>
    </row>
    <row r="300" customFormat="false" ht="15" hidden="false" customHeight="false" outlineLevel="0" collapsed="false">
      <c r="A300" s="5" t="s">
        <v>11917</v>
      </c>
      <c r="B300" s="5" t="s">
        <v>488</v>
      </c>
      <c r="C300" s="5" t="s">
        <v>95</v>
      </c>
      <c r="D300" s="5" t="s">
        <v>16</v>
      </c>
      <c r="E300" s="5" t="n">
        <f aca="false">ROUND(16389*1.05,2)</f>
        <v>17208.45</v>
      </c>
      <c r="F300" s="5" t="s">
        <v>49</v>
      </c>
      <c r="G300" s="5" t="s">
        <v>18</v>
      </c>
      <c r="H300" s="5" t="n">
        <f aca="true">ROUND(RAND()*4+6,1)</f>
        <v>8.3</v>
      </c>
      <c r="I300" s="5" t="s">
        <v>19</v>
      </c>
      <c r="J300" s="5" t="str">
        <f aca="false">ROUND(65*1,0)&amp;"%"</f>
        <v>65%</v>
      </c>
    </row>
    <row r="301" customFormat="false" ht="15" hidden="false" customHeight="false" outlineLevel="0" collapsed="false">
      <c r="A301" s="6" t="s">
        <v>11918</v>
      </c>
      <c r="B301" s="6" t="s">
        <v>490</v>
      </c>
      <c r="C301" s="6" t="s">
        <v>95</v>
      </c>
      <c r="D301" s="6" t="s">
        <v>22</v>
      </c>
      <c r="E301" s="6" t="n">
        <f aca="false">ROUND(5558*1.05,2)</f>
        <v>5835.9</v>
      </c>
      <c r="F301" s="6" t="s">
        <v>52</v>
      </c>
      <c r="G301" s="6" t="s">
        <v>24</v>
      </c>
      <c r="H301" s="6" t="n">
        <f aca="true">ROUND(RAND()*4+6,1)</f>
        <v>6.2</v>
      </c>
      <c r="I301" s="6" t="s">
        <v>25</v>
      </c>
      <c r="J301" s="6" t="str">
        <f aca="false">ROUND(60*1,0)&amp;"%"</f>
        <v>60%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11919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11920</v>
      </c>
      <c r="B306" s="5" t="s">
        <v>494</v>
      </c>
      <c r="C306" s="5" t="s">
        <v>114</v>
      </c>
      <c r="D306" s="5" t="s">
        <v>16</v>
      </c>
      <c r="E306" s="5" t="n">
        <f aca="false">ROUND(11738*1.05,2)</f>
        <v>12324.9</v>
      </c>
      <c r="F306" s="5" t="s">
        <v>17</v>
      </c>
      <c r="G306" s="5" t="s">
        <v>18</v>
      </c>
      <c r="H306" s="5" t="n">
        <f aca="true">ROUND(RAND()*4+6,1)</f>
        <v>9.4</v>
      </c>
      <c r="I306" s="5" t="s">
        <v>19</v>
      </c>
      <c r="J306" s="5" t="str">
        <f aca="false">ROUND(64*1,0)&amp;"%"</f>
        <v>64%</v>
      </c>
    </row>
    <row r="307" customFormat="false" ht="15" hidden="false" customHeight="false" outlineLevel="0" collapsed="false">
      <c r="A307" s="6" t="s">
        <v>11921</v>
      </c>
      <c r="B307" s="6" t="s">
        <v>496</v>
      </c>
      <c r="C307" s="6" t="s">
        <v>114</v>
      </c>
      <c r="D307" s="6" t="s">
        <v>22</v>
      </c>
      <c r="E307" s="6" t="n">
        <f aca="false">ROUND(16835*1.05,2)</f>
        <v>17676.75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ROUND(81*1,0)&amp;"%"</f>
        <v>81%</v>
      </c>
    </row>
    <row r="308" customFormat="false" ht="15" hidden="false" customHeight="false" outlineLevel="0" collapsed="false">
      <c r="A308" s="5" t="s">
        <v>11922</v>
      </c>
      <c r="B308" s="5" t="s">
        <v>498</v>
      </c>
      <c r="C308" s="5" t="s">
        <v>114</v>
      </c>
      <c r="D308" s="5" t="s">
        <v>28</v>
      </c>
      <c r="E308" s="5" t="n">
        <f aca="false">ROUND(11184*1.05,2)</f>
        <v>11743.2</v>
      </c>
      <c r="F308" s="5" t="s">
        <v>29</v>
      </c>
      <c r="G308" s="5" t="s">
        <v>30</v>
      </c>
      <c r="H308" s="5" t="n">
        <f aca="true">ROUND(RAND()*4+6,1)</f>
        <v>9.8</v>
      </c>
      <c r="I308" s="5" t="s">
        <v>31</v>
      </c>
      <c r="J308" s="5" t="str">
        <f aca="false">ROUND(93*1,0)&amp;"%"</f>
        <v>93%</v>
      </c>
    </row>
    <row r="309" customFormat="false" ht="15" hidden="false" customHeight="false" outlineLevel="0" collapsed="false">
      <c r="A309" s="6" t="s">
        <v>11923</v>
      </c>
      <c r="B309" s="6" t="s">
        <v>500</v>
      </c>
      <c r="C309" s="6" t="s">
        <v>114</v>
      </c>
      <c r="D309" s="6" t="s">
        <v>34</v>
      </c>
      <c r="E309" s="6" t="n">
        <f aca="false">ROUND(15839*1.05,2)</f>
        <v>16630.95</v>
      </c>
      <c r="F309" s="6" t="s">
        <v>35</v>
      </c>
      <c r="G309" s="6" t="s">
        <v>18</v>
      </c>
      <c r="H309" s="6" t="n">
        <f aca="true">ROUND(RAND()*4+6,1)</f>
        <v>9.1</v>
      </c>
      <c r="I309" s="6" t="s">
        <v>36</v>
      </c>
      <c r="J309" s="6" t="str">
        <f aca="false">ROUND(83*1,0)&amp;"%"</f>
        <v>83%</v>
      </c>
    </row>
    <row r="310" customFormat="false" ht="15" hidden="false" customHeight="false" outlineLevel="0" collapsed="false">
      <c r="A310" s="5" t="s">
        <v>11924</v>
      </c>
      <c r="B310" s="5" t="s">
        <v>502</v>
      </c>
      <c r="C310" s="5" t="s">
        <v>114</v>
      </c>
      <c r="D310" s="5" t="s">
        <v>39</v>
      </c>
      <c r="E310" s="5" t="n">
        <f aca="false">ROUND(9954*1.05,2)</f>
        <v>10451.7</v>
      </c>
      <c r="F310" s="5" t="s">
        <v>40</v>
      </c>
      <c r="G310" s="5" t="s">
        <v>24</v>
      </c>
      <c r="H310" s="5" t="n">
        <f aca="true">ROUND(RAND()*4+6,1)</f>
        <v>8.7</v>
      </c>
      <c r="I310" s="5" t="s">
        <v>41</v>
      </c>
      <c r="J310" s="5" t="str">
        <f aca="false">ROUND(74*1,0)&amp;"%"</f>
        <v>74%</v>
      </c>
    </row>
    <row r="311" customFormat="false" ht="15" hidden="false" customHeight="false" outlineLevel="0" collapsed="false">
      <c r="A311" s="6" t="s">
        <v>11925</v>
      </c>
      <c r="B311" s="6" t="s">
        <v>504</v>
      </c>
      <c r="C311" s="6" t="s">
        <v>114</v>
      </c>
      <c r="D311" s="6" t="s">
        <v>44</v>
      </c>
      <c r="E311" s="6" t="n">
        <f aca="false">ROUND(17203*1.05,2)</f>
        <v>18063.15</v>
      </c>
      <c r="F311" s="6" t="s">
        <v>45</v>
      </c>
      <c r="G311" s="6" t="s">
        <v>30</v>
      </c>
      <c r="H311" s="6" t="n">
        <f aca="true">ROUND(RAND()*4+6,1)</f>
        <v>8.5</v>
      </c>
      <c r="I311" s="6" t="s">
        <v>46</v>
      </c>
      <c r="J311" s="6" t="str">
        <f aca="false">ROUND(60*1,0)&amp;"%"</f>
        <v>60%</v>
      </c>
    </row>
    <row r="312" customFormat="false" ht="15" hidden="false" customHeight="false" outlineLevel="0" collapsed="false">
      <c r="A312" s="5" t="s">
        <v>11926</v>
      </c>
      <c r="B312" s="5" t="s">
        <v>506</v>
      </c>
      <c r="C312" s="5" t="s">
        <v>114</v>
      </c>
      <c r="D312" s="5" t="s">
        <v>16</v>
      </c>
      <c r="E312" s="5" t="n">
        <f aca="false">ROUND(7082*1.05,2)</f>
        <v>7436.1</v>
      </c>
      <c r="F312" s="5" t="s">
        <v>49</v>
      </c>
      <c r="G312" s="5" t="s">
        <v>18</v>
      </c>
      <c r="H312" s="5" t="n">
        <f aca="true">ROUND(RAND()*4+6,1)</f>
        <v>9.2</v>
      </c>
      <c r="I312" s="5" t="s">
        <v>19</v>
      </c>
      <c r="J312" s="5" t="str">
        <f aca="false">ROUND(94*1,0)&amp;"%"</f>
        <v>94%</v>
      </c>
    </row>
    <row r="313" customFormat="false" ht="15" hidden="false" customHeight="false" outlineLevel="0" collapsed="false">
      <c r="A313" s="6" t="s">
        <v>11927</v>
      </c>
      <c r="B313" s="6" t="s">
        <v>508</v>
      </c>
      <c r="C313" s="6" t="s">
        <v>114</v>
      </c>
      <c r="D313" s="6" t="s">
        <v>22</v>
      </c>
      <c r="E313" s="6" t="n">
        <f aca="false">ROUND(7965*1.05,2)</f>
        <v>8363.25</v>
      </c>
      <c r="F313" s="6" t="s">
        <v>52</v>
      </c>
      <c r="G313" s="6" t="s">
        <v>24</v>
      </c>
      <c r="H313" s="6" t="n">
        <f aca="true">ROUND(RAND()*4+6,1)</f>
        <v>7.2</v>
      </c>
      <c r="I313" s="6" t="s">
        <v>25</v>
      </c>
      <c r="J313" s="6" t="str">
        <f aca="false">ROUND(88*1,0)&amp;"%"</f>
        <v>88%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11928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11929</v>
      </c>
      <c r="B318" s="5" t="s">
        <v>512</v>
      </c>
      <c r="C318" s="5" t="s">
        <v>133</v>
      </c>
      <c r="D318" s="5" t="s">
        <v>16</v>
      </c>
      <c r="E318" s="5" t="n">
        <f aca="false">ROUND(9039*1.05,2)</f>
        <v>9490.95</v>
      </c>
      <c r="F318" s="5" t="s">
        <v>17</v>
      </c>
      <c r="G318" s="5" t="s">
        <v>18</v>
      </c>
      <c r="H318" s="5" t="n">
        <f aca="true">ROUND(RAND()*4+6,1)</f>
        <v>10</v>
      </c>
      <c r="I318" s="5" t="s">
        <v>19</v>
      </c>
      <c r="J318" s="5" t="str">
        <f aca="false">ROUND(96*1,0)&amp;"%"</f>
        <v>96%</v>
      </c>
    </row>
    <row r="319" customFormat="false" ht="15" hidden="false" customHeight="false" outlineLevel="0" collapsed="false">
      <c r="A319" s="6" t="s">
        <v>11930</v>
      </c>
      <c r="B319" s="6" t="s">
        <v>514</v>
      </c>
      <c r="C319" s="6" t="s">
        <v>133</v>
      </c>
      <c r="D319" s="6" t="s">
        <v>22</v>
      </c>
      <c r="E319" s="6" t="n">
        <f aca="false">ROUND(15603*1.05,2)</f>
        <v>16383.15</v>
      </c>
      <c r="F319" s="6" t="s">
        <v>23</v>
      </c>
      <c r="G319" s="6" t="s">
        <v>24</v>
      </c>
      <c r="H319" s="6" t="n">
        <f aca="true">ROUND(RAND()*4+6,1)</f>
        <v>7.7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11931</v>
      </c>
      <c r="B320" s="5" t="s">
        <v>516</v>
      </c>
      <c r="C320" s="5" t="s">
        <v>133</v>
      </c>
      <c r="D320" s="5" t="s">
        <v>28</v>
      </c>
      <c r="E320" s="5" t="n">
        <f aca="false">ROUND(12123*1.05,2)</f>
        <v>12729.15</v>
      </c>
      <c r="F320" s="5" t="s">
        <v>29</v>
      </c>
      <c r="G320" s="5" t="s">
        <v>30</v>
      </c>
      <c r="H320" s="5" t="n">
        <f aca="true">ROUND(RAND()*4+6,1)</f>
        <v>8.9</v>
      </c>
      <c r="I320" s="5" t="s">
        <v>31</v>
      </c>
      <c r="J320" s="5" t="str">
        <f aca="false">ROUND(63*1,0)&amp;"%"</f>
        <v>63%</v>
      </c>
    </row>
    <row r="321" customFormat="false" ht="15" hidden="false" customHeight="false" outlineLevel="0" collapsed="false">
      <c r="A321" s="6" t="s">
        <v>11932</v>
      </c>
      <c r="B321" s="6" t="s">
        <v>518</v>
      </c>
      <c r="C321" s="6" t="s">
        <v>133</v>
      </c>
      <c r="D321" s="6" t="s">
        <v>34</v>
      </c>
      <c r="E321" s="6" t="n">
        <f aca="false">ROUND(8280*1.05,2)</f>
        <v>8694</v>
      </c>
      <c r="F321" s="6" t="s">
        <v>35</v>
      </c>
      <c r="G321" s="6" t="s">
        <v>18</v>
      </c>
      <c r="H321" s="6" t="n">
        <f aca="true">ROUND(RAND()*4+6,1)</f>
        <v>6.2</v>
      </c>
      <c r="I321" s="6" t="s">
        <v>36</v>
      </c>
      <c r="J321" s="6" t="str">
        <f aca="false">ROUND(72*1,0)&amp;"%"</f>
        <v>72%</v>
      </c>
    </row>
    <row r="322" customFormat="false" ht="15" hidden="false" customHeight="false" outlineLevel="0" collapsed="false">
      <c r="A322" s="5" t="s">
        <v>11933</v>
      </c>
      <c r="B322" s="5" t="s">
        <v>520</v>
      </c>
      <c r="C322" s="5" t="s">
        <v>133</v>
      </c>
      <c r="D322" s="5" t="s">
        <v>39</v>
      </c>
      <c r="E322" s="5" t="n">
        <f aca="false">ROUND(6681*1.05,2)</f>
        <v>7015.05</v>
      </c>
      <c r="F322" s="5" t="s">
        <v>40</v>
      </c>
      <c r="G322" s="5" t="s">
        <v>24</v>
      </c>
      <c r="H322" s="5" t="n">
        <f aca="true">ROUND(RAND()*4+6,1)</f>
        <v>6.7</v>
      </c>
      <c r="I322" s="5" t="s">
        <v>41</v>
      </c>
      <c r="J322" s="5" t="str">
        <f aca="false">ROUND(66*1,0)&amp;"%"</f>
        <v>66%</v>
      </c>
    </row>
    <row r="323" customFormat="false" ht="15" hidden="false" customHeight="false" outlineLevel="0" collapsed="false">
      <c r="A323" s="6" t="s">
        <v>11934</v>
      </c>
      <c r="B323" s="6" t="s">
        <v>522</v>
      </c>
      <c r="C323" s="6" t="s">
        <v>133</v>
      </c>
      <c r="D323" s="6" t="s">
        <v>44</v>
      </c>
      <c r="E323" s="6" t="n">
        <f aca="false">ROUND(11450*1.05,2)</f>
        <v>12022.5</v>
      </c>
      <c r="F323" s="6" t="s">
        <v>45</v>
      </c>
      <c r="G323" s="6" t="s">
        <v>30</v>
      </c>
      <c r="H323" s="6" t="n">
        <f aca="true">ROUND(RAND()*4+6,1)</f>
        <v>7.3</v>
      </c>
      <c r="I323" s="6" t="s">
        <v>46</v>
      </c>
      <c r="J323" s="6" t="str">
        <f aca="false">ROUND(96*1,0)&amp;"%"</f>
        <v>96%</v>
      </c>
    </row>
    <row r="324" customFormat="false" ht="15" hidden="false" customHeight="false" outlineLevel="0" collapsed="false">
      <c r="A324" s="5" t="s">
        <v>11935</v>
      </c>
      <c r="B324" s="5" t="s">
        <v>524</v>
      </c>
      <c r="C324" s="5" t="s">
        <v>133</v>
      </c>
      <c r="D324" s="5" t="s">
        <v>16</v>
      </c>
      <c r="E324" s="5" t="n">
        <f aca="false">ROUND(4771*1.05,2)</f>
        <v>5009.55</v>
      </c>
      <c r="F324" s="5" t="s">
        <v>49</v>
      </c>
      <c r="G324" s="5" t="s">
        <v>18</v>
      </c>
      <c r="H324" s="5" t="n">
        <f aca="true">ROUND(RAND()*4+6,1)</f>
        <v>8.3</v>
      </c>
      <c r="I324" s="5" t="s">
        <v>19</v>
      </c>
      <c r="J324" s="5" t="str">
        <f aca="false">ROUND(76*1,0)&amp;"%"</f>
        <v>76%</v>
      </c>
    </row>
    <row r="325" customFormat="false" ht="15" hidden="false" customHeight="false" outlineLevel="0" collapsed="false">
      <c r="A325" s="6" t="s">
        <v>11936</v>
      </c>
      <c r="B325" s="6" t="s">
        <v>526</v>
      </c>
      <c r="C325" s="6" t="s">
        <v>133</v>
      </c>
      <c r="D325" s="6" t="s">
        <v>22</v>
      </c>
      <c r="E325" s="6" t="n">
        <f aca="false">ROUND(16132*1.05,2)</f>
        <v>16938.6</v>
      </c>
      <c r="F325" s="6" t="s">
        <v>52</v>
      </c>
      <c r="G325" s="6" t="s">
        <v>24</v>
      </c>
      <c r="H325" s="6" t="n">
        <f aca="true">ROUND(RAND()*4+6,1)</f>
        <v>7.2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11937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11938</v>
      </c>
      <c r="B330" s="5" t="s">
        <v>530</v>
      </c>
      <c r="C330" s="5" t="s">
        <v>152</v>
      </c>
      <c r="D330" s="5" t="s">
        <v>16</v>
      </c>
      <c r="E330" s="5" t="n">
        <f aca="false">ROUND(5426*1.05,2)</f>
        <v>5697.3</v>
      </c>
      <c r="F330" s="5" t="s">
        <v>17</v>
      </c>
      <c r="G330" s="5" t="s">
        <v>18</v>
      </c>
      <c r="H330" s="5" t="n">
        <f aca="true">ROUND(RAND()*4+6,1)</f>
        <v>7.2</v>
      </c>
      <c r="I330" s="5" t="s">
        <v>19</v>
      </c>
      <c r="J330" s="5" t="str">
        <f aca="false">ROUND(90*1,0)&amp;"%"</f>
        <v>90%</v>
      </c>
    </row>
    <row r="331" customFormat="false" ht="15" hidden="false" customHeight="false" outlineLevel="0" collapsed="false">
      <c r="A331" s="6" t="s">
        <v>11939</v>
      </c>
      <c r="B331" s="6" t="s">
        <v>532</v>
      </c>
      <c r="C331" s="6" t="s">
        <v>152</v>
      </c>
      <c r="D331" s="6" t="s">
        <v>22</v>
      </c>
      <c r="E331" s="6" t="n">
        <f aca="false">ROUND(9702*1.05,2)</f>
        <v>10187.1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ROUND(74*1,0)&amp;"%"</f>
        <v>74%</v>
      </c>
    </row>
    <row r="332" customFormat="false" ht="15" hidden="false" customHeight="false" outlineLevel="0" collapsed="false">
      <c r="A332" s="5" t="s">
        <v>11940</v>
      </c>
      <c r="B332" s="5" t="s">
        <v>534</v>
      </c>
      <c r="C332" s="5" t="s">
        <v>152</v>
      </c>
      <c r="D332" s="5" t="s">
        <v>28</v>
      </c>
      <c r="E332" s="5" t="n">
        <f aca="false">ROUND(15535*1.05,2)</f>
        <v>16311.75</v>
      </c>
      <c r="F332" s="5" t="s">
        <v>29</v>
      </c>
      <c r="G332" s="5" t="s">
        <v>30</v>
      </c>
      <c r="H332" s="5" t="n">
        <f aca="true">ROUND(RAND()*4+6,1)</f>
        <v>9.1</v>
      </c>
      <c r="I332" s="5" t="s">
        <v>31</v>
      </c>
      <c r="J332" s="5" t="str">
        <f aca="false">ROUND(91*1,0)&amp;"%"</f>
        <v>91%</v>
      </c>
    </row>
    <row r="333" customFormat="false" ht="15" hidden="false" customHeight="false" outlineLevel="0" collapsed="false">
      <c r="A333" s="6" t="s">
        <v>11941</v>
      </c>
      <c r="B333" s="6" t="s">
        <v>536</v>
      </c>
      <c r="C333" s="6" t="s">
        <v>152</v>
      </c>
      <c r="D333" s="6" t="s">
        <v>34</v>
      </c>
      <c r="E333" s="6" t="n">
        <f aca="false">ROUND(5218*1.05,2)</f>
        <v>5478.9</v>
      </c>
      <c r="F333" s="6" t="s">
        <v>35</v>
      </c>
      <c r="G333" s="6" t="s">
        <v>18</v>
      </c>
      <c r="H333" s="6" t="n">
        <f aca="true">ROUND(RAND()*4+6,1)</f>
        <v>8.4</v>
      </c>
      <c r="I333" s="6" t="s">
        <v>36</v>
      </c>
      <c r="J333" s="6" t="str">
        <f aca="false">ROUND(73*1,0)&amp;"%"</f>
        <v>73%</v>
      </c>
    </row>
    <row r="334" customFormat="false" ht="15" hidden="false" customHeight="false" outlineLevel="0" collapsed="false">
      <c r="A334" s="5" t="s">
        <v>11942</v>
      </c>
      <c r="B334" s="5" t="s">
        <v>538</v>
      </c>
      <c r="C334" s="5" t="s">
        <v>152</v>
      </c>
      <c r="D334" s="5" t="s">
        <v>39</v>
      </c>
      <c r="E334" s="5" t="n">
        <f aca="false">ROUND(12008*1.05,2)</f>
        <v>12608.4</v>
      </c>
      <c r="F334" s="5" t="s">
        <v>40</v>
      </c>
      <c r="G334" s="5" t="s">
        <v>24</v>
      </c>
      <c r="H334" s="5" t="n">
        <f aca="true">ROUND(RAND()*4+6,1)</f>
        <v>6.2</v>
      </c>
      <c r="I334" s="5" t="s">
        <v>41</v>
      </c>
      <c r="J334" s="5" t="str">
        <f aca="false">ROUND(89*1,0)&amp;"%"</f>
        <v>89%</v>
      </c>
    </row>
    <row r="335" customFormat="false" ht="15" hidden="false" customHeight="false" outlineLevel="0" collapsed="false">
      <c r="A335" s="6" t="s">
        <v>11943</v>
      </c>
      <c r="B335" s="6" t="s">
        <v>540</v>
      </c>
      <c r="C335" s="6" t="s">
        <v>152</v>
      </c>
      <c r="D335" s="6" t="s">
        <v>44</v>
      </c>
      <c r="E335" s="6" t="n">
        <f aca="false">ROUND(12538*1.05,2)</f>
        <v>13164.9</v>
      </c>
      <c r="F335" s="6" t="s">
        <v>45</v>
      </c>
      <c r="G335" s="6" t="s">
        <v>30</v>
      </c>
      <c r="H335" s="6" t="n">
        <f aca="true">ROUND(RAND()*4+6,1)</f>
        <v>6.5</v>
      </c>
      <c r="I335" s="6" t="s">
        <v>46</v>
      </c>
      <c r="J335" s="6" t="str">
        <f aca="false">ROUND(93*1,0)&amp;"%"</f>
        <v>93%</v>
      </c>
    </row>
    <row r="336" customFormat="false" ht="15" hidden="false" customHeight="false" outlineLevel="0" collapsed="false">
      <c r="A336" s="5" t="s">
        <v>11944</v>
      </c>
      <c r="B336" s="5" t="s">
        <v>542</v>
      </c>
      <c r="C336" s="5" t="s">
        <v>152</v>
      </c>
      <c r="D336" s="5" t="s">
        <v>16</v>
      </c>
      <c r="E336" s="5" t="n">
        <f aca="false">ROUND(5247*1.05,2)</f>
        <v>5509.35</v>
      </c>
      <c r="F336" s="5" t="s">
        <v>49</v>
      </c>
      <c r="G336" s="5" t="s">
        <v>18</v>
      </c>
      <c r="H336" s="5" t="n">
        <f aca="true">ROUND(RAND()*4+6,1)</f>
        <v>6.8</v>
      </c>
      <c r="I336" s="5" t="s">
        <v>19</v>
      </c>
      <c r="J336" s="5" t="str">
        <f aca="false">ROUND(90*1,0)&amp;"%"</f>
        <v>90%</v>
      </c>
    </row>
    <row r="337" customFormat="false" ht="15" hidden="false" customHeight="false" outlineLevel="0" collapsed="false">
      <c r="A337" s="6" t="s">
        <v>11945</v>
      </c>
      <c r="B337" s="6" t="s">
        <v>544</v>
      </c>
      <c r="C337" s="6" t="s">
        <v>152</v>
      </c>
      <c r="D337" s="6" t="s">
        <v>22</v>
      </c>
      <c r="E337" s="6" t="n">
        <f aca="false">ROUND(14600*1.05,2)</f>
        <v>15330</v>
      </c>
      <c r="F337" s="6" t="s">
        <v>52</v>
      </c>
      <c r="G337" s="6" t="s">
        <v>24</v>
      </c>
      <c r="H337" s="6" t="n">
        <f aca="true">ROUND(RAND()*4+6,1)</f>
        <v>8.7</v>
      </c>
      <c r="I337" s="6" t="s">
        <v>25</v>
      </c>
      <c r="J337" s="6" t="str">
        <f aca="false">ROUND(82*1,0)&amp;"%"</f>
        <v>82%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11946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11947</v>
      </c>
      <c r="B342" s="5" t="s">
        <v>548</v>
      </c>
      <c r="C342" s="5" t="s">
        <v>15</v>
      </c>
      <c r="D342" s="5" t="s">
        <v>16</v>
      </c>
      <c r="E342" s="5" t="n">
        <f aca="false">ROUND(10037*1.05,2)</f>
        <v>10538.85</v>
      </c>
      <c r="F342" s="5" t="s">
        <v>17</v>
      </c>
      <c r="G342" s="5" t="s">
        <v>18</v>
      </c>
      <c r="H342" s="5" t="n">
        <f aca="true">ROUND(RAND()*4+6,1)</f>
        <v>9.3</v>
      </c>
      <c r="I342" s="5" t="s">
        <v>19</v>
      </c>
      <c r="J342" s="5" t="str">
        <f aca="false">ROUND(61*1,0)&amp;"%"</f>
        <v>61%</v>
      </c>
    </row>
    <row r="343" customFormat="false" ht="15" hidden="false" customHeight="false" outlineLevel="0" collapsed="false">
      <c r="A343" s="6" t="s">
        <v>11948</v>
      </c>
      <c r="B343" s="6" t="s">
        <v>550</v>
      </c>
      <c r="C343" s="6" t="s">
        <v>15</v>
      </c>
      <c r="D343" s="6" t="s">
        <v>22</v>
      </c>
      <c r="E343" s="6" t="n">
        <f aca="false">ROUND(13057*1.05,2)</f>
        <v>13709.85</v>
      </c>
      <c r="F343" s="6" t="s">
        <v>23</v>
      </c>
      <c r="G343" s="6" t="s">
        <v>24</v>
      </c>
      <c r="H343" s="6" t="n">
        <f aca="true">ROUND(RAND()*4+6,1)</f>
        <v>8.5</v>
      </c>
      <c r="I343" s="6" t="s">
        <v>25</v>
      </c>
      <c r="J343" s="6" t="str">
        <f aca="false">ROUND(79*1,0)&amp;"%"</f>
        <v>79%</v>
      </c>
    </row>
    <row r="344" customFormat="false" ht="15" hidden="false" customHeight="false" outlineLevel="0" collapsed="false">
      <c r="A344" s="5" t="s">
        <v>11949</v>
      </c>
      <c r="B344" s="5" t="s">
        <v>552</v>
      </c>
      <c r="C344" s="5" t="s">
        <v>15</v>
      </c>
      <c r="D344" s="5" t="s">
        <v>28</v>
      </c>
      <c r="E344" s="5" t="n">
        <f aca="false">ROUND(14860*1.05,2)</f>
        <v>15603</v>
      </c>
      <c r="F344" s="5" t="s">
        <v>29</v>
      </c>
      <c r="G344" s="5" t="s">
        <v>30</v>
      </c>
      <c r="H344" s="5" t="n">
        <f aca="true">ROUND(RAND()*4+6,1)</f>
        <v>8.9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11950</v>
      </c>
      <c r="B345" s="6" t="s">
        <v>554</v>
      </c>
      <c r="C345" s="6" t="s">
        <v>15</v>
      </c>
      <c r="D345" s="6" t="s">
        <v>34</v>
      </c>
      <c r="E345" s="6" t="n">
        <f aca="false">ROUND(9569*1.05,2)</f>
        <v>10047.45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ROUND(64*1,0)&amp;"%"</f>
        <v>64%</v>
      </c>
    </row>
    <row r="346" customFormat="false" ht="15" hidden="false" customHeight="false" outlineLevel="0" collapsed="false">
      <c r="A346" s="5" t="s">
        <v>11951</v>
      </c>
      <c r="B346" s="5" t="s">
        <v>556</v>
      </c>
      <c r="C346" s="5" t="s">
        <v>15</v>
      </c>
      <c r="D346" s="5" t="s">
        <v>39</v>
      </c>
      <c r="E346" s="5" t="n">
        <f aca="false">ROUND(4463*1.05,2)</f>
        <v>4686.15</v>
      </c>
      <c r="F346" s="5" t="s">
        <v>40</v>
      </c>
      <c r="G346" s="5" t="s">
        <v>24</v>
      </c>
      <c r="H346" s="5" t="n">
        <f aca="true">ROUND(RAND()*4+6,1)</f>
        <v>6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11952</v>
      </c>
      <c r="B347" s="6" t="s">
        <v>558</v>
      </c>
      <c r="C347" s="6" t="s">
        <v>15</v>
      </c>
      <c r="D347" s="6" t="s">
        <v>44</v>
      </c>
      <c r="E347" s="6" t="n">
        <f aca="false">ROUND(13029*1.05,2)</f>
        <v>13680.45</v>
      </c>
      <c r="F347" s="6" t="s">
        <v>45</v>
      </c>
      <c r="G347" s="6" t="s">
        <v>30</v>
      </c>
      <c r="H347" s="6" t="n">
        <f aca="true">ROUND(RAND()*4+6,1)</f>
        <v>8.9</v>
      </c>
      <c r="I347" s="6" t="s">
        <v>46</v>
      </c>
      <c r="J347" s="6" t="str">
        <f aca="false">ROUND(73*1,0)&amp;"%"</f>
        <v>73%</v>
      </c>
    </row>
    <row r="348" customFormat="false" ht="15" hidden="false" customHeight="false" outlineLevel="0" collapsed="false">
      <c r="A348" s="5" t="s">
        <v>11953</v>
      </c>
      <c r="B348" s="5" t="s">
        <v>560</v>
      </c>
      <c r="C348" s="5" t="s">
        <v>15</v>
      </c>
      <c r="D348" s="5" t="s">
        <v>16</v>
      </c>
      <c r="E348" s="5" t="n">
        <f aca="false">ROUND(16783*1.05,2)</f>
        <v>17622.15</v>
      </c>
      <c r="F348" s="5" t="s">
        <v>49</v>
      </c>
      <c r="G348" s="5" t="s">
        <v>18</v>
      </c>
      <c r="H348" s="5" t="n">
        <f aca="true">ROUND(RAND()*4+6,1)</f>
        <v>8.4</v>
      </c>
      <c r="I348" s="5" t="s">
        <v>19</v>
      </c>
      <c r="J348" s="5" t="str">
        <f aca="false">ROUND(69*1,0)&amp;"%"</f>
        <v>69%</v>
      </c>
    </row>
    <row r="349" customFormat="false" ht="15" hidden="false" customHeight="false" outlineLevel="0" collapsed="false">
      <c r="A349" s="6" t="s">
        <v>11954</v>
      </c>
      <c r="B349" s="6" t="s">
        <v>562</v>
      </c>
      <c r="C349" s="6" t="s">
        <v>15</v>
      </c>
      <c r="D349" s="6" t="s">
        <v>22</v>
      </c>
      <c r="E349" s="6" t="n">
        <f aca="false">ROUND(7781*1.05,2)</f>
        <v>8170.05</v>
      </c>
      <c r="F349" s="6" t="s">
        <v>52</v>
      </c>
      <c r="G349" s="6" t="s">
        <v>24</v>
      </c>
      <c r="H349" s="6" t="n">
        <f aca="true">ROUND(RAND()*4+6,1)</f>
        <v>7</v>
      </c>
      <c r="I349" s="6" t="s">
        <v>25</v>
      </c>
      <c r="J349" s="6" t="str">
        <f aca="false">ROUND(69*1,0)&amp;"%"</f>
        <v>69%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11955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11956</v>
      </c>
      <c r="B354" s="5" t="s">
        <v>566</v>
      </c>
      <c r="C354" s="5" t="s">
        <v>57</v>
      </c>
      <c r="D354" s="5" t="s">
        <v>16</v>
      </c>
      <c r="E354" s="5" t="n">
        <f aca="false">ROUND(10300*1.05,2)</f>
        <v>10815</v>
      </c>
      <c r="F354" s="5" t="s">
        <v>17</v>
      </c>
      <c r="G354" s="5" t="s">
        <v>18</v>
      </c>
      <c r="H354" s="5" t="n">
        <f aca="true">ROUND(RAND()*4+6,1)</f>
        <v>6.3</v>
      </c>
      <c r="I354" s="5" t="s">
        <v>19</v>
      </c>
      <c r="J354" s="5" t="str">
        <f aca="false">ROUND(67*1,0)&amp;"%"</f>
        <v>67%</v>
      </c>
    </row>
    <row r="355" customFormat="false" ht="15" hidden="false" customHeight="false" outlineLevel="0" collapsed="false">
      <c r="A355" s="6" t="s">
        <v>11957</v>
      </c>
      <c r="B355" s="6" t="s">
        <v>568</v>
      </c>
      <c r="C355" s="6" t="s">
        <v>57</v>
      </c>
      <c r="D355" s="6" t="s">
        <v>22</v>
      </c>
      <c r="E355" s="6" t="n">
        <f aca="false">ROUND(4205*1.05,2)</f>
        <v>4415.25</v>
      </c>
      <c r="F355" s="6" t="s">
        <v>23</v>
      </c>
      <c r="G355" s="6" t="s">
        <v>24</v>
      </c>
      <c r="H355" s="6" t="n">
        <f aca="true">ROUND(RAND()*4+6,1)</f>
        <v>8.7</v>
      </c>
      <c r="I355" s="6" t="s">
        <v>25</v>
      </c>
      <c r="J355" s="6" t="str">
        <f aca="false">ROUND(96*1,0)&amp;"%"</f>
        <v>96%</v>
      </c>
    </row>
    <row r="356" customFormat="false" ht="15" hidden="false" customHeight="false" outlineLevel="0" collapsed="false">
      <c r="A356" s="5" t="s">
        <v>11958</v>
      </c>
      <c r="B356" s="5" t="s">
        <v>570</v>
      </c>
      <c r="C356" s="5" t="s">
        <v>57</v>
      </c>
      <c r="D356" s="5" t="s">
        <v>28</v>
      </c>
      <c r="E356" s="5" t="n">
        <f aca="false">ROUND(14519*1.05,2)</f>
        <v>15244.95</v>
      </c>
      <c r="F356" s="5" t="s">
        <v>29</v>
      </c>
      <c r="G356" s="5" t="s">
        <v>30</v>
      </c>
      <c r="H356" s="5" t="n">
        <f aca="true">ROUND(RAND()*4+6,1)</f>
        <v>9.9</v>
      </c>
      <c r="I356" s="5" t="s">
        <v>31</v>
      </c>
      <c r="J356" s="5" t="str">
        <f aca="false">ROUND(98*1,0)&amp;"%"</f>
        <v>98%</v>
      </c>
    </row>
    <row r="357" customFormat="false" ht="15" hidden="false" customHeight="false" outlineLevel="0" collapsed="false">
      <c r="A357" s="6" t="s">
        <v>11959</v>
      </c>
      <c r="B357" s="6" t="s">
        <v>572</v>
      </c>
      <c r="C357" s="6" t="s">
        <v>57</v>
      </c>
      <c r="D357" s="6" t="s">
        <v>34</v>
      </c>
      <c r="E357" s="6" t="n">
        <f aca="false">ROUND(11955*1.05,2)</f>
        <v>12552.75</v>
      </c>
      <c r="F357" s="6" t="s">
        <v>35</v>
      </c>
      <c r="G357" s="6" t="s">
        <v>18</v>
      </c>
      <c r="H357" s="6" t="n">
        <f aca="true">ROUND(RAND()*4+6,1)</f>
        <v>6.5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11960</v>
      </c>
      <c r="B358" s="5" t="s">
        <v>574</v>
      </c>
      <c r="C358" s="5" t="s">
        <v>57</v>
      </c>
      <c r="D358" s="5" t="s">
        <v>39</v>
      </c>
      <c r="E358" s="5" t="n">
        <f aca="false">ROUND(15015*1.05,2)</f>
        <v>15765.75</v>
      </c>
      <c r="F358" s="5" t="s">
        <v>40</v>
      </c>
      <c r="G358" s="5" t="s">
        <v>24</v>
      </c>
      <c r="H358" s="5" t="n">
        <f aca="true">ROUND(RAND()*4+6,1)</f>
        <v>6.6</v>
      </c>
      <c r="I358" s="5" t="s">
        <v>41</v>
      </c>
      <c r="J358" s="5" t="str">
        <f aca="false">ROUND(84*1,0)&amp;"%"</f>
        <v>84%</v>
      </c>
    </row>
    <row r="359" customFormat="false" ht="15" hidden="false" customHeight="false" outlineLevel="0" collapsed="false">
      <c r="A359" s="6" t="s">
        <v>11961</v>
      </c>
      <c r="B359" s="6" t="s">
        <v>576</v>
      </c>
      <c r="C359" s="6" t="s">
        <v>57</v>
      </c>
      <c r="D359" s="6" t="s">
        <v>44</v>
      </c>
      <c r="E359" s="6" t="n">
        <f aca="false">ROUND(13332*1.05,2)</f>
        <v>13998.6</v>
      </c>
      <c r="F359" s="6" t="s">
        <v>45</v>
      </c>
      <c r="G359" s="6" t="s">
        <v>30</v>
      </c>
      <c r="H359" s="6" t="n">
        <f aca="true">ROUND(RAND()*4+6,1)</f>
        <v>6.5</v>
      </c>
      <c r="I359" s="6" t="s">
        <v>46</v>
      </c>
      <c r="J359" s="6" t="str">
        <f aca="false">ROUND(86*1,0)&amp;"%"</f>
        <v>86%</v>
      </c>
    </row>
    <row r="360" customFormat="false" ht="15" hidden="false" customHeight="false" outlineLevel="0" collapsed="false">
      <c r="A360" s="5" t="s">
        <v>11962</v>
      </c>
      <c r="B360" s="5" t="s">
        <v>578</v>
      </c>
      <c r="C360" s="5" t="s">
        <v>57</v>
      </c>
      <c r="D360" s="5" t="s">
        <v>16</v>
      </c>
      <c r="E360" s="5" t="n">
        <f aca="false">ROUND(5991*1.05,2)</f>
        <v>6290.55</v>
      </c>
      <c r="F360" s="5" t="s">
        <v>49</v>
      </c>
      <c r="G360" s="5" t="s">
        <v>18</v>
      </c>
      <c r="H360" s="5" t="n">
        <f aca="true">ROUND(RAND()*4+6,1)</f>
        <v>7.8</v>
      </c>
      <c r="I360" s="5" t="s">
        <v>19</v>
      </c>
      <c r="J360" s="5" t="str">
        <f aca="false">ROUND(96*1,0)&amp;"%"</f>
        <v>96%</v>
      </c>
    </row>
    <row r="361" customFormat="false" ht="15" hidden="false" customHeight="false" outlineLevel="0" collapsed="false">
      <c r="A361" s="6" t="s">
        <v>11963</v>
      </c>
      <c r="B361" s="6" t="s">
        <v>580</v>
      </c>
      <c r="C361" s="6" t="s">
        <v>57</v>
      </c>
      <c r="D361" s="6" t="s">
        <v>22</v>
      </c>
      <c r="E361" s="6" t="n">
        <f aca="false">ROUND(17649*1.05,2)</f>
        <v>18531.45</v>
      </c>
      <c r="F361" s="6" t="s">
        <v>52</v>
      </c>
      <c r="G361" s="6" t="s">
        <v>24</v>
      </c>
      <c r="H361" s="6" t="n">
        <f aca="true">ROUND(RAND()*4+6,1)</f>
        <v>6.6</v>
      </c>
      <c r="I361" s="6" t="s">
        <v>25</v>
      </c>
      <c r="J361" s="6" t="str">
        <f aca="false">ROUND(86*1,0)&amp;"%"</f>
        <v>86%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11964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11965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11966</v>
      </c>
      <c r="B6" s="5" t="s">
        <v>14</v>
      </c>
      <c r="C6" s="5" t="s">
        <v>15</v>
      </c>
      <c r="D6" s="5" t="s">
        <v>16</v>
      </c>
      <c r="E6" s="5" t="n">
        <f aca="false">ROUND(16057*1.05,2)</f>
        <v>16859.85</v>
      </c>
      <c r="F6" s="5" t="s">
        <v>17</v>
      </c>
      <c r="G6" s="5" t="s">
        <v>18</v>
      </c>
      <c r="H6" s="5" t="n">
        <f aca="true">ROUND(RAND()*4+6,1)</f>
        <v>9.2</v>
      </c>
      <c r="I6" s="5" t="s">
        <v>19</v>
      </c>
      <c r="J6" s="5" t="str">
        <f aca="false">ROUND(86*1,0)&amp;"%"</f>
        <v>86%</v>
      </c>
    </row>
    <row r="7" customFormat="false" ht="15" hidden="false" customHeight="false" outlineLevel="0" collapsed="false">
      <c r="A7" s="6" t="s">
        <v>11967</v>
      </c>
      <c r="B7" s="6" t="s">
        <v>21</v>
      </c>
      <c r="C7" s="6" t="s">
        <v>15</v>
      </c>
      <c r="D7" s="6" t="s">
        <v>22</v>
      </c>
      <c r="E7" s="6" t="n">
        <f aca="false">ROUND(6008*1.05,2)</f>
        <v>6308.4</v>
      </c>
      <c r="F7" s="6" t="s">
        <v>23</v>
      </c>
      <c r="G7" s="6" t="s">
        <v>24</v>
      </c>
      <c r="H7" s="6" t="n">
        <f aca="true">ROUND(RAND()*4+6,1)</f>
        <v>9.9</v>
      </c>
      <c r="I7" s="6" t="s">
        <v>25</v>
      </c>
      <c r="J7" s="6" t="str">
        <f aca="false">ROUND(82*1,0)&amp;"%"</f>
        <v>82%</v>
      </c>
    </row>
    <row r="8" customFormat="false" ht="15" hidden="false" customHeight="false" outlineLevel="0" collapsed="false">
      <c r="A8" s="5" t="s">
        <v>11968</v>
      </c>
      <c r="B8" s="5" t="s">
        <v>27</v>
      </c>
      <c r="C8" s="5" t="s">
        <v>15</v>
      </c>
      <c r="D8" s="5" t="s">
        <v>28</v>
      </c>
      <c r="E8" s="5" t="n">
        <f aca="false">ROUND(5884*1.05,2)</f>
        <v>6178.2</v>
      </c>
      <c r="F8" s="5" t="s">
        <v>29</v>
      </c>
      <c r="G8" s="5" t="s">
        <v>30</v>
      </c>
      <c r="H8" s="5" t="n">
        <f aca="true">ROUND(RAND()*4+6,1)</f>
        <v>8</v>
      </c>
      <c r="I8" s="5" t="s">
        <v>31</v>
      </c>
      <c r="J8" s="5" t="str">
        <f aca="false">ROUND(69*1,0)&amp;"%"</f>
        <v>69%</v>
      </c>
    </row>
    <row r="9" customFormat="false" ht="15" hidden="false" customHeight="false" outlineLevel="0" collapsed="false">
      <c r="A9" s="6" t="s">
        <v>11969</v>
      </c>
      <c r="B9" s="6" t="s">
        <v>33</v>
      </c>
      <c r="C9" s="6" t="s">
        <v>15</v>
      </c>
      <c r="D9" s="6" t="s">
        <v>34</v>
      </c>
      <c r="E9" s="6" t="n">
        <f aca="false">ROUND(16163*1.05,2)</f>
        <v>16971.15</v>
      </c>
      <c r="F9" s="6" t="s">
        <v>35</v>
      </c>
      <c r="G9" s="6" t="s">
        <v>18</v>
      </c>
      <c r="H9" s="6" t="n">
        <f aca="true">ROUND(RAND()*4+6,1)</f>
        <v>7.4</v>
      </c>
      <c r="I9" s="6" t="s">
        <v>36</v>
      </c>
      <c r="J9" s="6" t="str">
        <f aca="false">ROUND(78*1,0)&amp;"%"</f>
        <v>78%</v>
      </c>
    </row>
    <row r="10" customFormat="false" ht="15" hidden="false" customHeight="false" outlineLevel="0" collapsed="false">
      <c r="A10" s="5" t="s">
        <v>11970</v>
      </c>
      <c r="B10" s="5" t="s">
        <v>38</v>
      </c>
      <c r="C10" s="5" t="s">
        <v>15</v>
      </c>
      <c r="D10" s="5" t="s">
        <v>39</v>
      </c>
      <c r="E10" s="5" t="n">
        <f aca="false">ROUND(6505*1.05,2)</f>
        <v>6830.25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ROUND(75*1,0)&amp;"%"</f>
        <v>75%</v>
      </c>
    </row>
    <row r="11" customFormat="false" ht="15" hidden="false" customHeight="false" outlineLevel="0" collapsed="false">
      <c r="A11" s="6" t="s">
        <v>11971</v>
      </c>
      <c r="B11" s="6" t="s">
        <v>43</v>
      </c>
      <c r="C11" s="6" t="s">
        <v>15</v>
      </c>
      <c r="D11" s="6" t="s">
        <v>44</v>
      </c>
      <c r="E11" s="6" t="n">
        <f aca="false">ROUND(8978*1.05,2)</f>
        <v>9426.9</v>
      </c>
      <c r="F11" s="6" t="s">
        <v>45</v>
      </c>
      <c r="G11" s="6" t="s">
        <v>30</v>
      </c>
      <c r="H11" s="6" t="n">
        <f aca="true">ROUND(RAND()*4+6,1)</f>
        <v>6.2</v>
      </c>
      <c r="I11" s="6" t="s">
        <v>46</v>
      </c>
      <c r="J11" s="6" t="str">
        <f aca="false">ROUND(67*1,0)&amp;"%"</f>
        <v>67%</v>
      </c>
    </row>
    <row r="12" customFormat="false" ht="15" hidden="false" customHeight="false" outlineLevel="0" collapsed="false">
      <c r="A12" s="5" t="s">
        <v>11972</v>
      </c>
      <c r="B12" s="5" t="s">
        <v>48</v>
      </c>
      <c r="C12" s="5" t="s">
        <v>15</v>
      </c>
      <c r="D12" s="5" t="s">
        <v>16</v>
      </c>
      <c r="E12" s="5" t="n">
        <f aca="false">ROUND(12451*1.05,2)</f>
        <v>13073.55</v>
      </c>
      <c r="F12" s="5" t="s">
        <v>49</v>
      </c>
      <c r="G12" s="5" t="s">
        <v>18</v>
      </c>
      <c r="H12" s="5" t="n">
        <f aca="true">ROUND(RAND()*4+6,1)</f>
        <v>9.5</v>
      </c>
      <c r="I12" s="5" t="s">
        <v>19</v>
      </c>
      <c r="J12" s="5" t="str">
        <f aca="false">ROUND(69*1,0)&amp;"%"</f>
        <v>69%</v>
      </c>
    </row>
    <row r="13" customFormat="false" ht="15" hidden="false" customHeight="false" outlineLevel="0" collapsed="false">
      <c r="A13" s="6" t="s">
        <v>11973</v>
      </c>
      <c r="B13" s="6" t="s">
        <v>51</v>
      </c>
      <c r="C13" s="6" t="s">
        <v>15</v>
      </c>
      <c r="D13" s="6" t="s">
        <v>22</v>
      </c>
      <c r="E13" s="6" t="n">
        <f aca="false">ROUND(14009*1.05,2)</f>
        <v>14709.45</v>
      </c>
      <c r="F13" s="6" t="s">
        <v>52</v>
      </c>
      <c r="G13" s="6" t="s">
        <v>24</v>
      </c>
      <c r="H13" s="6" t="n">
        <f aca="true">ROUND(RAND()*4+6,1)</f>
        <v>9.1</v>
      </c>
      <c r="I13" s="6" t="s">
        <v>25</v>
      </c>
      <c r="J13" s="6" t="str">
        <f aca="false">ROUND(76*1,0)&amp;"%"</f>
        <v>76%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11974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11975</v>
      </c>
      <c r="B18" s="5" t="s">
        <v>56</v>
      </c>
      <c r="C18" s="5" t="s">
        <v>57</v>
      </c>
      <c r="D18" s="5" t="s">
        <v>16</v>
      </c>
      <c r="E18" s="5" t="n">
        <f aca="false">ROUND(14064*1.05,2)</f>
        <v>14767.2</v>
      </c>
      <c r="F18" s="5" t="s">
        <v>17</v>
      </c>
      <c r="G18" s="5" t="s">
        <v>18</v>
      </c>
      <c r="H18" s="5" t="n">
        <f aca="true">ROUND(RAND()*4+6,1)</f>
        <v>6.4</v>
      </c>
      <c r="I18" s="5" t="s">
        <v>19</v>
      </c>
      <c r="J18" s="5" t="str">
        <f aca="false">ROUND(68*1,0)&amp;"%"</f>
        <v>68%</v>
      </c>
    </row>
    <row r="19" customFormat="false" ht="15" hidden="false" customHeight="false" outlineLevel="0" collapsed="false">
      <c r="A19" s="6" t="s">
        <v>11976</v>
      </c>
      <c r="B19" s="6" t="s">
        <v>59</v>
      </c>
      <c r="C19" s="6" t="s">
        <v>57</v>
      </c>
      <c r="D19" s="6" t="s">
        <v>22</v>
      </c>
      <c r="E19" s="6" t="n">
        <f aca="false">ROUND(12472*1.05,2)</f>
        <v>13095.6</v>
      </c>
      <c r="F19" s="6" t="s">
        <v>23</v>
      </c>
      <c r="G19" s="6" t="s">
        <v>24</v>
      </c>
      <c r="H19" s="6" t="n">
        <f aca="true">ROUND(RAND()*4+6,1)</f>
        <v>6.8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11977</v>
      </c>
      <c r="B20" s="5" t="s">
        <v>61</v>
      </c>
      <c r="C20" s="5" t="s">
        <v>57</v>
      </c>
      <c r="D20" s="5" t="s">
        <v>28</v>
      </c>
      <c r="E20" s="5" t="n">
        <f aca="false">ROUND(7751*1.05,2)</f>
        <v>8138.55</v>
      </c>
      <c r="F20" s="5" t="s">
        <v>29</v>
      </c>
      <c r="G20" s="5" t="s">
        <v>30</v>
      </c>
      <c r="H20" s="5" t="n">
        <f aca="true">ROUND(RAND()*4+6,1)</f>
        <v>7.4</v>
      </c>
      <c r="I20" s="5" t="s">
        <v>31</v>
      </c>
      <c r="J20" s="5" t="str">
        <f aca="false">ROUND(82*1,0)&amp;"%"</f>
        <v>82%</v>
      </c>
    </row>
    <row r="21" customFormat="false" ht="15" hidden="false" customHeight="false" outlineLevel="0" collapsed="false">
      <c r="A21" s="6" t="s">
        <v>11978</v>
      </c>
      <c r="B21" s="6" t="s">
        <v>63</v>
      </c>
      <c r="C21" s="6" t="s">
        <v>57</v>
      </c>
      <c r="D21" s="6" t="s">
        <v>34</v>
      </c>
      <c r="E21" s="6" t="n">
        <f aca="false">ROUND(13959*1.05,2)</f>
        <v>14656.95</v>
      </c>
      <c r="F21" s="6" t="s">
        <v>35</v>
      </c>
      <c r="G21" s="6" t="s">
        <v>18</v>
      </c>
      <c r="H21" s="6" t="n">
        <f aca="true">ROUND(RAND()*4+6,1)</f>
        <v>6.5</v>
      </c>
      <c r="I21" s="6" t="s">
        <v>36</v>
      </c>
      <c r="J21" s="6" t="str">
        <f aca="false">ROUND(90*1,0)&amp;"%"</f>
        <v>90%</v>
      </c>
    </row>
    <row r="22" customFormat="false" ht="15" hidden="false" customHeight="false" outlineLevel="0" collapsed="false">
      <c r="A22" s="5" t="s">
        <v>11979</v>
      </c>
      <c r="B22" s="5" t="s">
        <v>65</v>
      </c>
      <c r="C22" s="5" t="s">
        <v>57</v>
      </c>
      <c r="D22" s="5" t="s">
        <v>39</v>
      </c>
      <c r="E22" s="5" t="n">
        <f aca="false">ROUND(6009*1.05,2)</f>
        <v>6309.45</v>
      </c>
      <c r="F22" s="5" t="s">
        <v>40</v>
      </c>
      <c r="G22" s="5" t="s">
        <v>24</v>
      </c>
      <c r="H22" s="5" t="n">
        <f aca="true">ROUND(RAND()*4+6,1)</f>
        <v>8.6</v>
      </c>
      <c r="I22" s="5" t="s">
        <v>41</v>
      </c>
      <c r="J22" s="5" t="str">
        <f aca="false">ROUND(79*1,0)&amp;"%"</f>
        <v>79%</v>
      </c>
    </row>
    <row r="23" customFormat="false" ht="15" hidden="false" customHeight="false" outlineLevel="0" collapsed="false">
      <c r="A23" s="6" t="s">
        <v>11980</v>
      </c>
      <c r="B23" s="6" t="s">
        <v>67</v>
      </c>
      <c r="C23" s="6" t="s">
        <v>57</v>
      </c>
      <c r="D23" s="6" t="s">
        <v>44</v>
      </c>
      <c r="E23" s="6" t="n">
        <f aca="false">ROUND(15733*1.05,2)</f>
        <v>16519.65</v>
      </c>
      <c r="F23" s="6" t="s">
        <v>45</v>
      </c>
      <c r="G23" s="6" t="s">
        <v>30</v>
      </c>
      <c r="H23" s="6" t="n">
        <f aca="true">ROUND(RAND()*4+6,1)</f>
        <v>7.1</v>
      </c>
      <c r="I23" s="6" t="s">
        <v>46</v>
      </c>
      <c r="J23" s="6" t="str">
        <f aca="false">ROUND(82*1,0)&amp;"%"</f>
        <v>82%</v>
      </c>
    </row>
    <row r="24" customFormat="false" ht="15" hidden="false" customHeight="false" outlineLevel="0" collapsed="false">
      <c r="A24" s="5" t="s">
        <v>11981</v>
      </c>
      <c r="B24" s="5" t="s">
        <v>69</v>
      </c>
      <c r="C24" s="5" t="s">
        <v>57</v>
      </c>
      <c r="D24" s="5" t="s">
        <v>16</v>
      </c>
      <c r="E24" s="5" t="n">
        <f aca="false">ROUND(15511*1.05,2)</f>
        <v>16286.55</v>
      </c>
      <c r="F24" s="5" t="s">
        <v>49</v>
      </c>
      <c r="G24" s="5" t="s">
        <v>18</v>
      </c>
      <c r="H24" s="5" t="n">
        <f aca="true">ROUND(RAND()*4+6,1)</f>
        <v>6.3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11982</v>
      </c>
      <c r="B25" s="6" t="s">
        <v>71</v>
      </c>
      <c r="C25" s="6" t="s">
        <v>57</v>
      </c>
      <c r="D25" s="6" t="s">
        <v>22</v>
      </c>
      <c r="E25" s="6" t="n">
        <f aca="false">ROUND(5379*1.05,2)</f>
        <v>5647.95</v>
      </c>
      <c r="F25" s="6" t="s">
        <v>52</v>
      </c>
      <c r="G25" s="6" t="s">
        <v>24</v>
      </c>
      <c r="H25" s="6" t="n">
        <f aca="true">ROUND(RAND()*4+6,1)</f>
        <v>6.5</v>
      </c>
      <c r="I25" s="6" t="s">
        <v>25</v>
      </c>
      <c r="J25" s="6" t="str">
        <f aca="false">ROUND(65*1,0)&amp;"%"</f>
        <v>65%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11983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11984</v>
      </c>
      <c r="B30" s="5" t="s">
        <v>75</v>
      </c>
      <c r="C30" s="5" t="s">
        <v>76</v>
      </c>
      <c r="D30" s="5" t="s">
        <v>16</v>
      </c>
      <c r="E30" s="5" t="n">
        <f aca="false">ROUND(5975*1.05,2)</f>
        <v>6273.75</v>
      </c>
      <c r="F30" s="5" t="s">
        <v>17</v>
      </c>
      <c r="G30" s="5" t="s">
        <v>18</v>
      </c>
      <c r="H30" s="5" t="n">
        <f aca="true">ROUND(RAND()*4+6,1)</f>
        <v>9.7</v>
      </c>
      <c r="I30" s="5" t="s">
        <v>19</v>
      </c>
      <c r="J30" s="5" t="str">
        <f aca="false">ROUND(70*1,0)&amp;"%"</f>
        <v>70%</v>
      </c>
    </row>
    <row r="31" customFormat="false" ht="15" hidden="false" customHeight="false" outlineLevel="0" collapsed="false">
      <c r="A31" s="6" t="s">
        <v>11985</v>
      </c>
      <c r="B31" s="6" t="s">
        <v>78</v>
      </c>
      <c r="C31" s="6" t="s">
        <v>76</v>
      </c>
      <c r="D31" s="6" t="s">
        <v>22</v>
      </c>
      <c r="E31" s="6" t="n">
        <f aca="false">ROUND(10094*1.05,2)</f>
        <v>10598.7</v>
      </c>
      <c r="F31" s="6" t="s">
        <v>23</v>
      </c>
      <c r="G31" s="6" t="s">
        <v>24</v>
      </c>
      <c r="H31" s="6" t="n">
        <f aca="true">ROUND(RAND()*4+6,1)</f>
        <v>8.9</v>
      </c>
      <c r="I31" s="6" t="s">
        <v>25</v>
      </c>
      <c r="J31" s="6" t="str">
        <f aca="false">ROUND(79*1,0)&amp;"%"</f>
        <v>79%</v>
      </c>
    </row>
    <row r="32" customFormat="false" ht="15" hidden="false" customHeight="false" outlineLevel="0" collapsed="false">
      <c r="A32" s="5" t="s">
        <v>11986</v>
      </c>
      <c r="B32" s="5" t="s">
        <v>80</v>
      </c>
      <c r="C32" s="5" t="s">
        <v>76</v>
      </c>
      <c r="D32" s="5" t="s">
        <v>28</v>
      </c>
      <c r="E32" s="5" t="n">
        <f aca="false">ROUND(10522*1.05,2)</f>
        <v>11048.1</v>
      </c>
      <c r="F32" s="5" t="s">
        <v>29</v>
      </c>
      <c r="G32" s="5" t="s">
        <v>30</v>
      </c>
      <c r="H32" s="5" t="n">
        <f aca="true">ROUND(RAND()*4+6,1)</f>
        <v>9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11987</v>
      </c>
      <c r="B33" s="6" t="s">
        <v>82</v>
      </c>
      <c r="C33" s="6" t="s">
        <v>76</v>
      </c>
      <c r="D33" s="6" t="s">
        <v>34</v>
      </c>
      <c r="E33" s="6" t="n">
        <f aca="false">ROUND(5935*1.05,2)</f>
        <v>6231.75</v>
      </c>
      <c r="F33" s="6" t="s">
        <v>35</v>
      </c>
      <c r="G33" s="6" t="s">
        <v>18</v>
      </c>
      <c r="H33" s="6" t="n">
        <f aca="true">ROUND(RAND()*4+6,1)</f>
        <v>7.8</v>
      </c>
      <c r="I33" s="6" t="s">
        <v>36</v>
      </c>
      <c r="J33" s="6" t="str">
        <f aca="false">ROUND(97*1,0)&amp;"%"</f>
        <v>97%</v>
      </c>
    </row>
    <row r="34" customFormat="false" ht="15" hidden="false" customHeight="false" outlineLevel="0" collapsed="false">
      <c r="A34" s="5" t="s">
        <v>11988</v>
      </c>
      <c r="B34" s="5" t="s">
        <v>84</v>
      </c>
      <c r="C34" s="5" t="s">
        <v>76</v>
      </c>
      <c r="D34" s="5" t="s">
        <v>39</v>
      </c>
      <c r="E34" s="5" t="n">
        <f aca="false">ROUND(5113*1.05,2)</f>
        <v>5368.65</v>
      </c>
      <c r="F34" s="5" t="s">
        <v>40</v>
      </c>
      <c r="G34" s="5" t="s">
        <v>24</v>
      </c>
      <c r="H34" s="5" t="n">
        <f aca="true">ROUND(RAND()*4+6,1)</f>
        <v>7.5</v>
      </c>
      <c r="I34" s="5" t="s">
        <v>41</v>
      </c>
      <c r="J34" s="5" t="str">
        <f aca="false">ROUND(99*1,0)&amp;"%"</f>
        <v>99%</v>
      </c>
    </row>
    <row r="35" customFormat="false" ht="15" hidden="false" customHeight="false" outlineLevel="0" collapsed="false">
      <c r="A35" s="6" t="s">
        <v>11989</v>
      </c>
      <c r="B35" s="6" t="s">
        <v>86</v>
      </c>
      <c r="C35" s="6" t="s">
        <v>76</v>
      </c>
      <c r="D35" s="6" t="s">
        <v>44</v>
      </c>
      <c r="E35" s="6" t="n">
        <f aca="false">ROUND(17301*1.05,2)</f>
        <v>18166.05</v>
      </c>
      <c r="F35" s="6" t="s">
        <v>45</v>
      </c>
      <c r="G35" s="6" t="s">
        <v>30</v>
      </c>
      <c r="H35" s="6" t="n">
        <f aca="true">ROUND(RAND()*4+6,1)</f>
        <v>9.4</v>
      </c>
      <c r="I35" s="6" t="s">
        <v>46</v>
      </c>
      <c r="J35" s="6" t="str">
        <f aca="false">ROUND(61*1,0)&amp;"%"</f>
        <v>61%</v>
      </c>
    </row>
    <row r="36" customFormat="false" ht="15" hidden="false" customHeight="false" outlineLevel="0" collapsed="false">
      <c r="A36" s="5" t="s">
        <v>11990</v>
      </c>
      <c r="B36" s="5" t="s">
        <v>88</v>
      </c>
      <c r="C36" s="5" t="s">
        <v>76</v>
      </c>
      <c r="D36" s="5" t="s">
        <v>16</v>
      </c>
      <c r="E36" s="5" t="n">
        <f aca="false">ROUND(6421*1.05,2)</f>
        <v>6742.05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ROUND(63*1,0)&amp;"%"</f>
        <v>63%</v>
      </c>
    </row>
    <row r="37" customFormat="false" ht="15" hidden="false" customHeight="false" outlineLevel="0" collapsed="false">
      <c r="A37" s="6" t="s">
        <v>11991</v>
      </c>
      <c r="B37" s="6" t="s">
        <v>90</v>
      </c>
      <c r="C37" s="6" t="s">
        <v>76</v>
      </c>
      <c r="D37" s="6" t="s">
        <v>22</v>
      </c>
      <c r="E37" s="6" t="n">
        <f aca="false">ROUND(16220*1.05,2)</f>
        <v>17031</v>
      </c>
      <c r="F37" s="6" t="s">
        <v>52</v>
      </c>
      <c r="G37" s="6" t="s">
        <v>24</v>
      </c>
      <c r="H37" s="6" t="n">
        <f aca="true">ROUND(RAND()*4+6,1)</f>
        <v>6.8</v>
      </c>
      <c r="I37" s="6" t="s">
        <v>25</v>
      </c>
      <c r="J37" s="6" t="str">
        <f aca="false">ROUND(68*1,0)&amp;"%"</f>
        <v>68%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11992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11993</v>
      </c>
      <c r="B42" s="5" t="s">
        <v>94</v>
      </c>
      <c r="C42" s="5" t="s">
        <v>95</v>
      </c>
      <c r="D42" s="5" t="s">
        <v>16</v>
      </c>
      <c r="E42" s="5" t="n">
        <f aca="false">ROUND(17961*1.05,2)</f>
        <v>18859.05</v>
      </c>
      <c r="F42" s="5" t="s">
        <v>17</v>
      </c>
      <c r="G42" s="5" t="s">
        <v>18</v>
      </c>
      <c r="H42" s="5" t="n">
        <f aca="true">ROUND(RAND()*4+6,1)</f>
        <v>9.2</v>
      </c>
      <c r="I42" s="5" t="s">
        <v>19</v>
      </c>
      <c r="J42" s="5" t="str">
        <f aca="false">ROUND(66*1,0)&amp;"%"</f>
        <v>66%</v>
      </c>
    </row>
    <row r="43" customFormat="false" ht="15" hidden="false" customHeight="false" outlineLevel="0" collapsed="false">
      <c r="A43" s="6" t="s">
        <v>11994</v>
      </c>
      <c r="B43" s="6" t="s">
        <v>97</v>
      </c>
      <c r="C43" s="6" t="s">
        <v>95</v>
      </c>
      <c r="D43" s="6" t="s">
        <v>22</v>
      </c>
      <c r="E43" s="6" t="n">
        <f aca="false">ROUND(9318*1.05,2)</f>
        <v>9783.9</v>
      </c>
      <c r="F43" s="6" t="s">
        <v>23</v>
      </c>
      <c r="G43" s="6" t="s">
        <v>24</v>
      </c>
      <c r="H43" s="6" t="n">
        <f aca="true">ROUND(RAND()*4+6,1)</f>
        <v>8.5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11995</v>
      </c>
      <c r="B44" s="5" t="s">
        <v>99</v>
      </c>
      <c r="C44" s="5" t="s">
        <v>95</v>
      </c>
      <c r="D44" s="5" t="s">
        <v>28</v>
      </c>
      <c r="E44" s="5" t="n">
        <f aca="false">ROUND(11197*1.05,2)</f>
        <v>11756.85</v>
      </c>
      <c r="F44" s="5" t="s">
        <v>29</v>
      </c>
      <c r="G44" s="5" t="s">
        <v>30</v>
      </c>
      <c r="H44" s="5" t="n">
        <f aca="true">ROUND(RAND()*4+6,1)</f>
        <v>7.4</v>
      </c>
      <c r="I44" s="5" t="s">
        <v>31</v>
      </c>
      <c r="J44" s="5" t="str">
        <f aca="false">ROUND(96*1,0)&amp;"%"</f>
        <v>96%</v>
      </c>
    </row>
    <row r="45" customFormat="false" ht="15" hidden="false" customHeight="false" outlineLevel="0" collapsed="false">
      <c r="A45" s="6" t="s">
        <v>11996</v>
      </c>
      <c r="B45" s="6" t="s">
        <v>101</v>
      </c>
      <c r="C45" s="6" t="s">
        <v>95</v>
      </c>
      <c r="D45" s="6" t="s">
        <v>34</v>
      </c>
      <c r="E45" s="6" t="n">
        <f aca="false">ROUND(5934*1.05,2)</f>
        <v>6230.7</v>
      </c>
      <c r="F45" s="6" t="s">
        <v>35</v>
      </c>
      <c r="G45" s="6" t="s">
        <v>18</v>
      </c>
      <c r="H45" s="6" t="n">
        <f aca="true">ROUND(RAND()*4+6,1)</f>
        <v>7.6</v>
      </c>
      <c r="I45" s="6" t="s">
        <v>36</v>
      </c>
      <c r="J45" s="6" t="str">
        <f aca="false">ROUND(88*1,0)&amp;"%"</f>
        <v>88%</v>
      </c>
    </row>
    <row r="46" customFormat="false" ht="15" hidden="false" customHeight="false" outlineLevel="0" collapsed="false">
      <c r="A46" s="5" t="s">
        <v>11997</v>
      </c>
      <c r="B46" s="5" t="s">
        <v>103</v>
      </c>
      <c r="C46" s="5" t="s">
        <v>95</v>
      </c>
      <c r="D46" s="5" t="s">
        <v>39</v>
      </c>
      <c r="E46" s="5" t="n">
        <f aca="false">ROUND(17102*1.05,2)</f>
        <v>17957.1</v>
      </c>
      <c r="F46" s="5" t="s">
        <v>40</v>
      </c>
      <c r="G46" s="5" t="s">
        <v>24</v>
      </c>
      <c r="H46" s="5" t="n">
        <f aca="true">ROUND(RAND()*4+6,1)</f>
        <v>9.6</v>
      </c>
      <c r="I46" s="5" t="s">
        <v>41</v>
      </c>
      <c r="J46" s="5" t="str">
        <f aca="false">ROUND(91*1,0)&amp;"%"</f>
        <v>91%</v>
      </c>
    </row>
    <row r="47" customFormat="false" ht="15" hidden="false" customHeight="false" outlineLevel="0" collapsed="false">
      <c r="A47" s="6" t="s">
        <v>11998</v>
      </c>
      <c r="B47" s="6" t="s">
        <v>105</v>
      </c>
      <c r="C47" s="6" t="s">
        <v>95</v>
      </c>
      <c r="D47" s="6" t="s">
        <v>44</v>
      </c>
      <c r="E47" s="6" t="n">
        <f aca="false">ROUND(14911*1.05,2)</f>
        <v>15656.55</v>
      </c>
      <c r="F47" s="6" t="s">
        <v>45</v>
      </c>
      <c r="G47" s="6" t="s">
        <v>30</v>
      </c>
      <c r="H47" s="6" t="n">
        <f aca="true">ROUND(RAND()*4+6,1)</f>
        <v>8.1</v>
      </c>
      <c r="I47" s="6" t="s">
        <v>46</v>
      </c>
      <c r="J47" s="6" t="str">
        <f aca="false">ROUND(69*1,0)&amp;"%"</f>
        <v>69%</v>
      </c>
    </row>
    <row r="48" customFormat="false" ht="15" hidden="false" customHeight="false" outlineLevel="0" collapsed="false">
      <c r="A48" s="5" t="s">
        <v>11999</v>
      </c>
      <c r="B48" s="5" t="s">
        <v>107</v>
      </c>
      <c r="C48" s="5" t="s">
        <v>95</v>
      </c>
      <c r="D48" s="5" t="s">
        <v>16</v>
      </c>
      <c r="E48" s="5" t="n">
        <f aca="false">ROUND(17337*1.05,2)</f>
        <v>18203.85</v>
      </c>
      <c r="F48" s="5" t="s">
        <v>49</v>
      </c>
      <c r="G48" s="5" t="s">
        <v>18</v>
      </c>
      <c r="H48" s="5" t="n">
        <f aca="true">ROUND(RAND()*4+6,1)</f>
        <v>7.8</v>
      </c>
      <c r="I48" s="5" t="s">
        <v>19</v>
      </c>
      <c r="J48" s="5" t="str">
        <f aca="false">ROUND(65*1,0)&amp;"%"</f>
        <v>65%</v>
      </c>
    </row>
    <row r="49" customFormat="false" ht="15" hidden="false" customHeight="false" outlineLevel="0" collapsed="false">
      <c r="A49" s="6" t="s">
        <v>12000</v>
      </c>
      <c r="B49" s="6" t="s">
        <v>109</v>
      </c>
      <c r="C49" s="6" t="s">
        <v>95</v>
      </c>
      <c r="D49" s="6" t="s">
        <v>22</v>
      </c>
      <c r="E49" s="6" t="n">
        <f aca="false">ROUND(16508*1.05,2)</f>
        <v>17333.4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ROUND(73*1,0)&amp;"%"</f>
        <v>73%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12001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12002</v>
      </c>
      <c r="B54" s="5" t="s">
        <v>113</v>
      </c>
      <c r="C54" s="5" t="s">
        <v>114</v>
      </c>
      <c r="D54" s="5" t="s">
        <v>16</v>
      </c>
      <c r="E54" s="5" t="n">
        <f aca="false">ROUND(16237*1.05,2)</f>
        <v>17048.85</v>
      </c>
      <c r="F54" s="5" t="s">
        <v>17</v>
      </c>
      <c r="G54" s="5" t="s">
        <v>18</v>
      </c>
      <c r="H54" s="5" t="n">
        <f aca="true">ROUND(RAND()*4+6,1)</f>
        <v>9.7</v>
      </c>
      <c r="I54" s="5" t="s">
        <v>19</v>
      </c>
      <c r="J54" s="5" t="str">
        <f aca="false">ROUND(79*1,0)&amp;"%"</f>
        <v>79%</v>
      </c>
    </row>
    <row r="55" customFormat="false" ht="15" hidden="false" customHeight="false" outlineLevel="0" collapsed="false">
      <c r="A55" s="6" t="s">
        <v>12003</v>
      </c>
      <c r="B55" s="6" t="s">
        <v>116</v>
      </c>
      <c r="C55" s="6" t="s">
        <v>114</v>
      </c>
      <c r="D55" s="6" t="s">
        <v>22</v>
      </c>
      <c r="E55" s="6" t="n">
        <f aca="false">ROUND(11936*1.05,2)</f>
        <v>12532.8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ROUND(73*1,0)&amp;"%"</f>
        <v>73%</v>
      </c>
    </row>
    <row r="56" customFormat="false" ht="15" hidden="false" customHeight="false" outlineLevel="0" collapsed="false">
      <c r="A56" s="5" t="s">
        <v>12004</v>
      </c>
      <c r="B56" s="5" t="s">
        <v>118</v>
      </c>
      <c r="C56" s="5" t="s">
        <v>114</v>
      </c>
      <c r="D56" s="5" t="s">
        <v>28</v>
      </c>
      <c r="E56" s="5" t="n">
        <f aca="false">ROUND(10194*1.05,2)</f>
        <v>10703.7</v>
      </c>
      <c r="F56" s="5" t="s">
        <v>29</v>
      </c>
      <c r="G56" s="5" t="s">
        <v>30</v>
      </c>
      <c r="H56" s="5" t="n">
        <f aca="true">ROUND(RAND()*4+6,1)</f>
        <v>8.8</v>
      </c>
      <c r="I56" s="5" t="s">
        <v>31</v>
      </c>
      <c r="J56" s="5" t="str">
        <f aca="false">ROUND(76*1,0)&amp;"%"</f>
        <v>76%</v>
      </c>
    </row>
    <row r="57" customFormat="false" ht="15" hidden="false" customHeight="false" outlineLevel="0" collapsed="false">
      <c r="A57" s="6" t="s">
        <v>12005</v>
      </c>
      <c r="B57" s="6" t="s">
        <v>120</v>
      </c>
      <c r="C57" s="6" t="s">
        <v>114</v>
      </c>
      <c r="D57" s="6" t="s">
        <v>34</v>
      </c>
      <c r="E57" s="6" t="n">
        <f aca="false">ROUND(12520*1.05,2)</f>
        <v>13146</v>
      </c>
      <c r="F57" s="6" t="s">
        <v>35</v>
      </c>
      <c r="G57" s="6" t="s">
        <v>18</v>
      </c>
      <c r="H57" s="6" t="n">
        <f aca="true">ROUND(RAND()*4+6,1)</f>
        <v>6.1</v>
      </c>
      <c r="I57" s="6" t="s">
        <v>36</v>
      </c>
      <c r="J57" s="6" t="str">
        <f aca="false">ROUND(93*1,0)&amp;"%"</f>
        <v>93%</v>
      </c>
    </row>
    <row r="58" customFormat="false" ht="15" hidden="false" customHeight="false" outlineLevel="0" collapsed="false">
      <c r="A58" s="5" t="s">
        <v>12006</v>
      </c>
      <c r="B58" s="5" t="s">
        <v>122</v>
      </c>
      <c r="C58" s="5" t="s">
        <v>114</v>
      </c>
      <c r="D58" s="5" t="s">
        <v>39</v>
      </c>
      <c r="E58" s="5" t="n">
        <f aca="false">ROUND(7000*1.05,2)</f>
        <v>7350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ROUND(69*1,0)&amp;"%"</f>
        <v>69%</v>
      </c>
    </row>
    <row r="59" customFormat="false" ht="15" hidden="false" customHeight="false" outlineLevel="0" collapsed="false">
      <c r="A59" s="6" t="s">
        <v>12007</v>
      </c>
      <c r="B59" s="6" t="s">
        <v>124</v>
      </c>
      <c r="C59" s="6" t="s">
        <v>114</v>
      </c>
      <c r="D59" s="6" t="s">
        <v>44</v>
      </c>
      <c r="E59" s="6" t="n">
        <f aca="false">ROUND(9738*1.05,2)</f>
        <v>10224.9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12008</v>
      </c>
      <c r="B60" s="5" t="s">
        <v>126</v>
      </c>
      <c r="C60" s="5" t="s">
        <v>114</v>
      </c>
      <c r="D60" s="5" t="s">
        <v>16</v>
      </c>
      <c r="E60" s="5" t="n">
        <f aca="false">ROUND(5301*1.05,2)</f>
        <v>5566.05</v>
      </c>
      <c r="F60" s="5" t="s">
        <v>49</v>
      </c>
      <c r="G60" s="5" t="s">
        <v>18</v>
      </c>
      <c r="H60" s="5" t="n">
        <f aca="true">ROUND(RAND()*4+6,1)</f>
        <v>6.8</v>
      </c>
      <c r="I60" s="5" t="s">
        <v>19</v>
      </c>
      <c r="J60" s="5" t="str">
        <f aca="false">ROUND(67*1,0)&amp;"%"</f>
        <v>67%</v>
      </c>
    </row>
    <row r="61" customFormat="false" ht="15" hidden="false" customHeight="false" outlineLevel="0" collapsed="false">
      <c r="A61" s="6" t="s">
        <v>12009</v>
      </c>
      <c r="B61" s="6" t="s">
        <v>128</v>
      </c>
      <c r="C61" s="6" t="s">
        <v>114</v>
      </c>
      <c r="D61" s="6" t="s">
        <v>22</v>
      </c>
      <c r="E61" s="6" t="n">
        <f aca="false">ROUND(4320*1.05,2)</f>
        <v>4536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ROUND(72*1,0)&amp;"%"</f>
        <v>72%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12010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12011</v>
      </c>
      <c r="B66" s="5" t="s">
        <v>132</v>
      </c>
      <c r="C66" s="5" t="s">
        <v>133</v>
      </c>
      <c r="D66" s="5" t="s">
        <v>16</v>
      </c>
      <c r="E66" s="5" t="n">
        <f aca="false">ROUND(14640*1.05,2)</f>
        <v>15372</v>
      </c>
      <c r="F66" s="5" t="s">
        <v>17</v>
      </c>
      <c r="G66" s="5" t="s">
        <v>18</v>
      </c>
      <c r="H66" s="5" t="n">
        <f aca="true">ROUND(RAND()*4+6,1)</f>
        <v>7.4</v>
      </c>
      <c r="I66" s="5" t="s">
        <v>19</v>
      </c>
      <c r="J66" s="5" t="str">
        <f aca="false">ROUND(69*1,0)&amp;"%"</f>
        <v>69%</v>
      </c>
    </row>
    <row r="67" customFormat="false" ht="15" hidden="false" customHeight="false" outlineLevel="0" collapsed="false">
      <c r="A67" s="6" t="s">
        <v>12012</v>
      </c>
      <c r="B67" s="6" t="s">
        <v>135</v>
      </c>
      <c r="C67" s="6" t="s">
        <v>133</v>
      </c>
      <c r="D67" s="6" t="s">
        <v>22</v>
      </c>
      <c r="E67" s="6" t="n">
        <f aca="false">ROUND(14432*1.05,2)</f>
        <v>15153.6</v>
      </c>
      <c r="F67" s="6" t="s">
        <v>23</v>
      </c>
      <c r="G67" s="6" t="s">
        <v>24</v>
      </c>
      <c r="H67" s="6" t="n">
        <f aca="true">ROUND(RAND()*4+6,1)</f>
        <v>8.6</v>
      </c>
      <c r="I67" s="6" t="s">
        <v>25</v>
      </c>
      <c r="J67" s="6" t="str">
        <f aca="false">ROUND(83*1,0)&amp;"%"</f>
        <v>83%</v>
      </c>
    </row>
    <row r="68" customFormat="false" ht="15" hidden="false" customHeight="false" outlineLevel="0" collapsed="false">
      <c r="A68" s="5" t="s">
        <v>12013</v>
      </c>
      <c r="B68" s="5" t="s">
        <v>137</v>
      </c>
      <c r="C68" s="5" t="s">
        <v>133</v>
      </c>
      <c r="D68" s="5" t="s">
        <v>28</v>
      </c>
      <c r="E68" s="5" t="n">
        <f aca="false">ROUND(14435*1.05,2)</f>
        <v>15156.75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ROUND(82*1,0)&amp;"%"</f>
        <v>82%</v>
      </c>
    </row>
    <row r="69" customFormat="false" ht="15" hidden="false" customHeight="false" outlineLevel="0" collapsed="false">
      <c r="A69" s="6" t="s">
        <v>12014</v>
      </c>
      <c r="B69" s="6" t="s">
        <v>139</v>
      </c>
      <c r="C69" s="6" t="s">
        <v>133</v>
      </c>
      <c r="D69" s="6" t="s">
        <v>34</v>
      </c>
      <c r="E69" s="6" t="n">
        <f aca="false">ROUND(9138*1.05,2)</f>
        <v>9594.9</v>
      </c>
      <c r="F69" s="6" t="s">
        <v>35</v>
      </c>
      <c r="G69" s="6" t="s">
        <v>18</v>
      </c>
      <c r="H69" s="6" t="n">
        <f aca="true">ROUND(RAND()*4+6,1)</f>
        <v>7.5</v>
      </c>
      <c r="I69" s="6" t="s">
        <v>36</v>
      </c>
      <c r="J69" s="6" t="str">
        <f aca="false">ROUND(98*1,0)&amp;"%"</f>
        <v>98%</v>
      </c>
    </row>
    <row r="70" customFormat="false" ht="15" hidden="false" customHeight="false" outlineLevel="0" collapsed="false">
      <c r="A70" s="5" t="s">
        <v>12015</v>
      </c>
      <c r="B70" s="5" t="s">
        <v>141</v>
      </c>
      <c r="C70" s="5" t="s">
        <v>133</v>
      </c>
      <c r="D70" s="5" t="s">
        <v>39</v>
      </c>
      <c r="E70" s="5" t="n">
        <f aca="false">ROUND(14277*1.05,2)</f>
        <v>14990.85</v>
      </c>
      <c r="F70" s="5" t="s">
        <v>40</v>
      </c>
      <c r="G70" s="5" t="s">
        <v>24</v>
      </c>
      <c r="H70" s="5" t="n">
        <f aca="true">ROUND(RAND()*4+6,1)</f>
        <v>6</v>
      </c>
      <c r="I70" s="5" t="s">
        <v>41</v>
      </c>
      <c r="J70" s="5" t="str">
        <f aca="false">ROUND(90*1,0)&amp;"%"</f>
        <v>90%</v>
      </c>
    </row>
    <row r="71" customFormat="false" ht="15" hidden="false" customHeight="false" outlineLevel="0" collapsed="false">
      <c r="A71" s="6" t="s">
        <v>12016</v>
      </c>
      <c r="B71" s="6" t="s">
        <v>143</v>
      </c>
      <c r="C71" s="6" t="s">
        <v>133</v>
      </c>
      <c r="D71" s="6" t="s">
        <v>44</v>
      </c>
      <c r="E71" s="6" t="n">
        <f aca="false">ROUND(5040*1.05,2)</f>
        <v>5292</v>
      </c>
      <c r="F71" s="6" t="s">
        <v>45</v>
      </c>
      <c r="G71" s="6" t="s">
        <v>30</v>
      </c>
      <c r="H71" s="6" t="n">
        <f aca="true">ROUND(RAND()*4+6,1)</f>
        <v>6</v>
      </c>
      <c r="I71" s="6" t="s">
        <v>46</v>
      </c>
      <c r="J71" s="6" t="str">
        <f aca="false">ROUND(69*1,0)&amp;"%"</f>
        <v>69%</v>
      </c>
    </row>
    <row r="72" customFormat="false" ht="15" hidden="false" customHeight="false" outlineLevel="0" collapsed="false">
      <c r="A72" s="5" t="s">
        <v>12017</v>
      </c>
      <c r="B72" s="5" t="s">
        <v>145</v>
      </c>
      <c r="C72" s="5" t="s">
        <v>133</v>
      </c>
      <c r="D72" s="5" t="s">
        <v>16</v>
      </c>
      <c r="E72" s="5" t="n">
        <f aca="false">ROUND(13334*1.05,2)</f>
        <v>14000.7</v>
      </c>
      <c r="F72" s="5" t="s">
        <v>49</v>
      </c>
      <c r="G72" s="5" t="s">
        <v>18</v>
      </c>
      <c r="H72" s="5" t="n">
        <f aca="true">ROUND(RAND()*4+6,1)</f>
        <v>6</v>
      </c>
      <c r="I72" s="5" t="s">
        <v>19</v>
      </c>
      <c r="J72" s="5" t="str">
        <f aca="false">ROUND(89*1,0)&amp;"%"</f>
        <v>89%</v>
      </c>
    </row>
    <row r="73" customFormat="false" ht="15" hidden="false" customHeight="false" outlineLevel="0" collapsed="false">
      <c r="A73" s="6" t="s">
        <v>12018</v>
      </c>
      <c r="B73" s="6" t="s">
        <v>147</v>
      </c>
      <c r="C73" s="6" t="s">
        <v>133</v>
      </c>
      <c r="D73" s="6" t="s">
        <v>22</v>
      </c>
      <c r="E73" s="6" t="n">
        <f aca="false">ROUND(9131*1.05,2)</f>
        <v>9587.55</v>
      </c>
      <c r="F73" s="6" t="s">
        <v>52</v>
      </c>
      <c r="G73" s="6" t="s">
        <v>24</v>
      </c>
      <c r="H73" s="6" t="n">
        <f aca="true">ROUND(RAND()*4+6,1)</f>
        <v>8.2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12019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12020</v>
      </c>
      <c r="B78" s="5" t="s">
        <v>151</v>
      </c>
      <c r="C78" s="5" t="s">
        <v>152</v>
      </c>
      <c r="D78" s="5" t="s">
        <v>16</v>
      </c>
      <c r="E78" s="5" t="n">
        <f aca="false">ROUND(11364*1.05,2)</f>
        <v>11932.2</v>
      </c>
      <c r="F78" s="5" t="s">
        <v>17</v>
      </c>
      <c r="G78" s="5" t="s">
        <v>18</v>
      </c>
      <c r="H78" s="5" t="n">
        <f aca="true">ROUND(RAND()*4+6,1)</f>
        <v>6.8</v>
      </c>
      <c r="I78" s="5" t="s">
        <v>19</v>
      </c>
      <c r="J78" s="5" t="str">
        <f aca="false">ROUND(65*1,0)&amp;"%"</f>
        <v>65%</v>
      </c>
    </row>
    <row r="79" customFormat="false" ht="15" hidden="false" customHeight="false" outlineLevel="0" collapsed="false">
      <c r="A79" s="6" t="s">
        <v>12021</v>
      </c>
      <c r="B79" s="6" t="s">
        <v>154</v>
      </c>
      <c r="C79" s="6" t="s">
        <v>152</v>
      </c>
      <c r="D79" s="6" t="s">
        <v>22</v>
      </c>
      <c r="E79" s="6" t="n">
        <f aca="false">ROUND(8235*1.05,2)</f>
        <v>8646.75</v>
      </c>
      <c r="F79" s="6" t="s">
        <v>23</v>
      </c>
      <c r="G79" s="6" t="s">
        <v>24</v>
      </c>
      <c r="H79" s="6" t="n">
        <f aca="true">ROUND(RAND()*4+6,1)</f>
        <v>7.1</v>
      </c>
      <c r="I79" s="6" t="s">
        <v>25</v>
      </c>
      <c r="J79" s="6" t="str">
        <f aca="false">ROUND(85*1,0)&amp;"%"</f>
        <v>85%</v>
      </c>
    </row>
    <row r="80" customFormat="false" ht="15" hidden="false" customHeight="false" outlineLevel="0" collapsed="false">
      <c r="A80" s="5" t="s">
        <v>12022</v>
      </c>
      <c r="B80" s="5" t="s">
        <v>156</v>
      </c>
      <c r="C80" s="5" t="s">
        <v>152</v>
      </c>
      <c r="D80" s="5" t="s">
        <v>28</v>
      </c>
      <c r="E80" s="5" t="n">
        <f aca="false">ROUND(17633*1.05,2)</f>
        <v>18514.65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ROUND(72*1,0)&amp;"%"</f>
        <v>72%</v>
      </c>
    </row>
    <row r="81" customFormat="false" ht="15" hidden="false" customHeight="false" outlineLevel="0" collapsed="false">
      <c r="A81" s="6" t="s">
        <v>12023</v>
      </c>
      <c r="B81" s="6" t="s">
        <v>158</v>
      </c>
      <c r="C81" s="6" t="s">
        <v>152</v>
      </c>
      <c r="D81" s="6" t="s">
        <v>34</v>
      </c>
      <c r="E81" s="6" t="n">
        <f aca="false">ROUND(12814*1.05,2)</f>
        <v>13454.7</v>
      </c>
      <c r="F81" s="6" t="s">
        <v>35</v>
      </c>
      <c r="G81" s="6" t="s">
        <v>18</v>
      </c>
      <c r="H81" s="6" t="n">
        <f aca="true">ROUND(RAND()*4+6,1)</f>
        <v>6</v>
      </c>
      <c r="I81" s="6" t="s">
        <v>36</v>
      </c>
      <c r="J81" s="6" t="str">
        <f aca="false">ROUND(75*1,0)&amp;"%"</f>
        <v>75%</v>
      </c>
    </row>
    <row r="82" customFormat="false" ht="15" hidden="false" customHeight="false" outlineLevel="0" collapsed="false">
      <c r="A82" s="5" t="s">
        <v>12024</v>
      </c>
      <c r="B82" s="5" t="s">
        <v>160</v>
      </c>
      <c r="C82" s="5" t="s">
        <v>152</v>
      </c>
      <c r="D82" s="5" t="s">
        <v>39</v>
      </c>
      <c r="E82" s="5" t="n">
        <f aca="false">ROUND(4633*1.05,2)</f>
        <v>4864.65</v>
      </c>
      <c r="F82" s="5" t="s">
        <v>40</v>
      </c>
      <c r="G82" s="5" t="s">
        <v>24</v>
      </c>
      <c r="H82" s="5" t="n">
        <f aca="true">ROUND(RAND()*4+6,1)</f>
        <v>7.3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12025</v>
      </c>
      <c r="B83" s="6" t="s">
        <v>162</v>
      </c>
      <c r="C83" s="6" t="s">
        <v>152</v>
      </c>
      <c r="D83" s="6" t="s">
        <v>44</v>
      </c>
      <c r="E83" s="6" t="n">
        <f aca="false">ROUND(13441*1.05,2)</f>
        <v>14113.05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ROUND(83*1,0)&amp;"%"</f>
        <v>83%</v>
      </c>
    </row>
    <row r="84" customFormat="false" ht="15" hidden="false" customHeight="false" outlineLevel="0" collapsed="false">
      <c r="A84" s="5" t="s">
        <v>12026</v>
      </c>
      <c r="B84" s="5" t="s">
        <v>164</v>
      </c>
      <c r="C84" s="5" t="s">
        <v>152</v>
      </c>
      <c r="D84" s="5" t="s">
        <v>16</v>
      </c>
      <c r="E84" s="5" t="n">
        <f aca="false">ROUND(11028*1.05,2)</f>
        <v>11579.4</v>
      </c>
      <c r="F84" s="5" t="s">
        <v>49</v>
      </c>
      <c r="G84" s="5" t="s">
        <v>18</v>
      </c>
      <c r="H84" s="5" t="n">
        <f aca="true">ROUND(RAND()*4+6,1)</f>
        <v>7.8</v>
      </c>
      <c r="I84" s="5" t="s">
        <v>19</v>
      </c>
      <c r="J84" s="5" t="str">
        <f aca="false">ROUND(85*1,0)&amp;"%"</f>
        <v>85%</v>
      </c>
    </row>
    <row r="85" customFormat="false" ht="15" hidden="false" customHeight="false" outlineLevel="0" collapsed="false">
      <c r="A85" s="6" t="s">
        <v>12027</v>
      </c>
      <c r="B85" s="6" t="s">
        <v>166</v>
      </c>
      <c r="C85" s="6" t="s">
        <v>152</v>
      </c>
      <c r="D85" s="6" t="s">
        <v>22</v>
      </c>
      <c r="E85" s="6" t="n">
        <f aca="false">ROUND(10804*1.05,2)</f>
        <v>11344.2</v>
      </c>
      <c r="F85" s="6" t="s">
        <v>52</v>
      </c>
      <c r="G85" s="6" t="s">
        <v>24</v>
      </c>
      <c r="H85" s="6" t="n">
        <f aca="true">ROUND(RAND()*4+6,1)</f>
        <v>8.9</v>
      </c>
      <c r="I85" s="6" t="s">
        <v>25</v>
      </c>
      <c r="J85" s="6" t="str">
        <f aca="false">ROUND(67*1,0)&amp;"%"</f>
        <v>67%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12028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12029</v>
      </c>
      <c r="B90" s="5" t="s">
        <v>170</v>
      </c>
      <c r="C90" s="5" t="s">
        <v>15</v>
      </c>
      <c r="D90" s="5" t="s">
        <v>16</v>
      </c>
      <c r="E90" s="5" t="n">
        <f aca="false">ROUND(15894*1.05,2)</f>
        <v>16688.7</v>
      </c>
      <c r="F90" s="5" t="s">
        <v>17</v>
      </c>
      <c r="G90" s="5" t="s">
        <v>18</v>
      </c>
      <c r="H90" s="5" t="n">
        <f aca="true">ROUND(RAND()*4+6,1)</f>
        <v>9.3</v>
      </c>
      <c r="I90" s="5" t="s">
        <v>19</v>
      </c>
      <c r="J90" s="5" t="str">
        <f aca="false">ROUND(70*1,0)&amp;"%"</f>
        <v>70%</v>
      </c>
    </row>
    <row r="91" customFormat="false" ht="15" hidden="false" customHeight="false" outlineLevel="0" collapsed="false">
      <c r="A91" s="6" t="s">
        <v>12030</v>
      </c>
      <c r="B91" s="6" t="s">
        <v>172</v>
      </c>
      <c r="C91" s="6" t="s">
        <v>15</v>
      </c>
      <c r="D91" s="6" t="s">
        <v>22</v>
      </c>
      <c r="E91" s="6" t="n">
        <f aca="false">ROUND(10723*1.05,2)</f>
        <v>11259.15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ROUND(92*1,0)&amp;"%"</f>
        <v>92%</v>
      </c>
    </row>
    <row r="92" customFormat="false" ht="15" hidden="false" customHeight="false" outlineLevel="0" collapsed="false">
      <c r="A92" s="5" t="s">
        <v>12031</v>
      </c>
      <c r="B92" s="5" t="s">
        <v>174</v>
      </c>
      <c r="C92" s="5" t="s">
        <v>15</v>
      </c>
      <c r="D92" s="5" t="s">
        <v>28</v>
      </c>
      <c r="E92" s="5" t="n">
        <f aca="false">ROUND(10995*1.05,2)</f>
        <v>11544.75</v>
      </c>
      <c r="F92" s="5" t="s">
        <v>29</v>
      </c>
      <c r="G92" s="5" t="s">
        <v>30</v>
      </c>
      <c r="H92" s="5" t="n">
        <f aca="true">ROUND(RAND()*4+6,1)</f>
        <v>7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12032</v>
      </c>
      <c r="B93" s="6" t="s">
        <v>176</v>
      </c>
      <c r="C93" s="6" t="s">
        <v>15</v>
      </c>
      <c r="D93" s="6" t="s">
        <v>34</v>
      </c>
      <c r="E93" s="6" t="n">
        <f aca="false">ROUND(14366*1.05,2)</f>
        <v>15084.3</v>
      </c>
      <c r="F93" s="6" t="s">
        <v>35</v>
      </c>
      <c r="G93" s="6" t="s">
        <v>18</v>
      </c>
      <c r="H93" s="6" t="n">
        <f aca="true">ROUND(RAND()*4+6,1)</f>
        <v>8.8</v>
      </c>
      <c r="I93" s="6" t="s">
        <v>36</v>
      </c>
      <c r="J93" s="6" t="str">
        <f aca="false">ROUND(84*1,0)&amp;"%"</f>
        <v>84%</v>
      </c>
    </row>
    <row r="94" customFormat="false" ht="15" hidden="false" customHeight="false" outlineLevel="0" collapsed="false">
      <c r="A94" s="5" t="s">
        <v>12033</v>
      </c>
      <c r="B94" s="5" t="s">
        <v>178</v>
      </c>
      <c r="C94" s="5" t="s">
        <v>15</v>
      </c>
      <c r="D94" s="5" t="s">
        <v>39</v>
      </c>
      <c r="E94" s="5" t="n">
        <f aca="false">ROUND(13443*1.05,2)</f>
        <v>14115.15</v>
      </c>
      <c r="F94" s="5" t="s">
        <v>40</v>
      </c>
      <c r="G94" s="5" t="s">
        <v>24</v>
      </c>
      <c r="H94" s="5" t="n">
        <f aca="true">ROUND(RAND()*4+6,1)</f>
        <v>6.7</v>
      </c>
      <c r="I94" s="5" t="s">
        <v>41</v>
      </c>
      <c r="J94" s="5" t="str">
        <f aca="false">ROUND(95*1,0)&amp;"%"</f>
        <v>95%</v>
      </c>
    </row>
    <row r="95" customFormat="false" ht="15" hidden="false" customHeight="false" outlineLevel="0" collapsed="false">
      <c r="A95" s="6" t="s">
        <v>12034</v>
      </c>
      <c r="B95" s="6" t="s">
        <v>180</v>
      </c>
      <c r="C95" s="6" t="s">
        <v>15</v>
      </c>
      <c r="D95" s="6" t="s">
        <v>44</v>
      </c>
      <c r="E95" s="6" t="n">
        <f aca="false">ROUND(11962*1.05,2)</f>
        <v>12560.1</v>
      </c>
      <c r="F95" s="6" t="s">
        <v>45</v>
      </c>
      <c r="G95" s="6" t="s">
        <v>30</v>
      </c>
      <c r="H95" s="6" t="n">
        <f aca="true">ROUND(RAND()*4+6,1)</f>
        <v>6.9</v>
      </c>
      <c r="I95" s="6" t="s">
        <v>46</v>
      </c>
      <c r="J95" s="6" t="str">
        <f aca="false">ROUND(90*1,0)&amp;"%"</f>
        <v>90%</v>
      </c>
    </row>
    <row r="96" customFormat="false" ht="15" hidden="false" customHeight="false" outlineLevel="0" collapsed="false">
      <c r="A96" s="5" t="s">
        <v>12035</v>
      </c>
      <c r="B96" s="5" t="s">
        <v>182</v>
      </c>
      <c r="C96" s="5" t="s">
        <v>15</v>
      </c>
      <c r="D96" s="5" t="s">
        <v>16</v>
      </c>
      <c r="E96" s="5" t="n">
        <f aca="false">ROUND(6459*1.05,2)</f>
        <v>6781.95</v>
      </c>
      <c r="F96" s="5" t="s">
        <v>49</v>
      </c>
      <c r="G96" s="5" t="s">
        <v>18</v>
      </c>
      <c r="H96" s="5" t="n">
        <f aca="true">ROUND(RAND()*4+6,1)</f>
        <v>6.3</v>
      </c>
      <c r="I96" s="5" t="s">
        <v>19</v>
      </c>
      <c r="J96" s="5" t="str">
        <f aca="false">ROUND(64*1,0)&amp;"%"</f>
        <v>64%</v>
      </c>
    </row>
    <row r="97" customFormat="false" ht="15" hidden="false" customHeight="false" outlineLevel="0" collapsed="false">
      <c r="A97" s="6" t="s">
        <v>12036</v>
      </c>
      <c r="B97" s="6" t="s">
        <v>184</v>
      </c>
      <c r="C97" s="6" t="s">
        <v>15</v>
      </c>
      <c r="D97" s="6" t="s">
        <v>22</v>
      </c>
      <c r="E97" s="6" t="n">
        <f aca="false">ROUND(8008*1.05,2)</f>
        <v>8408.4</v>
      </c>
      <c r="F97" s="6" t="s">
        <v>52</v>
      </c>
      <c r="G97" s="6" t="s">
        <v>24</v>
      </c>
      <c r="H97" s="6" t="n">
        <f aca="true">ROUND(RAND()*4+6,1)</f>
        <v>9.1</v>
      </c>
      <c r="I97" s="6" t="s">
        <v>25</v>
      </c>
      <c r="J97" s="6" t="str">
        <f aca="false">ROUND(66*1,0)&amp;"%"</f>
        <v>66%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12037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12038</v>
      </c>
      <c r="B102" s="5" t="s">
        <v>188</v>
      </c>
      <c r="C102" s="5" t="s">
        <v>57</v>
      </c>
      <c r="D102" s="5" t="s">
        <v>16</v>
      </c>
      <c r="E102" s="5" t="n">
        <f aca="false">ROUND(14028*1.05,2)</f>
        <v>14729.4</v>
      </c>
      <c r="F102" s="5" t="s">
        <v>17</v>
      </c>
      <c r="G102" s="5" t="s">
        <v>18</v>
      </c>
      <c r="H102" s="5" t="n">
        <f aca="true">ROUND(RAND()*4+6,1)</f>
        <v>6.2</v>
      </c>
      <c r="I102" s="5" t="s">
        <v>19</v>
      </c>
      <c r="J102" s="5" t="str">
        <f aca="false">ROUND(83*1,0)&amp;"%"</f>
        <v>83%</v>
      </c>
    </row>
    <row r="103" customFormat="false" ht="15" hidden="false" customHeight="false" outlineLevel="0" collapsed="false">
      <c r="A103" s="6" t="s">
        <v>12039</v>
      </c>
      <c r="B103" s="6" t="s">
        <v>190</v>
      </c>
      <c r="C103" s="6" t="s">
        <v>57</v>
      </c>
      <c r="D103" s="6" t="s">
        <v>22</v>
      </c>
      <c r="E103" s="6" t="n">
        <f aca="false">ROUND(4212*1.05,2)</f>
        <v>4422.6</v>
      </c>
      <c r="F103" s="6" t="s">
        <v>23</v>
      </c>
      <c r="G103" s="6" t="s">
        <v>24</v>
      </c>
      <c r="H103" s="6" t="n">
        <f aca="true">ROUND(RAND()*4+6,1)</f>
        <v>9.7</v>
      </c>
      <c r="I103" s="6" t="s">
        <v>25</v>
      </c>
      <c r="J103" s="6" t="str">
        <f aca="false">ROUND(60*1,0)&amp;"%"</f>
        <v>60%</v>
      </c>
    </row>
    <row r="104" customFormat="false" ht="15" hidden="false" customHeight="false" outlineLevel="0" collapsed="false">
      <c r="A104" s="5" t="s">
        <v>12040</v>
      </c>
      <c r="B104" s="5" t="s">
        <v>192</v>
      </c>
      <c r="C104" s="5" t="s">
        <v>57</v>
      </c>
      <c r="D104" s="5" t="s">
        <v>28</v>
      </c>
      <c r="E104" s="5" t="n">
        <f aca="false">ROUND(10784*1.05,2)</f>
        <v>11323.2</v>
      </c>
      <c r="F104" s="5" t="s">
        <v>29</v>
      </c>
      <c r="G104" s="5" t="s">
        <v>30</v>
      </c>
      <c r="H104" s="5" t="n">
        <f aca="true">ROUND(RAND()*4+6,1)</f>
        <v>6.4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12041</v>
      </c>
      <c r="B105" s="6" t="s">
        <v>194</v>
      </c>
      <c r="C105" s="6" t="s">
        <v>57</v>
      </c>
      <c r="D105" s="6" t="s">
        <v>34</v>
      </c>
      <c r="E105" s="6" t="n">
        <f aca="false">ROUND(6164*1.05,2)</f>
        <v>6472.2</v>
      </c>
      <c r="F105" s="6" t="s">
        <v>35</v>
      </c>
      <c r="G105" s="6" t="s">
        <v>18</v>
      </c>
      <c r="H105" s="6" t="n">
        <f aca="true">ROUND(RAND()*4+6,1)</f>
        <v>8.8</v>
      </c>
      <c r="I105" s="6" t="s">
        <v>36</v>
      </c>
      <c r="J105" s="6" t="str">
        <f aca="false">ROUND(88*1,0)&amp;"%"</f>
        <v>88%</v>
      </c>
    </row>
    <row r="106" customFormat="false" ht="15" hidden="false" customHeight="false" outlineLevel="0" collapsed="false">
      <c r="A106" s="5" t="s">
        <v>12042</v>
      </c>
      <c r="B106" s="5" t="s">
        <v>196</v>
      </c>
      <c r="C106" s="5" t="s">
        <v>57</v>
      </c>
      <c r="D106" s="5" t="s">
        <v>39</v>
      </c>
      <c r="E106" s="5" t="n">
        <f aca="false">ROUND(8116*1.05,2)</f>
        <v>8521.8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ROUND(81*1,0)&amp;"%"</f>
        <v>81%</v>
      </c>
    </row>
    <row r="107" customFormat="false" ht="15" hidden="false" customHeight="false" outlineLevel="0" collapsed="false">
      <c r="A107" s="6" t="s">
        <v>12043</v>
      </c>
      <c r="B107" s="6" t="s">
        <v>198</v>
      </c>
      <c r="C107" s="6" t="s">
        <v>57</v>
      </c>
      <c r="D107" s="6" t="s">
        <v>44</v>
      </c>
      <c r="E107" s="6" t="n">
        <f aca="false">ROUND(6013*1.05,2)</f>
        <v>6313.65</v>
      </c>
      <c r="F107" s="6" t="s">
        <v>45</v>
      </c>
      <c r="G107" s="6" t="s">
        <v>30</v>
      </c>
      <c r="H107" s="6" t="n">
        <f aca="true">ROUND(RAND()*4+6,1)</f>
        <v>6.5</v>
      </c>
      <c r="I107" s="6" t="s">
        <v>46</v>
      </c>
      <c r="J107" s="6" t="str">
        <f aca="false">ROUND(60*1,0)&amp;"%"</f>
        <v>60%</v>
      </c>
    </row>
    <row r="108" customFormat="false" ht="15" hidden="false" customHeight="false" outlineLevel="0" collapsed="false">
      <c r="A108" s="5" t="s">
        <v>12044</v>
      </c>
      <c r="B108" s="5" t="s">
        <v>200</v>
      </c>
      <c r="C108" s="5" t="s">
        <v>57</v>
      </c>
      <c r="D108" s="5" t="s">
        <v>16</v>
      </c>
      <c r="E108" s="5" t="n">
        <f aca="false">ROUND(4111*1.05,2)</f>
        <v>4316.55</v>
      </c>
      <c r="F108" s="5" t="s">
        <v>49</v>
      </c>
      <c r="G108" s="5" t="s">
        <v>18</v>
      </c>
      <c r="H108" s="5" t="n">
        <f aca="true">ROUND(RAND()*4+6,1)</f>
        <v>7.3</v>
      </c>
      <c r="I108" s="5" t="s">
        <v>19</v>
      </c>
      <c r="J108" s="5" t="str">
        <f aca="false">ROUND(73*1,0)&amp;"%"</f>
        <v>73%</v>
      </c>
    </row>
    <row r="109" customFormat="false" ht="15" hidden="false" customHeight="false" outlineLevel="0" collapsed="false">
      <c r="A109" s="6" t="s">
        <v>12045</v>
      </c>
      <c r="B109" s="6" t="s">
        <v>202</v>
      </c>
      <c r="C109" s="6" t="s">
        <v>57</v>
      </c>
      <c r="D109" s="6" t="s">
        <v>22</v>
      </c>
      <c r="E109" s="6" t="n">
        <f aca="false">ROUND(14531*1.05,2)</f>
        <v>15257.55</v>
      </c>
      <c r="F109" s="6" t="s">
        <v>52</v>
      </c>
      <c r="G109" s="6" t="s">
        <v>24</v>
      </c>
      <c r="H109" s="6" t="n">
        <f aca="true">ROUND(RAND()*4+6,1)</f>
        <v>9.9</v>
      </c>
      <c r="I109" s="6" t="s">
        <v>25</v>
      </c>
      <c r="J109" s="6" t="str">
        <f aca="false">ROUND(91*1,0)&amp;"%"</f>
        <v>91%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12046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12047</v>
      </c>
      <c r="B114" s="5" t="s">
        <v>206</v>
      </c>
      <c r="C114" s="5" t="s">
        <v>76</v>
      </c>
      <c r="D114" s="5" t="s">
        <v>16</v>
      </c>
      <c r="E114" s="5" t="n">
        <f aca="false">ROUND(10509*1.05,2)</f>
        <v>11034.45</v>
      </c>
      <c r="F114" s="5" t="s">
        <v>17</v>
      </c>
      <c r="G114" s="5" t="s">
        <v>18</v>
      </c>
      <c r="H114" s="5" t="n">
        <f aca="true">ROUND(RAND()*4+6,1)</f>
        <v>9</v>
      </c>
      <c r="I114" s="5" t="s">
        <v>19</v>
      </c>
      <c r="J114" s="5" t="str">
        <f aca="false">ROUND(94*1,0)&amp;"%"</f>
        <v>94%</v>
      </c>
    </row>
    <row r="115" customFormat="false" ht="15" hidden="false" customHeight="false" outlineLevel="0" collapsed="false">
      <c r="A115" s="6" t="s">
        <v>12048</v>
      </c>
      <c r="B115" s="6" t="s">
        <v>208</v>
      </c>
      <c r="C115" s="6" t="s">
        <v>76</v>
      </c>
      <c r="D115" s="6" t="s">
        <v>22</v>
      </c>
      <c r="E115" s="6" t="n">
        <f aca="false">ROUND(12226*1.05,2)</f>
        <v>12837.3</v>
      </c>
      <c r="F115" s="6" t="s">
        <v>23</v>
      </c>
      <c r="G115" s="6" t="s">
        <v>24</v>
      </c>
      <c r="H115" s="6" t="n">
        <f aca="true">ROUND(RAND()*4+6,1)</f>
        <v>7.8</v>
      </c>
      <c r="I115" s="6" t="s">
        <v>25</v>
      </c>
      <c r="J115" s="6" t="str">
        <f aca="false">ROUND(62*1,0)&amp;"%"</f>
        <v>62%</v>
      </c>
    </row>
    <row r="116" customFormat="false" ht="15" hidden="false" customHeight="false" outlineLevel="0" collapsed="false">
      <c r="A116" s="5" t="s">
        <v>12049</v>
      </c>
      <c r="B116" s="5" t="s">
        <v>210</v>
      </c>
      <c r="C116" s="5" t="s">
        <v>76</v>
      </c>
      <c r="D116" s="5" t="s">
        <v>28</v>
      </c>
      <c r="E116" s="5" t="n">
        <f aca="false">ROUND(6766*1.05,2)</f>
        <v>7104.3</v>
      </c>
      <c r="F116" s="5" t="s">
        <v>29</v>
      </c>
      <c r="G116" s="5" t="s">
        <v>30</v>
      </c>
      <c r="H116" s="5" t="n">
        <f aca="true">ROUND(RAND()*4+6,1)</f>
        <v>8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12050</v>
      </c>
      <c r="B117" s="6" t="s">
        <v>212</v>
      </c>
      <c r="C117" s="6" t="s">
        <v>76</v>
      </c>
      <c r="D117" s="6" t="s">
        <v>34</v>
      </c>
      <c r="E117" s="6" t="n">
        <f aca="false">ROUND(13184*1.05,2)</f>
        <v>13843.2</v>
      </c>
      <c r="F117" s="6" t="s">
        <v>35</v>
      </c>
      <c r="G117" s="6" t="s">
        <v>18</v>
      </c>
      <c r="H117" s="6" t="n">
        <f aca="true">ROUND(RAND()*4+6,1)</f>
        <v>8.1</v>
      </c>
      <c r="I117" s="6" t="s">
        <v>36</v>
      </c>
      <c r="J117" s="6" t="str">
        <f aca="false">ROUND(96*1,0)&amp;"%"</f>
        <v>96%</v>
      </c>
    </row>
    <row r="118" customFormat="false" ht="15" hidden="false" customHeight="false" outlineLevel="0" collapsed="false">
      <c r="A118" s="5" t="s">
        <v>12051</v>
      </c>
      <c r="B118" s="5" t="s">
        <v>214</v>
      </c>
      <c r="C118" s="5" t="s">
        <v>76</v>
      </c>
      <c r="D118" s="5" t="s">
        <v>39</v>
      </c>
      <c r="E118" s="5" t="n">
        <f aca="false">ROUND(7716*1.05,2)</f>
        <v>8101.8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ROUND(69*1,0)&amp;"%"</f>
        <v>69%</v>
      </c>
    </row>
    <row r="119" customFormat="false" ht="15" hidden="false" customHeight="false" outlineLevel="0" collapsed="false">
      <c r="A119" s="6" t="s">
        <v>12052</v>
      </c>
      <c r="B119" s="6" t="s">
        <v>216</v>
      </c>
      <c r="C119" s="6" t="s">
        <v>76</v>
      </c>
      <c r="D119" s="6" t="s">
        <v>44</v>
      </c>
      <c r="E119" s="6" t="n">
        <f aca="false">ROUND(6725*1.05,2)</f>
        <v>7061.25</v>
      </c>
      <c r="F119" s="6" t="s">
        <v>45</v>
      </c>
      <c r="G119" s="6" t="s">
        <v>30</v>
      </c>
      <c r="H119" s="6" t="n">
        <f aca="true">ROUND(RAND()*4+6,1)</f>
        <v>6.2</v>
      </c>
      <c r="I119" s="6" t="s">
        <v>46</v>
      </c>
      <c r="J119" s="6" t="str">
        <f aca="false">ROUND(97*1,0)&amp;"%"</f>
        <v>97%</v>
      </c>
    </row>
    <row r="120" customFormat="false" ht="15" hidden="false" customHeight="false" outlineLevel="0" collapsed="false">
      <c r="A120" s="5" t="s">
        <v>12053</v>
      </c>
      <c r="B120" s="5" t="s">
        <v>218</v>
      </c>
      <c r="C120" s="5" t="s">
        <v>76</v>
      </c>
      <c r="D120" s="5" t="s">
        <v>16</v>
      </c>
      <c r="E120" s="5" t="n">
        <f aca="false">ROUND(15442*1.05,2)</f>
        <v>16214.1</v>
      </c>
      <c r="F120" s="5" t="s">
        <v>49</v>
      </c>
      <c r="G120" s="5" t="s">
        <v>18</v>
      </c>
      <c r="H120" s="5" t="n">
        <f aca="true">ROUND(RAND()*4+6,1)</f>
        <v>6.4</v>
      </c>
      <c r="I120" s="5" t="s">
        <v>19</v>
      </c>
      <c r="J120" s="5" t="str">
        <f aca="false">ROUND(95*1,0)&amp;"%"</f>
        <v>95%</v>
      </c>
    </row>
    <row r="121" customFormat="false" ht="15" hidden="false" customHeight="false" outlineLevel="0" collapsed="false">
      <c r="A121" s="6" t="s">
        <v>12054</v>
      </c>
      <c r="B121" s="6" t="s">
        <v>220</v>
      </c>
      <c r="C121" s="6" t="s">
        <v>76</v>
      </c>
      <c r="D121" s="6" t="s">
        <v>22</v>
      </c>
      <c r="E121" s="6" t="n">
        <f aca="false">ROUND(9543*1.05,2)</f>
        <v>10020.15</v>
      </c>
      <c r="F121" s="6" t="s">
        <v>52</v>
      </c>
      <c r="G121" s="6" t="s">
        <v>24</v>
      </c>
      <c r="H121" s="6" t="n">
        <f aca="true">ROUND(RAND()*4+6,1)</f>
        <v>9.5</v>
      </c>
      <c r="I121" s="6" t="s">
        <v>25</v>
      </c>
      <c r="J121" s="6" t="str">
        <f aca="false">ROUND(60*1,0)&amp;"%"</f>
        <v>60%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12055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12056</v>
      </c>
      <c r="B126" s="5" t="s">
        <v>224</v>
      </c>
      <c r="C126" s="5" t="s">
        <v>95</v>
      </c>
      <c r="D126" s="5" t="s">
        <v>16</v>
      </c>
      <c r="E126" s="5" t="n">
        <f aca="false">ROUND(4238*1.05,2)</f>
        <v>4449.9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ROUND(85*1,0)&amp;"%"</f>
        <v>85%</v>
      </c>
    </row>
    <row r="127" customFormat="false" ht="15" hidden="false" customHeight="false" outlineLevel="0" collapsed="false">
      <c r="A127" s="6" t="s">
        <v>12057</v>
      </c>
      <c r="B127" s="6" t="s">
        <v>226</v>
      </c>
      <c r="C127" s="6" t="s">
        <v>95</v>
      </c>
      <c r="D127" s="6" t="s">
        <v>22</v>
      </c>
      <c r="E127" s="6" t="n">
        <f aca="false">ROUND(11132*1.05,2)</f>
        <v>11688.6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ROUND(66*1,0)&amp;"%"</f>
        <v>66%</v>
      </c>
    </row>
    <row r="128" customFormat="false" ht="15" hidden="false" customHeight="false" outlineLevel="0" collapsed="false">
      <c r="A128" s="5" t="s">
        <v>12058</v>
      </c>
      <c r="B128" s="5" t="s">
        <v>228</v>
      </c>
      <c r="C128" s="5" t="s">
        <v>95</v>
      </c>
      <c r="D128" s="5" t="s">
        <v>28</v>
      </c>
      <c r="E128" s="5" t="n">
        <f aca="false">ROUND(13621*1.05,2)</f>
        <v>14302.05</v>
      </c>
      <c r="F128" s="5" t="s">
        <v>29</v>
      </c>
      <c r="G128" s="5" t="s">
        <v>30</v>
      </c>
      <c r="H128" s="5" t="n">
        <f aca="true">ROUND(RAND()*4+6,1)</f>
        <v>9.2</v>
      </c>
      <c r="I128" s="5" t="s">
        <v>31</v>
      </c>
      <c r="J128" s="5" t="str">
        <f aca="false">ROUND(77*1,0)&amp;"%"</f>
        <v>77%</v>
      </c>
    </row>
    <row r="129" customFormat="false" ht="15" hidden="false" customHeight="false" outlineLevel="0" collapsed="false">
      <c r="A129" s="6" t="s">
        <v>12059</v>
      </c>
      <c r="B129" s="6" t="s">
        <v>230</v>
      </c>
      <c r="C129" s="6" t="s">
        <v>95</v>
      </c>
      <c r="D129" s="6" t="s">
        <v>34</v>
      </c>
      <c r="E129" s="6" t="n">
        <f aca="false">ROUND(8459*1.05,2)</f>
        <v>8881.95</v>
      </c>
      <c r="F129" s="6" t="s">
        <v>35</v>
      </c>
      <c r="G129" s="6" t="s">
        <v>18</v>
      </c>
      <c r="H129" s="6" t="n">
        <f aca="true">ROUND(RAND()*4+6,1)</f>
        <v>6.2</v>
      </c>
      <c r="I129" s="6" t="s">
        <v>36</v>
      </c>
      <c r="J129" s="6" t="str">
        <f aca="false">ROUND(74*1,0)&amp;"%"</f>
        <v>74%</v>
      </c>
    </row>
    <row r="130" customFormat="false" ht="15" hidden="false" customHeight="false" outlineLevel="0" collapsed="false">
      <c r="A130" s="5" t="s">
        <v>12060</v>
      </c>
      <c r="B130" s="5" t="s">
        <v>232</v>
      </c>
      <c r="C130" s="5" t="s">
        <v>95</v>
      </c>
      <c r="D130" s="5" t="s">
        <v>39</v>
      </c>
      <c r="E130" s="5" t="n">
        <f aca="false">ROUND(13768*1.05,2)</f>
        <v>14456.4</v>
      </c>
      <c r="F130" s="5" t="s">
        <v>40</v>
      </c>
      <c r="G130" s="5" t="s">
        <v>24</v>
      </c>
      <c r="H130" s="5" t="n">
        <f aca="true">ROUND(RAND()*4+6,1)</f>
        <v>6.8</v>
      </c>
      <c r="I130" s="5" t="s">
        <v>41</v>
      </c>
      <c r="J130" s="5" t="str">
        <f aca="false">ROUND(63*1,0)&amp;"%"</f>
        <v>63%</v>
      </c>
    </row>
    <row r="131" customFormat="false" ht="15" hidden="false" customHeight="false" outlineLevel="0" collapsed="false">
      <c r="A131" s="6" t="s">
        <v>12061</v>
      </c>
      <c r="B131" s="6" t="s">
        <v>234</v>
      </c>
      <c r="C131" s="6" t="s">
        <v>95</v>
      </c>
      <c r="D131" s="6" t="s">
        <v>44</v>
      </c>
      <c r="E131" s="6" t="n">
        <f aca="false">ROUND(5315*1.05,2)</f>
        <v>5580.75</v>
      </c>
      <c r="F131" s="6" t="s">
        <v>45</v>
      </c>
      <c r="G131" s="6" t="s">
        <v>30</v>
      </c>
      <c r="H131" s="6" t="n">
        <f aca="true">ROUND(RAND()*4+6,1)</f>
        <v>9.3</v>
      </c>
      <c r="I131" s="6" t="s">
        <v>46</v>
      </c>
      <c r="J131" s="6" t="str">
        <f aca="false">ROUND(97*1,0)&amp;"%"</f>
        <v>97%</v>
      </c>
    </row>
    <row r="132" customFormat="false" ht="15" hidden="false" customHeight="false" outlineLevel="0" collapsed="false">
      <c r="A132" s="5" t="s">
        <v>12062</v>
      </c>
      <c r="B132" s="5" t="s">
        <v>236</v>
      </c>
      <c r="C132" s="5" t="s">
        <v>95</v>
      </c>
      <c r="D132" s="5" t="s">
        <v>16</v>
      </c>
      <c r="E132" s="5" t="n">
        <f aca="false">ROUND(11245*1.05,2)</f>
        <v>11807.25</v>
      </c>
      <c r="F132" s="5" t="s">
        <v>49</v>
      </c>
      <c r="G132" s="5" t="s">
        <v>18</v>
      </c>
      <c r="H132" s="5" t="n">
        <f aca="true">ROUND(RAND()*4+6,1)</f>
        <v>7.5</v>
      </c>
      <c r="I132" s="5" t="s">
        <v>19</v>
      </c>
      <c r="J132" s="5" t="str">
        <f aca="false">ROUND(68*1,0)&amp;"%"</f>
        <v>68%</v>
      </c>
    </row>
    <row r="133" customFormat="false" ht="15" hidden="false" customHeight="false" outlineLevel="0" collapsed="false">
      <c r="A133" s="6" t="s">
        <v>12063</v>
      </c>
      <c r="B133" s="6" t="s">
        <v>238</v>
      </c>
      <c r="C133" s="6" t="s">
        <v>95</v>
      </c>
      <c r="D133" s="6" t="s">
        <v>22</v>
      </c>
      <c r="E133" s="6" t="n">
        <f aca="false">ROUND(6370*1.05,2)</f>
        <v>6688.5</v>
      </c>
      <c r="F133" s="6" t="s">
        <v>52</v>
      </c>
      <c r="G133" s="6" t="s">
        <v>24</v>
      </c>
      <c r="H133" s="6" t="n">
        <f aca="true">ROUND(RAND()*4+6,1)</f>
        <v>6.9</v>
      </c>
      <c r="I133" s="6" t="s">
        <v>25</v>
      </c>
      <c r="J133" s="6" t="str">
        <f aca="false">ROUND(82*1,0)&amp;"%"</f>
        <v>82%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12064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12065</v>
      </c>
      <c r="B138" s="5" t="s">
        <v>242</v>
      </c>
      <c r="C138" s="5" t="s">
        <v>114</v>
      </c>
      <c r="D138" s="5" t="s">
        <v>16</v>
      </c>
      <c r="E138" s="5" t="n">
        <f aca="false">ROUND(8533*1.05,2)</f>
        <v>8959.65</v>
      </c>
      <c r="F138" s="5" t="s">
        <v>17</v>
      </c>
      <c r="G138" s="5" t="s">
        <v>18</v>
      </c>
      <c r="H138" s="5" t="n">
        <f aca="true">ROUND(RAND()*4+6,1)</f>
        <v>7.6</v>
      </c>
      <c r="I138" s="5" t="s">
        <v>19</v>
      </c>
      <c r="J138" s="5" t="str">
        <f aca="false">ROUND(83*1,0)&amp;"%"</f>
        <v>83%</v>
      </c>
    </row>
    <row r="139" customFormat="false" ht="15" hidden="false" customHeight="false" outlineLevel="0" collapsed="false">
      <c r="A139" s="6" t="s">
        <v>12066</v>
      </c>
      <c r="B139" s="6" t="s">
        <v>244</v>
      </c>
      <c r="C139" s="6" t="s">
        <v>114</v>
      </c>
      <c r="D139" s="6" t="s">
        <v>22</v>
      </c>
      <c r="E139" s="6" t="n">
        <f aca="false">ROUND(12324*1.05,2)</f>
        <v>12940.2</v>
      </c>
      <c r="F139" s="6" t="s">
        <v>23</v>
      </c>
      <c r="G139" s="6" t="s">
        <v>24</v>
      </c>
      <c r="H139" s="6" t="n">
        <f aca="true">ROUND(RAND()*4+6,1)</f>
        <v>6.8</v>
      </c>
      <c r="I139" s="6" t="s">
        <v>25</v>
      </c>
      <c r="J139" s="6" t="str">
        <f aca="false">ROUND(70*1,0)&amp;"%"</f>
        <v>70%</v>
      </c>
    </row>
    <row r="140" customFormat="false" ht="15" hidden="false" customHeight="false" outlineLevel="0" collapsed="false">
      <c r="A140" s="5" t="s">
        <v>12067</v>
      </c>
      <c r="B140" s="5" t="s">
        <v>246</v>
      </c>
      <c r="C140" s="5" t="s">
        <v>114</v>
      </c>
      <c r="D140" s="5" t="s">
        <v>28</v>
      </c>
      <c r="E140" s="5" t="n">
        <f aca="false">ROUND(10432*1.05,2)</f>
        <v>10953.6</v>
      </c>
      <c r="F140" s="5" t="s">
        <v>29</v>
      </c>
      <c r="G140" s="5" t="s">
        <v>30</v>
      </c>
      <c r="H140" s="5" t="n">
        <f aca="true">ROUND(RAND()*4+6,1)</f>
        <v>8.5</v>
      </c>
      <c r="I140" s="5" t="s">
        <v>31</v>
      </c>
      <c r="J140" s="5" t="str">
        <f aca="false">ROUND(70*1,0)&amp;"%"</f>
        <v>70%</v>
      </c>
    </row>
    <row r="141" customFormat="false" ht="15" hidden="false" customHeight="false" outlineLevel="0" collapsed="false">
      <c r="A141" s="6" t="s">
        <v>12068</v>
      </c>
      <c r="B141" s="6" t="s">
        <v>248</v>
      </c>
      <c r="C141" s="6" t="s">
        <v>114</v>
      </c>
      <c r="D141" s="6" t="s">
        <v>34</v>
      </c>
      <c r="E141" s="6" t="n">
        <f aca="false">ROUND(16913*1.05,2)</f>
        <v>17758.65</v>
      </c>
      <c r="F141" s="6" t="s">
        <v>35</v>
      </c>
      <c r="G141" s="6" t="s">
        <v>18</v>
      </c>
      <c r="H141" s="6" t="n">
        <f aca="true">ROUND(RAND()*4+6,1)</f>
        <v>7.5</v>
      </c>
      <c r="I141" s="6" t="s">
        <v>36</v>
      </c>
      <c r="J141" s="6" t="str">
        <f aca="false">ROUND(83*1,0)&amp;"%"</f>
        <v>83%</v>
      </c>
    </row>
    <row r="142" customFormat="false" ht="15" hidden="false" customHeight="false" outlineLevel="0" collapsed="false">
      <c r="A142" s="5" t="s">
        <v>12069</v>
      </c>
      <c r="B142" s="5" t="s">
        <v>250</v>
      </c>
      <c r="C142" s="5" t="s">
        <v>114</v>
      </c>
      <c r="D142" s="5" t="s">
        <v>39</v>
      </c>
      <c r="E142" s="5" t="n">
        <f aca="false">ROUND(8758*1.05,2)</f>
        <v>9195.9</v>
      </c>
      <c r="F142" s="5" t="s">
        <v>40</v>
      </c>
      <c r="G142" s="5" t="s">
        <v>24</v>
      </c>
      <c r="H142" s="5" t="n">
        <f aca="true">ROUND(RAND()*4+6,1)</f>
        <v>9.7</v>
      </c>
      <c r="I142" s="5" t="s">
        <v>41</v>
      </c>
      <c r="J142" s="5" t="str">
        <f aca="false">ROUND(65*1,0)&amp;"%"</f>
        <v>65%</v>
      </c>
    </row>
    <row r="143" customFormat="false" ht="15" hidden="false" customHeight="false" outlineLevel="0" collapsed="false">
      <c r="A143" s="6" t="s">
        <v>12070</v>
      </c>
      <c r="B143" s="6" t="s">
        <v>252</v>
      </c>
      <c r="C143" s="6" t="s">
        <v>114</v>
      </c>
      <c r="D143" s="6" t="s">
        <v>44</v>
      </c>
      <c r="E143" s="6" t="n">
        <f aca="false">ROUND(11121*1.05,2)</f>
        <v>11677.05</v>
      </c>
      <c r="F143" s="6" t="s">
        <v>45</v>
      </c>
      <c r="G143" s="6" t="s">
        <v>30</v>
      </c>
      <c r="H143" s="6" t="n">
        <f aca="true">ROUND(RAND()*4+6,1)</f>
        <v>8.9</v>
      </c>
      <c r="I143" s="6" t="s">
        <v>46</v>
      </c>
      <c r="J143" s="6" t="str">
        <f aca="false">ROUND(67*1,0)&amp;"%"</f>
        <v>67%</v>
      </c>
    </row>
    <row r="144" customFormat="false" ht="15" hidden="false" customHeight="false" outlineLevel="0" collapsed="false">
      <c r="A144" s="5" t="s">
        <v>12071</v>
      </c>
      <c r="B144" s="5" t="s">
        <v>254</v>
      </c>
      <c r="C144" s="5" t="s">
        <v>114</v>
      </c>
      <c r="D144" s="5" t="s">
        <v>16</v>
      </c>
      <c r="E144" s="5" t="n">
        <f aca="false">ROUND(13563*1.05,2)</f>
        <v>14241.15</v>
      </c>
      <c r="F144" s="5" t="s">
        <v>49</v>
      </c>
      <c r="G144" s="5" t="s">
        <v>18</v>
      </c>
      <c r="H144" s="5" t="n">
        <f aca="true">ROUND(RAND()*4+6,1)</f>
        <v>6.3</v>
      </c>
      <c r="I144" s="5" t="s">
        <v>19</v>
      </c>
      <c r="J144" s="5" t="str">
        <f aca="false">ROUND(88*1,0)&amp;"%"</f>
        <v>88%</v>
      </c>
    </row>
    <row r="145" customFormat="false" ht="15" hidden="false" customHeight="false" outlineLevel="0" collapsed="false">
      <c r="A145" s="6" t="s">
        <v>12072</v>
      </c>
      <c r="B145" s="6" t="s">
        <v>256</v>
      </c>
      <c r="C145" s="6" t="s">
        <v>114</v>
      </c>
      <c r="D145" s="6" t="s">
        <v>22</v>
      </c>
      <c r="E145" s="6" t="n">
        <f aca="false">ROUND(16060*1.05,2)</f>
        <v>16863</v>
      </c>
      <c r="F145" s="6" t="s">
        <v>52</v>
      </c>
      <c r="G145" s="6" t="s">
        <v>24</v>
      </c>
      <c r="H145" s="6" t="n">
        <f aca="true">ROUND(RAND()*4+6,1)</f>
        <v>9.2</v>
      </c>
      <c r="I145" s="6" t="s">
        <v>25</v>
      </c>
      <c r="J145" s="6" t="str">
        <f aca="false">ROUND(88*1,0)&amp;"%"</f>
        <v>88%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12073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12074</v>
      </c>
      <c r="B150" s="5" t="s">
        <v>260</v>
      </c>
      <c r="C150" s="5" t="s">
        <v>133</v>
      </c>
      <c r="D150" s="5" t="s">
        <v>16</v>
      </c>
      <c r="E150" s="5" t="n">
        <f aca="false">ROUND(16905*1.05,2)</f>
        <v>17750.25</v>
      </c>
      <c r="F150" s="5" t="s">
        <v>17</v>
      </c>
      <c r="G150" s="5" t="s">
        <v>18</v>
      </c>
      <c r="H150" s="5" t="n">
        <f aca="true">ROUND(RAND()*4+6,1)</f>
        <v>6.6</v>
      </c>
      <c r="I150" s="5" t="s">
        <v>19</v>
      </c>
      <c r="J150" s="5" t="str">
        <f aca="false">ROUND(68*1,0)&amp;"%"</f>
        <v>68%</v>
      </c>
    </row>
    <row r="151" customFormat="false" ht="15" hidden="false" customHeight="false" outlineLevel="0" collapsed="false">
      <c r="A151" s="6" t="s">
        <v>12075</v>
      </c>
      <c r="B151" s="6" t="s">
        <v>262</v>
      </c>
      <c r="C151" s="6" t="s">
        <v>133</v>
      </c>
      <c r="D151" s="6" t="s">
        <v>22</v>
      </c>
      <c r="E151" s="6" t="n">
        <f aca="false">ROUND(8781*1.05,2)</f>
        <v>9220.05</v>
      </c>
      <c r="F151" s="6" t="s">
        <v>23</v>
      </c>
      <c r="G151" s="6" t="s">
        <v>24</v>
      </c>
      <c r="H151" s="6" t="n">
        <f aca="true">ROUND(RAND()*4+6,1)</f>
        <v>7.8</v>
      </c>
      <c r="I151" s="6" t="s">
        <v>25</v>
      </c>
      <c r="J151" s="6" t="str">
        <f aca="false">ROUND(79*1,0)&amp;"%"</f>
        <v>79%</v>
      </c>
    </row>
    <row r="152" customFormat="false" ht="15" hidden="false" customHeight="false" outlineLevel="0" collapsed="false">
      <c r="A152" s="5" t="s">
        <v>12076</v>
      </c>
      <c r="B152" s="5" t="s">
        <v>264</v>
      </c>
      <c r="C152" s="5" t="s">
        <v>133</v>
      </c>
      <c r="D152" s="5" t="s">
        <v>28</v>
      </c>
      <c r="E152" s="5" t="n">
        <f aca="false">ROUND(6729*1.05,2)</f>
        <v>7065.45</v>
      </c>
      <c r="F152" s="5" t="s">
        <v>29</v>
      </c>
      <c r="G152" s="5" t="s">
        <v>30</v>
      </c>
      <c r="H152" s="5" t="n">
        <f aca="true">ROUND(RAND()*4+6,1)</f>
        <v>9.2</v>
      </c>
      <c r="I152" s="5" t="s">
        <v>31</v>
      </c>
      <c r="J152" s="5" t="str">
        <f aca="false">ROUND(95*1,0)&amp;"%"</f>
        <v>95%</v>
      </c>
    </row>
    <row r="153" customFormat="false" ht="15" hidden="false" customHeight="false" outlineLevel="0" collapsed="false">
      <c r="A153" s="6" t="s">
        <v>12077</v>
      </c>
      <c r="B153" s="6" t="s">
        <v>266</v>
      </c>
      <c r="C153" s="6" t="s">
        <v>133</v>
      </c>
      <c r="D153" s="6" t="s">
        <v>34</v>
      </c>
      <c r="E153" s="6" t="n">
        <f aca="false">ROUND(9498*1.05,2)</f>
        <v>9972.9</v>
      </c>
      <c r="F153" s="6" t="s">
        <v>35</v>
      </c>
      <c r="G153" s="6" t="s">
        <v>18</v>
      </c>
      <c r="H153" s="6" t="n">
        <f aca="true">ROUND(RAND()*4+6,1)</f>
        <v>8.2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12078</v>
      </c>
      <c r="B154" s="5" t="s">
        <v>268</v>
      </c>
      <c r="C154" s="5" t="s">
        <v>133</v>
      </c>
      <c r="D154" s="5" t="s">
        <v>39</v>
      </c>
      <c r="E154" s="5" t="n">
        <f aca="false">ROUND(13005*1.05,2)</f>
        <v>13655.25</v>
      </c>
      <c r="F154" s="5" t="s">
        <v>40</v>
      </c>
      <c r="G154" s="5" t="s">
        <v>24</v>
      </c>
      <c r="H154" s="5" t="n">
        <f aca="true">ROUND(RAND()*4+6,1)</f>
        <v>6.1</v>
      </c>
      <c r="I154" s="5" t="s">
        <v>41</v>
      </c>
      <c r="J154" s="5" t="str">
        <f aca="false">ROUND(68*1,0)&amp;"%"</f>
        <v>68%</v>
      </c>
    </row>
    <row r="155" customFormat="false" ht="15" hidden="false" customHeight="false" outlineLevel="0" collapsed="false">
      <c r="A155" s="6" t="s">
        <v>12079</v>
      </c>
      <c r="B155" s="6" t="s">
        <v>270</v>
      </c>
      <c r="C155" s="6" t="s">
        <v>133</v>
      </c>
      <c r="D155" s="6" t="s">
        <v>44</v>
      </c>
      <c r="E155" s="6" t="n">
        <f aca="false">ROUND(10059*1.05,2)</f>
        <v>10561.95</v>
      </c>
      <c r="F155" s="6" t="s">
        <v>45</v>
      </c>
      <c r="G155" s="6" t="s">
        <v>30</v>
      </c>
      <c r="H155" s="6" t="n">
        <f aca="true">ROUND(RAND()*4+6,1)</f>
        <v>8.8</v>
      </c>
      <c r="I155" s="6" t="s">
        <v>46</v>
      </c>
      <c r="J155" s="6" t="str">
        <f aca="false">ROUND(67*1,0)&amp;"%"</f>
        <v>67%</v>
      </c>
    </row>
    <row r="156" customFormat="false" ht="15" hidden="false" customHeight="false" outlineLevel="0" collapsed="false">
      <c r="A156" s="5" t="s">
        <v>12080</v>
      </c>
      <c r="B156" s="5" t="s">
        <v>272</v>
      </c>
      <c r="C156" s="5" t="s">
        <v>133</v>
      </c>
      <c r="D156" s="5" t="s">
        <v>16</v>
      </c>
      <c r="E156" s="5" t="n">
        <f aca="false">ROUND(10160*1.05,2)</f>
        <v>10668</v>
      </c>
      <c r="F156" s="5" t="s">
        <v>49</v>
      </c>
      <c r="G156" s="5" t="s">
        <v>18</v>
      </c>
      <c r="H156" s="5" t="n">
        <f aca="true">ROUND(RAND()*4+6,1)</f>
        <v>9.7</v>
      </c>
      <c r="I156" s="5" t="s">
        <v>19</v>
      </c>
      <c r="J156" s="5" t="str">
        <f aca="false">ROUND(65*1,0)&amp;"%"</f>
        <v>65%</v>
      </c>
    </row>
    <row r="157" customFormat="false" ht="15" hidden="false" customHeight="false" outlineLevel="0" collapsed="false">
      <c r="A157" s="6" t="s">
        <v>12081</v>
      </c>
      <c r="B157" s="6" t="s">
        <v>274</v>
      </c>
      <c r="C157" s="6" t="s">
        <v>133</v>
      </c>
      <c r="D157" s="6" t="s">
        <v>22</v>
      </c>
      <c r="E157" s="6" t="n">
        <f aca="false">ROUND(16576*1.05,2)</f>
        <v>17404.8</v>
      </c>
      <c r="F157" s="6" t="s">
        <v>52</v>
      </c>
      <c r="G157" s="6" t="s">
        <v>24</v>
      </c>
      <c r="H157" s="6" t="n">
        <f aca="true">ROUND(RAND()*4+6,1)</f>
        <v>8.6</v>
      </c>
      <c r="I157" s="6" t="s">
        <v>25</v>
      </c>
      <c r="J157" s="6" t="str">
        <f aca="false">ROUND(60*1,0)&amp;"%"</f>
        <v>60%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12082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12083</v>
      </c>
      <c r="B162" s="5" t="s">
        <v>278</v>
      </c>
      <c r="C162" s="5" t="s">
        <v>152</v>
      </c>
      <c r="D162" s="5" t="s">
        <v>16</v>
      </c>
      <c r="E162" s="5" t="n">
        <f aca="false">ROUND(4235*1.05,2)</f>
        <v>4446.75</v>
      </c>
      <c r="F162" s="5" t="s">
        <v>17</v>
      </c>
      <c r="G162" s="5" t="s">
        <v>18</v>
      </c>
      <c r="H162" s="5" t="n">
        <f aca="true">ROUND(RAND()*4+6,1)</f>
        <v>7.5</v>
      </c>
      <c r="I162" s="5" t="s">
        <v>19</v>
      </c>
      <c r="J162" s="5" t="str">
        <f aca="false">ROUND(86*1,0)&amp;"%"</f>
        <v>86%</v>
      </c>
    </row>
    <row r="163" customFormat="false" ht="15" hidden="false" customHeight="false" outlineLevel="0" collapsed="false">
      <c r="A163" s="6" t="s">
        <v>12084</v>
      </c>
      <c r="B163" s="6" t="s">
        <v>280</v>
      </c>
      <c r="C163" s="6" t="s">
        <v>152</v>
      </c>
      <c r="D163" s="6" t="s">
        <v>22</v>
      </c>
      <c r="E163" s="6" t="n">
        <f aca="false">ROUND(6453*1.05,2)</f>
        <v>6775.65</v>
      </c>
      <c r="F163" s="6" t="s">
        <v>23</v>
      </c>
      <c r="G163" s="6" t="s">
        <v>24</v>
      </c>
      <c r="H163" s="6" t="n">
        <f aca="true">ROUND(RAND()*4+6,1)</f>
        <v>9.9</v>
      </c>
      <c r="I163" s="6" t="s">
        <v>25</v>
      </c>
      <c r="J163" s="6" t="str">
        <f aca="false">ROUND(73*1,0)&amp;"%"</f>
        <v>73%</v>
      </c>
    </row>
    <row r="164" customFormat="false" ht="15" hidden="false" customHeight="false" outlineLevel="0" collapsed="false">
      <c r="A164" s="5" t="s">
        <v>12085</v>
      </c>
      <c r="B164" s="5" t="s">
        <v>282</v>
      </c>
      <c r="C164" s="5" t="s">
        <v>152</v>
      </c>
      <c r="D164" s="5" t="s">
        <v>28</v>
      </c>
      <c r="E164" s="5" t="n">
        <f aca="false">ROUND(11746*1.05,2)</f>
        <v>12333.3</v>
      </c>
      <c r="F164" s="5" t="s">
        <v>29</v>
      </c>
      <c r="G164" s="5" t="s">
        <v>30</v>
      </c>
      <c r="H164" s="5" t="n">
        <f aca="true">ROUND(RAND()*4+6,1)</f>
        <v>8.6</v>
      </c>
      <c r="I164" s="5" t="s">
        <v>31</v>
      </c>
      <c r="J164" s="5" t="str">
        <f aca="false">ROUND(99*1,0)&amp;"%"</f>
        <v>99%</v>
      </c>
    </row>
    <row r="165" customFormat="false" ht="15" hidden="false" customHeight="false" outlineLevel="0" collapsed="false">
      <c r="A165" s="6" t="s">
        <v>12086</v>
      </c>
      <c r="B165" s="6" t="s">
        <v>284</v>
      </c>
      <c r="C165" s="6" t="s">
        <v>152</v>
      </c>
      <c r="D165" s="6" t="s">
        <v>34</v>
      </c>
      <c r="E165" s="6" t="n">
        <f aca="false">ROUND(15425*1.05,2)</f>
        <v>16196.25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ROUND(83*1,0)&amp;"%"</f>
        <v>83%</v>
      </c>
    </row>
    <row r="166" customFormat="false" ht="15" hidden="false" customHeight="false" outlineLevel="0" collapsed="false">
      <c r="A166" s="5" t="s">
        <v>12087</v>
      </c>
      <c r="B166" s="5" t="s">
        <v>286</v>
      </c>
      <c r="C166" s="5" t="s">
        <v>152</v>
      </c>
      <c r="D166" s="5" t="s">
        <v>39</v>
      </c>
      <c r="E166" s="5" t="n">
        <f aca="false">ROUND(11286*1.05,2)</f>
        <v>11850.3</v>
      </c>
      <c r="F166" s="5" t="s">
        <v>40</v>
      </c>
      <c r="G166" s="5" t="s">
        <v>24</v>
      </c>
      <c r="H166" s="5" t="n">
        <f aca="true">ROUND(RAND()*4+6,1)</f>
        <v>6.3</v>
      </c>
      <c r="I166" s="5" t="s">
        <v>41</v>
      </c>
      <c r="J166" s="5" t="str">
        <f aca="false">ROUND(98*1,0)&amp;"%"</f>
        <v>98%</v>
      </c>
    </row>
    <row r="167" customFormat="false" ht="15" hidden="false" customHeight="false" outlineLevel="0" collapsed="false">
      <c r="A167" s="6" t="s">
        <v>12088</v>
      </c>
      <c r="B167" s="6" t="s">
        <v>288</v>
      </c>
      <c r="C167" s="6" t="s">
        <v>152</v>
      </c>
      <c r="D167" s="6" t="s">
        <v>44</v>
      </c>
      <c r="E167" s="6" t="n">
        <f aca="false">ROUND(8487*1.05,2)</f>
        <v>8911.35</v>
      </c>
      <c r="F167" s="6" t="s">
        <v>45</v>
      </c>
      <c r="G167" s="6" t="s">
        <v>30</v>
      </c>
      <c r="H167" s="6" t="n">
        <f aca="true">ROUND(RAND()*4+6,1)</f>
        <v>8.5</v>
      </c>
      <c r="I167" s="6" t="s">
        <v>46</v>
      </c>
      <c r="J167" s="6" t="str">
        <f aca="false">ROUND(75*1,0)&amp;"%"</f>
        <v>75%</v>
      </c>
    </row>
    <row r="168" customFormat="false" ht="15" hidden="false" customHeight="false" outlineLevel="0" collapsed="false">
      <c r="A168" s="5" t="s">
        <v>12089</v>
      </c>
      <c r="B168" s="5" t="s">
        <v>290</v>
      </c>
      <c r="C168" s="5" t="s">
        <v>152</v>
      </c>
      <c r="D168" s="5" t="s">
        <v>16</v>
      </c>
      <c r="E168" s="5" t="n">
        <f aca="false">ROUND(10862*1.05,2)</f>
        <v>11405.1</v>
      </c>
      <c r="F168" s="5" t="s">
        <v>49</v>
      </c>
      <c r="G168" s="5" t="s">
        <v>18</v>
      </c>
      <c r="H168" s="5" t="n">
        <f aca="true">ROUND(RAND()*4+6,1)</f>
        <v>6.6</v>
      </c>
      <c r="I168" s="5" t="s">
        <v>19</v>
      </c>
      <c r="J168" s="5" t="str">
        <f aca="false">ROUND(68*1,0)&amp;"%"</f>
        <v>68%</v>
      </c>
    </row>
    <row r="169" customFormat="false" ht="15" hidden="false" customHeight="false" outlineLevel="0" collapsed="false">
      <c r="A169" s="6" t="s">
        <v>12090</v>
      </c>
      <c r="B169" s="6" t="s">
        <v>292</v>
      </c>
      <c r="C169" s="6" t="s">
        <v>152</v>
      </c>
      <c r="D169" s="6" t="s">
        <v>22</v>
      </c>
      <c r="E169" s="6" t="n">
        <f aca="false">ROUND(4733*1.05,2)</f>
        <v>4969.65</v>
      </c>
      <c r="F169" s="6" t="s">
        <v>52</v>
      </c>
      <c r="G169" s="6" t="s">
        <v>24</v>
      </c>
      <c r="H169" s="6" t="n">
        <f aca="true">ROUND(RAND()*4+6,1)</f>
        <v>8.1</v>
      </c>
      <c r="I169" s="6" t="s">
        <v>25</v>
      </c>
      <c r="J169" s="6" t="str">
        <f aca="false">ROUND(63*1,0)&amp;"%"</f>
        <v>63%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12091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12092</v>
      </c>
      <c r="B174" s="5" t="s">
        <v>296</v>
      </c>
      <c r="C174" s="5" t="s">
        <v>15</v>
      </c>
      <c r="D174" s="5" t="s">
        <v>16</v>
      </c>
      <c r="E174" s="5" t="n">
        <f aca="false">ROUND(8135*1.05,2)</f>
        <v>8541.75</v>
      </c>
      <c r="F174" s="5" t="s">
        <v>17</v>
      </c>
      <c r="G174" s="5" t="s">
        <v>18</v>
      </c>
      <c r="H174" s="5" t="n">
        <f aca="true">ROUND(RAND()*4+6,1)</f>
        <v>9.8</v>
      </c>
      <c r="I174" s="5" t="s">
        <v>19</v>
      </c>
      <c r="J174" s="5" t="str">
        <f aca="false">ROUND(91*1,0)&amp;"%"</f>
        <v>91%</v>
      </c>
    </row>
    <row r="175" customFormat="false" ht="15" hidden="false" customHeight="false" outlineLevel="0" collapsed="false">
      <c r="A175" s="6" t="s">
        <v>12093</v>
      </c>
      <c r="B175" s="6" t="s">
        <v>298</v>
      </c>
      <c r="C175" s="6" t="s">
        <v>15</v>
      </c>
      <c r="D175" s="6" t="s">
        <v>22</v>
      </c>
      <c r="E175" s="6" t="n">
        <f aca="false">ROUND(11406*1.05,2)</f>
        <v>11976.3</v>
      </c>
      <c r="F175" s="6" t="s">
        <v>23</v>
      </c>
      <c r="G175" s="6" t="s">
        <v>24</v>
      </c>
      <c r="H175" s="6" t="n">
        <f aca="true">ROUND(RAND()*4+6,1)</f>
        <v>6.5</v>
      </c>
      <c r="I175" s="6" t="s">
        <v>25</v>
      </c>
      <c r="J175" s="6" t="str">
        <f aca="false">ROUND(79*1,0)&amp;"%"</f>
        <v>79%</v>
      </c>
    </row>
    <row r="176" customFormat="false" ht="15" hidden="false" customHeight="false" outlineLevel="0" collapsed="false">
      <c r="A176" s="5" t="s">
        <v>12094</v>
      </c>
      <c r="B176" s="5" t="s">
        <v>300</v>
      </c>
      <c r="C176" s="5" t="s">
        <v>15</v>
      </c>
      <c r="D176" s="5" t="s">
        <v>28</v>
      </c>
      <c r="E176" s="5" t="n">
        <f aca="false">ROUND(11634*1.05,2)</f>
        <v>12215.7</v>
      </c>
      <c r="F176" s="5" t="s">
        <v>29</v>
      </c>
      <c r="G176" s="5" t="s">
        <v>30</v>
      </c>
      <c r="H176" s="5" t="n">
        <f aca="true">ROUND(RAND()*4+6,1)</f>
        <v>9.7</v>
      </c>
      <c r="I176" s="5" t="s">
        <v>31</v>
      </c>
      <c r="J176" s="5" t="str">
        <f aca="false">ROUND(90*1,0)&amp;"%"</f>
        <v>90%</v>
      </c>
    </row>
    <row r="177" customFormat="false" ht="15" hidden="false" customHeight="false" outlineLevel="0" collapsed="false">
      <c r="A177" s="6" t="s">
        <v>12095</v>
      </c>
      <c r="B177" s="6" t="s">
        <v>302</v>
      </c>
      <c r="C177" s="6" t="s">
        <v>15</v>
      </c>
      <c r="D177" s="6" t="s">
        <v>34</v>
      </c>
      <c r="E177" s="6" t="n">
        <f aca="false">ROUND(5026*1.05,2)</f>
        <v>5277.3</v>
      </c>
      <c r="F177" s="6" t="s">
        <v>35</v>
      </c>
      <c r="G177" s="6" t="s">
        <v>18</v>
      </c>
      <c r="H177" s="6" t="n">
        <f aca="true">ROUND(RAND()*4+6,1)</f>
        <v>6.8</v>
      </c>
      <c r="I177" s="6" t="s">
        <v>36</v>
      </c>
      <c r="J177" s="6" t="str">
        <f aca="false">ROUND(99*1,0)&amp;"%"</f>
        <v>99%</v>
      </c>
    </row>
    <row r="178" customFormat="false" ht="15" hidden="false" customHeight="false" outlineLevel="0" collapsed="false">
      <c r="A178" s="5" t="s">
        <v>12096</v>
      </c>
      <c r="B178" s="5" t="s">
        <v>304</v>
      </c>
      <c r="C178" s="5" t="s">
        <v>15</v>
      </c>
      <c r="D178" s="5" t="s">
        <v>39</v>
      </c>
      <c r="E178" s="5" t="n">
        <f aca="false">ROUND(16980*1.05,2)</f>
        <v>17829</v>
      </c>
      <c r="F178" s="5" t="s">
        <v>40</v>
      </c>
      <c r="G178" s="5" t="s">
        <v>24</v>
      </c>
      <c r="H178" s="5" t="n">
        <f aca="true">ROUND(RAND()*4+6,1)</f>
        <v>8.2</v>
      </c>
      <c r="I178" s="5" t="s">
        <v>41</v>
      </c>
      <c r="J178" s="5" t="str">
        <f aca="false">ROUND(84*1,0)&amp;"%"</f>
        <v>84%</v>
      </c>
    </row>
    <row r="179" customFormat="false" ht="15" hidden="false" customHeight="false" outlineLevel="0" collapsed="false">
      <c r="A179" s="6" t="s">
        <v>12097</v>
      </c>
      <c r="B179" s="6" t="s">
        <v>306</v>
      </c>
      <c r="C179" s="6" t="s">
        <v>15</v>
      </c>
      <c r="D179" s="6" t="s">
        <v>44</v>
      </c>
      <c r="E179" s="6" t="n">
        <f aca="false">ROUND(8885*1.05,2)</f>
        <v>9329.25</v>
      </c>
      <c r="F179" s="6" t="s">
        <v>45</v>
      </c>
      <c r="G179" s="6" t="s">
        <v>30</v>
      </c>
      <c r="H179" s="6" t="n">
        <f aca="true">ROUND(RAND()*4+6,1)</f>
        <v>8.5</v>
      </c>
      <c r="I179" s="6" t="s">
        <v>46</v>
      </c>
      <c r="J179" s="6" t="str">
        <f aca="false">ROUND(81*1,0)&amp;"%"</f>
        <v>81%</v>
      </c>
    </row>
    <row r="180" customFormat="false" ht="15" hidden="false" customHeight="false" outlineLevel="0" collapsed="false">
      <c r="A180" s="5" t="s">
        <v>12098</v>
      </c>
      <c r="B180" s="5" t="s">
        <v>308</v>
      </c>
      <c r="C180" s="5" t="s">
        <v>15</v>
      </c>
      <c r="D180" s="5" t="s">
        <v>16</v>
      </c>
      <c r="E180" s="5" t="n">
        <f aca="false">ROUND(10776*1.05,2)</f>
        <v>11314.8</v>
      </c>
      <c r="F180" s="5" t="s">
        <v>49</v>
      </c>
      <c r="G180" s="5" t="s">
        <v>18</v>
      </c>
      <c r="H180" s="5" t="n">
        <f aca="true">ROUND(RAND()*4+6,1)</f>
        <v>9.5</v>
      </c>
      <c r="I180" s="5" t="s">
        <v>19</v>
      </c>
      <c r="J180" s="5" t="str">
        <f aca="false">ROUND(96*1,0)&amp;"%"</f>
        <v>96%</v>
      </c>
    </row>
    <row r="181" customFormat="false" ht="15" hidden="false" customHeight="false" outlineLevel="0" collapsed="false">
      <c r="A181" s="6" t="s">
        <v>12099</v>
      </c>
      <c r="B181" s="6" t="s">
        <v>310</v>
      </c>
      <c r="C181" s="6" t="s">
        <v>15</v>
      </c>
      <c r="D181" s="6" t="s">
        <v>22</v>
      </c>
      <c r="E181" s="6" t="n">
        <f aca="false">ROUND(15541*1.05,2)</f>
        <v>16318.05</v>
      </c>
      <c r="F181" s="6" t="s">
        <v>52</v>
      </c>
      <c r="G181" s="6" t="s">
        <v>24</v>
      </c>
      <c r="H181" s="6" t="n">
        <f aca="true">ROUND(RAND()*4+6,1)</f>
        <v>9.4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12100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12101</v>
      </c>
      <c r="B186" s="5" t="s">
        <v>314</v>
      </c>
      <c r="C186" s="5" t="s">
        <v>57</v>
      </c>
      <c r="D186" s="5" t="s">
        <v>16</v>
      </c>
      <c r="E186" s="5" t="n">
        <f aca="false">ROUND(16954*1.05,2)</f>
        <v>17801.7</v>
      </c>
      <c r="F186" s="5" t="s">
        <v>17</v>
      </c>
      <c r="G186" s="5" t="s">
        <v>18</v>
      </c>
      <c r="H186" s="5" t="n">
        <f aca="true">ROUND(RAND()*4+6,1)</f>
        <v>7.7</v>
      </c>
      <c r="I186" s="5" t="s">
        <v>19</v>
      </c>
      <c r="J186" s="5" t="str">
        <f aca="false">ROUND(82*1,0)&amp;"%"</f>
        <v>82%</v>
      </c>
    </row>
    <row r="187" customFormat="false" ht="15" hidden="false" customHeight="false" outlineLevel="0" collapsed="false">
      <c r="A187" s="6" t="s">
        <v>12102</v>
      </c>
      <c r="B187" s="6" t="s">
        <v>316</v>
      </c>
      <c r="C187" s="6" t="s">
        <v>57</v>
      </c>
      <c r="D187" s="6" t="s">
        <v>22</v>
      </c>
      <c r="E187" s="6" t="n">
        <f aca="false">ROUND(5346*1.05,2)</f>
        <v>5613.3</v>
      </c>
      <c r="F187" s="6" t="s">
        <v>23</v>
      </c>
      <c r="G187" s="6" t="s">
        <v>24</v>
      </c>
      <c r="H187" s="6" t="n">
        <f aca="true">ROUND(RAND()*4+6,1)</f>
        <v>6.4</v>
      </c>
      <c r="I187" s="6" t="s">
        <v>25</v>
      </c>
      <c r="J187" s="6" t="str">
        <f aca="false">ROUND(92*1,0)&amp;"%"</f>
        <v>92%</v>
      </c>
    </row>
    <row r="188" customFormat="false" ht="15" hidden="false" customHeight="false" outlineLevel="0" collapsed="false">
      <c r="A188" s="5" t="s">
        <v>12103</v>
      </c>
      <c r="B188" s="5" t="s">
        <v>318</v>
      </c>
      <c r="C188" s="5" t="s">
        <v>57</v>
      </c>
      <c r="D188" s="5" t="s">
        <v>28</v>
      </c>
      <c r="E188" s="5" t="n">
        <f aca="false">ROUND(16289*1.05,2)</f>
        <v>17103.45</v>
      </c>
      <c r="F188" s="5" t="s">
        <v>29</v>
      </c>
      <c r="G188" s="5" t="s">
        <v>30</v>
      </c>
      <c r="H188" s="5" t="n">
        <f aca="true">ROUND(RAND()*4+6,1)</f>
        <v>8.3</v>
      </c>
      <c r="I188" s="5" t="s">
        <v>31</v>
      </c>
      <c r="J188" s="5" t="str">
        <f aca="false">ROUND(78*1,0)&amp;"%"</f>
        <v>78%</v>
      </c>
    </row>
    <row r="189" customFormat="false" ht="15" hidden="false" customHeight="false" outlineLevel="0" collapsed="false">
      <c r="A189" s="6" t="s">
        <v>12104</v>
      </c>
      <c r="B189" s="6" t="s">
        <v>320</v>
      </c>
      <c r="C189" s="6" t="s">
        <v>57</v>
      </c>
      <c r="D189" s="6" t="s">
        <v>34</v>
      </c>
      <c r="E189" s="6" t="n">
        <f aca="false">ROUND(7177*1.05,2)</f>
        <v>7535.85</v>
      </c>
      <c r="F189" s="6" t="s">
        <v>35</v>
      </c>
      <c r="G189" s="6" t="s">
        <v>18</v>
      </c>
      <c r="H189" s="6" t="n">
        <f aca="true">ROUND(RAND()*4+6,1)</f>
        <v>9.6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12105</v>
      </c>
      <c r="B190" s="5" t="s">
        <v>322</v>
      </c>
      <c r="C190" s="5" t="s">
        <v>57</v>
      </c>
      <c r="D190" s="5" t="s">
        <v>39</v>
      </c>
      <c r="E190" s="5" t="n">
        <f aca="false">ROUND(5196*1.05,2)</f>
        <v>5455.8</v>
      </c>
      <c r="F190" s="5" t="s">
        <v>40</v>
      </c>
      <c r="G190" s="5" t="s">
        <v>24</v>
      </c>
      <c r="H190" s="5" t="n">
        <f aca="true">ROUND(RAND()*4+6,1)</f>
        <v>9.5</v>
      </c>
      <c r="I190" s="5" t="s">
        <v>41</v>
      </c>
      <c r="J190" s="5" t="str">
        <f aca="false">ROUND(74*1,0)&amp;"%"</f>
        <v>74%</v>
      </c>
    </row>
    <row r="191" customFormat="false" ht="15" hidden="false" customHeight="false" outlineLevel="0" collapsed="false">
      <c r="A191" s="6" t="s">
        <v>12106</v>
      </c>
      <c r="B191" s="6" t="s">
        <v>324</v>
      </c>
      <c r="C191" s="6" t="s">
        <v>57</v>
      </c>
      <c r="D191" s="6" t="s">
        <v>44</v>
      </c>
      <c r="E191" s="6" t="n">
        <f aca="false">ROUND(8809*1.05,2)</f>
        <v>9249.45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ROUND(61*1,0)&amp;"%"</f>
        <v>61%</v>
      </c>
    </row>
    <row r="192" customFormat="false" ht="15" hidden="false" customHeight="false" outlineLevel="0" collapsed="false">
      <c r="A192" s="5" t="s">
        <v>12107</v>
      </c>
      <c r="B192" s="5" t="s">
        <v>326</v>
      </c>
      <c r="C192" s="5" t="s">
        <v>57</v>
      </c>
      <c r="D192" s="5" t="s">
        <v>16</v>
      </c>
      <c r="E192" s="5" t="n">
        <f aca="false">ROUND(10651*1.05,2)</f>
        <v>11183.55</v>
      </c>
      <c r="F192" s="5" t="s">
        <v>49</v>
      </c>
      <c r="G192" s="5" t="s">
        <v>18</v>
      </c>
      <c r="H192" s="5" t="n">
        <f aca="true">ROUND(RAND()*4+6,1)</f>
        <v>8.8</v>
      </c>
      <c r="I192" s="5" t="s">
        <v>19</v>
      </c>
      <c r="J192" s="5" t="str">
        <f aca="false">ROUND(75*1,0)&amp;"%"</f>
        <v>75%</v>
      </c>
    </row>
    <row r="193" customFormat="false" ht="15" hidden="false" customHeight="false" outlineLevel="0" collapsed="false">
      <c r="A193" s="6" t="s">
        <v>12108</v>
      </c>
      <c r="B193" s="6" t="s">
        <v>328</v>
      </c>
      <c r="C193" s="6" t="s">
        <v>57</v>
      </c>
      <c r="D193" s="6" t="s">
        <v>22</v>
      </c>
      <c r="E193" s="6" t="n">
        <f aca="false">ROUND(14544*1.05,2)</f>
        <v>15271.2</v>
      </c>
      <c r="F193" s="6" t="s">
        <v>52</v>
      </c>
      <c r="G193" s="6" t="s">
        <v>24</v>
      </c>
      <c r="H193" s="6" t="n">
        <f aca="true">ROUND(RAND()*4+6,1)</f>
        <v>8.2</v>
      </c>
      <c r="I193" s="6" t="s">
        <v>25</v>
      </c>
      <c r="J193" s="6" t="str">
        <f aca="false">ROUND(77*1,0)&amp;"%"</f>
        <v>77%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12109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12110</v>
      </c>
      <c r="B198" s="5" t="s">
        <v>332</v>
      </c>
      <c r="C198" s="5" t="s">
        <v>76</v>
      </c>
      <c r="D198" s="5" t="s">
        <v>16</v>
      </c>
      <c r="E198" s="5" t="n">
        <f aca="false">ROUND(17678*1.05,2)</f>
        <v>18561.9</v>
      </c>
      <c r="F198" s="5" t="s">
        <v>17</v>
      </c>
      <c r="G198" s="5" t="s">
        <v>18</v>
      </c>
      <c r="H198" s="5" t="n">
        <f aca="true">ROUND(RAND()*4+6,1)</f>
        <v>9.3</v>
      </c>
      <c r="I198" s="5" t="s">
        <v>19</v>
      </c>
      <c r="J198" s="5" t="str">
        <f aca="false">ROUND(94*1,0)&amp;"%"</f>
        <v>94%</v>
      </c>
    </row>
    <row r="199" customFormat="false" ht="15" hidden="false" customHeight="false" outlineLevel="0" collapsed="false">
      <c r="A199" s="6" t="s">
        <v>12111</v>
      </c>
      <c r="B199" s="6" t="s">
        <v>334</v>
      </c>
      <c r="C199" s="6" t="s">
        <v>76</v>
      </c>
      <c r="D199" s="6" t="s">
        <v>22</v>
      </c>
      <c r="E199" s="6" t="n">
        <f aca="false">ROUND(4093*1.05,2)</f>
        <v>4297.65</v>
      </c>
      <c r="F199" s="6" t="s">
        <v>23</v>
      </c>
      <c r="G199" s="6" t="s">
        <v>24</v>
      </c>
      <c r="H199" s="6" t="n">
        <f aca="true">ROUND(RAND()*4+6,1)</f>
        <v>7.5</v>
      </c>
      <c r="I199" s="6" t="s">
        <v>25</v>
      </c>
      <c r="J199" s="6" t="str">
        <f aca="false">ROUND(67*1,0)&amp;"%"</f>
        <v>67%</v>
      </c>
    </row>
    <row r="200" customFormat="false" ht="15" hidden="false" customHeight="false" outlineLevel="0" collapsed="false">
      <c r="A200" s="5" t="s">
        <v>12112</v>
      </c>
      <c r="B200" s="5" t="s">
        <v>336</v>
      </c>
      <c r="C200" s="5" t="s">
        <v>76</v>
      </c>
      <c r="D200" s="5" t="s">
        <v>28</v>
      </c>
      <c r="E200" s="5" t="n">
        <f aca="false">ROUND(5643*1.05,2)</f>
        <v>5925.15</v>
      </c>
      <c r="F200" s="5" t="s">
        <v>29</v>
      </c>
      <c r="G200" s="5" t="s">
        <v>30</v>
      </c>
      <c r="H200" s="5" t="n">
        <f aca="true">ROUND(RAND()*4+6,1)</f>
        <v>7.9</v>
      </c>
      <c r="I200" s="5" t="s">
        <v>31</v>
      </c>
      <c r="J200" s="5" t="str">
        <f aca="false">ROUND(65*1,0)&amp;"%"</f>
        <v>65%</v>
      </c>
    </row>
    <row r="201" customFormat="false" ht="15" hidden="false" customHeight="false" outlineLevel="0" collapsed="false">
      <c r="A201" s="6" t="s">
        <v>12113</v>
      </c>
      <c r="B201" s="6" t="s">
        <v>338</v>
      </c>
      <c r="C201" s="6" t="s">
        <v>76</v>
      </c>
      <c r="D201" s="6" t="s">
        <v>34</v>
      </c>
      <c r="E201" s="6" t="n">
        <f aca="false">ROUND(8027*1.05,2)</f>
        <v>8428.35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12114</v>
      </c>
      <c r="B202" s="5" t="s">
        <v>340</v>
      </c>
      <c r="C202" s="5" t="s">
        <v>76</v>
      </c>
      <c r="D202" s="5" t="s">
        <v>39</v>
      </c>
      <c r="E202" s="5" t="n">
        <f aca="false">ROUND(5102*1.05,2)</f>
        <v>5357.1</v>
      </c>
      <c r="F202" s="5" t="s">
        <v>40</v>
      </c>
      <c r="G202" s="5" t="s">
        <v>24</v>
      </c>
      <c r="H202" s="5" t="n">
        <f aca="true">ROUND(RAND()*4+6,1)</f>
        <v>7</v>
      </c>
      <c r="I202" s="5" t="s">
        <v>41</v>
      </c>
      <c r="J202" s="5" t="str">
        <f aca="false">ROUND(69*1,0)&amp;"%"</f>
        <v>69%</v>
      </c>
    </row>
    <row r="203" customFormat="false" ht="15" hidden="false" customHeight="false" outlineLevel="0" collapsed="false">
      <c r="A203" s="6" t="s">
        <v>12115</v>
      </c>
      <c r="B203" s="6" t="s">
        <v>342</v>
      </c>
      <c r="C203" s="6" t="s">
        <v>76</v>
      </c>
      <c r="D203" s="6" t="s">
        <v>44</v>
      </c>
      <c r="E203" s="6" t="n">
        <f aca="false">ROUND(11839*1.05,2)</f>
        <v>12430.95</v>
      </c>
      <c r="F203" s="6" t="s">
        <v>45</v>
      </c>
      <c r="G203" s="6" t="s">
        <v>30</v>
      </c>
      <c r="H203" s="6" t="n">
        <f aca="true">ROUND(RAND()*4+6,1)</f>
        <v>6.5</v>
      </c>
      <c r="I203" s="6" t="s">
        <v>46</v>
      </c>
      <c r="J203" s="6" t="str">
        <f aca="false">ROUND(61*1,0)&amp;"%"</f>
        <v>61%</v>
      </c>
    </row>
    <row r="204" customFormat="false" ht="15" hidden="false" customHeight="false" outlineLevel="0" collapsed="false">
      <c r="A204" s="5" t="s">
        <v>12116</v>
      </c>
      <c r="B204" s="5" t="s">
        <v>344</v>
      </c>
      <c r="C204" s="5" t="s">
        <v>76</v>
      </c>
      <c r="D204" s="5" t="s">
        <v>16</v>
      </c>
      <c r="E204" s="5" t="n">
        <f aca="false">ROUND(7759*1.05,2)</f>
        <v>8146.95</v>
      </c>
      <c r="F204" s="5" t="s">
        <v>49</v>
      </c>
      <c r="G204" s="5" t="s">
        <v>18</v>
      </c>
      <c r="H204" s="5" t="n">
        <f aca="true">ROUND(RAND()*4+6,1)</f>
        <v>9.8</v>
      </c>
      <c r="I204" s="5" t="s">
        <v>19</v>
      </c>
      <c r="J204" s="5" t="str">
        <f aca="false">ROUND(71*1,0)&amp;"%"</f>
        <v>71%</v>
      </c>
    </row>
    <row r="205" customFormat="false" ht="15" hidden="false" customHeight="false" outlineLevel="0" collapsed="false">
      <c r="A205" s="6" t="s">
        <v>12117</v>
      </c>
      <c r="B205" s="6" t="s">
        <v>346</v>
      </c>
      <c r="C205" s="6" t="s">
        <v>76</v>
      </c>
      <c r="D205" s="6" t="s">
        <v>22</v>
      </c>
      <c r="E205" s="6" t="n">
        <f aca="false">ROUND(6677*1.05,2)</f>
        <v>7010.85</v>
      </c>
      <c r="F205" s="6" t="s">
        <v>52</v>
      </c>
      <c r="G205" s="6" t="s">
        <v>24</v>
      </c>
      <c r="H205" s="6" t="n">
        <f aca="true">ROUND(RAND()*4+6,1)</f>
        <v>7.5</v>
      </c>
      <c r="I205" s="6" t="s">
        <v>25</v>
      </c>
      <c r="J205" s="6" t="str">
        <f aca="false">ROUND(66*1,0)&amp;"%"</f>
        <v>66%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12118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12119</v>
      </c>
      <c r="B210" s="5" t="s">
        <v>350</v>
      </c>
      <c r="C210" s="5" t="s">
        <v>95</v>
      </c>
      <c r="D210" s="5" t="s">
        <v>16</v>
      </c>
      <c r="E210" s="5" t="n">
        <f aca="false">ROUND(5651*1.05,2)</f>
        <v>5933.55</v>
      </c>
      <c r="F210" s="5" t="s">
        <v>17</v>
      </c>
      <c r="G210" s="5" t="s">
        <v>18</v>
      </c>
      <c r="H210" s="5" t="n">
        <f aca="true">ROUND(RAND()*4+6,1)</f>
        <v>6.3</v>
      </c>
      <c r="I210" s="5" t="s">
        <v>19</v>
      </c>
      <c r="J210" s="5" t="str">
        <f aca="false">ROUND(71*1,0)&amp;"%"</f>
        <v>71%</v>
      </c>
    </row>
    <row r="211" customFormat="false" ht="15" hidden="false" customHeight="false" outlineLevel="0" collapsed="false">
      <c r="A211" s="6" t="s">
        <v>12120</v>
      </c>
      <c r="B211" s="6" t="s">
        <v>352</v>
      </c>
      <c r="C211" s="6" t="s">
        <v>95</v>
      </c>
      <c r="D211" s="6" t="s">
        <v>22</v>
      </c>
      <c r="E211" s="6" t="n">
        <f aca="false">ROUND(6380*1.05,2)</f>
        <v>6699</v>
      </c>
      <c r="F211" s="6" t="s">
        <v>23</v>
      </c>
      <c r="G211" s="6" t="s">
        <v>24</v>
      </c>
      <c r="H211" s="6" t="n">
        <f aca="true">ROUND(RAND()*4+6,1)</f>
        <v>7.5</v>
      </c>
      <c r="I211" s="6" t="s">
        <v>25</v>
      </c>
      <c r="J211" s="6" t="str">
        <f aca="false">ROUND(96*1,0)&amp;"%"</f>
        <v>96%</v>
      </c>
    </row>
    <row r="212" customFormat="false" ht="15" hidden="false" customHeight="false" outlineLevel="0" collapsed="false">
      <c r="A212" s="5" t="s">
        <v>12121</v>
      </c>
      <c r="B212" s="5" t="s">
        <v>354</v>
      </c>
      <c r="C212" s="5" t="s">
        <v>95</v>
      </c>
      <c r="D212" s="5" t="s">
        <v>28</v>
      </c>
      <c r="E212" s="5" t="n">
        <f aca="false">ROUND(11890*1.05,2)</f>
        <v>12484.5</v>
      </c>
      <c r="F212" s="5" t="s">
        <v>29</v>
      </c>
      <c r="G212" s="5" t="s">
        <v>30</v>
      </c>
      <c r="H212" s="5" t="n">
        <f aca="true">ROUND(RAND()*4+6,1)</f>
        <v>8.3</v>
      </c>
      <c r="I212" s="5" t="s">
        <v>31</v>
      </c>
      <c r="J212" s="5" t="str">
        <f aca="false">ROUND(88*1,0)&amp;"%"</f>
        <v>88%</v>
      </c>
    </row>
    <row r="213" customFormat="false" ht="15" hidden="false" customHeight="false" outlineLevel="0" collapsed="false">
      <c r="A213" s="6" t="s">
        <v>12122</v>
      </c>
      <c r="B213" s="6" t="s">
        <v>356</v>
      </c>
      <c r="C213" s="6" t="s">
        <v>95</v>
      </c>
      <c r="D213" s="6" t="s">
        <v>34</v>
      </c>
      <c r="E213" s="6" t="n">
        <f aca="false">ROUND(14719*1.05,2)</f>
        <v>15454.95</v>
      </c>
      <c r="F213" s="6" t="s">
        <v>35</v>
      </c>
      <c r="G213" s="6" t="s">
        <v>18</v>
      </c>
      <c r="H213" s="6" t="n">
        <f aca="true">ROUND(RAND()*4+6,1)</f>
        <v>7.6</v>
      </c>
      <c r="I213" s="6" t="s">
        <v>36</v>
      </c>
      <c r="J213" s="6" t="str">
        <f aca="false">ROUND(65*1,0)&amp;"%"</f>
        <v>65%</v>
      </c>
    </row>
    <row r="214" customFormat="false" ht="15" hidden="false" customHeight="false" outlineLevel="0" collapsed="false">
      <c r="A214" s="5" t="s">
        <v>12123</v>
      </c>
      <c r="B214" s="5" t="s">
        <v>358</v>
      </c>
      <c r="C214" s="5" t="s">
        <v>95</v>
      </c>
      <c r="D214" s="5" t="s">
        <v>39</v>
      </c>
      <c r="E214" s="5" t="n">
        <f aca="false">ROUND(5428*1.05,2)</f>
        <v>5699.4</v>
      </c>
      <c r="F214" s="5" t="s">
        <v>40</v>
      </c>
      <c r="G214" s="5" t="s">
        <v>24</v>
      </c>
      <c r="H214" s="5" t="n">
        <f aca="true">ROUND(RAND()*4+6,1)</f>
        <v>9.9</v>
      </c>
      <c r="I214" s="5" t="s">
        <v>41</v>
      </c>
      <c r="J214" s="5" t="str">
        <f aca="false">ROUND(73*1,0)&amp;"%"</f>
        <v>73%</v>
      </c>
    </row>
    <row r="215" customFormat="false" ht="15" hidden="false" customHeight="false" outlineLevel="0" collapsed="false">
      <c r="A215" s="6" t="s">
        <v>12124</v>
      </c>
      <c r="B215" s="6" t="s">
        <v>360</v>
      </c>
      <c r="C215" s="6" t="s">
        <v>95</v>
      </c>
      <c r="D215" s="6" t="s">
        <v>44</v>
      </c>
      <c r="E215" s="6" t="n">
        <f aca="false">ROUND(15554*1.05,2)</f>
        <v>16331.7</v>
      </c>
      <c r="F215" s="6" t="s">
        <v>45</v>
      </c>
      <c r="G215" s="6" t="s">
        <v>30</v>
      </c>
      <c r="H215" s="6" t="n">
        <f aca="true">ROUND(RAND()*4+6,1)</f>
        <v>7.7</v>
      </c>
      <c r="I215" s="6" t="s">
        <v>46</v>
      </c>
      <c r="J215" s="6" t="str">
        <f aca="false">ROUND(82*1,0)&amp;"%"</f>
        <v>82%</v>
      </c>
    </row>
    <row r="216" customFormat="false" ht="15" hidden="false" customHeight="false" outlineLevel="0" collapsed="false">
      <c r="A216" s="5" t="s">
        <v>12125</v>
      </c>
      <c r="B216" s="5" t="s">
        <v>362</v>
      </c>
      <c r="C216" s="5" t="s">
        <v>95</v>
      </c>
      <c r="D216" s="5" t="s">
        <v>16</v>
      </c>
      <c r="E216" s="5" t="n">
        <f aca="false">ROUND(13396*1.05,2)</f>
        <v>14065.8</v>
      </c>
      <c r="F216" s="5" t="s">
        <v>49</v>
      </c>
      <c r="G216" s="5" t="s">
        <v>18</v>
      </c>
      <c r="H216" s="5" t="n">
        <f aca="true">ROUND(RAND()*4+6,1)</f>
        <v>7</v>
      </c>
      <c r="I216" s="5" t="s">
        <v>19</v>
      </c>
      <c r="J216" s="5" t="str">
        <f aca="false">ROUND(73*1,0)&amp;"%"</f>
        <v>73%</v>
      </c>
    </row>
    <row r="217" customFormat="false" ht="15" hidden="false" customHeight="false" outlineLevel="0" collapsed="false">
      <c r="A217" s="6" t="s">
        <v>12126</v>
      </c>
      <c r="B217" s="6" t="s">
        <v>364</v>
      </c>
      <c r="C217" s="6" t="s">
        <v>95</v>
      </c>
      <c r="D217" s="6" t="s">
        <v>22</v>
      </c>
      <c r="E217" s="6" t="n">
        <f aca="false">ROUND(5420*1.05,2)</f>
        <v>5691</v>
      </c>
      <c r="F217" s="6" t="s">
        <v>52</v>
      </c>
      <c r="G217" s="6" t="s">
        <v>24</v>
      </c>
      <c r="H217" s="6" t="n">
        <f aca="true">ROUND(RAND()*4+6,1)</f>
        <v>8.4</v>
      </c>
      <c r="I217" s="6" t="s">
        <v>25</v>
      </c>
      <c r="J217" s="6" t="str">
        <f aca="false">ROUND(96*1,0)&amp;"%"</f>
        <v>96%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12127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12128</v>
      </c>
      <c r="B222" s="5" t="s">
        <v>368</v>
      </c>
      <c r="C222" s="5" t="s">
        <v>114</v>
      </c>
      <c r="D222" s="5" t="s">
        <v>16</v>
      </c>
      <c r="E222" s="5" t="n">
        <f aca="false">ROUND(12020*1.05,2)</f>
        <v>12621</v>
      </c>
      <c r="F222" s="5" t="s">
        <v>17</v>
      </c>
      <c r="G222" s="5" t="s">
        <v>18</v>
      </c>
      <c r="H222" s="5" t="n">
        <f aca="true">ROUND(RAND()*4+6,1)</f>
        <v>7</v>
      </c>
      <c r="I222" s="5" t="s">
        <v>19</v>
      </c>
      <c r="J222" s="5" t="str">
        <f aca="false">ROUND(94*1,0)&amp;"%"</f>
        <v>94%</v>
      </c>
    </row>
    <row r="223" customFormat="false" ht="15" hidden="false" customHeight="false" outlineLevel="0" collapsed="false">
      <c r="A223" s="6" t="s">
        <v>12129</v>
      </c>
      <c r="B223" s="6" t="s">
        <v>370</v>
      </c>
      <c r="C223" s="6" t="s">
        <v>114</v>
      </c>
      <c r="D223" s="6" t="s">
        <v>22</v>
      </c>
      <c r="E223" s="6" t="n">
        <f aca="false">ROUND(12439*1.05,2)</f>
        <v>13060.95</v>
      </c>
      <c r="F223" s="6" t="s">
        <v>23</v>
      </c>
      <c r="G223" s="6" t="s">
        <v>24</v>
      </c>
      <c r="H223" s="6" t="n">
        <f aca="true">ROUND(RAND()*4+6,1)</f>
        <v>6.9</v>
      </c>
      <c r="I223" s="6" t="s">
        <v>25</v>
      </c>
      <c r="J223" s="6" t="str">
        <f aca="false">ROUND(100*1,0)&amp;"%"</f>
        <v>100%</v>
      </c>
    </row>
    <row r="224" customFormat="false" ht="15" hidden="false" customHeight="false" outlineLevel="0" collapsed="false">
      <c r="A224" s="5" t="s">
        <v>12130</v>
      </c>
      <c r="B224" s="5" t="s">
        <v>372</v>
      </c>
      <c r="C224" s="5" t="s">
        <v>114</v>
      </c>
      <c r="D224" s="5" t="s">
        <v>28</v>
      </c>
      <c r="E224" s="5" t="n">
        <f aca="false">ROUND(8462*1.05,2)</f>
        <v>8885.1</v>
      </c>
      <c r="F224" s="5" t="s">
        <v>29</v>
      </c>
      <c r="G224" s="5" t="s">
        <v>30</v>
      </c>
      <c r="H224" s="5" t="n">
        <f aca="true">ROUND(RAND()*4+6,1)</f>
        <v>9.4</v>
      </c>
      <c r="I224" s="5" t="s">
        <v>31</v>
      </c>
      <c r="J224" s="5" t="str">
        <f aca="false">ROUND(62*1,0)&amp;"%"</f>
        <v>62%</v>
      </c>
    </row>
    <row r="225" customFormat="false" ht="15" hidden="false" customHeight="false" outlineLevel="0" collapsed="false">
      <c r="A225" s="6" t="s">
        <v>12131</v>
      </c>
      <c r="B225" s="6" t="s">
        <v>374</v>
      </c>
      <c r="C225" s="6" t="s">
        <v>114</v>
      </c>
      <c r="D225" s="6" t="s">
        <v>34</v>
      </c>
      <c r="E225" s="6" t="n">
        <f aca="false">ROUND(9435*1.05,2)</f>
        <v>9906.75</v>
      </c>
      <c r="F225" s="6" t="s">
        <v>35</v>
      </c>
      <c r="G225" s="6" t="s">
        <v>18</v>
      </c>
      <c r="H225" s="6" t="n">
        <f aca="true">ROUND(RAND()*4+6,1)</f>
        <v>9.9</v>
      </c>
      <c r="I225" s="6" t="s">
        <v>36</v>
      </c>
      <c r="J225" s="6" t="str">
        <f aca="false">ROUND(78*1,0)&amp;"%"</f>
        <v>78%</v>
      </c>
    </row>
    <row r="226" customFormat="false" ht="15" hidden="false" customHeight="false" outlineLevel="0" collapsed="false">
      <c r="A226" s="5" t="s">
        <v>12132</v>
      </c>
      <c r="B226" s="5" t="s">
        <v>376</v>
      </c>
      <c r="C226" s="5" t="s">
        <v>114</v>
      </c>
      <c r="D226" s="5" t="s">
        <v>39</v>
      </c>
      <c r="E226" s="5" t="n">
        <f aca="false">ROUND(5175*1.05,2)</f>
        <v>5433.75</v>
      </c>
      <c r="F226" s="5" t="s">
        <v>40</v>
      </c>
      <c r="G226" s="5" t="s">
        <v>24</v>
      </c>
      <c r="H226" s="5" t="n">
        <f aca="true">ROUND(RAND()*4+6,1)</f>
        <v>8.8</v>
      </c>
      <c r="I226" s="5" t="s">
        <v>41</v>
      </c>
      <c r="J226" s="5" t="str">
        <f aca="false">ROUND(95*1,0)&amp;"%"</f>
        <v>95%</v>
      </c>
    </row>
    <row r="227" customFormat="false" ht="15" hidden="false" customHeight="false" outlineLevel="0" collapsed="false">
      <c r="A227" s="6" t="s">
        <v>12133</v>
      </c>
      <c r="B227" s="6" t="s">
        <v>378</v>
      </c>
      <c r="C227" s="6" t="s">
        <v>114</v>
      </c>
      <c r="D227" s="6" t="s">
        <v>44</v>
      </c>
      <c r="E227" s="6" t="n">
        <f aca="false">ROUND(14762*1.05,2)</f>
        <v>15500.1</v>
      </c>
      <c r="F227" s="6" t="s">
        <v>45</v>
      </c>
      <c r="G227" s="6" t="s">
        <v>30</v>
      </c>
      <c r="H227" s="6" t="n">
        <f aca="true">ROUND(RAND()*4+6,1)</f>
        <v>9.9</v>
      </c>
      <c r="I227" s="6" t="s">
        <v>46</v>
      </c>
      <c r="J227" s="6" t="str">
        <f aca="false">ROUND(70*1,0)&amp;"%"</f>
        <v>70%</v>
      </c>
    </row>
    <row r="228" customFormat="false" ht="15" hidden="false" customHeight="false" outlineLevel="0" collapsed="false">
      <c r="A228" s="5" t="s">
        <v>12134</v>
      </c>
      <c r="B228" s="5" t="s">
        <v>380</v>
      </c>
      <c r="C228" s="5" t="s">
        <v>114</v>
      </c>
      <c r="D228" s="5" t="s">
        <v>16</v>
      </c>
      <c r="E228" s="5" t="n">
        <f aca="false">ROUND(13275*1.05,2)</f>
        <v>13938.75</v>
      </c>
      <c r="F228" s="5" t="s">
        <v>49</v>
      </c>
      <c r="G228" s="5" t="s">
        <v>18</v>
      </c>
      <c r="H228" s="5" t="n">
        <f aca="true">ROUND(RAND()*4+6,1)</f>
        <v>8.6</v>
      </c>
      <c r="I228" s="5" t="s">
        <v>19</v>
      </c>
      <c r="J228" s="5" t="str">
        <f aca="false">ROUND(88*1,0)&amp;"%"</f>
        <v>88%</v>
      </c>
    </row>
    <row r="229" customFormat="false" ht="15" hidden="false" customHeight="false" outlineLevel="0" collapsed="false">
      <c r="A229" s="6" t="s">
        <v>12135</v>
      </c>
      <c r="B229" s="6" t="s">
        <v>382</v>
      </c>
      <c r="C229" s="6" t="s">
        <v>114</v>
      </c>
      <c r="D229" s="6" t="s">
        <v>22</v>
      </c>
      <c r="E229" s="6" t="n">
        <f aca="false">ROUND(9523*1.05,2)</f>
        <v>9999.15</v>
      </c>
      <c r="F229" s="6" t="s">
        <v>52</v>
      </c>
      <c r="G229" s="6" t="s">
        <v>24</v>
      </c>
      <c r="H229" s="6" t="n">
        <f aca="true">ROUND(RAND()*4+6,1)</f>
        <v>9.2</v>
      </c>
      <c r="I229" s="6" t="s">
        <v>25</v>
      </c>
      <c r="J229" s="6" t="str">
        <f aca="false">ROUND(74*1,0)&amp;"%"</f>
        <v>74%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12136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12137</v>
      </c>
      <c r="B234" s="5" t="s">
        <v>386</v>
      </c>
      <c r="C234" s="5" t="s">
        <v>133</v>
      </c>
      <c r="D234" s="5" t="s">
        <v>16</v>
      </c>
      <c r="E234" s="5" t="n">
        <f aca="false">ROUND(12162*1.05,2)</f>
        <v>12770.1</v>
      </c>
      <c r="F234" s="5" t="s">
        <v>17</v>
      </c>
      <c r="G234" s="5" t="s">
        <v>18</v>
      </c>
      <c r="H234" s="5" t="n">
        <f aca="true">ROUND(RAND()*4+6,1)</f>
        <v>9.8</v>
      </c>
      <c r="I234" s="5" t="s">
        <v>19</v>
      </c>
      <c r="J234" s="5" t="str">
        <f aca="false">ROUND(66*1,0)&amp;"%"</f>
        <v>66%</v>
      </c>
    </row>
    <row r="235" customFormat="false" ht="15" hidden="false" customHeight="false" outlineLevel="0" collapsed="false">
      <c r="A235" s="6" t="s">
        <v>12138</v>
      </c>
      <c r="B235" s="6" t="s">
        <v>388</v>
      </c>
      <c r="C235" s="6" t="s">
        <v>133</v>
      </c>
      <c r="D235" s="6" t="s">
        <v>22</v>
      </c>
      <c r="E235" s="6" t="n">
        <f aca="false">ROUND(15036*1.05,2)</f>
        <v>15787.8</v>
      </c>
      <c r="F235" s="6" t="s">
        <v>23</v>
      </c>
      <c r="G235" s="6" t="s">
        <v>24</v>
      </c>
      <c r="H235" s="6" t="n">
        <f aca="true">ROUND(RAND()*4+6,1)</f>
        <v>6.8</v>
      </c>
      <c r="I235" s="6" t="s">
        <v>25</v>
      </c>
      <c r="J235" s="6" t="str">
        <f aca="false">ROUND(84*1,0)&amp;"%"</f>
        <v>84%</v>
      </c>
    </row>
    <row r="236" customFormat="false" ht="15" hidden="false" customHeight="false" outlineLevel="0" collapsed="false">
      <c r="A236" s="5" t="s">
        <v>12139</v>
      </c>
      <c r="B236" s="5" t="s">
        <v>390</v>
      </c>
      <c r="C236" s="5" t="s">
        <v>133</v>
      </c>
      <c r="D236" s="5" t="s">
        <v>28</v>
      </c>
      <c r="E236" s="5" t="n">
        <f aca="false">ROUND(12063*1.05,2)</f>
        <v>12666.15</v>
      </c>
      <c r="F236" s="5" t="s">
        <v>29</v>
      </c>
      <c r="G236" s="5" t="s">
        <v>30</v>
      </c>
      <c r="H236" s="5" t="n">
        <f aca="true">ROUND(RAND()*4+6,1)</f>
        <v>6.1</v>
      </c>
      <c r="I236" s="5" t="s">
        <v>31</v>
      </c>
      <c r="J236" s="5" t="str">
        <f aca="false">ROUND(93*1,0)&amp;"%"</f>
        <v>93%</v>
      </c>
    </row>
    <row r="237" customFormat="false" ht="15" hidden="false" customHeight="false" outlineLevel="0" collapsed="false">
      <c r="A237" s="6" t="s">
        <v>12140</v>
      </c>
      <c r="B237" s="6" t="s">
        <v>392</v>
      </c>
      <c r="C237" s="6" t="s">
        <v>133</v>
      </c>
      <c r="D237" s="6" t="s">
        <v>34</v>
      </c>
      <c r="E237" s="6" t="n">
        <f aca="false">ROUND(14653*1.05,2)</f>
        <v>15385.65</v>
      </c>
      <c r="F237" s="6" t="s">
        <v>35</v>
      </c>
      <c r="G237" s="6" t="s">
        <v>18</v>
      </c>
      <c r="H237" s="6" t="n">
        <f aca="true">ROUND(RAND()*4+6,1)</f>
        <v>9.1</v>
      </c>
      <c r="I237" s="6" t="s">
        <v>36</v>
      </c>
      <c r="J237" s="6" t="str">
        <f aca="false">ROUND(79*1,0)&amp;"%"</f>
        <v>79%</v>
      </c>
    </row>
    <row r="238" customFormat="false" ht="15" hidden="false" customHeight="false" outlineLevel="0" collapsed="false">
      <c r="A238" s="5" t="s">
        <v>12141</v>
      </c>
      <c r="B238" s="5" t="s">
        <v>394</v>
      </c>
      <c r="C238" s="5" t="s">
        <v>133</v>
      </c>
      <c r="D238" s="5" t="s">
        <v>39</v>
      </c>
      <c r="E238" s="5" t="n">
        <f aca="false">ROUND(6747*1.05,2)</f>
        <v>7084.35</v>
      </c>
      <c r="F238" s="5" t="s">
        <v>40</v>
      </c>
      <c r="G238" s="5" t="s">
        <v>24</v>
      </c>
      <c r="H238" s="5" t="n">
        <f aca="true">ROUND(RAND()*4+6,1)</f>
        <v>6.9</v>
      </c>
      <c r="I238" s="5" t="s">
        <v>41</v>
      </c>
      <c r="J238" s="5" t="str">
        <f aca="false">ROUND(75*1,0)&amp;"%"</f>
        <v>75%</v>
      </c>
    </row>
    <row r="239" customFormat="false" ht="15" hidden="false" customHeight="false" outlineLevel="0" collapsed="false">
      <c r="A239" s="6" t="s">
        <v>12142</v>
      </c>
      <c r="B239" s="6" t="s">
        <v>396</v>
      </c>
      <c r="C239" s="6" t="s">
        <v>133</v>
      </c>
      <c r="D239" s="6" t="s">
        <v>44</v>
      </c>
      <c r="E239" s="6" t="n">
        <f aca="false">ROUND(16155*1.05,2)</f>
        <v>16962.75</v>
      </c>
      <c r="F239" s="6" t="s">
        <v>45</v>
      </c>
      <c r="G239" s="6" t="s">
        <v>30</v>
      </c>
      <c r="H239" s="6" t="n">
        <f aca="true">ROUND(RAND()*4+6,1)</f>
        <v>9.2</v>
      </c>
      <c r="I239" s="6" t="s">
        <v>46</v>
      </c>
      <c r="J239" s="6" t="str">
        <f aca="false">ROUND(61*1,0)&amp;"%"</f>
        <v>61%</v>
      </c>
    </row>
    <row r="240" customFormat="false" ht="15" hidden="false" customHeight="false" outlineLevel="0" collapsed="false">
      <c r="A240" s="5" t="s">
        <v>12143</v>
      </c>
      <c r="B240" s="5" t="s">
        <v>398</v>
      </c>
      <c r="C240" s="5" t="s">
        <v>133</v>
      </c>
      <c r="D240" s="5" t="s">
        <v>16</v>
      </c>
      <c r="E240" s="5" t="n">
        <f aca="false">ROUND(14772*1.05,2)</f>
        <v>15510.6</v>
      </c>
      <c r="F240" s="5" t="s">
        <v>49</v>
      </c>
      <c r="G240" s="5" t="s">
        <v>18</v>
      </c>
      <c r="H240" s="5" t="n">
        <f aca="true">ROUND(RAND()*4+6,1)</f>
        <v>6.7</v>
      </c>
      <c r="I240" s="5" t="s">
        <v>19</v>
      </c>
      <c r="J240" s="5" t="str">
        <f aca="false">ROUND(67*1,0)&amp;"%"</f>
        <v>67%</v>
      </c>
    </row>
    <row r="241" customFormat="false" ht="15" hidden="false" customHeight="false" outlineLevel="0" collapsed="false">
      <c r="A241" s="6" t="s">
        <v>12144</v>
      </c>
      <c r="B241" s="6" t="s">
        <v>400</v>
      </c>
      <c r="C241" s="6" t="s">
        <v>133</v>
      </c>
      <c r="D241" s="6" t="s">
        <v>22</v>
      </c>
      <c r="E241" s="6" t="n">
        <f aca="false">ROUND(10784*1.05,2)</f>
        <v>11323.2</v>
      </c>
      <c r="F241" s="6" t="s">
        <v>52</v>
      </c>
      <c r="G241" s="6" t="s">
        <v>24</v>
      </c>
      <c r="H241" s="6" t="n">
        <f aca="true">ROUND(RAND()*4+6,1)</f>
        <v>7.4</v>
      </c>
      <c r="I241" s="6" t="s">
        <v>25</v>
      </c>
      <c r="J241" s="6" t="str">
        <f aca="false">ROUND(62*1,0)&amp;"%"</f>
        <v>62%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12145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12146</v>
      </c>
      <c r="B246" s="5" t="s">
        <v>404</v>
      </c>
      <c r="C246" s="5" t="s">
        <v>152</v>
      </c>
      <c r="D246" s="5" t="s">
        <v>16</v>
      </c>
      <c r="E246" s="5" t="n">
        <f aca="false">ROUND(9316*1.05,2)</f>
        <v>9781.8</v>
      </c>
      <c r="F246" s="5" t="s">
        <v>17</v>
      </c>
      <c r="G246" s="5" t="s">
        <v>18</v>
      </c>
      <c r="H246" s="5" t="n">
        <f aca="true">ROUND(RAND()*4+6,1)</f>
        <v>7.6</v>
      </c>
      <c r="I246" s="5" t="s">
        <v>19</v>
      </c>
      <c r="J246" s="5" t="str">
        <f aca="false">ROUND(96*1,0)&amp;"%"</f>
        <v>96%</v>
      </c>
    </row>
    <row r="247" customFormat="false" ht="15" hidden="false" customHeight="false" outlineLevel="0" collapsed="false">
      <c r="A247" s="6" t="s">
        <v>12147</v>
      </c>
      <c r="B247" s="6" t="s">
        <v>406</v>
      </c>
      <c r="C247" s="6" t="s">
        <v>152</v>
      </c>
      <c r="D247" s="6" t="s">
        <v>22</v>
      </c>
      <c r="E247" s="6" t="n">
        <f aca="false">ROUND(17747*1.05,2)</f>
        <v>18634.35</v>
      </c>
      <c r="F247" s="6" t="s">
        <v>23</v>
      </c>
      <c r="G247" s="6" t="s">
        <v>24</v>
      </c>
      <c r="H247" s="6" t="n">
        <f aca="true">ROUND(RAND()*4+6,1)</f>
        <v>9.4</v>
      </c>
      <c r="I247" s="6" t="s">
        <v>25</v>
      </c>
      <c r="J247" s="6" t="str">
        <f aca="false">ROUND(73*1,0)&amp;"%"</f>
        <v>73%</v>
      </c>
    </row>
    <row r="248" customFormat="false" ht="15" hidden="false" customHeight="false" outlineLevel="0" collapsed="false">
      <c r="A248" s="5" t="s">
        <v>12148</v>
      </c>
      <c r="B248" s="5" t="s">
        <v>408</v>
      </c>
      <c r="C248" s="5" t="s">
        <v>152</v>
      </c>
      <c r="D248" s="5" t="s">
        <v>28</v>
      </c>
      <c r="E248" s="5" t="n">
        <f aca="false">ROUND(16414*1.05,2)</f>
        <v>17234.7</v>
      </c>
      <c r="F248" s="5" t="s">
        <v>29</v>
      </c>
      <c r="G248" s="5" t="s">
        <v>30</v>
      </c>
      <c r="H248" s="5" t="n">
        <f aca="true">ROUND(RAND()*4+6,1)</f>
        <v>10</v>
      </c>
      <c r="I248" s="5" t="s">
        <v>31</v>
      </c>
      <c r="J248" s="5" t="str">
        <f aca="false">ROUND(97*1,0)&amp;"%"</f>
        <v>97%</v>
      </c>
    </row>
    <row r="249" customFormat="false" ht="15" hidden="false" customHeight="false" outlineLevel="0" collapsed="false">
      <c r="A249" s="6" t="s">
        <v>12149</v>
      </c>
      <c r="B249" s="6" t="s">
        <v>410</v>
      </c>
      <c r="C249" s="6" t="s">
        <v>152</v>
      </c>
      <c r="D249" s="6" t="s">
        <v>34</v>
      </c>
      <c r="E249" s="6" t="n">
        <f aca="false">ROUND(10368*1.05,2)</f>
        <v>10886.4</v>
      </c>
      <c r="F249" s="6" t="s">
        <v>35</v>
      </c>
      <c r="G249" s="6" t="s">
        <v>18</v>
      </c>
      <c r="H249" s="6" t="n">
        <f aca="true">ROUND(RAND()*4+6,1)</f>
        <v>9.5</v>
      </c>
      <c r="I249" s="6" t="s">
        <v>36</v>
      </c>
      <c r="J249" s="6" t="str">
        <f aca="false">ROUND(73*1,0)&amp;"%"</f>
        <v>73%</v>
      </c>
    </row>
    <row r="250" customFormat="false" ht="15" hidden="false" customHeight="false" outlineLevel="0" collapsed="false">
      <c r="A250" s="5" t="s">
        <v>12150</v>
      </c>
      <c r="B250" s="5" t="s">
        <v>412</v>
      </c>
      <c r="C250" s="5" t="s">
        <v>152</v>
      </c>
      <c r="D250" s="5" t="s">
        <v>39</v>
      </c>
      <c r="E250" s="5" t="n">
        <f aca="false">ROUND(5275*1.05,2)</f>
        <v>5538.75</v>
      </c>
      <c r="F250" s="5" t="s">
        <v>40</v>
      </c>
      <c r="G250" s="5" t="s">
        <v>24</v>
      </c>
      <c r="H250" s="5" t="n">
        <f aca="true">ROUND(RAND()*4+6,1)</f>
        <v>7.8</v>
      </c>
      <c r="I250" s="5" t="s">
        <v>41</v>
      </c>
      <c r="J250" s="5" t="str">
        <f aca="false">ROUND(88*1,0)&amp;"%"</f>
        <v>88%</v>
      </c>
    </row>
    <row r="251" customFormat="false" ht="15" hidden="false" customHeight="false" outlineLevel="0" collapsed="false">
      <c r="A251" s="6" t="s">
        <v>12151</v>
      </c>
      <c r="B251" s="6" t="s">
        <v>414</v>
      </c>
      <c r="C251" s="6" t="s">
        <v>152</v>
      </c>
      <c r="D251" s="6" t="s">
        <v>44</v>
      </c>
      <c r="E251" s="6" t="n">
        <f aca="false">ROUND(7350*1.05,2)</f>
        <v>7717.5</v>
      </c>
      <c r="F251" s="6" t="s">
        <v>45</v>
      </c>
      <c r="G251" s="6" t="s">
        <v>30</v>
      </c>
      <c r="H251" s="6" t="n">
        <f aca="true">ROUND(RAND()*4+6,1)</f>
        <v>6.5</v>
      </c>
      <c r="I251" s="6" t="s">
        <v>46</v>
      </c>
      <c r="J251" s="6" t="str">
        <f aca="false">ROUND(100*1,0)&amp;"%"</f>
        <v>100%</v>
      </c>
    </row>
    <row r="252" customFormat="false" ht="15" hidden="false" customHeight="false" outlineLevel="0" collapsed="false">
      <c r="A252" s="5" t="s">
        <v>12152</v>
      </c>
      <c r="B252" s="5" t="s">
        <v>416</v>
      </c>
      <c r="C252" s="5" t="s">
        <v>152</v>
      </c>
      <c r="D252" s="5" t="s">
        <v>16</v>
      </c>
      <c r="E252" s="5" t="n">
        <f aca="false">ROUND(12314*1.05,2)</f>
        <v>12929.7</v>
      </c>
      <c r="F252" s="5" t="s">
        <v>49</v>
      </c>
      <c r="G252" s="5" t="s">
        <v>18</v>
      </c>
      <c r="H252" s="5" t="n">
        <f aca="true">ROUND(RAND()*4+6,1)</f>
        <v>8.8</v>
      </c>
      <c r="I252" s="5" t="s">
        <v>19</v>
      </c>
      <c r="J252" s="5" t="str">
        <f aca="false">ROUND(91*1,0)&amp;"%"</f>
        <v>91%</v>
      </c>
    </row>
    <row r="253" customFormat="false" ht="15" hidden="false" customHeight="false" outlineLevel="0" collapsed="false">
      <c r="A253" s="6" t="s">
        <v>12153</v>
      </c>
      <c r="B253" s="6" t="s">
        <v>418</v>
      </c>
      <c r="C253" s="6" t="s">
        <v>152</v>
      </c>
      <c r="D253" s="6" t="s">
        <v>22</v>
      </c>
      <c r="E253" s="6" t="n">
        <f aca="false">ROUND(11709*1.05,2)</f>
        <v>12294.45</v>
      </c>
      <c r="F253" s="6" t="s">
        <v>52</v>
      </c>
      <c r="G253" s="6" t="s">
        <v>24</v>
      </c>
      <c r="H253" s="6" t="n">
        <f aca="true">ROUND(RAND()*4+6,1)</f>
        <v>6.1</v>
      </c>
      <c r="I253" s="6" t="s">
        <v>25</v>
      </c>
      <c r="J253" s="6" t="str">
        <f aca="false">ROUND(69*1,0)&amp;"%"</f>
        <v>69%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12154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12155</v>
      </c>
      <c r="B258" s="5" t="s">
        <v>422</v>
      </c>
      <c r="C258" s="5" t="s">
        <v>15</v>
      </c>
      <c r="D258" s="5" t="s">
        <v>16</v>
      </c>
      <c r="E258" s="5" t="n">
        <f aca="false">ROUND(15261*1.05,2)</f>
        <v>16024.05</v>
      </c>
      <c r="F258" s="5" t="s">
        <v>17</v>
      </c>
      <c r="G258" s="5" t="s">
        <v>18</v>
      </c>
      <c r="H258" s="5" t="n">
        <f aca="true">ROUND(RAND()*4+6,1)</f>
        <v>9.9</v>
      </c>
      <c r="I258" s="5" t="s">
        <v>19</v>
      </c>
      <c r="J258" s="5" t="str">
        <f aca="false">ROUND(77*1,0)&amp;"%"</f>
        <v>77%</v>
      </c>
    </row>
    <row r="259" customFormat="false" ht="15" hidden="false" customHeight="false" outlineLevel="0" collapsed="false">
      <c r="A259" s="6" t="s">
        <v>12156</v>
      </c>
      <c r="B259" s="6" t="s">
        <v>424</v>
      </c>
      <c r="C259" s="6" t="s">
        <v>15</v>
      </c>
      <c r="D259" s="6" t="s">
        <v>22</v>
      </c>
      <c r="E259" s="6" t="n">
        <f aca="false">ROUND(15024*1.05,2)</f>
        <v>15775.2</v>
      </c>
      <c r="F259" s="6" t="s">
        <v>23</v>
      </c>
      <c r="G259" s="6" t="s">
        <v>24</v>
      </c>
      <c r="H259" s="6" t="n">
        <f aca="true">ROUND(RAND()*4+6,1)</f>
        <v>8.6</v>
      </c>
      <c r="I259" s="6" t="s">
        <v>25</v>
      </c>
      <c r="J259" s="6" t="str">
        <f aca="false">ROUND(99*1,0)&amp;"%"</f>
        <v>99%</v>
      </c>
    </row>
    <row r="260" customFormat="false" ht="15" hidden="false" customHeight="false" outlineLevel="0" collapsed="false">
      <c r="A260" s="5" t="s">
        <v>12157</v>
      </c>
      <c r="B260" s="5" t="s">
        <v>426</v>
      </c>
      <c r="C260" s="5" t="s">
        <v>15</v>
      </c>
      <c r="D260" s="5" t="s">
        <v>28</v>
      </c>
      <c r="E260" s="5" t="n">
        <f aca="false">ROUND(7079*1.05,2)</f>
        <v>7432.95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ROUND(61*1,0)&amp;"%"</f>
        <v>61%</v>
      </c>
    </row>
    <row r="261" customFormat="false" ht="15" hidden="false" customHeight="false" outlineLevel="0" collapsed="false">
      <c r="A261" s="6" t="s">
        <v>12158</v>
      </c>
      <c r="B261" s="6" t="s">
        <v>428</v>
      </c>
      <c r="C261" s="6" t="s">
        <v>15</v>
      </c>
      <c r="D261" s="6" t="s">
        <v>34</v>
      </c>
      <c r="E261" s="6" t="n">
        <f aca="false">ROUND(5850*1.05,2)</f>
        <v>6142.5</v>
      </c>
      <c r="F261" s="6" t="s">
        <v>35</v>
      </c>
      <c r="G261" s="6" t="s">
        <v>18</v>
      </c>
      <c r="H261" s="6" t="n">
        <f aca="true">ROUND(RAND()*4+6,1)</f>
        <v>9.3</v>
      </c>
      <c r="I261" s="6" t="s">
        <v>36</v>
      </c>
      <c r="J261" s="6" t="str">
        <f aca="false">ROUND(71*1,0)&amp;"%"</f>
        <v>71%</v>
      </c>
    </row>
    <row r="262" customFormat="false" ht="15" hidden="false" customHeight="false" outlineLevel="0" collapsed="false">
      <c r="A262" s="5" t="s">
        <v>12159</v>
      </c>
      <c r="B262" s="5" t="s">
        <v>430</v>
      </c>
      <c r="C262" s="5" t="s">
        <v>15</v>
      </c>
      <c r="D262" s="5" t="s">
        <v>39</v>
      </c>
      <c r="E262" s="5" t="n">
        <f aca="false">ROUND(4202*1.05,2)</f>
        <v>4412.1</v>
      </c>
      <c r="F262" s="5" t="s">
        <v>40</v>
      </c>
      <c r="G262" s="5" t="s">
        <v>24</v>
      </c>
      <c r="H262" s="5" t="n">
        <f aca="true">ROUND(RAND()*4+6,1)</f>
        <v>8.9</v>
      </c>
      <c r="I262" s="5" t="s">
        <v>41</v>
      </c>
      <c r="J262" s="5" t="str">
        <f aca="false">ROUND(75*1,0)&amp;"%"</f>
        <v>75%</v>
      </c>
    </row>
    <row r="263" customFormat="false" ht="15" hidden="false" customHeight="false" outlineLevel="0" collapsed="false">
      <c r="A263" s="6" t="s">
        <v>12160</v>
      </c>
      <c r="B263" s="6" t="s">
        <v>432</v>
      </c>
      <c r="C263" s="6" t="s">
        <v>15</v>
      </c>
      <c r="D263" s="6" t="s">
        <v>44</v>
      </c>
      <c r="E263" s="6" t="n">
        <f aca="false">ROUND(11192*1.05,2)</f>
        <v>11751.6</v>
      </c>
      <c r="F263" s="6" t="s">
        <v>45</v>
      </c>
      <c r="G263" s="6" t="s">
        <v>30</v>
      </c>
      <c r="H263" s="6" t="n">
        <f aca="true">ROUND(RAND()*4+6,1)</f>
        <v>8.9</v>
      </c>
      <c r="I263" s="6" t="s">
        <v>46</v>
      </c>
      <c r="J263" s="6" t="str">
        <f aca="false">ROUND(94*1,0)&amp;"%"</f>
        <v>94%</v>
      </c>
    </row>
    <row r="264" customFormat="false" ht="15" hidden="false" customHeight="false" outlineLevel="0" collapsed="false">
      <c r="A264" s="5" t="s">
        <v>12161</v>
      </c>
      <c r="B264" s="5" t="s">
        <v>434</v>
      </c>
      <c r="C264" s="5" t="s">
        <v>15</v>
      </c>
      <c r="D264" s="5" t="s">
        <v>16</v>
      </c>
      <c r="E264" s="5" t="n">
        <f aca="false">ROUND(10415*1.05,2)</f>
        <v>10935.75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ROUND(92*1,0)&amp;"%"</f>
        <v>92%</v>
      </c>
    </row>
    <row r="265" customFormat="false" ht="15" hidden="false" customHeight="false" outlineLevel="0" collapsed="false">
      <c r="A265" s="6" t="s">
        <v>12162</v>
      </c>
      <c r="B265" s="6" t="s">
        <v>436</v>
      </c>
      <c r="C265" s="6" t="s">
        <v>15</v>
      </c>
      <c r="D265" s="6" t="s">
        <v>22</v>
      </c>
      <c r="E265" s="6" t="n">
        <f aca="false">ROUND(12394*1.05,2)</f>
        <v>13013.7</v>
      </c>
      <c r="F265" s="6" t="s">
        <v>52</v>
      </c>
      <c r="G265" s="6" t="s">
        <v>24</v>
      </c>
      <c r="H265" s="6" t="n">
        <f aca="true">ROUND(RAND()*4+6,1)</f>
        <v>9.8</v>
      </c>
      <c r="I265" s="6" t="s">
        <v>25</v>
      </c>
      <c r="J265" s="6" t="str">
        <f aca="false">ROUND(100*1,0)&amp;"%"</f>
        <v>100%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12163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12164</v>
      </c>
      <c r="B270" s="5" t="s">
        <v>440</v>
      </c>
      <c r="C270" s="5" t="s">
        <v>57</v>
      </c>
      <c r="D270" s="5" t="s">
        <v>16</v>
      </c>
      <c r="E270" s="5" t="n">
        <f aca="false">ROUND(4946*1.05,2)</f>
        <v>5193.3</v>
      </c>
      <c r="F270" s="5" t="s">
        <v>17</v>
      </c>
      <c r="G270" s="5" t="s">
        <v>18</v>
      </c>
      <c r="H270" s="5" t="n">
        <f aca="true">ROUND(RAND()*4+6,1)</f>
        <v>9.2</v>
      </c>
      <c r="I270" s="5" t="s">
        <v>19</v>
      </c>
      <c r="J270" s="5" t="str">
        <f aca="false">ROUND(74*1,0)&amp;"%"</f>
        <v>74%</v>
      </c>
    </row>
    <row r="271" customFormat="false" ht="15" hidden="false" customHeight="false" outlineLevel="0" collapsed="false">
      <c r="A271" s="6" t="s">
        <v>12165</v>
      </c>
      <c r="B271" s="6" t="s">
        <v>442</v>
      </c>
      <c r="C271" s="6" t="s">
        <v>57</v>
      </c>
      <c r="D271" s="6" t="s">
        <v>22</v>
      </c>
      <c r="E271" s="6" t="n">
        <f aca="false">ROUND(17926*1.05,2)</f>
        <v>18822.3</v>
      </c>
      <c r="F271" s="6" t="s">
        <v>23</v>
      </c>
      <c r="G271" s="6" t="s">
        <v>24</v>
      </c>
      <c r="H271" s="6" t="n">
        <f aca="true">ROUND(RAND()*4+6,1)</f>
        <v>9.5</v>
      </c>
      <c r="I271" s="6" t="s">
        <v>25</v>
      </c>
      <c r="J271" s="6" t="str">
        <f aca="false">ROUND(77*1,0)&amp;"%"</f>
        <v>77%</v>
      </c>
    </row>
    <row r="272" customFormat="false" ht="15" hidden="false" customHeight="false" outlineLevel="0" collapsed="false">
      <c r="A272" s="5" t="s">
        <v>12166</v>
      </c>
      <c r="B272" s="5" t="s">
        <v>444</v>
      </c>
      <c r="C272" s="5" t="s">
        <v>57</v>
      </c>
      <c r="D272" s="5" t="s">
        <v>28</v>
      </c>
      <c r="E272" s="5" t="n">
        <f aca="false">ROUND(16736*1.05,2)</f>
        <v>17572.8</v>
      </c>
      <c r="F272" s="5" t="s">
        <v>29</v>
      </c>
      <c r="G272" s="5" t="s">
        <v>30</v>
      </c>
      <c r="H272" s="5" t="n">
        <f aca="true">ROUND(RAND()*4+6,1)</f>
        <v>9</v>
      </c>
      <c r="I272" s="5" t="s">
        <v>31</v>
      </c>
      <c r="J272" s="5" t="str">
        <f aca="false">ROUND(66*1,0)&amp;"%"</f>
        <v>66%</v>
      </c>
    </row>
    <row r="273" customFormat="false" ht="15" hidden="false" customHeight="false" outlineLevel="0" collapsed="false">
      <c r="A273" s="6" t="s">
        <v>12167</v>
      </c>
      <c r="B273" s="6" t="s">
        <v>446</v>
      </c>
      <c r="C273" s="6" t="s">
        <v>57</v>
      </c>
      <c r="D273" s="6" t="s">
        <v>34</v>
      </c>
      <c r="E273" s="6" t="n">
        <f aca="false">ROUND(14969*1.05,2)</f>
        <v>15717.45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ROUND(79*1,0)&amp;"%"</f>
        <v>79%</v>
      </c>
    </row>
    <row r="274" customFormat="false" ht="15" hidden="false" customHeight="false" outlineLevel="0" collapsed="false">
      <c r="A274" s="5" t="s">
        <v>12168</v>
      </c>
      <c r="B274" s="5" t="s">
        <v>448</v>
      </c>
      <c r="C274" s="5" t="s">
        <v>57</v>
      </c>
      <c r="D274" s="5" t="s">
        <v>39</v>
      </c>
      <c r="E274" s="5" t="n">
        <f aca="false">ROUND(7570*1.05,2)</f>
        <v>7948.5</v>
      </c>
      <c r="F274" s="5" t="s">
        <v>40</v>
      </c>
      <c r="G274" s="5" t="s">
        <v>24</v>
      </c>
      <c r="H274" s="5" t="n">
        <f aca="true">ROUND(RAND()*4+6,1)</f>
        <v>9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12169</v>
      </c>
      <c r="B275" s="6" t="s">
        <v>450</v>
      </c>
      <c r="C275" s="6" t="s">
        <v>57</v>
      </c>
      <c r="D275" s="6" t="s">
        <v>44</v>
      </c>
      <c r="E275" s="6" t="n">
        <f aca="false">ROUND(8370*1.05,2)</f>
        <v>8788.5</v>
      </c>
      <c r="F275" s="6" t="s">
        <v>45</v>
      </c>
      <c r="G275" s="6" t="s">
        <v>30</v>
      </c>
      <c r="H275" s="6" t="n">
        <f aca="true">ROUND(RAND()*4+6,1)</f>
        <v>6.4</v>
      </c>
      <c r="I275" s="6" t="s">
        <v>46</v>
      </c>
      <c r="J275" s="6" t="str">
        <f aca="false">ROUND(68*1,0)&amp;"%"</f>
        <v>68%</v>
      </c>
    </row>
    <row r="276" customFormat="false" ht="15" hidden="false" customHeight="false" outlineLevel="0" collapsed="false">
      <c r="A276" s="5" t="s">
        <v>12170</v>
      </c>
      <c r="B276" s="5" t="s">
        <v>452</v>
      </c>
      <c r="C276" s="5" t="s">
        <v>57</v>
      </c>
      <c r="D276" s="5" t="s">
        <v>16</v>
      </c>
      <c r="E276" s="5" t="n">
        <f aca="false">ROUND(16026*1.05,2)</f>
        <v>16827.3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ROUND(83*1,0)&amp;"%"</f>
        <v>83%</v>
      </c>
    </row>
    <row r="277" customFormat="false" ht="15" hidden="false" customHeight="false" outlineLevel="0" collapsed="false">
      <c r="A277" s="6" t="s">
        <v>12171</v>
      </c>
      <c r="B277" s="6" t="s">
        <v>454</v>
      </c>
      <c r="C277" s="6" t="s">
        <v>57</v>
      </c>
      <c r="D277" s="6" t="s">
        <v>22</v>
      </c>
      <c r="E277" s="6" t="n">
        <f aca="false">ROUND(15703*1.05,2)</f>
        <v>16488.15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ROUND(91*1,0)&amp;"%"</f>
        <v>91%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12172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12173</v>
      </c>
      <c r="B282" s="5" t="s">
        <v>458</v>
      </c>
      <c r="C282" s="5" t="s">
        <v>76</v>
      </c>
      <c r="D282" s="5" t="s">
        <v>16</v>
      </c>
      <c r="E282" s="5" t="n">
        <f aca="false">ROUND(14441*1.05,2)</f>
        <v>15163.05</v>
      </c>
      <c r="F282" s="5" t="s">
        <v>17</v>
      </c>
      <c r="G282" s="5" t="s">
        <v>18</v>
      </c>
      <c r="H282" s="5" t="n">
        <f aca="true">ROUND(RAND()*4+6,1)</f>
        <v>6.1</v>
      </c>
      <c r="I282" s="5" t="s">
        <v>19</v>
      </c>
      <c r="J282" s="5" t="str">
        <f aca="false">ROUND(75*1,0)&amp;"%"</f>
        <v>75%</v>
      </c>
    </row>
    <row r="283" customFormat="false" ht="15" hidden="false" customHeight="false" outlineLevel="0" collapsed="false">
      <c r="A283" s="6" t="s">
        <v>12174</v>
      </c>
      <c r="B283" s="6" t="s">
        <v>460</v>
      </c>
      <c r="C283" s="6" t="s">
        <v>76</v>
      </c>
      <c r="D283" s="6" t="s">
        <v>22</v>
      </c>
      <c r="E283" s="6" t="n">
        <f aca="false">ROUND(7456*1.05,2)</f>
        <v>7828.8</v>
      </c>
      <c r="F283" s="6" t="s">
        <v>23</v>
      </c>
      <c r="G283" s="6" t="s">
        <v>24</v>
      </c>
      <c r="H283" s="6" t="n">
        <f aca="true">ROUND(RAND()*4+6,1)</f>
        <v>9.8</v>
      </c>
      <c r="I283" s="6" t="s">
        <v>25</v>
      </c>
      <c r="J283" s="6" t="str">
        <f aca="false">ROUND(87*1,0)&amp;"%"</f>
        <v>87%</v>
      </c>
    </row>
    <row r="284" customFormat="false" ht="15" hidden="false" customHeight="false" outlineLevel="0" collapsed="false">
      <c r="A284" s="5" t="s">
        <v>12175</v>
      </c>
      <c r="B284" s="5" t="s">
        <v>462</v>
      </c>
      <c r="C284" s="5" t="s">
        <v>76</v>
      </c>
      <c r="D284" s="5" t="s">
        <v>28</v>
      </c>
      <c r="E284" s="5" t="n">
        <f aca="false">ROUND(12472*1.05,2)</f>
        <v>13095.6</v>
      </c>
      <c r="F284" s="5" t="s">
        <v>29</v>
      </c>
      <c r="G284" s="5" t="s">
        <v>30</v>
      </c>
      <c r="H284" s="5" t="n">
        <f aca="true">ROUND(RAND()*4+6,1)</f>
        <v>7.9</v>
      </c>
      <c r="I284" s="5" t="s">
        <v>31</v>
      </c>
      <c r="J284" s="5" t="str">
        <f aca="false">ROUND(91*1,0)&amp;"%"</f>
        <v>91%</v>
      </c>
    </row>
    <row r="285" customFormat="false" ht="15" hidden="false" customHeight="false" outlineLevel="0" collapsed="false">
      <c r="A285" s="6" t="s">
        <v>12176</v>
      </c>
      <c r="B285" s="6" t="s">
        <v>464</v>
      </c>
      <c r="C285" s="6" t="s">
        <v>76</v>
      </c>
      <c r="D285" s="6" t="s">
        <v>34</v>
      </c>
      <c r="E285" s="6" t="n">
        <f aca="false">ROUND(4120*1.05,2)</f>
        <v>4326</v>
      </c>
      <c r="F285" s="6" t="s">
        <v>35</v>
      </c>
      <c r="G285" s="6" t="s">
        <v>18</v>
      </c>
      <c r="H285" s="6" t="n">
        <f aca="true">ROUND(RAND()*4+6,1)</f>
        <v>7.1</v>
      </c>
      <c r="I285" s="6" t="s">
        <v>36</v>
      </c>
      <c r="J285" s="6" t="str">
        <f aca="false">ROUND(84*1,0)&amp;"%"</f>
        <v>84%</v>
      </c>
    </row>
    <row r="286" customFormat="false" ht="15" hidden="false" customHeight="false" outlineLevel="0" collapsed="false">
      <c r="A286" s="5" t="s">
        <v>12177</v>
      </c>
      <c r="B286" s="5" t="s">
        <v>466</v>
      </c>
      <c r="C286" s="5" t="s">
        <v>76</v>
      </c>
      <c r="D286" s="5" t="s">
        <v>39</v>
      </c>
      <c r="E286" s="5" t="n">
        <f aca="false">ROUND(12149*1.05,2)</f>
        <v>12756.45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ROUND(88*1,0)&amp;"%"</f>
        <v>88%</v>
      </c>
    </row>
    <row r="287" customFormat="false" ht="15" hidden="false" customHeight="false" outlineLevel="0" collapsed="false">
      <c r="A287" s="6" t="s">
        <v>12178</v>
      </c>
      <c r="B287" s="6" t="s">
        <v>468</v>
      </c>
      <c r="C287" s="6" t="s">
        <v>76</v>
      </c>
      <c r="D287" s="6" t="s">
        <v>44</v>
      </c>
      <c r="E287" s="6" t="n">
        <f aca="false">ROUND(11636*1.05,2)</f>
        <v>12217.8</v>
      </c>
      <c r="F287" s="6" t="s">
        <v>45</v>
      </c>
      <c r="G287" s="6" t="s">
        <v>30</v>
      </c>
      <c r="H287" s="6" t="n">
        <f aca="true">ROUND(RAND()*4+6,1)</f>
        <v>9.1</v>
      </c>
      <c r="I287" s="6" t="s">
        <v>46</v>
      </c>
      <c r="J287" s="6" t="str">
        <f aca="false">ROUND(89*1,0)&amp;"%"</f>
        <v>89%</v>
      </c>
    </row>
    <row r="288" customFormat="false" ht="15" hidden="false" customHeight="false" outlineLevel="0" collapsed="false">
      <c r="A288" s="5" t="s">
        <v>12179</v>
      </c>
      <c r="B288" s="5" t="s">
        <v>470</v>
      </c>
      <c r="C288" s="5" t="s">
        <v>76</v>
      </c>
      <c r="D288" s="5" t="s">
        <v>16</v>
      </c>
      <c r="E288" s="5" t="n">
        <f aca="false">ROUND(9722*1.05,2)</f>
        <v>10208.1</v>
      </c>
      <c r="F288" s="5" t="s">
        <v>49</v>
      </c>
      <c r="G288" s="5" t="s">
        <v>18</v>
      </c>
      <c r="H288" s="5" t="n">
        <f aca="true">ROUND(RAND()*4+6,1)</f>
        <v>9.1</v>
      </c>
      <c r="I288" s="5" t="s">
        <v>19</v>
      </c>
      <c r="J288" s="5" t="str">
        <f aca="false">ROUND(67*1,0)&amp;"%"</f>
        <v>67%</v>
      </c>
    </row>
    <row r="289" customFormat="false" ht="15" hidden="false" customHeight="false" outlineLevel="0" collapsed="false">
      <c r="A289" s="6" t="s">
        <v>12180</v>
      </c>
      <c r="B289" s="6" t="s">
        <v>472</v>
      </c>
      <c r="C289" s="6" t="s">
        <v>76</v>
      </c>
      <c r="D289" s="6" t="s">
        <v>22</v>
      </c>
      <c r="E289" s="6" t="n">
        <f aca="false">ROUND(4996*1.05,2)</f>
        <v>5245.8</v>
      </c>
      <c r="F289" s="6" t="s">
        <v>52</v>
      </c>
      <c r="G289" s="6" t="s">
        <v>24</v>
      </c>
      <c r="H289" s="6" t="n">
        <f aca="true">ROUND(RAND()*4+6,1)</f>
        <v>7.7</v>
      </c>
      <c r="I289" s="6" t="s">
        <v>25</v>
      </c>
      <c r="J289" s="6" t="str">
        <f aca="false">ROUND(81*1,0)&amp;"%"</f>
        <v>81%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12181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12182</v>
      </c>
      <c r="B294" s="5" t="s">
        <v>476</v>
      </c>
      <c r="C294" s="5" t="s">
        <v>95</v>
      </c>
      <c r="D294" s="5" t="s">
        <v>16</v>
      </c>
      <c r="E294" s="5" t="n">
        <f aca="false">ROUND(14115*1.05,2)</f>
        <v>14820.75</v>
      </c>
      <c r="F294" s="5" t="s">
        <v>17</v>
      </c>
      <c r="G294" s="5" t="s">
        <v>18</v>
      </c>
      <c r="H294" s="5" t="n">
        <f aca="true">ROUND(RAND()*4+6,1)</f>
        <v>8.3</v>
      </c>
      <c r="I294" s="5" t="s">
        <v>19</v>
      </c>
      <c r="J294" s="5" t="str">
        <f aca="false">ROUND(99*1,0)&amp;"%"</f>
        <v>99%</v>
      </c>
    </row>
    <row r="295" customFormat="false" ht="15" hidden="false" customHeight="false" outlineLevel="0" collapsed="false">
      <c r="A295" s="6" t="s">
        <v>12183</v>
      </c>
      <c r="B295" s="6" t="s">
        <v>478</v>
      </c>
      <c r="C295" s="6" t="s">
        <v>95</v>
      </c>
      <c r="D295" s="6" t="s">
        <v>22</v>
      </c>
      <c r="E295" s="6" t="n">
        <f aca="false">ROUND(10272*1.05,2)</f>
        <v>10785.6</v>
      </c>
      <c r="F295" s="6" t="s">
        <v>23</v>
      </c>
      <c r="G295" s="6" t="s">
        <v>24</v>
      </c>
      <c r="H295" s="6" t="n">
        <f aca="true">ROUND(RAND()*4+6,1)</f>
        <v>6</v>
      </c>
      <c r="I295" s="6" t="s">
        <v>25</v>
      </c>
      <c r="J295" s="6" t="str">
        <f aca="false">ROUND(96*1,0)&amp;"%"</f>
        <v>96%</v>
      </c>
    </row>
    <row r="296" customFormat="false" ht="15" hidden="false" customHeight="false" outlineLevel="0" collapsed="false">
      <c r="A296" s="5" t="s">
        <v>12184</v>
      </c>
      <c r="B296" s="5" t="s">
        <v>480</v>
      </c>
      <c r="C296" s="5" t="s">
        <v>95</v>
      </c>
      <c r="D296" s="5" t="s">
        <v>28</v>
      </c>
      <c r="E296" s="5" t="n">
        <f aca="false">ROUND(4900*1.05,2)</f>
        <v>5145</v>
      </c>
      <c r="F296" s="5" t="s">
        <v>29</v>
      </c>
      <c r="G296" s="5" t="s">
        <v>30</v>
      </c>
      <c r="H296" s="5" t="n">
        <f aca="true">ROUND(RAND()*4+6,1)</f>
        <v>8.4</v>
      </c>
      <c r="I296" s="5" t="s">
        <v>31</v>
      </c>
      <c r="J296" s="5" t="str">
        <f aca="false">ROUND(83*1,0)&amp;"%"</f>
        <v>83%</v>
      </c>
    </row>
    <row r="297" customFormat="false" ht="15" hidden="false" customHeight="false" outlineLevel="0" collapsed="false">
      <c r="A297" s="6" t="s">
        <v>12185</v>
      </c>
      <c r="B297" s="6" t="s">
        <v>482</v>
      </c>
      <c r="C297" s="6" t="s">
        <v>95</v>
      </c>
      <c r="D297" s="6" t="s">
        <v>34</v>
      </c>
      <c r="E297" s="6" t="n">
        <f aca="false">ROUND(8409*1.05,2)</f>
        <v>8829.45</v>
      </c>
      <c r="F297" s="6" t="s">
        <v>35</v>
      </c>
      <c r="G297" s="6" t="s">
        <v>18</v>
      </c>
      <c r="H297" s="6" t="n">
        <f aca="true">ROUND(RAND()*4+6,1)</f>
        <v>9.6</v>
      </c>
      <c r="I297" s="6" t="s">
        <v>36</v>
      </c>
      <c r="J297" s="6" t="str">
        <f aca="false">ROUND(67*1,0)&amp;"%"</f>
        <v>67%</v>
      </c>
    </row>
    <row r="298" customFormat="false" ht="15" hidden="false" customHeight="false" outlineLevel="0" collapsed="false">
      <c r="A298" s="5" t="s">
        <v>12186</v>
      </c>
      <c r="B298" s="5" t="s">
        <v>484</v>
      </c>
      <c r="C298" s="5" t="s">
        <v>95</v>
      </c>
      <c r="D298" s="5" t="s">
        <v>39</v>
      </c>
      <c r="E298" s="5" t="n">
        <f aca="false">ROUND(14182*1.05,2)</f>
        <v>14891.1</v>
      </c>
      <c r="F298" s="5" t="s">
        <v>40</v>
      </c>
      <c r="G298" s="5" t="s">
        <v>24</v>
      </c>
      <c r="H298" s="5" t="n">
        <f aca="true">ROUND(RAND()*4+6,1)</f>
        <v>7.9</v>
      </c>
      <c r="I298" s="5" t="s">
        <v>41</v>
      </c>
      <c r="J298" s="5" t="str">
        <f aca="false">ROUND(93*1,0)&amp;"%"</f>
        <v>93%</v>
      </c>
    </row>
    <row r="299" customFormat="false" ht="15" hidden="false" customHeight="false" outlineLevel="0" collapsed="false">
      <c r="A299" s="6" t="s">
        <v>12187</v>
      </c>
      <c r="B299" s="6" t="s">
        <v>486</v>
      </c>
      <c r="C299" s="6" t="s">
        <v>95</v>
      </c>
      <c r="D299" s="6" t="s">
        <v>44</v>
      </c>
      <c r="E299" s="6" t="n">
        <f aca="false">ROUND(16093*1.05,2)</f>
        <v>16897.65</v>
      </c>
      <c r="F299" s="6" t="s">
        <v>45</v>
      </c>
      <c r="G299" s="6" t="s">
        <v>30</v>
      </c>
      <c r="H299" s="6" t="n">
        <f aca="true">ROUND(RAND()*4+6,1)</f>
        <v>9</v>
      </c>
      <c r="I299" s="6" t="s">
        <v>46</v>
      </c>
      <c r="J299" s="6" t="str">
        <f aca="false">ROUND(98*1,0)&amp;"%"</f>
        <v>98%</v>
      </c>
    </row>
    <row r="300" customFormat="false" ht="15" hidden="false" customHeight="false" outlineLevel="0" collapsed="false">
      <c r="A300" s="5" t="s">
        <v>12188</v>
      </c>
      <c r="B300" s="5" t="s">
        <v>488</v>
      </c>
      <c r="C300" s="5" t="s">
        <v>95</v>
      </c>
      <c r="D300" s="5" t="s">
        <v>16</v>
      </c>
      <c r="E300" s="5" t="n">
        <f aca="false">ROUND(14623*1.05,2)</f>
        <v>15354.15</v>
      </c>
      <c r="F300" s="5" t="s">
        <v>49</v>
      </c>
      <c r="G300" s="5" t="s">
        <v>18</v>
      </c>
      <c r="H300" s="5" t="n">
        <f aca="true">ROUND(RAND()*4+6,1)</f>
        <v>7.5</v>
      </c>
      <c r="I300" s="5" t="s">
        <v>19</v>
      </c>
      <c r="J300" s="5" t="str">
        <f aca="false">ROUND(78*1,0)&amp;"%"</f>
        <v>78%</v>
      </c>
    </row>
    <row r="301" customFormat="false" ht="15" hidden="false" customHeight="false" outlineLevel="0" collapsed="false">
      <c r="A301" s="6" t="s">
        <v>12189</v>
      </c>
      <c r="B301" s="6" t="s">
        <v>490</v>
      </c>
      <c r="C301" s="6" t="s">
        <v>95</v>
      </c>
      <c r="D301" s="6" t="s">
        <v>22</v>
      </c>
      <c r="E301" s="6" t="n">
        <f aca="false">ROUND(8279*1.05,2)</f>
        <v>8692.95</v>
      </c>
      <c r="F301" s="6" t="s">
        <v>52</v>
      </c>
      <c r="G301" s="6" t="s">
        <v>24</v>
      </c>
      <c r="H301" s="6" t="n">
        <f aca="true">ROUND(RAND()*4+6,1)</f>
        <v>9.4</v>
      </c>
      <c r="I301" s="6" t="s">
        <v>25</v>
      </c>
      <c r="J301" s="6" t="str">
        <f aca="false">ROUND(93*1,0)&amp;"%"</f>
        <v>93%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12190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12191</v>
      </c>
      <c r="B306" s="5" t="s">
        <v>494</v>
      </c>
      <c r="C306" s="5" t="s">
        <v>114</v>
      </c>
      <c r="D306" s="5" t="s">
        <v>16</v>
      </c>
      <c r="E306" s="5" t="n">
        <f aca="false">ROUND(5943*1.05,2)</f>
        <v>6240.15</v>
      </c>
      <c r="F306" s="5" t="s">
        <v>17</v>
      </c>
      <c r="G306" s="5" t="s">
        <v>18</v>
      </c>
      <c r="H306" s="5" t="n">
        <f aca="true">ROUND(RAND()*4+6,1)</f>
        <v>6</v>
      </c>
      <c r="I306" s="5" t="s">
        <v>19</v>
      </c>
      <c r="J306" s="5" t="str">
        <f aca="false">ROUND(79*1,0)&amp;"%"</f>
        <v>79%</v>
      </c>
    </row>
    <row r="307" customFormat="false" ht="15" hidden="false" customHeight="false" outlineLevel="0" collapsed="false">
      <c r="A307" s="6" t="s">
        <v>12192</v>
      </c>
      <c r="B307" s="6" t="s">
        <v>496</v>
      </c>
      <c r="C307" s="6" t="s">
        <v>114</v>
      </c>
      <c r="D307" s="6" t="s">
        <v>22</v>
      </c>
      <c r="E307" s="6" t="n">
        <f aca="false">ROUND(15270*1.05,2)</f>
        <v>16033.5</v>
      </c>
      <c r="F307" s="6" t="s">
        <v>23</v>
      </c>
      <c r="G307" s="6" t="s">
        <v>24</v>
      </c>
      <c r="H307" s="6" t="n">
        <f aca="true">ROUND(RAND()*4+6,1)</f>
        <v>7</v>
      </c>
      <c r="I307" s="6" t="s">
        <v>25</v>
      </c>
      <c r="J307" s="6" t="str">
        <f aca="false">ROUND(80*1,0)&amp;"%"</f>
        <v>80%</v>
      </c>
    </row>
    <row r="308" customFormat="false" ht="15" hidden="false" customHeight="false" outlineLevel="0" collapsed="false">
      <c r="A308" s="5" t="s">
        <v>12193</v>
      </c>
      <c r="B308" s="5" t="s">
        <v>498</v>
      </c>
      <c r="C308" s="5" t="s">
        <v>114</v>
      </c>
      <c r="D308" s="5" t="s">
        <v>28</v>
      </c>
      <c r="E308" s="5" t="n">
        <f aca="false">ROUND(11201*1.05,2)</f>
        <v>11761.05</v>
      </c>
      <c r="F308" s="5" t="s">
        <v>29</v>
      </c>
      <c r="G308" s="5" t="s">
        <v>30</v>
      </c>
      <c r="H308" s="5" t="n">
        <f aca="true">ROUND(RAND()*4+6,1)</f>
        <v>8.1</v>
      </c>
      <c r="I308" s="5" t="s">
        <v>31</v>
      </c>
      <c r="J308" s="5" t="str">
        <f aca="false">ROUND(61*1,0)&amp;"%"</f>
        <v>61%</v>
      </c>
    </row>
    <row r="309" customFormat="false" ht="15" hidden="false" customHeight="false" outlineLevel="0" collapsed="false">
      <c r="A309" s="6" t="s">
        <v>12194</v>
      </c>
      <c r="B309" s="6" t="s">
        <v>500</v>
      </c>
      <c r="C309" s="6" t="s">
        <v>114</v>
      </c>
      <c r="D309" s="6" t="s">
        <v>34</v>
      </c>
      <c r="E309" s="6" t="n">
        <f aca="false">ROUND(11616*1.05,2)</f>
        <v>12196.8</v>
      </c>
      <c r="F309" s="6" t="s">
        <v>35</v>
      </c>
      <c r="G309" s="6" t="s">
        <v>18</v>
      </c>
      <c r="H309" s="6" t="n">
        <f aca="true">ROUND(RAND()*4+6,1)</f>
        <v>7.7</v>
      </c>
      <c r="I309" s="6" t="s">
        <v>36</v>
      </c>
      <c r="J309" s="6" t="str">
        <f aca="false">ROUND(62*1,0)&amp;"%"</f>
        <v>62%</v>
      </c>
    </row>
    <row r="310" customFormat="false" ht="15" hidden="false" customHeight="false" outlineLevel="0" collapsed="false">
      <c r="A310" s="5" t="s">
        <v>12195</v>
      </c>
      <c r="B310" s="5" t="s">
        <v>502</v>
      </c>
      <c r="C310" s="5" t="s">
        <v>114</v>
      </c>
      <c r="D310" s="5" t="s">
        <v>39</v>
      </c>
      <c r="E310" s="5" t="n">
        <f aca="false">ROUND(12231*1.05,2)</f>
        <v>12842.55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ROUND(95*1,0)&amp;"%"</f>
        <v>95%</v>
      </c>
    </row>
    <row r="311" customFormat="false" ht="15" hidden="false" customHeight="false" outlineLevel="0" collapsed="false">
      <c r="A311" s="6" t="s">
        <v>12196</v>
      </c>
      <c r="B311" s="6" t="s">
        <v>504</v>
      </c>
      <c r="C311" s="6" t="s">
        <v>114</v>
      </c>
      <c r="D311" s="6" t="s">
        <v>44</v>
      </c>
      <c r="E311" s="6" t="n">
        <f aca="false">ROUND(10935*1.05,2)</f>
        <v>11481.75</v>
      </c>
      <c r="F311" s="6" t="s">
        <v>45</v>
      </c>
      <c r="G311" s="6" t="s">
        <v>30</v>
      </c>
      <c r="H311" s="6" t="n">
        <f aca="true">ROUND(RAND()*4+6,1)</f>
        <v>8.7</v>
      </c>
      <c r="I311" s="6" t="s">
        <v>46</v>
      </c>
      <c r="J311" s="6" t="str">
        <f aca="false">ROUND(94*1,0)&amp;"%"</f>
        <v>94%</v>
      </c>
    </row>
    <row r="312" customFormat="false" ht="15" hidden="false" customHeight="false" outlineLevel="0" collapsed="false">
      <c r="A312" s="5" t="s">
        <v>12197</v>
      </c>
      <c r="B312" s="5" t="s">
        <v>506</v>
      </c>
      <c r="C312" s="5" t="s">
        <v>114</v>
      </c>
      <c r="D312" s="5" t="s">
        <v>16</v>
      </c>
      <c r="E312" s="5" t="n">
        <f aca="false">ROUND(9221*1.05,2)</f>
        <v>9682.05</v>
      </c>
      <c r="F312" s="5" t="s">
        <v>49</v>
      </c>
      <c r="G312" s="5" t="s">
        <v>18</v>
      </c>
      <c r="H312" s="5" t="n">
        <f aca="true">ROUND(RAND()*4+6,1)</f>
        <v>7.4</v>
      </c>
      <c r="I312" s="5" t="s">
        <v>19</v>
      </c>
      <c r="J312" s="5" t="str">
        <f aca="false">ROUND(75*1,0)&amp;"%"</f>
        <v>75%</v>
      </c>
    </row>
    <row r="313" customFormat="false" ht="15" hidden="false" customHeight="false" outlineLevel="0" collapsed="false">
      <c r="A313" s="6" t="s">
        <v>12198</v>
      </c>
      <c r="B313" s="6" t="s">
        <v>508</v>
      </c>
      <c r="C313" s="6" t="s">
        <v>114</v>
      </c>
      <c r="D313" s="6" t="s">
        <v>22</v>
      </c>
      <c r="E313" s="6" t="n">
        <f aca="false">ROUND(7819*1.05,2)</f>
        <v>8209.95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ROUND(94*1,0)&amp;"%"</f>
        <v>94%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12199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12200</v>
      </c>
      <c r="B318" s="5" t="s">
        <v>512</v>
      </c>
      <c r="C318" s="5" t="s">
        <v>133</v>
      </c>
      <c r="D318" s="5" t="s">
        <v>16</v>
      </c>
      <c r="E318" s="5" t="n">
        <f aca="false">ROUND(17128*1.05,2)</f>
        <v>17984.4</v>
      </c>
      <c r="F318" s="5" t="s">
        <v>17</v>
      </c>
      <c r="G318" s="5" t="s">
        <v>18</v>
      </c>
      <c r="H318" s="5" t="n">
        <f aca="true">ROUND(RAND()*4+6,1)</f>
        <v>7.2</v>
      </c>
      <c r="I318" s="5" t="s">
        <v>19</v>
      </c>
      <c r="J318" s="5" t="str">
        <f aca="false">ROUND(88*1,0)&amp;"%"</f>
        <v>88%</v>
      </c>
    </row>
    <row r="319" customFormat="false" ht="15" hidden="false" customHeight="false" outlineLevel="0" collapsed="false">
      <c r="A319" s="6" t="s">
        <v>12201</v>
      </c>
      <c r="B319" s="6" t="s">
        <v>514</v>
      </c>
      <c r="C319" s="6" t="s">
        <v>133</v>
      </c>
      <c r="D319" s="6" t="s">
        <v>22</v>
      </c>
      <c r="E319" s="6" t="n">
        <f aca="false">ROUND(4824*1.05,2)</f>
        <v>5065.2</v>
      </c>
      <c r="F319" s="6" t="s">
        <v>23</v>
      </c>
      <c r="G319" s="6" t="s">
        <v>24</v>
      </c>
      <c r="H319" s="6" t="n">
        <f aca="true">ROUND(RAND()*4+6,1)</f>
        <v>8</v>
      </c>
      <c r="I319" s="6" t="s">
        <v>25</v>
      </c>
      <c r="J319" s="6" t="str">
        <f aca="false">ROUND(71*1,0)&amp;"%"</f>
        <v>71%</v>
      </c>
    </row>
    <row r="320" customFormat="false" ht="15" hidden="false" customHeight="false" outlineLevel="0" collapsed="false">
      <c r="A320" s="5" t="s">
        <v>12202</v>
      </c>
      <c r="B320" s="5" t="s">
        <v>516</v>
      </c>
      <c r="C320" s="5" t="s">
        <v>133</v>
      </c>
      <c r="D320" s="5" t="s">
        <v>28</v>
      </c>
      <c r="E320" s="5" t="n">
        <f aca="false">ROUND(15123*1.05,2)</f>
        <v>15879.15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ROUND(99*1,0)&amp;"%"</f>
        <v>99%</v>
      </c>
    </row>
    <row r="321" customFormat="false" ht="15" hidden="false" customHeight="false" outlineLevel="0" collapsed="false">
      <c r="A321" s="6" t="s">
        <v>12203</v>
      </c>
      <c r="B321" s="6" t="s">
        <v>518</v>
      </c>
      <c r="C321" s="6" t="s">
        <v>133</v>
      </c>
      <c r="D321" s="6" t="s">
        <v>34</v>
      </c>
      <c r="E321" s="6" t="n">
        <f aca="false">ROUND(5008*1.05,2)</f>
        <v>5258.4</v>
      </c>
      <c r="F321" s="6" t="s">
        <v>35</v>
      </c>
      <c r="G321" s="6" t="s">
        <v>18</v>
      </c>
      <c r="H321" s="6" t="n">
        <f aca="true">ROUND(RAND()*4+6,1)</f>
        <v>9.5</v>
      </c>
      <c r="I321" s="6" t="s">
        <v>36</v>
      </c>
      <c r="J321" s="6" t="str">
        <f aca="false">ROUND(96*1,0)&amp;"%"</f>
        <v>96%</v>
      </c>
    </row>
    <row r="322" customFormat="false" ht="15" hidden="false" customHeight="false" outlineLevel="0" collapsed="false">
      <c r="A322" s="5" t="s">
        <v>12204</v>
      </c>
      <c r="B322" s="5" t="s">
        <v>520</v>
      </c>
      <c r="C322" s="5" t="s">
        <v>133</v>
      </c>
      <c r="D322" s="5" t="s">
        <v>39</v>
      </c>
      <c r="E322" s="5" t="n">
        <f aca="false">ROUND(15201*1.05,2)</f>
        <v>15961.05</v>
      </c>
      <c r="F322" s="5" t="s">
        <v>40</v>
      </c>
      <c r="G322" s="5" t="s">
        <v>24</v>
      </c>
      <c r="H322" s="5" t="n">
        <f aca="true">ROUND(RAND()*4+6,1)</f>
        <v>8.5</v>
      </c>
      <c r="I322" s="5" t="s">
        <v>41</v>
      </c>
      <c r="J322" s="5" t="str">
        <f aca="false">ROUND(84*1,0)&amp;"%"</f>
        <v>84%</v>
      </c>
    </row>
    <row r="323" customFormat="false" ht="15" hidden="false" customHeight="false" outlineLevel="0" collapsed="false">
      <c r="A323" s="6" t="s">
        <v>12205</v>
      </c>
      <c r="B323" s="6" t="s">
        <v>522</v>
      </c>
      <c r="C323" s="6" t="s">
        <v>133</v>
      </c>
      <c r="D323" s="6" t="s">
        <v>44</v>
      </c>
      <c r="E323" s="6" t="n">
        <f aca="false">ROUND(4204*1.05,2)</f>
        <v>4414.2</v>
      </c>
      <c r="F323" s="6" t="s">
        <v>45</v>
      </c>
      <c r="G323" s="6" t="s">
        <v>30</v>
      </c>
      <c r="H323" s="6" t="n">
        <f aca="true">ROUND(RAND()*4+6,1)</f>
        <v>6</v>
      </c>
      <c r="I323" s="6" t="s">
        <v>46</v>
      </c>
      <c r="J323" s="6" t="str">
        <f aca="false">ROUND(79*1,0)&amp;"%"</f>
        <v>79%</v>
      </c>
    </row>
    <row r="324" customFormat="false" ht="15" hidden="false" customHeight="false" outlineLevel="0" collapsed="false">
      <c r="A324" s="5" t="s">
        <v>12206</v>
      </c>
      <c r="B324" s="5" t="s">
        <v>524</v>
      </c>
      <c r="C324" s="5" t="s">
        <v>133</v>
      </c>
      <c r="D324" s="5" t="s">
        <v>16</v>
      </c>
      <c r="E324" s="5" t="n">
        <f aca="false">ROUND(13951*1.05,2)</f>
        <v>14648.55</v>
      </c>
      <c r="F324" s="5" t="s">
        <v>49</v>
      </c>
      <c r="G324" s="5" t="s">
        <v>18</v>
      </c>
      <c r="H324" s="5" t="n">
        <f aca="true">ROUND(RAND()*4+6,1)</f>
        <v>7.4</v>
      </c>
      <c r="I324" s="5" t="s">
        <v>19</v>
      </c>
      <c r="J324" s="5" t="str">
        <f aca="false">ROUND(72*1,0)&amp;"%"</f>
        <v>72%</v>
      </c>
    </row>
    <row r="325" customFormat="false" ht="15" hidden="false" customHeight="false" outlineLevel="0" collapsed="false">
      <c r="A325" s="6" t="s">
        <v>12207</v>
      </c>
      <c r="B325" s="6" t="s">
        <v>526</v>
      </c>
      <c r="C325" s="6" t="s">
        <v>133</v>
      </c>
      <c r="D325" s="6" t="s">
        <v>22</v>
      </c>
      <c r="E325" s="6" t="n">
        <f aca="false">ROUND(15248*1.05,2)</f>
        <v>16010.4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ROUND(87*1,0)&amp;"%"</f>
        <v>87%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12208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12209</v>
      </c>
      <c r="B330" s="5" t="s">
        <v>530</v>
      </c>
      <c r="C330" s="5" t="s">
        <v>152</v>
      </c>
      <c r="D330" s="5" t="s">
        <v>16</v>
      </c>
      <c r="E330" s="5" t="n">
        <f aca="false">ROUND(11125*1.05,2)</f>
        <v>11681.25</v>
      </c>
      <c r="F330" s="5" t="s">
        <v>17</v>
      </c>
      <c r="G330" s="5" t="s">
        <v>18</v>
      </c>
      <c r="H330" s="5" t="n">
        <f aca="true">ROUND(RAND()*4+6,1)</f>
        <v>9.9</v>
      </c>
      <c r="I330" s="5" t="s">
        <v>19</v>
      </c>
      <c r="J330" s="5" t="str">
        <f aca="false">ROUND(93*1,0)&amp;"%"</f>
        <v>93%</v>
      </c>
    </row>
    <row r="331" customFormat="false" ht="15" hidden="false" customHeight="false" outlineLevel="0" collapsed="false">
      <c r="A331" s="6" t="s">
        <v>12210</v>
      </c>
      <c r="B331" s="6" t="s">
        <v>532</v>
      </c>
      <c r="C331" s="6" t="s">
        <v>152</v>
      </c>
      <c r="D331" s="6" t="s">
        <v>22</v>
      </c>
      <c r="E331" s="6" t="n">
        <f aca="false">ROUND(14971*1.05,2)</f>
        <v>15719.55</v>
      </c>
      <c r="F331" s="6" t="s">
        <v>23</v>
      </c>
      <c r="G331" s="6" t="s">
        <v>24</v>
      </c>
      <c r="H331" s="6" t="n">
        <f aca="true">ROUND(RAND()*4+6,1)</f>
        <v>9.7</v>
      </c>
      <c r="I331" s="6" t="s">
        <v>25</v>
      </c>
      <c r="J331" s="6" t="str">
        <f aca="false">ROUND(78*1,0)&amp;"%"</f>
        <v>78%</v>
      </c>
    </row>
    <row r="332" customFormat="false" ht="15" hidden="false" customHeight="false" outlineLevel="0" collapsed="false">
      <c r="A332" s="5" t="s">
        <v>12211</v>
      </c>
      <c r="B332" s="5" t="s">
        <v>534</v>
      </c>
      <c r="C332" s="5" t="s">
        <v>152</v>
      </c>
      <c r="D332" s="5" t="s">
        <v>28</v>
      </c>
      <c r="E332" s="5" t="n">
        <f aca="false">ROUND(13680*1.05,2)</f>
        <v>14364</v>
      </c>
      <c r="F332" s="5" t="s">
        <v>29</v>
      </c>
      <c r="G332" s="5" t="s">
        <v>30</v>
      </c>
      <c r="H332" s="5" t="n">
        <f aca="true">ROUND(RAND()*4+6,1)</f>
        <v>7.6</v>
      </c>
      <c r="I332" s="5" t="s">
        <v>31</v>
      </c>
      <c r="J332" s="5" t="str">
        <f aca="false">ROUND(78*1,0)&amp;"%"</f>
        <v>78%</v>
      </c>
    </row>
    <row r="333" customFormat="false" ht="15" hidden="false" customHeight="false" outlineLevel="0" collapsed="false">
      <c r="A333" s="6" t="s">
        <v>12212</v>
      </c>
      <c r="B333" s="6" t="s">
        <v>536</v>
      </c>
      <c r="C333" s="6" t="s">
        <v>152</v>
      </c>
      <c r="D333" s="6" t="s">
        <v>34</v>
      </c>
      <c r="E333" s="6" t="n">
        <f aca="false">ROUND(13262*1.05,2)</f>
        <v>13925.1</v>
      </c>
      <c r="F333" s="6" t="s">
        <v>35</v>
      </c>
      <c r="G333" s="6" t="s">
        <v>18</v>
      </c>
      <c r="H333" s="6" t="n">
        <f aca="true">ROUND(RAND()*4+6,1)</f>
        <v>7.9</v>
      </c>
      <c r="I333" s="6" t="s">
        <v>36</v>
      </c>
      <c r="J333" s="6" t="str">
        <f aca="false">ROUND(95*1,0)&amp;"%"</f>
        <v>95%</v>
      </c>
    </row>
    <row r="334" customFormat="false" ht="15" hidden="false" customHeight="false" outlineLevel="0" collapsed="false">
      <c r="A334" s="5" t="s">
        <v>12213</v>
      </c>
      <c r="B334" s="5" t="s">
        <v>538</v>
      </c>
      <c r="C334" s="5" t="s">
        <v>152</v>
      </c>
      <c r="D334" s="5" t="s">
        <v>39</v>
      </c>
      <c r="E334" s="5" t="n">
        <f aca="false">ROUND(13695*1.05,2)</f>
        <v>14379.75</v>
      </c>
      <c r="F334" s="5" t="s">
        <v>40</v>
      </c>
      <c r="G334" s="5" t="s">
        <v>24</v>
      </c>
      <c r="H334" s="5" t="n">
        <f aca="true">ROUND(RAND()*4+6,1)</f>
        <v>7.8</v>
      </c>
      <c r="I334" s="5" t="s">
        <v>41</v>
      </c>
      <c r="J334" s="5" t="str">
        <f aca="false">ROUND(98*1,0)&amp;"%"</f>
        <v>98%</v>
      </c>
    </row>
    <row r="335" customFormat="false" ht="15" hidden="false" customHeight="false" outlineLevel="0" collapsed="false">
      <c r="A335" s="6" t="s">
        <v>12214</v>
      </c>
      <c r="B335" s="6" t="s">
        <v>540</v>
      </c>
      <c r="C335" s="6" t="s">
        <v>152</v>
      </c>
      <c r="D335" s="6" t="s">
        <v>44</v>
      </c>
      <c r="E335" s="6" t="n">
        <f aca="false">ROUND(17655*1.05,2)</f>
        <v>18537.75</v>
      </c>
      <c r="F335" s="6" t="s">
        <v>45</v>
      </c>
      <c r="G335" s="6" t="s">
        <v>30</v>
      </c>
      <c r="H335" s="6" t="n">
        <f aca="true">ROUND(RAND()*4+6,1)</f>
        <v>6.6</v>
      </c>
      <c r="I335" s="6" t="s">
        <v>46</v>
      </c>
      <c r="J335" s="6" t="str">
        <f aca="false">ROUND(88*1,0)&amp;"%"</f>
        <v>88%</v>
      </c>
    </row>
    <row r="336" customFormat="false" ht="15" hidden="false" customHeight="false" outlineLevel="0" collapsed="false">
      <c r="A336" s="5" t="s">
        <v>12215</v>
      </c>
      <c r="B336" s="5" t="s">
        <v>542</v>
      </c>
      <c r="C336" s="5" t="s">
        <v>152</v>
      </c>
      <c r="D336" s="5" t="s">
        <v>16</v>
      </c>
      <c r="E336" s="5" t="n">
        <f aca="false">ROUND(16997*1.05,2)</f>
        <v>17846.85</v>
      </c>
      <c r="F336" s="5" t="s">
        <v>49</v>
      </c>
      <c r="G336" s="5" t="s">
        <v>18</v>
      </c>
      <c r="H336" s="5" t="n">
        <f aca="true">ROUND(RAND()*4+6,1)</f>
        <v>7.7</v>
      </c>
      <c r="I336" s="5" t="s">
        <v>19</v>
      </c>
      <c r="J336" s="5" t="str">
        <f aca="false">ROUND(88*1,0)&amp;"%"</f>
        <v>88%</v>
      </c>
    </row>
    <row r="337" customFormat="false" ht="15" hidden="false" customHeight="false" outlineLevel="0" collapsed="false">
      <c r="A337" s="6" t="s">
        <v>12216</v>
      </c>
      <c r="B337" s="6" t="s">
        <v>544</v>
      </c>
      <c r="C337" s="6" t="s">
        <v>152</v>
      </c>
      <c r="D337" s="6" t="s">
        <v>22</v>
      </c>
      <c r="E337" s="6" t="n">
        <f aca="false">ROUND(16553*1.05,2)</f>
        <v>17380.65</v>
      </c>
      <c r="F337" s="6" t="s">
        <v>52</v>
      </c>
      <c r="G337" s="6" t="s">
        <v>24</v>
      </c>
      <c r="H337" s="6" t="n">
        <f aca="true">ROUND(RAND()*4+6,1)</f>
        <v>7.6</v>
      </c>
      <c r="I337" s="6" t="s">
        <v>25</v>
      </c>
      <c r="J337" s="6" t="str">
        <f aca="false">ROUND(68*1,0)&amp;"%"</f>
        <v>68%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12217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12218</v>
      </c>
      <c r="B342" s="5" t="s">
        <v>548</v>
      </c>
      <c r="C342" s="5" t="s">
        <v>15</v>
      </c>
      <c r="D342" s="5" t="s">
        <v>16</v>
      </c>
      <c r="E342" s="5" t="n">
        <f aca="false">ROUND(5427*1.05,2)</f>
        <v>5698.35</v>
      </c>
      <c r="F342" s="5" t="s">
        <v>17</v>
      </c>
      <c r="G342" s="5" t="s">
        <v>18</v>
      </c>
      <c r="H342" s="5" t="n">
        <f aca="true">ROUND(RAND()*4+6,1)</f>
        <v>9.4</v>
      </c>
      <c r="I342" s="5" t="s">
        <v>19</v>
      </c>
      <c r="J342" s="5" t="str">
        <f aca="false">ROUND(68*1,0)&amp;"%"</f>
        <v>68%</v>
      </c>
    </row>
    <row r="343" customFormat="false" ht="15" hidden="false" customHeight="false" outlineLevel="0" collapsed="false">
      <c r="A343" s="6" t="s">
        <v>12219</v>
      </c>
      <c r="B343" s="6" t="s">
        <v>550</v>
      </c>
      <c r="C343" s="6" t="s">
        <v>15</v>
      </c>
      <c r="D343" s="6" t="s">
        <v>22</v>
      </c>
      <c r="E343" s="6" t="n">
        <f aca="false">ROUND(10168*1.05,2)</f>
        <v>10676.4</v>
      </c>
      <c r="F343" s="6" t="s">
        <v>23</v>
      </c>
      <c r="G343" s="6" t="s">
        <v>24</v>
      </c>
      <c r="H343" s="6" t="n">
        <f aca="true">ROUND(RAND()*4+6,1)</f>
        <v>9.4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12220</v>
      </c>
      <c r="B344" s="5" t="s">
        <v>552</v>
      </c>
      <c r="C344" s="5" t="s">
        <v>15</v>
      </c>
      <c r="D344" s="5" t="s">
        <v>28</v>
      </c>
      <c r="E344" s="5" t="n">
        <f aca="false">ROUND(9002*1.05,2)</f>
        <v>9452.1</v>
      </c>
      <c r="F344" s="5" t="s">
        <v>29</v>
      </c>
      <c r="G344" s="5" t="s">
        <v>30</v>
      </c>
      <c r="H344" s="5" t="n">
        <f aca="true">ROUND(RAND()*4+6,1)</f>
        <v>9.2</v>
      </c>
      <c r="I344" s="5" t="s">
        <v>31</v>
      </c>
      <c r="J344" s="5" t="str">
        <f aca="false">ROUND(64*1,0)&amp;"%"</f>
        <v>64%</v>
      </c>
    </row>
    <row r="345" customFormat="false" ht="15" hidden="false" customHeight="false" outlineLevel="0" collapsed="false">
      <c r="A345" s="6" t="s">
        <v>12221</v>
      </c>
      <c r="B345" s="6" t="s">
        <v>554</v>
      </c>
      <c r="C345" s="6" t="s">
        <v>15</v>
      </c>
      <c r="D345" s="6" t="s">
        <v>34</v>
      </c>
      <c r="E345" s="6" t="n">
        <f aca="false">ROUND(9554*1.05,2)</f>
        <v>10031.7</v>
      </c>
      <c r="F345" s="6" t="s">
        <v>35</v>
      </c>
      <c r="G345" s="6" t="s">
        <v>18</v>
      </c>
      <c r="H345" s="6" t="n">
        <f aca="true">ROUND(RAND()*4+6,1)</f>
        <v>9.1</v>
      </c>
      <c r="I345" s="6" t="s">
        <v>36</v>
      </c>
      <c r="J345" s="6" t="str">
        <f aca="false">ROUND(98*1,0)&amp;"%"</f>
        <v>98%</v>
      </c>
    </row>
    <row r="346" customFormat="false" ht="15" hidden="false" customHeight="false" outlineLevel="0" collapsed="false">
      <c r="A346" s="5" t="s">
        <v>12222</v>
      </c>
      <c r="B346" s="5" t="s">
        <v>556</v>
      </c>
      <c r="C346" s="5" t="s">
        <v>15</v>
      </c>
      <c r="D346" s="5" t="s">
        <v>39</v>
      </c>
      <c r="E346" s="5" t="n">
        <f aca="false">ROUND(8741*1.05,2)</f>
        <v>9178.05</v>
      </c>
      <c r="F346" s="5" t="s">
        <v>40</v>
      </c>
      <c r="G346" s="5" t="s">
        <v>24</v>
      </c>
      <c r="H346" s="5" t="n">
        <f aca="true">ROUND(RAND()*4+6,1)</f>
        <v>7.6</v>
      </c>
      <c r="I346" s="5" t="s">
        <v>41</v>
      </c>
      <c r="J346" s="5" t="str">
        <f aca="false">ROUND(77*1,0)&amp;"%"</f>
        <v>77%</v>
      </c>
    </row>
    <row r="347" customFormat="false" ht="15" hidden="false" customHeight="false" outlineLevel="0" collapsed="false">
      <c r="A347" s="6" t="s">
        <v>12223</v>
      </c>
      <c r="B347" s="6" t="s">
        <v>558</v>
      </c>
      <c r="C347" s="6" t="s">
        <v>15</v>
      </c>
      <c r="D347" s="6" t="s">
        <v>44</v>
      </c>
      <c r="E347" s="6" t="n">
        <f aca="false">ROUND(11885*1.05,2)</f>
        <v>12479.25</v>
      </c>
      <c r="F347" s="6" t="s">
        <v>45</v>
      </c>
      <c r="G347" s="6" t="s">
        <v>30</v>
      </c>
      <c r="H347" s="6" t="n">
        <f aca="true">ROUND(RAND()*4+6,1)</f>
        <v>6.8</v>
      </c>
      <c r="I347" s="6" t="s">
        <v>46</v>
      </c>
      <c r="J347" s="6" t="str">
        <f aca="false">ROUND(88*1,0)&amp;"%"</f>
        <v>88%</v>
      </c>
    </row>
    <row r="348" customFormat="false" ht="15" hidden="false" customHeight="false" outlineLevel="0" collapsed="false">
      <c r="A348" s="5" t="s">
        <v>12224</v>
      </c>
      <c r="B348" s="5" t="s">
        <v>560</v>
      </c>
      <c r="C348" s="5" t="s">
        <v>15</v>
      </c>
      <c r="D348" s="5" t="s">
        <v>16</v>
      </c>
      <c r="E348" s="5" t="n">
        <f aca="false">ROUND(16235*1.05,2)</f>
        <v>17046.75</v>
      </c>
      <c r="F348" s="5" t="s">
        <v>49</v>
      </c>
      <c r="G348" s="5" t="s">
        <v>18</v>
      </c>
      <c r="H348" s="5" t="n">
        <f aca="true">ROUND(RAND()*4+6,1)</f>
        <v>7.4</v>
      </c>
      <c r="I348" s="5" t="s">
        <v>19</v>
      </c>
      <c r="J348" s="5" t="str">
        <f aca="false">ROUND(88*1,0)&amp;"%"</f>
        <v>88%</v>
      </c>
    </row>
    <row r="349" customFormat="false" ht="15" hidden="false" customHeight="false" outlineLevel="0" collapsed="false">
      <c r="A349" s="6" t="s">
        <v>12225</v>
      </c>
      <c r="B349" s="6" t="s">
        <v>562</v>
      </c>
      <c r="C349" s="6" t="s">
        <v>15</v>
      </c>
      <c r="D349" s="6" t="s">
        <v>22</v>
      </c>
      <c r="E349" s="6" t="n">
        <f aca="false">ROUND(5300*1.05,2)</f>
        <v>5565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ROUND(60*1,0)&amp;"%"</f>
        <v>60%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12226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12227</v>
      </c>
      <c r="B354" s="5" t="s">
        <v>566</v>
      </c>
      <c r="C354" s="5" t="s">
        <v>57</v>
      </c>
      <c r="D354" s="5" t="s">
        <v>16</v>
      </c>
      <c r="E354" s="5" t="n">
        <f aca="false">ROUND(4307*1.05,2)</f>
        <v>4522.35</v>
      </c>
      <c r="F354" s="5" t="s">
        <v>17</v>
      </c>
      <c r="G354" s="5" t="s">
        <v>18</v>
      </c>
      <c r="H354" s="5" t="n">
        <f aca="true">ROUND(RAND()*4+6,1)</f>
        <v>7.3</v>
      </c>
      <c r="I354" s="5" t="s">
        <v>19</v>
      </c>
      <c r="J354" s="5" t="str">
        <f aca="false">ROUND(64*1,0)&amp;"%"</f>
        <v>64%</v>
      </c>
    </row>
    <row r="355" customFormat="false" ht="15" hidden="false" customHeight="false" outlineLevel="0" collapsed="false">
      <c r="A355" s="6" t="s">
        <v>12228</v>
      </c>
      <c r="B355" s="6" t="s">
        <v>568</v>
      </c>
      <c r="C355" s="6" t="s">
        <v>57</v>
      </c>
      <c r="D355" s="6" t="s">
        <v>22</v>
      </c>
      <c r="E355" s="6" t="n">
        <f aca="false">ROUND(14394*1.05,2)</f>
        <v>15113.7</v>
      </c>
      <c r="F355" s="6" t="s">
        <v>23</v>
      </c>
      <c r="G355" s="6" t="s">
        <v>24</v>
      </c>
      <c r="H355" s="6" t="n">
        <f aca="true">ROUND(RAND()*4+6,1)</f>
        <v>9</v>
      </c>
      <c r="I355" s="6" t="s">
        <v>25</v>
      </c>
      <c r="J355" s="6" t="str">
        <f aca="false">ROUND(99*1,0)&amp;"%"</f>
        <v>99%</v>
      </c>
    </row>
    <row r="356" customFormat="false" ht="15" hidden="false" customHeight="false" outlineLevel="0" collapsed="false">
      <c r="A356" s="5" t="s">
        <v>12229</v>
      </c>
      <c r="B356" s="5" t="s">
        <v>570</v>
      </c>
      <c r="C356" s="5" t="s">
        <v>57</v>
      </c>
      <c r="D356" s="5" t="s">
        <v>28</v>
      </c>
      <c r="E356" s="5" t="n">
        <f aca="false">ROUND(5859*1.05,2)</f>
        <v>6151.95</v>
      </c>
      <c r="F356" s="5" t="s">
        <v>29</v>
      </c>
      <c r="G356" s="5" t="s">
        <v>30</v>
      </c>
      <c r="H356" s="5" t="n">
        <f aca="true">ROUND(RAND()*4+6,1)</f>
        <v>8.2</v>
      </c>
      <c r="I356" s="5" t="s">
        <v>31</v>
      </c>
      <c r="J356" s="5" t="str">
        <f aca="false">ROUND(62*1,0)&amp;"%"</f>
        <v>62%</v>
      </c>
    </row>
    <row r="357" customFormat="false" ht="15" hidden="false" customHeight="false" outlineLevel="0" collapsed="false">
      <c r="A357" s="6" t="s">
        <v>12230</v>
      </c>
      <c r="B357" s="6" t="s">
        <v>572</v>
      </c>
      <c r="C357" s="6" t="s">
        <v>57</v>
      </c>
      <c r="D357" s="6" t="s">
        <v>34</v>
      </c>
      <c r="E357" s="6" t="n">
        <f aca="false">ROUND(12127*1.05,2)</f>
        <v>12733.35</v>
      </c>
      <c r="F357" s="6" t="s">
        <v>35</v>
      </c>
      <c r="G357" s="6" t="s">
        <v>18</v>
      </c>
      <c r="H357" s="6" t="n">
        <f aca="true">ROUND(RAND()*4+6,1)</f>
        <v>6.9</v>
      </c>
      <c r="I357" s="6" t="s">
        <v>36</v>
      </c>
      <c r="J357" s="6" t="str">
        <f aca="false">ROUND(78*1,0)&amp;"%"</f>
        <v>78%</v>
      </c>
    </row>
    <row r="358" customFormat="false" ht="15" hidden="false" customHeight="false" outlineLevel="0" collapsed="false">
      <c r="A358" s="5" t="s">
        <v>12231</v>
      </c>
      <c r="B358" s="5" t="s">
        <v>574</v>
      </c>
      <c r="C358" s="5" t="s">
        <v>57</v>
      </c>
      <c r="D358" s="5" t="s">
        <v>39</v>
      </c>
      <c r="E358" s="5" t="n">
        <f aca="false">ROUND(14238*1.05,2)</f>
        <v>14949.9</v>
      </c>
      <c r="F358" s="5" t="s">
        <v>40</v>
      </c>
      <c r="G358" s="5" t="s">
        <v>24</v>
      </c>
      <c r="H358" s="5" t="n">
        <f aca="true">ROUND(RAND()*4+6,1)</f>
        <v>8.4</v>
      </c>
      <c r="I358" s="5" t="s">
        <v>41</v>
      </c>
      <c r="J358" s="5" t="str">
        <f aca="false">ROUND(67*1,0)&amp;"%"</f>
        <v>67%</v>
      </c>
    </row>
    <row r="359" customFormat="false" ht="15" hidden="false" customHeight="false" outlineLevel="0" collapsed="false">
      <c r="A359" s="6" t="s">
        <v>12232</v>
      </c>
      <c r="B359" s="6" t="s">
        <v>576</v>
      </c>
      <c r="C359" s="6" t="s">
        <v>57</v>
      </c>
      <c r="D359" s="6" t="s">
        <v>44</v>
      </c>
      <c r="E359" s="6" t="n">
        <f aca="false">ROUND(4808*1.05,2)</f>
        <v>5048.4</v>
      </c>
      <c r="F359" s="6" t="s">
        <v>45</v>
      </c>
      <c r="G359" s="6" t="s">
        <v>30</v>
      </c>
      <c r="H359" s="6" t="n">
        <f aca="true">ROUND(RAND()*4+6,1)</f>
        <v>8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12233</v>
      </c>
      <c r="B360" s="5" t="s">
        <v>578</v>
      </c>
      <c r="C360" s="5" t="s">
        <v>57</v>
      </c>
      <c r="D360" s="5" t="s">
        <v>16</v>
      </c>
      <c r="E360" s="5" t="n">
        <f aca="false">ROUND(8155*1.05,2)</f>
        <v>8562.75</v>
      </c>
      <c r="F360" s="5" t="s">
        <v>49</v>
      </c>
      <c r="G360" s="5" t="s">
        <v>18</v>
      </c>
      <c r="H360" s="5" t="n">
        <f aca="true">ROUND(RAND()*4+6,1)</f>
        <v>8</v>
      </c>
      <c r="I360" s="5" t="s">
        <v>19</v>
      </c>
      <c r="J360" s="5" t="str">
        <f aca="false">ROUND(82*1,0)&amp;"%"</f>
        <v>82%</v>
      </c>
    </row>
    <row r="361" customFormat="false" ht="15" hidden="false" customHeight="false" outlineLevel="0" collapsed="false">
      <c r="A361" s="6" t="s">
        <v>12234</v>
      </c>
      <c r="B361" s="6" t="s">
        <v>580</v>
      </c>
      <c r="C361" s="6" t="s">
        <v>57</v>
      </c>
      <c r="D361" s="6" t="s">
        <v>22</v>
      </c>
      <c r="E361" s="6" t="n">
        <f aca="false">ROUND(7999*1.05,2)</f>
        <v>8398.95</v>
      </c>
      <c r="F361" s="6" t="s">
        <v>52</v>
      </c>
      <c r="G361" s="6" t="s">
        <v>24</v>
      </c>
      <c r="H361" s="6" t="n">
        <f aca="true">ROUND(RAND()*4+6,1)</f>
        <v>9.7</v>
      </c>
      <c r="I361" s="6" t="s">
        <v>25</v>
      </c>
      <c r="J361" s="6" t="str">
        <f aca="false">ROUND(74*1,0)&amp;"%"</f>
        <v>74%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12235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12236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12237</v>
      </c>
      <c r="B6" s="5" t="s">
        <v>14</v>
      </c>
      <c r="C6" s="5" t="s">
        <v>15</v>
      </c>
      <c r="D6" s="5" t="s">
        <v>16</v>
      </c>
      <c r="E6" s="5" t="n">
        <f aca="false">ROUND(9477*1.05,2)</f>
        <v>9950.85</v>
      </c>
      <c r="F6" s="5" t="s">
        <v>17</v>
      </c>
      <c r="G6" s="5" t="s">
        <v>18</v>
      </c>
      <c r="H6" s="5" t="n">
        <f aca="true">ROUND(RAND()*4+6,1)</f>
        <v>9.9</v>
      </c>
      <c r="I6" s="5" t="s">
        <v>19</v>
      </c>
      <c r="J6" s="5" t="str">
        <f aca="false">ROUND(86*1,0)&amp;"%"</f>
        <v>86%</v>
      </c>
    </row>
    <row r="7" customFormat="false" ht="15" hidden="false" customHeight="false" outlineLevel="0" collapsed="false">
      <c r="A7" s="6" t="s">
        <v>12238</v>
      </c>
      <c r="B7" s="6" t="s">
        <v>21</v>
      </c>
      <c r="C7" s="6" t="s">
        <v>15</v>
      </c>
      <c r="D7" s="6" t="s">
        <v>22</v>
      </c>
      <c r="E7" s="6" t="n">
        <f aca="false">ROUND(8048*1.05,2)</f>
        <v>8450.4</v>
      </c>
      <c r="F7" s="6" t="s">
        <v>23</v>
      </c>
      <c r="G7" s="6" t="s">
        <v>24</v>
      </c>
      <c r="H7" s="6" t="n">
        <f aca="true">ROUND(RAND()*4+6,1)</f>
        <v>7.8</v>
      </c>
      <c r="I7" s="6" t="s">
        <v>25</v>
      </c>
      <c r="J7" s="6" t="str">
        <f aca="false">ROUND(76*1,0)&amp;"%"</f>
        <v>76%</v>
      </c>
    </row>
    <row r="8" customFormat="false" ht="15" hidden="false" customHeight="false" outlineLevel="0" collapsed="false">
      <c r="A8" s="5" t="s">
        <v>12239</v>
      </c>
      <c r="B8" s="5" t="s">
        <v>27</v>
      </c>
      <c r="C8" s="5" t="s">
        <v>15</v>
      </c>
      <c r="D8" s="5" t="s">
        <v>28</v>
      </c>
      <c r="E8" s="5" t="n">
        <f aca="false">ROUND(9158*1.05,2)</f>
        <v>9615.9</v>
      </c>
      <c r="F8" s="5" t="s">
        <v>29</v>
      </c>
      <c r="G8" s="5" t="s">
        <v>30</v>
      </c>
      <c r="H8" s="5" t="n">
        <f aca="true">ROUND(RAND()*4+6,1)</f>
        <v>8.9</v>
      </c>
      <c r="I8" s="5" t="s">
        <v>31</v>
      </c>
      <c r="J8" s="5" t="str">
        <f aca="false">ROUND(67*1,0)&amp;"%"</f>
        <v>67%</v>
      </c>
    </row>
    <row r="9" customFormat="false" ht="15" hidden="false" customHeight="false" outlineLevel="0" collapsed="false">
      <c r="A9" s="6" t="s">
        <v>12240</v>
      </c>
      <c r="B9" s="6" t="s">
        <v>33</v>
      </c>
      <c r="C9" s="6" t="s">
        <v>15</v>
      </c>
      <c r="D9" s="6" t="s">
        <v>34</v>
      </c>
      <c r="E9" s="6" t="n">
        <f aca="false">ROUND(16505*1.05,2)</f>
        <v>17330.25</v>
      </c>
      <c r="F9" s="6" t="s">
        <v>35</v>
      </c>
      <c r="G9" s="6" t="s">
        <v>18</v>
      </c>
      <c r="H9" s="6" t="n">
        <f aca="true">ROUND(RAND()*4+6,1)</f>
        <v>7.5</v>
      </c>
      <c r="I9" s="6" t="s">
        <v>36</v>
      </c>
      <c r="J9" s="6" t="str">
        <f aca="false">ROUND(67*1,0)&amp;"%"</f>
        <v>67%</v>
      </c>
    </row>
    <row r="10" customFormat="false" ht="15" hidden="false" customHeight="false" outlineLevel="0" collapsed="false">
      <c r="A10" s="5" t="s">
        <v>12241</v>
      </c>
      <c r="B10" s="5" t="s">
        <v>38</v>
      </c>
      <c r="C10" s="5" t="s">
        <v>15</v>
      </c>
      <c r="D10" s="5" t="s">
        <v>39</v>
      </c>
      <c r="E10" s="5" t="n">
        <f aca="false">ROUND(7705*1.05,2)</f>
        <v>8090.25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ROUND(99*1,0)&amp;"%"</f>
        <v>99%</v>
      </c>
    </row>
    <row r="11" customFormat="false" ht="15" hidden="false" customHeight="false" outlineLevel="0" collapsed="false">
      <c r="A11" s="6" t="s">
        <v>12242</v>
      </c>
      <c r="B11" s="6" t="s">
        <v>43</v>
      </c>
      <c r="C11" s="6" t="s">
        <v>15</v>
      </c>
      <c r="D11" s="6" t="s">
        <v>44</v>
      </c>
      <c r="E11" s="6" t="n">
        <f aca="false">ROUND(13264*1.05,2)</f>
        <v>13927.2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ROUND(65*1,0)&amp;"%"</f>
        <v>65%</v>
      </c>
    </row>
    <row r="12" customFormat="false" ht="15" hidden="false" customHeight="false" outlineLevel="0" collapsed="false">
      <c r="A12" s="5" t="s">
        <v>12243</v>
      </c>
      <c r="B12" s="5" t="s">
        <v>48</v>
      </c>
      <c r="C12" s="5" t="s">
        <v>15</v>
      </c>
      <c r="D12" s="5" t="s">
        <v>16</v>
      </c>
      <c r="E12" s="5" t="n">
        <f aca="false">ROUND(13549*1.05,2)</f>
        <v>14226.45</v>
      </c>
      <c r="F12" s="5" t="s">
        <v>49</v>
      </c>
      <c r="G12" s="5" t="s">
        <v>18</v>
      </c>
      <c r="H12" s="5" t="n">
        <f aca="true">ROUND(RAND()*4+6,1)</f>
        <v>8.9</v>
      </c>
      <c r="I12" s="5" t="s">
        <v>19</v>
      </c>
      <c r="J12" s="5" t="str">
        <f aca="false">ROUND(77*1,0)&amp;"%"</f>
        <v>77%</v>
      </c>
    </row>
    <row r="13" customFormat="false" ht="15" hidden="false" customHeight="false" outlineLevel="0" collapsed="false">
      <c r="A13" s="6" t="s">
        <v>12244</v>
      </c>
      <c r="B13" s="6" t="s">
        <v>51</v>
      </c>
      <c r="C13" s="6" t="s">
        <v>15</v>
      </c>
      <c r="D13" s="6" t="s">
        <v>22</v>
      </c>
      <c r="E13" s="6" t="n">
        <f aca="false">ROUND(11832*1.05,2)</f>
        <v>12423.6</v>
      </c>
      <c r="F13" s="6" t="s">
        <v>52</v>
      </c>
      <c r="G13" s="6" t="s">
        <v>24</v>
      </c>
      <c r="H13" s="6" t="n">
        <f aca="true">ROUND(RAND()*4+6,1)</f>
        <v>7.6</v>
      </c>
      <c r="I13" s="6" t="s">
        <v>25</v>
      </c>
      <c r="J13" s="6" t="str">
        <f aca="false">ROUND(81*1,0)&amp;"%"</f>
        <v>81%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12245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12246</v>
      </c>
      <c r="B18" s="5" t="s">
        <v>56</v>
      </c>
      <c r="C18" s="5" t="s">
        <v>57</v>
      </c>
      <c r="D18" s="5" t="s">
        <v>16</v>
      </c>
      <c r="E18" s="5" t="n">
        <f aca="false">ROUND(10031*1.05,2)</f>
        <v>10532.55</v>
      </c>
      <c r="F18" s="5" t="s">
        <v>17</v>
      </c>
      <c r="G18" s="5" t="s">
        <v>18</v>
      </c>
      <c r="H18" s="5" t="n">
        <f aca="true">ROUND(RAND()*4+6,1)</f>
        <v>9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12247</v>
      </c>
      <c r="B19" s="6" t="s">
        <v>59</v>
      </c>
      <c r="C19" s="6" t="s">
        <v>57</v>
      </c>
      <c r="D19" s="6" t="s">
        <v>22</v>
      </c>
      <c r="E19" s="6" t="n">
        <f aca="false">ROUND(7848*1.05,2)</f>
        <v>8240.4</v>
      </c>
      <c r="F19" s="6" t="s">
        <v>23</v>
      </c>
      <c r="G19" s="6" t="s">
        <v>24</v>
      </c>
      <c r="H19" s="6" t="n">
        <f aca="true">ROUND(RAND()*4+6,1)</f>
        <v>8.3</v>
      </c>
      <c r="I19" s="6" t="s">
        <v>25</v>
      </c>
      <c r="J19" s="6" t="str">
        <f aca="false">ROUND(70*1,0)&amp;"%"</f>
        <v>70%</v>
      </c>
    </row>
    <row r="20" customFormat="false" ht="15" hidden="false" customHeight="false" outlineLevel="0" collapsed="false">
      <c r="A20" s="5" t="s">
        <v>12248</v>
      </c>
      <c r="B20" s="5" t="s">
        <v>61</v>
      </c>
      <c r="C20" s="5" t="s">
        <v>57</v>
      </c>
      <c r="D20" s="5" t="s">
        <v>28</v>
      </c>
      <c r="E20" s="5" t="n">
        <f aca="false">ROUND(12663*1.05,2)</f>
        <v>13296.15</v>
      </c>
      <c r="F20" s="5" t="s">
        <v>29</v>
      </c>
      <c r="G20" s="5" t="s">
        <v>30</v>
      </c>
      <c r="H20" s="5" t="n">
        <f aca="true">ROUND(RAND()*4+6,1)</f>
        <v>9.7</v>
      </c>
      <c r="I20" s="5" t="s">
        <v>31</v>
      </c>
      <c r="J20" s="5" t="str">
        <f aca="false">ROUND(67*1,0)&amp;"%"</f>
        <v>67%</v>
      </c>
    </row>
    <row r="21" customFormat="false" ht="15" hidden="false" customHeight="false" outlineLevel="0" collapsed="false">
      <c r="A21" s="6" t="s">
        <v>12249</v>
      </c>
      <c r="B21" s="6" t="s">
        <v>63</v>
      </c>
      <c r="C21" s="6" t="s">
        <v>57</v>
      </c>
      <c r="D21" s="6" t="s">
        <v>34</v>
      </c>
      <c r="E21" s="6" t="n">
        <f aca="false">ROUND(5971*1.05,2)</f>
        <v>6269.55</v>
      </c>
      <c r="F21" s="6" t="s">
        <v>35</v>
      </c>
      <c r="G21" s="6" t="s">
        <v>18</v>
      </c>
      <c r="H21" s="6" t="n">
        <f aca="true">ROUND(RAND()*4+6,1)</f>
        <v>7.3</v>
      </c>
      <c r="I21" s="6" t="s">
        <v>36</v>
      </c>
      <c r="J21" s="6" t="str">
        <f aca="false">ROUND(98*1,0)&amp;"%"</f>
        <v>98%</v>
      </c>
    </row>
    <row r="22" customFormat="false" ht="15" hidden="false" customHeight="false" outlineLevel="0" collapsed="false">
      <c r="A22" s="5" t="s">
        <v>12250</v>
      </c>
      <c r="B22" s="5" t="s">
        <v>65</v>
      </c>
      <c r="C22" s="5" t="s">
        <v>57</v>
      </c>
      <c r="D22" s="5" t="s">
        <v>39</v>
      </c>
      <c r="E22" s="5" t="n">
        <f aca="false">ROUND(4898*1.05,2)</f>
        <v>5142.9</v>
      </c>
      <c r="F22" s="5" t="s">
        <v>40</v>
      </c>
      <c r="G22" s="5" t="s">
        <v>24</v>
      </c>
      <c r="H22" s="5" t="n">
        <f aca="true">ROUND(RAND()*4+6,1)</f>
        <v>7.1</v>
      </c>
      <c r="I22" s="5" t="s">
        <v>41</v>
      </c>
      <c r="J22" s="5" t="str">
        <f aca="false">ROUND(61*1,0)&amp;"%"</f>
        <v>61%</v>
      </c>
    </row>
    <row r="23" customFormat="false" ht="15" hidden="false" customHeight="false" outlineLevel="0" collapsed="false">
      <c r="A23" s="6" t="s">
        <v>12251</v>
      </c>
      <c r="B23" s="6" t="s">
        <v>67</v>
      </c>
      <c r="C23" s="6" t="s">
        <v>57</v>
      </c>
      <c r="D23" s="6" t="s">
        <v>44</v>
      </c>
      <c r="E23" s="6" t="n">
        <f aca="false">ROUND(5769*1.05,2)</f>
        <v>6057.45</v>
      </c>
      <c r="F23" s="6" t="s">
        <v>45</v>
      </c>
      <c r="G23" s="6" t="s">
        <v>30</v>
      </c>
      <c r="H23" s="6" t="n">
        <f aca="true">ROUND(RAND()*4+6,1)</f>
        <v>9.2</v>
      </c>
      <c r="I23" s="6" t="s">
        <v>46</v>
      </c>
      <c r="J23" s="6" t="str">
        <f aca="false">ROUND(89*1,0)&amp;"%"</f>
        <v>89%</v>
      </c>
    </row>
    <row r="24" customFormat="false" ht="15" hidden="false" customHeight="false" outlineLevel="0" collapsed="false">
      <c r="A24" s="5" t="s">
        <v>12252</v>
      </c>
      <c r="B24" s="5" t="s">
        <v>69</v>
      </c>
      <c r="C24" s="5" t="s">
        <v>57</v>
      </c>
      <c r="D24" s="5" t="s">
        <v>16</v>
      </c>
      <c r="E24" s="5" t="n">
        <f aca="false">ROUND(14116*1.05,2)</f>
        <v>14821.8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ROUND(67*1,0)&amp;"%"</f>
        <v>67%</v>
      </c>
    </row>
    <row r="25" customFormat="false" ht="15" hidden="false" customHeight="false" outlineLevel="0" collapsed="false">
      <c r="A25" s="6" t="s">
        <v>12253</v>
      </c>
      <c r="B25" s="6" t="s">
        <v>71</v>
      </c>
      <c r="C25" s="6" t="s">
        <v>57</v>
      </c>
      <c r="D25" s="6" t="s">
        <v>22</v>
      </c>
      <c r="E25" s="6" t="n">
        <f aca="false">ROUND(10450*1.05,2)</f>
        <v>10972.5</v>
      </c>
      <c r="F25" s="6" t="s">
        <v>52</v>
      </c>
      <c r="G25" s="6" t="s">
        <v>24</v>
      </c>
      <c r="H25" s="6" t="n">
        <f aca="true">ROUND(RAND()*4+6,1)</f>
        <v>6.6</v>
      </c>
      <c r="I25" s="6" t="s">
        <v>25</v>
      </c>
      <c r="J25" s="6" t="str">
        <f aca="false">ROUND(98*1,0)&amp;"%"</f>
        <v>98%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12254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12255</v>
      </c>
      <c r="B30" s="5" t="s">
        <v>75</v>
      </c>
      <c r="C30" s="5" t="s">
        <v>76</v>
      </c>
      <c r="D30" s="5" t="s">
        <v>16</v>
      </c>
      <c r="E30" s="5" t="n">
        <f aca="false">ROUND(8335*1.05,2)</f>
        <v>8751.75</v>
      </c>
      <c r="F30" s="5" t="s">
        <v>17</v>
      </c>
      <c r="G30" s="5" t="s">
        <v>18</v>
      </c>
      <c r="H30" s="5" t="n">
        <f aca="true">ROUND(RAND()*4+6,1)</f>
        <v>7.6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12256</v>
      </c>
      <c r="B31" s="6" t="s">
        <v>78</v>
      </c>
      <c r="C31" s="6" t="s">
        <v>76</v>
      </c>
      <c r="D31" s="6" t="s">
        <v>22</v>
      </c>
      <c r="E31" s="6" t="n">
        <f aca="false">ROUND(12743*1.05,2)</f>
        <v>13380.15</v>
      </c>
      <c r="F31" s="6" t="s">
        <v>23</v>
      </c>
      <c r="G31" s="6" t="s">
        <v>24</v>
      </c>
      <c r="H31" s="6" t="n">
        <f aca="true">ROUND(RAND()*4+6,1)</f>
        <v>7.8</v>
      </c>
      <c r="I31" s="6" t="s">
        <v>25</v>
      </c>
      <c r="J31" s="6" t="str">
        <f aca="false">ROUND(62*1,0)&amp;"%"</f>
        <v>62%</v>
      </c>
    </row>
    <row r="32" customFormat="false" ht="15" hidden="false" customHeight="false" outlineLevel="0" collapsed="false">
      <c r="A32" s="5" t="s">
        <v>12257</v>
      </c>
      <c r="B32" s="5" t="s">
        <v>80</v>
      </c>
      <c r="C32" s="5" t="s">
        <v>76</v>
      </c>
      <c r="D32" s="5" t="s">
        <v>28</v>
      </c>
      <c r="E32" s="5" t="n">
        <f aca="false">ROUND(12243*1.05,2)</f>
        <v>12855.15</v>
      </c>
      <c r="F32" s="5" t="s">
        <v>29</v>
      </c>
      <c r="G32" s="5" t="s">
        <v>30</v>
      </c>
      <c r="H32" s="5" t="n">
        <f aca="true">ROUND(RAND()*4+6,1)</f>
        <v>7</v>
      </c>
      <c r="I32" s="5" t="s">
        <v>31</v>
      </c>
      <c r="J32" s="5" t="str">
        <f aca="false">ROUND(86*1,0)&amp;"%"</f>
        <v>86%</v>
      </c>
    </row>
    <row r="33" customFormat="false" ht="15" hidden="false" customHeight="false" outlineLevel="0" collapsed="false">
      <c r="A33" s="6" t="s">
        <v>12258</v>
      </c>
      <c r="B33" s="6" t="s">
        <v>82</v>
      </c>
      <c r="C33" s="6" t="s">
        <v>76</v>
      </c>
      <c r="D33" s="6" t="s">
        <v>34</v>
      </c>
      <c r="E33" s="6" t="n">
        <f aca="false">ROUND(14482*1.05,2)</f>
        <v>15206.1</v>
      </c>
      <c r="F33" s="6" t="s">
        <v>35</v>
      </c>
      <c r="G33" s="6" t="s">
        <v>18</v>
      </c>
      <c r="H33" s="6" t="n">
        <f aca="true">ROUND(RAND()*4+6,1)</f>
        <v>8.9</v>
      </c>
      <c r="I33" s="6" t="s">
        <v>36</v>
      </c>
      <c r="J33" s="6" t="str">
        <f aca="false">ROUND(75*1,0)&amp;"%"</f>
        <v>75%</v>
      </c>
    </row>
    <row r="34" customFormat="false" ht="15" hidden="false" customHeight="false" outlineLevel="0" collapsed="false">
      <c r="A34" s="5" t="s">
        <v>12259</v>
      </c>
      <c r="B34" s="5" t="s">
        <v>84</v>
      </c>
      <c r="C34" s="5" t="s">
        <v>76</v>
      </c>
      <c r="D34" s="5" t="s">
        <v>39</v>
      </c>
      <c r="E34" s="5" t="n">
        <f aca="false">ROUND(15092*1.05,2)</f>
        <v>15846.6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ROUND(63*1,0)&amp;"%"</f>
        <v>63%</v>
      </c>
    </row>
    <row r="35" customFormat="false" ht="15" hidden="false" customHeight="false" outlineLevel="0" collapsed="false">
      <c r="A35" s="6" t="s">
        <v>12260</v>
      </c>
      <c r="B35" s="6" t="s">
        <v>86</v>
      </c>
      <c r="C35" s="6" t="s">
        <v>76</v>
      </c>
      <c r="D35" s="6" t="s">
        <v>44</v>
      </c>
      <c r="E35" s="6" t="n">
        <f aca="false">ROUND(6310*1.05,2)</f>
        <v>6625.5</v>
      </c>
      <c r="F35" s="6" t="s">
        <v>45</v>
      </c>
      <c r="G35" s="6" t="s">
        <v>30</v>
      </c>
      <c r="H35" s="6" t="n">
        <f aca="true">ROUND(RAND()*4+6,1)</f>
        <v>6.6</v>
      </c>
      <c r="I35" s="6" t="s">
        <v>46</v>
      </c>
      <c r="J35" s="6" t="str">
        <f aca="false">ROUND(84*1,0)&amp;"%"</f>
        <v>84%</v>
      </c>
    </row>
    <row r="36" customFormat="false" ht="15" hidden="false" customHeight="false" outlineLevel="0" collapsed="false">
      <c r="A36" s="5" t="s">
        <v>12261</v>
      </c>
      <c r="B36" s="5" t="s">
        <v>88</v>
      </c>
      <c r="C36" s="5" t="s">
        <v>76</v>
      </c>
      <c r="D36" s="5" t="s">
        <v>16</v>
      </c>
      <c r="E36" s="5" t="n">
        <f aca="false">ROUND(13484*1.05,2)</f>
        <v>14158.2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ROUND(60*1,0)&amp;"%"</f>
        <v>60%</v>
      </c>
    </row>
    <row r="37" customFormat="false" ht="15" hidden="false" customHeight="false" outlineLevel="0" collapsed="false">
      <c r="A37" s="6" t="s">
        <v>12262</v>
      </c>
      <c r="B37" s="6" t="s">
        <v>90</v>
      </c>
      <c r="C37" s="6" t="s">
        <v>76</v>
      </c>
      <c r="D37" s="6" t="s">
        <v>22</v>
      </c>
      <c r="E37" s="6" t="n">
        <f aca="false">ROUND(13391*1.05,2)</f>
        <v>14060.55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ROUND(61*1,0)&amp;"%"</f>
        <v>61%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12263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12264</v>
      </c>
      <c r="B42" s="5" t="s">
        <v>94</v>
      </c>
      <c r="C42" s="5" t="s">
        <v>95</v>
      </c>
      <c r="D42" s="5" t="s">
        <v>16</v>
      </c>
      <c r="E42" s="5" t="n">
        <f aca="false">ROUND(8133*1.05,2)</f>
        <v>8539.65</v>
      </c>
      <c r="F42" s="5" t="s">
        <v>17</v>
      </c>
      <c r="G42" s="5" t="s">
        <v>18</v>
      </c>
      <c r="H42" s="5" t="n">
        <f aca="true">ROUND(RAND()*4+6,1)</f>
        <v>6.7</v>
      </c>
      <c r="I42" s="5" t="s">
        <v>19</v>
      </c>
      <c r="J42" s="5" t="str">
        <f aca="false">ROUND(85*1,0)&amp;"%"</f>
        <v>85%</v>
      </c>
    </row>
    <row r="43" customFormat="false" ht="15" hidden="false" customHeight="false" outlineLevel="0" collapsed="false">
      <c r="A43" s="6" t="s">
        <v>12265</v>
      </c>
      <c r="B43" s="6" t="s">
        <v>97</v>
      </c>
      <c r="C43" s="6" t="s">
        <v>95</v>
      </c>
      <c r="D43" s="6" t="s">
        <v>22</v>
      </c>
      <c r="E43" s="6" t="n">
        <f aca="false">ROUND(12094*1.05,2)</f>
        <v>12698.7</v>
      </c>
      <c r="F43" s="6" t="s">
        <v>23</v>
      </c>
      <c r="G43" s="6" t="s">
        <v>24</v>
      </c>
      <c r="H43" s="6" t="n">
        <f aca="true">ROUND(RAND()*4+6,1)</f>
        <v>8.4</v>
      </c>
      <c r="I43" s="6" t="s">
        <v>25</v>
      </c>
      <c r="J43" s="6" t="str">
        <f aca="false">ROUND(72*1,0)&amp;"%"</f>
        <v>72%</v>
      </c>
    </row>
    <row r="44" customFormat="false" ht="15" hidden="false" customHeight="false" outlineLevel="0" collapsed="false">
      <c r="A44" s="5" t="s">
        <v>12266</v>
      </c>
      <c r="B44" s="5" t="s">
        <v>99</v>
      </c>
      <c r="C44" s="5" t="s">
        <v>95</v>
      </c>
      <c r="D44" s="5" t="s">
        <v>28</v>
      </c>
      <c r="E44" s="5" t="n">
        <f aca="false">ROUND(8252*1.05,2)</f>
        <v>8664.6</v>
      </c>
      <c r="F44" s="5" t="s">
        <v>29</v>
      </c>
      <c r="G44" s="5" t="s">
        <v>30</v>
      </c>
      <c r="H44" s="5" t="n">
        <f aca="true">ROUND(RAND()*4+6,1)</f>
        <v>6.7</v>
      </c>
      <c r="I44" s="5" t="s">
        <v>31</v>
      </c>
      <c r="J44" s="5" t="str">
        <f aca="false">ROUND(92*1,0)&amp;"%"</f>
        <v>92%</v>
      </c>
    </row>
    <row r="45" customFormat="false" ht="15" hidden="false" customHeight="false" outlineLevel="0" collapsed="false">
      <c r="A45" s="6" t="s">
        <v>12267</v>
      </c>
      <c r="B45" s="6" t="s">
        <v>101</v>
      </c>
      <c r="C45" s="6" t="s">
        <v>95</v>
      </c>
      <c r="D45" s="6" t="s">
        <v>34</v>
      </c>
      <c r="E45" s="6" t="n">
        <f aca="false">ROUND(12003*1.05,2)</f>
        <v>12603.15</v>
      </c>
      <c r="F45" s="6" t="s">
        <v>35</v>
      </c>
      <c r="G45" s="6" t="s">
        <v>18</v>
      </c>
      <c r="H45" s="6" t="n">
        <f aca="true">ROUND(RAND()*4+6,1)</f>
        <v>9.8</v>
      </c>
      <c r="I45" s="6" t="s">
        <v>36</v>
      </c>
      <c r="J45" s="6" t="str">
        <f aca="false">ROUND(86*1,0)&amp;"%"</f>
        <v>86%</v>
      </c>
    </row>
    <row r="46" customFormat="false" ht="15" hidden="false" customHeight="false" outlineLevel="0" collapsed="false">
      <c r="A46" s="5" t="s">
        <v>12268</v>
      </c>
      <c r="B46" s="5" t="s">
        <v>103</v>
      </c>
      <c r="C46" s="5" t="s">
        <v>95</v>
      </c>
      <c r="D46" s="5" t="s">
        <v>39</v>
      </c>
      <c r="E46" s="5" t="n">
        <f aca="false">ROUND(9499*1.05,2)</f>
        <v>9973.95</v>
      </c>
      <c r="F46" s="5" t="s">
        <v>40</v>
      </c>
      <c r="G46" s="5" t="s">
        <v>24</v>
      </c>
      <c r="H46" s="5" t="n">
        <f aca="true">ROUND(RAND()*4+6,1)</f>
        <v>7.3</v>
      </c>
      <c r="I46" s="5" t="s">
        <v>41</v>
      </c>
      <c r="J46" s="5" t="str">
        <f aca="false">ROUND(69*1,0)&amp;"%"</f>
        <v>69%</v>
      </c>
    </row>
    <row r="47" customFormat="false" ht="15" hidden="false" customHeight="false" outlineLevel="0" collapsed="false">
      <c r="A47" s="6" t="s">
        <v>12269</v>
      </c>
      <c r="B47" s="6" t="s">
        <v>105</v>
      </c>
      <c r="C47" s="6" t="s">
        <v>95</v>
      </c>
      <c r="D47" s="6" t="s">
        <v>44</v>
      </c>
      <c r="E47" s="6" t="n">
        <f aca="false">ROUND(14549*1.05,2)</f>
        <v>15276.45</v>
      </c>
      <c r="F47" s="6" t="s">
        <v>45</v>
      </c>
      <c r="G47" s="6" t="s">
        <v>30</v>
      </c>
      <c r="H47" s="6" t="n">
        <f aca="true">ROUND(RAND()*4+6,1)</f>
        <v>7.2</v>
      </c>
      <c r="I47" s="6" t="s">
        <v>46</v>
      </c>
      <c r="J47" s="6" t="str">
        <f aca="false">ROUND(81*1,0)&amp;"%"</f>
        <v>81%</v>
      </c>
    </row>
    <row r="48" customFormat="false" ht="15" hidden="false" customHeight="false" outlineLevel="0" collapsed="false">
      <c r="A48" s="5" t="s">
        <v>12270</v>
      </c>
      <c r="B48" s="5" t="s">
        <v>107</v>
      </c>
      <c r="C48" s="5" t="s">
        <v>95</v>
      </c>
      <c r="D48" s="5" t="s">
        <v>16</v>
      </c>
      <c r="E48" s="5" t="n">
        <f aca="false">ROUND(14135*1.05,2)</f>
        <v>14841.75</v>
      </c>
      <c r="F48" s="5" t="s">
        <v>49</v>
      </c>
      <c r="G48" s="5" t="s">
        <v>18</v>
      </c>
      <c r="H48" s="5" t="n">
        <f aca="true">ROUND(RAND()*4+6,1)</f>
        <v>8.3</v>
      </c>
      <c r="I48" s="5" t="s">
        <v>19</v>
      </c>
      <c r="J48" s="5" t="str">
        <f aca="false">ROUND(79*1,0)&amp;"%"</f>
        <v>79%</v>
      </c>
    </row>
    <row r="49" customFormat="false" ht="15" hidden="false" customHeight="false" outlineLevel="0" collapsed="false">
      <c r="A49" s="6" t="s">
        <v>12271</v>
      </c>
      <c r="B49" s="6" t="s">
        <v>109</v>
      </c>
      <c r="C49" s="6" t="s">
        <v>95</v>
      </c>
      <c r="D49" s="6" t="s">
        <v>22</v>
      </c>
      <c r="E49" s="6" t="n">
        <f aca="false">ROUND(16340*1.05,2)</f>
        <v>17157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ROUND(83*1,0)&amp;"%"</f>
        <v>83%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12272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12273</v>
      </c>
      <c r="B54" s="5" t="s">
        <v>113</v>
      </c>
      <c r="C54" s="5" t="s">
        <v>114</v>
      </c>
      <c r="D54" s="5" t="s">
        <v>16</v>
      </c>
      <c r="E54" s="5" t="n">
        <f aca="false">ROUND(12929*1.05,2)</f>
        <v>13575.45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ROUND(80*1,0)&amp;"%"</f>
        <v>80%</v>
      </c>
    </row>
    <row r="55" customFormat="false" ht="15" hidden="false" customHeight="false" outlineLevel="0" collapsed="false">
      <c r="A55" s="6" t="s">
        <v>12274</v>
      </c>
      <c r="B55" s="6" t="s">
        <v>116</v>
      </c>
      <c r="C55" s="6" t="s">
        <v>114</v>
      </c>
      <c r="D55" s="6" t="s">
        <v>22</v>
      </c>
      <c r="E55" s="6" t="n">
        <f aca="false">ROUND(16924*1.05,2)</f>
        <v>17770.2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ROUND(90*1,0)&amp;"%"</f>
        <v>90%</v>
      </c>
    </row>
    <row r="56" customFormat="false" ht="15" hidden="false" customHeight="false" outlineLevel="0" collapsed="false">
      <c r="A56" s="5" t="s">
        <v>12275</v>
      </c>
      <c r="B56" s="5" t="s">
        <v>118</v>
      </c>
      <c r="C56" s="5" t="s">
        <v>114</v>
      </c>
      <c r="D56" s="5" t="s">
        <v>28</v>
      </c>
      <c r="E56" s="5" t="n">
        <f aca="false">ROUND(7778*1.05,2)</f>
        <v>8166.9</v>
      </c>
      <c r="F56" s="5" t="s">
        <v>29</v>
      </c>
      <c r="G56" s="5" t="s">
        <v>30</v>
      </c>
      <c r="H56" s="5" t="n">
        <f aca="true">ROUND(RAND()*4+6,1)</f>
        <v>7.9</v>
      </c>
      <c r="I56" s="5" t="s">
        <v>31</v>
      </c>
      <c r="J56" s="5" t="str">
        <f aca="false">ROUND(90*1,0)&amp;"%"</f>
        <v>90%</v>
      </c>
    </row>
    <row r="57" customFormat="false" ht="15" hidden="false" customHeight="false" outlineLevel="0" collapsed="false">
      <c r="A57" s="6" t="s">
        <v>12276</v>
      </c>
      <c r="B57" s="6" t="s">
        <v>120</v>
      </c>
      <c r="C57" s="6" t="s">
        <v>114</v>
      </c>
      <c r="D57" s="6" t="s">
        <v>34</v>
      </c>
      <c r="E57" s="6" t="n">
        <f aca="false">ROUND(9543*1.05,2)</f>
        <v>10020.15</v>
      </c>
      <c r="F57" s="6" t="s">
        <v>35</v>
      </c>
      <c r="G57" s="6" t="s">
        <v>18</v>
      </c>
      <c r="H57" s="6" t="n">
        <f aca="true">ROUND(RAND()*4+6,1)</f>
        <v>8.8</v>
      </c>
      <c r="I57" s="6" t="s">
        <v>36</v>
      </c>
      <c r="J57" s="6" t="str">
        <f aca="false">ROUND(83*1,0)&amp;"%"</f>
        <v>83%</v>
      </c>
    </row>
    <row r="58" customFormat="false" ht="15" hidden="false" customHeight="false" outlineLevel="0" collapsed="false">
      <c r="A58" s="5" t="s">
        <v>12277</v>
      </c>
      <c r="B58" s="5" t="s">
        <v>122</v>
      </c>
      <c r="C58" s="5" t="s">
        <v>114</v>
      </c>
      <c r="D58" s="5" t="s">
        <v>39</v>
      </c>
      <c r="E58" s="5" t="n">
        <f aca="false">ROUND(9213*1.05,2)</f>
        <v>9673.65</v>
      </c>
      <c r="F58" s="5" t="s">
        <v>40</v>
      </c>
      <c r="G58" s="5" t="s">
        <v>24</v>
      </c>
      <c r="H58" s="5" t="n">
        <f aca="true">ROUND(RAND()*4+6,1)</f>
        <v>6.9</v>
      </c>
      <c r="I58" s="5" t="s">
        <v>41</v>
      </c>
      <c r="J58" s="5" t="str">
        <f aca="false">ROUND(94*1,0)&amp;"%"</f>
        <v>94%</v>
      </c>
    </row>
    <row r="59" customFormat="false" ht="15" hidden="false" customHeight="false" outlineLevel="0" collapsed="false">
      <c r="A59" s="6" t="s">
        <v>12278</v>
      </c>
      <c r="B59" s="6" t="s">
        <v>124</v>
      </c>
      <c r="C59" s="6" t="s">
        <v>114</v>
      </c>
      <c r="D59" s="6" t="s">
        <v>44</v>
      </c>
      <c r="E59" s="6" t="n">
        <f aca="false">ROUND(9894*1.05,2)</f>
        <v>10388.7</v>
      </c>
      <c r="F59" s="6" t="s">
        <v>45</v>
      </c>
      <c r="G59" s="6" t="s">
        <v>30</v>
      </c>
      <c r="H59" s="6" t="n">
        <f aca="true">ROUND(RAND()*4+6,1)</f>
        <v>6.2</v>
      </c>
      <c r="I59" s="6" t="s">
        <v>46</v>
      </c>
      <c r="J59" s="6" t="str">
        <f aca="false">ROUND(99*1,0)&amp;"%"</f>
        <v>99%</v>
      </c>
    </row>
    <row r="60" customFormat="false" ht="15" hidden="false" customHeight="false" outlineLevel="0" collapsed="false">
      <c r="A60" s="5" t="s">
        <v>12279</v>
      </c>
      <c r="B60" s="5" t="s">
        <v>126</v>
      </c>
      <c r="C60" s="5" t="s">
        <v>114</v>
      </c>
      <c r="D60" s="5" t="s">
        <v>16</v>
      </c>
      <c r="E60" s="5" t="n">
        <f aca="false">ROUND(17071*1.05,2)</f>
        <v>17924.55</v>
      </c>
      <c r="F60" s="5" t="s">
        <v>49</v>
      </c>
      <c r="G60" s="5" t="s">
        <v>18</v>
      </c>
      <c r="H60" s="5" t="n">
        <f aca="true">ROUND(RAND()*4+6,1)</f>
        <v>6.8</v>
      </c>
      <c r="I60" s="5" t="s">
        <v>19</v>
      </c>
      <c r="J60" s="5" t="str">
        <f aca="false">ROUND(63*1,0)&amp;"%"</f>
        <v>63%</v>
      </c>
    </row>
    <row r="61" customFormat="false" ht="15" hidden="false" customHeight="false" outlineLevel="0" collapsed="false">
      <c r="A61" s="6" t="s">
        <v>12280</v>
      </c>
      <c r="B61" s="6" t="s">
        <v>128</v>
      </c>
      <c r="C61" s="6" t="s">
        <v>114</v>
      </c>
      <c r="D61" s="6" t="s">
        <v>22</v>
      </c>
      <c r="E61" s="6" t="n">
        <f aca="false">ROUND(5792*1.05,2)</f>
        <v>6081.6</v>
      </c>
      <c r="F61" s="6" t="s">
        <v>52</v>
      </c>
      <c r="G61" s="6" t="s">
        <v>24</v>
      </c>
      <c r="H61" s="6" t="n">
        <f aca="true">ROUND(RAND()*4+6,1)</f>
        <v>7.5</v>
      </c>
      <c r="I61" s="6" t="s">
        <v>25</v>
      </c>
      <c r="J61" s="6" t="str">
        <f aca="false">ROUND(65*1,0)&amp;"%"</f>
        <v>65%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12281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12282</v>
      </c>
      <c r="B66" s="5" t="s">
        <v>132</v>
      </c>
      <c r="C66" s="5" t="s">
        <v>133</v>
      </c>
      <c r="D66" s="5" t="s">
        <v>16</v>
      </c>
      <c r="E66" s="5" t="n">
        <f aca="false">ROUND(10349*1.05,2)</f>
        <v>10866.45</v>
      </c>
      <c r="F66" s="5" t="s">
        <v>17</v>
      </c>
      <c r="G66" s="5" t="s">
        <v>18</v>
      </c>
      <c r="H66" s="5" t="n">
        <f aca="true">ROUND(RAND()*4+6,1)</f>
        <v>6.2</v>
      </c>
      <c r="I66" s="5" t="s">
        <v>19</v>
      </c>
      <c r="J66" s="5" t="str">
        <f aca="false">ROUND(68*1,0)&amp;"%"</f>
        <v>68%</v>
      </c>
    </row>
    <row r="67" customFormat="false" ht="15" hidden="false" customHeight="false" outlineLevel="0" collapsed="false">
      <c r="A67" s="6" t="s">
        <v>12283</v>
      </c>
      <c r="B67" s="6" t="s">
        <v>135</v>
      </c>
      <c r="C67" s="6" t="s">
        <v>133</v>
      </c>
      <c r="D67" s="6" t="s">
        <v>22</v>
      </c>
      <c r="E67" s="6" t="n">
        <f aca="false">ROUND(17960*1.05,2)</f>
        <v>18858</v>
      </c>
      <c r="F67" s="6" t="s">
        <v>23</v>
      </c>
      <c r="G67" s="6" t="s">
        <v>24</v>
      </c>
      <c r="H67" s="6" t="n">
        <f aca="true">ROUND(RAND()*4+6,1)</f>
        <v>7.6</v>
      </c>
      <c r="I67" s="6" t="s">
        <v>25</v>
      </c>
      <c r="J67" s="6" t="str">
        <f aca="false">ROUND(75*1,0)&amp;"%"</f>
        <v>75%</v>
      </c>
    </row>
    <row r="68" customFormat="false" ht="15" hidden="false" customHeight="false" outlineLevel="0" collapsed="false">
      <c r="A68" s="5" t="s">
        <v>12284</v>
      </c>
      <c r="B68" s="5" t="s">
        <v>137</v>
      </c>
      <c r="C68" s="5" t="s">
        <v>133</v>
      </c>
      <c r="D68" s="5" t="s">
        <v>28</v>
      </c>
      <c r="E68" s="5" t="n">
        <f aca="false">ROUND(10599*1.05,2)</f>
        <v>11128.95</v>
      </c>
      <c r="F68" s="5" t="s">
        <v>29</v>
      </c>
      <c r="G68" s="5" t="s">
        <v>30</v>
      </c>
      <c r="H68" s="5" t="n">
        <f aca="true">ROUND(RAND()*4+6,1)</f>
        <v>6.5</v>
      </c>
      <c r="I68" s="5" t="s">
        <v>31</v>
      </c>
      <c r="J68" s="5" t="str">
        <f aca="false">ROUND(72*1,0)&amp;"%"</f>
        <v>72%</v>
      </c>
    </row>
    <row r="69" customFormat="false" ht="15" hidden="false" customHeight="false" outlineLevel="0" collapsed="false">
      <c r="A69" s="6" t="s">
        <v>12285</v>
      </c>
      <c r="B69" s="6" t="s">
        <v>139</v>
      </c>
      <c r="C69" s="6" t="s">
        <v>133</v>
      </c>
      <c r="D69" s="6" t="s">
        <v>34</v>
      </c>
      <c r="E69" s="6" t="n">
        <f aca="false">ROUND(5015*1.05,2)</f>
        <v>5265.75</v>
      </c>
      <c r="F69" s="6" t="s">
        <v>35</v>
      </c>
      <c r="G69" s="6" t="s">
        <v>18</v>
      </c>
      <c r="H69" s="6" t="n">
        <f aca="true">ROUND(RAND()*4+6,1)</f>
        <v>6.2</v>
      </c>
      <c r="I69" s="6" t="s">
        <v>36</v>
      </c>
      <c r="J69" s="6" t="str">
        <f aca="false">ROUND(96*1,0)&amp;"%"</f>
        <v>96%</v>
      </c>
    </row>
    <row r="70" customFormat="false" ht="15" hidden="false" customHeight="false" outlineLevel="0" collapsed="false">
      <c r="A70" s="5" t="s">
        <v>12286</v>
      </c>
      <c r="B70" s="5" t="s">
        <v>141</v>
      </c>
      <c r="C70" s="5" t="s">
        <v>133</v>
      </c>
      <c r="D70" s="5" t="s">
        <v>39</v>
      </c>
      <c r="E70" s="5" t="n">
        <f aca="false">ROUND(10832*1.05,2)</f>
        <v>11373.6</v>
      </c>
      <c r="F70" s="5" t="s">
        <v>40</v>
      </c>
      <c r="G70" s="5" t="s">
        <v>24</v>
      </c>
      <c r="H70" s="5" t="n">
        <f aca="true">ROUND(RAND()*4+6,1)</f>
        <v>6.6</v>
      </c>
      <c r="I70" s="5" t="s">
        <v>41</v>
      </c>
      <c r="J70" s="5" t="str">
        <f aca="false">ROUND(90*1,0)&amp;"%"</f>
        <v>90%</v>
      </c>
    </row>
    <row r="71" customFormat="false" ht="15" hidden="false" customHeight="false" outlineLevel="0" collapsed="false">
      <c r="A71" s="6" t="s">
        <v>12287</v>
      </c>
      <c r="B71" s="6" t="s">
        <v>143</v>
      </c>
      <c r="C71" s="6" t="s">
        <v>133</v>
      </c>
      <c r="D71" s="6" t="s">
        <v>44</v>
      </c>
      <c r="E71" s="6" t="n">
        <f aca="false">ROUND(11402*1.05,2)</f>
        <v>11972.1</v>
      </c>
      <c r="F71" s="6" t="s">
        <v>45</v>
      </c>
      <c r="G71" s="6" t="s">
        <v>30</v>
      </c>
      <c r="H71" s="6" t="n">
        <f aca="true">ROUND(RAND()*4+6,1)</f>
        <v>7.4</v>
      </c>
      <c r="I71" s="6" t="s">
        <v>46</v>
      </c>
      <c r="J71" s="6" t="str">
        <f aca="false">ROUND(78*1,0)&amp;"%"</f>
        <v>78%</v>
      </c>
    </row>
    <row r="72" customFormat="false" ht="15" hidden="false" customHeight="false" outlineLevel="0" collapsed="false">
      <c r="A72" s="5" t="s">
        <v>12288</v>
      </c>
      <c r="B72" s="5" t="s">
        <v>145</v>
      </c>
      <c r="C72" s="5" t="s">
        <v>133</v>
      </c>
      <c r="D72" s="5" t="s">
        <v>16</v>
      </c>
      <c r="E72" s="5" t="n">
        <f aca="false">ROUND(6011*1.05,2)</f>
        <v>6311.55</v>
      </c>
      <c r="F72" s="5" t="s">
        <v>49</v>
      </c>
      <c r="G72" s="5" t="s">
        <v>18</v>
      </c>
      <c r="H72" s="5" t="n">
        <f aca="true">ROUND(RAND()*4+6,1)</f>
        <v>8.8</v>
      </c>
      <c r="I72" s="5" t="s">
        <v>19</v>
      </c>
      <c r="J72" s="5" t="str">
        <f aca="false">ROUND(64*1,0)&amp;"%"</f>
        <v>64%</v>
      </c>
    </row>
    <row r="73" customFormat="false" ht="15" hidden="false" customHeight="false" outlineLevel="0" collapsed="false">
      <c r="A73" s="6" t="s">
        <v>12289</v>
      </c>
      <c r="B73" s="6" t="s">
        <v>147</v>
      </c>
      <c r="C73" s="6" t="s">
        <v>133</v>
      </c>
      <c r="D73" s="6" t="s">
        <v>22</v>
      </c>
      <c r="E73" s="6" t="n">
        <f aca="false">ROUND(11080*1.05,2)</f>
        <v>11634</v>
      </c>
      <c r="F73" s="6" t="s">
        <v>52</v>
      </c>
      <c r="G73" s="6" t="s">
        <v>24</v>
      </c>
      <c r="H73" s="6" t="n">
        <f aca="true">ROUND(RAND()*4+6,1)</f>
        <v>6.3</v>
      </c>
      <c r="I73" s="6" t="s">
        <v>25</v>
      </c>
      <c r="J73" s="6" t="str">
        <f aca="false">ROUND(68*1,0)&amp;"%"</f>
        <v>68%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12290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12291</v>
      </c>
      <c r="B78" s="5" t="s">
        <v>151</v>
      </c>
      <c r="C78" s="5" t="s">
        <v>152</v>
      </c>
      <c r="D78" s="5" t="s">
        <v>16</v>
      </c>
      <c r="E78" s="5" t="n">
        <f aca="false">ROUND(14127*1.05,2)</f>
        <v>14833.35</v>
      </c>
      <c r="F78" s="5" t="s">
        <v>17</v>
      </c>
      <c r="G78" s="5" t="s">
        <v>18</v>
      </c>
      <c r="H78" s="5" t="n">
        <f aca="true">ROUND(RAND()*4+6,1)</f>
        <v>9.1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12292</v>
      </c>
      <c r="B79" s="6" t="s">
        <v>154</v>
      </c>
      <c r="C79" s="6" t="s">
        <v>152</v>
      </c>
      <c r="D79" s="6" t="s">
        <v>22</v>
      </c>
      <c r="E79" s="6" t="n">
        <f aca="false">ROUND(9623*1.05,2)</f>
        <v>10104.15</v>
      </c>
      <c r="F79" s="6" t="s">
        <v>23</v>
      </c>
      <c r="G79" s="6" t="s">
        <v>24</v>
      </c>
      <c r="H79" s="6" t="n">
        <f aca="true">ROUND(RAND()*4+6,1)</f>
        <v>9.5</v>
      </c>
      <c r="I79" s="6" t="s">
        <v>25</v>
      </c>
      <c r="J79" s="6" t="str">
        <f aca="false">ROUND(64*1,0)&amp;"%"</f>
        <v>64%</v>
      </c>
    </row>
    <row r="80" customFormat="false" ht="15" hidden="false" customHeight="false" outlineLevel="0" collapsed="false">
      <c r="A80" s="5" t="s">
        <v>12293</v>
      </c>
      <c r="B80" s="5" t="s">
        <v>156</v>
      </c>
      <c r="C80" s="5" t="s">
        <v>152</v>
      </c>
      <c r="D80" s="5" t="s">
        <v>28</v>
      </c>
      <c r="E80" s="5" t="n">
        <f aca="false">ROUND(15186*1.05,2)</f>
        <v>15945.3</v>
      </c>
      <c r="F80" s="5" t="s">
        <v>29</v>
      </c>
      <c r="G80" s="5" t="s">
        <v>30</v>
      </c>
      <c r="H80" s="5" t="n">
        <f aca="true">ROUND(RAND()*4+6,1)</f>
        <v>6.6</v>
      </c>
      <c r="I80" s="5" t="s">
        <v>31</v>
      </c>
      <c r="J80" s="5" t="str">
        <f aca="false">ROUND(100*1,0)&amp;"%"</f>
        <v>100%</v>
      </c>
    </row>
    <row r="81" customFormat="false" ht="15" hidden="false" customHeight="false" outlineLevel="0" collapsed="false">
      <c r="A81" s="6" t="s">
        <v>12294</v>
      </c>
      <c r="B81" s="6" t="s">
        <v>158</v>
      </c>
      <c r="C81" s="6" t="s">
        <v>152</v>
      </c>
      <c r="D81" s="6" t="s">
        <v>34</v>
      </c>
      <c r="E81" s="6" t="n">
        <f aca="false">ROUND(8832*1.05,2)</f>
        <v>9273.6</v>
      </c>
      <c r="F81" s="6" t="s">
        <v>35</v>
      </c>
      <c r="G81" s="6" t="s">
        <v>18</v>
      </c>
      <c r="H81" s="6" t="n">
        <f aca="true">ROUND(RAND()*4+6,1)</f>
        <v>8.8</v>
      </c>
      <c r="I81" s="6" t="s">
        <v>36</v>
      </c>
      <c r="J81" s="6" t="str">
        <f aca="false">ROUND(91*1,0)&amp;"%"</f>
        <v>91%</v>
      </c>
    </row>
    <row r="82" customFormat="false" ht="15" hidden="false" customHeight="false" outlineLevel="0" collapsed="false">
      <c r="A82" s="5" t="s">
        <v>12295</v>
      </c>
      <c r="B82" s="5" t="s">
        <v>160</v>
      </c>
      <c r="C82" s="5" t="s">
        <v>152</v>
      </c>
      <c r="D82" s="5" t="s">
        <v>39</v>
      </c>
      <c r="E82" s="5" t="n">
        <f aca="false">ROUND(14571*1.05,2)</f>
        <v>15299.55</v>
      </c>
      <c r="F82" s="5" t="s">
        <v>40</v>
      </c>
      <c r="G82" s="5" t="s">
        <v>24</v>
      </c>
      <c r="H82" s="5" t="n">
        <f aca="true">ROUND(RAND()*4+6,1)</f>
        <v>9.3</v>
      </c>
      <c r="I82" s="5" t="s">
        <v>41</v>
      </c>
      <c r="J82" s="5" t="str">
        <f aca="false">ROUND(84*1,0)&amp;"%"</f>
        <v>84%</v>
      </c>
    </row>
    <row r="83" customFormat="false" ht="15" hidden="false" customHeight="false" outlineLevel="0" collapsed="false">
      <c r="A83" s="6" t="s">
        <v>12296</v>
      </c>
      <c r="B83" s="6" t="s">
        <v>162</v>
      </c>
      <c r="C83" s="6" t="s">
        <v>152</v>
      </c>
      <c r="D83" s="6" t="s">
        <v>44</v>
      </c>
      <c r="E83" s="6" t="n">
        <f aca="false">ROUND(5287*1.05,2)</f>
        <v>5551.35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ROUND(87*1,0)&amp;"%"</f>
        <v>87%</v>
      </c>
    </row>
    <row r="84" customFormat="false" ht="15" hidden="false" customHeight="false" outlineLevel="0" collapsed="false">
      <c r="A84" s="5" t="s">
        <v>12297</v>
      </c>
      <c r="B84" s="5" t="s">
        <v>164</v>
      </c>
      <c r="C84" s="5" t="s">
        <v>152</v>
      </c>
      <c r="D84" s="5" t="s">
        <v>16</v>
      </c>
      <c r="E84" s="5" t="n">
        <f aca="false">ROUND(7508*1.05,2)</f>
        <v>7883.4</v>
      </c>
      <c r="F84" s="5" t="s">
        <v>49</v>
      </c>
      <c r="G84" s="5" t="s">
        <v>18</v>
      </c>
      <c r="H84" s="5" t="n">
        <f aca="true">ROUND(RAND()*4+6,1)</f>
        <v>8.5</v>
      </c>
      <c r="I84" s="5" t="s">
        <v>19</v>
      </c>
      <c r="J84" s="5" t="str">
        <f aca="false">ROUND(69*1,0)&amp;"%"</f>
        <v>69%</v>
      </c>
    </row>
    <row r="85" customFormat="false" ht="15" hidden="false" customHeight="false" outlineLevel="0" collapsed="false">
      <c r="A85" s="6" t="s">
        <v>12298</v>
      </c>
      <c r="B85" s="6" t="s">
        <v>166</v>
      </c>
      <c r="C85" s="6" t="s">
        <v>152</v>
      </c>
      <c r="D85" s="6" t="s">
        <v>22</v>
      </c>
      <c r="E85" s="6" t="n">
        <f aca="false">ROUND(11275*1.05,2)</f>
        <v>11838.75</v>
      </c>
      <c r="F85" s="6" t="s">
        <v>52</v>
      </c>
      <c r="G85" s="6" t="s">
        <v>24</v>
      </c>
      <c r="H85" s="6" t="n">
        <f aca="true">ROUND(RAND()*4+6,1)</f>
        <v>9.2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12299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12300</v>
      </c>
      <c r="B90" s="5" t="s">
        <v>170</v>
      </c>
      <c r="C90" s="5" t="s">
        <v>15</v>
      </c>
      <c r="D90" s="5" t="s">
        <v>16</v>
      </c>
      <c r="E90" s="5" t="n">
        <f aca="false">ROUND(11572*1.05,2)</f>
        <v>12150.6</v>
      </c>
      <c r="F90" s="5" t="s">
        <v>17</v>
      </c>
      <c r="G90" s="5" t="s">
        <v>18</v>
      </c>
      <c r="H90" s="5" t="n">
        <f aca="true">ROUND(RAND()*4+6,1)</f>
        <v>6.1</v>
      </c>
      <c r="I90" s="5" t="s">
        <v>19</v>
      </c>
      <c r="J90" s="5" t="str">
        <f aca="false">ROUND(85*1,0)&amp;"%"</f>
        <v>85%</v>
      </c>
    </row>
    <row r="91" customFormat="false" ht="15" hidden="false" customHeight="false" outlineLevel="0" collapsed="false">
      <c r="A91" s="6" t="s">
        <v>12301</v>
      </c>
      <c r="B91" s="6" t="s">
        <v>172</v>
      </c>
      <c r="C91" s="6" t="s">
        <v>15</v>
      </c>
      <c r="D91" s="6" t="s">
        <v>22</v>
      </c>
      <c r="E91" s="6" t="n">
        <f aca="false">ROUND(11703*1.05,2)</f>
        <v>12288.15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ROUND(64*1,0)&amp;"%"</f>
        <v>64%</v>
      </c>
    </row>
    <row r="92" customFormat="false" ht="15" hidden="false" customHeight="false" outlineLevel="0" collapsed="false">
      <c r="A92" s="5" t="s">
        <v>12302</v>
      </c>
      <c r="B92" s="5" t="s">
        <v>174</v>
      </c>
      <c r="C92" s="5" t="s">
        <v>15</v>
      </c>
      <c r="D92" s="5" t="s">
        <v>28</v>
      </c>
      <c r="E92" s="5" t="n">
        <f aca="false">ROUND(15591*1.05,2)</f>
        <v>16370.55</v>
      </c>
      <c r="F92" s="5" t="s">
        <v>29</v>
      </c>
      <c r="G92" s="5" t="s">
        <v>30</v>
      </c>
      <c r="H92" s="5" t="n">
        <f aca="true">ROUND(RAND()*4+6,1)</f>
        <v>9.7</v>
      </c>
      <c r="I92" s="5" t="s">
        <v>31</v>
      </c>
      <c r="J92" s="5" t="str">
        <f aca="false">ROUND(65*1,0)&amp;"%"</f>
        <v>65%</v>
      </c>
    </row>
    <row r="93" customFormat="false" ht="15" hidden="false" customHeight="false" outlineLevel="0" collapsed="false">
      <c r="A93" s="6" t="s">
        <v>12303</v>
      </c>
      <c r="B93" s="6" t="s">
        <v>176</v>
      </c>
      <c r="C93" s="6" t="s">
        <v>15</v>
      </c>
      <c r="D93" s="6" t="s">
        <v>34</v>
      </c>
      <c r="E93" s="6" t="n">
        <f aca="false">ROUND(14190*1.05,2)</f>
        <v>14899.5</v>
      </c>
      <c r="F93" s="6" t="s">
        <v>35</v>
      </c>
      <c r="G93" s="6" t="s">
        <v>18</v>
      </c>
      <c r="H93" s="6" t="n">
        <f aca="true">ROUND(RAND()*4+6,1)</f>
        <v>9.5</v>
      </c>
      <c r="I93" s="6" t="s">
        <v>36</v>
      </c>
      <c r="J93" s="6" t="str">
        <f aca="false">ROUND(65*1,0)&amp;"%"</f>
        <v>65%</v>
      </c>
    </row>
    <row r="94" customFormat="false" ht="15" hidden="false" customHeight="false" outlineLevel="0" collapsed="false">
      <c r="A94" s="5" t="s">
        <v>12304</v>
      </c>
      <c r="B94" s="5" t="s">
        <v>178</v>
      </c>
      <c r="C94" s="5" t="s">
        <v>15</v>
      </c>
      <c r="D94" s="5" t="s">
        <v>39</v>
      </c>
      <c r="E94" s="5" t="n">
        <f aca="false">ROUND(16717*1.05,2)</f>
        <v>17552.85</v>
      </c>
      <c r="F94" s="5" t="s">
        <v>40</v>
      </c>
      <c r="G94" s="5" t="s">
        <v>24</v>
      </c>
      <c r="H94" s="5" t="n">
        <f aca="true">ROUND(RAND()*4+6,1)</f>
        <v>8.5</v>
      </c>
      <c r="I94" s="5" t="s">
        <v>41</v>
      </c>
      <c r="J94" s="5" t="str">
        <f aca="false">ROUND(95*1,0)&amp;"%"</f>
        <v>95%</v>
      </c>
    </row>
    <row r="95" customFormat="false" ht="15" hidden="false" customHeight="false" outlineLevel="0" collapsed="false">
      <c r="A95" s="6" t="s">
        <v>12305</v>
      </c>
      <c r="B95" s="6" t="s">
        <v>180</v>
      </c>
      <c r="C95" s="6" t="s">
        <v>15</v>
      </c>
      <c r="D95" s="6" t="s">
        <v>44</v>
      </c>
      <c r="E95" s="6" t="n">
        <f aca="false">ROUND(12753*1.05,2)</f>
        <v>13390.65</v>
      </c>
      <c r="F95" s="6" t="s">
        <v>45</v>
      </c>
      <c r="G95" s="6" t="s">
        <v>30</v>
      </c>
      <c r="H95" s="6" t="n">
        <f aca="true">ROUND(RAND()*4+6,1)</f>
        <v>7.1</v>
      </c>
      <c r="I95" s="6" t="s">
        <v>46</v>
      </c>
      <c r="J95" s="6" t="str">
        <f aca="false">ROUND(82*1,0)&amp;"%"</f>
        <v>82%</v>
      </c>
    </row>
    <row r="96" customFormat="false" ht="15" hidden="false" customHeight="false" outlineLevel="0" collapsed="false">
      <c r="A96" s="5" t="s">
        <v>12306</v>
      </c>
      <c r="B96" s="5" t="s">
        <v>182</v>
      </c>
      <c r="C96" s="5" t="s">
        <v>15</v>
      </c>
      <c r="D96" s="5" t="s">
        <v>16</v>
      </c>
      <c r="E96" s="5" t="n">
        <f aca="false">ROUND(9330*1.05,2)</f>
        <v>9796.5</v>
      </c>
      <c r="F96" s="5" t="s">
        <v>49</v>
      </c>
      <c r="G96" s="5" t="s">
        <v>18</v>
      </c>
      <c r="H96" s="5" t="n">
        <f aca="true">ROUND(RAND()*4+6,1)</f>
        <v>6.3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12307</v>
      </c>
      <c r="B97" s="6" t="s">
        <v>184</v>
      </c>
      <c r="C97" s="6" t="s">
        <v>15</v>
      </c>
      <c r="D97" s="6" t="s">
        <v>22</v>
      </c>
      <c r="E97" s="6" t="n">
        <f aca="false">ROUND(9823*1.05,2)</f>
        <v>10314.15</v>
      </c>
      <c r="F97" s="6" t="s">
        <v>52</v>
      </c>
      <c r="G97" s="6" t="s">
        <v>24</v>
      </c>
      <c r="H97" s="6" t="n">
        <f aca="true">ROUND(RAND()*4+6,1)</f>
        <v>7.1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12308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12309</v>
      </c>
      <c r="B102" s="5" t="s">
        <v>188</v>
      </c>
      <c r="C102" s="5" t="s">
        <v>57</v>
      </c>
      <c r="D102" s="5" t="s">
        <v>16</v>
      </c>
      <c r="E102" s="5" t="n">
        <f aca="false">ROUND(10408*1.05,2)</f>
        <v>10928.4</v>
      </c>
      <c r="F102" s="5" t="s">
        <v>17</v>
      </c>
      <c r="G102" s="5" t="s">
        <v>18</v>
      </c>
      <c r="H102" s="5" t="n">
        <f aca="true">ROUND(RAND()*4+6,1)</f>
        <v>9.7</v>
      </c>
      <c r="I102" s="5" t="s">
        <v>19</v>
      </c>
      <c r="J102" s="5" t="str">
        <f aca="false">ROUND(77*1,0)&amp;"%"</f>
        <v>77%</v>
      </c>
    </row>
    <row r="103" customFormat="false" ht="15" hidden="false" customHeight="false" outlineLevel="0" collapsed="false">
      <c r="A103" s="6" t="s">
        <v>12310</v>
      </c>
      <c r="B103" s="6" t="s">
        <v>190</v>
      </c>
      <c r="C103" s="6" t="s">
        <v>57</v>
      </c>
      <c r="D103" s="6" t="s">
        <v>22</v>
      </c>
      <c r="E103" s="6" t="n">
        <f aca="false">ROUND(15852*1.05,2)</f>
        <v>16644.6</v>
      </c>
      <c r="F103" s="6" t="s">
        <v>23</v>
      </c>
      <c r="G103" s="6" t="s">
        <v>24</v>
      </c>
      <c r="H103" s="6" t="n">
        <f aca="true">ROUND(RAND()*4+6,1)</f>
        <v>9.8</v>
      </c>
      <c r="I103" s="6" t="s">
        <v>25</v>
      </c>
      <c r="J103" s="6" t="str">
        <f aca="false">ROUND(76*1,0)&amp;"%"</f>
        <v>76%</v>
      </c>
    </row>
    <row r="104" customFormat="false" ht="15" hidden="false" customHeight="false" outlineLevel="0" collapsed="false">
      <c r="A104" s="5" t="s">
        <v>12311</v>
      </c>
      <c r="B104" s="5" t="s">
        <v>192</v>
      </c>
      <c r="C104" s="5" t="s">
        <v>57</v>
      </c>
      <c r="D104" s="5" t="s">
        <v>28</v>
      </c>
      <c r="E104" s="5" t="n">
        <f aca="false">ROUND(12368*1.05,2)</f>
        <v>12986.4</v>
      </c>
      <c r="F104" s="5" t="s">
        <v>29</v>
      </c>
      <c r="G104" s="5" t="s">
        <v>30</v>
      </c>
      <c r="H104" s="5" t="n">
        <f aca="true">ROUND(RAND()*4+6,1)</f>
        <v>7.3</v>
      </c>
      <c r="I104" s="5" t="s">
        <v>31</v>
      </c>
      <c r="J104" s="5" t="str">
        <f aca="false">ROUND(87*1,0)&amp;"%"</f>
        <v>87%</v>
      </c>
    </row>
    <row r="105" customFormat="false" ht="15" hidden="false" customHeight="false" outlineLevel="0" collapsed="false">
      <c r="A105" s="6" t="s">
        <v>12312</v>
      </c>
      <c r="B105" s="6" t="s">
        <v>194</v>
      </c>
      <c r="C105" s="6" t="s">
        <v>57</v>
      </c>
      <c r="D105" s="6" t="s">
        <v>34</v>
      </c>
      <c r="E105" s="6" t="n">
        <f aca="false">ROUND(4624*1.05,2)</f>
        <v>4855.2</v>
      </c>
      <c r="F105" s="6" t="s">
        <v>35</v>
      </c>
      <c r="G105" s="6" t="s">
        <v>18</v>
      </c>
      <c r="H105" s="6" t="n">
        <f aca="true">ROUND(RAND()*4+6,1)</f>
        <v>8.7</v>
      </c>
      <c r="I105" s="6" t="s">
        <v>36</v>
      </c>
      <c r="J105" s="6" t="str">
        <f aca="false">ROUND(81*1,0)&amp;"%"</f>
        <v>81%</v>
      </c>
    </row>
    <row r="106" customFormat="false" ht="15" hidden="false" customHeight="false" outlineLevel="0" collapsed="false">
      <c r="A106" s="5" t="s">
        <v>12313</v>
      </c>
      <c r="B106" s="5" t="s">
        <v>196</v>
      </c>
      <c r="C106" s="5" t="s">
        <v>57</v>
      </c>
      <c r="D106" s="5" t="s">
        <v>39</v>
      </c>
      <c r="E106" s="5" t="n">
        <f aca="false">ROUND(17405*1.05,2)</f>
        <v>18275.25</v>
      </c>
      <c r="F106" s="5" t="s">
        <v>40</v>
      </c>
      <c r="G106" s="5" t="s">
        <v>24</v>
      </c>
      <c r="H106" s="5" t="n">
        <f aca="true">ROUND(RAND()*4+6,1)</f>
        <v>6.6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12314</v>
      </c>
      <c r="B107" s="6" t="s">
        <v>198</v>
      </c>
      <c r="C107" s="6" t="s">
        <v>57</v>
      </c>
      <c r="D107" s="6" t="s">
        <v>44</v>
      </c>
      <c r="E107" s="6" t="n">
        <f aca="false">ROUND(6570*1.05,2)</f>
        <v>6898.5</v>
      </c>
      <c r="F107" s="6" t="s">
        <v>45</v>
      </c>
      <c r="G107" s="6" t="s">
        <v>30</v>
      </c>
      <c r="H107" s="6" t="n">
        <f aca="true">ROUND(RAND()*4+6,1)</f>
        <v>6.7</v>
      </c>
      <c r="I107" s="6" t="s">
        <v>46</v>
      </c>
      <c r="J107" s="6" t="str">
        <f aca="false">ROUND(74*1,0)&amp;"%"</f>
        <v>74%</v>
      </c>
    </row>
    <row r="108" customFormat="false" ht="15" hidden="false" customHeight="false" outlineLevel="0" collapsed="false">
      <c r="A108" s="5" t="s">
        <v>12315</v>
      </c>
      <c r="B108" s="5" t="s">
        <v>200</v>
      </c>
      <c r="C108" s="5" t="s">
        <v>57</v>
      </c>
      <c r="D108" s="5" t="s">
        <v>16</v>
      </c>
      <c r="E108" s="5" t="n">
        <f aca="false">ROUND(14443*1.05,2)</f>
        <v>15165.15</v>
      </c>
      <c r="F108" s="5" t="s">
        <v>49</v>
      </c>
      <c r="G108" s="5" t="s">
        <v>18</v>
      </c>
      <c r="H108" s="5" t="n">
        <f aca="true">ROUND(RAND()*4+6,1)</f>
        <v>9.3</v>
      </c>
      <c r="I108" s="5" t="s">
        <v>19</v>
      </c>
      <c r="J108" s="5" t="str">
        <f aca="false">ROUND(74*1,0)&amp;"%"</f>
        <v>74%</v>
      </c>
    </row>
    <row r="109" customFormat="false" ht="15" hidden="false" customHeight="false" outlineLevel="0" collapsed="false">
      <c r="A109" s="6" t="s">
        <v>12316</v>
      </c>
      <c r="B109" s="6" t="s">
        <v>202</v>
      </c>
      <c r="C109" s="6" t="s">
        <v>57</v>
      </c>
      <c r="D109" s="6" t="s">
        <v>22</v>
      </c>
      <c r="E109" s="6" t="n">
        <f aca="false">ROUND(9413*1.05,2)</f>
        <v>9883.65</v>
      </c>
      <c r="F109" s="6" t="s">
        <v>52</v>
      </c>
      <c r="G109" s="6" t="s">
        <v>24</v>
      </c>
      <c r="H109" s="6" t="n">
        <f aca="true">ROUND(RAND()*4+6,1)</f>
        <v>8.9</v>
      </c>
      <c r="I109" s="6" t="s">
        <v>25</v>
      </c>
      <c r="J109" s="6" t="str">
        <f aca="false">ROUND(69*1,0)&amp;"%"</f>
        <v>69%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12317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12318</v>
      </c>
      <c r="B114" s="5" t="s">
        <v>206</v>
      </c>
      <c r="C114" s="5" t="s">
        <v>76</v>
      </c>
      <c r="D114" s="5" t="s">
        <v>16</v>
      </c>
      <c r="E114" s="5" t="n">
        <f aca="false">ROUND(6390*1.05,2)</f>
        <v>6709.5</v>
      </c>
      <c r="F114" s="5" t="s">
        <v>17</v>
      </c>
      <c r="G114" s="5" t="s">
        <v>18</v>
      </c>
      <c r="H114" s="5" t="n">
        <f aca="true">ROUND(RAND()*4+6,1)</f>
        <v>8.3</v>
      </c>
      <c r="I114" s="5" t="s">
        <v>19</v>
      </c>
      <c r="J114" s="5" t="str">
        <f aca="false">ROUND(86*1,0)&amp;"%"</f>
        <v>86%</v>
      </c>
    </row>
    <row r="115" customFormat="false" ht="15" hidden="false" customHeight="false" outlineLevel="0" collapsed="false">
      <c r="A115" s="6" t="s">
        <v>12319</v>
      </c>
      <c r="B115" s="6" t="s">
        <v>208</v>
      </c>
      <c r="C115" s="6" t="s">
        <v>76</v>
      </c>
      <c r="D115" s="6" t="s">
        <v>22</v>
      </c>
      <c r="E115" s="6" t="n">
        <f aca="false">ROUND(4154*1.05,2)</f>
        <v>4361.7</v>
      </c>
      <c r="F115" s="6" t="s">
        <v>23</v>
      </c>
      <c r="G115" s="6" t="s">
        <v>24</v>
      </c>
      <c r="H115" s="6" t="n">
        <f aca="true">ROUND(RAND()*4+6,1)</f>
        <v>6.3</v>
      </c>
      <c r="I115" s="6" t="s">
        <v>25</v>
      </c>
      <c r="J115" s="6" t="str">
        <f aca="false">ROUND(77*1,0)&amp;"%"</f>
        <v>77%</v>
      </c>
    </row>
    <row r="116" customFormat="false" ht="15" hidden="false" customHeight="false" outlineLevel="0" collapsed="false">
      <c r="A116" s="5" t="s">
        <v>12320</v>
      </c>
      <c r="B116" s="5" t="s">
        <v>210</v>
      </c>
      <c r="C116" s="5" t="s">
        <v>76</v>
      </c>
      <c r="D116" s="5" t="s">
        <v>28</v>
      </c>
      <c r="E116" s="5" t="n">
        <f aca="false">ROUND(16023*1.05,2)</f>
        <v>16824.15</v>
      </c>
      <c r="F116" s="5" t="s">
        <v>29</v>
      </c>
      <c r="G116" s="5" t="s">
        <v>30</v>
      </c>
      <c r="H116" s="5" t="n">
        <f aca="true">ROUND(RAND()*4+6,1)</f>
        <v>7.8</v>
      </c>
      <c r="I116" s="5" t="s">
        <v>31</v>
      </c>
      <c r="J116" s="5" t="str">
        <f aca="false">ROUND(69*1,0)&amp;"%"</f>
        <v>69%</v>
      </c>
    </row>
    <row r="117" customFormat="false" ht="15" hidden="false" customHeight="false" outlineLevel="0" collapsed="false">
      <c r="A117" s="6" t="s">
        <v>12321</v>
      </c>
      <c r="B117" s="6" t="s">
        <v>212</v>
      </c>
      <c r="C117" s="6" t="s">
        <v>76</v>
      </c>
      <c r="D117" s="6" t="s">
        <v>34</v>
      </c>
      <c r="E117" s="6" t="n">
        <f aca="false">ROUND(16355*1.05,2)</f>
        <v>17172.75</v>
      </c>
      <c r="F117" s="6" t="s">
        <v>35</v>
      </c>
      <c r="G117" s="6" t="s">
        <v>18</v>
      </c>
      <c r="H117" s="6" t="n">
        <f aca="true">ROUND(RAND()*4+6,1)</f>
        <v>6.3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12322</v>
      </c>
      <c r="B118" s="5" t="s">
        <v>214</v>
      </c>
      <c r="C118" s="5" t="s">
        <v>76</v>
      </c>
      <c r="D118" s="5" t="s">
        <v>39</v>
      </c>
      <c r="E118" s="5" t="n">
        <f aca="false">ROUND(9396*1.05,2)</f>
        <v>9865.8</v>
      </c>
      <c r="F118" s="5" t="s">
        <v>40</v>
      </c>
      <c r="G118" s="5" t="s">
        <v>24</v>
      </c>
      <c r="H118" s="5" t="n">
        <f aca="true">ROUND(RAND()*4+6,1)</f>
        <v>6.8</v>
      </c>
      <c r="I118" s="5" t="s">
        <v>41</v>
      </c>
      <c r="J118" s="5" t="str">
        <f aca="false">ROUND(62*1,0)&amp;"%"</f>
        <v>62%</v>
      </c>
    </row>
    <row r="119" customFormat="false" ht="15" hidden="false" customHeight="false" outlineLevel="0" collapsed="false">
      <c r="A119" s="6" t="s">
        <v>12323</v>
      </c>
      <c r="B119" s="6" t="s">
        <v>216</v>
      </c>
      <c r="C119" s="6" t="s">
        <v>76</v>
      </c>
      <c r="D119" s="6" t="s">
        <v>44</v>
      </c>
      <c r="E119" s="6" t="n">
        <f aca="false">ROUND(4850*1.05,2)</f>
        <v>5092.5</v>
      </c>
      <c r="F119" s="6" t="s">
        <v>45</v>
      </c>
      <c r="G119" s="6" t="s">
        <v>30</v>
      </c>
      <c r="H119" s="6" t="n">
        <f aca="true">ROUND(RAND()*4+6,1)</f>
        <v>7</v>
      </c>
      <c r="I119" s="6" t="s">
        <v>46</v>
      </c>
      <c r="J119" s="6" t="str">
        <f aca="false">ROUND(93*1,0)&amp;"%"</f>
        <v>93%</v>
      </c>
    </row>
    <row r="120" customFormat="false" ht="15" hidden="false" customHeight="false" outlineLevel="0" collapsed="false">
      <c r="A120" s="5" t="s">
        <v>12324</v>
      </c>
      <c r="B120" s="5" t="s">
        <v>218</v>
      </c>
      <c r="C120" s="5" t="s">
        <v>76</v>
      </c>
      <c r="D120" s="5" t="s">
        <v>16</v>
      </c>
      <c r="E120" s="5" t="n">
        <f aca="false">ROUND(16350*1.05,2)</f>
        <v>17167.5</v>
      </c>
      <c r="F120" s="5" t="s">
        <v>49</v>
      </c>
      <c r="G120" s="5" t="s">
        <v>18</v>
      </c>
      <c r="H120" s="5" t="n">
        <f aca="true">ROUND(RAND()*4+6,1)</f>
        <v>7.9</v>
      </c>
      <c r="I120" s="5" t="s">
        <v>19</v>
      </c>
      <c r="J120" s="5" t="str">
        <f aca="false">ROUND(66*1,0)&amp;"%"</f>
        <v>66%</v>
      </c>
    </row>
    <row r="121" customFormat="false" ht="15" hidden="false" customHeight="false" outlineLevel="0" collapsed="false">
      <c r="A121" s="6" t="s">
        <v>12325</v>
      </c>
      <c r="B121" s="6" t="s">
        <v>220</v>
      </c>
      <c r="C121" s="6" t="s">
        <v>76</v>
      </c>
      <c r="D121" s="6" t="s">
        <v>22</v>
      </c>
      <c r="E121" s="6" t="n">
        <f aca="false">ROUND(7405*1.05,2)</f>
        <v>7775.25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ROUND(87*1,0)&amp;"%"</f>
        <v>87%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12326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12327</v>
      </c>
      <c r="B126" s="5" t="s">
        <v>224</v>
      </c>
      <c r="C126" s="5" t="s">
        <v>95</v>
      </c>
      <c r="D126" s="5" t="s">
        <v>16</v>
      </c>
      <c r="E126" s="5" t="n">
        <f aca="false">ROUND(10033*1.05,2)</f>
        <v>10534.65</v>
      </c>
      <c r="F126" s="5" t="s">
        <v>17</v>
      </c>
      <c r="G126" s="5" t="s">
        <v>18</v>
      </c>
      <c r="H126" s="5" t="n">
        <f aca="true">ROUND(RAND()*4+6,1)</f>
        <v>7.7</v>
      </c>
      <c r="I126" s="5" t="s">
        <v>19</v>
      </c>
      <c r="J126" s="5" t="str">
        <f aca="false">ROUND(76*1,0)&amp;"%"</f>
        <v>76%</v>
      </c>
    </row>
    <row r="127" customFormat="false" ht="15" hidden="false" customHeight="false" outlineLevel="0" collapsed="false">
      <c r="A127" s="6" t="s">
        <v>12328</v>
      </c>
      <c r="B127" s="6" t="s">
        <v>226</v>
      </c>
      <c r="C127" s="6" t="s">
        <v>95</v>
      </c>
      <c r="D127" s="6" t="s">
        <v>22</v>
      </c>
      <c r="E127" s="6" t="n">
        <f aca="false">ROUND(5776*1.05,2)</f>
        <v>6064.8</v>
      </c>
      <c r="F127" s="6" t="s">
        <v>23</v>
      </c>
      <c r="G127" s="6" t="s">
        <v>24</v>
      </c>
      <c r="H127" s="6" t="n">
        <f aca="true">ROUND(RAND()*4+6,1)</f>
        <v>9.2</v>
      </c>
      <c r="I127" s="6" t="s">
        <v>25</v>
      </c>
      <c r="J127" s="6" t="str">
        <f aca="false">ROUND(64*1,0)&amp;"%"</f>
        <v>64%</v>
      </c>
    </row>
    <row r="128" customFormat="false" ht="15" hidden="false" customHeight="false" outlineLevel="0" collapsed="false">
      <c r="A128" s="5" t="s">
        <v>12329</v>
      </c>
      <c r="B128" s="5" t="s">
        <v>228</v>
      </c>
      <c r="C128" s="5" t="s">
        <v>95</v>
      </c>
      <c r="D128" s="5" t="s">
        <v>28</v>
      </c>
      <c r="E128" s="5" t="n">
        <f aca="false">ROUND(12268*1.05,2)</f>
        <v>12881.4</v>
      </c>
      <c r="F128" s="5" t="s">
        <v>29</v>
      </c>
      <c r="G128" s="5" t="s">
        <v>30</v>
      </c>
      <c r="H128" s="5" t="n">
        <f aca="true">ROUND(RAND()*4+6,1)</f>
        <v>6.5</v>
      </c>
      <c r="I128" s="5" t="s">
        <v>31</v>
      </c>
      <c r="J128" s="5" t="str">
        <f aca="false">ROUND(68*1,0)&amp;"%"</f>
        <v>68%</v>
      </c>
    </row>
    <row r="129" customFormat="false" ht="15" hidden="false" customHeight="false" outlineLevel="0" collapsed="false">
      <c r="A129" s="6" t="s">
        <v>12330</v>
      </c>
      <c r="B129" s="6" t="s">
        <v>230</v>
      </c>
      <c r="C129" s="6" t="s">
        <v>95</v>
      </c>
      <c r="D129" s="6" t="s">
        <v>34</v>
      </c>
      <c r="E129" s="6" t="n">
        <f aca="false">ROUND(12075*1.05,2)</f>
        <v>12678.75</v>
      </c>
      <c r="F129" s="6" t="s">
        <v>35</v>
      </c>
      <c r="G129" s="6" t="s">
        <v>18</v>
      </c>
      <c r="H129" s="6" t="n">
        <f aca="true">ROUND(RAND()*4+6,1)</f>
        <v>8.8</v>
      </c>
      <c r="I129" s="6" t="s">
        <v>36</v>
      </c>
      <c r="J129" s="6" t="str">
        <f aca="false">ROUND(80*1,0)&amp;"%"</f>
        <v>80%</v>
      </c>
    </row>
    <row r="130" customFormat="false" ht="15" hidden="false" customHeight="false" outlineLevel="0" collapsed="false">
      <c r="A130" s="5" t="s">
        <v>12331</v>
      </c>
      <c r="B130" s="5" t="s">
        <v>232</v>
      </c>
      <c r="C130" s="5" t="s">
        <v>95</v>
      </c>
      <c r="D130" s="5" t="s">
        <v>39</v>
      </c>
      <c r="E130" s="5" t="n">
        <f aca="false">ROUND(9319*1.05,2)</f>
        <v>9784.95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ROUND(73*1,0)&amp;"%"</f>
        <v>73%</v>
      </c>
    </row>
    <row r="131" customFormat="false" ht="15" hidden="false" customHeight="false" outlineLevel="0" collapsed="false">
      <c r="A131" s="6" t="s">
        <v>12332</v>
      </c>
      <c r="B131" s="6" t="s">
        <v>234</v>
      </c>
      <c r="C131" s="6" t="s">
        <v>95</v>
      </c>
      <c r="D131" s="6" t="s">
        <v>44</v>
      </c>
      <c r="E131" s="6" t="n">
        <f aca="false">ROUND(17894*1.05,2)</f>
        <v>18788.7</v>
      </c>
      <c r="F131" s="6" t="s">
        <v>45</v>
      </c>
      <c r="G131" s="6" t="s">
        <v>30</v>
      </c>
      <c r="H131" s="6" t="n">
        <f aca="true">ROUND(RAND()*4+6,1)</f>
        <v>7.3</v>
      </c>
      <c r="I131" s="6" t="s">
        <v>46</v>
      </c>
      <c r="J131" s="6" t="str">
        <f aca="false">ROUND(85*1,0)&amp;"%"</f>
        <v>85%</v>
      </c>
    </row>
    <row r="132" customFormat="false" ht="15" hidden="false" customHeight="false" outlineLevel="0" collapsed="false">
      <c r="A132" s="5" t="s">
        <v>12333</v>
      </c>
      <c r="B132" s="5" t="s">
        <v>236</v>
      </c>
      <c r="C132" s="5" t="s">
        <v>95</v>
      </c>
      <c r="D132" s="5" t="s">
        <v>16</v>
      </c>
      <c r="E132" s="5" t="n">
        <f aca="false">ROUND(5075*1.05,2)</f>
        <v>5328.75</v>
      </c>
      <c r="F132" s="5" t="s">
        <v>49</v>
      </c>
      <c r="G132" s="5" t="s">
        <v>18</v>
      </c>
      <c r="H132" s="5" t="n">
        <f aca="true">ROUND(RAND()*4+6,1)</f>
        <v>10</v>
      </c>
      <c r="I132" s="5" t="s">
        <v>19</v>
      </c>
      <c r="J132" s="5" t="str">
        <f aca="false">ROUND(98*1,0)&amp;"%"</f>
        <v>98%</v>
      </c>
    </row>
    <row r="133" customFormat="false" ht="15" hidden="false" customHeight="false" outlineLevel="0" collapsed="false">
      <c r="A133" s="6" t="s">
        <v>12334</v>
      </c>
      <c r="B133" s="6" t="s">
        <v>238</v>
      </c>
      <c r="C133" s="6" t="s">
        <v>95</v>
      </c>
      <c r="D133" s="6" t="s">
        <v>22</v>
      </c>
      <c r="E133" s="6" t="n">
        <f aca="false">ROUND(11341*1.05,2)</f>
        <v>11908.05</v>
      </c>
      <c r="F133" s="6" t="s">
        <v>52</v>
      </c>
      <c r="G133" s="6" t="s">
        <v>24</v>
      </c>
      <c r="H133" s="6" t="n">
        <f aca="true">ROUND(RAND()*4+6,1)</f>
        <v>9.7</v>
      </c>
      <c r="I133" s="6" t="s">
        <v>25</v>
      </c>
      <c r="J133" s="6" t="str">
        <f aca="false">ROUND(84*1,0)&amp;"%"</f>
        <v>84%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12335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12336</v>
      </c>
      <c r="B138" s="5" t="s">
        <v>242</v>
      </c>
      <c r="C138" s="5" t="s">
        <v>114</v>
      </c>
      <c r="D138" s="5" t="s">
        <v>16</v>
      </c>
      <c r="E138" s="5" t="n">
        <f aca="false">ROUND(15473*1.05,2)</f>
        <v>16246.65</v>
      </c>
      <c r="F138" s="5" t="s">
        <v>17</v>
      </c>
      <c r="G138" s="5" t="s">
        <v>18</v>
      </c>
      <c r="H138" s="5" t="n">
        <f aca="true">ROUND(RAND()*4+6,1)</f>
        <v>6.3</v>
      </c>
      <c r="I138" s="5" t="s">
        <v>19</v>
      </c>
      <c r="J138" s="5" t="str">
        <f aca="false">ROUND(97*1,0)&amp;"%"</f>
        <v>97%</v>
      </c>
    </row>
    <row r="139" customFormat="false" ht="15" hidden="false" customHeight="false" outlineLevel="0" collapsed="false">
      <c r="A139" s="6" t="s">
        <v>12337</v>
      </c>
      <c r="B139" s="6" t="s">
        <v>244</v>
      </c>
      <c r="C139" s="6" t="s">
        <v>114</v>
      </c>
      <c r="D139" s="6" t="s">
        <v>22</v>
      </c>
      <c r="E139" s="6" t="n">
        <f aca="false">ROUND(15979*1.05,2)</f>
        <v>16777.95</v>
      </c>
      <c r="F139" s="6" t="s">
        <v>23</v>
      </c>
      <c r="G139" s="6" t="s">
        <v>24</v>
      </c>
      <c r="H139" s="6" t="n">
        <f aca="true">ROUND(RAND()*4+6,1)</f>
        <v>9.1</v>
      </c>
      <c r="I139" s="6" t="s">
        <v>25</v>
      </c>
      <c r="J139" s="6" t="str">
        <f aca="false">ROUND(71*1,0)&amp;"%"</f>
        <v>71%</v>
      </c>
    </row>
    <row r="140" customFormat="false" ht="15" hidden="false" customHeight="false" outlineLevel="0" collapsed="false">
      <c r="A140" s="5" t="s">
        <v>12338</v>
      </c>
      <c r="B140" s="5" t="s">
        <v>246</v>
      </c>
      <c r="C140" s="5" t="s">
        <v>114</v>
      </c>
      <c r="D140" s="5" t="s">
        <v>28</v>
      </c>
      <c r="E140" s="5" t="n">
        <f aca="false">ROUND(4293*1.05,2)</f>
        <v>4507.65</v>
      </c>
      <c r="F140" s="5" t="s">
        <v>29</v>
      </c>
      <c r="G140" s="5" t="s">
        <v>30</v>
      </c>
      <c r="H140" s="5" t="n">
        <f aca="true">ROUND(RAND()*4+6,1)</f>
        <v>9.9</v>
      </c>
      <c r="I140" s="5" t="s">
        <v>31</v>
      </c>
      <c r="J140" s="5" t="str">
        <f aca="false">ROUND(60*1,0)&amp;"%"</f>
        <v>60%</v>
      </c>
    </row>
    <row r="141" customFormat="false" ht="15" hidden="false" customHeight="false" outlineLevel="0" collapsed="false">
      <c r="A141" s="6" t="s">
        <v>12339</v>
      </c>
      <c r="B141" s="6" t="s">
        <v>248</v>
      </c>
      <c r="C141" s="6" t="s">
        <v>114</v>
      </c>
      <c r="D141" s="6" t="s">
        <v>34</v>
      </c>
      <c r="E141" s="6" t="n">
        <f aca="false">ROUND(17274*1.05,2)</f>
        <v>18137.7</v>
      </c>
      <c r="F141" s="6" t="s">
        <v>35</v>
      </c>
      <c r="G141" s="6" t="s">
        <v>18</v>
      </c>
      <c r="H141" s="6" t="n">
        <f aca="true">ROUND(RAND()*4+6,1)</f>
        <v>8.8</v>
      </c>
      <c r="I141" s="6" t="s">
        <v>36</v>
      </c>
      <c r="J141" s="6" t="str">
        <f aca="false">ROUND(84*1,0)&amp;"%"</f>
        <v>84%</v>
      </c>
    </row>
    <row r="142" customFormat="false" ht="15" hidden="false" customHeight="false" outlineLevel="0" collapsed="false">
      <c r="A142" s="5" t="s">
        <v>12340</v>
      </c>
      <c r="B142" s="5" t="s">
        <v>250</v>
      </c>
      <c r="C142" s="5" t="s">
        <v>114</v>
      </c>
      <c r="D142" s="5" t="s">
        <v>39</v>
      </c>
      <c r="E142" s="5" t="n">
        <f aca="false">ROUND(12593*1.05,2)</f>
        <v>13222.65</v>
      </c>
      <c r="F142" s="5" t="s">
        <v>40</v>
      </c>
      <c r="G142" s="5" t="s">
        <v>24</v>
      </c>
      <c r="H142" s="5" t="n">
        <f aca="true">ROUND(RAND()*4+6,1)</f>
        <v>6</v>
      </c>
      <c r="I142" s="5" t="s">
        <v>41</v>
      </c>
      <c r="J142" s="5" t="str">
        <f aca="false">ROUND(72*1,0)&amp;"%"</f>
        <v>72%</v>
      </c>
    </row>
    <row r="143" customFormat="false" ht="15" hidden="false" customHeight="false" outlineLevel="0" collapsed="false">
      <c r="A143" s="6" t="s">
        <v>12341</v>
      </c>
      <c r="B143" s="6" t="s">
        <v>252</v>
      </c>
      <c r="C143" s="6" t="s">
        <v>114</v>
      </c>
      <c r="D143" s="6" t="s">
        <v>44</v>
      </c>
      <c r="E143" s="6" t="n">
        <f aca="false">ROUND(8368*1.05,2)</f>
        <v>8786.4</v>
      </c>
      <c r="F143" s="6" t="s">
        <v>45</v>
      </c>
      <c r="G143" s="6" t="s">
        <v>30</v>
      </c>
      <c r="H143" s="6" t="n">
        <f aca="true">ROUND(RAND()*4+6,1)</f>
        <v>9.3</v>
      </c>
      <c r="I143" s="6" t="s">
        <v>46</v>
      </c>
      <c r="J143" s="6" t="str">
        <f aca="false">ROUND(96*1,0)&amp;"%"</f>
        <v>96%</v>
      </c>
    </row>
    <row r="144" customFormat="false" ht="15" hidden="false" customHeight="false" outlineLevel="0" collapsed="false">
      <c r="A144" s="5" t="s">
        <v>12342</v>
      </c>
      <c r="B144" s="5" t="s">
        <v>254</v>
      </c>
      <c r="C144" s="5" t="s">
        <v>114</v>
      </c>
      <c r="D144" s="5" t="s">
        <v>16</v>
      </c>
      <c r="E144" s="5" t="n">
        <f aca="false">ROUND(15133*1.05,2)</f>
        <v>15889.65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ROUND(94*1,0)&amp;"%"</f>
        <v>94%</v>
      </c>
    </row>
    <row r="145" customFormat="false" ht="15" hidden="false" customHeight="false" outlineLevel="0" collapsed="false">
      <c r="A145" s="6" t="s">
        <v>12343</v>
      </c>
      <c r="B145" s="6" t="s">
        <v>256</v>
      </c>
      <c r="C145" s="6" t="s">
        <v>114</v>
      </c>
      <c r="D145" s="6" t="s">
        <v>22</v>
      </c>
      <c r="E145" s="6" t="n">
        <f aca="false">ROUND(10276*1.05,2)</f>
        <v>10789.8</v>
      </c>
      <c r="F145" s="6" t="s">
        <v>52</v>
      </c>
      <c r="G145" s="6" t="s">
        <v>24</v>
      </c>
      <c r="H145" s="6" t="n">
        <f aca="true">ROUND(RAND()*4+6,1)</f>
        <v>9.6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12344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12345</v>
      </c>
      <c r="B150" s="5" t="s">
        <v>260</v>
      </c>
      <c r="C150" s="5" t="s">
        <v>133</v>
      </c>
      <c r="D150" s="5" t="s">
        <v>16</v>
      </c>
      <c r="E150" s="5" t="n">
        <f aca="false">ROUND(11898*1.05,2)</f>
        <v>12492.9</v>
      </c>
      <c r="F150" s="5" t="s">
        <v>17</v>
      </c>
      <c r="G150" s="5" t="s">
        <v>18</v>
      </c>
      <c r="H150" s="5" t="n">
        <f aca="true">ROUND(RAND()*4+6,1)</f>
        <v>9.3</v>
      </c>
      <c r="I150" s="5" t="s">
        <v>19</v>
      </c>
      <c r="J150" s="5" t="str">
        <f aca="false">ROUND(79*1,0)&amp;"%"</f>
        <v>79%</v>
      </c>
    </row>
    <row r="151" customFormat="false" ht="15" hidden="false" customHeight="false" outlineLevel="0" collapsed="false">
      <c r="A151" s="6" t="s">
        <v>12346</v>
      </c>
      <c r="B151" s="6" t="s">
        <v>262</v>
      </c>
      <c r="C151" s="6" t="s">
        <v>133</v>
      </c>
      <c r="D151" s="6" t="s">
        <v>22</v>
      </c>
      <c r="E151" s="6" t="n">
        <f aca="false">ROUND(9474*1.05,2)</f>
        <v>9947.7</v>
      </c>
      <c r="F151" s="6" t="s">
        <v>23</v>
      </c>
      <c r="G151" s="6" t="s">
        <v>24</v>
      </c>
      <c r="H151" s="6" t="n">
        <f aca="true">ROUND(RAND()*4+6,1)</f>
        <v>7.4</v>
      </c>
      <c r="I151" s="6" t="s">
        <v>25</v>
      </c>
      <c r="J151" s="6" t="str">
        <f aca="false">ROUND(74*1,0)&amp;"%"</f>
        <v>74%</v>
      </c>
    </row>
    <row r="152" customFormat="false" ht="15" hidden="false" customHeight="false" outlineLevel="0" collapsed="false">
      <c r="A152" s="5" t="s">
        <v>12347</v>
      </c>
      <c r="B152" s="5" t="s">
        <v>264</v>
      </c>
      <c r="C152" s="5" t="s">
        <v>133</v>
      </c>
      <c r="D152" s="5" t="s">
        <v>28</v>
      </c>
      <c r="E152" s="5" t="n">
        <f aca="false">ROUND(11441*1.05,2)</f>
        <v>12013.05</v>
      </c>
      <c r="F152" s="5" t="s">
        <v>29</v>
      </c>
      <c r="G152" s="5" t="s">
        <v>30</v>
      </c>
      <c r="H152" s="5" t="n">
        <f aca="true">ROUND(RAND()*4+6,1)</f>
        <v>8.8</v>
      </c>
      <c r="I152" s="5" t="s">
        <v>31</v>
      </c>
      <c r="J152" s="5" t="str">
        <f aca="false">ROUND(97*1,0)&amp;"%"</f>
        <v>97%</v>
      </c>
    </row>
    <row r="153" customFormat="false" ht="15" hidden="false" customHeight="false" outlineLevel="0" collapsed="false">
      <c r="A153" s="6" t="s">
        <v>12348</v>
      </c>
      <c r="B153" s="6" t="s">
        <v>266</v>
      </c>
      <c r="C153" s="6" t="s">
        <v>133</v>
      </c>
      <c r="D153" s="6" t="s">
        <v>34</v>
      </c>
      <c r="E153" s="6" t="n">
        <f aca="false">ROUND(4550*1.05,2)</f>
        <v>4777.5</v>
      </c>
      <c r="F153" s="6" t="s">
        <v>35</v>
      </c>
      <c r="G153" s="6" t="s">
        <v>18</v>
      </c>
      <c r="H153" s="6" t="n">
        <f aca="true">ROUND(RAND()*4+6,1)</f>
        <v>6.9</v>
      </c>
      <c r="I153" s="6" t="s">
        <v>36</v>
      </c>
      <c r="J153" s="6" t="str">
        <f aca="false">ROUND(71*1,0)&amp;"%"</f>
        <v>71%</v>
      </c>
    </row>
    <row r="154" customFormat="false" ht="15" hidden="false" customHeight="false" outlineLevel="0" collapsed="false">
      <c r="A154" s="5" t="s">
        <v>12349</v>
      </c>
      <c r="B154" s="5" t="s">
        <v>268</v>
      </c>
      <c r="C154" s="5" t="s">
        <v>133</v>
      </c>
      <c r="D154" s="5" t="s">
        <v>39</v>
      </c>
      <c r="E154" s="5" t="n">
        <f aca="false">ROUND(16524*1.05,2)</f>
        <v>17350.2</v>
      </c>
      <c r="F154" s="5" t="s">
        <v>40</v>
      </c>
      <c r="G154" s="5" t="s">
        <v>24</v>
      </c>
      <c r="H154" s="5" t="n">
        <f aca="true">ROUND(RAND()*4+6,1)</f>
        <v>7.4</v>
      </c>
      <c r="I154" s="5" t="s">
        <v>41</v>
      </c>
      <c r="J154" s="5" t="str">
        <f aca="false">ROUND(87*1,0)&amp;"%"</f>
        <v>87%</v>
      </c>
    </row>
    <row r="155" customFormat="false" ht="15" hidden="false" customHeight="false" outlineLevel="0" collapsed="false">
      <c r="A155" s="6" t="s">
        <v>12350</v>
      </c>
      <c r="B155" s="6" t="s">
        <v>270</v>
      </c>
      <c r="C155" s="6" t="s">
        <v>133</v>
      </c>
      <c r="D155" s="6" t="s">
        <v>44</v>
      </c>
      <c r="E155" s="6" t="n">
        <f aca="false">ROUND(4199*1.05,2)</f>
        <v>4408.95</v>
      </c>
      <c r="F155" s="6" t="s">
        <v>45</v>
      </c>
      <c r="G155" s="6" t="s">
        <v>30</v>
      </c>
      <c r="H155" s="6" t="n">
        <f aca="true">ROUND(RAND()*4+6,1)</f>
        <v>9</v>
      </c>
      <c r="I155" s="6" t="s">
        <v>46</v>
      </c>
      <c r="J155" s="6" t="str">
        <f aca="false">ROUND(97*1,0)&amp;"%"</f>
        <v>97%</v>
      </c>
    </row>
    <row r="156" customFormat="false" ht="15" hidden="false" customHeight="false" outlineLevel="0" collapsed="false">
      <c r="A156" s="5" t="s">
        <v>12351</v>
      </c>
      <c r="B156" s="5" t="s">
        <v>272</v>
      </c>
      <c r="C156" s="5" t="s">
        <v>133</v>
      </c>
      <c r="D156" s="5" t="s">
        <v>16</v>
      </c>
      <c r="E156" s="5" t="n">
        <f aca="false">ROUND(10814*1.05,2)</f>
        <v>11354.7</v>
      </c>
      <c r="F156" s="5" t="s">
        <v>49</v>
      </c>
      <c r="G156" s="5" t="s">
        <v>18</v>
      </c>
      <c r="H156" s="5" t="n">
        <f aca="true">ROUND(RAND()*4+6,1)</f>
        <v>6.6</v>
      </c>
      <c r="I156" s="5" t="s">
        <v>19</v>
      </c>
      <c r="J156" s="5" t="str">
        <f aca="false">ROUND(75*1,0)&amp;"%"</f>
        <v>75%</v>
      </c>
    </row>
    <row r="157" customFormat="false" ht="15" hidden="false" customHeight="false" outlineLevel="0" collapsed="false">
      <c r="A157" s="6" t="s">
        <v>12352</v>
      </c>
      <c r="B157" s="6" t="s">
        <v>274</v>
      </c>
      <c r="C157" s="6" t="s">
        <v>133</v>
      </c>
      <c r="D157" s="6" t="s">
        <v>22</v>
      </c>
      <c r="E157" s="6" t="n">
        <f aca="false">ROUND(16081*1.05,2)</f>
        <v>16885.05</v>
      </c>
      <c r="F157" s="6" t="s">
        <v>52</v>
      </c>
      <c r="G157" s="6" t="s">
        <v>24</v>
      </c>
      <c r="H157" s="6" t="n">
        <f aca="true">ROUND(RAND()*4+6,1)</f>
        <v>8.9</v>
      </c>
      <c r="I157" s="6" t="s">
        <v>25</v>
      </c>
      <c r="J157" s="6" t="str">
        <f aca="false">ROUND(87*1,0)&amp;"%"</f>
        <v>87%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12353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12354</v>
      </c>
      <c r="B162" s="5" t="s">
        <v>278</v>
      </c>
      <c r="C162" s="5" t="s">
        <v>152</v>
      </c>
      <c r="D162" s="5" t="s">
        <v>16</v>
      </c>
      <c r="E162" s="5" t="n">
        <f aca="false">ROUND(4864*1.05,2)</f>
        <v>5107.2</v>
      </c>
      <c r="F162" s="5" t="s">
        <v>17</v>
      </c>
      <c r="G162" s="5" t="s">
        <v>18</v>
      </c>
      <c r="H162" s="5" t="n">
        <f aca="true">ROUND(RAND()*4+6,1)</f>
        <v>6.9</v>
      </c>
      <c r="I162" s="5" t="s">
        <v>19</v>
      </c>
      <c r="J162" s="5" t="str">
        <f aca="false">ROUND(64*1,0)&amp;"%"</f>
        <v>64%</v>
      </c>
    </row>
    <row r="163" customFormat="false" ht="15" hidden="false" customHeight="false" outlineLevel="0" collapsed="false">
      <c r="A163" s="6" t="s">
        <v>12355</v>
      </c>
      <c r="B163" s="6" t="s">
        <v>280</v>
      </c>
      <c r="C163" s="6" t="s">
        <v>152</v>
      </c>
      <c r="D163" s="6" t="s">
        <v>22</v>
      </c>
      <c r="E163" s="6" t="n">
        <f aca="false">ROUND(4669*1.05,2)</f>
        <v>4902.45</v>
      </c>
      <c r="F163" s="6" t="s">
        <v>23</v>
      </c>
      <c r="G163" s="6" t="s">
        <v>24</v>
      </c>
      <c r="H163" s="6" t="n">
        <f aca="true">ROUND(RAND()*4+6,1)</f>
        <v>8.3</v>
      </c>
      <c r="I163" s="6" t="s">
        <v>25</v>
      </c>
      <c r="J163" s="6" t="str">
        <f aca="false">ROUND(70*1,0)&amp;"%"</f>
        <v>70%</v>
      </c>
    </row>
    <row r="164" customFormat="false" ht="15" hidden="false" customHeight="false" outlineLevel="0" collapsed="false">
      <c r="A164" s="5" t="s">
        <v>12356</v>
      </c>
      <c r="B164" s="5" t="s">
        <v>282</v>
      </c>
      <c r="C164" s="5" t="s">
        <v>152</v>
      </c>
      <c r="D164" s="5" t="s">
        <v>28</v>
      </c>
      <c r="E164" s="5" t="n">
        <f aca="false">ROUND(12969*1.05,2)</f>
        <v>13617.45</v>
      </c>
      <c r="F164" s="5" t="s">
        <v>29</v>
      </c>
      <c r="G164" s="5" t="s">
        <v>30</v>
      </c>
      <c r="H164" s="5" t="n">
        <f aca="true">ROUND(RAND()*4+6,1)</f>
        <v>8.5</v>
      </c>
      <c r="I164" s="5" t="s">
        <v>31</v>
      </c>
      <c r="J164" s="5" t="str">
        <f aca="false">ROUND(83*1,0)&amp;"%"</f>
        <v>83%</v>
      </c>
    </row>
    <row r="165" customFormat="false" ht="15" hidden="false" customHeight="false" outlineLevel="0" collapsed="false">
      <c r="A165" s="6" t="s">
        <v>12357</v>
      </c>
      <c r="B165" s="6" t="s">
        <v>284</v>
      </c>
      <c r="C165" s="6" t="s">
        <v>152</v>
      </c>
      <c r="D165" s="6" t="s">
        <v>34</v>
      </c>
      <c r="E165" s="6" t="n">
        <f aca="false">ROUND(7826*1.05,2)</f>
        <v>8217.3</v>
      </c>
      <c r="F165" s="6" t="s">
        <v>35</v>
      </c>
      <c r="G165" s="6" t="s">
        <v>18</v>
      </c>
      <c r="H165" s="6" t="n">
        <f aca="true">ROUND(RAND()*4+6,1)</f>
        <v>9.2</v>
      </c>
      <c r="I165" s="6" t="s">
        <v>36</v>
      </c>
      <c r="J165" s="6" t="str">
        <f aca="false">ROUND(74*1,0)&amp;"%"</f>
        <v>74%</v>
      </c>
    </row>
    <row r="166" customFormat="false" ht="15" hidden="false" customHeight="false" outlineLevel="0" collapsed="false">
      <c r="A166" s="5" t="s">
        <v>12358</v>
      </c>
      <c r="B166" s="5" t="s">
        <v>286</v>
      </c>
      <c r="C166" s="5" t="s">
        <v>152</v>
      </c>
      <c r="D166" s="5" t="s">
        <v>39</v>
      </c>
      <c r="E166" s="5" t="n">
        <f aca="false">ROUND(17427*1.05,2)</f>
        <v>18298.35</v>
      </c>
      <c r="F166" s="5" t="s">
        <v>40</v>
      </c>
      <c r="G166" s="5" t="s">
        <v>24</v>
      </c>
      <c r="H166" s="5" t="n">
        <f aca="true">ROUND(RAND()*4+6,1)</f>
        <v>6.8</v>
      </c>
      <c r="I166" s="5" t="s">
        <v>41</v>
      </c>
      <c r="J166" s="5" t="str">
        <f aca="false">ROUND(91*1,0)&amp;"%"</f>
        <v>91%</v>
      </c>
    </row>
    <row r="167" customFormat="false" ht="15" hidden="false" customHeight="false" outlineLevel="0" collapsed="false">
      <c r="A167" s="6" t="s">
        <v>12359</v>
      </c>
      <c r="B167" s="6" t="s">
        <v>288</v>
      </c>
      <c r="C167" s="6" t="s">
        <v>152</v>
      </c>
      <c r="D167" s="6" t="s">
        <v>44</v>
      </c>
      <c r="E167" s="6" t="n">
        <f aca="false">ROUND(13853*1.05,2)</f>
        <v>14545.65</v>
      </c>
      <c r="F167" s="6" t="s">
        <v>45</v>
      </c>
      <c r="G167" s="6" t="s">
        <v>30</v>
      </c>
      <c r="H167" s="6" t="n">
        <f aca="true">ROUND(RAND()*4+6,1)</f>
        <v>8.8</v>
      </c>
      <c r="I167" s="6" t="s">
        <v>46</v>
      </c>
      <c r="J167" s="6" t="str">
        <f aca="false">ROUND(97*1,0)&amp;"%"</f>
        <v>97%</v>
      </c>
    </row>
    <row r="168" customFormat="false" ht="15" hidden="false" customHeight="false" outlineLevel="0" collapsed="false">
      <c r="A168" s="5" t="s">
        <v>12360</v>
      </c>
      <c r="B168" s="5" t="s">
        <v>290</v>
      </c>
      <c r="C168" s="5" t="s">
        <v>152</v>
      </c>
      <c r="D168" s="5" t="s">
        <v>16</v>
      </c>
      <c r="E168" s="5" t="n">
        <f aca="false">ROUND(7665*1.05,2)</f>
        <v>8048.25</v>
      </c>
      <c r="F168" s="5" t="s">
        <v>49</v>
      </c>
      <c r="G168" s="5" t="s">
        <v>18</v>
      </c>
      <c r="H168" s="5" t="n">
        <f aca="true">ROUND(RAND()*4+6,1)</f>
        <v>9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12361</v>
      </c>
      <c r="B169" s="6" t="s">
        <v>292</v>
      </c>
      <c r="C169" s="6" t="s">
        <v>152</v>
      </c>
      <c r="D169" s="6" t="s">
        <v>22</v>
      </c>
      <c r="E169" s="6" t="n">
        <f aca="false">ROUND(9016*1.05,2)</f>
        <v>9466.8</v>
      </c>
      <c r="F169" s="6" t="s">
        <v>52</v>
      </c>
      <c r="G169" s="6" t="s">
        <v>24</v>
      </c>
      <c r="H169" s="6" t="n">
        <f aca="true">ROUND(RAND()*4+6,1)</f>
        <v>8.2</v>
      </c>
      <c r="I169" s="6" t="s">
        <v>25</v>
      </c>
      <c r="J169" s="6" t="str">
        <f aca="false">ROUND(68*1,0)&amp;"%"</f>
        <v>68%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12362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12363</v>
      </c>
      <c r="B174" s="5" t="s">
        <v>296</v>
      </c>
      <c r="C174" s="5" t="s">
        <v>15</v>
      </c>
      <c r="D174" s="5" t="s">
        <v>16</v>
      </c>
      <c r="E174" s="5" t="n">
        <f aca="false">ROUND(9407*1.05,2)</f>
        <v>9877.35</v>
      </c>
      <c r="F174" s="5" t="s">
        <v>17</v>
      </c>
      <c r="G174" s="5" t="s">
        <v>18</v>
      </c>
      <c r="H174" s="5" t="n">
        <f aca="true">ROUND(RAND()*4+6,1)</f>
        <v>7.2</v>
      </c>
      <c r="I174" s="5" t="s">
        <v>19</v>
      </c>
      <c r="J174" s="5" t="str">
        <f aca="false">ROUND(66*1,0)&amp;"%"</f>
        <v>66%</v>
      </c>
    </row>
    <row r="175" customFormat="false" ht="15" hidden="false" customHeight="false" outlineLevel="0" collapsed="false">
      <c r="A175" s="6" t="s">
        <v>12364</v>
      </c>
      <c r="B175" s="6" t="s">
        <v>298</v>
      </c>
      <c r="C175" s="6" t="s">
        <v>15</v>
      </c>
      <c r="D175" s="6" t="s">
        <v>22</v>
      </c>
      <c r="E175" s="6" t="n">
        <f aca="false">ROUND(17725*1.05,2)</f>
        <v>18611.25</v>
      </c>
      <c r="F175" s="6" t="s">
        <v>23</v>
      </c>
      <c r="G175" s="6" t="s">
        <v>24</v>
      </c>
      <c r="H175" s="6" t="n">
        <f aca="true">ROUND(RAND()*4+6,1)</f>
        <v>8.2</v>
      </c>
      <c r="I175" s="6" t="s">
        <v>25</v>
      </c>
      <c r="J175" s="6" t="str">
        <f aca="false">ROUND(96*1,0)&amp;"%"</f>
        <v>96%</v>
      </c>
    </row>
    <row r="176" customFormat="false" ht="15" hidden="false" customHeight="false" outlineLevel="0" collapsed="false">
      <c r="A176" s="5" t="s">
        <v>12365</v>
      </c>
      <c r="B176" s="5" t="s">
        <v>300</v>
      </c>
      <c r="C176" s="5" t="s">
        <v>15</v>
      </c>
      <c r="D176" s="5" t="s">
        <v>28</v>
      </c>
      <c r="E176" s="5" t="n">
        <f aca="false">ROUND(15917*1.05,2)</f>
        <v>16712.85</v>
      </c>
      <c r="F176" s="5" t="s">
        <v>29</v>
      </c>
      <c r="G176" s="5" t="s">
        <v>30</v>
      </c>
      <c r="H176" s="5" t="n">
        <f aca="true">ROUND(RAND()*4+6,1)</f>
        <v>9.5</v>
      </c>
      <c r="I176" s="5" t="s">
        <v>31</v>
      </c>
      <c r="J176" s="5" t="str">
        <f aca="false">ROUND(69*1,0)&amp;"%"</f>
        <v>69%</v>
      </c>
    </row>
    <row r="177" customFormat="false" ht="15" hidden="false" customHeight="false" outlineLevel="0" collapsed="false">
      <c r="A177" s="6" t="s">
        <v>12366</v>
      </c>
      <c r="B177" s="6" t="s">
        <v>302</v>
      </c>
      <c r="C177" s="6" t="s">
        <v>15</v>
      </c>
      <c r="D177" s="6" t="s">
        <v>34</v>
      </c>
      <c r="E177" s="6" t="n">
        <f aca="false">ROUND(10031*1.05,2)</f>
        <v>10532.55</v>
      </c>
      <c r="F177" s="6" t="s">
        <v>35</v>
      </c>
      <c r="G177" s="6" t="s">
        <v>18</v>
      </c>
      <c r="H177" s="6" t="n">
        <f aca="true">ROUND(RAND()*4+6,1)</f>
        <v>6.5</v>
      </c>
      <c r="I177" s="6" t="s">
        <v>36</v>
      </c>
      <c r="J177" s="6" t="str">
        <f aca="false">ROUND(70*1,0)&amp;"%"</f>
        <v>70%</v>
      </c>
    </row>
    <row r="178" customFormat="false" ht="15" hidden="false" customHeight="false" outlineLevel="0" collapsed="false">
      <c r="A178" s="5" t="s">
        <v>12367</v>
      </c>
      <c r="B178" s="5" t="s">
        <v>304</v>
      </c>
      <c r="C178" s="5" t="s">
        <v>15</v>
      </c>
      <c r="D178" s="5" t="s">
        <v>39</v>
      </c>
      <c r="E178" s="5" t="n">
        <f aca="false">ROUND(17904*1.05,2)</f>
        <v>18799.2</v>
      </c>
      <c r="F178" s="5" t="s">
        <v>40</v>
      </c>
      <c r="G178" s="5" t="s">
        <v>24</v>
      </c>
      <c r="H178" s="5" t="n">
        <f aca="true">ROUND(RAND()*4+6,1)</f>
        <v>8.5</v>
      </c>
      <c r="I178" s="5" t="s">
        <v>41</v>
      </c>
      <c r="J178" s="5" t="str">
        <f aca="false">ROUND(91*1,0)&amp;"%"</f>
        <v>91%</v>
      </c>
    </row>
    <row r="179" customFormat="false" ht="15" hidden="false" customHeight="false" outlineLevel="0" collapsed="false">
      <c r="A179" s="6" t="s">
        <v>12368</v>
      </c>
      <c r="B179" s="6" t="s">
        <v>306</v>
      </c>
      <c r="C179" s="6" t="s">
        <v>15</v>
      </c>
      <c r="D179" s="6" t="s">
        <v>44</v>
      </c>
      <c r="E179" s="6" t="n">
        <f aca="false">ROUND(4962*1.05,2)</f>
        <v>5210.1</v>
      </c>
      <c r="F179" s="6" t="s">
        <v>45</v>
      </c>
      <c r="G179" s="6" t="s">
        <v>30</v>
      </c>
      <c r="H179" s="6" t="n">
        <f aca="true">ROUND(RAND()*4+6,1)</f>
        <v>7.5</v>
      </c>
      <c r="I179" s="6" t="s">
        <v>46</v>
      </c>
      <c r="J179" s="6" t="str">
        <f aca="false">ROUND(64*1,0)&amp;"%"</f>
        <v>64%</v>
      </c>
    </row>
    <row r="180" customFormat="false" ht="15" hidden="false" customHeight="false" outlineLevel="0" collapsed="false">
      <c r="A180" s="5" t="s">
        <v>12369</v>
      </c>
      <c r="B180" s="5" t="s">
        <v>308</v>
      </c>
      <c r="C180" s="5" t="s">
        <v>15</v>
      </c>
      <c r="D180" s="5" t="s">
        <v>16</v>
      </c>
      <c r="E180" s="5" t="n">
        <f aca="false">ROUND(9373*1.05,2)</f>
        <v>9841.65</v>
      </c>
      <c r="F180" s="5" t="s">
        <v>49</v>
      </c>
      <c r="G180" s="5" t="s">
        <v>18</v>
      </c>
      <c r="H180" s="5" t="n">
        <f aca="true">ROUND(RAND()*4+6,1)</f>
        <v>7.7</v>
      </c>
      <c r="I180" s="5" t="s">
        <v>19</v>
      </c>
      <c r="J180" s="5" t="str">
        <f aca="false">ROUND(77*1,0)&amp;"%"</f>
        <v>77%</v>
      </c>
    </row>
    <row r="181" customFormat="false" ht="15" hidden="false" customHeight="false" outlineLevel="0" collapsed="false">
      <c r="A181" s="6" t="s">
        <v>12370</v>
      </c>
      <c r="B181" s="6" t="s">
        <v>310</v>
      </c>
      <c r="C181" s="6" t="s">
        <v>15</v>
      </c>
      <c r="D181" s="6" t="s">
        <v>22</v>
      </c>
      <c r="E181" s="6" t="n">
        <f aca="false">ROUND(9481*1.05,2)</f>
        <v>9955.05</v>
      </c>
      <c r="F181" s="6" t="s">
        <v>52</v>
      </c>
      <c r="G181" s="6" t="s">
        <v>24</v>
      </c>
      <c r="H181" s="6" t="n">
        <f aca="true">ROUND(RAND()*4+6,1)</f>
        <v>8.3</v>
      </c>
      <c r="I181" s="6" t="s">
        <v>25</v>
      </c>
      <c r="J181" s="6" t="str">
        <f aca="false">ROUND(66*1,0)&amp;"%"</f>
        <v>66%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12371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12372</v>
      </c>
      <c r="B186" s="5" t="s">
        <v>314</v>
      </c>
      <c r="C186" s="5" t="s">
        <v>57</v>
      </c>
      <c r="D186" s="5" t="s">
        <v>16</v>
      </c>
      <c r="E186" s="5" t="n">
        <f aca="false">ROUND(5287*1.05,2)</f>
        <v>5551.35</v>
      </c>
      <c r="F186" s="5" t="s">
        <v>17</v>
      </c>
      <c r="G186" s="5" t="s">
        <v>18</v>
      </c>
      <c r="H186" s="5" t="n">
        <f aca="true">ROUND(RAND()*4+6,1)</f>
        <v>9.2</v>
      </c>
      <c r="I186" s="5" t="s">
        <v>19</v>
      </c>
      <c r="J186" s="5" t="str">
        <f aca="false">ROUND(69*1,0)&amp;"%"</f>
        <v>69%</v>
      </c>
    </row>
    <row r="187" customFormat="false" ht="15" hidden="false" customHeight="false" outlineLevel="0" collapsed="false">
      <c r="A187" s="6" t="s">
        <v>12373</v>
      </c>
      <c r="B187" s="6" t="s">
        <v>316</v>
      </c>
      <c r="C187" s="6" t="s">
        <v>57</v>
      </c>
      <c r="D187" s="6" t="s">
        <v>22</v>
      </c>
      <c r="E187" s="6" t="n">
        <f aca="false">ROUND(5696*1.05,2)</f>
        <v>5980.8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ROUND(78*1,0)&amp;"%"</f>
        <v>78%</v>
      </c>
    </row>
    <row r="188" customFormat="false" ht="15" hidden="false" customHeight="false" outlineLevel="0" collapsed="false">
      <c r="A188" s="5" t="s">
        <v>12374</v>
      </c>
      <c r="B188" s="5" t="s">
        <v>318</v>
      </c>
      <c r="C188" s="5" t="s">
        <v>57</v>
      </c>
      <c r="D188" s="5" t="s">
        <v>28</v>
      </c>
      <c r="E188" s="5" t="n">
        <f aca="false">ROUND(4276*1.05,2)</f>
        <v>4489.8</v>
      </c>
      <c r="F188" s="5" t="s">
        <v>29</v>
      </c>
      <c r="G188" s="5" t="s">
        <v>30</v>
      </c>
      <c r="H188" s="5" t="n">
        <f aca="true">ROUND(RAND()*4+6,1)</f>
        <v>9.4</v>
      </c>
      <c r="I188" s="5" t="s">
        <v>31</v>
      </c>
      <c r="J188" s="5" t="str">
        <f aca="false">ROUND(78*1,0)&amp;"%"</f>
        <v>78%</v>
      </c>
    </row>
    <row r="189" customFormat="false" ht="15" hidden="false" customHeight="false" outlineLevel="0" collapsed="false">
      <c r="A189" s="6" t="s">
        <v>12375</v>
      </c>
      <c r="B189" s="6" t="s">
        <v>320</v>
      </c>
      <c r="C189" s="6" t="s">
        <v>57</v>
      </c>
      <c r="D189" s="6" t="s">
        <v>34</v>
      </c>
      <c r="E189" s="6" t="n">
        <f aca="false">ROUND(7635*1.05,2)</f>
        <v>8016.75</v>
      </c>
      <c r="F189" s="6" t="s">
        <v>35</v>
      </c>
      <c r="G189" s="6" t="s">
        <v>18</v>
      </c>
      <c r="H189" s="6" t="n">
        <f aca="true">ROUND(RAND()*4+6,1)</f>
        <v>8</v>
      </c>
      <c r="I189" s="6" t="s">
        <v>36</v>
      </c>
      <c r="J189" s="6" t="str">
        <f aca="false">ROUND(82*1,0)&amp;"%"</f>
        <v>82%</v>
      </c>
    </row>
    <row r="190" customFormat="false" ht="15" hidden="false" customHeight="false" outlineLevel="0" collapsed="false">
      <c r="A190" s="5" t="s">
        <v>12376</v>
      </c>
      <c r="B190" s="5" t="s">
        <v>322</v>
      </c>
      <c r="C190" s="5" t="s">
        <v>57</v>
      </c>
      <c r="D190" s="5" t="s">
        <v>39</v>
      </c>
      <c r="E190" s="5" t="n">
        <f aca="false">ROUND(10407*1.05,2)</f>
        <v>10927.35</v>
      </c>
      <c r="F190" s="5" t="s">
        <v>40</v>
      </c>
      <c r="G190" s="5" t="s">
        <v>24</v>
      </c>
      <c r="H190" s="5" t="n">
        <f aca="true">ROUND(RAND()*4+6,1)</f>
        <v>10</v>
      </c>
      <c r="I190" s="5" t="s">
        <v>41</v>
      </c>
      <c r="J190" s="5" t="str">
        <f aca="false">ROUND(72*1,0)&amp;"%"</f>
        <v>72%</v>
      </c>
    </row>
    <row r="191" customFormat="false" ht="15" hidden="false" customHeight="false" outlineLevel="0" collapsed="false">
      <c r="A191" s="6" t="s">
        <v>12377</v>
      </c>
      <c r="B191" s="6" t="s">
        <v>324</v>
      </c>
      <c r="C191" s="6" t="s">
        <v>57</v>
      </c>
      <c r="D191" s="6" t="s">
        <v>44</v>
      </c>
      <c r="E191" s="6" t="n">
        <f aca="false">ROUND(12080*1.05,2)</f>
        <v>12684</v>
      </c>
      <c r="F191" s="6" t="s">
        <v>45</v>
      </c>
      <c r="G191" s="6" t="s">
        <v>30</v>
      </c>
      <c r="H191" s="6" t="n">
        <f aca="true">ROUND(RAND()*4+6,1)</f>
        <v>6.6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12378</v>
      </c>
      <c r="B192" s="5" t="s">
        <v>326</v>
      </c>
      <c r="C192" s="5" t="s">
        <v>57</v>
      </c>
      <c r="D192" s="5" t="s">
        <v>16</v>
      </c>
      <c r="E192" s="5" t="n">
        <f aca="false">ROUND(13091*1.05,2)</f>
        <v>13745.55</v>
      </c>
      <c r="F192" s="5" t="s">
        <v>49</v>
      </c>
      <c r="G192" s="5" t="s">
        <v>18</v>
      </c>
      <c r="H192" s="5" t="n">
        <f aca="true">ROUND(RAND()*4+6,1)</f>
        <v>7.3</v>
      </c>
      <c r="I192" s="5" t="s">
        <v>19</v>
      </c>
      <c r="J192" s="5" t="str">
        <f aca="false">ROUND(91*1,0)&amp;"%"</f>
        <v>91%</v>
      </c>
    </row>
    <row r="193" customFormat="false" ht="15" hidden="false" customHeight="false" outlineLevel="0" collapsed="false">
      <c r="A193" s="6" t="s">
        <v>12379</v>
      </c>
      <c r="B193" s="6" t="s">
        <v>328</v>
      </c>
      <c r="C193" s="6" t="s">
        <v>57</v>
      </c>
      <c r="D193" s="6" t="s">
        <v>22</v>
      </c>
      <c r="E193" s="6" t="n">
        <f aca="false">ROUND(17103*1.05,2)</f>
        <v>17958.15</v>
      </c>
      <c r="F193" s="6" t="s">
        <v>52</v>
      </c>
      <c r="G193" s="6" t="s">
        <v>24</v>
      </c>
      <c r="H193" s="6" t="n">
        <f aca="true">ROUND(RAND()*4+6,1)</f>
        <v>6.3</v>
      </c>
      <c r="I193" s="6" t="s">
        <v>25</v>
      </c>
      <c r="J193" s="6" t="str">
        <f aca="false">ROUND(92*1,0)&amp;"%"</f>
        <v>92%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12380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12381</v>
      </c>
      <c r="B198" s="5" t="s">
        <v>332</v>
      </c>
      <c r="C198" s="5" t="s">
        <v>76</v>
      </c>
      <c r="D198" s="5" t="s">
        <v>16</v>
      </c>
      <c r="E198" s="5" t="n">
        <f aca="false">ROUND(11715*1.05,2)</f>
        <v>12300.75</v>
      </c>
      <c r="F198" s="5" t="s">
        <v>17</v>
      </c>
      <c r="G198" s="5" t="s">
        <v>18</v>
      </c>
      <c r="H198" s="5" t="n">
        <f aca="true">ROUND(RAND()*4+6,1)</f>
        <v>7.3</v>
      </c>
      <c r="I198" s="5" t="s">
        <v>19</v>
      </c>
      <c r="J198" s="5" t="str">
        <f aca="false">ROUND(99*1,0)&amp;"%"</f>
        <v>99%</v>
      </c>
    </row>
    <row r="199" customFormat="false" ht="15" hidden="false" customHeight="false" outlineLevel="0" collapsed="false">
      <c r="A199" s="6" t="s">
        <v>12382</v>
      </c>
      <c r="B199" s="6" t="s">
        <v>334</v>
      </c>
      <c r="C199" s="6" t="s">
        <v>76</v>
      </c>
      <c r="D199" s="6" t="s">
        <v>22</v>
      </c>
      <c r="E199" s="6" t="n">
        <f aca="false">ROUND(11264*1.05,2)</f>
        <v>11827.2</v>
      </c>
      <c r="F199" s="6" t="s">
        <v>23</v>
      </c>
      <c r="G199" s="6" t="s">
        <v>24</v>
      </c>
      <c r="H199" s="6" t="n">
        <f aca="true">ROUND(RAND()*4+6,1)</f>
        <v>8.9</v>
      </c>
      <c r="I199" s="6" t="s">
        <v>25</v>
      </c>
      <c r="J199" s="6" t="str">
        <f aca="false">ROUND(62*1,0)&amp;"%"</f>
        <v>62%</v>
      </c>
    </row>
    <row r="200" customFormat="false" ht="15" hidden="false" customHeight="false" outlineLevel="0" collapsed="false">
      <c r="A200" s="5" t="s">
        <v>12383</v>
      </c>
      <c r="B200" s="5" t="s">
        <v>336</v>
      </c>
      <c r="C200" s="5" t="s">
        <v>76</v>
      </c>
      <c r="D200" s="5" t="s">
        <v>28</v>
      </c>
      <c r="E200" s="5" t="n">
        <f aca="false">ROUND(11920*1.05,2)</f>
        <v>12516</v>
      </c>
      <c r="F200" s="5" t="s">
        <v>29</v>
      </c>
      <c r="G200" s="5" t="s">
        <v>30</v>
      </c>
      <c r="H200" s="5" t="n">
        <f aca="true">ROUND(RAND()*4+6,1)</f>
        <v>6.1</v>
      </c>
      <c r="I200" s="5" t="s">
        <v>31</v>
      </c>
      <c r="J200" s="5" t="str">
        <f aca="false">ROUND(66*1,0)&amp;"%"</f>
        <v>66%</v>
      </c>
    </row>
    <row r="201" customFormat="false" ht="15" hidden="false" customHeight="false" outlineLevel="0" collapsed="false">
      <c r="A201" s="6" t="s">
        <v>12384</v>
      </c>
      <c r="B201" s="6" t="s">
        <v>338</v>
      </c>
      <c r="C201" s="6" t="s">
        <v>76</v>
      </c>
      <c r="D201" s="6" t="s">
        <v>34</v>
      </c>
      <c r="E201" s="6" t="n">
        <f aca="false">ROUND(5948*1.05,2)</f>
        <v>6245.4</v>
      </c>
      <c r="F201" s="6" t="s">
        <v>35</v>
      </c>
      <c r="G201" s="6" t="s">
        <v>18</v>
      </c>
      <c r="H201" s="6" t="n">
        <f aca="true">ROUND(RAND()*4+6,1)</f>
        <v>7.8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12385</v>
      </c>
      <c r="B202" s="5" t="s">
        <v>340</v>
      </c>
      <c r="C202" s="5" t="s">
        <v>76</v>
      </c>
      <c r="D202" s="5" t="s">
        <v>39</v>
      </c>
      <c r="E202" s="5" t="n">
        <f aca="false">ROUND(7700*1.05,2)</f>
        <v>8085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ROUND(97*1,0)&amp;"%"</f>
        <v>97%</v>
      </c>
    </row>
    <row r="203" customFormat="false" ht="15" hidden="false" customHeight="false" outlineLevel="0" collapsed="false">
      <c r="A203" s="6" t="s">
        <v>12386</v>
      </c>
      <c r="B203" s="6" t="s">
        <v>342</v>
      </c>
      <c r="C203" s="6" t="s">
        <v>76</v>
      </c>
      <c r="D203" s="6" t="s">
        <v>44</v>
      </c>
      <c r="E203" s="6" t="n">
        <f aca="false">ROUND(10270*1.05,2)</f>
        <v>10783.5</v>
      </c>
      <c r="F203" s="6" t="s">
        <v>45</v>
      </c>
      <c r="G203" s="6" t="s">
        <v>30</v>
      </c>
      <c r="H203" s="6" t="n">
        <f aca="true">ROUND(RAND()*4+6,1)</f>
        <v>7.1</v>
      </c>
      <c r="I203" s="6" t="s">
        <v>46</v>
      </c>
      <c r="J203" s="6" t="str">
        <f aca="false">ROUND(95*1,0)&amp;"%"</f>
        <v>95%</v>
      </c>
    </row>
    <row r="204" customFormat="false" ht="15" hidden="false" customHeight="false" outlineLevel="0" collapsed="false">
      <c r="A204" s="5" t="s">
        <v>12387</v>
      </c>
      <c r="B204" s="5" t="s">
        <v>344</v>
      </c>
      <c r="C204" s="5" t="s">
        <v>76</v>
      </c>
      <c r="D204" s="5" t="s">
        <v>16</v>
      </c>
      <c r="E204" s="5" t="n">
        <f aca="false">ROUND(4479*1.05,2)</f>
        <v>4702.95</v>
      </c>
      <c r="F204" s="5" t="s">
        <v>49</v>
      </c>
      <c r="G204" s="5" t="s">
        <v>18</v>
      </c>
      <c r="H204" s="5" t="n">
        <f aca="true">ROUND(RAND()*4+6,1)</f>
        <v>9.9</v>
      </c>
      <c r="I204" s="5" t="s">
        <v>19</v>
      </c>
      <c r="J204" s="5" t="str">
        <f aca="false">ROUND(73*1,0)&amp;"%"</f>
        <v>73%</v>
      </c>
    </row>
    <row r="205" customFormat="false" ht="15" hidden="false" customHeight="false" outlineLevel="0" collapsed="false">
      <c r="A205" s="6" t="s">
        <v>12388</v>
      </c>
      <c r="B205" s="6" t="s">
        <v>346</v>
      </c>
      <c r="C205" s="6" t="s">
        <v>76</v>
      </c>
      <c r="D205" s="6" t="s">
        <v>22</v>
      </c>
      <c r="E205" s="6" t="n">
        <f aca="false">ROUND(10252*1.05,2)</f>
        <v>10764.6</v>
      </c>
      <c r="F205" s="6" t="s">
        <v>52</v>
      </c>
      <c r="G205" s="6" t="s">
        <v>24</v>
      </c>
      <c r="H205" s="6" t="n">
        <f aca="true">ROUND(RAND()*4+6,1)</f>
        <v>8.3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12389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12390</v>
      </c>
      <c r="B210" s="5" t="s">
        <v>350</v>
      </c>
      <c r="C210" s="5" t="s">
        <v>95</v>
      </c>
      <c r="D210" s="5" t="s">
        <v>16</v>
      </c>
      <c r="E210" s="5" t="n">
        <f aca="false">ROUND(17995*1.05,2)</f>
        <v>18894.75</v>
      </c>
      <c r="F210" s="5" t="s">
        <v>17</v>
      </c>
      <c r="G210" s="5" t="s">
        <v>18</v>
      </c>
      <c r="H210" s="5" t="n">
        <f aca="true">ROUND(RAND()*4+6,1)</f>
        <v>8.9</v>
      </c>
      <c r="I210" s="5" t="s">
        <v>19</v>
      </c>
      <c r="J210" s="5" t="str">
        <f aca="false">ROUND(79*1,0)&amp;"%"</f>
        <v>79%</v>
      </c>
    </row>
    <row r="211" customFormat="false" ht="15" hidden="false" customHeight="false" outlineLevel="0" collapsed="false">
      <c r="A211" s="6" t="s">
        <v>12391</v>
      </c>
      <c r="B211" s="6" t="s">
        <v>352</v>
      </c>
      <c r="C211" s="6" t="s">
        <v>95</v>
      </c>
      <c r="D211" s="6" t="s">
        <v>22</v>
      </c>
      <c r="E211" s="6" t="n">
        <f aca="false">ROUND(11304*1.05,2)</f>
        <v>11869.2</v>
      </c>
      <c r="F211" s="6" t="s">
        <v>23</v>
      </c>
      <c r="G211" s="6" t="s">
        <v>24</v>
      </c>
      <c r="H211" s="6" t="n">
        <f aca="true">ROUND(RAND()*4+6,1)</f>
        <v>8.9</v>
      </c>
      <c r="I211" s="6" t="s">
        <v>25</v>
      </c>
      <c r="J211" s="6" t="str">
        <f aca="false">ROUND(75*1,0)&amp;"%"</f>
        <v>75%</v>
      </c>
    </row>
    <row r="212" customFormat="false" ht="15" hidden="false" customHeight="false" outlineLevel="0" collapsed="false">
      <c r="A212" s="5" t="s">
        <v>12392</v>
      </c>
      <c r="B212" s="5" t="s">
        <v>354</v>
      </c>
      <c r="C212" s="5" t="s">
        <v>95</v>
      </c>
      <c r="D212" s="5" t="s">
        <v>28</v>
      </c>
      <c r="E212" s="5" t="n">
        <f aca="false">ROUND(11098*1.05,2)</f>
        <v>11652.9</v>
      </c>
      <c r="F212" s="5" t="s">
        <v>29</v>
      </c>
      <c r="G212" s="5" t="s">
        <v>30</v>
      </c>
      <c r="H212" s="5" t="n">
        <f aca="true">ROUND(RAND()*4+6,1)</f>
        <v>8.3</v>
      </c>
      <c r="I212" s="5" t="s">
        <v>31</v>
      </c>
      <c r="J212" s="5" t="str">
        <f aca="false">ROUND(85*1,0)&amp;"%"</f>
        <v>85%</v>
      </c>
    </row>
    <row r="213" customFormat="false" ht="15" hidden="false" customHeight="false" outlineLevel="0" collapsed="false">
      <c r="A213" s="6" t="s">
        <v>12393</v>
      </c>
      <c r="B213" s="6" t="s">
        <v>356</v>
      </c>
      <c r="C213" s="6" t="s">
        <v>95</v>
      </c>
      <c r="D213" s="6" t="s">
        <v>34</v>
      </c>
      <c r="E213" s="6" t="n">
        <f aca="false">ROUND(9246*1.05,2)</f>
        <v>9708.3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ROUND(72*1,0)&amp;"%"</f>
        <v>72%</v>
      </c>
    </row>
    <row r="214" customFormat="false" ht="15" hidden="false" customHeight="false" outlineLevel="0" collapsed="false">
      <c r="A214" s="5" t="s">
        <v>12394</v>
      </c>
      <c r="B214" s="5" t="s">
        <v>358</v>
      </c>
      <c r="C214" s="5" t="s">
        <v>95</v>
      </c>
      <c r="D214" s="5" t="s">
        <v>39</v>
      </c>
      <c r="E214" s="5" t="n">
        <f aca="false">ROUND(11883*1.05,2)</f>
        <v>12477.15</v>
      </c>
      <c r="F214" s="5" t="s">
        <v>40</v>
      </c>
      <c r="G214" s="5" t="s">
        <v>24</v>
      </c>
      <c r="H214" s="5" t="n">
        <f aca="true">ROUND(RAND()*4+6,1)</f>
        <v>9.7</v>
      </c>
      <c r="I214" s="5" t="s">
        <v>41</v>
      </c>
      <c r="J214" s="5" t="str">
        <f aca="false">ROUND(60*1,0)&amp;"%"</f>
        <v>60%</v>
      </c>
    </row>
    <row r="215" customFormat="false" ht="15" hidden="false" customHeight="false" outlineLevel="0" collapsed="false">
      <c r="A215" s="6" t="s">
        <v>12395</v>
      </c>
      <c r="B215" s="6" t="s">
        <v>360</v>
      </c>
      <c r="C215" s="6" t="s">
        <v>95</v>
      </c>
      <c r="D215" s="6" t="s">
        <v>44</v>
      </c>
      <c r="E215" s="6" t="n">
        <f aca="false">ROUND(6408*1.05,2)</f>
        <v>6728.4</v>
      </c>
      <c r="F215" s="6" t="s">
        <v>45</v>
      </c>
      <c r="G215" s="6" t="s">
        <v>30</v>
      </c>
      <c r="H215" s="6" t="n">
        <f aca="true">ROUND(RAND()*4+6,1)</f>
        <v>8.6</v>
      </c>
      <c r="I215" s="6" t="s">
        <v>46</v>
      </c>
      <c r="J215" s="6" t="str">
        <f aca="false">ROUND(80*1,0)&amp;"%"</f>
        <v>80%</v>
      </c>
    </row>
    <row r="216" customFormat="false" ht="15" hidden="false" customHeight="false" outlineLevel="0" collapsed="false">
      <c r="A216" s="5" t="s">
        <v>12396</v>
      </c>
      <c r="B216" s="5" t="s">
        <v>362</v>
      </c>
      <c r="C216" s="5" t="s">
        <v>95</v>
      </c>
      <c r="D216" s="5" t="s">
        <v>16</v>
      </c>
      <c r="E216" s="5" t="n">
        <f aca="false">ROUND(8852*1.05,2)</f>
        <v>9294.6</v>
      </c>
      <c r="F216" s="5" t="s">
        <v>49</v>
      </c>
      <c r="G216" s="5" t="s">
        <v>18</v>
      </c>
      <c r="H216" s="5" t="n">
        <f aca="true">ROUND(RAND()*4+6,1)</f>
        <v>8.1</v>
      </c>
      <c r="I216" s="5" t="s">
        <v>19</v>
      </c>
      <c r="J216" s="5" t="str">
        <f aca="false">ROUND(69*1,0)&amp;"%"</f>
        <v>69%</v>
      </c>
    </row>
    <row r="217" customFormat="false" ht="15" hidden="false" customHeight="false" outlineLevel="0" collapsed="false">
      <c r="A217" s="6" t="s">
        <v>12397</v>
      </c>
      <c r="B217" s="6" t="s">
        <v>364</v>
      </c>
      <c r="C217" s="6" t="s">
        <v>95</v>
      </c>
      <c r="D217" s="6" t="s">
        <v>22</v>
      </c>
      <c r="E217" s="6" t="n">
        <f aca="false">ROUND(14506*1.05,2)</f>
        <v>15231.3</v>
      </c>
      <c r="F217" s="6" t="s">
        <v>52</v>
      </c>
      <c r="G217" s="6" t="s">
        <v>24</v>
      </c>
      <c r="H217" s="6" t="n">
        <f aca="true">ROUND(RAND()*4+6,1)</f>
        <v>8.7</v>
      </c>
      <c r="I217" s="6" t="s">
        <v>25</v>
      </c>
      <c r="J217" s="6" t="str">
        <f aca="false">ROUND(81*1,0)&amp;"%"</f>
        <v>81%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12398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12399</v>
      </c>
      <c r="B222" s="5" t="s">
        <v>368</v>
      </c>
      <c r="C222" s="5" t="s">
        <v>114</v>
      </c>
      <c r="D222" s="5" t="s">
        <v>16</v>
      </c>
      <c r="E222" s="5" t="n">
        <f aca="false">ROUND(12876*1.05,2)</f>
        <v>13519.8</v>
      </c>
      <c r="F222" s="5" t="s">
        <v>17</v>
      </c>
      <c r="G222" s="5" t="s">
        <v>18</v>
      </c>
      <c r="H222" s="5" t="n">
        <f aca="true">ROUND(RAND()*4+6,1)</f>
        <v>8.1</v>
      </c>
      <c r="I222" s="5" t="s">
        <v>19</v>
      </c>
      <c r="J222" s="5" t="str">
        <f aca="false">ROUND(75*1,0)&amp;"%"</f>
        <v>75%</v>
      </c>
    </row>
    <row r="223" customFormat="false" ht="15" hidden="false" customHeight="false" outlineLevel="0" collapsed="false">
      <c r="A223" s="6" t="s">
        <v>12400</v>
      </c>
      <c r="B223" s="6" t="s">
        <v>370</v>
      </c>
      <c r="C223" s="6" t="s">
        <v>114</v>
      </c>
      <c r="D223" s="6" t="s">
        <v>22</v>
      </c>
      <c r="E223" s="6" t="n">
        <f aca="false">ROUND(12474*1.05,2)</f>
        <v>13097.7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ROUND(92*1,0)&amp;"%"</f>
        <v>92%</v>
      </c>
    </row>
    <row r="224" customFormat="false" ht="15" hidden="false" customHeight="false" outlineLevel="0" collapsed="false">
      <c r="A224" s="5" t="s">
        <v>12401</v>
      </c>
      <c r="B224" s="5" t="s">
        <v>372</v>
      </c>
      <c r="C224" s="5" t="s">
        <v>114</v>
      </c>
      <c r="D224" s="5" t="s">
        <v>28</v>
      </c>
      <c r="E224" s="5" t="n">
        <f aca="false">ROUND(13861*1.05,2)</f>
        <v>14554.05</v>
      </c>
      <c r="F224" s="5" t="s">
        <v>29</v>
      </c>
      <c r="G224" s="5" t="s">
        <v>30</v>
      </c>
      <c r="H224" s="5" t="n">
        <f aca="true">ROUND(RAND()*4+6,1)</f>
        <v>10</v>
      </c>
      <c r="I224" s="5" t="s">
        <v>31</v>
      </c>
      <c r="J224" s="5" t="str">
        <f aca="false">ROUND(80*1,0)&amp;"%"</f>
        <v>80%</v>
      </c>
    </row>
    <row r="225" customFormat="false" ht="15" hidden="false" customHeight="false" outlineLevel="0" collapsed="false">
      <c r="A225" s="6" t="s">
        <v>12402</v>
      </c>
      <c r="B225" s="6" t="s">
        <v>374</v>
      </c>
      <c r="C225" s="6" t="s">
        <v>114</v>
      </c>
      <c r="D225" s="6" t="s">
        <v>34</v>
      </c>
      <c r="E225" s="6" t="n">
        <f aca="false">ROUND(16750*1.05,2)</f>
        <v>17587.5</v>
      </c>
      <c r="F225" s="6" t="s">
        <v>35</v>
      </c>
      <c r="G225" s="6" t="s">
        <v>18</v>
      </c>
      <c r="H225" s="6" t="n">
        <f aca="true">ROUND(RAND()*4+6,1)</f>
        <v>9.8</v>
      </c>
      <c r="I225" s="6" t="s">
        <v>36</v>
      </c>
      <c r="J225" s="6" t="str">
        <f aca="false">ROUND(99*1,0)&amp;"%"</f>
        <v>99%</v>
      </c>
    </row>
    <row r="226" customFormat="false" ht="15" hidden="false" customHeight="false" outlineLevel="0" collapsed="false">
      <c r="A226" s="5" t="s">
        <v>12403</v>
      </c>
      <c r="B226" s="5" t="s">
        <v>376</v>
      </c>
      <c r="C226" s="5" t="s">
        <v>114</v>
      </c>
      <c r="D226" s="5" t="s">
        <v>39</v>
      </c>
      <c r="E226" s="5" t="n">
        <f aca="false">ROUND(14572*1.05,2)</f>
        <v>15300.6</v>
      </c>
      <c r="F226" s="5" t="s">
        <v>40</v>
      </c>
      <c r="G226" s="5" t="s">
        <v>24</v>
      </c>
      <c r="H226" s="5" t="n">
        <f aca="true">ROUND(RAND()*4+6,1)</f>
        <v>9.9</v>
      </c>
      <c r="I226" s="5" t="s">
        <v>41</v>
      </c>
      <c r="J226" s="5" t="str">
        <f aca="false">ROUND(100*1,0)&amp;"%"</f>
        <v>100%</v>
      </c>
    </row>
    <row r="227" customFormat="false" ht="15" hidden="false" customHeight="false" outlineLevel="0" collapsed="false">
      <c r="A227" s="6" t="s">
        <v>12404</v>
      </c>
      <c r="B227" s="6" t="s">
        <v>378</v>
      </c>
      <c r="C227" s="6" t="s">
        <v>114</v>
      </c>
      <c r="D227" s="6" t="s">
        <v>44</v>
      </c>
      <c r="E227" s="6" t="n">
        <f aca="false">ROUND(9811*1.05,2)</f>
        <v>10301.55</v>
      </c>
      <c r="F227" s="6" t="s">
        <v>45</v>
      </c>
      <c r="G227" s="6" t="s">
        <v>30</v>
      </c>
      <c r="H227" s="6" t="n">
        <f aca="true">ROUND(RAND()*4+6,1)</f>
        <v>7.6</v>
      </c>
      <c r="I227" s="6" t="s">
        <v>46</v>
      </c>
      <c r="J227" s="6" t="str">
        <f aca="false">ROUND(98*1,0)&amp;"%"</f>
        <v>98%</v>
      </c>
    </row>
    <row r="228" customFormat="false" ht="15" hidden="false" customHeight="false" outlineLevel="0" collapsed="false">
      <c r="A228" s="5" t="s">
        <v>12405</v>
      </c>
      <c r="B228" s="5" t="s">
        <v>380</v>
      </c>
      <c r="C228" s="5" t="s">
        <v>114</v>
      </c>
      <c r="D228" s="5" t="s">
        <v>16</v>
      </c>
      <c r="E228" s="5" t="n">
        <f aca="false">ROUND(4011*1.05,2)</f>
        <v>4211.55</v>
      </c>
      <c r="F228" s="5" t="s">
        <v>49</v>
      </c>
      <c r="G228" s="5" t="s">
        <v>18</v>
      </c>
      <c r="H228" s="5" t="n">
        <f aca="true">ROUND(RAND()*4+6,1)</f>
        <v>6.8</v>
      </c>
      <c r="I228" s="5" t="s">
        <v>19</v>
      </c>
      <c r="J228" s="5" t="str">
        <f aca="false">ROUND(81*1,0)&amp;"%"</f>
        <v>81%</v>
      </c>
    </row>
    <row r="229" customFormat="false" ht="15" hidden="false" customHeight="false" outlineLevel="0" collapsed="false">
      <c r="A229" s="6" t="s">
        <v>12406</v>
      </c>
      <c r="B229" s="6" t="s">
        <v>382</v>
      </c>
      <c r="C229" s="6" t="s">
        <v>114</v>
      </c>
      <c r="D229" s="6" t="s">
        <v>22</v>
      </c>
      <c r="E229" s="6" t="n">
        <f aca="false">ROUND(16050*1.05,2)</f>
        <v>16852.5</v>
      </c>
      <c r="F229" s="6" t="s">
        <v>52</v>
      </c>
      <c r="G229" s="6" t="s">
        <v>24</v>
      </c>
      <c r="H229" s="6" t="n">
        <f aca="true">ROUND(RAND()*4+6,1)</f>
        <v>6.1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12407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12408</v>
      </c>
      <c r="B234" s="5" t="s">
        <v>386</v>
      </c>
      <c r="C234" s="5" t="s">
        <v>133</v>
      </c>
      <c r="D234" s="5" t="s">
        <v>16</v>
      </c>
      <c r="E234" s="5" t="n">
        <f aca="false">ROUND(9866*1.05,2)</f>
        <v>10359.3</v>
      </c>
      <c r="F234" s="5" t="s">
        <v>17</v>
      </c>
      <c r="G234" s="5" t="s">
        <v>18</v>
      </c>
      <c r="H234" s="5" t="n">
        <f aca="true">ROUND(RAND()*4+6,1)</f>
        <v>7.6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12409</v>
      </c>
      <c r="B235" s="6" t="s">
        <v>388</v>
      </c>
      <c r="C235" s="6" t="s">
        <v>133</v>
      </c>
      <c r="D235" s="6" t="s">
        <v>22</v>
      </c>
      <c r="E235" s="6" t="n">
        <f aca="false">ROUND(7461*1.05,2)</f>
        <v>7834.05</v>
      </c>
      <c r="F235" s="6" t="s">
        <v>23</v>
      </c>
      <c r="G235" s="6" t="s">
        <v>24</v>
      </c>
      <c r="H235" s="6" t="n">
        <f aca="true">ROUND(RAND()*4+6,1)</f>
        <v>8.6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12410</v>
      </c>
      <c r="B236" s="5" t="s">
        <v>390</v>
      </c>
      <c r="C236" s="5" t="s">
        <v>133</v>
      </c>
      <c r="D236" s="5" t="s">
        <v>28</v>
      </c>
      <c r="E236" s="5" t="n">
        <f aca="false">ROUND(6303*1.05,2)</f>
        <v>6618.15</v>
      </c>
      <c r="F236" s="5" t="s">
        <v>29</v>
      </c>
      <c r="G236" s="5" t="s">
        <v>30</v>
      </c>
      <c r="H236" s="5" t="n">
        <f aca="true">ROUND(RAND()*4+6,1)</f>
        <v>8.8</v>
      </c>
      <c r="I236" s="5" t="s">
        <v>31</v>
      </c>
      <c r="J236" s="5" t="str">
        <f aca="false">ROUND(89*1,0)&amp;"%"</f>
        <v>89%</v>
      </c>
    </row>
    <row r="237" customFormat="false" ht="15" hidden="false" customHeight="false" outlineLevel="0" collapsed="false">
      <c r="A237" s="6" t="s">
        <v>12411</v>
      </c>
      <c r="B237" s="6" t="s">
        <v>392</v>
      </c>
      <c r="C237" s="6" t="s">
        <v>133</v>
      </c>
      <c r="D237" s="6" t="s">
        <v>34</v>
      </c>
      <c r="E237" s="6" t="n">
        <f aca="false">ROUND(11751*1.05,2)</f>
        <v>12338.55</v>
      </c>
      <c r="F237" s="6" t="s">
        <v>35</v>
      </c>
      <c r="G237" s="6" t="s">
        <v>18</v>
      </c>
      <c r="H237" s="6" t="n">
        <f aca="true">ROUND(RAND()*4+6,1)</f>
        <v>7</v>
      </c>
      <c r="I237" s="6" t="s">
        <v>36</v>
      </c>
      <c r="J237" s="6" t="str">
        <f aca="false">ROUND(72*1,0)&amp;"%"</f>
        <v>72%</v>
      </c>
    </row>
    <row r="238" customFormat="false" ht="15" hidden="false" customHeight="false" outlineLevel="0" collapsed="false">
      <c r="A238" s="5" t="s">
        <v>12412</v>
      </c>
      <c r="B238" s="5" t="s">
        <v>394</v>
      </c>
      <c r="C238" s="5" t="s">
        <v>133</v>
      </c>
      <c r="D238" s="5" t="s">
        <v>39</v>
      </c>
      <c r="E238" s="5" t="n">
        <f aca="false">ROUND(5442*1.05,2)</f>
        <v>5714.1</v>
      </c>
      <c r="F238" s="5" t="s">
        <v>40</v>
      </c>
      <c r="G238" s="5" t="s">
        <v>24</v>
      </c>
      <c r="H238" s="5" t="n">
        <f aca="true">ROUND(RAND()*4+6,1)</f>
        <v>8.4</v>
      </c>
      <c r="I238" s="5" t="s">
        <v>41</v>
      </c>
      <c r="J238" s="5" t="str">
        <f aca="false">ROUND(89*1,0)&amp;"%"</f>
        <v>89%</v>
      </c>
    </row>
    <row r="239" customFormat="false" ht="15" hidden="false" customHeight="false" outlineLevel="0" collapsed="false">
      <c r="A239" s="6" t="s">
        <v>12413</v>
      </c>
      <c r="B239" s="6" t="s">
        <v>396</v>
      </c>
      <c r="C239" s="6" t="s">
        <v>133</v>
      </c>
      <c r="D239" s="6" t="s">
        <v>44</v>
      </c>
      <c r="E239" s="6" t="n">
        <f aca="false">ROUND(5927*1.05,2)</f>
        <v>6223.35</v>
      </c>
      <c r="F239" s="6" t="s">
        <v>45</v>
      </c>
      <c r="G239" s="6" t="s">
        <v>30</v>
      </c>
      <c r="H239" s="6" t="n">
        <f aca="true">ROUND(RAND()*4+6,1)</f>
        <v>7</v>
      </c>
      <c r="I239" s="6" t="s">
        <v>46</v>
      </c>
      <c r="J239" s="6" t="str">
        <f aca="false">ROUND(98*1,0)&amp;"%"</f>
        <v>98%</v>
      </c>
    </row>
    <row r="240" customFormat="false" ht="15" hidden="false" customHeight="false" outlineLevel="0" collapsed="false">
      <c r="A240" s="5" t="s">
        <v>12414</v>
      </c>
      <c r="B240" s="5" t="s">
        <v>398</v>
      </c>
      <c r="C240" s="5" t="s">
        <v>133</v>
      </c>
      <c r="D240" s="5" t="s">
        <v>16</v>
      </c>
      <c r="E240" s="5" t="n">
        <f aca="false">ROUND(14967*1.05,2)</f>
        <v>15715.35</v>
      </c>
      <c r="F240" s="5" t="s">
        <v>49</v>
      </c>
      <c r="G240" s="5" t="s">
        <v>18</v>
      </c>
      <c r="H240" s="5" t="n">
        <f aca="true">ROUND(RAND()*4+6,1)</f>
        <v>7.6</v>
      </c>
      <c r="I240" s="5" t="s">
        <v>19</v>
      </c>
      <c r="J240" s="5" t="str">
        <f aca="false">ROUND(81*1,0)&amp;"%"</f>
        <v>81%</v>
      </c>
    </row>
    <row r="241" customFormat="false" ht="15" hidden="false" customHeight="false" outlineLevel="0" collapsed="false">
      <c r="A241" s="6" t="s">
        <v>12415</v>
      </c>
      <c r="B241" s="6" t="s">
        <v>400</v>
      </c>
      <c r="C241" s="6" t="s">
        <v>133</v>
      </c>
      <c r="D241" s="6" t="s">
        <v>22</v>
      </c>
      <c r="E241" s="6" t="n">
        <f aca="false">ROUND(11548*1.05,2)</f>
        <v>12125.4</v>
      </c>
      <c r="F241" s="6" t="s">
        <v>52</v>
      </c>
      <c r="G241" s="6" t="s">
        <v>24</v>
      </c>
      <c r="H241" s="6" t="n">
        <f aca="true">ROUND(RAND()*4+6,1)</f>
        <v>9.7</v>
      </c>
      <c r="I241" s="6" t="s">
        <v>25</v>
      </c>
      <c r="J241" s="6" t="str">
        <f aca="false">ROUND(85*1,0)&amp;"%"</f>
        <v>85%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12416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12417</v>
      </c>
      <c r="B246" s="5" t="s">
        <v>404</v>
      </c>
      <c r="C246" s="5" t="s">
        <v>152</v>
      </c>
      <c r="D246" s="5" t="s">
        <v>16</v>
      </c>
      <c r="E246" s="5" t="n">
        <f aca="false">ROUND(15212*1.05,2)</f>
        <v>15972.6</v>
      </c>
      <c r="F246" s="5" t="s">
        <v>17</v>
      </c>
      <c r="G246" s="5" t="s">
        <v>18</v>
      </c>
      <c r="H246" s="5" t="n">
        <f aca="true">ROUND(RAND()*4+6,1)</f>
        <v>6.2</v>
      </c>
      <c r="I246" s="5" t="s">
        <v>19</v>
      </c>
      <c r="J246" s="5" t="str">
        <f aca="false">ROUND(84*1,0)&amp;"%"</f>
        <v>84%</v>
      </c>
    </row>
    <row r="247" customFormat="false" ht="15" hidden="false" customHeight="false" outlineLevel="0" collapsed="false">
      <c r="A247" s="6" t="s">
        <v>12418</v>
      </c>
      <c r="B247" s="6" t="s">
        <v>406</v>
      </c>
      <c r="C247" s="6" t="s">
        <v>152</v>
      </c>
      <c r="D247" s="6" t="s">
        <v>22</v>
      </c>
      <c r="E247" s="6" t="n">
        <f aca="false">ROUND(6592*1.05,2)</f>
        <v>6921.6</v>
      </c>
      <c r="F247" s="6" t="s">
        <v>23</v>
      </c>
      <c r="G247" s="6" t="s">
        <v>24</v>
      </c>
      <c r="H247" s="6" t="n">
        <f aca="true">ROUND(RAND()*4+6,1)</f>
        <v>7.3</v>
      </c>
      <c r="I247" s="6" t="s">
        <v>25</v>
      </c>
      <c r="J247" s="6" t="str">
        <f aca="false">ROUND(87*1,0)&amp;"%"</f>
        <v>87%</v>
      </c>
    </row>
    <row r="248" customFormat="false" ht="15" hidden="false" customHeight="false" outlineLevel="0" collapsed="false">
      <c r="A248" s="5" t="s">
        <v>12419</v>
      </c>
      <c r="B248" s="5" t="s">
        <v>408</v>
      </c>
      <c r="C248" s="5" t="s">
        <v>152</v>
      </c>
      <c r="D248" s="5" t="s">
        <v>28</v>
      </c>
      <c r="E248" s="5" t="n">
        <f aca="false">ROUND(11187*1.05,2)</f>
        <v>11746.35</v>
      </c>
      <c r="F248" s="5" t="s">
        <v>29</v>
      </c>
      <c r="G248" s="5" t="s">
        <v>30</v>
      </c>
      <c r="H248" s="5" t="n">
        <f aca="true">ROUND(RAND()*4+6,1)</f>
        <v>8.2</v>
      </c>
      <c r="I248" s="5" t="s">
        <v>31</v>
      </c>
      <c r="J248" s="5" t="str">
        <f aca="false">ROUND(96*1,0)&amp;"%"</f>
        <v>96%</v>
      </c>
    </row>
    <row r="249" customFormat="false" ht="15" hidden="false" customHeight="false" outlineLevel="0" collapsed="false">
      <c r="A249" s="6" t="s">
        <v>12420</v>
      </c>
      <c r="B249" s="6" t="s">
        <v>410</v>
      </c>
      <c r="C249" s="6" t="s">
        <v>152</v>
      </c>
      <c r="D249" s="6" t="s">
        <v>34</v>
      </c>
      <c r="E249" s="6" t="n">
        <f aca="false">ROUND(14388*1.05,2)</f>
        <v>15107.4</v>
      </c>
      <c r="F249" s="6" t="s">
        <v>35</v>
      </c>
      <c r="G249" s="6" t="s">
        <v>18</v>
      </c>
      <c r="H249" s="6" t="n">
        <f aca="true">ROUND(RAND()*4+6,1)</f>
        <v>7.7</v>
      </c>
      <c r="I249" s="6" t="s">
        <v>36</v>
      </c>
      <c r="J249" s="6" t="str">
        <f aca="false">ROUND(67*1,0)&amp;"%"</f>
        <v>67%</v>
      </c>
    </row>
    <row r="250" customFormat="false" ht="15" hidden="false" customHeight="false" outlineLevel="0" collapsed="false">
      <c r="A250" s="5" t="s">
        <v>12421</v>
      </c>
      <c r="B250" s="5" t="s">
        <v>412</v>
      </c>
      <c r="C250" s="5" t="s">
        <v>152</v>
      </c>
      <c r="D250" s="5" t="s">
        <v>39</v>
      </c>
      <c r="E250" s="5" t="n">
        <f aca="false">ROUND(11325*1.05,2)</f>
        <v>11891.25</v>
      </c>
      <c r="F250" s="5" t="s">
        <v>40</v>
      </c>
      <c r="G250" s="5" t="s">
        <v>24</v>
      </c>
      <c r="H250" s="5" t="n">
        <f aca="true">ROUND(RAND()*4+6,1)</f>
        <v>7.8</v>
      </c>
      <c r="I250" s="5" t="s">
        <v>41</v>
      </c>
      <c r="J250" s="5" t="str">
        <f aca="false">ROUND(97*1,0)&amp;"%"</f>
        <v>97%</v>
      </c>
    </row>
    <row r="251" customFormat="false" ht="15" hidden="false" customHeight="false" outlineLevel="0" collapsed="false">
      <c r="A251" s="6" t="s">
        <v>12422</v>
      </c>
      <c r="B251" s="6" t="s">
        <v>414</v>
      </c>
      <c r="C251" s="6" t="s">
        <v>152</v>
      </c>
      <c r="D251" s="6" t="s">
        <v>44</v>
      </c>
      <c r="E251" s="6" t="n">
        <f aca="false">ROUND(14553*1.05,2)</f>
        <v>15280.65</v>
      </c>
      <c r="F251" s="6" t="s">
        <v>45</v>
      </c>
      <c r="G251" s="6" t="s">
        <v>30</v>
      </c>
      <c r="H251" s="6" t="n">
        <f aca="true">ROUND(RAND()*4+6,1)</f>
        <v>8.3</v>
      </c>
      <c r="I251" s="6" t="s">
        <v>46</v>
      </c>
      <c r="J251" s="6" t="str">
        <f aca="false">ROUND(86*1,0)&amp;"%"</f>
        <v>86%</v>
      </c>
    </row>
    <row r="252" customFormat="false" ht="15" hidden="false" customHeight="false" outlineLevel="0" collapsed="false">
      <c r="A252" s="5" t="s">
        <v>12423</v>
      </c>
      <c r="B252" s="5" t="s">
        <v>416</v>
      </c>
      <c r="C252" s="5" t="s">
        <v>152</v>
      </c>
      <c r="D252" s="5" t="s">
        <v>16</v>
      </c>
      <c r="E252" s="5" t="n">
        <f aca="false">ROUND(15345*1.05,2)</f>
        <v>16112.25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ROUND(64*1,0)&amp;"%"</f>
        <v>64%</v>
      </c>
    </row>
    <row r="253" customFormat="false" ht="15" hidden="false" customHeight="false" outlineLevel="0" collapsed="false">
      <c r="A253" s="6" t="s">
        <v>12424</v>
      </c>
      <c r="B253" s="6" t="s">
        <v>418</v>
      </c>
      <c r="C253" s="6" t="s">
        <v>152</v>
      </c>
      <c r="D253" s="6" t="s">
        <v>22</v>
      </c>
      <c r="E253" s="6" t="n">
        <f aca="false">ROUND(4408*1.05,2)</f>
        <v>4628.4</v>
      </c>
      <c r="F253" s="6" t="s">
        <v>52</v>
      </c>
      <c r="G253" s="6" t="s">
        <v>24</v>
      </c>
      <c r="H253" s="6" t="n">
        <f aca="true">ROUND(RAND()*4+6,1)</f>
        <v>9.5</v>
      </c>
      <c r="I253" s="6" t="s">
        <v>25</v>
      </c>
      <c r="J253" s="6" t="str">
        <f aca="false">ROUND(74*1,0)&amp;"%"</f>
        <v>74%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12425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12426</v>
      </c>
      <c r="B258" s="5" t="s">
        <v>422</v>
      </c>
      <c r="C258" s="5" t="s">
        <v>15</v>
      </c>
      <c r="D258" s="5" t="s">
        <v>16</v>
      </c>
      <c r="E258" s="5" t="n">
        <f aca="false">ROUND(8698*1.05,2)</f>
        <v>9132.9</v>
      </c>
      <c r="F258" s="5" t="s">
        <v>17</v>
      </c>
      <c r="G258" s="5" t="s">
        <v>18</v>
      </c>
      <c r="H258" s="5" t="n">
        <f aca="true">ROUND(RAND()*4+6,1)</f>
        <v>6.8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12427</v>
      </c>
      <c r="B259" s="6" t="s">
        <v>424</v>
      </c>
      <c r="C259" s="6" t="s">
        <v>15</v>
      </c>
      <c r="D259" s="6" t="s">
        <v>22</v>
      </c>
      <c r="E259" s="6" t="n">
        <f aca="false">ROUND(10226*1.05,2)</f>
        <v>10737.3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ROUND(94*1,0)&amp;"%"</f>
        <v>94%</v>
      </c>
    </row>
    <row r="260" customFormat="false" ht="15" hidden="false" customHeight="false" outlineLevel="0" collapsed="false">
      <c r="A260" s="5" t="s">
        <v>12428</v>
      </c>
      <c r="B260" s="5" t="s">
        <v>426</v>
      </c>
      <c r="C260" s="5" t="s">
        <v>15</v>
      </c>
      <c r="D260" s="5" t="s">
        <v>28</v>
      </c>
      <c r="E260" s="5" t="n">
        <f aca="false">ROUND(12045*1.05,2)</f>
        <v>12647.25</v>
      </c>
      <c r="F260" s="5" t="s">
        <v>29</v>
      </c>
      <c r="G260" s="5" t="s">
        <v>30</v>
      </c>
      <c r="H260" s="5" t="n">
        <f aca="true">ROUND(RAND()*4+6,1)</f>
        <v>8.1</v>
      </c>
      <c r="I260" s="5" t="s">
        <v>31</v>
      </c>
      <c r="J260" s="5" t="str">
        <f aca="false">ROUND(68*1,0)&amp;"%"</f>
        <v>68%</v>
      </c>
    </row>
    <row r="261" customFormat="false" ht="15" hidden="false" customHeight="false" outlineLevel="0" collapsed="false">
      <c r="A261" s="6" t="s">
        <v>12429</v>
      </c>
      <c r="B261" s="6" t="s">
        <v>428</v>
      </c>
      <c r="C261" s="6" t="s">
        <v>15</v>
      </c>
      <c r="D261" s="6" t="s">
        <v>34</v>
      </c>
      <c r="E261" s="6" t="n">
        <f aca="false">ROUND(7828*1.05,2)</f>
        <v>8219.4</v>
      </c>
      <c r="F261" s="6" t="s">
        <v>35</v>
      </c>
      <c r="G261" s="6" t="s">
        <v>18</v>
      </c>
      <c r="H261" s="6" t="n">
        <f aca="true">ROUND(RAND()*4+6,1)</f>
        <v>6.8</v>
      </c>
      <c r="I261" s="6" t="s">
        <v>36</v>
      </c>
      <c r="J261" s="6" t="str">
        <f aca="false">ROUND(91*1,0)&amp;"%"</f>
        <v>91%</v>
      </c>
    </row>
    <row r="262" customFormat="false" ht="15" hidden="false" customHeight="false" outlineLevel="0" collapsed="false">
      <c r="A262" s="5" t="s">
        <v>12430</v>
      </c>
      <c r="B262" s="5" t="s">
        <v>430</v>
      </c>
      <c r="C262" s="5" t="s">
        <v>15</v>
      </c>
      <c r="D262" s="5" t="s">
        <v>39</v>
      </c>
      <c r="E262" s="5" t="n">
        <f aca="false">ROUND(8731*1.05,2)</f>
        <v>9167.55</v>
      </c>
      <c r="F262" s="5" t="s">
        <v>40</v>
      </c>
      <c r="G262" s="5" t="s">
        <v>24</v>
      </c>
      <c r="H262" s="5" t="n">
        <f aca="true">ROUND(RAND()*4+6,1)</f>
        <v>7.1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12431</v>
      </c>
      <c r="B263" s="6" t="s">
        <v>432</v>
      </c>
      <c r="C263" s="6" t="s">
        <v>15</v>
      </c>
      <c r="D263" s="6" t="s">
        <v>44</v>
      </c>
      <c r="E263" s="6" t="n">
        <f aca="false">ROUND(17137*1.05,2)</f>
        <v>17993.85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ROUND(85*1,0)&amp;"%"</f>
        <v>85%</v>
      </c>
    </row>
    <row r="264" customFormat="false" ht="15" hidden="false" customHeight="false" outlineLevel="0" collapsed="false">
      <c r="A264" s="5" t="s">
        <v>12432</v>
      </c>
      <c r="B264" s="5" t="s">
        <v>434</v>
      </c>
      <c r="C264" s="5" t="s">
        <v>15</v>
      </c>
      <c r="D264" s="5" t="s">
        <v>16</v>
      </c>
      <c r="E264" s="5" t="n">
        <f aca="false">ROUND(14812*1.05,2)</f>
        <v>15552.6</v>
      </c>
      <c r="F264" s="5" t="s">
        <v>49</v>
      </c>
      <c r="G264" s="5" t="s">
        <v>18</v>
      </c>
      <c r="H264" s="5" t="n">
        <f aca="true">ROUND(RAND()*4+6,1)</f>
        <v>9.7</v>
      </c>
      <c r="I264" s="5" t="s">
        <v>19</v>
      </c>
      <c r="J264" s="5" t="str">
        <f aca="false">ROUND(78*1,0)&amp;"%"</f>
        <v>78%</v>
      </c>
    </row>
    <row r="265" customFormat="false" ht="15" hidden="false" customHeight="false" outlineLevel="0" collapsed="false">
      <c r="A265" s="6" t="s">
        <v>12433</v>
      </c>
      <c r="B265" s="6" t="s">
        <v>436</v>
      </c>
      <c r="C265" s="6" t="s">
        <v>15</v>
      </c>
      <c r="D265" s="6" t="s">
        <v>22</v>
      </c>
      <c r="E265" s="6" t="n">
        <f aca="false">ROUND(10941*1.05,2)</f>
        <v>11488.05</v>
      </c>
      <c r="F265" s="6" t="s">
        <v>52</v>
      </c>
      <c r="G265" s="6" t="s">
        <v>24</v>
      </c>
      <c r="H265" s="6" t="n">
        <f aca="true">ROUND(RAND()*4+6,1)</f>
        <v>9.5</v>
      </c>
      <c r="I265" s="6" t="s">
        <v>25</v>
      </c>
      <c r="J265" s="6" t="str">
        <f aca="false">ROUND(84*1,0)&amp;"%"</f>
        <v>84%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12434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12435</v>
      </c>
      <c r="B270" s="5" t="s">
        <v>440</v>
      </c>
      <c r="C270" s="5" t="s">
        <v>57</v>
      </c>
      <c r="D270" s="5" t="s">
        <v>16</v>
      </c>
      <c r="E270" s="5" t="n">
        <f aca="false">ROUND(7156*1.05,2)</f>
        <v>7513.8</v>
      </c>
      <c r="F270" s="5" t="s">
        <v>17</v>
      </c>
      <c r="G270" s="5" t="s">
        <v>18</v>
      </c>
      <c r="H270" s="5" t="n">
        <f aca="true">ROUND(RAND()*4+6,1)</f>
        <v>7.9</v>
      </c>
      <c r="I270" s="5" t="s">
        <v>19</v>
      </c>
      <c r="J270" s="5" t="str">
        <f aca="false">ROUND(94*1,0)&amp;"%"</f>
        <v>94%</v>
      </c>
    </row>
    <row r="271" customFormat="false" ht="15" hidden="false" customHeight="false" outlineLevel="0" collapsed="false">
      <c r="A271" s="6" t="s">
        <v>12436</v>
      </c>
      <c r="B271" s="6" t="s">
        <v>442</v>
      </c>
      <c r="C271" s="6" t="s">
        <v>57</v>
      </c>
      <c r="D271" s="6" t="s">
        <v>22</v>
      </c>
      <c r="E271" s="6" t="n">
        <f aca="false">ROUND(6256*1.05,2)</f>
        <v>6568.8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12437</v>
      </c>
      <c r="B272" s="5" t="s">
        <v>444</v>
      </c>
      <c r="C272" s="5" t="s">
        <v>57</v>
      </c>
      <c r="D272" s="5" t="s">
        <v>28</v>
      </c>
      <c r="E272" s="5" t="n">
        <f aca="false">ROUND(6469*1.05,2)</f>
        <v>6792.45</v>
      </c>
      <c r="F272" s="5" t="s">
        <v>29</v>
      </c>
      <c r="G272" s="5" t="s">
        <v>30</v>
      </c>
      <c r="H272" s="5" t="n">
        <f aca="true">ROUND(RAND()*4+6,1)</f>
        <v>7.3</v>
      </c>
      <c r="I272" s="5" t="s">
        <v>31</v>
      </c>
      <c r="J272" s="5" t="str">
        <f aca="false">ROUND(90*1,0)&amp;"%"</f>
        <v>90%</v>
      </c>
    </row>
    <row r="273" customFormat="false" ht="15" hidden="false" customHeight="false" outlineLevel="0" collapsed="false">
      <c r="A273" s="6" t="s">
        <v>12438</v>
      </c>
      <c r="B273" s="6" t="s">
        <v>446</v>
      </c>
      <c r="C273" s="6" t="s">
        <v>57</v>
      </c>
      <c r="D273" s="6" t="s">
        <v>34</v>
      </c>
      <c r="E273" s="6" t="n">
        <f aca="false">ROUND(9302*1.05,2)</f>
        <v>9767.1</v>
      </c>
      <c r="F273" s="6" t="s">
        <v>35</v>
      </c>
      <c r="G273" s="6" t="s">
        <v>18</v>
      </c>
      <c r="H273" s="6" t="n">
        <f aca="true">ROUND(RAND()*4+6,1)</f>
        <v>9.2</v>
      </c>
      <c r="I273" s="6" t="s">
        <v>36</v>
      </c>
      <c r="J273" s="6" t="str">
        <f aca="false">ROUND(99*1,0)&amp;"%"</f>
        <v>99%</v>
      </c>
    </row>
    <row r="274" customFormat="false" ht="15" hidden="false" customHeight="false" outlineLevel="0" collapsed="false">
      <c r="A274" s="5" t="s">
        <v>12439</v>
      </c>
      <c r="B274" s="5" t="s">
        <v>448</v>
      </c>
      <c r="C274" s="5" t="s">
        <v>57</v>
      </c>
      <c r="D274" s="5" t="s">
        <v>39</v>
      </c>
      <c r="E274" s="5" t="n">
        <f aca="false">ROUND(6456*1.05,2)</f>
        <v>6778.8</v>
      </c>
      <c r="F274" s="5" t="s">
        <v>40</v>
      </c>
      <c r="G274" s="5" t="s">
        <v>24</v>
      </c>
      <c r="H274" s="5" t="n">
        <f aca="true">ROUND(RAND()*4+6,1)</f>
        <v>6.1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12440</v>
      </c>
      <c r="B275" s="6" t="s">
        <v>450</v>
      </c>
      <c r="C275" s="6" t="s">
        <v>57</v>
      </c>
      <c r="D275" s="6" t="s">
        <v>44</v>
      </c>
      <c r="E275" s="6" t="n">
        <f aca="false">ROUND(11660*1.05,2)</f>
        <v>12243</v>
      </c>
      <c r="F275" s="6" t="s">
        <v>45</v>
      </c>
      <c r="G275" s="6" t="s">
        <v>30</v>
      </c>
      <c r="H275" s="6" t="n">
        <f aca="true">ROUND(RAND()*4+6,1)</f>
        <v>6.2</v>
      </c>
      <c r="I275" s="6" t="s">
        <v>46</v>
      </c>
      <c r="J275" s="6" t="str">
        <f aca="false">ROUND(63*1,0)&amp;"%"</f>
        <v>63%</v>
      </c>
    </row>
    <row r="276" customFormat="false" ht="15" hidden="false" customHeight="false" outlineLevel="0" collapsed="false">
      <c r="A276" s="5" t="s">
        <v>12441</v>
      </c>
      <c r="B276" s="5" t="s">
        <v>452</v>
      </c>
      <c r="C276" s="5" t="s">
        <v>57</v>
      </c>
      <c r="D276" s="5" t="s">
        <v>16</v>
      </c>
      <c r="E276" s="5" t="n">
        <f aca="false">ROUND(6994*1.05,2)</f>
        <v>7343.7</v>
      </c>
      <c r="F276" s="5" t="s">
        <v>49</v>
      </c>
      <c r="G276" s="5" t="s">
        <v>18</v>
      </c>
      <c r="H276" s="5" t="n">
        <f aca="true">ROUND(RAND()*4+6,1)</f>
        <v>9.1</v>
      </c>
      <c r="I276" s="5" t="s">
        <v>19</v>
      </c>
      <c r="J276" s="5" t="str">
        <f aca="false">ROUND(82*1,0)&amp;"%"</f>
        <v>82%</v>
      </c>
    </row>
    <row r="277" customFormat="false" ht="15" hidden="false" customHeight="false" outlineLevel="0" collapsed="false">
      <c r="A277" s="6" t="s">
        <v>12442</v>
      </c>
      <c r="B277" s="6" t="s">
        <v>454</v>
      </c>
      <c r="C277" s="6" t="s">
        <v>57</v>
      </c>
      <c r="D277" s="6" t="s">
        <v>22</v>
      </c>
      <c r="E277" s="6" t="n">
        <f aca="false">ROUND(8665*1.05,2)</f>
        <v>9098.25</v>
      </c>
      <c r="F277" s="6" t="s">
        <v>52</v>
      </c>
      <c r="G277" s="6" t="s">
        <v>24</v>
      </c>
      <c r="H277" s="6" t="n">
        <f aca="true">ROUND(RAND()*4+6,1)</f>
        <v>7.1</v>
      </c>
      <c r="I277" s="6" t="s">
        <v>25</v>
      </c>
      <c r="J277" s="6" t="str">
        <f aca="false">ROUND(74*1,0)&amp;"%"</f>
        <v>74%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12443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12444</v>
      </c>
      <c r="B282" s="5" t="s">
        <v>458</v>
      </c>
      <c r="C282" s="5" t="s">
        <v>76</v>
      </c>
      <c r="D282" s="5" t="s">
        <v>16</v>
      </c>
      <c r="E282" s="5" t="n">
        <f aca="false">ROUND(17152*1.05,2)</f>
        <v>18009.6</v>
      </c>
      <c r="F282" s="5" t="s">
        <v>17</v>
      </c>
      <c r="G282" s="5" t="s">
        <v>18</v>
      </c>
      <c r="H282" s="5" t="n">
        <f aca="true">ROUND(RAND()*4+6,1)</f>
        <v>9</v>
      </c>
      <c r="I282" s="5" t="s">
        <v>19</v>
      </c>
      <c r="J282" s="5" t="str">
        <f aca="false">ROUND(98*1,0)&amp;"%"</f>
        <v>98%</v>
      </c>
    </row>
    <row r="283" customFormat="false" ht="15" hidden="false" customHeight="false" outlineLevel="0" collapsed="false">
      <c r="A283" s="6" t="s">
        <v>12445</v>
      </c>
      <c r="B283" s="6" t="s">
        <v>460</v>
      </c>
      <c r="C283" s="6" t="s">
        <v>76</v>
      </c>
      <c r="D283" s="6" t="s">
        <v>22</v>
      </c>
      <c r="E283" s="6" t="n">
        <f aca="false">ROUND(15334*1.05,2)</f>
        <v>16100.7</v>
      </c>
      <c r="F283" s="6" t="s">
        <v>23</v>
      </c>
      <c r="G283" s="6" t="s">
        <v>24</v>
      </c>
      <c r="H283" s="6" t="n">
        <f aca="true">ROUND(RAND()*4+6,1)</f>
        <v>9.4</v>
      </c>
      <c r="I283" s="6" t="s">
        <v>25</v>
      </c>
      <c r="J283" s="6" t="str">
        <f aca="false">ROUND(78*1,0)&amp;"%"</f>
        <v>78%</v>
      </c>
    </row>
    <row r="284" customFormat="false" ht="15" hidden="false" customHeight="false" outlineLevel="0" collapsed="false">
      <c r="A284" s="5" t="s">
        <v>12446</v>
      </c>
      <c r="B284" s="5" t="s">
        <v>462</v>
      </c>
      <c r="C284" s="5" t="s">
        <v>76</v>
      </c>
      <c r="D284" s="5" t="s">
        <v>28</v>
      </c>
      <c r="E284" s="5" t="n">
        <f aca="false">ROUND(13940*1.05,2)</f>
        <v>14637</v>
      </c>
      <c r="F284" s="5" t="s">
        <v>29</v>
      </c>
      <c r="G284" s="5" t="s">
        <v>30</v>
      </c>
      <c r="H284" s="5" t="n">
        <f aca="true">ROUND(RAND()*4+6,1)</f>
        <v>9.6</v>
      </c>
      <c r="I284" s="5" t="s">
        <v>31</v>
      </c>
      <c r="J284" s="5" t="str">
        <f aca="false">ROUND(95*1,0)&amp;"%"</f>
        <v>95%</v>
      </c>
    </row>
    <row r="285" customFormat="false" ht="15" hidden="false" customHeight="false" outlineLevel="0" collapsed="false">
      <c r="A285" s="6" t="s">
        <v>12447</v>
      </c>
      <c r="B285" s="6" t="s">
        <v>464</v>
      </c>
      <c r="C285" s="6" t="s">
        <v>76</v>
      </c>
      <c r="D285" s="6" t="s">
        <v>34</v>
      </c>
      <c r="E285" s="6" t="n">
        <f aca="false">ROUND(9391*1.05,2)</f>
        <v>9860.55</v>
      </c>
      <c r="F285" s="6" t="s">
        <v>35</v>
      </c>
      <c r="G285" s="6" t="s">
        <v>18</v>
      </c>
      <c r="H285" s="6" t="n">
        <f aca="true">ROUND(RAND()*4+6,1)</f>
        <v>8.2</v>
      </c>
      <c r="I285" s="6" t="s">
        <v>36</v>
      </c>
      <c r="J285" s="6" t="str">
        <f aca="false">ROUND(89*1,0)&amp;"%"</f>
        <v>89%</v>
      </c>
    </row>
    <row r="286" customFormat="false" ht="15" hidden="false" customHeight="false" outlineLevel="0" collapsed="false">
      <c r="A286" s="5" t="s">
        <v>12448</v>
      </c>
      <c r="B286" s="5" t="s">
        <v>466</v>
      </c>
      <c r="C286" s="5" t="s">
        <v>76</v>
      </c>
      <c r="D286" s="5" t="s">
        <v>39</v>
      </c>
      <c r="E286" s="5" t="n">
        <f aca="false">ROUND(17957*1.05,2)</f>
        <v>18854.85</v>
      </c>
      <c r="F286" s="5" t="s">
        <v>40</v>
      </c>
      <c r="G286" s="5" t="s">
        <v>24</v>
      </c>
      <c r="H286" s="5" t="n">
        <f aca="true">ROUND(RAND()*4+6,1)</f>
        <v>8.2</v>
      </c>
      <c r="I286" s="5" t="s">
        <v>41</v>
      </c>
      <c r="J286" s="5" t="str">
        <f aca="false">ROUND(72*1,0)&amp;"%"</f>
        <v>72%</v>
      </c>
    </row>
    <row r="287" customFormat="false" ht="15" hidden="false" customHeight="false" outlineLevel="0" collapsed="false">
      <c r="A287" s="6" t="s">
        <v>12449</v>
      </c>
      <c r="B287" s="6" t="s">
        <v>468</v>
      </c>
      <c r="C287" s="6" t="s">
        <v>76</v>
      </c>
      <c r="D287" s="6" t="s">
        <v>44</v>
      </c>
      <c r="E287" s="6" t="n">
        <f aca="false">ROUND(6815*1.05,2)</f>
        <v>7155.75</v>
      </c>
      <c r="F287" s="6" t="s">
        <v>45</v>
      </c>
      <c r="G287" s="6" t="s">
        <v>30</v>
      </c>
      <c r="H287" s="6" t="n">
        <f aca="true">ROUND(RAND()*4+6,1)</f>
        <v>6.4</v>
      </c>
      <c r="I287" s="6" t="s">
        <v>46</v>
      </c>
      <c r="J287" s="6" t="str">
        <f aca="false">ROUND(71*1,0)&amp;"%"</f>
        <v>71%</v>
      </c>
    </row>
    <row r="288" customFormat="false" ht="15" hidden="false" customHeight="false" outlineLevel="0" collapsed="false">
      <c r="A288" s="5" t="s">
        <v>12450</v>
      </c>
      <c r="B288" s="5" t="s">
        <v>470</v>
      </c>
      <c r="C288" s="5" t="s">
        <v>76</v>
      </c>
      <c r="D288" s="5" t="s">
        <v>16</v>
      </c>
      <c r="E288" s="5" t="n">
        <f aca="false">ROUND(16870*1.05,2)</f>
        <v>17713.5</v>
      </c>
      <c r="F288" s="5" t="s">
        <v>49</v>
      </c>
      <c r="G288" s="5" t="s">
        <v>18</v>
      </c>
      <c r="H288" s="5" t="n">
        <f aca="true">ROUND(RAND()*4+6,1)</f>
        <v>9.2</v>
      </c>
      <c r="I288" s="5" t="s">
        <v>19</v>
      </c>
      <c r="J288" s="5" t="str">
        <f aca="false">ROUND(64*1,0)&amp;"%"</f>
        <v>64%</v>
      </c>
    </row>
    <row r="289" customFormat="false" ht="15" hidden="false" customHeight="false" outlineLevel="0" collapsed="false">
      <c r="A289" s="6" t="s">
        <v>12451</v>
      </c>
      <c r="B289" s="6" t="s">
        <v>472</v>
      </c>
      <c r="C289" s="6" t="s">
        <v>76</v>
      </c>
      <c r="D289" s="6" t="s">
        <v>22</v>
      </c>
      <c r="E289" s="6" t="n">
        <f aca="false">ROUND(16698*1.05,2)</f>
        <v>17532.9</v>
      </c>
      <c r="F289" s="6" t="s">
        <v>52</v>
      </c>
      <c r="G289" s="6" t="s">
        <v>24</v>
      </c>
      <c r="H289" s="6" t="n">
        <f aca="true">ROUND(RAND()*4+6,1)</f>
        <v>8.7</v>
      </c>
      <c r="I289" s="6" t="s">
        <v>25</v>
      </c>
      <c r="J289" s="6" t="str">
        <f aca="false">ROUND(87*1,0)&amp;"%"</f>
        <v>87%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12452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12453</v>
      </c>
      <c r="B294" s="5" t="s">
        <v>476</v>
      </c>
      <c r="C294" s="5" t="s">
        <v>95</v>
      </c>
      <c r="D294" s="5" t="s">
        <v>16</v>
      </c>
      <c r="E294" s="5" t="n">
        <f aca="false">ROUND(14342*1.05,2)</f>
        <v>15059.1</v>
      </c>
      <c r="F294" s="5" t="s">
        <v>17</v>
      </c>
      <c r="G294" s="5" t="s">
        <v>18</v>
      </c>
      <c r="H294" s="5" t="n">
        <f aca="true">ROUND(RAND()*4+6,1)</f>
        <v>7</v>
      </c>
      <c r="I294" s="5" t="s">
        <v>19</v>
      </c>
      <c r="J294" s="5" t="str">
        <f aca="false">ROUND(60*1,0)&amp;"%"</f>
        <v>60%</v>
      </c>
    </row>
    <row r="295" customFormat="false" ht="15" hidden="false" customHeight="false" outlineLevel="0" collapsed="false">
      <c r="A295" s="6" t="s">
        <v>12454</v>
      </c>
      <c r="B295" s="6" t="s">
        <v>478</v>
      </c>
      <c r="C295" s="6" t="s">
        <v>95</v>
      </c>
      <c r="D295" s="6" t="s">
        <v>22</v>
      </c>
      <c r="E295" s="6" t="n">
        <f aca="false">ROUND(12468*1.05,2)</f>
        <v>13091.4</v>
      </c>
      <c r="F295" s="6" t="s">
        <v>23</v>
      </c>
      <c r="G295" s="6" t="s">
        <v>24</v>
      </c>
      <c r="H295" s="6" t="n">
        <f aca="true">ROUND(RAND()*4+6,1)</f>
        <v>9.5</v>
      </c>
      <c r="I295" s="6" t="s">
        <v>25</v>
      </c>
      <c r="J295" s="6" t="str">
        <f aca="false">ROUND(84*1,0)&amp;"%"</f>
        <v>84%</v>
      </c>
    </row>
    <row r="296" customFormat="false" ht="15" hidden="false" customHeight="false" outlineLevel="0" collapsed="false">
      <c r="A296" s="5" t="s">
        <v>12455</v>
      </c>
      <c r="B296" s="5" t="s">
        <v>480</v>
      </c>
      <c r="C296" s="5" t="s">
        <v>95</v>
      </c>
      <c r="D296" s="5" t="s">
        <v>28</v>
      </c>
      <c r="E296" s="5" t="n">
        <f aca="false">ROUND(7054*1.05,2)</f>
        <v>7406.7</v>
      </c>
      <c r="F296" s="5" t="s">
        <v>29</v>
      </c>
      <c r="G296" s="5" t="s">
        <v>30</v>
      </c>
      <c r="H296" s="5" t="n">
        <f aca="true">ROUND(RAND()*4+6,1)</f>
        <v>8.3</v>
      </c>
      <c r="I296" s="5" t="s">
        <v>31</v>
      </c>
      <c r="J296" s="5" t="str">
        <f aca="false">ROUND(63*1,0)&amp;"%"</f>
        <v>63%</v>
      </c>
    </row>
    <row r="297" customFormat="false" ht="15" hidden="false" customHeight="false" outlineLevel="0" collapsed="false">
      <c r="A297" s="6" t="s">
        <v>12456</v>
      </c>
      <c r="B297" s="6" t="s">
        <v>482</v>
      </c>
      <c r="C297" s="6" t="s">
        <v>95</v>
      </c>
      <c r="D297" s="6" t="s">
        <v>34</v>
      </c>
      <c r="E297" s="6" t="n">
        <f aca="false">ROUND(5207*1.05,2)</f>
        <v>5467.35</v>
      </c>
      <c r="F297" s="6" t="s">
        <v>35</v>
      </c>
      <c r="G297" s="6" t="s">
        <v>18</v>
      </c>
      <c r="H297" s="6" t="n">
        <f aca="true">ROUND(RAND()*4+6,1)</f>
        <v>9.2</v>
      </c>
      <c r="I297" s="6" t="s">
        <v>36</v>
      </c>
      <c r="J297" s="6" t="str">
        <f aca="false">ROUND(88*1,0)&amp;"%"</f>
        <v>88%</v>
      </c>
    </row>
    <row r="298" customFormat="false" ht="15" hidden="false" customHeight="false" outlineLevel="0" collapsed="false">
      <c r="A298" s="5" t="s">
        <v>12457</v>
      </c>
      <c r="B298" s="5" t="s">
        <v>484</v>
      </c>
      <c r="C298" s="5" t="s">
        <v>95</v>
      </c>
      <c r="D298" s="5" t="s">
        <v>39</v>
      </c>
      <c r="E298" s="5" t="n">
        <f aca="false">ROUND(10967*1.05,2)</f>
        <v>11515.35</v>
      </c>
      <c r="F298" s="5" t="s">
        <v>40</v>
      </c>
      <c r="G298" s="5" t="s">
        <v>24</v>
      </c>
      <c r="H298" s="5" t="n">
        <f aca="true">ROUND(RAND()*4+6,1)</f>
        <v>7.6</v>
      </c>
      <c r="I298" s="5" t="s">
        <v>41</v>
      </c>
      <c r="J298" s="5" t="str">
        <f aca="false">ROUND(80*1,0)&amp;"%"</f>
        <v>80%</v>
      </c>
    </row>
    <row r="299" customFormat="false" ht="15" hidden="false" customHeight="false" outlineLevel="0" collapsed="false">
      <c r="A299" s="6" t="s">
        <v>12458</v>
      </c>
      <c r="B299" s="6" t="s">
        <v>486</v>
      </c>
      <c r="C299" s="6" t="s">
        <v>95</v>
      </c>
      <c r="D299" s="6" t="s">
        <v>44</v>
      </c>
      <c r="E299" s="6" t="n">
        <f aca="false">ROUND(14679*1.05,2)</f>
        <v>15412.95</v>
      </c>
      <c r="F299" s="6" t="s">
        <v>45</v>
      </c>
      <c r="G299" s="6" t="s">
        <v>30</v>
      </c>
      <c r="H299" s="6" t="n">
        <f aca="true">ROUND(RAND()*4+6,1)</f>
        <v>6.3</v>
      </c>
      <c r="I299" s="6" t="s">
        <v>46</v>
      </c>
      <c r="J299" s="6" t="str">
        <f aca="false">ROUND(78*1,0)&amp;"%"</f>
        <v>78%</v>
      </c>
    </row>
    <row r="300" customFormat="false" ht="15" hidden="false" customHeight="false" outlineLevel="0" collapsed="false">
      <c r="A300" s="5" t="s">
        <v>12459</v>
      </c>
      <c r="B300" s="5" t="s">
        <v>488</v>
      </c>
      <c r="C300" s="5" t="s">
        <v>95</v>
      </c>
      <c r="D300" s="5" t="s">
        <v>16</v>
      </c>
      <c r="E300" s="5" t="n">
        <f aca="false">ROUND(7542*1.05,2)</f>
        <v>7919.1</v>
      </c>
      <c r="F300" s="5" t="s">
        <v>49</v>
      </c>
      <c r="G300" s="5" t="s">
        <v>18</v>
      </c>
      <c r="H300" s="5" t="n">
        <f aca="true">ROUND(RAND()*4+6,1)</f>
        <v>9.4</v>
      </c>
      <c r="I300" s="5" t="s">
        <v>19</v>
      </c>
      <c r="J300" s="5" t="str">
        <f aca="false">ROUND(78*1,0)&amp;"%"</f>
        <v>78%</v>
      </c>
    </row>
    <row r="301" customFormat="false" ht="15" hidden="false" customHeight="false" outlineLevel="0" collapsed="false">
      <c r="A301" s="6" t="s">
        <v>12460</v>
      </c>
      <c r="B301" s="6" t="s">
        <v>490</v>
      </c>
      <c r="C301" s="6" t="s">
        <v>95</v>
      </c>
      <c r="D301" s="6" t="s">
        <v>22</v>
      </c>
      <c r="E301" s="6" t="n">
        <f aca="false">ROUND(9964*1.05,2)</f>
        <v>10462.2</v>
      </c>
      <c r="F301" s="6" t="s">
        <v>52</v>
      </c>
      <c r="G301" s="6" t="s">
        <v>24</v>
      </c>
      <c r="H301" s="6" t="n">
        <f aca="true">ROUND(RAND()*4+6,1)</f>
        <v>9.5</v>
      </c>
      <c r="I301" s="6" t="s">
        <v>25</v>
      </c>
      <c r="J301" s="6" t="str">
        <f aca="false">ROUND(87*1,0)&amp;"%"</f>
        <v>87%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12461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12462</v>
      </c>
      <c r="B306" s="5" t="s">
        <v>494</v>
      </c>
      <c r="C306" s="5" t="s">
        <v>114</v>
      </c>
      <c r="D306" s="5" t="s">
        <v>16</v>
      </c>
      <c r="E306" s="5" t="n">
        <f aca="false">ROUND(9780*1.05,2)</f>
        <v>10269</v>
      </c>
      <c r="F306" s="5" t="s">
        <v>17</v>
      </c>
      <c r="G306" s="5" t="s">
        <v>18</v>
      </c>
      <c r="H306" s="5" t="n">
        <f aca="true">ROUND(RAND()*4+6,1)</f>
        <v>8</v>
      </c>
      <c r="I306" s="5" t="s">
        <v>19</v>
      </c>
      <c r="J306" s="5" t="str">
        <f aca="false">ROUND(100*1,0)&amp;"%"</f>
        <v>100%</v>
      </c>
    </row>
    <row r="307" customFormat="false" ht="15" hidden="false" customHeight="false" outlineLevel="0" collapsed="false">
      <c r="A307" s="6" t="s">
        <v>12463</v>
      </c>
      <c r="B307" s="6" t="s">
        <v>496</v>
      </c>
      <c r="C307" s="6" t="s">
        <v>114</v>
      </c>
      <c r="D307" s="6" t="s">
        <v>22</v>
      </c>
      <c r="E307" s="6" t="n">
        <f aca="false">ROUND(12727*1.05,2)</f>
        <v>13363.35</v>
      </c>
      <c r="F307" s="6" t="s">
        <v>23</v>
      </c>
      <c r="G307" s="6" t="s">
        <v>24</v>
      </c>
      <c r="H307" s="6" t="n">
        <f aca="true">ROUND(RAND()*4+6,1)</f>
        <v>9.7</v>
      </c>
      <c r="I307" s="6" t="s">
        <v>25</v>
      </c>
      <c r="J307" s="6" t="str">
        <f aca="false">ROUND(94*1,0)&amp;"%"</f>
        <v>94%</v>
      </c>
    </row>
    <row r="308" customFormat="false" ht="15" hidden="false" customHeight="false" outlineLevel="0" collapsed="false">
      <c r="A308" s="5" t="s">
        <v>12464</v>
      </c>
      <c r="B308" s="5" t="s">
        <v>498</v>
      </c>
      <c r="C308" s="5" t="s">
        <v>114</v>
      </c>
      <c r="D308" s="5" t="s">
        <v>28</v>
      </c>
      <c r="E308" s="5" t="n">
        <f aca="false">ROUND(13588*1.05,2)</f>
        <v>14267.4</v>
      </c>
      <c r="F308" s="5" t="s">
        <v>29</v>
      </c>
      <c r="G308" s="5" t="s">
        <v>30</v>
      </c>
      <c r="H308" s="5" t="n">
        <f aca="true">ROUND(RAND()*4+6,1)</f>
        <v>6.6</v>
      </c>
      <c r="I308" s="5" t="s">
        <v>31</v>
      </c>
      <c r="J308" s="5" t="str">
        <f aca="false">ROUND(84*1,0)&amp;"%"</f>
        <v>84%</v>
      </c>
    </row>
    <row r="309" customFormat="false" ht="15" hidden="false" customHeight="false" outlineLevel="0" collapsed="false">
      <c r="A309" s="6" t="s">
        <v>12465</v>
      </c>
      <c r="B309" s="6" t="s">
        <v>500</v>
      </c>
      <c r="C309" s="6" t="s">
        <v>114</v>
      </c>
      <c r="D309" s="6" t="s">
        <v>34</v>
      </c>
      <c r="E309" s="6" t="n">
        <f aca="false">ROUND(10570*1.05,2)</f>
        <v>11098.5</v>
      </c>
      <c r="F309" s="6" t="s">
        <v>35</v>
      </c>
      <c r="G309" s="6" t="s">
        <v>18</v>
      </c>
      <c r="H309" s="6" t="n">
        <f aca="true">ROUND(RAND()*4+6,1)</f>
        <v>7.4</v>
      </c>
      <c r="I309" s="6" t="s">
        <v>36</v>
      </c>
      <c r="J309" s="6" t="str">
        <f aca="false">ROUND(60*1,0)&amp;"%"</f>
        <v>60%</v>
      </c>
    </row>
    <row r="310" customFormat="false" ht="15" hidden="false" customHeight="false" outlineLevel="0" collapsed="false">
      <c r="A310" s="5" t="s">
        <v>12466</v>
      </c>
      <c r="B310" s="5" t="s">
        <v>502</v>
      </c>
      <c r="C310" s="5" t="s">
        <v>114</v>
      </c>
      <c r="D310" s="5" t="s">
        <v>39</v>
      </c>
      <c r="E310" s="5" t="n">
        <f aca="false">ROUND(17156*1.05,2)</f>
        <v>18013.8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ROUND(100*1,0)&amp;"%"</f>
        <v>100%</v>
      </c>
    </row>
    <row r="311" customFormat="false" ht="15" hidden="false" customHeight="false" outlineLevel="0" collapsed="false">
      <c r="A311" s="6" t="s">
        <v>12467</v>
      </c>
      <c r="B311" s="6" t="s">
        <v>504</v>
      </c>
      <c r="C311" s="6" t="s">
        <v>114</v>
      </c>
      <c r="D311" s="6" t="s">
        <v>44</v>
      </c>
      <c r="E311" s="6" t="n">
        <f aca="false">ROUND(8222*1.05,2)</f>
        <v>8633.1</v>
      </c>
      <c r="F311" s="6" t="s">
        <v>45</v>
      </c>
      <c r="G311" s="6" t="s">
        <v>30</v>
      </c>
      <c r="H311" s="6" t="n">
        <f aca="true">ROUND(RAND()*4+6,1)</f>
        <v>9.4</v>
      </c>
      <c r="I311" s="6" t="s">
        <v>46</v>
      </c>
      <c r="J311" s="6" t="str">
        <f aca="false">ROUND(96*1,0)&amp;"%"</f>
        <v>96%</v>
      </c>
    </row>
    <row r="312" customFormat="false" ht="15" hidden="false" customHeight="false" outlineLevel="0" collapsed="false">
      <c r="A312" s="5" t="s">
        <v>12468</v>
      </c>
      <c r="B312" s="5" t="s">
        <v>506</v>
      </c>
      <c r="C312" s="5" t="s">
        <v>114</v>
      </c>
      <c r="D312" s="5" t="s">
        <v>16</v>
      </c>
      <c r="E312" s="5" t="n">
        <f aca="false">ROUND(13045*1.05,2)</f>
        <v>13697.25</v>
      </c>
      <c r="F312" s="5" t="s">
        <v>49</v>
      </c>
      <c r="G312" s="5" t="s">
        <v>18</v>
      </c>
      <c r="H312" s="5" t="n">
        <f aca="true">ROUND(RAND()*4+6,1)</f>
        <v>8.2</v>
      </c>
      <c r="I312" s="5" t="s">
        <v>19</v>
      </c>
      <c r="J312" s="5" t="str">
        <f aca="false">ROUND(62*1,0)&amp;"%"</f>
        <v>62%</v>
      </c>
    </row>
    <row r="313" customFormat="false" ht="15" hidden="false" customHeight="false" outlineLevel="0" collapsed="false">
      <c r="A313" s="6" t="s">
        <v>12469</v>
      </c>
      <c r="B313" s="6" t="s">
        <v>508</v>
      </c>
      <c r="C313" s="6" t="s">
        <v>114</v>
      </c>
      <c r="D313" s="6" t="s">
        <v>22</v>
      </c>
      <c r="E313" s="6" t="n">
        <f aca="false">ROUND(9929*1.05,2)</f>
        <v>10425.45</v>
      </c>
      <c r="F313" s="6" t="s">
        <v>52</v>
      </c>
      <c r="G313" s="6" t="s">
        <v>24</v>
      </c>
      <c r="H313" s="6" t="n">
        <f aca="true">ROUND(RAND()*4+6,1)</f>
        <v>8.2</v>
      </c>
      <c r="I313" s="6" t="s">
        <v>25</v>
      </c>
      <c r="J313" s="6" t="str">
        <f aca="false">ROUND(95*1,0)&amp;"%"</f>
        <v>95%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12470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12471</v>
      </c>
      <c r="B318" s="5" t="s">
        <v>512</v>
      </c>
      <c r="C318" s="5" t="s">
        <v>133</v>
      </c>
      <c r="D318" s="5" t="s">
        <v>16</v>
      </c>
      <c r="E318" s="5" t="n">
        <f aca="false">ROUND(9808*1.05,2)</f>
        <v>10298.4</v>
      </c>
      <c r="F318" s="5" t="s">
        <v>17</v>
      </c>
      <c r="G318" s="5" t="s">
        <v>18</v>
      </c>
      <c r="H318" s="5" t="n">
        <f aca="true">ROUND(RAND()*4+6,1)</f>
        <v>6.6</v>
      </c>
      <c r="I318" s="5" t="s">
        <v>19</v>
      </c>
      <c r="J318" s="5" t="str">
        <f aca="false">ROUND(100*1,0)&amp;"%"</f>
        <v>100%</v>
      </c>
    </row>
    <row r="319" customFormat="false" ht="15" hidden="false" customHeight="false" outlineLevel="0" collapsed="false">
      <c r="A319" s="6" t="s">
        <v>12472</v>
      </c>
      <c r="B319" s="6" t="s">
        <v>514</v>
      </c>
      <c r="C319" s="6" t="s">
        <v>133</v>
      </c>
      <c r="D319" s="6" t="s">
        <v>22</v>
      </c>
      <c r="E319" s="6" t="n">
        <f aca="false">ROUND(12620*1.05,2)</f>
        <v>13251</v>
      </c>
      <c r="F319" s="6" t="s">
        <v>23</v>
      </c>
      <c r="G319" s="6" t="s">
        <v>24</v>
      </c>
      <c r="H319" s="6" t="n">
        <f aca="true">ROUND(RAND()*4+6,1)</f>
        <v>7.7</v>
      </c>
      <c r="I319" s="6" t="s">
        <v>25</v>
      </c>
      <c r="J319" s="6" t="str">
        <f aca="false">ROUND(69*1,0)&amp;"%"</f>
        <v>69%</v>
      </c>
    </row>
    <row r="320" customFormat="false" ht="15" hidden="false" customHeight="false" outlineLevel="0" collapsed="false">
      <c r="A320" s="5" t="s">
        <v>12473</v>
      </c>
      <c r="B320" s="5" t="s">
        <v>516</v>
      </c>
      <c r="C320" s="5" t="s">
        <v>133</v>
      </c>
      <c r="D320" s="5" t="s">
        <v>28</v>
      </c>
      <c r="E320" s="5" t="n">
        <f aca="false">ROUND(11134*1.05,2)</f>
        <v>11690.7</v>
      </c>
      <c r="F320" s="5" t="s">
        <v>29</v>
      </c>
      <c r="G320" s="5" t="s">
        <v>30</v>
      </c>
      <c r="H320" s="5" t="n">
        <f aca="true">ROUND(RAND()*4+6,1)</f>
        <v>6.5</v>
      </c>
      <c r="I320" s="5" t="s">
        <v>31</v>
      </c>
      <c r="J320" s="5" t="str">
        <f aca="false">ROUND(91*1,0)&amp;"%"</f>
        <v>91%</v>
      </c>
    </row>
    <row r="321" customFormat="false" ht="15" hidden="false" customHeight="false" outlineLevel="0" collapsed="false">
      <c r="A321" s="6" t="s">
        <v>12474</v>
      </c>
      <c r="B321" s="6" t="s">
        <v>518</v>
      </c>
      <c r="C321" s="6" t="s">
        <v>133</v>
      </c>
      <c r="D321" s="6" t="s">
        <v>34</v>
      </c>
      <c r="E321" s="6" t="n">
        <f aca="false">ROUND(11102*1.05,2)</f>
        <v>11657.1</v>
      </c>
      <c r="F321" s="6" t="s">
        <v>35</v>
      </c>
      <c r="G321" s="6" t="s">
        <v>18</v>
      </c>
      <c r="H321" s="6" t="n">
        <f aca="true">ROUND(RAND()*4+6,1)</f>
        <v>7.9</v>
      </c>
      <c r="I321" s="6" t="s">
        <v>36</v>
      </c>
      <c r="J321" s="6" t="str">
        <f aca="false">ROUND(76*1,0)&amp;"%"</f>
        <v>76%</v>
      </c>
    </row>
    <row r="322" customFormat="false" ht="15" hidden="false" customHeight="false" outlineLevel="0" collapsed="false">
      <c r="A322" s="5" t="s">
        <v>12475</v>
      </c>
      <c r="B322" s="5" t="s">
        <v>520</v>
      </c>
      <c r="C322" s="5" t="s">
        <v>133</v>
      </c>
      <c r="D322" s="5" t="s">
        <v>39</v>
      </c>
      <c r="E322" s="5" t="n">
        <f aca="false">ROUND(14340*1.05,2)</f>
        <v>15057</v>
      </c>
      <c r="F322" s="5" t="s">
        <v>40</v>
      </c>
      <c r="G322" s="5" t="s">
        <v>24</v>
      </c>
      <c r="H322" s="5" t="n">
        <f aca="true">ROUND(RAND()*4+6,1)</f>
        <v>7.6</v>
      </c>
      <c r="I322" s="5" t="s">
        <v>41</v>
      </c>
      <c r="J322" s="5" t="str">
        <f aca="false">ROUND(87*1,0)&amp;"%"</f>
        <v>87%</v>
      </c>
    </row>
    <row r="323" customFormat="false" ht="15" hidden="false" customHeight="false" outlineLevel="0" collapsed="false">
      <c r="A323" s="6" t="s">
        <v>12476</v>
      </c>
      <c r="B323" s="6" t="s">
        <v>522</v>
      </c>
      <c r="C323" s="6" t="s">
        <v>133</v>
      </c>
      <c r="D323" s="6" t="s">
        <v>44</v>
      </c>
      <c r="E323" s="6" t="n">
        <f aca="false">ROUND(9834*1.05,2)</f>
        <v>10325.7</v>
      </c>
      <c r="F323" s="6" t="s">
        <v>45</v>
      </c>
      <c r="G323" s="6" t="s">
        <v>30</v>
      </c>
      <c r="H323" s="6" t="n">
        <f aca="true">ROUND(RAND()*4+6,1)</f>
        <v>6.8</v>
      </c>
      <c r="I323" s="6" t="s">
        <v>46</v>
      </c>
      <c r="J323" s="6" t="str">
        <f aca="false">ROUND(95*1,0)&amp;"%"</f>
        <v>95%</v>
      </c>
    </row>
    <row r="324" customFormat="false" ht="15" hidden="false" customHeight="false" outlineLevel="0" collapsed="false">
      <c r="A324" s="5" t="s">
        <v>12477</v>
      </c>
      <c r="B324" s="5" t="s">
        <v>524</v>
      </c>
      <c r="C324" s="5" t="s">
        <v>133</v>
      </c>
      <c r="D324" s="5" t="s">
        <v>16</v>
      </c>
      <c r="E324" s="5" t="n">
        <f aca="false">ROUND(4430*1.05,2)</f>
        <v>4651.5</v>
      </c>
      <c r="F324" s="5" t="s">
        <v>49</v>
      </c>
      <c r="G324" s="5" t="s">
        <v>18</v>
      </c>
      <c r="H324" s="5" t="n">
        <f aca="true">ROUND(RAND()*4+6,1)</f>
        <v>7.4</v>
      </c>
      <c r="I324" s="5" t="s">
        <v>19</v>
      </c>
      <c r="J324" s="5" t="str">
        <f aca="false">ROUND(77*1,0)&amp;"%"</f>
        <v>77%</v>
      </c>
    </row>
    <row r="325" customFormat="false" ht="15" hidden="false" customHeight="false" outlineLevel="0" collapsed="false">
      <c r="A325" s="6" t="s">
        <v>12478</v>
      </c>
      <c r="B325" s="6" t="s">
        <v>526</v>
      </c>
      <c r="C325" s="6" t="s">
        <v>133</v>
      </c>
      <c r="D325" s="6" t="s">
        <v>22</v>
      </c>
      <c r="E325" s="6" t="n">
        <f aca="false">ROUND(15816*1.05,2)</f>
        <v>16606.8</v>
      </c>
      <c r="F325" s="6" t="s">
        <v>52</v>
      </c>
      <c r="G325" s="6" t="s">
        <v>24</v>
      </c>
      <c r="H325" s="6" t="n">
        <f aca="true">ROUND(RAND()*4+6,1)</f>
        <v>8.1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12479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12480</v>
      </c>
      <c r="B330" s="5" t="s">
        <v>530</v>
      </c>
      <c r="C330" s="5" t="s">
        <v>152</v>
      </c>
      <c r="D330" s="5" t="s">
        <v>16</v>
      </c>
      <c r="E330" s="5" t="n">
        <f aca="false">ROUND(14593*1.05,2)</f>
        <v>15322.65</v>
      </c>
      <c r="F330" s="5" t="s">
        <v>17</v>
      </c>
      <c r="G330" s="5" t="s">
        <v>18</v>
      </c>
      <c r="H330" s="5" t="n">
        <f aca="true">ROUND(RAND()*4+6,1)</f>
        <v>8.5</v>
      </c>
      <c r="I330" s="5" t="s">
        <v>19</v>
      </c>
      <c r="J330" s="5" t="str">
        <f aca="false">ROUND(75*1,0)&amp;"%"</f>
        <v>75%</v>
      </c>
    </row>
    <row r="331" customFormat="false" ht="15" hidden="false" customHeight="false" outlineLevel="0" collapsed="false">
      <c r="A331" s="6" t="s">
        <v>12481</v>
      </c>
      <c r="B331" s="6" t="s">
        <v>532</v>
      </c>
      <c r="C331" s="6" t="s">
        <v>152</v>
      </c>
      <c r="D331" s="6" t="s">
        <v>22</v>
      </c>
      <c r="E331" s="6" t="n">
        <f aca="false">ROUND(4084*1.05,2)</f>
        <v>4288.2</v>
      </c>
      <c r="F331" s="6" t="s">
        <v>23</v>
      </c>
      <c r="G331" s="6" t="s">
        <v>24</v>
      </c>
      <c r="H331" s="6" t="n">
        <f aca="true">ROUND(RAND()*4+6,1)</f>
        <v>7</v>
      </c>
      <c r="I331" s="6" t="s">
        <v>25</v>
      </c>
      <c r="J331" s="6" t="str">
        <f aca="false">ROUND(91*1,0)&amp;"%"</f>
        <v>91%</v>
      </c>
    </row>
    <row r="332" customFormat="false" ht="15" hidden="false" customHeight="false" outlineLevel="0" collapsed="false">
      <c r="A332" s="5" t="s">
        <v>12482</v>
      </c>
      <c r="B332" s="5" t="s">
        <v>534</v>
      </c>
      <c r="C332" s="5" t="s">
        <v>152</v>
      </c>
      <c r="D332" s="5" t="s">
        <v>28</v>
      </c>
      <c r="E332" s="5" t="n">
        <f aca="false">ROUND(17562*1.05,2)</f>
        <v>18440.1</v>
      </c>
      <c r="F332" s="5" t="s">
        <v>29</v>
      </c>
      <c r="G332" s="5" t="s">
        <v>30</v>
      </c>
      <c r="H332" s="5" t="n">
        <f aca="true">ROUND(RAND()*4+6,1)</f>
        <v>6.5</v>
      </c>
      <c r="I332" s="5" t="s">
        <v>31</v>
      </c>
      <c r="J332" s="5" t="str">
        <f aca="false">ROUND(95*1,0)&amp;"%"</f>
        <v>95%</v>
      </c>
    </row>
    <row r="333" customFormat="false" ht="15" hidden="false" customHeight="false" outlineLevel="0" collapsed="false">
      <c r="A333" s="6" t="s">
        <v>12483</v>
      </c>
      <c r="B333" s="6" t="s">
        <v>536</v>
      </c>
      <c r="C333" s="6" t="s">
        <v>152</v>
      </c>
      <c r="D333" s="6" t="s">
        <v>34</v>
      </c>
      <c r="E333" s="6" t="n">
        <f aca="false">ROUND(13498*1.05,2)</f>
        <v>14172.9</v>
      </c>
      <c r="F333" s="6" t="s">
        <v>35</v>
      </c>
      <c r="G333" s="6" t="s">
        <v>18</v>
      </c>
      <c r="H333" s="6" t="n">
        <f aca="true">ROUND(RAND()*4+6,1)</f>
        <v>7.8</v>
      </c>
      <c r="I333" s="6" t="s">
        <v>36</v>
      </c>
      <c r="J333" s="6" t="str">
        <f aca="false">ROUND(88*1,0)&amp;"%"</f>
        <v>88%</v>
      </c>
    </row>
    <row r="334" customFormat="false" ht="15" hidden="false" customHeight="false" outlineLevel="0" collapsed="false">
      <c r="A334" s="5" t="s">
        <v>12484</v>
      </c>
      <c r="B334" s="5" t="s">
        <v>538</v>
      </c>
      <c r="C334" s="5" t="s">
        <v>152</v>
      </c>
      <c r="D334" s="5" t="s">
        <v>39</v>
      </c>
      <c r="E334" s="5" t="n">
        <f aca="false">ROUND(12219*1.05,2)</f>
        <v>12829.95</v>
      </c>
      <c r="F334" s="5" t="s">
        <v>40</v>
      </c>
      <c r="G334" s="5" t="s">
        <v>24</v>
      </c>
      <c r="H334" s="5" t="n">
        <f aca="true">ROUND(RAND()*4+6,1)</f>
        <v>9.3</v>
      </c>
      <c r="I334" s="5" t="s">
        <v>41</v>
      </c>
      <c r="J334" s="5" t="str">
        <f aca="false">ROUND(72*1,0)&amp;"%"</f>
        <v>72%</v>
      </c>
    </row>
    <row r="335" customFormat="false" ht="15" hidden="false" customHeight="false" outlineLevel="0" collapsed="false">
      <c r="A335" s="6" t="s">
        <v>12485</v>
      </c>
      <c r="B335" s="6" t="s">
        <v>540</v>
      </c>
      <c r="C335" s="6" t="s">
        <v>152</v>
      </c>
      <c r="D335" s="6" t="s">
        <v>44</v>
      </c>
      <c r="E335" s="6" t="n">
        <f aca="false">ROUND(6631*1.05,2)</f>
        <v>6962.55</v>
      </c>
      <c r="F335" s="6" t="s">
        <v>45</v>
      </c>
      <c r="G335" s="6" t="s">
        <v>30</v>
      </c>
      <c r="H335" s="6" t="n">
        <f aca="true">ROUND(RAND()*4+6,1)</f>
        <v>9.6</v>
      </c>
      <c r="I335" s="6" t="s">
        <v>46</v>
      </c>
      <c r="J335" s="6" t="str">
        <f aca="false">ROUND(74*1,0)&amp;"%"</f>
        <v>74%</v>
      </c>
    </row>
    <row r="336" customFormat="false" ht="15" hidden="false" customHeight="false" outlineLevel="0" collapsed="false">
      <c r="A336" s="5" t="s">
        <v>12486</v>
      </c>
      <c r="B336" s="5" t="s">
        <v>542</v>
      </c>
      <c r="C336" s="5" t="s">
        <v>152</v>
      </c>
      <c r="D336" s="5" t="s">
        <v>16</v>
      </c>
      <c r="E336" s="5" t="n">
        <f aca="false">ROUND(15576*1.05,2)</f>
        <v>16354.8</v>
      </c>
      <c r="F336" s="5" t="s">
        <v>49</v>
      </c>
      <c r="G336" s="5" t="s">
        <v>18</v>
      </c>
      <c r="H336" s="5" t="n">
        <f aca="true">ROUND(RAND()*4+6,1)</f>
        <v>9.4</v>
      </c>
      <c r="I336" s="5" t="s">
        <v>19</v>
      </c>
      <c r="J336" s="5" t="str">
        <f aca="false">ROUND(66*1,0)&amp;"%"</f>
        <v>66%</v>
      </c>
    </row>
    <row r="337" customFormat="false" ht="15" hidden="false" customHeight="false" outlineLevel="0" collapsed="false">
      <c r="A337" s="6" t="s">
        <v>12487</v>
      </c>
      <c r="B337" s="6" t="s">
        <v>544</v>
      </c>
      <c r="C337" s="6" t="s">
        <v>152</v>
      </c>
      <c r="D337" s="6" t="s">
        <v>22</v>
      </c>
      <c r="E337" s="6" t="n">
        <f aca="false">ROUND(6458*1.05,2)</f>
        <v>6780.9</v>
      </c>
      <c r="F337" s="6" t="s">
        <v>52</v>
      </c>
      <c r="G337" s="6" t="s">
        <v>24</v>
      </c>
      <c r="H337" s="6" t="n">
        <f aca="true">ROUND(RAND()*4+6,1)</f>
        <v>7</v>
      </c>
      <c r="I337" s="6" t="s">
        <v>25</v>
      </c>
      <c r="J337" s="6" t="str">
        <f aca="false">ROUND(73*1,0)&amp;"%"</f>
        <v>73%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12488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12489</v>
      </c>
      <c r="B342" s="5" t="s">
        <v>548</v>
      </c>
      <c r="C342" s="5" t="s">
        <v>15</v>
      </c>
      <c r="D342" s="5" t="s">
        <v>16</v>
      </c>
      <c r="E342" s="5" t="n">
        <f aca="false">ROUND(4236*1.05,2)</f>
        <v>4447.8</v>
      </c>
      <c r="F342" s="5" t="s">
        <v>17</v>
      </c>
      <c r="G342" s="5" t="s">
        <v>18</v>
      </c>
      <c r="H342" s="5" t="n">
        <f aca="true">ROUND(RAND()*4+6,1)</f>
        <v>7.6</v>
      </c>
      <c r="I342" s="5" t="s">
        <v>19</v>
      </c>
      <c r="J342" s="5" t="str">
        <f aca="false">ROUND(62*1,0)&amp;"%"</f>
        <v>62%</v>
      </c>
    </row>
    <row r="343" customFormat="false" ht="15" hidden="false" customHeight="false" outlineLevel="0" collapsed="false">
      <c r="A343" s="6" t="s">
        <v>12490</v>
      </c>
      <c r="B343" s="6" t="s">
        <v>550</v>
      </c>
      <c r="C343" s="6" t="s">
        <v>15</v>
      </c>
      <c r="D343" s="6" t="s">
        <v>22</v>
      </c>
      <c r="E343" s="6" t="n">
        <f aca="false">ROUND(16488*1.05,2)</f>
        <v>17312.4</v>
      </c>
      <c r="F343" s="6" t="s">
        <v>23</v>
      </c>
      <c r="G343" s="6" t="s">
        <v>24</v>
      </c>
      <c r="H343" s="6" t="n">
        <f aca="true">ROUND(RAND()*4+6,1)</f>
        <v>6.2</v>
      </c>
      <c r="I343" s="6" t="s">
        <v>25</v>
      </c>
      <c r="J343" s="6" t="str">
        <f aca="false">ROUND(66*1,0)&amp;"%"</f>
        <v>66%</v>
      </c>
    </row>
    <row r="344" customFormat="false" ht="15" hidden="false" customHeight="false" outlineLevel="0" collapsed="false">
      <c r="A344" s="5" t="s">
        <v>12491</v>
      </c>
      <c r="B344" s="5" t="s">
        <v>552</v>
      </c>
      <c r="C344" s="5" t="s">
        <v>15</v>
      </c>
      <c r="D344" s="5" t="s">
        <v>28</v>
      </c>
      <c r="E344" s="5" t="n">
        <f aca="false">ROUND(16858*1.05,2)</f>
        <v>17700.9</v>
      </c>
      <c r="F344" s="5" t="s">
        <v>29</v>
      </c>
      <c r="G344" s="5" t="s">
        <v>30</v>
      </c>
      <c r="H344" s="5" t="n">
        <f aca="true">ROUND(RAND()*4+6,1)</f>
        <v>7.3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12492</v>
      </c>
      <c r="B345" s="6" t="s">
        <v>554</v>
      </c>
      <c r="C345" s="6" t="s">
        <v>15</v>
      </c>
      <c r="D345" s="6" t="s">
        <v>34</v>
      </c>
      <c r="E345" s="6" t="n">
        <f aca="false">ROUND(15245*1.05,2)</f>
        <v>16007.25</v>
      </c>
      <c r="F345" s="6" t="s">
        <v>35</v>
      </c>
      <c r="G345" s="6" t="s">
        <v>18</v>
      </c>
      <c r="H345" s="6" t="n">
        <f aca="true">ROUND(RAND()*4+6,1)</f>
        <v>9.4</v>
      </c>
      <c r="I345" s="6" t="s">
        <v>36</v>
      </c>
      <c r="J345" s="6" t="str">
        <f aca="false">ROUND(79*1,0)&amp;"%"</f>
        <v>79%</v>
      </c>
    </row>
    <row r="346" customFormat="false" ht="15" hidden="false" customHeight="false" outlineLevel="0" collapsed="false">
      <c r="A346" s="5" t="s">
        <v>12493</v>
      </c>
      <c r="B346" s="5" t="s">
        <v>556</v>
      </c>
      <c r="C346" s="5" t="s">
        <v>15</v>
      </c>
      <c r="D346" s="5" t="s">
        <v>39</v>
      </c>
      <c r="E346" s="5" t="n">
        <f aca="false">ROUND(14590*1.05,2)</f>
        <v>15319.5</v>
      </c>
      <c r="F346" s="5" t="s">
        <v>40</v>
      </c>
      <c r="G346" s="5" t="s">
        <v>24</v>
      </c>
      <c r="H346" s="5" t="n">
        <f aca="true">ROUND(RAND()*4+6,1)</f>
        <v>8.4</v>
      </c>
      <c r="I346" s="5" t="s">
        <v>41</v>
      </c>
      <c r="J346" s="5" t="str">
        <f aca="false">ROUND(65*1,0)&amp;"%"</f>
        <v>65%</v>
      </c>
    </row>
    <row r="347" customFormat="false" ht="15" hidden="false" customHeight="false" outlineLevel="0" collapsed="false">
      <c r="A347" s="6" t="s">
        <v>12494</v>
      </c>
      <c r="B347" s="6" t="s">
        <v>558</v>
      </c>
      <c r="C347" s="6" t="s">
        <v>15</v>
      </c>
      <c r="D347" s="6" t="s">
        <v>44</v>
      </c>
      <c r="E347" s="6" t="n">
        <f aca="false">ROUND(17280*1.05,2)</f>
        <v>18144</v>
      </c>
      <c r="F347" s="6" t="s">
        <v>45</v>
      </c>
      <c r="G347" s="6" t="s">
        <v>30</v>
      </c>
      <c r="H347" s="6" t="n">
        <f aca="true">ROUND(RAND()*4+6,1)</f>
        <v>7.3</v>
      </c>
      <c r="I347" s="6" t="s">
        <v>46</v>
      </c>
      <c r="J347" s="6" t="str">
        <f aca="false">ROUND(73*1,0)&amp;"%"</f>
        <v>73%</v>
      </c>
    </row>
    <row r="348" customFormat="false" ht="15" hidden="false" customHeight="false" outlineLevel="0" collapsed="false">
      <c r="A348" s="5" t="s">
        <v>12495</v>
      </c>
      <c r="B348" s="5" t="s">
        <v>560</v>
      </c>
      <c r="C348" s="5" t="s">
        <v>15</v>
      </c>
      <c r="D348" s="5" t="s">
        <v>16</v>
      </c>
      <c r="E348" s="5" t="n">
        <f aca="false">ROUND(4515*1.05,2)</f>
        <v>4740.75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ROUND(91*1,0)&amp;"%"</f>
        <v>91%</v>
      </c>
    </row>
    <row r="349" customFormat="false" ht="15" hidden="false" customHeight="false" outlineLevel="0" collapsed="false">
      <c r="A349" s="6" t="s">
        <v>12496</v>
      </c>
      <c r="B349" s="6" t="s">
        <v>562</v>
      </c>
      <c r="C349" s="6" t="s">
        <v>15</v>
      </c>
      <c r="D349" s="6" t="s">
        <v>22</v>
      </c>
      <c r="E349" s="6" t="n">
        <f aca="false">ROUND(15969*1.05,2)</f>
        <v>16767.45</v>
      </c>
      <c r="F349" s="6" t="s">
        <v>52</v>
      </c>
      <c r="G349" s="6" t="s">
        <v>24</v>
      </c>
      <c r="H349" s="6" t="n">
        <f aca="true">ROUND(RAND()*4+6,1)</f>
        <v>6.1</v>
      </c>
      <c r="I349" s="6" t="s">
        <v>25</v>
      </c>
      <c r="J349" s="6" t="str">
        <f aca="false">ROUND(93*1,0)&amp;"%"</f>
        <v>93%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12497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12498</v>
      </c>
      <c r="B354" s="5" t="s">
        <v>566</v>
      </c>
      <c r="C354" s="5" t="s">
        <v>57</v>
      </c>
      <c r="D354" s="5" t="s">
        <v>16</v>
      </c>
      <c r="E354" s="5" t="n">
        <f aca="false">ROUND(4209*1.05,2)</f>
        <v>4419.45</v>
      </c>
      <c r="F354" s="5" t="s">
        <v>17</v>
      </c>
      <c r="G354" s="5" t="s">
        <v>18</v>
      </c>
      <c r="H354" s="5" t="n">
        <f aca="true">ROUND(RAND()*4+6,1)</f>
        <v>9.5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12499</v>
      </c>
      <c r="B355" s="6" t="s">
        <v>568</v>
      </c>
      <c r="C355" s="6" t="s">
        <v>57</v>
      </c>
      <c r="D355" s="6" t="s">
        <v>22</v>
      </c>
      <c r="E355" s="6" t="n">
        <f aca="false">ROUND(10589*1.05,2)</f>
        <v>11118.45</v>
      </c>
      <c r="F355" s="6" t="s">
        <v>23</v>
      </c>
      <c r="G355" s="6" t="s">
        <v>24</v>
      </c>
      <c r="H355" s="6" t="n">
        <f aca="true">ROUND(RAND()*4+6,1)</f>
        <v>9.7</v>
      </c>
      <c r="I355" s="6" t="s">
        <v>25</v>
      </c>
      <c r="J355" s="6" t="str">
        <f aca="false">ROUND(89*1,0)&amp;"%"</f>
        <v>89%</v>
      </c>
    </row>
    <row r="356" customFormat="false" ht="15" hidden="false" customHeight="false" outlineLevel="0" collapsed="false">
      <c r="A356" s="5" t="s">
        <v>12500</v>
      </c>
      <c r="B356" s="5" t="s">
        <v>570</v>
      </c>
      <c r="C356" s="5" t="s">
        <v>57</v>
      </c>
      <c r="D356" s="5" t="s">
        <v>28</v>
      </c>
      <c r="E356" s="5" t="n">
        <f aca="false">ROUND(9191*1.05,2)</f>
        <v>9650.55</v>
      </c>
      <c r="F356" s="5" t="s">
        <v>29</v>
      </c>
      <c r="G356" s="5" t="s">
        <v>30</v>
      </c>
      <c r="H356" s="5" t="n">
        <f aca="true">ROUND(RAND()*4+6,1)</f>
        <v>6.3</v>
      </c>
      <c r="I356" s="5" t="s">
        <v>31</v>
      </c>
      <c r="J356" s="5" t="str">
        <f aca="false">ROUND(86*1,0)&amp;"%"</f>
        <v>86%</v>
      </c>
    </row>
    <row r="357" customFormat="false" ht="15" hidden="false" customHeight="false" outlineLevel="0" collapsed="false">
      <c r="A357" s="6" t="s">
        <v>12501</v>
      </c>
      <c r="B357" s="6" t="s">
        <v>572</v>
      </c>
      <c r="C357" s="6" t="s">
        <v>57</v>
      </c>
      <c r="D357" s="6" t="s">
        <v>34</v>
      </c>
      <c r="E357" s="6" t="n">
        <f aca="false">ROUND(12634*1.05,2)</f>
        <v>13265.7</v>
      </c>
      <c r="F357" s="6" t="s">
        <v>35</v>
      </c>
      <c r="G357" s="6" t="s">
        <v>18</v>
      </c>
      <c r="H357" s="6" t="n">
        <f aca="true">ROUND(RAND()*4+6,1)</f>
        <v>8</v>
      </c>
      <c r="I357" s="6" t="s">
        <v>36</v>
      </c>
      <c r="J357" s="6" t="str">
        <f aca="false">ROUND(68*1,0)&amp;"%"</f>
        <v>68%</v>
      </c>
    </row>
    <row r="358" customFormat="false" ht="15" hidden="false" customHeight="false" outlineLevel="0" collapsed="false">
      <c r="A358" s="5" t="s">
        <v>12502</v>
      </c>
      <c r="B358" s="5" t="s">
        <v>574</v>
      </c>
      <c r="C358" s="5" t="s">
        <v>57</v>
      </c>
      <c r="D358" s="5" t="s">
        <v>39</v>
      </c>
      <c r="E358" s="5" t="n">
        <f aca="false">ROUND(8033*1.05,2)</f>
        <v>8434.65</v>
      </c>
      <c r="F358" s="5" t="s">
        <v>40</v>
      </c>
      <c r="G358" s="5" t="s">
        <v>24</v>
      </c>
      <c r="H358" s="5" t="n">
        <f aca="true">ROUND(RAND()*4+6,1)</f>
        <v>6.2</v>
      </c>
      <c r="I358" s="5" t="s">
        <v>41</v>
      </c>
      <c r="J358" s="5" t="str">
        <f aca="false">ROUND(85*1,0)&amp;"%"</f>
        <v>85%</v>
      </c>
    </row>
    <row r="359" customFormat="false" ht="15" hidden="false" customHeight="false" outlineLevel="0" collapsed="false">
      <c r="A359" s="6" t="s">
        <v>12503</v>
      </c>
      <c r="B359" s="6" t="s">
        <v>576</v>
      </c>
      <c r="C359" s="6" t="s">
        <v>57</v>
      </c>
      <c r="D359" s="6" t="s">
        <v>44</v>
      </c>
      <c r="E359" s="6" t="n">
        <f aca="false">ROUND(10669*1.05,2)</f>
        <v>11202.45</v>
      </c>
      <c r="F359" s="6" t="s">
        <v>45</v>
      </c>
      <c r="G359" s="6" t="s">
        <v>30</v>
      </c>
      <c r="H359" s="6" t="n">
        <f aca="true">ROUND(RAND()*4+6,1)</f>
        <v>7.8</v>
      </c>
      <c r="I359" s="6" t="s">
        <v>46</v>
      </c>
      <c r="J359" s="6" t="str">
        <f aca="false">ROUND(76*1,0)&amp;"%"</f>
        <v>76%</v>
      </c>
    </row>
    <row r="360" customFormat="false" ht="15" hidden="false" customHeight="false" outlineLevel="0" collapsed="false">
      <c r="A360" s="5" t="s">
        <v>12504</v>
      </c>
      <c r="B360" s="5" t="s">
        <v>578</v>
      </c>
      <c r="C360" s="5" t="s">
        <v>57</v>
      </c>
      <c r="D360" s="5" t="s">
        <v>16</v>
      </c>
      <c r="E360" s="5" t="n">
        <f aca="false">ROUND(12123*1.05,2)</f>
        <v>12729.15</v>
      </c>
      <c r="F360" s="5" t="s">
        <v>49</v>
      </c>
      <c r="G360" s="5" t="s">
        <v>18</v>
      </c>
      <c r="H360" s="5" t="n">
        <f aca="true">ROUND(RAND()*4+6,1)</f>
        <v>9.1</v>
      </c>
      <c r="I360" s="5" t="s">
        <v>19</v>
      </c>
      <c r="J360" s="5" t="str">
        <f aca="false">ROUND(99*1,0)&amp;"%"</f>
        <v>99%</v>
      </c>
    </row>
    <row r="361" customFormat="false" ht="15" hidden="false" customHeight="false" outlineLevel="0" collapsed="false">
      <c r="A361" s="6" t="s">
        <v>12505</v>
      </c>
      <c r="B361" s="6" t="s">
        <v>580</v>
      </c>
      <c r="C361" s="6" t="s">
        <v>57</v>
      </c>
      <c r="D361" s="6" t="s">
        <v>22</v>
      </c>
      <c r="E361" s="6" t="n">
        <f aca="false">ROUND(6709*1.05,2)</f>
        <v>7044.45</v>
      </c>
      <c r="F361" s="6" t="s">
        <v>52</v>
      </c>
      <c r="G361" s="6" t="s">
        <v>24</v>
      </c>
      <c r="H361" s="6" t="n">
        <f aca="true">ROUND(RAND()*4+6,1)</f>
        <v>9.4</v>
      </c>
      <c r="I361" s="6" t="s">
        <v>25</v>
      </c>
      <c r="J361" s="6" t="str">
        <f aca="false">ROUND(91*1,0)&amp;"%"</f>
        <v>91%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12506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12507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12508</v>
      </c>
      <c r="B6" s="5" t="s">
        <v>14</v>
      </c>
      <c r="C6" s="5" t="s">
        <v>15</v>
      </c>
      <c r="D6" s="5" t="s">
        <v>16</v>
      </c>
      <c r="E6" s="5" t="n">
        <f aca="false">ROUND(7353*1.05,2)</f>
        <v>7720.65</v>
      </c>
      <c r="F6" s="5" t="s">
        <v>17</v>
      </c>
      <c r="G6" s="5" t="s">
        <v>18</v>
      </c>
      <c r="H6" s="5" t="n">
        <f aca="true">ROUND(RAND()*4+6,1)</f>
        <v>7.6</v>
      </c>
      <c r="I6" s="5" t="s">
        <v>19</v>
      </c>
      <c r="J6" s="5" t="str">
        <f aca="false">ROUND(70*1,0)&amp;"%"</f>
        <v>70%</v>
      </c>
    </row>
    <row r="7" customFormat="false" ht="15" hidden="false" customHeight="false" outlineLevel="0" collapsed="false">
      <c r="A7" s="6" t="s">
        <v>12509</v>
      </c>
      <c r="B7" s="6" t="s">
        <v>21</v>
      </c>
      <c r="C7" s="6" t="s">
        <v>15</v>
      </c>
      <c r="D7" s="6" t="s">
        <v>22</v>
      </c>
      <c r="E7" s="6" t="n">
        <f aca="false">ROUND(14081*1.05,2)</f>
        <v>14785.05</v>
      </c>
      <c r="F7" s="6" t="s">
        <v>23</v>
      </c>
      <c r="G7" s="6" t="s">
        <v>24</v>
      </c>
      <c r="H7" s="6" t="n">
        <f aca="true">ROUND(RAND()*4+6,1)</f>
        <v>8.9</v>
      </c>
      <c r="I7" s="6" t="s">
        <v>25</v>
      </c>
      <c r="J7" s="6" t="str">
        <f aca="false">ROUND(97*1,0)&amp;"%"</f>
        <v>97%</v>
      </c>
    </row>
    <row r="8" customFormat="false" ht="15" hidden="false" customHeight="false" outlineLevel="0" collapsed="false">
      <c r="A8" s="5" t="s">
        <v>12510</v>
      </c>
      <c r="B8" s="5" t="s">
        <v>27</v>
      </c>
      <c r="C8" s="5" t="s">
        <v>15</v>
      </c>
      <c r="D8" s="5" t="s">
        <v>28</v>
      </c>
      <c r="E8" s="5" t="n">
        <f aca="false">ROUND(11939*1.05,2)</f>
        <v>12535.95</v>
      </c>
      <c r="F8" s="5" t="s">
        <v>29</v>
      </c>
      <c r="G8" s="5" t="s">
        <v>30</v>
      </c>
      <c r="H8" s="5" t="n">
        <f aca="true">ROUND(RAND()*4+6,1)</f>
        <v>8.6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12511</v>
      </c>
      <c r="B9" s="6" t="s">
        <v>33</v>
      </c>
      <c r="C9" s="6" t="s">
        <v>15</v>
      </c>
      <c r="D9" s="6" t="s">
        <v>34</v>
      </c>
      <c r="E9" s="6" t="n">
        <f aca="false">ROUND(5140*1.05,2)</f>
        <v>5397</v>
      </c>
      <c r="F9" s="6" t="s">
        <v>35</v>
      </c>
      <c r="G9" s="6" t="s">
        <v>18</v>
      </c>
      <c r="H9" s="6" t="n">
        <f aca="true">ROUND(RAND()*4+6,1)</f>
        <v>8.6</v>
      </c>
      <c r="I9" s="6" t="s">
        <v>36</v>
      </c>
      <c r="J9" s="6" t="str">
        <f aca="false">ROUND(85*1,0)&amp;"%"</f>
        <v>85%</v>
      </c>
    </row>
    <row r="10" customFormat="false" ht="15" hidden="false" customHeight="false" outlineLevel="0" collapsed="false">
      <c r="A10" s="5" t="s">
        <v>12512</v>
      </c>
      <c r="B10" s="5" t="s">
        <v>38</v>
      </c>
      <c r="C10" s="5" t="s">
        <v>15</v>
      </c>
      <c r="D10" s="5" t="s">
        <v>39</v>
      </c>
      <c r="E10" s="5" t="n">
        <f aca="false">ROUND(5528*1.05,2)</f>
        <v>5804.4</v>
      </c>
      <c r="F10" s="5" t="s">
        <v>40</v>
      </c>
      <c r="G10" s="5" t="s">
        <v>24</v>
      </c>
      <c r="H10" s="5" t="n">
        <f aca="true">ROUND(RAND()*4+6,1)</f>
        <v>6.2</v>
      </c>
      <c r="I10" s="5" t="s">
        <v>41</v>
      </c>
      <c r="J10" s="5" t="str">
        <f aca="false">ROUND(87*1,0)&amp;"%"</f>
        <v>87%</v>
      </c>
    </row>
    <row r="11" customFormat="false" ht="15" hidden="false" customHeight="false" outlineLevel="0" collapsed="false">
      <c r="A11" s="6" t="s">
        <v>12513</v>
      </c>
      <c r="B11" s="6" t="s">
        <v>43</v>
      </c>
      <c r="C11" s="6" t="s">
        <v>15</v>
      </c>
      <c r="D11" s="6" t="s">
        <v>44</v>
      </c>
      <c r="E11" s="6" t="n">
        <f aca="false">ROUND(7396*1.05,2)</f>
        <v>7765.8</v>
      </c>
      <c r="F11" s="6" t="s">
        <v>45</v>
      </c>
      <c r="G11" s="6" t="s">
        <v>30</v>
      </c>
      <c r="H11" s="6" t="n">
        <f aca="true">ROUND(RAND()*4+6,1)</f>
        <v>10</v>
      </c>
      <c r="I11" s="6" t="s">
        <v>46</v>
      </c>
      <c r="J11" s="6" t="str">
        <f aca="false">ROUND(93*1,0)&amp;"%"</f>
        <v>93%</v>
      </c>
    </row>
    <row r="12" customFormat="false" ht="15" hidden="false" customHeight="false" outlineLevel="0" collapsed="false">
      <c r="A12" s="5" t="s">
        <v>12514</v>
      </c>
      <c r="B12" s="5" t="s">
        <v>48</v>
      </c>
      <c r="C12" s="5" t="s">
        <v>15</v>
      </c>
      <c r="D12" s="5" t="s">
        <v>16</v>
      </c>
      <c r="E12" s="5" t="n">
        <f aca="false">ROUND(5427*1.05,2)</f>
        <v>5698.35</v>
      </c>
      <c r="F12" s="5" t="s">
        <v>49</v>
      </c>
      <c r="G12" s="5" t="s">
        <v>18</v>
      </c>
      <c r="H12" s="5" t="n">
        <f aca="true">ROUND(RAND()*4+6,1)</f>
        <v>8.4</v>
      </c>
      <c r="I12" s="5" t="s">
        <v>19</v>
      </c>
      <c r="J12" s="5" t="str">
        <f aca="false">ROUND(66*1,0)&amp;"%"</f>
        <v>66%</v>
      </c>
    </row>
    <row r="13" customFormat="false" ht="15" hidden="false" customHeight="false" outlineLevel="0" collapsed="false">
      <c r="A13" s="6" t="s">
        <v>12515</v>
      </c>
      <c r="B13" s="6" t="s">
        <v>51</v>
      </c>
      <c r="C13" s="6" t="s">
        <v>15</v>
      </c>
      <c r="D13" s="6" t="s">
        <v>22</v>
      </c>
      <c r="E13" s="6" t="n">
        <f aca="false">ROUND(15744*1.05,2)</f>
        <v>16531.2</v>
      </c>
      <c r="F13" s="6" t="s">
        <v>52</v>
      </c>
      <c r="G13" s="6" t="s">
        <v>24</v>
      </c>
      <c r="H13" s="6" t="n">
        <f aca="true">ROUND(RAND()*4+6,1)</f>
        <v>6.2</v>
      </c>
      <c r="I13" s="6" t="s">
        <v>25</v>
      </c>
      <c r="J13" s="6" t="str">
        <f aca="false">ROUND(85*1,0)&amp;"%"</f>
        <v>85%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12516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12517</v>
      </c>
      <c r="B18" s="5" t="s">
        <v>56</v>
      </c>
      <c r="C18" s="5" t="s">
        <v>57</v>
      </c>
      <c r="D18" s="5" t="s">
        <v>16</v>
      </c>
      <c r="E18" s="5" t="n">
        <f aca="false">ROUND(17354*1.05,2)</f>
        <v>18221.7</v>
      </c>
      <c r="F18" s="5" t="s">
        <v>17</v>
      </c>
      <c r="G18" s="5" t="s">
        <v>18</v>
      </c>
      <c r="H18" s="5" t="n">
        <f aca="true">ROUND(RAND()*4+6,1)</f>
        <v>8.7</v>
      </c>
      <c r="I18" s="5" t="s">
        <v>19</v>
      </c>
      <c r="J18" s="5" t="str">
        <f aca="false">ROUND(85*1,0)&amp;"%"</f>
        <v>85%</v>
      </c>
    </row>
    <row r="19" customFormat="false" ht="15" hidden="false" customHeight="false" outlineLevel="0" collapsed="false">
      <c r="A19" s="6" t="s">
        <v>12518</v>
      </c>
      <c r="B19" s="6" t="s">
        <v>59</v>
      </c>
      <c r="C19" s="6" t="s">
        <v>57</v>
      </c>
      <c r="D19" s="6" t="s">
        <v>22</v>
      </c>
      <c r="E19" s="6" t="n">
        <f aca="false">ROUND(14375*1.05,2)</f>
        <v>15093.75</v>
      </c>
      <c r="F19" s="6" t="s">
        <v>23</v>
      </c>
      <c r="G19" s="6" t="s">
        <v>24</v>
      </c>
      <c r="H19" s="6" t="n">
        <f aca="true">ROUND(RAND()*4+6,1)</f>
        <v>8.3</v>
      </c>
      <c r="I19" s="6" t="s">
        <v>25</v>
      </c>
      <c r="J19" s="6" t="str">
        <f aca="false">ROUND(65*1,0)&amp;"%"</f>
        <v>65%</v>
      </c>
    </row>
    <row r="20" customFormat="false" ht="15" hidden="false" customHeight="false" outlineLevel="0" collapsed="false">
      <c r="A20" s="5" t="s">
        <v>12519</v>
      </c>
      <c r="B20" s="5" t="s">
        <v>61</v>
      </c>
      <c r="C20" s="5" t="s">
        <v>57</v>
      </c>
      <c r="D20" s="5" t="s">
        <v>28</v>
      </c>
      <c r="E20" s="5" t="n">
        <f aca="false">ROUND(12512*1.05,2)</f>
        <v>13137.6</v>
      </c>
      <c r="F20" s="5" t="s">
        <v>29</v>
      </c>
      <c r="G20" s="5" t="s">
        <v>30</v>
      </c>
      <c r="H20" s="5" t="n">
        <f aca="true">ROUND(RAND()*4+6,1)</f>
        <v>6.9</v>
      </c>
      <c r="I20" s="5" t="s">
        <v>31</v>
      </c>
      <c r="J20" s="5" t="str">
        <f aca="false">ROUND(96*1,0)&amp;"%"</f>
        <v>96%</v>
      </c>
    </row>
    <row r="21" customFormat="false" ht="15" hidden="false" customHeight="false" outlineLevel="0" collapsed="false">
      <c r="A21" s="6" t="s">
        <v>12520</v>
      </c>
      <c r="B21" s="6" t="s">
        <v>63</v>
      </c>
      <c r="C21" s="6" t="s">
        <v>57</v>
      </c>
      <c r="D21" s="6" t="s">
        <v>34</v>
      </c>
      <c r="E21" s="6" t="n">
        <f aca="false">ROUND(4280*1.05,2)</f>
        <v>4494</v>
      </c>
      <c r="F21" s="6" t="s">
        <v>35</v>
      </c>
      <c r="G21" s="6" t="s">
        <v>18</v>
      </c>
      <c r="H21" s="6" t="n">
        <f aca="true">ROUND(RAND()*4+6,1)</f>
        <v>9.6</v>
      </c>
      <c r="I21" s="6" t="s">
        <v>36</v>
      </c>
      <c r="J21" s="6" t="str">
        <f aca="false">ROUND(98*1,0)&amp;"%"</f>
        <v>98%</v>
      </c>
    </row>
    <row r="22" customFormat="false" ht="15" hidden="false" customHeight="false" outlineLevel="0" collapsed="false">
      <c r="A22" s="5" t="s">
        <v>12521</v>
      </c>
      <c r="B22" s="5" t="s">
        <v>65</v>
      </c>
      <c r="C22" s="5" t="s">
        <v>57</v>
      </c>
      <c r="D22" s="5" t="s">
        <v>39</v>
      </c>
      <c r="E22" s="5" t="n">
        <f aca="false">ROUND(14405*1.05,2)</f>
        <v>15125.25</v>
      </c>
      <c r="F22" s="5" t="s">
        <v>40</v>
      </c>
      <c r="G22" s="5" t="s">
        <v>24</v>
      </c>
      <c r="H22" s="5" t="n">
        <f aca="true">ROUND(RAND()*4+6,1)</f>
        <v>8.5</v>
      </c>
      <c r="I22" s="5" t="s">
        <v>41</v>
      </c>
      <c r="J22" s="5" t="str">
        <f aca="false">ROUND(87*1,0)&amp;"%"</f>
        <v>87%</v>
      </c>
    </row>
    <row r="23" customFormat="false" ht="15" hidden="false" customHeight="false" outlineLevel="0" collapsed="false">
      <c r="A23" s="6" t="s">
        <v>12522</v>
      </c>
      <c r="B23" s="6" t="s">
        <v>67</v>
      </c>
      <c r="C23" s="6" t="s">
        <v>57</v>
      </c>
      <c r="D23" s="6" t="s">
        <v>44</v>
      </c>
      <c r="E23" s="6" t="n">
        <f aca="false">ROUND(10094*1.05,2)</f>
        <v>10598.7</v>
      </c>
      <c r="F23" s="6" t="s">
        <v>45</v>
      </c>
      <c r="G23" s="6" t="s">
        <v>30</v>
      </c>
      <c r="H23" s="6" t="n">
        <f aca="true">ROUND(RAND()*4+6,1)</f>
        <v>7.1</v>
      </c>
      <c r="I23" s="6" t="s">
        <v>46</v>
      </c>
      <c r="J23" s="6" t="str">
        <f aca="false">ROUND(69*1,0)&amp;"%"</f>
        <v>69%</v>
      </c>
    </row>
    <row r="24" customFormat="false" ht="15" hidden="false" customHeight="false" outlineLevel="0" collapsed="false">
      <c r="A24" s="5" t="s">
        <v>12523</v>
      </c>
      <c r="B24" s="5" t="s">
        <v>69</v>
      </c>
      <c r="C24" s="5" t="s">
        <v>57</v>
      </c>
      <c r="D24" s="5" t="s">
        <v>16</v>
      </c>
      <c r="E24" s="5" t="n">
        <f aca="false">ROUND(7434*1.05,2)</f>
        <v>7805.7</v>
      </c>
      <c r="F24" s="5" t="s">
        <v>49</v>
      </c>
      <c r="G24" s="5" t="s">
        <v>18</v>
      </c>
      <c r="H24" s="5" t="n">
        <f aca="true">ROUND(RAND()*4+6,1)</f>
        <v>6.3</v>
      </c>
      <c r="I24" s="5" t="s">
        <v>19</v>
      </c>
      <c r="J24" s="5" t="str">
        <f aca="false">ROUND(99*1,0)&amp;"%"</f>
        <v>99%</v>
      </c>
    </row>
    <row r="25" customFormat="false" ht="15" hidden="false" customHeight="false" outlineLevel="0" collapsed="false">
      <c r="A25" s="6" t="s">
        <v>12524</v>
      </c>
      <c r="B25" s="6" t="s">
        <v>71</v>
      </c>
      <c r="C25" s="6" t="s">
        <v>57</v>
      </c>
      <c r="D25" s="6" t="s">
        <v>22</v>
      </c>
      <c r="E25" s="6" t="n">
        <f aca="false">ROUND(6527*1.05,2)</f>
        <v>6853.35</v>
      </c>
      <c r="F25" s="6" t="s">
        <v>52</v>
      </c>
      <c r="G25" s="6" t="s">
        <v>24</v>
      </c>
      <c r="H25" s="6" t="n">
        <f aca="true">ROUND(RAND()*4+6,1)</f>
        <v>8.4</v>
      </c>
      <c r="I25" s="6" t="s">
        <v>25</v>
      </c>
      <c r="J25" s="6" t="str">
        <f aca="false">ROUND(84*1,0)&amp;"%"</f>
        <v>84%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12525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12526</v>
      </c>
      <c r="B30" s="5" t="s">
        <v>75</v>
      </c>
      <c r="C30" s="5" t="s">
        <v>76</v>
      </c>
      <c r="D30" s="5" t="s">
        <v>16</v>
      </c>
      <c r="E30" s="5" t="n">
        <f aca="false">ROUND(12370*1.05,2)</f>
        <v>12988.5</v>
      </c>
      <c r="F30" s="5" t="s">
        <v>17</v>
      </c>
      <c r="G30" s="5" t="s">
        <v>18</v>
      </c>
      <c r="H30" s="5" t="n">
        <f aca="true">ROUND(RAND()*4+6,1)</f>
        <v>9.4</v>
      </c>
      <c r="I30" s="5" t="s">
        <v>19</v>
      </c>
      <c r="J30" s="5" t="str">
        <f aca="false">ROUND(81*1,0)&amp;"%"</f>
        <v>81%</v>
      </c>
    </row>
    <row r="31" customFormat="false" ht="15" hidden="false" customHeight="false" outlineLevel="0" collapsed="false">
      <c r="A31" s="6" t="s">
        <v>12527</v>
      </c>
      <c r="B31" s="6" t="s">
        <v>78</v>
      </c>
      <c r="C31" s="6" t="s">
        <v>76</v>
      </c>
      <c r="D31" s="6" t="s">
        <v>22</v>
      </c>
      <c r="E31" s="6" t="n">
        <f aca="false">ROUND(4304*1.05,2)</f>
        <v>4519.2</v>
      </c>
      <c r="F31" s="6" t="s">
        <v>23</v>
      </c>
      <c r="G31" s="6" t="s">
        <v>24</v>
      </c>
      <c r="H31" s="6" t="n">
        <f aca="true">ROUND(RAND()*4+6,1)</f>
        <v>6.1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12528</v>
      </c>
      <c r="B32" s="5" t="s">
        <v>80</v>
      </c>
      <c r="C32" s="5" t="s">
        <v>76</v>
      </c>
      <c r="D32" s="5" t="s">
        <v>28</v>
      </c>
      <c r="E32" s="5" t="n">
        <f aca="false">ROUND(7361*1.05,2)</f>
        <v>7729.05</v>
      </c>
      <c r="F32" s="5" t="s">
        <v>29</v>
      </c>
      <c r="G32" s="5" t="s">
        <v>30</v>
      </c>
      <c r="H32" s="5" t="n">
        <f aca="true">ROUND(RAND()*4+6,1)</f>
        <v>7.3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12529</v>
      </c>
      <c r="B33" s="6" t="s">
        <v>82</v>
      </c>
      <c r="C33" s="6" t="s">
        <v>76</v>
      </c>
      <c r="D33" s="6" t="s">
        <v>34</v>
      </c>
      <c r="E33" s="6" t="n">
        <f aca="false">ROUND(16989*1.05,2)</f>
        <v>17838.45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ROUND(89*1,0)&amp;"%"</f>
        <v>89%</v>
      </c>
    </row>
    <row r="34" customFormat="false" ht="15" hidden="false" customHeight="false" outlineLevel="0" collapsed="false">
      <c r="A34" s="5" t="s">
        <v>12530</v>
      </c>
      <c r="B34" s="5" t="s">
        <v>84</v>
      </c>
      <c r="C34" s="5" t="s">
        <v>76</v>
      </c>
      <c r="D34" s="5" t="s">
        <v>39</v>
      </c>
      <c r="E34" s="5" t="n">
        <f aca="false">ROUND(14719*1.05,2)</f>
        <v>15454.95</v>
      </c>
      <c r="F34" s="5" t="s">
        <v>40</v>
      </c>
      <c r="G34" s="5" t="s">
        <v>24</v>
      </c>
      <c r="H34" s="5" t="n">
        <f aca="true">ROUND(RAND()*4+6,1)</f>
        <v>9.8</v>
      </c>
      <c r="I34" s="5" t="s">
        <v>41</v>
      </c>
      <c r="J34" s="5" t="str">
        <f aca="false">ROUND(87*1,0)&amp;"%"</f>
        <v>87%</v>
      </c>
    </row>
    <row r="35" customFormat="false" ht="15" hidden="false" customHeight="false" outlineLevel="0" collapsed="false">
      <c r="A35" s="6" t="s">
        <v>12531</v>
      </c>
      <c r="B35" s="6" t="s">
        <v>86</v>
      </c>
      <c r="C35" s="6" t="s">
        <v>76</v>
      </c>
      <c r="D35" s="6" t="s">
        <v>44</v>
      </c>
      <c r="E35" s="6" t="n">
        <f aca="false">ROUND(7755*1.05,2)</f>
        <v>8142.75</v>
      </c>
      <c r="F35" s="6" t="s">
        <v>45</v>
      </c>
      <c r="G35" s="6" t="s">
        <v>30</v>
      </c>
      <c r="H35" s="6" t="n">
        <f aca="true">ROUND(RAND()*4+6,1)</f>
        <v>6.3</v>
      </c>
      <c r="I35" s="6" t="s">
        <v>46</v>
      </c>
      <c r="J35" s="6" t="str">
        <f aca="false">ROUND(77*1,0)&amp;"%"</f>
        <v>77%</v>
      </c>
    </row>
    <row r="36" customFormat="false" ht="15" hidden="false" customHeight="false" outlineLevel="0" collapsed="false">
      <c r="A36" s="5" t="s">
        <v>12532</v>
      </c>
      <c r="B36" s="5" t="s">
        <v>88</v>
      </c>
      <c r="C36" s="5" t="s">
        <v>76</v>
      </c>
      <c r="D36" s="5" t="s">
        <v>16</v>
      </c>
      <c r="E36" s="5" t="n">
        <f aca="false">ROUND(12898*1.05,2)</f>
        <v>13542.9</v>
      </c>
      <c r="F36" s="5" t="s">
        <v>49</v>
      </c>
      <c r="G36" s="5" t="s">
        <v>18</v>
      </c>
      <c r="H36" s="5" t="n">
        <f aca="true">ROUND(RAND()*4+6,1)</f>
        <v>8.5</v>
      </c>
      <c r="I36" s="5" t="s">
        <v>19</v>
      </c>
      <c r="J36" s="5" t="str">
        <f aca="false">ROUND(90*1,0)&amp;"%"</f>
        <v>90%</v>
      </c>
    </row>
    <row r="37" customFormat="false" ht="15" hidden="false" customHeight="false" outlineLevel="0" collapsed="false">
      <c r="A37" s="6" t="s">
        <v>12533</v>
      </c>
      <c r="B37" s="6" t="s">
        <v>90</v>
      </c>
      <c r="C37" s="6" t="s">
        <v>76</v>
      </c>
      <c r="D37" s="6" t="s">
        <v>22</v>
      </c>
      <c r="E37" s="6" t="n">
        <f aca="false">ROUND(4680*1.05,2)</f>
        <v>4914</v>
      </c>
      <c r="F37" s="6" t="s">
        <v>52</v>
      </c>
      <c r="G37" s="6" t="s">
        <v>24</v>
      </c>
      <c r="H37" s="6" t="n">
        <f aca="true">ROUND(RAND()*4+6,1)</f>
        <v>7.8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12534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12535</v>
      </c>
      <c r="B42" s="5" t="s">
        <v>94</v>
      </c>
      <c r="C42" s="5" t="s">
        <v>95</v>
      </c>
      <c r="D42" s="5" t="s">
        <v>16</v>
      </c>
      <c r="E42" s="5" t="n">
        <f aca="false">ROUND(17153*1.05,2)</f>
        <v>18010.65</v>
      </c>
      <c r="F42" s="5" t="s">
        <v>17</v>
      </c>
      <c r="G42" s="5" t="s">
        <v>18</v>
      </c>
      <c r="H42" s="5" t="n">
        <f aca="true">ROUND(RAND()*4+6,1)</f>
        <v>6.2</v>
      </c>
      <c r="I42" s="5" t="s">
        <v>19</v>
      </c>
      <c r="J42" s="5" t="str">
        <f aca="false">ROUND(67*1,0)&amp;"%"</f>
        <v>67%</v>
      </c>
    </row>
    <row r="43" customFormat="false" ht="15" hidden="false" customHeight="false" outlineLevel="0" collapsed="false">
      <c r="A43" s="6" t="s">
        <v>12536</v>
      </c>
      <c r="B43" s="6" t="s">
        <v>97</v>
      </c>
      <c r="C43" s="6" t="s">
        <v>95</v>
      </c>
      <c r="D43" s="6" t="s">
        <v>22</v>
      </c>
      <c r="E43" s="6" t="n">
        <f aca="false">ROUND(14706*1.05,2)</f>
        <v>15441.3</v>
      </c>
      <c r="F43" s="6" t="s">
        <v>23</v>
      </c>
      <c r="G43" s="6" t="s">
        <v>24</v>
      </c>
      <c r="H43" s="6" t="n">
        <f aca="true">ROUND(RAND()*4+6,1)</f>
        <v>9.4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12537</v>
      </c>
      <c r="B44" s="5" t="s">
        <v>99</v>
      </c>
      <c r="C44" s="5" t="s">
        <v>95</v>
      </c>
      <c r="D44" s="5" t="s">
        <v>28</v>
      </c>
      <c r="E44" s="5" t="n">
        <f aca="false">ROUND(8652*1.05,2)</f>
        <v>9084.6</v>
      </c>
      <c r="F44" s="5" t="s">
        <v>29</v>
      </c>
      <c r="G44" s="5" t="s">
        <v>30</v>
      </c>
      <c r="H44" s="5" t="n">
        <f aca="true">ROUND(RAND()*4+6,1)</f>
        <v>7</v>
      </c>
      <c r="I44" s="5" t="s">
        <v>31</v>
      </c>
      <c r="J44" s="5" t="str">
        <f aca="false">ROUND(87*1,0)&amp;"%"</f>
        <v>87%</v>
      </c>
    </row>
    <row r="45" customFormat="false" ht="15" hidden="false" customHeight="false" outlineLevel="0" collapsed="false">
      <c r="A45" s="6" t="s">
        <v>12538</v>
      </c>
      <c r="B45" s="6" t="s">
        <v>101</v>
      </c>
      <c r="C45" s="6" t="s">
        <v>95</v>
      </c>
      <c r="D45" s="6" t="s">
        <v>34</v>
      </c>
      <c r="E45" s="6" t="n">
        <f aca="false">ROUND(14228*1.05,2)</f>
        <v>14939.4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ROUND(91*1,0)&amp;"%"</f>
        <v>91%</v>
      </c>
    </row>
    <row r="46" customFormat="false" ht="15" hidden="false" customHeight="false" outlineLevel="0" collapsed="false">
      <c r="A46" s="5" t="s">
        <v>12539</v>
      </c>
      <c r="B46" s="5" t="s">
        <v>103</v>
      </c>
      <c r="C46" s="5" t="s">
        <v>95</v>
      </c>
      <c r="D46" s="5" t="s">
        <v>39</v>
      </c>
      <c r="E46" s="5" t="n">
        <f aca="false">ROUND(10366*1.05,2)</f>
        <v>10884.3</v>
      </c>
      <c r="F46" s="5" t="s">
        <v>40</v>
      </c>
      <c r="G46" s="5" t="s">
        <v>24</v>
      </c>
      <c r="H46" s="5" t="n">
        <f aca="true">ROUND(RAND()*4+6,1)</f>
        <v>9.1</v>
      </c>
      <c r="I46" s="5" t="s">
        <v>41</v>
      </c>
      <c r="J46" s="5" t="str">
        <f aca="false">ROUND(65*1,0)&amp;"%"</f>
        <v>65%</v>
      </c>
    </row>
    <row r="47" customFormat="false" ht="15" hidden="false" customHeight="false" outlineLevel="0" collapsed="false">
      <c r="A47" s="6" t="s">
        <v>12540</v>
      </c>
      <c r="B47" s="6" t="s">
        <v>105</v>
      </c>
      <c r="C47" s="6" t="s">
        <v>95</v>
      </c>
      <c r="D47" s="6" t="s">
        <v>44</v>
      </c>
      <c r="E47" s="6" t="n">
        <f aca="false">ROUND(12287*1.05,2)</f>
        <v>12901.35</v>
      </c>
      <c r="F47" s="6" t="s">
        <v>45</v>
      </c>
      <c r="G47" s="6" t="s">
        <v>30</v>
      </c>
      <c r="H47" s="6" t="n">
        <f aca="true">ROUND(RAND()*4+6,1)</f>
        <v>7.4</v>
      </c>
      <c r="I47" s="6" t="s">
        <v>46</v>
      </c>
      <c r="J47" s="6" t="str">
        <f aca="false">ROUND(89*1,0)&amp;"%"</f>
        <v>89%</v>
      </c>
    </row>
    <row r="48" customFormat="false" ht="15" hidden="false" customHeight="false" outlineLevel="0" collapsed="false">
      <c r="A48" s="5" t="s">
        <v>12541</v>
      </c>
      <c r="B48" s="5" t="s">
        <v>107</v>
      </c>
      <c r="C48" s="5" t="s">
        <v>95</v>
      </c>
      <c r="D48" s="5" t="s">
        <v>16</v>
      </c>
      <c r="E48" s="5" t="n">
        <f aca="false">ROUND(10671*1.05,2)</f>
        <v>11204.55</v>
      </c>
      <c r="F48" s="5" t="s">
        <v>49</v>
      </c>
      <c r="G48" s="5" t="s">
        <v>18</v>
      </c>
      <c r="H48" s="5" t="n">
        <f aca="true">ROUND(RAND()*4+6,1)</f>
        <v>8.6</v>
      </c>
      <c r="I48" s="5" t="s">
        <v>19</v>
      </c>
      <c r="J48" s="5" t="str">
        <f aca="false">ROUND(63*1,0)&amp;"%"</f>
        <v>63%</v>
      </c>
    </row>
    <row r="49" customFormat="false" ht="15" hidden="false" customHeight="false" outlineLevel="0" collapsed="false">
      <c r="A49" s="6" t="s">
        <v>12542</v>
      </c>
      <c r="B49" s="6" t="s">
        <v>109</v>
      </c>
      <c r="C49" s="6" t="s">
        <v>95</v>
      </c>
      <c r="D49" s="6" t="s">
        <v>22</v>
      </c>
      <c r="E49" s="6" t="n">
        <f aca="false">ROUND(4511*1.05,2)</f>
        <v>4736.55</v>
      </c>
      <c r="F49" s="6" t="s">
        <v>52</v>
      </c>
      <c r="G49" s="6" t="s">
        <v>24</v>
      </c>
      <c r="H49" s="6" t="n">
        <f aca="true">ROUND(RAND()*4+6,1)</f>
        <v>10</v>
      </c>
      <c r="I49" s="6" t="s">
        <v>25</v>
      </c>
      <c r="J49" s="6" t="str">
        <f aca="false">ROUND(80*1,0)&amp;"%"</f>
        <v>80%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12543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12544</v>
      </c>
      <c r="B54" s="5" t="s">
        <v>113</v>
      </c>
      <c r="C54" s="5" t="s">
        <v>114</v>
      </c>
      <c r="D54" s="5" t="s">
        <v>16</v>
      </c>
      <c r="E54" s="5" t="n">
        <f aca="false">ROUND(15589*1.05,2)</f>
        <v>16368.45</v>
      </c>
      <c r="F54" s="5" t="s">
        <v>17</v>
      </c>
      <c r="G54" s="5" t="s">
        <v>18</v>
      </c>
      <c r="H54" s="5" t="n">
        <f aca="true">ROUND(RAND()*4+6,1)</f>
        <v>8.5</v>
      </c>
      <c r="I54" s="5" t="s">
        <v>19</v>
      </c>
      <c r="J54" s="5" t="str">
        <f aca="false">ROUND(96*1,0)&amp;"%"</f>
        <v>96%</v>
      </c>
    </row>
    <row r="55" customFormat="false" ht="15" hidden="false" customHeight="false" outlineLevel="0" collapsed="false">
      <c r="A55" s="6" t="s">
        <v>12545</v>
      </c>
      <c r="B55" s="6" t="s">
        <v>116</v>
      </c>
      <c r="C55" s="6" t="s">
        <v>114</v>
      </c>
      <c r="D55" s="6" t="s">
        <v>22</v>
      </c>
      <c r="E55" s="6" t="n">
        <f aca="false">ROUND(8119*1.05,2)</f>
        <v>8524.95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ROUND(65*1,0)&amp;"%"</f>
        <v>65%</v>
      </c>
    </row>
    <row r="56" customFormat="false" ht="15" hidden="false" customHeight="false" outlineLevel="0" collapsed="false">
      <c r="A56" s="5" t="s">
        <v>12546</v>
      </c>
      <c r="B56" s="5" t="s">
        <v>118</v>
      </c>
      <c r="C56" s="5" t="s">
        <v>114</v>
      </c>
      <c r="D56" s="5" t="s">
        <v>28</v>
      </c>
      <c r="E56" s="5" t="n">
        <f aca="false">ROUND(8019*1.05,2)</f>
        <v>8419.95</v>
      </c>
      <c r="F56" s="5" t="s">
        <v>29</v>
      </c>
      <c r="G56" s="5" t="s">
        <v>30</v>
      </c>
      <c r="H56" s="5" t="n">
        <f aca="true">ROUND(RAND()*4+6,1)</f>
        <v>7.9</v>
      </c>
      <c r="I56" s="5" t="s">
        <v>31</v>
      </c>
      <c r="J56" s="5" t="str">
        <f aca="false">ROUND(95*1,0)&amp;"%"</f>
        <v>95%</v>
      </c>
    </row>
    <row r="57" customFormat="false" ht="15" hidden="false" customHeight="false" outlineLevel="0" collapsed="false">
      <c r="A57" s="6" t="s">
        <v>12547</v>
      </c>
      <c r="B57" s="6" t="s">
        <v>120</v>
      </c>
      <c r="C57" s="6" t="s">
        <v>114</v>
      </c>
      <c r="D57" s="6" t="s">
        <v>34</v>
      </c>
      <c r="E57" s="6" t="n">
        <f aca="false">ROUND(11429*1.05,2)</f>
        <v>12000.45</v>
      </c>
      <c r="F57" s="6" t="s">
        <v>35</v>
      </c>
      <c r="G57" s="6" t="s">
        <v>18</v>
      </c>
      <c r="H57" s="6" t="n">
        <f aca="true">ROUND(RAND()*4+6,1)</f>
        <v>7.7</v>
      </c>
      <c r="I57" s="6" t="s">
        <v>36</v>
      </c>
      <c r="J57" s="6" t="str">
        <f aca="false">ROUND(64*1,0)&amp;"%"</f>
        <v>64%</v>
      </c>
    </row>
    <row r="58" customFormat="false" ht="15" hidden="false" customHeight="false" outlineLevel="0" collapsed="false">
      <c r="A58" s="5" t="s">
        <v>12548</v>
      </c>
      <c r="B58" s="5" t="s">
        <v>122</v>
      </c>
      <c r="C58" s="5" t="s">
        <v>114</v>
      </c>
      <c r="D58" s="5" t="s">
        <v>39</v>
      </c>
      <c r="E58" s="5" t="n">
        <f aca="false">ROUND(12954*1.05,2)</f>
        <v>13601.7</v>
      </c>
      <c r="F58" s="5" t="s">
        <v>40</v>
      </c>
      <c r="G58" s="5" t="s">
        <v>24</v>
      </c>
      <c r="H58" s="5" t="n">
        <f aca="true">ROUND(RAND()*4+6,1)</f>
        <v>8.8</v>
      </c>
      <c r="I58" s="5" t="s">
        <v>41</v>
      </c>
      <c r="J58" s="5" t="str">
        <f aca="false">ROUND(83*1,0)&amp;"%"</f>
        <v>83%</v>
      </c>
    </row>
    <row r="59" customFormat="false" ht="15" hidden="false" customHeight="false" outlineLevel="0" collapsed="false">
      <c r="A59" s="6" t="s">
        <v>12549</v>
      </c>
      <c r="B59" s="6" t="s">
        <v>124</v>
      </c>
      <c r="C59" s="6" t="s">
        <v>114</v>
      </c>
      <c r="D59" s="6" t="s">
        <v>44</v>
      </c>
      <c r="E59" s="6" t="n">
        <f aca="false">ROUND(8845*1.05,2)</f>
        <v>9287.25</v>
      </c>
      <c r="F59" s="6" t="s">
        <v>45</v>
      </c>
      <c r="G59" s="6" t="s">
        <v>30</v>
      </c>
      <c r="H59" s="6" t="n">
        <f aca="true">ROUND(RAND()*4+6,1)</f>
        <v>8.2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12550</v>
      </c>
      <c r="B60" s="5" t="s">
        <v>126</v>
      </c>
      <c r="C60" s="5" t="s">
        <v>114</v>
      </c>
      <c r="D60" s="5" t="s">
        <v>16</v>
      </c>
      <c r="E60" s="5" t="n">
        <f aca="false">ROUND(7510*1.05,2)</f>
        <v>7885.5</v>
      </c>
      <c r="F60" s="5" t="s">
        <v>49</v>
      </c>
      <c r="G60" s="5" t="s">
        <v>18</v>
      </c>
      <c r="H60" s="5" t="n">
        <f aca="true">ROUND(RAND()*4+6,1)</f>
        <v>9.3</v>
      </c>
      <c r="I60" s="5" t="s">
        <v>19</v>
      </c>
      <c r="J60" s="5" t="str">
        <f aca="false">ROUND(74*1,0)&amp;"%"</f>
        <v>74%</v>
      </c>
    </row>
    <row r="61" customFormat="false" ht="15" hidden="false" customHeight="false" outlineLevel="0" collapsed="false">
      <c r="A61" s="6" t="s">
        <v>12551</v>
      </c>
      <c r="B61" s="6" t="s">
        <v>128</v>
      </c>
      <c r="C61" s="6" t="s">
        <v>114</v>
      </c>
      <c r="D61" s="6" t="s">
        <v>22</v>
      </c>
      <c r="E61" s="6" t="n">
        <f aca="false">ROUND(16148*1.05,2)</f>
        <v>16955.4</v>
      </c>
      <c r="F61" s="6" t="s">
        <v>52</v>
      </c>
      <c r="G61" s="6" t="s">
        <v>24</v>
      </c>
      <c r="H61" s="6" t="n">
        <f aca="true">ROUND(RAND()*4+6,1)</f>
        <v>9.3</v>
      </c>
      <c r="I61" s="6" t="s">
        <v>25</v>
      </c>
      <c r="J61" s="6" t="str">
        <f aca="false">ROUND(60*1,0)&amp;"%"</f>
        <v>60%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12552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12553</v>
      </c>
      <c r="B66" s="5" t="s">
        <v>132</v>
      </c>
      <c r="C66" s="5" t="s">
        <v>133</v>
      </c>
      <c r="D66" s="5" t="s">
        <v>16</v>
      </c>
      <c r="E66" s="5" t="n">
        <f aca="false">ROUND(5706*1.05,2)</f>
        <v>5991.3</v>
      </c>
      <c r="F66" s="5" t="s">
        <v>17</v>
      </c>
      <c r="G66" s="5" t="s">
        <v>18</v>
      </c>
      <c r="H66" s="5" t="n">
        <f aca="true">ROUND(RAND()*4+6,1)</f>
        <v>6.6</v>
      </c>
      <c r="I66" s="5" t="s">
        <v>19</v>
      </c>
      <c r="J66" s="5" t="str">
        <f aca="false">ROUND(75*1,0)&amp;"%"</f>
        <v>75%</v>
      </c>
    </row>
    <row r="67" customFormat="false" ht="15" hidden="false" customHeight="false" outlineLevel="0" collapsed="false">
      <c r="A67" s="6" t="s">
        <v>12554</v>
      </c>
      <c r="B67" s="6" t="s">
        <v>135</v>
      </c>
      <c r="C67" s="6" t="s">
        <v>133</v>
      </c>
      <c r="D67" s="6" t="s">
        <v>22</v>
      </c>
      <c r="E67" s="6" t="n">
        <f aca="false">ROUND(9655*1.05,2)</f>
        <v>10137.75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ROUND(98*1,0)&amp;"%"</f>
        <v>98%</v>
      </c>
    </row>
    <row r="68" customFormat="false" ht="15" hidden="false" customHeight="false" outlineLevel="0" collapsed="false">
      <c r="A68" s="5" t="s">
        <v>12555</v>
      </c>
      <c r="B68" s="5" t="s">
        <v>137</v>
      </c>
      <c r="C68" s="5" t="s">
        <v>133</v>
      </c>
      <c r="D68" s="5" t="s">
        <v>28</v>
      </c>
      <c r="E68" s="5" t="n">
        <f aca="false">ROUND(16223*1.05,2)</f>
        <v>17034.15</v>
      </c>
      <c r="F68" s="5" t="s">
        <v>29</v>
      </c>
      <c r="G68" s="5" t="s">
        <v>30</v>
      </c>
      <c r="H68" s="5" t="n">
        <f aca="true">ROUND(RAND()*4+6,1)</f>
        <v>6.8</v>
      </c>
      <c r="I68" s="5" t="s">
        <v>31</v>
      </c>
      <c r="J68" s="5" t="str">
        <f aca="false">ROUND(67*1,0)&amp;"%"</f>
        <v>67%</v>
      </c>
    </row>
    <row r="69" customFormat="false" ht="15" hidden="false" customHeight="false" outlineLevel="0" collapsed="false">
      <c r="A69" s="6" t="s">
        <v>12556</v>
      </c>
      <c r="B69" s="6" t="s">
        <v>139</v>
      </c>
      <c r="C69" s="6" t="s">
        <v>133</v>
      </c>
      <c r="D69" s="6" t="s">
        <v>34</v>
      </c>
      <c r="E69" s="6" t="n">
        <f aca="false">ROUND(16921*1.05,2)</f>
        <v>17767.05</v>
      </c>
      <c r="F69" s="6" t="s">
        <v>35</v>
      </c>
      <c r="G69" s="6" t="s">
        <v>18</v>
      </c>
      <c r="H69" s="6" t="n">
        <f aca="true">ROUND(RAND()*4+6,1)</f>
        <v>8.2</v>
      </c>
      <c r="I69" s="6" t="s">
        <v>36</v>
      </c>
      <c r="J69" s="6" t="str">
        <f aca="false">ROUND(84*1,0)&amp;"%"</f>
        <v>84%</v>
      </c>
    </row>
    <row r="70" customFormat="false" ht="15" hidden="false" customHeight="false" outlineLevel="0" collapsed="false">
      <c r="A70" s="5" t="s">
        <v>12557</v>
      </c>
      <c r="B70" s="5" t="s">
        <v>141</v>
      </c>
      <c r="C70" s="5" t="s">
        <v>133</v>
      </c>
      <c r="D70" s="5" t="s">
        <v>39</v>
      </c>
      <c r="E70" s="5" t="n">
        <f aca="false">ROUND(17753*1.05,2)</f>
        <v>18640.65</v>
      </c>
      <c r="F70" s="5" t="s">
        <v>40</v>
      </c>
      <c r="G70" s="5" t="s">
        <v>24</v>
      </c>
      <c r="H70" s="5" t="n">
        <f aca="true">ROUND(RAND()*4+6,1)</f>
        <v>6.9</v>
      </c>
      <c r="I70" s="5" t="s">
        <v>41</v>
      </c>
      <c r="J70" s="5" t="str">
        <f aca="false">ROUND(97*1,0)&amp;"%"</f>
        <v>97%</v>
      </c>
    </row>
    <row r="71" customFormat="false" ht="15" hidden="false" customHeight="false" outlineLevel="0" collapsed="false">
      <c r="A71" s="6" t="s">
        <v>12558</v>
      </c>
      <c r="B71" s="6" t="s">
        <v>143</v>
      </c>
      <c r="C71" s="6" t="s">
        <v>133</v>
      </c>
      <c r="D71" s="6" t="s">
        <v>44</v>
      </c>
      <c r="E71" s="6" t="n">
        <f aca="false">ROUND(6871*1.05,2)</f>
        <v>7214.55</v>
      </c>
      <c r="F71" s="6" t="s">
        <v>45</v>
      </c>
      <c r="G71" s="6" t="s">
        <v>30</v>
      </c>
      <c r="H71" s="6" t="n">
        <f aca="true">ROUND(RAND()*4+6,1)</f>
        <v>8.1</v>
      </c>
      <c r="I71" s="6" t="s">
        <v>46</v>
      </c>
      <c r="J71" s="6" t="str">
        <f aca="false">ROUND(95*1,0)&amp;"%"</f>
        <v>95%</v>
      </c>
    </row>
    <row r="72" customFormat="false" ht="15" hidden="false" customHeight="false" outlineLevel="0" collapsed="false">
      <c r="A72" s="5" t="s">
        <v>12559</v>
      </c>
      <c r="B72" s="5" t="s">
        <v>145</v>
      </c>
      <c r="C72" s="5" t="s">
        <v>133</v>
      </c>
      <c r="D72" s="5" t="s">
        <v>16</v>
      </c>
      <c r="E72" s="5" t="n">
        <f aca="false">ROUND(13707*1.05,2)</f>
        <v>14392.35</v>
      </c>
      <c r="F72" s="5" t="s">
        <v>49</v>
      </c>
      <c r="G72" s="5" t="s">
        <v>18</v>
      </c>
      <c r="H72" s="5" t="n">
        <f aca="true">ROUND(RAND()*4+6,1)</f>
        <v>9.2</v>
      </c>
      <c r="I72" s="5" t="s">
        <v>19</v>
      </c>
      <c r="J72" s="5" t="str">
        <f aca="false">ROUND(93*1,0)&amp;"%"</f>
        <v>93%</v>
      </c>
    </row>
    <row r="73" customFormat="false" ht="15" hidden="false" customHeight="false" outlineLevel="0" collapsed="false">
      <c r="A73" s="6" t="s">
        <v>12560</v>
      </c>
      <c r="B73" s="6" t="s">
        <v>147</v>
      </c>
      <c r="C73" s="6" t="s">
        <v>133</v>
      </c>
      <c r="D73" s="6" t="s">
        <v>22</v>
      </c>
      <c r="E73" s="6" t="n">
        <f aca="false">ROUND(16260*1.05,2)</f>
        <v>17073</v>
      </c>
      <c r="F73" s="6" t="s">
        <v>52</v>
      </c>
      <c r="G73" s="6" t="s">
        <v>24</v>
      </c>
      <c r="H73" s="6" t="n">
        <f aca="true">ROUND(RAND()*4+6,1)</f>
        <v>9.4</v>
      </c>
      <c r="I73" s="6" t="s">
        <v>25</v>
      </c>
      <c r="J73" s="6" t="str">
        <f aca="false">ROUND(76*1,0)&amp;"%"</f>
        <v>76%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12561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12562</v>
      </c>
      <c r="B78" s="5" t="s">
        <v>151</v>
      </c>
      <c r="C78" s="5" t="s">
        <v>152</v>
      </c>
      <c r="D78" s="5" t="s">
        <v>16</v>
      </c>
      <c r="E78" s="5" t="n">
        <f aca="false">ROUND(4397*1.05,2)</f>
        <v>4616.85</v>
      </c>
      <c r="F78" s="5" t="s">
        <v>17</v>
      </c>
      <c r="G78" s="5" t="s">
        <v>18</v>
      </c>
      <c r="H78" s="5" t="n">
        <f aca="true">ROUND(RAND()*4+6,1)</f>
        <v>10</v>
      </c>
      <c r="I78" s="5" t="s">
        <v>19</v>
      </c>
      <c r="J78" s="5" t="str">
        <f aca="false">ROUND(67*1,0)&amp;"%"</f>
        <v>67%</v>
      </c>
    </row>
    <row r="79" customFormat="false" ht="15" hidden="false" customHeight="false" outlineLevel="0" collapsed="false">
      <c r="A79" s="6" t="s">
        <v>12563</v>
      </c>
      <c r="B79" s="6" t="s">
        <v>154</v>
      </c>
      <c r="C79" s="6" t="s">
        <v>152</v>
      </c>
      <c r="D79" s="6" t="s">
        <v>22</v>
      </c>
      <c r="E79" s="6" t="n">
        <f aca="false">ROUND(15806*1.05,2)</f>
        <v>16596.3</v>
      </c>
      <c r="F79" s="6" t="s">
        <v>23</v>
      </c>
      <c r="G79" s="6" t="s">
        <v>24</v>
      </c>
      <c r="H79" s="6" t="n">
        <f aca="true">ROUND(RAND()*4+6,1)</f>
        <v>8.2</v>
      </c>
      <c r="I79" s="6" t="s">
        <v>25</v>
      </c>
      <c r="J79" s="6" t="str">
        <f aca="false">ROUND(88*1,0)&amp;"%"</f>
        <v>88%</v>
      </c>
    </row>
    <row r="80" customFormat="false" ht="15" hidden="false" customHeight="false" outlineLevel="0" collapsed="false">
      <c r="A80" s="5" t="s">
        <v>12564</v>
      </c>
      <c r="B80" s="5" t="s">
        <v>156</v>
      </c>
      <c r="C80" s="5" t="s">
        <v>152</v>
      </c>
      <c r="D80" s="5" t="s">
        <v>28</v>
      </c>
      <c r="E80" s="5" t="n">
        <f aca="false">ROUND(5464*1.05,2)</f>
        <v>5737.2</v>
      </c>
      <c r="F80" s="5" t="s">
        <v>29</v>
      </c>
      <c r="G80" s="5" t="s">
        <v>30</v>
      </c>
      <c r="H80" s="5" t="n">
        <f aca="true">ROUND(RAND()*4+6,1)</f>
        <v>9.8</v>
      </c>
      <c r="I80" s="5" t="s">
        <v>31</v>
      </c>
      <c r="J80" s="5" t="str">
        <f aca="false">ROUND(60*1,0)&amp;"%"</f>
        <v>60%</v>
      </c>
    </row>
    <row r="81" customFormat="false" ht="15" hidden="false" customHeight="false" outlineLevel="0" collapsed="false">
      <c r="A81" s="6" t="s">
        <v>12565</v>
      </c>
      <c r="B81" s="6" t="s">
        <v>158</v>
      </c>
      <c r="C81" s="6" t="s">
        <v>152</v>
      </c>
      <c r="D81" s="6" t="s">
        <v>34</v>
      </c>
      <c r="E81" s="6" t="n">
        <f aca="false">ROUND(13068*1.05,2)</f>
        <v>13721.4</v>
      </c>
      <c r="F81" s="6" t="s">
        <v>35</v>
      </c>
      <c r="G81" s="6" t="s">
        <v>18</v>
      </c>
      <c r="H81" s="6" t="n">
        <f aca="true">ROUND(RAND()*4+6,1)</f>
        <v>7.9</v>
      </c>
      <c r="I81" s="6" t="s">
        <v>36</v>
      </c>
      <c r="J81" s="6" t="str">
        <f aca="false">ROUND(91*1,0)&amp;"%"</f>
        <v>91%</v>
      </c>
    </row>
    <row r="82" customFormat="false" ht="15" hidden="false" customHeight="false" outlineLevel="0" collapsed="false">
      <c r="A82" s="5" t="s">
        <v>12566</v>
      </c>
      <c r="B82" s="5" t="s">
        <v>160</v>
      </c>
      <c r="C82" s="5" t="s">
        <v>152</v>
      </c>
      <c r="D82" s="5" t="s">
        <v>39</v>
      </c>
      <c r="E82" s="5" t="n">
        <f aca="false">ROUND(6988*1.05,2)</f>
        <v>7337.4</v>
      </c>
      <c r="F82" s="5" t="s">
        <v>40</v>
      </c>
      <c r="G82" s="5" t="s">
        <v>24</v>
      </c>
      <c r="H82" s="5" t="n">
        <f aca="true">ROUND(RAND()*4+6,1)</f>
        <v>6.6</v>
      </c>
      <c r="I82" s="5" t="s">
        <v>41</v>
      </c>
      <c r="J82" s="5" t="str">
        <f aca="false">ROUND(82*1,0)&amp;"%"</f>
        <v>82%</v>
      </c>
    </row>
    <row r="83" customFormat="false" ht="15" hidden="false" customHeight="false" outlineLevel="0" collapsed="false">
      <c r="A83" s="6" t="s">
        <v>12567</v>
      </c>
      <c r="B83" s="6" t="s">
        <v>162</v>
      </c>
      <c r="C83" s="6" t="s">
        <v>152</v>
      </c>
      <c r="D83" s="6" t="s">
        <v>44</v>
      </c>
      <c r="E83" s="6" t="n">
        <f aca="false">ROUND(13961*1.05,2)</f>
        <v>14659.05</v>
      </c>
      <c r="F83" s="6" t="s">
        <v>45</v>
      </c>
      <c r="G83" s="6" t="s">
        <v>30</v>
      </c>
      <c r="H83" s="6" t="n">
        <f aca="true">ROUND(RAND()*4+6,1)</f>
        <v>7.1</v>
      </c>
      <c r="I83" s="6" t="s">
        <v>46</v>
      </c>
      <c r="J83" s="6" t="str">
        <f aca="false">ROUND(70*1,0)&amp;"%"</f>
        <v>70%</v>
      </c>
    </row>
    <row r="84" customFormat="false" ht="15" hidden="false" customHeight="false" outlineLevel="0" collapsed="false">
      <c r="A84" s="5" t="s">
        <v>12568</v>
      </c>
      <c r="B84" s="5" t="s">
        <v>164</v>
      </c>
      <c r="C84" s="5" t="s">
        <v>152</v>
      </c>
      <c r="D84" s="5" t="s">
        <v>16</v>
      </c>
      <c r="E84" s="5" t="n">
        <f aca="false">ROUND(13584*1.05,2)</f>
        <v>14263.2</v>
      </c>
      <c r="F84" s="5" t="s">
        <v>49</v>
      </c>
      <c r="G84" s="5" t="s">
        <v>18</v>
      </c>
      <c r="H84" s="5" t="n">
        <f aca="true">ROUND(RAND()*4+6,1)</f>
        <v>6.2</v>
      </c>
      <c r="I84" s="5" t="s">
        <v>19</v>
      </c>
      <c r="J84" s="5" t="str">
        <f aca="false">ROUND(82*1,0)&amp;"%"</f>
        <v>82%</v>
      </c>
    </row>
    <row r="85" customFormat="false" ht="15" hidden="false" customHeight="false" outlineLevel="0" collapsed="false">
      <c r="A85" s="6" t="s">
        <v>12569</v>
      </c>
      <c r="B85" s="6" t="s">
        <v>166</v>
      </c>
      <c r="C85" s="6" t="s">
        <v>152</v>
      </c>
      <c r="D85" s="6" t="s">
        <v>22</v>
      </c>
      <c r="E85" s="6" t="n">
        <f aca="false">ROUND(14383*1.05,2)</f>
        <v>15102.15</v>
      </c>
      <c r="F85" s="6" t="s">
        <v>52</v>
      </c>
      <c r="G85" s="6" t="s">
        <v>24</v>
      </c>
      <c r="H85" s="6" t="n">
        <f aca="true">ROUND(RAND()*4+6,1)</f>
        <v>9.4</v>
      </c>
      <c r="I85" s="6" t="s">
        <v>25</v>
      </c>
      <c r="J85" s="6" t="str">
        <f aca="false">ROUND(85*1,0)&amp;"%"</f>
        <v>85%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12570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12571</v>
      </c>
      <c r="B90" s="5" t="s">
        <v>170</v>
      </c>
      <c r="C90" s="5" t="s">
        <v>15</v>
      </c>
      <c r="D90" s="5" t="s">
        <v>16</v>
      </c>
      <c r="E90" s="5" t="n">
        <f aca="false">ROUND(16095*1.05,2)</f>
        <v>16899.75</v>
      </c>
      <c r="F90" s="5" t="s">
        <v>17</v>
      </c>
      <c r="G90" s="5" t="s">
        <v>18</v>
      </c>
      <c r="H90" s="5" t="n">
        <f aca="true">ROUND(RAND()*4+6,1)</f>
        <v>6.8</v>
      </c>
      <c r="I90" s="5" t="s">
        <v>19</v>
      </c>
      <c r="J90" s="5" t="str">
        <f aca="false">ROUND(85*1,0)&amp;"%"</f>
        <v>85%</v>
      </c>
    </row>
    <row r="91" customFormat="false" ht="15" hidden="false" customHeight="false" outlineLevel="0" collapsed="false">
      <c r="A91" s="6" t="s">
        <v>12572</v>
      </c>
      <c r="B91" s="6" t="s">
        <v>172</v>
      </c>
      <c r="C91" s="6" t="s">
        <v>15</v>
      </c>
      <c r="D91" s="6" t="s">
        <v>22</v>
      </c>
      <c r="E91" s="6" t="n">
        <f aca="false">ROUND(14882*1.05,2)</f>
        <v>15626.1</v>
      </c>
      <c r="F91" s="6" t="s">
        <v>23</v>
      </c>
      <c r="G91" s="6" t="s">
        <v>24</v>
      </c>
      <c r="H91" s="6" t="n">
        <f aca="true">ROUND(RAND()*4+6,1)</f>
        <v>8.3</v>
      </c>
      <c r="I91" s="6" t="s">
        <v>25</v>
      </c>
      <c r="J91" s="6" t="str">
        <f aca="false">ROUND(97*1,0)&amp;"%"</f>
        <v>97%</v>
      </c>
    </row>
    <row r="92" customFormat="false" ht="15" hidden="false" customHeight="false" outlineLevel="0" collapsed="false">
      <c r="A92" s="5" t="s">
        <v>12573</v>
      </c>
      <c r="B92" s="5" t="s">
        <v>174</v>
      </c>
      <c r="C92" s="5" t="s">
        <v>15</v>
      </c>
      <c r="D92" s="5" t="s">
        <v>28</v>
      </c>
      <c r="E92" s="5" t="n">
        <f aca="false">ROUND(16515*1.05,2)</f>
        <v>17340.75</v>
      </c>
      <c r="F92" s="5" t="s">
        <v>29</v>
      </c>
      <c r="G92" s="5" t="s">
        <v>30</v>
      </c>
      <c r="H92" s="5" t="n">
        <f aca="true">ROUND(RAND()*4+6,1)</f>
        <v>7</v>
      </c>
      <c r="I92" s="5" t="s">
        <v>31</v>
      </c>
      <c r="J92" s="5" t="str">
        <f aca="false">ROUND(63*1,0)&amp;"%"</f>
        <v>63%</v>
      </c>
    </row>
    <row r="93" customFormat="false" ht="15" hidden="false" customHeight="false" outlineLevel="0" collapsed="false">
      <c r="A93" s="6" t="s">
        <v>12574</v>
      </c>
      <c r="B93" s="6" t="s">
        <v>176</v>
      </c>
      <c r="C93" s="6" t="s">
        <v>15</v>
      </c>
      <c r="D93" s="6" t="s">
        <v>34</v>
      </c>
      <c r="E93" s="6" t="n">
        <f aca="false">ROUND(16525*1.05,2)</f>
        <v>17351.25</v>
      </c>
      <c r="F93" s="6" t="s">
        <v>35</v>
      </c>
      <c r="G93" s="6" t="s">
        <v>18</v>
      </c>
      <c r="H93" s="6" t="n">
        <f aca="true">ROUND(RAND()*4+6,1)</f>
        <v>6.3</v>
      </c>
      <c r="I93" s="6" t="s">
        <v>36</v>
      </c>
      <c r="J93" s="6" t="str">
        <f aca="false">ROUND(84*1,0)&amp;"%"</f>
        <v>84%</v>
      </c>
    </row>
    <row r="94" customFormat="false" ht="15" hidden="false" customHeight="false" outlineLevel="0" collapsed="false">
      <c r="A94" s="5" t="s">
        <v>12575</v>
      </c>
      <c r="B94" s="5" t="s">
        <v>178</v>
      </c>
      <c r="C94" s="5" t="s">
        <v>15</v>
      </c>
      <c r="D94" s="5" t="s">
        <v>39</v>
      </c>
      <c r="E94" s="5" t="n">
        <f aca="false">ROUND(9739*1.05,2)</f>
        <v>10225.95</v>
      </c>
      <c r="F94" s="5" t="s">
        <v>40</v>
      </c>
      <c r="G94" s="5" t="s">
        <v>24</v>
      </c>
      <c r="H94" s="5" t="n">
        <f aca="true">ROUND(RAND()*4+6,1)</f>
        <v>9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12576</v>
      </c>
      <c r="B95" s="6" t="s">
        <v>180</v>
      </c>
      <c r="C95" s="6" t="s">
        <v>15</v>
      </c>
      <c r="D95" s="6" t="s">
        <v>44</v>
      </c>
      <c r="E95" s="6" t="n">
        <f aca="false">ROUND(7452*1.05,2)</f>
        <v>7824.6</v>
      </c>
      <c r="F95" s="6" t="s">
        <v>45</v>
      </c>
      <c r="G95" s="6" t="s">
        <v>30</v>
      </c>
      <c r="H95" s="6" t="n">
        <f aca="true">ROUND(RAND()*4+6,1)</f>
        <v>8.9</v>
      </c>
      <c r="I95" s="6" t="s">
        <v>46</v>
      </c>
      <c r="J95" s="6" t="str">
        <f aca="false">ROUND(99*1,0)&amp;"%"</f>
        <v>99%</v>
      </c>
    </row>
    <row r="96" customFormat="false" ht="15" hidden="false" customHeight="false" outlineLevel="0" collapsed="false">
      <c r="A96" s="5" t="s">
        <v>12577</v>
      </c>
      <c r="B96" s="5" t="s">
        <v>182</v>
      </c>
      <c r="C96" s="5" t="s">
        <v>15</v>
      </c>
      <c r="D96" s="5" t="s">
        <v>16</v>
      </c>
      <c r="E96" s="5" t="n">
        <f aca="false">ROUND(14451*1.05,2)</f>
        <v>15173.55</v>
      </c>
      <c r="F96" s="5" t="s">
        <v>49</v>
      </c>
      <c r="G96" s="5" t="s">
        <v>18</v>
      </c>
      <c r="H96" s="5" t="n">
        <f aca="true">ROUND(RAND()*4+6,1)</f>
        <v>6.9</v>
      </c>
      <c r="I96" s="5" t="s">
        <v>19</v>
      </c>
      <c r="J96" s="5" t="str">
        <f aca="false">ROUND(78*1,0)&amp;"%"</f>
        <v>78%</v>
      </c>
    </row>
    <row r="97" customFormat="false" ht="15" hidden="false" customHeight="false" outlineLevel="0" collapsed="false">
      <c r="A97" s="6" t="s">
        <v>12578</v>
      </c>
      <c r="B97" s="6" t="s">
        <v>184</v>
      </c>
      <c r="C97" s="6" t="s">
        <v>15</v>
      </c>
      <c r="D97" s="6" t="s">
        <v>22</v>
      </c>
      <c r="E97" s="6" t="n">
        <f aca="false">ROUND(15910*1.05,2)</f>
        <v>16705.5</v>
      </c>
      <c r="F97" s="6" t="s">
        <v>52</v>
      </c>
      <c r="G97" s="6" t="s">
        <v>24</v>
      </c>
      <c r="H97" s="6" t="n">
        <f aca="true">ROUND(RAND()*4+6,1)</f>
        <v>10</v>
      </c>
      <c r="I97" s="6" t="s">
        <v>25</v>
      </c>
      <c r="J97" s="6" t="str">
        <f aca="false">ROUND(65*1,0)&amp;"%"</f>
        <v>65%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12579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12580</v>
      </c>
      <c r="B102" s="5" t="s">
        <v>188</v>
      </c>
      <c r="C102" s="5" t="s">
        <v>57</v>
      </c>
      <c r="D102" s="5" t="s">
        <v>16</v>
      </c>
      <c r="E102" s="5" t="n">
        <f aca="false">ROUND(14080*1.05,2)</f>
        <v>14784</v>
      </c>
      <c r="F102" s="5" t="s">
        <v>17</v>
      </c>
      <c r="G102" s="5" t="s">
        <v>18</v>
      </c>
      <c r="H102" s="5" t="n">
        <f aca="true">ROUND(RAND()*4+6,1)</f>
        <v>10</v>
      </c>
      <c r="I102" s="5" t="s">
        <v>19</v>
      </c>
      <c r="J102" s="5" t="str">
        <f aca="false">ROUND(64*1,0)&amp;"%"</f>
        <v>64%</v>
      </c>
    </row>
    <row r="103" customFormat="false" ht="15" hidden="false" customHeight="false" outlineLevel="0" collapsed="false">
      <c r="A103" s="6" t="s">
        <v>12581</v>
      </c>
      <c r="B103" s="6" t="s">
        <v>190</v>
      </c>
      <c r="C103" s="6" t="s">
        <v>57</v>
      </c>
      <c r="D103" s="6" t="s">
        <v>22</v>
      </c>
      <c r="E103" s="6" t="n">
        <f aca="false">ROUND(11868*1.05,2)</f>
        <v>12461.4</v>
      </c>
      <c r="F103" s="6" t="s">
        <v>23</v>
      </c>
      <c r="G103" s="6" t="s">
        <v>24</v>
      </c>
      <c r="H103" s="6" t="n">
        <f aca="true">ROUND(RAND()*4+6,1)</f>
        <v>6.5</v>
      </c>
      <c r="I103" s="6" t="s">
        <v>25</v>
      </c>
      <c r="J103" s="6" t="str">
        <f aca="false">ROUND(77*1,0)&amp;"%"</f>
        <v>77%</v>
      </c>
    </row>
    <row r="104" customFormat="false" ht="15" hidden="false" customHeight="false" outlineLevel="0" collapsed="false">
      <c r="A104" s="5" t="s">
        <v>12582</v>
      </c>
      <c r="B104" s="5" t="s">
        <v>192</v>
      </c>
      <c r="C104" s="5" t="s">
        <v>57</v>
      </c>
      <c r="D104" s="5" t="s">
        <v>28</v>
      </c>
      <c r="E104" s="5" t="n">
        <f aca="false">ROUND(13494*1.05,2)</f>
        <v>14168.7</v>
      </c>
      <c r="F104" s="5" t="s">
        <v>29</v>
      </c>
      <c r="G104" s="5" t="s">
        <v>30</v>
      </c>
      <c r="H104" s="5" t="n">
        <f aca="true">ROUND(RAND()*4+6,1)</f>
        <v>8.6</v>
      </c>
      <c r="I104" s="5" t="s">
        <v>31</v>
      </c>
      <c r="J104" s="5" t="str">
        <f aca="false">ROUND(83*1,0)&amp;"%"</f>
        <v>83%</v>
      </c>
    </row>
    <row r="105" customFormat="false" ht="15" hidden="false" customHeight="false" outlineLevel="0" collapsed="false">
      <c r="A105" s="6" t="s">
        <v>12583</v>
      </c>
      <c r="B105" s="6" t="s">
        <v>194</v>
      </c>
      <c r="C105" s="6" t="s">
        <v>57</v>
      </c>
      <c r="D105" s="6" t="s">
        <v>34</v>
      </c>
      <c r="E105" s="6" t="n">
        <f aca="false">ROUND(17328*1.05,2)</f>
        <v>18194.4</v>
      </c>
      <c r="F105" s="6" t="s">
        <v>35</v>
      </c>
      <c r="G105" s="6" t="s">
        <v>18</v>
      </c>
      <c r="H105" s="6" t="n">
        <f aca="true">ROUND(RAND()*4+6,1)</f>
        <v>8.1</v>
      </c>
      <c r="I105" s="6" t="s">
        <v>36</v>
      </c>
      <c r="J105" s="6" t="str">
        <f aca="false">ROUND(61*1,0)&amp;"%"</f>
        <v>61%</v>
      </c>
    </row>
    <row r="106" customFormat="false" ht="15" hidden="false" customHeight="false" outlineLevel="0" collapsed="false">
      <c r="A106" s="5" t="s">
        <v>12584</v>
      </c>
      <c r="B106" s="5" t="s">
        <v>196</v>
      </c>
      <c r="C106" s="5" t="s">
        <v>57</v>
      </c>
      <c r="D106" s="5" t="s">
        <v>39</v>
      </c>
      <c r="E106" s="5" t="n">
        <f aca="false">ROUND(11809*1.05,2)</f>
        <v>12399.45</v>
      </c>
      <c r="F106" s="5" t="s">
        <v>40</v>
      </c>
      <c r="G106" s="5" t="s">
        <v>24</v>
      </c>
      <c r="H106" s="5" t="n">
        <f aca="true">ROUND(RAND()*4+6,1)</f>
        <v>9.3</v>
      </c>
      <c r="I106" s="5" t="s">
        <v>41</v>
      </c>
      <c r="J106" s="5" t="str">
        <f aca="false">ROUND(83*1,0)&amp;"%"</f>
        <v>83%</v>
      </c>
    </row>
    <row r="107" customFormat="false" ht="15" hidden="false" customHeight="false" outlineLevel="0" collapsed="false">
      <c r="A107" s="6" t="s">
        <v>12585</v>
      </c>
      <c r="B107" s="6" t="s">
        <v>198</v>
      </c>
      <c r="C107" s="6" t="s">
        <v>57</v>
      </c>
      <c r="D107" s="6" t="s">
        <v>44</v>
      </c>
      <c r="E107" s="6" t="n">
        <f aca="false">ROUND(7640*1.05,2)</f>
        <v>8022</v>
      </c>
      <c r="F107" s="6" t="s">
        <v>45</v>
      </c>
      <c r="G107" s="6" t="s">
        <v>30</v>
      </c>
      <c r="H107" s="6" t="n">
        <f aca="true">ROUND(RAND()*4+6,1)</f>
        <v>9.6</v>
      </c>
      <c r="I107" s="6" t="s">
        <v>46</v>
      </c>
      <c r="J107" s="6" t="str">
        <f aca="false">ROUND(100*1,0)&amp;"%"</f>
        <v>100%</v>
      </c>
    </row>
    <row r="108" customFormat="false" ht="15" hidden="false" customHeight="false" outlineLevel="0" collapsed="false">
      <c r="A108" s="5" t="s">
        <v>12586</v>
      </c>
      <c r="B108" s="5" t="s">
        <v>200</v>
      </c>
      <c r="C108" s="5" t="s">
        <v>57</v>
      </c>
      <c r="D108" s="5" t="s">
        <v>16</v>
      </c>
      <c r="E108" s="5" t="n">
        <f aca="false">ROUND(17892*1.05,2)</f>
        <v>18786.6</v>
      </c>
      <c r="F108" s="5" t="s">
        <v>49</v>
      </c>
      <c r="G108" s="5" t="s">
        <v>18</v>
      </c>
      <c r="H108" s="5" t="n">
        <f aca="true">ROUND(RAND()*4+6,1)</f>
        <v>6.5</v>
      </c>
      <c r="I108" s="5" t="s">
        <v>19</v>
      </c>
      <c r="J108" s="5" t="str">
        <f aca="false">ROUND(89*1,0)&amp;"%"</f>
        <v>89%</v>
      </c>
    </row>
    <row r="109" customFormat="false" ht="15" hidden="false" customHeight="false" outlineLevel="0" collapsed="false">
      <c r="A109" s="6" t="s">
        <v>12587</v>
      </c>
      <c r="B109" s="6" t="s">
        <v>202</v>
      </c>
      <c r="C109" s="6" t="s">
        <v>57</v>
      </c>
      <c r="D109" s="6" t="s">
        <v>22</v>
      </c>
      <c r="E109" s="6" t="n">
        <f aca="false">ROUND(10698*1.05,2)</f>
        <v>11232.9</v>
      </c>
      <c r="F109" s="6" t="s">
        <v>52</v>
      </c>
      <c r="G109" s="6" t="s">
        <v>24</v>
      </c>
      <c r="H109" s="6" t="n">
        <f aca="true">ROUND(RAND()*4+6,1)</f>
        <v>7.1</v>
      </c>
      <c r="I109" s="6" t="s">
        <v>25</v>
      </c>
      <c r="J109" s="6" t="str">
        <f aca="false">ROUND(86*1,0)&amp;"%"</f>
        <v>86%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12588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12589</v>
      </c>
      <c r="B114" s="5" t="s">
        <v>206</v>
      </c>
      <c r="C114" s="5" t="s">
        <v>76</v>
      </c>
      <c r="D114" s="5" t="s">
        <v>16</v>
      </c>
      <c r="E114" s="5" t="n">
        <f aca="false">ROUND(13267*1.05,2)</f>
        <v>13930.35</v>
      </c>
      <c r="F114" s="5" t="s">
        <v>17</v>
      </c>
      <c r="G114" s="5" t="s">
        <v>18</v>
      </c>
      <c r="H114" s="5" t="n">
        <f aca="true">ROUND(RAND()*4+6,1)</f>
        <v>8</v>
      </c>
      <c r="I114" s="5" t="s">
        <v>19</v>
      </c>
      <c r="J114" s="5" t="str">
        <f aca="false">ROUND(91*1,0)&amp;"%"</f>
        <v>91%</v>
      </c>
    </row>
    <row r="115" customFormat="false" ht="15" hidden="false" customHeight="false" outlineLevel="0" collapsed="false">
      <c r="A115" s="6" t="s">
        <v>12590</v>
      </c>
      <c r="B115" s="6" t="s">
        <v>208</v>
      </c>
      <c r="C115" s="6" t="s">
        <v>76</v>
      </c>
      <c r="D115" s="6" t="s">
        <v>22</v>
      </c>
      <c r="E115" s="6" t="n">
        <f aca="false">ROUND(4995*1.05,2)</f>
        <v>5244.75</v>
      </c>
      <c r="F115" s="6" t="s">
        <v>23</v>
      </c>
      <c r="G115" s="6" t="s">
        <v>24</v>
      </c>
      <c r="H115" s="6" t="n">
        <f aca="true">ROUND(RAND()*4+6,1)</f>
        <v>9.5</v>
      </c>
      <c r="I115" s="6" t="s">
        <v>25</v>
      </c>
      <c r="J115" s="6" t="str">
        <f aca="false">ROUND(82*1,0)&amp;"%"</f>
        <v>82%</v>
      </c>
    </row>
    <row r="116" customFormat="false" ht="15" hidden="false" customHeight="false" outlineLevel="0" collapsed="false">
      <c r="A116" s="5" t="s">
        <v>12591</v>
      </c>
      <c r="B116" s="5" t="s">
        <v>210</v>
      </c>
      <c r="C116" s="5" t="s">
        <v>76</v>
      </c>
      <c r="D116" s="5" t="s">
        <v>28</v>
      </c>
      <c r="E116" s="5" t="n">
        <f aca="false">ROUND(16188*1.05,2)</f>
        <v>16997.4</v>
      </c>
      <c r="F116" s="5" t="s">
        <v>29</v>
      </c>
      <c r="G116" s="5" t="s">
        <v>30</v>
      </c>
      <c r="H116" s="5" t="n">
        <f aca="true">ROUND(RAND()*4+6,1)</f>
        <v>9.7</v>
      </c>
      <c r="I116" s="5" t="s">
        <v>31</v>
      </c>
      <c r="J116" s="5" t="str">
        <f aca="false">ROUND(71*1,0)&amp;"%"</f>
        <v>71%</v>
      </c>
    </row>
    <row r="117" customFormat="false" ht="15" hidden="false" customHeight="false" outlineLevel="0" collapsed="false">
      <c r="A117" s="6" t="s">
        <v>12592</v>
      </c>
      <c r="B117" s="6" t="s">
        <v>212</v>
      </c>
      <c r="C117" s="6" t="s">
        <v>76</v>
      </c>
      <c r="D117" s="6" t="s">
        <v>34</v>
      </c>
      <c r="E117" s="6" t="n">
        <f aca="false">ROUND(10676*1.05,2)</f>
        <v>11209.8</v>
      </c>
      <c r="F117" s="6" t="s">
        <v>35</v>
      </c>
      <c r="G117" s="6" t="s">
        <v>18</v>
      </c>
      <c r="H117" s="6" t="n">
        <f aca="true">ROUND(RAND()*4+6,1)</f>
        <v>9</v>
      </c>
      <c r="I117" s="6" t="s">
        <v>36</v>
      </c>
      <c r="J117" s="6" t="str">
        <f aca="false">ROUND(74*1,0)&amp;"%"</f>
        <v>74%</v>
      </c>
    </row>
    <row r="118" customFormat="false" ht="15" hidden="false" customHeight="false" outlineLevel="0" collapsed="false">
      <c r="A118" s="5" t="s">
        <v>12593</v>
      </c>
      <c r="B118" s="5" t="s">
        <v>214</v>
      </c>
      <c r="C118" s="5" t="s">
        <v>76</v>
      </c>
      <c r="D118" s="5" t="s">
        <v>39</v>
      </c>
      <c r="E118" s="5" t="n">
        <f aca="false">ROUND(16542*1.05,2)</f>
        <v>17369.1</v>
      </c>
      <c r="F118" s="5" t="s">
        <v>40</v>
      </c>
      <c r="G118" s="5" t="s">
        <v>24</v>
      </c>
      <c r="H118" s="5" t="n">
        <f aca="true">ROUND(RAND()*4+6,1)</f>
        <v>7.5</v>
      </c>
      <c r="I118" s="5" t="s">
        <v>41</v>
      </c>
      <c r="J118" s="5" t="str">
        <f aca="false">ROUND(84*1,0)&amp;"%"</f>
        <v>84%</v>
      </c>
    </row>
    <row r="119" customFormat="false" ht="15" hidden="false" customHeight="false" outlineLevel="0" collapsed="false">
      <c r="A119" s="6" t="s">
        <v>12594</v>
      </c>
      <c r="B119" s="6" t="s">
        <v>216</v>
      </c>
      <c r="C119" s="6" t="s">
        <v>76</v>
      </c>
      <c r="D119" s="6" t="s">
        <v>44</v>
      </c>
      <c r="E119" s="6" t="n">
        <f aca="false">ROUND(6168*1.05,2)</f>
        <v>6476.4</v>
      </c>
      <c r="F119" s="6" t="s">
        <v>45</v>
      </c>
      <c r="G119" s="6" t="s">
        <v>30</v>
      </c>
      <c r="H119" s="6" t="n">
        <f aca="true">ROUND(RAND()*4+6,1)</f>
        <v>7.9</v>
      </c>
      <c r="I119" s="6" t="s">
        <v>46</v>
      </c>
      <c r="J119" s="6" t="str">
        <f aca="false">ROUND(72*1,0)&amp;"%"</f>
        <v>72%</v>
      </c>
    </row>
    <row r="120" customFormat="false" ht="15" hidden="false" customHeight="false" outlineLevel="0" collapsed="false">
      <c r="A120" s="5" t="s">
        <v>12595</v>
      </c>
      <c r="B120" s="5" t="s">
        <v>218</v>
      </c>
      <c r="C120" s="5" t="s">
        <v>76</v>
      </c>
      <c r="D120" s="5" t="s">
        <v>16</v>
      </c>
      <c r="E120" s="5" t="n">
        <f aca="false">ROUND(16595*1.05,2)</f>
        <v>17424.75</v>
      </c>
      <c r="F120" s="5" t="s">
        <v>49</v>
      </c>
      <c r="G120" s="5" t="s">
        <v>18</v>
      </c>
      <c r="H120" s="5" t="n">
        <f aca="true">ROUND(RAND()*4+6,1)</f>
        <v>9.4</v>
      </c>
      <c r="I120" s="5" t="s">
        <v>19</v>
      </c>
      <c r="J120" s="5" t="str">
        <f aca="false">ROUND(90*1,0)&amp;"%"</f>
        <v>90%</v>
      </c>
    </row>
    <row r="121" customFormat="false" ht="15" hidden="false" customHeight="false" outlineLevel="0" collapsed="false">
      <c r="A121" s="6" t="s">
        <v>12596</v>
      </c>
      <c r="B121" s="6" t="s">
        <v>220</v>
      </c>
      <c r="C121" s="6" t="s">
        <v>76</v>
      </c>
      <c r="D121" s="6" t="s">
        <v>22</v>
      </c>
      <c r="E121" s="6" t="n">
        <f aca="false">ROUND(10529*1.05,2)</f>
        <v>11055.45</v>
      </c>
      <c r="F121" s="6" t="s">
        <v>52</v>
      </c>
      <c r="G121" s="6" t="s">
        <v>24</v>
      </c>
      <c r="H121" s="6" t="n">
        <f aca="true">ROUND(RAND()*4+6,1)</f>
        <v>8.6</v>
      </c>
      <c r="I121" s="6" t="s">
        <v>25</v>
      </c>
      <c r="J121" s="6" t="str">
        <f aca="false">ROUND(97*1,0)&amp;"%"</f>
        <v>97%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12597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12598</v>
      </c>
      <c r="B126" s="5" t="s">
        <v>224</v>
      </c>
      <c r="C126" s="5" t="s">
        <v>95</v>
      </c>
      <c r="D126" s="5" t="s">
        <v>16</v>
      </c>
      <c r="E126" s="5" t="n">
        <f aca="false">ROUND(17657*1.05,2)</f>
        <v>18539.85</v>
      </c>
      <c r="F126" s="5" t="s">
        <v>17</v>
      </c>
      <c r="G126" s="5" t="s">
        <v>18</v>
      </c>
      <c r="H126" s="5" t="n">
        <f aca="true">ROUND(RAND()*4+6,1)</f>
        <v>6.8</v>
      </c>
      <c r="I126" s="5" t="s">
        <v>19</v>
      </c>
      <c r="J126" s="5" t="str">
        <f aca="false">ROUND(89*1,0)&amp;"%"</f>
        <v>89%</v>
      </c>
    </row>
    <row r="127" customFormat="false" ht="15" hidden="false" customHeight="false" outlineLevel="0" collapsed="false">
      <c r="A127" s="6" t="s">
        <v>12599</v>
      </c>
      <c r="B127" s="6" t="s">
        <v>226</v>
      </c>
      <c r="C127" s="6" t="s">
        <v>95</v>
      </c>
      <c r="D127" s="6" t="s">
        <v>22</v>
      </c>
      <c r="E127" s="6" t="n">
        <f aca="false">ROUND(9837*1.05,2)</f>
        <v>10328.85</v>
      </c>
      <c r="F127" s="6" t="s">
        <v>23</v>
      </c>
      <c r="G127" s="6" t="s">
        <v>24</v>
      </c>
      <c r="H127" s="6" t="n">
        <f aca="true">ROUND(RAND()*4+6,1)</f>
        <v>8.3</v>
      </c>
      <c r="I127" s="6" t="s">
        <v>25</v>
      </c>
      <c r="J127" s="6" t="str">
        <f aca="false">ROUND(78*1,0)&amp;"%"</f>
        <v>78%</v>
      </c>
    </row>
    <row r="128" customFormat="false" ht="15" hidden="false" customHeight="false" outlineLevel="0" collapsed="false">
      <c r="A128" s="5" t="s">
        <v>12600</v>
      </c>
      <c r="B128" s="5" t="s">
        <v>228</v>
      </c>
      <c r="C128" s="5" t="s">
        <v>95</v>
      </c>
      <c r="D128" s="5" t="s">
        <v>28</v>
      </c>
      <c r="E128" s="5" t="n">
        <f aca="false">ROUND(15713*1.05,2)</f>
        <v>16498.65</v>
      </c>
      <c r="F128" s="5" t="s">
        <v>29</v>
      </c>
      <c r="G128" s="5" t="s">
        <v>30</v>
      </c>
      <c r="H128" s="5" t="n">
        <f aca="true">ROUND(RAND()*4+6,1)</f>
        <v>8.4</v>
      </c>
      <c r="I128" s="5" t="s">
        <v>31</v>
      </c>
      <c r="J128" s="5" t="str">
        <f aca="false">ROUND(73*1,0)&amp;"%"</f>
        <v>73%</v>
      </c>
    </row>
    <row r="129" customFormat="false" ht="15" hidden="false" customHeight="false" outlineLevel="0" collapsed="false">
      <c r="A129" s="6" t="s">
        <v>12601</v>
      </c>
      <c r="B129" s="6" t="s">
        <v>230</v>
      </c>
      <c r="C129" s="6" t="s">
        <v>95</v>
      </c>
      <c r="D129" s="6" t="s">
        <v>34</v>
      </c>
      <c r="E129" s="6" t="n">
        <f aca="false">ROUND(5405*1.05,2)</f>
        <v>5675.25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ROUND(63*1,0)&amp;"%"</f>
        <v>63%</v>
      </c>
    </row>
    <row r="130" customFormat="false" ht="15" hidden="false" customHeight="false" outlineLevel="0" collapsed="false">
      <c r="A130" s="5" t="s">
        <v>12602</v>
      </c>
      <c r="B130" s="5" t="s">
        <v>232</v>
      </c>
      <c r="C130" s="5" t="s">
        <v>95</v>
      </c>
      <c r="D130" s="5" t="s">
        <v>39</v>
      </c>
      <c r="E130" s="5" t="n">
        <f aca="false">ROUND(8315*1.05,2)</f>
        <v>8730.75</v>
      </c>
      <c r="F130" s="5" t="s">
        <v>40</v>
      </c>
      <c r="G130" s="5" t="s">
        <v>24</v>
      </c>
      <c r="H130" s="5" t="n">
        <f aca="true">ROUND(RAND()*4+6,1)</f>
        <v>7.8</v>
      </c>
      <c r="I130" s="5" t="s">
        <v>41</v>
      </c>
      <c r="J130" s="5" t="str">
        <f aca="false">ROUND(64*1,0)&amp;"%"</f>
        <v>64%</v>
      </c>
    </row>
    <row r="131" customFormat="false" ht="15" hidden="false" customHeight="false" outlineLevel="0" collapsed="false">
      <c r="A131" s="6" t="s">
        <v>12603</v>
      </c>
      <c r="B131" s="6" t="s">
        <v>234</v>
      </c>
      <c r="C131" s="6" t="s">
        <v>95</v>
      </c>
      <c r="D131" s="6" t="s">
        <v>44</v>
      </c>
      <c r="E131" s="6" t="n">
        <f aca="false">ROUND(4508*1.05,2)</f>
        <v>4733.4</v>
      </c>
      <c r="F131" s="6" t="s">
        <v>45</v>
      </c>
      <c r="G131" s="6" t="s">
        <v>30</v>
      </c>
      <c r="H131" s="6" t="n">
        <f aca="true">ROUND(RAND()*4+6,1)</f>
        <v>7.3</v>
      </c>
      <c r="I131" s="6" t="s">
        <v>46</v>
      </c>
      <c r="J131" s="6" t="str">
        <f aca="false">ROUND(62*1,0)&amp;"%"</f>
        <v>62%</v>
      </c>
    </row>
    <row r="132" customFormat="false" ht="15" hidden="false" customHeight="false" outlineLevel="0" collapsed="false">
      <c r="A132" s="5" t="s">
        <v>12604</v>
      </c>
      <c r="B132" s="5" t="s">
        <v>236</v>
      </c>
      <c r="C132" s="5" t="s">
        <v>95</v>
      </c>
      <c r="D132" s="5" t="s">
        <v>16</v>
      </c>
      <c r="E132" s="5" t="n">
        <f aca="false">ROUND(15144*1.05,2)</f>
        <v>15901.2</v>
      </c>
      <c r="F132" s="5" t="s">
        <v>49</v>
      </c>
      <c r="G132" s="5" t="s">
        <v>18</v>
      </c>
      <c r="H132" s="5" t="n">
        <f aca="true">ROUND(RAND()*4+6,1)</f>
        <v>6.1</v>
      </c>
      <c r="I132" s="5" t="s">
        <v>19</v>
      </c>
      <c r="J132" s="5" t="str">
        <f aca="false">ROUND(68*1,0)&amp;"%"</f>
        <v>68%</v>
      </c>
    </row>
    <row r="133" customFormat="false" ht="15" hidden="false" customHeight="false" outlineLevel="0" collapsed="false">
      <c r="A133" s="6" t="s">
        <v>12605</v>
      </c>
      <c r="B133" s="6" t="s">
        <v>238</v>
      </c>
      <c r="C133" s="6" t="s">
        <v>95</v>
      </c>
      <c r="D133" s="6" t="s">
        <v>22</v>
      </c>
      <c r="E133" s="6" t="n">
        <f aca="false">ROUND(6921*1.05,2)</f>
        <v>7267.05</v>
      </c>
      <c r="F133" s="6" t="s">
        <v>52</v>
      </c>
      <c r="G133" s="6" t="s">
        <v>24</v>
      </c>
      <c r="H133" s="6" t="n">
        <f aca="true">ROUND(RAND()*4+6,1)</f>
        <v>9.7</v>
      </c>
      <c r="I133" s="6" t="s">
        <v>25</v>
      </c>
      <c r="J133" s="6" t="str">
        <f aca="false">ROUND(86*1,0)&amp;"%"</f>
        <v>86%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12606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12607</v>
      </c>
      <c r="B138" s="5" t="s">
        <v>242</v>
      </c>
      <c r="C138" s="5" t="s">
        <v>114</v>
      </c>
      <c r="D138" s="5" t="s">
        <v>16</v>
      </c>
      <c r="E138" s="5" t="n">
        <f aca="false">ROUND(6046*1.05,2)</f>
        <v>6348.3</v>
      </c>
      <c r="F138" s="5" t="s">
        <v>17</v>
      </c>
      <c r="G138" s="5" t="s">
        <v>18</v>
      </c>
      <c r="H138" s="5" t="n">
        <f aca="true">ROUND(RAND()*4+6,1)</f>
        <v>6.2</v>
      </c>
      <c r="I138" s="5" t="s">
        <v>19</v>
      </c>
      <c r="J138" s="5" t="str">
        <f aca="false">ROUND(67*1,0)&amp;"%"</f>
        <v>67%</v>
      </c>
    </row>
    <row r="139" customFormat="false" ht="15" hidden="false" customHeight="false" outlineLevel="0" collapsed="false">
      <c r="A139" s="6" t="s">
        <v>12608</v>
      </c>
      <c r="B139" s="6" t="s">
        <v>244</v>
      </c>
      <c r="C139" s="6" t="s">
        <v>114</v>
      </c>
      <c r="D139" s="6" t="s">
        <v>22</v>
      </c>
      <c r="E139" s="6" t="n">
        <f aca="false">ROUND(10859*1.05,2)</f>
        <v>11401.95</v>
      </c>
      <c r="F139" s="6" t="s">
        <v>23</v>
      </c>
      <c r="G139" s="6" t="s">
        <v>24</v>
      </c>
      <c r="H139" s="6" t="n">
        <f aca="true">ROUND(RAND()*4+6,1)</f>
        <v>6.4</v>
      </c>
      <c r="I139" s="6" t="s">
        <v>25</v>
      </c>
      <c r="J139" s="6" t="str">
        <f aca="false">ROUND(77*1,0)&amp;"%"</f>
        <v>77%</v>
      </c>
    </row>
    <row r="140" customFormat="false" ht="15" hidden="false" customHeight="false" outlineLevel="0" collapsed="false">
      <c r="A140" s="5" t="s">
        <v>12609</v>
      </c>
      <c r="B140" s="5" t="s">
        <v>246</v>
      </c>
      <c r="C140" s="5" t="s">
        <v>114</v>
      </c>
      <c r="D140" s="5" t="s">
        <v>28</v>
      </c>
      <c r="E140" s="5" t="n">
        <f aca="false">ROUND(13037*1.05,2)</f>
        <v>13688.85</v>
      </c>
      <c r="F140" s="5" t="s">
        <v>29</v>
      </c>
      <c r="G140" s="5" t="s">
        <v>30</v>
      </c>
      <c r="H140" s="5" t="n">
        <f aca="true">ROUND(RAND()*4+6,1)</f>
        <v>7.8</v>
      </c>
      <c r="I140" s="5" t="s">
        <v>31</v>
      </c>
      <c r="J140" s="5" t="str">
        <f aca="false">ROUND(69*1,0)&amp;"%"</f>
        <v>69%</v>
      </c>
    </row>
    <row r="141" customFormat="false" ht="15" hidden="false" customHeight="false" outlineLevel="0" collapsed="false">
      <c r="A141" s="6" t="s">
        <v>12610</v>
      </c>
      <c r="B141" s="6" t="s">
        <v>248</v>
      </c>
      <c r="C141" s="6" t="s">
        <v>114</v>
      </c>
      <c r="D141" s="6" t="s">
        <v>34</v>
      </c>
      <c r="E141" s="6" t="n">
        <f aca="false">ROUND(14751*1.05,2)</f>
        <v>15488.55</v>
      </c>
      <c r="F141" s="6" t="s">
        <v>35</v>
      </c>
      <c r="G141" s="6" t="s">
        <v>18</v>
      </c>
      <c r="H141" s="6" t="n">
        <f aca="true">ROUND(RAND()*4+6,1)</f>
        <v>9.5</v>
      </c>
      <c r="I141" s="6" t="s">
        <v>36</v>
      </c>
      <c r="J141" s="6" t="str">
        <f aca="false">ROUND(68*1,0)&amp;"%"</f>
        <v>68%</v>
      </c>
    </row>
    <row r="142" customFormat="false" ht="15" hidden="false" customHeight="false" outlineLevel="0" collapsed="false">
      <c r="A142" s="5" t="s">
        <v>12611</v>
      </c>
      <c r="B142" s="5" t="s">
        <v>250</v>
      </c>
      <c r="C142" s="5" t="s">
        <v>114</v>
      </c>
      <c r="D142" s="5" t="s">
        <v>39</v>
      </c>
      <c r="E142" s="5" t="n">
        <f aca="false">ROUND(14479*1.05,2)</f>
        <v>15202.95</v>
      </c>
      <c r="F142" s="5" t="s">
        <v>40</v>
      </c>
      <c r="G142" s="5" t="s">
        <v>24</v>
      </c>
      <c r="H142" s="5" t="n">
        <f aca="true">ROUND(RAND()*4+6,1)</f>
        <v>8.1</v>
      </c>
      <c r="I142" s="5" t="s">
        <v>41</v>
      </c>
      <c r="J142" s="5" t="str">
        <f aca="false">ROUND(77*1,0)&amp;"%"</f>
        <v>77%</v>
      </c>
    </row>
    <row r="143" customFormat="false" ht="15" hidden="false" customHeight="false" outlineLevel="0" collapsed="false">
      <c r="A143" s="6" t="s">
        <v>12612</v>
      </c>
      <c r="B143" s="6" t="s">
        <v>252</v>
      </c>
      <c r="C143" s="6" t="s">
        <v>114</v>
      </c>
      <c r="D143" s="6" t="s">
        <v>44</v>
      </c>
      <c r="E143" s="6" t="n">
        <f aca="false">ROUND(11648*1.05,2)</f>
        <v>12230.4</v>
      </c>
      <c r="F143" s="6" t="s">
        <v>45</v>
      </c>
      <c r="G143" s="6" t="s">
        <v>30</v>
      </c>
      <c r="H143" s="6" t="n">
        <f aca="true">ROUND(RAND()*4+6,1)</f>
        <v>7.8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12613</v>
      </c>
      <c r="B144" s="5" t="s">
        <v>254</v>
      </c>
      <c r="C144" s="5" t="s">
        <v>114</v>
      </c>
      <c r="D144" s="5" t="s">
        <v>16</v>
      </c>
      <c r="E144" s="5" t="n">
        <f aca="false">ROUND(4627*1.05,2)</f>
        <v>4858.35</v>
      </c>
      <c r="F144" s="5" t="s">
        <v>49</v>
      </c>
      <c r="G144" s="5" t="s">
        <v>18</v>
      </c>
      <c r="H144" s="5" t="n">
        <f aca="true">ROUND(RAND()*4+6,1)</f>
        <v>9.4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12614</v>
      </c>
      <c r="B145" s="6" t="s">
        <v>256</v>
      </c>
      <c r="C145" s="6" t="s">
        <v>114</v>
      </c>
      <c r="D145" s="6" t="s">
        <v>22</v>
      </c>
      <c r="E145" s="6" t="n">
        <f aca="false">ROUND(11383*1.05,2)</f>
        <v>11952.15</v>
      </c>
      <c r="F145" s="6" t="s">
        <v>52</v>
      </c>
      <c r="G145" s="6" t="s">
        <v>24</v>
      </c>
      <c r="H145" s="6" t="n">
        <f aca="true">ROUND(RAND()*4+6,1)</f>
        <v>7</v>
      </c>
      <c r="I145" s="6" t="s">
        <v>25</v>
      </c>
      <c r="J145" s="6" t="str">
        <f aca="false">ROUND(80*1,0)&amp;"%"</f>
        <v>80%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12615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12616</v>
      </c>
      <c r="B150" s="5" t="s">
        <v>260</v>
      </c>
      <c r="C150" s="5" t="s">
        <v>133</v>
      </c>
      <c r="D150" s="5" t="s">
        <v>16</v>
      </c>
      <c r="E150" s="5" t="n">
        <f aca="false">ROUND(8762*1.05,2)</f>
        <v>9200.1</v>
      </c>
      <c r="F150" s="5" t="s">
        <v>17</v>
      </c>
      <c r="G150" s="5" t="s">
        <v>18</v>
      </c>
      <c r="H150" s="5" t="n">
        <f aca="true">ROUND(RAND()*4+6,1)</f>
        <v>8.4</v>
      </c>
      <c r="I150" s="5" t="s">
        <v>19</v>
      </c>
      <c r="J150" s="5" t="str">
        <f aca="false">ROUND(99*1,0)&amp;"%"</f>
        <v>99%</v>
      </c>
    </row>
    <row r="151" customFormat="false" ht="15" hidden="false" customHeight="false" outlineLevel="0" collapsed="false">
      <c r="A151" s="6" t="s">
        <v>12617</v>
      </c>
      <c r="B151" s="6" t="s">
        <v>262</v>
      </c>
      <c r="C151" s="6" t="s">
        <v>133</v>
      </c>
      <c r="D151" s="6" t="s">
        <v>22</v>
      </c>
      <c r="E151" s="6" t="n">
        <f aca="false">ROUND(9622*1.05,2)</f>
        <v>10103.1</v>
      </c>
      <c r="F151" s="6" t="s">
        <v>23</v>
      </c>
      <c r="G151" s="6" t="s">
        <v>24</v>
      </c>
      <c r="H151" s="6" t="n">
        <f aca="true">ROUND(RAND()*4+6,1)</f>
        <v>8.1</v>
      </c>
      <c r="I151" s="6" t="s">
        <v>25</v>
      </c>
      <c r="J151" s="6" t="str">
        <f aca="false">ROUND(87*1,0)&amp;"%"</f>
        <v>87%</v>
      </c>
    </row>
    <row r="152" customFormat="false" ht="15" hidden="false" customHeight="false" outlineLevel="0" collapsed="false">
      <c r="A152" s="5" t="s">
        <v>12618</v>
      </c>
      <c r="B152" s="5" t="s">
        <v>264</v>
      </c>
      <c r="C152" s="5" t="s">
        <v>133</v>
      </c>
      <c r="D152" s="5" t="s">
        <v>28</v>
      </c>
      <c r="E152" s="5" t="n">
        <f aca="false">ROUND(4134*1.05,2)</f>
        <v>4340.7</v>
      </c>
      <c r="F152" s="5" t="s">
        <v>29</v>
      </c>
      <c r="G152" s="5" t="s">
        <v>30</v>
      </c>
      <c r="H152" s="5" t="n">
        <f aca="true">ROUND(RAND()*4+6,1)</f>
        <v>7.1</v>
      </c>
      <c r="I152" s="5" t="s">
        <v>31</v>
      </c>
      <c r="J152" s="5" t="str">
        <f aca="false">ROUND(81*1,0)&amp;"%"</f>
        <v>81%</v>
      </c>
    </row>
    <row r="153" customFormat="false" ht="15" hidden="false" customHeight="false" outlineLevel="0" collapsed="false">
      <c r="A153" s="6" t="s">
        <v>12619</v>
      </c>
      <c r="B153" s="6" t="s">
        <v>266</v>
      </c>
      <c r="C153" s="6" t="s">
        <v>133</v>
      </c>
      <c r="D153" s="6" t="s">
        <v>34</v>
      </c>
      <c r="E153" s="6" t="n">
        <f aca="false">ROUND(7097*1.05,2)</f>
        <v>7451.85</v>
      </c>
      <c r="F153" s="6" t="s">
        <v>35</v>
      </c>
      <c r="G153" s="6" t="s">
        <v>18</v>
      </c>
      <c r="H153" s="6" t="n">
        <f aca="true">ROUND(RAND()*4+6,1)</f>
        <v>7.1</v>
      </c>
      <c r="I153" s="6" t="s">
        <v>36</v>
      </c>
      <c r="J153" s="6" t="str">
        <f aca="false">ROUND(85*1,0)&amp;"%"</f>
        <v>85%</v>
      </c>
    </row>
    <row r="154" customFormat="false" ht="15" hidden="false" customHeight="false" outlineLevel="0" collapsed="false">
      <c r="A154" s="5" t="s">
        <v>12620</v>
      </c>
      <c r="B154" s="5" t="s">
        <v>268</v>
      </c>
      <c r="C154" s="5" t="s">
        <v>133</v>
      </c>
      <c r="D154" s="5" t="s">
        <v>39</v>
      </c>
      <c r="E154" s="5" t="n">
        <f aca="false">ROUND(8075*1.05,2)</f>
        <v>8478.75</v>
      </c>
      <c r="F154" s="5" t="s">
        <v>40</v>
      </c>
      <c r="G154" s="5" t="s">
        <v>24</v>
      </c>
      <c r="H154" s="5" t="n">
        <f aca="true">ROUND(RAND()*4+6,1)</f>
        <v>9</v>
      </c>
      <c r="I154" s="5" t="s">
        <v>41</v>
      </c>
      <c r="J154" s="5" t="str">
        <f aca="false">ROUND(91*1,0)&amp;"%"</f>
        <v>91%</v>
      </c>
    </row>
    <row r="155" customFormat="false" ht="15" hidden="false" customHeight="false" outlineLevel="0" collapsed="false">
      <c r="A155" s="6" t="s">
        <v>12621</v>
      </c>
      <c r="B155" s="6" t="s">
        <v>270</v>
      </c>
      <c r="C155" s="6" t="s">
        <v>133</v>
      </c>
      <c r="D155" s="6" t="s">
        <v>44</v>
      </c>
      <c r="E155" s="6" t="n">
        <f aca="false">ROUND(16722*1.05,2)</f>
        <v>17558.1</v>
      </c>
      <c r="F155" s="6" t="s">
        <v>45</v>
      </c>
      <c r="G155" s="6" t="s">
        <v>30</v>
      </c>
      <c r="H155" s="6" t="n">
        <f aca="true">ROUND(RAND()*4+6,1)</f>
        <v>7.1</v>
      </c>
      <c r="I155" s="6" t="s">
        <v>46</v>
      </c>
      <c r="J155" s="6" t="str">
        <f aca="false">ROUND(72*1,0)&amp;"%"</f>
        <v>72%</v>
      </c>
    </row>
    <row r="156" customFormat="false" ht="15" hidden="false" customHeight="false" outlineLevel="0" collapsed="false">
      <c r="A156" s="5" t="s">
        <v>12622</v>
      </c>
      <c r="B156" s="5" t="s">
        <v>272</v>
      </c>
      <c r="C156" s="5" t="s">
        <v>133</v>
      </c>
      <c r="D156" s="5" t="s">
        <v>16</v>
      </c>
      <c r="E156" s="5" t="n">
        <f aca="false">ROUND(6277*1.05,2)</f>
        <v>6590.85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ROUND(75*1,0)&amp;"%"</f>
        <v>75%</v>
      </c>
    </row>
    <row r="157" customFormat="false" ht="15" hidden="false" customHeight="false" outlineLevel="0" collapsed="false">
      <c r="A157" s="6" t="s">
        <v>12623</v>
      </c>
      <c r="B157" s="6" t="s">
        <v>274</v>
      </c>
      <c r="C157" s="6" t="s">
        <v>133</v>
      </c>
      <c r="D157" s="6" t="s">
        <v>22</v>
      </c>
      <c r="E157" s="6" t="n">
        <f aca="false">ROUND(9239*1.05,2)</f>
        <v>9700.95</v>
      </c>
      <c r="F157" s="6" t="s">
        <v>52</v>
      </c>
      <c r="G157" s="6" t="s">
        <v>24</v>
      </c>
      <c r="H157" s="6" t="n">
        <f aca="true">ROUND(RAND()*4+6,1)</f>
        <v>7.4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12624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12625</v>
      </c>
      <c r="B162" s="5" t="s">
        <v>278</v>
      </c>
      <c r="C162" s="5" t="s">
        <v>152</v>
      </c>
      <c r="D162" s="5" t="s">
        <v>16</v>
      </c>
      <c r="E162" s="5" t="n">
        <f aca="false">ROUND(4097*1.05,2)</f>
        <v>4301.85</v>
      </c>
      <c r="F162" s="5" t="s">
        <v>17</v>
      </c>
      <c r="G162" s="5" t="s">
        <v>18</v>
      </c>
      <c r="H162" s="5" t="n">
        <f aca="true">ROUND(RAND()*4+6,1)</f>
        <v>9.9</v>
      </c>
      <c r="I162" s="5" t="s">
        <v>19</v>
      </c>
      <c r="J162" s="5" t="str">
        <f aca="false">ROUND(91*1,0)&amp;"%"</f>
        <v>91%</v>
      </c>
    </row>
    <row r="163" customFormat="false" ht="15" hidden="false" customHeight="false" outlineLevel="0" collapsed="false">
      <c r="A163" s="6" t="s">
        <v>12626</v>
      </c>
      <c r="B163" s="6" t="s">
        <v>280</v>
      </c>
      <c r="C163" s="6" t="s">
        <v>152</v>
      </c>
      <c r="D163" s="6" t="s">
        <v>22</v>
      </c>
      <c r="E163" s="6" t="n">
        <f aca="false">ROUND(6534*1.05,2)</f>
        <v>6860.7</v>
      </c>
      <c r="F163" s="6" t="s">
        <v>23</v>
      </c>
      <c r="G163" s="6" t="s">
        <v>24</v>
      </c>
      <c r="H163" s="6" t="n">
        <f aca="true">ROUND(RAND()*4+6,1)</f>
        <v>6.6</v>
      </c>
      <c r="I163" s="6" t="s">
        <v>25</v>
      </c>
      <c r="J163" s="6" t="str">
        <f aca="false">ROUND(71*1,0)&amp;"%"</f>
        <v>71%</v>
      </c>
    </row>
    <row r="164" customFormat="false" ht="15" hidden="false" customHeight="false" outlineLevel="0" collapsed="false">
      <c r="A164" s="5" t="s">
        <v>12627</v>
      </c>
      <c r="B164" s="5" t="s">
        <v>282</v>
      </c>
      <c r="C164" s="5" t="s">
        <v>152</v>
      </c>
      <c r="D164" s="5" t="s">
        <v>28</v>
      </c>
      <c r="E164" s="5" t="n">
        <f aca="false">ROUND(11915*1.05,2)</f>
        <v>12510.75</v>
      </c>
      <c r="F164" s="5" t="s">
        <v>29</v>
      </c>
      <c r="G164" s="5" t="s">
        <v>30</v>
      </c>
      <c r="H164" s="5" t="n">
        <f aca="true">ROUND(RAND()*4+6,1)</f>
        <v>7.5</v>
      </c>
      <c r="I164" s="5" t="s">
        <v>31</v>
      </c>
      <c r="J164" s="5" t="str">
        <f aca="false">ROUND(84*1,0)&amp;"%"</f>
        <v>84%</v>
      </c>
    </row>
    <row r="165" customFormat="false" ht="15" hidden="false" customHeight="false" outlineLevel="0" collapsed="false">
      <c r="A165" s="6" t="s">
        <v>12628</v>
      </c>
      <c r="B165" s="6" t="s">
        <v>284</v>
      </c>
      <c r="C165" s="6" t="s">
        <v>152</v>
      </c>
      <c r="D165" s="6" t="s">
        <v>34</v>
      </c>
      <c r="E165" s="6" t="n">
        <f aca="false">ROUND(17146*1.05,2)</f>
        <v>18003.3</v>
      </c>
      <c r="F165" s="6" t="s">
        <v>35</v>
      </c>
      <c r="G165" s="6" t="s">
        <v>18</v>
      </c>
      <c r="H165" s="6" t="n">
        <f aca="true">ROUND(RAND()*4+6,1)</f>
        <v>6.7</v>
      </c>
      <c r="I165" s="6" t="s">
        <v>36</v>
      </c>
      <c r="J165" s="6" t="str">
        <f aca="false">ROUND(95*1,0)&amp;"%"</f>
        <v>95%</v>
      </c>
    </row>
    <row r="166" customFormat="false" ht="15" hidden="false" customHeight="false" outlineLevel="0" collapsed="false">
      <c r="A166" s="5" t="s">
        <v>12629</v>
      </c>
      <c r="B166" s="5" t="s">
        <v>286</v>
      </c>
      <c r="C166" s="5" t="s">
        <v>152</v>
      </c>
      <c r="D166" s="5" t="s">
        <v>39</v>
      </c>
      <c r="E166" s="5" t="n">
        <f aca="false">ROUND(5120*1.05,2)</f>
        <v>5376</v>
      </c>
      <c r="F166" s="5" t="s">
        <v>40</v>
      </c>
      <c r="G166" s="5" t="s">
        <v>24</v>
      </c>
      <c r="H166" s="5" t="n">
        <f aca="true">ROUND(RAND()*4+6,1)</f>
        <v>6.9</v>
      </c>
      <c r="I166" s="5" t="s">
        <v>41</v>
      </c>
      <c r="J166" s="5" t="str">
        <f aca="false">ROUND(73*1,0)&amp;"%"</f>
        <v>73%</v>
      </c>
    </row>
    <row r="167" customFormat="false" ht="15" hidden="false" customHeight="false" outlineLevel="0" collapsed="false">
      <c r="A167" s="6" t="s">
        <v>12630</v>
      </c>
      <c r="B167" s="6" t="s">
        <v>288</v>
      </c>
      <c r="C167" s="6" t="s">
        <v>152</v>
      </c>
      <c r="D167" s="6" t="s">
        <v>44</v>
      </c>
      <c r="E167" s="6" t="n">
        <f aca="false">ROUND(15582*1.05,2)</f>
        <v>16361.1</v>
      </c>
      <c r="F167" s="6" t="s">
        <v>45</v>
      </c>
      <c r="G167" s="6" t="s">
        <v>30</v>
      </c>
      <c r="H167" s="6" t="n">
        <f aca="true">ROUND(RAND()*4+6,1)</f>
        <v>9.4</v>
      </c>
      <c r="I167" s="6" t="s">
        <v>46</v>
      </c>
      <c r="J167" s="6" t="str">
        <f aca="false">ROUND(97*1,0)&amp;"%"</f>
        <v>97%</v>
      </c>
    </row>
    <row r="168" customFormat="false" ht="15" hidden="false" customHeight="false" outlineLevel="0" collapsed="false">
      <c r="A168" s="5" t="s">
        <v>12631</v>
      </c>
      <c r="B168" s="5" t="s">
        <v>290</v>
      </c>
      <c r="C168" s="5" t="s">
        <v>152</v>
      </c>
      <c r="D168" s="5" t="s">
        <v>16</v>
      </c>
      <c r="E168" s="5" t="n">
        <f aca="false">ROUND(11024*1.05,2)</f>
        <v>11575.2</v>
      </c>
      <c r="F168" s="5" t="s">
        <v>49</v>
      </c>
      <c r="G168" s="5" t="s">
        <v>18</v>
      </c>
      <c r="H168" s="5" t="n">
        <f aca="true">ROUND(RAND()*4+6,1)</f>
        <v>6.2</v>
      </c>
      <c r="I168" s="5" t="s">
        <v>19</v>
      </c>
      <c r="J168" s="5" t="str">
        <f aca="false">ROUND(81*1,0)&amp;"%"</f>
        <v>81%</v>
      </c>
    </row>
    <row r="169" customFormat="false" ht="15" hidden="false" customHeight="false" outlineLevel="0" collapsed="false">
      <c r="A169" s="6" t="s">
        <v>12632</v>
      </c>
      <c r="B169" s="6" t="s">
        <v>292</v>
      </c>
      <c r="C169" s="6" t="s">
        <v>152</v>
      </c>
      <c r="D169" s="6" t="s">
        <v>22</v>
      </c>
      <c r="E169" s="6" t="n">
        <f aca="false">ROUND(14748*1.05,2)</f>
        <v>15485.4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ROUND(97*1,0)&amp;"%"</f>
        <v>97%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12633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12634</v>
      </c>
      <c r="B174" s="5" t="s">
        <v>296</v>
      </c>
      <c r="C174" s="5" t="s">
        <v>15</v>
      </c>
      <c r="D174" s="5" t="s">
        <v>16</v>
      </c>
      <c r="E174" s="5" t="n">
        <f aca="false">ROUND(11971*1.05,2)</f>
        <v>12569.55</v>
      </c>
      <c r="F174" s="5" t="s">
        <v>17</v>
      </c>
      <c r="G174" s="5" t="s">
        <v>18</v>
      </c>
      <c r="H174" s="5" t="n">
        <f aca="true">ROUND(RAND()*4+6,1)</f>
        <v>6.1</v>
      </c>
      <c r="I174" s="5" t="s">
        <v>19</v>
      </c>
      <c r="J174" s="5" t="str">
        <f aca="false">ROUND(65*1,0)&amp;"%"</f>
        <v>65%</v>
      </c>
    </row>
    <row r="175" customFormat="false" ht="15" hidden="false" customHeight="false" outlineLevel="0" collapsed="false">
      <c r="A175" s="6" t="s">
        <v>12635</v>
      </c>
      <c r="B175" s="6" t="s">
        <v>298</v>
      </c>
      <c r="C175" s="6" t="s">
        <v>15</v>
      </c>
      <c r="D175" s="6" t="s">
        <v>22</v>
      </c>
      <c r="E175" s="6" t="n">
        <f aca="false">ROUND(15354*1.05,2)</f>
        <v>16121.7</v>
      </c>
      <c r="F175" s="6" t="s">
        <v>23</v>
      </c>
      <c r="G175" s="6" t="s">
        <v>24</v>
      </c>
      <c r="H175" s="6" t="n">
        <f aca="true">ROUND(RAND()*4+6,1)</f>
        <v>6.9</v>
      </c>
      <c r="I175" s="6" t="s">
        <v>25</v>
      </c>
      <c r="J175" s="6" t="str">
        <f aca="false">ROUND(92*1,0)&amp;"%"</f>
        <v>92%</v>
      </c>
    </row>
    <row r="176" customFormat="false" ht="15" hidden="false" customHeight="false" outlineLevel="0" collapsed="false">
      <c r="A176" s="5" t="s">
        <v>12636</v>
      </c>
      <c r="B176" s="5" t="s">
        <v>300</v>
      </c>
      <c r="C176" s="5" t="s">
        <v>15</v>
      </c>
      <c r="D176" s="5" t="s">
        <v>28</v>
      </c>
      <c r="E176" s="5" t="n">
        <f aca="false">ROUND(17359*1.05,2)</f>
        <v>18226.95</v>
      </c>
      <c r="F176" s="5" t="s">
        <v>29</v>
      </c>
      <c r="G176" s="5" t="s">
        <v>30</v>
      </c>
      <c r="H176" s="5" t="n">
        <f aca="true">ROUND(RAND()*4+6,1)</f>
        <v>7.1</v>
      </c>
      <c r="I176" s="5" t="s">
        <v>31</v>
      </c>
      <c r="J176" s="5" t="str">
        <f aca="false">ROUND(95*1,0)&amp;"%"</f>
        <v>95%</v>
      </c>
    </row>
    <row r="177" customFormat="false" ht="15" hidden="false" customHeight="false" outlineLevel="0" collapsed="false">
      <c r="A177" s="6" t="s">
        <v>12637</v>
      </c>
      <c r="B177" s="6" t="s">
        <v>302</v>
      </c>
      <c r="C177" s="6" t="s">
        <v>15</v>
      </c>
      <c r="D177" s="6" t="s">
        <v>34</v>
      </c>
      <c r="E177" s="6" t="n">
        <f aca="false">ROUND(14341*1.05,2)</f>
        <v>15058.05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ROUND(87*1,0)&amp;"%"</f>
        <v>87%</v>
      </c>
    </row>
    <row r="178" customFormat="false" ht="15" hidden="false" customHeight="false" outlineLevel="0" collapsed="false">
      <c r="A178" s="5" t="s">
        <v>12638</v>
      </c>
      <c r="B178" s="5" t="s">
        <v>304</v>
      </c>
      <c r="C178" s="5" t="s">
        <v>15</v>
      </c>
      <c r="D178" s="5" t="s">
        <v>39</v>
      </c>
      <c r="E178" s="5" t="n">
        <f aca="false">ROUND(9296*1.05,2)</f>
        <v>9760.8</v>
      </c>
      <c r="F178" s="5" t="s">
        <v>40</v>
      </c>
      <c r="G178" s="5" t="s">
        <v>24</v>
      </c>
      <c r="H178" s="5" t="n">
        <f aca="true">ROUND(RAND()*4+6,1)</f>
        <v>8.5</v>
      </c>
      <c r="I178" s="5" t="s">
        <v>41</v>
      </c>
      <c r="J178" s="5" t="str">
        <f aca="false">ROUND(69*1,0)&amp;"%"</f>
        <v>69%</v>
      </c>
    </row>
    <row r="179" customFormat="false" ht="15" hidden="false" customHeight="false" outlineLevel="0" collapsed="false">
      <c r="A179" s="6" t="s">
        <v>12639</v>
      </c>
      <c r="B179" s="6" t="s">
        <v>306</v>
      </c>
      <c r="C179" s="6" t="s">
        <v>15</v>
      </c>
      <c r="D179" s="6" t="s">
        <v>44</v>
      </c>
      <c r="E179" s="6" t="n">
        <f aca="false">ROUND(9953*1.05,2)</f>
        <v>10450.65</v>
      </c>
      <c r="F179" s="6" t="s">
        <v>45</v>
      </c>
      <c r="G179" s="6" t="s">
        <v>30</v>
      </c>
      <c r="H179" s="6" t="n">
        <f aca="true">ROUND(RAND()*4+6,1)</f>
        <v>8.3</v>
      </c>
      <c r="I179" s="6" t="s">
        <v>46</v>
      </c>
      <c r="J179" s="6" t="str">
        <f aca="false">ROUND(71*1,0)&amp;"%"</f>
        <v>71%</v>
      </c>
    </row>
    <row r="180" customFormat="false" ht="15" hidden="false" customHeight="false" outlineLevel="0" collapsed="false">
      <c r="A180" s="5" t="s">
        <v>12640</v>
      </c>
      <c r="B180" s="5" t="s">
        <v>308</v>
      </c>
      <c r="C180" s="5" t="s">
        <v>15</v>
      </c>
      <c r="D180" s="5" t="s">
        <v>16</v>
      </c>
      <c r="E180" s="5" t="n">
        <f aca="false">ROUND(13110*1.05,2)</f>
        <v>13765.5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ROUND(69*1,0)&amp;"%"</f>
        <v>69%</v>
      </c>
    </row>
    <row r="181" customFormat="false" ht="15" hidden="false" customHeight="false" outlineLevel="0" collapsed="false">
      <c r="A181" s="6" t="s">
        <v>12641</v>
      </c>
      <c r="B181" s="6" t="s">
        <v>310</v>
      </c>
      <c r="C181" s="6" t="s">
        <v>15</v>
      </c>
      <c r="D181" s="6" t="s">
        <v>22</v>
      </c>
      <c r="E181" s="6" t="n">
        <f aca="false">ROUND(14029*1.05,2)</f>
        <v>14730.45</v>
      </c>
      <c r="F181" s="6" t="s">
        <v>52</v>
      </c>
      <c r="G181" s="6" t="s">
        <v>24</v>
      </c>
      <c r="H181" s="6" t="n">
        <f aca="true">ROUND(RAND()*4+6,1)</f>
        <v>7.2</v>
      </c>
      <c r="I181" s="6" t="s">
        <v>25</v>
      </c>
      <c r="J181" s="6" t="str">
        <f aca="false">ROUND(86*1,0)&amp;"%"</f>
        <v>86%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12642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12643</v>
      </c>
      <c r="B186" s="5" t="s">
        <v>314</v>
      </c>
      <c r="C186" s="5" t="s">
        <v>57</v>
      </c>
      <c r="D186" s="5" t="s">
        <v>16</v>
      </c>
      <c r="E186" s="5" t="n">
        <f aca="false">ROUND(8151*1.05,2)</f>
        <v>8558.55</v>
      </c>
      <c r="F186" s="5" t="s">
        <v>17</v>
      </c>
      <c r="G186" s="5" t="s">
        <v>18</v>
      </c>
      <c r="H186" s="5" t="n">
        <f aca="true">ROUND(RAND()*4+6,1)</f>
        <v>9.1</v>
      </c>
      <c r="I186" s="5" t="s">
        <v>19</v>
      </c>
      <c r="J186" s="5" t="str">
        <f aca="false">ROUND(88*1,0)&amp;"%"</f>
        <v>88%</v>
      </c>
    </row>
    <row r="187" customFormat="false" ht="15" hidden="false" customHeight="false" outlineLevel="0" collapsed="false">
      <c r="A187" s="6" t="s">
        <v>12644</v>
      </c>
      <c r="B187" s="6" t="s">
        <v>316</v>
      </c>
      <c r="C187" s="6" t="s">
        <v>57</v>
      </c>
      <c r="D187" s="6" t="s">
        <v>22</v>
      </c>
      <c r="E187" s="6" t="n">
        <f aca="false">ROUND(7941*1.05,2)</f>
        <v>8338.05</v>
      </c>
      <c r="F187" s="6" t="s">
        <v>23</v>
      </c>
      <c r="G187" s="6" t="s">
        <v>24</v>
      </c>
      <c r="H187" s="6" t="n">
        <f aca="true">ROUND(RAND()*4+6,1)</f>
        <v>8.6</v>
      </c>
      <c r="I187" s="6" t="s">
        <v>25</v>
      </c>
      <c r="J187" s="6" t="str">
        <f aca="false">ROUND(62*1,0)&amp;"%"</f>
        <v>62%</v>
      </c>
    </row>
    <row r="188" customFormat="false" ht="15" hidden="false" customHeight="false" outlineLevel="0" collapsed="false">
      <c r="A188" s="5" t="s">
        <v>12645</v>
      </c>
      <c r="B188" s="5" t="s">
        <v>318</v>
      </c>
      <c r="C188" s="5" t="s">
        <v>57</v>
      </c>
      <c r="D188" s="5" t="s">
        <v>28</v>
      </c>
      <c r="E188" s="5" t="n">
        <f aca="false">ROUND(16324*1.05,2)</f>
        <v>17140.2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ROUND(61*1,0)&amp;"%"</f>
        <v>61%</v>
      </c>
    </row>
    <row r="189" customFormat="false" ht="15" hidden="false" customHeight="false" outlineLevel="0" collapsed="false">
      <c r="A189" s="6" t="s">
        <v>12646</v>
      </c>
      <c r="B189" s="6" t="s">
        <v>320</v>
      </c>
      <c r="C189" s="6" t="s">
        <v>57</v>
      </c>
      <c r="D189" s="6" t="s">
        <v>34</v>
      </c>
      <c r="E189" s="6" t="n">
        <f aca="false">ROUND(5535*1.05,2)</f>
        <v>5811.75</v>
      </c>
      <c r="F189" s="6" t="s">
        <v>35</v>
      </c>
      <c r="G189" s="6" t="s">
        <v>18</v>
      </c>
      <c r="H189" s="6" t="n">
        <f aca="true">ROUND(RAND()*4+6,1)</f>
        <v>9.2</v>
      </c>
      <c r="I189" s="6" t="s">
        <v>36</v>
      </c>
      <c r="J189" s="6" t="str">
        <f aca="false">ROUND(99*1,0)&amp;"%"</f>
        <v>99%</v>
      </c>
    </row>
    <row r="190" customFormat="false" ht="15" hidden="false" customHeight="false" outlineLevel="0" collapsed="false">
      <c r="A190" s="5" t="s">
        <v>12647</v>
      </c>
      <c r="B190" s="5" t="s">
        <v>322</v>
      </c>
      <c r="C190" s="5" t="s">
        <v>57</v>
      </c>
      <c r="D190" s="5" t="s">
        <v>39</v>
      </c>
      <c r="E190" s="5" t="n">
        <f aca="false">ROUND(15336*1.05,2)</f>
        <v>16102.8</v>
      </c>
      <c r="F190" s="5" t="s">
        <v>40</v>
      </c>
      <c r="G190" s="5" t="s">
        <v>24</v>
      </c>
      <c r="H190" s="5" t="n">
        <f aca="true">ROUND(RAND()*4+6,1)</f>
        <v>9.7</v>
      </c>
      <c r="I190" s="5" t="s">
        <v>41</v>
      </c>
      <c r="J190" s="5" t="str">
        <f aca="false">ROUND(81*1,0)&amp;"%"</f>
        <v>81%</v>
      </c>
    </row>
    <row r="191" customFormat="false" ht="15" hidden="false" customHeight="false" outlineLevel="0" collapsed="false">
      <c r="A191" s="6" t="s">
        <v>12648</v>
      </c>
      <c r="B191" s="6" t="s">
        <v>324</v>
      </c>
      <c r="C191" s="6" t="s">
        <v>57</v>
      </c>
      <c r="D191" s="6" t="s">
        <v>44</v>
      </c>
      <c r="E191" s="6" t="n">
        <f aca="false">ROUND(7094*1.05,2)</f>
        <v>7448.7</v>
      </c>
      <c r="F191" s="6" t="s">
        <v>45</v>
      </c>
      <c r="G191" s="6" t="s">
        <v>30</v>
      </c>
      <c r="H191" s="6" t="n">
        <f aca="true">ROUND(RAND()*4+6,1)</f>
        <v>7.7</v>
      </c>
      <c r="I191" s="6" t="s">
        <v>46</v>
      </c>
      <c r="J191" s="6" t="str">
        <f aca="false">ROUND(67*1,0)&amp;"%"</f>
        <v>67%</v>
      </c>
    </row>
    <row r="192" customFormat="false" ht="15" hidden="false" customHeight="false" outlineLevel="0" collapsed="false">
      <c r="A192" s="5" t="s">
        <v>12649</v>
      </c>
      <c r="B192" s="5" t="s">
        <v>326</v>
      </c>
      <c r="C192" s="5" t="s">
        <v>57</v>
      </c>
      <c r="D192" s="5" t="s">
        <v>16</v>
      </c>
      <c r="E192" s="5" t="n">
        <f aca="false">ROUND(4144*1.05,2)</f>
        <v>4351.2</v>
      </c>
      <c r="F192" s="5" t="s">
        <v>49</v>
      </c>
      <c r="G192" s="5" t="s">
        <v>18</v>
      </c>
      <c r="H192" s="5" t="n">
        <f aca="true">ROUND(RAND()*4+6,1)</f>
        <v>8.1</v>
      </c>
      <c r="I192" s="5" t="s">
        <v>19</v>
      </c>
      <c r="J192" s="5" t="str">
        <f aca="false">ROUND(81*1,0)&amp;"%"</f>
        <v>81%</v>
      </c>
    </row>
    <row r="193" customFormat="false" ht="15" hidden="false" customHeight="false" outlineLevel="0" collapsed="false">
      <c r="A193" s="6" t="s">
        <v>12650</v>
      </c>
      <c r="B193" s="6" t="s">
        <v>328</v>
      </c>
      <c r="C193" s="6" t="s">
        <v>57</v>
      </c>
      <c r="D193" s="6" t="s">
        <v>22</v>
      </c>
      <c r="E193" s="6" t="n">
        <f aca="false">ROUND(16784*1.05,2)</f>
        <v>17623.2</v>
      </c>
      <c r="F193" s="6" t="s">
        <v>52</v>
      </c>
      <c r="G193" s="6" t="s">
        <v>24</v>
      </c>
      <c r="H193" s="6" t="n">
        <f aca="true">ROUND(RAND()*4+6,1)</f>
        <v>9.4</v>
      </c>
      <c r="I193" s="6" t="s">
        <v>25</v>
      </c>
      <c r="J193" s="6" t="str">
        <f aca="false">ROUND(95*1,0)&amp;"%"</f>
        <v>95%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12651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12652</v>
      </c>
      <c r="B198" s="5" t="s">
        <v>332</v>
      </c>
      <c r="C198" s="5" t="s">
        <v>76</v>
      </c>
      <c r="D198" s="5" t="s">
        <v>16</v>
      </c>
      <c r="E198" s="5" t="n">
        <f aca="false">ROUND(12033*1.05,2)</f>
        <v>12634.65</v>
      </c>
      <c r="F198" s="5" t="s">
        <v>17</v>
      </c>
      <c r="G198" s="5" t="s">
        <v>18</v>
      </c>
      <c r="H198" s="5" t="n">
        <f aca="true">ROUND(RAND()*4+6,1)</f>
        <v>6.7</v>
      </c>
      <c r="I198" s="5" t="s">
        <v>19</v>
      </c>
      <c r="J198" s="5" t="str">
        <f aca="false">ROUND(77*1,0)&amp;"%"</f>
        <v>77%</v>
      </c>
    </row>
    <row r="199" customFormat="false" ht="15" hidden="false" customHeight="false" outlineLevel="0" collapsed="false">
      <c r="A199" s="6" t="s">
        <v>12653</v>
      </c>
      <c r="B199" s="6" t="s">
        <v>334</v>
      </c>
      <c r="C199" s="6" t="s">
        <v>76</v>
      </c>
      <c r="D199" s="6" t="s">
        <v>22</v>
      </c>
      <c r="E199" s="6" t="n">
        <f aca="false">ROUND(12196*1.05,2)</f>
        <v>12805.8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ROUND(79*1,0)&amp;"%"</f>
        <v>79%</v>
      </c>
    </row>
    <row r="200" customFormat="false" ht="15" hidden="false" customHeight="false" outlineLevel="0" collapsed="false">
      <c r="A200" s="5" t="s">
        <v>12654</v>
      </c>
      <c r="B200" s="5" t="s">
        <v>336</v>
      </c>
      <c r="C200" s="5" t="s">
        <v>76</v>
      </c>
      <c r="D200" s="5" t="s">
        <v>28</v>
      </c>
      <c r="E200" s="5" t="n">
        <f aca="false">ROUND(8130*1.05,2)</f>
        <v>8536.5</v>
      </c>
      <c r="F200" s="5" t="s">
        <v>29</v>
      </c>
      <c r="G200" s="5" t="s">
        <v>30</v>
      </c>
      <c r="H200" s="5" t="n">
        <f aca="true">ROUND(RAND()*4+6,1)</f>
        <v>8</v>
      </c>
      <c r="I200" s="5" t="s">
        <v>31</v>
      </c>
      <c r="J200" s="5" t="str">
        <f aca="false">ROUND(76*1,0)&amp;"%"</f>
        <v>76%</v>
      </c>
    </row>
    <row r="201" customFormat="false" ht="15" hidden="false" customHeight="false" outlineLevel="0" collapsed="false">
      <c r="A201" s="6" t="s">
        <v>12655</v>
      </c>
      <c r="B201" s="6" t="s">
        <v>338</v>
      </c>
      <c r="C201" s="6" t="s">
        <v>76</v>
      </c>
      <c r="D201" s="6" t="s">
        <v>34</v>
      </c>
      <c r="E201" s="6" t="n">
        <f aca="false">ROUND(6206*1.05,2)</f>
        <v>6516.3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ROUND(62*1,0)&amp;"%"</f>
        <v>62%</v>
      </c>
    </row>
    <row r="202" customFormat="false" ht="15" hidden="false" customHeight="false" outlineLevel="0" collapsed="false">
      <c r="A202" s="5" t="s">
        <v>12656</v>
      </c>
      <c r="B202" s="5" t="s">
        <v>340</v>
      </c>
      <c r="C202" s="5" t="s">
        <v>76</v>
      </c>
      <c r="D202" s="5" t="s">
        <v>39</v>
      </c>
      <c r="E202" s="5" t="n">
        <f aca="false">ROUND(11810*1.05,2)</f>
        <v>12400.5</v>
      </c>
      <c r="F202" s="5" t="s">
        <v>40</v>
      </c>
      <c r="G202" s="5" t="s">
        <v>24</v>
      </c>
      <c r="H202" s="5" t="n">
        <f aca="true">ROUND(RAND()*4+6,1)</f>
        <v>7.8</v>
      </c>
      <c r="I202" s="5" t="s">
        <v>41</v>
      </c>
      <c r="J202" s="5" t="str">
        <f aca="false">ROUND(60*1,0)&amp;"%"</f>
        <v>60%</v>
      </c>
    </row>
    <row r="203" customFormat="false" ht="15" hidden="false" customHeight="false" outlineLevel="0" collapsed="false">
      <c r="A203" s="6" t="s">
        <v>12657</v>
      </c>
      <c r="B203" s="6" t="s">
        <v>342</v>
      </c>
      <c r="C203" s="6" t="s">
        <v>76</v>
      </c>
      <c r="D203" s="6" t="s">
        <v>44</v>
      </c>
      <c r="E203" s="6" t="n">
        <f aca="false">ROUND(11046*1.05,2)</f>
        <v>11598.3</v>
      </c>
      <c r="F203" s="6" t="s">
        <v>45</v>
      </c>
      <c r="G203" s="6" t="s">
        <v>30</v>
      </c>
      <c r="H203" s="6" t="n">
        <f aca="true">ROUND(RAND()*4+6,1)</f>
        <v>7</v>
      </c>
      <c r="I203" s="6" t="s">
        <v>46</v>
      </c>
      <c r="J203" s="6" t="str">
        <f aca="false">ROUND(63*1,0)&amp;"%"</f>
        <v>63%</v>
      </c>
    </row>
    <row r="204" customFormat="false" ht="15" hidden="false" customHeight="false" outlineLevel="0" collapsed="false">
      <c r="A204" s="5" t="s">
        <v>12658</v>
      </c>
      <c r="B204" s="5" t="s">
        <v>344</v>
      </c>
      <c r="C204" s="5" t="s">
        <v>76</v>
      </c>
      <c r="D204" s="5" t="s">
        <v>16</v>
      </c>
      <c r="E204" s="5" t="n">
        <f aca="false">ROUND(15697*1.05,2)</f>
        <v>16481.85</v>
      </c>
      <c r="F204" s="5" t="s">
        <v>49</v>
      </c>
      <c r="G204" s="5" t="s">
        <v>18</v>
      </c>
      <c r="H204" s="5" t="n">
        <f aca="true">ROUND(RAND()*4+6,1)</f>
        <v>7.7</v>
      </c>
      <c r="I204" s="5" t="s">
        <v>19</v>
      </c>
      <c r="J204" s="5" t="str">
        <f aca="false">ROUND(86*1,0)&amp;"%"</f>
        <v>86%</v>
      </c>
    </row>
    <row r="205" customFormat="false" ht="15" hidden="false" customHeight="false" outlineLevel="0" collapsed="false">
      <c r="A205" s="6" t="s">
        <v>12659</v>
      </c>
      <c r="B205" s="6" t="s">
        <v>346</v>
      </c>
      <c r="C205" s="6" t="s">
        <v>76</v>
      </c>
      <c r="D205" s="6" t="s">
        <v>22</v>
      </c>
      <c r="E205" s="6" t="n">
        <f aca="false">ROUND(17336*1.05,2)</f>
        <v>18202.8</v>
      </c>
      <c r="F205" s="6" t="s">
        <v>52</v>
      </c>
      <c r="G205" s="6" t="s">
        <v>24</v>
      </c>
      <c r="H205" s="6" t="n">
        <f aca="true">ROUND(RAND()*4+6,1)</f>
        <v>6.2</v>
      </c>
      <c r="I205" s="6" t="s">
        <v>25</v>
      </c>
      <c r="J205" s="6" t="str">
        <f aca="false">ROUND(85*1,0)&amp;"%"</f>
        <v>85%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12660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12661</v>
      </c>
      <c r="B210" s="5" t="s">
        <v>350</v>
      </c>
      <c r="C210" s="5" t="s">
        <v>95</v>
      </c>
      <c r="D210" s="5" t="s">
        <v>16</v>
      </c>
      <c r="E210" s="5" t="n">
        <f aca="false">ROUND(11257*1.05,2)</f>
        <v>11819.85</v>
      </c>
      <c r="F210" s="5" t="s">
        <v>17</v>
      </c>
      <c r="G210" s="5" t="s">
        <v>18</v>
      </c>
      <c r="H210" s="5" t="n">
        <f aca="true">ROUND(RAND()*4+6,1)</f>
        <v>9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12662</v>
      </c>
      <c r="B211" s="6" t="s">
        <v>352</v>
      </c>
      <c r="C211" s="6" t="s">
        <v>95</v>
      </c>
      <c r="D211" s="6" t="s">
        <v>22</v>
      </c>
      <c r="E211" s="6" t="n">
        <f aca="false">ROUND(15260*1.05,2)</f>
        <v>16023</v>
      </c>
      <c r="F211" s="6" t="s">
        <v>23</v>
      </c>
      <c r="G211" s="6" t="s">
        <v>24</v>
      </c>
      <c r="H211" s="6" t="n">
        <f aca="true">ROUND(RAND()*4+6,1)</f>
        <v>9.6</v>
      </c>
      <c r="I211" s="6" t="s">
        <v>25</v>
      </c>
      <c r="J211" s="6" t="str">
        <f aca="false">ROUND(89*1,0)&amp;"%"</f>
        <v>89%</v>
      </c>
    </row>
    <row r="212" customFormat="false" ht="15" hidden="false" customHeight="false" outlineLevel="0" collapsed="false">
      <c r="A212" s="5" t="s">
        <v>12663</v>
      </c>
      <c r="B212" s="5" t="s">
        <v>354</v>
      </c>
      <c r="C212" s="5" t="s">
        <v>95</v>
      </c>
      <c r="D212" s="5" t="s">
        <v>28</v>
      </c>
      <c r="E212" s="5" t="n">
        <f aca="false">ROUND(7814*1.05,2)</f>
        <v>8204.7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ROUND(63*1,0)&amp;"%"</f>
        <v>63%</v>
      </c>
    </row>
    <row r="213" customFormat="false" ht="15" hidden="false" customHeight="false" outlineLevel="0" collapsed="false">
      <c r="A213" s="6" t="s">
        <v>12664</v>
      </c>
      <c r="B213" s="6" t="s">
        <v>356</v>
      </c>
      <c r="C213" s="6" t="s">
        <v>95</v>
      </c>
      <c r="D213" s="6" t="s">
        <v>34</v>
      </c>
      <c r="E213" s="6" t="n">
        <f aca="false">ROUND(7051*1.05,2)</f>
        <v>7403.55</v>
      </c>
      <c r="F213" s="6" t="s">
        <v>35</v>
      </c>
      <c r="G213" s="6" t="s">
        <v>18</v>
      </c>
      <c r="H213" s="6" t="n">
        <f aca="true">ROUND(RAND()*4+6,1)</f>
        <v>9</v>
      </c>
      <c r="I213" s="6" t="s">
        <v>36</v>
      </c>
      <c r="J213" s="6" t="str">
        <f aca="false">ROUND(75*1,0)&amp;"%"</f>
        <v>75%</v>
      </c>
    </row>
    <row r="214" customFormat="false" ht="15" hidden="false" customHeight="false" outlineLevel="0" collapsed="false">
      <c r="A214" s="5" t="s">
        <v>12665</v>
      </c>
      <c r="B214" s="5" t="s">
        <v>358</v>
      </c>
      <c r="C214" s="5" t="s">
        <v>95</v>
      </c>
      <c r="D214" s="5" t="s">
        <v>39</v>
      </c>
      <c r="E214" s="5" t="n">
        <f aca="false">ROUND(6159*1.05,2)</f>
        <v>6466.95</v>
      </c>
      <c r="F214" s="5" t="s">
        <v>40</v>
      </c>
      <c r="G214" s="5" t="s">
        <v>24</v>
      </c>
      <c r="H214" s="5" t="n">
        <f aca="true">ROUND(RAND()*4+6,1)</f>
        <v>9</v>
      </c>
      <c r="I214" s="5" t="s">
        <v>41</v>
      </c>
      <c r="J214" s="5" t="str">
        <f aca="false">ROUND(92*1,0)&amp;"%"</f>
        <v>92%</v>
      </c>
    </row>
    <row r="215" customFormat="false" ht="15" hidden="false" customHeight="false" outlineLevel="0" collapsed="false">
      <c r="A215" s="6" t="s">
        <v>12666</v>
      </c>
      <c r="B215" s="6" t="s">
        <v>360</v>
      </c>
      <c r="C215" s="6" t="s">
        <v>95</v>
      </c>
      <c r="D215" s="6" t="s">
        <v>44</v>
      </c>
      <c r="E215" s="6" t="n">
        <f aca="false">ROUND(8656*1.05,2)</f>
        <v>9088.8</v>
      </c>
      <c r="F215" s="6" t="s">
        <v>45</v>
      </c>
      <c r="G215" s="6" t="s">
        <v>30</v>
      </c>
      <c r="H215" s="6" t="n">
        <f aca="true">ROUND(RAND()*4+6,1)</f>
        <v>7</v>
      </c>
      <c r="I215" s="6" t="s">
        <v>46</v>
      </c>
      <c r="J215" s="6" t="str">
        <f aca="false">ROUND(81*1,0)&amp;"%"</f>
        <v>81%</v>
      </c>
    </row>
    <row r="216" customFormat="false" ht="15" hidden="false" customHeight="false" outlineLevel="0" collapsed="false">
      <c r="A216" s="5" t="s">
        <v>12667</v>
      </c>
      <c r="B216" s="5" t="s">
        <v>362</v>
      </c>
      <c r="C216" s="5" t="s">
        <v>95</v>
      </c>
      <c r="D216" s="5" t="s">
        <v>16</v>
      </c>
      <c r="E216" s="5" t="n">
        <f aca="false">ROUND(4588*1.05,2)</f>
        <v>4817.4</v>
      </c>
      <c r="F216" s="5" t="s">
        <v>49</v>
      </c>
      <c r="G216" s="5" t="s">
        <v>18</v>
      </c>
      <c r="H216" s="5" t="n">
        <f aca="true">ROUND(RAND()*4+6,1)</f>
        <v>6.2</v>
      </c>
      <c r="I216" s="5" t="s">
        <v>19</v>
      </c>
      <c r="J216" s="5" t="str">
        <f aca="false">ROUND(65*1,0)&amp;"%"</f>
        <v>65%</v>
      </c>
    </row>
    <row r="217" customFormat="false" ht="15" hidden="false" customHeight="false" outlineLevel="0" collapsed="false">
      <c r="A217" s="6" t="s">
        <v>12668</v>
      </c>
      <c r="B217" s="6" t="s">
        <v>364</v>
      </c>
      <c r="C217" s="6" t="s">
        <v>95</v>
      </c>
      <c r="D217" s="6" t="s">
        <v>22</v>
      </c>
      <c r="E217" s="6" t="n">
        <f aca="false">ROUND(4928*1.05,2)</f>
        <v>5174.4</v>
      </c>
      <c r="F217" s="6" t="s">
        <v>52</v>
      </c>
      <c r="G217" s="6" t="s">
        <v>24</v>
      </c>
      <c r="H217" s="6" t="n">
        <f aca="true">ROUND(RAND()*4+6,1)</f>
        <v>7.4</v>
      </c>
      <c r="I217" s="6" t="s">
        <v>25</v>
      </c>
      <c r="J217" s="6" t="str">
        <f aca="false">ROUND(91*1,0)&amp;"%"</f>
        <v>91%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12669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12670</v>
      </c>
      <c r="B222" s="5" t="s">
        <v>368</v>
      </c>
      <c r="C222" s="5" t="s">
        <v>114</v>
      </c>
      <c r="D222" s="5" t="s">
        <v>16</v>
      </c>
      <c r="E222" s="5" t="n">
        <f aca="false">ROUND(16900*1.05,2)</f>
        <v>17745</v>
      </c>
      <c r="F222" s="5" t="s">
        <v>17</v>
      </c>
      <c r="G222" s="5" t="s">
        <v>18</v>
      </c>
      <c r="H222" s="5" t="n">
        <f aca="true">ROUND(RAND()*4+6,1)</f>
        <v>9.5</v>
      </c>
      <c r="I222" s="5" t="s">
        <v>19</v>
      </c>
      <c r="J222" s="5" t="str">
        <f aca="false">ROUND(68*1,0)&amp;"%"</f>
        <v>68%</v>
      </c>
    </row>
    <row r="223" customFormat="false" ht="15" hidden="false" customHeight="false" outlineLevel="0" collapsed="false">
      <c r="A223" s="6" t="s">
        <v>12671</v>
      </c>
      <c r="B223" s="6" t="s">
        <v>370</v>
      </c>
      <c r="C223" s="6" t="s">
        <v>114</v>
      </c>
      <c r="D223" s="6" t="s">
        <v>22</v>
      </c>
      <c r="E223" s="6" t="n">
        <f aca="false">ROUND(16055*1.05,2)</f>
        <v>16857.75</v>
      </c>
      <c r="F223" s="6" t="s">
        <v>23</v>
      </c>
      <c r="G223" s="6" t="s">
        <v>24</v>
      </c>
      <c r="H223" s="6" t="n">
        <f aca="true">ROUND(RAND()*4+6,1)</f>
        <v>6.5</v>
      </c>
      <c r="I223" s="6" t="s">
        <v>25</v>
      </c>
      <c r="J223" s="6" t="str">
        <f aca="false">ROUND(92*1,0)&amp;"%"</f>
        <v>92%</v>
      </c>
    </row>
    <row r="224" customFormat="false" ht="15" hidden="false" customHeight="false" outlineLevel="0" collapsed="false">
      <c r="A224" s="5" t="s">
        <v>12672</v>
      </c>
      <c r="B224" s="5" t="s">
        <v>372</v>
      </c>
      <c r="C224" s="5" t="s">
        <v>114</v>
      </c>
      <c r="D224" s="5" t="s">
        <v>28</v>
      </c>
      <c r="E224" s="5" t="n">
        <f aca="false">ROUND(5071*1.05,2)</f>
        <v>5324.55</v>
      </c>
      <c r="F224" s="5" t="s">
        <v>29</v>
      </c>
      <c r="G224" s="5" t="s">
        <v>30</v>
      </c>
      <c r="H224" s="5" t="n">
        <f aca="true">ROUND(RAND()*4+6,1)</f>
        <v>6.2</v>
      </c>
      <c r="I224" s="5" t="s">
        <v>31</v>
      </c>
      <c r="J224" s="5" t="str">
        <f aca="false">ROUND(99*1,0)&amp;"%"</f>
        <v>99%</v>
      </c>
    </row>
    <row r="225" customFormat="false" ht="15" hidden="false" customHeight="false" outlineLevel="0" collapsed="false">
      <c r="A225" s="6" t="s">
        <v>12673</v>
      </c>
      <c r="B225" s="6" t="s">
        <v>374</v>
      </c>
      <c r="C225" s="6" t="s">
        <v>114</v>
      </c>
      <c r="D225" s="6" t="s">
        <v>34</v>
      </c>
      <c r="E225" s="6" t="n">
        <f aca="false">ROUND(9793*1.05,2)</f>
        <v>10282.65</v>
      </c>
      <c r="F225" s="6" t="s">
        <v>35</v>
      </c>
      <c r="G225" s="6" t="s">
        <v>18</v>
      </c>
      <c r="H225" s="6" t="n">
        <f aca="true">ROUND(RAND()*4+6,1)</f>
        <v>8.4</v>
      </c>
      <c r="I225" s="6" t="s">
        <v>36</v>
      </c>
      <c r="J225" s="6" t="str">
        <f aca="false">ROUND(69*1,0)&amp;"%"</f>
        <v>69%</v>
      </c>
    </row>
    <row r="226" customFormat="false" ht="15" hidden="false" customHeight="false" outlineLevel="0" collapsed="false">
      <c r="A226" s="5" t="s">
        <v>12674</v>
      </c>
      <c r="B226" s="5" t="s">
        <v>376</v>
      </c>
      <c r="C226" s="5" t="s">
        <v>114</v>
      </c>
      <c r="D226" s="5" t="s">
        <v>39</v>
      </c>
      <c r="E226" s="5" t="n">
        <f aca="false">ROUND(8098*1.05,2)</f>
        <v>8502.9</v>
      </c>
      <c r="F226" s="5" t="s">
        <v>40</v>
      </c>
      <c r="G226" s="5" t="s">
        <v>24</v>
      </c>
      <c r="H226" s="5" t="n">
        <f aca="true">ROUND(RAND()*4+6,1)</f>
        <v>7.3</v>
      </c>
      <c r="I226" s="5" t="s">
        <v>41</v>
      </c>
      <c r="J226" s="5" t="str">
        <f aca="false">ROUND(88*1,0)&amp;"%"</f>
        <v>88%</v>
      </c>
    </row>
    <row r="227" customFormat="false" ht="15" hidden="false" customHeight="false" outlineLevel="0" collapsed="false">
      <c r="A227" s="6" t="s">
        <v>12675</v>
      </c>
      <c r="B227" s="6" t="s">
        <v>378</v>
      </c>
      <c r="C227" s="6" t="s">
        <v>114</v>
      </c>
      <c r="D227" s="6" t="s">
        <v>44</v>
      </c>
      <c r="E227" s="6" t="n">
        <f aca="false">ROUND(9079*1.05,2)</f>
        <v>9532.95</v>
      </c>
      <c r="F227" s="6" t="s">
        <v>45</v>
      </c>
      <c r="G227" s="6" t="s">
        <v>30</v>
      </c>
      <c r="H227" s="6" t="n">
        <f aca="true">ROUND(RAND()*4+6,1)</f>
        <v>8.8</v>
      </c>
      <c r="I227" s="6" t="s">
        <v>46</v>
      </c>
      <c r="J227" s="6" t="str">
        <f aca="false">ROUND(73*1,0)&amp;"%"</f>
        <v>73%</v>
      </c>
    </row>
    <row r="228" customFormat="false" ht="15" hidden="false" customHeight="false" outlineLevel="0" collapsed="false">
      <c r="A228" s="5" t="s">
        <v>12676</v>
      </c>
      <c r="B228" s="5" t="s">
        <v>380</v>
      </c>
      <c r="C228" s="5" t="s">
        <v>114</v>
      </c>
      <c r="D228" s="5" t="s">
        <v>16</v>
      </c>
      <c r="E228" s="5" t="n">
        <f aca="false">ROUND(17194*1.05,2)</f>
        <v>18053.7</v>
      </c>
      <c r="F228" s="5" t="s">
        <v>49</v>
      </c>
      <c r="G228" s="5" t="s">
        <v>18</v>
      </c>
      <c r="H228" s="5" t="n">
        <f aca="true">ROUND(RAND()*4+6,1)</f>
        <v>8.4</v>
      </c>
      <c r="I228" s="5" t="s">
        <v>19</v>
      </c>
      <c r="J228" s="5" t="str">
        <f aca="false">ROUND(86*1,0)&amp;"%"</f>
        <v>86%</v>
      </c>
    </row>
    <row r="229" customFormat="false" ht="15" hidden="false" customHeight="false" outlineLevel="0" collapsed="false">
      <c r="A229" s="6" t="s">
        <v>12677</v>
      </c>
      <c r="B229" s="6" t="s">
        <v>382</v>
      </c>
      <c r="C229" s="6" t="s">
        <v>114</v>
      </c>
      <c r="D229" s="6" t="s">
        <v>22</v>
      </c>
      <c r="E229" s="6" t="n">
        <f aca="false">ROUND(12449*1.05,2)</f>
        <v>13071.45</v>
      </c>
      <c r="F229" s="6" t="s">
        <v>52</v>
      </c>
      <c r="G229" s="6" t="s">
        <v>24</v>
      </c>
      <c r="H229" s="6" t="n">
        <f aca="true">ROUND(RAND()*4+6,1)</f>
        <v>6.6</v>
      </c>
      <c r="I229" s="6" t="s">
        <v>25</v>
      </c>
      <c r="J229" s="6" t="str">
        <f aca="false">ROUND(62*1,0)&amp;"%"</f>
        <v>62%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12678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12679</v>
      </c>
      <c r="B234" s="5" t="s">
        <v>386</v>
      </c>
      <c r="C234" s="5" t="s">
        <v>133</v>
      </c>
      <c r="D234" s="5" t="s">
        <v>16</v>
      </c>
      <c r="E234" s="5" t="n">
        <f aca="false">ROUND(5854*1.05,2)</f>
        <v>6146.7</v>
      </c>
      <c r="F234" s="5" t="s">
        <v>17</v>
      </c>
      <c r="G234" s="5" t="s">
        <v>18</v>
      </c>
      <c r="H234" s="5" t="n">
        <f aca="true">ROUND(RAND()*4+6,1)</f>
        <v>9.5</v>
      </c>
      <c r="I234" s="5" t="s">
        <v>19</v>
      </c>
      <c r="J234" s="5" t="str">
        <f aca="false">ROUND(90*1,0)&amp;"%"</f>
        <v>90%</v>
      </c>
    </row>
    <row r="235" customFormat="false" ht="15" hidden="false" customHeight="false" outlineLevel="0" collapsed="false">
      <c r="A235" s="6" t="s">
        <v>12680</v>
      </c>
      <c r="B235" s="6" t="s">
        <v>388</v>
      </c>
      <c r="C235" s="6" t="s">
        <v>133</v>
      </c>
      <c r="D235" s="6" t="s">
        <v>22</v>
      </c>
      <c r="E235" s="6" t="n">
        <f aca="false">ROUND(10035*1.05,2)</f>
        <v>10536.75</v>
      </c>
      <c r="F235" s="6" t="s">
        <v>23</v>
      </c>
      <c r="G235" s="6" t="s">
        <v>24</v>
      </c>
      <c r="H235" s="6" t="n">
        <f aca="true">ROUND(RAND()*4+6,1)</f>
        <v>6</v>
      </c>
      <c r="I235" s="6" t="s">
        <v>25</v>
      </c>
      <c r="J235" s="6" t="str">
        <f aca="false">ROUND(77*1,0)&amp;"%"</f>
        <v>77%</v>
      </c>
    </row>
    <row r="236" customFormat="false" ht="15" hidden="false" customHeight="false" outlineLevel="0" collapsed="false">
      <c r="A236" s="5" t="s">
        <v>12681</v>
      </c>
      <c r="B236" s="5" t="s">
        <v>390</v>
      </c>
      <c r="C236" s="5" t="s">
        <v>133</v>
      </c>
      <c r="D236" s="5" t="s">
        <v>28</v>
      </c>
      <c r="E236" s="5" t="n">
        <f aca="false">ROUND(17979*1.05,2)</f>
        <v>18877.95</v>
      </c>
      <c r="F236" s="5" t="s">
        <v>29</v>
      </c>
      <c r="G236" s="5" t="s">
        <v>30</v>
      </c>
      <c r="H236" s="5" t="n">
        <f aca="true">ROUND(RAND()*4+6,1)</f>
        <v>7.3</v>
      </c>
      <c r="I236" s="5" t="s">
        <v>31</v>
      </c>
      <c r="J236" s="5" t="str">
        <f aca="false">ROUND(75*1,0)&amp;"%"</f>
        <v>75%</v>
      </c>
    </row>
    <row r="237" customFormat="false" ht="15" hidden="false" customHeight="false" outlineLevel="0" collapsed="false">
      <c r="A237" s="6" t="s">
        <v>12682</v>
      </c>
      <c r="B237" s="6" t="s">
        <v>392</v>
      </c>
      <c r="C237" s="6" t="s">
        <v>133</v>
      </c>
      <c r="D237" s="6" t="s">
        <v>34</v>
      </c>
      <c r="E237" s="6" t="n">
        <f aca="false">ROUND(4220*1.05,2)</f>
        <v>4431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12683</v>
      </c>
      <c r="B238" s="5" t="s">
        <v>394</v>
      </c>
      <c r="C238" s="5" t="s">
        <v>133</v>
      </c>
      <c r="D238" s="5" t="s">
        <v>39</v>
      </c>
      <c r="E238" s="5" t="n">
        <f aca="false">ROUND(15513*1.05,2)</f>
        <v>16288.65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ROUND(77*1,0)&amp;"%"</f>
        <v>77%</v>
      </c>
    </row>
    <row r="239" customFormat="false" ht="15" hidden="false" customHeight="false" outlineLevel="0" collapsed="false">
      <c r="A239" s="6" t="s">
        <v>12684</v>
      </c>
      <c r="B239" s="6" t="s">
        <v>396</v>
      </c>
      <c r="C239" s="6" t="s">
        <v>133</v>
      </c>
      <c r="D239" s="6" t="s">
        <v>44</v>
      </c>
      <c r="E239" s="6" t="n">
        <f aca="false">ROUND(8238*1.05,2)</f>
        <v>8649.9</v>
      </c>
      <c r="F239" s="6" t="s">
        <v>45</v>
      </c>
      <c r="G239" s="6" t="s">
        <v>30</v>
      </c>
      <c r="H239" s="6" t="n">
        <f aca="true">ROUND(RAND()*4+6,1)</f>
        <v>8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12685</v>
      </c>
      <c r="B240" s="5" t="s">
        <v>398</v>
      </c>
      <c r="C240" s="5" t="s">
        <v>133</v>
      </c>
      <c r="D240" s="5" t="s">
        <v>16</v>
      </c>
      <c r="E240" s="5" t="n">
        <f aca="false">ROUND(10891*1.05,2)</f>
        <v>11435.55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ROUND(73*1,0)&amp;"%"</f>
        <v>73%</v>
      </c>
    </row>
    <row r="241" customFormat="false" ht="15" hidden="false" customHeight="false" outlineLevel="0" collapsed="false">
      <c r="A241" s="6" t="s">
        <v>12686</v>
      </c>
      <c r="B241" s="6" t="s">
        <v>400</v>
      </c>
      <c r="C241" s="6" t="s">
        <v>133</v>
      </c>
      <c r="D241" s="6" t="s">
        <v>22</v>
      </c>
      <c r="E241" s="6" t="n">
        <f aca="false">ROUND(11602*1.05,2)</f>
        <v>12182.1</v>
      </c>
      <c r="F241" s="6" t="s">
        <v>52</v>
      </c>
      <c r="G241" s="6" t="s">
        <v>24</v>
      </c>
      <c r="H241" s="6" t="n">
        <f aca="true">ROUND(RAND()*4+6,1)</f>
        <v>9.4</v>
      </c>
      <c r="I241" s="6" t="s">
        <v>25</v>
      </c>
      <c r="J241" s="6" t="str">
        <f aca="false">ROUND(77*1,0)&amp;"%"</f>
        <v>77%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12687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12688</v>
      </c>
      <c r="B246" s="5" t="s">
        <v>404</v>
      </c>
      <c r="C246" s="5" t="s">
        <v>152</v>
      </c>
      <c r="D246" s="5" t="s">
        <v>16</v>
      </c>
      <c r="E246" s="5" t="n">
        <f aca="false">ROUND(10601*1.05,2)</f>
        <v>11131.05</v>
      </c>
      <c r="F246" s="5" t="s">
        <v>17</v>
      </c>
      <c r="G246" s="5" t="s">
        <v>18</v>
      </c>
      <c r="H246" s="5" t="n">
        <f aca="true">ROUND(RAND()*4+6,1)</f>
        <v>7.7</v>
      </c>
      <c r="I246" s="5" t="s">
        <v>19</v>
      </c>
      <c r="J246" s="5" t="str">
        <f aca="false">ROUND(84*1,0)&amp;"%"</f>
        <v>84%</v>
      </c>
    </row>
    <row r="247" customFormat="false" ht="15" hidden="false" customHeight="false" outlineLevel="0" collapsed="false">
      <c r="A247" s="6" t="s">
        <v>12689</v>
      </c>
      <c r="B247" s="6" t="s">
        <v>406</v>
      </c>
      <c r="C247" s="6" t="s">
        <v>152</v>
      </c>
      <c r="D247" s="6" t="s">
        <v>22</v>
      </c>
      <c r="E247" s="6" t="n">
        <f aca="false">ROUND(4050*1.05,2)</f>
        <v>4252.5</v>
      </c>
      <c r="F247" s="6" t="s">
        <v>23</v>
      </c>
      <c r="G247" s="6" t="s">
        <v>24</v>
      </c>
      <c r="H247" s="6" t="n">
        <f aca="true">ROUND(RAND()*4+6,1)</f>
        <v>8.2</v>
      </c>
      <c r="I247" s="6" t="s">
        <v>25</v>
      </c>
      <c r="J247" s="6" t="str">
        <f aca="false">ROUND(84*1,0)&amp;"%"</f>
        <v>84%</v>
      </c>
    </row>
    <row r="248" customFormat="false" ht="15" hidden="false" customHeight="false" outlineLevel="0" collapsed="false">
      <c r="A248" s="5" t="s">
        <v>12690</v>
      </c>
      <c r="B248" s="5" t="s">
        <v>408</v>
      </c>
      <c r="C248" s="5" t="s">
        <v>152</v>
      </c>
      <c r="D248" s="5" t="s">
        <v>28</v>
      </c>
      <c r="E248" s="5" t="n">
        <f aca="false">ROUND(9361*1.05,2)</f>
        <v>9829.05</v>
      </c>
      <c r="F248" s="5" t="s">
        <v>29</v>
      </c>
      <c r="G248" s="5" t="s">
        <v>30</v>
      </c>
      <c r="H248" s="5" t="n">
        <f aca="true">ROUND(RAND()*4+6,1)</f>
        <v>6.1</v>
      </c>
      <c r="I248" s="5" t="s">
        <v>31</v>
      </c>
      <c r="J248" s="5" t="str">
        <f aca="false">ROUND(89*1,0)&amp;"%"</f>
        <v>89%</v>
      </c>
    </row>
    <row r="249" customFormat="false" ht="15" hidden="false" customHeight="false" outlineLevel="0" collapsed="false">
      <c r="A249" s="6" t="s">
        <v>12691</v>
      </c>
      <c r="B249" s="6" t="s">
        <v>410</v>
      </c>
      <c r="C249" s="6" t="s">
        <v>152</v>
      </c>
      <c r="D249" s="6" t="s">
        <v>34</v>
      </c>
      <c r="E249" s="6" t="n">
        <f aca="false">ROUND(11596*1.05,2)</f>
        <v>12175.8</v>
      </c>
      <c r="F249" s="6" t="s">
        <v>35</v>
      </c>
      <c r="G249" s="6" t="s">
        <v>18</v>
      </c>
      <c r="H249" s="6" t="n">
        <f aca="true">ROUND(RAND()*4+6,1)</f>
        <v>8.2</v>
      </c>
      <c r="I249" s="6" t="s">
        <v>36</v>
      </c>
      <c r="J249" s="6" t="str">
        <f aca="false">ROUND(92*1,0)&amp;"%"</f>
        <v>92%</v>
      </c>
    </row>
    <row r="250" customFormat="false" ht="15" hidden="false" customHeight="false" outlineLevel="0" collapsed="false">
      <c r="A250" s="5" t="s">
        <v>12692</v>
      </c>
      <c r="B250" s="5" t="s">
        <v>412</v>
      </c>
      <c r="C250" s="5" t="s">
        <v>152</v>
      </c>
      <c r="D250" s="5" t="s">
        <v>39</v>
      </c>
      <c r="E250" s="5" t="n">
        <f aca="false">ROUND(7872*1.05,2)</f>
        <v>8265.6</v>
      </c>
      <c r="F250" s="5" t="s">
        <v>40</v>
      </c>
      <c r="G250" s="5" t="s">
        <v>24</v>
      </c>
      <c r="H250" s="5" t="n">
        <f aca="true">ROUND(RAND()*4+6,1)</f>
        <v>9.4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12693</v>
      </c>
      <c r="B251" s="6" t="s">
        <v>414</v>
      </c>
      <c r="C251" s="6" t="s">
        <v>152</v>
      </c>
      <c r="D251" s="6" t="s">
        <v>44</v>
      </c>
      <c r="E251" s="6" t="n">
        <f aca="false">ROUND(16966*1.05,2)</f>
        <v>17814.3</v>
      </c>
      <c r="F251" s="6" t="s">
        <v>45</v>
      </c>
      <c r="G251" s="6" t="s">
        <v>30</v>
      </c>
      <c r="H251" s="6" t="n">
        <f aca="true">ROUND(RAND()*4+6,1)</f>
        <v>8.5</v>
      </c>
      <c r="I251" s="6" t="s">
        <v>46</v>
      </c>
      <c r="J251" s="6" t="str">
        <f aca="false">ROUND(78*1,0)&amp;"%"</f>
        <v>78%</v>
      </c>
    </row>
    <row r="252" customFormat="false" ht="15" hidden="false" customHeight="false" outlineLevel="0" collapsed="false">
      <c r="A252" s="5" t="s">
        <v>12694</v>
      </c>
      <c r="B252" s="5" t="s">
        <v>416</v>
      </c>
      <c r="C252" s="5" t="s">
        <v>152</v>
      </c>
      <c r="D252" s="5" t="s">
        <v>16</v>
      </c>
      <c r="E252" s="5" t="n">
        <f aca="false">ROUND(5808*1.05,2)</f>
        <v>6098.4</v>
      </c>
      <c r="F252" s="5" t="s">
        <v>49</v>
      </c>
      <c r="G252" s="5" t="s">
        <v>18</v>
      </c>
      <c r="H252" s="5" t="n">
        <f aca="true">ROUND(RAND()*4+6,1)</f>
        <v>6</v>
      </c>
      <c r="I252" s="5" t="s">
        <v>19</v>
      </c>
      <c r="J252" s="5" t="str">
        <f aca="false">ROUND(68*1,0)&amp;"%"</f>
        <v>68%</v>
      </c>
    </row>
    <row r="253" customFormat="false" ht="15" hidden="false" customHeight="false" outlineLevel="0" collapsed="false">
      <c r="A253" s="6" t="s">
        <v>12695</v>
      </c>
      <c r="B253" s="6" t="s">
        <v>418</v>
      </c>
      <c r="C253" s="6" t="s">
        <v>152</v>
      </c>
      <c r="D253" s="6" t="s">
        <v>22</v>
      </c>
      <c r="E253" s="6" t="n">
        <f aca="false">ROUND(10701*1.05,2)</f>
        <v>11236.05</v>
      </c>
      <c r="F253" s="6" t="s">
        <v>52</v>
      </c>
      <c r="G253" s="6" t="s">
        <v>24</v>
      </c>
      <c r="H253" s="6" t="n">
        <f aca="true">ROUND(RAND()*4+6,1)</f>
        <v>7.1</v>
      </c>
      <c r="I253" s="6" t="s">
        <v>25</v>
      </c>
      <c r="J253" s="6" t="str">
        <f aca="false">ROUND(63*1,0)&amp;"%"</f>
        <v>63%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12696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12697</v>
      </c>
      <c r="B258" s="5" t="s">
        <v>422</v>
      </c>
      <c r="C258" s="5" t="s">
        <v>15</v>
      </c>
      <c r="D258" s="5" t="s">
        <v>16</v>
      </c>
      <c r="E258" s="5" t="n">
        <f aca="false">ROUND(9054*1.05,2)</f>
        <v>9506.7</v>
      </c>
      <c r="F258" s="5" t="s">
        <v>17</v>
      </c>
      <c r="G258" s="5" t="s">
        <v>18</v>
      </c>
      <c r="H258" s="5" t="n">
        <f aca="true">ROUND(RAND()*4+6,1)</f>
        <v>6.1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12698</v>
      </c>
      <c r="B259" s="6" t="s">
        <v>424</v>
      </c>
      <c r="C259" s="6" t="s">
        <v>15</v>
      </c>
      <c r="D259" s="6" t="s">
        <v>22</v>
      </c>
      <c r="E259" s="6" t="n">
        <f aca="false">ROUND(9252*1.05,2)</f>
        <v>9714.6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ROUND(81*1,0)&amp;"%"</f>
        <v>81%</v>
      </c>
    </row>
    <row r="260" customFormat="false" ht="15" hidden="false" customHeight="false" outlineLevel="0" collapsed="false">
      <c r="A260" s="5" t="s">
        <v>12699</v>
      </c>
      <c r="B260" s="5" t="s">
        <v>426</v>
      </c>
      <c r="C260" s="5" t="s">
        <v>15</v>
      </c>
      <c r="D260" s="5" t="s">
        <v>28</v>
      </c>
      <c r="E260" s="5" t="n">
        <f aca="false">ROUND(10622*1.05,2)</f>
        <v>11153.1</v>
      </c>
      <c r="F260" s="5" t="s">
        <v>29</v>
      </c>
      <c r="G260" s="5" t="s">
        <v>30</v>
      </c>
      <c r="H260" s="5" t="n">
        <f aca="true">ROUND(RAND()*4+6,1)</f>
        <v>6.2</v>
      </c>
      <c r="I260" s="5" t="s">
        <v>31</v>
      </c>
      <c r="J260" s="5" t="str">
        <f aca="false">ROUND(73*1,0)&amp;"%"</f>
        <v>73%</v>
      </c>
    </row>
    <row r="261" customFormat="false" ht="15" hidden="false" customHeight="false" outlineLevel="0" collapsed="false">
      <c r="A261" s="6" t="s">
        <v>12700</v>
      </c>
      <c r="B261" s="6" t="s">
        <v>428</v>
      </c>
      <c r="C261" s="6" t="s">
        <v>15</v>
      </c>
      <c r="D261" s="6" t="s">
        <v>34</v>
      </c>
      <c r="E261" s="6" t="n">
        <f aca="false">ROUND(7286*1.05,2)</f>
        <v>7650.3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ROUND(60*1,0)&amp;"%"</f>
        <v>60%</v>
      </c>
    </row>
    <row r="262" customFormat="false" ht="15" hidden="false" customHeight="false" outlineLevel="0" collapsed="false">
      <c r="A262" s="5" t="s">
        <v>12701</v>
      </c>
      <c r="B262" s="5" t="s">
        <v>430</v>
      </c>
      <c r="C262" s="5" t="s">
        <v>15</v>
      </c>
      <c r="D262" s="5" t="s">
        <v>39</v>
      </c>
      <c r="E262" s="5" t="n">
        <f aca="false">ROUND(5416*1.05,2)</f>
        <v>5686.8</v>
      </c>
      <c r="F262" s="5" t="s">
        <v>40</v>
      </c>
      <c r="G262" s="5" t="s">
        <v>24</v>
      </c>
      <c r="H262" s="5" t="n">
        <f aca="true">ROUND(RAND()*4+6,1)</f>
        <v>7.3</v>
      </c>
      <c r="I262" s="5" t="s">
        <v>41</v>
      </c>
      <c r="J262" s="5" t="str">
        <f aca="false">ROUND(75*1,0)&amp;"%"</f>
        <v>75%</v>
      </c>
    </row>
    <row r="263" customFormat="false" ht="15" hidden="false" customHeight="false" outlineLevel="0" collapsed="false">
      <c r="A263" s="6" t="s">
        <v>12702</v>
      </c>
      <c r="B263" s="6" t="s">
        <v>432</v>
      </c>
      <c r="C263" s="6" t="s">
        <v>15</v>
      </c>
      <c r="D263" s="6" t="s">
        <v>44</v>
      </c>
      <c r="E263" s="6" t="n">
        <f aca="false">ROUND(17869*1.05,2)</f>
        <v>18762.45</v>
      </c>
      <c r="F263" s="6" t="s">
        <v>45</v>
      </c>
      <c r="G263" s="6" t="s">
        <v>30</v>
      </c>
      <c r="H263" s="6" t="n">
        <f aca="true">ROUND(RAND()*4+6,1)</f>
        <v>9.7</v>
      </c>
      <c r="I263" s="6" t="s">
        <v>46</v>
      </c>
      <c r="J263" s="6" t="str">
        <f aca="false">ROUND(68*1,0)&amp;"%"</f>
        <v>68%</v>
      </c>
    </row>
    <row r="264" customFormat="false" ht="15" hidden="false" customHeight="false" outlineLevel="0" collapsed="false">
      <c r="A264" s="5" t="s">
        <v>12703</v>
      </c>
      <c r="B264" s="5" t="s">
        <v>434</v>
      </c>
      <c r="C264" s="5" t="s">
        <v>15</v>
      </c>
      <c r="D264" s="5" t="s">
        <v>16</v>
      </c>
      <c r="E264" s="5" t="n">
        <f aca="false">ROUND(12258*1.05,2)</f>
        <v>12870.9</v>
      </c>
      <c r="F264" s="5" t="s">
        <v>49</v>
      </c>
      <c r="G264" s="5" t="s">
        <v>18</v>
      </c>
      <c r="H264" s="5" t="n">
        <f aca="true">ROUND(RAND()*4+6,1)</f>
        <v>7.1</v>
      </c>
      <c r="I264" s="5" t="s">
        <v>19</v>
      </c>
      <c r="J264" s="5" t="str">
        <f aca="false">ROUND(72*1,0)&amp;"%"</f>
        <v>72%</v>
      </c>
    </row>
    <row r="265" customFormat="false" ht="15" hidden="false" customHeight="false" outlineLevel="0" collapsed="false">
      <c r="A265" s="6" t="s">
        <v>12704</v>
      </c>
      <c r="B265" s="6" t="s">
        <v>436</v>
      </c>
      <c r="C265" s="6" t="s">
        <v>15</v>
      </c>
      <c r="D265" s="6" t="s">
        <v>22</v>
      </c>
      <c r="E265" s="6" t="n">
        <f aca="false">ROUND(13275*1.05,2)</f>
        <v>13938.75</v>
      </c>
      <c r="F265" s="6" t="s">
        <v>52</v>
      </c>
      <c r="G265" s="6" t="s">
        <v>24</v>
      </c>
      <c r="H265" s="6" t="n">
        <f aca="true">ROUND(RAND()*4+6,1)</f>
        <v>7.2</v>
      </c>
      <c r="I265" s="6" t="s">
        <v>25</v>
      </c>
      <c r="J265" s="6" t="str">
        <f aca="false">ROUND(68*1,0)&amp;"%"</f>
        <v>68%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12705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12706</v>
      </c>
      <c r="B270" s="5" t="s">
        <v>440</v>
      </c>
      <c r="C270" s="5" t="s">
        <v>57</v>
      </c>
      <c r="D270" s="5" t="s">
        <v>16</v>
      </c>
      <c r="E270" s="5" t="n">
        <f aca="false">ROUND(12419*1.05,2)</f>
        <v>13039.95</v>
      </c>
      <c r="F270" s="5" t="s">
        <v>17</v>
      </c>
      <c r="G270" s="5" t="s">
        <v>18</v>
      </c>
      <c r="H270" s="5" t="n">
        <f aca="true">ROUND(RAND()*4+6,1)</f>
        <v>7.6</v>
      </c>
      <c r="I270" s="5" t="s">
        <v>19</v>
      </c>
      <c r="J270" s="5" t="str">
        <f aca="false">ROUND(84*1,0)&amp;"%"</f>
        <v>84%</v>
      </c>
    </row>
    <row r="271" customFormat="false" ht="15" hidden="false" customHeight="false" outlineLevel="0" collapsed="false">
      <c r="A271" s="6" t="s">
        <v>12707</v>
      </c>
      <c r="B271" s="6" t="s">
        <v>442</v>
      </c>
      <c r="C271" s="6" t="s">
        <v>57</v>
      </c>
      <c r="D271" s="6" t="s">
        <v>22</v>
      </c>
      <c r="E271" s="6" t="n">
        <f aca="false">ROUND(9632*1.05,2)</f>
        <v>10113.6</v>
      </c>
      <c r="F271" s="6" t="s">
        <v>23</v>
      </c>
      <c r="G271" s="6" t="s">
        <v>24</v>
      </c>
      <c r="H271" s="6" t="n">
        <f aca="true">ROUND(RAND()*4+6,1)</f>
        <v>7.6</v>
      </c>
      <c r="I271" s="6" t="s">
        <v>25</v>
      </c>
      <c r="J271" s="6" t="str">
        <f aca="false">ROUND(81*1,0)&amp;"%"</f>
        <v>81%</v>
      </c>
    </row>
    <row r="272" customFormat="false" ht="15" hidden="false" customHeight="false" outlineLevel="0" collapsed="false">
      <c r="A272" s="5" t="s">
        <v>12708</v>
      </c>
      <c r="B272" s="5" t="s">
        <v>444</v>
      </c>
      <c r="C272" s="5" t="s">
        <v>57</v>
      </c>
      <c r="D272" s="5" t="s">
        <v>28</v>
      </c>
      <c r="E272" s="5" t="n">
        <f aca="false">ROUND(8688*1.05,2)</f>
        <v>9122.4</v>
      </c>
      <c r="F272" s="5" t="s">
        <v>29</v>
      </c>
      <c r="G272" s="5" t="s">
        <v>30</v>
      </c>
      <c r="H272" s="5" t="n">
        <f aca="true">ROUND(RAND()*4+6,1)</f>
        <v>7.6</v>
      </c>
      <c r="I272" s="5" t="s">
        <v>31</v>
      </c>
      <c r="J272" s="5" t="str">
        <f aca="false">ROUND(93*1,0)&amp;"%"</f>
        <v>93%</v>
      </c>
    </row>
    <row r="273" customFormat="false" ht="15" hidden="false" customHeight="false" outlineLevel="0" collapsed="false">
      <c r="A273" s="6" t="s">
        <v>12709</v>
      </c>
      <c r="B273" s="6" t="s">
        <v>446</v>
      </c>
      <c r="C273" s="6" t="s">
        <v>57</v>
      </c>
      <c r="D273" s="6" t="s">
        <v>34</v>
      </c>
      <c r="E273" s="6" t="n">
        <f aca="false">ROUND(6630*1.05,2)</f>
        <v>6961.5</v>
      </c>
      <c r="F273" s="6" t="s">
        <v>35</v>
      </c>
      <c r="G273" s="6" t="s">
        <v>18</v>
      </c>
      <c r="H273" s="6" t="n">
        <f aca="true">ROUND(RAND()*4+6,1)</f>
        <v>7.2</v>
      </c>
      <c r="I273" s="6" t="s">
        <v>36</v>
      </c>
      <c r="J273" s="6" t="str">
        <f aca="false">ROUND(94*1,0)&amp;"%"</f>
        <v>94%</v>
      </c>
    </row>
    <row r="274" customFormat="false" ht="15" hidden="false" customHeight="false" outlineLevel="0" collapsed="false">
      <c r="A274" s="5" t="s">
        <v>12710</v>
      </c>
      <c r="B274" s="5" t="s">
        <v>448</v>
      </c>
      <c r="C274" s="5" t="s">
        <v>57</v>
      </c>
      <c r="D274" s="5" t="s">
        <v>39</v>
      </c>
      <c r="E274" s="5" t="n">
        <f aca="false">ROUND(4174*1.05,2)</f>
        <v>4382.7</v>
      </c>
      <c r="F274" s="5" t="s">
        <v>40</v>
      </c>
      <c r="G274" s="5" t="s">
        <v>24</v>
      </c>
      <c r="H274" s="5" t="n">
        <f aca="true">ROUND(RAND()*4+6,1)</f>
        <v>6.2</v>
      </c>
      <c r="I274" s="5" t="s">
        <v>41</v>
      </c>
      <c r="J274" s="5" t="str">
        <f aca="false">ROUND(81*1,0)&amp;"%"</f>
        <v>81%</v>
      </c>
    </row>
    <row r="275" customFormat="false" ht="15" hidden="false" customHeight="false" outlineLevel="0" collapsed="false">
      <c r="A275" s="6" t="s">
        <v>12711</v>
      </c>
      <c r="B275" s="6" t="s">
        <v>450</v>
      </c>
      <c r="C275" s="6" t="s">
        <v>57</v>
      </c>
      <c r="D275" s="6" t="s">
        <v>44</v>
      </c>
      <c r="E275" s="6" t="n">
        <f aca="false">ROUND(8092*1.05,2)</f>
        <v>8496.6</v>
      </c>
      <c r="F275" s="6" t="s">
        <v>45</v>
      </c>
      <c r="G275" s="6" t="s">
        <v>30</v>
      </c>
      <c r="H275" s="6" t="n">
        <f aca="true">ROUND(RAND()*4+6,1)</f>
        <v>9.9</v>
      </c>
      <c r="I275" s="6" t="s">
        <v>46</v>
      </c>
      <c r="J275" s="6" t="str">
        <f aca="false">ROUND(92*1,0)&amp;"%"</f>
        <v>92%</v>
      </c>
    </row>
    <row r="276" customFormat="false" ht="15" hidden="false" customHeight="false" outlineLevel="0" collapsed="false">
      <c r="A276" s="5" t="s">
        <v>12712</v>
      </c>
      <c r="B276" s="5" t="s">
        <v>452</v>
      </c>
      <c r="C276" s="5" t="s">
        <v>57</v>
      </c>
      <c r="D276" s="5" t="s">
        <v>16</v>
      </c>
      <c r="E276" s="5" t="n">
        <f aca="false">ROUND(8248*1.05,2)</f>
        <v>8660.4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ROUND(65*1,0)&amp;"%"</f>
        <v>65%</v>
      </c>
    </row>
    <row r="277" customFormat="false" ht="15" hidden="false" customHeight="false" outlineLevel="0" collapsed="false">
      <c r="A277" s="6" t="s">
        <v>12713</v>
      </c>
      <c r="B277" s="6" t="s">
        <v>454</v>
      </c>
      <c r="C277" s="6" t="s">
        <v>57</v>
      </c>
      <c r="D277" s="6" t="s">
        <v>22</v>
      </c>
      <c r="E277" s="6" t="n">
        <f aca="false">ROUND(9312*1.05,2)</f>
        <v>9777.6</v>
      </c>
      <c r="F277" s="6" t="s">
        <v>52</v>
      </c>
      <c r="G277" s="6" t="s">
        <v>24</v>
      </c>
      <c r="H277" s="6" t="n">
        <f aca="true">ROUND(RAND()*4+6,1)</f>
        <v>7.4</v>
      </c>
      <c r="I277" s="6" t="s">
        <v>25</v>
      </c>
      <c r="J277" s="6" t="str">
        <f aca="false">ROUND(99*1,0)&amp;"%"</f>
        <v>99%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12714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12715</v>
      </c>
      <c r="B282" s="5" t="s">
        <v>458</v>
      </c>
      <c r="C282" s="5" t="s">
        <v>76</v>
      </c>
      <c r="D282" s="5" t="s">
        <v>16</v>
      </c>
      <c r="E282" s="5" t="n">
        <f aca="false">ROUND(11755*1.05,2)</f>
        <v>12342.75</v>
      </c>
      <c r="F282" s="5" t="s">
        <v>17</v>
      </c>
      <c r="G282" s="5" t="s">
        <v>18</v>
      </c>
      <c r="H282" s="5" t="n">
        <f aca="true">ROUND(RAND()*4+6,1)</f>
        <v>6.8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12716</v>
      </c>
      <c r="B283" s="6" t="s">
        <v>460</v>
      </c>
      <c r="C283" s="6" t="s">
        <v>76</v>
      </c>
      <c r="D283" s="6" t="s">
        <v>22</v>
      </c>
      <c r="E283" s="6" t="n">
        <f aca="false">ROUND(15805*1.05,2)</f>
        <v>16595.25</v>
      </c>
      <c r="F283" s="6" t="s">
        <v>23</v>
      </c>
      <c r="G283" s="6" t="s">
        <v>24</v>
      </c>
      <c r="H283" s="6" t="n">
        <f aca="true">ROUND(RAND()*4+6,1)</f>
        <v>8.4</v>
      </c>
      <c r="I283" s="6" t="s">
        <v>25</v>
      </c>
      <c r="J283" s="6" t="str">
        <f aca="false">ROUND(77*1,0)&amp;"%"</f>
        <v>77%</v>
      </c>
    </row>
    <row r="284" customFormat="false" ht="15" hidden="false" customHeight="false" outlineLevel="0" collapsed="false">
      <c r="A284" s="5" t="s">
        <v>12717</v>
      </c>
      <c r="B284" s="5" t="s">
        <v>462</v>
      </c>
      <c r="C284" s="5" t="s">
        <v>76</v>
      </c>
      <c r="D284" s="5" t="s">
        <v>28</v>
      </c>
      <c r="E284" s="5" t="n">
        <f aca="false">ROUND(14654*1.05,2)</f>
        <v>15386.7</v>
      </c>
      <c r="F284" s="5" t="s">
        <v>29</v>
      </c>
      <c r="G284" s="5" t="s">
        <v>30</v>
      </c>
      <c r="H284" s="5" t="n">
        <f aca="true">ROUND(RAND()*4+6,1)</f>
        <v>7.5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12718</v>
      </c>
      <c r="B285" s="6" t="s">
        <v>464</v>
      </c>
      <c r="C285" s="6" t="s">
        <v>76</v>
      </c>
      <c r="D285" s="6" t="s">
        <v>34</v>
      </c>
      <c r="E285" s="6" t="n">
        <f aca="false">ROUND(11933*1.05,2)</f>
        <v>12529.65</v>
      </c>
      <c r="F285" s="6" t="s">
        <v>35</v>
      </c>
      <c r="G285" s="6" t="s">
        <v>18</v>
      </c>
      <c r="H285" s="6" t="n">
        <f aca="true">ROUND(RAND()*4+6,1)</f>
        <v>8.5</v>
      </c>
      <c r="I285" s="6" t="s">
        <v>36</v>
      </c>
      <c r="J285" s="6" t="str">
        <f aca="false">ROUND(85*1,0)&amp;"%"</f>
        <v>85%</v>
      </c>
    </row>
    <row r="286" customFormat="false" ht="15" hidden="false" customHeight="false" outlineLevel="0" collapsed="false">
      <c r="A286" s="5" t="s">
        <v>12719</v>
      </c>
      <c r="B286" s="5" t="s">
        <v>466</v>
      </c>
      <c r="C286" s="5" t="s">
        <v>76</v>
      </c>
      <c r="D286" s="5" t="s">
        <v>39</v>
      </c>
      <c r="E286" s="5" t="n">
        <f aca="false">ROUND(5360*1.05,2)</f>
        <v>5628</v>
      </c>
      <c r="F286" s="5" t="s">
        <v>40</v>
      </c>
      <c r="G286" s="5" t="s">
        <v>24</v>
      </c>
      <c r="H286" s="5" t="n">
        <f aca="true">ROUND(RAND()*4+6,1)</f>
        <v>6.8</v>
      </c>
      <c r="I286" s="5" t="s">
        <v>41</v>
      </c>
      <c r="J286" s="5" t="str">
        <f aca="false">ROUND(95*1,0)&amp;"%"</f>
        <v>95%</v>
      </c>
    </row>
    <row r="287" customFormat="false" ht="15" hidden="false" customHeight="false" outlineLevel="0" collapsed="false">
      <c r="A287" s="6" t="s">
        <v>12720</v>
      </c>
      <c r="B287" s="6" t="s">
        <v>468</v>
      </c>
      <c r="C287" s="6" t="s">
        <v>76</v>
      </c>
      <c r="D287" s="6" t="s">
        <v>44</v>
      </c>
      <c r="E287" s="6" t="n">
        <f aca="false">ROUND(17307*1.05,2)</f>
        <v>18172.35</v>
      </c>
      <c r="F287" s="6" t="s">
        <v>45</v>
      </c>
      <c r="G287" s="6" t="s">
        <v>30</v>
      </c>
      <c r="H287" s="6" t="n">
        <f aca="true">ROUND(RAND()*4+6,1)</f>
        <v>7.1</v>
      </c>
      <c r="I287" s="6" t="s">
        <v>46</v>
      </c>
      <c r="J287" s="6" t="str">
        <f aca="false">ROUND(91*1,0)&amp;"%"</f>
        <v>91%</v>
      </c>
    </row>
    <row r="288" customFormat="false" ht="15" hidden="false" customHeight="false" outlineLevel="0" collapsed="false">
      <c r="A288" s="5" t="s">
        <v>12721</v>
      </c>
      <c r="B288" s="5" t="s">
        <v>470</v>
      </c>
      <c r="C288" s="5" t="s">
        <v>76</v>
      </c>
      <c r="D288" s="5" t="s">
        <v>16</v>
      </c>
      <c r="E288" s="5" t="n">
        <f aca="false">ROUND(4359*1.05,2)</f>
        <v>4576.95</v>
      </c>
      <c r="F288" s="5" t="s">
        <v>49</v>
      </c>
      <c r="G288" s="5" t="s">
        <v>18</v>
      </c>
      <c r="H288" s="5" t="n">
        <f aca="true">ROUND(RAND()*4+6,1)</f>
        <v>8.9</v>
      </c>
      <c r="I288" s="5" t="s">
        <v>19</v>
      </c>
      <c r="J288" s="5" t="str">
        <f aca="false">ROUND(88*1,0)&amp;"%"</f>
        <v>88%</v>
      </c>
    </row>
    <row r="289" customFormat="false" ht="15" hidden="false" customHeight="false" outlineLevel="0" collapsed="false">
      <c r="A289" s="6" t="s">
        <v>12722</v>
      </c>
      <c r="B289" s="6" t="s">
        <v>472</v>
      </c>
      <c r="C289" s="6" t="s">
        <v>76</v>
      </c>
      <c r="D289" s="6" t="s">
        <v>22</v>
      </c>
      <c r="E289" s="6" t="n">
        <f aca="false">ROUND(7624*1.05,2)</f>
        <v>8005.2</v>
      </c>
      <c r="F289" s="6" t="s">
        <v>52</v>
      </c>
      <c r="G289" s="6" t="s">
        <v>24</v>
      </c>
      <c r="H289" s="6" t="n">
        <f aca="true">ROUND(RAND()*4+6,1)</f>
        <v>8.3</v>
      </c>
      <c r="I289" s="6" t="s">
        <v>25</v>
      </c>
      <c r="J289" s="6" t="str">
        <f aca="false">ROUND(84*1,0)&amp;"%"</f>
        <v>84%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12723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12724</v>
      </c>
      <c r="B294" s="5" t="s">
        <v>476</v>
      </c>
      <c r="C294" s="5" t="s">
        <v>95</v>
      </c>
      <c r="D294" s="5" t="s">
        <v>16</v>
      </c>
      <c r="E294" s="5" t="n">
        <f aca="false">ROUND(8832*1.05,2)</f>
        <v>9273.6</v>
      </c>
      <c r="F294" s="5" t="s">
        <v>17</v>
      </c>
      <c r="G294" s="5" t="s">
        <v>18</v>
      </c>
      <c r="H294" s="5" t="n">
        <f aca="true">ROUND(RAND()*4+6,1)</f>
        <v>6.3</v>
      </c>
      <c r="I294" s="5" t="s">
        <v>19</v>
      </c>
      <c r="J294" s="5" t="str">
        <f aca="false">ROUND(95*1,0)&amp;"%"</f>
        <v>95%</v>
      </c>
    </row>
    <row r="295" customFormat="false" ht="15" hidden="false" customHeight="false" outlineLevel="0" collapsed="false">
      <c r="A295" s="6" t="s">
        <v>12725</v>
      </c>
      <c r="B295" s="6" t="s">
        <v>478</v>
      </c>
      <c r="C295" s="6" t="s">
        <v>95</v>
      </c>
      <c r="D295" s="6" t="s">
        <v>22</v>
      </c>
      <c r="E295" s="6" t="n">
        <f aca="false">ROUND(14822*1.05,2)</f>
        <v>15563.1</v>
      </c>
      <c r="F295" s="6" t="s">
        <v>23</v>
      </c>
      <c r="G295" s="6" t="s">
        <v>24</v>
      </c>
      <c r="H295" s="6" t="n">
        <f aca="true">ROUND(RAND()*4+6,1)</f>
        <v>7.2</v>
      </c>
      <c r="I295" s="6" t="s">
        <v>25</v>
      </c>
      <c r="J295" s="6" t="str">
        <f aca="false">ROUND(65*1,0)&amp;"%"</f>
        <v>65%</v>
      </c>
    </row>
    <row r="296" customFormat="false" ht="15" hidden="false" customHeight="false" outlineLevel="0" collapsed="false">
      <c r="A296" s="5" t="s">
        <v>12726</v>
      </c>
      <c r="B296" s="5" t="s">
        <v>480</v>
      </c>
      <c r="C296" s="5" t="s">
        <v>95</v>
      </c>
      <c r="D296" s="5" t="s">
        <v>28</v>
      </c>
      <c r="E296" s="5" t="n">
        <f aca="false">ROUND(4427*1.05,2)</f>
        <v>4648.35</v>
      </c>
      <c r="F296" s="5" t="s">
        <v>29</v>
      </c>
      <c r="G296" s="5" t="s">
        <v>30</v>
      </c>
      <c r="H296" s="5" t="n">
        <f aca="true">ROUND(RAND()*4+6,1)</f>
        <v>8.9</v>
      </c>
      <c r="I296" s="5" t="s">
        <v>31</v>
      </c>
      <c r="J296" s="5" t="str">
        <f aca="false">ROUND(78*1,0)&amp;"%"</f>
        <v>78%</v>
      </c>
    </row>
    <row r="297" customFormat="false" ht="15" hidden="false" customHeight="false" outlineLevel="0" collapsed="false">
      <c r="A297" s="6" t="s">
        <v>12727</v>
      </c>
      <c r="B297" s="6" t="s">
        <v>482</v>
      </c>
      <c r="C297" s="6" t="s">
        <v>95</v>
      </c>
      <c r="D297" s="6" t="s">
        <v>34</v>
      </c>
      <c r="E297" s="6" t="n">
        <f aca="false">ROUND(11342*1.05,2)</f>
        <v>11909.1</v>
      </c>
      <c r="F297" s="6" t="s">
        <v>35</v>
      </c>
      <c r="G297" s="6" t="s">
        <v>18</v>
      </c>
      <c r="H297" s="6" t="n">
        <f aca="true">ROUND(RAND()*4+6,1)</f>
        <v>6.9</v>
      </c>
      <c r="I297" s="6" t="s">
        <v>36</v>
      </c>
      <c r="J297" s="6" t="str">
        <f aca="false">ROUND(60*1,0)&amp;"%"</f>
        <v>60%</v>
      </c>
    </row>
    <row r="298" customFormat="false" ht="15" hidden="false" customHeight="false" outlineLevel="0" collapsed="false">
      <c r="A298" s="5" t="s">
        <v>12728</v>
      </c>
      <c r="B298" s="5" t="s">
        <v>484</v>
      </c>
      <c r="C298" s="5" t="s">
        <v>95</v>
      </c>
      <c r="D298" s="5" t="s">
        <v>39</v>
      </c>
      <c r="E298" s="5" t="n">
        <f aca="false">ROUND(5203*1.05,2)</f>
        <v>5463.15</v>
      </c>
      <c r="F298" s="5" t="s">
        <v>40</v>
      </c>
      <c r="G298" s="5" t="s">
        <v>24</v>
      </c>
      <c r="H298" s="5" t="n">
        <f aca="true">ROUND(RAND()*4+6,1)</f>
        <v>7.5</v>
      </c>
      <c r="I298" s="5" t="s">
        <v>41</v>
      </c>
      <c r="J298" s="5" t="str">
        <f aca="false">ROUND(74*1,0)&amp;"%"</f>
        <v>74%</v>
      </c>
    </row>
    <row r="299" customFormat="false" ht="15" hidden="false" customHeight="false" outlineLevel="0" collapsed="false">
      <c r="A299" s="6" t="s">
        <v>12729</v>
      </c>
      <c r="B299" s="6" t="s">
        <v>486</v>
      </c>
      <c r="C299" s="6" t="s">
        <v>95</v>
      </c>
      <c r="D299" s="6" t="s">
        <v>44</v>
      </c>
      <c r="E299" s="6" t="n">
        <f aca="false">ROUND(4651*1.05,2)</f>
        <v>4883.55</v>
      </c>
      <c r="F299" s="6" t="s">
        <v>45</v>
      </c>
      <c r="G299" s="6" t="s">
        <v>30</v>
      </c>
      <c r="H299" s="6" t="n">
        <f aca="true">ROUND(RAND()*4+6,1)</f>
        <v>6.9</v>
      </c>
      <c r="I299" s="6" t="s">
        <v>46</v>
      </c>
      <c r="J299" s="6" t="str">
        <f aca="false">ROUND(88*1,0)&amp;"%"</f>
        <v>88%</v>
      </c>
    </row>
    <row r="300" customFormat="false" ht="15" hidden="false" customHeight="false" outlineLevel="0" collapsed="false">
      <c r="A300" s="5" t="s">
        <v>12730</v>
      </c>
      <c r="B300" s="5" t="s">
        <v>488</v>
      </c>
      <c r="C300" s="5" t="s">
        <v>95</v>
      </c>
      <c r="D300" s="5" t="s">
        <v>16</v>
      </c>
      <c r="E300" s="5" t="n">
        <f aca="false">ROUND(11772*1.05,2)</f>
        <v>12360.6</v>
      </c>
      <c r="F300" s="5" t="s">
        <v>49</v>
      </c>
      <c r="G300" s="5" t="s">
        <v>18</v>
      </c>
      <c r="H300" s="5" t="n">
        <f aca="true">ROUND(RAND()*4+6,1)</f>
        <v>8.4</v>
      </c>
      <c r="I300" s="5" t="s">
        <v>19</v>
      </c>
      <c r="J300" s="5" t="str">
        <f aca="false">ROUND(79*1,0)&amp;"%"</f>
        <v>79%</v>
      </c>
    </row>
    <row r="301" customFormat="false" ht="15" hidden="false" customHeight="false" outlineLevel="0" collapsed="false">
      <c r="A301" s="6" t="s">
        <v>12731</v>
      </c>
      <c r="B301" s="6" t="s">
        <v>490</v>
      </c>
      <c r="C301" s="6" t="s">
        <v>95</v>
      </c>
      <c r="D301" s="6" t="s">
        <v>22</v>
      </c>
      <c r="E301" s="6" t="n">
        <f aca="false">ROUND(15754*1.05,2)</f>
        <v>16541.7</v>
      </c>
      <c r="F301" s="6" t="s">
        <v>52</v>
      </c>
      <c r="G301" s="6" t="s">
        <v>24</v>
      </c>
      <c r="H301" s="6" t="n">
        <f aca="true">ROUND(RAND()*4+6,1)</f>
        <v>6.4</v>
      </c>
      <c r="I301" s="6" t="s">
        <v>25</v>
      </c>
      <c r="J301" s="6" t="str">
        <f aca="false">ROUND(61*1,0)&amp;"%"</f>
        <v>61%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12732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12733</v>
      </c>
      <c r="B306" s="5" t="s">
        <v>494</v>
      </c>
      <c r="C306" s="5" t="s">
        <v>114</v>
      </c>
      <c r="D306" s="5" t="s">
        <v>16</v>
      </c>
      <c r="E306" s="5" t="n">
        <f aca="false">ROUND(12467*1.05,2)</f>
        <v>13090.35</v>
      </c>
      <c r="F306" s="5" t="s">
        <v>17</v>
      </c>
      <c r="G306" s="5" t="s">
        <v>18</v>
      </c>
      <c r="H306" s="5" t="n">
        <f aca="true">ROUND(RAND()*4+6,1)</f>
        <v>8.8</v>
      </c>
      <c r="I306" s="5" t="s">
        <v>19</v>
      </c>
      <c r="J306" s="5" t="str">
        <f aca="false">ROUND(99*1,0)&amp;"%"</f>
        <v>99%</v>
      </c>
    </row>
    <row r="307" customFormat="false" ht="15" hidden="false" customHeight="false" outlineLevel="0" collapsed="false">
      <c r="A307" s="6" t="s">
        <v>12734</v>
      </c>
      <c r="B307" s="6" t="s">
        <v>496</v>
      </c>
      <c r="C307" s="6" t="s">
        <v>114</v>
      </c>
      <c r="D307" s="6" t="s">
        <v>22</v>
      </c>
      <c r="E307" s="6" t="n">
        <f aca="false">ROUND(16749*1.05,2)</f>
        <v>17586.45</v>
      </c>
      <c r="F307" s="6" t="s">
        <v>23</v>
      </c>
      <c r="G307" s="6" t="s">
        <v>24</v>
      </c>
      <c r="H307" s="6" t="n">
        <f aca="true">ROUND(RAND()*4+6,1)</f>
        <v>7.4</v>
      </c>
      <c r="I307" s="6" t="s">
        <v>25</v>
      </c>
      <c r="J307" s="6" t="str">
        <f aca="false">ROUND(92*1,0)&amp;"%"</f>
        <v>92%</v>
      </c>
    </row>
    <row r="308" customFormat="false" ht="15" hidden="false" customHeight="false" outlineLevel="0" collapsed="false">
      <c r="A308" s="5" t="s">
        <v>12735</v>
      </c>
      <c r="B308" s="5" t="s">
        <v>498</v>
      </c>
      <c r="C308" s="5" t="s">
        <v>114</v>
      </c>
      <c r="D308" s="5" t="s">
        <v>28</v>
      </c>
      <c r="E308" s="5" t="n">
        <f aca="false">ROUND(12478*1.05,2)</f>
        <v>13101.9</v>
      </c>
      <c r="F308" s="5" t="s">
        <v>29</v>
      </c>
      <c r="G308" s="5" t="s">
        <v>30</v>
      </c>
      <c r="H308" s="5" t="n">
        <f aca="true">ROUND(RAND()*4+6,1)</f>
        <v>8</v>
      </c>
      <c r="I308" s="5" t="s">
        <v>31</v>
      </c>
      <c r="J308" s="5" t="str">
        <f aca="false">ROUND(95*1,0)&amp;"%"</f>
        <v>95%</v>
      </c>
    </row>
    <row r="309" customFormat="false" ht="15" hidden="false" customHeight="false" outlineLevel="0" collapsed="false">
      <c r="A309" s="6" t="s">
        <v>12736</v>
      </c>
      <c r="B309" s="6" t="s">
        <v>500</v>
      </c>
      <c r="C309" s="6" t="s">
        <v>114</v>
      </c>
      <c r="D309" s="6" t="s">
        <v>34</v>
      </c>
      <c r="E309" s="6" t="n">
        <f aca="false">ROUND(13752*1.05,2)</f>
        <v>14439.6</v>
      </c>
      <c r="F309" s="6" t="s">
        <v>35</v>
      </c>
      <c r="G309" s="6" t="s">
        <v>18</v>
      </c>
      <c r="H309" s="6" t="n">
        <f aca="true">ROUND(RAND()*4+6,1)</f>
        <v>8.9</v>
      </c>
      <c r="I309" s="6" t="s">
        <v>36</v>
      </c>
      <c r="J309" s="6" t="str">
        <f aca="false">ROUND(75*1,0)&amp;"%"</f>
        <v>75%</v>
      </c>
    </row>
    <row r="310" customFormat="false" ht="15" hidden="false" customHeight="false" outlineLevel="0" collapsed="false">
      <c r="A310" s="5" t="s">
        <v>12737</v>
      </c>
      <c r="B310" s="5" t="s">
        <v>502</v>
      </c>
      <c r="C310" s="5" t="s">
        <v>114</v>
      </c>
      <c r="D310" s="5" t="s">
        <v>39</v>
      </c>
      <c r="E310" s="5" t="n">
        <f aca="false">ROUND(8510*1.05,2)</f>
        <v>8935.5</v>
      </c>
      <c r="F310" s="5" t="s">
        <v>40</v>
      </c>
      <c r="G310" s="5" t="s">
        <v>24</v>
      </c>
      <c r="H310" s="5" t="n">
        <f aca="true">ROUND(RAND()*4+6,1)</f>
        <v>9</v>
      </c>
      <c r="I310" s="5" t="s">
        <v>41</v>
      </c>
      <c r="J310" s="5" t="str">
        <f aca="false">ROUND(99*1,0)&amp;"%"</f>
        <v>99%</v>
      </c>
    </row>
    <row r="311" customFormat="false" ht="15" hidden="false" customHeight="false" outlineLevel="0" collapsed="false">
      <c r="A311" s="6" t="s">
        <v>12738</v>
      </c>
      <c r="B311" s="6" t="s">
        <v>504</v>
      </c>
      <c r="C311" s="6" t="s">
        <v>114</v>
      </c>
      <c r="D311" s="6" t="s">
        <v>44</v>
      </c>
      <c r="E311" s="6" t="n">
        <f aca="false">ROUND(12978*1.05,2)</f>
        <v>13626.9</v>
      </c>
      <c r="F311" s="6" t="s">
        <v>45</v>
      </c>
      <c r="G311" s="6" t="s">
        <v>30</v>
      </c>
      <c r="H311" s="6" t="n">
        <f aca="true">ROUND(RAND()*4+6,1)</f>
        <v>9.4</v>
      </c>
      <c r="I311" s="6" t="s">
        <v>46</v>
      </c>
      <c r="J311" s="6" t="str">
        <f aca="false">ROUND(77*1,0)&amp;"%"</f>
        <v>77%</v>
      </c>
    </row>
    <row r="312" customFormat="false" ht="15" hidden="false" customHeight="false" outlineLevel="0" collapsed="false">
      <c r="A312" s="5" t="s">
        <v>12739</v>
      </c>
      <c r="B312" s="5" t="s">
        <v>506</v>
      </c>
      <c r="C312" s="5" t="s">
        <v>114</v>
      </c>
      <c r="D312" s="5" t="s">
        <v>16</v>
      </c>
      <c r="E312" s="5" t="n">
        <f aca="false">ROUND(15117*1.05,2)</f>
        <v>15872.85</v>
      </c>
      <c r="F312" s="5" t="s">
        <v>49</v>
      </c>
      <c r="G312" s="5" t="s">
        <v>18</v>
      </c>
      <c r="H312" s="5" t="n">
        <f aca="true">ROUND(RAND()*4+6,1)</f>
        <v>6.1</v>
      </c>
      <c r="I312" s="5" t="s">
        <v>19</v>
      </c>
      <c r="J312" s="5" t="str">
        <f aca="false">ROUND(84*1,0)&amp;"%"</f>
        <v>84%</v>
      </c>
    </row>
    <row r="313" customFormat="false" ht="15" hidden="false" customHeight="false" outlineLevel="0" collapsed="false">
      <c r="A313" s="6" t="s">
        <v>12740</v>
      </c>
      <c r="B313" s="6" t="s">
        <v>508</v>
      </c>
      <c r="C313" s="6" t="s">
        <v>114</v>
      </c>
      <c r="D313" s="6" t="s">
        <v>22</v>
      </c>
      <c r="E313" s="6" t="n">
        <f aca="false">ROUND(14016*1.05,2)</f>
        <v>14716.8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12741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12742</v>
      </c>
      <c r="B318" s="5" t="s">
        <v>512</v>
      </c>
      <c r="C318" s="5" t="s">
        <v>133</v>
      </c>
      <c r="D318" s="5" t="s">
        <v>16</v>
      </c>
      <c r="E318" s="5" t="n">
        <f aca="false">ROUND(5367*1.05,2)</f>
        <v>5635.35</v>
      </c>
      <c r="F318" s="5" t="s">
        <v>17</v>
      </c>
      <c r="G318" s="5" t="s">
        <v>18</v>
      </c>
      <c r="H318" s="5" t="n">
        <f aca="true">ROUND(RAND()*4+6,1)</f>
        <v>6.5</v>
      </c>
      <c r="I318" s="5" t="s">
        <v>19</v>
      </c>
      <c r="J318" s="5" t="str">
        <f aca="false">ROUND(92*1,0)&amp;"%"</f>
        <v>92%</v>
      </c>
    </row>
    <row r="319" customFormat="false" ht="15" hidden="false" customHeight="false" outlineLevel="0" collapsed="false">
      <c r="A319" s="6" t="s">
        <v>12743</v>
      </c>
      <c r="B319" s="6" t="s">
        <v>514</v>
      </c>
      <c r="C319" s="6" t="s">
        <v>133</v>
      </c>
      <c r="D319" s="6" t="s">
        <v>22</v>
      </c>
      <c r="E319" s="6" t="n">
        <f aca="false">ROUND(8903*1.05,2)</f>
        <v>9348.15</v>
      </c>
      <c r="F319" s="6" t="s">
        <v>23</v>
      </c>
      <c r="G319" s="6" t="s">
        <v>24</v>
      </c>
      <c r="H319" s="6" t="n">
        <f aca="true">ROUND(RAND()*4+6,1)</f>
        <v>6.8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12744</v>
      </c>
      <c r="B320" s="5" t="s">
        <v>516</v>
      </c>
      <c r="C320" s="5" t="s">
        <v>133</v>
      </c>
      <c r="D320" s="5" t="s">
        <v>28</v>
      </c>
      <c r="E320" s="5" t="n">
        <f aca="false">ROUND(15530*1.05,2)</f>
        <v>16306.5</v>
      </c>
      <c r="F320" s="5" t="s">
        <v>29</v>
      </c>
      <c r="G320" s="5" t="s">
        <v>30</v>
      </c>
      <c r="H320" s="5" t="n">
        <f aca="true">ROUND(RAND()*4+6,1)</f>
        <v>8.1</v>
      </c>
      <c r="I320" s="5" t="s">
        <v>31</v>
      </c>
      <c r="J320" s="5" t="str">
        <f aca="false">ROUND(61*1,0)&amp;"%"</f>
        <v>61%</v>
      </c>
    </row>
    <row r="321" customFormat="false" ht="15" hidden="false" customHeight="false" outlineLevel="0" collapsed="false">
      <c r="A321" s="6" t="s">
        <v>12745</v>
      </c>
      <c r="B321" s="6" t="s">
        <v>518</v>
      </c>
      <c r="C321" s="6" t="s">
        <v>133</v>
      </c>
      <c r="D321" s="6" t="s">
        <v>34</v>
      </c>
      <c r="E321" s="6" t="n">
        <f aca="false">ROUND(15343*1.05,2)</f>
        <v>16110.15</v>
      </c>
      <c r="F321" s="6" t="s">
        <v>35</v>
      </c>
      <c r="G321" s="6" t="s">
        <v>18</v>
      </c>
      <c r="H321" s="6" t="n">
        <f aca="true">ROUND(RAND()*4+6,1)</f>
        <v>8.7</v>
      </c>
      <c r="I321" s="6" t="s">
        <v>36</v>
      </c>
      <c r="J321" s="6" t="str">
        <f aca="false">ROUND(72*1,0)&amp;"%"</f>
        <v>72%</v>
      </c>
    </row>
    <row r="322" customFormat="false" ht="15" hidden="false" customHeight="false" outlineLevel="0" collapsed="false">
      <c r="A322" s="5" t="s">
        <v>12746</v>
      </c>
      <c r="B322" s="5" t="s">
        <v>520</v>
      </c>
      <c r="C322" s="5" t="s">
        <v>133</v>
      </c>
      <c r="D322" s="5" t="s">
        <v>39</v>
      </c>
      <c r="E322" s="5" t="n">
        <f aca="false">ROUND(6416*1.05,2)</f>
        <v>6736.8</v>
      </c>
      <c r="F322" s="5" t="s">
        <v>40</v>
      </c>
      <c r="G322" s="5" t="s">
        <v>24</v>
      </c>
      <c r="H322" s="5" t="n">
        <f aca="true">ROUND(RAND()*4+6,1)</f>
        <v>7.5</v>
      </c>
      <c r="I322" s="5" t="s">
        <v>41</v>
      </c>
      <c r="J322" s="5" t="str">
        <f aca="false">ROUND(74*1,0)&amp;"%"</f>
        <v>74%</v>
      </c>
    </row>
    <row r="323" customFormat="false" ht="15" hidden="false" customHeight="false" outlineLevel="0" collapsed="false">
      <c r="A323" s="6" t="s">
        <v>12747</v>
      </c>
      <c r="B323" s="6" t="s">
        <v>522</v>
      </c>
      <c r="C323" s="6" t="s">
        <v>133</v>
      </c>
      <c r="D323" s="6" t="s">
        <v>44</v>
      </c>
      <c r="E323" s="6" t="n">
        <f aca="false">ROUND(17688*1.05,2)</f>
        <v>18572.4</v>
      </c>
      <c r="F323" s="6" t="s">
        <v>45</v>
      </c>
      <c r="G323" s="6" t="s">
        <v>30</v>
      </c>
      <c r="H323" s="6" t="n">
        <f aca="true">ROUND(RAND()*4+6,1)</f>
        <v>8.8</v>
      </c>
      <c r="I323" s="6" t="s">
        <v>46</v>
      </c>
      <c r="J323" s="6" t="str">
        <f aca="false">ROUND(81*1,0)&amp;"%"</f>
        <v>81%</v>
      </c>
    </row>
    <row r="324" customFormat="false" ht="15" hidden="false" customHeight="false" outlineLevel="0" collapsed="false">
      <c r="A324" s="5" t="s">
        <v>12748</v>
      </c>
      <c r="B324" s="5" t="s">
        <v>524</v>
      </c>
      <c r="C324" s="5" t="s">
        <v>133</v>
      </c>
      <c r="D324" s="5" t="s">
        <v>16</v>
      </c>
      <c r="E324" s="5" t="n">
        <f aca="false">ROUND(8918*1.05,2)</f>
        <v>9363.9</v>
      </c>
      <c r="F324" s="5" t="s">
        <v>49</v>
      </c>
      <c r="G324" s="5" t="s">
        <v>18</v>
      </c>
      <c r="H324" s="5" t="n">
        <f aca="true">ROUND(RAND()*4+6,1)</f>
        <v>7.1</v>
      </c>
      <c r="I324" s="5" t="s">
        <v>19</v>
      </c>
      <c r="J324" s="5" t="str">
        <f aca="false">ROUND(89*1,0)&amp;"%"</f>
        <v>89%</v>
      </c>
    </row>
    <row r="325" customFormat="false" ht="15" hidden="false" customHeight="false" outlineLevel="0" collapsed="false">
      <c r="A325" s="6" t="s">
        <v>12749</v>
      </c>
      <c r="B325" s="6" t="s">
        <v>526</v>
      </c>
      <c r="C325" s="6" t="s">
        <v>133</v>
      </c>
      <c r="D325" s="6" t="s">
        <v>22</v>
      </c>
      <c r="E325" s="6" t="n">
        <f aca="false">ROUND(7335*1.05,2)</f>
        <v>7701.75</v>
      </c>
      <c r="F325" s="6" t="s">
        <v>52</v>
      </c>
      <c r="G325" s="6" t="s">
        <v>24</v>
      </c>
      <c r="H325" s="6" t="n">
        <f aca="true">ROUND(RAND()*4+6,1)</f>
        <v>8</v>
      </c>
      <c r="I325" s="6" t="s">
        <v>25</v>
      </c>
      <c r="J325" s="6" t="str">
        <f aca="false">ROUND(92*1,0)&amp;"%"</f>
        <v>92%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12750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12751</v>
      </c>
      <c r="B330" s="5" t="s">
        <v>530</v>
      </c>
      <c r="C330" s="5" t="s">
        <v>152</v>
      </c>
      <c r="D330" s="5" t="s">
        <v>16</v>
      </c>
      <c r="E330" s="5" t="n">
        <f aca="false">ROUND(11857*1.05,2)</f>
        <v>12449.85</v>
      </c>
      <c r="F330" s="5" t="s">
        <v>17</v>
      </c>
      <c r="G330" s="5" t="s">
        <v>18</v>
      </c>
      <c r="H330" s="5" t="n">
        <f aca="true">ROUND(RAND()*4+6,1)</f>
        <v>9.7</v>
      </c>
      <c r="I330" s="5" t="s">
        <v>19</v>
      </c>
      <c r="J330" s="5" t="str">
        <f aca="false">ROUND(73*1,0)&amp;"%"</f>
        <v>73%</v>
      </c>
    </row>
    <row r="331" customFormat="false" ht="15" hidden="false" customHeight="false" outlineLevel="0" collapsed="false">
      <c r="A331" s="6" t="s">
        <v>12752</v>
      </c>
      <c r="B331" s="6" t="s">
        <v>532</v>
      </c>
      <c r="C331" s="6" t="s">
        <v>152</v>
      </c>
      <c r="D331" s="6" t="s">
        <v>22</v>
      </c>
      <c r="E331" s="6" t="n">
        <f aca="false">ROUND(13838*1.05,2)</f>
        <v>14529.9</v>
      </c>
      <c r="F331" s="6" t="s">
        <v>23</v>
      </c>
      <c r="G331" s="6" t="s">
        <v>24</v>
      </c>
      <c r="H331" s="6" t="n">
        <f aca="true">ROUND(RAND()*4+6,1)</f>
        <v>9.7</v>
      </c>
      <c r="I331" s="6" t="s">
        <v>25</v>
      </c>
      <c r="J331" s="6" t="str">
        <f aca="false">ROUND(80*1,0)&amp;"%"</f>
        <v>80%</v>
      </c>
    </row>
    <row r="332" customFormat="false" ht="15" hidden="false" customHeight="false" outlineLevel="0" collapsed="false">
      <c r="A332" s="5" t="s">
        <v>12753</v>
      </c>
      <c r="B332" s="5" t="s">
        <v>534</v>
      </c>
      <c r="C332" s="5" t="s">
        <v>152</v>
      </c>
      <c r="D332" s="5" t="s">
        <v>28</v>
      </c>
      <c r="E332" s="5" t="n">
        <f aca="false">ROUND(12150*1.05,2)</f>
        <v>12757.5</v>
      </c>
      <c r="F332" s="5" t="s">
        <v>29</v>
      </c>
      <c r="G332" s="5" t="s">
        <v>30</v>
      </c>
      <c r="H332" s="5" t="n">
        <f aca="true">ROUND(RAND()*4+6,1)</f>
        <v>7.3</v>
      </c>
      <c r="I332" s="5" t="s">
        <v>31</v>
      </c>
      <c r="J332" s="5" t="str">
        <f aca="false">ROUND(97*1,0)&amp;"%"</f>
        <v>97%</v>
      </c>
    </row>
    <row r="333" customFormat="false" ht="15" hidden="false" customHeight="false" outlineLevel="0" collapsed="false">
      <c r="A333" s="6" t="s">
        <v>12754</v>
      </c>
      <c r="B333" s="6" t="s">
        <v>536</v>
      </c>
      <c r="C333" s="6" t="s">
        <v>152</v>
      </c>
      <c r="D333" s="6" t="s">
        <v>34</v>
      </c>
      <c r="E333" s="6" t="n">
        <f aca="false">ROUND(10997*1.05,2)</f>
        <v>11546.85</v>
      </c>
      <c r="F333" s="6" t="s">
        <v>35</v>
      </c>
      <c r="G333" s="6" t="s">
        <v>18</v>
      </c>
      <c r="H333" s="6" t="n">
        <f aca="true">ROUND(RAND()*4+6,1)</f>
        <v>9.3</v>
      </c>
      <c r="I333" s="6" t="s">
        <v>36</v>
      </c>
      <c r="J333" s="6" t="str">
        <f aca="false">ROUND(68*1,0)&amp;"%"</f>
        <v>68%</v>
      </c>
    </row>
    <row r="334" customFormat="false" ht="15" hidden="false" customHeight="false" outlineLevel="0" collapsed="false">
      <c r="A334" s="5" t="s">
        <v>12755</v>
      </c>
      <c r="B334" s="5" t="s">
        <v>538</v>
      </c>
      <c r="C334" s="5" t="s">
        <v>152</v>
      </c>
      <c r="D334" s="5" t="s">
        <v>39</v>
      </c>
      <c r="E334" s="5" t="n">
        <f aca="false">ROUND(13894*1.05,2)</f>
        <v>14588.7</v>
      </c>
      <c r="F334" s="5" t="s">
        <v>40</v>
      </c>
      <c r="G334" s="5" t="s">
        <v>24</v>
      </c>
      <c r="H334" s="5" t="n">
        <f aca="true">ROUND(RAND()*4+6,1)</f>
        <v>8.3</v>
      </c>
      <c r="I334" s="5" t="s">
        <v>41</v>
      </c>
      <c r="J334" s="5" t="str">
        <f aca="false">ROUND(61*1,0)&amp;"%"</f>
        <v>61%</v>
      </c>
    </row>
    <row r="335" customFormat="false" ht="15" hidden="false" customHeight="false" outlineLevel="0" collapsed="false">
      <c r="A335" s="6" t="s">
        <v>12756</v>
      </c>
      <c r="B335" s="6" t="s">
        <v>540</v>
      </c>
      <c r="C335" s="6" t="s">
        <v>152</v>
      </c>
      <c r="D335" s="6" t="s">
        <v>44</v>
      </c>
      <c r="E335" s="6" t="n">
        <f aca="false">ROUND(12534*1.05,2)</f>
        <v>13160.7</v>
      </c>
      <c r="F335" s="6" t="s">
        <v>45</v>
      </c>
      <c r="G335" s="6" t="s">
        <v>30</v>
      </c>
      <c r="H335" s="6" t="n">
        <f aca="true">ROUND(RAND()*4+6,1)</f>
        <v>8.4</v>
      </c>
      <c r="I335" s="6" t="s">
        <v>46</v>
      </c>
      <c r="J335" s="6" t="str">
        <f aca="false">ROUND(74*1,0)&amp;"%"</f>
        <v>74%</v>
      </c>
    </row>
    <row r="336" customFormat="false" ht="15" hidden="false" customHeight="false" outlineLevel="0" collapsed="false">
      <c r="A336" s="5" t="s">
        <v>12757</v>
      </c>
      <c r="B336" s="5" t="s">
        <v>542</v>
      </c>
      <c r="C336" s="5" t="s">
        <v>152</v>
      </c>
      <c r="D336" s="5" t="s">
        <v>16</v>
      </c>
      <c r="E336" s="5" t="n">
        <f aca="false">ROUND(10370*1.05,2)</f>
        <v>10888.5</v>
      </c>
      <c r="F336" s="5" t="s">
        <v>49</v>
      </c>
      <c r="G336" s="5" t="s">
        <v>18</v>
      </c>
      <c r="H336" s="5" t="n">
        <f aca="true">ROUND(RAND()*4+6,1)</f>
        <v>9.7</v>
      </c>
      <c r="I336" s="5" t="s">
        <v>19</v>
      </c>
      <c r="J336" s="5" t="str">
        <f aca="false">ROUND(86*1,0)&amp;"%"</f>
        <v>86%</v>
      </c>
    </row>
    <row r="337" customFormat="false" ht="15" hidden="false" customHeight="false" outlineLevel="0" collapsed="false">
      <c r="A337" s="6" t="s">
        <v>12758</v>
      </c>
      <c r="B337" s="6" t="s">
        <v>544</v>
      </c>
      <c r="C337" s="6" t="s">
        <v>152</v>
      </c>
      <c r="D337" s="6" t="s">
        <v>22</v>
      </c>
      <c r="E337" s="6" t="n">
        <f aca="false">ROUND(11927*1.05,2)</f>
        <v>12523.35</v>
      </c>
      <c r="F337" s="6" t="s">
        <v>52</v>
      </c>
      <c r="G337" s="6" t="s">
        <v>24</v>
      </c>
      <c r="H337" s="6" t="n">
        <f aca="true">ROUND(RAND()*4+6,1)</f>
        <v>7.1</v>
      </c>
      <c r="I337" s="6" t="s">
        <v>25</v>
      </c>
      <c r="J337" s="6" t="str">
        <f aca="false">ROUND(67*1,0)&amp;"%"</f>
        <v>67%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12759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12760</v>
      </c>
      <c r="B342" s="5" t="s">
        <v>548</v>
      </c>
      <c r="C342" s="5" t="s">
        <v>15</v>
      </c>
      <c r="D342" s="5" t="s">
        <v>16</v>
      </c>
      <c r="E342" s="5" t="n">
        <f aca="false">ROUND(4215*1.05,2)</f>
        <v>4425.75</v>
      </c>
      <c r="F342" s="5" t="s">
        <v>17</v>
      </c>
      <c r="G342" s="5" t="s">
        <v>18</v>
      </c>
      <c r="H342" s="5" t="n">
        <f aca="true">ROUND(RAND()*4+6,1)</f>
        <v>9.2</v>
      </c>
      <c r="I342" s="5" t="s">
        <v>19</v>
      </c>
      <c r="J342" s="5" t="str">
        <f aca="false">ROUND(72*1,0)&amp;"%"</f>
        <v>72%</v>
      </c>
    </row>
    <row r="343" customFormat="false" ht="15" hidden="false" customHeight="false" outlineLevel="0" collapsed="false">
      <c r="A343" s="6" t="s">
        <v>12761</v>
      </c>
      <c r="B343" s="6" t="s">
        <v>550</v>
      </c>
      <c r="C343" s="6" t="s">
        <v>15</v>
      </c>
      <c r="D343" s="6" t="s">
        <v>22</v>
      </c>
      <c r="E343" s="6" t="n">
        <f aca="false">ROUND(16579*1.05,2)</f>
        <v>17407.95</v>
      </c>
      <c r="F343" s="6" t="s">
        <v>23</v>
      </c>
      <c r="G343" s="6" t="s">
        <v>24</v>
      </c>
      <c r="H343" s="6" t="n">
        <f aca="true">ROUND(RAND()*4+6,1)</f>
        <v>8.6</v>
      </c>
      <c r="I343" s="6" t="s">
        <v>25</v>
      </c>
      <c r="J343" s="6" t="str">
        <f aca="false">ROUND(68*1,0)&amp;"%"</f>
        <v>68%</v>
      </c>
    </row>
    <row r="344" customFormat="false" ht="15" hidden="false" customHeight="false" outlineLevel="0" collapsed="false">
      <c r="A344" s="5" t="s">
        <v>12762</v>
      </c>
      <c r="B344" s="5" t="s">
        <v>552</v>
      </c>
      <c r="C344" s="5" t="s">
        <v>15</v>
      </c>
      <c r="D344" s="5" t="s">
        <v>28</v>
      </c>
      <c r="E344" s="5" t="n">
        <f aca="false">ROUND(12445*1.05,2)</f>
        <v>13067.25</v>
      </c>
      <c r="F344" s="5" t="s">
        <v>29</v>
      </c>
      <c r="G344" s="5" t="s">
        <v>30</v>
      </c>
      <c r="H344" s="5" t="n">
        <f aca="true">ROUND(RAND()*4+6,1)</f>
        <v>7.9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12763</v>
      </c>
      <c r="B345" s="6" t="s">
        <v>554</v>
      </c>
      <c r="C345" s="6" t="s">
        <v>15</v>
      </c>
      <c r="D345" s="6" t="s">
        <v>34</v>
      </c>
      <c r="E345" s="6" t="n">
        <f aca="false">ROUND(4153*1.05,2)</f>
        <v>4360.65</v>
      </c>
      <c r="F345" s="6" t="s">
        <v>35</v>
      </c>
      <c r="G345" s="6" t="s">
        <v>18</v>
      </c>
      <c r="H345" s="6" t="n">
        <f aca="true">ROUND(RAND()*4+6,1)</f>
        <v>7.3</v>
      </c>
      <c r="I345" s="6" t="s">
        <v>36</v>
      </c>
      <c r="J345" s="6" t="str">
        <f aca="false">ROUND(77*1,0)&amp;"%"</f>
        <v>77%</v>
      </c>
    </row>
    <row r="346" customFormat="false" ht="15" hidden="false" customHeight="false" outlineLevel="0" collapsed="false">
      <c r="A346" s="5" t="s">
        <v>12764</v>
      </c>
      <c r="B346" s="5" t="s">
        <v>556</v>
      </c>
      <c r="C346" s="5" t="s">
        <v>15</v>
      </c>
      <c r="D346" s="5" t="s">
        <v>39</v>
      </c>
      <c r="E346" s="5" t="n">
        <f aca="false">ROUND(8329*1.05,2)</f>
        <v>8745.45</v>
      </c>
      <c r="F346" s="5" t="s">
        <v>40</v>
      </c>
      <c r="G346" s="5" t="s">
        <v>24</v>
      </c>
      <c r="H346" s="5" t="n">
        <f aca="true">ROUND(RAND()*4+6,1)</f>
        <v>9.4</v>
      </c>
      <c r="I346" s="5" t="s">
        <v>41</v>
      </c>
      <c r="J346" s="5" t="str">
        <f aca="false">ROUND(100*1,0)&amp;"%"</f>
        <v>100%</v>
      </c>
    </row>
    <row r="347" customFormat="false" ht="15" hidden="false" customHeight="false" outlineLevel="0" collapsed="false">
      <c r="A347" s="6" t="s">
        <v>12765</v>
      </c>
      <c r="B347" s="6" t="s">
        <v>558</v>
      </c>
      <c r="C347" s="6" t="s">
        <v>15</v>
      </c>
      <c r="D347" s="6" t="s">
        <v>44</v>
      </c>
      <c r="E347" s="6" t="n">
        <f aca="false">ROUND(13371*1.05,2)</f>
        <v>14039.55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ROUND(93*1,0)&amp;"%"</f>
        <v>93%</v>
      </c>
    </row>
    <row r="348" customFormat="false" ht="15" hidden="false" customHeight="false" outlineLevel="0" collapsed="false">
      <c r="A348" s="5" t="s">
        <v>12766</v>
      </c>
      <c r="B348" s="5" t="s">
        <v>560</v>
      </c>
      <c r="C348" s="5" t="s">
        <v>15</v>
      </c>
      <c r="D348" s="5" t="s">
        <v>16</v>
      </c>
      <c r="E348" s="5" t="n">
        <f aca="false">ROUND(6487*1.05,2)</f>
        <v>6811.35</v>
      </c>
      <c r="F348" s="5" t="s">
        <v>49</v>
      </c>
      <c r="G348" s="5" t="s">
        <v>18</v>
      </c>
      <c r="H348" s="5" t="n">
        <f aca="true">ROUND(RAND()*4+6,1)</f>
        <v>6.3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12767</v>
      </c>
      <c r="B349" s="6" t="s">
        <v>562</v>
      </c>
      <c r="C349" s="6" t="s">
        <v>15</v>
      </c>
      <c r="D349" s="6" t="s">
        <v>22</v>
      </c>
      <c r="E349" s="6" t="n">
        <f aca="false">ROUND(8988*1.05,2)</f>
        <v>9437.4</v>
      </c>
      <c r="F349" s="6" t="s">
        <v>52</v>
      </c>
      <c r="G349" s="6" t="s">
        <v>24</v>
      </c>
      <c r="H349" s="6" t="n">
        <f aca="true">ROUND(RAND()*4+6,1)</f>
        <v>9.7</v>
      </c>
      <c r="I349" s="6" t="s">
        <v>25</v>
      </c>
      <c r="J349" s="6" t="str">
        <f aca="false">ROUND(88*1,0)&amp;"%"</f>
        <v>88%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12768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12769</v>
      </c>
      <c r="B354" s="5" t="s">
        <v>566</v>
      </c>
      <c r="C354" s="5" t="s">
        <v>57</v>
      </c>
      <c r="D354" s="5" t="s">
        <v>16</v>
      </c>
      <c r="E354" s="5" t="n">
        <f aca="false">ROUND(11341*1.05,2)</f>
        <v>11908.05</v>
      </c>
      <c r="F354" s="5" t="s">
        <v>17</v>
      </c>
      <c r="G354" s="5" t="s">
        <v>18</v>
      </c>
      <c r="H354" s="5" t="n">
        <f aca="true">ROUND(RAND()*4+6,1)</f>
        <v>9.2</v>
      </c>
      <c r="I354" s="5" t="s">
        <v>19</v>
      </c>
      <c r="J354" s="5" t="str">
        <f aca="false">ROUND(65*1,0)&amp;"%"</f>
        <v>65%</v>
      </c>
    </row>
    <row r="355" customFormat="false" ht="15" hidden="false" customHeight="false" outlineLevel="0" collapsed="false">
      <c r="A355" s="6" t="s">
        <v>12770</v>
      </c>
      <c r="B355" s="6" t="s">
        <v>568</v>
      </c>
      <c r="C355" s="6" t="s">
        <v>57</v>
      </c>
      <c r="D355" s="6" t="s">
        <v>22</v>
      </c>
      <c r="E355" s="6" t="n">
        <f aca="false">ROUND(8249*1.05,2)</f>
        <v>8661.45</v>
      </c>
      <c r="F355" s="6" t="s">
        <v>23</v>
      </c>
      <c r="G355" s="6" t="s">
        <v>24</v>
      </c>
      <c r="H355" s="6" t="n">
        <f aca="true">ROUND(RAND()*4+6,1)</f>
        <v>9.2</v>
      </c>
      <c r="I355" s="6" t="s">
        <v>25</v>
      </c>
      <c r="J355" s="6" t="str">
        <f aca="false">ROUND(84*1,0)&amp;"%"</f>
        <v>84%</v>
      </c>
    </row>
    <row r="356" customFormat="false" ht="15" hidden="false" customHeight="false" outlineLevel="0" collapsed="false">
      <c r="A356" s="5" t="s">
        <v>12771</v>
      </c>
      <c r="B356" s="5" t="s">
        <v>570</v>
      </c>
      <c r="C356" s="5" t="s">
        <v>57</v>
      </c>
      <c r="D356" s="5" t="s">
        <v>28</v>
      </c>
      <c r="E356" s="5" t="n">
        <f aca="false">ROUND(5462*1.05,2)</f>
        <v>5735.1</v>
      </c>
      <c r="F356" s="5" t="s">
        <v>29</v>
      </c>
      <c r="G356" s="5" t="s">
        <v>30</v>
      </c>
      <c r="H356" s="5" t="n">
        <f aca="true">ROUND(RAND()*4+6,1)</f>
        <v>7.1</v>
      </c>
      <c r="I356" s="5" t="s">
        <v>31</v>
      </c>
      <c r="J356" s="5" t="str">
        <f aca="false">ROUND(81*1,0)&amp;"%"</f>
        <v>81%</v>
      </c>
    </row>
    <row r="357" customFormat="false" ht="15" hidden="false" customHeight="false" outlineLevel="0" collapsed="false">
      <c r="A357" s="6" t="s">
        <v>12772</v>
      </c>
      <c r="B357" s="6" t="s">
        <v>572</v>
      </c>
      <c r="C357" s="6" t="s">
        <v>57</v>
      </c>
      <c r="D357" s="6" t="s">
        <v>34</v>
      </c>
      <c r="E357" s="6" t="n">
        <f aca="false">ROUND(13824*1.05,2)</f>
        <v>14515.2</v>
      </c>
      <c r="F357" s="6" t="s">
        <v>35</v>
      </c>
      <c r="G357" s="6" t="s">
        <v>18</v>
      </c>
      <c r="H357" s="6" t="n">
        <f aca="true">ROUND(RAND()*4+6,1)</f>
        <v>8.4</v>
      </c>
      <c r="I357" s="6" t="s">
        <v>36</v>
      </c>
      <c r="J357" s="6" t="str">
        <f aca="false">ROUND(70*1,0)&amp;"%"</f>
        <v>70%</v>
      </c>
    </row>
    <row r="358" customFormat="false" ht="15" hidden="false" customHeight="false" outlineLevel="0" collapsed="false">
      <c r="A358" s="5" t="s">
        <v>12773</v>
      </c>
      <c r="B358" s="5" t="s">
        <v>574</v>
      </c>
      <c r="C358" s="5" t="s">
        <v>57</v>
      </c>
      <c r="D358" s="5" t="s">
        <v>39</v>
      </c>
      <c r="E358" s="5" t="n">
        <f aca="false">ROUND(16199*1.05,2)</f>
        <v>17008.95</v>
      </c>
      <c r="F358" s="5" t="s">
        <v>40</v>
      </c>
      <c r="G358" s="5" t="s">
        <v>24</v>
      </c>
      <c r="H358" s="5" t="n">
        <f aca="true">ROUND(RAND()*4+6,1)</f>
        <v>9.6</v>
      </c>
      <c r="I358" s="5" t="s">
        <v>41</v>
      </c>
      <c r="J358" s="5" t="str">
        <f aca="false">ROUND(71*1,0)&amp;"%"</f>
        <v>71%</v>
      </c>
    </row>
    <row r="359" customFormat="false" ht="15" hidden="false" customHeight="false" outlineLevel="0" collapsed="false">
      <c r="A359" s="6" t="s">
        <v>12774</v>
      </c>
      <c r="B359" s="6" t="s">
        <v>576</v>
      </c>
      <c r="C359" s="6" t="s">
        <v>57</v>
      </c>
      <c r="D359" s="6" t="s">
        <v>44</v>
      </c>
      <c r="E359" s="6" t="n">
        <f aca="false">ROUND(12445*1.05,2)</f>
        <v>13067.25</v>
      </c>
      <c r="F359" s="6" t="s">
        <v>45</v>
      </c>
      <c r="G359" s="6" t="s">
        <v>30</v>
      </c>
      <c r="H359" s="6" t="n">
        <f aca="true">ROUND(RAND()*4+6,1)</f>
        <v>9.3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12775</v>
      </c>
      <c r="B360" s="5" t="s">
        <v>578</v>
      </c>
      <c r="C360" s="5" t="s">
        <v>57</v>
      </c>
      <c r="D360" s="5" t="s">
        <v>16</v>
      </c>
      <c r="E360" s="5" t="n">
        <f aca="false">ROUND(12884*1.05,2)</f>
        <v>13528.2</v>
      </c>
      <c r="F360" s="5" t="s">
        <v>49</v>
      </c>
      <c r="G360" s="5" t="s">
        <v>18</v>
      </c>
      <c r="H360" s="5" t="n">
        <f aca="true">ROUND(RAND()*4+6,1)</f>
        <v>8.5</v>
      </c>
      <c r="I360" s="5" t="s">
        <v>19</v>
      </c>
      <c r="J360" s="5" t="str">
        <f aca="false">ROUND(77*1,0)&amp;"%"</f>
        <v>77%</v>
      </c>
    </row>
    <row r="361" customFormat="false" ht="15" hidden="false" customHeight="false" outlineLevel="0" collapsed="false">
      <c r="A361" s="6" t="s">
        <v>12776</v>
      </c>
      <c r="B361" s="6" t="s">
        <v>580</v>
      </c>
      <c r="C361" s="6" t="s">
        <v>57</v>
      </c>
      <c r="D361" s="6" t="s">
        <v>22</v>
      </c>
      <c r="E361" s="6" t="n">
        <f aca="false">ROUND(5704*1.05,2)</f>
        <v>5989.2</v>
      </c>
      <c r="F361" s="6" t="s">
        <v>52</v>
      </c>
      <c r="G361" s="6" t="s">
        <v>24</v>
      </c>
      <c r="H361" s="6" t="n">
        <f aca="true">ROUND(RAND()*4+6,1)</f>
        <v>7.2</v>
      </c>
      <c r="I361" s="6" t="s">
        <v>25</v>
      </c>
      <c r="J361" s="6" t="str">
        <f aca="false">ROUND(83*1,0)&amp;"%"</f>
        <v>83%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12777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12778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12779</v>
      </c>
      <c r="B6" s="5" t="s">
        <v>14</v>
      </c>
      <c r="C6" s="5" t="s">
        <v>15</v>
      </c>
      <c r="D6" s="5" t="s">
        <v>16</v>
      </c>
      <c r="E6" s="5" t="n">
        <f aca="false">ROUND(5356*1.05,2)</f>
        <v>5623.8</v>
      </c>
      <c r="F6" s="5" t="s">
        <v>17</v>
      </c>
      <c r="G6" s="5" t="s">
        <v>18</v>
      </c>
      <c r="H6" s="5" t="n">
        <f aca="true">ROUND(RAND()*4+6,1)</f>
        <v>9.7</v>
      </c>
      <c r="I6" s="5" t="s">
        <v>19</v>
      </c>
      <c r="J6" s="5" t="str">
        <f aca="false">ROUND(78*1,0)&amp;"%"</f>
        <v>78%</v>
      </c>
    </row>
    <row r="7" customFormat="false" ht="15" hidden="false" customHeight="false" outlineLevel="0" collapsed="false">
      <c r="A7" s="6" t="s">
        <v>12780</v>
      </c>
      <c r="B7" s="6" t="s">
        <v>21</v>
      </c>
      <c r="C7" s="6" t="s">
        <v>15</v>
      </c>
      <c r="D7" s="6" t="s">
        <v>22</v>
      </c>
      <c r="E7" s="6" t="n">
        <f aca="false">ROUND(17884*1.05,2)</f>
        <v>18778.2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ROUND(84*1,0)&amp;"%"</f>
        <v>84%</v>
      </c>
    </row>
    <row r="8" customFormat="false" ht="15" hidden="false" customHeight="false" outlineLevel="0" collapsed="false">
      <c r="A8" s="5" t="s">
        <v>12781</v>
      </c>
      <c r="B8" s="5" t="s">
        <v>27</v>
      </c>
      <c r="C8" s="5" t="s">
        <v>15</v>
      </c>
      <c r="D8" s="5" t="s">
        <v>28</v>
      </c>
      <c r="E8" s="5" t="n">
        <f aca="false">ROUND(12933*1.05,2)</f>
        <v>13579.65</v>
      </c>
      <c r="F8" s="5" t="s">
        <v>29</v>
      </c>
      <c r="G8" s="5" t="s">
        <v>30</v>
      </c>
      <c r="H8" s="5" t="n">
        <f aca="true">ROUND(RAND()*4+6,1)</f>
        <v>6.9</v>
      </c>
      <c r="I8" s="5" t="s">
        <v>31</v>
      </c>
      <c r="J8" s="5" t="str">
        <f aca="false">ROUND(84*1,0)&amp;"%"</f>
        <v>84%</v>
      </c>
    </row>
    <row r="9" customFormat="false" ht="15" hidden="false" customHeight="false" outlineLevel="0" collapsed="false">
      <c r="A9" s="6" t="s">
        <v>12782</v>
      </c>
      <c r="B9" s="6" t="s">
        <v>33</v>
      </c>
      <c r="C9" s="6" t="s">
        <v>15</v>
      </c>
      <c r="D9" s="6" t="s">
        <v>34</v>
      </c>
      <c r="E9" s="6" t="n">
        <f aca="false">ROUND(17416*1.05,2)</f>
        <v>18286.8</v>
      </c>
      <c r="F9" s="6" t="s">
        <v>35</v>
      </c>
      <c r="G9" s="6" t="s">
        <v>18</v>
      </c>
      <c r="H9" s="6" t="n">
        <f aca="true">ROUND(RAND()*4+6,1)</f>
        <v>9.5</v>
      </c>
      <c r="I9" s="6" t="s">
        <v>36</v>
      </c>
      <c r="J9" s="6" t="str">
        <f aca="false">ROUND(74*1,0)&amp;"%"</f>
        <v>74%</v>
      </c>
    </row>
    <row r="10" customFormat="false" ht="15" hidden="false" customHeight="false" outlineLevel="0" collapsed="false">
      <c r="A10" s="5" t="s">
        <v>12783</v>
      </c>
      <c r="B10" s="5" t="s">
        <v>38</v>
      </c>
      <c r="C10" s="5" t="s">
        <v>15</v>
      </c>
      <c r="D10" s="5" t="s">
        <v>39</v>
      </c>
      <c r="E10" s="5" t="n">
        <f aca="false">ROUND(7672*1.05,2)</f>
        <v>8055.6</v>
      </c>
      <c r="F10" s="5" t="s">
        <v>40</v>
      </c>
      <c r="G10" s="5" t="s">
        <v>24</v>
      </c>
      <c r="H10" s="5" t="n">
        <f aca="true">ROUND(RAND()*4+6,1)</f>
        <v>8.7</v>
      </c>
      <c r="I10" s="5" t="s">
        <v>41</v>
      </c>
      <c r="J10" s="5" t="str">
        <f aca="false">ROUND(77*1,0)&amp;"%"</f>
        <v>77%</v>
      </c>
    </row>
    <row r="11" customFormat="false" ht="15" hidden="false" customHeight="false" outlineLevel="0" collapsed="false">
      <c r="A11" s="6" t="s">
        <v>12784</v>
      </c>
      <c r="B11" s="6" t="s">
        <v>43</v>
      </c>
      <c r="C11" s="6" t="s">
        <v>15</v>
      </c>
      <c r="D11" s="6" t="s">
        <v>44</v>
      </c>
      <c r="E11" s="6" t="n">
        <f aca="false">ROUND(10035*1.05,2)</f>
        <v>10536.75</v>
      </c>
      <c r="F11" s="6" t="s">
        <v>45</v>
      </c>
      <c r="G11" s="6" t="s">
        <v>30</v>
      </c>
      <c r="H11" s="6" t="n">
        <f aca="true">ROUND(RAND()*4+6,1)</f>
        <v>6.3</v>
      </c>
      <c r="I11" s="6" t="s">
        <v>46</v>
      </c>
      <c r="J11" s="6" t="str">
        <f aca="false">ROUND(82*1,0)&amp;"%"</f>
        <v>82%</v>
      </c>
    </row>
    <row r="12" customFormat="false" ht="15" hidden="false" customHeight="false" outlineLevel="0" collapsed="false">
      <c r="A12" s="5" t="s">
        <v>12785</v>
      </c>
      <c r="B12" s="5" t="s">
        <v>48</v>
      </c>
      <c r="C12" s="5" t="s">
        <v>15</v>
      </c>
      <c r="D12" s="5" t="s">
        <v>16</v>
      </c>
      <c r="E12" s="5" t="n">
        <f aca="false">ROUND(15635*1.05,2)</f>
        <v>16416.75</v>
      </c>
      <c r="F12" s="5" t="s">
        <v>49</v>
      </c>
      <c r="G12" s="5" t="s">
        <v>18</v>
      </c>
      <c r="H12" s="5" t="n">
        <f aca="true">ROUND(RAND()*4+6,1)</f>
        <v>6.4</v>
      </c>
      <c r="I12" s="5" t="s">
        <v>19</v>
      </c>
      <c r="J12" s="5" t="str">
        <f aca="false">ROUND(68*1,0)&amp;"%"</f>
        <v>68%</v>
      </c>
    </row>
    <row r="13" customFormat="false" ht="15" hidden="false" customHeight="false" outlineLevel="0" collapsed="false">
      <c r="A13" s="6" t="s">
        <v>12786</v>
      </c>
      <c r="B13" s="6" t="s">
        <v>51</v>
      </c>
      <c r="C13" s="6" t="s">
        <v>15</v>
      </c>
      <c r="D13" s="6" t="s">
        <v>22</v>
      </c>
      <c r="E13" s="6" t="n">
        <f aca="false">ROUND(11222*1.05,2)</f>
        <v>11783.1</v>
      </c>
      <c r="F13" s="6" t="s">
        <v>52</v>
      </c>
      <c r="G13" s="6" t="s">
        <v>24</v>
      </c>
      <c r="H13" s="6" t="n">
        <f aca="true">ROUND(RAND()*4+6,1)</f>
        <v>7.5</v>
      </c>
      <c r="I13" s="6" t="s">
        <v>25</v>
      </c>
      <c r="J13" s="6" t="str">
        <f aca="false">ROUND(83*1,0)&amp;"%"</f>
        <v>83%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12787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12788</v>
      </c>
      <c r="B18" s="5" t="s">
        <v>56</v>
      </c>
      <c r="C18" s="5" t="s">
        <v>57</v>
      </c>
      <c r="D18" s="5" t="s">
        <v>16</v>
      </c>
      <c r="E18" s="5" t="n">
        <f aca="false">ROUND(12131*1.05,2)</f>
        <v>12737.55</v>
      </c>
      <c r="F18" s="5" t="s">
        <v>17</v>
      </c>
      <c r="G18" s="5" t="s">
        <v>18</v>
      </c>
      <c r="H18" s="5" t="n">
        <f aca="true">ROUND(RAND()*4+6,1)</f>
        <v>7.1</v>
      </c>
      <c r="I18" s="5" t="s">
        <v>19</v>
      </c>
      <c r="J18" s="5" t="str">
        <f aca="false">ROUND(92*1,0)&amp;"%"</f>
        <v>92%</v>
      </c>
    </row>
    <row r="19" customFormat="false" ht="15" hidden="false" customHeight="false" outlineLevel="0" collapsed="false">
      <c r="A19" s="6" t="s">
        <v>12789</v>
      </c>
      <c r="B19" s="6" t="s">
        <v>59</v>
      </c>
      <c r="C19" s="6" t="s">
        <v>57</v>
      </c>
      <c r="D19" s="6" t="s">
        <v>22</v>
      </c>
      <c r="E19" s="6" t="n">
        <f aca="false">ROUND(7427*1.05,2)</f>
        <v>7798.35</v>
      </c>
      <c r="F19" s="6" t="s">
        <v>23</v>
      </c>
      <c r="G19" s="6" t="s">
        <v>24</v>
      </c>
      <c r="H19" s="6" t="n">
        <f aca="true">ROUND(RAND()*4+6,1)</f>
        <v>9.8</v>
      </c>
      <c r="I19" s="6" t="s">
        <v>25</v>
      </c>
      <c r="J19" s="6" t="str">
        <f aca="false">ROUND(86*1,0)&amp;"%"</f>
        <v>86%</v>
      </c>
    </row>
    <row r="20" customFormat="false" ht="15" hidden="false" customHeight="false" outlineLevel="0" collapsed="false">
      <c r="A20" s="5" t="s">
        <v>12790</v>
      </c>
      <c r="B20" s="5" t="s">
        <v>61</v>
      </c>
      <c r="C20" s="5" t="s">
        <v>57</v>
      </c>
      <c r="D20" s="5" t="s">
        <v>28</v>
      </c>
      <c r="E20" s="5" t="n">
        <f aca="false">ROUND(13838*1.05,2)</f>
        <v>14529.9</v>
      </c>
      <c r="F20" s="5" t="s">
        <v>29</v>
      </c>
      <c r="G20" s="5" t="s">
        <v>30</v>
      </c>
      <c r="H20" s="5" t="n">
        <f aca="true">ROUND(RAND()*4+6,1)</f>
        <v>7.4</v>
      </c>
      <c r="I20" s="5" t="s">
        <v>31</v>
      </c>
      <c r="J20" s="5" t="str">
        <f aca="false">ROUND(93*1,0)&amp;"%"</f>
        <v>93%</v>
      </c>
    </row>
    <row r="21" customFormat="false" ht="15" hidden="false" customHeight="false" outlineLevel="0" collapsed="false">
      <c r="A21" s="6" t="s">
        <v>12791</v>
      </c>
      <c r="B21" s="6" t="s">
        <v>63</v>
      </c>
      <c r="C21" s="6" t="s">
        <v>57</v>
      </c>
      <c r="D21" s="6" t="s">
        <v>34</v>
      </c>
      <c r="E21" s="6" t="n">
        <f aca="false">ROUND(6243*1.05,2)</f>
        <v>6555.15</v>
      </c>
      <c r="F21" s="6" t="s">
        <v>35</v>
      </c>
      <c r="G21" s="6" t="s">
        <v>18</v>
      </c>
      <c r="H21" s="6" t="n">
        <f aca="true">ROUND(RAND()*4+6,1)</f>
        <v>8.2</v>
      </c>
      <c r="I21" s="6" t="s">
        <v>36</v>
      </c>
      <c r="J21" s="6" t="str">
        <f aca="false">ROUND(95*1,0)&amp;"%"</f>
        <v>95%</v>
      </c>
    </row>
    <row r="22" customFormat="false" ht="15" hidden="false" customHeight="false" outlineLevel="0" collapsed="false">
      <c r="A22" s="5" t="s">
        <v>12792</v>
      </c>
      <c r="B22" s="5" t="s">
        <v>65</v>
      </c>
      <c r="C22" s="5" t="s">
        <v>57</v>
      </c>
      <c r="D22" s="5" t="s">
        <v>39</v>
      </c>
      <c r="E22" s="5" t="n">
        <f aca="false">ROUND(6307*1.05,2)</f>
        <v>6622.35</v>
      </c>
      <c r="F22" s="5" t="s">
        <v>40</v>
      </c>
      <c r="G22" s="5" t="s">
        <v>24</v>
      </c>
      <c r="H22" s="5" t="n">
        <f aca="true">ROUND(RAND()*4+6,1)</f>
        <v>7.2</v>
      </c>
      <c r="I22" s="5" t="s">
        <v>41</v>
      </c>
      <c r="J22" s="5" t="str">
        <f aca="false">ROUND(64*1,0)&amp;"%"</f>
        <v>64%</v>
      </c>
    </row>
    <row r="23" customFormat="false" ht="15" hidden="false" customHeight="false" outlineLevel="0" collapsed="false">
      <c r="A23" s="6" t="s">
        <v>12793</v>
      </c>
      <c r="B23" s="6" t="s">
        <v>67</v>
      </c>
      <c r="C23" s="6" t="s">
        <v>57</v>
      </c>
      <c r="D23" s="6" t="s">
        <v>44</v>
      </c>
      <c r="E23" s="6" t="n">
        <f aca="false">ROUND(14275*1.05,2)</f>
        <v>14988.75</v>
      </c>
      <c r="F23" s="6" t="s">
        <v>45</v>
      </c>
      <c r="G23" s="6" t="s">
        <v>30</v>
      </c>
      <c r="H23" s="6" t="n">
        <f aca="true">ROUND(RAND()*4+6,1)</f>
        <v>6.3</v>
      </c>
      <c r="I23" s="6" t="s">
        <v>46</v>
      </c>
      <c r="J23" s="6" t="str">
        <f aca="false">ROUND(67*1,0)&amp;"%"</f>
        <v>67%</v>
      </c>
    </row>
    <row r="24" customFormat="false" ht="15" hidden="false" customHeight="false" outlineLevel="0" collapsed="false">
      <c r="A24" s="5" t="s">
        <v>12794</v>
      </c>
      <c r="B24" s="5" t="s">
        <v>69</v>
      </c>
      <c r="C24" s="5" t="s">
        <v>57</v>
      </c>
      <c r="D24" s="5" t="s">
        <v>16</v>
      </c>
      <c r="E24" s="5" t="n">
        <f aca="false">ROUND(10927*1.05,2)</f>
        <v>11473.35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ROUND(78*1,0)&amp;"%"</f>
        <v>78%</v>
      </c>
    </row>
    <row r="25" customFormat="false" ht="15" hidden="false" customHeight="false" outlineLevel="0" collapsed="false">
      <c r="A25" s="6" t="s">
        <v>12795</v>
      </c>
      <c r="B25" s="6" t="s">
        <v>71</v>
      </c>
      <c r="C25" s="6" t="s">
        <v>57</v>
      </c>
      <c r="D25" s="6" t="s">
        <v>22</v>
      </c>
      <c r="E25" s="6" t="n">
        <f aca="false">ROUND(6958*1.05,2)</f>
        <v>7305.9</v>
      </c>
      <c r="F25" s="6" t="s">
        <v>52</v>
      </c>
      <c r="G25" s="6" t="s">
        <v>24</v>
      </c>
      <c r="H25" s="6" t="n">
        <f aca="true">ROUND(RAND()*4+6,1)</f>
        <v>9.4</v>
      </c>
      <c r="I25" s="6" t="s">
        <v>25</v>
      </c>
      <c r="J25" s="6" t="str">
        <f aca="false">ROUND(80*1,0)&amp;"%"</f>
        <v>80%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12796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12797</v>
      </c>
      <c r="B30" s="5" t="s">
        <v>75</v>
      </c>
      <c r="C30" s="5" t="s">
        <v>76</v>
      </c>
      <c r="D30" s="5" t="s">
        <v>16</v>
      </c>
      <c r="E30" s="5" t="n">
        <f aca="false">ROUND(15088*1.05,2)</f>
        <v>15842.4</v>
      </c>
      <c r="F30" s="5" t="s">
        <v>17</v>
      </c>
      <c r="G30" s="5" t="s">
        <v>18</v>
      </c>
      <c r="H30" s="5" t="n">
        <f aca="true">ROUND(RAND()*4+6,1)</f>
        <v>8.4</v>
      </c>
      <c r="I30" s="5" t="s">
        <v>19</v>
      </c>
      <c r="J30" s="5" t="str">
        <f aca="false">ROUND(77*1,0)&amp;"%"</f>
        <v>77%</v>
      </c>
    </row>
    <row r="31" customFormat="false" ht="15" hidden="false" customHeight="false" outlineLevel="0" collapsed="false">
      <c r="A31" s="6" t="s">
        <v>12798</v>
      </c>
      <c r="B31" s="6" t="s">
        <v>78</v>
      </c>
      <c r="C31" s="6" t="s">
        <v>76</v>
      </c>
      <c r="D31" s="6" t="s">
        <v>22</v>
      </c>
      <c r="E31" s="6" t="n">
        <f aca="false">ROUND(16206*1.05,2)</f>
        <v>17016.3</v>
      </c>
      <c r="F31" s="6" t="s">
        <v>23</v>
      </c>
      <c r="G31" s="6" t="s">
        <v>24</v>
      </c>
      <c r="H31" s="6" t="n">
        <f aca="true">ROUND(RAND()*4+6,1)</f>
        <v>9.8</v>
      </c>
      <c r="I31" s="6" t="s">
        <v>25</v>
      </c>
      <c r="J31" s="6" t="str">
        <f aca="false">ROUND(74*1,0)&amp;"%"</f>
        <v>74%</v>
      </c>
    </row>
    <row r="32" customFormat="false" ht="15" hidden="false" customHeight="false" outlineLevel="0" collapsed="false">
      <c r="A32" s="5" t="s">
        <v>12799</v>
      </c>
      <c r="B32" s="5" t="s">
        <v>80</v>
      </c>
      <c r="C32" s="5" t="s">
        <v>76</v>
      </c>
      <c r="D32" s="5" t="s">
        <v>28</v>
      </c>
      <c r="E32" s="5" t="n">
        <f aca="false">ROUND(17082*1.05,2)</f>
        <v>17936.1</v>
      </c>
      <c r="F32" s="5" t="s">
        <v>29</v>
      </c>
      <c r="G32" s="5" t="s">
        <v>30</v>
      </c>
      <c r="H32" s="5" t="n">
        <f aca="true">ROUND(RAND()*4+6,1)</f>
        <v>7.5</v>
      </c>
      <c r="I32" s="5" t="s">
        <v>31</v>
      </c>
      <c r="J32" s="5" t="str">
        <f aca="false">ROUND(75*1,0)&amp;"%"</f>
        <v>75%</v>
      </c>
    </row>
    <row r="33" customFormat="false" ht="15" hidden="false" customHeight="false" outlineLevel="0" collapsed="false">
      <c r="A33" s="6" t="s">
        <v>12800</v>
      </c>
      <c r="B33" s="6" t="s">
        <v>82</v>
      </c>
      <c r="C33" s="6" t="s">
        <v>76</v>
      </c>
      <c r="D33" s="6" t="s">
        <v>34</v>
      </c>
      <c r="E33" s="6" t="n">
        <f aca="false">ROUND(4238*1.05,2)</f>
        <v>4449.9</v>
      </c>
      <c r="F33" s="6" t="s">
        <v>35</v>
      </c>
      <c r="G33" s="6" t="s">
        <v>18</v>
      </c>
      <c r="H33" s="6" t="n">
        <f aca="true">ROUND(RAND()*4+6,1)</f>
        <v>6.2</v>
      </c>
      <c r="I33" s="6" t="s">
        <v>36</v>
      </c>
      <c r="J33" s="6" t="str">
        <f aca="false">ROUND(68*1,0)&amp;"%"</f>
        <v>68%</v>
      </c>
    </row>
    <row r="34" customFormat="false" ht="15" hidden="false" customHeight="false" outlineLevel="0" collapsed="false">
      <c r="A34" s="5" t="s">
        <v>12801</v>
      </c>
      <c r="B34" s="5" t="s">
        <v>84</v>
      </c>
      <c r="C34" s="5" t="s">
        <v>76</v>
      </c>
      <c r="D34" s="5" t="s">
        <v>39</v>
      </c>
      <c r="E34" s="5" t="n">
        <f aca="false">ROUND(8234*1.05,2)</f>
        <v>8645.7</v>
      </c>
      <c r="F34" s="5" t="s">
        <v>40</v>
      </c>
      <c r="G34" s="5" t="s">
        <v>24</v>
      </c>
      <c r="H34" s="5" t="n">
        <f aca="true">ROUND(RAND()*4+6,1)</f>
        <v>9.2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12802</v>
      </c>
      <c r="B35" s="6" t="s">
        <v>86</v>
      </c>
      <c r="C35" s="6" t="s">
        <v>76</v>
      </c>
      <c r="D35" s="6" t="s">
        <v>44</v>
      </c>
      <c r="E35" s="6" t="n">
        <f aca="false">ROUND(12220*1.05,2)</f>
        <v>12831</v>
      </c>
      <c r="F35" s="6" t="s">
        <v>45</v>
      </c>
      <c r="G35" s="6" t="s">
        <v>30</v>
      </c>
      <c r="H35" s="6" t="n">
        <f aca="true">ROUND(RAND()*4+6,1)</f>
        <v>6.1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12803</v>
      </c>
      <c r="B36" s="5" t="s">
        <v>88</v>
      </c>
      <c r="C36" s="5" t="s">
        <v>76</v>
      </c>
      <c r="D36" s="5" t="s">
        <v>16</v>
      </c>
      <c r="E36" s="5" t="n">
        <f aca="false">ROUND(13622*1.05,2)</f>
        <v>14303.1</v>
      </c>
      <c r="F36" s="5" t="s">
        <v>49</v>
      </c>
      <c r="G36" s="5" t="s">
        <v>18</v>
      </c>
      <c r="H36" s="5" t="n">
        <f aca="true">ROUND(RAND()*4+6,1)</f>
        <v>8.6</v>
      </c>
      <c r="I36" s="5" t="s">
        <v>19</v>
      </c>
      <c r="J36" s="5" t="str">
        <f aca="false">ROUND(81*1,0)&amp;"%"</f>
        <v>81%</v>
      </c>
    </row>
    <row r="37" customFormat="false" ht="15" hidden="false" customHeight="false" outlineLevel="0" collapsed="false">
      <c r="A37" s="6" t="s">
        <v>12804</v>
      </c>
      <c r="B37" s="6" t="s">
        <v>90</v>
      </c>
      <c r="C37" s="6" t="s">
        <v>76</v>
      </c>
      <c r="D37" s="6" t="s">
        <v>22</v>
      </c>
      <c r="E37" s="6" t="n">
        <f aca="false">ROUND(12388*1.05,2)</f>
        <v>13007.4</v>
      </c>
      <c r="F37" s="6" t="s">
        <v>52</v>
      </c>
      <c r="G37" s="6" t="s">
        <v>24</v>
      </c>
      <c r="H37" s="6" t="n">
        <f aca="true">ROUND(RAND()*4+6,1)</f>
        <v>8.9</v>
      </c>
      <c r="I37" s="6" t="s">
        <v>25</v>
      </c>
      <c r="J37" s="6" t="str">
        <f aca="false">ROUND(92*1,0)&amp;"%"</f>
        <v>92%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12805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12806</v>
      </c>
      <c r="B42" s="5" t="s">
        <v>94</v>
      </c>
      <c r="C42" s="5" t="s">
        <v>95</v>
      </c>
      <c r="D42" s="5" t="s">
        <v>16</v>
      </c>
      <c r="E42" s="5" t="n">
        <f aca="false">ROUND(5961*1.05,2)</f>
        <v>6259.05</v>
      </c>
      <c r="F42" s="5" t="s">
        <v>17</v>
      </c>
      <c r="G42" s="5" t="s">
        <v>18</v>
      </c>
      <c r="H42" s="5" t="n">
        <f aca="true">ROUND(RAND()*4+6,1)</f>
        <v>9.7</v>
      </c>
      <c r="I42" s="5" t="s">
        <v>19</v>
      </c>
      <c r="J42" s="5" t="str">
        <f aca="false">ROUND(69*1,0)&amp;"%"</f>
        <v>69%</v>
      </c>
    </row>
    <row r="43" customFormat="false" ht="15" hidden="false" customHeight="false" outlineLevel="0" collapsed="false">
      <c r="A43" s="6" t="s">
        <v>12807</v>
      </c>
      <c r="B43" s="6" t="s">
        <v>97</v>
      </c>
      <c r="C43" s="6" t="s">
        <v>95</v>
      </c>
      <c r="D43" s="6" t="s">
        <v>22</v>
      </c>
      <c r="E43" s="6" t="n">
        <f aca="false">ROUND(17103*1.05,2)</f>
        <v>17958.15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12808</v>
      </c>
      <c r="B44" s="5" t="s">
        <v>99</v>
      </c>
      <c r="C44" s="5" t="s">
        <v>95</v>
      </c>
      <c r="D44" s="5" t="s">
        <v>28</v>
      </c>
      <c r="E44" s="5" t="n">
        <f aca="false">ROUND(13437*1.05,2)</f>
        <v>14108.85</v>
      </c>
      <c r="F44" s="5" t="s">
        <v>29</v>
      </c>
      <c r="G44" s="5" t="s">
        <v>30</v>
      </c>
      <c r="H44" s="5" t="n">
        <f aca="true">ROUND(RAND()*4+6,1)</f>
        <v>8.2</v>
      </c>
      <c r="I44" s="5" t="s">
        <v>31</v>
      </c>
      <c r="J44" s="5" t="str">
        <f aca="false">ROUND(81*1,0)&amp;"%"</f>
        <v>81%</v>
      </c>
    </row>
    <row r="45" customFormat="false" ht="15" hidden="false" customHeight="false" outlineLevel="0" collapsed="false">
      <c r="A45" s="6" t="s">
        <v>12809</v>
      </c>
      <c r="B45" s="6" t="s">
        <v>101</v>
      </c>
      <c r="C45" s="6" t="s">
        <v>95</v>
      </c>
      <c r="D45" s="6" t="s">
        <v>34</v>
      </c>
      <c r="E45" s="6" t="n">
        <f aca="false">ROUND(17884*1.05,2)</f>
        <v>18778.2</v>
      </c>
      <c r="F45" s="6" t="s">
        <v>35</v>
      </c>
      <c r="G45" s="6" t="s">
        <v>18</v>
      </c>
      <c r="H45" s="6" t="n">
        <f aca="true">ROUND(RAND()*4+6,1)</f>
        <v>7.8</v>
      </c>
      <c r="I45" s="6" t="s">
        <v>36</v>
      </c>
      <c r="J45" s="6" t="str">
        <f aca="false">ROUND(87*1,0)&amp;"%"</f>
        <v>87%</v>
      </c>
    </row>
    <row r="46" customFormat="false" ht="15" hidden="false" customHeight="false" outlineLevel="0" collapsed="false">
      <c r="A46" s="5" t="s">
        <v>12810</v>
      </c>
      <c r="B46" s="5" t="s">
        <v>103</v>
      </c>
      <c r="C46" s="5" t="s">
        <v>95</v>
      </c>
      <c r="D46" s="5" t="s">
        <v>39</v>
      </c>
      <c r="E46" s="5" t="n">
        <f aca="false">ROUND(14701*1.05,2)</f>
        <v>15436.05</v>
      </c>
      <c r="F46" s="5" t="s">
        <v>40</v>
      </c>
      <c r="G46" s="5" t="s">
        <v>24</v>
      </c>
      <c r="H46" s="5" t="n">
        <f aca="true">ROUND(RAND()*4+6,1)</f>
        <v>7.5</v>
      </c>
      <c r="I46" s="5" t="s">
        <v>41</v>
      </c>
      <c r="J46" s="5" t="str">
        <f aca="false">ROUND(74*1,0)&amp;"%"</f>
        <v>74%</v>
      </c>
    </row>
    <row r="47" customFormat="false" ht="15" hidden="false" customHeight="false" outlineLevel="0" collapsed="false">
      <c r="A47" s="6" t="s">
        <v>12811</v>
      </c>
      <c r="B47" s="6" t="s">
        <v>105</v>
      </c>
      <c r="C47" s="6" t="s">
        <v>95</v>
      </c>
      <c r="D47" s="6" t="s">
        <v>44</v>
      </c>
      <c r="E47" s="6" t="n">
        <f aca="false">ROUND(11521*1.05,2)</f>
        <v>12097.05</v>
      </c>
      <c r="F47" s="6" t="s">
        <v>45</v>
      </c>
      <c r="G47" s="6" t="s">
        <v>30</v>
      </c>
      <c r="H47" s="6" t="n">
        <f aca="true">ROUND(RAND()*4+6,1)</f>
        <v>6.4</v>
      </c>
      <c r="I47" s="6" t="s">
        <v>46</v>
      </c>
      <c r="J47" s="6" t="str">
        <f aca="false">ROUND(94*1,0)&amp;"%"</f>
        <v>94%</v>
      </c>
    </row>
    <row r="48" customFormat="false" ht="15" hidden="false" customHeight="false" outlineLevel="0" collapsed="false">
      <c r="A48" s="5" t="s">
        <v>12812</v>
      </c>
      <c r="B48" s="5" t="s">
        <v>107</v>
      </c>
      <c r="C48" s="5" t="s">
        <v>95</v>
      </c>
      <c r="D48" s="5" t="s">
        <v>16</v>
      </c>
      <c r="E48" s="5" t="n">
        <f aca="false">ROUND(11446*1.05,2)</f>
        <v>12018.3</v>
      </c>
      <c r="F48" s="5" t="s">
        <v>49</v>
      </c>
      <c r="G48" s="5" t="s">
        <v>18</v>
      </c>
      <c r="H48" s="5" t="n">
        <f aca="true">ROUND(RAND()*4+6,1)</f>
        <v>6.8</v>
      </c>
      <c r="I48" s="5" t="s">
        <v>19</v>
      </c>
      <c r="J48" s="5" t="str">
        <f aca="false">ROUND(64*1,0)&amp;"%"</f>
        <v>64%</v>
      </c>
    </row>
    <row r="49" customFormat="false" ht="15" hidden="false" customHeight="false" outlineLevel="0" collapsed="false">
      <c r="A49" s="6" t="s">
        <v>12813</v>
      </c>
      <c r="B49" s="6" t="s">
        <v>109</v>
      </c>
      <c r="C49" s="6" t="s">
        <v>95</v>
      </c>
      <c r="D49" s="6" t="s">
        <v>22</v>
      </c>
      <c r="E49" s="6" t="n">
        <f aca="false">ROUND(4219*1.05,2)</f>
        <v>4429.95</v>
      </c>
      <c r="F49" s="6" t="s">
        <v>52</v>
      </c>
      <c r="G49" s="6" t="s">
        <v>24</v>
      </c>
      <c r="H49" s="6" t="n">
        <f aca="true">ROUND(RAND()*4+6,1)</f>
        <v>8.4</v>
      </c>
      <c r="I49" s="6" t="s">
        <v>25</v>
      </c>
      <c r="J49" s="6" t="str">
        <f aca="false">ROUND(84*1,0)&amp;"%"</f>
        <v>84%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12814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12815</v>
      </c>
      <c r="B54" s="5" t="s">
        <v>113</v>
      </c>
      <c r="C54" s="5" t="s">
        <v>114</v>
      </c>
      <c r="D54" s="5" t="s">
        <v>16</v>
      </c>
      <c r="E54" s="5" t="n">
        <f aca="false">ROUND(8358*1.05,2)</f>
        <v>8775.9</v>
      </c>
      <c r="F54" s="5" t="s">
        <v>17</v>
      </c>
      <c r="G54" s="5" t="s">
        <v>18</v>
      </c>
      <c r="H54" s="5" t="n">
        <f aca="true">ROUND(RAND()*4+6,1)</f>
        <v>7.7</v>
      </c>
      <c r="I54" s="5" t="s">
        <v>19</v>
      </c>
      <c r="J54" s="5" t="str">
        <f aca="false">ROUND(67*1,0)&amp;"%"</f>
        <v>67%</v>
      </c>
    </row>
    <row r="55" customFormat="false" ht="15" hidden="false" customHeight="false" outlineLevel="0" collapsed="false">
      <c r="A55" s="6" t="s">
        <v>12816</v>
      </c>
      <c r="B55" s="6" t="s">
        <v>116</v>
      </c>
      <c r="C55" s="6" t="s">
        <v>114</v>
      </c>
      <c r="D55" s="6" t="s">
        <v>22</v>
      </c>
      <c r="E55" s="6" t="n">
        <f aca="false">ROUND(17226*1.05,2)</f>
        <v>18087.3</v>
      </c>
      <c r="F55" s="6" t="s">
        <v>23</v>
      </c>
      <c r="G55" s="6" t="s">
        <v>24</v>
      </c>
      <c r="H55" s="6" t="n">
        <f aca="true">ROUND(RAND()*4+6,1)</f>
        <v>9</v>
      </c>
      <c r="I55" s="6" t="s">
        <v>25</v>
      </c>
      <c r="J55" s="6" t="str">
        <f aca="false">ROUND(62*1,0)&amp;"%"</f>
        <v>62%</v>
      </c>
    </row>
    <row r="56" customFormat="false" ht="15" hidden="false" customHeight="false" outlineLevel="0" collapsed="false">
      <c r="A56" s="5" t="s">
        <v>12817</v>
      </c>
      <c r="B56" s="5" t="s">
        <v>118</v>
      </c>
      <c r="C56" s="5" t="s">
        <v>114</v>
      </c>
      <c r="D56" s="5" t="s">
        <v>28</v>
      </c>
      <c r="E56" s="5" t="n">
        <f aca="false">ROUND(8008*1.05,2)</f>
        <v>8408.4</v>
      </c>
      <c r="F56" s="5" t="s">
        <v>29</v>
      </c>
      <c r="G56" s="5" t="s">
        <v>30</v>
      </c>
      <c r="H56" s="5" t="n">
        <f aca="true">ROUND(RAND()*4+6,1)</f>
        <v>7.4</v>
      </c>
      <c r="I56" s="5" t="s">
        <v>31</v>
      </c>
      <c r="J56" s="5" t="str">
        <f aca="false">ROUND(95*1,0)&amp;"%"</f>
        <v>95%</v>
      </c>
    </row>
    <row r="57" customFormat="false" ht="15" hidden="false" customHeight="false" outlineLevel="0" collapsed="false">
      <c r="A57" s="6" t="s">
        <v>12818</v>
      </c>
      <c r="B57" s="6" t="s">
        <v>120</v>
      </c>
      <c r="C57" s="6" t="s">
        <v>114</v>
      </c>
      <c r="D57" s="6" t="s">
        <v>34</v>
      </c>
      <c r="E57" s="6" t="n">
        <f aca="false">ROUND(9872*1.05,2)</f>
        <v>10365.6</v>
      </c>
      <c r="F57" s="6" t="s">
        <v>35</v>
      </c>
      <c r="G57" s="6" t="s">
        <v>18</v>
      </c>
      <c r="H57" s="6" t="n">
        <f aca="true">ROUND(RAND()*4+6,1)</f>
        <v>7.9</v>
      </c>
      <c r="I57" s="6" t="s">
        <v>36</v>
      </c>
      <c r="J57" s="6" t="str">
        <f aca="false">ROUND(88*1,0)&amp;"%"</f>
        <v>88%</v>
      </c>
    </row>
    <row r="58" customFormat="false" ht="15" hidden="false" customHeight="false" outlineLevel="0" collapsed="false">
      <c r="A58" s="5" t="s">
        <v>12819</v>
      </c>
      <c r="B58" s="5" t="s">
        <v>122</v>
      </c>
      <c r="C58" s="5" t="s">
        <v>114</v>
      </c>
      <c r="D58" s="5" t="s">
        <v>39</v>
      </c>
      <c r="E58" s="5" t="n">
        <f aca="false">ROUND(8278*1.05,2)</f>
        <v>8691.9</v>
      </c>
      <c r="F58" s="5" t="s">
        <v>40</v>
      </c>
      <c r="G58" s="5" t="s">
        <v>24</v>
      </c>
      <c r="H58" s="5" t="n">
        <f aca="true">ROUND(RAND()*4+6,1)</f>
        <v>7.6</v>
      </c>
      <c r="I58" s="5" t="s">
        <v>41</v>
      </c>
      <c r="J58" s="5" t="str">
        <f aca="false">ROUND(71*1,0)&amp;"%"</f>
        <v>71%</v>
      </c>
    </row>
    <row r="59" customFormat="false" ht="15" hidden="false" customHeight="false" outlineLevel="0" collapsed="false">
      <c r="A59" s="6" t="s">
        <v>12820</v>
      </c>
      <c r="B59" s="6" t="s">
        <v>124</v>
      </c>
      <c r="C59" s="6" t="s">
        <v>114</v>
      </c>
      <c r="D59" s="6" t="s">
        <v>44</v>
      </c>
      <c r="E59" s="6" t="n">
        <f aca="false">ROUND(9479*1.05,2)</f>
        <v>9952.95</v>
      </c>
      <c r="F59" s="6" t="s">
        <v>45</v>
      </c>
      <c r="G59" s="6" t="s">
        <v>30</v>
      </c>
      <c r="H59" s="6" t="n">
        <f aca="true">ROUND(RAND()*4+6,1)</f>
        <v>8.4</v>
      </c>
      <c r="I59" s="6" t="s">
        <v>46</v>
      </c>
      <c r="J59" s="6" t="str">
        <f aca="false">ROUND(61*1,0)&amp;"%"</f>
        <v>61%</v>
      </c>
    </row>
    <row r="60" customFormat="false" ht="15" hidden="false" customHeight="false" outlineLevel="0" collapsed="false">
      <c r="A60" s="5" t="s">
        <v>12821</v>
      </c>
      <c r="B60" s="5" t="s">
        <v>126</v>
      </c>
      <c r="C60" s="5" t="s">
        <v>114</v>
      </c>
      <c r="D60" s="5" t="s">
        <v>16</v>
      </c>
      <c r="E60" s="5" t="n">
        <f aca="false">ROUND(14092*1.05,2)</f>
        <v>14796.6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ROUND(66*1,0)&amp;"%"</f>
        <v>66%</v>
      </c>
    </row>
    <row r="61" customFormat="false" ht="15" hidden="false" customHeight="false" outlineLevel="0" collapsed="false">
      <c r="A61" s="6" t="s">
        <v>12822</v>
      </c>
      <c r="B61" s="6" t="s">
        <v>128</v>
      </c>
      <c r="C61" s="6" t="s">
        <v>114</v>
      </c>
      <c r="D61" s="6" t="s">
        <v>22</v>
      </c>
      <c r="E61" s="6" t="n">
        <f aca="false">ROUND(8179*1.05,2)</f>
        <v>8587.95</v>
      </c>
      <c r="F61" s="6" t="s">
        <v>52</v>
      </c>
      <c r="G61" s="6" t="s">
        <v>24</v>
      </c>
      <c r="H61" s="6" t="n">
        <f aca="true">ROUND(RAND()*4+6,1)</f>
        <v>6.3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12823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12824</v>
      </c>
      <c r="B66" s="5" t="s">
        <v>132</v>
      </c>
      <c r="C66" s="5" t="s">
        <v>133</v>
      </c>
      <c r="D66" s="5" t="s">
        <v>16</v>
      </c>
      <c r="E66" s="5" t="n">
        <f aca="false">ROUND(10722*1.05,2)</f>
        <v>11258.1</v>
      </c>
      <c r="F66" s="5" t="s">
        <v>17</v>
      </c>
      <c r="G66" s="5" t="s">
        <v>18</v>
      </c>
      <c r="H66" s="5" t="n">
        <f aca="true">ROUND(RAND()*4+6,1)</f>
        <v>9.1</v>
      </c>
      <c r="I66" s="5" t="s">
        <v>19</v>
      </c>
      <c r="J66" s="5" t="str">
        <f aca="false">ROUND(89*1,0)&amp;"%"</f>
        <v>89%</v>
      </c>
    </row>
    <row r="67" customFormat="false" ht="15" hidden="false" customHeight="false" outlineLevel="0" collapsed="false">
      <c r="A67" s="6" t="s">
        <v>12825</v>
      </c>
      <c r="B67" s="6" t="s">
        <v>135</v>
      </c>
      <c r="C67" s="6" t="s">
        <v>133</v>
      </c>
      <c r="D67" s="6" t="s">
        <v>22</v>
      </c>
      <c r="E67" s="6" t="n">
        <f aca="false">ROUND(4156*1.05,2)</f>
        <v>4363.8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ROUND(99*1,0)&amp;"%"</f>
        <v>99%</v>
      </c>
    </row>
    <row r="68" customFormat="false" ht="15" hidden="false" customHeight="false" outlineLevel="0" collapsed="false">
      <c r="A68" s="5" t="s">
        <v>12826</v>
      </c>
      <c r="B68" s="5" t="s">
        <v>137</v>
      </c>
      <c r="C68" s="5" t="s">
        <v>133</v>
      </c>
      <c r="D68" s="5" t="s">
        <v>28</v>
      </c>
      <c r="E68" s="5" t="n">
        <f aca="false">ROUND(11453*1.05,2)</f>
        <v>12025.65</v>
      </c>
      <c r="F68" s="5" t="s">
        <v>29</v>
      </c>
      <c r="G68" s="5" t="s">
        <v>30</v>
      </c>
      <c r="H68" s="5" t="n">
        <f aca="true">ROUND(RAND()*4+6,1)</f>
        <v>8.3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12827</v>
      </c>
      <c r="B69" s="6" t="s">
        <v>139</v>
      </c>
      <c r="C69" s="6" t="s">
        <v>133</v>
      </c>
      <c r="D69" s="6" t="s">
        <v>34</v>
      </c>
      <c r="E69" s="6" t="n">
        <f aca="false">ROUND(13120*1.05,2)</f>
        <v>13776</v>
      </c>
      <c r="F69" s="6" t="s">
        <v>35</v>
      </c>
      <c r="G69" s="6" t="s">
        <v>18</v>
      </c>
      <c r="H69" s="6" t="n">
        <f aca="true">ROUND(RAND()*4+6,1)</f>
        <v>7.8</v>
      </c>
      <c r="I69" s="6" t="s">
        <v>36</v>
      </c>
      <c r="J69" s="6" t="str">
        <f aca="false">ROUND(85*1,0)&amp;"%"</f>
        <v>85%</v>
      </c>
    </row>
    <row r="70" customFormat="false" ht="15" hidden="false" customHeight="false" outlineLevel="0" collapsed="false">
      <c r="A70" s="5" t="s">
        <v>12828</v>
      </c>
      <c r="B70" s="5" t="s">
        <v>141</v>
      </c>
      <c r="C70" s="5" t="s">
        <v>133</v>
      </c>
      <c r="D70" s="5" t="s">
        <v>39</v>
      </c>
      <c r="E70" s="5" t="n">
        <f aca="false">ROUND(4863*1.05,2)</f>
        <v>5106.15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ROUND(71*1,0)&amp;"%"</f>
        <v>71%</v>
      </c>
    </row>
    <row r="71" customFormat="false" ht="15" hidden="false" customHeight="false" outlineLevel="0" collapsed="false">
      <c r="A71" s="6" t="s">
        <v>12829</v>
      </c>
      <c r="B71" s="6" t="s">
        <v>143</v>
      </c>
      <c r="C71" s="6" t="s">
        <v>133</v>
      </c>
      <c r="D71" s="6" t="s">
        <v>44</v>
      </c>
      <c r="E71" s="6" t="n">
        <f aca="false">ROUND(6961*1.05,2)</f>
        <v>7309.05</v>
      </c>
      <c r="F71" s="6" t="s">
        <v>45</v>
      </c>
      <c r="G71" s="6" t="s">
        <v>30</v>
      </c>
      <c r="H71" s="6" t="n">
        <f aca="true">ROUND(RAND()*4+6,1)</f>
        <v>8</v>
      </c>
      <c r="I71" s="6" t="s">
        <v>46</v>
      </c>
      <c r="J71" s="6" t="str">
        <f aca="false">ROUND(76*1,0)&amp;"%"</f>
        <v>76%</v>
      </c>
    </row>
    <row r="72" customFormat="false" ht="15" hidden="false" customHeight="false" outlineLevel="0" collapsed="false">
      <c r="A72" s="5" t="s">
        <v>12830</v>
      </c>
      <c r="B72" s="5" t="s">
        <v>145</v>
      </c>
      <c r="C72" s="5" t="s">
        <v>133</v>
      </c>
      <c r="D72" s="5" t="s">
        <v>16</v>
      </c>
      <c r="E72" s="5" t="n">
        <f aca="false">ROUND(13500*1.05,2)</f>
        <v>14175</v>
      </c>
      <c r="F72" s="5" t="s">
        <v>49</v>
      </c>
      <c r="G72" s="5" t="s">
        <v>18</v>
      </c>
      <c r="H72" s="5" t="n">
        <f aca="true">ROUND(RAND()*4+6,1)</f>
        <v>8.4</v>
      </c>
      <c r="I72" s="5" t="s">
        <v>19</v>
      </c>
      <c r="J72" s="5" t="str">
        <f aca="false">ROUND(64*1,0)&amp;"%"</f>
        <v>64%</v>
      </c>
    </row>
    <row r="73" customFormat="false" ht="15" hidden="false" customHeight="false" outlineLevel="0" collapsed="false">
      <c r="A73" s="6" t="s">
        <v>12831</v>
      </c>
      <c r="B73" s="6" t="s">
        <v>147</v>
      </c>
      <c r="C73" s="6" t="s">
        <v>133</v>
      </c>
      <c r="D73" s="6" t="s">
        <v>22</v>
      </c>
      <c r="E73" s="6" t="n">
        <f aca="false">ROUND(11022*1.05,2)</f>
        <v>11573.1</v>
      </c>
      <c r="F73" s="6" t="s">
        <v>52</v>
      </c>
      <c r="G73" s="6" t="s">
        <v>24</v>
      </c>
      <c r="H73" s="6" t="n">
        <f aca="true">ROUND(RAND()*4+6,1)</f>
        <v>6</v>
      </c>
      <c r="I73" s="6" t="s">
        <v>25</v>
      </c>
      <c r="J73" s="6" t="str">
        <f aca="false">ROUND(90*1,0)&amp;"%"</f>
        <v>90%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12832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12833</v>
      </c>
      <c r="B78" s="5" t="s">
        <v>151</v>
      </c>
      <c r="C78" s="5" t="s">
        <v>152</v>
      </c>
      <c r="D78" s="5" t="s">
        <v>16</v>
      </c>
      <c r="E78" s="5" t="n">
        <f aca="false">ROUND(15604*1.05,2)</f>
        <v>16384.2</v>
      </c>
      <c r="F78" s="5" t="s">
        <v>17</v>
      </c>
      <c r="G78" s="5" t="s">
        <v>18</v>
      </c>
      <c r="H78" s="5" t="n">
        <f aca="true">ROUND(RAND()*4+6,1)</f>
        <v>6.8</v>
      </c>
      <c r="I78" s="5" t="s">
        <v>19</v>
      </c>
      <c r="J78" s="5" t="str">
        <f aca="false">ROUND(81*1,0)&amp;"%"</f>
        <v>81%</v>
      </c>
    </row>
    <row r="79" customFormat="false" ht="15" hidden="false" customHeight="false" outlineLevel="0" collapsed="false">
      <c r="A79" s="6" t="s">
        <v>12834</v>
      </c>
      <c r="B79" s="6" t="s">
        <v>154</v>
      </c>
      <c r="C79" s="6" t="s">
        <v>152</v>
      </c>
      <c r="D79" s="6" t="s">
        <v>22</v>
      </c>
      <c r="E79" s="6" t="n">
        <f aca="false">ROUND(17975*1.05,2)</f>
        <v>18873.75</v>
      </c>
      <c r="F79" s="6" t="s">
        <v>23</v>
      </c>
      <c r="G79" s="6" t="s">
        <v>24</v>
      </c>
      <c r="H79" s="6" t="n">
        <f aca="true">ROUND(RAND()*4+6,1)</f>
        <v>8.6</v>
      </c>
      <c r="I79" s="6" t="s">
        <v>25</v>
      </c>
      <c r="J79" s="6" t="str">
        <f aca="false">ROUND(76*1,0)&amp;"%"</f>
        <v>76%</v>
      </c>
    </row>
    <row r="80" customFormat="false" ht="15" hidden="false" customHeight="false" outlineLevel="0" collapsed="false">
      <c r="A80" s="5" t="s">
        <v>12835</v>
      </c>
      <c r="B80" s="5" t="s">
        <v>156</v>
      </c>
      <c r="C80" s="5" t="s">
        <v>152</v>
      </c>
      <c r="D80" s="5" t="s">
        <v>28</v>
      </c>
      <c r="E80" s="5" t="n">
        <f aca="false">ROUND(12537*1.05,2)</f>
        <v>13163.85</v>
      </c>
      <c r="F80" s="5" t="s">
        <v>29</v>
      </c>
      <c r="G80" s="5" t="s">
        <v>30</v>
      </c>
      <c r="H80" s="5" t="n">
        <f aca="true">ROUND(RAND()*4+6,1)</f>
        <v>8.4</v>
      </c>
      <c r="I80" s="5" t="s">
        <v>31</v>
      </c>
      <c r="J80" s="5" t="str">
        <f aca="false">ROUND(78*1,0)&amp;"%"</f>
        <v>78%</v>
      </c>
    </row>
    <row r="81" customFormat="false" ht="15" hidden="false" customHeight="false" outlineLevel="0" collapsed="false">
      <c r="A81" s="6" t="s">
        <v>12836</v>
      </c>
      <c r="B81" s="6" t="s">
        <v>158</v>
      </c>
      <c r="C81" s="6" t="s">
        <v>152</v>
      </c>
      <c r="D81" s="6" t="s">
        <v>34</v>
      </c>
      <c r="E81" s="6" t="n">
        <f aca="false">ROUND(10302*1.05,2)</f>
        <v>10817.1</v>
      </c>
      <c r="F81" s="6" t="s">
        <v>35</v>
      </c>
      <c r="G81" s="6" t="s">
        <v>18</v>
      </c>
      <c r="H81" s="6" t="n">
        <f aca="true">ROUND(RAND()*4+6,1)</f>
        <v>6.7</v>
      </c>
      <c r="I81" s="6" t="s">
        <v>36</v>
      </c>
      <c r="J81" s="6" t="str">
        <f aca="false">ROUND(93*1,0)&amp;"%"</f>
        <v>93%</v>
      </c>
    </row>
    <row r="82" customFormat="false" ht="15" hidden="false" customHeight="false" outlineLevel="0" collapsed="false">
      <c r="A82" s="5" t="s">
        <v>12837</v>
      </c>
      <c r="B82" s="5" t="s">
        <v>160</v>
      </c>
      <c r="C82" s="5" t="s">
        <v>152</v>
      </c>
      <c r="D82" s="5" t="s">
        <v>39</v>
      </c>
      <c r="E82" s="5" t="n">
        <f aca="false">ROUND(8747*1.05,2)</f>
        <v>9184.35</v>
      </c>
      <c r="F82" s="5" t="s">
        <v>40</v>
      </c>
      <c r="G82" s="5" t="s">
        <v>24</v>
      </c>
      <c r="H82" s="5" t="n">
        <f aca="true">ROUND(RAND()*4+6,1)</f>
        <v>6.1</v>
      </c>
      <c r="I82" s="5" t="s">
        <v>41</v>
      </c>
      <c r="J82" s="5" t="str">
        <f aca="false">ROUND(86*1,0)&amp;"%"</f>
        <v>86%</v>
      </c>
    </row>
    <row r="83" customFormat="false" ht="15" hidden="false" customHeight="false" outlineLevel="0" collapsed="false">
      <c r="A83" s="6" t="s">
        <v>12838</v>
      </c>
      <c r="B83" s="6" t="s">
        <v>162</v>
      </c>
      <c r="C83" s="6" t="s">
        <v>152</v>
      </c>
      <c r="D83" s="6" t="s">
        <v>44</v>
      </c>
      <c r="E83" s="6" t="n">
        <f aca="false">ROUND(10687*1.05,2)</f>
        <v>11221.35</v>
      </c>
      <c r="F83" s="6" t="s">
        <v>45</v>
      </c>
      <c r="G83" s="6" t="s">
        <v>30</v>
      </c>
      <c r="H83" s="6" t="n">
        <f aca="true">ROUND(RAND()*4+6,1)</f>
        <v>9.8</v>
      </c>
      <c r="I83" s="6" t="s">
        <v>46</v>
      </c>
      <c r="J83" s="6" t="str">
        <f aca="false">ROUND(82*1,0)&amp;"%"</f>
        <v>82%</v>
      </c>
    </row>
    <row r="84" customFormat="false" ht="15" hidden="false" customHeight="false" outlineLevel="0" collapsed="false">
      <c r="A84" s="5" t="s">
        <v>12839</v>
      </c>
      <c r="B84" s="5" t="s">
        <v>164</v>
      </c>
      <c r="C84" s="5" t="s">
        <v>152</v>
      </c>
      <c r="D84" s="5" t="s">
        <v>16</v>
      </c>
      <c r="E84" s="5" t="n">
        <f aca="false">ROUND(9621*1.05,2)</f>
        <v>10102.05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ROUND(71*1,0)&amp;"%"</f>
        <v>71%</v>
      </c>
    </row>
    <row r="85" customFormat="false" ht="15" hidden="false" customHeight="false" outlineLevel="0" collapsed="false">
      <c r="A85" s="6" t="s">
        <v>12840</v>
      </c>
      <c r="B85" s="6" t="s">
        <v>166</v>
      </c>
      <c r="C85" s="6" t="s">
        <v>152</v>
      </c>
      <c r="D85" s="6" t="s">
        <v>22</v>
      </c>
      <c r="E85" s="6" t="n">
        <f aca="false">ROUND(4661*1.05,2)</f>
        <v>4894.05</v>
      </c>
      <c r="F85" s="6" t="s">
        <v>52</v>
      </c>
      <c r="G85" s="6" t="s">
        <v>24</v>
      </c>
      <c r="H85" s="6" t="n">
        <f aca="true">ROUND(RAND()*4+6,1)</f>
        <v>9.3</v>
      </c>
      <c r="I85" s="6" t="s">
        <v>25</v>
      </c>
      <c r="J85" s="6" t="str">
        <f aca="false">ROUND(95*1,0)&amp;"%"</f>
        <v>95%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12841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12842</v>
      </c>
      <c r="B90" s="5" t="s">
        <v>170</v>
      </c>
      <c r="C90" s="5" t="s">
        <v>15</v>
      </c>
      <c r="D90" s="5" t="s">
        <v>16</v>
      </c>
      <c r="E90" s="5" t="n">
        <f aca="false">ROUND(6251*1.05,2)</f>
        <v>6563.55</v>
      </c>
      <c r="F90" s="5" t="s">
        <v>17</v>
      </c>
      <c r="G90" s="5" t="s">
        <v>18</v>
      </c>
      <c r="H90" s="5" t="n">
        <f aca="true">ROUND(RAND()*4+6,1)</f>
        <v>6.6</v>
      </c>
      <c r="I90" s="5" t="s">
        <v>19</v>
      </c>
      <c r="J90" s="5" t="str">
        <f aca="false">ROUND(97*1,0)&amp;"%"</f>
        <v>97%</v>
      </c>
    </row>
    <row r="91" customFormat="false" ht="15" hidden="false" customHeight="false" outlineLevel="0" collapsed="false">
      <c r="A91" s="6" t="s">
        <v>12843</v>
      </c>
      <c r="B91" s="6" t="s">
        <v>172</v>
      </c>
      <c r="C91" s="6" t="s">
        <v>15</v>
      </c>
      <c r="D91" s="6" t="s">
        <v>22</v>
      </c>
      <c r="E91" s="6" t="n">
        <f aca="false">ROUND(14003*1.05,2)</f>
        <v>14703.15</v>
      </c>
      <c r="F91" s="6" t="s">
        <v>23</v>
      </c>
      <c r="G91" s="6" t="s">
        <v>24</v>
      </c>
      <c r="H91" s="6" t="n">
        <f aca="true">ROUND(RAND()*4+6,1)</f>
        <v>7.9</v>
      </c>
      <c r="I91" s="6" t="s">
        <v>25</v>
      </c>
      <c r="J91" s="6" t="str">
        <f aca="false">ROUND(88*1,0)&amp;"%"</f>
        <v>88%</v>
      </c>
    </row>
    <row r="92" customFormat="false" ht="15" hidden="false" customHeight="false" outlineLevel="0" collapsed="false">
      <c r="A92" s="5" t="s">
        <v>12844</v>
      </c>
      <c r="B92" s="5" t="s">
        <v>174</v>
      </c>
      <c r="C92" s="5" t="s">
        <v>15</v>
      </c>
      <c r="D92" s="5" t="s">
        <v>28</v>
      </c>
      <c r="E92" s="5" t="n">
        <f aca="false">ROUND(14825*1.05,2)</f>
        <v>15566.25</v>
      </c>
      <c r="F92" s="5" t="s">
        <v>29</v>
      </c>
      <c r="G92" s="5" t="s">
        <v>30</v>
      </c>
      <c r="H92" s="5" t="n">
        <f aca="true">ROUND(RAND()*4+6,1)</f>
        <v>6.9</v>
      </c>
      <c r="I92" s="5" t="s">
        <v>31</v>
      </c>
      <c r="J92" s="5" t="str">
        <f aca="false">ROUND(89*1,0)&amp;"%"</f>
        <v>89%</v>
      </c>
    </row>
    <row r="93" customFormat="false" ht="15" hidden="false" customHeight="false" outlineLevel="0" collapsed="false">
      <c r="A93" s="6" t="s">
        <v>12845</v>
      </c>
      <c r="B93" s="6" t="s">
        <v>176</v>
      </c>
      <c r="C93" s="6" t="s">
        <v>15</v>
      </c>
      <c r="D93" s="6" t="s">
        <v>34</v>
      </c>
      <c r="E93" s="6" t="n">
        <f aca="false">ROUND(6095*1.05,2)</f>
        <v>6399.75</v>
      </c>
      <c r="F93" s="6" t="s">
        <v>35</v>
      </c>
      <c r="G93" s="6" t="s">
        <v>18</v>
      </c>
      <c r="H93" s="6" t="n">
        <f aca="true">ROUND(RAND()*4+6,1)</f>
        <v>6.1</v>
      </c>
      <c r="I93" s="6" t="s">
        <v>36</v>
      </c>
      <c r="J93" s="6" t="str">
        <f aca="false">ROUND(64*1,0)&amp;"%"</f>
        <v>64%</v>
      </c>
    </row>
    <row r="94" customFormat="false" ht="15" hidden="false" customHeight="false" outlineLevel="0" collapsed="false">
      <c r="A94" s="5" t="s">
        <v>12846</v>
      </c>
      <c r="B94" s="5" t="s">
        <v>178</v>
      </c>
      <c r="C94" s="5" t="s">
        <v>15</v>
      </c>
      <c r="D94" s="5" t="s">
        <v>39</v>
      </c>
      <c r="E94" s="5" t="n">
        <f aca="false">ROUND(14542*1.05,2)</f>
        <v>15269.1</v>
      </c>
      <c r="F94" s="5" t="s">
        <v>40</v>
      </c>
      <c r="G94" s="5" t="s">
        <v>24</v>
      </c>
      <c r="H94" s="5" t="n">
        <f aca="true">ROUND(RAND()*4+6,1)</f>
        <v>7.6</v>
      </c>
      <c r="I94" s="5" t="s">
        <v>41</v>
      </c>
      <c r="J94" s="5" t="str">
        <f aca="false">ROUND(69*1,0)&amp;"%"</f>
        <v>69%</v>
      </c>
    </row>
    <row r="95" customFormat="false" ht="15" hidden="false" customHeight="false" outlineLevel="0" collapsed="false">
      <c r="A95" s="6" t="s">
        <v>12847</v>
      </c>
      <c r="B95" s="6" t="s">
        <v>180</v>
      </c>
      <c r="C95" s="6" t="s">
        <v>15</v>
      </c>
      <c r="D95" s="6" t="s">
        <v>44</v>
      </c>
      <c r="E95" s="6" t="n">
        <f aca="false">ROUND(14098*1.05,2)</f>
        <v>14802.9</v>
      </c>
      <c r="F95" s="6" t="s">
        <v>45</v>
      </c>
      <c r="G95" s="6" t="s">
        <v>30</v>
      </c>
      <c r="H95" s="6" t="n">
        <f aca="true">ROUND(RAND()*4+6,1)</f>
        <v>8.7</v>
      </c>
      <c r="I95" s="6" t="s">
        <v>46</v>
      </c>
      <c r="J95" s="6" t="str">
        <f aca="false">ROUND(62*1,0)&amp;"%"</f>
        <v>62%</v>
      </c>
    </row>
    <row r="96" customFormat="false" ht="15" hidden="false" customHeight="false" outlineLevel="0" collapsed="false">
      <c r="A96" s="5" t="s">
        <v>12848</v>
      </c>
      <c r="B96" s="5" t="s">
        <v>182</v>
      </c>
      <c r="C96" s="5" t="s">
        <v>15</v>
      </c>
      <c r="D96" s="5" t="s">
        <v>16</v>
      </c>
      <c r="E96" s="5" t="n">
        <f aca="false">ROUND(10245*1.05,2)</f>
        <v>10757.25</v>
      </c>
      <c r="F96" s="5" t="s">
        <v>49</v>
      </c>
      <c r="G96" s="5" t="s">
        <v>18</v>
      </c>
      <c r="H96" s="5" t="n">
        <f aca="true">ROUND(RAND()*4+6,1)</f>
        <v>9.9</v>
      </c>
      <c r="I96" s="5" t="s">
        <v>19</v>
      </c>
      <c r="J96" s="5" t="str">
        <f aca="false">ROUND(78*1,0)&amp;"%"</f>
        <v>78%</v>
      </c>
    </row>
    <row r="97" customFormat="false" ht="15" hidden="false" customHeight="false" outlineLevel="0" collapsed="false">
      <c r="A97" s="6" t="s">
        <v>12849</v>
      </c>
      <c r="B97" s="6" t="s">
        <v>184</v>
      </c>
      <c r="C97" s="6" t="s">
        <v>15</v>
      </c>
      <c r="D97" s="6" t="s">
        <v>22</v>
      </c>
      <c r="E97" s="6" t="n">
        <f aca="false">ROUND(5361*1.05,2)</f>
        <v>5629.05</v>
      </c>
      <c r="F97" s="6" t="s">
        <v>52</v>
      </c>
      <c r="G97" s="6" t="s">
        <v>24</v>
      </c>
      <c r="H97" s="6" t="n">
        <f aca="true">ROUND(RAND()*4+6,1)</f>
        <v>7.4</v>
      </c>
      <c r="I97" s="6" t="s">
        <v>25</v>
      </c>
      <c r="J97" s="6" t="str">
        <f aca="false">ROUND(76*1,0)&amp;"%"</f>
        <v>76%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12850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12851</v>
      </c>
      <c r="B102" s="5" t="s">
        <v>188</v>
      </c>
      <c r="C102" s="5" t="s">
        <v>57</v>
      </c>
      <c r="D102" s="5" t="s">
        <v>16</v>
      </c>
      <c r="E102" s="5" t="n">
        <f aca="false">ROUND(14487*1.05,2)</f>
        <v>15211.35</v>
      </c>
      <c r="F102" s="5" t="s">
        <v>17</v>
      </c>
      <c r="G102" s="5" t="s">
        <v>18</v>
      </c>
      <c r="H102" s="5" t="n">
        <f aca="true">ROUND(RAND()*4+6,1)</f>
        <v>8.8</v>
      </c>
      <c r="I102" s="5" t="s">
        <v>19</v>
      </c>
      <c r="J102" s="5" t="str">
        <f aca="false">ROUND(93*1,0)&amp;"%"</f>
        <v>93%</v>
      </c>
    </row>
    <row r="103" customFormat="false" ht="15" hidden="false" customHeight="false" outlineLevel="0" collapsed="false">
      <c r="A103" s="6" t="s">
        <v>12852</v>
      </c>
      <c r="B103" s="6" t="s">
        <v>190</v>
      </c>
      <c r="C103" s="6" t="s">
        <v>57</v>
      </c>
      <c r="D103" s="6" t="s">
        <v>22</v>
      </c>
      <c r="E103" s="6" t="n">
        <f aca="false">ROUND(10713*1.05,2)</f>
        <v>11248.65</v>
      </c>
      <c r="F103" s="6" t="s">
        <v>23</v>
      </c>
      <c r="G103" s="6" t="s">
        <v>24</v>
      </c>
      <c r="H103" s="6" t="n">
        <f aca="true">ROUND(RAND()*4+6,1)</f>
        <v>9.5</v>
      </c>
      <c r="I103" s="6" t="s">
        <v>25</v>
      </c>
      <c r="J103" s="6" t="str">
        <f aca="false">ROUND(87*1,0)&amp;"%"</f>
        <v>87%</v>
      </c>
    </row>
    <row r="104" customFormat="false" ht="15" hidden="false" customHeight="false" outlineLevel="0" collapsed="false">
      <c r="A104" s="5" t="s">
        <v>12853</v>
      </c>
      <c r="B104" s="5" t="s">
        <v>192</v>
      </c>
      <c r="C104" s="5" t="s">
        <v>57</v>
      </c>
      <c r="D104" s="5" t="s">
        <v>28</v>
      </c>
      <c r="E104" s="5" t="n">
        <f aca="false">ROUND(10269*1.05,2)</f>
        <v>10782.45</v>
      </c>
      <c r="F104" s="5" t="s">
        <v>29</v>
      </c>
      <c r="G104" s="5" t="s">
        <v>30</v>
      </c>
      <c r="H104" s="5" t="n">
        <f aca="true">ROUND(RAND()*4+6,1)</f>
        <v>7.8</v>
      </c>
      <c r="I104" s="5" t="s">
        <v>31</v>
      </c>
      <c r="J104" s="5" t="str">
        <f aca="false">ROUND(61*1,0)&amp;"%"</f>
        <v>61%</v>
      </c>
    </row>
    <row r="105" customFormat="false" ht="15" hidden="false" customHeight="false" outlineLevel="0" collapsed="false">
      <c r="A105" s="6" t="s">
        <v>12854</v>
      </c>
      <c r="B105" s="6" t="s">
        <v>194</v>
      </c>
      <c r="C105" s="6" t="s">
        <v>57</v>
      </c>
      <c r="D105" s="6" t="s">
        <v>34</v>
      </c>
      <c r="E105" s="6" t="n">
        <f aca="false">ROUND(11870*1.05,2)</f>
        <v>12463.5</v>
      </c>
      <c r="F105" s="6" t="s">
        <v>35</v>
      </c>
      <c r="G105" s="6" t="s">
        <v>18</v>
      </c>
      <c r="H105" s="6" t="n">
        <f aca="true">ROUND(RAND()*4+6,1)</f>
        <v>9.1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12855</v>
      </c>
      <c r="B106" s="5" t="s">
        <v>196</v>
      </c>
      <c r="C106" s="5" t="s">
        <v>57</v>
      </c>
      <c r="D106" s="5" t="s">
        <v>39</v>
      </c>
      <c r="E106" s="5" t="n">
        <f aca="false">ROUND(15445*1.05,2)</f>
        <v>16217.25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ROUND(94*1,0)&amp;"%"</f>
        <v>94%</v>
      </c>
    </row>
    <row r="107" customFormat="false" ht="15" hidden="false" customHeight="false" outlineLevel="0" collapsed="false">
      <c r="A107" s="6" t="s">
        <v>12856</v>
      </c>
      <c r="B107" s="6" t="s">
        <v>198</v>
      </c>
      <c r="C107" s="6" t="s">
        <v>57</v>
      </c>
      <c r="D107" s="6" t="s">
        <v>44</v>
      </c>
      <c r="E107" s="6" t="n">
        <f aca="false">ROUND(13192*1.05,2)</f>
        <v>13851.6</v>
      </c>
      <c r="F107" s="6" t="s">
        <v>45</v>
      </c>
      <c r="G107" s="6" t="s">
        <v>30</v>
      </c>
      <c r="H107" s="6" t="n">
        <f aca="true">ROUND(RAND()*4+6,1)</f>
        <v>8.3</v>
      </c>
      <c r="I107" s="6" t="s">
        <v>46</v>
      </c>
      <c r="J107" s="6" t="str">
        <f aca="false">ROUND(97*1,0)&amp;"%"</f>
        <v>97%</v>
      </c>
    </row>
    <row r="108" customFormat="false" ht="15" hidden="false" customHeight="false" outlineLevel="0" collapsed="false">
      <c r="A108" s="5" t="s">
        <v>12857</v>
      </c>
      <c r="B108" s="5" t="s">
        <v>200</v>
      </c>
      <c r="C108" s="5" t="s">
        <v>57</v>
      </c>
      <c r="D108" s="5" t="s">
        <v>16</v>
      </c>
      <c r="E108" s="5" t="n">
        <f aca="false">ROUND(7641*1.05,2)</f>
        <v>8023.05</v>
      </c>
      <c r="F108" s="5" t="s">
        <v>49</v>
      </c>
      <c r="G108" s="5" t="s">
        <v>18</v>
      </c>
      <c r="H108" s="5" t="n">
        <f aca="true">ROUND(RAND()*4+6,1)</f>
        <v>6.5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12858</v>
      </c>
      <c r="B109" s="6" t="s">
        <v>202</v>
      </c>
      <c r="C109" s="6" t="s">
        <v>57</v>
      </c>
      <c r="D109" s="6" t="s">
        <v>22</v>
      </c>
      <c r="E109" s="6" t="n">
        <f aca="false">ROUND(17905*1.05,2)</f>
        <v>18800.25</v>
      </c>
      <c r="F109" s="6" t="s">
        <v>52</v>
      </c>
      <c r="G109" s="6" t="s">
        <v>24</v>
      </c>
      <c r="H109" s="6" t="n">
        <f aca="true">ROUND(RAND()*4+6,1)</f>
        <v>8.6</v>
      </c>
      <c r="I109" s="6" t="s">
        <v>25</v>
      </c>
      <c r="J109" s="6" t="str">
        <f aca="false">ROUND(92*1,0)&amp;"%"</f>
        <v>92%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12859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12860</v>
      </c>
      <c r="B114" s="5" t="s">
        <v>206</v>
      </c>
      <c r="C114" s="5" t="s">
        <v>76</v>
      </c>
      <c r="D114" s="5" t="s">
        <v>16</v>
      </c>
      <c r="E114" s="5" t="n">
        <f aca="false">ROUND(7601*1.05,2)</f>
        <v>7981.05</v>
      </c>
      <c r="F114" s="5" t="s">
        <v>17</v>
      </c>
      <c r="G114" s="5" t="s">
        <v>18</v>
      </c>
      <c r="H114" s="5" t="n">
        <f aca="true">ROUND(RAND()*4+6,1)</f>
        <v>8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12861</v>
      </c>
      <c r="B115" s="6" t="s">
        <v>208</v>
      </c>
      <c r="C115" s="6" t="s">
        <v>76</v>
      </c>
      <c r="D115" s="6" t="s">
        <v>22</v>
      </c>
      <c r="E115" s="6" t="n">
        <f aca="false">ROUND(17238*1.05,2)</f>
        <v>18099.9</v>
      </c>
      <c r="F115" s="6" t="s">
        <v>23</v>
      </c>
      <c r="G115" s="6" t="s">
        <v>24</v>
      </c>
      <c r="H115" s="6" t="n">
        <f aca="true">ROUND(RAND()*4+6,1)</f>
        <v>7.6</v>
      </c>
      <c r="I115" s="6" t="s">
        <v>25</v>
      </c>
      <c r="J115" s="6" t="str">
        <f aca="false">ROUND(91*1,0)&amp;"%"</f>
        <v>91%</v>
      </c>
    </row>
    <row r="116" customFormat="false" ht="15" hidden="false" customHeight="false" outlineLevel="0" collapsed="false">
      <c r="A116" s="5" t="s">
        <v>12862</v>
      </c>
      <c r="B116" s="5" t="s">
        <v>210</v>
      </c>
      <c r="C116" s="5" t="s">
        <v>76</v>
      </c>
      <c r="D116" s="5" t="s">
        <v>28</v>
      </c>
      <c r="E116" s="5" t="n">
        <f aca="false">ROUND(6674*1.05,2)</f>
        <v>7007.7</v>
      </c>
      <c r="F116" s="5" t="s">
        <v>29</v>
      </c>
      <c r="G116" s="5" t="s">
        <v>30</v>
      </c>
      <c r="H116" s="5" t="n">
        <f aca="true">ROUND(RAND()*4+6,1)</f>
        <v>8.1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12863</v>
      </c>
      <c r="B117" s="6" t="s">
        <v>212</v>
      </c>
      <c r="C117" s="6" t="s">
        <v>76</v>
      </c>
      <c r="D117" s="6" t="s">
        <v>34</v>
      </c>
      <c r="E117" s="6" t="n">
        <f aca="false">ROUND(5098*1.05,2)</f>
        <v>5352.9</v>
      </c>
      <c r="F117" s="6" t="s">
        <v>35</v>
      </c>
      <c r="G117" s="6" t="s">
        <v>18</v>
      </c>
      <c r="H117" s="6" t="n">
        <f aca="true">ROUND(RAND()*4+6,1)</f>
        <v>8</v>
      </c>
      <c r="I117" s="6" t="s">
        <v>36</v>
      </c>
      <c r="J117" s="6" t="str">
        <f aca="false">ROUND(79*1,0)&amp;"%"</f>
        <v>79%</v>
      </c>
    </row>
    <row r="118" customFormat="false" ht="15" hidden="false" customHeight="false" outlineLevel="0" collapsed="false">
      <c r="A118" s="5" t="s">
        <v>12864</v>
      </c>
      <c r="B118" s="5" t="s">
        <v>214</v>
      </c>
      <c r="C118" s="5" t="s">
        <v>76</v>
      </c>
      <c r="D118" s="5" t="s">
        <v>39</v>
      </c>
      <c r="E118" s="5" t="n">
        <f aca="false">ROUND(4565*1.05,2)</f>
        <v>4793.25</v>
      </c>
      <c r="F118" s="5" t="s">
        <v>40</v>
      </c>
      <c r="G118" s="5" t="s">
        <v>24</v>
      </c>
      <c r="H118" s="5" t="n">
        <f aca="true">ROUND(RAND()*4+6,1)</f>
        <v>9.7</v>
      </c>
      <c r="I118" s="5" t="s">
        <v>41</v>
      </c>
      <c r="J118" s="5" t="str">
        <f aca="false">ROUND(67*1,0)&amp;"%"</f>
        <v>67%</v>
      </c>
    </row>
    <row r="119" customFormat="false" ht="15" hidden="false" customHeight="false" outlineLevel="0" collapsed="false">
      <c r="A119" s="6" t="s">
        <v>12865</v>
      </c>
      <c r="B119" s="6" t="s">
        <v>216</v>
      </c>
      <c r="C119" s="6" t="s">
        <v>76</v>
      </c>
      <c r="D119" s="6" t="s">
        <v>44</v>
      </c>
      <c r="E119" s="6" t="n">
        <f aca="false">ROUND(11289*1.05,2)</f>
        <v>11853.45</v>
      </c>
      <c r="F119" s="6" t="s">
        <v>45</v>
      </c>
      <c r="G119" s="6" t="s">
        <v>30</v>
      </c>
      <c r="H119" s="6" t="n">
        <f aca="true">ROUND(RAND()*4+6,1)</f>
        <v>8.7</v>
      </c>
      <c r="I119" s="6" t="s">
        <v>46</v>
      </c>
      <c r="J119" s="6" t="str">
        <f aca="false">ROUND(97*1,0)&amp;"%"</f>
        <v>97%</v>
      </c>
    </row>
    <row r="120" customFormat="false" ht="15" hidden="false" customHeight="false" outlineLevel="0" collapsed="false">
      <c r="A120" s="5" t="s">
        <v>12866</v>
      </c>
      <c r="B120" s="5" t="s">
        <v>218</v>
      </c>
      <c r="C120" s="5" t="s">
        <v>76</v>
      </c>
      <c r="D120" s="5" t="s">
        <v>16</v>
      </c>
      <c r="E120" s="5" t="n">
        <f aca="false">ROUND(14845*1.05,2)</f>
        <v>15587.25</v>
      </c>
      <c r="F120" s="5" t="s">
        <v>49</v>
      </c>
      <c r="G120" s="5" t="s">
        <v>18</v>
      </c>
      <c r="H120" s="5" t="n">
        <f aca="true">ROUND(RAND()*4+6,1)</f>
        <v>6.2</v>
      </c>
      <c r="I120" s="5" t="s">
        <v>19</v>
      </c>
      <c r="J120" s="5" t="str">
        <f aca="false">ROUND(85*1,0)&amp;"%"</f>
        <v>85%</v>
      </c>
    </row>
    <row r="121" customFormat="false" ht="15" hidden="false" customHeight="false" outlineLevel="0" collapsed="false">
      <c r="A121" s="6" t="s">
        <v>12867</v>
      </c>
      <c r="B121" s="6" t="s">
        <v>220</v>
      </c>
      <c r="C121" s="6" t="s">
        <v>76</v>
      </c>
      <c r="D121" s="6" t="s">
        <v>22</v>
      </c>
      <c r="E121" s="6" t="n">
        <f aca="false">ROUND(10168*1.05,2)</f>
        <v>10676.4</v>
      </c>
      <c r="F121" s="6" t="s">
        <v>52</v>
      </c>
      <c r="G121" s="6" t="s">
        <v>24</v>
      </c>
      <c r="H121" s="6" t="n">
        <f aca="true">ROUND(RAND()*4+6,1)</f>
        <v>8</v>
      </c>
      <c r="I121" s="6" t="s">
        <v>25</v>
      </c>
      <c r="J121" s="6" t="str">
        <f aca="false">ROUND(77*1,0)&amp;"%"</f>
        <v>77%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12868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12869</v>
      </c>
      <c r="B126" s="5" t="s">
        <v>224</v>
      </c>
      <c r="C126" s="5" t="s">
        <v>95</v>
      </c>
      <c r="D126" s="5" t="s">
        <v>16</v>
      </c>
      <c r="E126" s="5" t="n">
        <f aca="false">ROUND(17242*1.05,2)</f>
        <v>18104.1</v>
      </c>
      <c r="F126" s="5" t="s">
        <v>17</v>
      </c>
      <c r="G126" s="5" t="s">
        <v>18</v>
      </c>
      <c r="H126" s="5" t="n">
        <f aca="true">ROUND(RAND()*4+6,1)</f>
        <v>9.7</v>
      </c>
      <c r="I126" s="5" t="s">
        <v>19</v>
      </c>
      <c r="J126" s="5" t="str">
        <f aca="false">ROUND(88*1,0)&amp;"%"</f>
        <v>88%</v>
      </c>
    </row>
    <row r="127" customFormat="false" ht="15" hidden="false" customHeight="false" outlineLevel="0" collapsed="false">
      <c r="A127" s="6" t="s">
        <v>12870</v>
      </c>
      <c r="B127" s="6" t="s">
        <v>226</v>
      </c>
      <c r="C127" s="6" t="s">
        <v>95</v>
      </c>
      <c r="D127" s="6" t="s">
        <v>22</v>
      </c>
      <c r="E127" s="6" t="n">
        <f aca="false">ROUND(8755*1.05,2)</f>
        <v>9192.75</v>
      </c>
      <c r="F127" s="6" t="s">
        <v>23</v>
      </c>
      <c r="G127" s="6" t="s">
        <v>24</v>
      </c>
      <c r="H127" s="6" t="n">
        <f aca="true">ROUND(RAND()*4+6,1)</f>
        <v>6.8</v>
      </c>
      <c r="I127" s="6" t="s">
        <v>25</v>
      </c>
      <c r="J127" s="6" t="str">
        <f aca="false">ROUND(61*1,0)&amp;"%"</f>
        <v>61%</v>
      </c>
    </row>
    <row r="128" customFormat="false" ht="15" hidden="false" customHeight="false" outlineLevel="0" collapsed="false">
      <c r="A128" s="5" t="s">
        <v>12871</v>
      </c>
      <c r="B128" s="5" t="s">
        <v>228</v>
      </c>
      <c r="C128" s="5" t="s">
        <v>95</v>
      </c>
      <c r="D128" s="5" t="s">
        <v>28</v>
      </c>
      <c r="E128" s="5" t="n">
        <f aca="false">ROUND(12485*1.05,2)</f>
        <v>13109.25</v>
      </c>
      <c r="F128" s="5" t="s">
        <v>29</v>
      </c>
      <c r="G128" s="5" t="s">
        <v>30</v>
      </c>
      <c r="H128" s="5" t="n">
        <f aca="true">ROUND(RAND()*4+6,1)</f>
        <v>6.4</v>
      </c>
      <c r="I128" s="5" t="s">
        <v>31</v>
      </c>
      <c r="J128" s="5" t="str">
        <f aca="false">ROUND(73*1,0)&amp;"%"</f>
        <v>73%</v>
      </c>
    </row>
    <row r="129" customFormat="false" ht="15" hidden="false" customHeight="false" outlineLevel="0" collapsed="false">
      <c r="A129" s="6" t="s">
        <v>12872</v>
      </c>
      <c r="B129" s="6" t="s">
        <v>230</v>
      </c>
      <c r="C129" s="6" t="s">
        <v>95</v>
      </c>
      <c r="D129" s="6" t="s">
        <v>34</v>
      </c>
      <c r="E129" s="6" t="n">
        <f aca="false">ROUND(9576*1.05,2)</f>
        <v>10054.8</v>
      </c>
      <c r="F129" s="6" t="s">
        <v>35</v>
      </c>
      <c r="G129" s="6" t="s">
        <v>18</v>
      </c>
      <c r="H129" s="6" t="n">
        <f aca="true">ROUND(RAND()*4+6,1)</f>
        <v>8.6</v>
      </c>
      <c r="I129" s="6" t="s">
        <v>36</v>
      </c>
      <c r="J129" s="6" t="str">
        <f aca="false">ROUND(64*1,0)&amp;"%"</f>
        <v>64%</v>
      </c>
    </row>
    <row r="130" customFormat="false" ht="15" hidden="false" customHeight="false" outlineLevel="0" collapsed="false">
      <c r="A130" s="5" t="s">
        <v>12873</v>
      </c>
      <c r="B130" s="5" t="s">
        <v>232</v>
      </c>
      <c r="C130" s="5" t="s">
        <v>95</v>
      </c>
      <c r="D130" s="5" t="s">
        <v>39</v>
      </c>
      <c r="E130" s="5" t="n">
        <f aca="false">ROUND(13802*1.05,2)</f>
        <v>14492.1</v>
      </c>
      <c r="F130" s="5" t="s">
        <v>40</v>
      </c>
      <c r="G130" s="5" t="s">
        <v>24</v>
      </c>
      <c r="H130" s="5" t="n">
        <f aca="true">ROUND(RAND()*4+6,1)</f>
        <v>8.2</v>
      </c>
      <c r="I130" s="5" t="s">
        <v>41</v>
      </c>
      <c r="J130" s="5" t="str">
        <f aca="false">ROUND(69*1,0)&amp;"%"</f>
        <v>69%</v>
      </c>
    </row>
    <row r="131" customFormat="false" ht="15" hidden="false" customHeight="false" outlineLevel="0" collapsed="false">
      <c r="A131" s="6" t="s">
        <v>12874</v>
      </c>
      <c r="B131" s="6" t="s">
        <v>234</v>
      </c>
      <c r="C131" s="6" t="s">
        <v>95</v>
      </c>
      <c r="D131" s="6" t="s">
        <v>44</v>
      </c>
      <c r="E131" s="6" t="n">
        <f aca="false">ROUND(6829*1.05,2)</f>
        <v>7170.45</v>
      </c>
      <c r="F131" s="6" t="s">
        <v>45</v>
      </c>
      <c r="G131" s="6" t="s">
        <v>30</v>
      </c>
      <c r="H131" s="6" t="n">
        <f aca="true">ROUND(RAND()*4+6,1)</f>
        <v>7</v>
      </c>
      <c r="I131" s="6" t="s">
        <v>46</v>
      </c>
      <c r="J131" s="6" t="str">
        <f aca="false">ROUND(95*1,0)&amp;"%"</f>
        <v>95%</v>
      </c>
    </row>
    <row r="132" customFormat="false" ht="15" hidden="false" customHeight="false" outlineLevel="0" collapsed="false">
      <c r="A132" s="5" t="s">
        <v>12875</v>
      </c>
      <c r="B132" s="5" t="s">
        <v>236</v>
      </c>
      <c r="C132" s="5" t="s">
        <v>95</v>
      </c>
      <c r="D132" s="5" t="s">
        <v>16</v>
      </c>
      <c r="E132" s="5" t="n">
        <f aca="false">ROUND(17213*1.05,2)</f>
        <v>18073.65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ROUND(85*1,0)&amp;"%"</f>
        <v>85%</v>
      </c>
    </row>
    <row r="133" customFormat="false" ht="15" hidden="false" customHeight="false" outlineLevel="0" collapsed="false">
      <c r="A133" s="6" t="s">
        <v>12876</v>
      </c>
      <c r="B133" s="6" t="s">
        <v>238</v>
      </c>
      <c r="C133" s="6" t="s">
        <v>95</v>
      </c>
      <c r="D133" s="6" t="s">
        <v>22</v>
      </c>
      <c r="E133" s="6" t="n">
        <f aca="false">ROUND(14747*1.05,2)</f>
        <v>15484.35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ROUND(64*1,0)&amp;"%"</f>
        <v>64%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12877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12878</v>
      </c>
      <c r="B138" s="5" t="s">
        <v>242</v>
      </c>
      <c r="C138" s="5" t="s">
        <v>114</v>
      </c>
      <c r="D138" s="5" t="s">
        <v>16</v>
      </c>
      <c r="E138" s="5" t="n">
        <f aca="false">ROUND(6320*1.05,2)</f>
        <v>6636</v>
      </c>
      <c r="F138" s="5" t="s">
        <v>17</v>
      </c>
      <c r="G138" s="5" t="s">
        <v>18</v>
      </c>
      <c r="H138" s="5" t="n">
        <f aca="true">ROUND(RAND()*4+6,1)</f>
        <v>6.8</v>
      </c>
      <c r="I138" s="5" t="s">
        <v>19</v>
      </c>
      <c r="J138" s="5" t="str">
        <f aca="false">ROUND(88*1,0)&amp;"%"</f>
        <v>88%</v>
      </c>
    </row>
    <row r="139" customFormat="false" ht="15" hidden="false" customHeight="false" outlineLevel="0" collapsed="false">
      <c r="A139" s="6" t="s">
        <v>12879</v>
      </c>
      <c r="B139" s="6" t="s">
        <v>244</v>
      </c>
      <c r="C139" s="6" t="s">
        <v>114</v>
      </c>
      <c r="D139" s="6" t="s">
        <v>22</v>
      </c>
      <c r="E139" s="6" t="n">
        <f aca="false">ROUND(10488*1.05,2)</f>
        <v>11012.4</v>
      </c>
      <c r="F139" s="6" t="s">
        <v>23</v>
      </c>
      <c r="G139" s="6" t="s">
        <v>24</v>
      </c>
      <c r="H139" s="6" t="n">
        <f aca="true">ROUND(RAND()*4+6,1)</f>
        <v>9.9</v>
      </c>
      <c r="I139" s="6" t="s">
        <v>25</v>
      </c>
      <c r="J139" s="6" t="str">
        <f aca="false">ROUND(99*1,0)&amp;"%"</f>
        <v>99%</v>
      </c>
    </row>
    <row r="140" customFormat="false" ht="15" hidden="false" customHeight="false" outlineLevel="0" collapsed="false">
      <c r="A140" s="5" t="s">
        <v>12880</v>
      </c>
      <c r="B140" s="5" t="s">
        <v>246</v>
      </c>
      <c r="C140" s="5" t="s">
        <v>114</v>
      </c>
      <c r="D140" s="5" t="s">
        <v>28</v>
      </c>
      <c r="E140" s="5" t="n">
        <f aca="false">ROUND(5288*1.05,2)</f>
        <v>5552.4</v>
      </c>
      <c r="F140" s="5" t="s">
        <v>29</v>
      </c>
      <c r="G140" s="5" t="s">
        <v>30</v>
      </c>
      <c r="H140" s="5" t="n">
        <f aca="true">ROUND(RAND()*4+6,1)</f>
        <v>7.2</v>
      </c>
      <c r="I140" s="5" t="s">
        <v>31</v>
      </c>
      <c r="J140" s="5" t="str">
        <f aca="false">ROUND(77*1,0)&amp;"%"</f>
        <v>77%</v>
      </c>
    </row>
    <row r="141" customFormat="false" ht="15" hidden="false" customHeight="false" outlineLevel="0" collapsed="false">
      <c r="A141" s="6" t="s">
        <v>12881</v>
      </c>
      <c r="B141" s="6" t="s">
        <v>248</v>
      </c>
      <c r="C141" s="6" t="s">
        <v>114</v>
      </c>
      <c r="D141" s="6" t="s">
        <v>34</v>
      </c>
      <c r="E141" s="6" t="n">
        <f aca="false">ROUND(14964*1.05,2)</f>
        <v>15712.2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ROUND(87*1,0)&amp;"%"</f>
        <v>87%</v>
      </c>
    </row>
    <row r="142" customFormat="false" ht="15" hidden="false" customHeight="false" outlineLevel="0" collapsed="false">
      <c r="A142" s="5" t="s">
        <v>12882</v>
      </c>
      <c r="B142" s="5" t="s">
        <v>250</v>
      </c>
      <c r="C142" s="5" t="s">
        <v>114</v>
      </c>
      <c r="D142" s="5" t="s">
        <v>39</v>
      </c>
      <c r="E142" s="5" t="n">
        <f aca="false">ROUND(15894*1.05,2)</f>
        <v>16688.7</v>
      </c>
      <c r="F142" s="5" t="s">
        <v>40</v>
      </c>
      <c r="G142" s="5" t="s">
        <v>24</v>
      </c>
      <c r="H142" s="5" t="n">
        <f aca="true">ROUND(RAND()*4+6,1)</f>
        <v>6</v>
      </c>
      <c r="I142" s="5" t="s">
        <v>41</v>
      </c>
      <c r="J142" s="5" t="str">
        <f aca="false">ROUND(88*1,0)&amp;"%"</f>
        <v>88%</v>
      </c>
    </row>
    <row r="143" customFormat="false" ht="15" hidden="false" customHeight="false" outlineLevel="0" collapsed="false">
      <c r="A143" s="6" t="s">
        <v>12883</v>
      </c>
      <c r="B143" s="6" t="s">
        <v>252</v>
      </c>
      <c r="C143" s="6" t="s">
        <v>114</v>
      </c>
      <c r="D143" s="6" t="s">
        <v>44</v>
      </c>
      <c r="E143" s="6" t="n">
        <f aca="false">ROUND(10415*1.05,2)</f>
        <v>10935.75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ROUND(100*1,0)&amp;"%"</f>
        <v>100%</v>
      </c>
    </row>
    <row r="144" customFormat="false" ht="15" hidden="false" customHeight="false" outlineLevel="0" collapsed="false">
      <c r="A144" s="5" t="s">
        <v>12884</v>
      </c>
      <c r="B144" s="5" t="s">
        <v>254</v>
      </c>
      <c r="C144" s="5" t="s">
        <v>114</v>
      </c>
      <c r="D144" s="5" t="s">
        <v>16</v>
      </c>
      <c r="E144" s="5" t="n">
        <f aca="false">ROUND(6194*1.05,2)</f>
        <v>6503.7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ROUND(90*1,0)&amp;"%"</f>
        <v>90%</v>
      </c>
    </row>
    <row r="145" customFormat="false" ht="15" hidden="false" customHeight="false" outlineLevel="0" collapsed="false">
      <c r="A145" s="6" t="s">
        <v>12885</v>
      </c>
      <c r="B145" s="6" t="s">
        <v>256</v>
      </c>
      <c r="C145" s="6" t="s">
        <v>114</v>
      </c>
      <c r="D145" s="6" t="s">
        <v>22</v>
      </c>
      <c r="E145" s="6" t="n">
        <f aca="false">ROUND(13045*1.05,2)</f>
        <v>13697.25</v>
      </c>
      <c r="F145" s="6" t="s">
        <v>52</v>
      </c>
      <c r="G145" s="6" t="s">
        <v>24</v>
      </c>
      <c r="H145" s="6" t="n">
        <f aca="true">ROUND(RAND()*4+6,1)</f>
        <v>8.7</v>
      </c>
      <c r="I145" s="6" t="s">
        <v>25</v>
      </c>
      <c r="J145" s="6" t="str">
        <f aca="false">ROUND(62*1,0)&amp;"%"</f>
        <v>62%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12886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12887</v>
      </c>
      <c r="B150" s="5" t="s">
        <v>260</v>
      </c>
      <c r="C150" s="5" t="s">
        <v>133</v>
      </c>
      <c r="D150" s="5" t="s">
        <v>16</v>
      </c>
      <c r="E150" s="5" t="n">
        <f aca="false">ROUND(10885*1.05,2)</f>
        <v>11429.25</v>
      </c>
      <c r="F150" s="5" t="s">
        <v>17</v>
      </c>
      <c r="G150" s="5" t="s">
        <v>18</v>
      </c>
      <c r="H150" s="5" t="n">
        <f aca="true">ROUND(RAND()*4+6,1)</f>
        <v>6.6</v>
      </c>
      <c r="I150" s="5" t="s">
        <v>19</v>
      </c>
      <c r="J150" s="5" t="str">
        <f aca="false">ROUND(99*1,0)&amp;"%"</f>
        <v>99%</v>
      </c>
    </row>
    <row r="151" customFormat="false" ht="15" hidden="false" customHeight="false" outlineLevel="0" collapsed="false">
      <c r="A151" s="6" t="s">
        <v>12888</v>
      </c>
      <c r="B151" s="6" t="s">
        <v>262</v>
      </c>
      <c r="C151" s="6" t="s">
        <v>133</v>
      </c>
      <c r="D151" s="6" t="s">
        <v>22</v>
      </c>
      <c r="E151" s="6" t="n">
        <f aca="false">ROUND(11815*1.05,2)</f>
        <v>12405.75</v>
      </c>
      <c r="F151" s="6" t="s">
        <v>23</v>
      </c>
      <c r="G151" s="6" t="s">
        <v>24</v>
      </c>
      <c r="H151" s="6" t="n">
        <f aca="true">ROUND(RAND()*4+6,1)</f>
        <v>9.8</v>
      </c>
      <c r="I151" s="6" t="s">
        <v>25</v>
      </c>
      <c r="J151" s="6" t="str">
        <f aca="false">ROUND(99*1,0)&amp;"%"</f>
        <v>99%</v>
      </c>
    </row>
    <row r="152" customFormat="false" ht="15" hidden="false" customHeight="false" outlineLevel="0" collapsed="false">
      <c r="A152" s="5" t="s">
        <v>12889</v>
      </c>
      <c r="B152" s="5" t="s">
        <v>264</v>
      </c>
      <c r="C152" s="5" t="s">
        <v>133</v>
      </c>
      <c r="D152" s="5" t="s">
        <v>28</v>
      </c>
      <c r="E152" s="5" t="n">
        <f aca="false">ROUND(16457*1.05,2)</f>
        <v>17279.85</v>
      </c>
      <c r="F152" s="5" t="s">
        <v>29</v>
      </c>
      <c r="G152" s="5" t="s">
        <v>30</v>
      </c>
      <c r="H152" s="5" t="n">
        <f aca="true">ROUND(RAND()*4+6,1)</f>
        <v>6.4</v>
      </c>
      <c r="I152" s="5" t="s">
        <v>31</v>
      </c>
      <c r="J152" s="5" t="str">
        <f aca="false">ROUND(83*1,0)&amp;"%"</f>
        <v>83%</v>
      </c>
    </row>
    <row r="153" customFormat="false" ht="15" hidden="false" customHeight="false" outlineLevel="0" collapsed="false">
      <c r="A153" s="6" t="s">
        <v>12890</v>
      </c>
      <c r="B153" s="6" t="s">
        <v>266</v>
      </c>
      <c r="C153" s="6" t="s">
        <v>133</v>
      </c>
      <c r="D153" s="6" t="s">
        <v>34</v>
      </c>
      <c r="E153" s="6" t="n">
        <f aca="false">ROUND(7084*1.05,2)</f>
        <v>7438.2</v>
      </c>
      <c r="F153" s="6" t="s">
        <v>35</v>
      </c>
      <c r="G153" s="6" t="s">
        <v>18</v>
      </c>
      <c r="H153" s="6" t="n">
        <f aca="true">ROUND(RAND()*4+6,1)</f>
        <v>7.9</v>
      </c>
      <c r="I153" s="6" t="s">
        <v>36</v>
      </c>
      <c r="J153" s="6" t="str">
        <f aca="false">ROUND(76*1,0)&amp;"%"</f>
        <v>76%</v>
      </c>
    </row>
    <row r="154" customFormat="false" ht="15" hidden="false" customHeight="false" outlineLevel="0" collapsed="false">
      <c r="A154" s="5" t="s">
        <v>12891</v>
      </c>
      <c r="B154" s="5" t="s">
        <v>268</v>
      </c>
      <c r="C154" s="5" t="s">
        <v>133</v>
      </c>
      <c r="D154" s="5" t="s">
        <v>39</v>
      </c>
      <c r="E154" s="5" t="n">
        <f aca="false">ROUND(14944*1.05,2)</f>
        <v>15691.2</v>
      </c>
      <c r="F154" s="5" t="s">
        <v>40</v>
      </c>
      <c r="G154" s="5" t="s">
        <v>24</v>
      </c>
      <c r="H154" s="5" t="n">
        <f aca="true">ROUND(RAND()*4+6,1)</f>
        <v>9.2</v>
      </c>
      <c r="I154" s="5" t="s">
        <v>41</v>
      </c>
      <c r="J154" s="5" t="str">
        <f aca="false">ROUND(86*1,0)&amp;"%"</f>
        <v>86%</v>
      </c>
    </row>
    <row r="155" customFormat="false" ht="15" hidden="false" customHeight="false" outlineLevel="0" collapsed="false">
      <c r="A155" s="6" t="s">
        <v>12892</v>
      </c>
      <c r="B155" s="6" t="s">
        <v>270</v>
      </c>
      <c r="C155" s="6" t="s">
        <v>133</v>
      </c>
      <c r="D155" s="6" t="s">
        <v>44</v>
      </c>
      <c r="E155" s="6" t="n">
        <f aca="false">ROUND(13114*1.05,2)</f>
        <v>13769.7</v>
      </c>
      <c r="F155" s="6" t="s">
        <v>45</v>
      </c>
      <c r="G155" s="6" t="s">
        <v>30</v>
      </c>
      <c r="H155" s="6" t="n">
        <f aca="true">ROUND(RAND()*4+6,1)</f>
        <v>6.8</v>
      </c>
      <c r="I155" s="6" t="s">
        <v>46</v>
      </c>
      <c r="J155" s="6" t="str">
        <f aca="false">ROUND(82*1,0)&amp;"%"</f>
        <v>82%</v>
      </c>
    </row>
    <row r="156" customFormat="false" ht="15" hidden="false" customHeight="false" outlineLevel="0" collapsed="false">
      <c r="A156" s="5" t="s">
        <v>12893</v>
      </c>
      <c r="B156" s="5" t="s">
        <v>272</v>
      </c>
      <c r="C156" s="5" t="s">
        <v>133</v>
      </c>
      <c r="D156" s="5" t="s">
        <v>16</v>
      </c>
      <c r="E156" s="5" t="n">
        <f aca="false">ROUND(7980*1.05,2)</f>
        <v>8379</v>
      </c>
      <c r="F156" s="5" t="s">
        <v>49</v>
      </c>
      <c r="G156" s="5" t="s">
        <v>18</v>
      </c>
      <c r="H156" s="5" t="n">
        <f aca="true">ROUND(RAND()*4+6,1)</f>
        <v>8.5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12894</v>
      </c>
      <c r="B157" s="6" t="s">
        <v>274</v>
      </c>
      <c r="C157" s="6" t="s">
        <v>133</v>
      </c>
      <c r="D157" s="6" t="s">
        <v>22</v>
      </c>
      <c r="E157" s="6" t="n">
        <f aca="false">ROUND(17519*1.05,2)</f>
        <v>18394.95</v>
      </c>
      <c r="F157" s="6" t="s">
        <v>52</v>
      </c>
      <c r="G157" s="6" t="s">
        <v>24</v>
      </c>
      <c r="H157" s="6" t="n">
        <f aca="true">ROUND(RAND()*4+6,1)</f>
        <v>9.4</v>
      </c>
      <c r="I157" s="6" t="s">
        <v>25</v>
      </c>
      <c r="J157" s="6" t="str">
        <f aca="false">ROUND(84*1,0)&amp;"%"</f>
        <v>84%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12895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12896</v>
      </c>
      <c r="B162" s="5" t="s">
        <v>278</v>
      </c>
      <c r="C162" s="5" t="s">
        <v>152</v>
      </c>
      <c r="D162" s="5" t="s">
        <v>16</v>
      </c>
      <c r="E162" s="5" t="n">
        <f aca="false">ROUND(15363*1.05,2)</f>
        <v>16131.15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ROUND(92*1,0)&amp;"%"</f>
        <v>92%</v>
      </c>
    </row>
    <row r="163" customFormat="false" ht="15" hidden="false" customHeight="false" outlineLevel="0" collapsed="false">
      <c r="A163" s="6" t="s">
        <v>12897</v>
      </c>
      <c r="B163" s="6" t="s">
        <v>280</v>
      </c>
      <c r="C163" s="6" t="s">
        <v>152</v>
      </c>
      <c r="D163" s="6" t="s">
        <v>22</v>
      </c>
      <c r="E163" s="6" t="n">
        <f aca="false">ROUND(12517*1.05,2)</f>
        <v>13142.85</v>
      </c>
      <c r="F163" s="6" t="s">
        <v>23</v>
      </c>
      <c r="G163" s="6" t="s">
        <v>24</v>
      </c>
      <c r="H163" s="6" t="n">
        <f aca="true">ROUND(RAND()*4+6,1)</f>
        <v>8.4</v>
      </c>
      <c r="I163" s="6" t="s">
        <v>25</v>
      </c>
      <c r="J163" s="6" t="str">
        <f aca="false">ROUND(82*1,0)&amp;"%"</f>
        <v>82%</v>
      </c>
    </row>
    <row r="164" customFormat="false" ht="15" hidden="false" customHeight="false" outlineLevel="0" collapsed="false">
      <c r="A164" s="5" t="s">
        <v>12898</v>
      </c>
      <c r="B164" s="5" t="s">
        <v>282</v>
      </c>
      <c r="C164" s="5" t="s">
        <v>152</v>
      </c>
      <c r="D164" s="5" t="s">
        <v>28</v>
      </c>
      <c r="E164" s="5" t="n">
        <f aca="false">ROUND(7731*1.05,2)</f>
        <v>8117.55</v>
      </c>
      <c r="F164" s="5" t="s">
        <v>29</v>
      </c>
      <c r="G164" s="5" t="s">
        <v>30</v>
      </c>
      <c r="H164" s="5" t="n">
        <f aca="true">ROUND(RAND()*4+6,1)</f>
        <v>7.2</v>
      </c>
      <c r="I164" s="5" t="s">
        <v>31</v>
      </c>
      <c r="J164" s="5" t="str">
        <f aca="false">ROUND(86*1,0)&amp;"%"</f>
        <v>86%</v>
      </c>
    </row>
    <row r="165" customFormat="false" ht="15" hidden="false" customHeight="false" outlineLevel="0" collapsed="false">
      <c r="A165" s="6" t="s">
        <v>12899</v>
      </c>
      <c r="B165" s="6" t="s">
        <v>284</v>
      </c>
      <c r="C165" s="6" t="s">
        <v>152</v>
      </c>
      <c r="D165" s="6" t="s">
        <v>34</v>
      </c>
      <c r="E165" s="6" t="n">
        <f aca="false">ROUND(10647*1.05,2)</f>
        <v>11179.35</v>
      </c>
      <c r="F165" s="6" t="s">
        <v>35</v>
      </c>
      <c r="G165" s="6" t="s">
        <v>18</v>
      </c>
      <c r="H165" s="6" t="n">
        <f aca="true">ROUND(RAND()*4+6,1)</f>
        <v>8.1</v>
      </c>
      <c r="I165" s="6" t="s">
        <v>36</v>
      </c>
      <c r="J165" s="6" t="str">
        <f aca="false">ROUND(62*1,0)&amp;"%"</f>
        <v>62%</v>
      </c>
    </row>
    <row r="166" customFormat="false" ht="15" hidden="false" customHeight="false" outlineLevel="0" collapsed="false">
      <c r="A166" s="5" t="s">
        <v>12900</v>
      </c>
      <c r="B166" s="5" t="s">
        <v>286</v>
      </c>
      <c r="C166" s="5" t="s">
        <v>152</v>
      </c>
      <c r="D166" s="5" t="s">
        <v>39</v>
      </c>
      <c r="E166" s="5" t="n">
        <f aca="false">ROUND(9470*1.05,2)</f>
        <v>9943.5</v>
      </c>
      <c r="F166" s="5" t="s">
        <v>40</v>
      </c>
      <c r="G166" s="5" t="s">
        <v>24</v>
      </c>
      <c r="H166" s="5" t="n">
        <f aca="true">ROUND(RAND()*4+6,1)</f>
        <v>8.8</v>
      </c>
      <c r="I166" s="5" t="s">
        <v>41</v>
      </c>
      <c r="J166" s="5" t="str">
        <f aca="false">ROUND(69*1,0)&amp;"%"</f>
        <v>69%</v>
      </c>
    </row>
    <row r="167" customFormat="false" ht="15" hidden="false" customHeight="false" outlineLevel="0" collapsed="false">
      <c r="A167" s="6" t="s">
        <v>12901</v>
      </c>
      <c r="B167" s="6" t="s">
        <v>288</v>
      </c>
      <c r="C167" s="6" t="s">
        <v>152</v>
      </c>
      <c r="D167" s="6" t="s">
        <v>44</v>
      </c>
      <c r="E167" s="6" t="n">
        <f aca="false">ROUND(14676*1.05,2)</f>
        <v>15409.8</v>
      </c>
      <c r="F167" s="6" t="s">
        <v>45</v>
      </c>
      <c r="G167" s="6" t="s">
        <v>30</v>
      </c>
      <c r="H167" s="6" t="n">
        <f aca="true">ROUND(RAND()*4+6,1)</f>
        <v>6.7</v>
      </c>
      <c r="I167" s="6" t="s">
        <v>46</v>
      </c>
      <c r="J167" s="6" t="str">
        <f aca="false">ROUND(79*1,0)&amp;"%"</f>
        <v>79%</v>
      </c>
    </row>
    <row r="168" customFormat="false" ht="15" hidden="false" customHeight="false" outlineLevel="0" collapsed="false">
      <c r="A168" s="5" t="s">
        <v>12902</v>
      </c>
      <c r="B168" s="5" t="s">
        <v>290</v>
      </c>
      <c r="C168" s="5" t="s">
        <v>152</v>
      </c>
      <c r="D168" s="5" t="s">
        <v>16</v>
      </c>
      <c r="E168" s="5" t="n">
        <f aca="false">ROUND(9988*1.05,2)</f>
        <v>10487.4</v>
      </c>
      <c r="F168" s="5" t="s">
        <v>49</v>
      </c>
      <c r="G168" s="5" t="s">
        <v>18</v>
      </c>
      <c r="H168" s="5" t="n">
        <f aca="true">ROUND(RAND()*4+6,1)</f>
        <v>8.1</v>
      </c>
      <c r="I168" s="5" t="s">
        <v>19</v>
      </c>
      <c r="J168" s="5" t="str">
        <f aca="false">ROUND(100*1,0)&amp;"%"</f>
        <v>100%</v>
      </c>
    </row>
    <row r="169" customFormat="false" ht="15" hidden="false" customHeight="false" outlineLevel="0" collapsed="false">
      <c r="A169" s="6" t="s">
        <v>12903</v>
      </c>
      <c r="B169" s="6" t="s">
        <v>292</v>
      </c>
      <c r="C169" s="6" t="s">
        <v>152</v>
      </c>
      <c r="D169" s="6" t="s">
        <v>22</v>
      </c>
      <c r="E169" s="6" t="n">
        <f aca="false">ROUND(14678*1.05,2)</f>
        <v>15411.9</v>
      </c>
      <c r="F169" s="6" t="s">
        <v>52</v>
      </c>
      <c r="G169" s="6" t="s">
        <v>24</v>
      </c>
      <c r="H169" s="6" t="n">
        <f aca="true">ROUND(RAND()*4+6,1)</f>
        <v>9.5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12904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12905</v>
      </c>
      <c r="B174" s="5" t="s">
        <v>296</v>
      </c>
      <c r="C174" s="5" t="s">
        <v>15</v>
      </c>
      <c r="D174" s="5" t="s">
        <v>16</v>
      </c>
      <c r="E174" s="5" t="n">
        <f aca="false">ROUND(12247*1.05,2)</f>
        <v>12859.35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ROUND(98*1,0)&amp;"%"</f>
        <v>98%</v>
      </c>
    </row>
    <row r="175" customFormat="false" ht="15" hidden="false" customHeight="false" outlineLevel="0" collapsed="false">
      <c r="A175" s="6" t="s">
        <v>12906</v>
      </c>
      <c r="B175" s="6" t="s">
        <v>298</v>
      </c>
      <c r="C175" s="6" t="s">
        <v>15</v>
      </c>
      <c r="D175" s="6" t="s">
        <v>22</v>
      </c>
      <c r="E175" s="6" t="n">
        <f aca="false">ROUND(17947*1.05,2)</f>
        <v>18844.35</v>
      </c>
      <c r="F175" s="6" t="s">
        <v>23</v>
      </c>
      <c r="G175" s="6" t="s">
        <v>24</v>
      </c>
      <c r="H175" s="6" t="n">
        <f aca="true">ROUND(RAND()*4+6,1)</f>
        <v>7.2</v>
      </c>
      <c r="I175" s="6" t="s">
        <v>25</v>
      </c>
      <c r="J175" s="6" t="str">
        <f aca="false">ROUND(97*1,0)&amp;"%"</f>
        <v>97%</v>
      </c>
    </row>
    <row r="176" customFormat="false" ht="15" hidden="false" customHeight="false" outlineLevel="0" collapsed="false">
      <c r="A176" s="5" t="s">
        <v>12907</v>
      </c>
      <c r="B176" s="5" t="s">
        <v>300</v>
      </c>
      <c r="C176" s="5" t="s">
        <v>15</v>
      </c>
      <c r="D176" s="5" t="s">
        <v>28</v>
      </c>
      <c r="E176" s="5" t="n">
        <f aca="false">ROUND(12224*1.05,2)</f>
        <v>12835.2</v>
      </c>
      <c r="F176" s="5" t="s">
        <v>29</v>
      </c>
      <c r="G176" s="5" t="s">
        <v>30</v>
      </c>
      <c r="H176" s="5" t="n">
        <f aca="true">ROUND(RAND()*4+6,1)</f>
        <v>8</v>
      </c>
      <c r="I176" s="5" t="s">
        <v>31</v>
      </c>
      <c r="J176" s="5" t="str">
        <f aca="false">ROUND(78*1,0)&amp;"%"</f>
        <v>78%</v>
      </c>
    </row>
    <row r="177" customFormat="false" ht="15" hidden="false" customHeight="false" outlineLevel="0" collapsed="false">
      <c r="A177" s="6" t="s">
        <v>12908</v>
      </c>
      <c r="B177" s="6" t="s">
        <v>302</v>
      </c>
      <c r="C177" s="6" t="s">
        <v>15</v>
      </c>
      <c r="D177" s="6" t="s">
        <v>34</v>
      </c>
      <c r="E177" s="6" t="n">
        <f aca="false">ROUND(9785*1.05,2)</f>
        <v>10274.25</v>
      </c>
      <c r="F177" s="6" t="s">
        <v>35</v>
      </c>
      <c r="G177" s="6" t="s">
        <v>18</v>
      </c>
      <c r="H177" s="6" t="n">
        <f aca="true">ROUND(RAND()*4+6,1)</f>
        <v>9</v>
      </c>
      <c r="I177" s="6" t="s">
        <v>36</v>
      </c>
      <c r="J177" s="6" t="str">
        <f aca="false">ROUND(88*1,0)&amp;"%"</f>
        <v>88%</v>
      </c>
    </row>
    <row r="178" customFormat="false" ht="15" hidden="false" customHeight="false" outlineLevel="0" collapsed="false">
      <c r="A178" s="5" t="s">
        <v>12909</v>
      </c>
      <c r="B178" s="5" t="s">
        <v>304</v>
      </c>
      <c r="C178" s="5" t="s">
        <v>15</v>
      </c>
      <c r="D178" s="5" t="s">
        <v>39</v>
      </c>
      <c r="E178" s="5" t="n">
        <f aca="false">ROUND(6075*1.05,2)</f>
        <v>6378.75</v>
      </c>
      <c r="F178" s="5" t="s">
        <v>40</v>
      </c>
      <c r="G178" s="5" t="s">
        <v>24</v>
      </c>
      <c r="H178" s="5" t="n">
        <f aca="true">ROUND(RAND()*4+6,1)</f>
        <v>7.3</v>
      </c>
      <c r="I178" s="5" t="s">
        <v>41</v>
      </c>
      <c r="J178" s="5" t="str">
        <f aca="false">ROUND(78*1,0)&amp;"%"</f>
        <v>78%</v>
      </c>
    </row>
    <row r="179" customFormat="false" ht="15" hidden="false" customHeight="false" outlineLevel="0" collapsed="false">
      <c r="A179" s="6" t="s">
        <v>12910</v>
      </c>
      <c r="B179" s="6" t="s">
        <v>306</v>
      </c>
      <c r="C179" s="6" t="s">
        <v>15</v>
      </c>
      <c r="D179" s="6" t="s">
        <v>44</v>
      </c>
      <c r="E179" s="6" t="n">
        <f aca="false">ROUND(4825*1.05,2)</f>
        <v>5066.25</v>
      </c>
      <c r="F179" s="6" t="s">
        <v>45</v>
      </c>
      <c r="G179" s="6" t="s">
        <v>30</v>
      </c>
      <c r="H179" s="6" t="n">
        <f aca="true">ROUND(RAND()*4+6,1)</f>
        <v>9.6</v>
      </c>
      <c r="I179" s="6" t="s">
        <v>46</v>
      </c>
      <c r="J179" s="6" t="str">
        <f aca="false">ROUND(79*1,0)&amp;"%"</f>
        <v>79%</v>
      </c>
    </row>
    <row r="180" customFormat="false" ht="15" hidden="false" customHeight="false" outlineLevel="0" collapsed="false">
      <c r="A180" s="5" t="s">
        <v>12911</v>
      </c>
      <c r="B180" s="5" t="s">
        <v>308</v>
      </c>
      <c r="C180" s="5" t="s">
        <v>15</v>
      </c>
      <c r="D180" s="5" t="s">
        <v>16</v>
      </c>
      <c r="E180" s="5" t="n">
        <f aca="false">ROUND(6918*1.05,2)</f>
        <v>7263.9</v>
      </c>
      <c r="F180" s="5" t="s">
        <v>49</v>
      </c>
      <c r="G180" s="5" t="s">
        <v>18</v>
      </c>
      <c r="H180" s="5" t="n">
        <f aca="true">ROUND(RAND()*4+6,1)</f>
        <v>7.9</v>
      </c>
      <c r="I180" s="5" t="s">
        <v>19</v>
      </c>
      <c r="J180" s="5" t="str">
        <f aca="false">ROUND(96*1,0)&amp;"%"</f>
        <v>96%</v>
      </c>
    </row>
    <row r="181" customFormat="false" ht="15" hidden="false" customHeight="false" outlineLevel="0" collapsed="false">
      <c r="A181" s="6" t="s">
        <v>12912</v>
      </c>
      <c r="B181" s="6" t="s">
        <v>310</v>
      </c>
      <c r="C181" s="6" t="s">
        <v>15</v>
      </c>
      <c r="D181" s="6" t="s">
        <v>22</v>
      </c>
      <c r="E181" s="6" t="n">
        <f aca="false">ROUND(12972*1.05,2)</f>
        <v>13620.6</v>
      </c>
      <c r="F181" s="6" t="s">
        <v>52</v>
      </c>
      <c r="G181" s="6" t="s">
        <v>24</v>
      </c>
      <c r="H181" s="6" t="n">
        <f aca="true">ROUND(RAND()*4+6,1)</f>
        <v>6.1</v>
      </c>
      <c r="I181" s="6" t="s">
        <v>25</v>
      </c>
      <c r="J181" s="6" t="str">
        <f aca="false">ROUND(97*1,0)&amp;"%"</f>
        <v>97%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12913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12914</v>
      </c>
      <c r="B186" s="5" t="s">
        <v>314</v>
      </c>
      <c r="C186" s="5" t="s">
        <v>57</v>
      </c>
      <c r="D186" s="5" t="s">
        <v>16</v>
      </c>
      <c r="E186" s="5" t="n">
        <f aca="false">ROUND(6817*1.05,2)</f>
        <v>7157.85</v>
      </c>
      <c r="F186" s="5" t="s">
        <v>17</v>
      </c>
      <c r="G186" s="5" t="s">
        <v>18</v>
      </c>
      <c r="H186" s="5" t="n">
        <f aca="true">ROUND(RAND()*4+6,1)</f>
        <v>8.6</v>
      </c>
      <c r="I186" s="5" t="s">
        <v>19</v>
      </c>
      <c r="J186" s="5" t="str">
        <f aca="false">ROUND(95*1,0)&amp;"%"</f>
        <v>95%</v>
      </c>
    </row>
    <row r="187" customFormat="false" ht="15" hidden="false" customHeight="false" outlineLevel="0" collapsed="false">
      <c r="A187" s="6" t="s">
        <v>12915</v>
      </c>
      <c r="B187" s="6" t="s">
        <v>316</v>
      </c>
      <c r="C187" s="6" t="s">
        <v>57</v>
      </c>
      <c r="D187" s="6" t="s">
        <v>22</v>
      </c>
      <c r="E187" s="6" t="n">
        <f aca="false">ROUND(15599*1.05,2)</f>
        <v>16378.95</v>
      </c>
      <c r="F187" s="6" t="s">
        <v>23</v>
      </c>
      <c r="G187" s="6" t="s">
        <v>24</v>
      </c>
      <c r="H187" s="6" t="n">
        <f aca="true">ROUND(RAND()*4+6,1)</f>
        <v>8.6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12916</v>
      </c>
      <c r="B188" s="5" t="s">
        <v>318</v>
      </c>
      <c r="C188" s="5" t="s">
        <v>57</v>
      </c>
      <c r="D188" s="5" t="s">
        <v>28</v>
      </c>
      <c r="E188" s="5" t="n">
        <f aca="false">ROUND(16577*1.05,2)</f>
        <v>17405.85</v>
      </c>
      <c r="F188" s="5" t="s">
        <v>29</v>
      </c>
      <c r="G188" s="5" t="s">
        <v>30</v>
      </c>
      <c r="H188" s="5" t="n">
        <f aca="true">ROUND(RAND()*4+6,1)</f>
        <v>6.1</v>
      </c>
      <c r="I188" s="5" t="s">
        <v>31</v>
      </c>
      <c r="J188" s="5" t="str">
        <f aca="false">ROUND(67*1,0)&amp;"%"</f>
        <v>67%</v>
      </c>
    </row>
    <row r="189" customFormat="false" ht="15" hidden="false" customHeight="false" outlineLevel="0" collapsed="false">
      <c r="A189" s="6" t="s">
        <v>12917</v>
      </c>
      <c r="B189" s="6" t="s">
        <v>320</v>
      </c>
      <c r="C189" s="6" t="s">
        <v>57</v>
      </c>
      <c r="D189" s="6" t="s">
        <v>34</v>
      </c>
      <c r="E189" s="6" t="n">
        <f aca="false">ROUND(13180*1.05,2)</f>
        <v>13839</v>
      </c>
      <c r="F189" s="6" t="s">
        <v>35</v>
      </c>
      <c r="G189" s="6" t="s">
        <v>18</v>
      </c>
      <c r="H189" s="6" t="n">
        <f aca="true">ROUND(RAND()*4+6,1)</f>
        <v>7.8</v>
      </c>
      <c r="I189" s="6" t="s">
        <v>36</v>
      </c>
      <c r="J189" s="6" t="str">
        <f aca="false">ROUND(68*1,0)&amp;"%"</f>
        <v>68%</v>
      </c>
    </row>
    <row r="190" customFormat="false" ht="15" hidden="false" customHeight="false" outlineLevel="0" collapsed="false">
      <c r="A190" s="5" t="s">
        <v>12918</v>
      </c>
      <c r="B190" s="5" t="s">
        <v>322</v>
      </c>
      <c r="C190" s="5" t="s">
        <v>57</v>
      </c>
      <c r="D190" s="5" t="s">
        <v>39</v>
      </c>
      <c r="E190" s="5" t="n">
        <f aca="false">ROUND(6331*1.05,2)</f>
        <v>6647.55</v>
      </c>
      <c r="F190" s="5" t="s">
        <v>40</v>
      </c>
      <c r="G190" s="5" t="s">
        <v>24</v>
      </c>
      <c r="H190" s="5" t="n">
        <f aca="true">ROUND(RAND()*4+6,1)</f>
        <v>6.2</v>
      </c>
      <c r="I190" s="5" t="s">
        <v>41</v>
      </c>
      <c r="J190" s="5" t="str">
        <f aca="false">ROUND(98*1,0)&amp;"%"</f>
        <v>98%</v>
      </c>
    </row>
    <row r="191" customFormat="false" ht="15" hidden="false" customHeight="false" outlineLevel="0" collapsed="false">
      <c r="A191" s="6" t="s">
        <v>12919</v>
      </c>
      <c r="B191" s="6" t="s">
        <v>324</v>
      </c>
      <c r="C191" s="6" t="s">
        <v>57</v>
      </c>
      <c r="D191" s="6" t="s">
        <v>44</v>
      </c>
      <c r="E191" s="6" t="n">
        <f aca="false">ROUND(14957*1.05,2)</f>
        <v>15704.85</v>
      </c>
      <c r="F191" s="6" t="s">
        <v>45</v>
      </c>
      <c r="G191" s="6" t="s">
        <v>30</v>
      </c>
      <c r="H191" s="6" t="n">
        <f aca="true">ROUND(RAND()*4+6,1)</f>
        <v>6.6</v>
      </c>
      <c r="I191" s="6" t="s">
        <v>46</v>
      </c>
      <c r="J191" s="6" t="str">
        <f aca="false">ROUND(83*1,0)&amp;"%"</f>
        <v>83%</v>
      </c>
    </row>
    <row r="192" customFormat="false" ht="15" hidden="false" customHeight="false" outlineLevel="0" collapsed="false">
      <c r="A192" s="5" t="s">
        <v>12920</v>
      </c>
      <c r="B192" s="5" t="s">
        <v>326</v>
      </c>
      <c r="C192" s="5" t="s">
        <v>57</v>
      </c>
      <c r="D192" s="5" t="s">
        <v>16</v>
      </c>
      <c r="E192" s="5" t="n">
        <f aca="false">ROUND(9514*1.05,2)</f>
        <v>9989.7</v>
      </c>
      <c r="F192" s="5" t="s">
        <v>49</v>
      </c>
      <c r="G192" s="5" t="s">
        <v>18</v>
      </c>
      <c r="H192" s="5" t="n">
        <f aca="true">ROUND(RAND()*4+6,1)</f>
        <v>7.4</v>
      </c>
      <c r="I192" s="5" t="s">
        <v>19</v>
      </c>
      <c r="J192" s="5" t="str">
        <f aca="false">ROUND(62*1,0)&amp;"%"</f>
        <v>62%</v>
      </c>
    </row>
    <row r="193" customFormat="false" ht="15" hidden="false" customHeight="false" outlineLevel="0" collapsed="false">
      <c r="A193" s="6" t="s">
        <v>12921</v>
      </c>
      <c r="B193" s="6" t="s">
        <v>328</v>
      </c>
      <c r="C193" s="6" t="s">
        <v>57</v>
      </c>
      <c r="D193" s="6" t="s">
        <v>22</v>
      </c>
      <c r="E193" s="6" t="n">
        <f aca="false">ROUND(5845*1.05,2)</f>
        <v>6137.25</v>
      </c>
      <c r="F193" s="6" t="s">
        <v>52</v>
      </c>
      <c r="G193" s="6" t="s">
        <v>24</v>
      </c>
      <c r="H193" s="6" t="n">
        <f aca="true">ROUND(RAND()*4+6,1)</f>
        <v>8.5</v>
      </c>
      <c r="I193" s="6" t="s">
        <v>25</v>
      </c>
      <c r="J193" s="6" t="str">
        <f aca="false">ROUND(97*1,0)&amp;"%"</f>
        <v>97%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12922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12923</v>
      </c>
      <c r="B198" s="5" t="s">
        <v>332</v>
      </c>
      <c r="C198" s="5" t="s">
        <v>76</v>
      </c>
      <c r="D198" s="5" t="s">
        <v>16</v>
      </c>
      <c r="E198" s="5" t="n">
        <f aca="false">ROUND(14153*1.05,2)</f>
        <v>14860.65</v>
      </c>
      <c r="F198" s="5" t="s">
        <v>17</v>
      </c>
      <c r="G198" s="5" t="s">
        <v>18</v>
      </c>
      <c r="H198" s="5" t="n">
        <f aca="true">ROUND(RAND()*4+6,1)</f>
        <v>9.8</v>
      </c>
      <c r="I198" s="5" t="s">
        <v>19</v>
      </c>
      <c r="J198" s="5" t="str">
        <f aca="false">ROUND(84*1,0)&amp;"%"</f>
        <v>84%</v>
      </c>
    </row>
    <row r="199" customFormat="false" ht="15" hidden="false" customHeight="false" outlineLevel="0" collapsed="false">
      <c r="A199" s="6" t="s">
        <v>12924</v>
      </c>
      <c r="B199" s="6" t="s">
        <v>334</v>
      </c>
      <c r="C199" s="6" t="s">
        <v>76</v>
      </c>
      <c r="D199" s="6" t="s">
        <v>22</v>
      </c>
      <c r="E199" s="6" t="n">
        <f aca="false">ROUND(6107*1.05,2)</f>
        <v>6412.35</v>
      </c>
      <c r="F199" s="6" t="s">
        <v>23</v>
      </c>
      <c r="G199" s="6" t="s">
        <v>24</v>
      </c>
      <c r="H199" s="6" t="n">
        <f aca="true">ROUND(RAND()*4+6,1)</f>
        <v>6.9</v>
      </c>
      <c r="I199" s="6" t="s">
        <v>25</v>
      </c>
      <c r="J199" s="6" t="str">
        <f aca="false">ROUND(92*1,0)&amp;"%"</f>
        <v>92%</v>
      </c>
    </row>
    <row r="200" customFormat="false" ht="15" hidden="false" customHeight="false" outlineLevel="0" collapsed="false">
      <c r="A200" s="5" t="s">
        <v>12925</v>
      </c>
      <c r="B200" s="5" t="s">
        <v>336</v>
      </c>
      <c r="C200" s="5" t="s">
        <v>76</v>
      </c>
      <c r="D200" s="5" t="s">
        <v>28</v>
      </c>
      <c r="E200" s="5" t="n">
        <f aca="false">ROUND(14704*1.05,2)</f>
        <v>15439.2</v>
      </c>
      <c r="F200" s="5" t="s">
        <v>29</v>
      </c>
      <c r="G200" s="5" t="s">
        <v>30</v>
      </c>
      <c r="H200" s="5" t="n">
        <f aca="true">ROUND(RAND()*4+6,1)</f>
        <v>8.5</v>
      </c>
      <c r="I200" s="5" t="s">
        <v>31</v>
      </c>
      <c r="J200" s="5" t="str">
        <f aca="false">ROUND(92*1,0)&amp;"%"</f>
        <v>92%</v>
      </c>
    </row>
    <row r="201" customFormat="false" ht="15" hidden="false" customHeight="false" outlineLevel="0" collapsed="false">
      <c r="A201" s="6" t="s">
        <v>12926</v>
      </c>
      <c r="B201" s="6" t="s">
        <v>338</v>
      </c>
      <c r="C201" s="6" t="s">
        <v>76</v>
      </c>
      <c r="D201" s="6" t="s">
        <v>34</v>
      </c>
      <c r="E201" s="6" t="n">
        <f aca="false">ROUND(7503*1.05,2)</f>
        <v>7878.15</v>
      </c>
      <c r="F201" s="6" t="s">
        <v>35</v>
      </c>
      <c r="G201" s="6" t="s">
        <v>18</v>
      </c>
      <c r="H201" s="6" t="n">
        <f aca="true">ROUND(RAND()*4+6,1)</f>
        <v>8.4</v>
      </c>
      <c r="I201" s="6" t="s">
        <v>36</v>
      </c>
      <c r="J201" s="6" t="str">
        <f aca="false">ROUND(85*1,0)&amp;"%"</f>
        <v>85%</v>
      </c>
    </row>
    <row r="202" customFormat="false" ht="15" hidden="false" customHeight="false" outlineLevel="0" collapsed="false">
      <c r="A202" s="5" t="s">
        <v>12927</v>
      </c>
      <c r="B202" s="5" t="s">
        <v>340</v>
      </c>
      <c r="C202" s="5" t="s">
        <v>76</v>
      </c>
      <c r="D202" s="5" t="s">
        <v>39</v>
      </c>
      <c r="E202" s="5" t="n">
        <f aca="false">ROUND(13437*1.05,2)</f>
        <v>14108.85</v>
      </c>
      <c r="F202" s="5" t="s">
        <v>40</v>
      </c>
      <c r="G202" s="5" t="s">
        <v>24</v>
      </c>
      <c r="H202" s="5" t="n">
        <f aca="true">ROUND(RAND()*4+6,1)</f>
        <v>7.7</v>
      </c>
      <c r="I202" s="5" t="s">
        <v>41</v>
      </c>
      <c r="J202" s="5" t="str">
        <f aca="false">ROUND(73*1,0)&amp;"%"</f>
        <v>73%</v>
      </c>
    </row>
    <row r="203" customFormat="false" ht="15" hidden="false" customHeight="false" outlineLevel="0" collapsed="false">
      <c r="A203" s="6" t="s">
        <v>12928</v>
      </c>
      <c r="B203" s="6" t="s">
        <v>342</v>
      </c>
      <c r="C203" s="6" t="s">
        <v>76</v>
      </c>
      <c r="D203" s="6" t="s">
        <v>44</v>
      </c>
      <c r="E203" s="6" t="n">
        <f aca="false">ROUND(12157*1.05,2)</f>
        <v>12764.85</v>
      </c>
      <c r="F203" s="6" t="s">
        <v>45</v>
      </c>
      <c r="G203" s="6" t="s">
        <v>30</v>
      </c>
      <c r="H203" s="6" t="n">
        <f aca="true">ROUND(RAND()*4+6,1)</f>
        <v>10</v>
      </c>
      <c r="I203" s="6" t="s">
        <v>46</v>
      </c>
      <c r="J203" s="6" t="str">
        <f aca="false">ROUND(97*1,0)&amp;"%"</f>
        <v>97%</v>
      </c>
    </row>
    <row r="204" customFormat="false" ht="15" hidden="false" customHeight="false" outlineLevel="0" collapsed="false">
      <c r="A204" s="5" t="s">
        <v>12929</v>
      </c>
      <c r="B204" s="5" t="s">
        <v>344</v>
      </c>
      <c r="C204" s="5" t="s">
        <v>76</v>
      </c>
      <c r="D204" s="5" t="s">
        <v>16</v>
      </c>
      <c r="E204" s="5" t="n">
        <f aca="false">ROUND(12557*1.05,2)</f>
        <v>13184.85</v>
      </c>
      <c r="F204" s="5" t="s">
        <v>49</v>
      </c>
      <c r="G204" s="5" t="s">
        <v>18</v>
      </c>
      <c r="H204" s="5" t="n">
        <f aca="true">ROUND(RAND()*4+6,1)</f>
        <v>9.2</v>
      </c>
      <c r="I204" s="5" t="s">
        <v>19</v>
      </c>
      <c r="J204" s="5" t="str">
        <f aca="false">ROUND(69*1,0)&amp;"%"</f>
        <v>69%</v>
      </c>
    </row>
    <row r="205" customFormat="false" ht="15" hidden="false" customHeight="false" outlineLevel="0" collapsed="false">
      <c r="A205" s="6" t="s">
        <v>12930</v>
      </c>
      <c r="B205" s="6" t="s">
        <v>346</v>
      </c>
      <c r="C205" s="6" t="s">
        <v>76</v>
      </c>
      <c r="D205" s="6" t="s">
        <v>22</v>
      </c>
      <c r="E205" s="6" t="n">
        <f aca="false">ROUND(4906*1.05,2)</f>
        <v>5151.3</v>
      </c>
      <c r="F205" s="6" t="s">
        <v>52</v>
      </c>
      <c r="G205" s="6" t="s">
        <v>24</v>
      </c>
      <c r="H205" s="6" t="n">
        <f aca="true">ROUND(RAND()*4+6,1)</f>
        <v>6.6</v>
      </c>
      <c r="I205" s="6" t="s">
        <v>25</v>
      </c>
      <c r="J205" s="6" t="str">
        <f aca="false">ROUND(92*1,0)&amp;"%"</f>
        <v>92%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12931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12932</v>
      </c>
      <c r="B210" s="5" t="s">
        <v>350</v>
      </c>
      <c r="C210" s="5" t="s">
        <v>95</v>
      </c>
      <c r="D210" s="5" t="s">
        <v>16</v>
      </c>
      <c r="E210" s="5" t="n">
        <f aca="false">ROUND(10734*1.05,2)</f>
        <v>11270.7</v>
      </c>
      <c r="F210" s="5" t="s">
        <v>17</v>
      </c>
      <c r="G210" s="5" t="s">
        <v>18</v>
      </c>
      <c r="H210" s="5" t="n">
        <f aca="true">ROUND(RAND()*4+6,1)</f>
        <v>6.3</v>
      </c>
      <c r="I210" s="5" t="s">
        <v>19</v>
      </c>
      <c r="J210" s="5" t="str">
        <f aca="false">ROUND(64*1,0)&amp;"%"</f>
        <v>64%</v>
      </c>
    </row>
    <row r="211" customFormat="false" ht="15" hidden="false" customHeight="false" outlineLevel="0" collapsed="false">
      <c r="A211" s="6" t="s">
        <v>12933</v>
      </c>
      <c r="B211" s="6" t="s">
        <v>352</v>
      </c>
      <c r="C211" s="6" t="s">
        <v>95</v>
      </c>
      <c r="D211" s="6" t="s">
        <v>22</v>
      </c>
      <c r="E211" s="6" t="n">
        <f aca="false">ROUND(6296*1.05,2)</f>
        <v>6610.8</v>
      </c>
      <c r="F211" s="6" t="s">
        <v>23</v>
      </c>
      <c r="G211" s="6" t="s">
        <v>24</v>
      </c>
      <c r="H211" s="6" t="n">
        <f aca="true">ROUND(RAND()*4+6,1)</f>
        <v>7.6</v>
      </c>
      <c r="I211" s="6" t="s">
        <v>25</v>
      </c>
      <c r="J211" s="6" t="str">
        <f aca="false">ROUND(65*1,0)&amp;"%"</f>
        <v>65%</v>
      </c>
    </row>
    <row r="212" customFormat="false" ht="15" hidden="false" customHeight="false" outlineLevel="0" collapsed="false">
      <c r="A212" s="5" t="s">
        <v>12934</v>
      </c>
      <c r="B212" s="5" t="s">
        <v>354</v>
      </c>
      <c r="C212" s="5" t="s">
        <v>95</v>
      </c>
      <c r="D212" s="5" t="s">
        <v>28</v>
      </c>
      <c r="E212" s="5" t="n">
        <f aca="false">ROUND(14431*1.05,2)</f>
        <v>15152.55</v>
      </c>
      <c r="F212" s="5" t="s">
        <v>29</v>
      </c>
      <c r="G212" s="5" t="s">
        <v>30</v>
      </c>
      <c r="H212" s="5" t="n">
        <f aca="true">ROUND(RAND()*4+6,1)</f>
        <v>8.6</v>
      </c>
      <c r="I212" s="5" t="s">
        <v>31</v>
      </c>
      <c r="J212" s="5" t="str">
        <f aca="false">ROUND(75*1,0)&amp;"%"</f>
        <v>75%</v>
      </c>
    </row>
    <row r="213" customFormat="false" ht="15" hidden="false" customHeight="false" outlineLevel="0" collapsed="false">
      <c r="A213" s="6" t="s">
        <v>12935</v>
      </c>
      <c r="B213" s="6" t="s">
        <v>356</v>
      </c>
      <c r="C213" s="6" t="s">
        <v>95</v>
      </c>
      <c r="D213" s="6" t="s">
        <v>34</v>
      </c>
      <c r="E213" s="6" t="n">
        <f aca="false">ROUND(16068*1.05,2)</f>
        <v>16871.4</v>
      </c>
      <c r="F213" s="6" t="s">
        <v>35</v>
      </c>
      <c r="G213" s="6" t="s">
        <v>18</v>
      </c>
      <c r="H213" s="6" t="n">
        <f aca="true">ROUND(RAND()*4+6,1)</f>
        <v>8.3</v>
      </c>
      <c r="I213" s="6" t="s">
        <v>36</v>
      </c>
      <c r="J213" s="6" t="str">
        <f aca="false">ROUND(85*1,0)&amp;"%"</f>
        <v>85%</v>
      </c>
    </row>
    <row r="214" customFormat="false" ht="15" hidden="false" customHeight="false" outlineLevel="0" collapsed="false">
      <c r="A214" s="5" t="s">
        <v>12936</v>
      </c>
      <c r="B214" s="5" t="s">
        <v>358</v>
      </c>
      <c r="C214" s="5" t="s">
        <v>95</v>
      </c>
      <c r="D214" s="5" t="s">
        <v>39</v>
      </c>
      <c r="E214" s="5" t="n">
        <f aca="false">ROUND(5457*1.05,2)</f>
        <v>5729.85</v>
      </c>
      <c r="F214" s="5" t="s">
        <v>40</v>
      </c>
      <c r="G214" s="5" t="s">
        <v>24</v>
      </c>
      <c r="H214" s="5" t="n">
        <f aca="true">ROUND(RAND()*4+6,1)</f>
        <v>7.7</v>
      </c>
      <c r="I214" s="5" t="s">
        <v>41</v>
      </c>
      <c r="J214" s="5" t="str">
        <f aca="false">ROUND(98*1,0)&amp;"%"</f>
        <v>98%</v>
      </c>
    </row>
    <row r="215" customFormat="false" ht="15" hidden="false" customHeight="false" outlineLevel="0" collapsed="false">
      <c r="A215" s="6" t="s">
        <v>12937</v>
      </c>
      <c r="B215" s="6" t="s">
        <v>360</v>
      </c>
      <c r="C215" s="6" t="s">
        <v>95</v>
      </c>
      <c r="D215" s="6" t="s">
        <v>44</v>
      </c>
      <c r="E215" s="6" t="n">
        <f aca="false">ROUND(5350*1.05,2)</f>
        <v>5617.5</v>
      </c>
      <c r="F215" s="6" t="s">
        <v>45</v>
      </c>
      <c r="G215" s="6" t="s">
        <v>30</v>
      </c>
      <c r="H215" s="6" t="n">
        <f aca="true">ROUND(RAND()*4+6,1)</f>
        <v>7</v>
      </c>
      <c r="I215" s="6" t="s">
        <v>46</v>
      </c>
      <c r="J215" s="6" t="str">
        <f aca="false">ROUND(67*1,0)&amp;"%"</f>
        <v>67%</v>
      </c>
    </row>
    <row r="216" customFormat="false" ht="15" hidden="false" customHeight="false" outlineLevel="0" collapsed="false">
      <c r="A216" s="5" t="s">
        <v>12938</v>
      </c>
      <c r="B216" s="5" t="s">
        <v>362</v>
      </c>
      <c r="C216" s="5" t="s">
        <v>95</v>
      </c>
      <c r="D216" s="5" t="s">
        <v>16</v>
      </c>
      <c r="E216" s="5" t="n">
        <f aca="false">ROUND(17831*1.05,2)</f>
        <v>18722.55</v>
      </c>
      <c r="F216" s="5" t="s">
        <v>49</v>
      </c>
      <c r="G216" s="5" t="s">
        <v>18</v>
      </c>
      <c r="H216" s="5" t="n">
        <f aca="true">ROUND(RAND()*4+6,1)</f>
        <v>6.9</v>
      </c>
      <c r="I216" s="5" t="s">
        <v>19</v>
      </c>
      <c r="J216" s="5" t="str">
        <f aca="false">ROUND(80*1,0)&amp;"%"</f>
        <v>80%</v>
      </c>
    </row>
    <row r="217" customFormat="false" ht="15" hidden="false" customHeight="false" outlineLevel="0" collapsed="false">
      <c r="A217" s="6" t="s">
        <v>12939</v>
      </c>
      <c r="B217" s="6" t="s">
        <v>364</v>
      </c>
      <c r="C217" s="6" t="s">
        <v>95</v>
      </c>
      <c r="D217" s="6" t="s">
        <v>22</v>
      </c>
      <c r="E217" s="6" t="n">
        <f aca="false">ROUND(13418*1.05,2)</f>
        <v>14088.9</v>
      </c>
      <c r="F217" s="6" t="s">
        <v>52</v>
      </c>
      <c r="G217" s="6" t="s">
        <v>24</v>
      </c>
      <c r="H217" s="6" t="n">
        <f aca="true">ROUND(RAND()*4+6,1)</f>
        <v>8.5</v>
      </c>
      <c r="I217" s="6" t="s">
        <v>25</v>
      </c>
      <c r="J217" s="6" t="str">
        <f aca="false">ROUND(87*1,0)&amp;"%"</f>
        <v>87%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12940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12941</v>
      </c>
      <c r="B222" s="5" t="s">
        <v>368</v>
      </c>
      <c r="C222" s="5" t="s">
        <v>114</v>
      </c>
      <c r="D222" s="5" t="s">
        <v>16</v>
      </c>
      <c r="E222" s="5" t="n">
        <f aca="false">ROUND(4386*1.05,2)</f>
        <v>4605.3</v>
      </c>
      <c r="F222" s="5" t="s">
        <v>17</v>
      </c>
      <c r="G222" s="5" t="s">
        <v>18</v>
      </c>
      <c r="H222" s="5" t="n">
        <f aca="true">ROUND(RAND()*4+6,1)</f>
        <v>6.5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12942</v>
      </c>
      <c r="B223" s="6" t="s">
        <v>370</v>
      </c>
      <c r="C223" s="6" t="s">
        <v>114</v>
      </c>
      <c r="D223" s="6" t="s">
        <v>22</v>
      </c>
      <c r="E223" s="6" t="n">
        <f aca="false">ROUND(12574*1.05,2)</f>
        <v>13202.7</v>
      </c>
      <c r="F223" s="6" t="s">
        <v>23</v>
      </c>
      <c r="G223" s="6" t="s">
        <v>24</v>
      </c>
      <c r="H223" s="6" t="n">
        <f aca="true">ROUND(RAND()*4+6,1)</f>
        <v>7.4</v>
      </c>
      <c r="I223" s="6" t="s">
        <v>25</v>
      </c>
      <c r="J223" s="6" t="str">
        <f aca="false">ROUND(96*1,0)&amp;"%"</f>
        <v>96%</v>
      </c>
    </row>
    <row r="224" customFormat="false" ht="15" hidden="false" customHeight="false" outlineLevel="0" collapsed="false">
      <c r="A224" s="5" t="s">
        <v>12943</v>
      </c>
      <c r="B224" s="5" t="s">
        <v>372</v>
      </c>
      <c r="C224" s="5" t="s">
        <v>114</v>
      </c>
      <c r="D224" s="5" t="s">
        <v>28</v>
      </c>
      <c r="E224" s="5" t="n">
        <f aca="false">ROUND(7423*1.05,2)</f>
        <v>7794.15</v>
      </c>
      <c r="F224" s="5" t="s">
        <v>29</v>
      </c>
      <c r="G224" s="5" t="s">
        <v>30</v>
      </c>
      <c r="H224" s="5" t="n">
        <f aca="true">ROUND(RAND()*4+6,1)</f>
        <v>10</v>
      </c>
      <c r="I224" s="5" t="s">
        <v>31</v>
      </c>
      <c r="J224" s="5" t="str">
        <f aca="false">ROUND(87*1,0)&amp;"%"</f>
        <v>87%</v>
      </c>
    </row>
    <row r="225" customFormat="false" ht="15" hidden="false" customHeight="false" outlineLevel="0" collapsed="false">
      <c r="A225" s="6" t="s">
        <v>12944</v>
      </c>
      <c r="B225" s="6" t="s">
        <v>374</v>
      </c>
      <c r="C225" s="6" t="s">
        <v>114</v>
      </c>
      <c r="D225" s="6" t="s">
        <v>34</v>
      </c>
      <c r="E225" s="6" t="n">
        <f aca="false">ROUND(17472*1.05,2)</f>
        <v>18345.6</v>
      </c>
      <c r="F225" s="6" t="s">
        <v>35</v>
      </c>
      <c r="G225" s="6" t="s">
        <v>18</v>
      </c>
      <c r="H225" s="6" t="n">
        <f aca="true">ROUND(RAND()*4+6,1)</f>
        <v>7.2</v>
      </c>
      <c r="I225" s="6" t="s">
        <v>36</v>
      </c>
      <c r="J225" s="6" t="str">
        <f aca="false">ROUND(71*1,0)&amp;"%"</f>
        <v>71%</v>
      </c>
    </row>
    <row r="226" customFormat="false" ht="15" hidden="false" customHeight="false" outlineLevel="0" collapsed="false">
      <c r="A226" s="5" t="s">
        <v>12945</v>
      </c>
      <c r="B226" s="5" t="s">
        <v>376</v>
      </c>
      <c r="C226" s="5" t="s">
        <v>114</v>
      </c>
      <c r="D226" s="5" t="s">
        <v>39</v>
      </c>
      <c r="E226" s="5" t="n">
        <f aca="false">ROUND(15339*1.05,2)</f>
        <v>16105.95</v>
      </c>
      <c r="F226" s="5" t="s">
        <v>40</v>
      </c>
      <c r="G226" s="5" t="s">
        <v>24</v>
      </c>
      <c r="H226" s="5" t="n">
        <f aca="true">ROUND(RAND()*4+6,1)</f>
        <v>9.1</v>
      </c>
      <c r="I226" s="5" t="s">
        <v>41</v>
      </c>
      <c r="J226" s="5" t="str">
        <f aca="false">ROUND(90*1,0)&amp;"%"</f>
        <v>90%</v>
      </c>
    </row>
    <row r="227" customFormat="false" ht="15" hidden="false" customHeight="false" outlineLevel="0" collapsed="false">
      <c r="A227" s="6" t="s">
        <v>12946</v>
      </c>
      <c r="B227" s="6" t="s">
        <v>378</v>
      </c>
      <c r="C227" s="6" t="s">
        <v>114</v>
      </c>
      <c r="D227" s="6" t="s">
        <v>44</v>
      </c>
      <c r="E227" s="6" t="n">
        <f aca="false">ROUND(15480*1.05,2)</f>
        <v>16254</v>
      </c>
      <c r="F227" s="6" t="s">
        <v>45</v>
      </c>
      <c r="G227" s="6" t="s">
        <v>30</v>
      </c>
      <c r="H227" s="6" t="n">
        <f aca="true">ROUND(RAND()*4+6,1)</f>
        <v>9.2</v>
      </c>
      <c r="I227" s="6" t="s">
        <v>46</v>
      </c>
      <c r="J227" s="6" t="str">
        <f aca="false">ROUND(88*1,0)&amp;"%"</f>
        <v>88%</v>
      </c>
    </row>
    <row r="228" customFormat="false" ht="15" hidden="false" customHeight="false" outlineLevel="0" collapsed="false">
      <c r="A228" s="5" t="s">
        <v>12947</v>
      </c>
      <c r="B228" s="5" t="s">
        <v>380</v>
      </c>
      <c r="C228" s="5" t="s">
        <v>114</v>
      </c>
      <c r="D228" s="5" t="s">
        <v>16</v>
      </c>
      <c r="E228" s="5" t="n">
        <f aca="false">ROUND(17661*1.05,2)</f>
        <v>18544.05</v>
      </c>
      <c r="F228" s="5" t="s">
        <v>49</v>
      </c>
      <c r="G228" s="5" t="s">
        <v>18</v>
      </c>
      <c r="H228" s="5" t="n">
        <f aca="true">ROUND(RAND()*4+6,1)</f>
        <v>9.8</v>
      </c>
      <c r="I228" s="5" t="s">
        <v>19</v>
      </c>
      <c r="J228" s="5" t="str">
        <f aca="false">ROUND(86*1,0)&amp;"%"</f>
        <v>86%</v>
      </c>
    </row>
    <row r="229" customFormat="false" ht="15" hidden="false" customHeight="false" outlineLevel="0" collapsed="false">
      <c r="A229" s="6" t="s">
        <v>12948</v>
      </c>
      <c r="B229" s="6" t="s">
        <v>382</v>
      </c>
      <c r="C229" s="6" t="s">
        <v>114</v>
      </c>
      <c r="D229" s="6" t="s">
        <v>22</v>
      </c>
      <c r="E229" s="6" t="n">
        <f aca="false">ROUND(11958*1.05,2)</f>
        <v>12555.9</v>
      </c>
      <c r="F229" s="6" t="s">
        <v>52</v>
      </c>
      <c r="G229" s="6" t="s">
        <v>24</v>
      </c>
      <c r="H229" s="6" t="n">
        <f aca="true">ROUND(RAND()*4+6,1)</f>
        <v>7.5</v>
      </c>
      <c r="I229" s="6" t="s">
        <v>25</v>
      </c>
      <c r="J229" s="6" t="str">
        <f aca="false">ROUND(100*1,0)&amp;"%"</f>
        <v>100%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12949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12950</v>
      </c>
      <c r="B234" s="5" t="s">
        <v>386</v>
      </c>
      <c r="C234" s="5" t="s">
        <v>133</v>
      </c>
      <c r="D234" s="5" t="s">
        <v>16</v>
      </c>
      <c r="E234" s="5" t="n">
        <f aca="false">ROUND(16645*1.05,2)</f>
        <v>17477.25</v>
      </c>
      <c r="F234" s="5" t="s">
        <v>17</v>
      </c>
      <c r="G234" s="5" t="s">
        <v>18</v>
      </c>
      <c r="H234" s="5" t="n">
        <f aca="true">ROUND(RAND()*4+6,1)</f>
        <v>9.8</v>
      </c>
      <c r="I234" s="5" t="s">
        <v>19</v>
      </c>
      <c r="J234" s="5" t="str">
        <f aca="false">ROUND(100*1,0)&amp;"%"</f>
        <v>100%</v>
      </c>
    </row>
    <row r="235" customFormat="false" ht="15" hidden="false" customHeight="false" outlineLevel="0" collapsed="false">
      <c r="A235" s="6" t="s">
        <v>12951</v>
      </c>
      <c r="B235" s="6" t="s">
        <v>388</v>
      </c>
      <c r="C235" s="6" t="s">
        <v>133</v>
      </c>
      <c r="D235" s="6" t="s">
        <v>22</v>
      </c>
      <c r="E235" s="6" t="n">
        <f aca="false">ROUND(17133*1.05,2)</f>
        <v>17989.65</v>
      </c>
      <c r="F235" s="6" t="s">
        <v>23</v>
      </c>
      <c r="G235" s="6" t="s">
        <v>24</v>
      </c>
      <c r="H235" s="6" t="n">
        <f aca="true">ROUND(RAND()*4+6,1)</f>
        <v>6.6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12952</v>
      </c>
      <c r="B236" s="5" t="s">
        <v>390</v>
      </c>
      <c r="C236" s="5" t="s">
        <v>133</v>
      </c>
      <c r="D236" s="5" t="s">
        <v>28</v>
      </c>
      <c r="E236" s="5" t="n">
        <f aca="false">ROUND(14635*1.05,2)</f>
        <v>15366.75</v>
      </c>
      <c r="F236" s="5" t="s">
        <v>29</v>
      </c>
      <c r="G236" s="5" t="s">
        <v>30</v>
      </c>
      <c r="H236" s="5" t="n">
        <f aca="true">ROUND(RAND()*4+6,1)</f>
        <v>7.7</v>
      </c>
      <c r="I236" s="5" t="s">
        <v>31</v>
      </c>
      <c r="J236" s="5" t="str">
        <f aca="false">ROUND(85*1,0)&amp;"%"</f>
        <v>85%</v>
      </c>
    </row>
    <row r="237" customFormat="false" ht="15" hidden="false" customHeight="false" outlineLevel="0" collapsed="false">
      <c r="A237" s="6" t="s">
        <v>12953</v>
      </c>
      <c r="B237" s="6" t="s">
        <v>392</v>
      </c>
      <c r="C237" s="6" t="s">
        <v>133</v>
      </c>
      <c r="D237" s="6" t="s">
        <v>34</v>
      </c>
      <c r="E237" s="6" t="n">
        <f aca="false">ROUND(15976*1.05,2)</f>
        <v>16774.8</v>
      </c>
      <c r="F237" s="6" t="s">
        <v>35</v>
      </c>
      <c r="G237" s="6" t="s">
        <v>18</v>
      </c>
      <c r="H237" s="6" t="n">
        <f aca="true">ROUND(RAND()*4+6,1)</f>
        <v>6.3</v>
      </c>
      <c r="I237" s="6" t="s">
        <v>36</v>
      </c>
      <c r="J237" s="6" t="str">
        <f aca="false">ROUND(81*1,0)&amp;"%"</f>
        <v>81%</v>
      </c>
    </row>
    <row r="238" customFormat="false" ht="15" hidden="false" customHeight="false" outlineLevel="0" collapsed="false">
      <c r="A238" s="5" t="s">
        <v>12954</v>
      </c>
      <c r="B238" s="5" t="s">
        <v>394</v>
      </c>
      <c r="C238" s="5" t="s">
        <v>133</v>
      </c>
      <c r="D238" s="5" t="s">
        <v>39</v>
      </c>
      <c r="E238" s="5" t="n">
        <f aca="false">ROUND(6897*1.05,2)</f>
        <v>7241.85</v>
      </c>
      <c r="F238" s="5" t="s">
        <v>40</v>
      </c>
      <c r="G238" s="5" t="s">
        <v>24</v>
      </c>
      <c r="H238" s="5" t="n">
        <f aca="true">ROUND(RAND()*4+6,1)</f>
        <v>8</v>
      </c>
      <c r="I238" s="5" t="s">
        <v>41</v>
      </c>
      <c r="J238" s="5" t="str">
        <f aca="false">ROUND(72*1,0)&amp;"%"</f>
        <v>72%</v>
      </c>
    </row>
    <row r="239" customFormat="false" ht="15" hidden="false" customHeight="false" outlineLevel="0" collapsed="false">
      <c r="A239" s="6" t="s">
        <v>12955</v>
      </c>
      <c r="B239" s="6" t="s">
        <v>396</v>
      </c>
      <c r="C239" s="6" t="s">
        <v>133</v>
      </c>
      <c r="D239" s="6" t="s">
        <v>44</v>
      </c>
      <c r="E239" s="6" t="n">
        <f aca="false">ROUND(9699*1.05,2)</f>
        <v>10183.95</v>
      </c>
      <c r="F239" s="6" t="s">
        <v>45</v>
      </c>
      <c r="G239" s="6" t="s">
        <v>30</v>
      </c>
      <c r="H239" s="6" t="n">
        <f aca="true">ROUND(RAND()*4+6,1)</f>
        <v>6.3</v>
      </c>
      <c r="I239" s="6" t="s">
        <v>46</v>
      </c>
      <c r="J239" s="6" t="str">
        <f aca="false">ROUND(60*1,0)&amp;"%"</f>
        <v>60%</v>
      </c>
    </row>
    <row r="240" customFormat="false" ht="15" hidden="false" customHeight="false" outlineLevel="0" collapsed="false">
      <c r="A240" s="5" t="s">
        <v>12956</v>
      </c>
      <c r="B240" s="5" t="s">
        <v>398</v>
      </c>
      <c r="C240" s="5" t="s">
        <v>133</v>
      </c>
      <c r="D240" s="5" t="s">
        <v>16</v>
      </c>
      <c r="E240" s="5" t="n">
        <f aca="false">ROUND(17610*1.05,2)</f>
        <v>18490.5</v>
      </c>
      <c r="F240" s="5" t="s">
        <v>49</v>
      </c>
      <c r="G240" s="5" t="s">
        <v>18</v>
      </c>
      <c r="H240" s="5" t="n">
        <f aca="true">ROUND(RAND()*4+6,1)</f>
        <v>8.9</v>
      </c>
      <c r="I240" s="5" t="s">
        <v>19</v>
      </c>
      <c r="J240" s="5" t="str">
        <f aca="false">ROUND(61*1,0)&amp;"%"</f>
        <v>61%</v>
      </c>
    </row>
    <row r="241" customFormat="false" ht="15" hidden="false" customHeight="false" outlineLevel="0" collapsed="false">
      <c r="A241" s="6" t="s">
        <v>12957</v>
      </c>
      <c r="B241" s="6" t="s">
        <v>400</v>
      </c>
      <c r="C241" s="6" t="s">
        <v>133</v>
      </c>
      <c r="D241" s="6" t="s">
        <v>22</v>
      </c>
      <c r="E241" s="6" t="n">
        <f aca="false">ROUND(4651*1.05,2)</f>
        <v>4883.55</v>
      </c>
      <c r="F241" s="6" t="s">
        <v>52</v>
      </c>
      <c r="G241" s="6" t="s">
        <v>24</v>
      </c>
      <c r="H241" s="6" t="n">
        <f aca="true">ROUND(RAND()*4+6,1)</f>
        <v>8</v>
      </c>
      <c r="I241" s="6" t="s">
        <v>25</v>
      </c>
      <c r="J241" s="6" t="str">
        <f aca="false">ROUND(84*1,0)&amp;"%"</f>
        <v>84%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12958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12959</v>
      </c>
      <c r="B246" s="5" t="s">
        <v>404</v>
      </c>
      <c r="C246" s="5" t="s">
        <v>152</v>
      </c>
      <c r="D246" s="5" t="s">
        <v>16</v>
      </c>
      <c r="E246" s="5" t="n">
        <f aca="false">ROUND(15316*1.05,2)</f>
        <v>16081.8</v>
      </c>
      <c r="F246" s="5" t="s">
        <v>17</v>
      </c>
      <c r="G246" s="5" t="s">
        <v>18</v>
      </c>
      <c r="H246" s="5" t="n">
        <f aca="true">ROUND(RAND()*4+6,1)</f>
        <v>6.4</v>
      </c>
      <c r="I246" s="5" t="s">
        <v>19</v>
      </c>
      <c r="J246" s="5" t="str">
        <f aca="false">ROUND(61*1,0)&amp;"%"</f>
        <v>61%</v>
      </c>
    </row>
    <row r="247" customFormat="false" ht="15" hidden="false" customHeight="false" outlineLevel="0" collapsed="false">
      <c r="A247" s="6" t="s">
        <v>12960</v>
      </c>
      <c r="B247" s="6" t="s">
        <v>406</v>
      </c>
      <c r="C247" s="6" t="s">
        <v>152</v>
      </c>
      <c r="D247" s="6" t="s">
        <v>22</v>
      </c>
      <c r="E247" s="6" t="n">
        <f aca="false">ROUND(13028*1.05,2)</f>
        <v>13679.4</v>
      </c>
      <c r="F247" s="6" t="s">
        <v>23</v>
      </c>
      <c r="G247" s="6" t="s">
        <v>24</v>
      </c>
      <c r="H247" s="6" t="n">
        <f aca="true">ROUND(RAND()*4+6,1)</f>
        <v>9.6</v>
      </c>
      <c r="I247" s="6" t="s">
        <v>25</v>
      </c>
      <c r="J247" s="6" t="str">
        <f aca="false">ROUND(73*1,0)&amp;"%"</f>
        <v>73%</v>
      </c>
    </row>
    <row r="248" customFormat="false" ht="15" hidden="false" customHeight="false" outlineLevel="0" collapsed="false">
      <c r="A248" s="5" t="s">
        <v>12961</v>
      </c>
      <c r="B248" s="5" t="s">
        <v>408</v>
      </c>
      <c r="C248" s="5" t="s">
        <v>152</v>
      </c>
      <c r="D248" s="5" t="s">
        <v>28</v>
      </c>
      <c r="E248" s="5" t="n">
        <f aca="false">ROUND(16252*1.05,2)</f>
        <v>17064.6</v>
      </c>
      <c r="F248" s="5" t="s">
        <v>29</v>
      </c>
      <c r="G248" s="5" t="s">
        <v>30</v>
      </c>
      <c r="H248" s="5" t="n">
        <f aca="true">ROUND(RAND()*4+6,1)</f>
        <v>9.6</v>
      </c>
      <c r="I248" s="5" t="s">
        <v>31</v>
      </c>
      <c r="J248" s="5" t="str">
        <f aca="false">ROUND(60*1,0)&amp;"%"</f>
        <v>60%</v>
      </c>
    </row>
    <row r="249" customFormat="false" ht="15" hidden="false" customHeight="false" outlineLevel="0" collapsed="false">
      <c r="A249" s="6" t="s">
        <v>12962</v>
      </c>
      <c r="B249" s="6" t="s">
        <v>410</v>
      </c>
      <c r="C249" s="6" t="s">
        <v>152</v>
      </c>
      <c r="D249" s="6" t="s">
        <v>34</v>
      </c>
      <c r="E249" s="6" t="n">
        <f aca="false">ROUND(15313*1.05,2)</f>
        <v>16078.65</v>
      </c>
      <c r="F249" s="6" t="s">
        <v>35</v>
      </c>
      <c r="G249" s="6" t="s">
        <v>18</v>
      </c>
      <c r="H249" s="6" t="n">
        <f aca="true">ROUND(RAND()*4+6,1)</f>
        <v>7.3</v>
      </c>
      <c r="I249" s="6" t="s">
        <v>36</v>
      </c>
      <c r="J249" s="6" t="str">
        <f aca="false">ROUND(83*1,0)&amp;"%"</f>
        <v>83%</v>
      </c>
    </row>
    <row r="250" customFormat="false" ht="15" hidden="false" customHeight="false" outlineLevel="0" collapsed="false">
      <c r="A250" s="5" t="s">
        <v>12963</v>
      </c>
      <c r="B250" s="5" t="s">
        <v>412</v>
      </c>
      <c r="C250" s="5" t="s">
        <v>152</v>
      </c>
      <c r="D250" s="5" t="s">
        <v>39</v>
      </c>
      <c r="E250" s="5" t="n">
        <f aca="false">ROUND(5023*1.05,2)</f>
        <v>5274.15</v>
      </c>
      <c r="F250" s="5" t="s">
        <v>40</v>
      </c>
      <c r="G250" s="5" t="s">
        <v>24</v>
      </c>
      <c r="H250" s="5" t="n">
        <f aca="true">ROUND(RAND()*4+6,1)</f>
        <v>7.2</v>
      </c>
      <c r="I250" s="5" t="s">
        <v>41</v>
      </c>
      <c r="J250" s="5" t="str">
        <f aca="false">ROUND(80*1,0)&amp;"%"</f>
        <v>80%</v>
      </c>
    </row>
    <row r="251" customFormat="false" ht="15" hidden="false" customHeight="false" outlineLevel="0" collapsed="false">
      <c r="A251" s="6" t="s">
        <v>12964</v>
      </c>
      <c r="B251" s="6" t="s">
        <v>414</v>
      </c>
      <c r="C251" s="6" t="s">
        <v>152</v>
      </c>
      <c r="D251" s="6" t="s">
        <v>44</v>
      </c>
      <c r="E251" s="6" t="n">
        <f aca="false">ROUND(4012*1.05,2)</f>
        <v>4212.6</v>
      </c>
      <c r="F251" s="6" t="s">
        <v>45</v>
      </c>
      <c r="G251" s="6" t="s">
        <v>30</v>
      </c>
      <c r="H251" s="6" t="n">
        <f aca="true">ROUND(RAND()*4+6,1)</f>
        <v>7.9</v>
      </c>
      <c r="I251" s="6" t="s">
        <v>46</v>
      </c>
      <c r="J251" s="6" t="str">
        <f aca="false">ROUND(73*1,0)&amp;"%"</f>
        <v>73%</v>
      </c>
    </row>
    <row r="252" customFormat="false" ht="15" hidden="false" customHeight="false" outlineLevel="0" collapsed="false">
      <c r="A252" s="5" t="s">
        <v>12965</v>
      </c>
      <c r="B252" s="5" t="s">
        <v>416</v>
      </c>
      <c r="C252" s="5" t="s">
        <v>152</v>
      </c>
      <c r="D252" s="5" t="s">
        <v>16</v>
      </c>
      <c r="E252" s="5" t="n">
        <f aca="false">ROUND(4056*1.05,2)</f>
        <v>4258.8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ROUND(72*1,0)&amp;"%"</f>
        <v>72%</v>
      </c>
    </row>
    <row r="253" customFormat="false" ht="15" hidden="false" customHeight="false" outlineLevel="0" collapsed="false">
      <c r="A253" s="6" t="s">
        <v>12966</v>
      </c>
      <c r="B253" s="6" t="s">
        <v>418</v>
      </c>
      <c r="C253" s="6" t="s">
        <v>152</v>
      </c>
      <c r="D253" s="6" t="s">
        <v>22</v>
      </c>
      <c r="E253" s="6" t="n">
        <f aca="false">ROUND(16603*1.05,2)</f>
        <v>17433.15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12967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12968</v>
      </c>
      <c r="B258" s="5" t="s">
        <v>422</v>
      </c>
      <c r="C258" s="5" t="s">
        <v>15</v>
      </c>
      <c r="D258" s="5" t="s">
        <v>16</v>
      </c>
      <c r="E258" s="5" t="n">
        <f aca="false">ROUND(16741*1.05,2)</f>
        <v>17578.05</v>
      </c>
      <c r="F258" s="5" t="s">
        <v>17</v>
      </c>
      <c r="G258" s="5" t="s">
        <v>18</v>
      </c>
      <c r="H258" s="5" t="n">
        <f aca="true">ROUND(RAND()*4+6,1)</f>
        <v>7.3</v>
      </c>
      <c r="I258" s="5" t="s">
        <v>19</v>
      </c>
      <c r="J258" s="5" t="str">
        <f aca="false">ROUND(61*1,0)&amp;"%"</f>
        <v>61%</v>
      </c>
    </row>
    <row r="259" customFormat="false" ht="15" hidden="false" customHeight="false" outlineLevel="0" collapsed="false">
      <c r="A259" s="6" t="s">
        <v>12969</v>
      </c>
      <c r="B259" s="6" t="s">
        <v>424</v>
      </c>
      <c r="C259" s="6" t="s">
        <v>15</v>
      </c>
      <c r="D259" s="6" t="s">
        <v>22</v>
      </c>
      <c r="E259" s="6" t="n">
        <f aca="false">ROUND(4917*1.05,2)</f>
        <v>5162.85</v>
      </c>
      <c r="F259" s="6" t="s">
        <v>23</v>
      </c>
      <c r="G259" s="6" t="s">
        <v>24</v>
      </c>
      <c r="H259" s="6" t="n">
        <f aca="true">ROUND(RAND()*4+6,1)</f>
        <v>6.5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12970</v>
      </c>
      <c r="B260" s="5" t="s">
        <v>426</v>
      </c>
      <c r="C260" s="5" t="s">
        <v>15</v>
      </c>
      <c r="D260" s="5" t="s">
        <v>28</v>
      </c>
      <c r="E260" s="5" t="n">
        <f aca="false">ROUND(13705*1.05,2)</f>
        <v>14390.25</v>
      </c>
      <c r="F260" s="5" t="s">
        <v>29</v>
      </c>
      <c r="G260" s="5" t="s">
        <v>30</v>
      </c>
      <c r="H260" s="5" t="n">
        <f aca="true">ROUND(RAND()*4+6,1)</f>
        <v>8.8</v>
      </c>
      <c r="I260" s="5" t="s">
        <v>31</v>
      </c>
      <c r="J260" s="5" t="str">
        <f aca="false">ROUND(77*1,0)&amp;"%"</f>
        <v>77%</v>
      </c>
    </row>
    <row r="261" customFormat="false" ht="15" hidden="false" customHeight="false" outlineLevel="0" collapsed="false">
      <c r="A261" s="6" t="s">
        <v>12971</v>
      </c>
      <c r="B261" s="6" t="s">
        <v>428</v>
      </c>
      <c r="C261" s="6" t="s">
        <v>15</v>
      </c>
      <c r="D261" s="6" t="s">
        <v>34</v>
      </c>
      <c r="E261" s="6" t="n">
        <f aca="false">ROUND(13534*1.05,2)</f>
        <v>14210.7</v>
      </c>
      <c r="F261" s="6" t="s">
        <v>35</v>
      </c>
      <c r="G261" s="6" t="s">
        <v>18</v>
      </c>
      <c r="H261" s="6" t="n">
        <f aca="true">ROUND(RAND()*4+6,1)</f>
        <v>7.7</v>
      </c>
      <c r="I261" s="6" t="s">
        <v>36</v>
      </c>
      <c r="J261" s="6" t="str">
        <f aca="false">ROUND(78*1,0)&amp;"%"</f>
        <v>78%</v>
      </c>
    </row>
    <row r="262" customFormat="false" ht="15" hidden="false" customHeight="false" outlineLevel="0" collapsed="false">
      <c r="A262" s="5" t="s">
        <v>12972</v>
      </c>
      <c r="B262" s="5" t="s">
        <v>430</v>
      </c>
      <c r="C262" s="5" t="s">
        <v>15</v>
      </c>
      <c r="D262" s="5" t="s">
        <v>39</v>
      </c>
      <c r="E262" s="5" t="n">
        <f aca="false">ROUND(9812*1.05,2)</f>
        <v>10302.6</v>
      </c>
      <c r="F262" s="5" t="s">
        <v>40</v>
      </c>
      <c r="G262" s="5" t="s">
        <v>24</v>
      </c>
      <c r="H262" s="5" t="n">
        <f aca="true">ROUND(RAND()*4+6,1)</f>
        <v>7.3</v>
      </c>
      <c r="I262" s="5" t="s">
        <v>41</v>
      </c>
      <c r="J262" s="5" t="str">
        <f aca="false">ROUND(91*1,0)&amp;"%"</f>
        <v>91%</v>
      </c>
    </row>
    <row r="263" customFormat="false" ht="15" hidden="false" customHeight="false" outlineLevel="0" collapsed="false">
      <c r="A263" s="6" t="s">
        <v>12973</v>
      </c>
      <c r="B263" s="6" t="s">
        <v>432</v>
      </c>
      <c r="C263" s="6" t="s">
        <v>15</v>
      </c>
      <c r="D263" s="6" t="s">
        <v>44</v>
      </c>
      <c r="E263" s="6" t="n">
        <f aca="false">ROUND(13285*1.05,2)</f>
        <v>13949.25</v>
      </c>
      <c r="F263" s="6" t="s">
        <v>45</v>
      </c>
      <c r="G263" s="6" t="s">
        <v>30</v>
      </c>
      <c r="H263" s="6" t="n">
        <f aca="true">ROUND(RAND()*4+6,1)</f>
        <v>7.5</v>
      </c>
      <c r="I263" s="6" t="s">
        <v>46</v>
      </c>
      <c r="J263" s="6" t="str">
        <f aca="false">ROUND(74*1,0)&amp;"%"</f>
        <v>74%</v>
      </c>
    </row>
    <row r="264" customFormat="false" ht="15" hidden="false" customHeight="false" outlineLevel="0" collapsed="false">
      <c r="A264" s="5" t="s">
        <v>12974</v>
      </c>
      <c r="B264" s="5" t="s">
        <v>434</v>
      </c>
      <c r="C264" s="5" t="s">
        <v>15</v>
      </c>
      <c r="D264" s="5" t="s">
        <v>16</v>
      </c>
      <c r="E264" s="5" t="n">
        <f aca="false">ROUND(14239*1.05,2)</f>
        <v>14950.95</v>
      </c>
      <c r="F264" s="5" t="s">
        <v>49</v>
      </c>
      <c r="G264" s="5" t="s">
        <v>18</v>
      </c>
      <c r="H264" s="5" t="n">
        <f aca="true">ROUND(RAND()*4+6,1)</f>
        <v>8.6</v>
      </c>
      <c r="I264" s="5" t="s">
        <v>19</v>
      </c>
      <c r="J264" s="5" t="str">
        <f aca="false">ROUND(94*1,0)&amp;"%"</f>
        <v>94%</v>
      </c>
    </row>
    <row r="265" customFormat="false" ht="15" hidden="false" customHeight="false" outlineLevel="0" collapsed="false">
      <c r="A265" s="6" t="s">
        <v>12975</v>
      </c>
      <c r="B265" s="6" t="s">
        <v>436</v>
      </c>
      <c r="C265" s="6" t="s">
        <v>15</v>
      </c>
      <c r="D265" s="6" t="s">
        <v>22</v>
      </c>
      <c r="E265" s="6" t="n">
        <f aca="false">ROUND(9593*1.05,2)</f>
        <v>10072.65</v>
      </c>
      <c r="F265" s="6" t="s">
        <v>52</v>
      </c>
      <c r="G265" s="6" t="s">
        <v>24</v>
      </c>
      <c r="H265" s="6" t="n">
        <f aca="true">ROUND(RAND()*4+6,1)</f>
        <v>8.7</v>
      </c>
      <c r="I265" s="6" t="s">
        <v>25</v>
      </c>
      <c r="J265" s="6" t="str">
        <f aca="false">ROUND(91*1,0)&amp;"%"</f>
        <v>91%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12976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12977</v>
      </c>
      <c r="B270" s="5" t="s">
        <v>440</v>
      </c>
      <c r="C270" s="5" t="s">
        <v>57</v>
      </c>
      <c r="D270" s="5" t="s">
        <v>16</v>
      </c>
      <c r="E270" s="5" t="n">
        <f aca="false">ROUND(5433*1.05,2)</f>
        <v>5704.65</v>
      </c>
      <c r="F270" s="5" t="s">
        <v>17</v>
      </c>
      <c r="G270" s="5" t="s">
        <v>18</v>
      </c>
      <c r="H270" s="5" t="n">
        <f aca="true">ROUND(RAND()*4+6,1)</f>
        <v>8.1</v>
      </c>
      <c r="I270" s="5" t="s">
        <v>19</v>
      </c>
      <c r="J270" s="5" t="str">
        <f aca="false">ROUND(97*1,0)&amp;"%"</f>
        <v>97%</v>
      </c>
    </row>
    <row r="271" customFormat="false" ht="15" hidden="false" customHeight="false" outlineLevel="0" collapsed="false">
      <c r="A271" s="6" t="s">
        <v>12978</v>
      </c>
      <c r="B271" s="6" t="s">
        <v>442</v>
      </c>
      <c r="C271" s="6" t="s">
        <v>57</v>
      </c>
      <c r="D271" s="6" t="s">
        <v>22</v>
      </c>
      <c r="E271" s="6" t="n">
        <f aca="false">ROUND(6447*1.05,2)</f>
        <v>6769.35</v>
      </c>
      <c r="F271" s="6" t="s">
        <v>23</v>
      </c>
      <c r="G271" s="6" t="s">
        <v>24</v>
      </c>
      <c r="H271" s="6" t="n">
        <f aca="true">ROUND(RAND()*4+6,1)</f>
        <v>6.8</v>
      </c>
      <c r="I271" s="6" t="s">
        <v>25</v>
      </c>
      <c r="J271" s="6" t="str">
        <f aca="false">ROUND(60*1,0)&amp;"%"</f>
        <v>60%</v>
      </c>
    </row>
    <row r="272" customFormat="false" ht="15" hidden="false" customHeight="false" outlineLevel="0" collapsed="false">
      <c r="A272" s="5" t="s">
        <v>12979</v>
      </c>
      <c r="B272" s="5" t="s">
        <v>444</v>
      </c>
      <c r="C272" s="5" t="s">
        <v>57</v>
      </c>
      <c r="D272" s="5" t="s">
        <v>28</v>
      </c>
      <c r="E272" s="5" t="n">
        <f aca="false">ROUND(13515*1.05,2)</f>
        <v>14190.75</v>
      </c>
      <c r="F272" s="5" t="s">
        <v>29</v>
      </c>
      <c r="G272" s="5" t="s">
        <v>30</v>
      </c>
      <c r="H272" s="5" t="n">
        <f aca="true">ROUND(RAND()*4+6,1)</f>
        <v>8.5</v>
      </c>
      <c r="I272" s="5" t="s">
        <v>31</v>
      </c>
      <c r="J272" s="5" t="str">
        <f aca="false">ROUND(94*1,0)&amp;"%"</f>
        <v>94%</v>
      </c>
    </row>
    <row r="273" customFormat="false" ht="15" hidden="false" customHeight="false" outlineLevel="0" collapsed="false">
      <c r="A273" s="6" t="s">
        <v>12980</v>
      </c>
      <c r="B273" s="6" t="s">
        <v>446</v>
      </c>
      <c r="C273" s="6" t="s">
        <v>57</v>
      </c>
      <c r="D273" s="6" t="s">
        <v>34</v>
      </c>
      <c r="E273" s="6" t="n">
        <f aca="false">ROUND(7027*1.05,2)</f>
        <v>7378.35</v>
      </c>
      <c r="F273" s="6" t="s">
        <v>35</v>
      </c>
      <c r="G273" s="6" t="s">
        <v>18</v>
      </c>
      <c r="H273" s="6" t="n">
        <f aca="true">ROUND(RAND()*4+6,1)</f>
        <v>7</v>
      </c>
      <c r="I273" s="6" t="s">
        <v>36</v>
      </c>
      <c r="J273" s="6" t="str">
        <f aca="false">ROUND(76*1,0)&amp;"%"</f>
        <v>76%</v>
      </c>
    </row>
    <row r="274" customFormat="false" ht="15" hidden="false" customHeight="false" outlineLevel="0" collapsed="false">
      <c r="A274" s="5" t="s">
        <v>12981</v>
      </c>
      <c r="B274" s="5" t="s">
        <v>448</v>
      </c>
      <c r="C274" s="5" t="s">
        <v>57</v>
      </c>
      <c r="D274" s="5" t="s">
        <v>39</v>
      </c>
      <c r="E274" s="5" t="n">
        <f aca="false">ROUND(10612*1.05,2)</f>
        <v>11142.6</v>
      </c>
      <c r="F274" s="5" t="s">
        <v>40</v>
      </c>
      <c r="G274" s="5" t="s">
        <v>24</v>
      </c>
      <c r="H274" s="5" t="n">
        <f aca="true">ROUND(RAND()*4+6,1)</f>
        <v>8.4</v>
      </c>
      <c r="I274" s="5" t="s">
        <v>41</v>
      </c>
      <c r="J274" s="5" t="str">
        <f aca="false">ROUND(66*1,0)&amp;"%"</f>
        <v>66%</v>
      </c>
    </row>
    <row r="275" customFormat="false" ht="15" hidden="false" customHeight="false" outlineLevel="0" collapsed="false">
      <c r="A275" s="6" t="s">
        <v>12982</v>
      </c>
      <c r="B275" s="6" t="s">
        <v>450</v>
      </c>
      <c r="C275" s="6" t="s">
        <v>57</v>
      </c>
      <c r="D275" s="6" t="s">
        <v>44</v>
      </c>
      <c r="E275" s="6" t="n">
        <f aca="false">ROUND(6773*1.05,2)</f>
        <v>7111.65</v>
      </c>
      <c r="F275" s="6" t="s">
        <v>45</v>
      </c>
      <c r="G275" s="6" t="s">
        <v>30</v>
      </c>
      <c r="H275" s="6" t="n">
        <f aca="true">ROUND(RAND()*4+6,1)</f>
        <v>7.5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12983</v>
      </c>
      <c r="B276" s="5" t="s">
        <v>452</v>
      </c>
      <c r="C276" s="5" t="s">
        <v>57</v>
      </c>
      <c r="D276" s="5" t="s">
        <v>16</v>
      </c>
      <c r="E276" s="5" t="n">
        <f aca="false">ROUND(17929*1.05,2)</f>
        <v>18825.45</v>
      </c>
      <c r="F276" s="5" t="s">
        <v>49</v>
      </c>
      <c r="G276" s="5" t="s">
        <v>18</v>
      </c>
      <c r="H276" s="5" t="n">
        <f aca="true">ROUND(RAND()*4+6,1)</f>
        <v>8.4</v>
      </c>
      <c r="I276" s="5" t="s">
        <v>19</v>
      </c>
      <c r="J276" s="5" t="str">
        <f aca="false">ROUND(73*1,0)&amp;"%"</f>
        <v>73%</v>
      </c>
    </row>
    <row r="277" customFormat="false" ht="15" hidden="false" customHeight="false" outlineLevel="0" collapsed="false">
      <c r="A277" s="6" t="s">
        <v>12984</v>
      </c>
      <c r="B277" s="6" t="s">
        <v>454</v>
      </c>
      <c r="C277" s="6" t="s">
        <v>57</v>
      </c>
      <c r="D277" s="6" t="s">
        <v>22</v>
      </c>
      <c r="E277" s="6" t="n">
        <f aca="false">ROUND(8994*1.05,2)</f>
        <v>9443.7</v>
      </c>
      <c r="F277" s="6" t="s">
        <v>52</v>
      </c>
      <c r="G277" s="6" t="s">
        <v>24</v>
      </c>
      <c r="H277" s="6" t="n">
        <f aca="true">ROUND(RAND()*4+6,1)</f>
        <v>8.5</v>
      </c>
      <c r="I277" s="6" t="s">
        <v>25</v>
      </c>
      <c r="J277" s="6" t="str">
        <f aca="false">ROUND(74*1,0)&amp;"%"</f>
        <v>74%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12985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12986</v>
      </c>
      <c r="B282" s="5" t="s">
        <v>458</v>
      </c>
      <c r="C282" s="5" t="s">
        <v>76</v>
      </c>
      <c r="D282" s="5" t="s">
        <v>16</v>
      </c>
      <c r="E282" s="5" t="n">
        <f aca="false">ROUND(10755*1.05,2)</f>
        <v>11292.75</v>
      </c>
      <c r="F282" s="5" t="s">
        <v>17</v>
      </c>
      <c r="G282" s="5" t="s">
        <v>18</v>
      </c>
      <c r="H282" s="5" t="n">
        <f aca="true">ROUND(RAND()*4+6,1)</f>
        <v>8.4</v>
      </c>
      <c r="I282" s="5" t="s">
        <v>19</v>
      </c>
      <c r="J282" s="5" t="str">
        <f aca="false">ROUND(99*1,0)&amp;"%"</f>
        <v>99%</v>
      </c>
    </row>
    <row r="283" customFormat="false" ht="15" hidden="false" customHeight="false" outlineLevel="0" collapsed="false">
      <c r="A283" s="6" t="s">
        <v>12987</v>
      </c>
      <c r="B283" s="6" t="s">
        <v>460</v>
      </c>
      <c r="C283" s="6" t="s">
        <v>76</v>
      </c>
      <c r="D283" s="6" t="s">
        <v>22</v>
      </c>
      <c r="E283" s="6" t="n">
        <f aca="false">ROUND(11623*1.05,2)</f>
        <v>12204.15</v>
      </c>
      <c r="F283" s="6" t="s">
        <v>23</v>
      </c>
      <c r="G283" s="6" t="s">
        <v>24</v>
      </c>
      <c r="H283" s="6" t="n">
        <f aca="true">ROUND(RAND()*4+6,1)</f>
        <v>8.6</v>
      </c>
      <c r="I283" s="6" t="s">
        <v>25</v>
      </c>
      <c r="J283" s="6" t="str">
        <f aca="false">ROUND(85*1,0)&amp;"%"</f>
        <v>85%</v>
      </c>
    </row>
    <row r="284" customFormat="false" ht="15" hidden="false" customHeight="false" outlineLevel="0" collapsed="false">
      <c r="A284" s="5" t="s">
        <v>12988</v>
      </c>
      <c r="B284" s="5" t="s">
        <v>462</v>
      </c>
      <c r="C284" s="5" t="s">
        <v>76</v>
      </c>
      <c r="D284" s="5" t="s">
        <v>28</v>
      </c>
      <c r="E284" s="5" t="n">
        <f aca="false">ROUND(8902*1.05,2)</f>
        <v>9347.1</v>
      </c>
      <c r="F284" s="5" t="s">
        <v>29</v>
      </c>
      <c r="G284" s="5" t="s">
        <v>30</v>
      </c>
      <c r="H284" s="5" t="n">
        <f aca="true">ROUND(RAND()*4+6,1)</f>
        <v>7</v>
      </c>
      <c r="I284" s="5" t="s">
        <v>31</v>
      </c>
      <c r="J284" s="5" t="str">
        <f aca="false">ROUND(91*1,0)&amp;"%"</f>
        <v>91%</v>
      </c>
    </row>
    <row r="285" customFormat="false" ht="15" hidden="false" customHeight="false" outlineLevel="0" collapsed="false">
      <c r="A285" s="6" t="s">
        <v>12989</v>
      </c>
      <c r="B285" s="6" t="s">
        <v>464</v>
      </c>
      <c r="C285" s="6" t="s">
        <v>76</v>
      </c>
      <c r="D285" s="6" t="s">
        <v>34</v>
      </c>
      <c r="E285" s="6" t="n">
        <f aca="false">ROUND(6943*1.05,2)</f>
        <v>7290.15</v>
      </c>
      <c r="F285" s="6" t="s">
        <v>35</v>
      </c>
      <c r="G285" s="6" t="s">
        <v>18</v>
      </c>
      <c r="H285" s="6" t="n">
        <f aca="true">ROUND(RAND()*4+6,1)</f>
        <v>9.2</v>
      </c>
      <c r="I285" s="6" t="s">
        <v>36</v>
      </c>
      <c r="J285" s="6" t="str">
        <f aca="false">ROUND(68*1,0)&amp;"%"</f>
        <v>68%</v>
      </c>
    </row>
    <row r="286" customFormat="false" ht="15" hidden="false" customHeight="false" outlineLevel="0" collapsed="false">
      <c r="A286" s="5" t="s">
        <v>12990</v>
      </c>
      <c r="B286" s="5" t="s">
        <v>466</v>
      </c>
      <c r="C286" s="5" t="s">
        <v>76</v>
      </c>
      <c r="D286" s="5" t="s">
        <v>39</v>
      </c>
      <c r="E286" s="5" t="n">
        <f aca="false">ROUND(7592*1.05,2)</f>
        <v>7971.6</v>
      </c>
      <c r="F286" s="5" t="s">
        <v>40</v>
      </c>
      <c r="G286" s="5" t="s">
        <v>24</v>
      </c>
      <c r="H286" s="5" t="n">
        <f aca="true">ROUND(RAND()*4+6,1)</f>
        <v>7.6</v>
      </c>
      <c r="I286" s="5" t="s">
        <v>41</v>
      </c>
      <c r="J286" s="5" t="str">
        <f aca="false">ROUND(71*1,0)&amp;"%"</f>
        <v>71%</v>
      </c>
    </row>
    <row r="287" customFormat="false" ht="15" hidden="false" customHeight="false" outlineLevel="0" collapsed="false">
      <c r="A287" s="6" t="s">
        <v>12991</v>
      </c>
      <c r="B287" s="6" t="s">
        <v>468</v>
      </c>
      <c r="C287" s="6" t="s">
        <v>76</v>
      </c>
      <c r="D287" s="6" t="s">
        <v>44</v>
      </c>
      <c r="E287" s="6" t="n">
        <f aca="false">ROUND(7111*1.05,2)</f>
        <v>7466.55</v>
      </c>
      <c r="F287" s="6" t="s">
        <v>45</v>
      </c>
      <c r="G287" s="6" t="s">
        <v>30</v>
      </c>
      <c r="H287" s="6" t="n">
        <f aca="true">ROUND(RAND()*4+6,1)</f>
        <v>7.2</v>
      </c>
      <c r="I287" s="6" t="s">
        <v>46</v>
      </c>
      <c r="J287" s="6" t="str">
        <f aca="false">ROUND(96*1,0)&amp;"%"</f>
        <v>96%</v>
      </c>
    </row>
    <row r="288" customFormat="false" ht="15" hidden="false" customHeight="false" outlineLevel="0" collapsed="false">
      <c r="A288" s="5" t="s">
        <v>12992</v>
      </c>
      <c r="B288" s="5" t="s">
        <v>470</v>
      </c>
      <c r="C288" s="5" t="s">
        <v>76</v>
      </c>
      <c r="D288" s="5" t="s">
        <v>16</v>
      </c>
      <c r="E288" s="5" t="n">
        <f aca="false">ROUND(8095*1.05,2)</f>
        <v>8499.75</v>
      </c>
      <c r="F288" s="5" t="s">
        <v>49</v>
      </c>
      <c r="G288" s="5" t="s">
        <v>18</v>
      </c>
      <c r="H288" s="5" t="n">
        <f aca="true">ROUND(RAND()*4+6,1)</f>
        <v>9.2</v>
      </c>
      <c r="I288" s="5" t="s">
        <v>19</v>
      </c>
      <c r="J288" s="5" t="str">
        <f aca="false">ROUND(78*1,0)&amp;"%"</f>
        <v>78%</v>
      </c>
    </row>
    <row r="289" customFormat="false" ht="15" hidden="false" customHeight="false" outlineLevel="0" collapsed="false">
      <c r="A289" s="6" t="s">
        <v>12993</v>
      </c>
      <c r="B289" s="6" t="s">
        <v>472</v>
      </c>
      <c r="C289" s="6" t="s">
        <v>76</v>
      </c>
      <c r="D289" s="6" t="s">
        <v>22</v>
      </c>
      <c r="E289" s="6" t="n">
        <f aca="false">ROUND(14597*1.05,2)</f>
        <v>15326.85</v>
      </c>
      <c r="F289" s="6" t="s">
        <v>52</v>
      </c>
      <c r="G289" s="6" t="s">
        <v>24</v>
      </c>
      <c r="H289" s="6" t="n">
        <f aca="true">ROUND(RAND()*4+6,1)</f>
        <v>8.3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12994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12995</v>
      </c>
      <c r="B294" s="5" t="s">
        <v>476</v>
      </c>
      <c r="C294" s="5" t="s">
        <v>95</v>
      </c>
      <c r="D294" s="5" t="s">
        <v>16</v>
      </c>
      <c r="E294" s="5" t="n">
        <f aca="false">ROUND(5805*1.05,2)</f>
        <v>6095.25</v>
      </c>
      <c r="F294" s="5" t="s">
        <v>17</v>
      </c>
      <c r="G294" s="5" t="s">
        <v>18</v>
      </c>
      <c r="H294" s="5" t="n">
        <f aca="true">ROUND(RAND()*4+6,1)</f>
        <v>7.1</v>
      </c>
      <c r="I294" s="5" t="s">
        <v>19</v>
      </c>
      <c r="J294" s="5" t="str">
        <f aca="false">ROUND(94*1,0)&amp;"%"</f>
        <v>94%</v>
      </c>
    </row>
    <row r="295" customFormat="false" ht="15" hidden="false" customHeight="false" outlineLevel="0" collapsed="false">
      <c r="A295" s="6" t="s">
        <v>12996</v>
      </c>
      <c r="B295" s="6" t="s">
        <v>478</v>
      </c>
      <c r="C295" s="6" t="s">
        <v>95</v>
      </c>
      <c r="D295" s="6" t="s">
        <v>22</v>
      </c>
      <c r="E295" s="6" t="n">
        <f aca="false">ROUND(9578*1.05,2)</f>
        <v>10056.9</v>
      </c>
      <c r="F295" s="6" t="s">
        <v>23</v>
      </c>
      <c r="G295" s="6" t="s">
        <v>24</v>
      </c>
      <c r="H295" s="6" t="n">
        <f aca="true">ROUND(RAND()*4+6,1)</f>
        <v>7.5</v>
      </c>
      <c r="I295" s="6" t="s">
        <v>25</v>
      </c>
      <c r="J295" s="6" t="str">
        <f aca="false">ROUND(60*1,0)&amp;"%"</f>
        <v>60%</v>
      </c>
    </row>
    <row r="296" customFormat="false" ht="15" hidden="false" customHeight="false" outlineLevel="0" collapsed="false">
      <c r="A296" s="5" t="s">
        <v>12997</v>
      </c>
      <c r="B296" s="5" t="s">
        <v>480</v>
      </c>
      <c r="C296" s="5" t="s">
        <v>95</v>
      </c>
      <c r="D296" s="5" t="s">
        <v>28</v>
      </c>
      <c r="E296" s="5" t="n">
        <f aca="false">ROUND(9858*1.05,2)</f>
        <v>10350.9</v>
      </c>
      <c r="F296" s="5" t="s">
        <v>29</v>
      </c>
      <c r="G296" s="5" t="s">
        <v>30</v>
      </c>
      <c r="H296" s="5" t="n">
        <f aca="true">ROUND(RAND()*4+6,1)</f>
        <v>6.4</v>
      </c>
      <c r="I296" s="5" t="s">
        <v>31</v>
      </c>
      <c r="J296" s="5" t="str">
        <f aca="false">ROUND(75*1,0)&amp;"%"</f>
        <v>75%</v>
      </c>
    </row>
    <row r="297" customFormat="false" ht="15" hidden="false" customHeight="false" outlineLevel="0" collapsed="false">
      <c r="A297" s="6" t="s">
        <v>12998</v>
      </c>
      <c r="B297" s="6" t="s">
        <v>482</v>
      </c>
      <c r="C297" s="6" t="s">
        <v>95</v>
      </c>
      <c r="D297" s="6" t="s">
        <v>34</v>
      </c>
      <c r="E297" s="6" t="n">
        <f aca="false">ROUND(6672*1.05,2)</f>
        <v>7005.6</v>
      </c>
      <c r="F297" s="6" t="s">
        <v>35</v>
      </c>
      <c r="G297" s="6" t="s">
        <v>18</v>
      </c>
      <c r="H297" s="6" t="n">
        <f aca="true">ROUND(RAND()*4+6,1)</f>
        <v>8.4</v>
      </c>
      <c r="I297" s="6" t="s">
        <v>36</v>
      </c>
      <c r="J297" s="6" t="str">
        <f aca="false">ROUND(83*1,0)&amp;"%"</f>
        <v>83%</v>
      </c>
    </row>
    <row r="298" customFormat="false" ht="15" hidden="false" customHeight="false" outlineLevel="0" collapsed="false">
      <c r="A298" s="5" t="s">
        <v>12999</v>
      </c>
      <c r="B298" s="5" t="s">
        <v>484</v>
      </c>
      <c r="C298" s="5" t="s">
        <v>95</v>
      </c>
      <c r="D298" s="5" t="s">
        <v>39</v>
      </c>
      <c r="E298" s="5" t="n">
        <f aca="false">ROUND(11868*1.05,2)</f>
        <v>12461.4</v>
      </c>
      <c r="F298" s="5" t="s">
        <v>40</v>
      </c>
      <c r="G298" s="5" t="s">
        <v>24</v>
      </c>
      <c r="H298" s="5" t="n">
        <f aca="true">ROUND(RAND()*4+6,1)</f>
        <v>7.1</v>
      </c>
      <c r="I298" s="5" t="s">
        <v>41</v>
      </c>
      <c r="J298" s="5" t="str">
        <f aca="false">ROUND(74*1,0)&amp;"%"</f>
        <v>74%</v>
      </c>
    </row>
    <row r="299" customFormat="false" ht="15" hidden="false" customHeight="false" outlineLevel="0" collapsed="false">
      <c r="A299" s="6" t="s">
        <v>13000</v>
      </c>
      <c r="B299" s="6" t="s">
        <v>486</v>
      </c>
      <c r="C299" s="6" t="s">
        <v>95</v>
      </c>
      <c r="D299" s="6" t="s">
        <v>44</v>
      </c>
      <c r="E299" s="6" t="n">
        <f aca="false">ROUND(11666*1.05,2)</f>
        <v>12249.3</v>
      </c>
      <c r="F299" s="6" t="s">
        <v>45</v>
      </c>
      <c r="G299" s="6" t="s">
        <v>30</v>
      </c>
      <c r="H299" s="6" t="n">
        <f aca="true">ROUND(RAND()*4+6,1)</f>
        <v>8.7</v>
      </c>
      <c r="I299" s="6" t="s">
        <v>46</v>
      </c>
      <c r="J299" s="6" t="str">
        <f aca="false">ROUND(66*1,0)&amp;"%"</f>
        <v>66%</v>
      </c>
    </row>
    <row r="300" customFormat="false" ht="15" hidden="false" customHeight="false" outlineLevel="0" collapsed="false">
      <c r="A300" s="5" t="s">
        <v>13001</v>
      </c>
      <c r="B300" s="5" t="s">
        <v>488</v>
      </c>
      <c r="C300" s="5" t="s">
        <v>95</v>
      </c>
      <c r="D300" s="5" t="s">
        <v>16</v>
      </c>
      <c r="E300" s="5" t="n">
        <f aca="false">ROUND(13880*1.05,2)</f>
        <v>14574</v>
      </c>
      <c r="F300" s="5" t="s">
        <v>49</v>
      </c>
      <c r="G300" s="5" t="s">
        <v>18</v>
      </c>
      <c r="H300" s="5" t="n">
        <f aca="true">ROUND(RAND()*4+6,1)</f>
        <v>8.7</v>
      </c>
      <c r="I300" s="5" t="s">
        <v>19</v>
      </c>
      <c r="J300" s="5" t="str">
        <f aca="false">ROUND(74*1,0)&amp;"%"</f>
        <v>74%</v>
      </c>
    </row>
    <row r="301" customFormat="false" ht="15" hidden="false" customHeight="false" outlineLevel="0" collapsed="false">
      <c r="A301" s="6" t="s">
        <v>13002</v>
      </c>
      <c r="B301" s="6" t="s">
        <v>490</v>
      </c>
      <c r="C301" s="6" t="s">
        <v>95</v>
      </c>
      <c r="D301" s="6" t="s">
        <v>22</v>
      </c>
      <c r="E301" s="6" t="n">
        <f aca="false">ROUND(11715*1.05,2)</f>
        <v>12300.75</v>
      </c>
      <c r="F301" s="6" t="s">
        <v>52</v>
      </c>
      <c r="G301" s="6" t="s">
        <v>24</v>
      </c>
      <c r="H301" s="6" t="n">
        <f aca="true">ROUND(RAND()*4+6,1)</f>
        <v>6.7</v>
      </c>
      <c r="I301" s="6" t="s">
        <v>25</v>
      </c>
      <c r="J301" s="6" t="str">
        <f aca="false">ROUND(87*1,0)&amp;"%"</f>
        <v>87%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13003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13004</v>
      </c>
      <c r="B306" s="5" t="s">
        <v>494</v>
      </c>
      <c r="C306" s="5" t="s">
        <v>114</v>
      </c>
      <c r="D306" s="5" t="s">
        <v>16</v>
      </c>
      <c r="E306" s="5" t="n">
        <f aca="false">ROUND(16030*1.05,2)</f>
        <v>16831.5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ROUND(95*1,0)&amp;"%"</f>
        <v>95%</v>
      </c>
    </row>
    <row r="307" customFormat="false" ht="15" hidden="false" customHeight="false" outlineLevel="0" collapsed="false">
      <c r="A307" s="6" t="s">
        <v>13005</v>
      </c>
      <c r="B307" s="6" t="s">
        <v>496</v>
      </c>
      <c r="C307" s="6" t="s">
        <v>114</v>
      </c>
      <c r="D307" s="6" t="s">
        <v>22</v>
      </c>
      <c r="E307" s="6" t="n">
        <f aca="false">ROUND(13448*1.05,2)</f>
        <v>14120.4</v>
      </c>
      <c r="F307" s="6" t="s">
        <v>23</v>
      </c>
      <c r="G307" s="6" t="s">
        <v>24</v>
      </c>
      <c r="H307" s="6" t="n">
        <f aca="true">ROUND(RAND()*4+6,1)</f>
        <v>8.2</v>
      </c>
      <c r="I307" s="6" t="s">
        <v>25</v>
      </c>
      <c r="J307" s="6" t="str">
        <f aca="false">ROUND(69*1,0)&amp;"%"</f>
        <v>69%</v>
      </c>
    </row>
    <row r="308" customFormat="false" ht="15" hidden="false" customHeight="false" outlineLevel="0" collapsed="false">
      <c r="A308" s="5" t="s">
        <v>13006</v>
      </c>
      <c r="B308" s="5" t="s">
        <v>498</v>
      </c>
      <c r="C308" s="5" t="s">
        <v>114</v>
      </c>
      <c r="D308" s="5" t="s">
        <v>28</v>
      </c>
      <c r="E308" s="5" t="n">
        <f aca="false">ROUND(9498*1.05,2)</f>
        <v>9972.9</v>
      </c>
      <c r="F308" s="5" t="s">
        <v>29</v>
      </c>
      <c r="G308" s="5" t="s">
        <v>30</v>
      </c>
      <c r="H308" s="5" t="n">
        <f aca="true">ROUND(RAND()*4+6,1)</f>
        <v>8.1</v>
      </c>
      <c r="I308" s="5" t="s">
        <v>31</v>
      </c>
      <c r="J308" s="5" t="str">
        <f aca="false">ROUND(61*1,0)&amp;"%"</f>
        <v>61%</v>
      </c>
    </row>
    <row r="309" customFormat="false" ht="15" hidden="false" customHeight="false" outlineLevel="0" collapsed="false">
      <c r="A309" s="6" t="s">
        <v>13007</v>
      </c>
      <c r="B309" s="6" t="s">
        <v>500</v>
      </c>
      <c r="C309" s="6" t="s">
        <v>114</v>
      </c>
      <c r="D309" s="6" t="s">
        <v>34</v>
      </c>
      <c r="E309" s="6" t="n">
        <f aca="false">ROUND(12423*1.05,2)</f>
        <v>13044.15</v>
      </c>
      <c r="F309" s="6" t="s">
        <v>35</v>
      </c>
      <c r="G309" s="6" t="s">
        <v>18</v>
      </c>
      <c r="H309" s="6" t="n">
        <f aca="true">ROUND(RAND()*4+6,1)</f>
        <v>6.9</v>
      </c>
      <c r="I309" s="6" t="s">
        <v>36</v>
      </c>
      <c r="J309" s="6" t="str">
        <f aca="false">ROUND(69*1,0)&amp;"%"</f>
        <v>69%</v>
      </c>
    </row>
    <row r="310" customFormat="false" ht="15" hidden="false" customHeight="false" outlineLevel="0" collapsed="false">
      <c r="A310" s="5" t="s">
        <v>13008</v>
      </c>
      <c r="B310" s="5" t="s">
        <v>502</v>
      </c>
      <c r="C310" s="5" t="s">
        <v>114</v>
      </c>
      <c r="D310" s="5" t="s">
        <v>39</v>
      </c>
      <c r="E310" s="5" t="n">
        <f aca="false">ROUND(9857*1.05,2)</f>
        <v>10349.85</v>
      </c>
      <c r="F310" s="5" t="s">
        <v>40</v>
      </c>
      <c r="G310" s="5" t="s">
        <v>24</v>
      </c>
      <c r="H310" s="5" t="n">
        <f aca="true">ROUND(RAND()*4+6,1)</f>
        <v>8.8</v>
      </c>
      <c r="I310" s="5" t="s">
        <v>41</v>
      </c>
      <c r="J310" s="5" t="str">
        <f aca="false">ROUND(81*1,0)&amp;"%"</f>
        <v>81%</v>
      </c>
    </row>
    <row r="311" customFormat="false" ht="15" hidden="false" customHeight="false" outlineLevel="0" collapsed="false">
      <c r="A311" s="6" t="s">
        <v>13009</v>
      </c>
      <c r="B311" s="6" t="s">
        <v>504</v>
      </c>
      <c r="C311" s="6" t="s">
        <v>114</v>
      </c>
      <c r="D311" s="6" t="s">
        <v>44</v>
      </c>
      <c r="E311" s="6" t="n">
        <f aca="false">ROUND(6954*1.05,2)</f>
        <v>7301.7</v>
      </c>
      <c r="F311" s="6" t="s">
        <v>45</v>
      </c>
      <c r="G311" s="6" t="s">
        <v>30</v>
      </c>
      <c r="H311" s="6" t="n">
        <f aca="true">ROUND(RAND()*4+6,1)</f>
        <v>9.4</v>
      </c>
      <c r="I311" s="6" t="s">
        <v>46</v>
      </c>
      <c r="J311" s="6" t="str">
        <f aca="false">ROUND(92*1,0)&amp;"%"</f>
        <v>92%</v>
      </c>
    </row>
    <row r="312" customFormat="false" ht="15" hidden="false" customHeight="false" outlineLevel="0" collapsed="false">
      <c r="A312" s="5" t="s">
        <v>13010</v>
      </c>
      <c r="B312" s="5" t="s">
        <v>506</v>
      </c>
      <c r="C312" s="5" t="s">
        <v>114</v>
      </c>
      <c r="D312" s="5" t="s">
        <v>16</v>
      </c>
      <c r="E312" s="5" t="n">
        <f aca="false">ROUND(14689*1.05,2)</f>
        <v>15423.45</v>
      </c>
      <c r="F312" s="5" t="s">
        <v>49</v>
      </c>
      <c r="G312" s="5" t="s">
        <v>18</v>
      </c>
      <c r="H312" s="5" t="n">
        <f aca="true">ROUND(RAND()*4+6,1)</f>
        <v>9.1</v>
      </c>
      <c r="I312" s="5" t="s">
        <v>19</v>
      </c>
      <c r="J312" s="5" t="str">
        <f aca="false">ROUND(61*1,0)&amp;"%"</f>
        <v>61%</v>
      </c>
    </row>
    <row r="313" customFormat="false" ht="15" hidden="false" customHeight="false" outlineLevel="0" collapsed="false">
      <c r="A313" s="6" t="s">
        <v>13011</v>
      </c>
      <c r="B313" s="6" t="s">
        <v>508</v>
      </c>
      <c r="C313" s="6" t="s">
        <v>114</v>
      </c>
      <c r="D313" s="6" t="s">
        <v>22</v>
      </c>
      <c r="E313" s="6" t="n">
        <f aca="false">ROUND(5893*1.05,2)</f>
        <v>6187.65</v>
      </c>
      <c r="F313" s="6" t="s">
        <v>52</v>
      </c>
      <c r="G313" s="6" t="s">
        <v>24</v>
      </c>
      <c r="H313" s="6" t="n">
        <f aca="true">ROUND(RAND()*4+6,1)</f>
        <v>9.3</v>
      </c>
      <c r="I313" s="6" t="s">
        <v>25</v>
      </c>
      <c r="J313" s="6" t="str">
        <f aca="false">ROUND(67*1,0)&amp;"%"</f>
        <v>67%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13012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13013</v>
      </c>
      <c r="B318" s="5" t="s">
        <v>512</v>
      </c>
      <c r="C318" s="5" t="s">
        <v>133</v>
      </c>
      <c r="D318" s="5" t="s">
        <v>16</v>
      </c>
      <c r="E318" s="5" t="n">
        <f aca="false">ROUND(17595*1.05,2)</f>
        <v>18474.75</v>
      </c>
      <c r="F318" s="5" t="s">
        <v>17</v>
      </c>
      <c r="G318" s="5" t="s">
        <v>18</v>
      </c>
      <c r="H318" s="5" t="n">
        <f aca="true">ROUND(RAND()*4+6,1)</f>
        <v>7.5</v>
      </c>
      <c r="I318" s="5" t="s">
        <v>19</v>
      </c>
      <c r="J318" s="5" t="str">
        <f aca="false">ROUND(100*1,0)&amp;"%"</f>
        <v>100%</v>
      </c>
    </row>
    <row r="319" customFormat="false" ht="15" hidden="false" customHeight="false" outlineLevel="0" collapsed="false">
      <c r="A319" s="6" t="s">
        <v>13014</v>
      </c>
      <c r="B319" s="6" t="s">
        <v>514</v>
      </c>
      <c r="C319" s="6" t="s">
        <v>133</v>
      </c>
      <c r="D319" s="6" t="s">
        <v>22</v>
      </c>
      <c r="E319" s="6" t="n">
        <f aca="false">ROUND(13968*1.05,2)</f>
        <v>14666.4</v>
      </c>
      <c r="F319" s="6" t="s">
        <v>23</v>
      </c>
      <c r="G319" s="6" t="s">
        <v>24</v>
      </c>
      <c r="H319" s="6" t="n">
        <f aca="true">ROUND(RAND()*4+6,1)</f>
        <v>9.8</v>
      </c>
      <c r="I319" s="6" t="s">
        <v>25</v>
      </c>
      <c r="J319" s="6" t="str">
        <f aca="false">ROUND(70*1,0)&amp;"%"</f>
        <v>70%</v>
      </c>
    </row>
    <row r="320" customFormat="false" ht="15" hidden="false" customHeight="false" outlineLevel="0" collapsed="false">
      <c r="A320" s="5" t="s">
        <v>13015</v>
      </c>
      <c r="B320" s="5" t="s">
        <v>516</v>
      </c>
      <c r="C320" s="5" t="s">
        <v>133</v>
      </c>
      <c r="D320" s="5" t="s">
        <v>28</v>
      </c>
      <c r="E320" s="5" t="n">
        <f aca="false">ROUND(11293*1.05,2)</f>
        <v>11857.65</v>
      </c>
      <c r="F320" s="5" t="s">
        <v>29</v>
      </c>
      <c r="G320" s="5" t="s">
        <v>30</v>
      </c>
      <c r="H320" s="5" t="n">
        <f aca="true">ROUND(RAND()*4+6,1)</f>
        <v>8.4</v>
      </c>
      <c r="I320" s="5" t="s">
        <v>31</v>
      </c>
      <c r="J320" s="5" t="str">
        <f aca="false">ROUND(80*1,0)&amp;"%"</f>
        <v>80%</v>
      </c>
    </row>
    <row r="321" customFormat="false" ht="15" hidden="false" customHeight="false" outlineLevel="0" collapsed="false">
      <c r="A321" s="6" t="s">
        <v>13016</v>
      </c>
      <c r="B321" s="6" t="s">
        <v>518</v>
      </c>
      <c r="C321" s="6" t="s">
        <v>133</v>
      </c>
      <c r="D321" s="6" t="s">
        <v>34</v>
      </c>
      <c r="E321" s="6" t="n">
        <f aca="false">ROUND(14964*1.05,2)</f>
        <v>15712.2</v>
      </c>
      <c r="F321" s="6" t="s">
        <v>35</v>
      </c>
      <c r="G321" s="6" t="s">
        <v>18</v>
      </c>
      <c r="H321" s="6" t="n">
        <f aca="true">ROUND(RAND()*4+6,1)</f>
        <v>9</v>
      </c>
      <c r="I321" s="6" t="s">
        <v>36</v>
      </c>
      <c r="J321" s="6" t="str">
        <f aca="false">ROUND(79*1,0)&amp;"%"</f>
        <v>79%</v>
      </c>
    </row>
    <row r="322" customFormat="false" ht="15" hidden="false" customHeight="false" outlineLevel="0" collapsed="false">
      <c r="A322" s="5" t="s">
        <v>13017</v>
      </c>
      <c r="B322" s="5" t="s">
        <v>520</v>
      </c>
      <c r="C322" s="5" t="s">
        <v>133</v>
      </c>
      <c r="D322" s="5" t="s">
        <v>39</v>
      </c>
      <c r="E322" s="5" t="n">
        <f aca="false">ROUND(8723*1.05,2)</f>
        <v>9159.15</v>
      </c>
      <c r="F322" s="5" t="s">
        <v>40</v>
      </c>
      <c r="G322" s="5" t="s">
        <v>24</v>
      </c>
      <c r="H322" s="5" t="n">
        <f aca="true">ROUND(RAND()*4+6,1)</f>
        <v>7.9</v>
      </c>
      <c r="I322" s="5" t="s">
        <v>41</v>
      </c>
      <c r="J322" s="5" t="str">
        <f aca="false">ROUND(81*1,0)&amp;"%"</f>
        <v>81%</v>
      </c>
    </row>
    <row r="323" customFormat="false" ht="15" hidden="false" customHeight="false" outlineLevel="0" collapsed="false">
      <c r="A323" s="6" t="s">
        <v>13018</v>
      </c>
      <c r="B323" s="6" t="s">
        <v>522</v>
      </c>
      <c r="C323" s="6" t="s">
        <v>133</v>
      </c>
      <c r="D323" s="6" t="s">
        <v>44</v>
      </c>
      <c r="E323" s="6" t="n">
        <f aca="false">ROUND(15012*1.05,2)</f>
        <v>15762.6</v>
      </c>
      <c r="F323" s="6" t="s">
        <v>45</v>
      </c>
      <c r="G323" s="6" t="s">
        <v>30</v>
      </c>
      <c r="H323" s="6" t="n">
        <f aca="true">ROUND(RAND()*4+6,1)</f>
        <v>8.4</v>
      </c>
      <c r="I323" s="6" t="s">
        <v>46</v>
      </c>
      <c r="J323" s="6" t="str">
        <f aca="false">ROUND(64*1,0)&amp;"%"</f>
        <v>64%</v>
      </c>
    </row>
    <row r="324" customFormat="false" ht="15" hidden="false" customHeight="false" outlineLevel="0" collapsed="false">
      <c r="A324" s="5" t="s">
        <v>13019</v>
      </c>
      <c r="B324" s="5" t="s">
        <v>524</v>
      </c>
      <c r="C324" s="5" t="s">
        <v>133</v>
      </c>
      <c r="D324" s="5" t="s">
        <v>16</v>
      </c>
      <c r="E324" s="5" t="n">
        <f aca="false">ROUND(14504*1.05,2)</f>
        <v>15229.2</v>
      </c>
      <c r="F324" s="5" t="s">
        <v>49</v>
      </c>
      <c r="G324" s="5" t="s">
        <v>18</v>
      </c>
      <c r="H324" s="5" t="n">
        <f aca="true">ROUND(RAND()*4+6,1)</f>
        <v>8.2</v>
      </c>
      <c r="I324" s="5" t="s">
        <v>19</v>
      </c>
      <c r="J324" s="5" t="str">
        <f aca="false">ROUND(75*1,0)&amp;"%"</f>
        <v>75%</v>
      </c>
    </row>
    <row r="325" customFormat="false" ht="15" hidden="false" customHeight="false" outlineLevel="0" collapsed="false">
      <c r="A325" s="6" t="s">
        <v>13020</v>
      </c>
      <c r="B325" s="6" t="s">
        <v>526</v>
      </c>
      <c r="C325" s="6" t="s">
        <v>133</v>
      </c>
      <c r="D325" s="6" t="s">
        <v>22</v>
      </c>
      <c r="E325" s="6" t="n">
        <f aca="false">ROUND(4055*1.05,2)</f>
        <v>4257.75</v>
      </c>
      <c r="F325" s="6" t="s">
        <v>52</v>
      </c>
      <c r="G325" s="6" t="s">
        <v>24</v>
      </c>
      <c r="H325" s="6" t="n">
        <f aca="true">ROUND(RAND()*4+6,1)</f>
        <v>7.7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13021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13022</v>
      </c>
      <c r="B330" s="5" t="s">
        <v>530</v>
      </c>
      <c r="C330" s="5" t="s">
        <v>152</v>
      </c>
      <c r="D330" s="5" t="s">
        <v>16</v>
      </c>
      <c r="E330" s="5" t="n">
        <f aca="false">ROUND(4263*1.05,2)</f>
        <v>4476.15</v>
      </c>
      <c r="F330" s="5" t="s">
        <v>17</v>
      </c>
      <c r="G330" s="5" t="s">
        <v>18</v>
      </c>
      <c r="H330" s="5" t="n">
        <f aca="true">ROUND(RAND()*4+6,1)</f>
        <v>6.2</v>
      </c>
      <c r="I330" s="5" t="s">
        <v>19</v>
      </c>
      <c r="J330" s="5" t="str">
        <f aca="false">ROUND(71*1,0)&amp;"%"</f>
        <v>71%</v>
      </c>
    </row>
    <row r="331" customFormat="false" ht="15" hidden="false" customHeight="false" outlineLevel="0" collapsed="false">
      <c r="A331" s="6" t="s">
        <v>13023</v>
      </c>
      <c r="B331" s="6" t="s">
        <v>532</v>
      </c>
      <c r="C331" s="6" t="s">
        <v>152</v>
      </c>
      <c r="D331" s="6" t="s">
        <v>22</v>
      </c>
      <c r="E331" s="6" t="n">
        <f aca="false">ROUND(12473*1.05,2)</f>
        <v>13096.65</v>
      </c>
      <c r="F331" s="6" t="s">
        <v>23</v>
      </c>
      <c r="G331" s="6" t="s">
        <v>24</v>
      </c>
      <c r="H331" s="6" t="n">
        <f aca="true">ROUND(RAND()*4+6,1)</f>
        <v>6.6</v>
      </c>
      <c r="I331" s="6" t="s">
        <v>25</v>
      </c>
      <c r="J331" s="6" t="str">
        <f aca="false">ROUND(60*1,0)&amp;"%"</f>
        <v>60%</v>
      </c>
    </row>
    <row r="332" customFormat="false" ht="15" hidden="false" customHeight="false" outlineLevel="0" collapsed="false">
      <c r="A332" s="5" t="s">
        <v>13024</v>
      </c>
      <c r="B332" s="5" t="s">
        <v>534</v>
      </c>
      <c r="C332" s="5" t="s">
        <v>152</v>
      </c>
      <c r="D332" s="5" t="s">
        <v>28</v>
      </c>
      <c r="E332" s="5" t="n">
        <f aca="false">ROUND(10703*1.05,2)</f>
        <v>11238.15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ROUND(66*1,0)&amp;"%"</f>
        <v>66%</v>
      </c>
    </row>
    <row r="333" customFormat="false" ht="15" hidden="false" customHeight="false" outlineLevel="0" collapsed="false">
      <c r="A333" s="6" t="s">
        <v>13025</v>
      </c>
      <c r="B333" s="6" t="s">
        <v>536</v>
      </c>
      <c r="C333" s="6" t="s">
        <v>152</v>
      </c>
      <c r="D333" s="6" t="s">
        <v>34</v>
      </c>
      <c r="E333" s="6" t="n">
        <f aca="false">ROUND(8351*1.05,2)</f>
        <v>8768.55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ROUND(68*1,0)&amp;"%"</f>
        <v>68%</v>
      </c>
    </row>
    <row r="334" customFormat="false" ht="15" hidden="false" customHeight="false" outlineLevel="0" collapsed="false">
      <c r="A334" s="5" t="s">
        <v>13026</v>
      </c>
      <c r="B334" s="5" t="s">
        <v>538</v>
      </c>
      <c r="C334" s="5" t="s">
        <v>152</v>
      </c>
      <c r="D334" s="5" t="s">
        <v>39</v>
      </c>
      <c r="E334" s="5" t="n">
        <f aca="false">ROUND(10831*1.05,2)</f>
        <v>11372.55</v>
      </c>
      <c r="F334" s="5" t="s">
        <v>40</v>
      </c>
      <c r="G334" s="5" t="s">
        <v>24</v>
      </c>
      <c r="H334" s="5" t="n">
        <f aca="true">ROUND(RAND()*4+6,1)</f>
        <v>7.3</v>
      </c>
      <c r="I334" s="5" t="s">
        <v>41</v>
      </c>
      <c r="J334" s="5" t="str">
        <f aca="false">ROUND(73*1,0)&amp;"%"</f>
        <v>73%</v>
      </c>
    </row>
    <row r="335" customFormat="false" ht="15" hidden="false" customHeight="false" outlineLevel="0" collapsed="false">
      <c r="A335" s="6" t="s">
        <v>13027</v>
      </c>
      <c r="B335" s="6" t="s">
        <v>540</v>
      </c>
      <c r="C335" s="6" t="s">
        <v>152</v>
      </c>
      <c r="D335" s="6" t="s">
        <v>44</v>
      </c>
      <c r="E335" s="6" t="n">
        <f aca="false">ROUND(10628*1.05,2)</f>
        <v>11159.4</v>
      </c>
      <c r="F335" s="6" t="s">
        <v>45</v>
      </c>
      <c r="G335" s="6" t="s">
        <v>30</v>
      </c>
      <c r="H335" s="6" t="n">
        <f aca="true">ROUND(RAND()*4+6,1)</f>
        <v>8.5</v>
      </c>
      <c r="I335" s="6" t="s">
        <v>46</v>
      </c>
      <c r="J335" s="6" t="str">
        <f aca="false">ROUND(90*1,0)&amp;"%"</f>
        <v>90%</v>
      </c>
    </row>
    <row r="336" customFormat="false" ht="15" hidden="false" customHeight="false" outlineLevel="0" collapsed="false">
      <c r="A336" s="5" t="s">
        <v>13028</v>
      </c>
      <c r="B336" s="5" t="s">
        <v>542</v>
      </c>
      <c r="C336" s="5" t="s">
        <v>152</v>
      </c>
      <c r="D336" s="5" t="s">
        <v>16</v>
      </c>
      <c r="E336" s="5" t="n">
        <f aca="false">ROUND(16417*1.05,2)</f>
        <v>17237.85</v>
      </c>
      <c r="F336" s="5" t="s">
        <v>49</v>
      </c>
      <c r="G336" s="5" t="s">
        <v>18</v>
      </c>
      <c r="H336" s="5" t="n">
        <f aca="true">ROUND(RAND()*4+6,1)</f>
        <v>7.3</v>
      </c>
      <c r="I336" s="5" t="s">
        <v>19</v>
      </c>
      <c r="J336" s="5" t="str">
        <f aca="false">ROUND(71*1,0)&amp;"%"</f>
        <v>71%</v>
      </c>
    </row>
    <row r="337" customFormat="false" ht="15" hidden="false" customHeight="false" outlineLevel="0" collapsed="false">
      <c r="A337" s="6" t="s">
        <v>13029</v>
      </c>
      <c r="B337" s="6" t="s">
        <v>544</v>
      </c>
      <c r="C337" s="6" t="s">
        <v>152</v>
      </c>
      <c r="D337" s="6" t="s">
        <v>22</v>
      </c>
      <c r="E337" s="6" t="n">
        <f aca="false">ROUND(11743*1.05,2)</f>
        <v>12330.15</v>
      </c>
      <c r="F337" s="6" t="s">
        <v>52</v>
      </c>
      <c r="G337" s="6" t="s">
        <v>24</v>
      </c>
      <c r="H337" s="6" t="n">
        <f aca="true">ROUND(RAND()*4+6,1)</f>
        <v>9.7</v>
      </c>
      <c r="I337" s="6" t="s">
        <v>25</v>
      </c>
      <c r="J337" s="6" t="str">
        <f aca="false">ROUND(70*1,0)&amp;"%"</f>
        <v>70%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13030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13031</v>
      </c>
      <c r="B342" s="5" t="s">
        <v>548</v>
      </c>
      <c r="C342" s="5" t="s">
        <v>15</v>
      </c>
      <c r="D342" s="5" t="s">
        <v>16</v>
      </c>
      <c r="E342" s="5" t="n">
        <f aca="false">ROUND(14142*1.05,2)</f>
        <v>14849.1</v>
      </c>
      <c r="F342" s="5" t="s">
        <v>17</v>
      </c>
      <c r="G342" s="5" t="s">
        <v>18</v>
      </c>
      <c r="H342" s="5" t="n">
        <f aca="true">ROUND(RAND()*4+6,1)</f>
        <v>6.9</v>
      </c>
      <c r="I342" s="5" t="s">
        <v>19</v>
      </c>
      <c r="J342" s="5" t="str">
        <f aca="false">ROUND(71*1,0)&amp;"%"</f>
        <v>71%</v>
      </c>
    </row>
    <row r="343" customFormat="false" ht="15" hidden="false" customHeight="false" outlineLevel="0" collapsed="false">
      <c r="A343" s="6" t="s">
        <v>13032</v>
      </c>
      <c r="B343" s="6" t="s">
        <v>550</v>
      </c>
      <c r="C343" s="6" t="s">
        <v>15</v>
      </c>
      <c r="D343" s="6" t="s">
        <v>22</v>
      </c>
      <c r="E343" s="6" t="n">
        <f aca="false">ROUND(16502*1.05,2)</f>
        <v>17327.1</v>
      </c>
      <c r="F343" s="6" t="s">
        <v>23</v>
      </c>
      <c r="G343" s="6" t="s">
        <v>24</v>
      </c>
      <c r="H343" s="6" t="n">
        <f aca="true">ROUND(RAND()*4+6,1)</f>
        <v>9.9</v>
      </c>
      <c r="I343" s="6" t="s">
        <v>25</v>
      </c>
      <c r="J343" s="6" t="str">
        <f aca="false">ROUND(76*1,0)&amp;"%"</f>
        <v>76%</v>
      </c>
    </row>
    <row r="344" customFormat="false" ht="15" hidden="false" customHeight="false" outlineLevel="0" collapsed="false">
      <c r="A344" s="5" t="s">
        <v>13033</v>
      </c>
      <c r="B344" s="5" t="s">
        <v>552</v>
      </c>
      <c r="C344" s="5" t="s">
        <v>15</v>
      </c>
      <c r="D344" s="5" t="s">
        <v>28</v>
      </c>
      <c r="E344" s="5" t="n">
        <f aca="false">ROUND(17003*1.05,2)</f>
        <v>17853.15</v>
      </c>
      <c r="F344" s="5" t="s">
        <v>29</v>
      </c>
      <c r="G344" s="5" t="s">
        <v>30</v>
      </c>
      <c r="H344" s="5" t="n">
        <f aca="true">ROUND(RAND()*4+6,1)</f>
        <v>9.2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13034</v>
      </c>
      <c r="B345" s="6" t="s">
        <v>554</v>
      </c>
      <c r="C345" s="6" t="s">
        <v>15</v>
      </c>
      <c r="D345" s="6" t="s">
        <v>34</v>
      </c>
      <c r="E345" s="6" t="n">
        <f aca="false">ROUND(6033*1.05,2)</f>
        <v>6334.65</v>
      </c>
      <c r="F345" s="6" t="s">
        <v>35</v>
      </c>
      <c r="G345" s="6" t="s">
        <v>18</v>
      </c>
      <c r="H345" s="6" t="n">
        <f aca="true">ROUND(RAND()*4+6,1)</f>
        <v>9</v>
      </c>
      <c r="I345" s="6" t="s">
        <v>36</v>
      </c>
      <c r="J345" s="6" t="str">
        <f aca="false">ROUND(60*1,0)&amp;"%"</f>
        <v>60%</v>
      </c>
    </row>
    <row r="346" customFormat="false" ht="15" hidden="false" customHeight="false" outlineLevel="0" collapsed="false">
      <c r="A346" s="5" t="s">
        <v>13035</v>
      </c>
      <c r="B346" s="5" t="s">
        <v>556</v>
      </c>
      <c r="C346" s="5" t="s">
        <v>15</v>
      </c>
      <c r="D346" s="5" t="s">
        <v>39</v>
      </c>
      <c r="E346" s="5" t="n">
        <f aca="false">ROUND(6976*1.05,2)</f>
        <v>7324.8</v>
      </c>
      <c r="F346" s="5" t="s">
        <v>40</v>
      </c>
      <c r="G346" s="5" t="s">
        <v>24</v>
      </c>
      <c r="H346" s="5" t="n">
        <f aca="true">ROUND(RAND()*4+6,1)</f>
        <v>6.5</v>
      </c>
      <c r="I346" s="5" t="s">
        <v>41</v>
      </c>
      <c r="J346" s="5" t="str">
        <f aca="false">ROUND(75*1,0)&amp;"%"</f>
        <v>75%</v>
      </c>
    </row>
    <row r="347" customFormat="false" ht="15" hidden="false" customHeight="false" outlineLevel="0" collapsed="false">
      <c r="A347" s="6" t="s">
        <v>13036</v>
      </c>
      <c r="B347" s="6" t="s">
        <v>558</v>
      </c>
      <c r="C347" s="6" t="s">
        <v>15</v>
      </c>
      <c r="D347" s="6" t="s">
        <v>44</v>
      </c>
      <c r="E347" s="6" t="n">
        <f aca="false">ROUND(6749*1.05,2)</f>
        <v>7086.45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ROUND(93*1,0)&amp;"%"</f>
        <v>93%</v>
      </c>
    </row>
    <row r="348" customFormat="false" ht="15" hidden="false" customHeight="false" outlineLevel="0" collapsed="false">
      <c r="A348" s="5" t="s">
        <v>13037</v>
      </c>
      <c r="B348" s="5" t="s">
        <v>560</v>
      </c>
      <c r="C348" s="5" t="s">
        <v>15</v>
      </c>
      <c r="D348" s="5" t="s">
        <v>16</v>
      </c>
      <c r="E348" s="5" t="n">
        <f aca="false">ROUND(17079*1.05,2)</f>
        <v>17932.95</v>
      </c>
      <c r="F348" s="5" t="s">
        <v>49</v>
      </c>
      <c r="G348" s="5" t="s">
        <v>18</v>
      </c>
      <c r="H348" s="5" t="n">
        <f aca="true">ROUND(RAND()*4+6,1)</f>
        <v>6.6</v>
      </c>
      <c r="I348" s="5" t="s">
        <v>19</v>
      </c>
      <c r="J348" s="5" t="str">
        <f aca="false">ROUND(61*1,0)&amp;"%"</f>
        <v>61%</v>
      </c>
    </row>
    <row r="349" customFormat="false" ht="15" hidden="false" customHeight="false" outlineLevel="0" collapsed="false">
      <c r="A349" s="6" t="s">
        <v>13038</v>
      </c>
      <c r="B349" s="6" t="s">
        <v>562</v>
      </c>
      <c r="C349" s="6" t="s">
        <v>15</v>
      </c>
      <c r="D349" s="6" t="s">
        <v>22</v>
      </c>
      <c r="E349" s="6" t="n">
        <f aca="false">ROUND(15605*1.05,2)</f>
        <v>16385.25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13039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13040</v>
      </c>
      <c r="B354" s="5" t="s">
        <v>566</v>
      </c>
      <c r="C354" s="5" t="s">
        <v>57</v>
      </c>
      <c r="D354" s="5" t="s">
        <v>16</v>
      </c>
      <c r="E354" s="5" t="n">
        <f aca="false">ROUND(4881*1.05,2)</f>
        <v>5125.05</v>
      </c>
      <c r="F354" s="5" t="s">
        <v>17</v>
      </c>
      <c r="G354" s="5" t="s">
        <v>18</v>
      </c>
      <c r="H354" s="5" t="n">
        <f aca="true">ROUND(RAND()*4+6,1)</f>
        <v>9.8</v>
      </c>
      <c r="I354" s="5" t="s">
        <v>19</v>
      </c>
      <c r="J354" s="5" t="str">
        <f aca="false">ROUND(70*1,0)&amp;"%"</f>
        <v>70%</v>
      </c>
    </row>
    <row r="355" customFormat="false" ht="15" hidden="false" customHeight="false" outlineLevel="0" collapsed="false">
      <c r="A355" s="6" t="s">
        <v>13041</v>
      </c>
      <c r="B355" s="6" t="s">
        <v>568</v>
      </c>
      <c r="C355" s="6" t="s">
        <v>57</v>
      </c>
      <c r="D355" s="6" t="s">
        <v>22</v>
      </c>
      <c r="E355" s="6" t="n">
        <f aca="false">ROUND(9061*1.05,2)</f>
        <v>9514.05</v>
      </c>
      <c r="F355" s="6" t="s">
        <v>23</v>
      </c>
      <c r="G355" s="6" t="s">
        <v>24</v>
      </c>
      <c r="H355" s="6" t="n">
        <f aca="true">ROUND(RAND()*4+6,1)</f>
        <v>8.8</v>
      </c>
      <c r="I355" s="6" t="s">
        <v>25</v>
      </c>
      <c r="J355" s="6" t="str">
        <f aca="false">ROUND(60*1,0)&amp;"%"</f>
        <v>60%</v>
      </c>
    </row>
    <row r="356" customFormat="false" ht="15" hidden="false" customHeight="false" outlineLevel="0" collapsed="false">
      <c r="A356" s="5" t="s">
        <v>13042</v>
      </c>
      <c r="B356" s="5" t="s">
        <v>570</v>
      </c>
      <c r="C356" s="5" t="s">
        <v>57</v>
      </c>
      <c r="D356" s="5" t="s">
        <v>28</v>
      </c>
      <c r="E356" s="5" t="n">
        <f aca="false">ROUND(9887*1.05,2)</f>
        <v>10381.35</v>
      </c>
      <c r="F356" s="5" t="s">
        <v>29</v>
      </c>
      <c r="G356" s="5" t="s">
        <v>30</v>
      </c>
      <c r="H356" s="5" t="n">
        <f aca="true">ROUND(RAND()*4+6,1)</f>
        <v>10</v>
      </c>
      <c r="I356" s="5" t="s">
        <v>31</v>
      </c>
      <c r="J356" s="5" t="str">
        <f aca="false">ROUND(62*1,0)&amp;"%"</f>
        <v>62%</v>
      </c>
    </row>
    <row r="357" customFormat="false" ht="15" hidden="false" customHeight="false" outlineLevel="0" collapsed="false">
      <c r="A357" s="6" t="s">
        <v>13043</v>
      </c>
      <c r="B357" s="6" t="s">
        <v>572</v>
      </c>
      <c r="C357" s="6" t="s">
        <v>57</v>
      </c>
      <c r="D357" s="6" t="s">
        <v>34</v>
      </c>
      <c r="E357" s="6" t="n">
        <f aca="false">ROUND(15414*1.05,2)</f>
        <v>16184.7</v>
      </c>
      <c r="F357" s="6" t="s">
        <v>35</v>
      </c>
      <c r="G357" s="6" t="s">
        <v>18</v>
      </c>
      <c r="H357" s="6" t="n">
        <f aca="true">ROUND(RAND()*4+6,1)</f>
        <v>6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13044</v>
      </c>
      <c r="B358" s="5" t="s">
        <v>574</v>
      </c>
      <c r="C358" s="5" t="s">
        <v>57</v>
      </c>
      <c r="D358" s="5" t="s">
        <v>39</v>
      </c>
      <c r="E358" s="5" t="n">
        <f aca="false">ROUND(5961*1.05,2)</f>
        <v>6259.05</v>
      </c>
      <c r="F358" s="5" t="s">
        <v>40</v>
      </c>
      <c r="G358" s="5" t="s">
        <v>24</v>
      </c>
      <c r="H358" s="5" t="n">
        <f aca="true">ROUND(RAND()*4+6,1)</f>
        <v>8.5</v>
      </c>
      <c r="I358" s="5" t="s">
        <v>41</v>
      </c>
      <c r="J358" s="5" t="str">
        <f aca="false">ROUND(98*1,0)&amp;"%"</f>
        <v>98%</v>
      </c>
    </row>
    <row r="359" customFormat="false" ht="15" hidden="false" customHeight="false" outlineLevel="0" collapsed="false">
      <c r="A359" s="6" t="s">
        <v>13045</v>
      </c>
      <c r="B359" s="6" t="s">
        <v>576</v>
      </c>
      <c r="C359" s="6" t="s">
        <v>57</v>
      </c>
      <c r="D359" s="6" t="s">
        <v>44</v>
      </c>
      <c r="E359" s="6" t="n">
        <f aca="false">ROUND(14557*1.05,2)</f>
        <v>15284.85</v>
      </c>
      <c r="F359" s="6" t="s">
        <v>45</v>
      </c>
      <c r="G359" s="6" t="s">
        <v>30</v>
      </c>
      <c r="H359" s="6" t="n">
        <f aca="true">ROUND(RAND()*4+6,1)</f>
        <v>6.5</v>
      </c>
      <c r="I359" s="6" t="s">
        <v>46</v>
      </c>
      <c r="J359" s="6" t="str">
        <f aca="false">ROUND(72*1,0)&amp;"%"</f>
        <v>72%</v>
      </c>
    </row>
    <row r="360" customFormat="false" ht="15" hidden="false" customHeight="false" outlineLevel="0" collapsed="false">
      <c r="A360" s="5" t="s">
        <v>13046</v>
      </c>
      <c r="B360" s="5" t="s">
        <v>578</v>
      </c>
      <c r="C360" s="5" t="s">
        <v>57</v>
      </c>
      <c r="D360" s="5" t="s">
        <v>16</v>
      </c>
      <c r="E360" s="5" t="n">
        <f aca="false">ROUND(5373*1.05,2)</f>
        <v>5641.65</v>
      </c>
      <c r="F360" s="5" t="s">
        <v>49</v>
      </c>
      <c r="G360" s="5" t="s">
        <v>18</v>
      </c>
      <c r="H360" s="5" t="n">
        <f aca="true">ROUND(RAND()*4+6,1)</f>
        <v>7.9</v>
      </c>
      <c r="I360" s="5" t="s">
        <v>19</v>
      </c>
      <c r="J360" s="5" t="str">
        <f aca="false">ROUND(69*1,0)&amp;"%"</f>
        <v>69%</v>
      </c>
    </row>
    <row r="361" customFormat="false" ht="15" hidden="false" customHeight="false" outlineLevel="0" collapsed="false">
      <c r="A361" s="6" t="s">
        <v>13047</v>
      </c>
      <c r="B361" s="6" t="s">
        <v>580</v>
      </c>
      <c r="C361" s="6" t="s">
        <v>57</v>
      </c>
      <c r="D361" s="6" t="s">
        <v>22</v>
      </c>
      <c r="E361" s="6" t="n">
        <f aca="false">ROUND(4323*1.05,2)</f>
        <v>4539.15</v>
      </c>
      <c r="F361" s="6" t="s">
        <v>52</v>
      </c>
      <c r="G361" s="6" t="s">
        <v>24</v>
      </c>
      <c r="H361" s="6" t="n">
        <f aca="true">ROUND(RAND()*4+6,1)</f>
        <v>8.8</v>
      </c>
      <c r="I361" s="6" t="s">
        <v>25</v>
      </c>
      <c r="J361" s="6" t="str">
        <f aca="false">ROUND(89*1,0)&amp;"%"</f>
        <v>89%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13048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13049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13050</v>
      </c>
      <c r="B6" s="5" t="s">
        <v>14</v>
      </c>
      <c r="C6" s="5" t="s">
        <v>15</v>
      </c>
      <c r="D6" s="5" t="s">
        <v>16</v>
      </c>
      <c r="E6" s="5" t="n">
        <f aca="false">ROUND(5293*1.05,2)</f>
        <v>5557.65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ROUND(69*1,0)&amp;"%"</f>
        <v>69%</v>
      </c>
    </row>
    <row r="7" customFormat="false" ht="15" hidden="false" customHeight="false" outlineLevel="0" collapsed="false">
      <c r="A7" s="6" t="s">
        <v>13051</v>
      </c>
      <c r="B7" s="6" t="s">
        <v>21</v>
      </c>
      <c r="C7" s="6" t="s">
        <v>15</v>
      </c>
      <c r="D7" s="6" t="s">
        <v>22</v>
      </c>
      <c r="E7" s="6" t="n">
        <f aca="false">ROUND(13699*1.05,2)</f>
        <v>14383.95</v>
      </c>
      <c r="F7" s="6" t="s">
        <v>23</v>
      </c>
      <c r="G7" s="6" t="s">
        <v>24</v>
      </c>
      <c r="H7" s="6" t="n">
        <f aca="true">ROUND(RAND()*4+6,1)</f>
        <v>7.6</v>
      </c>
      <c r="I7" s="6" t="s">
        <v>25</v>
      </c>
      <c r="J7" s="6" t="str">
        <f aca="false">ROUND(97*1,0)&amp;"%"</f>
        <v>97%</v>
      </c>
    </row>
    <row r="8" customFormat="false" ht="15" hidden="false" customHeight="false" outlineLevel="0" collapsed="false">
      <c r="A8" s="5" t="s">
        <v>13052</v>
      </c>
      <c r="B8" s="5" t="s">
        <v>27</v>
      </c>
      <c r="C8" s="5" t="s">
        <v>15</v>
      </c>
      <c r="D8" s="5" t="s">
        <v>28</v>
      </c>
      <c r="E8" s="5" t="n">
        <f aca="false">ROUND(5666*1.05,2)</f>
        <v>5949.3</v>
      </c>
      <c r="F8" s="5" t="s">
        <v>29</v>
      </c>
      <c r="G8" s="5" t="s">
        <v>30</v>
      </c>
      <c r="H8" s="5" t="n">
        <f aca="true">ROUND(RAND()*4+6,1)</f>
        <v>7.5</v>
      </c>
      <c r="I8" s="5" t="s">
        <v>31</v>
      </c>
      <c r="J8" s="5" t="str">
        <f aca="false">ROUND(88*1,0)&amp;"%"</f>
        <v>88%</v>
      </c>
    </row>
    <row r="9" customFormat="false" ht="15" hidden="false" customHeight="false" outlineLevel="0" collapsed="false">
      <c r="A9" s="6" t="s">
        <v>13053</v>
      </c>
      <c r="B9" s="6" t="s">
        <v>33</v>
      </c>
      <c r="C9" s="6" t="s">
        <v>15</v>
      </c>
      <c r="D9" s="6" t="s">
        <v>34</v>
      </c>
      <c r="E9" s="6" t="n">
        <f aca="false">ROUND(6497*1.05,2)</f>
        <v>6821.85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13054</v>
      </c>
      <c r="B10" s="5" t="s">
        <v>38</v>
      </c>
      <c r="C10" s="5" t="s">
        <v>15</v>
      </c>
      <c r="D10" s="5" t="s">
        <v>39</v>
      </c>
      <c r="E10" s="5" t="n">
        <f aca="false">ROUND(9247*1.05,2)</f>
        <v>9709.35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ROUND(98*1,0)&amp;"%"</f>
        <v>98%</v>
      </c>
    </row>
    <row r="11" customFormat="false" ht="15" hidden="false" customHeight="false" outlineLevel="0" collapsed="false">
      <c r="A11" s="6" t="s">
        <v>13055</v>
      </c>
      <c r="B11" s="6" t="s">
        <v>43</v>
      </c>
      <c r="C11" s="6" t="s">
        <v>15</v>
      </c>
      <c r="D11" s="6" t="s">
        <v>44</v>
      </c>
      <c r="E11" s="6" t="n">
        <f aca="false">ROUND(10304*1.05,2)</f>
        <v>10819.2</v>
      </c>
      <c r="F11" s="6" t="s">
        <v>45</v>
      </c>
      <c r="G11" s="6" t="s">
        <v>30</v>
      </c>
      <c r="H11" s="6" t="n">
        <f aca="true">ROUND(RAND()*4+6,1)</f>
        <v>9.8</v>
      </c>
      <c r="I11" s="6" t="s">
        <v>46</v>
      </c>
      <c r="J11" s="6" t="str">
        <f aca="false">ROUND(72*1,0)&amp;"%"</f>
        <v>72%</v>
      </c>
    </row>
    <row r="12" customFormat="false" ht="15" hidden="false" customHeight="false" outlineLevel="0" collapsed="false">
      <c r="A12" s="5" t="s">
        <v>13056</v>
      </c>
      <c r="B12" s="5" t="s">
        <v>48</v>
      </c>
      <c r="C12" s="5" t="s">
        <v>15</v>
      </c>
      <c r="D12" s="5" t="s">
        <v>16</v>
      </c>
      <c r="E12" s="5" t="n">
        <f aca="false">ROUND(9144*1.05,2)</f>
        <v>9601.2</v>
      </c>
      <c r="F12" s="5" t="s">
        <v>49</v>
      </c>
      <c r="G12" s="5" t="s">
        <v>18</v>
      </c>
      <c r="H12" s="5" t="n">
        <f aca="true">ROUND(RAND()*4+6,1)</f>
        <v>7</v>
      </c>
      <c r="I12" s="5" t="s">
        <v>19</v>
      </c>
      <c r="J12" s="5" t="str">
        <f aca="false">ROUND(87*1,0)&amp;"%"</f>
        <v>87%</v>
      </c>
    </row>
    <row r="13" customFormat="false" ht="15" hidden="false" customHeight="false" outlineLevel="0" collapsed="false">
      <c r="A13" s="6" t="s">
        <v>13057</v>
      </c>
      <c r="B13" s="6" t="s">
        <v>51</v>
      </c>
      <c r="C13" s="6" t="s">
        <v>15</v>
      </c>
      <c r="D13" s="6" t="s">
        <v>22</v>
      </c>
      <c r="E13" s="6" t="n">
        <f aca="false">ROUND(14177*1.05,2)</f>
        <v>14885.85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ROUND(66*1,0)&amp;"%"</f>
        <v>66%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13058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13059</v>
      </c>
      <c r="B18" s="5" t="s">
        <v>56</v>
      </c>
      <c r="C18" s="5" t="s">
        <v>57</v>
      </c>
      <c r="D18" s="5" t="s">
        <v>16</v>
      </c>
      <c r="E18" s="5" t="n">
        <f aca="false">ROUND(13686*1.05,2)</f>
        <v>14370.3</v>
      </c>
      <c r="F18" s="5" t="s">
        <v>17</v>
      </c>
      <c r="G18" s="5" t="s">
        <v>18</v>
      </c>
      <c r="H18" s="5" t="n">
        <f aca="true">ROUND(RAND()*4+6,1)</f>
        <v>8.5</v>
      </c>
      <c r="I18" s="5" t="s">
        <v>19</v>
      </c>
      <c r="J18" s="5" t="str">
        <f aca="false">ROUND(60*1,0)&amp;"%"</f>
        <v>60%</v>
      </c>
    </row>
    <row r="19" customFormat="false" ht="15" hidden="false" customHeight="false" outlineLevel="0" collapsed="false">
      <c r="A19" s="6" t="s">
        <v>13060</v>
      </c>
      <c r="B19" s="6" t="s">
        <v>59</v>
      </c>
      <c r="C19" s="6" t="s">
        <v>57</v>
      </c>
      <c r="D19" s="6" t="s">
        <v>22</v>
      </c>
      <c r="E19" s="6" t="n">
        <f aca="false">ROUND(8016*1.05,2)</f>
        <v>8416.8</v>
      </c>
      <c r="F19" s="6" t="s">
        <v>23</v>
      </c>
      <c r="G19" s="6" t="s">
        <v>24</v>
      </c>
      <c r="H19" s="6" t="n">
        <f aca="true">ROUND(RAND()*4+6,1)</f>
        <v>7.3</v>
      </c>
      <c r="I19" s="6" t="s">
        <v>25</v>
      </c>
      <c r="J19" s="6" t="str">
        <f aca="false">ROUND(71*1,0)&amp;"%"</f>
        <v>71%</v>
      </c>
    </row>
    <row r="20" customFormat="false" ht="15" hidden="false" customHeight="false" outlineLevel="0" collapsed="false">
      <c r="A20" s="5" t="s">
        <v>13061</v>
      </c>
      <c r="B20" s="5" t="s">
        <v>61</v>
      </c>
      <c r="C20" s="5" t="s">
        <v>57</v>
      </c>
      <c r="D20" s="5" t="s">
        <v>28</v>
      </c>
      <c r="E20" s="5" t="n">
        <f aca="false">ROUND(13391*1.05,2)</f>
        <v>14060.55</v>
      </c>
      <c r="F20" s="5" t="s">
        <v>29</v>
      </c>
      <c r="G20" s="5" t="s">
        <v>30</v>
      </c>
      <c r="H20" s="5" t="n">
        <f aca="true">ROUND(RAND()*4+6,1)</f>
        <v>7.1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13062</v>
      </c>
      <c r="B21" s="6" t="s">
        <v>63</v>
      </c>
      <c r="C21" s="6" t="s">
        <v>57</v>
      </c>
      <c r="D21" s="6" t="s">
        <v>34</v>
      </c>
      <c r="E21" s="6" t="n">
        <f aca="false">ROUND(11604*1.05,2)</f>
        <v>12184.2</v>
      </c>
      <c r="F21" s="6" t="s">
        <v>35</v>
      </c>
      <c r="G21" s="6" t="s">
        <v>18</v>
      </c>
      <c r="H21" s="6" t="n">
        <f aca="true">ROUND(RAND()*4+6,1)</f>
        <v>7</v>
      </c>
      <c r="I21" s="6" t="s">
        <v>36</v>
      </c>
      <c r="J21" s="6" t="str">
        <f aca="false">ROUND(92*1,0)&amp;"%"</f>
        <v>92%</v>
      </c>
    </row>
    <row r="22" customFormat="false" ht="15" hidden="false" customHeight="false" outlineLevel="0" collapsed="false">
      <c r="A22" s="5" t="s">
        <v>13063</v>
      </c>
      <c r="B22" s="5" t="s">
        <v>65</v>
      </c>
      <c r="C22" s="5" t="s">
        <v>57</v>
      </c>
      <c r="D22" s="5" t="s">
        <v>39</v>
      </c>
      <c r="E22" s="5" t="n">
        <f aca="false">ROUND(8952*1.05,2)</f>
        <v>9399.6</v>
      </c>
      <c r="F22" s="5" t="s">
        <v>40</v>
      </c>
      <c r="G22" s="5" t="s">
        <v>24</v>
      </c>
      <c r="H22" s="5" t="n">
        <f aca="true">ROUND(RAND()*4+6,1)</f>
        <v>8.3</v>
      </c>
      <c r="I22" s="5" t="s">
        <v>41</v>
      </c>
      <c r="J22" s="5" t="str">
        <f aca="false">ROUND(69*1,0)&amp;"%"</f>
        <v>69%</v>
      </c>
    </row>
    <row r="23" customFormat="false" ht="15" hidden="false" customHeight="false" outlineLevel="0" collapsed="false">
      <c r="A23" s="6" t="s">
        <v>13064</v>
      </c>
      <c r="B23" s="6" t="s">
        <v>67</v>
      </c>
      <c r="C23" s="6" t="s">
        <v>57</v>
      </c>
      <c r="D23" s="6" t="s">
        <v>44</v>
      </c>
      <c r="E23" s="6" t="n">
        <f aca="false">ROUND(16408*1.05,2)</f>
        <v>17228.4</v>
      </c>
      <c r="F23" s="6" t="s">
        <v>45</v>
      </c>
      <c r="G23" s="6" t="s">
        <v>30</v>
      </c>
      <c r="H23" s="6" t="n">
        <f aca="true">ROUND(RAND()*4+6,1)</f>
        <v>7.9</v>
      </c>
      <c r="I23" s="6" t="s">
        <v>46</v>
      </c>
      <c r="J23" s="6" t="str">
        <f aca="false">ROUND(74*1,0)&amp;"%"</f>
        <v>74%</v>
      </c>
    </row>
    <row r="24" customFormat="false" ht="15" hidden="false" customHeight="false" outlineLevel="0" collapsed="false">
      <c r="A24" s="5" t="s">
        <v>13065</v>
      </c>
      <c r="B24" s="5" t="s">
        <v>69</v>
      </c>
      <c r="C24" s="5" t="s">
        <v>57</v>
      </c>
      <c r="D24" s="5" t="s">
        <v>16</v>
      </c>
      <c r="E24" s="5" t="n">
        <f aca="false">ROUND(14917*1.05,2)</f>
        <v>15662.85</v>
      </c>
      <c r="F24" s="5" t="s">
        <v>49</v>
      </c>
      <c r="G24" s="5" t="s">
        <v>18</v>
      </c>
      <c r="H24" s="5" t="n">
        <f aca="true">ROUND(RAND()*4+6,1)</f>
        <v>8.3</v>
      </c>
      <c r="I24" s="5" t="s">
        <v>19</v>
      </c>
      <c r="J24" s="5" t="str">
        <f aca="false">ROUND(83*1,0)&amp;"%"</f>
        <v>83%</v>
      </c>
    </row>
    <row r="25" customFormat="false" ht="15" hidden="false" customHeight="false" outlineLevel="0" collapsed="false">
      <c r="A25" s="6" t="s">
        <v>13066</v>
      </c>
      <c r="B25" s="6" t="s">
        <v>71</v>
      </c>
      <c r="C25" s="6" t="s">
        <v>57</v>
      </c>
      <c r="D25" s="6" t="s">
        <v>22</v>
      </c>
      <c r="E25" s="6" t="n">
        <f aca="false">ROUND(9719*1.05,2)</f>
        <v>10204.95</v>
      </c>
      <c r="F25" s="6" t="s">
        <v>52</v>
      </c>
      <c r="G25" s="6" t="s">
        <v>24</v>
      </c>
      <c r="H25" s="6" t="n">
        <f aca="true">ROUND(RAND()*4+6,1)</f>
        <v>6.4</v>
      </c>
      <c r="I25" s="6" t="s">
        <v>25</v>
      </c>
      <c r="J25" s="6" t="str">
        <f aca="false">ROUND(63*1,0)&amp;"%"</f>
        <v>63%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13067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13068</v>
      </c>
      <c r="B30" s="5" t="s">
        <v>75</v>
      </c>
      <c r="C30" s="5" t="s">
        <v>76</v>
      </c>
      <c r="D30" s="5" t="s">
        <v>16</v>
      </c>
      <c r="E30" s="5" t="n">
        <f aca="false">ROUND(15604*1.05,2)</f>
        <v>16384.2</v>
      </c>
      <c r="F30" s="5" t="s">
        <v>17</v>
      </c>
      <c r="G30" s="5" t="s">
        <v>18</v>
      </c>
      <c r="H30" s="5" t="n">
        <f aca="true">ROUND(RAND()*4+6,1)</f>
        <v>9.7</v>
      </c>
      <c r="I30" s="5" t="s">
        <v>19</v>
      </c>
      <c r="J30" s="5" t="str">
        <f aca="false">ROUND(67*1,0)&amp;"%"</f>
        <v>67%</v>
      </c>
    </row>
    <row r="31" customFormat="false" ht="15" hidden="false" customHeight="false" outlineLevel="0" collapsed="false">
      <c r="A31" s="6" t="s">
        <v>13069</v>
      </c>
      <c r="B31" s="6" t="s">
        <v>78</v>
      </c>
      <c r="C31" s="6" t="s">
        <v>76</v>
      </c>
      <c r="D31" s="6" t="s">
        <v>22</v>
      </c>
      <c r="E31" s="6" t="n">
        <f aca="false">ROUND(8058*1.05,2)</f>
        <v>8460.9</v>
      </c>
      <c r="F31" s="6" t="s">
        <v>23</v>
      </c>
      <c r="G31" s="6" t="s">
        <v>24</v>
      </c>
      <c r="H31" s="6" t="n">
        <f aca="true">ROUND(RAND()*4+6,1)</f>
        <v>6.5</v>
      </c>
      <c r="I31" s="6" t="s">
        <v>25</v>
      </c>
      <c r="J31" s="6" t="str">
        <f aca="false">ROUND(91*1,0)&amp;"%"</f>
        <v>91%</v>
      </c>
    </row>
    <row r="32" customFormat="false" ht="15" hidden="false" customHeight="false" outlineLevel="0" collapsed="false">
      <c r="A32" s="5" t="s">
        <v>13070</v>
      </c>
      <c r="B32" s="5" t="s">
        <v>80</v>
      </c>
      <c r="C32" s="5" t="s">
        <v>76</v>
      </c>
      <c r="D32" s="5" t="s">
        <v>28</v>
      </c>
      <c r="E32" s="5" t="n">
        <f aca="false">ROUND(16075*1.05,2)</f>
        <v>16878.75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ROUND(98*1,0)&amp;"%"</f>
        <v>98%</v>
      </c>
    </row>
    <row r="33" customFormat="false" ht="15" hidden="false" customHeight="false" outlineLevel="0" collapsed="false">
      <c r="A33" s="6" t="s">
        <v>13071</v>
      </c>
      <c r="B33" s="6" t="s">
        <v>82</v>
      </c>
      <c r="C33" s="6" t="s">
        <v>76</v>
      </c>
      <c r="D33" s="6" t="s">
        <v>34</v>
      </c>
      <c r="E33" s="6" t="n">
        <f aca="false">ROUND(15049*1.05,2)</f>
        <v>15801.45</v>
      </c>
      <c r="F33" s="6" t="s">
        <v>35</v>
      </c>
      <c r="G33" s="6" t="s">
        <v>18</v>
      </c>
      <c r="H33" s="6" t="n">
        <f aca="true">ROUND(RAND()*4+6,1)</f>
        <v>6</v>
      </c>
      <c r="I33" s="6" t="s">
        <v>36</v>
      </c>
      <c r="J33" s="6" t="str">
        <f aca="false">ROUND(64*1,0)&amp;"%"</f>
        <v>64%</v>
      </c>
    </row>
    <row r="34" customFormat="false" ht="15" hidden="false" customHeight="false" outlineLevel="0" collapsed="false">
      <c r="A34" s="5" t="s">
        <v>13072</v>
      </c>
      <c r="B34" s="5" t="s">
        <v>84</v>
      </c>
      <c r="C34" s="5" t="s">
        <v>76</v>
      </c>
      <c r="D34" s="5" t="s">
        <v>39</v>
      </c>
      <c r="E34" s="5" t="n">
        <f aca="false">ROUND(8478*1.05,2)</f>
        <v>8901.9</v>
      </c>
      <c r="F34" s="5" t="s">
        <v>40</v>
      </c>
      <c r="G34" s="5" t="s">
        <v>24</v>
      </c>
      <c r="H34" s="5" t="n">
        <f aca="true">ROUND(RAND()*4+6,1)</f>
        <v>8.7</v>
      </c>
      <c r="I34" s="5" t="s">
        <v>41</v>
      </c>
      <c r="J34" s="5" t="str">
        <f aca="false">ROUND(73*1,0)&amp;"%"</f>
        <v>73%</v>
      </c>
    </row>
    <row r="35" customFormat="false" ht="15" hidden="false" customHeight="false" outlineLevel="0" collapsed="false">
      <c r="A35" s="6" t="s">
        <v>13073</v>
      </c>
      <c r="B35" s="6" t="s">
        <v>86</v>
      </c>
      <c r="C35" s="6" t="s">
        <v>76</v>
      </c>
      <c r="D35" s="6" t="s">
        <v>44</v>
      </c>
      <c r="E35" s="6" t="n">
        <f aca="false">ROUND(13803*1.05,2)</f>
        <v>14493.15</v>
      </c>
      <c r="F35" s="6" t="s">
        <v>45</v>
      </c>
      <c r="G35" s="6" t="s">
        <v>30</v>
      </c>
      <c r="H35" s="6" t="n">
        <f aca="true">ROUND(RAND()*4+6,1)</f>
        <v>7.8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13074</v>
      </c>
      <c r="B36" s="5" t="s">
        <v>88</v>
      </c>
      <c r="C36" s="5" t="s">
        <v>76</v>
      </c>
      <c r="D36" s="5" t="s">
        <v>16</v>
      </c>
      <c r="E36" s="5" t="n">
        <f aca="false">ROUND(5514*1.05,2)</f>
        <v>5789.7</v>
      </c>
      <c r="F36" s="5" t="s">
        <v>49</v>
      </c>
      <c r="G36" s="5" t="s">
        <v>18</v>
      </c>
      <c r="H36" s="5" t="n">
        <f aca="true">ROUND(RAND()*4+6,1)</f>
        <v>9.6</v>
      </c>
      <c r="I36" s="5" t="s">
        <v>19</v>
      </c>
      <c r="J36" s="5" t="str">
        <f aca="false">ROUND(90*1,0)&amp;"%"</f>
        <v>90%</v>
      </c>
    </row>
    <row r="37" customFormat="false" ht="15" hidden="false" customHeight="false" outlineLevel="0" collapsed="false">
      <c r="A37" s="6" t="s">
        <v>13075</v>
      </c>
      <c r="B37" s="6" t="s">
        <v>90</v>
      </c>
      <c r="C37" s="6" t="s">
        <v>76</v>
      </c>
      <c r="D37" s="6" t="s">
        <v>22</v>
      </c>
      <c r="E37" s="6" t="n">
        <f aca="false">ROUND(14068*1.05,2)</f>
        <v>14771.4</v>
      </c>
      <c r="F37" s="6" t="s">
        <v>52</v>
      </c>
      <c r="G37" s="6" t="s">
        <v>24</v>
      </c>
      <c r="H37" s="6" t="n">
        <f aca="true">ROUND(RAND()*4+6,1)</f>
        <v>6.7</v>
      </c>
      <c r="I37" s="6" t="s">
        <v>25</v>
      </c>
      <c r="J37" s="6" t="str">
        <f aca="false">ROUND(69*1,0)&amp;"%"</f>
        <v>69%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13076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13077</v>
      </c>
      <c r="B42" s="5" t="s">
        <v>94</v>
      </c>
      <c r="C42" s="5" t="s">
        <v>95</v>
      </c>
      <c r="D42" s="5" t="s">
        <v>16</v>
      </c>
      <c r="E42" s="5" t="n">
        <f aca="false">ROUND(8597*1.05,2)</f>
        <v>9026.85</v>
      </c>
      <c r="F42" s="5" t="s">
        <v>17</v>
      </c>
      <c r="G42" s="5" t="s">
        <v>18</v>
      </c>
      <c r="H42" s="5" t="n">
        <f aca="true">ROUND(RAND()*4+6,1)</f>
        <v>9.7</v>
      </c>
      <c r="I42" s="5" t="s">
        <v>19</v>
      </c>
      <c r="J42" s="5" t="str">
        <f aca="false">ROUND(85*1,0)&amp;"%"</f>
        <v>85%</v>
      </c>
    </row>
    <row r="43" customFormat="false" ht="15" hidden="false" customHeight="false" outlineLevel="0" collapsed="false">
      <c r="A43" s="6" t="s">
        <v>13078</v>
      </c>
      <c r="B43" s="6" t="s">
        <v>97</v>
      </c>
      <c r="C43" s="6" t="s">
        <v>95</v>
      </c>
      <c r="D43" s="6" t="s">
        <v>22</v>
      </c>
      <c r="E43" s="6" t="n">
        <f aca="false">ROUND(5906*1.05,2)</f>
        <v>6201.3</v>
      </c>
      <c r="F43" s="6" t="s">
        <v>23</v>
      </c>
      <c r="G43" s="6" t="s">
        <v>24</v>
      </c>
      <c r="H43" s="6" t="n">
        <f aca="true">ROUND(RAND()*4+6,1)</f>
        <v>9.7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13079</v>
      </c>
      <c r="B44" s="5" t="s">
        <v>99</v>
      </c>
      <c r="C44" s="5" t="s">
        <v>95</v>
      </c>
      <c r="D44" s="5" t="s">
        <v>28</v>
      </c>
      <c r="E44" s="5" t="n">
        <f aca="false">ROUND(15237*1.05,2)</f>
        <v>15998.85</v>
      </c>
      <c r="F44" s="5" t="s">
        <v>29</v>
      </c>
      <c r="G44" s="5" t="s">
        <v>30</v>
      </c>
      <c r="H44" s="5" t="n">
        <f aca="true">ROUND(RAND()*4+6,1)</f>
        <v>6.6</v>
      </c>
      <c r="I44" s="5" t="s">
        <v>31</v>
      </c>
      <c r="J44" s="5" t="str">
        <f aca="false">ROUND(72*1,0)&amp;"%"</f>
        <v>72%</v>
      </c>
    </row>
    <row r="45" customFormat="false" ht="15" hidden="false" customHeight="false" outlineLevel="0" collapsed="false">
      <c r="A45" s="6" t="s">
        <v>13080</v>
      </c>
      <c r="B45" s="6" t="s">
        <v>101</v>
      </c>
      <c r="C45" s="6" t="s">
        <v>95</v>
      </c>
      <c r="D45" s="6" t="s">
        <v>34</v>
      </c>
      <c r="E45" s="6" t="n">
        <f aca="false">ROUND(5724*1.05,2)</f>
        <v>6010.2</v>
      </c>
      <c r="F45" s="6" t="s">
        <v>35</v>
      </c>
      <c r="G45" s="6" t="s">
        <v>18</v>
      </c>
      <c r="H45" s="6" t="n">
        <f aca="true">ROUND(RAND()*4+6,1)</f>
        <v>9</v>
      </c>
      <c r="I45" s="6" t="s">
        <v>36</v>
      </c>
      <c r="J45" s="6" t="str">
        <f aca="false">ROUND(70*1,0)&amp;"%"</f>
        <v>70%</v>
      </c>
    </row>
    <row r="46" customFormat="false" ht="15" hidden="false" customHeight="false" outlineLevel="0" collapsed="false">
      <c r="A46" s="5" t="s">
        <v>13081</v>
      </c>
      <c r="B46" s="5" t="s">
        <v>103</v>
      </c>
      <c r="C46" s="5" t="s">
        <v>95</v>
      </c>
      <c r="D46" s="5" t="s">
        <v>39</v>
      </c>
      <c r="E46" s="5" t="n">
        <f aca="false">ROUND(5445*1.05,2)</f>
        <v>5717.25</v>
      </c>
      <c r="F46" s="5" t="s">
        <v>40</v>
      </c>
      <c r="G46" s="5" t="s">
        <v>24</v>
      </c>
      <c r="H46" s="5" t="n">
        <f aca="true">ROUND(RAND()*4+6,1)</f>
        <v>6.9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13082</v>
      </c>
      <c r="B47" s="6" t="s">
        <v>105</v>
      </c>
      <c r="C47" s="6" t="s">
        <v>95</v>
      </c>
      <c r="D47" s="6" t="s">
        <v>44</v>
      </c>
      <c r="E47" s="6" t="n">
        <f aca="false">ROUND(5155*1.05,2)</f>
        <v>5412.75</v>
      </c>
      <c r="F47" s="6" t="s">
        <v>45</v>
      </c>
      <c r="G47" s="6" t="s">
        <v>30</v>
      </c>
      <c r="H47" s="6" t="n">
        <f aca="true">ROUND(RAND()*4+6,1)</f>
        <v>9.5</v>
      </c>
      <c r="I47" s="6" t="s">
        <v>46</v>
      </c>
      <c r="J47" s="6" t="str">
        <f aca="false">ROUND(85*1,0)&amp;"%"</f>
        <v>85%</v>
      </c>
    </row>
    <row r="48" customFormat="false" ht="15" hidden="false" customHeight="false" outlineLevel="0" collapsed="false">
      <c r="A48" s="5" t="s">
        <v>13083</v>
      </c>
      <c r="B48" s="5" t="s">
        <v>107</v>
      </c>
      <c r="C48" s="5" t="s">
        <v>95</v>
      </c>
      <c r="D48" s="5" t="s">
        <v>16</v>
      </c>
      <c r="E48" s="5" t="n">
        <f aca="false">ROUND(5034*1.05,2)</f>
        <v>5285.7</v>
      </c>
      <c r="F48" s="5" t="s">
        <v>49</v>
      </c>
      <c r="G48" s="5" t="s">
        <v>18</v>
      </c>
      <c r="H48" s="5" t="n">
        <f aca="true">ROUND(RAND()*4+6,1)</f>
        <v>6.5</v>
      </c>
      <c r="I48" s="5" t="s">
        <v>19</v>
      </c>
      <c r="J48" s="5" t="str">
        <f aca="false">ROUND(75*1,0)&amp;"%"</f>
        <v>75%</v>
      </c>
    </row>
    <row r="49" customFormat="false" ht="15" hidden="false" customHeight="false" outlineLevel="0" collapsed="false">
      <c r="A49" s="6" t="s">
        <v>13084</v>
      </c>
      <c r="B49" s="6" t="s">
        <v>109</v>
      </c>
      <c r="C49" s="6" t="s">
        <v>95</v>
      </c>
      <c r="D49" s="6" t="s">
        <v>22</v>
      </c>
      <c r="E49" s="6" t="n">
        <f aca="false">ROUND(11523*1.05,2)</f>
        <v>12099.15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ROUND(76*1,0)&amp;"%"</f>
        <v>76%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13085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13086</v>
      </c>
      <c r="B54" s="5" t="s">
        <v>113</v>
      </c>
      <c r="C54" s="5" t="s">
        <v>114</v>
      </c>
      <c r="D54" s="5" t="s">
        <v>16</v>
      </c>
      <c r="E54" s="5" t="n">
        <f aca="false">ROUND(12908*1.05,2)</f>
        <v>13553.4</v>
      </c>
      <c r="F54" s="5" t="s">
        <v>17</v>
      </c>
      <c r="G54" s="5" t="s">
        <v>18</v>
      </c>
      <c r="H54" s="5" t="n">
        <f aca="true">ROUND(RAND()*4+6,1)</f>
        <v>6.6</v>
      </c>
      <c r="I54" s="5" t="s">
        <v>19</v>
      </c>
      <c r="J54" s="5" t="str">
        <f aca="false">ROUND(61*1,0)&amp;"%"</f>
        <v>61%</v>
      </c>
    </row>
    <row r="55" customFormat="false" ht="15" hidden="false" customHeight="false" outlineLevel="0" collapsed="false">
      <c r="A55" s="6" t="s">
        <v>13087</v>
      </c>
      <c r="B55" s="6" t="s">
        <v>116</v>
      </c>
      <c r="C55" s="6" t="s">
        <v>114</v>
      </c>
      <c r="D55" s="6" t="s">
        <v>22</v>
      </c>
      <c r="E55" s="6" t="n">
        <f aca="false">ROUND(4031*1.05,2)</f>
        <v>4232.55</v>
      </c>
      <c r="F55" s="6" t="s">
        <v>23</v>
      </c>
      <c r="G55" s="6" t="s">
        <v>24</v>
      </c>
      <c r="H55" s="6" t="n">
        <f aca="true">ROUND(RAND()*4+6,1)</f>
        <v>7.2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13088</v>
      </c>
      <c r="B56" s="5" t="s">
        <v>118</v>
      </c>
      <c r="C56" s="5" t="s">
        <v>114</v>
      </c>
      <c r="D56" s="5" t="s">
        <v>28</v>
      </c>
      <c r="E56" s="5" t="n">
        <f aca="false">ROUND(16221*1.05,2)</f>
        <v>17032.05</v>
      </c>
      <c r="F56" s="5" t="s">
        <v>29</v>
      </c>
      <c r="G56" s="5" t="s">
        <v>30</v>
      </c>
      <c r="H56" s="5" t="n">
        <f aca="true">ROUND(RAND()*4+6,1)</f>
        <v>7.9</v>
      </c>
      <c r="I56" s="5" t="s">
        <v>31</v>
      </c>
      <c r="J56" s="5" t="str">
        <f aca="false">ROUND(84*1,0)&amp;"%"</f>
        <v>84%</v>
      </c>
    </row>
    <row r="57" customFormat="false" ht="15" hidden="false" customHeight="false" outlineLevel="0" collapsed="false">
      <c r="A57" s="6" t="s">
        <v>13089</v>
      </c>
      <c r="B57" s="6" t="s">
        <v>120</v>
      </c>
      <c r="C57" s="6" t="s">
        <v>114</v>
      </c>
      <c r="D57" s="6" t="s">
        <v>34</v>
      </c>
      <c r="E57" s="6" t="n">
        <f aca="false">ROUND(14706*1.05,2)</f>
        <v>15441.3</v>
      </c>
      <c r="F57" s="6" t="s">
        <v>35</v>
      </c>
      <c r="G57" s="6" t="s">
        <v>18</v>
      </c>
      <c r="H57" s="6" t="n">
        <f aca="true">ROUND(RAND()*4+6,1)</f>
        <v>7.6</v>
      </c>
      <c r="I57" s="6" t="s">
        <v>36</v>
      </c>
      <c r="J57" s="6" t="str">
        <f aca="false">ROUND(85*1,0)&amp;"%"</f>
        <v>85%</v>
      </c>
    </row>
    <row r="58" customFormat="false" ht="15" hidden="false" customHeight="false" outlineLevel="0" collapsed="false">
      <c r="A58" s="5" t="s">
        <v>13090</v>
      </c>
      <c r="B58" s="5" t="s">
        <v>122</v>
      </c>
      <c r="C58" s="5" t="s">
        <v>114</v>
      </c>
      <c r="D58" s="5" t="s">
        <v>39</v>
      </c>
      <c r="E58" s="5" t="n">
        <f aca="false">ROUND(14634*1.05,2)</f>
        <v>15365.7</v>
      </c>
      <c r="F58" s="5" t="s">
        <v>40</v>
      </c>
      <c r="G58" s="5" t="s">
        <v>24</v>
      </c>
      <c r="H58" s="5" t="n">
        <f aca="true">ROUND(RAND()*4+6,1)</f>
        <v>6.3</v>
      </c>
      <c r="I58" s="5" t="s">
        <v>41</v>
      </c>
      <c r="J58" s="5" t="str">
        <f aca="false">ROUND(65*1,0)&amp;"%"</f>
        <v>65%</v>
      </c>
    </row>
    <row r="59" customFormat="false" ht="15" hidden="false" customHeight="false" outlineLevel="0" collapsed="false">
      <c r="A59" s="6" t="s">
        <v>13091</v>
      </c>
      <c r="B59" s="6" t="s">
        <v>124</v>
      </c>
      <c r="C59" s="6" t="s">
        <v>114</v>
      </c>
      <c r="D59" s="6" t="s">
        <v>44</v>
      </c>
      <c r="E59" s="6" t="n">
        <f aca="false">ROUND(9794*1.05,2)</f>
        <v>10283.7</v>
      </c>
      <c r="F59" s="6" t="s">
        <v>45</v>
      </c>
      <c r="G59" s="6" t="s">
        <v>30</v>
      </c>
      <c r="H59" s="6" t="n">
        <f aca="true">ROUND(RAND()*4+6,1)</f>
        <v>7.4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13092</v>
      </c>
      <c r="B60" s="5" t="s">
        <v>126</v>
      </c>
      <c r="C60" s="5" t="s">
        <v>114</v>
      </c>
      <c r="D60" s="5" t="s">
        <v>16</v>
      </c>
      <c r="E60" s="5" t="n">
        <f aca="false">ROUND(10744*1.05,2)</f>
        <v>11281.2</v>
      </c>
      <c r="F60" s="5" t="s">
        <v>49</v>
      </c>
      <c r="G60" s="5" t="s">
        <v>18</v>
      </c>
      <c r="H60" s="5" t="n">
        <f aca="true">ROUND(RAND()*4+6,1)</f>
        <v>8.7</v>
      </c>
      <c r="I60" s="5" t="s">
        <v>19</v>
      </c>
      <c r="J60" s="5" t="str">
        <f aca="false">ROUND(80*1,0)&amp;"%"</f>
        <v>80%</v>
      </c>
    </row>
    <row r="61" customFormat="false" ht="15" hidden="false" customHeight="false" outlineLevel="0" collapsed="false">
      <c r="A61" s="6" t="s">
        <v>13093</v>
      </c>
      <c r="B61" s="6" t="s">
        <v>128</v>
      </c>
      <c r="C61" s="6" t="s">
        <v>114</v>
      </c>
      <c r="D61" s="6" t="s">
        <v>22</v>
      </c>
      <c r="E61" s="6" t="n">
        <f aca="false">ROUND(5268*1.05,2)</f>
        <v>5531.4</v>
      </c>
      <c r="F61" s="6" t="s">
        <v>52</v>
      </c>
      <c r="G61" s="6" t="s">
        <v>24</v>
      </c>
      <c r="H61" s="6" t="n">
        <f aca="true">ROUND(RAND()*4+6,1)</f>
        <v>9.8</v>
      </c>
      <c r="I61" s="6" t="s">
        <v>25</v>
      </c>
      <c r="J61" s="6" t="str">
        <f aca="false">ROUND(88*1,0)&amp;"%"</f>
        <v>88%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13094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13095</v>
      </c>
      <c r="B66" s="5" t="s">
        <v>132</v>
      </c>
      <c r="C66" s="5" t="s">
        <v>133</v>
      </c>
      <c r="D66" s="5" t="s">
        <v>16</v>
      </c>
      <c r="E66" s="5" t="n">
        <f aca="false">ROUND(12910*1.05,2)</f>
        <v>13555.5</v>
      </c>
      <c r="F66" s="5" t="s">
        <v>17</v>
      </c>
      <c r="G66" s="5" t="s">
        <v>18</v>
      </c>
      <c r="H66" s="5" t="n">
        <f aca="true">ROUND(RAND()*4+6,1)</f>
        <v>7.4</v>
      </c>
      <c r="I66" s="5" t="s">
        <v>19</v>
      </c>
      <c r="J66" s="5" t="str">
        <f aca="false">ROUND(83*1,0)&amp;"%"</f>
        <v>83%</v>
      </c>
    </row>
    <row r="67" customFormat="false" ht="15" hidden="false" customHeight="false" outlineLevel="0" collapsed="false">
      <c r="A67" s="6" t="s">
        <v>13096</v>
      </c>
      <c r="B67" s="6" t="s">
        <v>135</v>
      </c>
      <c r="C67" s="6" t="s">
        <v>133</v>
      </c>
      <c r="D67" s="6" t="s">
        <v>22</v>
      </c>
      <c r="E67" s="6" t="n">
        <f aca="false">ROUND(16379*1.05,2)</f>
        <v>17197.95</v>
      </c>
      <c r="F67" s="6" t="s">
        <v>23</v>
      </c>
      <c r="G67" s="6" t="s">
        <v>24</v>
      </c>
      <c r="H67" s="6" t="n">
        <f aca="true">ROUND(RAND()*4+6,1)</f>
        <v>8.3</v>
      </c>
      <c r="I67" s="6" t="s">
        <v>25</v>
      </c>
      <c r="J67" s="6" t="str">
        <f aca="false">ROUND(63*1,0)&amp;"%"</f>
        <v>63%</v>
      </c>
    </row>
    <row r="68" customFormat="false" ht="15" hidden="false" customHeight="false" outlineLevel="0" collapsed="false">
      <c r="A68" s="5" t="s">
        <v>13097</v>
      </c>
      <c r="B68" s="5" t="s">
        <v>137</v>
      </c>
      <c r="C68" s="5" t="s">
        <v>133</v>
      </c>
      <c r="D68" s="5" t="s">
        <v>28</v>
      </c>
      <c r="E68" s="5" t="n">
        <f aca="false">ROUND(7187*1.05,2)</f>
        <v>7546.35</v>
      </c>
      <c r="F68" s="5" t="s">
        <v>29</v>
      </c>
      <c r="G68" s="5" t="s">
        <v>30</v>
      </c>
      <c r="H68" s="5" t="n">
        <f aca="true">ROUND(RAND()*4+6,1)</f>
        <v>7.3</v>
      </c>
      <c r="I68" s="5" t="s">
        <v>31</v>
      </c>
      <c r="J68" s="5" t="str">
        <f aca="false">ROUND(77*1,0)&amp;"%"</f>
        <v>77%</v>
      </c>
    </row>
    <row r="69" customFormat="false" ht="15" hidden="false" customHeight="false" outlineLevel="0" collapsed="false">
      <c r="A69" s="6" t="s">
        <v>13098</v>
      </c>
      <c r="B69" s="6" t="s">
        <v>139</v>
      </c>
      <c r="C69" s="6" t="s">
        <v>133</v>
      </c>
      <c r="D69" s="6" t="s">
        <v>34</v>
      </c>
      <c r="E69" s="6" t="n">
        <f aca="false">ROUND(4036*1.05,2)</f>
        <v>4237.8</v>
      </c>
      <c r="F69" s="6" t="s">
        <v>35</v>
      </c>
      <c r="G69" s="6" t="s">
        <v>18</v>
      </c>
      <c r="H69" s="6" t="n">
        <f aca="true">ROUND(RAND()*4+6,1)</f>
        <v>8.3</v>
      </c>
      <c r="I69" s="6" t="s">
        <v>36</v>
      </c>
      <c r="J69" s="6" t="str">
        <f aca="false">ROUND(84*1,0)&amp;"%"</f>
        <v>84%</v>
      </c>
    </row>
    <row r="70" customFormat="false" ht="15" hidden="false" customHeight="false" outlineLevel="0" collapsed="false">
      <c r="A70" s="5" t="s">
        <v>13099</v>
      </c>
      <c r="B70" s="5" t="s">
        <v>141</v>
      </c>
      <c r="C70" s="5" t="s">
        <v>133</v>
      </c>
      <c r="D70" s="5" t="s">
        <v>39</v>
      </c>
      <c r="E70" s="5" t="n">
        <f aca="false">ROUND(10191*1.05,2)</f>
        <v>10700.55</v>
      </c>
      <c r="F70" s="5" t="s">
        <v>40</v>
      </c>
      <c r="G70" s="5" t="s">
        <v>24</v>
      </c>
      <c r="H70" s="5" t="n">
        <f aca="true">ROUND(RAND()*4+6,1)</f>
        <v>9.5</v>
      </c>
      <c r="I70" s="5" t="s">
        <v>41</v>
      </c>
      <c r="J70" s="5" t="str">
        <f aca="false">ROUND(77*1,0)&amp;"%"</f>
        <v>77%</v>
      </c>
    </row>
    <row r="71" customFormat="false" ht="15" hidden="false" customHeight="false" outlineLevel="0" collapsed="false">
      <c r="A71" s="6" t="s">
        <v>13100</v>
      </c>
      <c r="B71" s="6" t="s">
        <v>143</v>
      </c>
      <c r="C71" s="6" t="s">
        <v>133</v>
      </c>
      <c r="D71" s="6" t="s">
        <v>44</v>
      </c>
      <c r="E71" s="6" t="n">
        <f aca="false">ROUND(6343*1.05,2)</f>
        <v>6660.15</v>
      </c>
      <c r="F71" s="6" t="s">
        <v>45</v>
      </c>
      <c r="G71" s="6" t="s">
        <v>30</v>
      </c>
      <c r="H71" s="6" t="n">
        <f aca="true">ROUND(RAND()*4+6,1)</f>
        <v>6.9</v>
      </c>
      <c r="I71" s="6" t="s">
        <v>46</v>
      </c>
      <c r="J71" s="6" t="str">
        <f aca="false">ROUND(74*1,0)&amp;"%"</f>
        <v>74%</v>
      </c>
    </row>
    <row r="72" customFormat="false" ht="15" hidden="false" customHeight="false" outlineLevel="0" collapsed="false">
      <c r="A72" s="5" t="s">
        <v>13101</v>
      </c>
      <c r="B72" s="5" t="s">
        <v>145</v>
      </c>
      <c r="C72" s="5" t="s">
        <v>133</v>
      </c>
      <c r="D72" s="5" t="s">
        <v>16</v>
      </c>
      <c r="E72" s="5" t="n">
        <f aca="false">ROUND(10055*1.05,2)</f>
        <v>10557.75</v>
      </c>
      <c r="F72" s="5" t="s">
        <v>49</v>
      </c>
      <c r="G72" s="5" t="s">
        <v>18</v>
      </c>
      <c r="H72" s="5" t="n">
        <f aca="true">ROUND(RAND()*4+6,1)</f>
        <v>8.6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13102</v>
      </c>
      <c r="B73" s="6" t="s">
        <v>147</v>
      </c>
      <c r="C73" s="6" t="s">
        <v>133</v>
      </c>
      <c r="D73" s="6" t="s">
        <v>22</v>
      </c>
      <c r="E73" s="6" t="n">
        <f aca="false">ROUND(8065*1.05,2)</f>
        <v>8468.25</v>
      </c>
      <c r="F73" s="6" t="s">
        <v>52</v>
      </c>
      <c r="G73" s="6" t="s">
        <v>24</v>
      </c>
      <c r="H73" s="6" t="n">
        <f aca="true">ROUND(RAND()*4+6,1)</f>
        <v>7.3</v>
      </c>
      <c r="I73" s="6" t="s">
        <v>25</v>
      </c>
      <c r="J73" s="6" t="str">
        <f aca="false">ROUND(72*1,0)&amp;"%"</f>
        <v>72%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13103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13104</v>
      </c>
      <c r="B78" s="5" t="s">
        <v>151</v>
      </c>
      <c r="C78" s="5" t="s">
        <v>152</v>
      </c>
      <c r="D78" s="5" t="s">
        <v>16</v>
      </c>
      <c r="E78" s="5" t="n">
        <f aca="false">ROUND(8691*1.05,2)</f>
        <v>9125.55</v>
      </c>
      <c r="F78" s="5" t="s">
        <v>17</v>
      </c>
      <c r="G78" s="5" t="s">
        <v>18</v>
      </c>
      <c r="H78" s="5" t="n">
        <f aca="true">ROUND(RAND()*4+6,1)</f>
        <v>8.3</v>
      </c>
      <c r="I78" s="5" t="s">
        <v>19</v>
      </c>
      <c r="J78" s="5" t="str">
        <f aca="false">ROUND(75*1,0)&amp;"%"</f>
        <v>75%</v>
      </c>
    </row>
    <row r="79" customFormat="false" ht="15" hidden="false" customHeight="false" outlineLevel="0" collapsed="false">
      <c r="A79" s="6" t="s">
        <v>13105</v>
      </c>
      <c r="B79" s="6" t="s">
        <v>154</v>
      </c>
      <c r="C79" s="6" t="s">
        <v>152</v>
      </c>
      <c r="D79" s="6" t="s">
        <v>22</v>
      </c>
      <c r="E79" s="6" t="n">
        <f aca="false">ROUND(5096*1.05,2)</f>
        <v>5350.8</v>
      </c>
      <c r="F79" s="6" t="s">
        <v>23</v>
      </c>
      <c r="G79" s="6" t="s">
        <v>24</v>
      </c>
      <c r="H79" s="6" t="n">
        <f aca="true">ROUND(RAND()*4+6,1)</f>
        <v>9.2</v>
      </c>
      <c r="I79" s="6" t="s">
        <v>25</v>
      </c>
      <c r="J79" s="6" t="str">
        <f aca="false">ROUND(86*1,0)&amp;"%"</f>
        <v>86%</v>
      </c>
    </row>
    <row r="80" customFormat="false" ht="15" hidden="false" customHeight="false" outlineLevel="0" collapsed="false">
      <c r="A80" s="5" t="s">
        <v>13106</v>
      </c>
      <c r="B80" s="5" t="s">
        <v>156</v>
      </c>
      <c r="C80" s="5" t="s">
        <v>152</v>
      </c>
      <c r="D80" s="5" t="s">
        <v>28</v>
      </c>
      <c r="E80" s="5" t="n">
        <f aca="false">ROUND(15375*1.05,2)</f>
        <v>16143.75</v>
      </c>
      <c r="F80" s="5" t="s">
        <v>29</v>
      </c>
      <c r="G80" s="5" t="s">
        <v>30</v>
      </c>
      <c r="H80" s="5" t="n">
        <f aca="true">ROUND(RAND()*4+6,1)</f>
        <v>9.1</v>
      </c>
      <c r="I80" s="5" t="s">
        <v>31</v>
      </c>
      <c r="J80" s="5" t="str">
        <f aca="false">ROUND(99*1,0)&amp;"%"</f>
        <v>99%</v>
      </c>
    </row>
    <row r="81" customFormat="false" ht="15" hidden="false" customHeight="false" outlineLevel="0" collapsed="false">
      <c r="A81" s="6" t="s">
        <v>13107</v>
      </c>
      <c r="B81" s="6" t="s">
        <v>158</v>
      </c>
      <c r="C81" s="6" t="s">
        <v>152</v>
      </c>
      <c r="D81" s="6" t="s">
        <v>34</v>
      </c>
      <c r="E81" s="6" t="n">
        <f aca="false">ROUND(12998*1.05,2)</f>
        <v>13647.9</v>
      </c>
      <c r="F81" s="6" t="s">
        <v>35</v>
      </c>
      <c r="G81" s="6" t="s">
        <v>18</v>
      </c>
      <c r="H81" s="6" t="n">
        <f aca="true">ROUND(RAND()*4+6,1)</f>
        <v>8.4</v>
      </c>
      <c r="I81" s="6" t="s">
        <v>36</v>
      </c>
      <c r="J81" s="6" t="str">
        <f aca="false">ROUND(74*1,0)&amp;"%"</f>
        <v>74%</v>
      </c>
    </row>
    <row r="82" customFormat="false" ht="15" hidden="false" customHeight="false" outlineLevel="0" collapsed="false">
      <c r="A82" s="5" t="s">
        <v>13108</v>
      </c>
      <c r="B82" s="5" t="s">
        <v>160</v>
      </c>
      <c r="C82" s="5" t="s">
        <v>152</v>
      </c>
      <c r="D82" s="5" t="s">
        <v>39</v>
      </c>
      <c r="E82" s="5" t="n">
        <f aca="false">ROUND(10113*1.05,2)</f>
        <v>10618.65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13109</v>
      </c>
      <c r="B83" s="6" t="s">
        <v>162</v>
      </c>
      <c r="C83" s="6" t="s">
        <v>152</v>
      </c>
      <c r="D83" s="6" t="s">
        <v>44</v>
      </c>
      <c r="E83" s="6" t="n">
        <f aca="false">ROUND(6089*1.05,2)</f>
        <v>6393.45</v>
      </c>
      <c r="F83" s="6" t="s">
        <v>45</v>
      </c>
      <c r="G83" s="6" t="s">
        <v>30</v>
      </c>
      <c r="H83" s="6" t="n">
        <f aca="true">ROUND(RAND()*4+6,1)</f>
        <v>7.2</v>
      </c>
      <c r="I83" s="6" t="s">
        <v>46</v>
      </c>
      <c r="J83" s="6" t="str">
        <f aca="false">ROUND(64*1,0)&amp;"%"</f>
        <v>64%</v>
      </c>
    </row>
    <row r="84" customFormat="false" ht="15" hidden="false" customHeight="false" outlineLevel="0" collapsed="false">
      <c r="A84" s="5" t="s">
        <v>13110</v>
      </c>
      <c r="B84" s="5" t="s">
        <v>164</v>
      </c>
      <c r="C84" s="5" t="s">
        <v>152</v>
      </c>
      <c r="D84" s="5" t="s">
        <v>16</v>
      </c>
      <c r="E84" s="5" t="n">
        <f aca="false">ROUND(6122*1.05,2)</f>
        <v>6428.1</v>
      </c>
      <c r="F84" s="5" t="s">
        <v>49</v>
      </c>
      <c r="G84" s="5" t="s">
        <v>18</v>
      </c>
      <c r="H84" s="5" t="n">
        <f aca="true">ROUND(RAND()*4+6,1)</f>
        <v>9</v>
      </c>
      <c r="I84" s="5" t="s">
        <v>19</v>
      </c>
      <c r="J84" s="5" t="str">
        <f aca="false">ROUND(80*1,0)&amp;"%"</f>
        <v>80%</v>
      </c>
    </row>
    <row r="85" customFormat="false" ht="15" hidden="false" customHeight="false" outlineLevel="0" collapsed="false">
      <c r="A85" s="6" t="s">
        <v>13111</v>
      </c>
      <c r="B85" s="6" t="s">
        <v>166</v>
      </c>
      <c r="C85" s="6" t="s">
        <v>152</v>
      </c>
      <c r="D85" s="6" t="s">
        <v>22</v>
      </c>
      <c r="E85" s="6" t="n">
        <f aca="false">ROUND(15264*1.05,2)</f>
        <v>16027.2</v>
      </c>
      <c r="F85" s="6" t="s">
        <v>52</v>
      </c>
      <c r="G85" s="6" t="s">
        <v>24</v>
      </c>
      <c r="H85" s="6" t="n">
        <f aca="true">ROUND(RAND()*4+6,1)</f>
        <v>8.9</v>
      </c>
      <c r="I85" s="6" t="s">
        <v>25</v>
      </c>
      <c r="J85" s="6" t="str">
        <f aca="false">ROUND(68*1,0)&amp;"%"</f>
        <v>68%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13112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13113</v>
      </c>
      <c r="B90" s="5" t="s">
        <v>170</v>
      </c>
      <c r="C90" s="5" t="s">
        <v>15</v>
      </c>
      <c r="D90" s="5" t="s">
        <v>16</v>
      </c>
      <c r="E90" s="5" t="n">
        <f aca="false">ROUND(12104*1.05,2)</f>
        <v>12709.2</v>
      </c>
      <c r="F90" s="5" t="s">
        <v>17</v>
      </c>
      <c r="G90" s="5" t="s">
        <v>18</v>
      </c>
      <c r="H90" s="5" t="n">
        <f aca="true">ROUND(RAND()*4+6,1)</f>
        <v>6.6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13114</v>
      </c>
      <c r="B91" s="6" t="s">
        <v>172</v>
      </c>
      <c r="C91" s="6" t="s">
        <v>15</v>
      </c>
      <c r="D91" s="6" t="s">
        <v>22</v>
      </c>
      <c r="E91" s="6" t="n">
        <f aca="false">ROUND(8432*1.05,2)</f>
        <v>8853.6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ROUND(64*1,0)&amp;"%"</f>
        <v>64%</v>
      </c>
    </row>
    <row r="92" customFormat="false" ht="15" hidden="false" customHeight="false" outlineLevel="0" collapsed="false">
      <c r="A92" s="5" t="s">
        <v>13115</v>
      </c>
      <c r="B92" s="5" t="s">
        <v>174</v>
      </c>
      <c r="C92" s="5" t="s">
        <v>15</v>
      </c>
      <c r="D92" s="5" t="s">
        <v>28</v>
      </c>
      <c r="E92" s="5" t="n">
        <f aca="false">ROUND(12766*1.05,2)</f>
        <v>13404.3</v>
      </c>
      <c r="F92" s="5" t="s">
        <v>29</v>
      </c>
      <c r="G92" s="5" t="s">
        <v>30</v>
      </c>
      <c r="H92" s="5" t="n">
        <f aca="true">ROUND(RAND()*4+6,1)</f>
        <v>6.4</v>
      </c>
      <c r="I92" s="5" t="s">
        <v>31</v>
      </c>
      <c r="J92" s="5" t="str">
        <f aca="false">ROUND(87*1,0)&amp;"%"</f>
        <v>87%</v>
      </c>
    </row>
    <row r="93" customFormat="false" ht="15" hidden="false" customHeight="false" outlineLevel="0" collapsed="false">
      <c r="A93" s="6" t="s">
        <v>13116</v>
      </c>
      <c r="B93" s="6" t="s">
        <v>176</v>
      </c>
      <c r="C93" s="6" t="s">
        <v>15</v>
      </c>
      <c r="D93" s="6" t="s">
        <v>34</v>
      </c>
      <c r="E93" s="6" t="n">
        <f aca="false">ROUND(13253*1.05,2)</f>
        <v>13915.65</v>
      </c>
      <c r="F93" s="6" t="s">
        <v>35</v>
      </c>
      <c r="G93" s="6" t="s">
        <v>18</v>
      </c>
      <c r="H93" s="6" t="n">
        <f aca="true">ROUND(RAND()*4+6,1)</f>
        <v>6.5</v>
      </c>
      <c r="I93" s="6" t="s">
        <v>36</v>
      </c>
      <c r="J93" s="6" t="str">
        <f aca="false">ROUND(90*1,0)&amp;"%"</f>
        <v>90%</v>
      </c>
    </row>
    <row r="94" customFormat="false" ht="15" hidden="false" customHeight="false" outlineLevel="0" collapsed="false">
      <c r="A94" s="5" t="s">
        <v>13117</v>
      </c>
      <c r="B94" s="5" t="s">
        <v>178</v>
      </c>
      <c r="C94" s="5" t="s">
        <v>15</v>
      </c>
      <c r="D94" s="5" t="s">
        <v>39</v>
      </c>
      <c r="E94" s="5" t="n">
        <f aca="false">ROUND(7571*1.05,2)</f>
        <v>7949.55</v>
      </c>
      <c r="F94" s="5" t="s">
        <v>40</v>
      </c>
      <c r="G94" s="5" t="s">
        <v>24</v>
      </c>
      <c r="H94" s="5" t="n">
        <f aca="true">ROUND(RAND()*4+6,1)</f>
        <v>8.8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13118</v>
      </c>
      <c r="B95" s="6" t="s">
        <v>180</v>
      </c>
      <c r="C95" s="6" t="s">
        <v>15</v>
      </c>
      <c r="D95" s="6" t="s">
        <v>44</v>
      </c>
      <c r="E95" s="6" t="n">
        <f aca="false">ROUND(16012*1.05,2)</f>
        <v>16812.6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ROUND(83*1,0)&amp;"%"</f>
        <v>83%</v>
      </c>
    </row>
    <row r="96" customFormat="false" ht="15" hidden="false" customHeight="false" outlineLevel="0" collapsed="false">
      <c r="A96" s="5" t="s">
        <v>13119</v>
      </c>
      <c r="B96" s="5" t="s">
        <v>182</v>
      </c>
      <c r="C96" s="5" t="s">
        <v>15</v>
      </c>
      <c r="D96" s="5" t="s">
        <v>16</v>
      </c>
      <c r="E96" s="5" t="n">
        <f aca="false">ROUND(4363*1.05,2)</f>
        <v>4581.15</v>
      </c>
      <c r="F96" s="5" t="s">
        <v>49</v>
      </c>
      <c r="G96" s="5" t="s">
        <v>18</v>
      </c>
      <c r="H96" s="5" t="n">
        <f aca="true">ROUND(RAND()*4+6,1)</f>
        <v>6</v>
      </c>
      <c r="I96" s="5" t="s">
        <v>19</v>
      </c>
      <c r="J96" s="5" t="str">
        <f aca="false">ROUND(95*1,0)&amp;"%"</f>
        <v>95%</v>
      </c>
    </row>
    <row r="97" customFormat="false" ht="15" hidden="false" customHeight="false" outlineLevel="0" collapsed="false">
      <c r="A97" s="6" t="s">
        <v>13120</v>
      </c>
      <c r="B97" s="6" t="s">
        <v>184</v>
      </c>
      <c r="C97" s="6" t="s">
        <v>15</v>
      </c>
      <c r="D97" s="6" t="s">
        <v>22</v>
      </c>
      <c r="E97" s="6" t="n">
        <f aca="false">ROUND(5549*1.05,2)</f>
        <v>5826.45</v>
      </c>
      <c r="F97" s="6" t="s">
        <v>52</v>
      </c>
      <c r="G97" s="6" t="s">
        <v>24</v>
      </c>
      <c r="H97" s="6" t="n">
        <f aca="true">ROUND(RAND()*4+6,1)</f>
        <v>6.4</v>
      </c>
      <c r="I97" s="6" t="s">
        <v>25</v>
      </c>
      <c r="J97" s="6" t="str">
        <f aca="false">ROUND(89*1,0)&amp;"%"</f>
        <v>89%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13121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13122</v>
      </c>
      <c r="B102" s="5" t="s">
        <v>188</v>
      </c>
      <c r="C102" s="5" t="s">
        <v>57</v>
      </c>
      <c r="D102" s="5" t="s">
        <v>16</v>
      </c>
      <c r="E102" s="5" t="n">
        <f aca="false">ROUND(15217*1.05,2)</f>
        <v>15977.85</v>
      </c>
      <c r="F102" s="5" t="s">
        <v>17</v>
      </c>
      <c r="G102" s="5" t="s">
        <v>18</v>
      </c>
      <c r="H102" s="5" t="n">
        <f aca="true">ROUND(RAND()*4+6,1)</f>
        <v>7.3</v>
      </c>
      <c r="I102" s="5" t="s">
        <v>19</v>
      </c>
      <c r="J102" s="5" t="str">
        <f aca="false">ROUND(85*1,0)&amp;"%"</f>
        <v>85%</v>
      </c>
    </row>
    <row r="103" customFormat="false" ht="15" hidden="false" customHeight="false" outlineLevel="0" collapsed="false">
      <c r="A103" s="6" t="s">
        <v>13123</v>
      </c>
      <c r="B103" s="6" t="s">
        <v>190</v>
      </c>
      <c r="C103" s="6" t="s">
        <v>57</v>
      </c>
      <c r="D103" s="6" t="s">
        <v>22</v>
      </c>
      <c r="E103" s="6" t="n">
        <f aca="false">ROUND(9804*1.05,2)</f>
        <v>10294.2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ROUND(68*1,0)&amp;"%"</f>
        <v>68%</v>
      </c>
    </row>
    <row r="104" customFormat="false" ht="15" hidden="false" customHeight="false" outlineLevel="0" collapsed="false">
      <c r="A104" s="5" t="s">
        <v>13124</v>
      </c>
      <c r="B104" s="5" t="s">
        <v>192</v>
      </c>
      <c r="C104" s="5" t="s">
        <v>57</v>
      </c>
      <c r="D104" s="5" t="s">
        <v>28</v>
      </c>
      <c r="E104" s="5" t="n">
        <f aca="false">ROUND(16127*1.05,2)</f>
        <v>16933.35</v>
      </c>
      <c r="F104" s="5" t="s">
        <v>29</v>
      </c>
      <c r="G104" s="5" t="s">
        <v>30</v>
      </c>
      <c r="H104" s="5" t="n">
        <f aca="true">ROUND(RAND()*4+6,1)</f>
        <v>7.5</v>
      </c>
      <c r="I104" s="5" t="s">
        <v>31</v>
      </c>
      <c r="J104" s="5" t="str">
        <f aca="false">ROUND(83*1,0)&amp;"%"</f>
        <v>83%</v>
      </c>
    </row>
    <row r="105" customFormat="false" ht="15" hidden="false" customHeight="false" outlineLevel="0" collapsed="false">
      <c r="A105" s="6" t="s">
        <v>13125</v>
      </c>
      <c r="B105" s="6" t="s">
        <v>194</v>
      </c>
      <c r="C105" s="6" t="s">
        <v>57</v>
      </c>
      <c r="D105" s="6" t="s">
        <v>34</v>
      </c>
      <c r="E105" s="6" t="n">
        <f aca="false">ROUND(7869*1.05,2)</f>
        <v>8262.45</v>
      </c>
      <c r="F105" s="6" t="s">
        <v>35</v>
      </c>
      <c r="G105" s="6" t="s">
        <v>18</v>
      </c>
      <c r="H105" s="6" t="n">
        <f aca="true">ROUND(RAND()*4+6,1)</f>
        <v>9.9</v>
      </c>
      <c r="I105" s="6" t="s">
        <v>36</v>
      </c>
      <c r="J105" s="6" t="str">
        <f aca="false">ROUND(63*1,0)&amp;"%"</f>
        <v>63%</v>
      </c>
    </row>
    <row r="106" customFormat="false" ht="15" hidden="false" customHeight="false" outlineLevel="0" collapsed="false">
      <c r="A106" s="5" t="s">
        <v>13126</v>
      </c>
      <c r="B106" s="5" t="s">
        <v>196</v>
      </c>
      <c r="C106" s="5" t="s">
        <v>57</v>
      </c>
      <c r="D106" s="5" t="s">
        <v>39</v>
      </c>
      <c r="E106" s="5" t="n">
        <f aca="false">ROUND(7456*1.05,2)</f>
        <v>7828.8</v>
      </c>
      <c r="F106" s="5" t="s">
        <v>40</v>
      </c>
      <c r="G106" s="5" t="s">
        <v>24</v>
      </c>
      <c r="H106" s="5" t="n">
        <f aca="true">ROUND(RAND()*4+6,1)</f>
        <v>9.8</v>
      </c>
      <c r="I106" s="5" t="s">
        <v>41</v>
      </c>
      <c r="J106" s="5" t="str">
        <f aca="false">ROUND(70*1,0)&amp;"%"</f>
        <v>70%</v>
      </c>
    </row>
    <row r="107" customFormat="false" ht="15" hidden="false" customHeight="false" outlineLevel="0" collapsed="false">
      <c r="A107" s="6" t="s">
        <v>13127</v>
      </c>
      <c r="B107" s="6" t="s">
        <v>198</v>
      </c>
      <c r="C107" s="6" t="s">
        <v>57</v>
      </c>
      <c r="D107" s="6" t="s">
        <v>44</v>
      </c>
      <c r="E107" s="6" t="n">
        <f aca="false">ROUND(16762*1.05,2)</f>
        <v>17600.1</v>
      </c>
      <c r="F107" s="6" t="s">
        <v>45</v>
      </c>
      <c r="G107" s="6" t="s">
        <v>30</v>
      </c>
      <c r="H107" s="6" t="n">
        <f aca="true">ROUND(RAND()*4+6,1)</f>
        <v>7.2</v>
      </c>
      <c r="I107" s="6" t="s">
        <v>46</v>
      </c>
      <c r="J107" s="6" t="str">
        <f aca="false">ROUND(83*1,0)&amp;"%"</f>
        <v>83%</v>
      </c>
    </row>
    <row r="108" customFormat="false" ht="15" hidden="false" customHeight="false" outlineLevel="0" collapsed="false">
      <c r="A108" s="5" t="s">
        <v>13128</v>
      </c>
      <c r="B108" s="5" t="s">
        <v>200</v>
      </c>
      <c r="C108" s="5" t="s">
        <v>57</v>
      </c>
      <c r="D108" s="5" t="s">
        <v>16</v>
      </c>
      <c r="E108" s="5" t="n">
        <f aca="false">ROUND(10372*1.05,2)</f>
        <v>10890.6</v>
      </c>
      <c r="F108" s="5" t="s">
        <v>49</v>
      </c>
      <c r="G108" s="5" t="s">
        <v>18</v>
      </c>
      <c r="H108" s="5" t="n">
        <f aca="true">ROUND(RAND()*4+6,1)</f>
        <v>8.1</v>
      </c>
      <c r="I108" s="5" t="s">
        <v>19</v>
      </c>
      <c r="J108" s="5" t="str">
        <f aca="false">ROUND(80*1,0)&amp;"%"</f>
        <v>80%</v>
      </c>
    </row>
    <row r="109" customFormat="false" ht="15" hidden="false" customHeight="false" outlineLevel="0" collapsed="false">
      <c r="A109" s="6" t="s">
        <v>13129</v>
      </c>
      <c r="B109" s="6" t="s">
        <v>202</v>
      </c>
      <c r="C109" s="6" t="s">
        <v>57</v>
      </c>
      <c r="D109" s="6" t="s">
        <v>22</v>
      </c>
      <c r="E109" s="6" t="n">
        <f aca="false">ROUND(6885*1.05,2)</f>
        <v>7229.25</v>
      </c>
      <c r="F109" s="6" t="s">
        <v>52</v>
      </c>
      <c r="G109" s="6" t="s">
        <v>24</v>
      </c>
      <c r="H109" s="6" t="n">
        <f aca="true">ROUND(RAND()*4+6,1)</f>
        <v>9.3</v>
      </c>
      <c r="I109" s="6" t="s">
        <v>25</v>
      </c>
      <c r="J109" s="6" t="str">
        <f aca="false">ROUND(91*1,0)&amp;"%"</f>
        <v>91%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13130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13131</v>
      </c>
      <c r="B114" s="5" t="s">
        <v>206</v>
      </c>
      <c r="C114" s="5" t="s">
        <v>76</v>
      </c>
      <c r="D114" s="5" t="s">
        <v>16</v>
      </c>
      <c r="E114" s="5" t="n">
        <f aca="false">ROUND(10390*1.05,2)</f>
        <v>10909.5</v>
      </c>
      <c r="F114" s="5" t="s">
        <v>17</v>
      </c>
      <c r="G114" s="5" t="s">
        <v>18</v>
      </c>
      <c r="H114" s="5" t="n">
        <f aca="true">ROUND(RAND()*4+6,1)</f>
        <v>8.2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13132</v>
      </c>
      <c r="B115" s="6" t="s">
        <v>208</v>
      </c>
      <c r="C115" s="6" t="s">
        <v>76</v>
      </c>
      <c r="D115" s="6" t="s">
        <v>22</v>
      </c>
      <c r="E115" s="6" t="n">
        <f aca="false">ROUND(17824*1.05,2)</f>
        <v>18715.2</v>
      </c>
      <c r="F115" s="6" t="s">
        <v>23</v>
      </c>
      <c r="G115" s="6" t="s">
        <v>24</v>
      </c>
      <c r="H115" s="6" t="n">
        <f aca="true">ROUND(RAND()*4+6,1)</f>
        <v>6.4</v>
      </c>
      <c r="I115" s="6" t="s">
        <v>25</v>
      </c>
      <c r="J115" s="6" t="str">
        <f aca="false">ROUND(96*1,0)&amp;"%"</f>
        <v>96%</v>
      </c>
    </row>
    <row r="116" customFormat="false" ht="15" hidden="false" customHeight="false" outlineLevel="0" collapsed="false">
      <c r="A116" s="5" t="s">
        <v>13133</v>
      </c>
      <c r="B116" s="5" t="s">
        <v>210</v>
      </c>
      <c r="C116" s="5" t="s">
        <v>76</v>
      </c>
      <c r="D116" s="5" t="s">
        <v>28</v>
      </c>
      <c r="E116" s="5" t="n">
        <f aca="false">ROUND(5721*1.05,2)</f>
        <v>6007.05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ROUND(100*1,0)&amp;"%"</f>
        <v>100%</v>
      </c>
    </row>
    <row r="117" customFormat="false" ht="15" hidden="false" customHeight="false" outlineLevel="0" collapsed="false">
      <c r="A117" s="6" t="s">
        <v>13134</v>
      </c>
      <c r="B117" s="6" t="s">
        <v>212</v>
      </c>
      <c r="C117" s="6" t="s">
        <v>76</v>
      </c>
      <c r="D117" s="6" t="s">
        <v>34</v>
      </c>
      <c r="E117" s="6" t="n">
        <f aca="false">ROUND(7271*1.05,2)</f>
        <v>7634.55</v>
      </c>
      <c r="F117" s="6" t="s">
        <v>35</v>
      </c>
      <c r="G117" s="6" t="s">
        <v>18</v>
      </c>
      <c r="H117" s="6" t="n">
        <f aca="true">ROUND(RAND()*4+6,1)</f>
        <v>8.5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13135</v>
      </c>
      <c r="B118" s="5" t="s">
        <v>214</v>
      </c>
      <c r="C118" s="5" t="s">
        <v>76</v>
      </c>
      <c r="D118" s="5" t="s">
        <v>39</v>
      </c>
      <c r="E118" s="5" t="n">
        <f aca="false">ROUND(15091*1.05,2)</f>
        <v>15845.55</v>
      </c>
      <c r="F118" s="5" t="s">
        <v>40</v>
      </c>
      <c r="G118" s="5" t="s">
        <v>24</v>
      </c>
      <c r="H118" s="5" t="n">
        <f aca="true">ROUND(RAND()*4+6,1)</f>
        <v>6.1</v>
      </c>
      <c r="I118" s="5" t="s">
        <v>41</v>
      </c>
      <c r="J118" s="5" t="str">
        <f aca="false">ROUND(69*1,0)&amp;"%"</f>
        <v>69%</v>
      </c>
    </row>
    <row r="119" customFormat="false" ht="15" hidden="false" customHeight="false" outlineLevel="0" collapsed="false">
      <c r="A119" s="6" t="s">
        <v>13136</v>
      </c>
      <c r="B119" s="6" t="s">
        <v>216</v>
      </c>
      <c r="C119" s="6" t="s">
        <v>76</v>
      </c>
      <c r="D119" s="6" t="s">
        <v>44</v>
      </c>
      <c r="E119" s="6" t="n">
        <f aca="false">ROUND(13801*1.05,2)</f>
        <v>14491.05</v>
      </c>
      <c r="F119" s="6" t="s">
        <v>45</v>
      </c>
      <c r="G119" s="6" t="s">
        <v>30</v>
      </c>
      <c r="H119" s="6" t="n">
        <f aca="true">ROUND(RAND()*4+6,1)</f>
        <v>7.1</v>
      </c>
      <c r="I119" s="6" t="s">
        <v>46</v>
      </c>
      <c r="J119" s="6" t="str">
        <f aca="false">ROUND(61*1,0)&amp;"%"</f>
        <v>61%</v>
      </c>
    </row>
    <row r="120" customFormat="false" ht="15" hidden="false" customHeight="false" outlineLevel="0" collapsed="false">
      <c r="A120" s="5" t="s">
        <v>13137</v>
      </c>
      <c r="B120" s="5" t="s">
        <v>218</v>
      </c>
      <c r="C120" s="5" t="s">
        <v>76</v>
      </c>
      <c r="D120" s="5" t="s">
        <v>16</v>
      </c>
      <c r="E120" s="5" t="n">
        <f aca="false">ROUND(17924*1.05,2)</f>
        <v>18820.2</v>
      </c>
      <c r="F120" s="5" t="s">
        <v>49</v>
      </c>
      <c r="G120" s="5" t="s">
        <v>18</v>
      </c>
      <c r="H120" s="5" t="n">
        <f aca="true">ROUND(RAND()*4+6,1)</f>
        <v>7.8</v>
      </c>
      <c r="I120" s="5" t="s">
        <v>19</v>
      </c>
      <c r="J120" s="5" t="str">
        <f aca="false">ROUND(74*1,0)&amp;"%"</f>
        <v>74%</v>
      </c>
    </row>
    <row r="121" customFormat="false" ht="15" hidden="false" customHeight="false" outlineLevel="0" collapsed="false">
      <c r="A121" s="6" t="s">
        <v>13138</v>
      </c>
      <c r="B121" s="6" t="s">
        <v>220</v>
      </c>
      <c r="C121" s="6" t="s">
        <v>76</v>
      </c>
      <c r="D121" s="6" t="s">
        <v>22</v>
      </c>
      <c r="E121" s="6" t="n">
        <f aca="false">ROUND(11477*1.05,2)</f>
        <v>12050.85</v>
      </c>
      <c r="F121" s="6" t="s">
        <v>52</v>
      </c>
      <c r="G121" s="6" t="s">
        <v>24</v>
      </c>
      <c r="H121" s="6" t="n">
        <f aca="true">ROUND(RAND()*4+6,1)</f>
        <v>9.4</v>
      </c>
      <c r="I121" s="6" t="s">
        <v>25</v>
      </c>
      <c r="J121" s="6" t="str">
        <f aca="false">ROUND(84*1,0)&amp;"%"</f>
        <v>84%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13139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13140</v>
      </c>
      <c r="B126" s="5" t="s">
        <v>224</v>
      </c>
      <c r="C126" s="5" t="s">
        <v>95</v>
      </c>
      <c r="D126" s="5" t="s">
        <v>16</v>
      </c>
      <c r="E126" s="5" t="n">
        <f aca="false">ROUND(6761*1.05,2)</f>
        <v>7099.05</v>
      </c>
      <c r="F126" s="5" t="s">
        <v>17</v>
      </c>
      <c r="G126" s="5" t="s">
        <v>18</v>
      </c>
      <c r="H126" s="5" t="n">
        <f aca="true">ROUND(RAND()*4+6,1)</f>
        <v>8.8</v>
      </c>
      <c r="I126" s="5" t="s">
        <v>19</v>
      </c>
      <c r="J126" s="5" t="str">
        <f aca="false">ROUND(77*1,0)&amp;"%"</f>
        <v>77%</v>
      </c>
    </row>
    <row r="127" customFormat="false" ht="15" hidden="false" customHeight="false" outlineLevel="0" collapsed="false">
      <c r="A127" s="6" t="s">
        <v>13141</v>
      </c>
      <c r="B127" s="6" t="s">
        <v>226</v>
      </c>
      <c r="C127" s="6" t="s">
        <v>95</v>
      </c>
      <c r="D127" s="6" t="s">
        <v>22</v>
      </c>
      <c r="E127" s="6" t="n">
        <f aca="false">ROUND(7685*1.05,2)</f>
        <v>8069.25</v>
      </c>
      <c r="F127" s="6" t="s">
        <v>23</v>
      </c>
      <c r="G127" s="6" t="s">
        <v>24</v>
      </c>
      <c r="H127" s="6" t="n">
        <f aca="true">ROUND(RAND()*4+6,1)</f>
        <v>7</v>
      </c>
      <c r="I127" s="6" t="s">
        <v>25</v>
      </c>
      <c r="J127" s="6" t="str">
        <f aca="false">ROUND(92*1,0)&amp;"%"</f>
        <v>92%</v>
      </c>
    </row>
    <row r="128" customFormat="false" ht="15" hidden="false" customHeight="false" outlineLevel="0" collapsed="false">
      <c r="A128" s="5" t="s">
        <v>13142</v>
      </c>
      <c r="B128" s="5" t="s">
        <v>228</v>
      </c>
      <c r="C128" s="5" t="s">
        <v>95</v>
      </c>
      <c r="D128" s="5" t="s">
        <v>28</v>
      </c>
      <c r="E128" s="5" t="n">
        <f aca="false">ROUND(16794*1.05,2)</f>
        <v>17633.7</v>
      </c>
      <c r="F128" s="5" t="s">
        <v>29</v>
      </c>
      <c r="G128" s="5" t="s">
        <v>30</v>
      </c>
      <c r="H128" s="5" t="n">
        <f aca="true">ROUND(RAND()*4+6,1)</f>
        <v>7.1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13143</v>
      </c>
      <c r="B129" s="6" t="s">
        <v>230</v>
      </c>
      <c r="C129" s="6" t="s">
        <v>95</v>
      </c>
      <c r="D129" s="6" t="s">
        <v>34</v>
      </c>
      <c r="E129" s="6" t="n">
        <f aca="false">ROUND(12917*1.05,2)</f>
        <v>13562.85</v>
      </c>
      <c r="F129" s="6" t="s">
        <v>35</v>
      </c>
      <c r="G129" s="6" t="s">
        <v>18</v>
      </c>
      <c r="H129" s="6" t="n">
        <f aca="true">ROUND(RAND()*4+6,1)</f>
        <v>6.3</v>
      </c>
      <c r="I129" s="6" t="s">
        <v>36</v>
      </c>
      <c r="J129" s="6" t="str">
        <f aca="false">ROUND(95*1,0)&amp;"%"</f>
        <v>95%</v>
      </c>
    </row>
    <row r="130" customFormat="false" ht="15" hidden="false" customHeight="false" outlineLevel="0" collapsed="false">
      <c r="A130" s="5" t="s">
        <v>13144</v>
      </c>
      <c r="B130" s="5" t="s">
        <v>232</v>
      </c>
      <c r="C130" s="5" t="s">
        <v>95</v>
      </c>
      <c r="D130" s="5" t="s">
        <v>39</v>
      </c>
      <c r="E130" s="5" t="n">
        <f aca="false">ROUND(10373*1.05,2)</f>
        <v>10891.65</v>
      </c>
      <c r="F130" s="5" t="s">
        <v>40</v>
      </c>
      <c r="G130" s="5" t="s">
        <v>24</v>
      </c>
      <c r="H130" s="5" t="n">
        <f aca="true">ROUND(RAND()*4+6,1)</f>
        <v>7.7</v>
      </c>
      <c r="I130" s="5" t="s">
        <v>41</v>
      </c>
      <c r="J130" s="5" t="str">
        <f aca="false">ROUND(72*1,0)&amp;"%"</f>
        <v>72%</v>
      </c>
    </row>
    <row r="131" customFormat="false" ht="15" hidden="false" customHeight="false" outlineLevel="0" collapsed="false">
      <c r="A131" s="6" t="s">
        <v>13145</v>
      </c>
      <c r="B131" s="6" t="s">
        <v>234</v>
      </c>
      <c r="C131" s="6" t="s">
        <v>95</v>
      </c>
      <c r="D131" s="6" t="s">
        <v>44</v>
      </c>
      <c r="E131" s="6" t="n">
        <f aca="false">ROUND(5028*1.05,2)</f>
        <v>5279.4</v>
      </c>
      <c r="F131" s="6" t="s">
        <v>45</v>
      </c>
      <c r="G131" s="6" t="s">
        <v>30</v>
      </c>
      <c r="H131" s="6" t="n">
        <f aca="true">ROUND(RAND()*4+6,1)</f>
        <v>6.7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13146</v>
      </c>
      <c r="B132" s="5" t="s">
        <v>236</v>
      </c>
      <c r="C132" s="5" t="s">
        <v>95</v>
      </c>
      <c r="D132" s="5" t="s">
        <v>16</v>
      </c>
      <c r="E132" s="5" t="n">
        <f aca="false">ROUND(15085*1.05,2)</f>
        <v>15839.25</v>
      </c>
      <c r="F132" s="5" t="s">
        <v>49</v>
      </c>
      <c r="G132" s="5" t="s">
        <v>18</v>
      </c>
      <c r="H132" s="5" t="n">
        <f aca="true">ROUND(RAND()*4+6,1)</f>
        <v>8.7</v>
      </c>
      <c r="I132" s="5" t="s">
        <v>19</v>
      </c>
      <c r="J132" s="5" t="str">
        <f aca="false">ROUND(73*1,0)&amp;"%"</f>
        <v>73%</v>
      </c>
    </row>
    <row r="133" customFormat="false" ht="15" hidden="false" customHeight="false" outlineLevel="0" collapsed="false">
      <c r="A133" s="6" t="s">
        <v>13147</v>
      </c>
      <c r="B133" s="6" t="s">
        <v>238</v>
      </c>
      <c r="C133" s="6" t="s">
        <v>95</v>
      </c>
      <c r="D133" s="6" t="s">
        <v>22</v>
      </c>
      <c r="E133" s="6" t="n">
        <f aca="false">ROUND(16178*1.05,2)</f>
        <v>16986.9</v>
      </c>
      <c r="F133" s="6" t="s">
        <v>52</v>
      </c>
      <c r="G133" s="6" t="s">
        <v>24</v>
      </c>
      <c r="H133" s="6" t="n">
        <f aca="true">ROUND(RAND()*4+6,1)</f>
        <v>10</v>
      </c>
      <c r="I133" s="6" t="s">
        <v>25</v>
      </c>
      <c r="J133" s="6" t="str">
        <f aca="false">ROUND(75*1,0)&amp;"%"</f>
        <v>75%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13148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13149</v>
      </c>
      <c r="B138" s="5" t="s">
        <v>242</v>
      </c>
      <c r="C138" s="5" t="s">
        <v>114</v>
      </c>
      <c r="D138" s="5" t="s">
        <v>16</v>
      </c>
      <c r="E138" s="5" t="n">
        <f aca="false">ROUND(16694*1.05,2)</f>
        <v>17528.7</v>
      </c>
      <c r="F138" s="5" t="s">
        <v>17</v>
      </c>
      <c r="G138" s="5" t="s">
        <v>18</v>
      </c>
      <c r="H138" s="5" t="n">
        <f aca="true">ROUND(RAND()*4+6,1)</f>
        <v>7</v>
      </c>
      <c r="I138" s="5" t="s">
        <v>19</v>
      </c>
      <c r="J138" s="5" t="str">
        <f aca="false">ROUND(75*1,0)&amp;"%"</f>
        <v>75%</v>
      </c>
    </row>
    <row r="139" customFormat="false" ht="15" hidden="false" customHeight="false" outlineLevel="0" collapsed="false">
      <c r="A139" s="6" t="s">
        <v>13150</v>
      </c>
      <c r="B139" s="6" t="s">
        <v>244</v>
      </c>
      <c r="C139" s="6" t="s">
        <v>114</v>
      </c>
      <c r="D139" s="6" t="s">
        <v>22</v>
      </c>
      <c r="E139" s="6" t="n">
        <f aca="false">ROUND(5832*1.05,2)</f>
        <v>6123.6</v>
      </c>
      <c r="F139" s="6" t="s">
        <v>23</v>
      </c>
      <c r="G139" s="6" t="s">
        <v>24</v>
      </c>
      <c r="H139" s="6" t="n">
        <f aca="true">ROUND(RAND()*4+6,1)</f>
        <v>6.5</v>
      </c>
      <c r="I139" s="6" t="s">
        <v>25</v>
      </c>
      <c r="J139" s="6" t="str">
        <f aca="false">ROUND(87*1,0)&amp;"%"</f>
        <v>87%</v>
      </c>
    </row>
    <row r="140" customFormat="false" ht="15" hidden="false" customHeight="false" outlineLevel="0" collapsed="false">
      <c r="A140" s="5" t="s">
        <v>13151</v>
      </c>
      <c r="B140" s="5" t="s">
        <v>246</v>
      </c>
      <c r="C140" s="5" t="s">
        <v>114</v>
      </c>
      <c r="D140" s="5" t="s">
        <v>28</v>
      </c>
      <c r="E140" s="5" t="n">
        <f aca="false">ROUND(5091*1.05,2)</f>
        <v>5345.55</v>
      </c>
      <c r="F140" s="5" t="s">
        <v>29</v>
      </c>
      <c r="G140" s="5" t="s">
        <v>30</v>
      </c>
      <c r="H140" s="5" t="n">
        <f aca="true">ROUND(RAND()*4+6,1)</f>
        <v>8.9</v>
      </c>
      <c r="I140" s="5" t="s">
        <v>31</v>
      </c>
      <c r="J140" s="5" t="str">
        <f aca="false">ROUND(84*1,0)&amp;"%"</f>
        <v>84%</v>
      </c>
    </row>
    <row r="141" customFormat="false" ht="15" hidden="false" customHeight="false" outlineLevel="0" collapsed="false">
      <c r="A141" s="6" t="s">
        <v>13152</v>
      </c>
      <c r="B141" s="6" t="s">
        <v>248</v>
      </c>
      <c r="C141" s="6" t="s">
        <v>114</v>
      </c>
      <c r="D141" s="6" t="s">
        <v>34</v>
      </c>
      <c r="E141" s="6" t="n">
        <f aca="false">ROUND(8973*1.05,2)</f>
        <v>9421.65</v>
      </c>
      <c r="F141" s="6" t="s">
        <v>35</v>
      </c>
      <c r="G141" s="6" t="s">
        <v>18</v>
      </c>
      <c r="H141" s="6" t="n">
        <f aca="true">ROUND(RAND()*4+6,1)</f>
        <v>6.5</v>
      </c>
      <c r="I141" s="6" t="s">
        <v>36</v>
      </c>
      <c r="J141" s="6" t="str">
        <f aca="false">ROUND(93*1,0)&amp;"%"</f>
        <v>93%</v>
      </c>
    </row>
    <row r="142" customFormat="false" ht="15" hidden="false" customHeight="false" outlineLevel="0" collapsed="false">
      <c r="A142" s="5" t="s">
        <v>13153</v>
      </c>
      <c r="B142" s="5" t="s">
        <v>250</v>
      </c>
      <c r="C142" s="5" t="s">
        <v>114</v>
      </c>
      <c r="D142" s="5" t="s">
        <v>39</v>
      </c>
      <c r="E142" s="5" t="n">
        <f aca="false">ROUND(12181*1.05,2)</f>
        <v>12790.05</v>
      </c>
      <c r="F142" s="5" t="s">
        <v>40</v>
      </c>
      <c r="G142" s="5" t="s">
        <v>24</v>
      </c>
      <c r="H142" s="5" t="n">
        <f aca="true">ROUND(RAND()*4+6,1)</f>
        <v>8.7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13154</v>
      </c>
      <c r="B143" s="6" t="s">
        <v>252</v>
      </c>
      <c r="C143" s="6" t="s">
        <v>114</v>
      </c>
      <c r="D143" s="6" t="s">
        <v>44</v>
      </c>
      <c r="E143" s="6" t="n">
        <f aca="false">ROUND(11019*1.05,2)</f>
        <v>11569.95</v>
      </c>
      <c r="F143" s="6" t="s">
        <v>45</v>
      </c>
      <c r="G143" s="6" t="s">
        <v>30</v>
      </c>
      <c r="H143" s="6" t="n">
        <f aca="true">ROUND(RAND()*4+6,1)</f>
        <v>8.5</v>
      </c>
      <c r="I143" s="6" t="s">
        <v>46</v>
      </c>
      <c r="J143" s="6" t="str">
        <f aca="false">ROUND(100*1,0)&amp;"%"</f>
        <v>100%</v>
      </c>
    </row>
    <row r="144" customFormat="false" ht="15" hidden="false" customHeight="false" outlineLevel="0" collapsed="false">
      <c r="A144" s="5" t="s">
        <v>13155</v>
      </c>
      <c r="B144" s="5" t="s">
        <v>254</v>
      </c>
      <c r="C144" s="5" t="s">
        <v>114</v>
      </c>
      <c r="D144" s="5" t="s">
        <v>16</v>
      </c>
      <c r="E144" s="5" t="n">
        <f aca="false">ROUND(9434*1.05,2)</f>
        <v>9905.7</v>
      </c>
      <c r="F144" s="5" t="s">
        <v>49</v>
      </c>
      <c r="G144" s="5" t="s">
        <v>18</v>
      </c>
      <c r="H144" s="5" t="n">
        <f aca="true">ROUND(RAND()*4+6,1)</f>
        <v>9.6</v>
      </c>
      <c r="I144" s="5" t="s">
        <v>19</v>
      </c>
      <c r="J144" s="5" t="str">
        <f aca="false">ROUND(79*1,0)&amp;"%"</f>
        <v>79%</v>
      </c>
    </row>
    <row r="145" customFormat="false" ht="15" hidden="false" customHeight="false" outlineLevel="0" collapsed="false">
      <c r="A145" s="6" t="s">
        <v>13156</v>
      </c>
      <c r="B145" s="6" t="s">
        <v>256</v>
      </c>
      <c r="C145" s="6" t="s">
        <v>114</v>
      </c>
      <c r="D145" s="6" t="s">
        <v>22</v>
      </c>
      <c r="E145" s="6" t="n">
        <f aca="false">ROUND(15784*1.05,2)</f>
        <v>16573.2</v>
      </c>
      <c r="F145" s="6" t="s">
        <v>52</v>
      </c>
      <c r="G145" s="6" t="s">
        <v>24</v>
      </c>
      <c r="H145" s="6" t="n">
        <f aca="true">ROUND(RAND()*4+6,1)</f>
        <v>9.1</v>
      </c>
      <c r="I145" s="6" t="s">
        <v>25</v>
      </c>
      <c r="J145" s="6" t="str">
        <f aca="false">ROUND(98*1,0)&amp;"%"</f>
        <v>98%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13157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13158</v>
      </c>
      <c r="B150" s="5" t="s">
        <v>260</v>
      </c>
      <c r="C150" s="5" t="s">
        <v>133</v>
      </c>
      <c r="D150" s="5" t="s">
        <v>16</v>
      </c>
      <c r="E150" s="5" t="n">
        <f aca="false">ROUND(6208*1.05,2)</f>
        <v>6518.4</v>
      </c>
      <c r="F150" s="5" t="s">
        <v>17</v>
      </c>
      <c r="G150" s="5" t="s">
        <v>18</v>
      </c>
      <c r="H150" s="5" t="n">
        <f aca="true">ROUND(RAND()*4+6,1)</f>
        <v>7.7</v>
      </c>
      <c r="I150" s="5" t="s">
        <v>19</v>
      </c>
      <c r="J150" s="5" t="str">
        <f aca="false">ROUND(77*1,0)&amp;"%"</f>
        <v>77%</v>
      </c>
    </row>
    <row r="151" customFormat="false" ht="15" hidden="false" customHeight="false" outlineLevel="0" collapsed="false">
      <c r="A151" s="6" t="s">
        <v>13159</v>
      </c>
      <c r="B151" s="6" t="s">
        <v>262</v>
      </c>
      <c r="C151" s="6" t="s">
        <v>133</v>
      </c>
      <c r="D151" s="6" t="s">
        <v>22</v>
      </c>
      <c r="E151" s="6" t="n">
        <f aca="false">ROUND(14301*1.05,2)</f>
        <v>15016.05</v>
      </c>
      <c r="F151" s="6" t="s">
        <v>23</v>
      </c>
      <c r="G151" s="6" t="s">
        <v>24</v>
      </c>
      <c r="H151" s="6" t="n">
        <f aca="true">ROUND(RAND()*4+6,1)</f>
        <v>8</v>
      </c>
      <c r="I151" s="6" t="s">
        <v>25</v>
      </c>
      <c r="J151" s="6" t="str">
        <f aca="false">ROUND(82*1,0)&amp;"%"</f>
        <v>82%</v>
      </c>
    </row>
    <row r="152" customFormat="false" ht="15" hidden="false" customHeight="false" outlineLevel="0" collapsed="false">
      <c r="A152" s="5" t="s">
        <v>13160</v>
      </c>
      <c r="B152" s="5" t="s">
        <v>264</v>
      </c>
      <c r="C152" s="5" t="s">
        <v>133</v>
      </c>
      <c r="D152" s="5" t="s">
        <v>28</v>
      </c>
      <c r="E152" s="5" t="n">
        <f aca="false">ROUND(6329*1.05,2)</f>
        <v>6645.45</v>
      </c>
      <c r="F152" s="5" t="s">
        <v>29</v>
      </c>
      <c r="G152" s="5" t="s">
        <v>30</v>
      </c>
      <c r="H152" s="5" t="n">
        <f aca="true">ROUND(RAND()*4+6,1)</f>
        <v>8</v>
      </c>
      <c r="I152" s="5" t="s">
        <v>31</v>
      </c>
      <c r="J152" s="5" t="str">
        <f aca="false">ROUND(66*1,0)&amp;"%"</f>
        <v>66%</v>
      </c>
    </row>
    <row r="153" customFormat="false" ht="15" hidden="false" customHeight="false" outlineLevel="0" collapsed="false">
      <c r="A153" s="6" t="s">
        <v>13161</v>
      </c>
      <c r="B153" s="6" t="s">
        <v>266</v>
      </c>
      <c r="C153" s="6" t="s">
        <v>133</v>
      </c>
      <c r="D153" s="6" t="s">
        <v>34</v>
      </c>
      <c r="E153" s="6" t="n">
        <f aca="false">ROUND(8905*1.05,2)</f>
        <v>9350.25</v>
      </c>
      <c r="F153" s="6" t="s">
        <v>35</v>
      </c>
      <c r="G153" s="6" t="s">
        <v>18</v>
      </c>
      <c r="H153" s="6" t="n">
        <f aca="true">ROUND(RAND()*4+6,1)</f>
        <v>9.3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13162</v>
      </c>
      <c r="B154" s="5" t="s">
        <v>268</v>
      </c>
      <c r="C154" s="5" t="s">
        <v>133</v>
      </c>
      <c r="D154" s="5" t="s">
        <v>39</v>
      </c>
      <c r="E154" s="5" t="n">
        <f aca="false">ROUND(6013*1.05,2)</f>
        <v>6313.65</v>
      </c>
      <c r="F154" s="5" t="s">
        <v>40</v>
      </c>
      <c r="G154" s="5" t="s">
        <v>24</v>
      </c>
      <c r="H154" s="5" t="n">
        <f aca="true">ROUND(RAND()*4+6,1)</f>
        <v>6.8</v>
      </c>
      <c r="I154" s="5" t="s">
        <v>41</v>
      </c>
      <c r="J154" s="5" t="str">
        <f aca="false">ROUND(81*1,0)&amp;"%"</f>
        <v>81%</v>
      </c>
    </row>
    <row r="155" customFormat="false" ht="15" hidden="false" customHeight="false" outlineLevel="0" collapsed="false">
      <c r="A155" s="6" t="s">
        <v>13163</v>
      </c>
      <c r="B155" s="6" t="s">
        <v>270</v>
      </c>
      <c r="C155" s="6" t="s">
        <v>133</v>
      </c>
      <c r="D155" s="6" t="s">
        <v>44</v>
      </c>
      <c r="E155" s="6" t="n">
        <f aca="false">ROUND(6580*1.05,2)</f>
        <v>6909</v>
      </c>
      <c r="F155" s="6" t="s">
        <v>45</v>
      </c>
      <c r="G155" s="6" t="s">
        <v>30</v>
      </c>
      <c r="H155" s="6" t="n">
        <f aca="true">ROUND(RAND()*4+6,1)</f>
        <v>9.3</v>
      </c>
      <c r="I155" s="6" t="s">
        <v>46</v>
      </c>
      <c r="J155" s="6" t="str">
        <f aca="false">ROUND(79*1,0)&amp;"%"</f>
        <v>79%</v>
      </c>
    </row>
    <row r="156" customFormat="false" ht="15" hidden="false" customHeight="false" outlineLevel="0" collapsed="false">
      <c r="A156" s="5" t="s">
        <v>13164</v>
      </c>
      <c r="B156" s="5" t="s">
        <v>272</v>
      </c>
      <c r="C156" s="5" t="s">
        <v>133</v>
      </c>
      <c r="D156" s="5" t="s">
        <v>16</v>
      </c>
      <c r="E156" s="5" t="n">
        <f aca="false">ROUND(15772*1.05,2)</f>
        <v>16560.6</v>
      </c>
      <c r="F156" s="5" t="s">
        <v>49</v>
      </c>
      <c r="G156" s="5" t="s">
        <v>18</v>
      </c>
      <c r="H156" s="5" t="n">
        <f aca="true">ROUND(RAND()*4+6,1)</f>
        <v>8.2</v>
      </c>
      <c r="I156" s="5" t="s">
        <v>19</v>
      </c>
      <c r="J156" s="5" t="str">
        <f aca="false">ROUND(93*1,0)&amp;"%"</f>
        <v>93%</v>
      </c>
    </row>
    <row r="157" customFormat="false" ht="15" hidden="false" customHeight="false" outlineLevel="0" collapsed="false">
      <c r="A157" s="6" t="s">
        <v>13165</v>
      </c>
      <c r="B157" s="6" t="s">
        <v>274</v>
      </c>
      <c r="C157" s="6" t="s">
        <v>133</v>
      </c>
      <c r="D157" s="6" t="s">
        <v>22</v>
      </c>
      <c r="E157" s="6" t="n">
        <f aca="false">ROUND(12587*1.05,2)</f>
        <v>13216.35</v>
      </c>
      <c r="F157" s="6" t="s">
        <v>52</v>
      </c>
      <c r="G157" s="6" t="s">
        <v>24</v>
      </c>
      <c r="H157" s="6" t="n">
        <f aca="true">ROUND(RAND()*4+6,1)</f>
        <v>6.5</v>
      </c>
      <c r="I157" s="6" t="s">
        <v>25</v>
      </c>
      <c r="J157" s="6" t="str">
        <f aca="false">ROUND(87*1,0)&amp;"%"</f>
        <v>87%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13166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13167</v>
      </c>
      <c r="B162" s="5" t="s">
        <v>278</v>
      </c>
      <c r="C162" s="5" t="s">
        <v>152</v>
      </c>
      <c r="D162" s="5" t="s">
        <v>16</v>
      </c>
      <c r="E162" s="5" t="n">
        <f aca="false">ROUND(8428*1.05,2)</f>
        <v>8849.4</v>
      </c>
      <c r="F162" s="5" t="s">
        <v>17</v>
      </c>
      <c r="G162" s="5" t="s">
        <v>18</v>
      </c>
      <c r="H162" s="5" t="n">
        <f aca="true">ROUND(RAND()*4+6,1)</f>
        <v>6.2</v>
      </c>
      <c r="I162" s="5" t="s">
        <v>19</v>
      </c>
      <c r="J162" s="5" t="str">
        <f aca="false">ROUND(87*1,0)&amp;"%"</f>
        <v>87%</v>
      </c>
    </row>
    <row r="163" customFormat="false" ht="15" hidden="false" customHeight="false" outlineLevel="0" collapsed="false">
      <c r="A163" s="6" t="s">
        <v>13168</v>
      </c>
      <c r="B163" s="6" t="s">
        <v>280</v>
      </c>
      <c r="C163" s="6" t="s">
        <v>152</v>
      </c>
      <c r="D163" s="6" t="s">
        <v>22</v>
      </c>
      <c r="E163" s="6" t="n">
        <f aca="false">ROUND(6690*1.05,2)</f>
        <v>7024.5</v>
      </c>
      <c r="F163" s="6" t="s">
        <v>23</v>
      </c>
      <c r="G163" s="6" t="s">
        <v>24</v>
      </c>
      <c r="H163" s="6" t="n">
        <f aca="true">ROUND(RAND()*4+6,1)</f>
        <v>7.9</v>
      </c>
      <c r="I163" s="6" t="s">
        <v>25</v>
      </c>
      <c r="J163" s="6" t="str">
        <f aca="false">ROUND(76*1,0)&amp;"%"</f>
        <v>76%</v>
      </c>
    </row>
    <row r="164" customFormat="false" ht="15" hidden="false" customHeight="false" outlineLevel="0" collapsed="false">
      <c r="A164" s="5" t="s">
        <v>13169</v>
      </c>
      <c r="B164" s="5" t="s">
        <v>282</v>
      </c>
      <c r="C164" s="5" t="s">
        <v>152</v>
      </c>
      <c r="D164" s="5" t="s">
        <v>28</v>
      </c>
      <c r="E164" s="5" t="n">
        <f aca="false">ROUND(12226*1.05,2)</f>
        <v>12837.3</v>
      </c>
      <c r="F164" s="5" t="s">
        <v>29</v>
      </c>
      <c r="G164" s="5" t="s">
        <v>30</v>
      </c>
      <c r="H164" s="5" t="n">
        <f aca="true">ROUND(RAND()*4+6,1)</f>
        <v>7.4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13170</v>
      </c>
      <c r="B165" s="6" t="s">
        <v>284</v>
      </c>
      <c r="C165" s="6" t="s">
        <v>152</v>
      </c>
      <c r="D165" s="6" t="s">
        <v>34</v>
      </c>
      <c r="E165" s="6" t="n">
        <f aca="false">ROUND(15320*1.05,2)</f>
        <v>16086</v>
      </c>
      <c r="F165" s="6" t="s">
        <v>35</v>
      </c>
      <c r="G165" s="6" t="s">
        <v>18</v>
      </c>
      <c r="H165" s="6" t="n">
        <f aca="true">ROUND(RAND()*4+6,1)</f>
        <v>7.1</v>
      </c>
      <c r="I165" s="6" t="s">
        <v>36</v>
      </c>
      <c r="J165" s="6" t="str">
        <f aca="false">ROUND(79*1,0)&amp;"%"</f>
        <v>79%</v>
      </c>
    </row>
    <row r="166" customFormat="false" ht="15" hidden="false" customHeight="false" outlineLevel="0" collapsed="false">
      <c r="A166" s="5" t="s">
        <v>13171</v>
      </c>
      <c r="B166" s="5" t="s">
        <v>286</v>
      </c>
      <c r="C166" s="5" t="s">
        <v>152</v>
      </c>
      <c r="D166" s="5" t="s">
        <v>39</v>
      </c>
      <c r="E166" s="5" t="n">
        <f aca="false">ROUND(12322*1.05,2)</f>
        <v>12938.1</v>
      </c>
      <c r="F166" s="5" t="s">
        <v>40</v>
      </c>
      <c r="G166" s="5" t="s">
        <v>24</v>
      </c>
      <c r="H166" s="5" t="n">
        <f aca="true">ROUND(RAND()*4+6,1)</f>
        <v>6.7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13172</v>
      </c>
      <c r="B167" s="6" t="s">
        <v>288</v>
      </c>
      <c r="C167" s="6" t="s">
        <v>152</v>
      </c>
      <c r="D167" s="6" t="s">
        <v>44</v>
      </c>
      <c r="E167" s="6" t="n">
        <f aca="false">ROUND(16729*1.05,2)</f>
        <v>17565.45</v>
      </c>
      <c r="F167" s="6" t="s">
        <v>45</v>
      </c>
      <c r="G167" s="6" t="s">
        <v>30</v>
      </c>
      <c r="H167" s="6" t="n">
        <f aca="true">ROUND(RAND()*4+6,1)</f>
        <v>8.3</v>
      </c>
      <c r="I167" s="6" t="s">
        <v>46</v>
      </c>
      <c r="J167" s="6" t="str">
        <f aca="false">ROUND(66*1,0)&amp;"%"</f>
        <v>66%</v>
      </c>
    </row>
    <row r="168" customFormat="false" ht="15" hidden="false" customHeight="false" outlineLevel="0" collapsed="false">
      <c r="A168" s="5" t="s">
        <v>13173</v>
      </c>
      <c r="B168" s="5" t="s">
        <v>290</v>
      </c>
      <c r="C168" s="5" t="s">
        <v>152</v>
      </c>
      <c r="D168" s="5" t="s">
        <v>16</v>
      </c>
      <c r="E168" s="5" t="n">
        <f aca="false">ROUND(14240*1.05,2)</f>
        <v>14952</v>
      </c>
      <c r="F168" s="5" t="s">
        <v>49</v>
      </c>
      <c r="G168" s="5" t="s">
        <v>18</v>
      </c>
      <c r="H168" s="5" t="n">
        <f aca="true">ROUND(RAND()*4+6,1)</f>
        <v>7.1</v>
      </c>
      <c r="I168" s="5" t="s">
        <v>19</v>
      </c>
      <c r="J168" s="5" t="str">
        <f aca="false">ROUND(68*1,0)&amp;"%"</f>
        <v>68%</v>
      </c>
    </row>
    <row r="169" customFormat="false" ht="15" hidden="false" customHeight="false" outlineLevel="0" collapsed="false">
      <c r="A169" s="6" t="s">
        <v>13174</v>
      </c>
      <c r="B169" s="6" t="s">
        <v>292</v>
      </c>
      <c r="C169" s="6" t="s">
        <v>152</v>
      </c>
      <c r="D169" s="6" t="s">
        <v>22</v>
      </c>
      <c r="E169" s="6" t="n">
        <f aca="false">ROUND(10745*1.05,2)</f>
        <v>11282.25</v>
      </c>
      <c r="F169" s="6" t="s">
        <v>52</v>
      </c>
      <c r="G169" s="6" t="s">
        <v>24</v>
      </c>
      <c r="H169" s="6" t="n">
        <f aca="true">ROUND(RAND()*4+6,1)</f>
        <v>7.3</v>
      </c>
      <c r="I169" s="6" t="s">
        <v>25</v>
      </c>
      <c r="J169" s="6" t="str">
        <f aca="false">ROUND(84*1,0)&amp;"%"</f>
        <v>84%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13175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13176</v>
      </c>
      <c r="B174" s="5" t="s">
        <v>296</v>
      </c>
      <c r="C174" s="5" t="s">
        <v>15</v>
      </c>
      <c r="D174" s="5" t="s">
        <v>16</v>
      </c>
      <c r="E174" s="5" t="n">
        <f aca="false">ROUND(11710*1.05,2)</f>
        <v>12295.5</v>
      </c>
      <c r="F174" s="5" t="s">
        <v>17</v>
      </c>
      <c r="G174" s="5" t="s">
        <v>18</v>
      </c>
      <c r="H174" s="5" t="n">
        <f aca="true">ROUND(RAND()*4+6,1)</f>
        <v>6.5</v>
      </c>
      <c r="I174" s="5" t="s">
        <v>19</v>
      </c>
      <c r="J174" s="5" t="str">
        <f aca="false">ROUND(68*1,0)&amp;"%"</f>
        <v>68%</v>
      </c>
    </row>
    <row r="175" customFormat="false" ht="15" hidden="false" customHeight="false" outlineLevel="0" collapsed="false">
      <c r="A175" s="6" t="s">
        <v>13177</v>
      </c>
      <c r="B175" s="6" t="s">
        <v>298</v>
      </c>
      <c r="C175" s="6" t="s">
        <v>15</v>
      </c>
      <c r="D175" s="6" t="s">
        <v>22</v>
      </c>
      <c r="E175" s="6" t="n">
        <f aca="false">ROUND(14235*1.05,2)</f>
        <v>14946.75</v>
      </c>
      <c r="F175" s="6" t="s">
        <v>23</v>
      </c>
      <c r="G175" s="6" t="s">
        <v>24</v>
      </c>
      <c r="H175" s="6" t="n">
        <f aca="true">ROUND(RAND()*4+6,1)</f>
        <v>8.3</v>
      </c>
      <c r="I175" s="6" t="s">
        <v>25</v>
      </c>
      <c r="J175" s="6" t="str">
        <f aca="false">ROUND(61*1,0)&amp;"%"</f>
        <v>61%</v>
      </c>
    </row>
    <row r="176" customFormat="false" ht="15" hidden="false" customHeight="false" outlineLevel="0" collapsed="false">
      <c r="A176" s="5" t="s">
        <v>13178</v>
      </c>
      <c r="B176" s="5" t="s">
        <v>300</v>
      </c>
      <c r="C176" s="5" t="s">
        <v>15</v>
      </c>
      <c r="D176" s="5" t="s">
        <v>28</v>
      </c>
      <c r="E176" s="5" t="n">
        <f aca="false">ROUND(16388*1.05,2)</f>
        <v>17207.4</v>
      </c>
      <c r="F176" s="5" t="s">
        <v>29</v>
      </c>
      <c r="G176" s="5" t="s">
        <v>30</v>
      </c>
      <c r="H176" s="5" t="n">
        <f aca="true">ROUND(RAND()*4+6,1)</f>
        <v>8.7</v>
      </c>
      <c r="I176" s="5" t="s">
        <v>31</v>
      </c>
      <c r="J176" s="5" t="str">
        <f aca="false">ROUND(86*1,0)&amp;"%"</f>
        <v>86%</v>
      </c>
    </row>
    <row r="177" customFormat="false" ht="15" hidden="false" customHeight="false" outlineLevel="0" collapsed="false">
      <c r="A177" s="6" t="s">
        <v>13179</v>
      </c>
      <c r="B177" s="6" t="s">
        <v>302</v>
      </c>
      <c r="C177" s="6" t="s">
        <v>15</v>
      </c>
      <c r="D177" s="6" t="s">
        <v>34</v>
      </c>
      <c r="E177" s="6" t="n">
        <f aca="false">ROUND(7262*1.05,2)</f>
        <v>7625.1</v>
      </c>
      <c r="F177" s="6" t="s">
        <v>35</v>
      </c>
      <c r="G177" s="6" t="s">
        <v>18</v>
      </c>
      <c r="H177" s="6" t="n">
        <f aca="true">ROUND(RAND()*4+6,1)</f>
        <v>7</v>
      </c>
      <c r="I177" s="6" t="s">
        <v>36</v>
      </c>
      <c r="J177" s="6" t="str">
        <f aca="false">ROUND(70*1,0)&amp;"%"</f>
        <v>70%</v>
      </c>
    </row>
    <row r="178" customFormat="false" ht="15" hidden="false" customHeight="false" outlineLevel="0" collapsed="false">
      <c r="A178" s="5" t="s">
        <v>13180</v>
      </c>
      <c r="B178" s="5" t="s">
        <v>304</v>
      </c>
      <c r="C178" s="5" t="s">
        <v>15</v>
      </c>
      <c r="D178" s="5" t="s">
        <v>39</v>
      </c>
      <c r="E178" s="5" t="n">
        <f aca="false">ROUND(7501*1.05,2)</f>
        <v>7876.05</v>
      </c>
      <c r="F178" s="5" t="s">
        <v>40</v>
      </c>
      <c r="G178" s="5" t="s">
        <v>24</v>
      </c>
      <c r="H178" s="5" t="n">
        <f aca="true">ROUND(RAND()*4+6,1)</f>
        <v>7.2</v>
      </c>
      <c r="I178" s="5" t="s">
        <v>41</v>
      </c>
      <c r="J178" s="5" t="str">
        <f aca="false">ROUND(80*1,0)&amp;"%"</f>
        <v>80%</v>
      </c>
    </row>
    <row r="179" customFormat="false" ht="15" hidden="false" customHeight="false" outlineLevel="0" collapsed="false">
      <c r="A179" s="6" t="s">
        <v>13181</v>
      </c>
      <c r="B179" s="6" t="s">
        <v>306</v>
      </c>
      <c r="C179" s="6" t="s">
        <v>15</v>
      </c>
      <c r="D179" s="6" t="s">
        <v>44</v>
      </c>
      <c r="E179" s="6" t="n">
        <f aca="false">ROUND(5844*1.05,2)</f>
        <v>6136.2</v>
      </c>
      <c r="F179" s="6" t="s">
        <v>45</v>
      </c>
      <c r="G179" s="6" t="s">
        <v>30</v>
      </c>
      <c r="H179" s="6" t="n">
        <f aca="true">ROUND(RAND()*4+6,1)</f>
        <v>7.8</v>
      </c>
      <c r="I179" s="6" t="s">
        <v>46</v>
      </c>
      <c r="J179" s="6" t="str">
        <f aca="false">ROUND(84*1,0)&amp;"%"</f>
        <v>84%</v>
      </c>
    </row>
    <row r="180" customFormat="false" ht="15" hidden="false" customHeight="false" outlineLevel="0" collapsed="false">
      <c r="A180" s="5" t="s">
        <v>13182</v>
      </c>
      <c r="B180" s="5" t="s">
        <v>308</v>
      </c>
      <c r="C180" s="5" t="s">
        <v>15</v>
      </c>
      <c r="D180" s="5" t="s">
        <v>16</v>
      </c>
      <c r="E180" s="5" t="n">
        <f aca="false">ROUND(12166*1.05,2)</f>
        <v>12774.3</v>
      </c>
      <c r="F180" s="5" t="s">
        <v>49</v>
      </c>
      <c r="G180" s="5" t="s">
        <v>18</v>
      </c>
      <c r="H180" s="5" t="n">
        <f aca="true">ROUND(RAND()*4+6,1)</f>
        <v>6.6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13183</v>
      </c>
      <c r="B181" s="6" t="s">
        <v>310</v>
      </c>
      <c r="C181" s="6" t="s">
        <v>15</v>
      </c>
      <c r="D181" s="6" t="s">
        <v>22</v>
      </c>
      <c r="E181" s="6" t="n">
        <f aca="false">ROUND(17016*1.05,2)</f>
        <v>17866.8</v>
      </c>
      <c r="F181" s="6" t="s">
        <v>52</v>
      </c>
      <c r="G181" s="6" t="s">
        <v>24</v>
      </c>
      <c r="H181" s="6" t="n">
        <f aca="true">ROUND(RAND()*4+6,1)</f>
        <v>6.3</v>
      </c>
      <c r="I181" s="6" t="s">
        <v>25</v>
      </c>
      <c r="J181" s="6" t="str">
        <f aca="false">ROUND(64*1,0)&amp;"%"</f>
        <v>64%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13184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13185</v>
      </c>
      <c r="B186" s="5" t="s">
        <v>314</v>
      </c>
      <c r="C186" s="5" t="s">
        <v>57</v>
      </c>
      <c r="D186" s="5" t="s">
        <v>16</v>
      </c>
      <c r="E186" s="5" t="n">
        <f aca="false">ROUND(5000*1.05,2)</f>
        <v>5250</v>
      </c>
      <c r="F186" s="5" t="s">
        <v>17</v>
      </c>
      <c r="G186" s="5" t="s">
        <v>18</v>
      </c>
      <c r="H186" s="5" t="n">
        <f aca="true">ROUND(RAND()*4+6,1)</f>
        <v>9.3</v>
      </c>
      <c r="I186" s="5" t="s">
        <v>19</v>
      </c>
      <c r="J186" s="5" t="str">
        <f aca="false">ROUND(66*1,0)&amp;"%"</f>
        <v>66%</v>
      </c>
    </row>
    <row r="187" customFormat="false" ht="15" hidden="false" customHeight="false" outlineLevel="0" collapsed="false">
      <c r="A187" s="6" t="s">
        <v>13186</v>
      </c>
      <c r="B187" s="6" t="s">
        <v>316</v>
      </c>
      <c r="C187" s="6" t="s">
        <v>57</v>
      </c>
      <c r="D187" s="6" t="s">
        <v>22</v>
      </c>
      <c r="E187" s="6" t="n">
        <f aca="false">ROUND(6164*1.05,2)</f>
        <v>6472.2</v>
      </c>
      <c r="F187" s="6" t="s">
        <v>23</v>
      </c>
      <c r="G187" s="6" t="s">
        <v>24</v>
      </c>
      <c r="H187" s="6" t="n">
        <f aca="true">ROUND(RAND()*4+6,1)</f>
        <v>7.4</v>
      </c>
      <c r="I187" s="6" t="s">
        <v>25</v>
      </c>
      <c r="J187" s="6" t="str">
        <f aca="false">ROUND(65*1,0)&amp;"%"</f>
        <v>65%</v>
      </c>
    </row>
    <row r="188" customFormat="false" ht="15" hidden="false" customHeight="false" outlineLevel="0" collapsed="false">
      <c r="A188" s="5" t="s">
        <v>13187</v>
      </c>
      <c r="B188" s="5" t="s">
        <v>318</v>
      </c>
      <c r="C188" s="5" t="s">
        <v>57</v>
      </c>
      <c r="D188" s="5" t="s">
        <v>28</v>
      </c>
      <c r="E188" s="5" t="n">
        <f aca="false">ROUND(14197*1.05,2)</f>
        <v>14906.85</v>
      </c>
      <c r="F188" s="5" t="s">
        <v>29</v>
      </c>
      <c r="G188" s="5" t="s">
        <v>30</v>
      </c>
      <c r="H188" s="5" t="n">
        <f aca="true">ROUND(RAND()*4+6,1)</f>
        <v>6.4</v>
      </c>
      <c r="I188" s="5" t="s">
        <v>31</v>
      </c>
      <c r="J188" s="5" t="str">
        <f aca="false">ROUND(65*1,0)&amp;"%"</f>
        <v>65%</v>
      </c>
    </row>
    <row r="189" customFormat="false" ht="15" hidden="false" customHeight="false" outlineLevel="0" collapsed="false">
      <c r="A189" s="6" t="s">
        <v>13188</v>
      </c>
      <c r="B189" s="6" t="s">
        <v>320</v>
      </c>
      <c r="C189" s="6" t="s">
        <v>57</v>
      </c>
      <c r="D189" s="6" t="s">
        <v>34</v>
      </c>
      <c r="E189" s="6" t="n">
        <f aca="false">ROUND(6814*1.05,2)</f>
        <v>7154.7</v>
      </c>
      <c r="F189" s="6" t="s">
        <v>35</v>
      </c>
      <c r="G189" s="6" t="s">
        <v>18</v>
      </c>
      <c r="H189" s="6" t="n">
        <f aca="true">ROUND(RAND()*4+6,1)</f>
        <v>9</v>
      </c>
      <c r="I189" s="6" t="s">
        <v>36</v>
      </c>
      <c r="J189" s="6" t="str">
        <f aca="false">ROUND(62*1,0)&amp;"%"</f>
        <v>62%</v>
      </c>
    </row>
    <row r="190" customFormat="false" ht="15" hidden="false" customHeight="false" outlineLevel="0" collapsed="false">
      <c r="A190" s="5" t="s">
        <v>13189</v>
      </c>
      <c r="B190" s="5" t="s">
        <v>322</v>
      </c>
      <c r="C190" s="5" t="s">
        <v>57</v>
      </c>
      <c r="D190" s="5" t="s">
        <v>39</v>
      </c>
      <c r="E190" s="5" t="n">
        <f aca="false">ROUND(15479*1.05,2)</f>
        <v>16252.95</v>
      </c>
      <c r="F190" s="5" t="s">
        <v>40</v>
      </c>
      <c r="G190" s="5" t="s">
        <v>24</v>
      </c>
      <c r="H190" s="5" t="n">
        <f aca="true">ROUND(RAND()*4+6,1)</f>
        <v>6.8</v>
      </c>
      <c r="I190" s="5" t="s">
        <v>41</v>
      </c>
      <c r="J190" s="5" t="str">
        <f aca="false">ROUND(60*1,0)&amp;"%"</f>
        <v>60%</v>
      </c>
    </row>
    <row r="191" customFormat="false" ht="15" hidden="false" customHeight="false" outlineLevel="0" collapsed="false">
      <c r="A191" s="6" t="s">
        <v>13190</v>
      </c>
      <c r="B191" s="6" t="s">
        <v>324</v>
      </c>
      <c r="C191" s="6" t="s">
        <v>57</v>
      </c>
      <c r="D191" s="6" t="s">
        <v>44</v>
      </c>
      <c r="E191" s="6" t="n">
        <f aca="false">ROUND(11094*1.05,2)</f>
        <v>11648.7</v>
      </c>
      <c r="F191" s="6" t="s">
        <v>45</v>
      </c>
      <c r="G191" s="6" t="s">
        <v>30</v>
      </c>
      <c r="H191" s="6" t="n">
        <f aca="true">ROUND(RAND()*4+6,1)</f>
        <v>6.1</v>
      </c>
      <c r="I191" s="6" t="s">
        <v>46</v>
      </c>
      <c r="J191" s="6" t="str">
        <f aca="false">ROUND(77*1,0)&amp;"%"</f>
        <v>77%</v>
      </c>
    </row>
    <row r="192" customFormat="false" ht="15" hidden="false" customHeight="false" outlineLevel="0" collapsed="false">
      <c r="A192" s="5" t="s">
        <v>13191</v>
      </c>
      <c r="B192" s="5" t="s">
        <v>326</v>
      </c>
      <c r="C192" s="5" t="s">
        <v>57</v>
      </c>
      <c r="D192" s="5" t="s">
        <v>16</v>
      </c>
      <c r="E192" s="5" t="n">
        <f aca="false">ROUND(14624*1.05,2)</f>
        <v>15355.2</v>
      </c>
      <c r="F192" s="5" t="s">
        <v>49</v>
      </c>
      <c r="G192" s="5" t="s">
        <v>18</v>
      </c>
      <c r="H192" s="5" t="n">
        <f aca="true">ROUND(RAND()*4+6,1)</f>
        <v>7.9</v>
      </c>
      <c r="I192" s="5" t="s">
        <v>19</v>
      </c>
      <c r="J192" s="5" t="str">
        <f aca="false">ROUND(86*1,0)&amp;"%"</f>
        <v>86%</v>
      </c>
    </row>
    <row r="193" customFormat="false" ht="15" hidden="false" customHeight="false" outlineLevel="0" collapsed="false">
      <c r="A193" s="6" t="s">
        <v>13192</v>
      </c>
      <c r="B193" s="6" t="s">
        <v>328</v>
      </c>
      <c r="C193" s="6" t="s">
        <v>57</v>
      </c>
      <c r="D193" s="6" t="s">
        <v>22</v>
      </c>
      <c r="E193" s="6" t="n">
        <f aca="false">ROUND(4232*1.05,2)</f>
        <v>4443.6</v>
      </c>
      <c r="F193" s="6" t="s">
        <v>52</v>
      </c>
      <c r="G193" s="6" t="s">
        <v>24</v>
      </c>
      <c r="H193" s="6" t="n">
        <f aca="true">ROUND(RAND()*4+6,1)</f>
        <v>9.6</v>
      </c>
      <c r="I193" s="6" t="s">
        <v>25</v>
      </c>
      <c r="J193" s="6" t="str">
        <f aca="false">ROUND(95*1,0)&amp;"%"</f>
        <v>95%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13193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13194</v>
      </c>
      <c r="B198" s="5" t="s">
        <v>332</v>
      </c>
      <c r="C198" s="5" t="s">
        <v>76</v>
      </c>
      <c r="D198" s="5" t="s">
        <v>16</v>
      </c>
      <c r="E198" s="5" t="n">
        <f aca="false">ROUND(11651*1.05,2)</f>
        <v>12233.55</v>
      </c>
      <c r="F198" s="5" t="s">
        <v>17</v>
      </c>
      <c r="G198" s="5" t="s">
        <v>18</v>
      </c>
      <c r="H198" s="5" t="n">
        <f aca="true">ROUND(RAND()*4+6,1)</f>
        <v>7.9</v>
      </c>
      <c r="I198" s="5" t="s">
        <v>19</v>
      </c>
      <c r="J198" s="5" t="str">
        <f aca="false">ROUND(73*1,0)&amp;"%"</f>
        <v>73%</v>
      </c>
    </row>
    <row r="199" customFormat="false" ht="15" hidden="false" customHeight="false" outlineLevel="0" collapsed="false">
      <c r="A199" s="6" t="s">
        <v>13195</v>
      </c>
      <c r="B199" s="6" t="s">
        <v>334</v>
      </c>
      <c r="C199" s="6" t="s">
        <v>76</v>
      </c>
      <c r="D199" s="6" t="s">
        <v>22</v>
      </c>
      <c r="E199" s="6" t="n">
        <f aca="false">ROUND(12517*1.05,2)</f>
        <v>13142.85</v>
      </c>
      <c r="F199" s="6" t="s">
        <v>23</v>
      </c>
      <c r="G199" s="6" t="s">
        <v>24</v>
      </c>
      <c r="H199" s="6" t="n">
        <f aca="true">ROUND(RAND()*4+6,1)</f>
        <v>8.5</v>
      </c>
      <c r="I199" s="6" t="s">
        <v>25</v>
      </c>
      <c r="J199" s="6" t="str">
        <f aca="false">ROUND(61*1,0)&amp;"%"</f>
        <v>61%</v>
      </c>
    </row>
    <row r="200" customFormat="false" ht="15" hidden="false" customHeight="false" outlineLevel="0" collapsed="false">
      <c r="A200" s="5" t="s">
        <v>13196</v>
      </c>
      <c r="B200" s="5" t="s">
        <v>336</v>
      </c>
      <c r="C200" s="5" t="s">
        <v>76</v>
      </c>
      <c r="D200" s="5" t="s">
        <v>28</v>
      </c>
      <c r="E200" s="5" t="n">
        <f aca="false">ROUND(9571*1.05,2)</f>
        <v>10049.55</v>
      </c>
      <c r="F200" s="5" t="s">
        <v>29</v>
      </c>
      <c r="G200" s="5" t="s">
        <v>30</v>
      </c>
      <c r="H200" s="5" t="n">
        <f aca="true">ROUND(RAND()*4+6,1)</f>
        <v>9</v>
      </c>
      <c r="I200" s="5" t="s">
        <v>31</v>
      </c>
      <c r="J200" s="5" t="str">
        <f aca="false">ROUND(100*1,0)&amp;"%"</f>
        <v>100%</v>
      </c>
    </row>
    <row r="201" customFormat="false" ht="15" hidden="false" customHeight="false" outlineLevel="0" collapsed="false">
      <c r="A201" s="6" t="s">
        <v>13197</v>
      </c>
      <c r="B201" s="6" t="s">
        <v>338</v>
      </c>
      <c r="C201" s="6" t="s">
        <v>76</v>
      </c>
      <c r="D201" s="6" t="s">
        <v>34</v>
      </c>
      <c r="E201" s="6" t="n">
        <f aca="false">ROUND(10364*1.05,2)</f>
        <v>10882.2</v>
      </c>
      <c r="F201" s="6" t="s">
        <v>35</v>
      </c>
      <c r="G201" s="6" t="s">
        <v>18</v>
      </c>
      <c r="H201" s="6" t="n">
        <f aca="true">ROUND(RAND()*4+6,1)</f>
        <v>9.1</v>
      </c>
      <c r="I201" s="6" t="s">
        <v>36</v>
      </c>
      <c r="J201" s="6" t="str">
        <f aca="false">ROUND(90*1,0)&amp;"%"</f>
        <v>90%</v>
      </c>
    </row>
    <row r="202" customFormat="false" ht="15" hidden="false" customHeight="false" outlineLevel="0" collapsed="false">
      <c r="A202" s="5" t="s">
        <v>13198</v>
      </c>
      <c r="B202" s="5" t="s">
        <v>340</v>
      </c>
      <c r="C202" s="5" t="s">
        <v>76</v>
      </c>
      <c r="D202" s="5" t="s">
        <v>39</v>
      </c>
      <c r="E202" s="5" t="n">
        <f aca="false">ROUND(7306*1.05,2)</f>
        <v>7671.3</v>
      </c>
      <c r="F202" s="5" t="s">
        <v>40</v>
      </c>
      <c r="G202" s="5" t="s">
        <v>24</v>
      </c>
      <c r="H202" s="5" t="n">
        <f aca="true">ROUND(RAND()*4+6,1)</f>
        <v>9.6</v>
      </c>
      <c r="I202" s="5" t="s">
        <v>41</v>
      </c>
      <c r="J202" s="5" t="str">
        <f aca="false">ROUND(67*1,0)&amp;"%"</f>
        <v>67%</v>
      </c>
    </row>
    <row r="203" customFormat="false" ht="15" hidden="false" customHeight="false" outlineLevel="0" collapsed="false">
      <c r="A203" s="6" t="s">
        <v>13199</v>
      </c>
      <c r="B203" s="6" t="s">
        <v>342</v>
      </c>
      <c r="C203" s="6" t="s">
        <v>76</v>
      </c>
      <c r="D203" s="6" t="s">
        <v>44</v>
      </c>
      <c r="E203" s="6" t="n">
        <f aca="false">ROUND(9154*1.05,2)</f>
        <v>9611.7</v>
      </c>
      <c r="F203" s="6" t="s">
        <v>45</v>
      </c>
      <c r="G203" s="6" t="s">
        <v>30</v>
      </c>
      <c r="H203" s="6" t="n">
        <f aca="true">ROUND(RAND()*4+6,1)</f>
        <v>6.4</v>
      </c>
      <c r="I203" s="6" t="s">
        <v>46</v>
      </c>
      <c r="J203" s="6" t="str">
        <f aca="false">ROUND(95*1,0)&amp;"%"</f>
        <v>95%</v>
      </c>
    </row>
    <row r="204" customFormat="false" ht="15" hidden="false" customHeight="false" outlineLevel="0" collapsed="false">
      <c r="A204" s="5" t="s">
        <v>13200</v>
      </c>
      <c r="B204" s="5" t="s">
        <v>344</v>
      </c>
      <c r="C204" s="5" t="s">
        <v>76</v>
      </c>
      <c r="D204" s="5" t="s">
        <v>16</v>
      </c>
      <c r="E204" s="5" t="n">
        <f aca="false">ROUND(16012*1.05,2)</f>
        <v>16812.6</v>
      </c>
      <c r="F204" s="5" t="s">
        <v>49</v>
      </c>
      <c r="G204" s="5" t="s">
        <v>18</v>
      </c>
      <c r="H204" s="5" t="n">
        <f aca="true">ROUND(RAND()*4+6,1)</f>
        <v>7.4</v>
      </c>
      <c r="I204" s="5" t="s">
        <v>19</v>
      </c>
      <c r="J204" s="5" t="str">
        <f aca="false">ROUND(100*1,0)&amp;"%"</f>
        <v>100%</v>
      </c>
    </row>
    <row r="205" customFormat="false" ht="15" hidden="false" customHeight="false" outlineLevel="0" collapsed="false">
      <c r="A205" s="6" t="s">
        <v>13201</v>
      </c>
      <c r="B205" s="6" t="s">
        <v>346</v>
      </c>
      <c r="C205" s="6" t="s">
        <v>76</v>
      </c>
      <c r="D205" s="6" t="s">
        <v>22</v>
      </c>
      <c r="E205" s="6" t="n">
        <f aca="false">ROUND(15680*1.05,2)</f>
        <v>16464</v>
      </c>
      <c r="F205" s="6" t="s">
        <v>52</v>
      </c>
      <c r="G205" s="6" t="s">
        <v>24</v>
      </c>
      <c r="H205" s="6" t="n">
        <f aca="true">ROUND(RAND()*4+6,1)</f>
        <v>8.1</v>
      </c>
      <c r="I205" s="6" t="s">
        <v>25</v>
      </c>
      <c r="J205" s="6" t="str">
        <f aca="false">ROUND(84*1,0)&amp;"%"</f>
        <v>84%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13202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13203</v>
      </c>
      <c r="B210" s="5" t="s">
        <v>350</v>
      </c>
      <c r="C210" s="5" t="s">
        <v>95</v>
      </c>
      <c r="D210" s="5" t="s">
        <v>16</v>
      </c>
      <c r="E210" s="5" t="n">
        <f aca="false">ROUND(10252*1.05,2)</f>
        <v>10764.6</v>
      </c>
      <c r="F210" s="5" t="s">
        <v>17</v>
      </c>
      <c r="G210" s="5" t="s">
        <v>18</v>
      </c>
      <c r="H210" s="5" t="n">
        <f aca="true">ROUND(RAND()*4+6,1)</f>
        <v>6.3</v>
      </c>
      <c r="I210" s="5" t="s">
        <v>19</v>
      </c>
      <c r="J210" s="5" t="str">
        <f aca="false">ROUND(98*1,0)&amp;"%"</f>
        <v>98%</v>
      </c>
    </row>
    <row r="211" customFormat="false" ht="15" hidden="false" customHeight="false" outlineLevel="0" collapsed="false">
      <c r="A211" s="6" t="s">
        <v>13204</v>
      </c>
      <c r="B211" s="6" t="s">
        <v>352</v>
      </c>
      <c r="C211" s="6" t="s">
        <v>95</v>
      </c>
      <c r="D211" s="6" t="s">
        <v>22</v>
      </c>
      <c r="E211" s="6" t="n">
        <f aca="false">ROUND(13899*1.05,2)</f>
        <v>14593.95</v>
      </c>
      <c r="F211" s="6" t="s">
        <v>23</v>
      </c>
      <c r="G211" s="6" t="s">
        <v>24</v>
      </c>
      <c r="H211" s="6" t="n">
        <f aca="true">ROUND(RAND()*4+6,1)</f>
        <v>6.8</v>
      </c>
      <c r="I211" s="6" t="s">
        <v>25</v>
      </c>
      <c r="J211" s="6" t="str">
        <f aca="false">ROUND(81*1,0)&amp;"%"</f>
        <v>81%</v>
      </c>
    </row>
    <row r="212" customFormat="false" ht="15" hidden="false" customHeight="false" outlineLevel="0" collapsed="false">
      <c r="A212" s="5" t="s">
        <v>13205</v>
      </c>
      <c r="B212" s="5" t="s">
        <v>354</v>
      </c>
      <c r="C212" s="5" t="s">
        <v>95</v>
      </c>
      <c r="D212" s="5" t="s">
        <v>28</v>
      </c>
      <c r="E212" s="5" t="n">
        <f aca="false">ROUND(14757*1.05,2)</f>
        <v>15494.85</v>
      </c>
      <c r="F212" s="5" t="s">
        <v>29</v>
      </c>
      <c r="G212" s="5" t="s">
        <v>30</v>
      </c>
      <c r="H212" s="5" t="n">
        <f aca="true">ROUND(RAND()*4+6,1)</f>
        <v>8.9</v>
      </c>
      <c r="I212" s="5" t="s">
        <v>31</v>
      </c>
      <c r="J212" s="5" t="str">
        <f aca="false">ROUND(84*1,0)&amp;"%"</f>
        <v>84%</v>
      </c>
    </row>
    <row r="213" customFormat="false" ht="15" hidden="false" customHeight="false" outlineLevel="0" collapsed="false">
      <c r="A213" s="6" t="s">
        <v>13206</v>
      </c>
      <c r="B213" s="6" t="s">
        <v>356</v>
      </c>
      <c r="C213" s="6" t="s">
        <v>95</v>
      </c>
      <c r="D213" s="6" t="s">
        <v>34</v>
      </c>
      <c r="E213" s="6" t="n">
        <f aca="false">ROUND(6119*1.05,2)</f>
        <v>6424.95</v>
      </c>
      <c r="F213" s="6" t="s">
        <v>35</v>
      </c>
      <c r="G213" s="6" t="s">
        <v>18</v>
      </c>
      <c r="H213" s="6" t="n">
        <f aca="true">ROUND(RAND()*4+6,1)</f>
        <v>8.8</v>
      </c>
      <c r="I213" s="6" t="s">
        <v>36</v>
      </c>
      <c r="J213" s="6" t="str">
        <f aca="false">ROUND(93*1,0)&amp;"%"</f>
        <v>93%</v>
      </c>
    </row>
    <row r="214" customFormat="false" ht="15" hidden="false" customHeight="false" outlineLevel="0" collapsed="false">
      <c r="A214" s="5" t="s">
        <v>13207</v>
      </c>
      <c r="B214" s="5" t="s">
        <v>358</v>
      </c>
      <c r="C214" s="5" t="s">
        <v>95</v>
      </c>
      <c r="D214" s="5" t="s">
        <v>39</v>
      </c>
      <c r="E214" s="5" t="n">
        <f aca="false">ROUND(12693*1.05,2)</f>
        <v>13327.65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ROUND(83*1,0)&amp;"%"</f>
        <v>83%</v>
      </c>
    </row>
    <row r="215" customFormat="false" ht="15" hidden="false" customHeight="false" outlineLevel="0" collapsed="false">
      <c r="A215" s="6" t="s">
        <v>13208</v>
      </c>
      <c r="B215" s="6" t="s">
        <v>360</v>
      </c>
      <c r="C215" s="6" t="s">
        <v>95</v>
      </c>
      <c r="D215" s="6" t="s">
        <v>44</v>
      </c>
      <c r="E215" s="6" t="n">
        <f aca="false">ROUND(12060*1.05,2)</f>
        <v>12663</v>
      </c>
      <c r="F215" s="6" t="s">
        <v>45</v>
      </c>
      <c r="G215" s="6" t="s">
        <v>30</v>
      </c>
      <c r="H215" s="6" t="n">
        <f aca="true">ROUND(RAND()*4+6,1)</f>
        <v>7.9</v>
      </c>
      <c r="I215" s="6" t="s">
        <v>46</v>
      </c>
      <c r="J215" s="6" t="str">
        <f aca="false">ROUND(86*1,0)&amp;"%"</f>
        <v>86%</v>
      </c>
    </row>
    <row r="216" customFormat="false" ht="15" hidden="false" customHeight="false" outlineLevel="0" collapsed="false">
      <c r="A216" s="5" t="s">
        <v>13209</v>
      </c>
      <c r="B216" s="5" t="s">
        <v>362</v>
      </c>
      <c r="C216" s="5" t="s">
        <v>95</v>
      </c>
      <c r="D216" s="5" t="s">
        <v>16</v>
      </c>
      <c r="E216" s="5" t="n">
        <f aca="false">ROUND(11131*1.05,2)</f>
        <v>11687.55</v>
      </c>
      <c r="F216" s="5" t="s">
        <v>49</v>
      </c>
      <c r="G216" s="5" t="s">
        <v>18</v>
      </c>
      <c r="H216" s="5" t="n">
        <f aca="true">ROUND(RAND()*4+6,1)</f>
        <v>8.9</v>
      </c>
      <c r="I216" s="5" t="s">
        <v>19</v>
      </c>
      <c r="J216" s="5" t="str">
        <f aca="false">ROUND(88*1,0)&amp;"%"</f>
        <v>88%</v>
      </c>
    </row>
    <row r="217" customFormat="false" ht="15" hidden="false" customHeight="false" outlineLevel="0" collapsed="false">
      <c r="A217" s="6" t="s">
        <v>13210</v>
      </c>
      <c r="B217" s="6" t="s">
        <v>364</v>
      </c>
      <c r="C217" s="6" t="s">
        <v>95</v>
      </c>
      <c r="D217" s="6" t="s">
        <v>22</v>
      </c>
      <c r="E217" s="6" t="n">
        <f aca="false">ROUND(12926*1.05,2)</f>
        <v>13572.3</v>
      </c>
      <c r="F217" s="6" t="s">
        <v>52</v>
      </c>
      <c r="G217" s="6" t="s">
        <v>24</v>
      </c>
      <c r="H217" s="6" t="n">
        <f aca="true">ROUND(RAND()*4+6,1)</f>
        <v>9.6</v>
      </c>
      <c r="I217" s="6" t="s">
        <v>25</v>
      </c>
      <c r="J217" s="6" t="str">
        <f aca="false">ROUND(82*1,0)&amp;"%"</f>
        <v>82%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13211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13212</v>
      </c>
      <c r="B222" s="5" t="s">
        <v>368</v>
      </c>
      <c r="C222" s="5" t="s">
        <v>114</v>
      </c>
      <c r="D222" s="5" t="s">
        <v>16</v>
      </c>
      <c r="E222" s="5" t="n">
        <f aca="false">ROUND(14293*1.05,2)</f>
        <v>15007.65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ROUND(88*1,0)&amp;"%"</f>
        <v>88%</v>
      </c>
    </row>
    <row r="223" customFormat="false" ht="15" hidden="false" customHeight="false" outlineLevel="0" collapsed="false">
      <c r="A223" s="6" t="s">
        <v>13213</v>
      </c>
      <c r="B223" s="6" t="s">
        <v>370</v>
      </c>
      <c r="C223" s="6" t="s">
        <v>114</v>
      </c>
      <c r="D223" s="6" t="s">
        <v>22</v>
      </c>
      <c r="E223" s="6" t="n">
        <f aca="false">ROUND(4526*1.05,2)</f>
        <v>4752.3</v>
      </c>
      <c r="F223" s="6" t="s">
        <v>23</v>
      </c>
      <c r="G223" s="6" t="s">
        <v>24</v>
      </c>
      <c r="H223" s="6" t="n">
        <f aca="true">ROUND(RAND()*4+6,1)</f>
        <v>8.5</v>
      </c>
      <c r="I223" s="6" t="s">
        <v>25</v>
      </c>
      <c r="J223" s="6" t="str">
        <f aca="false">ROUND(73*1,0)&amp;"%"</f>
        <v>73%</v>
      </c>
    </row>
    <row r="224" customFormat="false" ht="15" hidden="false" customHeight="false" outlineLevel="0" collapsed="false">
      <c r="A224" s="5" t="s">
        <v>13214</v>
      </c>
      <c r="B224" s="5" t="s">
        <v>372</v>
      </c>
      <c r="C224" s="5" t="s">
        <v>114</v>
      </c>
      <c r="D224" s="5" t="s">
        <v>28</v>
      </c>
      <c r="E224" s="5" t="n">
        <f aca="false">ROUND(9355*1.05,2)</f>
        <v>9822.75</v>
      </c>
      <c r="F224" s="5" t="s">
        <v>29</v>
      </c>
      <c r="G224" s="5" t="s">
        <v>30</v>
      </c>
      <c r="H224" s="5" t="n">
        <f aca="true">ROUND(RAND()*4+6,1)</f>
        <v>7.9</v>
      </c>
      <c r="I224" s="5" t="s">
        <v>31</v>
      </c>
      <c r="J224" s="5" t="str">
        <f aca="false">ROUND(92*1,0)&amp;"%"</f>
        <v>92%</v>
      </c>
    </row>
    <row r="225" customFormat="false" ht="15" hidden="false" customHeight="false" outlineLevel="0" collapsed="false">
      <c r="A225" s="6" t="s">
        <v>13215</v>
      </c>
      <c r="B225" s="6" t="s">
        <v>374</v>
      </c>
      <c r="C225" s="6" t="s">
        <v>114</v>
      </c>
      <c r="D225" s="6" t="s">
        <v>34</v>
      </c>
      <c r="E225" s="6" t="n">
        <f aca="false">ROUND(12081*1.05,2)</f>
        <v>12685.05</v>
      </c>
      <c r="F225" s="6" t="s">
        <v>35</v>
      </c>
      <c r="G225" s="6" t="s">
        <v>18</v>
      </c>
      <c r="H225" s="6" t="n">
        <f aca="true">ROUND(RAND()*4+6,1)</f>
        <v>7.7</v>
      </c>
      <c r="I225" s="6" t="s">
        <v>36</v>
      </c>
      <c r="J225" s="6" t="str">
        <f aca="false">ROUND(96*1,0)&amp;"%"</f>
        <v>96%</v>
      </c>
    </row>
    <row r="226" customFormat="false" ht="15" hidden="false" customHeight="false" outlineLevel="0" collapsed="false">
      <c r="A226" s="5" t="s">
        <v>13216</v>
      </c>
      <c r="B226" s="5" t="s">
        <v>376</v>
      </c>
      <c r="C226" s="5" t="s">
        <v>114</v>
      </c>
      <c r="D226" s="5" t="s">
        <v>39</v>
      </c>
      <c r="E226" s="5" t="n">
        <f aca="false">ROUND(8373*1.05,2)</f>
        <v>8791.65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ROUND(67*1,0)&amp;"%"</f>
        <v>67%</v>
      </c>
    </row>
    <row r="227" customFormat="false" ht="15" hidden="false" customHeight="false" outlineLevel="0" collapsed="false">
      <c r="A227" s="6" t="s">
        <v>13217</v>
      </c>
      <c r="B227" s="6" t="s">
        <v>378</v>
      </c>
      <c r="C227" s="6" t="s">
        <v>114</v>
      </c>
      <c r="D227" s="6" t="s">
        <v>44</v>
      </c>
      <c r="E227" s="6" t="n">
        <f aca="false">ROUND(8388*1.05,2)</f>
        <v>8807.4</v>
      </c>
      <c r="F227" s="6" t="s">
        <v>45</v>
      </c>
      <c r="G227" s="6" t="s">
        <v>30</v>
      </c>
      <c r="H227" s="6" t="n">
        <f aca="true">ROUND(RAND()*4+6,1)</f>
        <v>6.1</v>
      </c>
      <c r="I227" s="6" t="s">
        <v>46</v>
      </c>
      <c r="J227" s="6" t="str">
        <f aca="false">ROUND(99*1,0)&amp;"%"</f>
        <v>99%</v>
      </c>
    </row>
    <row r="228" customFormat="false" ht="15" hidden="false" customHeight="false" outlineLevel="0" collapsed="false">
      <c r="A228" s="5" t="s">
        <v>13218</v>
      </c>
      <c r="B228" s="5" t="s">
        <v>380</v>
      </c>
      <c r="C228" s="5" t="s">
        <v>114</v>
      </c>
      <c r="D228" s="5" t="s">
        <v>16</v>
      </c>
      <c r="E228" s="5" t="n">
        <f aca="false">ROUND(10399*1.05,2)</f>
        <v>10918.95</v>
      </c>
      <c r="F228" s="5" t="s">
        <v>49</v>
      </c>
      <c r="G228" s="5" t="s">
        <v>18</v>
      </c>
      <c r="H228" s="5" t="n">
        <f aca="true">ROUND(RAND()*4+6,1)</f>
        <v>8.3</v>
      </c>
      <c r="I228" s="5" t="s">
        <v>19</v>
      </c>
      <c r="J228" s="5" t="str">
        <f aca="false">ROUND(93*1,0)&amp;"%"</f>
        <v>93%</v>
      </c>
    </row>
    <row r="229" customFormat="false" ht="15" hidden="false" customHeight="false" outlineLevel="0" collapsed="false">
      <c r="A229" s="6" t="s">
        <v>13219</v>
      </c>
      <c r="B229" s="6" t="s">
        <v>382</v>
      </c>
      <c r="C229" s="6" t="s">
        <v>114</v>
      </c>
      <c r="D229" s="6" t="s">
        <v>22</v>
      </c>
      <c r="E229" s="6" t="n">
        <f aca="false">ROUND(5628*1.05,2)</f>
        <v>5909.4</v>
      </c>
      <c r="F229" s="6" t="s">
        <v>52</v>
      </c>
      <c r="G229" s="6" t="s">
        <v>24</v>
      </c>
      <c r="H229" s="6" t="n">
        <f aca="true">ROUND(RAND()*4+6,1)</f>
        <v>6.4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13220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13221</v>
      </c>
      <c r="B234" s="5" t="s">
        <v>386</v>
      </c>
      <c r="C234" s="5" t="s">
        <v>133</v>
      </c>
      <c r="D234" s="5" t="s">
        <v>16</v>
      </c>
      <c r="E234" s="5" t="n">
        <f aca="false">ROUND(12412*1.05,2)</f>
        <v>13032.6</v>
      </c>
      <c r="F234" s="5" t="s">
        <v>17</v>
      </c>
      <c r="G234" s="5" t="s">
        <v>18</v>
      </c>
      <c r="H234" s="5" t="n">
        <f aca="true">ROUND(RAND()*4+6,1)</f>
        <v>7.6</v>
      </c>
      <c r="I234" s="5" t="s">
        <v>19</v>
      </c>
      <c r="J234" s="5" t="str">
        <f aca="false">ROUND(61*1,0)&amp;"%"</f>
        <v>61%</v>
      </c>
    </row>
    <row r="235" customFormat="false" ht="15" hidden="false" customHeight="false" outlineLevel="0" collapsed="false">
      <c r="A235" s="6" t="s">
        <v>13222</v>
      </c>
      <c r="B235" s="6" t="s">
        <v>388</v>
      </c>
      <c r="C235" s="6" t="s">
        <v>133</v>
      </c>
      <c r="D235" s="6" t="s">
        <v>22</v>
      </c>
      <c r="E235" s="6" t="n">
        <f aca="false">ROUND(8610*1.05,2)</f>
        <v>9040.5</v>
      </c>
      <c r="F235" s="6" t="s">
        <v>23</v>
      </c>
      <c r="G235" s="6" t="s">
        <v>24</v>
      </c>
      <c r="H235" s="6" t="n">
        <f aca="true">ROUND(RAND()*4+6,1)</f>
        <v>8.4</v>
      </c>
      <c r="I235" s="6" t="s">
        <v>25</v>
      </c>
      <c r="J235" s="6" t="str">
        <f aca="false">ROUND(99*1,0)&amp;"%"</f>
        <v>99%</v>
      </c>
    </row>
    <row r="236" customFormat="false" ht="15" hidden="false" customHeight="false" outlineLevel="0" collapsed="false">
      <c r="A236" s="5" t="s">
        <v>13223</v>
      </c>
      <c r="B236" s="5" t="s">
        <v>390</v>
      </c>
      <c r="C236" s="5" t="s">
        <v>133</v>
      </c>
      <c r="D236" s="5" t="s">
        <v>28</v>
      </c>
      <c r="E236" s="5" t="n">
        <f aca="false">ROUND(14283*1.05,2)</f>
        <v>14997.15</v>
      </c>
      <c r="F236" s="5" t="s">
        <v>29</v>
      </c>
      <c r="G236" s="5" t="s">
        <v>30</v>
      </c>
      <c r="H236" s="5" t="n">
        <f aca="true">ROUND(RAND()*4+6,1)</f>
        <v>9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13224</v>
      </c>
      <c r="B237" s="6" t="s">
        <v>392</v>
      </c>
      <c r="C237" s="6" t="s">
        <v>133</v>
      </c>
      <c r="D237" s="6" t="s">
        <v>34</v>
      </c>
      <c r="E237" s="6" t="n">
        <f aca="false">ROUND(14522*1.05,2)</f>
        <v>15248.1</v>
      </c>
      <c r="F237" s="6" t="s">
        <v>35</v>
      </c>
      <c r="G237" s="6" t="s">
        <v>18</v>
      </c>
      <c r="H237" s="6" t="n">
        <f aca="true">ROUND(RAND()*4+6,1)</f>
        <v>9.2</v>
      </c>
      <c r="I237" s="6" t="s">
        <v>36</v>
      </c>
      <c r="J237" s="6" t="str">
        <f aca="false">ROUND(91*1,0)&amp;"%"</f>
        <v>91%</v>
      </c>
    </row>
    <row r="238" customFormat="false" ht="15" hidden="false" customHeight="false" outlineLevel="0" collapsed="false">
      <c r="A238" s="5" t="s">
        <v>13225</v>
      </c>
      <c r="B238" s="5" t="s">
        <v>394</v>
      </c>
      <c r="C238" s="5" t="s">
        <v>133</v>
      </c>
      <c r="D238" s="5" t="s">
        <v>39</v>
      </c>
      <c r="E238" s="5" t="n">
        <f aca="false">ROUND(7623*1.05,2)</f>
        <v>8004.15</v>
      </c>
      <c r="F238" s="5" t="s">
        <v>40</v>
      </c>
      <c r="G238" s="5" t="s">
        <v>24</v>
      </c>
      <c r="H238" s="5" t="n">
        <f aca="true">ROUND(RAND()*4+6,1)</f>
        <v>8.7</v>
      </c>
      <c r="I238" s="5" t="s">
        <v>41</v>
      </c>
      <c r="J238" s="5" t="str">
        <f aca="false">ROUND(77*1,0)&amp;"%"</f>
        <v>77%</v>
      </c>
    </row>
    <row r="239" customFormat="false" ht="15" hidden="false" customHeight="false" outlineLevel="0" collapsed="false">
      <c r="A239" s="6" t="s">
        <v>13226</v>
      </c>
      <c r="B239" s="6" t="s">
        <v>396</v>
      </c>
      <c r="C239" s="6" t="s">
        <v>133</v>
      </c>
      <c r="D239" s="6" t="s">
        <v>44</v>
      </c>
      <c r="E239" s="6" t="n">
        <f aca="false">ROUND(17199*1.05,2)</f>
        <v>18058.95</v>
      </c>
      <c r="F239" s="6" t="s">
        <v>45</v>
      </c>
      <c r="G239" s="6" t="s">
        <v>30</v>
      </c>
      <c r="H239" s="6" t="n">
        <f aca="true">ROUND(RAND()*4+6,1)</f>
        <v>7.5</v>
      </c>
      <c r="I239" s="6" t="s">
        <v>46</v>
      </c>
      <c r="J239" s="6" t="str">
        <f aca="false">ROUND(82*1,0)&amp;"%"</f>
        <v>82%</v>
      </c>
    </row>
    <row r="240" customFormat="false" ht="15" hidden="false" customHeight="false" outlineLevel="0" collapsed="false">
      <c r="A240" s="5" t="s">
        <v>13227</v>
      </c>
      <c r="B240" s="5" t="s">
        <v>398</v>
      </c>
      <c r="C240" s="5" t="s">
        <v>133</v>
      </c>
      <c r="D240" s="5" t="s">
        <v>16</v>
      </c>
      <c r="E240" s="5" t="n">
        <f aca="false">ROUND(8276*1.05,2)</f>
        <v>8689.8</v>
      </c>
      <c r="F240" s="5" t="s">
        <v>49</v>
      </c>
      <c r="G240" s="5" t="s">
        <v>18</v>
      </c>
      <c r="H240" s="5" t="n">
        <f aca="true">ROUND(RAND()*4+6,1)</f>
        <v>8</v>
      </c>
      <c r="I240" s="5" t="s">
        <v>19</v>
      </c>
      <c r="J240" s="5" t="str">
        <f aca="false">ROUND(81*1,0)&amp;"%"</f>
        <v>81%</v>
      </c>
    </row>
    <row r="241" customFormat="false" ht="15" hidden="false" customHeight="false" outlineLevel="0" collapsed="false">
      <c r="A241" s="6" t="s">
        <v>13228</v>
      </c>
      <c r="B241" s="6" t="s">
        <v>400</v>
      </c>
      <c r="C241" s="6" t="s">
        <v>133</v>
      </c>
      <c r="D241" s="6" t="s">
        <v>22</v>
      </c>
      <c r="E241" s="6" t="n">
        <f aca="false">ROUND(9496*1.05,2)</f>
        <v>9970.8</v>
      </c>
      <c r="F241" s="6" t="s">
        <v>52</v>
      </c>
      <c r="G241" s="6" t="s">
        <v>24</v>
      </c>
      <c r="H241" s="6" t="n">
        <f aca="true">ROUND(RAND()*4+6,1)</f>
        <v>9.9</v>
      </c>
      <c r="I241" s="6" t="s">
        <v>25</v>
      </c>
      <c r="J241" s="6" t="str">
        <f aca="false">ROUND(91*1,0)&amp;"%"</f>
        <v>91%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13229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13230</v>
      </c>
      <c r="B246" s="5" t="s">
        <v>404</v>
      </c>
      <c r="C246" s="5" t="s">
        <v>152</v>
      </c>
      <c r="D246" s="5" t="s">
        <v>16</v>
      </c>
      <c r="E246" s="5" t="n">
        <f aca="false">ROUND(7423*1.05,2)</f>
        <v>7794.15</v>
      </c>
      <c r="F246" s="5" t="s">
        <v>17</v>
      </c>
      <c r="G246" s="5" t="s">
        <v>18</v>
      </c>
      <c r="H246" s="5" t="n">
        <f aca="true">ROUND(RAND()*4+6,1)</f>
        <v>9.8</v>
      </c>
      <c r="I246" s="5" t="s">
        <v>19</v>
      </c>
      <c r="J246" s="5" t="str">
        <f aca="false">ROUND(82*1,0)&amp;"%"</f>
        <v>82%</v>
      </c>
    </row>
    <row r="247" customFormat="false" ht="15" hidden="false" customHeight="false" outlineLevel="0" collapsed="false">
      <c r="A247" s="6" t="s">
        <v>13231</v>
      </c>
      <c r="B247" s="6" t="s">
        <v>406</v>
      </c>
      <c r="C247" s="6" t="s">
        <v>152</v>
      </c>
      <c r="D247" s="6" t="s">
        <v>22</v>
      </c>
      <c r="E247" s="6" t="n">
        <f aca="false">ROUND(12663*1.05,2)</f>
        <v>13296.15</v>
      </c>
      <c r="F247" s="6" t="s">
        <v>23</v>
      </c>
      <c r="G247" s="6" t="s">
        <v>24</v>
      </c>
      <c r="H247" s="6" t="n">
        <f aca="true">ROUND(RAND()*4+6,1)</f>
        <v>6.4</v>
      </c>
      <c r="I247" s="6" t="s">
        <v>25</v>
      </c>
      <c r="J247" s="6" t="str">
        <f aca="false">ROUND(74*1,0)&amp;"%"</f>
        <v>74%</v>
      </c>
    </row>
    <row r="248" customFormat="false" ht="15" hidden="false" customHeight="false" outlineLevel="0" collapsed="false">
      <c r="A248" s="5" t="s">
        <v>13232</v>
      </c>
      <c r="B248" s="5" t="s">
        <v>408</v>
      </c>
      <c r="C248" s="5" t="s">
        <v>152</v>
      </c>
      <c r="D248" s="5" t="s">
        <v>28</v>
      </c>
      <c r="E248" s="5" t="n">
        <f aca="false">ROUND(4539*1.05,2)</f>
        <v>4765.95</v>
      </c>
      <c r="F248" s="5" t="s">
        <v>29</v>
      </c>
      <c r="G248" s="5" t="s">
        <v>30</v>
      </c>
      <c r="H248" s="5" t="n">
        <f aca="true">ROUND(RAND()*4+6,1)</f>
        <v>8.8</v>
      </c>
      <c r="I248" s="5" t="s">
        <v>31</v>
      </c>
      <c r="J248" s="5" t="str">
        <f aca="false">ROUND(84*1,0)&amp;"%"</f>
        <v>84%</v>
      </c>
    </row>
    <row r="249" customFormat="false" ht="15" hidden="false" customHeight="false" outlineLevel="0" collapsed="false">
      <c r="A249" s="6" t="s">
        <v>13233</v>
      </c>
      <c r="B249" s="6" t="s">
        <v>410</v>
      </c>
      <c r="C249" s="6" t="s">
        <v>152</v>
      </c>
      <c r="D249" s="6" t="s">
        <v>34</v>
      </c>
      <c r="E249" s="6" t="n">
        <f aca="false">ROUND(14051*1.05,2)</f>
        <v>14753.55</v>
      </c>
      <c r="F249" s="6" t="s">
        <v>35</v>
      </c>
      <c r="G249" s="6" t="s">
        <v>18</v>
      </c>
      <c r="H249" s="6" t="n">
        <f aca="true">ROUND(RAND()*4+6,1)</f>
        <v>8.1</v>
      </c>
      <c r="I249" s="6" t="s">
        <v>36</v>
      </c>
      <c r="J249" s="6" t="str">
        <f aca="false">ROUND(82*1,0)&amp;"%"</f>
        <v>82%</v>
      </c>
    </row>
    <row r="250" customFormat="false" ht="15" hidden="false" customHeight="false" outlineLevel="0" collapsed="false">
      <c r="A250" s="5" t="s">
        <v>13234</v>
      </c>
      <c r="B250" s="5" t="s">
        <v>412</v>
      </c>
      <c r="C250" s="5" t="s">
        <v>152</v>
      </c>
      <c r="D250" s="5" t="s">
        <v>39</v>
      </c>
      <c r="E250" s="5" t="n">
        <f aca="false">ROUND(13250*1.05,2)</f>
        <v>13912.5</v>
      </c>
      <c r="F250" s="5" t="s">
        <v>40</v>
      </c>
      <c r="G250" s="5" t="s">
        <v>24</v>
      </c>
      <c r="H250" s="5" t="n">
        <f aca="true">ROUND(RAND()*4+6,1)</f>
        <v>6.2</v>
      </c>
      <c r="I250" s="5" t="s">
        <v>41</v>
      </c>
      <c r="J250" s="5" t="str">
        <f aca="false">ROUND(87*1,0)&amp;"%"</f>
        <v>87%</v>
      </c>
    </row>
    <row r="251" customFormat="false" ht="15" hidden="false" customHeight="false" outlineLevel="0" collapsed="false">
      <c r="A251" s="6" t="s">
        <v>13235</v>
      </c>
      <c r="B251" s="6" t="s">
        <v>414</v>
      </c>
      <c r="C251" s="6" t="s">
        <v>152</v>
      </c>
      <c r="D251" s="6" t="s">
        <v>44</v>
      </c>
      <c r="E251" s="6" t="n">
        <f aca="false">ROUND(7981*1.05,2)</f>
        <v>8380.05</v>
      </c>
      <c r="F251" s="6" t="s">
        <v>45</v>
      </c>
      <c r="G251" s="6" t="s">
        <v>30</v>
      </c>
      <c r="H251" s="6" t="n">
        <f aca="true">ROUND(RAND()*4+6,1)</f>
        <v>8.8</v>
      </c>
      <c r="I251" s="6" t="s">
        <v>46</v>
      </c>
      <c r="J251" s="6" t="str">
        <f aca="false">ROUND(98*1,0)&amp;"%"</f>
        <v>98%</v>
      </c>
    </row>
    <row r="252" customFormat="false" ht="15" hidden="false" customHeight="false" outlineLevel="0" collapsed="false">
      <c r="A252" s="5" t="s">
        <v>13236</v>
      </c>
      <c r="B252" s="5" t="s">
        <v>416</v>
      </c>
      <c r="C252" s="5" t="s">
        <v>152</v>
      </c>
      <c r="D252" s="5" t="s">
        <v>16</v>
      </c>
      <c r="E252" s="5" t="n">
        <f aca="false">ROUND(17888*1.05,2)</f>
        <v>18782.4</v>
      </c>
      <c r="F252" s="5" t="s">
        <v>49</v>
      </c>
      <c r="G252" s="5" t="s">
        <v>18</v>
      </c>
      <c r="H252" s="5" t="n">
        <f aca="true">ROUND(RAND()*4+6,1)</f>
        <v>9.5</v>
      </c>
      <c r="I252" s="5" t="s">
        <v>19</v>
      </c>
      <c r="J252" s="5" t="str">
        <f aca="false">ROUND(87*1,0)&amp;"%"</f>
        <v>87%</v>
      </c>
    </row>
    <row r="253" customFormat="false" ht="15" hidden="false" customHeight="false" outlineLevel="0" collapsed="false">
      <c r="A253" s="6" t="s">
        <v>13237</v>
      </c>
      <c r="B253" s="6" t="s">
        <v>418</v>
      </c>
      <c r="C253" s="6" t="s">
        <v>152</v>
      </c>
      <c r="D253" s="6" t="s">
        <v>22</v>
      </c>
      <c r="E253" s="6" t="n">
        <f aca="false">ROUND(8898*1.05,2)</f>
        <v>9342.9</v>
      </c>
      <c r="F253" s="6" t="s">
        <v>52</v>
      </c>
      <c r="G253" s="6" t="s">
        <v>24</v>
      </c>
      <c r="H253" s="6" t="n">
        <f aca="true">ROUND(RAND()*4+6,1)</f>
        <v>10</v>
      </c>
      <c r="I253" s="6" t="s">
        <v>25</v>
      </c>
      <c r="J253" s="6" t="str">
        <f aca="false">ROUND(98*1,0)&amp;"%"</f>
        <v>98%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13238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13239</v>
      </c>
      <c r="B258" s="5" t="s">
        <v>422</v>
      </c>
      <c r="C258" s="5" t="s">
        <v>15</v>
      </c>
      <c r="D258" s="5" t="s">
        <v>16</v>
      </c>
      <c r="E258" s="5" t="n">
        <f aca="false">ROUND(8197*1.05,2)</f>
        <v>8606.85</v>
      </c>
      <c r="F258" s="5" t="s">
        <v>17</v>
      </c>
      <c r="G258" s="5" t="s">
        <v>18</v>
      </c>
      <c r="H258" s="5" t="n">
        <f aca="true">ROUND(RAND()*4+6,1)</f>
        <v>9.8</v>
      </c>
      <c r="I258" s="5" t="s">
        <v>19</v>
      </c>
      <c r="J258" s="5" t="str">
        <f aca="false">ROUND(86*1,0)&amp;"%"</f>
        <v>86%</v>
      </c>
    </row>
    <row r="259" customFormat="false" ht="15" hidden="false" customHeight="false" outlineLevel="0" collapsed="false">
      <c r="A259" s="6" t="s">
        <v>13240</v>
      </c>
      <c r="B259" s="6" t="s">
        <v>424</v>
      </c>
      <c r="C259" s="6" t="s">
        <v>15</v>
      </c>
      <c r="D259" s="6" t="s">
        <v>22</v>
      </c>
      <c r="E259" s="6" t="n">
        <f aca="false">ROUND(5612*1.05,2)</f>
        <v>5892.6</v>
      </c>
      <c r="F259" s="6" t="s">
        <v>23</v>
      </c>
      <c r="G259" s="6" t="s">
        <v>24</v>
      </c>
      <c r="H259" s="6" t="n">
        <f aca="true">ROUND(RAND()*4+6,1)</f>
        <v>9.4</v>
      </c>
      <c r="I259" s="6" t="s">
        <v>25</v>
      </c>
      <c r="J259" s="6" t="str">
        <f aca="false">ROUND(67*1,0)&amp;"%"</f>
        <v>67%</v>
      </c>
    </row>
    <row r="260" customFormat="false" ht="15" hidden="false" customHeight="false" outlineLevel="0" collapsed="false">
      <c r="A260" s="5" t="s">
        <v>13241</v>
      </c>
      <c r="B260" s="5" t="s">
        <v>426</v>
      </c>
      <c r="C260" s="5" t="s">
        <v>15</v>
      </c>
      <c r="D260" s="5" t="s">
        <v>28</v>
      </c>
      <c r="E260" s="5" t="n">
        <f aca="false">ROUND(16803*1.05,2)</f>
        <v>17643.15</v>
      </c>
      <c r="F260" s="5" t="s">
        <v>29</v>
      </c>
      <c r="G260" s="5" t="s">
        <v>30</v>
      </c>
      <c r="H260" s="5" t="n">
        <f aca="true">ROUND(RAND()*4+6,1)</f>
        <v>6.8</v>
      </c>
      <c r="I260" s="5" t="s">
        <v>31</v>
      </c>
      <c r="J260" s="5" t="str">
        <f aca="false">ROUND(95*1,0)&amp;"%"</f>
        <v>95%</v>
      </c>
    </row>
    <row r="261" customFormat="false" ht="15" hidden="false" customHeight="false" outlineLevel="0" collapsed="false">
      <c r="A261" s="6" t="s">
        <v>13242</v>
      </c>
      <c r="B261" s="6" t="s">
        <v>428</v>
      </c>
      <c r="C261" s="6" t="s">
        <v>15</v>
      </c>
      <c r="D261" s="6" t="s">
        <v>34</v>
      </c>
      <c r="E261" s="6" t="n">
        <f aca="false">ROUND(14639*1.05,2)</f>
        <v>15370.95</v>
      </c>
      <c r="F261" s="6" t="s">
        <v>35</v>
      </c>
      <c r="G261" s="6" t="s">
        <v>18</v>
      </c>
      <c r="H261" s="6" t="n">
        <f aca="true">ROUND(RAND()*4+6,1)</f>
        <v>8</v>
      </c>
      <c r="I261" s="6" t="s">
        <v>36</v>
      </c>
      <c r="J261" s="6" t="str">
        <f aca="false">ROUND(88*1,0)&amp;"%"</f>
        <v>88%</v>
      </c>
    </row>
    <row r="262" customFormat="false" ht="15" hidden="false" customHeight="false" outlineLevel="0" collapsed="false">
      <c r="A262" s="5" t="s">
        <v>13243</v>
      </c>
      <c r="B262" s="5" t="s">
        <v>430</v>
      </c>
      <c r="C262" s="5" t="s">
        <v>15</v>
      </c>
      <c r="D262" s="5" t="s">
        <v>39</v>
      </c>
      <c r="E262" s="5" t="n">
        <f aca="false">ROUND(5227*1.05,2)</f>
        <v>5488.35</v>
      </c>
      <c r="F262" s="5" t="s">
        <v>40</v>
      </c>
      <c r="G262" s="5" t="s">
        <v>24</v>
      </c>
      <c r="H262" s="5" t="n">
        <f aca="true">ROUND(RAND()*4+6,1)</f>
        <v>9.5</v>
      </c>
      <c r="I262" s="5" t="s">
        <v>41</v>
      </c>
      <c r="J262" s="5" t="str">
        <f aca="false">ROUND(65*1,0)&amp;"%"</f>
        <v>65%</v>
      </c>
    </row>
    <row r="263" customFormat="false" ht="15" hidden="false" customHeight="false" outlineLevel="0" collapsed="false">
      <c r="A263" s="6" t="s">
        <v>13244</v>
      </c>
      <c r="B263" s="6" t="s">
        <v>432</v>
      </c>
      <c r="C263" s="6" t="s">
        <v>15</v>
      </c>
      <c r="D263" s="6" t="s">
        <v>44</v>
      </c>
      <c r="E263" s="6" t="n">
        <f aca="false">ROUND(4338*1.05,2)</f>
        <v>4554.9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13245</v>
      </c>
      <c r="B264" s="5" t="s">
        <v>434</v>
      </c>
      <c r="C264" s="5" t="s">
        <v>15</v>
      </c>
      <c r="D264" s="5" t="s">
        <v>16</v>
      </c>
      <c r="E264" s="5" t="n">
        <f aca="false">ROUND(11010*1.05,2)</f>
        <v>11560.5</v>
      </c>
      <c r="F264" s="5" t="s">
        <v>49</v>
      </c>
      <c r="G264" s="5" t="s">
        <v>18</v>
      </c>
      <c r="H264" s="5" t="n">
        <f aca="true">ROUND(RAND()*4+6,1)</f>
        <v>9.7</v>
      </c>
      <c r="I264" s="5" t="s">
        <v>19</v>
      </c>
      <c r="J264" s="5" t="str">
        <f aca="false">ROUND(81*1,0)&amp;"%"</f>
        <v>81%</v>
      </c>
    </row>
    <row r="265" customFormat="false" ht="15" hidden="false" customHeight="false" outlineLevel="0" collapsed="false">
      <c r="A265" s="6" t="s">
        <v>13246</v>
      </c>
      <c r="B265" s="6" t="s">
        <v>436</v>
      </c>
      <c r="C265" s="6" t="s">
        <v>15</v>
      </c>
      <c r="D265" s="6" t="s">
        <v>22</v>
      </c>
      <c r="E265" s="6" t="n">
        <f aca="false">ROUND(7954*1.05,2)</f>
        <v>8351.7</v>
      </c>
      <c r="F265" s="6" t="s">
        <v>52</v>
      </c>
      <c r="G265" s="6" t="s">
        <v>24</v>
      </c>
      <c r="H265" s="6" t="n">
        <f aca="true">ROUND(RAND()*4+6,1)</f>
        <v>9.9</v>
      </c>
      <c r="I265" s="6" t="s">
        <v>25</v>
      </c>
      <c r="J265" s="6" t="str">
        <f aca="false">ROUND(93*1,0)&amp;"%"</f>
        <v>93%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13247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13248</v>
      </c>
      <c r="B270" s="5" t="s">
        <v>440</v>
      </c>
      <c r="C270" s="5" t="s">
        <v>57</v>
      </c>
      <c r="D270" s="5" t="s">
        <v>16</v>
      </c>
      <c r="E270" s="5" t="n">
        <f aca="false">ROUND(13086*1.05,2)</f>
        <v>13740.3</v>
      </c>
      <c r="F270" s="5" t="s">
        <v>17</v>
      </c>
      <c r="G270" s="5" t="s">
        <v>18</v>
      </c>
      <c r="H270" s="5" t="n">
        <f aca="true">ROUND(RAND()*4+6,1)</f>
        <v>9.7</v>
      </c>
      <c r="I270" s="5" t="s">
        <v>19</v>
      </c>
      <c r="J270" s="5" t="str">
        <f aca="false">ROUND(72*1,0)&amp;"%"</f>
        <v>72%</v>
      </c>
    </row>
    <row r="271" customFormat="false" ht="15" hidden="false" customHeight="false" outlineLevel="0" collapsed="false">
      <c r="A271" s="6" t="s">
        <v>13249</v>
      </c>
      <c r="B271" s="6" t="s">
        <v>442</v>
      </c>
      <c r="C271" s="6" t="s">
        <v>57</v>
      </c>
      <c r="D271" s="6" t="s">
        <v>22</v>
      </c>
      <c r="E271" s="6" t="n">
        <f aca="false">ROUND(10353*1.05,2)</f>
        <v>10870.65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ROUND(90*1,0)&amp;"%"</f>
        <v>90%</v>
      </c>
    </row>
    <row r="272" customFormat="false" ht="15" hidden="false" customHeight="false" outlineLevel="0" collapsed="false">
      <c r="A272" s="5" t="s">
        <v>13250</v>
      </c>
      <c r="B272" s="5" t="s">
        <v>444</v>
      </c>
      <c r="C272" s="5" t="s">
        <v>57</v>
      </c>
      <c r="D272" s="5" t="s">
        <v>28</v>
      </c>
      <c r="E272" s="5" t="n">
        <f aca="false">ROUND(17226*1.05,2)</f>
        <v>18087.3</v>
      </c>
      <c r="F272" s="5" t="s">
        <v>29</v>
      </c>
      <c r="G272" s="5" t="s">
        <v>30</v>
      </c>
      <c r="H272" s="5" t="n">
        <f aca="true">ROUND(RAND()*4+6,1)</f>
        <v>6.5</v>
      </c>
      <c r="I272" s="5" t="s">
        <v>31</v>
      </c>
      <c r="J272" s="5" t="str">
        <f aca="false">ROUND(80*1,0)&amp;"%"</f>
        <v>80%</v>
      </c>
    </row>
    <row r="273" customFormat="false" ht="15" hidden="false" customHeight="false" outlineLevel="0" collapsed="false">
      <c r="A273" s="6" t="s">
        <v>13251</v>
      </c>
      <c r="B273" s="6" t="s">
        <v>446</v>
      </c>
      <c r="C273" s="6" t="s">
        <v>57</v>
      </c>
      <c r="D273" s="6" t="s">
        <v>34</v>
      </c>
      <c r="E273" s="6" t="n">
        <f aca="false">ROUND(8528*1.05,2)</f>
        <v>8954.4</v>
      </c>
      <c r="F273" s="6" t="s">
        <v>35</v>
      </c>
      <c r="G273" s="6" t="s">
        <v>18</v>
      </c>
      <c r="H273" s="6" t="n">
        <f aca="true">ROUND(RAND()*4+6,1)</f>
        <v>8.8</v>
      </c>
      <c r="I273" s="6" t="s">
        <v>36</v>
      </c>
      <c r="J273" s="6" t="str">
        <f aca="false">ROUND(98*1,0)&amp;"%"</f>
        <v>98%</v>
      </c>
    </row>
    <row r="274" customFormat="false" ht="15" hidden="false" customHeight="false" outlineLevel="0" collapsed="false">
      <c r="A274" s="5" t="s">
        <v>13252</v>
      </c>
      <c r="B274" s="5" t="s">
        <v>448</v>
      </c>
      <c r="C274" s="5" t="s">
        <v>57</v>
      </c>
      <c r="D274" s="5" t="s">
        <v>39</v>
      </c>
      <c r="E274" s="5" t="n">
        <f aca="false">ROUND(10417*1.05,2)</f>
        <v>10937.85</v>
      </c>
      <c r="F274" s="5" t="s">
        <v>40</v>
      </c>
      <c r="G274" s="5" t="s">
        <v>24</v>
      </c>
      <c r="H274" s="5" t="n">
        <f aca="true">ROUND(RAND()*4+6,1)</f>
        <v>6.4</v>
      </c>
      <c r="I274" s="5" t="s">
        <v>41</v>
      </c>
      <c r="J274" s="5" t="str">
        <f aca="false">ROUND(97*1,0)&amp;"%"</f>
        <v>97%</v>
      </c>
    </row>
    <row r="275" customFormat="false" ht="15" hidden="false" customHeight="false" outlineLevel="0" collapsed="false">
      <c r="A275" s="6" t="s">
        <v>13253</v>
      </c>
      <c r="B275" s="6" t="s">
        <v>450</v>
      </c>
      <c r="C275" s="6" t="s">
        <v>57</v>
      </c>
      <c r="D275" s="6" t="s">
        <v>44</v>
      </c>
      <c r="E275" s="6" t="n">
        <f aca="false">ROUND(17871*1.05,2)</f>
        <v>18764.55</v>
      </c>
      <c r="F275" s="6" t="s">
        <v>45</v>
      </c>
      <c r="G275" s="6" t="s">
        <v>30</v>
      </c>
      <c r="H275" s="6" t="n">
        <f aca="true">ROUND(RAND()*4+6,1)</f>
        <v>8.2</v>
      </c>
      <c r="I275" s="6" t="s">
        <v>46</v>
      </c>
      <c r="J275" s="6" t="str">
        <f aca="false">ROUND(73*1,0)&amp;"%"</f>
        <v>73%</v>
      </c>
    </row>
    <row r="276" customFormat="false" ht="15" hidden="false" customHeight="false" outlineLevel="0" collapsed="false">
      <c r="A276" s="5" t="s">
        <v>13254</v>
      </c>
      <c r="B276" s="5" t="s">
        <v>452</v>
      </c>
      <c r="C276" s="5" t="s">
        <v>57</v>
      </c>
      <c r="D276" s="5" t="s">
        <v>16</v>
      </c>
      <c r="E276" s="5" t="n">
        <f aca="false">ROUND(6480*1.05,2)</f>
        <v>6804</v>
      </c>
      <c r="F276" s="5" t="s">
        <v>49</v>
      </c>
      <c r="G276" s="5" t="s">
        <v>18</v>
      </c>
      <c r="H276" s="5" t="n">
        <f aca="true">ROUND(RAND()*4+6,1)</f>
        <v>8.6</v>
      </c>
      <c r="I276" s="5" t="s">
        <v>19</v>
      </c>
      <c r="J276" s="5" t="str">
        <f aca="false">ROUND(71*1,0)&amp;"%"</f>
        <v>71%</v>
      </c>
    </row>
    <row r="277" customFormat="false" ht="15" hidden="false" customHeight="false" outlineLevel="0" collapsed="false">
      <c r="A277" s="6" t="s">
        <v>13255</v>
      </c>
      <c r="B277" s="6" t="s">
        <v>454</v>
      </c>
      <c r="C277" s="6" t="s">
        <v>57</v>
      </c>
      <c r="D277" s="6" t="s">
        <v>22</v>
      </c>
      <c r="E277" s="6" t="n">
        <f aca="false">ROUND(10889*1.05,2)</f>
        <v>11433.45</v>
      </c>
      <c r="F277" s="6" t="s">
        <v>52</v>
      </c>
      <c r="G277" s="6" t="s">
        <v>24</v>
      </c>
      <c r="H277" s="6" t="n">
        <f aca="true">ROUND(RAND()*4+6,1)</f>
        <v>6.1</v>
      </c>
      <c r="I277" s="6" t="s">
        <v>25</v>
      </c>
      <c r="J277" s="6" t="str">
        <f aca="false">ROUND(68*1,0)&amp;"%"</f>
        <v>68%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13256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13257</v>
      </c>
      <c r="B282" s="5" t="s">
        <v>458</v>
      </c>
      <c r="C282" s="5" t="s">
        <v>76</v>
      </c>
      <c r="D282" s="5" t="s">
        <v>16</v>
      </c>
      <c r="E282" s="5" t="n">
        <f aca="false">ROUND(5869*1.05,2)</f>
        <v>6162.45</v>
      </c>
      <c r="F282" s="5" t="s">
        <v>17</v>
      </c>
      <c r="G282" s="5" t="s">
        <v>18</v>
      </c>
      <c r="H282" s="5" t="n">
        <f aca="true">ROUND(RAND()*4+6,1)</f>
        <v>6.2</v>
      </c>
      <c r="I282" s="5" t="s">
        <v>19</v>
      </c>
      <c r="J282" s="5" t="str">
        <f aca="false">ROUND(69*1,0)&amp;"%"</f>
        <v>69%</v>
      </c>
    </row>
    <row r="283" customFormat="false" ht="15" hidden="false" customHeight="false" outlineLevel="0" collapsed="false">
      <c r="A283" s="6" t="s">
        <v>13258</v>
      </c>
      <c r="B283" s="6" t="s">
        <v>460</v>
      </c>
      <c r="C283" s="6" t="s">
        <v>76</v>
      </c>
      <c r="D283" s="6" t="s">
        <v>22</v>
      </c>
      <c r="E283" s="6" t="n">
        <f aca="false">ROUND(12874*1.05,2)</f>
        <v>13517.7</v>
      </c>
      <c r="F283" s="6" t="s">
        <v>23</v>
      </c>
      <c r="G283" s="6" t="s">
        <v>24</v>
      </c>
      <c r="H283" s="6" t="n">
        <f aca="true">ROUND(RAND()*4+6,1)</f>
        <v>8.7</v>
      </c>
      <c r="I283" s="6" t="s">
        <v>25</v>
      </c>
      <c r="J283" s="6" t="str">
        <f aca="false">ROUND(88*1,0)&amp;"%"</f>
        <v>88%</v>
      </c>
    </row>
    <row r="284" customFormat="false" ht="15" hidden="false" customHeight="false" outlineLevel="0" collapsed="false">
      <c r="A284" s="5" t="s">
        <v>13259</v>
      </c>
      <c r="B284" s="5" t="s">
        <v>462</v>
      </c>
      <c r="C284" s="5" t="s">
        <v>76</v>
      </c>
      <c r="D284" s="5" t="s">
        <v>28</v>
      </c>
      <c r="E284" s="5" t="n">
        <f aca="false">ROUND(17530*1.05,2)</f>
        <v>18406.5</v>
      </c>
      <c r="F284" s="5" t="s">
        <v>29</v>
      </c>
      <c r="G284" s="5" t="s">
        <v>30</v>
      </c>
      <c r="H284" s="5" t="n">
        <f aca="true">ROUND(RAND()*4+6,1)</f>
        <v>9.6</v>
      </c>
      <c r="I284" s="5" t="s">
        <v>31</v>
      </c>
      <c r="J284" s="5" t="str">
        <f aca="false">ROUND(74*1,0)&amp;"%"</f>
        <v>74%</v>
      </c>
    </row>
    <row r="285" customFormat="false" ht="15" hidden="false" customHeight="false" outlineLevel="0" collapsed="false">
      <c r="A285" s="6" t="s">
        <v>13260</v>
      </c>
      <c r="B285" s="6" t="s">
        <v>464</v>
      </c>
      <c r="C285" s="6" t="s">
        <v>76</v>
      </c>
      <c r="D285" s="6" t="s">
        <v>34</v>
      </c>
      <c r="E285" s="6" t="n">
        <f aca="false">ROUND(16527*1.05,2)</f>
        <v>17353.35</v>
      </c>
      <c r="F285" s="6" t="s">
        <v>35</v>
      </c>
      <c r="G285" s="6" t="s">
        <v>18</v>
      </c>
      <c r="H285" s="6" t="n">
        <f aca="true">ROUND(RAND()*4+6,1)</f>
        <v>6.9</v>
      </c>
      <c r="I285" s="6" t="s">
        <v>36</v>
      </c>
      <c r="J285" s="6" t="str">
        <f aca="false">ROUND(63*1,0)&amp;"%"</f>
        <v>63%</v>
      </c>
    </row>
    <row r="286" customFormat="false" ht="15" hidden="false" customHeight="false" outlineLevel="0" collapsed="false">
      <c r="A286" s="5" t="s">
        <v>13261</v>
      </c>
      <c r="B286" s="5" t="s">
        <v>466</v>
      </c>
      <c r="C286" s="5" t="s">
        <v>76</v>
      </c>
      <c r="D286" s="5" t="s">
        <v>39</v>
      </c>
      <c r="E286" s="5" t="n">
        <f aca="false">ROUND(12330*1.05,2)</f>
        <v>12946.5</v>
      </c>
      <c r="F286" s="5" t="s">
        <v>40</v>
      </c>
      <c r="G286" s="5" t="s">
        <v>24</v>
      </c>
      <c r="H286" s="5" t="n">
        <f aca="true">ROUND(RAND()*4+6,1)</f>
        <v>7.8</v>
      </c>
      <c r="I286" s="5" t="s">
        <v>41</v>
      </c>
      <c r="J286" s="5" t="str">
        <f aca="false">ROUND(91*1,0)&amp;"%"</f>
        <v>91%</v>
      </c>
    </row>
    <row r="287" customFormat="false" ht="15" hidden="false" customHeight="false" outlineLevel="0" collapsed="false">
      <c r="A287" s="6" t="s">
        <v>13262</v>
      </c>
      <c r="B287" s="6" t="s">
        <v>468</v>
      </c>
      <c r="C287" s="6" t="s">
        <v>76</v>
      </c>
      <c r="D287" s="6" t="s">
        <v>44</v>
      </c>
      <c r="E287" s="6" t="n">
        <f aca="false">ROUND(9763*1.05,2)</f>
        <v>10251.15</v>
      </c>
      <c r="F287" s="6" t="s">
        <v>45</v>
      </c>
      <c r="G287" s="6" t="s">
        <v>30</v>
      </c>
      <c r="H287" s="6" t="n">
        <f aca="true">ROUND(RAND()*4+6,1)</f>
        <v>8.9</v>
      </c>
      <c r="I287" s="6" t="s">
        <v>46</v>
      </c>
      <c r="J287" s="6" t="str">
        <f aca="false">ROUND(74*1,0)&amp;"%"</f>
        <v>74%</v>
      </c>
    </row>
    <row r="288" customFormat="false" ht="15" hidden="false" customHeight="false" outlineLevel="0" collapsed="false">
      <c r="A288" s="5" t="s">
        <v>13263</v>
      </c>
      <c r="B288" s="5" t="s">
        <v>470</v>
      </c>
      <c r="C288" s="5" t="s">
        <v>76</v>
      </c>
      <c r="D288" s="5" t="s">
        <v>16</v>
      </c>
      <c r="E288" s="5" t="n">
        <f aca="false">ROUND(16203*1.05,2)</f>
        <v>17013.15</v>
      </c>
      <c r="F288" s="5" t="s">
        <v>49</v>
      </c>
      <c r="G288" s="5" t="s">
        <v>18</v>
      </c>
      <c r="H288" s="5" t="n">
        <f aca="true">ROUND(RAND()*4+6,1)</f>
        <v>9.5</v>
      </c>
      <c r="I288" s="5" t="s">
        <v>19</v>
      </c>
      <c r="J288" s="5" t="str">
        <f aca="false">ROUND(72*1,0)&amp;"%"</f>
        <v>72%</v>
      </c>
    </row>
    <row r="289" customFormat="false" ht="15" hidden="false" customHeight="false" outlineLevel="0" collapsed="false">
      <c r="A289" s="6" t="s">
        <v>13264</v>
      </c>
      <c r="B289" s="6" t="s">
        <v>472</v>
      </c>
      <c r="C289" s="6" t="s">
        <v>76</v>
      </c>
      <c r="D289" s="6" t="s">
        <v>22</v>
      </c>
      <c r="E289" s="6" t="n">
        <f aca="false">ROUND(4510*1.05,2)</f>
        <v>4735.5</v>
      </c>
      <c r="F289" s="6" t="s">
        <v>52</v>
      </c>
      <c r="G289" s="6" t="s">
        <v>24</v>
      </c>
      <c r="H289" s="6" t="n">
        <f aca="true">ROUND(RAND()*4+6,1)</f>
        <v>7</v>
      </c>
      <c r="I289" s="6" t="s">
        <v>25</v>
      </c>
      <c r="J289" s="6" t="str">
        <f aca="false">ROUND(87*1,0)&amp;"%"</f>
        <v>87%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13265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13266</v>
      </c>
      <c r="B294" s="5" t="s">
        <v>476</v>
      </c>
      <c r="C294" s="5" t="s">
        <v>95</v>
      </c>
      <c r="D294" s="5" t="s">
        <v>16</v>
      </c>
      <c r="E294" s="5" t="n">
        <f aca="false">ROUND(13230*1.05,2)</f>
        <v>13891.5</v>
      </c>
      <c r="F294" s="5" t="s">
        <v>17</v>
      </c>
      <c r="G294" s="5" t="s">
        <v>18</v>
      </c>
      <c r="H294" s="5" t="n">
        <f aca="true">ROUND(RAND()*4+6,1)</f>
        <v>6.8</v>
      </c>
      <c r="I294" s="5" t="s">
        <v>19</v>
      </c>
      <c r="J294" s="5" t="str">
        <f aca="false">ROUND(73*1,0)&amp;"%"</f>
        <v>73%</v>
      </c>
    </row>
    <row r="295" customFormat="false" ht="15" hidden="false" customHeight="false" outlineLevel="0" collapsed="false">
      <c r="A295" s="6" t="s">
        <v>13267</v>
      </c>
      <c r="B295" s="6" t="s">
        <v>478</v>
      </c>
      <c r="C295" s="6" t="s">
        <v>95</v>
      </c>
      <c r="D295" s="6" t="s">
        <v>22</v>
      </c>
      <c r="E295" s="6" t="n">
        <f aca="false">ROUND(12022*1.05,2)</f>
        <v>12623.1</v>
      </c>
      <c r="F295" s="6" t="s">
        <v>23</v>
      </c>
      <c r="G295" s="6" t="s">
        <v>24</v>
      </c>
      <c r="H295" s="6" t="n">
        <f aca="true">ROUND(RAND()*4+6,1)</f>
        <v>8.4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13268</v>
      </c>
      <c r="B296" s="5" t="s">
        <v>480</v>
      </c>
      <c r="C296" s="5" t="s">
        <v>95</v>
      </c>
      <c r="D296" s="5" t="s">
        <v>28</v>
      </c>
      <c r="E296" s="5" t="n">
        <f aca="false">ROUND(9360*1.05,2)</f>
        <v>9828</v>
      </c>
      <c r="F296" s="5" t="s">
        <v>29</v>
      </c>
      <c r="G296" s="5" t="s">
        <v>30</v>
      </c>
      <c r="H296" s="5" t="n">
        <f aca="true">ROUND(RAND()*4+6,1)</f>
        <v>8.4</v>
      </c>
      <c r="I296" s="5" t="s">
        <v>31</v>
      </c>
      <c r="J296" s="5" t="str">
        <f aca="false">ROUND(87*1,0)&amp;"%"</f>
        <v>87%</v>
      </c>
    </row>
    <row r="297" customFormat="false" ht="15" hidden="false" customHeight="false" outlineLevel="0" collapsed="false">
      <c r="A297" s="6" t="s">
        <v>13269</v>
      </c>
      <c r="B297" s="6" t="s">
        <v>482</v>
      </c>
      <c r="C297" s="6" t="s">
        <v>95</v>
      </c>
      <c r="D297" s="6" t="s">
        <v>34</v>
      </c>
      <c r="E297" s="6" t="n">
        <f aca="false">ROUND(7756*1.05,2)</f>
        <v>8143.8</v>
      </c>
      <c r="F297" s="6" t="s">
        <v>35</v>
      </c>
      <c r="G297" s="6" t="s">
        <v>18</v>
      </c>
      <c r="H297" s="6" t="n">
        <f aca="true">ROUND(RAND()*4+6,1)</f>
        <v>8.3</v>
      </c>
      <c r="I297" s="6" t="s">
        <v>36</v>
      </c>
      <c r="J297" s="6" t="str">
        <f aca="false">ROUND(96*1,0)&amp;"%"</f>
        <v>96%</v>
      </c>
    </row>
    <row r="298" customFormat="false" ht="15" hidden="false" customHeight="false" outlineLevel="0" collapsed="false">
      <c r="A298" s="5" t="s">
        <v>13270</v>
      </c>
      <c r="B298" s="5" t="s">
        <v>484</v>
      </c>
      <c r="C298" s="5" t="s">
        <v>95</v>
      </c>
      <c r="D298" s="5" t="s">
        <v>39</v>
      </c>
      <c r="E298" s="5" t="n">
        <f aca="false">ROUND(6231*1.05,2)</f>
        <v>6542.55</v>
      </c>
      <c r="F298" s="5" t="s">
        <v>40</v>
      </c>
      <c r="G298" s="5" t="s">
        <v>24</v>
      </c>
      <c r="H298" s="5" t="n">
        <f aca="true">ROUND(RAND()*4+6,1)</f>
        <v>6.9</v>
      </c>
      <c r="I298" s="5" t="s">
        <v>41</v>
      </c>
      <c r="J298" s="5" t="str">
        <f aca="false">ROUND(80*1,0)&amp;"%"</f>
        <v>80%</v>
      </c>
    </row>
    <row r="299" customFormat="false" ht="15" hidden="false" customHeight="false" outlineLevel="0" collapsed="false">
      <c r="A299" s="6" t="s">
        <v>13271</v>
      </c>
      <c r="B299" s="6" t="s">
        <v>486</v>
      </c>
      <c r="C299" s="6" t="s">
        <v>95</v>
      </c>
      <c r="D299" s="6" t="s">
        <v>44</v>
      </c>
      <c r="E299" s="6" t="n">
        <f aca="false">ROUND(10561*1.05,2)</f>
        <v>11089.05</v>
      </c>
      <c r="F299" s="6" t="s">
        <v>45</v>
      </c>
      <c r="G299" s="6" t="s">
        <v>30</v>
      </c>
      <c r="H299" s="6" t="n">
        <f aca="true">ROUND(RAND()*4+6,1)</f>
        <v>9.6</v>
      </c>
      <c r="I299" s="6" t="s">
        <v>46</v>
      </c>
      <c r="J299" s="6" t="str">
        <f aca="false">ROUND(70*1,0)&amp;"%"</f>
        <v>70%</v>
      </c>
    </row>
    <row r="300" customFormat="false" ht="15" hidden="false" customHeight="false" outlineLevel="0" collapsed="false">
      <c r="A300" s="5" t="s">
        <v>13272</v>
      </c>
      <c r="B300" s="5" t="s">
        <v>488</v>
      </c>
      <c r="C300" s="5" t="s">
        <v>95</v>
      </c>
      <c r="D300" s="5" t="s">
        <v>16</v>
      </c>
      <c r="E300" s="5" t="n">
        <f aca="false">ROUND(17145*1.05,2)</f>
        <v>18002.25</v>
      </c>
      <c r="F300" s="5" t="s">
        <v>49</v>
      </c>
      <c r="G300" s="5" t="s">
        <v>18</v>
      </c>
      <c r="H300" s="5" t="n">
        <f aca="true">ROUND(RAND()*4+6,1)</f>
        <v>9</v>
      </c>
      <c r="I300" s="5" t="s">
        <v>19</v>
      </c>
      <c r="J300" s="5" t="str">
        <f aca="false">ROUND(88*1,0)&amp;"%"</f>
        <v>88%</v>
      </c>
    </row>
    <row r="301" customFormat="false" ht="15" hidden="false" customHeight="false" outlineLevel="0" collapsed="false">
      <c r="A301" s="6" t="s">
        <v>13273</v>
      </c>
      <c r="B301" s="6" t="s">
        <v>490</v>
      </c>
      <c r="C301" s="6" t="s">
        <v>95</v>
      </c>
      <c r="D301" s="6" t="s">
        <v>22</v>
      </c>
      <c r="E301" s="6" t="n">
        <f aca="false">ROUND(9976*1.05,2)</f>
        <v>10474.8</v>
      </c>
      <c r="F301" s="6" t="s">
        <v>52</v>
      </c>
      <c r="G301" s="6" t="s">
        <v>24</v>
      </c>
      <c r="H301" s="6" t="n">
        <f aca="true">ROUND(RAND()*4+6,1)</f>
        <v>6.2</v>
      </c>
      <c r="I301" s="6" t="s">
        <v>25</v>
      </c>
      <c r="J301" s="6" t="str">
        <f aca="false">ROUND(90*1,0)&amp;"%"</f>
        <v>90%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13274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13275</v>
      </c>
      <c r="B306" s="5" t="s">
        <v>494</v>
      </c>
      <c r="C306" s="5" t="s">
        <v>114</v>
      </c>
      <c r="D306" s="5" t="s">
        <v>16</v>
      </c>
      <c r="E306" s="5" t="n">
        <f aca="false">ROUND(15230*1.05,2)</f>
        <v>15991.5</v>
      </c>
      <c r="F306" s="5" t="s">
        <v>17</v>
      </c>
      <c r="G306" s="5" t="s">
        <v>18</v>
      </c>
      <c r="H306" s="5" t="n">
        <f aca="true">ROUND(RAND()*4+6,1)</f>
        <v>8</v>
      </c>
      <c r="I306" s="5" t="s">
        <v>19</v>
      </c>
      <c r="J306" s="5" t="str">
        <f aca="false">ROUND(97*1,0)&amp;"%"</f>
        <v>97%</v>
      </c>
    </row>
    <row r="307" customFormat="false" ht="15" hidden="false" customHeight="false" outlineLevel="0" collapsed="false">
      <c r="A307" s="6" t="s">
        <v>13276</v>
      </c>
      <c r="B307" s="6" t="s">
        <v>496</v>
      </c>
      <c r="C307" s="6" t="s">
        <v>114</v>
      </c>
      <c r="D307" s="6" t="s">
        <v>22</v>
      </c>
      <c r="E307" s="6" t="n">
        <f aca="false">ROUND(14077*1.05,2)</f>
        <v>14780.85</v>
      </c>
      <c r="F307" s="6" t="s">
        <v>23</v>
      </c>
      <c r="G307" s="6" t="s">
        <v>24</v>
      </c>
      <c r="H307" s="6" t="n">
        <f aca="true">ROUND(RAND()*4+6,1)</f>
        <v>10</v>
      </c>
      <c r="I307" s="6" t="s">
        <v>25</v>
      </c>
      <c r="J307" s="6" t="str">
        <f aca="false">ROUND(95*1,0)&amp;"%"</f>
        <v>95%</v>
      </c>
    </row>
    <row r="308" customFormat="false" ht="15" hidden="false" customHeight="false" outlineLevel="0" collapsed="false">
      <c r="A308" s="5" t="s">
        <v>13277</v>
      </c>
      <c r="B308" s="5" t="s">
        <v>498</v>
      </c>
      <c r="C308" s="5" t="s">
        <v>114</v>
      </c>
      <c r="D308" s="5" t="s">
        <v>28</v>
      </c>
      <c r="E308" s="5" t="n">
        <f aca="false">ROUND(11025*1.05,2)</f>
        <v>11576.25</v>
      </c>
      <c r="F308" s="5" t="s">
        <v>29</v>
      </c>
      <c r="G308" s="5" t="s">
        <v>30</v>
      </c>
      <c r="H308" s="5" t="n">
        <f aca="true">ROUND(RAND()*4+6,1)</f>
        <v>6.4</v>
      </c>
      <c r="I308" s="5" t="s">
        <v>31</v>
      </c>
      <c r="J308" s="5" t="str">
        <f aca="false">ROUND(87*1,0)&amp;"%"</f>
        <v>87%</v>
      </c>
    </row>
    <row r="309" customFormat="false" ht="15" hidden="false" customHeight="false" outlineLevel="0" collapsed="false">
      <c r="A309" s="6" t="s">
        <v>13278</v>
      </c>
      <c r="B309" s="6" t="s">
        <v>500</v>
      </c>
      <c r="C309" s="6" t="s">
        <v>114</v>
      </c>
      <c r="D309" s="6" t="s">
        <v>34</v>
      </c>
      <c r="E309" s="6" t="n">
        <f aca="false">ROUND(4975*1.05,2)</f>
        <v>5223.75</v>
      </c>
      <c r="F309" s="6" t="s">
        <v>35</v>
      </c>
      <c r="G309" s="6" t="s">
        <v>18</v>
      </c>
      <c r="H309" s="6" t="n">
        <f aca="true">ROUND(RAND()*4+6,1)</f>
        <v>9.2</v>
      </c>
      <c r="I309" s="6" t="s">
        <v>36</v>
      </c>
      <c r="J309" s="6" t="str">
        <f aca="false">ROUND(99*1,0)&amp;"%"</f>
        <v>99%</v>
      </c>
    </row>
    <row r="310" customFormat="false" ht="15" hidden="false" customHeight="false" outlineLevel="0" collapsed="false">
      <c r="A310" s="5" t="s">
        <v>13279</v>
      </c>
      <c r="B310" s="5" t="s">
        <v>502</v>
      </c>
      <c r="C310" s="5" t="s">
        <v>114</v>
      </c>
      <c r="D310" s="5" t="s">
        <v>39</v>
      </c>
      <c r="E310" s="5" t="n">
        <f aca="false">ROUND(4914*1.05,2)</f>
        <v>5159.7</v>
      </c>
      <c r="F310" s="5" t="s">
        <v>40</v>
      </c>
      <c r="G310" s="5" t="s">
        <v>24</v>
      </c>
      <c r="H310" s="5" t="n">
        <f aca="true">ROUND(RAND()*4+6,1)</f>
        <v>8.3</v>
      </c>
      <c r="I310" s="5" t="s">
        <v>41</v>
      </c>
      <c r="J310" s="5" t="str">
        <f aca="false">ROUND(87*1,0)&amp;"%"</f>
        <v>87%</v>
      </c>
    </row>
    <row r="311" customFormat="false" ht="15" hidden="false" customHeight="false" outlineLevel="0" collapsed="false">
      <c r="A311" s="6" t="s">
        <v>13280</v>
      </c>
      <c r="B311" s="6" t="s">
        <v>504</v>
      </c>
      <c r="C311" s="6" t="s">
        <v>114</v>
      </c>
      <c r="D311" s="6" t="s">
        <v>44</v>
      </c>
      <c r="E311" s="6" t="n">
        <f aca="false">ROUND(10455*1.05,2)</f>
        <v>10977.75</v>
      </c>
      <c r="F311" s="6" t="s">
        <v>45</v>
      </c>
      <c r="G311" s="6" t="s">
        <v>30</v>
      </c>
      <c r="H311" s="6" t="n">
        <f aca="true">ROUND(RAND()*4+6,1)</f>
        <v>7.8</v>
      </c>
      <c r="I311" s="6" t="s">
        <v>46</v>
      </c>
      <c r="J311" s="6" t="str">
        <f aca="false">ROUND(61*1,0)&amp;"%"</f>
        <v>61%</v>
      </c>
    </row>
    <row r="312" customFormat="false" ht="15" hidden="false" customHeight="false" outlineLevel="0" collapsed="false">
      <c r="A312" s="5" t="s">
        <v>13281</v>
      </c>
      <c r="B312" s="5" t="s">
        <v>506</v>
      </c>
      <c r="C312" s="5" t="s">
        <v>114</v>
      </c>
      <c r="D312" s="5" t="s">
        <v>16</v>
      </c>
      <c r="E312" s="5" t="n">
        <f aca="false">ROUND(12841*1.05,2)</f>
        <v>13483.05</v>
      </c>
      <c r="F312" s="5" t="s">
        <v>49</v>
      </c>
      <c r="G312" s="5" t="s">
        <v>18</v>
      </c>
      <c r="H312" s="5" t="n">
        <f aca="true">ROUND(RAND()*4+6,1)</f>
        <v>6.9</v>
      </c>
      <c r="I312" s="5" t="s">
        <v>19</v>
      </c>
      <c r="J312" s="5" t="str">
        <f aca="false">ROUND(84*1,0)&amp;"%"</f>
        <v>84%</v>
      </c>
    </row>
    <row r="313" customFormat="false" ht="15" hidden="false" customHeight="false" outlineLevel="0" collapsed="false">
      <c r="A313" s="6" t="s">
        <v>13282</v>
      </c>
      <c r="B313" s="6" t="s">
        <v>508</v>
      </c>
      <c r="C313" s="6" t="s">
        <v>114</v>
      </c>
      <c r="D313" s="6" t="s">
        <v>22</v>
      </c>
      <c r="E313" s="6" t="n">
        <f aca="false">ROUND(10439*1.05,2)</f>
        <v>10960.95</v>
      </c>
      <c r="F313" s="6" t="s">
        <v>52</v>
      </c>
      <c r="G313" s="6" t="s">
        <v>24</v>
      </c>
      <c r="H313" s="6" t="n">
        <f aca="true">ROUND(RAND()*4+6,1)</f>
        <v>6.3</v>
      </c>
      <c r="I313" s="6" t="s">
        <v>25</v>
      </c>
      <c r="J313" s="6" t="str">
        <f aca="false">ROUND(73*1,0)&amp;"%"</f>
        <v>73%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13283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13284</v>
      </c>
      <c r="B318" s="5" t="s">
        <v>512</v>
      </c>
      <c r="C318" s="5" t="s">
        <v>133</v>
      </c>
      <c r="D318" s="5" t="s">
        <v>16</v>
      </c>
      <c r="E318" s="5" t="n">
        <f aca="false">ROUND(12625*1.05,2)</f>
        <v>13256.25</v>
      </c>
      <c r="F318" s="5" t="s">
        <v>17</v>
      </c>
      <c r="G318" s="5" t="s">
        <v>18</v>
      </c>
      <c r="H318" s="5" t="n">
        <f aca="true">ROUND(RAND()*4+6,1)</f>
        <v>9.8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13285</v>
      </c>
      <c r="B319" s="6" t="s">
        <v>514</v>
      </c>
      <c r="C319" s="6" t="s">
        <v>133</v>
      </c>
      <c r="D319" s="6" t="s">
        <v>22</v>
      </c>
      <c r="E319" s="6" t="n">
        <f aca="false">ROUND(4428*1.05,2)</f>
        <v>4649.4</v>
      </c>
      <c r="F319" s="6" t="s">
        <v>23</v>
      </c>
      <c r="G319" s="6" t="s">
        <v>24</v>
      </c>
      <c r="H319" s="6" t="n">
        <f aca="true">ROUND(RAND()*4+6,1)</f>
        <v>9.7</v>
      </c>
      <c r="I319" s="6" t="s">
        <v>25</v>
      </c>
      <c r="J319" s="6" t="str">
        <f aca="false">ROUND(83*1,0)&amp;"%"</f>
        <v>83%</v>
      </c>
    </row>
    <row r="320" customFormat="false" ht="15" hidden="false" customHeight="false" outlineLevel="0" collapsed="false">
      <c r="A320" s="5" t="s">
        <v>13286</v>
      </c>
      <c r="B320" s="5" t="s">
        <v>516</v>
      </c>
      <c r="C320" s="5" t="s">
        <v>133</v>
      </c>
      <c r="D320" s="5" t="s">
        <v>28</v>
      </c>
      <c r="E320" s="5" t="n">
        <f aca="false">ROUND(15586*1.05,2)</f>
        <v>16365.3</v>
      </c>
      <c r="F320" s="5" t="s">
        <v>29</v>
      </c>
      <c r="G320" s="5" t="s">
        <v>30</v>
      </c>
      <c r="H320" s="5" t="n">
        <f aca="true">ROUND(RAND()*4+6,1)</f>
        <v>6.9</v>
      </c>
      <c r="I320" s="5" t="s">
        <v>31</v>
      </c>
      <c r="J320" s="5" t="str">
        <f aca="false">ROUND(99*1,0)&amp;"%"</f>
        <v>99%</v>
      </c>
    </row>
    <row r="321" customFormat="false" ht="15" hidden="false" customHeight="false" outlineLevel="0" collapsed="false">
      <c r="A321" s="6" t="s">
        <v>13287</v>
      </c>
      <c r="B321" s="6" t="s">
        <v>518</v>
      </c>
      <c r="C321" s="6" t="s">
        <v>133</v>
      </c>
      <c r="D321" s="6" t="s">
        <v>34</v>
      </c>
      <c r="E321" s="6" t="n">
        <f aca="false">ROUND(9467*1.05,2)</f>
        <v>9940.35</v>
      </c>
      <c r="F321" s="6" t="s">
        <v>35</v>
      </c>
      <c r="G321" s="6" t="s">
        <v>18</v>
      </c>
      <c r="H321" s="6" t="n">
        <f aca="true">ROUND(RAND()*4+6,1)</f>
        <v>6.3</v>
      </c>
      <c r="I321" s="6" t="s">
        <v>36</v>
      </c>
      <c r="J321" s="6" t="str">
        <f aca="false">ROUND(67*1,0)&amp;"%"</f>
        <v>67%</v>
      </c>
    </row>
    <row r="322" customFormat="false" ht="15" hidden="false" customHeight="false" outlineLevel="0" collapsed="false">
      <c r="A322" s="5" t="s">
        <v>13288</v>
      </c>
      <c r="B322" s="5" t="s">
        <v>520</v>
      </c>
      <c r="C322" s="5" t="s">
        <v>133</v>
      </c>
      <c r="D322" s="5" t="s">
        <v>39</v>
      </c>
      <c r="E322" s="5" t="n">
        <f aca="false">ROUND(10043*1.05,2)</f>
        <v>10545.15</v>
      </c>
      <c r="F322" s="5" t="s">
        <v>40</v>
      </c>
      <c r="G322" s="5" t="s">
        <v>24</v>
      </c>
      <c r="H322" s="5" t="n">
        <f aca="true">ROUND(RAND()*4+6,1)</f>
        <v>8.7</v>
      </c>
      <c r="I322" s="5" t="s">
        <v>41</v>
      </c>
      <c r="J322" s="5" t="str">
        <f aca="false">ROUND(98*1,0)&amp;"%"</f>
        <v>98%</v>
      </c>
    </row>
    <row r="323" customFormat="false" ht="15" hidden="false" customHeight="false" outlineLevel="0" collapsed="false">
      <c r="A323" s="6" t="s">
        <v>13289</v>
      </c>
      <c r="B323" s="6" t="s">
        <v>522</v>
      </c>
      <c r="C323" s="6" t="s">
        <v>133</v>
      </c>
      <c r="D323" s="6" t="s">
        <v>44</v>
      </c>
      <c r="E323" s="6" t="n">
        <f aca="false">ROUND(8689*1.05,2)</f>
        <v>9123.45</v>
      </c>
      <c r="F323" s="6" t="s">
        <v>45</v>
      </c>
      <c r="G323" s="6" t="s">
        <v>30</v>
      </c>
      <c r="H323" s="6" t="n">
        <f aca="true">ROUND(RAND()*4+6,1)</f>
        <v>6.2</v>
      </c>
      <c r="I323" s="6" t="s">
        <v>46</v>
      </c>
      <c r="J323" s="6" t="str">
        <f aca="false">ROUND(69*1,0)&amp;"%"</f>
        <v>69%</v>
      </c>
    </row>
    <row r="324" customFormat="false" ht="15" hidden="false" customHeight="false" outlineLevel="0" collapsed="false">
      <c r="A324" s="5" t="s">
        <v>13290</v>
      </c>
      <c r="B324" s="5" t="s">
        <v>524</v>
      </c>
      <c r="C324" s="5" t="s">
        <v>133</v>
      </c>
      <c r="D324" s="5" t="s">
        <v>16</v>
      </c>
      <c r="E324" s="5" t="n">
        <f aca="false">ROUND(7956*1.05,2)</f>
        <v>8353.8</v>
      </c>
      <c r="F324" s="5" t="s">
        <v>49</v>
      </c>
      <c r="G324" s="5" t="s">
        <v>18</v>
      </c>
      <c r="H324" s="5" t="n">
        <f aca="true">ROUND(RAND()*4+6,1)</f>
        <v>9.6</v>
      </c>
      <c r="I324" s="5" t="s">
        <v>19</v>
      </c>
      <c r="J324" s="5" t="str">
        <f aca="false">ROUND(84*1,0)&amp;"%"</f>
        <v>84%</v>
      </c>
    </row>
    <row r="325" customFormat="false" ht="15" hidden="false" customHeight="false" outlineLevel="0" collapsed="false">
      <c r="A325" s="6" t="s">
        <v>13291</v>
      </c>
      <c r="B325" s="6" t="s">
        <v>526</v>
      </c>
      <c r="C325" s="6" t="s">
        <v>133</v>
      </c>
      <c r="D325" s="6" t="s">
        <v>22</v>
      </c>
      <c r="E325" s="6" t="n">
        <f aca="false">ROUND(14400*1.05,2)</f>
        <v>15120</v>
      </c>
      <c r="F325" s="6" t="s">
        <v>52</v>
      </c>
      <c r="G325" s="6" t="s">
        <v>24</v>
      </c>
      <c r="H325" s="6" t="n">
        <f aca="true">ROUND(RAND()*4+6,1)</f>
        <v>6.5</v>
      </c>
      <c r="I325" s="6" t="s">
        <v>25</v>
      </c>
      <c r="J325" s="6" t="str">
        <f aca="false">ROUND(86*1,0)&amp;"%"</f>
        <v>86%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13292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13293</v>
      </c>
      <c r="B330" s="5" t="s">
        <v>530</v>
      </c>
      <c r="C330" s="5" t="s">
        <v>152</v>
      </c>
      <c r="D330" s="5" t="s">
        <v>16</v>
      </c>
      <c r="E330" s="5" t="n">
        <f aca="false">ROUND(11209*1.05,2)</f>
        <v>11769.45</v>
      </c>
      <c r="F330" s="5" t="s">
        <v>17</v>
      </c>
      <c r="G330" s="5" t="s">
        <v>18</v>
      </c>
      <c r="H330" s="5" t="n">
        <f aca="true">ROUND(RAND()*4+6,1)</f>
        <v>9.5</v>
      </c>
      <c r="I330" s="5" t="s">
        <v>19</v>
      </c>
      <c r="J330" s="5" t="str">
        <f aca="false">ROUND(89*1,0)&amp;"%"</f>
        <v>89%</v>
      </c>
    </row>
    <row r="331" customFormat="false" ht="15" hidden="false" customHeight="false" outlineLevel="0" collapsed="false">
      <c r="A331" s="6" t="s">
        <v>13294</v>
      </c>
      <c r="B331" s="6" t="s">
        <v>532</v>
      </c>
      <c r="C331" s="6" t="s">
        <v>152</v>
      </c>
      <c r="D331" s="6" t="s">
        <v>22</v>
      </c>
      <c r="E331" s="6" t="n">
        <f aca="false">ROUND(5819*1.05,2)</f>
        <v>6109.95</v>
      </c>
      <c r="F331" s="6" t="s">
        <v>23</v>
      </c>
      <c r="G331" s="6" t="s">
        <v>24</v>
      </c>
      <c r="H331" s="6" t="n">
        <f aca="true">ROUND(RAND()*4+6,1)</f>
        <v>10</v>
      </c>
      <c r="I331" s="6" t="s">
        <v>25</v>
      </c>
      <c r="J331" s="6" t="str">
        <f aca="false">ROUND(89*1,0)&amp;"%"</f>
        <v>89%</v>
      </c>
    </row>
    <row r="332" customFormat="false" ht="15" hidden="false" customHeight="false" outlineLevel="0" collapsed="false">
      <c r="A332" s="5" t="s">
        <v>13295</v>
      </c>
      <c r="B332" s="5" t="s">
        <v>534</v>
      </c>
      <c r="C332" s="5" t="s">
        <v>152</v>
      </c>
      <c r="D332" s="5" t="s">
        <v>28</v>
      </c>
      <c r="E332" s="5" t="n">
        <f aca="false">ROUND(10592*1.05,2)</f>
        <v>11121.6</v>
      </c>
      <c r="F332" s="5" t="s">
        <v>29</v>
      </c>
      <c r="G332" s="5" t="s">
        <v>30</v>
      </c>
      <c r="H332" s="5" t="n">
        <f aca="true">ROUND(RAND()*4+6,1)</f>
        <v>9.6</v>
      </c>
      <c r="I332" s="5" t="s">
        <v>31</v>
      </c>
      <c r="J332" s="5" t="str">
        <f aca="false">ROUND(80*1,0)&amp;"%"</f>
        <v>80%</v>
      </c>
    </row>
    <row r="333" customFormat="false" ht="15" hidden="false" customHeight="false" outlineLevel="0" collapsed="false">
      <c r="A333" s="6" t="s">
        <v>13296</v>
      </c>
      <c r="B333" s="6" t="s">
        <v>536</v>
      </c>
      <c r="C333" s="6" t="s">
        <v>152</v>
      </c>
      <c r="D333" s="6" t="s">
        <v>34</v>
      </c>
      <c r="E333" s="6" t="n">
        <f aca="false">ROUND(7463*1.05,2)</f>
        <v>7836.15</v>
      </c>
      <c r="F333" s="6" t="s">
        <v>35</v>
      </c>
      <c r="G333" s="6" t="s">
        <v>18</v>
      </c>
      <c r="H333" s="6" t="n">
        <f aca="true">ROUND(RAND()*4+6,1)</f>
        <v>8.5</v>
      </c>
      <c r="I333" s="6" t="s">
        <v>36</v>
      </c>
      <c r="J333" s="6" t="str">
        <f aca="false">ROUND(88*1,0)&amp;"%"</f>
        <v>88%</v>
      </c>
    </row>
    <row r="334" customFormat="false" ht="15" hidden="false" customHeight="false" outlineLevel="0" collapsed="false">
      <c r="A334" s="5" t="s">
        <v>13297</v>
      </c>
      <c r="B334" s="5" t="s">
        <v>538</v>
      </c>
      <c r="C334" s="5" t="s">
        <v>152</v>
      </c>
      <c r="D334" s="5" t="s">
        <v>39</v>
      </c>
      <c r="E334" s="5" t="n">
        <f aca="false">ROUND(6158*1.05,2)</f>
        <v>6465.9</v>
      </c>
      <c r="F334" s="5" t="s">
        <v>40</v>
      </c>
      <c r="G334" s="5" t="s">
        <v>24</v>
      </c>
      <c r="H334" s="5" t="n">
        <f aca="true">ROUND(RAND()*4+6,1)</f>
        <v>8.1</v>
      </c>
      <c r="I334" s="5" t="s">
        <v>41</v>
      </c>
      <c r="J334" s="5" t="str">
        <f aca="false">ROUND(63*1,0)&amp;"%"</f>
        <v>63%</v>
      </c>
    </row>
    <row r="335" customFormat="false" ht="15" hidden="false" customHeight="false" outlineLevel="0" collapsed="false">
      <c r="A335" s="6" t="s">
        <v>13298</v>
      </c>
      <c r="B335" s="6" t="s">
        <v>540</v>
      </c>
      <c r="C335" s="6" t="s">
        <v>152</v>
      </c>
      <c r="D335" s="6" t="s">
        <v>44</v>
      </c>
      <c r="E335" s="6" t="n">
        <f aca="false">ROUND(11039*1.05,2)</f>
        <v>11590.95</v>
      </c>
      <c r="F335" s="6" t="s">
        <v>45</v>
      </c>
      <c r="G335" s="6" t="s">
        <v>30</v>
      </c>
      <c r="H335" s="6" t="n">
        <f aca="true">ROUND(RAND()*4+6,1)</f>
        <v>9.8</v>
      </c>
      <c r="I335" s="6" t="s">
        <v>46</v>
      </c>
      <c r="J335" s="6" t="str">
        <f aca="false">ROUND(79*1,0)&amp;"%"</f>
        <v>79%</v>
      </c>
    </row>
    <row r="336" customFormat="false" ht="15" hidden="false" customHeight="false" outlineLevel="0" collapsed="false">
      <c r="A336" s="5" t="s">
        <v>13299</v>
      </c>
      <c r="B336" s="5" t="s">
        <v>542</v>
      </c>
      <c r="C336" s="5" t="s">
        <v>152</v>
      </c>
      <c r="D336" s="5" t="s">
        <v>16</v>
      </c>
      <c r="E336" s="5" t="n">
        <f aca="false">ROUND(7624*1.05,2)</f>
        <v>8005.2</v>
      </c>
      <c r="F336" s="5" t="s">
        <v>49</v>
      </c>
      <c r="G336" s="5" t="s">
        <v>18</v>
      </c>
      <c r="H336" s="5" t="n">
        <f aca="true">ROUND(RAND()*4+6,1)</f>
        <v>6.4</v>
      </c>
      <c r="I336" s="5" t="s">
        <v>19</v>
      </c>
      <c r="J336" s="5" t="str">
        <f aca="false">ROUND(65*1,0)&amp;"%"</f>
        <v>65%</v>
      </c>
    </row>
    <row r="337" customFormat="false" ht="15" hidden="false" customHeight="false" outlineLevel="0" collapsed="false">
      <c r="A337" s="6" t="s">
        <v>13300</v>
      </c>
      <c r="B337" s="6" t="s">
        <v>544</v>
      </c>
      <c r="C337" s="6" t="s">
        <v>152</v>
      </c>
      <c r="D337" s="6" t="s">
        <v>22</v>
      </c>
      <c r="E337" s="6" t="n">
        <f aca="false">ROUND(15307*1.05,2)</f>
        <v>16072.35</v>
      </c>
      <c r="F337" s="6" t="s">
        <v>52</v>
      </c>
      <c r="G337" s="6" t="s">
        <v>24</v>
      </c>
      <c r="H337" s="6" t="n">
        <f aca="true">ROUND(RAND()*4+6,1)</f>
        <v>6.7</v>
      </c>
      <c r="I337" s="6" t="s">
        <v>25</v>
      </c>
      <c r="J337" s="6" t="str">
        <f aca="false">ROUND(84*1,0)&amp;"%"</f>
        <v>84%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13301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13302</v>
      </c>
      <c r="B342" s="5" t="s">
        <v>548</v>
      </c>
      <c r="C342" s="5" t="s">
        <v>15</v>
      </c>
      <c r="D342" s="5" t="s">
        <v>16</v>
      </c>
      <c r="E342" s="5" t="n">
        <f aca="false">ROUND(13269*1.05,2)</f>
        <v>13932.45</v>
      </c>
      <c r="F342" s="5" t="s">
        <v>17</v>
      </c>
      <c r="G342" s="5" t="s">
        <v>18</v>
      </c>
      <c r="H342" s="5" t="n">
        <f aca="true">ROUND(RAND()*4+6,1)</f>
        <v>8.8</v>
      </c>
      <c r="I342" s="5" t="s">
        <v>19</v>
      </c>
      <c r="J342" s="5" t="str">
        <f aca="false">ROUND(88*1,0)&amp;"%"</f>
        <v>88%</v>
      </c>
    </row>
    <row r="343" customFormat="false" ht="15" hidden="false" customHeight="false" outlineLevel="0" collapsed="false">
      <c r="A343" s="6" t="s">
        <v>13303</v>
      </c>
      <c r="B343" s="6" t="s">
        <v>550</v>
      </c>
      <c r="C343" s="6" t="s">
        <v>15</v>
      </c>
      <c r="D343" s="6" t="s">
        <v>22</v>
      </c>
      <c r="E343" s="6" t="n">
        <f aca="false">ROUND(9307*1.05,2)</f>
        <v>9772.35</v>
      </c>
      <c r="F343" s="6" t="s">
        <v>23</v>
      </c>
      <c r="G343" s="6" t="s">
        <v>24</v>
      </c>
      <c r="H343" s="6" t="n">
        <f aca="true">ROUND(RAND()*4+6,1)</f>
        <v>8.9</v>
      </c>
      <c r="I343" s="6" t="s">
        <v>25</v>
      </c>
      <c r="J343" s="6" t="str">
        <f aca="false">ROUND(63*1,0)&amp;"%"</f>
        <v>63%</v>
      </c>
    </row>
    <row r="344" customFormat="false" ht="15" hidden="false" customHeight="false" outlineLevel="0" collapsed="false">
      <c r="A344" s="5" t="s">
        <v>13304</v>
      </c>
      <c r="B344" s="5" t="s">
        <v>552</v>
      </c>
      <c r="C344" s="5" t="s">
        <v>15</v>
      </c>
      <c r="D344" s="5" t="s">
        <v>28</v>
      </c>
      <c r="E344" s="5" t="n">
        <f aca="false">ROUND(16306*1.05,2)</f>
        <v>17121.3</v>
      </c>
      <c r="F344" s="5" t="s">
        <v>29</v>
      </c>
      <c r="G344" s="5" t="s">
        <v>30</v>
      </c>
      <c r="H344" s="5" t="n">
        <f aca="true">ROUND(RAND()*4+6,1)</f>
        <v>8.4</v>
      </c>
      <c r="I344" s="5" t="s">
        <v>31</v>
      </c>
      <c r="J344" s="5" t="str">
        <f aca="false">ROUND(71*1,0)&amp;"%"</f>
        <v>71%</v>
      </c>
    </row>
    <row r="345" customFormat="false" ht="15" hidden="false" customHeight="false" outlineLevel="0" collapsed="false">
      <c r="A345" s="6" t="s">
        <v>13305</v>
      </c>
      <c r="B345" s="6" t="s">
        <v>554</v>
      </c>
      <c r="C345" s="6" t="s">
        <v>15</v>
      </c>
      <c r="D345" s="6" t="s">
        <v>34</v>
      </c>
      <c r="E345" s="6" t="n">
        <f aca="false">ROUND(5098*1.05,2)</f>
        <v>5352.9</v>
      </c>
      <c r="F345" s="6" t="s">
        <v>35</v>
      </c>
      <c r="G345" s="6" t="s">
        <v>18</v>
      </c>
      <c r="H345" s="6" t="n">
        <f aca="true">ROUND(RAND()*4+6,1)</f>
        <v>6.1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13306</v>
      </c>
      <c r="B346" s="5" t="s">
        <v>556</v>
      </c>
      <c r="C346" s="5" t="s">
        <v>15</v>
      </c>
      <c r="D346" s="5" t="s">
        <v>39</v>
      </c>
      <c r="E346" s="5" t="n">
        <f aca="false">ROUND(9998*1.05,2)</f>
        <v>10497.9</v>
      </c>
      <c r="F346" s="5" t="s">
        <v>40</v>
      </c>
      <c r="G346" s="5" t="s">
        <v>24</v>
      </c>
      <c r="H346" s="5" t="n">
        <f aca="true">ROUND(RAND()*4+6,1)</f>
        <v>7.8</v>
      </c>
      <c r="I346" s="5" t="s">
        <v>41</v>
      </c>
      <c r="J346" s="5" t="str">
        <f aca="false">ROUND(100*1,0)&amp;"%"</f>
        <v>100%</v>
      </c>
    </row>
    <row r="347" customFormat="false" ht="15" hidden="false" customHeight="false" outlineLevel="0" collapsed="false">
      <c r="A347" s="6" t="s">
        <v>13307</v>
      </c>
      <c r="B347" s="6" t="s">
        <v>558</v>
      </c>
      <c r="C347" s="6" t="s">
        <v>15</v>
      </c>
      <c r="D347" s="6" t="s">
        <v>44</v>
      </c>
      <c r="E347" s="6" t="n">
        <f aca="false">ROUND(9691*1.05,2)</f>
        <v>10175.55</v>
      </c>
      <c r="F347" s="6" t="s">
        <v>45</v>
      </c>
      <c r="G347" s="6" t="s">
        <v>30</v>
      </c>
      <c r="H347" s="6" t="n">
        <f aca="true">ROUND(RAND()*4+6,1)</f>
        <v>6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13308</v>
      </c>
      <c r="B348" s="5" t="s">
        <v>560</v>
      </c>
      <c r="C348" s="5" t="s">
        <v>15</v>
      </c>
      <c r="D348" s="5" t="s">
        <v>16</v>
      </c>
      <c r="E348" s="5" t="n">
        <f aca="false">ROUND(17124*1.05,2)</f>
        <v>17980.2</v>
      </c>
      <c r="F348" s="5" t="s">
        <v>49</v>
      </c>
      <c r="G348" s="5" t="s">
        <v>18</v>
      </c>
      <c r="H348" s="5" t="n">
        <f aca="true">ROUND(RAND()*4+6,1)</f>
        <v>7.4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13309</v>
      </c>
      <c r="B349" s="6" t="s">
        <v>562</v>
      </c>
      <c r="C349" s="6" t="s">
        <v>15</v>
      </c>
      <c r="D349" s="6" t="s">
        <v>22</v>
      </c>
      <c r="E349" s="6" t="n">
        <f aca="false">ROUND(6491*1.05,2)</f>
        <v>6815.55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ROUND(85*1,0)&amp;"%"</f>
        <v>85%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13310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13311</v>
      </c>
      <c r="B354" s="5" t="s">
        <v>566</v>
      </c>
      <c r="C354" s="5" t="s">
        <v>57</v>
      </c>
      <c r="D354" s="5" t="s">
        <v>16</v>
      </c>
      <c r="E354" s="5" t="n">
        <f aca="false">ROUND(7184*1.05,2)</f>
        <v>7543.2</v>
      </c>
      <c r="F354" s="5" t="s">
        <v>17</v>
      </c>
      <c r="G354" s="5" t="s">
        <v>18</v>
      </c>
      <c r="H354" s="5" t="n">
        <f aca="true">ROUND(RAND()*4+6,1)</f>
        <v>6.8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13312</v>
      </c>
      <c r="B355" s="6" t="s">
        <v>568</v>
      </c>
      <c r="C355" s="6" t="s">
        <v>57</v>
      </c>
      <c r="D355" s="6" t="s">
        <v>22</v>
      </c>
      <c r="E355" s="6" t="n">
        <f aca="false">ROUND(12930*1.05,2)</f>
        <v>13576.5</v>
      </c>
      <c r="F355" s="6" t="s">
        <v>23</v>
      </c>
      <c r="G355" s="6" t="s">
        <v>24</v>
      </c>
      <c r="H355" s="6" t="n">
        <f aca="true">ROUND(RAND()*4+6,1)</f>
        <v>8.5</v>
      </c>
      <c r="I355" s="6" t="s">
        <v>25</v>
      </c>
      <c r="J355" s="6" t="str">
        <f aca="false">ROUND(61*1,0)&amp;"%"</f>
        <v>61%</v>
      </c>
    </row>
    <row r="356" customFormat="false" ht="15" hidden="false" customHeight="false" outlineLevel="0" collapsed="false">
      <c r="A356" s="5" t="s">
        <v>13313</v>
      </c>
      <c r="B356" s="5" t="s">
        <v>570</v>
      </c>
      <c r="C356" s="5" t="s">
        <v>57</v>
      </c>
      <c r="D356" s="5" t="s">
        <v>28</v>
      </c>
      <c r="E356" s="5" t="n">
        <f aca="false">ROUND(10124*1.05,2)</f>
        <v>10630.2</v>
      </c>
      <c r="F356" s="5" t="s">
        <v>29</v>
      </c>
      <c r="G356" s="5" t="s">
        <v>30</v>
      </c>
      <c r="H356" s="5" t="n">
        <f aca="true">ROUND(RAND()*4+6,1)</f>
        <v>8.7</v>
      </c>
      <c r="I356" s="5" t="s">
        <v>31</v>
      </c>
      <c r="J356" s="5" t="str">
        <f aca="false">ROUND(79*1,0)&amp;"%"</f>
        <v>79%</v>
      </c>
    </row>
    <row r="357" customFormat="false" ht="15" hidden="false" customHeight="false" outlineLevel="0" collapsed="false">
      <c r="A357" s="6" t="s">
        <v>13314</v>
      </c>
      <c r="B357" s="6" t="s">
        <v>572</v>
      </c>
      <c r="C357" s="6" t="s">
        <v>57</v>
      </c>
      <c r="D357" s="6" t="s">
        <v>34</v>
      </c>
      <c r="E357" s="6" t="n">
        <f aca="false">ROUND(6660*1.05,2)</f>
        <v>6993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ROUND(67*1,0)&amp;"%"</f>
        <v>67%</v>
      </c>
    </row>
    <row r="358" customFormat="false" ht="15" hidden="false" customHeight="false" outlineLevel="0" collapsed="false">
      <c r="A358" s="5" t="s">
        <v>13315</v>
      </c>
      <c r="B358" s="5" t="s">
        <v>574</v>
      </c>
      <c r="C358" s="5" t="s">
        <v>57</v>
      </c>
      <c r="D358" s="5" t="s">
        <v>39</v>
      </c>
      <c r="E358" s="5" t="n">
        <f aca="false">ROUND(14881*1.05,2)</f>
        <v>15625.05</v>
      </c>
      <c r="F358" s="5" t="s">
        <v>40</v>
      </c>
      <c r="G358" s="5" t="s">
        <v>24</v>
      </c>
      <c r="H358" s="5" t="n">
        <f aca="true">ROUND(RAND()*4+6,1)</f>
        <v>8</v>
      </c>
      <c r="I358" s="5" t="s">
        <v>41</v>
      </c>
      <c r="J358" s="5" t="str">
        <f aca="false">ROUND(65*1,0)&amp;"%"</f>
        <v>65%</v>
      </c>
    </row>
    <row r="359" customFormat="false" ht="15" hidden="false" customHeight="false" outlineLevel="0" collapsed="false">
      <c r="A359" s="6" t="s">
        <v>13316</v>
      </c>
      <c r="B359" s="6" t="s">
        <v>576</v>
      </c>
      <c r="C359" s="6" t="s">
        <v>57</v>
      </c>
      <c r="D359" s="6" t="s">
        <v>44</v>
      </c>
      <c r="E359" s="6" t="n">
        <f aca="false">ROUND(12161*1.05,2)</f>
        <v>12769.05</v>
      </c>
      <c r="F359" s="6" t="s">
        <v>45</v>
      </c>
      <c r="G359" s="6" t="s">
        <v>30</v>
      </c>
      <c r="H359" s="6" t="n">
        <f aca="true">ROUND(RAND()*4+6,1)</f>
        <v>6.8</v>
      </c>
      <c r="I359" s="6" t="s">
        <v>46</v>
      </c>
      <c r="J359" s="6" t="str">
        <f aca="false">ROUND(90*1,0)&amp;"%"</f>
        <v>90%</v>
      </c>
    </row>
    <row r="360" customFormat="false" ht="15" hidden="false" customHeight="false" outlineLevel="0" collapsed="false">
      <c r="A360" s="5" t="s">
        <v>13317</v>
      </c>
      <c r="B360" s="5" t="s">
        <v>578</v>
      </c>
      <c r="C360" s="5" t="s">
        <v>57</v>
      </c>
      <c r="D360" s="5" t="s">
        <v>16</v>
      </c>
      <c r="E360" s="5" t="n">
        <f aca="false">ROUND(7555*1.05,2)</f>
        <v>7932.75</v>
      </c>
      <c r="F360" s="5" t="s">
        <v>49</v>
      </c>
      <c r="G360" s="5" t="s">
        <v>18</v>
      </c>
      <c r="H360" s="5" t="n">
        <f aca="true">ROUND(RAND()*4+6,1)</f>
        <v>7.2</v>
      </c>
      <c r="I360" s="5" t="s">
        <v>19</v>
      </c>
      <c r="J360" s="5" t="str">
        <f aca="false">ROUND(60*1,0)&amp;"%"</f>
        <v>60%</v>
      </c>
    </row>
    <row r="361" customFormat="false" ht="15" hidden="false" customHeight="false" outlineLevel="0" collapsed="false">
      <c r="A361" s="6" t="s">
        <v>13318</v>
      </c>
      <c r="B361" s="6" t="s">
        <v>580</v>
      </c>
      <c r="C361" s="6" t="s">
        <v>57</v>
      </c>
      <c r="D361" s="6" t="s">
        <v>22</v>
      </c>
      <c r="E361" s="6" t="n">
        <f aca="false">ROUND(12355*1.05,2)</f>
        <v>12972.75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ROUND(88*1,0)&amp;"%"</f>
        <v>88%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13319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13320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13321</v>
      </c>
      <c r="B6" s="5" t="s">
        <v>14</v>
      </c>
      <c r="C6" s="5" t="s">
        <v>15</v>
      </c>
      <c r="D6" s="5" t="s">
        <v>16</v>
      </c>
      <c r="E6" s="5" t="n">
        <f aca="false">ROUND(4631*1.05,2)</f>
        <v>4862.55</v>
      </c>
      <c r="F6" s="5" t="s">
        <v>17</v>
      </c>
      <c r="G6" s="5" t="s">
        <v>18</v>
      </c>
      <c r="H6" s="5" t="n">
        <f aca="true">ROUND(RAND()*4+6,1)</f>
        <v>9.4</v>
      </c>
      <c r="I6" s="5" t="s">
        <v>19</v>
      </c>
      <c r="J6" s="5" t="str">
        <f aca="false">ROUND(75*1,0)&amp;"%"</f>
        <v>75%</v>
      </c>
    </row>
    <row r="7" customFormat="false" ht="15" hidden="false" customHeight="false" outlineLevel="0" collapsed="false">
      <c r="A7" s="6" t="s">
        <v>13322</v>
      </c>
      <c r="B7" s="6" t="s">
        <v>21</v>
      </c>
      <c r="C7" s="6" t="s">
        <v>15</v>
      </c>
      <c r="D7" s="6" t="s">
        <v>22</v>
      </c>
      <c r="E7" s="6" t="n">
        <f aca="false">ROUND(4744*1.05,2)</f>
        <v>4981.2</v>
      </c>
      <c r="F7" s="6" t="s">
        <v>23</v>
      </c>
      <c r="G7" s="6" t="s">
        <v>24</v>
      </c>
      <c r="H7" s="6" t="n">
        <f aca="true">ROUND(RAND()*4+6,1)</f>
        <v>8.5</v>
      </c>
      <c r="I7" s="6" t="s">
        <v>25</v>
      </c>
      <c r="J7" s="6" t="str">
        <f aca="false">ROUND(67*1,0)&amp;"%"</f>
        <v>67%</v>
      </c>
    </row>
    <row r="8" customFormat="false" ht="15" hidden="false" customHeight="false" outlineLevel="0" collapsed="false">
      <c r="A8" s="5" t="s">
        <v>13323</v>
      </c>
      <c r="B8" s="5" t="s">
        <v>27</v>
      </c>
      <c r="C8" s="5" t="s">
        <v>15</v>
      </c>
      <c r="D8" s="5" t="s">
        <v>28</v>
      </c>
      <c r="E8" s="5" t="n">
        <f aca="false">ROUND(6532*1.05,2)</f>
        <v>6858.6</v>
      </c>
      <c r="F8" s="5" t="s">
        <v>29</v>
      </c>
      <c r="G8" s="5" t="s">
        <v>30</v>
      </c>
      <c r="H8" s="5" t="n">
        <f aca="true">ROUND(RAND()*4+6,1)</f>
        <v>7.5</v>
      </c>
      <c r="I8" s="5" t="s">
        <v>31</v>
      </c>
      <c r="J8" s="5" t="str">
        <f aca="false">ROUND(63*1,0)&amp;"%"</f>
        <v>63%</v>
      </c>
    </row>
    <row r="9" customFormat="false" ht="15" hidden="false" customHeight="false" outlineLevel="0" collapsed="false">
      <c r="A9" s="6" t="s">
        <v>13324</v>
      </c>
      <c r="B9" s="6" t="s">
        <v>33</v>
      </c>
      <c r="C9" s="6" t="s">
        <v>15</v>
      </c>
      <c r="D9" s="6" t="s">
        <v>34</v>
      </c>
      <c r="E9" s="6" t="n">
        <f aca="false">ROUND(8143*1.05,2)</f>
        <v>8550.15</v>
      </c>
      <c r="F9" s="6" t="s">
        <v>35</v>
      </c>
      <c r="G9" s="6" t="s">
        <v>18</v>
      </c>
      <c r="H9" s="6" t="n">
        <f aca="true">ROUND(RAND()*4+6,1)</f>
        <v>8.4</v>
      </c>
      <c r="I9" s="6" t="s">
        <v>36</v>
      </c>
      <c r="J9" s="6" t="str">
        <f aca="false">ROUND(84*1,0)&amp;"%"</f>
        <v>84%</v>
      </c>
    </row>
    <row r="10" customFormat="false" ht="15" hidden="false" customHeight="false" outlineLevel="0" collapsed="false">
      <c r="A10" s="5" t="s">
        <v>13325</v>
      </c>
      <c r="B10" s="5" t="s">
        <v>38</v>
      </c>
      <c r="C10" s="5" t="s">
        <v>15</v>
      </c>
      <c r="D10" s="5" t="s">
        <v>39</v>
      </c>
      <c r="E10" s="5" t="n">
        <f aca="false">ROUND(16765*1.05,2)</f>
        <v>17603.25</v>
      </c>
      <c r="F10" s="5" t="s">
        <v>40</v>
      </c>
      <c r="G10" s="5" t="s">
        <v>24</v>
      </c>
      <c r="H10" s="5" t="n">
        <f aca="true">ROUND(RAND()*4+6,1)</f>
        <v>8.2</v>
      </c>
      <c r="I10" s="5" t="s">
        <v>41</v>
      </c>
      <c r="J10" s="5" t="str">
        <f aca="false">ROUND(90*1,0)&amp;"%"</f>
        <v>90%</v>
      </c>
    </row>
    <row r="11" customFormat="false" ht="15" hidden="false" customHeight="false" outlineLevel="0" collapsed="false">
      <c r="A11" s="6" t="s">
        <v>13326</v>
      </c>
      <c r="B11" s="6" t="s">
        <v>43</v>
      </c>
      <c r="C11" s="6" t="s">
        <v>15</v>
      </c>
      <c r="D11" s="6" t="s">
        <v>44</v>
      </c>
      <c r="E11" s="6" t="n">
        <f aca="false">ROUND(9009*1.05,2)</f>
        <v>9459.45</v>
      </c>
      <c r="F11" s="6" t="s">
        <v>45</v>
      </c>
      <c r="G11" s="6" t="s">
        <v>30</v>
      </c>
      <c r="H11" s="6" t="n">
        <f aca="true">ROUND(RAND()*4+6,1)</f>
        <v>8.6</v>
      </c>
      <c r="I11" s="6" t="s">
        <v>46</v>
      </c>
      <c r="J11" s="6" t="str">
        <f aca="false">ROUND(64*1,0)&amp;"%"</f>
        <v>64%</v>
      </c>
    </row>
    <row r="12" customFormat="false" ht="15" hidden="false" customHeight="false" outlineLevel="0" collapsed="false">
      <c r="A12" s="5" t="s">
        <v>13327</v>
      </c>
      <c r="B12" s="5" t="s">
        <v>48</v>
      </c>
      <c r="C12" s="5" t="s">
        <v>15</v>
      </c>
      <c r="D12" s="5" t="s">
        <v>16</v>
      </c>
      <c r="E12" s="5" t="n">
        <f aca="false">ROUND(12246*1.05,2)</f>
        <v>12858.3</v>
      </c>
      <c r="F12" s="5" t="s">
        <v>49</v>
      </c>
      <c r="G12" s="5" t="s">
        <v>18</v>
      </c>
      <c r="H12" s="5" t="n">
        <f aca="true">ROUND(RAND()*4+6,1)</f>
        <v>8.9</v>
      </c>
      <c r="I12" s="5" t="s">
        <v>19</v>
      </c>
      <c r="J12" s="5" t="str">
        <f aca="false">ROUND(99*1,0)&amp;"%"</f>
        <v>99%</v>
      </c>
    </row>
    <row r="13" customFormat="false" ht="15" hidden="false" customHeight="false" outlineLevel="0" collapsed="false">
      <c r="A13" s="6" t="s">
        <v>13328</v>
      </c>
      <c r="B13" s="6" t="s">
        <v>51</v>
      </c>
      <c r="C13" s="6" t="s">
        <v>15</v>
      </c>
      <c r="D13" s="6" t="s">
        <v>22</v>
      </c>
      <c r="E13" s="6" t="n">
        <f aca="false">ROUND(8826*1.05,2)</f>
        <v>9267.3</v>
      </c>
      <c r="F13" s="6" t="s">
        <v>52</v>
      </c>
      <c r="G13" s="6" t="s">
        <v>24</v>
      </c>
      <c r="H13" s="6" t="n">
        <f aca="true">ROUND(RAND()*4+6,1)</f>
        <v>8.1</v>
      </c>
      <c r="I13" s="6" t="s">
        <v>25</v>
      </c>
      <c r="J13" s="6" t="str">
        <f aca="false">ROUND(74*1,0)&amp;"%"</f>
        <v>74%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13329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13330</v>
      </c>
      <c r="B18" s="5" t="s">
        <v>56</v>
      </c>
      <c r="C18" s="5" t="s">
        <v>57</v>
      </c>
      <c r="D18" s="5" t="s">
        <v>16</v>
      </c>
      <c r="E18" s="5" t="n">
        <f aca="false">ROUND(6492*1.05,2)</f>
        <v>6816.6</v>
      </c>
      <c r="F18" s="5" t="s">
        <v>17</v>
      </c>
      <c r="G18" s="5" t="s">
        <v>18</v>
      </c>
      <c r="H18" s="5" t="n">
        <f aca="true">ROUND(RAND()*4+6,1)</f>
        <v>9.1</v>
      </c>
      <c r="I18" s="5" t="s">
        <v>19</v>
      </c>
      <c r="J18" s="5" t="str">
        <f aca="false">ROUND(64*1,0)&amp;"%"</f>
        <v>64%</v>
      </c>
    </row>
    <row r="19" customFormat="false" ht="15" hidden="false" customHeight="false" outlineLevel="0" collapsed="false">
      <c r="A19" s="6" t="s">
        <v>13331</v>
      </c>
      <c r="B19" s="6" t="s">
        <v>59</v>
      </c>
      <c r="C19" s="6" t="s">
        <v>57</v>
      </c>
      <c r="D19" s="6" t="s">
        <v>22</v>
      </c>
      <c r="E19" s="6" t="n">
        <f aca="false">ROUND(12391*1.05,2)</f>
        <v>13010.55</v>
      </c>
      <c r="F19" s="6" t="s">
        <v>23</v>
      </c>
      <c r="G19" s="6" t="s">
        <v>24</v>
      </c>
      <c r="H19" s="6" t="n">
        <f aca="true">ROUND(RAND()*4+6,1)</f>
        <v>6.8</v>
      </c>
      <c r="I19" s="6" t="s">
        <v>25</v>
      </c>
      <c r="J19" s="6" t="str">
        <f aca="false">ROUND(86*1,0)&amp;"%"</f>
        <v>86%</v>
      </c>
    </row>
    <row r="20" customFormat="false" ht="15" hidden="false" customHeight="false" outlineLevel="0" collapsed="false">
      <c r="A20" s="5" t="s">
        <v>13332</v>
      </c>
      <c r="B20" s="5" t="s">
        <v>61</v>
      </c>
      <c r="C20" s="5" t="s">
        <v>57</v>
      </c>
      <c r="D20" s="5" t="s">
        <v>28</v>
      </c>
      <c r="E20" s="5" t="n">
        <f aca="false">ROUND(12708*1.05,2)</f>
        <v>13343.4</v>
      </c>
      <c r="F20" s="5" t="s">
        <v>29</v>
      </c>
      <c r="G20" s="5" t="s">
        <v>30</v>
      </c>
      <c r="H20" s="5" t="n">
        <f aca="true">ROUND(RAND()*4+6,1)</f>
        <v>7.7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13333</v>
      </c>
      <c r="B21" s="6" t="s">
        <v>63</v>
      </c>
      <c r="C21" s="6" t="s">
        <v>57</v>
      </c>
      <c r="D21" s="6" t="s">
        <v>34</v>
      </c>
      <c r="E21" s="6" t="n">
        <f aca="false">ROUND(10407*1.05,2)</f>
        <v>10927.35</v>
      </c>
      <c r="F21" s="6" t="s">
        <v>35</v>
      </c>
      <c r="G21" s="6" t="s">
        <v>18</v>
      </c>
      <c r="H21" s="6" t="n">
        <f aca="true">ROUND(RAND()*4+6,1)</f>
        <v>6.4</v>
      </c>
      <c r="I21" s="6" t="s">
        <v>36</v>
      </c>
      <c r="J21" s="6" t="str">
        <f aca="false">ROUND(62*1,0)&amp;"%"</f>
        <v>62%</v>
      </c>
    </row>
    <row r="22" customFormat="false" ht="15" hidden="false" customHeight="false" outlineLevel="0" collapsed="false">
      <c r="A22" s="5" t="s">
        <v>13334</v>
      </c>
      <c r="B22" s="5" t="s">
        <v>65</v>
      </c>
      <c r="C22" s="5" t="s">
        <v>57</v>
      </c>
      <c r="D22" s="5" t="s">
        <v>39</v>
      </c>
      <c r="E22" s="5" t="n">
        <f aca="false">ROUND(8044*1.05,2)</f>
        <v>8446.2</v>
      </c>
      <c r="F22" s="5" t="s">
        <v>40</v>
      </c>
      <c r="G22" s="5" t="s">
        <v>24</v>
      </c>
      <c r="H22" s="5" t="n">
        <f aca="true">ROUND(RAND()*4+6,1)</f>
        <v>7.6</v>
      </c>
      <c r="I22" s="5" t="s">
        <v>41</v>
      </c>
      <c r="J22" s="5" t="str">
        <f aca="false">ROUND(91*1,0)&amp;"%"</f>
        <v>91%</v>
      </c>
    </row>
    <row r="23" customFormat="false" ht="15" hidden="false" customHeight="false" outlineLevel="0" collapsed="false">
      <c r="A23" s="6" t="s">
        <v>13335</v>
      </c>
      <c r="B23" s="6" t="s">
        <v>67</v>
      </c>
      <c r="C23" s="6" t="s">
        <v>57</v>
      </c>
      <c r="D23" s="6" t="s">
        <v>44</v>
      </c>
      <c r="E23" s="6" t="n">
        <f aca="false">ROUND(7979*1.05,2)</f>
        <v>8377.95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ROUND(77*1,0)&amp;"%"</f>
        <v>77%</v>
      </c>
    </row>
    <row r="24" customFormat="false" ht="15" hidden="false" customHeight="false" outlineLevel="0" collapsed="false">
      <c r="A24" s="5" t="s">
        <v>13336</v>
      </c>
      <c r="B24" s="5" t="s">
        <v>69</v>
      </c>
      <c r="C24" s="5" t="s">
        <v>57</v>
      </c>
      <c r="D24" s="5" t="s">
        <v>16</v>
      </c>
      <c r="E24" s="5" t="n">
        <f aca="false">ROUND(4018*1.05,2)</f>
        <v>4218.9</v>
      </c>
      <c r="F24" s="5" t="s">
        <v>49</v>
      </c>
      <c r="G24" s="5" t="s">
        <v>18</v>
      </c>
      <c r="H24" s="5" t="n">
        <f aca="true">ROUND(RAND()*4+6,1)</f>
        <v>6.6</v>
      </c>
      <c r="I24" s="5" t="s">
        <v>19</v>
      </c>
      <c r="J24" s="5" t="str">
        <f aca="false">ROUND(67*1,0)&amp;"%"</f>
        <v>67%</v>
      </c>
    </row>
    <row r="25" customFormat="false" ht="15" hidden="false" customHeight="false" outlineLevel="0" collapsed="false">
      <c r="A25" s="6" t="s">
        <v>13337</v>
      </c>
      <c r="B25" s="6" t="s">
        <v>71</v>
      </c>
      <c r="C25" s="6" t="s">
        <v>57</v>
      </c>
      <c r="D25" s="6" t="s">
        <v>22</v>
      </c>
      <c r="E25" s="6" t="n">
        <f aca="false">ROUND(4951*1.05,2)</f>
        <v>5198.55</v>
      </c>
      <c r="F25" s="6" t="s">
        <v>52</v>
      </c>
      <c r="G25" s="6" t="s">
        <v>24</v>
      </c>
      <c r="H25" s="6" t="n">
        <f aca="true">ROUND(RAND()*4+6,1)</f>
        <v>7.6</v>
      </c>
      <c r="I25" s="6" t="s">
        <v>25</v>
      </c>
      <c r="J25" s="6" t="str">
        <f aca="false">ROUND(75*1,0)&amp;"%"</f>
        <v>75%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13338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13339</v>
      </c>
      <c r="B30" s="5" t="s">
        <v>75</v>
      </c>
      <c r="C30" s="5" t="s">
        <v>76</v>
      </c>
      <c r="D30" s="5" t="s">
        <v>16</v>
      </c>
      <c r="E30" s="5" t="n">
        <f aca="false">ROUND(4437*1.05,2)</f>
        <v>4658.85</v>
      </c>
      <c r="F30" s="5" t="s">
        <v>17</v>
      </c>
      <c r="G30" s="5" t="s">
        <v>18</v>
      </c>
      <c r="H30" s="5" t="n">
        <f aca="true">ROUND(RAND()*4+6,1)</f>
        <v>7.5</v>
      </c>
      <c r="I30" s="5" t="s">
        <v>19</v>
      </c>
      <c r="J30" s="5" t="str">
        <f aca="false">ROUND(87*1,0)&amp;"%"</f>
        <v>87%</v>
      </c>
    </row>
    <row r="31" customFormat="false" ht="15" hidden="false" customHeight="false" outlineLevel="0" collapsed="false">
      <c r="A31" s="6" t="s">
        <v>13340</v>
      </c>
      <c r="B31" s="6" t="s">
        <v>78</v>
      </c>
      <c r="C31" s="6" t="s">
        <v>76</v>
      </c>
      <c r="D31" s="6" t="s">
        <v>22</v>
      </c>
      <c r="E31" s="6" t="n">
        <f aca="false">ROUND(14940*1.05,2)</f>
        <v>15687</v>
      </c>
      <c r="F31" s="6" t="s">
        <v>23</v>
      </c>
      <c r="G31" s="6" t="s">
        <v>24</v>
      </c>
      <c r="H31" s="6" t="n">
        <f aca="true">ROUND(RAND()*4+6,1)</f>
        <v>8.2</v>
      </c>
      <c r="I31" s="6" t="s">
        <v>25</v>
      </c>
      <c r="J31" s="6" t="str">
        <f aca="false">ROUND(67*1,0)&amp;"%"</f>
        <v>67%</v>
      </c>
    </row>
    <row r="32" customFormat="false" ht="15" hidden="false" customHeight="false" outlineLevel="0" collapsed="false">
      <c r="A32" s="5" t="s">
        <v>13341</v>
      </c>
      <c r="B32" s="5" t="s">
        <v>80</v>
      </c>
      <c r="C32" s="5" t="s">
        <v>76</v>
      </c>
      <c r="D32" s="5" t="s">
        <v>28</v>
      </c>
      <c r="E32" s="5" t="n">
        <f aca="false">ROUND(5073*1.05,2)</f>
        <v>5326.65</v>
      </c>
      <c r="F32" s="5" t="s">
        <v>29</v>
      </c>
      <c r="G32" s="5" t="s">
        <v>30</v>
      </c>
      <c r="H32" s="5" t="n">
        <f aca="true">ROUND(RAND()*4+6,1)</f>
        <v>7</v>
      </c>
      <c r="I32" s="5" t="s">
        <v>31</v>
      </c>
      <c r="J32" s="5" t="str">
        <f aca="false">ROUND(72*1,0)&amp;"%"</f>
        <v>72%</v>
      </c>
    </row>
    <row r="33" customFormat="false" ht="15" hidden="false" customHeight="false" outlineLevel="0" collapsed="false">
      <c r="A33" s="6" t="s">
        <v>13342</v>
      </c>
      <c r="B33" s="6" t="s">
        <v>82</v>
      </c>
      <c r="C33" s="6" t="s">
        <v>76</v>
      </c>
      <c r="D33" s="6" t="s">
        <v>34</v>
      </c>
      <c r="E33" s="6" t="n">
        <f aca="false">ROUND(7967*1.05,2)</f>
        <v>8365.35</v>
      </c>
      <c r="F33" s="6" t="s">
        <v>35</v>
      </c>
      <c r="G33" s="6" t="s">
        <v>18</v>
      </c>
      <c r="H33" s="6" t="n">
        <f aca="true">ROUND(RAND()*4+6,1)</f>
        <v>9</v>
      </c>
      <c r="I33" s="6" t="s">
        <v>36</v>
      </c>
      <c r="J33" s="6" t="str">
        <f aca="false">ROUND(87*1,0)&amp;"%"</f>
        <v>87%</v>
      </c>
    </row>
    <row r="34" customFormat="false" ht="15" hidden="false" customHeight="false" outlineLevel="0" collapsed="false">
      <c r="A34" s="5" t="s">
        <v>13343</v>
      </c>
      <c r="B34" s="5" t="s">
        <v>84</v>
      </c>
      <c r="C34" s="5" t="s">
        <v>76</v>
      </c>
      <c r="D34" s="5" t="s">
        <v>39</v>
      </c>
      <c r="E34" s="5" t="n">
        <f aca="false">ROUND(9810*1.05,2)</f>
        <v>10300.5</v>
      </c>
      <c r="F34" s="5" t="s">
        <v>40</v>
      </c>
      <c r="G34" s="5" t="s">
        <v>24</v>
      </c>
      <c r="H34" s="5" t="n">
        <f aca="true">ROUND(RAND()*4+6,1)</f>
        <v>6.9</v>
      </c>
      <c r="I34" s="5" t="s">
        <v>41</v>
      </c>
      <c r="J34" s="5" t="str">
        <f aca="false">ROUND(91*1,0)&amp;"%"</f>
        <v>91%</v>
      </c>
    </row>
    <row r="35" customFormat="false" ht="15" hidden="false" customHeight="false" outlineLevel="0" collapsed="false">
      <c r="A35" s="6" t="s">
        <v>13344</v>
      </c>
      <c r="B35" s="6" t="s">
        <v>86</v>
      </c>
      <c r="C35" s="6" t="s">
        <v>76</v>
      </c>
      <c r="D35" s="6" t="s">
        <v>44</v>
      </c>
      <c r="E35" s="6" t="n">
        <f aca="false">ROUND(4080*1.05,2)</f>
        <v>4284</v>
      </c>
      <c r="F35" s="6" t="s">
        <v>45</v>
      </c>
      <c r="G35" s="6" t="s">
        <v>30</v>
      </c>
      <c r="H35" s="6" t="n">
        <f aca="true">ROUND(RAND()*4+6,1)</f>
        <v>8.3</v>
      </c>
      <c r="I35" s="6" t="s">
        <v>46</v>
      </c>
      <c r="J35" s="6" t="str">
        <f aca="false">ROUND(61*1,0)&amp;"%"</f>
        <v>61%</v>
      </c>
    </row>
    <row r="36" customFormat="false" ht="15" hidden="false" customHeight="false" outlineLevel="0" collapsed="false">
      <c r="A36" s="5" t="s">
        <v>13345</v>
      </c>
      <c r="B36" s="5" t="s">
        <v>88</v>
      </c>
      <c r="C36" s="5" t="s">
        <v>76</v>
      </c>
      <c r="D36" s="5" t="s">
        <v>16</v>
      </c>
      <c r="E36" s="5" t="n">
        <f aca="false">ROUND(14808*1.05,2)</f>
        <v>15548.4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ROUND(87*1,0)&amp;"%"</f>
        <v>87%</v>
      </c>
    </row>
    <row r="37" customFormat="false" ht="15" hidden="false" customHeight="false" outlineLevel="0" collapsed="false">
      <c r="A37" s="6" t="s">
        <v>13346</v>
      </c>
      <c r="B37" s="6" t="s">
        <v>90</v>
      </c>
      <c r="C37" s="6" t="s">
        <v>76</v>
      </c>
      <c r="D37" s="6" t="s">
        <v>22</v>
      </c>
      <c r="E37" s="6" t="n">
        <f aca="false">ROUND(16192*1.05,2)</f>
        <v>17001.6</v>
      </c>
      <c r="F37" s="6" t="s">
        <v>52</v>
      </c>
      <c r="G37" s="6" t="s">
        <v>24</v>
      </c>
      <c r="H37" s="6" t="n">
        <f aca="true">ROUND(RAND()*4+6,1)</f>
        <v>8.4</v>
      </c>
      <c r="I37" s="6" t="s">
        <v>25</v>
      </c>
      <c r="J37" s="6" t="str">
        <f aca="false">ROUND(93*1,0)&amp;"%"</f>
        <v>93%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13347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13348</v>
      </c>
      <c r="B42" s="5" t="s">
        <v>94</v>
      </c>
      <c r="C42" s="5" t="s">
        <v>95</v>
      </c>
      <c r="D42" s="5" t="s">
        <v>16</v>
      </c>
      <c r="E42" s="5" t="n">
        <f aca="false">ROUND(14001*1.05,2)</f>
        <v>14701.05</v>
      </c>
      <c r="F42" s="5" t="s">
        <v>17</v>
      </c>
      <c r="G42" s="5" t="s">
        <v>18</v>
      </c>
      <c r="H42" s="5" t="n">
        <f aca="true">ROUND(RAND()*4+6,1)</f>
        <v>8.8</v>
      </c>
      <c r="I42" s="5" t="s">
        <v>19</v>
      </c>
      <c r="J42" s="5" t="str">
        <f aca="false">ROUND(79*1,0)&amp;"%"</f>
        <v>79%</v>
      </c>
    </row>
    <row r="43" customFormat="false" ht="15" hidden="false" customHeight="false" outlineLevel="0" collapsed="false">
      <c r="A43" s="6" t="s">
        <v>13349</v>
      </c>
      <c r="B43" s="6" t="s">
        <v>97</v>
      </c>
      <c r="C43" s="6" t="s">
        <v>95</v>
      </c>
      <c r="D43" s="6" t="s">
        <v>22</v>
      </c>
      <c r="E43" s="6" t="n">
        <f aca="false">ROUND(10721*1.05,2)</f>
        <v>11257.05</v>
      </c>
      <c r="F43" s="6" t="s">
        <v>23</v>
      </c>
      <c r="G43" s="6" t="s">
        <v>24</v>
      </c>
      <c r="H43" s="6" t="n">
        <f aca="true">ROUND(RAND()*4+6,1)</f>
        <v>6.3</v>
      </c>
      <c r="I43" s="6" t="s">
        <v>25</v>
      </c>
      <c r="J43" s="6" t="str">
        <f aca="false">ROUND(72*1,0)&amp;"%"</f>
        <v>72%</v>
      </c>
    </row>
    <row r="44" customFormat="false" ht="15" hidden="false" customHeight="false" outlineLevel="0" collapsed="false">
      <c r="A44" s="5" t="s">
        <v>13350</v>
      </c>
      <c r="B44" s="5" t="s">
        <v>99</v>
      </c>
      <c r="C44" s="5" t="s">
        <v>95</v>
      </c>
      <c r="D44" s="5" t="s">
        <v>28</v>
      </c>
      <c r="E44" s="5" t="n">
        <f aca="false">ROUND(16279*1.05,2)</f>
        <v>17092.95</v>
      </c>
      <c r="F44" s="5" t="s">
        <v>29</v>
      </c>
      <c r="G44" s="5" t="s">
        <v>30</v>
      </c>
      <c r="H44" s="5" t="n">
        <f aca="true">ROUND(RAND()*4+6,1)</f>
        <v>8</v>
      </c>
      <c r="I44" s="5" t="s">
        <v>31</v>
      </c>
      <c r="J44" s="5" t="str">
        <f aca="false">ROUND(96*1,0)&amp;"%"</f>
        <v>96%</v>
      </c>
    </row>
    <row r="45" customFormat="false" ht="15" hidden="false" customHeight="false" outlineLevel="0" collapsed="false">
      <c r="A45" s="6" t="s">
        <v>13351</v>
      </c>
      <c r="B45" s="6" t="s">
        <v>101</v>
      </c>
      <c r="C45" s="6" t="s">
        <v>95</v>
      </c>
      <c r="D45" s="6" t="s">
        <v>34</v>
      </c>
      <c r="E45" s="6" t="n">
        <f aca="false">ROUND(12158*1.05,2)</f>
        <v>12765.9</v>
      </c>
      <c r="F45" s="6" t="s">
        <v>35</v>
      </c>
      <c r="G45" s="6" t="s">
        <v>18</v>
      </c>
      <c r="H45" s="6" t="n">
        <f aca="true">ROUND(RAND()*4+6,1)</f>
        <v>9.8</v>
      </c>
      <c r="I45" s="6" t="s">
        <v>36</v>
      </c>
      <c r="J45" s="6" t="str">
        <f aca="false">ROUND(69*1,0)&amp;"%"</f>
        <v>69%</v>
      </c>
    </row>
    <row r="46" customFormat="false" ht="15" hidden="false" customHeight="false" outlineLevel="0" collapsed="false">
      <c r="A46" s="5" t="s">
        <v>13352</v>
      </c>
      <c r="B46" s="5" t="s">
        <v>103</v>
      </c>
      <c r="C46" s="5" t="s">
        <v>95</v>
      </c>
      <c r="D46" s="5" t="s">
        <v>39</v>
      </c>
      <c r="E46" s="5" t="n">
        <f aca="false">ROUND(11326*1.05,2)</f>
        <v>11892.3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ROUND(67*1,0)&amp;"%"</f>
        <v>67%</v>
      </c>
    </row>
    <row r="47" customFormat="false" ht="15" hidden="false" customHeight="false" outlineLevel="0" collapsed="false">
      <c r="A47" s="6" t="s">
        <v>13353</v>
      </c>
      <c r="B47" s="6" t="s">
        <v>105</v>
      </c>
      <c r="C47" s="6" t="s">
        <v>95</v>
      </c>
      <c r="D47" s="6" t="s">
        <v>44</v>
      </c>
      <c r="E47" s="6" t="n">
        <f aca="false">ROUND(6401*1.05,2)</f>
        <v>6721.05</v>
      </c>
      <c r="F47" s="6" t="s">
        <v>45</v>
      </c>
      <c r="G47" s="6" t="s">
        <v>30</v>
      </c>
      <c r="H47" s="6" t="n">
        <f aca="true">ROUND(RAND()*4+6,1)</f>
        <v>9.2</v>
      </c>
      <c r="I47" s="6" t="s">
        <v>46</v>
      </c>
      <c r="J47" s="6" t="str">
        <f aca="false">ROUND(97*1,0)&amp;"%"</f>
        <v>97%</v>
      </c>
    </row>
    <row r="48" customFormat="false" ht="15" hidden="false" customHeight="false" outlineLevel="0" collapsed="false">
      <c r="A48" s="5" t="s">
        <v>13354</v>
      </c>
      <c r="B48" s="5" t="s">
        <v>107</v>
      </c>
      <c r="C48" s="5" t="s">
        <v>95</v>
      </c>
      <c r="D48" s="5" t="s">
        <v>16</v>
      </c>
      <c r="E48" s="5" t="n">
        <f aca="false">ROUND(17964*1.05,2)</f>
        <v>18862.2</v>
      </c>
      <c r="F48" s="5" t="s">
        <v>49</v>
      </c>
      <c r="G48" s="5" t="s">
        <v>18</v>
      </c>
      <c r="H48" s="5" t="n">
        <f aca="true">ROUND(RAND()*4+6,1)</f>
        <v>9</v>
      </c>
      <c r="I48" s="5" t="s">
        <v>19</v>
      </c>
      <c r="J48" s="5" t="str">
        <f aca="false">ROUND(75*1,0)&amp;"%"</f>
        <v>75%</v>
      </c>
    </row>
    <row r="49" customFormat="false" ht="15" hidden="false" customHeight="false" outlineLevel="0" collapsed="false">
      <c r="A49" s="6" t="s">
        <v>13355</v>
      </c>
      <c r="B49" s="6" t="s">
        <v>109</v>
      </c>
      <c r="C49" s="6" t="s">
        <v>95</v>
      </c>
      <c r="D49" s="6" t="s">
        <v>22</v>
      </c>
      <c r="E49" s="6" t="n">
        <f aca="false">ROUND(7730*1.05,2)</f>
        <v>8116.5</v>
      </c>
      <c r="F49" s="6" t="s">
        <v>52</v>
      </c>
      <c r="G49" s="6" t="s">
        <v>24</v>
      </c>
      <c r="H49" s="6" t="n">
        <f aca="true">ROUND(RAND()*4+6,1)</f>
        <v>7.7</v>
      </c>
      <c r="I49" s="6" t="s">
        <v>25</v>
      </c>
      <c r="J49" s="6" t="str">
        <f aca="false">ROUND(68*1,0)&amp;"%"</f>
        <v>68%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13356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13357</v>
      </c>
      <c r="B54" s="5" t="s">
        <v>113</v>
      </c>
      <c r="C54" s="5" t="s">
        <v>114</v>
      </c>
      <c r="D54" s="5" t="s">
        <v>16</v>
      </c>
      <c r="E54" s="5" t="n">
        <f aca="false">ROUND(6208*1.05,2)</f>
        <v>6518.4</v>
      </c>
      <c r="F54" s="5" t="s">
        <v>17</v>
      </c>
      <c r="G54" s="5" t="s">
        <v>18</v>
      </c>
      <c r="H54" s="5" t="n">
        <f aca="true">ROUND(RAND()*4+6,1)</f>
        <v>8.7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13358</v>
      </c>
      <c r="B55" s="6" t="s">
        <v>116</v>
      </c>
      <c r="C55" s="6" t="s">
        <v>114</v>
      </c>
      <c r="D55" s="6" t="s">
        <v>22</v>
      </c>
      <c r="E55" s="6" t="n">
        <f aca="false">ROUND(13777*1.05,2)</f>
        <v>14465.85</v>
      </c>
      <c r="F55" s="6" t="s">
        <v>23</v>
      </c>
      <c r="G55" s="6" t="s">
        <v>24</v>
      </c>
      <c r="H55" s="6" t="n">
        <f aca="true">ROUND(RAND()*4+6,1)</f>
        <v>6.6</v>
      </c>
      <c r="I55" s="6" t="s">
        <v>25</v>
      </c>
      <c r="J55" s="6" t="str">
        <f aca="false">ROUND(81*1,0)&amp;"%"</f>
        <v>81%</v>
      </c>
    </row>
    <row r="56" customFormat="false" ht="15" hidden="false" customHeight="false" outlineLevel="0" collapsed="false">
      <c r="A56" s="5" t="s">
        <v>13359</v>
      </c>
      <c r="B56" s="5" t="s">
        <v>118</v>
      </c>
      <c r="C56" s="5" t="s">
        <v>114</v>
      </c>
      <c r="D56" s="5" t="s">
        <v>28</v>
      </c>
      <c r="E56" s="5" t="n">
        <f aca="false">ROUND(11577*1.05,2)</f>
        <v>12155.85</v>
      </c>
      <c r="F56" s="5" t="s">
        <v>29</v>
      </c>
      <c r="G56" s="5" t="s">
        <v>30</v>
      </c>
      <c r="H56" s="5" t="n">
        <f aca="true">ROUND(RAND()*4+6,1)</f>
        <v>7.8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13360</v>
      </c>
      <c r="B57" s="6" t="s">
        <v>120</v>
      </c>
      <c r="C57" s="6" t="s">
        <v>114</v>
      </c>
      <c r="D57" s="6" t="s">
        <v>34</v>
      </c>
      <c r="E57" s="6" t="n">
        <f aca="false">ROUND(10457*1.05,2)</f>
        <v>10979.85</v>
      </c>
      <c r="F57" s="6" t="s">
        <v>35</v>
      </c>
      <c r="G57" s="6" t="s">
        <v>18</v>
      </c>
      <c r="H57" s="6" t="n">
        <f aca="true">ROUND(RAND()*4+6,1)</f>
        <v>7.6</v>
      </c>
      <c r="I57" s="6" t="s">
        <v>36</v>
      </c>
      <c r="J57" s="6" t="str">
        <f aca="false">ROUND(84*1,0)&amp;"%"</f>
        <v>84%</v>
      </c>
    </row>
    <row r="58" customFormat="false" ht="15" hidden="false" customHeight="false" outlineLevel="0" collapsed="false">
      <c r="A58" s="5" t="s">
        <v>13361</v>
      </c>
      <c r="B58" s="5" t="s">
        <v>122</v>
      </c>
      <c r="C58" s="5" t="s">
        <v>114</v>
      </c>
      <c r="D58" s="5" t="s">
        <v>39</v>
      </c>
      <c r="E58" s="5" t="n">
        <f aca="false">ROUND(11987*1.05,2)</f>
        <v>12586.35</v>
      </c>
      <c r="F58" s="5" t="s">
        <v>40</v>
      </c>
      <c r="G58" s="5" t="s">
        <v>24</v>
      </c>
      <c r="H58" s="5" t="n">
        <f aca="true">ROUND(RAND()*4+6,1)</f>
        <v>6</v>
      </c>
      <c r="I58" s="5" t="s">
        <v>41</v>
      </c>
      <c r="J58" s="5" t="str">
        <f aca="false">ROUND(94*1,0)&amp;"%"</f>
        <v>94%</v>
      </c>
    </row>
    <row r="59" customFormat="false" ht="15" hidden="false" customHeight="false" outlineLevel="0" collapsed="false">
      <c r="A59" s="6" t="s">
        <v>13362</v>
      </c>
      <c r="B59" s="6" t="s">
        <v>124</v>
      </c>
      <c r="C59" s="6" t="s">
        <v>114</v>
      </c>
      <c r="D59" s="6" t="s">
        <v>44</v>
      </c>
      <c r="E59" s="6" t="n">
        <f aca="false">ROUND(13927*1.05,2)</f>
        <v>14623.35</v>
      </c>
      <c r="F59" s="6" t="s">
        <v>45</v>
      </c>
      <c r="G59" s="6" t="s">
        <v>30</v>
      </c>
      <c r="H59" s="6" t="n">
        <f aca="true">ROUND(RAND()*4+6,1)</f>
        <v>6.3</v>
      </c>
      <c r="I59" s="6" t="s">
        <v>46</v>
      </c>
      <c r="J59" s="6" t="str">
        <f aca="false">ROUND(83*1,0)&amp;"%"</f>
        <v>83%</v>
      </c>
    </row>
    <row r="60" customFormat="false" ht="15" hidden="false" customHeight="false" outlineLevel="0" collapsed="false">
      <c r="A60" s="5" t="s">
        <v>13363</v>
      </c>
      <c r="B60" s="5" t="s">
        <v>126</v>
      </c>
      <c r="C60" s="5" t="s">
        <v>114</v>
      </c>
      <c r="D60" s="5" t="s">
        <v>16</v>
      </c>
      <c r="E60" s="5" t="n">
        <f aca="false">ROUND(12645*1.05,2)</f>
        <v>13277.25</v>
      </c>
      <c r="F60" s="5" t="s">
        <v>49</v>
      </c>
      <c r="G60" s="5" t="s">
        <v>18</v>
      </c>
      <c r="H60" s="5" t="n">
        <f aca="true">ROUND(RAND()*4+6,1)</f>
        <v>8.9</v>
      </c>
      <c r="I60" s="5" t="s">
        <v>19</v>
      </c>
      <c r="J60" s="5" t="str">
        <f aca="false">ROUND(60*1,0)&amp;"%"</f>
        <v>60%</v>
      </c>
    </row>
    <row r="61" customFormat="false" ht="15" hidden="false" customHeight="false" outlineLevel="0" collapsed="false">
      <c r="A61" s="6" t="s">
        <v>13364</v>
      </c>
      <c r="B61" s="6" t="s">
        <v>128</v>
      </c>
      <c r="C61" s="6" t="s">
        <v>114</v>
      </c>
      <c r="D61" s="6" t="s">
        <v>22</v>
      </c>
      <c r="E61" s="6" t="n">
        <f aca="false">ROUND(7171*1.05,2)</f>
        <v>7529.55</v>
      </c>
      <c r="F61" s="6" t="s">
        <v>52</v>
      </c>
      <c r="G61" s="6" t="s">
        <v>24</v>
      </c>
      <c r="H61" s="6" t="n">
        <f aca="true">ROUND(RAND()*4+6,1)</f>
        <v>6.7</v>
      </c>
      <c r="I61" s="6" t="s">
        <v>25</v>
      </c>
      <c r="J61" s="6" t="str">
        <f aca="false">ROUND(78*1,0)&amp;"%"</f>
        <v>78%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13365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13366</v>
      </c>
      <c r="B66" s="5" t="s">
        <v>132</v>
      </c>
      <c r="C66" s="5" t="s">
        <v>133</v>
      </c>
      <c r="D66" s="5" t="s">
        <v>16</v>
      </c>
      <c r="E66" s="5" t="n">
        <f aca="false">ROUND(16796*1.05,2)</f>
        <v>17635.8</v>
      </c>
      <c r="F66" s="5" t="s">
        <v>17</v>
      </c>
      <c r="G66" s="5" t="s">
        <v>18</v>
      </c>
      <c r="H66" s="5" t="n">
        <f aca="true">ROUND(RAND()*4+6,1)</f>
        <v>9.2</v>
      </c>
      <c r="I66" s="5" t="s">
        <v>19</v>
      </c>
      <c r="J66" s="5" t="str">
        <f aca="false">ROUND(87*1,0)&amp;"%"</f>
        <v>87%</v>
      </c>
    </row>
    <row r="67" customFormat="false" ht="15" hidden="false" customHeight="false" outlineLevel="0" collapsed="false">
      <c r="A67" s="6" t="s">
        <v>13367</v>
      </c>
      <c r="B67" s="6" t="s">
        <v>135</v>
      </c>
      <c r="C67" s="6" t="s">
        <v>133</v>
      </c>
      <c r="D67" s="6" t="s">
        <v>22</v>
      </c>
      <c r="E67" s="6" t="n">
        <f aca="false">ROUND(15105*1.05,2)</f>
        <v>15860.25</v>
      </c>
      <c r="F67" s="6" t="s">
        <v>23</v>
      </c>
      <c r="G67" s="6" t="s">
        <v>24</v>
      </c>
      <c r="H67" s="6" t="n">
        <f aca="true">ROUND(RAND()*4+6,1)</f>
        <v>9.9</v>
      </c>
      <c r="I67" s="6" t="s">
        <v>25</v>
      </c>
      <c r="J67" s="6" t="str">
        <f aca="false">ROUND(71*1,0)&amp;"%"</f>
        <v>71%</v>
      </c>
    </row>
    <row r="68" customFormat="false" ht="15" hidden="false" customHeight="false" outlineLevel="0" collapsed="false">
      <c r="A68" s="5" t="s">
        <v>13368</v>
      </c>
      <c r="B68" s="5" t="s">
        <v>137</v>
      </c>
      <c r="C68" s="5" t="s">
        <v>133</v>
      </c>
      <c r="D68" s="5" t="s">
        <v>28</v>
      </c>
      <c r="E68" s="5" t="n">
        <f aca="false">ROUND(10068*1.05,2)</f>
        <v>10571.4</v>
      </c>
      <c r="F68" s="5" t="s">
        <v>29</v>
      </c>
      <c r="G68" s="5" t="s">
        <v>30</v>
      </c>
      <c r="H68" s="5" t="n">
        <f aca="true">ROUND(RAND()*4+6,1)</f>
        <v>6.6</v>
      </c>
      <c r="I68" s="5" t="s">
        <v>31</v>
      </c>
      <c r="J68" s="5" t="str">
        <f aca="false">ROUND(82*1,0)&amp;"%"</f>
        <v>82%</v>
      </c>
    </row>
    <row r="69" customFormat="false" ht="15" hidden="false" customHeight="false" outlineLevel="0" collapsed="false">
      <c r="A69" s="6" t="s">
        <v>13369</v>
      </c>
      <c r="B69" s="6" t="s">
        <v>139</v>
      </c>
      <c r="C69" s="6" t="s">
        <v>133</v>
      </c>
      <c r="D69" s="6" t="s">
        <v>34</v>
      </c>
      <c r="E69" s="6" t="n">
        <f aca="false">ROUND(9000*1.05,2)</f>
        <v>9450</v>
      </c>
      <c r="F69" s="6" t="s">
        <v>35</v>
      </c>
      <c r="G69" s="6" t="s">
        <v>18</v>
      </c>
      <c r="H69" s="6" t="n">
        <f aca="true">ROUND(RAND()*4+6,1)</f>
        <v>8</v>
      </c>
      <c r="I69" s="6" t="s">
        <v>36</v>
      </c>
      <c r="J69" s="6" t="str">
        <f aca="false">ROUND(83*1,0)&amp;"%"</f>
        <v>83%</v>
      </c>
    </row>
    <row r="70" customFormat="false" ht="15" hidden="false" customHeight="false" outlineLevel="0" collapsed="false">
      <c r="A70" s="5" t="s">
        <v>13370</v>
      </c>
      <c r="B70" s="5" t="s">
        <v>141</v>
      </c>
      <c r="C70" s="5" t="s">
        <v>133</v>
      </c>
      <c r="D70" s="5" t="s">
        <v>39</v>
      </c>
      <c r="E70" s="5" t="n">
        <f aca="false">ROUND(9082*1.05,2)</f>
        <v>9536.1</v>
      </c>
      <c r="F70" s="5" t="s">
        <v>40</v>
      </c>
      <c r="G70" s="5" t="s">
        <v>24</v>
      </c>
      <c r="H70" s="5" t="n">
        <f aca="true">ROUND(RAND()*4+6,1)</f>
        <v>6.5</v>
      </c>
      <c r="I70" s="5" t="s">
        <v>41</v>
      </c>
      <c r="J70" s="5" t="str">
        <f aca="false">ROUND(67*1,0)&amp;"%"</f>
        <v>67%</v>
      </c>
    </row>
    <row r="71" customFormat="false" ht="15" hidden="false" customHeight="false" outlineLevel="0" collapsed="false">
      <c r="A71" s="6" t="s">
        <v>13371</v>
      </c>
      <c r="B71" s="6" t="s">
        <v>143</v>
      </c>
      <c r="C71" s="6" t="s">
        <v>133</v>
      </c>
      <c r="D71" s="6" t="s">
        <v>44</v>
      </c>
      <c r="E71" s="6" t="n">
        <f aca="false">ROUND(4091*1.05,2)</f>
        <v>4295.55</v>
      </c>
      <c r="F71" s="6" t="s">
        <v>45</v>
      </c>
      <c r="G71" s="6" t="s">
        <v>30</v>
      </c>
      <c r="H71" s="6" t="n">
        <f aca="true">ROUND(RAND()*4+6,1)</f>
        <v>6.8</v>
      </c>
      <c r="I71" s="6" t="s">
        <v>46</v>
      </c>
      <c r="J71" s="6" t="str">
        <f aca="false">ROUND(80*1,0)&amp;"%"</f>
        <v>80%</v>
      </c>
    </row>
    <row r="72" customFormat="false" ht="15" hidden="false" customHeight="false" outlineLevel="0" collapsed="false">
      <c r="A72" s="5" t="s">
        <v>13372</v>
      </c>
      <c r="B72" s="5" t="s">
        <v>145</v>
      </c>
      <c r="C72" s="5" t="s">
        <v>133</v>
      </c>
      <c r="D72" s="5" t="s">
        <v>16</v>
      </c>
      <c r="E72" s="5" t="n">
        <f aca="false">ROUND(7294*1.05,2)</f>
        <v>7658.7</v>
      </c>
      <c r="F72" s="5" t="s">
        <v>49</v>
      </c>
      <c r="G72" s="5" t="s">
        <v>18</v>
      </c>
      <c r="H72" s="5" t="n">
        <f aca="true">ROUND(RAND()*4+6,1)</f>
        <v>6.1</v>
      </c>
      <c r="I72" s="5" t="s">
        <v>19</v>
      </c>
      <c r="J72" s="5" t="str">
        <f aca="false">ROUND(79*1,0)&amp;"%"</f>
        <v>79%</v>
      </c>
    </row>
    <row r="73" customFormat="false" ht="15" hidden="false" customHeight="false" outlineLevel="0" collapsed="false">
      <c r="A73" s="6" t="s">
        <v>13373</v>
      </c>
      <c r="B73" s="6" t="s">
        <v>147</v>
      </c>
      <c r="C73" s="6" t="s">
        <v>133</v>
      </c>
      <c r="D73" s="6" t="s">
        <v>22</v>
      </c>
      <c r="E73" s="6" t="n">
        <f aca="false">ROUND(13450*1.05,2)</f>
        <v>14122.5</v>
      </c>
      <c r="F73" s="6" t="s">
        <v>52</v>
      </c>
      <c r="G73" s="6" t="s">
        <v>24</v>
      </c>
      <c r="H73" s="6" t="n">
        <f aca="true">ROUND(RAND()*4+6,1)</f>
        <v>6.6</v>
      </c>
      <c r="I73" s="6" t="s">
        <v>25</v>
      </c>
      <c r="J73" s="6" t="str">
        <f aca="false">ROUND(67*1,0)&amp;"%"</f>
        <v>67%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13374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13375</v>
      </c>
      <c r="B78" s="5" t="s">
        <v>151</v>
      </c>
      <c r="C78" s="5" t="s">
        <v>152</v>
      </c>
      <c r="D78" s="5" t="s">
        <v>16</v>
      </c>
      <c r="E78" s="5" t="n">
        <f aca="false">ROUND(17661*1.05,2)</f>
        <v>18544.05</v>
      </c>
      <c r="F78" s="5" t="s">
        <v>17</v>
      </c>
      <c r="G78" s="5" t="s">
        <v>18</v>
      </c>
      <c r="H78" s="5" t="n">
        <f aca="true">ROUND(RAND()*4+6,1)</f>
        <v>7.9</v>
      </c>
      <c r="I78" s="5" t="s">
        <v>19</v>
      </c>
      <c r="J78" s="5" t="str">
        <f aca="false">ROUND(95*1,0)&amp;"%"</f>
        <v>95%</v>
      </c>
    </row>
    <row r="79" customFormat="false" ht="15" hidden="false" customHeight="false" outlineLevel="0" collapsed="false">
      <c r="A79" s="6" t="s">
        <v>13376</v>
      </c>
      <c r="B79" s="6" t="s">
        <v>154</v>
      </c>
      <c r="C79" s="6" t="s">
        <v>152</v>
      </c>
      <c r="D79" s="6" t="s">
        <v>22</v>
      </c>
      <c r="E79" s="6" t="n">
        <f aca="false">ROUND(12400*1.05,2)</f>
        <v>13020</v>
      </c>
      <c r="F79" s="6" t="s">
        <v>23</v>
      </c>
      <c r="G79" s="6" t="s">
        <v>24</v>
      </c>
      <c r="H79" s="6" t="n">
        <f aca="true">ROUND(RAND()*4+6,1)</f>
        <v>9.8</v>
      </c>
      <c r="I79" s="6" t="s">
        <v>25</v>
      </c>
      <c r="J79" s="6" t="str">
        <f aca="false">ROUND(94*1,0)&amp;"%"</f>
        <v>94%</v>
      </c>
    </row>
    <row r="80" customFormat="false" ht="15" hidden="false" customHeight="false" outlineLevel="0" collapsed="false">
      <c r="A80" s="5" t="s">
        <v>13377</v>
      </c>
      <c r="B80" s="5" t="s">
        <v>156</v>
      </c>
      <c r="C80" s="5" t="s">
        <v>152</v>
      </c>
      <c r="D80" s="5" t="s">
        <v>28</v>
      </c>
      <c r="E80" s="5" t="n">
        <f aca="false">ROUND(5246*1.05,2)</f>
        <v>5508.3</v>
      </c>
      <c r="F80" s="5" t="s">
        <v>29</v>
      </c>
      <c r="G80" s="5" t="s">
        <v>30</v>
      </c>
      <c r="H80" s="5" t="n">
        <f aca="true">ROUND(RAND()*4+6,1)</f>
        <v>7.9</v>
      </c>
      <c r="I80" s="5" t="s">
        <v>31</v>
      </c>
      <c r="J80" s="5" t="str">
        <f aca="false">ROUND(66*1,0)&amp;"%"</f>
        <v>66%</v>
      </c>
    </row>
    <row r="81" customFormat="false" ht="15" hidden="false" customHeight="false" outlineLevel="0" collapsed="false">
      <c r="A81" s="6" t="s">
        <v>13378</v>
      </c>
      <c r="B81" s="6" t="s">
        <v>158</v>
      </c>
      <c r="C81" s="6" t="s">
        <v>152</v>
      </c>
      <c r="D81" s="6" t="s">
        <v>34</v>
      </c>
      <c r="E81" s="6" t="n">
        <f aca="false">ROUND(9673*1.05,2)</f>
        <v>10156.65</v>
      </c>
      <c r="F81" s="6" t="s">
        <v>35</v>
      </c>
      <c r="G81" s="6" t="s">
        <v>18</v>
      </c>
      <c r="H81" s="6" t="n">
        <f aca="true">ROUND(RAND()*4+6,1)</f>
        <v>8.2</v>
      </c>
      <c r="I81" s="6" t="s">
        <v>36</v>
      </c>
      <c r="J81" s="6" t="str">
        <f aca="false">ROUND(85*1,0)&amp;"%"</f>
        <v>85%</v>
      </c>
    </row>
    <row r="82" customFormat="false" ht="15" hidden="false" customHeight="false" outlineLevel="0" collapsed="false">
      <c r="A82" s="5" t="s">
        <v>13379</v>
      </c>
      <c r="B82" s="5" t="s">
        <v>160</v>
      </c>
      <c r="C82" s="5" t="s">
        <v>152</v>
      </c>
      <c r="D82" s="5" t="s">
        <v>39</v>
      </c>
      <c r="E82" s="5" t="n">
        <f aca="false">ROUND(17287*1.05,2)</f>
        <v>18151.35</v>
      </c>
      <c r="F82" s="5" t="s">
        <v>40</v>
      </c>
      <c r="G82" s="5" t="s">
        <v>24</v>
      </c>
      <c r="H82" s="5" t="n">
        <f aca="true">ROUND(RAND()*4+6,1)</f>
        <v>7.6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13380</v>
      </c>
      <c r="B83" s="6" t="s">
        <v>162</v>
      </c>
      <c r="C83" s="6" t="s">
        <v>152</v>
      </c>
      <c r="D83" s="6" t="s">
        <v>44</v>
      </c>
      <c r="E83" s="6" t="n">
        <f aca="false">ROUND(9551*1.05,2)</f>
        <v>10028.55</v>
      </c>
      <c r="F83" s="6" t="s">
        <v>45</v>
      </c>
      <c r="G83" s="6" t="s">
        <v>30</v>
      </c>
      <c r="H83" s="6" t="n">
        <f aca="true">ROUND(RAND()*4+6,1)</f>
        <v>8.1</v>
      </c>
      <c r="I83" s="6" t="s">
        <v>46</v>
      </c>
      <c r="J83" s="6" t="str">
        <f aca="false">ROUND(97*1,0)&amp;"%"</f>
        <v>97%</v>
      </c>
    </row>
    <row r="84" customFormat="false" ht="15" hidden="false" customHeight="false" outlineLevel="0" collapsed="false">
      <c r="A84" s="5" t="s">
        <v>13381</v>
      </c>
      <c r="B84" s="5" t="s">
        <v>164</v>
      </c>
      <c r="C84" s="5" t="s">
        <v>152</v>
      </c>
      <c r="D84" s="5" t="s">
        <v>16</v>
      </c>
      <c r="E84" s="5" t="n">
        <f aca="false">ROUND(13544*1.05,2)</f>
        <v>14221.2</v>
      </c>
      <c r="F84" s="5" t="s">
        <v>49</v>
      </c>
      <c r="G84" s="5" t="s">
        <v>18</v>
      </c>
      <c r="H84" s="5" t="n">
        <f aca="true">ROUND(RAND()*4+6,1)</f>
        <v>7.7</v>
      </c>
      <c r="I84" s="5" t="s">
        <v>19</v>
      </c>
      <c r="J84" s="5" t="str">
        <f aca="false">ROUND(64*1,0)&amp;"%"</f>
        <v>64%</v>
      </c>
    </row>
    <row r="85" customFormat="false" ht="15" hidden="false" customHeight="false" outlineLevel="0" collapsed="false">
      <c r="A85" s="6" t="s">
        <v>13382</v>
      </c>
      <c r="B85" s="6" t="s">
        <v>166</v>
      </c>
      <c r="C85" s="6" t="s">
        <v>152</v>
      </c>
      <c r="D85" s="6" t="s">
        <v>22</v>
      </c>
      <c r="E85" s="6" t="n">
        <f aca="false">ROUND(12754*1.05,2)</f>
        <v>13391.7</v>
      </c>
      <c r="F85" s="6" t="s">
        <v>52</v>
      </c>
      <c r="G85" s="6" t="s">
        <v>24</v>
      </c>
      <c r="H85" s="6" t="n">
        <f aca="true">ROUND(RAND()*4+6,1)</f>
        <v>9.5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13383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13384</v>
      </c>
      <c r="B90" s="5" t="s">
        <v>170</v>
      </c>
      <c r="C90" s="5" t="s">
        <v>15</v>
      </c>
      <c r="D90" s="5" t="s">
        <v>16</v>
      </c>
      <c r="E90" s="5" t="n">
        <f aca="false">ROUND(11499*1.05,2)</f>
        <v>12073.95</v>
      </c>
      <c r="F90" s="5" t="s">
        <v>17</v>
      </c>
      <c r="G90" s="5" t="s">
        <v>18</v>
      </c>
      <c r="H90" s="5" t="n">
        <f aca="true">ROUND(RAND()*4+6,1)</f>
        <v>9.7</v>
      </c>
      <c r="I90" s="5" t="s">
        <v>19</v>
      </c>
      <c r="J90" s="5" t="str">
        <f aca="false">ROUND(86*1,0)&amp;"%"</f>
        <v>86%</v>
      </c>
    </row>
    <row r="91" customFormat="false" ht="15" hidden="false" customHeight="false" outlineLevel="0" collapsed="false">
      <c r="A91" s="6" t="s">
        <v>13385</v>
      </c>
      <c r="B91" s="6" t="s">
        <v>172</v>
      </c>
      <c r="C91" s="6" t="s">
        <v>15</v>
      </c>
      <c r="D91" s="6" t="s">
        <v>22</v>
      </c>
      <c r="E91" s="6" t="n">
        <f aca="false">ROUND(4526*1.05,2)</f>
        <v>4752.3</v>
      </c>
      <c r="F91" s="6" t="s">
        <v>23</v>
      </c>
      <c r="G91" s="6" t="s">
        <v>24</v>
      </c>
      <c r="H91" s="6" t="n">
        <f aca="true">ROUND(RAND()*4+6,1)</f>
        <v>8.1</v>
      </c>
      <c r="I91" s="6" t="s">
        <v>25</v>
      </c>
      <c r="J91" s="6" t="str">
        <f aca="false">ROUND(68*1,0)&amp;"%"</f>
        <v>68%</v>
      </c>
    </row>
    <row r="92" customFormat="false" ht="15" hidden="false" customHeight="false" outlineLevel="0" collapsed="false">
      <c r="A92" s="5" t="s">
        <v>13386</v>
      </c>
      <c r="B92" s="5" t="s">
        <v>174</v>
      </c>
      <c r="C92" s="5" t="s">
        <v>15</v>
      </c>
      <c r="D92" s="5" t="s">
        <v>28</v>
      </c>
      <c r="E92" s="5" t="n">
        <f aca="false">ROUND(15835*1.05,2)</f>
        <v>16626.75</v>
      </c>
      <c r="F92" s="5" t="s">
        <v>29</v>
      </c>
      <c r="G92" s="5" t="s">
        <v>30</v>
      </c>
      <c r="H92" s="5" t="n">
        <f aca="true">ROUND(RAND()*4+6,1)</f>
        <v>6.5</v>
      </c>
      <c r="I92" s="5" t="s">
        <v>31</v>
      </c>
      <c r="J92" s="5" t="str">
        <f aca="false">ROUND(93*1,0)&amp;"%"</f>
        <v>93%</v>
      </c>
    </row>
    <row r="93" customFormat="false" ht="15" hidden="false" customHeight="false" outlineLevel="0" collapsed="false">
      <c r="A93" s="6" t="s">
        <v>13387</v>
      </c>
      <c r="B93" s="6" t="s">
        <v>176</v>
      </c>
      <c r="C93" s="6" t="s">
        <v>15</v>
      </c>
      <c r="D93" s="6" t="s">
        <v>34</v>
      </c>
      <c r="E93" s="6" t="n">
        <f aca="false">ROUND(13239*1.05,2)</f>
        <v>13900.95</v>
      </c>
      <c r="F93" s="6" t="s">
        <v>35</v>
      </c>
      <c r="G93" s="6" t="s">
        <v>18</v>
      </c>
      <c r="H93" s="6" t="n">
        <f aca="true">ROUND(RAND()*4+6,1)</f>
        <v>6.2</v>
      </c>
      <c r="I93" s="6" t="s">
        <v>36</v>
      </c>
      <c r="J93" s="6" t="str">
        <f aca="false">ROUND(69*1,0)&amp;"%"</f>
        <v>69%</v>
      </c>
    </row>
    <row r="94" customFormat="false" ht="15" hidden="false" customHeight="false" outlineLevel="0" collapsed="false">
      <c r="A94" s="5" t="s">
        <v>13388</v>
      </c>
      <c r="B94" s="5" t="s">
        <v>178</v>
      </c>
      <c r="C94" s="5" t="s">
        <v>15</v>
      </c>
      <c r="D94" s="5" t="s">
        <v>39</v>
      </c>
      <c r="E94" s="5" t="n">
        <f aca="false">ROUND(16851*1.05,2)</f>
        <v>17693.55</v>
      </c>
      <c r="F94" s="5" t="s">
        <v>40</v>
      </c>
      <c r="G94" s="5" t="s">
        <v>24</v>
      </c>
      <c r="H94" s="5" t="n">
        <f aca="true">ROUND(RAND()*4+6,1)</f>
        <v>8.7</v>
      </c>
      <c r="I94" s="5" t="s">
        <v>41</v>
      </c>
      <c r="J94" s="5" t="str">
        <f aca="false">ROUND(89*1,0)&amp;"%"</f>
        <v>89%</v>
      </c>
    </row>
    <row r="95" customFormat="false" ht="15" hidden="false" customHeight="false" outlineLevel="0" collapsed="false">
      <c r="A95" s="6" t="s">
        <v>13389</v>
      </c>
      <c r="B95" s="6" t="s">
        <v>180</v>
      </c>
      <c r="C95" s="6" t="s">
        <v>15</v>
      </c>
      <c r="D95" s="6" t="s">
        <v>44</v>
      </c>
      <c r="E95" s="6" t="n">
        <f aca="false">ROUND(5623*1.05,2)</f>
        <v>5904.15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13390</v>
      </c>
      <c r="B96" s="5" t="s">
        <v>182</v>
      </c>
      <c r="C96" s="5" t="s">
        <v>15</v>
      </c>
      <c r="D96" s="5" t="s">
        <v>16</v>
      </c>
      <c r="E96" s="5" t="n">
        <f aca="false">ROUND(7292*1.05,2)</f>
        <v>7656.6</v>
      </c>
      <c r="F96" s="5" t="s">
        <v>49</v>
      </c>
      <c r="G96" s="5" t="s">
        <v>18</v>
      </c>
      <c r="H96" s="5" t="n">
        <f aca="true">ROUND(RAND()*4+6,1)</f>
        <v>9</v>
      </c>
      <c r="I96" s="5" t="s">
        <v>19</v>
      </c>
      <c r="J96" s="5" t="str">
        <f aca="false">ROUND(95*1,0)&amp;"%"</f>
        <v>95%</v>
      </c>
    </row>
    <row r="97" customFormat="false" ht="15" hidden="false" customHeight="false" outlineLevel="0" collapsed="false">
      <c r="A97" s="6" t="s">
        <v>13391</v>
      </c>
      <c r="B97" s="6" t="s">
        <v>184</v>
      </c>
      <c r="C97" s="6" t="s">
        <v>15</v>
      </c>
      <c r="D97" s="6" t="s">
        <v>22</v>
      </c>
      <c r="E97" s="6" t="n">
        <f aca="false">ROUND(13284*1.05,2)</f>
        <v>13948.2</v>
      </c>
      <c r="F97" s="6" t="s">
        <v>52</v>
      </c>
      <c r="G97" s="6" t="s">
        <v>24</v>
      </c>
      <c r="H97" s="6" t="n">
        <f aca="true">ROUND(RAND()*4+6,1)</f>
        <v>8.8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13392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13393</v>
      </c>
      <c r="B102" s="5" t="s">
        <v>188</v>
      </c>
      <c r="C102" s="5" t="s">
        <v>57</v>
      </c>
      <c r="D102" s="5" t="s">
        <v>16</v>
      </c>
      <c r="E102" s="5" t="n">
        <f aca="false">ROUND(10647*1.05,2)</f>
        <v>11179.35</v>
      </c>
      <c r="F102" s="5" t="s">
        <v>17</v>
      </c>
      <c r="G102" s="5" t="s">
        <v>18</v>
      </c>
      <c r="H102" s="5" t="n">
        <f aca="true">ROUND(RAND()*4+6,1)</f>
        <v>9.6</v>
      </c>
      <c r="I102" s="5" t="s">
        <v>19</v>
      </c>
      <c r="J102" s="5" t="str">
        <f aca="false">ROUND(60*1,0)&amp;"%"</f>
        <v>60%</v>
      </c>
    </row>
    <row r="103" customFormat="false" ht="15" hidden="false" customHeight="false" outlineLevel="0" collapsed="false">
      <c r="A103" s="6" t="s">
        <v>13394</v>
      </c>
      <c r="B103" s="6" t="s">
        <v>190</v>
      </c>
      <c r="C103" s="6" t="s">
        <v>57</v>
      </c>
      <c r="D103" s="6" t="s">
        <v>22</v>
      </c>
      <c r="E103" s="6" t="n">
        <f aca="false">ROUND(8092*1.05,2)</f>
        <v>8496.6</v>
      </c>
      <c r="F103" s="6" t="s">
        <v>23</v>
      </c>
      <c r="G103" s="6" t="s">
        <v>24</v>
      </c>
      <c r="H103" s="6" t="n">
        <f aca="true">ROUND(RAND()*4+6,1)</f>
        <v>8.3</v>
      </c>
      <c r="I103" s="6" t="s">
        <v>25</v>
      </c>
      <c r="J103" s="6" t="str">
        <f aca="false">ROUND(73*1,0)&amp;"%"</f>
        <v>73%</v>
      </c>
    </row>
    <row r="104" customFormat="false" ht="15" hidden="false" customHeight="false" outlineLevel="0" collapsed="false">
      <c r="A104" s="5" t="s">
        <v>13395</v>
      </c>
      <c r="B104" s="5" t="s">
        <v>192</v>
      </c>
      <c r="C104" s="5" t="s">
        <v>57</v>
      </c>
      <c r="D104" s="5" t="s">
        <v>28</v>
      </c>
      <c r="E104" s="5" t="n">
        <f aca="false">ROUND(10088*1.05,2)</f>
        <v>10592.4</v>
      </c>
      <c r="F104" s="5" t="s">
        <v>29</v>
      </c>
      <c r="G104" s="5" t="s">
        <v>30</v>
      </c>
      <c r="H104" s="5" t="n">
        <f aca="true">ROUND(RAND()*4+6,1)</f>
        <v>6</v>
      </c>
      <c r="I104" s="5" t="s">
        <v>31</v>
      </c>
      <c r="J104" s="5" t="str">
        <f aca="false">ROUND(80*1,0)&amp;"%"</f>
        <v>80%</v>
      </c>
    </row>
    <row r="105" customFormat="false" ht="15" hidden="false" customHeight="false" outlineLevel="0" collapsed="false">
      <c r="A105" s="6" t="s">
        <v>13396</v>
      </c>
      <c r="B105" s="6" t="s">
        <v>194</v>
      </c>
      <c r="C105" s="6" t="s">
        <v>57</v>
      </c>
      <c r="D105" s="6" t="s">
        <v>34</v>
      </c>
      <c r="E105" s="6" t="n">
        <f aca="false">ROUND(13174*1.05,2)</f>
        <v>13832.7</v>
      </c>
      <c r="F105" s="6" t="s">
        <v>35</v>
      </c>
      <c r="G105" s="6" t="s">
        <v>18</v>
      </c>
      <c r="H105" s="6" t="n">
        <f aca="true">ROUND(RAND()*4+6,1)</f>
        <v>8.4</v>
      </c>
      <c r="I105" s="6" t="s">
        <v>36</v>
      </c>
      <c r="J105" s="6" t="str">
        <f aca="false">ROUND(88*1,0)&amp;"%"</f>
        <v>88%</v>
      </c>
    </row>
    <row r="106" customFormat="false" ht="15" hidden="false" customHeight="false" outlineLevel="0" collapsed="false">
      <c r="A106" s="5" t="s">
        <v>13397</v>
      </c>
      <c r="B106" s="5" t="s">
        <v>196</v>
      </c>
      <c r="C106" s="5" t="s">
        <v>57</v>
      </c>
      <c r="D106" s="5" t="s">
        <v>39</v>
      </c>
      <c r="E106" s="5" t="n">
        <f aca="false">ROUND(13891*1.05,2)</f>
        <v>14585.55</v>
      </c>
      <c r="F106" s="5" t="s">
        <v>40</v>
      </c>
      <c r="G106" s="5" t="s">
        <v>24</v>
      </c>
      <c r="H106" s="5" t="n">
        <f aca="true">ROUND(RAND()*4+6,1)</f>
        <v>8.9</v>
      </c>
      <c r="I106" s="5" t="s">
        <v>41</v>
      </c>
      <c r="J106" s="5" t="str">
        <f aca="false">ROUND(74*1,0)&amp;"%"</f>
        <v>74%</v>
      </c>
    </row>
    <row r="107" customFormat="false" ht="15" hidden="false" customHeight="false" outlineLevel="0" collapsed="false">
      <c r="A107" s="6" t="s">
        <v>13398</v>
      </c>
      <c r="B107" s="6" t="s">
        <v>198</v>
      </c>
      <c r="C107" s="6" t="s">
        <v>57</v>
      </c>
      <c r="D107" s="6" t="s">
        <v>44</v>
      </c>
      <c r="E107" s="6" t="n">
        <f aca="false">ROUND(14743*1.05,2)</f>
        <v>15480.15</v>
      </c>
      <c r="F107" s="6" t="s">
        <v>45</v>
      </c>
      <c r="G107" s="6" t="s">
        <v>30</v>
      </c>
      <c r="H107" s="6" t="n">
        <f aca="true">ROUND(RAND()*4+6,1)</f>
        <v>9.9</v>
      </c>
      <c r="I107" s="6" t="s">
        <v>46</v>
      </c>
      <c r="J107" s="6" t="str">
        <f aca="false">ROUND(62*1,0)&amp;"%"</f>
        <v>62%</v>
      </c>
    </row>
    <row r="108" customFormat="false" ht="15" hidden="false" customHeight="false" outlineLevel="0" collapsed="false">
      <c r="A108" s="5" t="s">
        <v>13399</v>
      </c>
      <c r="B108" s="5" t="s">
        <v>200</v>
      </c>
      <c r="C108" s="5" t="s">
        <v>57</v>
      </c>
      <c r="D108" s="5" t="s">
        <v>16</v>
      </c>
      <c r="E108" s="5" t="n">
        <f aca="false">ROUND(14625*1.05,2)</f>
        <v>15356.25</v>
      </c>
      <c r="F108" s="5" t="s">
        <v>49</v>
      </c>
      <c r="G108" s="5" t="s">
        <v>18</v>
      </c>
      <c r="H108" s="5" t="n">
        <f aca="true">ROUND(RAND()*4+6,1)</f>
        <v>9.6</v>
      </c>
      <c r="I108" s="5" t="s">
        <v>19</v>
      </c>
      <c r="J108" s="5" t="str">
        <f aca="false">ROUND(88*1,0)&amp;"%"</f>
        <v>88%</v>
      </c>
    </row>
    <row r="109" customFormat="false" ht="15" hidden="false" customHeight="false" outlineLevel="0" collapsed="false">
      <c r="A109" s="6" t="s">
        <v>13400</v>
      </c>
      <c r="B109" s="6" t="s">
        <v>202</v>
      </c>
      <c r="C109" s="6" t="s">
        <v>57</v>
      </c>
      <c r="D109" s="6" t="s">
        <v>22</v>
      </c>
      <c r="E109" s="6" t="n">
        <f aca="false">ROUND(16719*1.05,2)</f>
        <v>17554.95</v>
      </c>
      <c r="F109" s="6" t="s">
        <v>52</v>
      </c>
      <c r="G109" s="6" t="s">
        <v>24</v>
      </c>
      <c r="H109" s="6" t="n">
        <f aca="true">ROUND(RAND()*4+6,1)</f>
        <v>9.9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13401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13402</v>
      </c>
      <c r="B114" s="5" t="s">
        <v>206</v>
      </c>
      <c r="C114" s="5" t="s">
        <v>76</v>
      </c>
      <c r="D114" s="5" t="s">
        <v>16</v>
      </c>
      <c r="E114" s="5" t="n">
        <f aca="false">ROUND(11518*1.05,2)</f>
        <v>12093.9</v>
      </c>
      <c r="F114" s="5" t="s">
        <v>17</v>
      </c>
      <c r="G114" s="5" t="s">
        <v>18</v>
      </c>
      <c r="H114" s="5" t="n">
        <f aca="true">ROUND(RAND()*4+6,1)</f>
        <v>9.5</v>
      </c>
      <c r="I114" s="5" t="s">
        <v>19</v>
      </c>
      <c r="J114" s="5" t="str">
        <f aca="false">ROUND(77*1,0)&amp;"%"</f>
        <v>77%</v>
      </c>
    </row>
    <row r="115" customFormat="false" ht="15" hidden="false" customHeight="false" outlineLevel="0" collapsed="false">
      <c r="A115" s="6" t="s">
        <v>13403</v>
      </c>
      <c r="B115" s="6" t="s">
        <v>208</v>
      </c>
      <c r="C115" s="6" t="s">
        <v>76</v>
      </c>
      <c r="D115" s="6" t="s">
        <v>22</v>
      </c>
      <c r="E115" s="6" t="n">
        <f aca="false">ROUND(7896*1.05,2)</f>
        <v>8290.8</v>
      </c>
      <c r="F115" s="6" t="s">
        <v>23</v>
      </c>
      <c r="G115" s="6" t="s">
        <v>24</v>
      </c>
      <c r="H115" s="6" t="n">
        <f aca="true">ROUND(RAND()*4+6,1)</f>
        <v>9.5</v>
      </c>
      <c r="I115" s="6" t="s">
        <v>25</v>
      </c>
      <c r="J115" s="6" t="str">
        <f aca="false">ROUND(97*1,0)&amp;"%"</f>
        <v>97%</v>
      </c>
    </row>
    <row r="116" customFormat="false" ht="15" hidden="false" customHeight="false" outlineLevel="0" collapsed="false">
      <c r="A116" s="5" t="s">
        <v>13404</v>
      </c>
      <c r="B116" s="5" t="s">
        <v>210</v>
      </c>
      <c r="C116" s="5" t="s">
        <v>76</v>
      </c>
      <c r="D116" s="5" t="s">
        <v>28</v>
      </c>
      <c r="E116" s="5" t="n">
        <f aca="false">ROUND(14851*1.05,2)</f>
        <v>15593.55</v>
      </c>
      <c r="F116" s="5" t="s">
        <v>29</v>
      </c>
      <c r="G116" s="5" t="s">
        <v>30</v>
      </c>
      <c r="H116" s="5" t="n">
        <f aca="true">ROUND(RAND()*4+6,1)</f>
        <v>8.5</v>
      </c>
      <c r="I116" s="5" t="s">
        <v>31</v>
      </c>
      <c r="J116" s="5" t="str">
        <f aca="false">ROUND(69*1,0)&amp;"%"</f>
        <v>69%</v>
      </c>
    </row>
    <row r="117" customFormat="false" ht="15" hidden="false" customHeight="false" outlineLevel="0" collapsed="false">
      <c r="A117" s="6" t="s">
        <v>13405</v>
      </c>
      <c r="B117" s="6" t="s">
        <v>212</v>
      </c>
      <c r="C117" s="6" t="s">
        <v>76</v>
      </c>
      <c r="D117" s="6" t="s">
        <v>34</v>
      </c>
      <c r="E117" s="6" t="n">
        <f aca="false">ROUND(17859*1.05,2)</f>
        <v>18751.95</v>
      </c>
      <c r="F117" s="6" t="s">
        <v>35</v>
      </c>
      <c r="G117" s="6" t="s">
        <v>18</v>
      </c>
      <c r="H117" s="6" t="n">
        <f aca="true">ROUND(RAND()*4+6,1)</f>
        <v>6.9</v>
      </c>
      <c r="I117" s="6" t="s">
        <v>36</v>
      </c>
      <c r="J117" s="6" t="str">
        <f aca="false">ROUND(81*1,0)&amp;"%"</f>
        <v>81%</v>
      </c>
    </row>
    <row r="118" customFormat="false" ht="15" hidden="false" customHeight="false" outlineLevel="0" collapsed="false">
      <c r="A118" s="5" t="s">
        <v>13406</v>
      </c>
      <c r="B118" s="5" t="s">
        <v>214</v>
      </c>
      <c r="C118" s="5" t="s">
        <v>76</v>
      </c>
      <c r="D118" s="5" t="s">
        <v>39</v>
      </c>
      <c r="E118" s="5" t="n">
        <f aca="false">ROUND(11707*1.05,2)</f>
        <v>12292.35</v>
      </c>
      <c r="F118" s="5" t="s">
        <v>40</v>
      </c>
      <c r="G118" s="5" t="s">
        <v>24</v>
      </c>
      <c r="H118" s="5" t="n">
        <f aca="true">ROUND(RAND()*4+6,1)</f>
        <v>6.8</v>
      </c>
      <c r="I118" s="5" t="s">
        <v>41</v>
      </c>
      <c r="J118" s="5" t="str">
        <f aca="false">ROUND(69*1,0)&amp;"%"</f>
        <v>69%</v>
      </c>
    </row>
    <row r="119" customFormat="false" ht="15" hidden="false" customHeight="false" outlineLevel="0" collapsed="false">
      <c r="A119" s="6" t="s">
        <v>13407</v>
      </c>
      <c r="B119" s="6" t="s">
        <v>216</v>
      </c>
      <c r="C119" s="6" t="s">
        <v>76</v>
      </c>
      <c r="D119" s="6" t="s">
        <v>44</v>
      </c>
      <c r="E119" s="6" t="n">
        <f aca="false">ROUND(11737*1.05,2)</f>
        <v>12323.85</v>
      </c>
      <c r="F119" s="6" t="s">
        <v>45</v>
      </c>
      <c r="G119" s="6" t="s">
        <v>30</v>
      </c>
      <c r="H119" s="6" t="n">
        <f aca="true">ROUND(RAND()*4+6,1)</f>
        <v>8.8</v>
      </c>
      <c r="I119" s="6" t="s">
        <v>46</v>
      </c>
      <c r="J119" s="6" t="str">
        <f aca="false">ROUND(67*1,0)&amp;"%"</f>
        <v>67%</v>
      </c>
    </row>
    <row r="120" customFormat="false" ht="15" hidden="false" customHeight="false" outlineLevel="0" collapsed="false">
      <c r="A120" s="5" t="s">
        <v>13408</v>
      </c>
      <c r="B120" s="5" t="s">
        <v>218</v>
      </c>
      <c r="C120" s="5" t="s">
        <v>76</v>
      </c>
      <c r="D120" s="5" t="s">
        <v>16</v>
      </c>
      <c r="E120" s="5" t="n">
        <f aca="false">ROUND(7698*1.05,2)</f>
        <v>8082.9</v>
      </c>
      <c r="F120" s="5" t="s">
        <v>49</v>
      </c>
      <c r="G120" s="5" t="s">
        <v>18</v>
      </c>
      <c r="H120" s="5" t="n">
        <f aca="true">ROUND(RAND()*4+6,1)</f>
        <v>9.6</v>
      </c>
      <c r="I120" s="5" t="s">
        <v>19</v>
      </c>
      <c r="J120" s="5" t="str">
        <f aca="false">ROUND(85*1,0)&amp;"%"</f>
        <v>85%</v>
      </c>
    </row>
    <row r="121" customFormat="false" ht="15" hidden="false" customHeight="false" outlineLevel="0" collapsed="false">
      <c r="A121" s="6" t="s">
        <v>13409</v>
      </c>
      <c r="B121" s="6" t="s">
        <v>220</v>
      </c>
      <c r="C121" s="6" t="s">
        <v>76</v>
      </c>
      <c r="D121" s="6" t="s">
        <v>22</v>
      </c>
      <c r="E121" s="6" t="n">
        <f aca="false">ROUND(13280*1.05,2)</f>
        <v>13944</v>
      </c>
      <c r="F121" s="6" t="s">
        <v>52</v>
      </c>
      <c r="G121" s="6" t="s">
        <v>24</v>
      </c>
      <c r="H121" s="6" t="n">
        <f aca="true">ROUND(RAND()*4+6,1)</f>
        <v>7</v>
      </c>
      <c r="I121" s="6" t="s">
        <v>25</v>
      </c>
      <c r="J121" s="6" t="str">
        <f aca="false">ROUND(74*1,0)&amp;"%"</f>
        <v>74%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13410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13411</v>
      </c>
      <c r="B126" s="5" t="s">
        <v>224</v>
      </c>
      <c r="C126" s="5" t="s">
        <v>95</v>
      </c>
      <c r="D126" s="5" t="s">
        <v>16</v>
      </c>
      <c r="E126" s="5" t="n">
        <f aca="false">ROUND(7464*1.05,2)</f>
        <v>7837.2</v>
      </c>
      <c r="F126" s="5" t="s">
        <v>17</v>
      </c>
      <c r="G126" s="5" t="s">
        <v>18</v>
      </c>
      <c r="H126" s="5" t="n">
        <f aca="true">ROUND(RAND()*4+6,1)</f>
        <v>9.8</v>
      </c>
      <c r="I126" s="5" t="s">
        <v>19</v>
      </c>
      <c r="J126" s="5" t="str">
        <f aca="false">ROUND(62*1,0)&amp;"%"</f>
        <v>62%</v>
      </c>
    </row>
    <row r="127" customFormat="false" ht="15" hidden="false" customHeight="false" outlineLevel="0" collapsed="false">
      <c r="A127" s="6" t="s">
        <v>13412</v>
      </c>
      <c r="B127" s="6" t="s">
        <v>226</v>
      </c>
      <c r="C127" s="6" t="s">
        <v>95</v>
      </c>
      <c r="D127" s="6" t="s">
        <v>22</v>
      </c>
      <c r="E127" s="6" t="n">
        <f aca="false">ROUND(13854*1.05,2)</f>
        <v>14546.7</v>
      </c>
      <c r="F127" s="6" t="s">
        <v>23</v>
      </c>
      <c r="G127" s="6" t="s">
        <v>24</v>
      </c>
      <c r="H127" s="6" t="n">
        <f aca="true">ROUND(RAND()*4+6,1)</f>
        <v>9.3</v>
      </c>
      <c r="I127" s="6" t="s">
        <v>25</v>
      </c>
      <c r="J127" s="6" t="str">
        <f aca="false">ROUND(71*1,0)&amp;"%"</f>
        <v>71%</v>
      </c>
    </row>
    <row r="128" customFormat="false" ht="15" hidden="false" customHeight="false" outlineLevel="0" collapsed="false">
      <c r="A128" s="5" t="s">
        <v>13413</v>
      </c>
      <c r="B128" s="5" t="s">
        <v>228</v>
      </c>
      <c r="C128" s="5" t="s">
        <v>95</v>
      </c>
      <c r="D128" s="5" t="s">
        <v>28</v>
      </c>
      <c r="E128" s="5" t="n">
        <f aca="false">ROUND(16350*1.05,2)</f>
        <v>17167.5</v>
      </c>
      <c r="F128" s="5" t="s">
        <v>29</v>
      </c>
      <c r="G128" s="5" t="s">
        <v>30</v>
      </c>
      <c r="H128" s="5" t="n">
        <f aca="true">ROUND(RAND()*4+6,1)</f>
        <v>8.6</v>
      </c>
      <c r="I128" s="5" t="s">
        <v>31</v>
      </c>
      <c r="J128" s="5" t="str">
        <f aca="false">ROUND(76*1,0)&amp;"%"</f>
        <v>76%</v>
      </c>
    </row>
    <row r="129" customFormat="false" ht="15" hidden="false" customHeight="false" outlineLevel="0" collapsed="false">
      <c r="A129" s="6" t="s">
        <v>13414</v>
      </c>
      <c r="B129" s="6" t="s">
        <v>230</v>
      </c>
      <c r="C129" s="6" t="s">
        <v>95</v>
      </c>
      <c r="D129" s="6" t="s">
        <v>34</v>
      </c>
      <c r="E129" s="6" t="n">
        <f aca="false">ROUND(11126*1.05,2)</f>
        <v>11682.3</v>
      </c>
      <c r="F129" s="6" t="s">
        <v>35</v>
      </c>
      <c r="G129" s="6" t="s">
        <v>18</v>
      </c>
      <c r="H129" s="6" t="n">
        <f aca="true">ROUND(RAND()*4+6,1)</f>
        <v>8.6</v>
      </c>
      <c r="I129" s="6" t="s">
        <v>36</v>
      </c>
      <c r="J129" s="6" t="str">
        <f aca="false">ROUND(68*1,0)&amp;"%"</f>
        <v>68%</v>
      </c>
    </row>
    <row r="130" customFormat="false" ht="15" hidden="false" customHeight="false" outlineLevel="0" collapsed="false">
      <c r="A130" s="5" t="s">
        <v>13415</v>
      </c>
      <c r="B130" s="5" t="s">
        <v>232</v>
      </c>
      <c r="C130" s="5" t="s">
        <v>95</v>
      </c>
      <c r="D130" s="5" t="s">
        <v>39</v>
      </c>
      <c r="E130" s="5" t="n">
        <f aca="false">ROUND(11552*1.05,2)</f>
        <v>12129.6</v>
      </c>
      <c r="F130" s="5" t="s">
        <v>40</v>
      </c>
      <c r="G130" s="5" t="s">
        <v>24</v>
      </c>
      <c r="H130" s="5" t="n">
        <f aca="true">ROUND(RAND()*4+6,1)</f>
        <v>6.3</v>
      </c>
      <c r="I130" s="5" t="s">
        <v>41</v>
      </c>
      <c r="J130" s="5" t="str">
        <f aca="false">ROUND(75*1,0)&amp;"%"</f>
        <v>75%</v>
      </c>
    </row>
    <row r="131" customFormat="false" ht="15" hidden="false" customHeight="false" outlineLevel="0" collapsed="false">
      <c r="A131" s="6" t="s">
        <v>13416</v>
      </c>
      <c r="B131" s="6" t="s">
        <v>234</v>
      </c>
      <c r="C131" s="6" t="s">
        <v>95</v>
      </c>
      <c r="D131" s="6" t="s">
        <v>44</v>
      </c>
      <c r="E131" s="6" t="n">
        <f aca="false">ROUND(4631*1.05,2)</f>
        <v>4862.55</v>
      </c>
      <c r="F131" s="6" t="s">
        <v>45</v>
      </c>
      <c r="G131" s="6" t="s">
        <v>30</v>
      </c>
      <c r="H131" s="6" t="n">
        <f aca="true">ROUND(RAND()*4+6,1)</f>
        <v>7.7</v>
      </c>
      <c r="I131" s="6" t="s">
        <v>46</v>
      </c>
      <c r="J131" s="6" t="str">
        <f aca="false">ROUND(82*1,0)&amp;"%"</f>
        <v>82%</v>
      </c>
    </row>
    <row r="132" customFormat="false" ht="15" hidden="false" customHeight="false" outlineLevel="0" collapsed="false">
      <c r="A132" s="5" t="s">
        <v>13417</v>
      </c>
      <c r="B132" s="5" t="s">
        <v>236</v>
      </c>
      <c r="C132" s="5" t="s">
        <v>95</v>
      </c>
      <c r="D132" s="5" t="s">
        <v>16</v>
      </c>
      <c r="E132" s="5" t="n">
        <f aca="false">ROUND(11690*1.05,2)</f>
        <v>12274.5</v>
      </c>
      <c r="F132" s="5" t="s">
        <v>49</v>
      </c>
      <c r="G132" s="5" t="s">
        <v>18</v>
      </c>
      <c r="H132" s="5" t="n">
        <f aca="true">ROUND(RAND()*4+6,1)</f>
        <v>8.1</v>
      </c>
      <c r="I132" s="5" t="s">
        <v>19</v>
      </c>
      <c r="J132" s="5" t="str">
        <f aca="false">ROUND(78*1,0)&amp;"%"</f>
        <v>78%</v>
      </c>
    </row>
    <row r="133" customFormat="false" ht="15" hidden="false" customHeight="false" outlineLevel="0" collapsed="false">
      <c r="A133" s="6" t="s">
        <v>13418</v>
      </c>
      <c r="B133" s="6" t="s">
        <v>238</v>
      </c>
      <c r="C133" s="6" t="s">
        <v>95</v>
      </c>
      <c r="D133" s="6" t="s">
        <v>22</v>
      </c>
      <c r="E133" s="6" t="n">
        <f aca="false">ROUND(16927*1.05,2)</f>
        <v>17773.35</v>
      </c>
      <c r="F133" s="6" t="s">
        <v>52</v>
      </c>
      <c r="G133" s="6" t="s">
        <v>24</v>
      </c>
      <c r="H133" s="6" t="n">
        <f aca="true">ROUND(RAND()*4+6,1)</f>
        <v>8.2</v>
      </c>
      <c r="I133" s="6" t="s">
        <v>25</v>
      </c>
      <c r="J133" s="6" t="str">
        <f aca="false">ROUND(91*1,0)&amp;"%"</f>
        <v>91%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13419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13420</v>
      </c>
      <c r="B138" s="5" t="s">
        <v>242</v>
      </c>
      <c r="C138" s="5" t="s">
        <v>114</v>
      </c>
      <c r="D138" s="5" t="s">
        <v>16</v>
      </c>
      <c r="E138" s="5" t="n">
        <f aca="false">ROUND(15452*1.05,2)</f>
        <v>16224.6</v>
      </c>
      <c r="F138" s="5" t="s">
        <v>17</v>
      </c>
      <c r="G138" s="5" t="s">
        <v>18</v>
      </c>
      <c r="H138" s="5" t="n">
        <f aca="true">ROUND(RAND()*4+6,1)</f>
        <v>9.3</v>
      </c>
      <c r="I138" s="5" t="s">
        <v>19</v>
      </c>
      <c r="J138" s="5" t="str">
        <f aca="false">ROUND(100*1,0)&amp;"%"</f>
        <v>100%</v>
      </c>
    </row>
    <row r="139" customFormat="false" ht="15" hidden="false" customHeight="false" outlineLevel="0" collapsed="false">
      <c r="A139" s="6" t="s">
        <v>13421</v>
      </c>
      <c r="B139" s="6" t="s">
        <v>244</v>
      </c>
      <c r="C139" s="6" t="s">
        <v>114</v>
      </c>
      <c r="D139" s="6" t="s">
        <v>22</v>
      </c>
      <c r="E139" s="6" t="n">
        <f aca="false">ROUND(15041*1.05,2)</f>
        <v>15793.05</v>
      </c>
      <c r="F139" s="6" t="s">
        <v>23</v>
      </c>
      <c r="G139" s="6" t="s">
        <v>24</v>
      </c>
      <c r="H139" s="6" t="n">
        <f aca="true">ROUND(RAND()*4+6,1)</f>
        <v>7.1</v>
      </c>
      <c r="I139" s="6" t="s">
        <v>25</v>
      </c>
      <c r="J139" s="6" t="str">
        <f aca="false">ROUND(86*1,0)&amp;"%"</f>
        <v>86%</v>
      </c>
    </row>
    <row r="140" customFormat="false" ht="15" hidden="false" customHeight="false" outlineLevel="0" collapsed="false">
      <c r="A140" s="5" t="s">
        <v>13422</v>
      </c>
      <c r="B140" s="5" t="s">
        <v>246</v>
      </c>
      <c r="C140" s="5" t="s">
        <v>114</v>
      </c>
      <c r="D140" s="5" t="s">
        <v>28</v>
      </c>
      <c r="E140" s="5" t="n">
        <f aca="false">ROUND(15679*1.05,2)</f>
        <v>16462.95</v>
      </c>
      <c r="F140" s="5" t="s">
        <v>29</v>
      </c>
      <c r="G140" s="5" t="s">
        <v>30</v>
      </c>
      <c r="H140" s="5" t="n">
        <f aca="true">ROUND(RAND()*4+6,1)</f>
        <v>7.9</v>
      </c>
      <c r="I140" s="5" t="s">
        <v>31</v>
      </c>
      <c r="J140" s="5" t="str">
        <f aca="false">ROUND(87*1,0)&amp;"%"</f>
        <v>87%</v>
      </c>
    </row>
    <row r="141" customFormat="false" ht="15" hidden="false" customHeight="false" outlineLevel="0" collapsed="false">
      <c r="A141" s="6" t="s">
        <v>13423</v>
      </c>
      <c r="B141" s="6" t="s">
        <v>248</v>
      </c>
      <c r="C141" s="6" t="s">
        <v>114</v>
      </c>
      <c r="D141" s="6" t="s">
        <v>34</v>
      </c>
      <c r="E141" s="6" t="n">
        <f aca="false">ROUND(14583*1.05,2)</f>
        <v>15312.15</v>
      </c>
      <c r="F141" s="6" t="s">
        <v>35</v>
      </c>
      <c r="G141" s="6" t="s">
        <v>18</v>
      </c>
      <c r="H141" s="6" t="n">
        <f aca="true">ROUND(RAND()*4+6,1)</f>
        <v>8.7</v>
      </c>
      <c r="I141" s="6" t="s">
        <v>36</v>
      </c>
      <c r="J141" s="6" t="str">
        <f aca="false">ROUND(86*1,0)&amp;"%"</f>
        <v>86%</v>
      </c>
    </row>
    <row r="142" customFormat="false" ht="15" hidden="false" customHeight="false" outlineLevel="0" collapsed="false">
      <c r="A142" s="5" t="s">
        <v>13424</v>
      </c>
      <c r="B142" s="5" t="s">
        <v>250</v>
      </c>
      <c r="C142" s="5" t="s">
        <v>114</v>
      </c>
      <c r="D142" s="5" t="s">
        <v>39</v>
      </c>
      <c r="E142" s="5" t="n">
        <f aca="false">ROUND(17075*1.05,2)</f>
        <v>17928.75</v>
      </c>
      <c r="F142" s="5" t="s">
        <v>40</v>
      </c>
      <c r="G142" s="5" t="s">
        <v>24</v>
      </c>
      <c r="H142" s="5" t="n">
        <f aca="true">ROUND(RAND()*4+6,1)</f>
        <v>7.7</v>
      </c>
      <c r="I142" s="5" t="s">
        <v>41</v>
      </c>
      <c r="J142" s="5" t="str">
        <f aca="false">ROUND(60*1,0)&amp;"%"</f>
        <v>60%</v>
      </c>
    </row>
    <row r="143" customFormat="false" ht="15" hidden="false" customHeight="false" outlineLevel="0" collapsed="false">
      <c r="A143" s="6" t="s">
        <v>13425</v>
      </c>
      <c r="B143" s="6" t="s">
        <v>252</v>
      </c>
      <c r="C143" s="6" t="s">
        <v>114</v>
      </c>
      <c r="D143" s="6" t="s">
        <v>44</v>
      </c>
      <c r="E143" s="6" t="n">
        <f aca="false">ROUND(15035*1.05,2)</f>
        <v>15786.75</v>
      </c>
      <c r="F143" s="6" t="s">
        <v>45</v>
      </c>
      <c r="G143" s="6" t="s">
        <v>30</v>
      </c>
      <c r="H143" s="6" t="n">
        <f aca="true">ROUND(RAND()*4+6,1)</f>
        <v>8.4</v>
      </c>
      <c r="I143" s="6" t="s">
        <v>46</v>
      </c>
      <c r="J143" s="6" t="str">
        <f aca="false">ROUND(82*1,0)&amp;"%"</f>
        <v>82%</v>
      </c>
    </row>
    <row r="144" customFormat="false" ht="15" hidden="false" customHeight="false" outlineLevel="0" collapsed="false">
      <c r="A144" s="5" t="s">
        <v>13426</v>
      </c>
      <c r="B144" s="5" t="s">
        <v>254</v>
      </c>
      <c r="C144" s="5" t="s">
        <v>114</v>
      </c>
      <c r="D144" s="5" t="s">
        <v>16</v>
      </c>
      <c r="E144" s="5" t="n">
        <f aca="false">ROUND(8309*1.05,2)</f>
        <v>8724.45</v>
      </c>
      <c r="F144" s="5" t="s">
        <v>49</v>
      </c>
      <c r="G144" s="5" t="s">
        <v>18</v>
      </c>
      <c r="H144" s="5" t="n">
        <f aca="true">ROUND(RAND()*4+6,1)</f>
        <v>9.7</v>
      </c>
      <c r="I144" s="5" t="s">
        <v>19</v>
      </c>
      <c r="J144" s="5" t="str">
        <f aca="false">ROUND(72*1,0)&amp;"%"</f>
        <v>72%</v>
      </c>
    </row>
    <row r="145" customFormat="false" ht="15" hidden="false" customHeight="false" outlineLevel="0" collapsed="false">
      <c r="A145" s="6" t="s">
        <v>13427</v>
      </c>
      <c r="B145" s="6" t="s">
        <v>256</v>
      </c>
      <c r="C145" s="6" t="s">
        <v>114</v>
      </c>
      <c r="D145" s="6" t="s">
        <v>22</v>
      </c>
      <c r="E145" s="6" t="n">
        <f aca="false">ROUND(15017*1.05,2)</f>
        <v>15767.85</v>
      </c>
      <c r="F145" s="6" t="s">
        <v>52</v>
      </c>
      <c r="G145" s="6" t="s">
        <v>24</v>
      </c>
      <c r="H145" s="6" t="n">
        <f aca="true">ROUND(RAND()*4+6,1)</f>
        <v>6.3</v>
      </c>
      <c r="I145" s="6" t="s">
        <v>25</v>
      </c>
      <c r="J145" s="6" t="str">
        <f aca="false">ROUND(86*1,0)&amp;"%"</f>
        <v>86%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13428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13429</v>
      </c>
      <c r="B150" s="5" t="s">
        <v>260</v>
      </c>
      <c r="C150" s="5" t="s">
        <v>133</v>
      </c>
      <c r="D150" s="5" t="s">
        <v>16</v>
      </c>
      <c r="E150" s="5" t="n">
        <f aca="false">ROUND(5730*1.05,2)</f>
        <v>6016.5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ROUND(68*1,0)&amp;"%"</f>
        <v>68%</v>
      </c>
    </row>
    <row r="151" customFormat="false" ht="15" hidden="false" customHeight="false" outlineLevel="0" collapsed="false">
      <c r="A151" s="6" t="s">
        <v>13430</v>
      </c>
      <c r="B151" s="6" t="s">
        <v>262</v>
      </c>
      <c r="C151" s="6" t="s">
        <v>133</v>
      </c>
      <c r="D151" s="6" t="s">
        <v>22</v>
      </c>
      <c r="E151" s="6" t="n">
        <f aca="false">ROUND(15973*1.05,2)</f>
        <v>16771.65</v>
      </c>
      <c r="F151" s="6" t="s">
        <v>23</v>
      </c>
      <c r="G151" s="6" t="s">
        <v>24</v>
      </c>
      <c r="H151" s="6" t="n">
        <f aca="true">ROUND(RAND()*4+6,1)</f>
        <v>6.1</v>
      </c>
      <c r="I151" s="6" t="s">
        <v>25</v>
      </c>
      <c r="J151" s="6" t="str">
        <f aca="false">ROUND(75*1,0)&amp;"%"</f>
        <v>75%</v>
      </c>
    </row>
    <row r="152" customFormat="false" ht="15" hidden="false" customHeight="false" outlineLevel="0" collapsed="false">
      <c r="A152" s="5" t="s">
        <v>13431</v>
      </c>
      <c r="B152" s="5" t="s">
        <v>264</v>
      </c>
      <c r="C152" s="5" t="s">
        <v>133</v>
      </c>
      <c r="D152" s="5" t="s">
        <v>28</v>
      </c>
      <c r="E152" s="5" t="n">
        <f aca="false">ROUND(8544*1.05,2)</f>
        <v>8971.2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ROUND(85*1,0)&amp;"%"</f>
        <v>85%</v>
      </c>
    </row>
    <row r="153" customFormat="false" ht="15" hidden="false" customHeight="false" outlineLevel="0" collapsed="false">
      <c r="A153" s="6" t="s">
        <v>13432</v>
      </c>
      <c r="B153" s="6" t="s">
        <v>266</v>
      </c>
      <c r="C153" s="6" t="s">
        <v>133</v>
      </c>
      <c r="D153" s="6" t="s">
        <v>34</v>
      </c>
      <c r="E153" s="6" t="n">
        <f aca="false">ROUND(10193*1.05,2)</f>
        <v>10702.65</v>
      </c>
      <c r="F153" s="6" t="s">
        <v>35</v>
      </c>
      <c r="G153" s="6" t="s">
        <v>18</v>
      </c>
      <c r="H153" s="6" t="n">
        <f aca="true">ROUND(RAND()*4+6,1)</f>
        <v>9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13433</v>
      </c>
      <c r="B154" s="5" t="s">
        <v>268</v>
      </c>
      <c r="C154" s="5" t="s">
        <v>133</v>
      </c>
      <c r="D154" s="5" t="s">
        <v>39</v>
      </c>
      <c r="E154" s="5" t="n">
        <f aca="false">ROUND(4914*1.05,2)</f>
        <v>5159.7</v>
      </c>
      <c r="F154" s="5" t="s">
        <v>40</v>
      </c>
      <c r="G154" s="5" t="s">
        <v>24</v>
      </c>
      <c r="H154" s="5" t="n">
        <f aca="true">ROUND(RAND()*4+6,1)</f>
        <v>8</v>
      </c>
      <c r="I154" s="5" t="s">
        <v>41</v>
      </c>
      <c r="J154" s="5" t="str">
        <f aca="false">ROUND(86*1,0)&amp;"%"</f>
        <v>86%</v>
      </c>
    </row>
    <row r="155" customFormat="false" ht="15" hidden="false" customHeight="false" outlineLevel="0" collapsed="false">
      <c r="A155" s="6" t="s">
        <v>13434</v>
      </c>
      <c r="B155" s="6" t="s">
        <v>270</v>
      </c>
      <c r="C155" s="6" t="s">
        <v>133</v>
      </c>
      <c r="D155" s="6" t="s">
        <v>44</v>
      </c>
      <c r="E155" s="6" t="n">
        <f aca="false">ROUND(5299*1.05,2)</f>
        <v>5563.95</v>
      </c>
      <c r="F155" s="6" t="s">
        <v>45</v>
      </c>
      <c r="G155" s="6" t="s">
        <v>30</v>
      </c>
      <c r="H155" s="6" t="n">
        <f aca="true">ROUND(RAND()*4+6,1)</f>
        <v>9.2</v>
      </c>
      <c r="I155" s="6" t="s">
        <v>46</v>
      </c>
      <c r="J155" s="6" t="str">
        <f aca="false">ROUND(95*1,0)&amp;"%"</f>
        <v>95%</v>
      </c>
    </row>
    <row r="156" customFormat="false" ht="15" hidden="false" customHeight="false" outlineLevel="0" collapsed="false">
      <c r="A156" s="5" t="s">
        <v>13435</v>
      </c>
      <c r="B156" s="5" t="s">
        <v>272</v>
      </c>
      <c r="C156" s="5" t="s">
        <v>133</v>
      </c>
      <c r="D156" s="5" t="s">
        <v>16</v>
      </c>
      <c r="E156" s="5" t="n">
        <f aca="false">ROUND(17315*1.05,2)</f>
        <v>18180.75</v>
      </c>
      <c r="F156" s="5" t="s">
        <v>49</v>
      </c>
      <c r="G156" s="5" t="s">
        <v>18</v>
      </c>
      <c r="H156" s="5" t="n">
        <f aca="true">ROUND(RAND()*4+6,1)</f>
        <v>9.7</v>
      </c>
      <c r="I156" s="5" t="s">
        <v>19</v>
      </c>
      <c r="J156" s="5" t="str">
        <f aca="false">ROUND(83*1,0)&amp;"%"</f>
        <v>83%</v>
      </c>
    </row>
    <row r="157" customFormat="false" ht="15" hidden="false" customHeight="false" outlineLevel="0" collapsed="false">
      <c r="A157" s="6" t="s">
        <v>13436</v>
      </c>
      <c r="B157" s="6" t="s">
        <v>274</v>
      </c>
      <c r="C157" s="6" t="s">
        <v>133</v>
      </c>
      <c r="D157" s="6" t="s">
        <v>22</v>
      </c>
      <c r="E157" s="6" t="n">
        <f aca="false">ROUND(14452*1.05,2)</f>
        <v>15174.6</v>
      </c>
      <c r="F157" s="6" t="s">
        <v>52</v>
      </c>
      <c r="G157" s="6" t="s">
        <v>24</v>
      </c>
      <c r="H157" s="6" t="n">
        <f aca="true">ROUND(RAND()*4+6,1)</f>
        <v>7.2</v>
      </c>
      <c r="I157" s="6" t="s">
        <v>25</v>
      </c>
      <c r="J157" s="6" t="str">
        <f aca="false">ROUND(93*1,0)&amp;"%"</f>
        <v>93%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13437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13438</v>
      </c>
      <c r="B162" s="5" t="s">
        <v>278</v>
      </c>
      <c r="C162" s="5" t="s">
        <v>152</v>
      </c>
      <c r="D162" s="5" t="s">
        <v>16</v>
      </c>
      <c r="E162" s="5" t="n">
        <f aca="false">ROUND(15429*1.05,2)</f>
        <v>16200.45</v>
      </c>
      <c r="F162" s="5" t="s">
        <v>17</v>
      </c>
      <c r="G162" s="5" t="s">
        <v>18</v>
      </c>
      <c r="H162" s="5" t="n">
        <f aca="true">ROUND(RAND()*4+6,1)</f>
        <v>7.2</v>
      </c>
      <c r="I162" s="5" t="s">
        <v>19</v>
      </c>
      <c r="J162" s="5" t="str">
        <f aca="false">ROUND(80*1,0)&amp;"%"</f>
        <v>80%</v>
      </c>
    </row>
    <row r="163" customFormat="false" ht="15" hidden="false" customHeight="false" outlineLevel="0" collapsed="false">
      <c r="A163" s="6" t="s">
        <v>13439</v>
      </c>
      <c r="B163" s="6" t="s">
        <v>280</v>
      </c>
      <c r="C163" s="6" t="s">
        <v>152</v>
      </c>
      <c r="D163" s="6" t="s">
        <v>22</v>
      </c>
      <c r="E163" s="6" t="n">
        <f aca="false">ROUND(15224*1.05,2)</f>
        <v>15985.2</v>
      </c>
      <c r="F163" s="6" t="s">
        <v>23</v>
      </c>
      <c r="G163" s="6" t="s">
        <v>24</v>
      </c>
      <c r="H163" s="6" t="n">
        <f aca="true">ROUND(RAND()*4+6,1)</f>
        <v>8</v>
      </c>
      <c r="I163" s="6" t="s">
        <v>25</v>
      </c>
      <c r="J163" s="6" t="str">
        <f aca="false">ROUND(65*1,0)&amp;"%"</f>
        <v>65%</v>
      </c>
    </row>
    <row r="164" customFormat="false" ht="15" hidden="false" customHeight="false" outlineLevel="0" collapsed="false">
      <c r="A164" s="5" t="s">
        <v>13440</v>
      </c>
      <c r="B164" s="5" t="s">
        <v>282</v>
      </c>
      <c r="C164" s="5" t="s">
        <v>152</v>
      </c>
      <c r="D164" s="5" t="s">
        <v>28</v>
      </c>
      <c r="E164" s="5" t="n">
        <f aca="false">ROUND(10025*1.05,2)</f>
        <v>10526.25</v>
      </c>
      <c r="F164" s="5" t="s">
        <v>29</v>
      </c>
      <c r="G164" s="5" t="s">
        <v>30</v>
      </c>
      <c r="H164" s="5" t="n">
        <f aca="true">ROUND(RAND()*4+6,1)</f>
        <v>7.1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13441</v>
      </c>
      <c r="B165" s="6" t="s">
        <v>284</v>
      </c>
      <c r="C165" s="6" t="s">
        <v>152</v>
      </c>
      <c r="D165" s="6" t="s">
        <v>34</v>
      </c>
      <c r="E165" s="6" t="n">
        <f aca="false">ROUND(11301*1.05,2)</f>
        <v>11866.05</v>
      </c>
      <c r="F165" s="6" t="s">
        <v>35</v>
      </c>
      <c r="G165" s="6" t="s">
        <v>18</v>
      </c>
      <c r="H165" s="6" t="n">
        <f aca="true">ROUND(RAND()*4+6,1)</f>
        <v>6.1</v>
      </c>
      <c r="I165" s="6" t="s">
        <v>36</v>
      </c>
      <c r="J165" s="6" t="str">
        <f aca="false">ROUND(77*1,0)&amp;"%"</f>
        <v>77%</v>
      </c>
    </row>
    <row r="166" customFormat="false" ht="15" hidden="false" customHeight="false" outlineLevel="0" collapsed="false">
      <c r="A166" s="5" t="s">
        <v>13442</v>
      </c>
      <c r="B166" s="5" t="s">
        <v>286</v>
      </c>
      <c r="C166" s="5" t="s">
        <v>152</v>
      </c>
      <c r="D166" s="5" t="s">
        <v>39</v>
      </c>
      <c r="E166" s="5" t="n">
        <f aca="false">ROUND(15776*1.05,2)</f>
        <v>16564.8</v>
      </c>
      <c r="F166" s="5" t="s">
        <v>40</v>
      </c>
      <c r="G166" s="5" t="s">
        <v>24</v>
      </c>
      <c r="H166" s="5" t="n">
        <f aca="true">ROUND(RAND()*4+6,1)</f>
        <v>9.3</v>
      </c>
      <c r="I166" s="5" t="s">
        <v>41</v>
      </c>
      <c r="J166" s="5" t="str">
        <f aca="false">ROUND(100*1,0)&amp;"%"</f>
        <v>100%</v>
      </c>
    </row>
    <row r="167" customFormat="false" ht="15" hidden="false" customHeight="false" outlineLevel="0" collapsed="false">
      <c r="A167" s="6" t="s">
        <v>13443</v>
      </c>
      <c r="B167" s="6" t="s">
        <v>288</v>
      </c>
      <c r="C167" s="6" t="s">
        <v>152</v>
      </c>
      <c r="D167" s="6" t="s">
        <v>44</v>
      </c>
      <c r="E167" s="6" t="n">
        <f aca="false">ROUND(15001*1.05,2)</f>
        <v>15751.05</v>
      </c>
      <c r="F167" s="6" t="s">
        <v>45</v>
      </c>
      <c r="G167" s="6" t="s">
        <v>30</v>
      </c>
      <c r="H167" s="6" t="n">
        <f aca="true">ROUND(RAND()*4+6,1)</f>
        <v>6.1</v>
      </c>
      <c r="I167" s="6" t="s">
        <v>46</v>
      </c>
      <c r="J167" s="6" t="str">
        <f aca="false">ROUND(94*1,0)&amp;"%"</f>
        <v>94%</v>
      </c>
    </row>
    <row r="168" customFormat="false" ht="15" hidden="false" customHeight="false" outlineLevel="0" collapsed="false">
      <c r="A168" s="5" t="s">
        <v>13444</v>
      </c>
      <c r="B168" s="5" t="s">
        <v>290</v>
      </c>
      <c r="C168" s="5" t="s">
        <v>152</v>
      </c>
      <c r="D168" s="5" t="s">
        <v>16</v>
      </c>
      <c r="E168" s="5" t="n">
        <f aca="false">ROUND(7811*1.05,2)</f>
        <v>8201.55</v>
      </c>
      <c r="F168" s="5" t="s">
        <v>49</v>
      </c>
      <c r="G168" s="5" t="s">
        <v>18</v>
      </c>
      <c r="H168" s="5" t="n">
        <f aca="true">ROUND(RAND()*4+6,1)</f>
        <v>8.2</v>
      </c>
      <c r="I168" s="5" t="s">
        <v>19</v>
      </c>
      <c r="J168" s="5" t="str">
        <f aca="false">ROUND(74*1,0)&amp;"%"</f>
        <v>74%</v>
      </c>
    </row>
    <row r="169" customFormat="false" ht="15" hidden="false" customHeight="false" outlineLevel="0" collapsed="false">
      <c r="A169" s="6" t="s">
        <v>13445</v>
      </c>
      <c r="B169" s="6" t="s">
        <v>292</v>
      </c>
      <c r="C169" s="6" t="s">
        <v>152</v>
      </c>
      <c r="D169" s="6" t="s">
        <v>22</v>
      </c>
      <c r="E169" s="6" t="n">
        <f aca="false">ROUND(13274*1.05,2)</f>
        <v>13937.7</v>
      </c>
      <c r="F169" s="6" t="s">
        <v>52</v>
      </c>
      <c r="G169" s="6" t="s">
        <v>24</v>
      </c>
      <c r="H169" s="6" t="n">
        <f aca="true">ROUND(RAND()*4+6,1)</f>
        <v>8.4</v>
      </c>
      <c r="I169" s="6" t="s">
        <v>25</v>
      </c>
      <c r="J169" s="6" t="str">
        <f aca="false">ROUND(93*1,0)&amp;"%"</f>
        <v>93%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13446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13447</v>
      </c>
      <c r="B174" s="5" t="s">
        <v>296</v>
      </c>
      <c r="C174" s="5" t="s">
        <v>15</v>
      </c>
      <c r="D174" s="5" t="s">
        <v>16</v>
      </c>
      <c r="E174" s="5" t="n">
        <f aca="false">ROUND(15221*1.05,2)</f>
        <v>15982.05</v>
      </c>
      <c r="F174" s="5" t="s">
        <v>17</v>
      </c>
      <c r="G174" s="5" t="s">
        <v>18</v>
      </c>
      <c r="H174" s="5" t="n">
        <f aca="true">ROUND(RAND()*4+6,1)</f>
        <v>10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13448</v>
      </c>
      <c r="B175" s="6" t="s">
        <v>298</v>
      </c>
      <c r="C175" s="6" t="s">
        <v>15</v>
      </c>
      <c r="D175" s="6" t="s">
        <v>22</v>
      </c>
      <c r="E175" s="6" t="n">
        <f aca="false">ROUND(4594*1.05,2)</f>
        <v>4823.7</v>
      </c>
      <c r="F175" s="6" t="s">
        <v>23</v>
      </c>
      <c r="G175" s="6" t="s">
        <v>24</v>
      </c>
      <c r="H175" s="6" t="n">
        <f aca="true">ROUND(RAND()*4+6,1)</f>
        <v>7.5</v>
      </c>
      <c r="I175" s="6" t="s">
        <v>25</v>
      </c>
      <c r="J175" s="6" t="str">
        <f aca="false">ROUND(78*1,0)&amp;"%"</f>
        <v>78%</v>
      </c>
    </row>
    <row r="176" customFormat="false" ht="15" hidden="false" customHeight="false" outlineLevel="0" collapsed="false">
      <c r="A176" s="5" t="s">
        <v>13449</v>
      </c>
      <c r="B176" s="5" t="s">
        <v>300</v>
      </c>
      <c r="C176" s="5" t="s">
        <v>15</v>
      </c>
      <c r="D176" s="5" t="s">
        <v>28</v>
      </c>
      <c r="E176" s="5" t="n">
        <f aca="false">ROUND(4482*1.05,2)</f>
        <v>4706.1</v>
      </c>
      <c r="F176" s="5" t="s">
        <v>29</v>
      </c>
      <c r="G176" s="5" t="s">
        <v>30</v>
      </c>
      <c r="H176" s="5" t="n">
        <f aca="true">ROUND(RAND()*4+6,1)</f>
        <v>8.5</v>
      </c>
      <c r="I176" s="5" t="s">
        <v>31</v>
      </c>
      <c r="J176" s="5" t="str">
        <f aca="false">ROUND(91*1,0)&amp;"%"</f>
        <v>91%</v>
      </c>
    </row>
    <row r="177" customFormat="false" ht="15" hidden="false" customHeight="false" outlineLevel="0" collapsed="false">
      <c r="A177" s="6" t="s">
        <v>13450</v>
      </c>
      <c r="B177" s="6" t="s">
        <v>302</v>
      </c>
      <c r="C177" s="6" t="s">
        <v>15</v>
      </c>
      <c r="D177" s="6" t="s">
        <v>34</v>
      </c>
      <c r="E177" s="6" t="n">
        <f aca="false">ROUND(6874*1.05,2)</f>
        <v>7217.7</v>
      </c>
      <c r="F177" s="6" t="s">
        <v>35</v>
      </c>
      <c r="G177" s="6" t="s">
        <v>18</v>
      </c>
      <c r="H177" s="6" t="n">
        <f aca="true">ROUND(RAND()*4+6,1)</f>
        <v>9.5</v>
      </c>
      <c r="I177" s="6" t="s">
        <v>36</v>
      </c>
      <c r="J177" s="6" t="str">
        <f aca="false">ROUND(86*1,0)&amp;"%"</f>
        <v>86%</v>
      </c>
    </row>
    <row r="178" customFormat="false" ht="15" hidden="false" customHeight="false" outlineLevel="0" collapsed="false">
      <c r="A178" s="5" t="s">
        <v>13451</v>
      </c>
      <c r="B178" s="5" t="s">
        <v>304</v>
      </c>
      <c r="C178" s="5" t="s">
        <v>15</v>
      </c>
      <c r="D178" s="5" t="s">
        <v>39</v>
      </c>
      <c r="E178" s="5" t="n">
        <f aca="false">ROUND(8648*1.05,2)</f>
        <v>9080.4</v>
      </c>
      <c r="F178" s="5" t="s">
        <v>40</v>
      </c>
      <c r="G178" s="5" t="s">
        <v>24</v>
      </c>
      <c r="H178" s="5" t="n">
        <f aca="true">ROUND(RAND()*4+6,1)</f>
        <v>9.5</v>
      </c>
      <c r="I178" s="5" t="s">
        <v>41</v>
      </c>
      <c r="J178" s="5" t="str">
        <f aca="false">ROUND(67*1,0)&amp;"%"</f>
        <v>67%</v>
      </c>
    </row>
    <row r="179" customFormat="false" ht="15" hidden="false" customHeight="false" outlineLevel="0" collapsed="false">
      <c r="A179" s="6" t="s">
        <v>13452</v>
      </c>
      <c r="B179" s="6" t="s">
        <v>306</v>
      </c>
      <c r="C179" s="6" t="s">
        <v>15</v>
      </c>
      <c r="D179" s="6" t="s">
        <v>44</v>
      </c>
      <c r="E179" s="6" t="n">
        <f aca="false">ROUND(16649*1.05,2)</f>
        <v>17481.45</v>
      </c>
      <c r="F179" s="6" t="s">
        <v>45</v>
      </c>
      <c r="G179" s="6" t="s">
        <v>30</v>
      </c>
      <c r="H179" s="6" t="n">
        <f aca="true">ROUND(RAND()*4+6,1)</f>
        <v>8.4</v>
      </c>
      <c r="I179" s="6" t="s">
        <v>46</v>
      </c>
      <c r="J179" s="6" t="str">
        <f aca="false">ROUND(76*1,0)&amp;"%"</f>
        <v>76%</v>
      </c>
    </row>
    <row r="180" customFormat="false" ht="15" hidden="false" customHeight="false" outlineLevel="0" collapsed="false">
      <c r="A180" s="5" t="s">
        <v>13453</v>
      </c>
      <c r="B180" s="5" t="s">
        <v>308</v>
      </c>
      <c r="C180" s="5" t="s">
        <v>15</v>
      </c>
      <c r="D180" s="5" t="s">
        <v>16</v>
      </c>
      <c r="E180" s="5" t="n">
        <f aca="false">ROUND(14455*1.05,2)</f>
        <v>15177.75</v>
      </c>
      <c r="F180" s="5" t="s">
        <v>49</v>
      </c>
      <c r="G180" s="5" t="s">
        <v>18</v>
      </c>
      <c r="H180" s="5" t="n">
        <f aca="true">ROUND(RAND()*4+6,1)</f>
        <v>7.3</v>
      </c>
      <c r="I180" s="5" t="s">
        <v>19</v>
      </c>
      <c r="J180" s="5" t="str">
        <f aca="false">ROUND(99*1,0)&amp;"%"</f>
        <v>99%</v>
      </c>
    </row>
    <row r="181" customFormat="false" ht="15" hidden="false" customHeight="false" outlineLevel="0" collapsed="false">
      <c r="A181" s="6" t="s">
        <v>13454</v>
      </c>
      <c r="B181" s="6" t="s">
        <v>310</v>
      </c>
      <c r="C181" s="6" t="s">
        <v>15</v>
      </c>
      <c r="D181" s="6" t="s">
        <v>22</v>
      </c>
      <c r="E181" s="6" t="n">
        <f aca="false">ROUND(14275*1.05,2)</f>
        <v>14988.75</v>
      </c>
      <c r="F181" s="6" t="s">
        <v>52</v>
      </c>
      <c r="G181" s="6" t="s">
        <v>24</v>
      </c>
      <c r="H181" s="6" t="n">
        <f aca="true">ROUND(RAND()*4+6,1)</f>
        <v>9.8</v>
      </c>
      <c r="I181" s="6" t="s">
        <v>25</v>
      </c>
      <c r="J181" s="6" t="str">
        <f aca="false">ROUND(79*1,0)&amp;"%"</f>
        <v>79%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13455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13456</v>
      </c>
      <c r="B186" s="5" t="s">
        <v>314</v>
      </c>
      <c r="C186" s="5" t="s">
        <v>57</v>
      </c>
      <c r="D186" s="5" t="s">
        <v>16</v>
      </c>
      <c r="E186" s="5" t="n">
        <f aca="false">ROUND(9480*1.05,2)</f>
        <v>9954</v>
      </c>
      <c r="F186" s="5" t="s">
        <v>17</v>
      </c>
      <c r="G186" s="5" t="s">
        <v>18</v>
      </c>
      <c r="H186" s="5" t="n">
        <f aca="true">ROUND(RAND()*4+6,1)</f>
        <v>8.5</v>
      </c>
      <c r="I186" s="5" t="s">
        <v>19</v>
      </c>
      <c r="J186" s="5" t="str">
        <f aca="false">ROUND(63*1,0)&amp;"%"</f>
        <v>63%</v>
      </c>
    </row>
    <row r="187" customFormat="false" ht="15" hidden="false" customHeight="false" outlineLevel="0" collapsed="false">
      <c r="A187" s="6" t="s">
        <v>13457</v>
      </c>
      <c r="B187" s="6" t="s">
        <v>316</v>
      </c>
      <c r="C187" s="6" t="s">
        <v>57</v>
      </c>
      <c r="D187" s="6" t="s">
        <v>22</v>
      </c>
      <c r="E187" s="6" t="n">
        <f aca="false">ROUND(13593*1.05,2)</f>
        <v>14272.65</v>
      </c>
      <c r="F187" s="6" t="s">
        <v>23</v>
      </c>
      <c r="G187" s="6" t="s">
        <v>24</v>
      </c>
      <c r="H187" s="6" t="n">
        <f aca="true">ROUND(RAND()*4+6,1)</f>
        <v>9.5</v>
      </c>
      <c r="I187" s="6" t="s">
        <v>25</v>
      </c>
      <c r="J187" s="6" t="str">
        <f aca="false">ROUND(70*1,0)&amp;"%"</f>
        <v>70%</v>
      </c>
    </row>
    <row r="188" customFormat="false" ht="15" hidden="false" customHeight="false" outlineLevel="0" collapsed="false">
      <c r="A188" s="5" t="s">
        <v>13458</v>
      </c>
      <c r="B188" s="5" t="s">
        <v>318</v>
      </c>
      <c r="C188" s="5" t="s">
        <v>57</v>
      </c>
      <c r="D188" s="5" t="s">
        <v>28</v>
      </c>
      <c r="E188" s="5" t="n">
        <f aca="false">ROUND(5409*1.05,2)</f>
        <v>5679.45</v>
      </c>
      <c r="F188" s="5" t="s">
        <v>29</v>
      </c>
      <c r="G188" s="5" t="s">
        <v>30</v>
      </c>
      <c r="H188" s="5" t="n">
        <f aca="true">ROUND(RAND()*4+6,1)</f>
        <v>9.2</v>
      </c>
      <c r="I188" s="5" t="s">
        <v>31</v>
      </c>
      <c r="J188" s="5" t="str">
        <f aca="false">ROUND(80*1,0)&amp;"%"</f>
        <v>80%</v>
      </c>
    </row>
    <row r="189" customFormat="false" ht="15" hidden="false" customHeight="false" outlineLevel="0" collapsed="false">
      <c r="A189" s="6" t="s">
        <v>13459</v>
      </c>
      <c r="B189" s="6" t="s">
        <v>320</v>
      </c>
      <c r="C189" s="6" t="s">
        <v>57</v>
      </c>
      <c r="D189" s="6" t="s">
        <v>34</v>
      </c>
      <c r="E189" s="6" t="n">
        <f aca="false">ROUND(14718*1.05,2)</f>
        <v>15453.9</v>
      </c>
      <c r="F189" s="6" t="s">
        <v>35</v>
      </c>
      <c r="G189" s="6" t="s">
        <v>18</v>
      </c>
      <c r="H189" s="6" t="n">
        <f aca="true">ROUND(RAND()*4+6,1)</f>
        <v>9.8</v>
      </c>
      <c r="I189" s="6" t="s">
        <v>36</v>
      </c>
      <c r="J189" s="6" t="str">
        <f aca="false">ROUND(99*1,0)&amp;"%"</f>
        <v>99%</v>
      </c>
    </row>
    <row r="190" customFormat="false" ht="15" hidden="false" customHeight="false" outlineLevel="0" collapsed="false">
      <c r="A190" s="5" t="s">
        <v>13460</v>
      </c>
      <c r="B190" s="5" t="s">
        <v>322</v>
      </c>
      <c r="C190" s="5" t="s">
        <v>57</v>
      </c>
      <c r="D190" s="5" t="s">
        <v>39</v>
      </c>
      <c r="E190" s="5" t="n">
        <f aca="false">ROUND(11007*1.05,2)</f>
        <v>11557.35</v>
      </c>
      <c r="F190" s="5" t="s">
        <v>40</v>
      </c>
      <c r="G190" s="5" t="s">
        <v>24</v>
      </c>
      <c r="H190" s="5" t="n">
        <f aca="true">ROUND(RAND()*4+6,1)</f>
        <v>7</v>
      </c>
      <c r="I190" s="5" t="s">
        <v>41</v>
      </c>
      <c r="J190" s="5" t="str">
        <f aca="false">ROUND(98*1,0)&amp;"%"</f>
        <v>98%</v>
      </c>
    </row>
    <row r="191" customFormat="false" ht="15" hidden="false" customHeight="false" outlineLevel="0" collapsed="false">
      <c r="A191" s="6" t="s">
        <v>13461</v>
      </c>
      <c r="B191" s="6" t="s">
        <v>324</v>
      </c>
      <c r="C191" s="6" t="s">
        <v>57</v>
      </c>
      <c r="D191" s="6" t="s">
        <v>44</v>
      </c>
      <c r="E191" s="6" t="n">
        <f aca="false">ROUND(5613*1.05,2)</f>
        <v>5893.65</v>
      </c>
      <c r="F191" s="6" t="s">
        <v>45</v>
      </c>
      <c r="G191" s="6" t="s">
        <v>30</v>
      </c>
      <c r="H191" s="6" t="n">
        <f aca="true">ROUND(RAND()*4+6,1)</f>
        <v>9.5</v>
      </c>
      <c r="I191" s="6" t="s">
        <v>46</v>
      </c>
      <c r="J191" s="6" t="str">
        <f aca="false">ROUND(83*1,0)&amp;"%"</f>
        <v>83%</v>
      </c>
    </row>
    <row r="192" customFormat="false" ht="15" hidden="false" customHeight="false" outlineLevel="0" collapsed="false">
      <c r="A192" s="5" t="s">
        <v>13462</v>
      </c>
      <c r="B192" s="5" t="s">
        <v>326</v>
      </c>
      <c r="C192" s="5" t="s">
        <v>57</v>
      </c>
      <c r="D192" s="5" t="s">
        <v>16</v>
      </c>
      <c r="E192" s="5" t="n">
        <f aca="false">ROUND(14638*1.05,2)</f>
        <v>15369.9</v>
      </c>
      <c r="F192" s="5" t="s">
        <v>49</v>
      </c>
      <c r="G192" s="5" t="s">
        <v>18</v>
      </c>
      <c r="H192" s="5" t="n">
        <f aca="true">ROUND(RAND()*4+6,1)</f>
        <v>7.4</v>
      </c>
      <c r="I192" s="5" t="s">
        <v>19</v>
      </c>
      <c r="J192" s="5" t="str">
        <f aca="false">ROUND(99*1,0)&amp;"%"</f>
        <v>99%</v>
      </c>
    </row>
    <row r="193" customFormat="false" ht="15" hidden="false" customHeight="false" outlineLevel="0" collapsed="false">
      <c r="A193" s="6" t="s">
        <v>13463</v>
      </c>
      <c r="B193" s="6" t="s">
        <v>328</v>
      </c>
      <c r="C193" s="6" t="s">
        <v>57</v>
      </c>
      <c r="D193" s="6" t="s">
        <v>22</v>
      </c>
      <c r="E193" s="6" t="n">
        <f aca="false">ROUND(5971*1.05,2)</f>
        <v>6269.55</v>
      </c>
      <c r="F193" s="6" t="s">
        <v>52</v>
      </c>
      <c r="G193" s="6" t="s">
        <v>24</v>
      </c>
      <c r="H193" s="6" t="n">
        <f aca="true">ROUND(RAND()*4+6,1)</f>
        <v>7</v>
      </c>
      <c r="I193" s="6" t="s">
        <v>25</v>
      </c>
      <c r="J193" s="6" t="str">
        <f aca="false">ROUND(64*1,0)&amp;"%"</f>
        <v>64%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13464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13465</v>
      </c>
      <c r="B198" s="5" t="s">
        <v>332</v>
      </c>
      <c r="C198" s="5" t="s">
        <v>76</v>
      </c>
      <c r="D198" s="5" t="s">
        <v>16</v>
      </c>
      <c r="E198" s="5" t="n">
        <f aca="false">ROUND(14399*1.05,2)</f>
        <v>15118.95</v>
      </c>
      <c r="F198" s="5" t="s">
        <v>17</v>
      </c>
      <c r="G198" s="5" t="s">
        <v>18</v>
      </c>
      <c r="H198" s="5" t="n">
        <f aca="true">ROUND(RAND()*4+6,1)</f>
        <v>9.3</v>
      </c>
      <c r="I198" s="5" t="s">
        <v>19</v>
      </c>
      <c r="J198" s="5" t="str">
        <f aca="false">ROUND(70*1,0)&amp;"%"</f>
        <v>70%</v>
      </c>
    </row>
    <row r="199" customFormat="false" ht="15" hidden="false" customHeight="false" outlineLevel="0" collapsed="false">
      <c r="A199" s="6" t="s">
        <v>13466</v>
      </c>
      <c r="B199" s="6" t="s">
        <v>334</v>
      </c>
      <c r="C199" s="6" t="s">
        <v>76</v>
      </c>
      <c r="D199" s="6" t="s">
        <v>22</v>
      </c>
      <c r="E199" s="6" t="n">
        <f aca="false">ROUND(16538*1.05,2)</f>
        <v>17364.9</v>
      </c>
      <c r="F199" s="6" t="s">
        <v>23</v>
      </c>
      <c r="G199" s="6" t="s">
        <v>24</v>
      </c>
      <c r="H199" s="6" t="n">
        <f aca="true">ROUND(RAND()*4+6,1)</f>
        <v>7.9</v>
      </c>
      <c r="I199" s="6" t="s">
        <v>25</v>
      </c>
      <c r="J199" s="6" t="str">
        <f aca="false">ROUND(69*1,0)&amp;"%"</f>
        <v>69%</v>
      </c>
    </row>
    <row r="200" customFormat="false" ht="15" hidden="false" customHeight="false" outlineLevel="0" collapsed="false">
      <c r="A200" s="5" t="s">
        <v>13467</v>
      </c>
      <c r="B200" s="5" t="s">
        <v>336</v>
      </c>
      <c r="C200" s="5" t="s">
        <v>76</v>
      </c>
      <c r="D200" s="5" t="s">
        <v>28</v>
      </c>
      <c r="E200" s="5" t="n">
        <f aca="false">ROUND(13288*1.05,2)</f>
        <v>13952.4</v>
      </c>
      <c r="F200" s="5" t="s">
        <v>29</v>
      </c>
      <c r="G200" s="5" t="s">
        <v>30</v>
      </c>
      <c r="H200" s="5" t="n">
        <f aca="true">ROUND(RAND()*4+6,1)</f>
        <v>6.8</v>
      </c>
      <c r="I200" s="5" t="s">
        <v>31</v>
      </c>
      <c r="J200" s="5" t="str">
        <f aca="false">ROUND(67*1,0)&amp;"%"</f>
        <v>67%</v>
      </c>
    </row>
    <row r="201" customFormat="false" ht="15" hidden="false" customHeight="false" outlineLevel="0" collapsed="false">
      <c r="A201" s="6" t="s">
        <v>13468</v>
      </c>
      <c r="B201" s="6" t="s">
        <v>338</v>
      </c>
      <c r="C201" s="6" t="s">
        <v>76</v>
      </c>
      <c r="D201" s="6" t="s">
        <v>34</v>
      </c>
      <c r="E201" s="6" t="n">
        <f aca="false">ROUND(13045*1.05,2)</f>
        <v>13697.25</v>
      </c>
      <c r="F201" s="6" t="s">
        <v>35</v>
      </c>
      <c r="G201" s="6" t="s">
        <v>18</v>
      </c>
      <c r="H201" s="6" t="n">
        <f aca="true">ROUND(RAND()*4+6,1)</f>
        <v>8.8</v>
      </c>
      <c r="I201" s="6" t="s">
        <v>36</v>
      </c>
      <c r="J201" s="6" t="str">
        <f aca="false">ROUND(94*1,0)&amp;"%"</f>
        <v>94%</v>
      </c>
    </row>
    <row r="202" customFormat="false" ht="15" hidden="false" customHeight="false" outlineLevel="0" collapsed="false">
      <c r="A202" s="5" t="s">
        <v>13469</v>
      </c>
      <c r="B202" s="5" t="s">
        <v>340</v>
      </c>
      <c r="C202" s="5" t="s">
        <v>76</v>
      </c>
      <c r="D202" s="5" t="s">
        <v>39</v>
      </c>
      <c r="E202" s="5" t="n">
        <f aca="false">ROUND(4502*1.05,2)</f>
        <v>4727.1</v>
      </c>
      <c r="F202" s="5" t="s">
        <v>40</v>
      </c>
      <c r="G202" s="5" t="s">
        <v>24</v>
      </c>
      <c r="H202" s="5" t="n">
        <f aca="true">ROUND(RAND()*4+6,1)</f>
        <v>9.4</v>
      </c>
      <c r="I202" s="5" t="s">
        <v>41</v>
      </c>
      <c r="J202" s="5" t="str">
        <f aca="false">ROUND(98*1,0)&amp;"%"</f>
        <v>98%</v>
      </c>
    </row>
    <row r="203" customFormat="false" ht="15" hidden="false" customHeight="false" outlineLevel="0" collapsed="false">
      <c r="A203" s="6" t="s">
        <v>13470</v>
      </c>
      <c r="B203" s="6" t="s">
        <v>342</v>
      </c>
      <c r="C203" s="6" t="s">
        <v>76</v>
      </c>
      <c r="D203" s="6" t="s">
        <v>44</v>
      </c>
      <c r="E203" s="6" t="n">
        <f aca="false">ROUND(4758*1.05,2)</f>
        <v>4995.9</v>
      </c>
      <c r="F203" s="6" t="s">
        <v>45</v>
      </c>
      <c r="G203" s="6" t="s">
        <v>30</v>
      </c>
      <c r="H203" s="6" t="n">
        <f aca="true">ROUND(RAND()*4+6,1)</f>
        <v>9.1</v>
      </c>
      <c r="I203" s="6" t="s">
        <v>46</v>
      </c>
      <c r="J203" s="6" t="str">
        <f aca="false">ROUND(66*1,0)&amp;"%"</f>
        <v>66%</v>
      </c>
    </row>
    <row r="204" customFormat="false" ht="15" hidden="false" customHeight="false" outlineLevel="0" collapsed="false">
      <c r="A204" s="5" t="s">
        <v>13471</v>
      </c>
      <c r="B204" s="5" t="s">
        <v>344</v>
      </c>
      <c r="C204" s="5" t="s">
        <v>76</v>
      </c>
      <c r="D204" s="5" t="s">
        <v>16</v>
      </c>
      <c r="E204" s="5" t="n">
        <f aca="false">ROUND(9673*1.05,2)</f>
        <v>10156.65</v>
      </c>
      <c r="F204" s="5" t="s">
        <v>49</v>
      </c>
      <c r="G204" s="5" t="s">
        <v>18</v>
      </c>
      <c r="H204" s="5" t="n">
        <f aca="true">ROUND(RAND()*4+6,1)</f>
        <v>7.7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13472</v>
      </c>
      <c r="B205" s="6" t="s">
        <v>346</v>
      </c>
      <c r="C205" s="6" t="s">
        <v>76</v>
      </c>
      <c r="D205" s="6" t="s">
        <v>22</v>
      </c>
      <c r="E205" s="6" t="n">
        <f aca="false">ROUND(6718*1.05,2)</f>
        <v>7053.9</v>
      </c>
      <c r="F205" s="6" t="s">
        <v>52</v>
      </c>
      <c r="G205" s="6" t="s">
        <v>24</v>
      </c>
      <c r="H205" s="6" t="n">
        <f aca="true">ROUND(RAND()*4+6,1)</f>
        <v>9.2</v>
      </c>
      <c r="I205" s="6" t="s">
        <v>25</v>
      </c>
      <c r="J205" s="6" t="str">
        <f aca="false">ROUND(87*1,0)&amp;"%"</f>
        <v>87%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13473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13474</v>
      </c>
      <c r="B210" s="5" t="s">
        <v>350</v>
      </c>
      <c r="C210" s="5" t="s">
        <v>95</v>
      </c>
      <c r="D210" s="5" t="s">
        <v>16</v>
      </c>
      <c r="E210" s="5" t="n">
        <f aca="false">ROUND(17883*1.05,2)</f>
        <v>18777.15</v>
      </c>
      <c r="F210" s="5" t="s">
        <v>17</v>
      </c>
      <c r="G210" s="5" t="s">
        <v>18</v>
      </c>
      <c r="H210" s="5" t="n">
        <f aca="true">ROUND(RAND()*4+6,1)</f>
        <v>8.8</v>
      </c>
      <c r="I210" s="5" t="s">
        <v>19</v>
      </c>
      <c r="J210" s="5" t="str">
        <f aca="false">ROUND(94*1,0)&amp;"%"</f>
        <v>94%</v>
      </c>
    </row>
    <row r="211" customFormat="false" ht="15" hidden="false" customHeight="false" outlineLevel="0" collapsed="false">
      <c r="A211" s="6" t="s">
        <v>13475</v>
      </c>
      <c r="B211" s="6" t="s">
        <v>352</v>
      </c>
      <c r="C211" s="6" t="s">
        <v>95</v>
      </c>
      <c r="D211" s="6" t="s">
        <v>22</v>
      </c>
      <c r="E211" s="6" t="n">
        <f aca="false">ROUND(7721*1.05,2)</f>
        <v>8107.05</v>
      </c>
      <c r="F211" s="6" t="s">
        <v>23</v>
      </c>
      <c r="G211" s="6" t="s">
        <v>24</v>
      </c>
      <c r="H211" s="6" t="n">
        <f aca="true">ROUND(RAND()*4+6,1)</f>
        <v>8.7</v>
      </c>
      <c r="I211" s="6" t="s">
        <v>25</v>
      </c>
      <c r="J211" s="6" t="str">
        <f aca="false">ROUND(76*1,0)&amp;"%"</f>
        <v>76%</v>
      </c>
    </row>
    <row r="212" customFormat="false" ht="15" hidden="false" customHeight="false" outlineLevel="0" collapsed="false">
      <c r="A212" s="5" t="s">
        <v>13476</v>
      </c>
      <c r="B212" s="5" t="s">
        <v>354</v>
      </c>
      <c r="C212" s="5" t="s">
        <v>95</v>
      </c>
      <c r="D212" s="5" t="s">
        <v>28</v>
      </c>
      <c r="E212" s="5" t="n">
        <f aca="false">ROUND(16034*1.05,2)</f>
        <v>16835.7</v>
      </c>
      <c r="F212" s="5" t="s">
        <v>29</v>
      </c>
      <c r="G212" s="5" t="s">
        <v>30</v>
      </c>
      <c r="H212" s="5" t="n">
        <f aca="true">ROUND(RAND()*4+6,1)</f>
        <v>8</v>
      </c>
      <c r="I212" s="5" t="s">
        <v>31</v>
      </c>
      <c r="J212" s="5" t="str">
        <f aca="false">ROUND(61*1,0)&amp;"%"</f>
        <v>61%</v>
      </c>
    </row>
    <row r="213" customFormat="false" ht="15" hidden="false" customHeight="false" outlineLevel="0" collapsed="false">
      <c r="A213" s="6" t="s">
        <v>13477</v>
      </c>
      <c r="B213" s="6" t="s">
        <v>356</v>
      </c>
      <c r="C213" s="6" t="s">
        <v>95</v>
      </c>
      <c r="D213" s="6" t="s">
        <v>34</v>
      </c>
      <c r="E213" s="6" t="n">
        <f aca="false">ROUND(9911*1.05,2)</f>
        <v>10406.55</v>
      </c>
      <c r="F213" s="6" t="s">
        <v>35</v>
      </c>
      <c r="G213" s="6" t="s">
        <v>18</v>
      </c>
      <c r="H213" s="6" t="n">
        <f aca="true">ROUND(RAND()*4+6,1)</f>
        <v>7.1</v>
      </c>
      <c r="I213" s="6" t="s">
        <v>36</v>
      </c>
      <c r="J213" s="6" t="str">
        <f aca="false">ROUND(100*1,0)&amp;"%"</f>
        <v>100%</v>
      </c>
    </row>
    <row r="214" customFormat="false" ht="15" hidden="false" customHeight="false" outlineLevel="0" collapsed="false">
      <c r="A214" s="5" t="s">
        <v>13478</v>
      </c>
      <c r="B214" s="5" t="s">
        <v>358</v>
      </c>
      <c r="C214" s="5" t="s">
        <v>95</v>
      </c>
      <c r="D214" s="5" t="s">
        <v>39</v>
      </c>
      <c r="E214" s="5" t="n">
        <f aca="false">ROUND(12527*1.05,2)</f>
        <v>13153.35</v>
      </c>
      <c r="F214" s="5" t="s">
        <v>40</v>
      </c>
      <c r="G214" s="5" t="s">
        <v>24</v>
      </c>
      <c r="H214" s="5" t="n">
        <f aca="true">ROUND(RAND()*4+6,1)</f>
        <v>9.3</v>
      </c>
      <c r="I214" s="5" t="s">
        <v>41</v>
      </c>
      <c r="J214" s="5" t="str">
        <f aca="false">ROUND(63*1,0)&amp;"%"</f>
        <v>63%</v>
      </c>
    </row>
    <row r="215" customFormat="false" ht="15" hidden="false" customHeight="false" outlineLevel="0" collapsed="false">
      <c r="A215" s="6" t="s">
        <v>13479</v>
      </c>
      <c r="B215" s="6" t="s">
        <v>360</v>
      </c>
      <c r="C215" s="6" t="s">
        <v>95</v>
      </c>
      <c r="D215" s="6" t="s">
        <v>44</v>
      </c>
      <c r="E215" s="6" t="n">
        <f aca="false">ROUND(15980*1.05,2)</f>
        <v>16779</v>
      </c>
      <c r="F215" s="6" t="s">
        <v>45</v>
      </c>
      <c r="G215" s="6" t="s">
        <v>30</v>
      </c>
      <c r="H215" s="6" t="n">
        <f aca="true">ROUND(RAND()*4+6,1)</f>
        <v>7.7</v>
      </c>
      <c r="I215" s="6" t="s">
        <v>46</v>
      </c>
      <c r="J215" s="6" t="str">
        <f aca="false">ROUND(100*1,0)&amp;"%"</f>
        <v>100%</v>
      </c>
    </row>
    <row r="216" customFormat="false" ht="15" hidden="false" customHeight="false" outlineLevel="0" collapsed="false">
      <c r="A216" s="5" t="s">
        <v>13480</v>
      </c>
      <c r="B216" s="5" t="s">
        <v>362</v>
      </c>
      <c r="C216" s="5" t="s">
        <v>95</v>
      </c>
      <c r="D216" s="5" t="s">
        <v>16</v>
      </c>
      <c r="E216" s="5" t="n">
        <f aca="false">ROUND(11360*1.05,2)</f>
        <v>11928</v>
      </c>
      <c r="F216" s="5" t="s">
        <v>49</v>
      </c>
      <c r="G216" s="5" t="s">
        <v>18</v>
      </c>
      <c r="H216" s="5" t="n">
        <f aca="true">ROUND(RAND()*4+6,1)</f>
        <v>9.8</v>
      </c>
      <c r="I216" s="5" t="s">
        <v>19</v>
      </c>
      <c r="J216" s="5" t="str">
        <f aca="false">ROUND(75*1,0)&amp;"%"</f>
        <v>75%</v>
      </c>
    </row>
    <row r="217" customFormat="false" ht="15" hidden="false" customHeight="false" outlineLevel="0" collapsed="false">
      <c r="A217" s="6" t="s">
        <v>13481</v>
      </c>
      <c r="B217" s="6" t="s">
        <v>364</v>
      </c>
      <c r="C217" s="6" t="s">
        <v>95</v>
      </c>
      <c r="D217" s="6" t="s">
        <v>22</v>
      </c>
      <c r="E217" s="6" t="n">
        <f aca="false">ROUND(15885*1.05,2)</f>
        <v>16679.25</v>
      </c>
      <c r="F217" s="6" t="s">
        <v>52</v>
      </c>
      <c r="G217" s="6" t="s">
        <v>24</v>
      </c>
      <c r="H217" s="6" t="n">
        <f aca="true">ROUND(RAND()*4+6,1)</f>
        <v>6.7</v>
      </c>
      <c r="I217" s="6" t="s">
        <v>25</v>
      </c>
      <c r="J217" s="6" t="str">
        <f aca="false">ROUND(96*1,0)&amp;"%"</f>
        <v>96%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13482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13483</v>
      </c>
      <c r="B222" s="5" t="s">
        <v>368</v>
      </c>
      <c r="C222" s="5" t="s">
        <v>114</v>
      </c>
      <c r="D222" s="5" t="s">
        <v>16</v>
      </c>
      <c r="E222" s="5" t="n">
        <f aca="false">ROUND(6450*1.05,2)</f>
        <v>6772.5</v>
      </c>
      <c r="F222" s="5" t="s">
        <v>17</v>
      </c>
      <c r="G222" s="5" t="s">
        <v>18</v>
      </c>
      <c r="H222" s="5" t="n">
        <f aca="true">ROUND(RAND()*4+6,1)</f>
        <v>6.7</v>
      </c>
      <c r="I222" s="5" t="s">
        <v>19</v>
      </c>
      <c r="J222" s="5" t="str">
        <f aca="false">ROUND(99*1,0)&amp;"%"</f>
        <v>99%</v>
      </c>
    </row>
    <row r="223" customFormat="false" ht="15" hidden="false" customHeight="false" outlineLevel="0" collapsed="false">
      <c r="A223" s="6" t="s">
        <v>13484</v>
      </c>
      <c r="B223" s="6" t="s">
        <v>370</v>
      </c>
      <c r="C223" s="6" t="s">
        <v>114</v>
      </c>
      <c r="D223" s="6" t="s">
        <v>22</v>
      </c>
      <c r="E223" s="6" t="n">
        <f aca="false">ROUND(8840*1.05,2)</f>
        <v>9282</v>
      </c>
      <c r="F223" s="6" t="s">
        <v>23</v>
      </c>
      <c r="G223" s="6" t="s">
        <v>24</v>
      </c>
      <c r="H223" s="6" t="n">
        <f aca="true">ROUND(RAND()*4+6,1)</f>
        <v>6.1</v>
      </c>
      <c r="I223" s="6" t="s">
        <v>25</v>
      </c>
      <c r="J223" s="6" t="str">
        <f aca="false">ROUND(65*1,0)&amp;"%"</f>
        <v>65%</v>
      </c>
    </row>
    <row r="224" customFormat="false" ht="15" hidden="false" customHeight="false" outlineLevel="0" collapsed="false">
      <c r="A224" s="5" t="s">
        <v>13485</v>
      </c>
      <c r="B224" s="5" t="s">
        <v>372</v>
      </c>
      <c r="C224" s="5" t="s">
        <v>114</v>
      </c>
      <c r="D224" s="5" t="s">
        <v>28</v>
      </c>
      <c r="E224" s="5" t="n">
        <f aca="false">ROUND(15015*1.05,2)</f>
        <v>15765.75</v>
      </c>
      <c r="F224" s="5" t="s">
        <v>29</v>
      </c>
      <c r="G224" s="5" t="s">
        <v>30</v>
      </c>
      <c r="H224" s="5" t="n">
        <f aca="true">ROUND(RAND()*4+6,1)</f>
        <v>9.6</v>
      </c>
      <c r="I224" s="5" t="s">
        <v>31</v>
      </c>
      <c r="J224" s="5" t="str">
        <f aca="false">ROUND(95*1,0)&amp;"%"</f>
        <v>95%</v>
      </c>
    </row>
    <row r="225" customFormat="false" ht="15" hidden="false" customHeight="false" outlineLevel="0" collapsed="false">
      <c r="A225" s="6" t="s">
        <v>13486</v>
      </c>
      <c r="B225" s="6" t="s">
        <v>374</v>
      </c>
      <c r="C225" s="6" t="s">
        <v>114</v>
      </c>
      <c r="D225" s="6" t="s">
        <v>34</v>
      </c>
      <c r="E225" s="6" t="n">
        <f aca="false">ROUND(4559*1.05,2)</f>
        <v>4786.95</v>
      </c>
      <c r="F225" s="6" t="s">
        <v>35</v>
      </c>
      <c r="G225" s="6" t="s">
        <v>18</v>
      </c>
      <c r="H225" s="6" t="n">
        <f aca="true">ROUND(RAND()*4+6,1)</f>
        <v>8.1</v>
      </c>
      <c r="I225" s="6" t="s">
        <v>36</v>
      </c>
      <c r="J225" s="6" t="str">
        <f aca="false">ROUND(88*1,0)&amp;"%"</f>
        <v>88%</v>
      </c>
    </row>
    <row r="226" customFormat="false" ht="15" hidden="false" customHeight="false" outlineLevel="0" collapsed="false">
      <c r="A226" s="5" t="s">
        <v>13487</v>
      </c>
      <c r="B226" s="5" t="s">
        <v>376</v>
      </c>
      <c r="C226" s="5" t="s">
        <v>114</v>
      </c>
      <c r="D226" s="5" t="s">
        <v>39</v>
      </c>
      <c r="E226" s="5" t="n">
        <f aca="false">ROUND(15391*1.05,2)</f>
        <v>16160.55</v>
      </c>
      <c r="F226" s="5" t="s">
        <v>40</v>
      </c>
      <c r="G226" s="5" t="s">
        <v>24</v>
      </c>
      <c r="H226" s="5" t="n">
        <f aca="true">ROUND(RAND()*4+6,1)</f>
        <v>6.8</v>
      </c>
      <c r="I226" s="5" t="s">
        <v>41</v>
      </c>
      <c r="J226" s="5" t="str">
        <f aca="false">ROUND(80*1,0)&amp;"%"</f>
        <v>80%</v>
      </c>
    </row>
    <row r="227" customFormat="false" ht="15" hidden="false" customHeight="false" outlineLevel="0" collapsed="false">
      <c r="A227" s="6" t="s">
        <v>13488</v>
      </c>
      <c r="B227" s="6" t="s">
        <v>378</v>
      </c>
      <c r="C227" s="6" t="s">
        <v>114</v>
      </c>
      <c r="D227" s="6" t="s">
        <v>44</v>
      </c>
      <c r="E227" s="6" t="n">
        <f aca="false">ROUND(4176*1.05,2)</f>
        <v>4384.8</v>
      </c>
      <c r="F227" s="6" t="s">
        <v>45</v>
      </c>
      <c r="G227" s="6" t="s">
        <v>30</v>
      </c>
      <c r="H227" s="6" t="n">
        <f aca="true">ROUND(RAND()*4+6,1)</f>
        <v>6.8</v>
      </c>
      <c r="I227" s="6" t="s">
        <v>46</v>
      </c>
      <c r="J227" s="6" t="str">
        <f aca="false">ROUND(67*1,0)&amp;"%"</f>
        <v>67%</v>
      </c>
    </row>
    <row r="228" customFormat="false" ht="15" hidden="false" customHeight="false" outlineLevel="0" collapsed="false">
      <c r="A228" s="5" t="s">
        <v>13489</v>
      </c>
      <c r="B228" s="5" t="s">
        <v>380</v>
      </c>
      <c r="C228" s="5" t="s">
        <v>114</v>
      </c>
      <c r="D228" s="5" t="s">
        <v>16</v>
      </c>
      <c r="E228" s="5" t="n">
        <f aca="false">ROUND(8717*1.05,2)</f>
        <v>9152.85</v>
      </c>
      <c r="F228" s="5" t="s">
        <v>49</v>
      </c>
      <c r="G228" s="5" t="s">
        <v>18</v>
      </c>
      <c r="H228" s="5" t="n">
        <f aca="true">ROUND(RAND()*4+6,1)</f>
        <v>6.3</v>
      </c>
      <c r="I228" s="5" t="s">
        <v>19</v>
      </c>
      <c r="J228" s="5" t="str">
        <f aca="false">ROUND(82*1,0)&amp;"%"</f>
        <v>82%</v>
      </c>
    </row>
    <row r="229" customFormat="false" ht="15" hidden="false" customHeight="false" outlineLevel="0" collapsed="false">
      <c r="A229" s="6" t="s">
        <v>13490</v>
      </c>
      <c r="B229" s="6" t="s">
        <v>382</v>
      </c>
      <c r="C229" s="6" t="s">
        <v>114</v>
      </c>
      <c r="D229" s="6" t="s">
        <v>22</v>
      </c>
      <c r="E229" s="6" t="n">
        <f aca="false">ROUND(14240*1.05,2)</f>
        <v>14952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ROUND(78*1,0)&amp;"%"</f>
        <v>78%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13491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13492</v>
      </c>
      <c r="B234" s="5" t="s">
        <v>386</v>
      </c>
      <c r="C234" s="5" t="s">
        <v>133</v>
      </c>
      <c r="D234" s="5" t="s">
        <v>16</v>
      </c>
      <c r="E234" s="5" t="n">
        <f aca="false">ROUND(7093*1.05,2)</f>
        <v>7447.65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13493</v>
      </c>
      <c r="B235" s="6" t="s">
        <v>388</v>
      </c>
      <c r="C235" s="6" t="s">
        <v>133</v>
      </c>
      <c r="D235" s="6" t="s">
        <v>22</v>
      </c>
      <c r="E235" s="6" t="n">
        <f aca="false">ROUND(10416*1.05,2)</f>
        <v>10936.8</v>
      </c>
      <c r="F235" s="6" t="s">
        <v>23</v>
      </c>
      <c r="G235" s="6" t="s">
        <v>24</v>
      </c>
      <c r="H235" s="6" t="n">
        <f aca="true">ROUND(RAND()*4+6,1)</f>
        <v>8.8</v>
      </c>
      <c r="I235" s="6" t="s">
        <v>25</v>
      </c>
      <c r="J235" s="6" t="str">
        <f aca="false">ROUND(61*1,0)&amp;"%"</f>
        <v>61%</v>
      </c>
    </row>
    <row r="236" customFormat="false" ht="15" hidden="false" customHeight="false" outlineLevel="0" collapsed="false">
      <c r="A236" s="5" t="s">
        <v>13494</v>
      </c>
      <c r="B236" s="5" t="s">
        <v>390</v>
      </c>
      <c r="C236" s="5" t="s">
        <v>133</v>
      </c>
      <c r="D236" s="5" t="s">
        <v>28</v>
      </c>
      <c r="E236" s="5" t="n">
        <f aca="false">ROUND(17961*1.05,2)</f>
        <v>18859.05</v>
      </c>
      <c r="F236" s="5" t="s">
        <v>29</v>
      </c>
      <c r="G236" s="5" t="s">
        <v>30</v>
      </c>
      <c r="H236" s="5" t="n">
        <f aca="true">ROUND(RAND()*4+6,1)</f>
        <v>8.5</v>
      </c>
      <c r="I236" s="5" t="s">
        <v>31</v>
      </c>
      <c r="J236" s="5" t="str">
        <f aca="false">ROUND(82*1,0)&amp;"%"</f>
        <v>82%</v>
      </c>
    </row>
    <row r="237" customFormat="false" ht="15" hidden="false" customHeight="false" outlineLevel="0" collapsed="false">
      <c r="A237" s="6" t="s">
        <v>13495</v>
      </c>
      <c r="B237" s="6" t="s">
        <v>392</v>
      </c>
      <c r="C237" s="6" t="s">
        <v>133</v>
      </c>
      <c r="D237" s="6" t="s">
        <v>34</v>
      </c>
      <c r="E237" s="6" t="n">
        <f aca="false">ROUND(5211*1.05,2)</f>
        <v>5471.55</v>
      </c>
      <c r="F237" s="6" t="s">
        <v>35</v>
      </c>
      <c r="G237" s="6" t="s">
        <v>18</v>
      </c>
      <c r="H237" s="6" t="n">
        <f aca="true">ROUND(RAND()*4+6,1)</f>
        <v>9.6</v>
      </c>
      <c r="I237" s="6" t="s">
        <v>36</v>
      </c>
      <c r="J237" s="6" t="str">
        <f aca="false">ROUND(60*1,0)&amp;"%"</f>
        <v>60%</v>
      </c>
    </row>
    <row r="238" customFormat="false" ht="15" hidden="false" customHeight="false" outlineLevel="0" collapsed="false">
      <c r="A238" s="5" t="s">
        <v>13496</v>
      </c>
      <c r="B238" s="5" t="s">
        <v>394</v>
      </c>
      <c r="C238" s="5" t="s">
        <v>133</v>
      </c>
      <c r="D238" s="5" t="s">
        <v>39</v>
      </c>
      <c r="E238" s="5" t="n">
        <f aca="false">ROUND(16244*1.05,2)</f>
        <v>17056.2</v>
      </c>
      <c r="F238" s="5" t="s">
        <v>40</v>
      </c>
      <c r="G238" s="5" t="s">
        <v>24</v>
      </c>
      <c r="H238" s="5" t="n">
        <f aca="true">ROUND(RAND()*4+6,1)</f>
        <v>8.8</v>
      </c>
      <c r="I238" s="5" t="s">
        <v>41</v>
      </c>
      <c r="J238" s="5" t="str">
        <f aca="false">ROUND(87*1,0)&amp;"%"</f>
        <v>87%</v>
      </c>
    </row>
    <row r="239" customFormat="false" ht="15" hidden="false" customHeight="false" outlineLevel="0" collapsed="false">
      <c r="A239" s="6" t="s">
        <v>13497</v>
      </c>
      <c r="B239" s="6" t="s">
        <v>396</v>
      </c>
      <c r="C239" s="6" t="s">
        <v>133</v>
      </c>
      <c r="D239" s="6" t="s">
        <v>44</v>
      </c>
      <c r="E239" s="6" t="n">
        <f aca="false">ROUND(12380*1.05,2)</f>
        <v>12999</v>
      </c>
      <c r="F239" s="6" t="s">
        <v>45</v>
      </c>
      <c r="G239" s="6" t="s">
        <v>30</v>
      </c>
      <c r="H239" s="6" t="n">
        <f aca="true">ROUND(RAND()*4+6,1)</f>
        <v>10</v>
      </c>
      <c r="I239" s="6" t="s">
        <v>46</v>
      </c>
      <c r="J239" s="6" t="str">
        <f aca="false">ROUND(100*1,0)&amp;"%"</f>
        <v>100%</v>
      </c>
    </row>
    <row r="240" customFormat="false" ht="15" hidden="false" customHeight="false" outlineLevel="0" collapsed="false">
      <c r="A240" s="5" t="s">
        <v>13498</v>
      </c>
      <c r="B240" s="5" t="s">
        <v>398</v>
      </c>
      <c r="C240" s="5" t="s">
        <v>133</v>
      </c>
      <c r="D240" s="5" t="s">
        <v>16</v>
      </c>
      <c r="E240" s="5" t="n">
        <f aca="false">ROUND(4509*1.05,2)</f>
        <v>4734.45</v>
      </c>
      <c r="F240" s="5" t="s">
        <v>49</v>
      </c>
      <c r="G240" s="5" t="s">
        <v>18</v>
      </c>
      <c r="H240" s="5" t="n">
        <f aca="true">ROUND(RAND()*4+6,1)</f>
        <v>6.3</v>
      </c>
      <c r="I240" s="5" t="s">
        <v>19</v>
      </c>
      <c r="J240" s="5" t="str">
        <f aca="false">ROUND(74*1,0)&amp;"%"</f>
        <v>74%</v>
      </c>
    </row>
    <row r="241" customFormat="false" ht="15" hidden="false" customHeight="false" outlineLevel="0" collapsed="false">
      <c r="A241" s="6" t="s">
        <v>13499</v>
      </c>
      <c r="B241" s="6" t="s">
        <v>400</v>
      </c>
      <c r="C241" s="6" t="s">
        <v>133</v>
      </c>
      <c r="D241" s="6" t="s">
        <v>22</v>
      </c>
      <c r="E241" s="6" t="n">
        <f aca="false">ROUND(14637*1.05,2)</f>
        <v>15368.85</v>
      </c>
      <c r="F241" s="6" t="s">
        <v>52</v>
      </c>
      <c r="G241" s="6" t="s">
        <v>24</v>
      </c>
      <c r="H241" s="6" t="n">
        <f aca="true">ROUND(RAND()*4+6,1)</f>
        <v>9.9</v>
      </c>
      <c r="I241" s="6" t="s">
        <v>25</v>
      </c>
      <c r="J241" s="6" t="str">
        <f aca="false">ROUND(68*1,0)&amp;"%"</f>
        <v>68%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13500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13501</v>
      </c>
      <c r="B246" s="5" t="s">
        <v>404</v>
      </c>
      <c r="C246" s="5" t="s">
        <v>152</v>
      </c>
      <c r="D246" s="5" t="s">
        <v>16</v>
      </c>
      <c r="E246" s="5" t="n">
        <f aca="false">ROUND(10582*1.05,2)</f>
        <v>11111.1</v>
      </c>
      <c r="F246" s="5" t="s">
        <v>17</v>
      </c>
      <c r="G246" s="5" t="s">
        <v>18</v>
      </c>
      <c r="H246" s="5" t="n">
        <f aca="true">ROUND(RAND()*4+6,1)</f>
        <v>9.4</v>
      </c>
      <c r="I246" s="5" t="s">
        <v>19</v>
      </c>
      <c r="J246" s="5" t="str">
        <f aca="false">ROUND(94*1,0)&amp;"%"</f>
        <v>94%</v>
      </c>
    </row>
    <row r="247" customFormat="false" ht="15" hidden="false" customHeight="false" outlineLevel="0" collapsed="false">
      <c r="A247" s="6" t="s">
        <v>13502</v>
      </c>
      <c r="B247" s="6" t="s">
        <v>406</v>
      </c>
      <c r="C247" s="6" t="s">
        <v>152</v>
      </c>
      <c r="D247" s="6" t="s">
        <v>22</v>
      </c>
      <c r="E247" s="6" t="n">
        <f aca="false">ROUND(6213*1.05,2)</f>
        <v>6523.65</v>
      </c>
      <c r="F247" s="6" t="s">
        <v>23</v>
      </c>
      <c r="G247" s="6" t="s">
        <v>24</v>
      </c>
      <c r="H247" s="6" t="n">
        <f aca="true">ROUND(RAND()*4+6,1)</f>
        <v>9.1</v>
      </c>
      <c r="I247" s="6" t="s">
        <v>25</v>
      </c>
      <c r="J247" s="6" t="str">
        <f aca="false">ROUND(90*1,0)&amp;"%"</f>
        <v>90%</v>
      </c>
    </row>
    <row r="248" customFormat="false" ht="15" hidden="false" customHeight="false" outlineLevel="0" collapsed="false">
      <c r="A248" s="5" t="s">
        <v>13503</v>
      </c>
      <c r="B248" s="5" t="s">
        <v>408</v>
      </c>
      <c r="C248" s="5" t="s">
        <v>152</v>
      </c>
      <c r="D248" s="5" t="s">
        <v>28</v>
      </c>
      <c r="E248" s="5" t="n">
        <f aca="false">ROUND(10864*1.05,2)</f>
        <v>11407.2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ROUND(72*1,0)&amp;"%"</f>
        <v>72%</v>
      </c>
    </row>
    <row r="249" customFormat="false" ht="15" hidden="false" customHeight="false" outlineLevel="0" collapsed="false">
      <c r="A249" s="6" t="s">
        <v>13504</v>
      </c>
      <c r="B249" s="6" t="s">
        <v>410</v>
      </c>
      <c r="C249" s="6" t="s">
        <v>152</v>
      </c>
      <c r="D249" s="6" t="s">
        <v>34</v>
      </c>
      <c r="E249" s="6" t="n">
        <f aca="false">ROUND(9081*1.05,2)</f>
        <v>9535.05</v>
      </c>
      <c r="F249" s="6" t="s">
        <v>35</v>
      </c>
      <c r="G249" s="6" t="s">
        <v>18</v>
      </c>
      <c r="H249" s="6" t="n">
        <f aca="true">ROUND(RAND()*4+6,1)</f>
        <v>9.8</v>
      </c>
      <c r="I249" s="6" t="s">
        <v>36</v>
      </c>
      <c r="J249" s="6" t="str">
        <f aca="false">ROUND(82*1,0)&amp;"%"</f>
        <v>82%</v>
      </c>
    </row>
    <row r="250" customFormat="false" ht="15" hidden="false" customHeight="false" outlineLevel="0" collapsed="false">
      <c r="A250" s="5" t="s">
        <v>13505</v>
      </c>
      <c r="B250" s="5" t="s">
        <v>412</v>
      </c>
      <c r="C250" s="5" t="s">
        <v>152</v>
      </c>
      <c r="D250" s="5" t="s">
        <v>39</v>
      </c>
      <c r="E250" s="5" t="n">
        <f aca="false">ROUND(8159*1.05,2)</f>
        <v>8566.95</v>
      </c>
      <c r="F250" s="5" t="s">
        <v>40</v>
      </c>
      <c r="G250" s="5" t="s">
        <v>24</v>
      </c>
      <c r="H250" s="5" t="n">
        <f aca="true">ROUND(RAND()*4+6,1)</f>
        <v>7.9</v>
      </c>
      <c r="I250" s="5" t="s">
        <v>41</v>
      </c>
      <c r="J250" s="5" t="str">
        <f aca="false">ROUND(72*1,0)&amp;"%"</f>
        <v>72%</v>
      </c>
    </row>
    <row r="251" customFormat="false" ht="15" hidden="false" customHeight="false" outlineLevel="0" collapsed="false">
      <c r="A251" s="6" t="s">
        <v>13506</v>
      </c>
      <c r="B251" s="6" t="s">
        <v>414</v>
      </c>
      <c r="C251" s="6" t="s">
        <v>152</v>
      </c>
      <c r="D251" s="6" t="s">
        <v>44</v>
      </c>
      <c r="E251" s="6" t="n">
        <f aca="false">ROUND(13721*1.05,2)</f>
        <v>14407.05</v>
      </c>
      <c r="F251" s="6" t="s">
        <v>45</v>
      </c>
      <c r="G251" s="6" t="s">
        <v>30</v>
      </c>
      <c r="H251" s="6" t="n">
        <f aca="true">ROUND(RAND()*4+6,1)</f>
        <v>8.4</v>
      </c>
      <c r="I251" s="6" t="s">
        <v>46</v>
      </c>
      <c r="J251" s="6" t="str">
        <f aca="false">ROUND(74*1,0)&amp;"%"</f>
        <v>74%</v>
      </c>
    </row>
    <row r="252" customFormat="false" ht="15" hidden="false" customHeight="false" outlineLevel="0" collapsed="false">
      <c r="A252" s="5" t="s">
        <v>13507</v>
      </c>
      <c r="B252" s="5" t="s">
        <v>416</v>
      </c>
      <c r="C252" s="5" t="s">
        <v>152</v>
      </c>
      <c r="D252" s="5" t="s">
        <v>16</v>
      </c>
      <c r="E252" s="5" t="n">
        <f aca="false">ROUND(5110*1.05,2)</f>
        <v>5365.5</v>
      </c>
      <c r="F252" s="5" t="s">
        <v>49</v>
      </c>
      <c r="G252" s="5" t="s">
        <v>18</v>
      </c>
      <c r="H252" s="5" t="n">
        <f aca="true">ROUND(RAND()*4+6,1)</f>
        <v>6.3</v>
      </c>
      <c r="I252" s="5" t="s">
        <v>19</v>
      </c>
      <c r="J252" s="5" t="str">
        <f aca="false">ROUND(69*1,0)&amp;"%"</f>
        <v>69%</v>
      </c>
    </row>
    <row r="253" customFormat="false" ht="15" hidden="false" customHeight="false" outlineLevel="0" collapsed="false">
      <c r="A253" s="6" t="s">
        <v>13508</v>
      </c>
      <c r="B253" s="6" t="s">
        <v>418</v>
      </c>
      <c r="C253" s="6" t="s">
        <v>152</v>
      </c>
      <c r="D253" s="6" t="s">
        <v>22</v>
      </c>
      <c r="E253" s="6" t="n">
        <f aca="false">ROUND(13084*1.05,2)</f>
        <v>13738.2</v>
      </c>
      <c r="F253" s="6" t="s">
        <v>52</v>
      </c>
      <c r="G253" s="6" t="s">
        <v>24</v>
      </c>
      <c r="H253" s="6" t="n">
        <f aca="true">ROUND(RAND()*4+6,1)</f>
        <v>7.2</v>
      </c>
      <c r="I253" s="6" t="s">
        <v>25</v>
      </c>
      <c r="J253" s="6" t="str">
        <f aca="false">ROUND(100*1,0)&amp;"%"</f>
        <v>100%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13509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13510</v>
      </c>
      <c r="B258" s="5" t="s">
        <v>422</v>
      </c>
      <c r="C258" s="5" t="s">
        <v>15</v>
      </c>
      <c r="D258" s="5" t="s">
        <v>16</v>
      </c>
      <c r="E258" s="5" t="n">
        <f aca="false">ROUND(8486*1.05,2)</f>
        <v>8910.3</v>
      </c>
      <c r="F258" s="5" t="s">
        <v>17</v>
      </c>
      <c r="G258" s="5" t="s">
        <v>18</v>
      </c>
      <c r="H258" s="5" t="n">
        <f aca="true">ROUND(RAND()*4+6,1)</f>
        <v>6.9</v>
      </c>
      <c r="I258" s="5" t="s">
        <v>19</v>
      </c>
      <c r="J258" s="5" t="str">
        <f aca="false">ROUND(68*1,0)&amp;"%"</f>
        <v>68%</v>
      </c>
    </row>
    <row r="259" customFormat="false" ht="15" hidden="false" customHeight="false" outlineLevel="0" collapsed="false">
      <c r="A259" s="6" t="s">
        <v>13511</v>
      </c>
      <c r="B259" s="6" t="s">
        <v>424</v>
      </c>
      <c r="C259" s="6" t="s">
        <v>15</v>
      </c>
      <c r="D259" s="6" t="s">
        <v>22</v>
      </c>
      <c r="E259" s="6" t="n">
        <f aca="false">ROUND(13481*1.05,2)</f>
        <v>14155.05</v>
      </c>
      <c r="F259" s="6" t="s">
        <v>23</v>
      </c>
      <c r="G259" s="6" t="s">
        <v>24</v>
      </c>
      <c r="H259" s="6" t="n">
        <f aca="true">ROUND(RAND()*4+6,1)</f>
        <v>6.3</v>
      </c>
      <c r="I259" s="6" t="s">
        <v>25</v>
      </c>
      <c r="J259" s="6" t="str">
        <f aca="false">ROUND(83*1,0)&amp;"%"</f>
        <v>83%</v>
      </c>
    </row>
    <row r="260" customFormat="false" ht="15" hidden="false" customHeight="false" outlineLevel="0" collapsed="false">
      <c r="A260" s="5" t="s">
        <v>13512</v>
      </c>
      <c r="B260" s="5" t="s">
        <v>426</v>
      </c>
      <c r="C260" s="5" t="s">
        <v>15</v>
      </c>
      <c r="D260" s="5" t="s">
        <v>28</v>
      </c>
      <c r="E260" s="5" t="n">
        <f aca="false">ROUND(12242*1.05,2)</f>
        <v>12854.1</v>
      </c>
      <c r="F260" s="5" t="s">
        <v>29</v>
      </c>
      <c r="G260" s="5" t="s">
        <v>30</v>
      </c>
      <c r="H260" s="5" t="n">
        <f aca="true">ROUND(RAND()*4+6,1)</f>
        <v>9.2</v>
      </c>
      <c r="I260" s="5" t="s">
        <v>31</v>
      </c>
      <c r="J260" s="5" t="str">
        <f aca="false">ROUND(99*1,0)&amp;"%"</f>
        <v>99%</v>
      </c>
    </row>
    <row r="261" customFormat="false" ht="15" hidden="false" customHeight="false" outlineLevel="0" collapsed="false">
      <c r="A261" s="6" t="s">
        <v>13513</v>
      </c>
      <c r="B261" s="6" t="s">
        <v>428</v>
      </c>
      <c r="C261" s="6" t="s">
        <v>15</v>
      </c>
      <c r="D261" s="6" t="s">
        <v>34</v>
      </c>
      <c r="E261" s="6" t="n">
        <f aca="false">ROUND(15305*1.05,2)</f>
        <v>16070.25</v>
      </c>
      <c r="F261" s="6" t="s">
        <v>35</v>
      </c>
      <c r="G261" s="6" t="s">
        <v>18</v>
      </c>
      <c r="H261" s="6" t="n">
        <f aca="true">ROUND(RAND()*4+6,1)</f>
        <v>6.9</v>
      </c>
      <c r="I261" s="6" t="s">
        <v>36</v>
      </c>
      <c r="J261" s="6" t="str">
        <f aca="false">ROUND(71*1,0)&amp;"%"</f>
        <v>71%</v>
      </c>
    </row>
    <row r="262" customFormat="false" ht="15" hidden="false" customHeight="false" outlineLevel="0" collapsed="false">
      <c r="A262" s="5" t="s">
        <v>13514</v>
      </c>
      <c r="B262" s="5" t="s">
        <v>430</v>
      </c>
      <c r="C262" s="5" t="s">
        <v>15</v>
      </c>
      <c r="D262" s="5" t="s">
        <v>39</v>
      </c>
      <c r="E262" s="5" t="n">
        <f aca="false">ROUND(9871*1.05,2)</f>
        <v>10364.55</v>
      </c>
      <c r="F262" s="5" t="s">
        <v>40</v>
      </c>
      <c r="G262" s="5" t="s">
        <v>24</v>
      </c>
      <c r="H262" s="5" t="n">
        <f aca="true">ROUND(RAND()*4+6,1)</f>
        <v>6.1</v>
      </c>
      <c r="I262" s="5" t="s">
        <v>41</v>
      </c>
      <c r="J262" s="5" t="str">
        <f aca="false">ROUND(68*1,0)&amp;"%"</f>
        <v>68%</v>
      </c>
    </row>
    <row r="263" customFormat="false" ht="15" hidden="false" customHeight="false" outlineLevel="0" collapsed="false">
      <c r="A263" s="6" t="s">
        <v>13515</v>
      </c>
      <c r="B263" s="6" t="s">
        <v>432</v>
      </c>
      <c r="C263" s="6" t="s">
        <v>15</v>
      </c>
      <c r="D263" s="6" t="s">
        <v>44</v>
      </c>
      <c r="E263" s="6" t="n">
        <f aca="false">ROUND(9606*1.05,2)</f>
        <v>10086.3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ROUND(77*1,0)&amp;"%"</f>
        <v>77%</v>
      </c>
    </row>
    <row r="264" customFormat="false" ht="15" hidden="false" customHeight="false" outlineLevel="0" collapsed="false">
      <c r="A264" s="5" t="s">
        <v>13516</v>
      </c>
      <c r="B264" s="5" t="s">
        <v>434</v>
      </c>
      <c r="C264" s="5" t="s">
        <v>15</v>
      </c>
      <c r="D264" s="5" t="s">
        <v>16</v>
      </c>
      <c r="E264" s="5" t="n">
        <f aca="false">ROUND(13138*1.05,2)</f>
        <v>13794.9</v>
      </c>
      <c r="F264" s="5" t="s">
        <v>49</v>
      </c>
      <c r="G264" s="5" t="s">
        <v>18</v>
      </c>
      <c r="H264" s="5" t="n">
        <f aca="true">ROUND(RAND()*4+6,1)</f>
        <v>6.9</v>
      </c>
      <c r="I264" s="5" t="s">
        <v>19</v>
      </c>
      <c r="J264" s="5" t="str">
        <f aca="false">ROUND(60*1,0)&amp;"%"</f>
        <v>60%</v>
      </c>
    </row>
    <row r="265" customFormat="false" ht="15" hidden="false" customHeight="false" outlineLevel="0" collapsed="false">
      <c r="A265" s="6" t="s">
        <v>13517</v>
      </c>
      <c r="B265" s="6" t="s">
        <v>436</v>
      </c>
      <c r="C265" s="6" t="s">
        <v>15</v>
      </c>
      <c r="D265" s="6" t="s">
        <v>22</v>
      </c>
      <c r="E265" s="6" t="n">
        <f aca="false">ROUND(16968*1.05,2)</f>
        <v>17816.4</v>
      </c>
      <c r="F265" s="6" t="s">
        <v>52</v>
      </c>
      <c r="G265" s="6" t="s">
        <v>24</v>
      </c>
      <c r="H265" s="6" t="n">
        <f aca="true">ROUND(RAND()*4+6,1)</f>
        <v>6.3</v>
      </c>
      <c r="I265" s="6" t="s">
        <v>25</v>
      </c>
      <c r="J265" s="6" t="str">
        <f aca="false">ROUND(93*1,0)&amp;"%"</f>
        <v>93%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13518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13519</v>
      </c>
      <c r="B270" s="5" t="s">
        <v>440</v>
      </c>
      <c r="C270" s="5" t="s">
        <v>57</v>
      </c>
      <c r="D270" s="5" t="s">
        <v>16</v>
      </c>
      <c r="E270" s="5" t="n">
        <f aca="false">ROUND(17348*1.05,2)</f>
        <v>18215.4</v>
      </c>
      <c r="F270" s="5" t="s">
        <v>17</v>
      </c>
      <c r="G270" s="5" t="s">
        <v>18</v>
      </c>
      <c r="H270" s="5" t="n">
        <f aca="true">ROUND(RAND()*4+6,1)</f>
        <v>9.7</v>
      </c>
      <c r="I270" s="5" t="s">
        <v>19</v>
      </c>
      <c r="J270" s="5" t="str">
        <f aca="false">ROUND(71*1,0)&amp;"%"</f>
        <v>71%</v>
      </c>
    </row>
    <row r="271" customFormat="false" ht="15" hidden="false" customHeight="false" outlineLevel="0" collapsed="false">
      <c r="A271" s="6" t="s">
        <v>13520</v>
      </c>
      <c r="B271" s="6" t="s">
        <v>442</v>
      </c>
      <c r="C271" s="6" t="s">
        <v>57</v>
      </c>
      <c r="D271" s="6" t="s">
        <v>22</v>
      </c>
      <c r="E271" s="6" t="n">
        <f aca="false">ROUND(4613*1.05,2)</f>
        <v>4843.65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ROUND(97*1,0)&amp;"%"</f>
        <v>97%</v>
      </c>
    </row>
    <row r="272" customFormat="false" ht="15" hidden="false" customHeight="false" outlineLevel="0" collapsed="false">
      <c r="A272" s="5" t="s">
        <v>13521</v>
      </c>
      <c r="B272" s="5" t="s">
        <v>444</v>
      </c>
      <c r="C272" s="5" t="s">
        <v>57</v>
      </c>
      <c r="D272" s="5" t="s">
        <v>28</v>
      </c>
      <c r="E272" s="5" t="n">
        <f aca="false">ROUND(15144*1.05,2)</f>
        <v>15901.2</v>
      </c>
      <c r="F272" s="5" t="s">
        <v>29</v>
      </c>
      <c r="G272" s="5" t="s">
        <v>30</v>
      </c>
      <c r="H272" s="5" t="n">
        <f aca="true">ROUND(RAND()*4+6,1)</f>
        <v>6.2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13522</v>
      </c>
      <c r="B273" s="6" t="s">
        <v>446</v>
      </c>
      <c r="C273" s="6" t="s">
        <v>57</v>
      </c>
      <c r="D273" s="6" t="s">
        <v>34</v>
      </c>
      <c r="E273" s="6" t="n">
        <f aca="false">ROUND(9205*1.05,2)</f>
        <v>9665.25</v>
      </c>
      <c r="F273" s="6" t="s">
        <v>35</v>
      </c>
      <c r="G273" s="6" t="s">
        <v>18</v>
      </c>
      <c r="H273" s="6" t="n">
        <f aca="true">ROUND(RAND()*4+6,1)</f>
        <v>6.9</v>
      </c>
      <c r="I273" s="6" t="s">
        <v>36</v>
      </c>
      <c r="J273" s="6" t="str">
        <f aca="false">ROUND(76*1,0)&amp;"%"</f>
        <v>76%</v>
      </c>
    </row>
    <row r="274" customFormat="false" ht="15" hidden="false" customHeight="false" outlineLevel="0" collapsed="false">
      <c r="A274" s="5" t="s">
        <v>13523</v>
      </c>
      <c r="B274" s="5" t="s">
        <v>448</v>
      </c>
      <c r="C274" s="5" t="s">
        <v>57</v>
      </c>
      <c r="D274" s="5" t="s">
        <v>39</v>
      </c>
      <c r="E274" s="5" t="n">
        <f aca="false">ROUND(7622*1.05,2)</f>
        <v>8003.1</v>
      </c>
      <c r="F274" s="5" t="s">
        <v>40</v>
      </c>
      <c r="G274" s="5" t="s">
        <v>24</v>
      </c>
      <c r="H274" s="5" t="n">
        <f aca="true">ROUND(RAND()*4+6,1)</f>
        <v>10</v>
      </c>
      <c r="I274" s="5" t="s">
        <v>41</v>
      </c>
      <c r="J274" s="5" t="str">
        <f aca="false">ROUND(68*1,0)&amp;"%"</f>
        <v>68%</v>
      </c>
    </row>
    <row r="275" customFormat="false" ht="15" hidden="false" customHeight="false" outlineLevel="0" collapsed="false">
      <c r="A275" s="6" t="s">
        <v>13524</v>
      </c>
      <c r="B275" s="6" t="s">
        <v>450</v>
      </c>
      <c r="C275" s="6" t="s">
        <v>57</v>
      </c>
      <c r="D275" s="6" t="s">
        <v>44</v>
      </c>
      <c r="E275" s="6" t="n">
        <f aca="false">ROUND(17381*1.05,2)</f>
        <v>18250.05</v>
      </c>
      <c r="F275" s="6" t="s">
        <v>45</v>
      </c>
      <c r="G275" s="6" t="s">
        <v>30</v>
      </c>
      <c r="H275" s="6" t="n">
        <f aca="true">ROUND(RAND()*4+6,1)</f>
        <v>7.2</v>
      </c>
      <c r="I275" s="6" t="s">
        <v>46</v>
      </c>
      <c r="J275" s="6" t="str">
        <f aca="false">ROUND(68*1,0)&amp;"%"</f>
        <v>68%</v>
      </c>
    </row>
    <row r="276" customFormat="false" ht="15" hidden="false" customHeight="false" outlineLevel="0" collapsed="false">
      <c r="A276" s="5" t="s">
        <v>13525</v>
      </c>
      <c r="B276" s="5" t="s">
        <v>452</v>
      </c>
      <c r="C276" s="5" t="s">
        <v>57</v>
      </c>
      <c r="D276" s="5" t="s">
        <v>16</v>
      </c>
      <c r="E276" s="5" t="n">
        <f aca="false">ROUND(13473*1.05,2)</f>
        <v>14146.65</v>
      </c>
      <c r="F276" s="5" t="s">
        <v>49</v>
      </c>
      <c r="G276" s="5" t="s">
        <v>18</v>
      </c>
      <c r="H276" s="5" t="n">
        <f aca="true">ROUND(RAND()*4+6,1)</f>
        <v>8.8</v>
      </c>
      <c r="I276" s="5" t="s">
        <v>19</v>
      </c>
      <c r="J276" s="5" t="str">
        <f aca="false">ROUND(97*1,0)&amp;"%"</f>
        <v>97%</v>
      </c>
    </row>
    <row r="277" customFormat="false" ht="15" hidden="false" customHeight="false" outlineLevel="0" collapsed="false">
      <c r="A277" s="6" t="s">
        <v>13526</v>
      </c>
      <c r="B277" s="6" t="s">
        <v>454</v>
      </c>
      <c r="C277" s="6" t="s">
        <v>57</v>
      </c>
      <c r="D277" s="6" t="s">
        <v>22</v>
      </c>
      <c r="E277" s="6" t="n">
        <f aca="false">ROUND(11996*1.05,2)</f>
        <v>12595.8</v>
      </c>
      <c r="F277" s="6" t="s">
        <v>52</v>
      </c>
      <c r="G277" s="6" t="s">
        <v>24</v>
      </c>
      <c r="H277" s="6" t="n">
        <f aca="true">ROUND(RAND()*4+6,1)</f>
        <v>6.4</v>
      </c>
      <c r="I277" s="6" t="s">
        <v>25</v>
      </c>
      <c r="J277" s="6" t="str">
        <f aca="false">ROUND(70*1,0)&amp;"%"</f>
        <v>70%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13527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13528</v>
      </c>
      <c r="B282" s="5" t="s">
        <v>458</v>
      </c>
      <c r="C282" s="5" t="s">
        <v>76</v>
      </c>
      <c r="D282" s="5" t="s">
        <v>16</v>
      </c>
      <c r="E282" s="5" t="n">
        <f aca="false">ROUND(7051*1.05,2)</f>
        <v>7403.55</v>
      </c>
      <c r="F282" s="5" t="s">
        <v>17</v>
      </c>
      <c r="G282" s="5" t="s">
        <v>18</v>
      </c>
      <c r="H282" s="5" t="n">
        <f aca="true">ROUND(RAND()*4+6,1)</f>
        <v>9.7</v>
      </c>
      <c r="I282" s="5" t="s">
        <v>19</v>
      </c>
      <c r="J282" s="5" t="str">
        <f aca="false">ROUND(90*1,0)&amp;"%"</f>
        <v>90%</v>
      </c>
    </row>
    <row r="283" customFormat="false" ht="15" hidden="false" customHeight="false" outlineLevel="0" collapsed="false">
      <c r="A283" s="6" t="s">
        <v>13529</v>
      </c>
      <c r="B283" s="6" t="s">
        <v>460</v>
      </c>
      <c r="C283" s="6" t="s">
        <v>76</v>
      </c>
      <c r="D283" s="6" t="s">
        <v>22</v>
      </c>
      <c r="E283" s="6" t="n">
        <f aca="false">ROUND(5381*1.05,2)</f>
        <v>5650.05</v>
      </c>
      <c r="F283" s="6" t="s">
        <v>23</v>
      </c>
      <c r="G283" s="6" t="s">
        <v>24</v>
      </c>
      <c r="H283" s="6" t="n">
        <f aca="true">ROUND(RAND()*4+6,1)</f>
        <v>9.9</v>
      </c>
      <c r="I283" s="6" t="s">
        <v>25</v>
      </c>
      <c r="J283" s="6" t="str">
        <f aca="false">ROUND(94*1,0)&amp;"%"</f>
        <v>94%</v>
      </c>
    </row>
    <row r="284" customFormat="false" ht="15" hidden="false" customHeight="false" outlineLevel="0" collapsed="false">
      <c r="A284" s="5" t="s">
        <v>13530</v>
      </c>
      <c r="B284" s="5" t="s">
        <v>462</v>
      </c>
      <c r="C284" s="5" t="s">
        <v>76</v>
      </c>
      <c r="D284" s="5" t="s">
        <v>28</v>
      </c>
      <c r="E284" s="5" t="n">
        <f aca="false">ROUND(11133*1.05,2)</f>
        <v>11689.65</v>
      </c>
      <c r="F284" s="5" t="s">
        <v>29</v>
      </c>
      <c r="G284" s="5" t="s">
        <v>30</v>
      </c>
      <c r="H284" s="5" t="n">
        <f aca="true">ROUND(RAND()*4+6,1)</f>
        <v>9.3</v>
      </c>
      <c r="I284" s="5" t="s">
        <v>31</v>
      </c>
      <c r="J284" s="5" t="str">
        <f aca="false">ROUND(60*1,0)&amp;"%"</f>
        <v>60%</v>
      </c>
    </row>
    <row r="285" customFormat="false" ht="15" hidden="false" customHeight="false" outlineLevel="0" collapsed="false">
      <c r="A285" s="6" t="s">
        <v>13531</v>
      </c>
      <c r="B285" s="6" t="s">
        <v>464</v>
      </c>
      <c r="C285" s="6" t="s">
        <v>76</v>
      </c>
      <c r="D285" s="6" t="s">
        <v>34</v>
      </c>
      <c r="E285" s="6" t="n">
        <f aca="false">ROUND(5732*1.05,2)</f>
        <v>6018.6</v>
      </c>
      <c r="F285" s="6" t="s">
        <v>35</v>
      </c>
      <c r="G285" s="6" t="s">
        <v>18</v>
      </c>
      <c r="H285" s="6" t="n">
        <f aca="true">ROUND(RAND()*4+6,1)</f>
        <v>9.3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13532</v>
      </c>
      <c r="B286" s="5" t="s">
        <v>466</v>
      </c>
      <c r="C286" s="5" t="s">
        <v>76</v>
      </c>
      <c r="D286" s="5" t="s">
        <v>39</v>
      </c>
      <c r="E286" s="5" t="n">
        <f aca="false">ROUND(6503*1.05,2)</f>
        <v>6828.15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ROUND(80*1,0)&amp;"%"</f>
        <v>80%</v>
      </c>
    </row>
    <row r="287" customFormat="false" ht="15" hidden="false" customHeight="false" outlineLevel="0" collapsed="false">
      <c r="A287" s="6" t="s">
        <v>13533</v>
      </c>
      <c r="B287" s="6" t="s">
        <v>468</v>
      </c>
      <c r="C287" s="6" t="s">
        <v>76</v>
      </c>
      <c r="D287" s="6" t="s">
        <v>44</v>
      </c>
      <c r="E287" s="6" t="n">
        <f aca="false">ROUND(17823*1.05,2)</f>
        <v>18714.15</v>
      </c>
      <c r="F287" s="6" t="s">
        <v>45</v>
      </c>
      <c r="G287" s="6" t="s">
        <v>30</v>
      </c>
      <c r="H287" s="6" t="n">
        <f aca="true">ROUND(RAND()*4+6,1)</f>
        <v>8.1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13534</v>
      </c>
      <c r="B288" s="5" t="s">
        <v>470</v>
      </c>
      <c r="C288" s="5" t="s">
        <v>76</v>
      </c>
      <c r="D288" s="5" t="s">
        <v>16</v>
      </c>
      <c r="E288" s="5" t="n">
        <f aca="false">ROUND(4157*1.05,2)</f>
        <v>4364.85</v>
      </c>
      <c r="F288" s="5" t="s">
        <v>49</v>
      </c>
      <c r="G288" s="5" t="s">
        <v>18</v>
      </c>
      <c r="H288" s="5" t="n">
        <f aca="true">ROUND(RAND()*4+6,1)</f>
        <v>8.6</v>
      </c>
      <c r="I288" s="5" t="s">
        <v>19</v>
      </c>
      <c r="J288" s="5" t="str">
        <f aca="false">ROUND(71*1,0)&amp;"%"</f>
        <v>71%</v>
      </c>
    </row>
    <row r="289" customFormat="false" ht="15" hidden="false" customHeight="false" outlineLevel="0" collapsed="false">
      <c r="A289" s="6" t="s">
        <v>13535</v>
      </c>
      <c r="B289" s="6" t="s">
        <v>472</v>
      </c>
      <c r="C289" s="6" t="s">
        <v>76</v>
      </c>
      <c r="D289" s="6" t="s">
        <v>22</v>
      </c>
      <c r="E289" s="6" t="n">
        <f aca="false">ROUND(15918*1.05,2)</f>
        <v>16713.9</v>
      </c>
      <c r="F289" s="6" t="s">
        <v>52</v>
      </c>
      <c r="G289" s="6" t="s">
        <v>24</v>
      </c>
      <c r="H289" s="6" t="n">
        <f aca="true">ROUND(RAND()*4+6,1)</f>
        <v>9.5</v>
      </c>
      <c r="I289" s="6" t="s">
        <v>25</v>
      </c>
      <c r="J289" s="6" t="str">
        <f aca="false">ROUND(70*1,0)&amp;"%"</f>
        <v>70%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13536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13537</v>
      </c>
      <c r="B294" s="5" t="s">
        <v>476</v>
      </c>
      <c r="C294" s="5" t="s">
        <v>95</v>
      </c>
      <c r="D294" s="5" t="s">
        <v>16</v>
      </c>
      <c r="E294" s="5" t="n">
        <f aca="false">ROUND(16226*1.05,2)</f>
        <v>17037.3</v>
      </c>
      <c r="F294" s="5" t="s">
        <v>17</v>
      </c>
      <c r="G294" s="5" t="s">
        <v>18</v>
      </c>
      <c r="H294" s="5" t="n">
        <f aca="true">ROUND(RAND()*4+6,1)</f>
        <v>7.2</v>
      </c>
      <c r="I294" s="5" t="s">
        <v>19</v>
      </c>
      <c r="J294" s="5" t="str">
        <f aca="false">ROUND(89*1,0)&amp;"%"</f>
        <v>89%</v>
      </c>
    </row>
    <row r="295" customFormat="false" ht="15" hidden="false" customHeight="false" outlineLevel="0" collapsed="false">
      <c r="A295" s="6" t="s">
        <v>13538</v>
      </c>
      <c r="B295" s="6" t="s">
        <v>478</v>
      </c>
      <c r="C295" s="6" t="s">
        <v>95</v>
      </c>
      <c r="D295" s="6" t="s">
        <v>22</v>
      </c>
      <c r="E295" s="6" t="n">
        <f aca="false">ROUND(13609*1.05,2)</f>
        <v>14289.45</v>
      </c>
      <c r="F295" s="6" t="s">
        <v>23</v>
      </c>
      <c r="G295" s="6" t="s">
        <v>24</v>
      </c>
      <c r="H295" s="6" t="n">
        <f aca="true">ROUND(RAND()*4+6,1)</f>
        <v>6</v>
      </c>
      <c r="I295" s="6" t="s">
        <v>25</v>
      </c>
      <c r="J295" s="6" t="str">
        <f aca="false">ROUND(98*1,0)&amp;"%"</f>
        <v>98%</v>
      </c>
    </row>
    <row r="296" customFormat="false" ht="15" hidden="false" customHeight="false" outlineLevel="0" collapsed="false">
      <c r="A296" s="5" t="s">
        <v>13539</v>
      </c>
      <c r="B296" s="5" t="s">
        <v>480</v>
      </c>
      <c r="C296" s="5" t="s">
        <v>95</v>
      </c>
      <c r="D296" s="5" t="s">
        <v>28</v>
      </c>
      <c r="E296" s="5" t="n">
        <f aca="false">ROUND(15325*1.05,2)</f>
        <v>16091.25</v>
      </c>
      <c r="F296" s="5" t="s">
        <v>29</v>
      </c>
      <c r="G296" s="5" t="s">
        <v>30</v>
      </c>
      <c r="H296" s="5" t="n">
        <f aca="true">ROUND(RAND()*4+6,1)</f>
        <v>7.5</v>
      </c>
      <c r="I296" s="5" t="s">
        <v>31</v>
      </c>
      <c r="J296" s="5" t="str">
        <f aca="false">ROUND(84*1,0)&amp;"%"</f>
        <v>84%</v>
      </c>
    </row>
    <row r="297" customFormat="false" ht="15" hidden="false" customHeight="false" outlineLevel="0" collapsed="false">
      <c r="A297" s="6" t="s">
        <v>13540</v>
      </c>
      <c r="B297" s="6" t="s">
        <v>482</v>
      </c>
      <c r="C297" s="6" t="s">
        <v>95</v>
      </c>
      <c r="D297" s="6" t="s">
        <v>34</v>
      </c>
      <c r="E297" s="6" t="n">
        <f aca="false">ROUND(10204*1.05,2)</f>
        <v>10714.2</v>
      </c>
      <c r="F297" s="6" t="s">
        <v>35</v>
      </c>
      <c r="G297" s="6" t="s">
        <v>18</v>
      </c>
      <c r="H297" s="6" t="n">
        <f aca="true">ROUND(RAND()*4+6,1)</f>
        <v>8.4</v>
      </c>
      <c r="I297" s="6" t="s">
        <v>36</v>
      </c>
      <c r="J297" s="6" t="str">
        <f aca="false">ROUND(74*1,0)&amp;"%"</f>
        <v>74%</v>
      </c>
    </row>
    <row r="298" customFormat="false" ht="15" hidden="false" customHeight="false" outlineLevel="0" collapsed="false">
      <c r="A298" s="5" t="s">
        <v>13541</v>
      </c>
      <c r="B298" s="5" t="s">
        <v>484</v>
      </c>
      <c r="C298" s="5" t="s">
        <v>95</v>
      </c>
      <c r="D298" s="5" t="s">
        <v>39</v>
      </c>
      <c r="E298" s="5" t="n">
        <f aca="false">ROUND(10580*1.05,2)</f>
        <v>11109</v>
      </c>
      <c r="F298" s="5" t="s">
        <v>40</v>
      </c>
      <c r="G298" s="5" t="s">
        <v>24</v>
      </c>
      <c r="H298" s="5" t="n">
        <f aca="true">ROUND(RAND()*4+6,1)</f>
        <v>10</v>
      </c>
      <c r="I298" s="5" t="s">
        <v>41</v>
      </c>
      <c r="J298" s="5" t="str">
        <f aca="false">ROUND(96*1,0)&amp;"%"</f>
        <v>96%</v>
      </c>
    </row>
    <row r="299" customFormat="false" ht="15" hidden="false" customHeight="false" outlineLevel="0" collapsed="false">
      <c r="A299" s="6" t="s">
        <v>13542</v>
      </c>
      <c r="B299" s="6" t="s">
        <v>486</v>
      </c>
      <c r="C299" s="6" t="s">
        <v>95</v>
      </c>
      <c r="D299" s="6" t="s">
        <v>44</v>
      </c>
      <c r="E299" s="6" t="n">
        <f aca="false">ROUND(9008*1.05,2)</f>
        <v>9458.4</v>
      </c>
      <c r="F299" s="6" t="s">
        <v>45</v>
      </c>
      <c r="G299" s="6" t="s">
        <v>30</v>
      </c>
      <c r="H299" s="6" t="n">
        <f aca="true">ROUND(RAND()*4+6,1)</f>
        <v>6.8</v>
      </c>
      <c r="I299" s="6" t="s">
        <v>46</v>
      </c>
      <c r="J299" s="6" t="str">
        <f aca="false">ROUND(96*1,0)&amp;"%"</f>
        <v>96%</v>
      </c>
    </row>
    <row r="300" customFormat="false" ht="15" hidden="false" customHeight="false" outlineLevel="0" collapsed="false">
      <c r="A300" s="5" t="s">
        <v>13543</v>
      </c>
      <c r="B300" s="5" t="s">
        <v>488</v>
      </c>
      <c r="C300" s="5" t="s">
        <v>95</v>
      </c>
      <c r="D300" s="5" t="s">
        <v>16</v>
      </c>
      <c r="E300" s="5" t="n">
        <f aca="false">ROUND(9226*1.05,2)</f>
        <v>9687.3</v>
      </c>
      <c r="F300" s="5" t="s">
        <v>49</v>
      </c>
      <c r="G300" s="5" t="s">
        <v>18</v>
      </c>
      <c r="H300" s="5" t="n">
        <f aca="true">ROUND(RAND()*4+6,1)</f>
        <v>7.6</v>
      </c>
      <c r="I300" s="5" t="s">
        <v>19</v>
      </c>
      <c r="J300" s="5" t="str">
        <f aca="false">ROUND(96*1,0)&amp;"%"</f>
        <v>96%</v>
      </c>
    </row>
    <row r="301" customFormat="false" ht="15" hidden="false" customHeight="false" outlineLevel="0" collapsed="false">
      <c r="A301" s="6" t="s">
        <v>13544</v>
      </c>
      <c r="B301" s="6" t="s">
        <v>490</v>
      </c>
      <c r="C301" s="6" t="s">
        <v>95</v>
      </c>
      <c r="D301" s="6" t="s">
        <v>22</v>
      </c>
      <c r="E301" s="6" t="n">
        <f aca="false">ROUND(17129*1.05,2)</f>
        <v>17985.45</v>
      </c>
      <c r="F301" s="6" t="s">
        <v>52</v>
      </c>
      <c r="G301" s="6" t="s">
        <v>24</v>
      </c>
      <c r="H301" s="6" t="n">
        <f aca="true">ROUND(RAND()*4+6,1)</f>
        <v>6.1</v>
      </c>
      <c r="I301" s="6" t="s">
        <v>25</v>
      </c>
      <c r="J301" s="6" t="str">
        <f aca="false">ROUND(89*1,0)&amp;"%"</f>
        <v>89%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13545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13546</v>
      </c>
      <c r="B306" s="5" t="s">
        <v>494</v>
      </c>
      <c r="C306" s="5" t="s">
        <v>114</v>
      </c>
      <c r="D306" s="5" t="s">
        <v>16</v>
      </c>
      <c r="E306" s="5" t="n">
        <f aca="false">ROUND(9425*1.05,2)</f>
        <v>9896.25</v>
      </c>
      <c r="F306" s="5" t="s">
        <v>17</v>
      </c>
      <c r="G306" s="5" t="s">
        <v>18</v>
      </c>
      <c r="H306" s="5" t="n">
        <f aca="true">ROUND(RAND()*4+6,1)</f>
        <v>8</v>
      </c>
      <c r="I306" s="5" t="s">
        <v>19</v>
      </c>
      <c r="J306" s="5" t="str">
        <f aca="false">ROUND(66*1,0)&amp;"%"</f>
        <v>66%</v>
      </c>
    </row>
    <row r="307" customFormat="false" ht="15" hidden="false" customHeight="false" outlineLevel="0" collapsed="false">
      <c r="A307" s="6" t="s">
        <v>13547</v>
      </c>
      <c r="B307" s="6" t="s">
        <v>496</v>
      </c>
      <c r="C307" s="6" t="s">
        <v>114</v>
      </c>
      <c r="D307" s="6" t="s">
        <v>22</v>
      </c>
      <c r="E307" s="6" t="n">
        <f aca="false">ROUND(8712*1.05,2)</f>
        <v>9147.6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ROUND(72*1,0)&amp;"%"</f>
        <v>72%</v>
      </c>
    </row>
    <row r="308" customFormat="false" ht="15" hidden="false" customHeight="false" outlineLevel="0" collapsed="false">
      <c r="A308" s="5" t="s">
        <v>13548</v>
      </c>
      <c r="B308" s="5" t="s">
        <v>498</v>
      </c>
      <c r="C308" s="5" t="s">
        <v>114</v>
      </c>
      <c r="D308" s="5" t="s">
        <v>28</v>
      </c>
      <c r="E308" s="5" t="n">
        <f aca="false">ROUND(8099*1.05,2)</f>
        <v>8503.95</v>
      </c>
      <c r="F308" s="5" t="s">
        <v>29</v>
      </c>
      <c r="G308" s="5" t="s">
        <v>30</v>
      </c>
      <c r="H308" s="5" t="n">
        <f aca="true">ROUND(RAND()*4+6,1)</f>
        <v>8.3</v>
      </c>
      <c r="I308" s="5" t="s">
        <v>31</v>
      </c>
      <c r="J308" s="5" t="str">
        <f aca="false">ROUND(63*1,0)&amp;"%"</f>
        <v>63%</v>
      </c>
    </row>
    <row r="309" customFormat="false" ht="15" hidden="false" customHeight="false" outlineLevel="0" collapsed="false">
      <c r="A309" s="6" t="s">
        <v>13549</v>
      </c>
      <c r="B309" s="6" t="s">
        <v>500</v>
      </c>
      <c r="C309" s="6" t="s">
        <v>114</v>
      </c>
      <c r="D309" s="6" t="s">
        <v>34</v>
      </c>
      <c r="E309" s="6" t="n">
        <f aca="false">ROUND(4776*1.05,2)</f>
        <v>5014.8</v>
      </c>
      <c r="F309" s="6" t="s">
        <v>35</v>
      </c>
      <c r="G309" s="6" t="s">
        <v>18</v>
      </c>
      <c r="H309" s="6" t="n">
        <f aca="true">ROUND(RAND()*4+6,1)</f>
        <v>6.8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13550</v>
      </c>
      <c r="B310" s="5" t="s">
        <v>502</v>
      </c>
      <c r="C310" s="5" t="s">
        <v>114</v>
      </c>
      <c r="D310" s="5" t="s">
        <v>39</v>
      </c>
      <c r="E310" s="5" t="n">
        <f aca="false">ROUND(4436*1.05,2)</f>
        <v>4657.8</v>
      </c>
      <c r="F310" s="5" t="s">
        <v>40</v>
      </c>
      <c r="G310" s="5" t="s">
        <v>24</v>
      </c>
      <c r="H310" s="5" t="n">
        <f aca="true">ROUND(RAND()*4+6,1)</f>
        <v>8.8</v>
      </c>
      <c r="I310" s="5" t="s">
        <v>41</v>
      </c>
      <c r="J310" s="5" t="str">
        <f aca="false">ROUND(64*1,0)&amp;"%"</f>
        <v>64%</v>
      </c>
    </row>
    <row r="311" customFormat="false" ht="15" hidden="false" customHeight="false" outlineLevel="0" collapsed="false">
      <c r="A311" s="6" t="s">
        <v>13551</v>
      </c>
      <c r="B311" s="6" t="s">
        <v>504</v>
      </c>
      <c r="C311" s="6" t="s">
        <v>114</v>
      </c>
      <c r="D311" s="6" t="s">
        <v>44</v>
      </c>
      <c r="E311" s="6" t="n">
        <f aca="false">ROUND(4908*1.05,2)</f>
        <v>5153.4</v>
      </c>
      <c r="F311" s="6" t="s">
        <v>45</v>
      </c>
      <c r="G311" s="6" t="s">
        <v>30</v>
      </c>
      <c r="H311" s="6" t="n">
        <f aca="true">ROUND(RAND()*4+6,1)</f>
        <v>8.8</v>
      </c>
      <c r="I311" s="6" t="s">
        <v>46</v>
      </c>
      <c r="J311" s="6" t="str">
        <f aca="false">ROUND(69*1,0)&amp;"%"</f>
        <v>69%</v>
      </c>
    </row>
    <row r="312" customFormat="false" ht="15" hidden="false" customHeight="false" outlineLevel="0" collapsed="false">
      <c r="A312" s="5" t="s">
        <v>13552</v>
      </c>
      <c r="B312" s="5" t="s">
        <v>506</v>
      </c>
      <c r="C312" s="5" t="s">
        <v>114</v>
      </c>
      <c r="D312" s="5" t="s">
        <v>16</v>
      </c>
      <c r="E312" s="5" t="n">
        <f aca="false">ROUND(8604*1.05,2)</f>
        <v>9034.2</v>
      </c>
      <c r="F312" s="5" t="s">
        <v>49</v>
      </c>
      <c r="G312" s="5" t="s">
        <v>18</v>
      </c>
      <c r="H312" s="5" t="n">
        <f aca="true">ROUND(RAND()*4+6,1)</f>
        <v>7.5</v>
      </c>
      <c r="I312" s="5" t="s">
        <v>19</v>
      </c>
      <c r="J312" s="5" t="str">
        <f aca="false">ROUND(63*1,0)&amp;"%"</f>
        <v>63%</v>
      </c>
    </row>
    <row r="313" customFormat="false" ht="15" hidden="false" customHeight="false" outlineLevel="0" collapsed="false">
      <c r="A313" s="6" t="s">
        <v>13553</v>
      </c>
      <c r="B313" s="6" t="s">
        <v>508</v>
      </c>
      <c r="C313" s="6" t="s">
        <v>114</v>
      </c>
      <c r="D313" s="6" t="s">
        <v>22</v>
      </c>
      <c r="E313" s="6" t="n">
        <f aca="false">ROUND(6363*1.05,2)</f>
        <v>6681.15</v>
      </c>
      <c r="F313" s="6" t="s">
        <v>52</v>
      </c>
      <c r="G313" s="6" t="s">
        <v>24</v>
      </c>
      <c r="H313" s="6" t="n">
        <f aca="true">ROUND(RAND()*4+6,1)</f>
        <v>6.6</v>
      </c>
      <c r="I313" s="6" t="s">
        <v>25</v>
      </c>
      <c r="J313" s="6" t="str">
        <f aca="false">ROUND(100*1,0)&amp;"%"</f>
        <v>100%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13554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13555</v>
      </c>
      <c r="B318" s="5" t="s">
        <v>512</v>
      </c>
      <c r="C318" s="5" t="s">
        <v>133</v>
      </c>
      <c r="D318" s="5" t="s">
        <v>16</v>
      </c>
      <c r="E318" s="5" t="n">
        <f aca="false">ROUND(16754*1.05,2)</f>
        <v>17591.7</v>
      </c>
      <c r="F318" s="5" t="s">
        <v>17</v>
      </c>
      <c r="G318" s="5" t="s">
        <v>18</v>
      </c>
      <c r="H318" s="5" t="n">
        <f aca="true">ROUND(RAND()*4+6,1)</f>
        <v>6.1</v>
      </c>
      <c r="I318" s="5" t="s">
        <v>19</v>
      </c>
      <c r="J318" s="5" t="str">
        <f aca="false">ROUND(100*1,0)&amp;"%"</f>
        <v>100%</v>
      </c>
    </row>
    <row r="319" customFormat="false" ht="15" hidden="false" customHeight="false" outlineLevel="0" collapsed="false">
      <c r="A319" s="6" t="s">
        <v>13556</v>
      </c>
      <c r="B319" s="6" t="s">
        <v>514</v>
      </c>
      <c r="C319" s="6" t="s">
        <v>133</v>
      </c>
      <c r="D319" s="6" t="s">
        <v>22</v>
      </c>
      <c r="E319" s="6" t="n">
        <f aca="false">ROUND(6504*1.05,2)</f>
        <v>6829.2</v>
      </c>
      <c r="F319" s="6" t="s">
        <v>23</v>
      </c>
      <c r="G319" s="6" t="s">
        <v>24</v>
      </c>
      <c r="H319" s="6" t="n">
        <f aca="true">ROUND(RAND()*4+6,1)</f>
        <v>7.9</v>
      </c>
      <c r="I319" s="6" t="s">
        <v>25</v>
      </c>
      <c r="J319" s="6" t="str">
        <f aca="false">ROUND(91*1,0)&amp;"%"</f>
        <v>91%</v>
      </c>
    </row>
    <row r="320" customFormat="false" ht="15" hidden="false" customHeight="false" outlineLevel="0" collapsed="false">
      <c r="A320" s="5" t="s">
        <v>13557</v>
      </c>
      <c r="B320" s="5" t="s">
        <v>516</v>
      </c>
      <c r="C320" s="5" t="s">
        <v>133</v>
      </c>
      <c r="D320" s="5" t="s">
        <v>28</v>
      </c>
      <c r="E320" s="5" t="n">
        <f aca="false">ROUND(7013*1.05,2)</f>
        <v>7363.65</v>
      </c>
      <c r="F320" s="5" t="s">
        <v>29</v>
      </c>
      <c r="G320" s="5" t="s">
        <v>30</v>
      </c>
      <c r="H320" s="5" t="n">
        <f aca="true">ROUND(RAND()*4+6,1)</f>
        <v>9.9</v>
      </c>
      <c r="I320" s="5" t="s">
        <v>31</v>
      </c>
      <c r="J320" s="5" t="str">
        <f aca="false">ROUND(76*1,0)&amp;"%"</f>
        <v>76%</v>
      </c>
    </row>
    <row r="321" customFormat="false" ht="15" hidden="false" customHeight="false" outlineLevel="0" collapsed="false">
      <c r="A321" s="6" t="s">
        <v>13558</v>
      </c>
      <c r="B321" s="6" t="s">
        <v>518</v>
      </c>
      <c r="C321" s="6" t="s">
        <v>133</v>
      </c>
      <c r="D321" s="6" t="s">
        <v>34</v>
      </c>
      <c r="E321" s="6" t="n">
        <f aca="false">ROUND(8009*1.05,2)</f>
        <v>8409.45</v>
      </c>
      <c r="F321" s="6" t="s">
        <v>35</v>
      </c>
      <c r="G321" s="6" t="s">
        <v>18</v>
      </c>
      <c r="H321" s="6" t="n">
        <f aca="true">ROUND(RAND()*4+6,1)</f>
        <v>8.4</v>
      </c>
      <c r="I321" s="6" t="s">
        <v>36</v>
      </c>
      <c r="J321" s="6" t="str">
        <f aca="false">ROUND(87*1,0)&amp;"%"</f>
        <v>87%</v>
      </c>
    </row>
    <row r="322" customFormat="false" ht="15" hidden="false" customHeight="false" outlineLevel="0" collapsed="false">
      <c r="A322" s="5" t="s">
        <v>13559</v>
      </c>
      <c r="B322" s="5" t="s">
        <v>520</v>
      </c>
      <c r="C322" s="5" t="s">
        <v>133</v>
      </c>
      <c r="D322" s="5" t="s">
        <v>39</v>
      </c>
      <c r="E322" s="5" t="n">
        <f aca="false">ROUND(12726*1.05,2)</f>
        <v>13362.3</v>
      </c>
      <c r="F322" s="5" t="s">
        <v>40</v>
      </c>
      <c r="G322" s="5" t="s">
        <v>24</v>
      </c>
      <c r="H322" s="5" t="n">
        <f aca="true">ROUND(RAND()*4+6,1)</f>
        <v>7.9</v>
      </c>
      <c r="I322" s="5" t="s">
        <v>41</v>
      </c>
      <c r="J322" s="5" t="str">
        <f aca="false">ROUND(88*1,0)&amp;"%"</f>
        <v>88%</v>
      </c>
    </row>
    <row r="323" customFormat="false" ht="15" hidden="false" customHeight="false" outlineLevel="0" collapsed="false">
      <c r="A323" s="6" t="s">
        <v>13560</v>
      </c>
      <c r="B323" s="6" t="s">
        <v>522</v>
      </c>
      <c r="C323" s="6" t="s">
        <v>133</v>
      </c>
      <c r="D323" s="6" t="s">
        <v>44</v>
      </c>
      <c r="E323" s="6" t="n">
        <f aca="false">ROUND(5444*1.05,2)</f>
        <v>5716.2</v>
      </c>
      <c r="F323" s="6" t="s">
        <v>45</v>
      </c>
      <c r="G323" s="6" t="s">
        <v>30</v>
      </c>
      <c r="H323" s="6" t="n">
        <f aca="true">ROUND(RAND()*4+6,1)</f>
        <v>7.3</v>
      </c>
      <c r="I323" s="6" t="s">
        <v>46</v>
      </c>
      <c r="J323" s="6" t="str">
        <f aca="false">ROUND(61*1,0)&amp;"%"</f>
        <v>61%</v>
      </c>
    </row>
    <row r="324" customFormat="false" ht="15" hidden="false" customHeight="false" outlineLevel="0" collapsed="false">
      <c r="A324" s="5" t="s">
        <v>13561</v>
      </c>
      <c r="B324" s="5" t="s">
        <v>524</v>
      </c>
      <c r="C324" s="5" t="s">
        <v>133</v>
      </c>
      <c r="D324" s="5" t="s">
        <v>16</v>
      </c>
      <c r="E324" s="5" t="n">
        <f aca="false">ROUND(13908*1.05,2)</f>
        <v>14603.4</v>
      </c>
      <c r="F324" s="5" t="s">
        <v>49</v>
      </c>
      <c r="G324" s="5" t="s">
        <v>18</v>
      </c>
      <c r="H324" s="5" t="n">
        <f aca="true">ROUND(RAND()*4+6,1)</f>
        <v>6</v>
      </c>
      <c r="I324" s="5" t="s">
        <v>19</v>
      </c>
      <c r="J324" s="5" t="str">
        <f aca="false">ROUND(68*1,0)&amp;"%"</f>
        <v>68%</v>
      </c>
    </row>
    <row r="325" customFormat="false" ht="15" hidden="false" customHeight="false" outlineLevel="0" collapsed="false">
      <c r="A325" s="6" t="s">
        <v>13562</v>
      </c>
      <c r="B325" s="6" t="s">
        <v>526</v>
      </c>
      <c r="C325" s="6" t="s">
        <v>133</v>
      </c>
      <c r="D325" s="6" t="s">
        <v>22</v>
      </c>
      <c r="E325" s="6" t="n">
        <f aca="false">ROUND(13301*1.05,2)</f>
        <v>13966.05</v>
      </c>
      <c r="F325" s="6" t="s">
        <v>52</v>
      </c>
      <c r="G325" s="6" t="s">
        <v>24</v>
      </c>
      <c r="H325" s="6" t="n">
        <f aca="true">ROUND(RAND()*4+6,1)</f>
        <v>8.4</v>
      </c>
      <c r="I325" s="6" t="s">
        <v>25</v>
      </c>
      <c r="J325" s="6" t="str">
        <f aca="false">ROUND(61*1,0)&amp;"%"</f>
        <v>61%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13563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13564</v>
      </c>
      <c r="B330" s="5" t="s">
        <v>530</v>
      </c>
      <c r="C330" s="5" t="s">
        <v>152</v>
      </c>
      <c r="D330" s="5" t="s">
        <v>16</v>
      </c>
      <c r="E330" s="5" t="n">
        <f aca="false">ROUND(6536*1.05,2)</f>
        <v>6862.8</v>
      </c>
      <c r="F330" s="5" t="s">
        <v>17</v>
      </c>
      <c r="G330" s="5" t="s">
        <v>18</v>
      </c>
      <c r="H330" s="5" t="n">
        <f aca="true">ROUND(RAND()*4+6,1)</f>
        <v>7.3</v>
      </c>
      <c r="I330" s="5" t="s">
        <v>19</v>
      </c>
      <c r="J330" s="5" t="str">
        <f aca="false">ROUND(82*1,0)&amp;"%"</f>
        <v>82%</v>
      </c>
    </row>
    <row r="331" customFormat="false" ht="15" hidden="false" customHeight="false" outlineLevel="0" collapsed="false">
      <c r="A331" s="6" t="s">
        <v>13565</v>
      </c>
      <c r="B331" s="6" t="s">
        <v>532</v>
      </c>
      <c r="C331" s="6" t="s">
        <v>152</v>
      </c>
      <c r="D331" s="6" t="s">
        <v>22</v>
      </c>
      <c r="E331" s="6" t="n">
        <f aca="false">ROUND(13033*1.05,2)</f>
        <v>13684.65</v>
      </c>
      <c r="F331" s="6" t="s">
        <v>23</v>
      </c>
      <c r="G331" s="6" t="s">
        <v>24</v>
      </c>
      <c r="H331" s="6" t="n">
        <f aca="true">ROUND(RAND()*4+6,1)</f>
        <v>7</v>
      </c>
      <c r="I331" s="6" t="s">
        <v>25</v>
      </c>
      <c r="J331" s="6" t="str">
        <f aca="false">ROUND(100*1,0)&amp;"%"</f>
        <v>100%</v>
      </c>
    </row>
    <row r="332" customFormat="false" ht="15" hidden="false" customHeight="false" outlineLevel="0" collapsed="false">
      <c r="A332" s="5" t="s">
        <v>13566</v>
      </c>
      <c r="B332" s="5" t="s">
        <v>534</v>
      </c>
      <c r="C332" s="5" t="s">
        <v>152</v>
      </c>
      <c r="D332" s="5" t="s">
        <v>28</v>
      </c>
      <c r="E332" s="5" t="n">
        <f aca="false">ROUND(6316*1.05,2)</f>
        <v>6631.8</v>
      </c>
      <c r="F332" s="5" t="s">
        <v>29</v>
      </c>
      <c r="G332" s="5" t="s">
        <v>30</v>
      </c>
      <c r="H332" s="5" t="n">
        <f aca="true">ROUND(RAND()*4+6,1)</f>
        <v>10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13567</v>
      </c>
      <c r="B333" s="6" t="s">
        <v>536</v>
      </c>
      <c r="C333" s="6" t="s">
        <v>152</v>
      </c>
      <c r="D333" s="6" t="s">
        <v>34</v>
      </c>
      <c r="E333" s="6" t="n">
        <f aca="false">ROUND(10513*1.05,2)</f>
        <v>11038.65</v>
      </c>
      <c r="F333" s="6" t="s">
        <v>35</v>
      </c>
      <c r="G333" s="6" t="s">
        <v>18</v>
      </c>
      <c r="H333" s="6" t="n">
        <f aca="true">ROUND(RAND()*4+6,1)</f>
        <v>6.7</v>
      </c>
      <c r="I333" s="6" t="s">
        <v>36</v>
      </c>
      <c r="J333" s="6" t="str">
        <f aca="false">ROUND(64*1,0)&amp;"%"</f>
        <v>64%</v>
      </c>
    </row>
    <row r="334" customFormat="false" ht="15" hidden="false" customHeight="false" outlineLevel="0" collapsed="false">
      <c r="A334" s="5" t="s">
        <v>13568</v>
      </c>
      <c r="B334" s="5" t="s">
        <v>538</v>
      </c>
      <c r="C334" s="5" t="s">
        <v>152</v>
      </c>
      <c r="D334" s="5" t="s">
        <v>39</v>
      </c>
      <c r="E334" s="5" t="n">
        <f aca="false">ROUND(4846*1.05,2)</f>
        <v>5088.3</v>
      </c>
      <c r="F334" s="5" t="s">
        <v>40</v>
      </c>
      <c r="G334" s="5" t="s">
        <v>24</v>
      </c>
      <c r="H334" s="5" t="n">
        <f aca="true">ROUND(RAND()*4+6,1)</f>
        <v>6.7</v>
      </c>
      <c r="I334" s="5" t="s">
        <v>41</v>
      </c>
      <c r="J334" s="5" t="str">
        <f aca="false">ROUND(98*1,0)&amp;"%"</f>
        <v>98%</v>
      </c>
    </row>
    <row r="335" customFormat="false" ht="15" hidden="false" customHeight="false" outlineLevel="0" collapsed="false">
      <c r="A335" s="6" t="s">
        <v>13569</v>
      </c>
      <c r="B335" s="6" t="s">
        <v>540</v>
      </c>
      <c r="C335" s="6" t="s">
        <v>152</v>
      </c>
      <c r="D335" s="6" t="s">
        <v>44</v>
      </c>
      <c r="E335" s="6" t="n">
        <f aca="false">ROUND(16544*1.05,2)</f>
        <v>17371.2</v>
      </c>
      <c r="F335" s="6" t="s">
        <v>45</v>
      </c>
      <c r="G335" s="6" t="s">
        <v>30</v>
      </c>
      <c r="H335" s="6" t="n">
        <f aca="true">ROUND(RAND()*4+6,1)</f>
        <v>6.9</v>
      </c>
      <c r="I335" s="6" t="s">
        <v>46</v>
      </c>
      <c r="J335" s="6" t="str">
        <f aca="false">ROUND(74*1,0)&amp;"%"</f>
        <v>74%</v>
      </c>
    </row>
    <row r="336" customFormat="false" ht="15" hidden="false" customHeight="false" outlineLevel="0" collapsed="false">
      <c r="A336" s="5" t="s">
        <v>13570</v>
      </c>
      <c r="B336" s="5" t="s">
        <v>542</v>
      </c>
      <c r="C336" s="5" t="s">
        <v>152</v>
      </c>
      <c r="D336" s="5" t="s">
        <v>16</v>
      </c>
      <c r="E336" s="5" t="n">
        <f aca="false">ROUND(12601*1.05,2)</f>
        <v>13231.05</v>
      </c>
      <c r="F336" s="5" t="s">
        <v>49</v>
      </c>
      <c r="G336" s="5" t="s">
        <v>18</v>
      </c>
      <c r="H336" s="5" t="n">
        <f aca="true">ROUND(RAND()*4+6,1)</f>
        <v>6.9</v>
      </c>
      <c r="I336" s="5" t="s">
        <v>19</v>
      </c>
      <c r="J336" s="5" t="str">
        <f aca="false">ROUND(75*1,0)&amp;"%"</f>
        <v>75%</v>
      </c>
    </row>
    <row r="337" customFormat="false" ht="15" hidden="false" customHeight="false" outlineLevel="0" collapsed="false">
      <c r="A337" s="6" t="s">
        <v>13571</v>
      </c>
      <c r="B337" s="6" t="s">
        <v>544</v>
      </c>
      <c r="C337" s="6" t="s">
        <v>152</v>
      </c>
      <c r="D337" s="6" t="s">
        <v>22</v>
      </c>
      <c r="E337" s="6" t="n">
        <f aca="false">ROUND(4162*1.05,2)</f>
        <v>4370.1</v>
      </c>
      <c r="F337" s="6" t="s">
        <v>52</v>
      </c>
      <c r="G337" s="6" t="s">
        <v>24</v>
      </c>
      <c r="H337" s="6" t="n">
        <f aca="true">ROUND(RAND()*4+6,1)</f>
        <v>6.6</v>
      </c>
      <c r="I337" s="6" t="s">
        <v>25</v>
      </c>
      <c r="J337" s="6" t="str">
        <f aca="false">ROUND(88*1,0)&amp;"%"</f>
        <v>88%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13572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13573</v>
      </c>
      <c r="B342" s="5" t="s">
        <v>548</v>
      </c>
      <c r="C342" s="5" t="s">
        <v>15</v>
      </c>
      <c r="D342" s="5" t="s">
        <v>16</v>
      </c>
      <c r="E342" s="5" t="n">
        <f aca="false">ROUND(10581*1.05,2)</f>
        <v>11110.05</v>
      </c>
      <c r="F342" s="5" t="s">
        <v>17</v>
      </c>
      <c r="G342" s="5" t="s">
        <v>18</v>
      </c>
      <c r="H342" s="5" t="n">
        <f aca="true">ROUND(RAND()*4+6,1)</f>
        <v>7.3</v>
      </c>
      <c r="I342" s="5" t="s">
        <v>19</v>
      </c>
      <c r="J342" s="5" t="str">
        <f aca="false">ROUND(98*1,0)&amp;"%"</f>
        <v>98%</v>
      </c>
    </row>
    <row r="343" customFormat="false" ht="15" hidden="false" customHeight="false" outlineLevel="0" collapsed="false">
      <c r="A343" s="6" t="s">
        <v>13574</v>
      </c>
      <c r="B343" s="6" t="s">
        <v>550</v>
      </c>
      <c r="C343" s="6" t="s">
        <v>15</v>
      </c>
      <c r="D343" s="6" t="s">
        <v>22</v>
      </c>
      <c r="E343" s="6" t="n">
        <f aca="false">ROUND(5138*1.05,2)</f>
        <v>5394.9</v>
      </c>
      <c r="F343" s="6" t="s">
        <v>23</v>
      </c>
      <c r="G343" s="6" t="s">
        <v>24</v>
      </c>
      <c r="H343" s="6" t="n">
        <f aca="true">ROUND(RAND()*4+6,1)</f>
        <v>8.5</v>
      </c>
      <c r="I343" s="6" t="s">
        <v>25</v>
      </c>
      <c r="J343" s="6" t="str">
        <f aca="false">ROUND(96*1,0)&amp;"%"</f>
        <v>96%</v>
      </c>
    </row>
    <row r="344" customFormat="false" ht="15" hidden="false" customHeight="false" outlineLevel="0" collapsed="false">
      <c r="A344" s="5" t="s">
        <v>13575</v>
      </c>
      <c r="B344" s="5" t="s">
        <v>552</v>
      </c>
      <c r="C344" s="5" t="s">
        <v>15</v>
      </c>
      <c r="D344" s="5" t="s">
        <v>28</v>
      </c>
      <c r="E344" s="5" t="n">
        <f aca="false">ROUND(17749*1.05,2)</f>
        <v>18636.45</v>
      </c>
      <c r="F344" s="5" t="s">
        <v>29</v>
      </c>
      <c r="G344" s="5" t="s">
        <v>30</v>
      </c>
      <c r="H344" s="5" t="n">
        <f aca="true">ROUND(RAND()*4+6,1)</f>
        <v>8.5</v>
      </c>
      <c r="I344" s="5" t="s">
        <v>31</v>
      </c>
      <c r="J344" s="5" t="str">
        <f aca="false">ROUND(99*1,0)&amp;"%"</f>
        <v>99%</v>
      </c>
    </row>
    <row r="345" customFormat="false" ht="15" hidden="false" customHeight="false" outlineLevel="0" collapsed="false">
      <c r="A345" s="6" t="s">
        <v>13576</v>
      </c>
      <c r="B345" s="6" t="s">
        <v>554</v>
      </c>
      <c r="C345" s="6" t="s">
        <v>15</v>
      </c>
      <c r="D345" s="6" t="s">
        <v>34</v>
      </c>
      <c r="E345" s="6" t="n">
        <f aca="false">ROUND(11482*1.05,2)</f>
        <v>12056.1</v>
      </c>
      <c r="F345" s="6" t="s">
        <v>35</v>
      </c>
      <c r="G345" s="6" t="s">
        <v>18</v>
      </c>
      <c r="H345" s="6" t="n">
        <f aca="true">ROUND(RAND()*4+6,1)</f>
        <v>7.1</v>
      </c>
      <c r="I345" s="6" t="s">
        <v>36</v>
      </c>
      <c r="J345" s="6" t="str">
        <f aca="false">ROUND(65*1,0)&amp;"%"</f>
        <v>65%</v>
      </c>
    </row>
    <row r="346" customFormat="false" ht="15" hidden="false" customHeight="false" outlineLevel="0" collapsed="false">
      <c r="A346" s="5" t="s">
        <v>13577</v>
      </c>
      <c r="B346" s="5" t="s">
        <v>556</v>
      </c>
      <c r="C346" s="5" t="s">
        <v>15</v>
      </c>
      <c r="D346" s="5" t="s">
        <v>39</v>
      </c>
      <c r="E346" s="5" t="n">
        <f aca="false">ROUND(10745*1.05,2)</f>
        <v>11282.25</v>
      </c>
      <c r="F346" s="5" t="s">
        <v>40</v>
      </c>
      <c r="G346" s="5" t="s">
        <v>24</v>
      </c>
      <c r="H346" s="5" t="n">
        <f aca="true">ROUND(RAND()*4+6,1)</f>
        <v>8.9</v>
      </c>
      <c r="I346" s="5" t="s">
        <v>41</v>
      </c>
      <c r="J346" s="5" t="str">
        <f aca="false">ROUND(91*1,0)&amp;"%"</f>
        <v>91%</v>
      </c>
    </row>
    <row r="347" customFormat="false" ht="15" hidden="false" customHeight="false" outlineLevel="0" collapsed="false">
      <c r="A347" s="6" t="s">
        <v>13578</v>
      </c>
      <c r="B347" s="6" t="s">
        <v>558</v>
      </c>
      <c r="C347" s="6" t="s">
        <v>15</v>
      </c>
      <c r="D347" s="6" t="s">
        <v>44</v>
      </c>
      <c r="E347" s="6" t="n">
        <f aca="false">ROUND(15833*1.05,2)</f>
        <v>16624.65</v>
      </c>
      <c r="F347" s="6" t="s">
        <v>45</v>
      </c>
      <c r="G347" s="6" t="s">
        <v>30</v>
      </c>
      <c r="H347" s="6" t="n">
        <f aca="true">ROUND(RAND()*4+6,1)</f>
        <v>7.2</v>
      </c>
      <c r="I347" s="6" t="s">
        <v>46</v>
      </c>
      <c r="J347" s="6" t="str">
        <f aca="false">ROUND(60*1,0)&amp;"%"</f>
        <v>60%</v>
      </c>
    </row>
    <row r="348" customFormat="false" ht="15" hidden="false" customHeight="false" outlineLevel="0" collapsed="false">
      <c r="A348" s="5" t="s">
        <v>13579</v>
      </c>
      <c r="B348" s="5" t="s">
        <v>560</v>
      </c>
      <c r="C348" s="5" t="s">
        <v>15</v>
      </c>
      <c r="D348" s="5" t="s">
        <v>16</v>
      </c>
      <c r="E348" s="5" t="n">
        <f aca="false">ROUND(14085*1.05,2)</f>
        <v>14789.25</v>
      </c>
      <c r="F348" s="5" t="s">
        <v>49</v>
      </c>
      <c r="G348" s="5" t="s">
        <v>18</v>
      </c>
      <c r="H348" s="5" t="n">
        <f aca="true">ROUND(RAND()*4+6,1)</f>
        <v>6.4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13580</v>
      </c>
      <c r="B349" s="6" t="s">
        <v>562</v>
      </c>
      <c r="C349" s="6" t="s">
        <v>15</v>
      </c>
      <c r="D349" s="6" t="s">
        <v>22</v>
      </c>
      <c r="E349" s="6" t="n">
        <f aca="false">ROUND(8049*1.05,2)</f>
        <v>8451.45</v>
      </c>
      <c r="F349" s="6" t="s">
        <v>52</v>
      </c>
      <c r="G349" s="6" t="s">
        <v>24</v>
      </c>
      <c r="H349" s="6" t="n">
        <f aca="true">ROUND(RAND()*4+6,1)</f>
        <v>7.4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13581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13582</v>
      </c>
      <c r="B354" s="5" t="s">
        <v>566</v>
      </c>
      <c r="C354" s="5" t="s">
        <v>57</v>
      </c>
      <c r="D354" s="5" t="s">
        <v>16</v>
      </c>
      <c r="E354" s="5" t="n">
        <f aca="false">ROUND(7542*1.05,2)</f>
        <v>7919.1</v>
      </c>
      <c r="F354" s="5" t="s">
        <v>17</v>
      </c>
      <c r="G354" s="5" t="s">
        <v>18</v>
      </c>
      <c r="H354" s="5" t="n">
        <f aca="true">ROUND(RAND()*4+6,1)</f>
        <v>9.5</v>
      </c>
      <c r="I354" s="5" t="s">
        <v>19</v>
      </c>
      <c r="J354" s="5" t="str">
        <f aca="false">ROUND(94*1,0)&amp;"%"</f>
        <v>94%</v>
      </c>
    </row>
    <row r="355" customFormat="false" ht="15" hidden="false" customHeight="false" outlineLevel="0" collapsed="false">
      <c r="A355" s="6" t="s">
        <v>13583</v>
      </c>
      <c r="B355" s="6" t="s">
        <v>568</v>
      </c>
      <c r="C355" s="6" t="s">
        <v>57</v>
      </c>
      <c r="D355" s="6" t="s">
        <v>22</v>
      </c>
      <c r="E355" s="6" t="n">
        <f aca="false">ROUND(10159*1.05,2)</f>
        <v>10666.95</v>
      </c>
      <c r="F355" s="6" t="s">
        <v>23</v>
      </c>
      <c r="G355" s="6" t="s">
        <v>24</v>
      </c>
      <c r="H355" s="6" t="n">
        <f aca="true">ROUND(RAND()*4+6,1)</f>
        <v>6.1</v>
      </c>
      <c r="I355" s="6" t="s">
        <v>25</v>
      </c>
      <c r="J355" s="6" t="str">
        <f aca="false">ROUND(61*1,0)&amp;"%"</f>
        <v>61%</v>
      </c>
    </row>
    <row r="356" customFormat="false" ht="15" hidden="false" customHeight="false" outlineLevel="0" collapsed="false">
      <c r="A356" s="5" t="s">
        <v>13584</v>
      </c>
      <c r="B356" s="5" t="s">
        <v>570</v>
      </c>
      <c r="C356" s="5" t="s">
        <v>57</v>
      </c>
      <c r="D356" s="5" t="s">
        <v>28</v>
      </c>
      <c r="E356" s="5" t="n">
        <f aca="false">ROUND(9847*1.05,2)</f>
        <v>10339.35</v>
      </c>
      <c r="F356" s="5" t="s">
        <v>29</v>
      </c>
      <c r="G356" s="5" t="s">
        <v>30</v>
      </c>
      <c r="H356" s="5" t="n">
        <f aca="true">ROUND(RAND()*4+6,1)</f>
        <v>7.1</v>
      </c>
      <c r="I356" s="5" t="s">
        <v>31</v>
      </c>
      <c r="J356" s="5" t="str">
        <f aca="false">ROUND(67*1,0)&amp;"%"</f>
        <v>67%</v>
      </c>
    </row>
    <row r="357" customFormat="false" ht="15" hidden="false" customHeight="false" outlineLevel="0" collapsed="false">
      <c r="A357" s="6" t="s">
        <v>13585</v>
      </c>
      <c r="B357" s="6" t="s">
        <v>572</v>
      </c>
      <c r="C357" s="6" t="s">
        <v>57</v>
      </c>
      <c r="D357" s="6" t="s">
        <v>34</v>
      </c>
      <c r="E357" s="6" t="n">
        <f aca="false">ROUND(6736*1.05,2)</f>
        <v>7072.8</v>
      </c>
      <c r="F357" s="6" t="s">
        <v>35</v>
      </c>
      <c r="G357" s="6" t="s">
        <v>18</v>
      </c>
      <c r="H357" s="6" t="n">
        <f aca="true">ROUND(RAND()*4+6,1)</f>
        <v>9.1</v>
      </c>
      <c r="I357" s="6" t="s">
        <v>36</v>
      </c>
      <c r="J357" s="6" t="str">
        <f aca="false">ROUND(80*1,0)&amp;"%"</f>
        <v>80%</v>
      </c>
    </row>
    <row r="358" customFormat="false" ht="15" hidden="false" customHeight="false" outlineLevel="0" collapsed="false">
      <c r="A358" s="5" t="s">
        <v>13586</v>
      </c>
      <c r="B358" s="5" t="s">
        <v>574</v>
      </c>
      <c r="C358" s="5" t="s">
        <v>57</v>
      </c>
      <c r="D358" s="5" t="s">
        <v>39</v>
      </c>
      <c r="E358" s="5" t="n">
        <f aca="false">ROUND(8426*1.05,2)</f>
        <v>8847.3</v>
      </c>
      <c r="F358" s="5" t="s">
        <v>40</v>
      </c>
      <c r="G358" s="5" t="s">
        <v>24</v>
      </c>
      <c r="H358" s="5" t="n">
        <f aca="true">ROUND(RAND()*4+6,1)</f>
        <v>8.5</v>
      </c>
      <c r="I358" s="5" t="s">
        <v>41</v>
      </c>
      <c r="J358" s="5" t="str">
        <f aca="false">ROUND(72*1,0)&amp;"%"</f>
        <v>72%</v>
      </c>
    </row>
    <row r="359" customFormat="false" ht="15" hidden="false" customHeight="false" outlineLevel="0" collapsed="false">
      <c r="A359" s="6" t="s">
        <v>13587</v>
      </c>
      <c r="B359" s="6" t="s">
        <v>576</v>
      </c>
      <c r="C359" s="6" t="s">
        <v>57</v>
      </c>
      <c r="D359" s="6" t="s">
        <v>44</v>
      </c>
      <c r="E359" s="6" t="n">
        <f aca="false">ROUND(10854*1.05,2)</f>
        <v>11396.7</v>
      </c>
      <c r="F359" s="6" t="s">
        <v>45</v>
      </c>
      <c r="G359" s="6" t="s">
        <v>30</v>
      </c>
      <c r="H359" s="6" t="n">
        <f aca="true">ROUND(RAND()*4+6,1)</f>
        <v>6.3</v>
      </c>
      <c r="I359" s="6" t="s">
        <v>46</v>
      </c>
      <c r="J359" s="6" t="str">
        <f aca="false">ROUND(88*1,0)&amp;"%"</f>
        <v>88%</v>
      </c>
    </row>
    <row r="360" customFormat="false" ht="15" hidden="false" customHeight="false" outlineLevel="0" collapsed="false">
      <c r="A360" s="5" t="s">
        <v>13588</v>
      </c>
      <c r="B360" s="5" t="s">
        <v>578</v>
      </c>
      <c r="C360" s="5" t="s">
        <v>57</v>
      </c>
      <c r="D360" s="5" t="s">
        <v>16</v>
      </c>
      <c r="E360" s="5" t="n">
        <f aca="false">ROUND(16722*1.05,2)</f>
        <v>17558.1</v>
      </c>
      <c r="F360" s="5" t="s">
        <v>49</v>
      </c>
      <c r="G360" s="5" t="s">
        <v>18</v>
      </c>
      <c r="H360" s="5" t="n">
        <f aca="true">ROUND(RAND()*4+6,1)</f>
        <v>6.6</v>
      </c>
      <c r="I360" s="5" t="s">
        <v>19</v>
      </c>
      <c r="J360" s="5" t="str">
        <f aca="false">ROUND(98*1,0)&amp;"%"</f>
        <v>98%</v>
      </c>
    </row>
    <row r="361" customFormat="false" ht="15" hidden="false" customHeight="false" outlineLevel="0" collapsed="false">
      <c r="A361" s="6" t="s">
        <v>13589</v>
      </c>
      <c r="B361" s="6" t="s">
        <v>580</v>
      </c>
      <c r="C361" s="6" t="s">
        <v>57</v>
      </c>
      <c r="D361" s="6" t="s">
        <v>22</v>
      </c>
      <c r="E361" s="6" t="n">
        <f aca="false">ROUND(14227*1.05,2)</f>
        <v>14938.35</v>
      </c>
      <c r="F361" s="6" t="s">
        <v>52</v>
      </c>
      <c r="G361" s="6" t="s">
        <v>24</v>
      </c>
      <c r="H361" s="6" t="n">
        <f aca="true">ROUND(RAND()*4+6,1)</f>
        <v>9.2</v>
      </c>
      <c r="I361" s="6" t="s">
        <v>25</v>
      </c>
      <c r="J361" s="6" t="str">
        <f aca="false">ROUND(68*1,0)&amp;"%"</f>
        <v>68%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13590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13591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13592</v>
      </c>
      <c r="B6" s="5" t="s">
        <v>14</v>
      </c>
      <c r="C6" s="5" t="s">
        <v>15</v>
      </c>
      <c r="D6" s="5" t="s">
        <v>16</v>
      </c>
      <c r="E6" s="5" t="n">
        <f aca="false">ROUND(15305*1.05,2)</f>
        <v>16070.25</v>
      </c>
      <c r="F6" s="5" t="s">
        <v>17</v>
      </c>
      <c r="G6" s="5" t="s">
        <v>18</v>
      </c>
      <c r="H6" s="5" t="n">
        <f aca="true">ROUND(RAND()*4+6,1)</f>
        <v>7.8</v>
      </c>
      <c r="I6" s="5" t="s">
        <v>19</v>
      </c>
      <c r="J6" s="5" t="str">
        <f aca="false">ROUND(61*1,0)&amp;"%"</f>
        <v>61%</v>
      </c>
    </row>
    <row r="7" customFormat="false" ht="15" hidden="false" customHeight="false" outlineLevel="0" collapsed="false">
      <c r="A7" s="6" t="s">
        <v>13593</v>
      </c>
      <c r="B7" s="6" t="s">
        <v>21</v>
      </c>
      <c r="C7" s="6" t="s">
        <v>15</v>
      </c>
      <c r="D7" s="6" t="s">
        <v>22</v>
      </c>
      <c r="E7" s="6" t="n">
        <f aca="false">ROUND(8775*1.05,2)</f>
        <v>9213.75</v>
      </c>
      <c r="F7" s="6" t="s">
        <v>23</v>
      </c>
      <c r="G7" s="6" t="s">
        <v>24</v>
      </c>
      <c r="H7" s="6" t="n">
        <f aca="true">ROUND(RAND()*4+6,1)</f>
        <v>10</v>
      </c>
      <c r="I7" s="6" t="s">
        <v>25</v>
      </c>
      <c r="J7" s="6" t="str">
        <f aca="false">ROUND(84*1,0)&amp;"%"</f>
        <v>84%</v>
      </c>
    </row>
    <row r="8" customFormat="false" ht="15" hidden="false" customHeight="false" outlineLevel="0" collapsed="false">
      <c r="A8" s="5" t="s">
        <v>13594</v>
      </c>
      <c r="B8" s="5" t="s">
        <v>27</v>
      </c>
      <c r="C8" s="5" t="s">
        <v>15</v>
      </c>
      <c r="D8" s="5" t="s">
        <v>28</v>
      </c>
      <c r="E8" s="5" t="n">
        <f aca="false">ROUND(4503*1.05,2)</f>
        <v>4728.15</v>
      </c>
      <c r="F8" s="5" t="s">
        <v>29</v>
      </c>
      <c r="G8" s="5" t="s">
        <v>30</v>
      </c>
      <c r="H8" s="5" t="n">
        <f aca="true">ROUND(RAND()*4+6,1)</f>
        <v>8.9</v>
      </c>
      <c r="I8" s="5" t="s">
        <v>31</v>
      </c>
      <c r="J8" s="5" t="str">
        <f aca="false">ROUND(87*1,0)&amp;"%"</f>
        <v>87%</v>
      </c>
    </row>
    <row r="9" customFormat="false" ht="15" hidden="false" customHeight="false" outlineLevel="0" collapsed="false">
      <c r="A9" s="6" t="s">
        <v>13595</v>
      </c>
      <c r="B9" s="6" t="s">
        <v>33</v>
      </c>
      <c r="C9" s="6" t="s">
        <v>15</v>
      </c>
      <c r="D9" s="6" t="s">
        <v>34</v>
      </c>
      <c r="E9" s="6" t="n">
        <f aca="false">ROUND(14895*1.05,2)</f>
        <v>15639.75</v>
      </c>
      <c r="F9" s="6" t="s">
        <v>35</v>
      </c>
      <c r="G9" s="6" t="s">
        <v>18</v>
      </c>
      <c r="H9" s="6" t="n">
        <f aca="true">ROUND(RAND()*4+6,1)</f>
        <v>7.1</v>
      </c>
      <c r="I9" s="6" t="s">
        <v>36</v>
      </c>
      <c r="J9" s="6" t="str">
        <f aca="false">ROUND(98*1,0)&amp;"%"</f>
        <v>98%</v>
      </c>
    </row>
    <row r="10" customFormat="false" ht="15" hidden="false" customHeight="false" outlineLevel="0" collapsed="false">
      <c r="A10" s="5" t="s">
        <v>13596</v>
      </c>
      <c r="B10" s="5" t="s">
        <v>38</v>
      </c>
      <c r="C10" s="5" t="s">
        <v>15</v>
      </c>
      <c r="D10" s="5" t="s">
        <v>39</v>
      </c>
      <c r="E10" s="5" t="n">
        <f aca="false">ROUND(9174*1.05,2)</f>
        <v>9632.7</v>
      </c>
      <c r="F10" s="5" t="s">
        <v>40</v>
      </c>
      <c r="G10" s="5" t="s">
        <v>24</v>
      </c>
      <c r="H10" s="5" t="n">
        <f aca="true">ROUND(RAND()*4+6,1)</f>
        <v>6.9</v>
      </c>
      <c r="I10" s="5" t="s">
        <v>41</v>
      </c>
      <c r="J10" s="5" t="str">
        <f aca="false">ROUND(67*1,0)&amp;"%"</f>
        <v>67%</v>
      </c>
    </row>
    <row r="11" customFormat="false" ht="15" hidden="false" customHeight="false" outlineLevel="0" collapsed="false">
      <c r="A11" s="6" t="s">
        <v>13597</v>
      </c>
      <c r="B11" s="6" t="s">
        <v>43</v>
      </c>
      <c r="C11" s="6" t="s">
        <v>15</v>
      </c>
      <c r="D11" s="6" t="s">
        <v>44</v>
      </c>
      <c r="E11" s="6" t="n">
        <f aca="false">ROUND(16052*1.05,2)</f>
        <v>16854.6</v>
      </c>
      <c r="F11" s="6" t="s">
        <v>45</v>
      </c>
      <c r="G11" s="6" t="s">
        <v>30</v>
      </c>
      <c r="H11" s="6" t="n">
        <f aca="true">ROUND(RAND()*4+6,1)</f>
        <v>6.1</v>
      </c>
      <c r="I11" s="6" t="s">
        <v>46</v>
      </c>
      <c r="J11" s="6" t="str">
        <f aca="false">ROUND(89*1,0)&amp;"%"</f>
        <v>89%</v>
      </c>
    </row>
    <row r="12" customFormat="false" ht="15" hidden="false" customHeight="false" outlineLevel="0" collapsed="false">
      <c r="A12" s="5" t="s">
        <v>13598</v>
      </c>
      <c r="B12" s="5" t="s">
        <v>48</v>
      </c>
      <c r="C12" s="5" t="s">
        <v>15</v>
      </c>
      <c r="D12" s="5" t="s">
        <v>16</v>
      </c>
      <c r="E12" s="5" t="n">
        <f aca="false">ROUND(10265*1.05,2)</f>
        <v>10778.25</v>
      </c>
      <c r="F12" s="5" t="s">
        <v>49</v>
      </c>
      <c r="G12" s="5" t="s">
        <v>18</v>
      </c>
      <c r="H12" s="5" t="n">
        <f aca="true">ROUND(RAND()*4+6,1)</f>
        <v>7.7</v>
      </c>
      <c r="I12" s="5" t="s">
        <v>19</v>
      </c>
      <c r="J12" s="5" t="str">
        <f aca="false">ROUND(91*1,0)&amp;"%"</f>
        <v>91%</v>
      </c>
    </row>
    <row r="13" customFormat="false" ht="15" hidden="false" customHeight="false" outlineLevel="0" collapsed="false">
      <c r="A13" s="6" t="s">
        <v>13599</v>
      </c>
      <c r="B13" s="6" t="s">
        <v>51</v>
      </c>
      <c r="C13" s="6" t="s">
        <v>15</v>
      </c>
      <c r="D13" s="6" t="s">
        <v>22</v>
      </c>
      <c r="E13" s="6" t="n">
        <f aca="false">ROUND(17446*1.05,2)</f>
        <v>18318.3</v>
      </c>
      <c r="F13" s="6" t="s">
        <v>52</v>
      </c>
      <c r="G13" s="6" t="s">
        <v>24</v>
      </c>
      <c r="H13" s="6" t="n">
        <f aca="true">ROUND(RAND()*4+6,1)</f>
        <v>8.8</v>
      </c>
      <c r="I13" s="6" t="s">
        <v>25</v>
      </c>
      <c r="J13" s="6" t="str">
        <f aca="false">ROUND(61*1,0)&amp;"%"</f>
        <v>61%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13600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13601</v>
      </c>
      <c r="B18" s="5" t="s">
        <v>56</v>
      </c>
      <c r="C18" s="5" t="s">
        <v>57</v>
      </c>
      <c r="D18" s="5" t="s">
        <v>16</v>
      </c>
      <c r="E18" s="5" t="n">
        <f aca="false">ROUND(5556*1.05,2)</f>
        <v>5833.8</v>
      </c>
      <c r="F18" s="5" t="s">
        <v>17</v>
      </c>
      <c r="G18" s="5" t="s">
        <v>18</v>
      </c>
      <c r="H18" s="5" t="n">
        <f aca="true">ROUND(RAND()*4+6,1)</f>
        <v>8</v>
      </c>
      <c r="I18" s="5" t="s">
        <v>19</v>
      </c>
      <c r="J18" s="5" t="str">
        <f aca="false">ROUND(87*1,0)&amp;"%"</f>
        <v>87%</v>
      </c>
    </row>
    <row r="19" customFormat="false" ht="15" hidden="false" customHeight="false" outlineLevel="0" collapsed="false">
      <c r="A19" s="6" t="s">
        <v>13602</v>
      </c>
      <c r="B19" s="6" t="s">
        <v>59</v>
      </c>
      <c r="C19" s="6" t="s">
        <v>57</v>
      </c>
      <c r="D19" s="6" t="s">
        <v>22</v>
      </c>
      <c r="E19" s="6" t="n">
        <f aca="false">ROUND(12235*1.05,2)</f>
        <v>12846.75</v>
      </c>
      <c r="F19" s="6" t="s">
        <v>23</v>
      </c>
      <c r="G19" s="6" t="s">
        <v>24</v>
      </c>
      <c r="H19" s="6" t="n">
        <f aca="true">ROUND(RAND()*4+6,1)</f>
        <v>8.1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13603</v>
      </c>
      <c r="B20" s="5" t="s">
        <v>61</v>
      </c>
      <c r="C20" s="5" t="s">
        <v>57</v>
      </c>
      <c r="D20" s="5" t="s">
        <v>28</v>
      </c>
      <c r="E20" s="5" t="n">
        <f aca="false">ROUND(12887*1.05,2)</f>
        <v>13531.35</v>
      </c>
      <c r="F20" s="5" t="s">
        <v>29</v>
      </c>
      <c r="G20" s="5" t="s">
        <v>30</v>
      </c>
      <c r="H20" s="5" t="n">
        <f aca="true">ROUND(RAND()*4+6,1)</f>
        <v>7.4</v>
      </c>
      <c r="I20" s="5" t="s">
        <v>31</v>
      </c>
      <c r="J20" s="5" t="str">
        <f aca="false">ROUND(80*1,0)&amp;"%"</f>
        <v>80%</v>
      </c>
    </row>
    <row r="21" customFormat="false" ht="15" hidden="false" customHeight="false" outlineLevel="0" collapsed="false">
      <c r="A21" s="6" t="s">
        <v>13604</v>
      </c>
      <c r="B21" s="6" t="s">
        <v>63</v>
      </c>
      <c r="C21" s="6" t="s">
        <v>57</v>
      </c>
      <c r="D21" s="6" t="s">
        <v>34</v>
      </c>
      <c r="E21" s="6" t="n">
        <f aca="false">ROUND(11698*1.05,2)</f>
        <v>12282.9</v>
      </c>
      <c r="F21" s="6" t="s">
        <v>35</v>
      </c>
      <c r="G21" s="6" t="s">
        <v>18</v>
      </c>
      <c r="H21" s="6" t="n">
        <f aca="true">ROUND(RAND()*4+6,1)</f>
        <v>8.6</v>
      </c>
      <c r="I21" s="6" t="s">
        <v>36</v>
      </c>
      <c r="J21" s="6" t="str">
        <f aca="false">ROUND(87*1,0)&amp;"%"</f>
        <v>87%</v>
      </c>
    </row>
    <row r="22" customFormat="false" ht="15" hidden="false" customHeight="false" outlineLevel="0" collapsed="false">
      <c r="A22" s="5" t="s">
        <v>13605</v>
      </c>
      <c r="B22" s="5" t="s">
        <v>65</v>
      </c>
      <c r="C22" s="5" t="s">
        <v>57</v>
      </c>
      <c r="D22" s="5" t="s">
        <v>39</v>
      </c>
      <c r="E22" s="5" t="n">
        <f aca="false">ROUND(4275*1.05,2)</f>
        <v>4488.75</v>
      </c>
      <c r="F22" s="5" t="s">
        <v>40</v>
      </c>
      <c r="G22" s="5" t="s">
        <v>24</v>
      </c>
      <c r="H22" s="5" t="n">
        <f aca="true">ROUND(RAND()*4+6,1)</f>
        <v>8.6</v>
      </c>
      <c r="I22" s="5" t="s">
        <v>41</v>
      </c>
      <c r="J22" s="5" t="str">
        <f aca="false">ROUND(94*1,0)&amp;"%"</f>
        <v>94%</v>
      </c>
    </row>
    <row r="23" customFormat="false" ht="15" hidden="false" customHeight="false" outlineLevel="0" collapsed="false">
      <c r="A23" s="6" t="s">
        <v>13606</v>
      </c>
      <c r="B23" s="6" t="s">
        <v>67</v>
      </c>
      <c r="C23" s="6" t="s">
        <v>57</v>
      </c>
      <c r="D23" s="6" t="s">
        <v>44</v>
      </c>
      <c r="E23" s="6" t="n">
        <f aca="false">ROUND(13991*1.05,2)</f>
        <v>14690.55</v>
      </c>
      <c r="F23" s="6" t="s">
        <v>45</v>
      </c>
      <c r="G23" s="6" t="s">
        <v>30</v>
      </c>
      <c r="H23" s="6" t="n">
        <f aca="true">ROUND(RAND()*4+6,1)</f>
        <v>7.8</v>
      </c>
      <c r="I23" s="6" t="s">
        <v>46</v>
      </c>
      <c r="J23" s="6" t="str">
        <f aca="false">ROUND(72*1,0)&amp;"%"</f>
        <v>72%</v>
      </c>
    </row>
    <row r="24" customFormat="false" ht="15" hidden="false" customHeight="false" outlineLevel="0" collapsed="false">
      <c r="A24" s="5" t="s">
        <v>13607</v>
      </c>
      <c r="B24" s="5" t="s">
        <v>69</v>
      </c>
      <c r="C24" s="5" t="s">
        <v>57</v>
      </c>
      <c r="D24" s="5" t="s">
        <v>16</v>
      </c>
      <c r="E24" s="5" t="n">
        <f aca="false">ROUND(16455*1.05,2)</f>
        <v>17277.75</v>
      </c>
      <c r="F24" s="5" t="s">
        <v>49</v>
      </c>
      <c r="G24" s="5" t="s">
        <v>18</v>
      </c>
      <c r="H24" s="5" t="n">
        <f aca="true">ROUND(RAND()*4+6,1)</f>
        <v>6.2</v>
      </c>
      <c r="I24" s="5" t="s">
        <v>19</v>
      </c>
      <c r="J24" s="5" t="str">
        <f aca="false">ROUND(60*1,0)&amp;"%"</f>
        <v>60%</v>
      </c>
    </row>
    <row r="25" customFormat="false" ht="15" hidden="false" customHeight="false" outlineLevel="0" collapsed="false">
      <c r="A25" s="6" t="s">
        <v>13608</v>
      </c>
      <c r="B25" s="6" t="s">
        <v>71</v>
      </c>
      <c r="C25" s="6" t="s">
        <v>57</v>
      </c>
      <c r="D25" s="6" t="s">
        <v>22</v>
      </c>
      <c r="E25" s="6" t="n">
        <f aca="false">ROUND(10330*1.05,2)</f>
        <v>10846.5</v>
      </c>
      <c r="F25" s="6" t="s">
        <v>52</v>
      </c>
      <c r="G25" s="6" t="s">
        <v>24</v>
      </c>
      <c r="H25" s="6" t="n">
        <f aca="true">ROUND(RAND()*4+6,1)</f>
        <v>7.8</v>
      </c>
      <c r="I25" s="6" t="s">
        <v>25</v>
      </c>
      <c r="J25" s="6" t="str">
        <f aca="false">ROUND(94*1,0)&amp;"%"</f>
        <v>94%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13609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13610</v>
      </c>
      <c r="B30" s="5" t="s">
        <v>75</v>
      </c>
      <c r="C30" s="5" t="s">
        <v>76</v>
      </c>
      <c r="D30" s="5" t="s">
        <v>16</v>
      </c>
      <c r="E30" s="5" t="n">
        <f aca="false">ROUND(12990*1.05,2)</f>
        <v>13639.5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ROUND(63*1,0)&amp;"%"</f>
        <v>63%</v>
      </c>
    </row>
    <row r="31" customFormat="false" ht="15" hidden="false" customHeight="false" outlineLevel="0" collapsed="false">
      <c r="A31" s="6" t="s">
        <v>13611</v>
      </c>
      <c r="B31" s="6" t="s">
        <v>78</v>
      </c>
      <c r="C31" s="6" t="s">
        <v>76</v>
      </c>
      <c r="D31" s="6" t="s">
        <v>22</v>
      </c>
      <c r="E31" s="6" t="n">
        <f aca="false">ROUND(15160*1.05,2)</f>
        <v>15918</v>
      </c>
      <c r="F31" s="6" t="s">
        <v>23</v>
      </c>
      <c r="G31" s="6" t="s">
        <v>24</v>
      </c>
      <c r="H31" s="6" t="n">
        <f aca="true">ROUND(RAND()*4+6,1)</f>
        <v>8.4</v>
      </c>
      <c r="I31" s="6" t="s">
        <v>25</v>
      </c>
      <c r="J31" s="6" t="str">
        <f aca="false">ROUND(80*1,0)&amp;"%"</f>
        <v>80%</v>
      </c>
    </row>
    <row r="32" customFormat="false" ht="15" hidden="false" customHeight="false" outlineLevel="0" collapsed="false">
      <c r="A32" s="5" t="s">
        <v>13612</v>
      </c>
      <c r="B32" s="5" t="s">
        <v>80</v>
      </c>
      <c r="C32" s="5" t="s">
        <v>76</v>
      </c>
      <c r="D32" s="5" t="s">
        <v>28</v>
      </c>
      <c r="E32" s="5" t="n">
        <f aca="false">ROUND(17351*1.05,2)</f>
        <v>18218.55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ROUND(79*1,0)&amp;"%"</f>
        <v>79%</v>
      </c>
    </row>
    <row r="33" customFormat="false" ht="15" hidden="false" customHeight="false" outlineLevel="0" collapsed="false">
      <c r="A33" s="6" t="s">
        <v>13613</v>
      </c>
      <c r="B33" s="6" t="s">
        <v>82</v>
      </c>
      <c r="C33" s="6" t="s">
        <v>76</v>
      </c>
      <c r="D33" s="6" t="s">
        <v>34</v>
      </c>
      <c r="E33" s="6" t="n">
        <f aca="false">ROUND(13120*1.05,2)</f>
        <v>13776</v>
      </c>
      <c r="F33" s="6" t="s">
        <v>35</v>
      </c>
      <c r="G33" s="6" t="s">
        <v>18</v>
      </c>
      <c r="H33" s="6" t="n">
        <f aca="true">ROUND(RAND()*4+6,1)</f>
        <v>9.1</v>
      </c>
      <c r="I33" s="6" t="s">
        <v>36</v>
      </c>
      <c r="J33" s="6" t="str">
        <f aca="false">ROUND(72*1,0)&amp;"%"</f>
        <v>72%</v>
      </c>
    </row>
    <row r="34" customFormat="false" ht="15" hidden="false" customHeight="false" outlineLevel="0" collapsed="false">
      <c r="A34" s="5" t="s">
        <v>13614</v>
      </c>
      <c r="B34" s="5" t="s">
        <v>84</v>
      </c>
      <c r="C34" s="5" t="s">
        <v>76</v>
      </c>
      <c r="D34" s="5" t="s">
        <v>39</v>
      </c>
      <c r="E34" s="5" t="n">
        <f aca="false">ROUND(9630*1.05,2)</f>
        <v>10111.5</v>
      </c>
      <c r="F34" s="5" t="s">
        <v>40</v>
      </c>
      <c r="G34" s="5" t="s">
        <v>24</v>
      </c>
      <c r="H34" s="5" t="n">
        <f aca="true">ROUND(RAND()*4+6,1)</f>
        <v>6.8</v>
      </c>
      <c r="I34" s="5" t="s">
        <v>41</v>
      </c>
      <c r="J34" s="5" t="str">
        <f aca="false">ROUND(61*1,0)&amp;"%"</f>
        <v>61%</v>
      </c>
    </row>
    <row r="35" customFormat="false" ht="15" hidden="false" customHeight="false" outlineLevel="0" collapsed="false">
      <c r="A35" s="6" t="s">
        <v>13615</v>
      </c>
      <c r="B35" s="6" t="s">
        <v>86</v>
      </c>
      <c r="C35" s="6" t="s">
        <v>76</v>
      </c>
      <c r="D35" s="6" t="s">
        <v>44</v>
      </c>
      <c r="E35" s="6" t="n">
        <f aca="false">ROUND(5454*1.05,2)</f>
        <v>5726.7</v>
      </c>
      <c r="F35" s="6" t="s">
        <v>45</v>
      </c>
      <c r="G35" s="6" t="s">
        <v>30</v>
      </c>
      <c r="H35" s="6" t="n">
        <f aca="true">ROUND(RAND()*4+6,1)</f>
        <v>9.1</v>
      </c>
      <c r="I35" s="6" t="s">
        <v>46</v>
      </c>
      <c r="J35" s="6" t="str">
        <f aca="false">ROUND(64*1,0)&amp;"%"</f>
        <v>64%</v>
      </c>
    </row>
    <row r="36" customFormat="false" ht="15" hidden="false" customHeight="false" outlineLevel="0" collapsed="false">
      <c r="A36" s="5" t="s">
        <v>13616</v>
      </c>
      <c r="B36" s="5" t="s">
        <v>88</v>
      </c>
      <c r="C36" s="5" t="s">
        <v>76</v>
      </c>
      <c r="D36" s="5" t="s">
        <v>16</v>
      </c>
      <c r="E36" s="5" t="n">
        <f aca="false">ROUND(7004*1.05,2)</f>
        <v>7354.2</v>
      </c>
      <c r="F36" s="5" t="s">
        <v>49</v>
      </c>
      <c r="G36" s="5" t="s">
        <v>18</v>
      </c>
      <c r="H36" s="5" t="n">
        <f aca="true">ROUND(RAND()*4+6,1)</f>
        <v>7.9</v>
      </c>
      <c r="I36" s="5" t="s">
        <v>19</v>
      </c>
      <c r="J36" s="5" t="str">
        <f aca="false">ROUND(76*1,0)&amp;"%"</f>
        <v>76%</v>
      </c>
    </row>
    <row r="37" customFormat="false" ht="15" hidden="false" customHeight="false" outlineLevel="0" collapsed="false">
      <c r="A37" s="6" t="s">
        <v>13617</v>
      </c>
      <c r="B37" s="6" t="s">
        <v>90</v>
      </c>
      <c r="C37" s="6" t="s">
        <v>76</v>
      </c>
      <c r="D37" s="6" t="s">
        <v>22</v>
      </c>
      <c r="E37" s="6" t="n">
        <f aca="false">ROUND(4188*1.05,2)</f>
        <v>4397.4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ROUND(64*1,0)&amp;"%"</f>
        <v>64%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13618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13619</v>
      </c>
      <c r="B42" s="5" t="s">
        <v>94</v>
      </c>
      <c r="C42" s="5" t="s">
        <v>95</v>
      </c>
      <c r="D42" s="5" t="s">
        <v>16</v>
      </c>
      <c r="E42" s="5" t="n">
        <f aca="false">ROUND(13547*1.05,2)</f>
        <v>14224.35</v>
      </c>
      <c r="F42" s="5" t="s">
        <v>17</v>
      </c>
      <c r="G42" s="5" t="s">
        <v>18</v>
      </c>
      <c r="H42" s="5" t="n">
        <f aca="true">ROUND(RAND()*4+6,1)</f>
        <v>9.8</v>
      </c>
      <c r="I42" s="5" t="s">
        <v>19</v>
      </c>
      <c r="J42" s="5" t="str">
        <f aca="false">ROUND(61*1,0)&amp;"%"</f>
        <v>61%</v>
      </c>
    </row>
    <row r="43" customFormat="false" ht="15" hidden="false" customHeight="false" outlineLevel="0" collapsed="false">
      <c r="A43" s="6" t="s">
        <v>13620</v>
      </c>
      <c r="B43" s="6" t="s">
        <v>97</v>
      </c>
      <c r="C43" s="6" t="s">
        <v>95</v>
      </c>
      <c r="D43" s="6" t="s">
        <v>22</v>
      </c>
      <c r="E43" s="6" t="n">
        <f aca="false">ROUND(13907*1.05,2)</f>
        <v>14602.35</v>
      </c>
      <c r="F43" s="6" t="s">
        <v>23</v>
      </c>
      <c r="G43" s="6" t="s">
        <v>24</v>
      </c>
      <c r="H43" s="6" t="n">
        <f aca="true">ROUND(RAND()*4+6,1)</f>
        <v>8.3</v>
      </c>
      <c r="I43" s="6" t="s">
        <v>25</v>
      </c>
      <c r="J43" s="6" t="str">
        <f aca="false">ROUND(84*1,0)&amp;"%"</f>
        <v>84%</v>
      </c>
    </row>
    <row r="44" customFormat="false" ht="15" hidden="false" customHeight="false" outlineLevel="0" collapsed="false">
      <c r="A44" s="5" t="s">
        <v>13621</v>
      </c>
      <c r="B44" s="5" t="s">
        <v>99</v>
      </c>
      <c r="C44" s="5" t="s">
        <v>95</v>
      </c>
      <c r="D44" s="5" t="s">
        <v>28</v>
      </c>
      <c r="E44" s="5" t="n">
        <f aca="false">ROUND(6928*1.05,2)</f>
        <v>7274.4</v>
      </c>
      <c r="F44" s="5" t="s">
        <v>29</v>
      </c>
      <c r="G44" s="5" t="s">
        <v>30</v>
      </c>
      <c r="H44" s="5" t="n">
        <f aca="true">ROUND(RAND()*4+6,1)</f>
        <v>8.8</v>
      </c>
      <c r="I44" s="5" t="s">
        <v>31</v>
      </c>
      <c r="J44" s="5" t="str">
        <f aca="false">ROUND(73*1,0)&amp;"%"</f>
        <v>73%</v>
      </c>
    </row>
    <row r="45" customFormat="false" ht="15" hidden="false" customHeight="false" outlineLevel="0" collapsed="false">
      <c r="A45" s="6" t="s">
        <v>13622</v>
      </c>
      <c r="B45" s="6" t="s">
        <v>101</v>
      </c>
      <c r="C45" s="6" t="s">
        <v>95</v>
      </c>
      <c r="D45" s="6" t="s">
        <v>34</v>
      </c>
      <c r="E45" s="6" t="n">
        <f aca="false">ROUND(4790*1.05,2)</f>
        <v>5029.5</v>
      </c>
      <c r="F45" s="6" t="s">
        <v>35</v>
      </c>
      <c r="G45" s="6" t="s">
        <v>18</v>
      </c>
      <c r="H45" s="6" t="n">
        <f aca="true">ROUND(RAND()*4+6,1)</f>
        <v>6.8</v>
      </c>
      <c r="I45" s="6" t="s">
        <v>36</v>
      </c>
      <c r="J45" s="6" t="str">
        <f aca="false">ROUND(81*1,0)&amp;"%"</f>
        <v>81%</v>
      </c>
    </row>
    <row r="46" customFormat="false" ht="15" hidden="false" customHeight="false" outlineLevel="0" collapsed="false">
      <c r="A46" s="5" t="s">
        <v>13623</v>
      </c>
      <c r="B46" s="5" t="s">
        <v>103</v>
      </c>
      <c r="C46" s="5" t="s">
        <v>95</v>
      </c>
      <c r="D46" s="5" t="s">
        <v>39</v>
      </c>
      <c r="E46" s="5" t="n">
        <f aca="false">ROUND(16896*1.05,2)</f>
        <v>17740.8</v>
      </c>
      <c r="F46" s="5" t="s">
        <v>40</v>
      </c>
      <c r="G46" s="5" t="s">
        <v>24</v>
      </c>
      <c r="H46" s="5" t="n">
        <f aca="true">ROUND(RAND()*4+6,1)</f>
        <v>6.9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13624</v>
      </c>
      <c r="B47" s="6" t="s">
        <v>105</v>
      </c>
      <c r="C47" s="6" t="s">
        <v>95</v>
      </c>
      <c r="D47" s="6" t="s">
        <v>44</v>
      </c>
      <c r="E47" s="6" t="n">
        <f aca="false">ROUND(9475*1.05,2)</f>
        <v>9948.75</v>
      </c>
      <c r="F47" s="6" t="s">
        <v>45</v>
      </c>
      <c r="G47" s="6" t="s">
        <v>30</v>
      </c>
      <c r="H47" s="6" t="n">
        <f aca="true">ROUND(RAND()*4+6,1)</f>
        <v>8.2</v>
      </c>
      <c r="I47" s="6" t="s">
        <v>46</v>
      </c>
      <c r="J47" s="6" t="str">
        <f aca="false">ROUND(73*1,0)&amp;"%"</f>
        <v>73%</v>
      </c>
    </row>
    <row r="48" customFormat="false" ht="15" hidden="false" customHeight="false" outlineLevel="0" collapsed="false">
      <c r="A48" s="5" t="s">
        <v>13625</v>
      </c>
      <c r="B48" s="5" t="s">
        <v>107</v>
      </c>
      <c r="C48" s="5" t="s">
        <v>95</v>
      </c>
      <c r="D48" s="5" t="s">
        <v>16</v>
      </c>
      <c r="E48" s="5" t="n">
        <f aca="false">ROUND(4929*1.05,2)</f>
        <v>5175.45</v>
      </c>
      <c r="F48" s="5" t="s">
        <v>49</v>
      </c>
      <c r="G48" s="5" t="s">
        <v>18</v>
      </c>
      <c r="H48" s="5" t="n">
        <f aca="true">ROUND(RAND()*4+6,1)</f>
        <v>9.1</v>
      </c>
      <c r="I48" s="5" t="s">
        <v>19</v>
      </c>
      <c r="J48" s="5" t="str">
        <f aca="false">ROUND(60*1,0)&amp;"%"</f>
        <v>60%</v>
      </c>
    </row>
    <row r="49" customFormat="false" ht="15" hidden="false" customHeight="false" outlineLevel="0" collapsed="false">
      <c r="A49" s="6" t="s">
        <v>13626</v>
      </c>
      <c r="B49" s="6" t="s">
        <v>109</v>
      </c>
      <c r="C49" s="6" t="s">
        <v>95</v>
      </c>
      <c r="D49" s="6" t="s">
        <v>22</v>
      </c>
      <c r="E49" s="6" t="n">
        <f aca="false">ROUND(10824*1.05,2)</f>
        <v>11365.2</v>
      </c>
      <c r="F49" s="6" t="s">
        <v>52</v>
      </c>
      <c r="G49" s="6" t="s">
        <v>24</v>
      </c>
      <c r="H49" s="6" t="n">
        <f aca="true">ROUND(RAND()*4+6,1)</f>
        <v>8.7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13627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13628</v>
      </c>
      <c r="B54" s="5" t="s">
        <v>113</v>
      </c>
      <c r="C54" s="5" t="s">
        <v>114</v>
      </c>
      <c r="D54" s="5" t="s">
        <v>16</v>
      </c>
      <c r="E54" s="5" t="n">
        <f aca="false">ROUND(6038*1.05,2)</f>
        <v>6339.9</v>
      </c>
      <c r="F54" s="5" t="s">
        <v>17</v>
      </c>
      <c r="G54" s="5" t="s">
        <v>18</v>
      </c>
      <c r="H54" s="5" t="n">
        <f aca="true">ROUND(RAND()*4+6,1)</f>
        <v>7.2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13629</v>
      </c>
      <c r="B55" s="6" t="s">
        <v>116</v>
      </c>
      <c r="C55" s="6" t="s">
        <v>114</v>
      </c>
      <c r="D55" s="6" t="s">
        <v>22</v>
      </c>
      <c r="E55" s="6" t="n">
        <f aca="false">ROUND(13083*1.05,2)</f>
        <v>13737.15</v>
      </c>
      <c r="F55" s="6" t="s">
        <v>23</v>
      </c>
      <c r="G55" s="6" t="s">
        <v>24</v>
      </c>
      <c r="H55" s="6" t="n">
        <f aca="true">ROUND(RAND()*4+6,1)</f>
        <v>6.4</v>
      </c>
      <c r="I55" s="6" t="s">
        <v>25</v>
      </c>
      <c r="J55" s="6" t="str">
        <f aca="false">ROUND(96*1,0)&amp;"%"</f>
        <v>96%</v>
      </c>
    </row>
    <row r="56" customFormat="false" ht="15" hidden="false" customHeight="false" outlineLevel="0" collapsed="false">
      <c r="A56" s="5" t="s">
        <v>13630</v>
      </c>
      <c r="B56" s="5" t="s">
        <v>118</v>
      </c>
      <c r="C56" s="5" t="s">
        <v>114</v>
      </c>
      <c r="D56" s="5" t="s">
        <v>28</v>
      </c>
      <c r="E56" s="5" t="n">
        <f aca="false">ROUND(10463*1.05,2)</f>
        <v>10986.15</v>
      </c>
      <c r="F56" s="5" t="s">
        <v>29</v>
      </c>
      <c r="G56" s="5" t="s">
        <v>30</v>
      </c>
      <c r="H56" s="5" t="n">
        <f aca="true">ROUND(RAND()*4+6,1)</f>
        <v>6.2</v>
      </c>
      <c r="I56" s="5" t="s">
        <v>31</v>
      </c>
      <c r="J56" s="5" t="str">
        <f aca="false">ROUND(62*1,0)&amp;"%"</f>
        <v>62%</v>
      </c>
    </row>
    <row r="57" customFormat="false" ht="15" hidden="false" customHeight="false" outlineLevel="0" collapsed="false">
      <c r="A57" s="6" t="s">
        <v>13631</v>
      </c>
      <c r="B57" s="6" t="s">
        <v>120</v>
      </c>
      <c r="C57" s="6" t="s">
        <v>114</v>
      </c>
      <c r="D57" s="6" t="s">
        <v>34</v>
      </c>
      <c r="E57" s="6" t="n">
        <f aca="false">ROUND(9293*1.05,2)</f>
        <v>9757.65</v>
      </c>
      <c r="F57" s="6" t="s">
        <v>35</v>
      </c>
      <c r="G57" s="6" t="s">
        <v>18</v>
      </c>
      <c r="H57" s="6" t="n">
        <f aca="true">ROUND(RAND()*4+6,1)</f>
        <v>7.8</v>
      </c>
      <c r="I57" s="6" t="s">
        <v>36</v>
      </c>
      <c r="J57" s="6" t="str">
        <f aca="false">ROUND(90*1,0)&amp;"%"</f>
        <v>90%</v>
      </c>
    </row>
    <row r="58" customFormat="false" ht="15" hidden="false" customHeight="false" outlineLevel="0" collapsed="false">
      <c r="A58" s="5" t="s">
        <v>13632</v>
      </c>
      <c r="B58" s="5" t="s">
        <v>122</v>
      </c>
      <c r="C58" s="5" t="s">
        <v>114</v>
      </c>
      <c r="D58" s="5" t="s">
        <v>39</v>
      </c>
      <c r="E58" s="5" t="n">
        <f aca="false">ROUND(4628*1.05,2)</f>
        <v>4859.4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ROUND(71*1,0)&amp;"%"</f>
        <v>71%</v>
      </c>
    </row>
    <row r="59" customFormat="false" ht="15" hidden="false" customHeight="false" outlineLevel="0" collapsed="false">
      <c r="A59" s="6" t="s">
        <v>13633</v>
      </c>
      <c r="B59" s="6" t="s">
        <v>124</v>
      </c>
      <c r="C59" s="6" t="s">
        <v>114</v>
      </c>
      <c r="D59" s="6" t="s">
        <v>44</v>
      </c>
      <c r="E59" s="6" t="n">
        <f aca="false">ROUND(12736*1.05,2)</f>
        <v>13372.8</v>
      </c>
      <c r="F59" s="6" t="s">
        <v>45</v>
      </c>
      <c r="G59" s="6" t="s">
        <v>30</v>
      </c>
      <c r="H59" s="6" t="n">
        <f aca="true">ROUND(RAND()*4+6,1)</f>
        <v>7.1</v>
      </c>
      <c r="I59" s="6" t="s">
        <v>46</v>
      </c>
      <c r="J59" s="6" t="str">
        <f aca="false">ROUND(65*1,0)&amp;"%"</f>
        <v>65%</v>
      </c>
    </row>
    <row r="60" customFormat="false" ht="15" hidden="false" customHeight="false" outlineLevel="0" collapsed="false">
      <c r="A60" s="5" t="s">
        <v>13634</v>
      </c>
      <c r="B60" s="5" t="s">
        <v>126</v>
      </c>
      <c r="C60" s="5" t="s">
        <v>114</v>
      </c>
      <c r="D60" s="5" t="s">
        <v>16</v>
      </c>
      <c r="E60" s="5" t="n">
        <f aca="false">ROUND(11348*1.05,2)</f>
        <v>11915.4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ROUND(94*1,0)&amp;"%"</f>
        <v>94%</v>
      </c>
    </row>
    <row r="61" customFormat="false" ht="15" hidden="false" customHeight="false" outlineLevel="0" collapsed="false">
      <c r="A61" s="6" t="s">
        <v>13635</v>
      </c>
      <c r="B61" s="6" t="s">
        <v>128</v>
      </c>
      <c r="C61" s="6" t="s">
        <v>114</v>
      </c>
      <c r="D61" s="6" t="s">
        <v>22</v>
      </c>
      <c r="E61" s="6" t="n">
        <f aca="false">ROUND(6247*1.05,2)</f>
        <v>6559.35</v>
      </c>
      <c r="F61" s="6" t="s">
        <v>52</v>
      </c>
      <c r="G61" s="6" t="s">
        <v>24</v>
      </c>
      <c r="H61" s="6" t="n">
        <f aca="true">ROUND(RAND()*4+6,1)</f>
        <v>9.1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13636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13637</v>
      </c>
      <c r="B66" s="5" t="s">
        <v>132</v>
      </c>
      <c r="C66" s="5" t="s">
        <v>133</v>
      </c>
      <c r="D66" s="5" t="s">
        <v>16</v>
      </c>
      <c r="E66" s="5" t="n">
        <f aca="false">ROUND(6100*1.05,2)</f>
        <v>6405</v>
      </c>
      <c r="F66" s="5" t="s">
        <v>17</v>
      </c>
      <c r="G66" s="5" t="s">
        <v>18</v>
      </c>
      <c r="H66" s="5" t="n">
        <f aca="true">ROUND(RAND()*4+6,1)</f>
        <v>7.2</v>
      </c>
      <c r="I66" s="5" t="s">
        <v>19</v>
      </c>
      <c r="J66" s="5" t="str">
        <f aca="false">ROUND(97*1,0)&amp;"%"</f>
        <v>97%</v>
      </c>
    </row>
    <row r="67" customFormat="false" ht="15" hidden="false" customHeight="false" outlineLevel="0" collapsed="false">
      <c r="A67" s="6" t="s">
        <v>13638</v>
      </c>
      <c r="B67" s="6" t="s">
        <v>135</v>
      </c>
      <c r="C67" s="6" t="s">
        <v>133</v>
      </c>
      <c r="D67" s="6" t="s">
        <v>22</v>
      </c>
      <c r="E67" s="6" t="n">
        <f aca="false">ROUND(7560*1.05,2)</f>
        <v>7938</v>
      </c>
      <c r="F67" s="6" t="s">
        <v>23</v>
      </c>
      <c r="G67" s="6" t="s">
        <v>24</v>
      </c>
      <c r="H67" s="6" t="n">
        <f aca="true">ROUND(RAND()*4+6,1)</f>
        <v>6.9</v>
      </c>
      <c r="I67" s="6" t="s">
        <v>25</v>
      </c>
      <c r="J67" s="6" t="str">
        <f aca="false">ROUND(87*1,0)&amp;"%"</f>
        <v>87%</v>
      </c>
    </row>
    <row r="68" customFormat="false" ht="15" hidden="false" customHeight="false" outlineLevel="0" collapsed="false">
      <c r="A68" s="5" t="s">
        <v>13639</v>
      </c>
      <c r="B68" s="5" t="s">
        <v>137</v>
      </c>
      <c r="C68" s="5" t="s">
        <v>133</v>
      </c>
      <c r="D68" s="5" t="s">
        <v>28</v>
      </c>
      <c r="E68" s="5" t="n">
        <f aca="false">ROUND(14339*1.05,2)</f>
        <v>15055.95</v>
      </c>
      <c r="F68" s="5" t="s">
        <v>29</v>
      </c>
      <c r="G68" s="5" t="s">
        <v>30</v>
      </c>
      <c r="H68" s="5" t="n">
        <f aca="true">ROUND(RAND()*4+6,1)</f>
        <v>8.9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13640</v>
      </c>
      <c r="B69" s="6" t="s">
        <v>139</v>
      </c>
      <c r="C69" s="6" t="s">
        <v>133</v>
      </c>
      <c r="D69" s="6" t="s">
        <v>34</v>
      </c>
      <c r="E69" s="6" t="n">
        <f aca="false">ROUND(16765*1.05,2)</f>
        <v>17603.25</v>
      </c>
      <c r="F69" s="6" t="s">
        <v>35</v>
      </c>
      <c r="G69" s="6" t="s">
        <v>18</v>
      </c>
      <c r="H69" s="6" t="n">
        <f aca="true">ROUND(RAND()*4+6,1)</f>
        <v>8.5</v>
      </c>
      <c r="I69" s="6" t="s">
        <v>36</v>
      </c>
      <c r="J69" s="6" t="str">
        <f aca="false">ROUND(97*1,0)&amp;"%"</f>
        <v>97%</v>
      </c>
    </row>
    <row r="70" customFormat="false" ht="15" hidden="false" customHeight="false" outlineLevel="0" collapsed="false">
      <c r="A70" s="5" t="s">
        <v>13641</v>
      </c>
      <c r="B70" s="5" t="s">
        <v>141</v>
      </c>
      <c r="C70" s="5" t="s">
        <v>133</v>
      </c>
      <c r="D70" s="5" t="s">
        <v>39</v>
      </c>
      <c r="E70" s="5" t="n">
        <f aca="false">ROUND(5517*1.05,2)</f>
        <v>5792.85</v>
      </c>
      <c r="F70" s="5" t="s">
        <v>40</v>
      </c>
      <c r="G70" s="5" t="s">
        <v>24</v>
      </c>
      <c r="H70" s="5" t="n">
        <f aca="true">ROUND(RAND()*4+6,1)</f>
        <v>8.3</v>
      </c>
      <c r="I70" s="5" t="s">
        <v>41</v>
      </c>
      <c r="J70" s="5" t="str">
        <f aca="false">ROUND(78*1,0)&amp;"%"</f>
        <v>78%</v>
      </c>
    </row>
    <row r="71" customFormat="false" ht="15" hidden="false" customHeight="false" outlineLevel="0" collapsed="false">
      <c r="A71" s="6" t="s">
        <v>13642</v>
      </c>
      <c r="B71" s="6" t="s">
        <v>143</v>
      </c>
      <c r="C71" s="6" t="s">
        <v>133</v>
      </c>
      <c r="D71" s="6" t="s">
        <v>44</v>
      </c>
      <c r="E71" s="6" t="n">
        <f aca="false">ROUND(4025*1.05,2)</f>
        <v>4226.25</v>
      </c>
      <c r="F71" s="6" t="s">
        <v>45</v>
      </c>
      <c r="G71" s="6" t="s">
        <v>30</v>
      </c>
      <c r="H71" s="6" t="n">
        <f aca="true">ROUND(RAND()*4+6,1)</f>
        <v>7.6</v>
      </c>
      <c r="I71" s="6" t="s">
        <v>46</v>
      </c>
      <c r="J71" s="6" t="str">
        <f aca="false">ROUND(83*1,0)&amp;"%"</f>
        <v>83%</v>
      </c>
    </row>
    <row r="72" customFormat="false" ht="15" hidden="false" customHeight="false" outlineLevel="0" collapsed="false">
      <c r="A72" s="5" t="s">
        <v>13643</v>
      </c>
      <c r="B72" s="5" t="s">
        <v>145</v>
      </c>
      <c r="C72" s="5" t="s">
        <v>133</v>
      </c>
      <c r="D72" s="5" t="s">
        <v>16</v>
      </c>
      <c r="E72" s="5" t="n">
        <f aca="false">ROUND(16499*1.05,2)</f>
        <v>17323.95</v>
      </c>
      <c r="F72" s="5" t="s">
        <v>49</v>
      </c>
      <c r="G72" s="5" t="s">
        <v>18</v>
      </c>
      <c r="H72" s="5" t="n">
        <f aca="true">ROUND(RAND()*4+6,1)</f>
        <v>8.8</v>
      </c>
      <c r="I72" s="5" t="s">
        <v>19</v>
      </c>
      <c r="J72" s="5" t="str">
        <f aca="false">ROUND(74*1,0)&amp;"%"</f>
        <v>74%</v>
      </c>
    </row>
    <row r="73" customFormat="false" ht="15" hidden="false" customHeight="false" outlineLevel="0" collapsed="false">
      <c r="A73" s="6" t="s">
        <v>13644</v>
      </c>
      <c r="B73" s="6" t="s">
        <v>147</v>
      </c>
      <c r="C73" s="6" t="s">
        <v>133</v>
      </c>
      <c r="D73" s="6" t="s">
        <v>22</v>
      </c>
      <c r="E73" s="6" t="n">
        <f aca="false">ROUND(4303*1.05,2)</f>
        <v>4518.15</v>
      </c>
      <c r="F73" s="6" t="s">
        <v>52</v>
      </c>
      <c r="G73" s="6" t="s">
        <v>24</v>
      </c>
      <c r="H73" s="6" t="n">
        <f aca="true">ROUND(RAND()*4+6,1)</f>
        <v>7.3</v>
      </c>
      <c r="I73" s="6" t="s">
        <v>25</v>
      </c>
      <c r="J73" s="6" t="str">
        <f aca="false">ROUND(66*1,0)&amp;"%"</f>
        <v>66%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13645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13646</v>
      </c>
      <c r="B78" s="5" t="s">
        <v>151</v>
      </c>
      <c r="C78" s="5" t="s">
        <v>152</v>
      </c>
      <c r="D78" s="5" t="s">
        <v>16</v>
      </c>
      <c r="E78" s="5" t="n">
        <f aca="false">ROUND(12657*1.05,2)</f>
        <v>13289.85</v>
      </c>
      <c r="F78" s="5" t="s">
        <v>17</v>
      </c>
      <c r="G78" s="5" t="s">
        <v>18</v>
      </c>
      <c r="H78" s="5" t="n">
        <f aca="true">ROUND(RAND()*4+6,1)</f>
        <v>9.1</v>
      </c>
      <c r="I78" s="5" t="s">
        <v>19</v>
      </c>
      <c r="J78" s="5" t="str">
        <f aca="false">ROUND(67*1,0)&amp;"%"</f>
        <v>67%</v>
      </c>
    </row>
    <row r="79" customFormat="false" ht="15" hidden="false" customHeight="false" outlineLevel="0" collapsed="false">
      <c r="A79" s="6" t="s">
        <v>13647</v>
      </c>
      <c r="B79" s="6" t="s">
        <v>154</v>
      </c>
      <c r="C79" s="6" t="s">
        <v>152</v>
      </c>
      <c r="D79" s="6" t="s">
        <v>22</v>
      </c>
      <c r="E79" s="6" t="n">
        <f aca="false">ROUND(13220*1.05,2)</f>
        <v>13881</v>
      </c>
      <c r="F79" s="6" t="s">
        <v>23</v>
      </c>
      <c r="G79" s="6" t="s">
        <v>24</v>
      </c>
      <c r="H79" s="6" t="n">
        <f aca="true">ROUND(RAND()*4+6,1)</f>
        <v>7.1</v>
      </c>
      <c r="I79" s="6" t="s">
        <v>25</v>
      </c>
      <c r="J79" s="6" t="str">
        <f aca="false">ROUND(73*1,0)&amp;"%"</f>
        <v>73%</v>
      </c>
    </row>
    <row r="80" customFormat="false" ht="15" hidden="false" customHeight="false" outlineLevel="0" collapsed="false">
      <c r="A80" s="5" t="s">
        <v>13648</v>
      </c>
      <c r="B80" s="5" t="s">
        <v>156</v>
      </c>
      <c r="C80" s="5" t="s">
        <v>152</v>
      </c>
      <c r="D80" s="5" t="s">
        <v>28</v>
      </c>
      <c r="E80" s="5" t="n">
        <f aca="false">ROUND(6669*1.05,2)</f>
        <v>7002.45</v>
      </c>
      <c r="F80" s="5" t="s">
        <v>29</v>
      </c>
      <c r="G80" s="5" t="s">
        <v>30</v>
      </c>
      <c r="H80" s="5" t="n">
        <f aca="true">ROUND(RAND()*4+6,1)</f>
        <v>10</v>
      </c>
      <c r="I80" s="5" t="s">
        <v>31</v>
      </c>
      <c r="J80" s="5" t="str">
        <f aca="false">ROUND(86*1,0)&amp;"%"</f>
        <v>86%</v>
      </c>
    </row>
    <row r="81" customFormat="false" ht="15" hidden="false" customHeight="false" outlineLevel="0" collapsed="false">
      <c r="A81" s="6" t="s">
        <v>13649</v>
      </c>
      <c r="B81" s="6" t="s">
        <v>158</v>
      </c>
      <c r="C81" s="6" t="s">
        <v>152</v>
      </c>
      <c r="D81" s="6" t="s">
        <v>34</v>
      </c>
      <c r="E81" s="6" t="n">
        <f aca="false">ROUND(10478*1.05,2)</f>
        <v>11001.9</v>
      </c>
      <c r="F81" s="6" t="s">
        <v>35</v>
      </c>
      <c r="G81" s="6" t="s">
        <v>18</v>
      </c>
      <c r="H81" s="6" t="n">
        <f aca="true">ROUND(RAND()*4+6,1)</f>
        <v>9.5</v>
      </c>
      <c r="I81" s="6" t="s">
        <v>36</v>
      </c>
      <c r="J81" s="6" t="str">
        <f aca="false">ROUND(65*1,0)&amp;"%"</f>
        <v>65%</v>
      </c>
    </row>
    <row r="82" customFormat="false" ht="15" hidden="false" customHeight="false" outlineLevel="0" collapsed="false">
      <c r="A82" s="5" t="s">
        <v>13650</v>
      </c>
      <c r="B82" s="5" t="s">
        <v>160</v>
      </c>
      <c r="C82" s="5" t="s">
        <v>152</v>
      </c>
      <c r="D82" s="5" t="s">
        <v>39</v>
      </c>
      <c r="E82" s="5" t="n">
        <f aca="false">ROUND(16199*1.05,2)</f>
        <v>17008.95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ROUND(63*1,0)&amp;"%"</f>
        <v>63%</v>
      </c>
    </row>
    <row r="83" customFormat="false" ht="15" hidden="false" customHeight="false" outlineLevel="0" collapsed="false">
      <c r="A83" s="6" t="s">
        <v>13651</v>
      </c>
      <c r="B83" s="6" t="s">
        <v>162</v>
      </c>
      <c r="C83" s="6" t="s">
        <v>152</v>
      </c>
      <c r="D83" s="6" t="s">
        <v>44</v>
      </c>
      <c r="E83" s="6" t="n">
        <f aca="false">ROUND(13360*1.05,2)</f>
        <v>14028</v>
      </c>
      <c r="F83" s="6" t="s">
        <v>45</v>
      </c>
      <c r="G83" s="6" t="s">
        <v>30</v>
      </c>
      <c r="H83" s="6" t="n">
        <f aca="true">ROUND(RAND()*4+6,1)</f>
        <v>6.5</v>
      </c>
      <c r="I83" s="6" t="s">
        <v>46</v>
      </c>
      <c r="J83" s="6" t="str">
        <f aca="false">ROUND(68*1,0)&amp;"%"</f>
        <v>68%</v>
      </c>
    </row>
    <row r="84" customFormat="false" ht="15" hidden="false" customHeight="false" outlineLevel="0" collapsed="false">
      <c r="A84" s="5" t="s">
        <v>13652</v>
      </c>
      <c r="B84" s="5" t="s">
        <v>164</v>
      </c>
      <c r="C84" s="5" t="s">
        <v>152</v>
      </c>
      <c r="D84" s="5" t="s">
        <v>16</v>
      </c>
      <c r="E84" s="5" t="n">
        <f aca="false">ROUND(5727*1.05,2)</f>
        <v>6013.35</v>
      </c>
      <c r="F84" s="5" t="s">
        <v>49</v>
      </c>
      <c r="G84" s="5" t="s">
        <v>18</v>
      </c>
      <c r="H84" s="5" t="n">
        <f aca="true">ROUND(RAND()*4+6,1)</f>
        <v>7.5</v>
      </c>
      <c r="I84" s="5" t="s">
        <v>19</v>
      </c>
      <c r="J84" s="5" t="str">
        <f aca="false">ROUND(86*1,0)&amp;"%"</f>
        <v>86%</v>
      </c>
    </row>
    <row r="85" customFormat="false" ht="15" hidden="false" customHeight="false" outlineLevel="0" collapsed="false">
      <c r="A85" s="6" t="s">
        <v>13653</v>
      </c>
      <c r="B85" s="6" t="s">
        <v>166</v>
      </c>
      <c r="C85" s="6" t="s">
        <v>152</v>
      </c>
      <c r="D85" s="6" t="s">
        <v>22</v>
      </c>
      <c r="E85" s="6" t="n">
        <f aca="false">ROUND(7106*1.05,2)</f>
        <v>7461.3</v>
      </c>
      <c r="F85" s="6" t="s">
        <v>52</v>
      </c>
      <c r="G85" s="6" t="s">
        <v>24</v>
      </c>
      <c r="H85" s="6" t="n">
        <f aca="true">ROUND(RAND()*4+6,1)</f>
        <v>9.8</v>
      </c>
      <c r="I85" s="6" t="s">
        <v>25</v>
      </c>
      <c r="J85" s="6" t="str">
        <f aca="false">ROUND(80*1,0)&amp;"%"</f>
        <v>80%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13654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13655</v>
      </c>
      <c r="B90" s="5" t="s">
        <v>170</v>
      </c>
      <c r="C90" s="5" t="s">
        <v>15</v>
      </c>
      <c r="D90" s="5" t="s">
        <v>16</v>
      </c>
      <c r="E90" s="5" t="n">
        <f aca="false">ROUND(4717*1.05,2)</f>
        <v>4952.85</v>
      </c>
      <c r="F90" s="5" t="s">
        <v>17</v>
      </c>
      <c r="G90" s="5" t="s">
        <v>18</v>
      </c>
      <c r="H90" s="5" t="n">
        <f aca="true">ROUND(RAND()*4+6,1)</f>
        <v>6.5</v>
      </c>
      <c r="I90" s="5" t="s">
        <v>19</v>
      </c>
      <c r="J90" s="5" t="str">
        <f aca="false">ROUND(97*1,0)&amp;"%"</f>
        <v>97%</v>
      </c>
    </row>
    <row r="91" customFormat="false" ht="15" hidden="false" customHeight="false" outlineLevel="0" collapsed="false">
      <c r="A91" s="6" t="s">
        <v>13656</v>
      </c>
      <c r="B91" s="6" t="s">
        <v>172</v>
      </c>
      <c r="C91" s="6" t="s">
        <v>15</v>
      </c>
      <c r="D91" s="6" t="s">
        <v>22</v>
      </c>
      <c r="E91" s="6" t="n">
        <f aca="false">ROUND(12213*1.05,2)</f>
        <v>12823.65</v>
      </c>
      <c r="F91" s="6" t="s">
        <v>23</v>
      </c>
      <c r="G91" s="6" t="s">
        <v>24</v>
      </c>
      <c r="H91" s="6" t="n">
        <f aca="true">ROUND(RAND()*4+6,1)</f>
        <v>9.6</v>
      </c>
      <c r="I91" s="6" t="s">
        <v>25</v>
      </c>
      <c r="J91" s="6" t="str">
        <f aca="false">ROUND(72*1,0)&amp;"%"</f>
        <v>72%</v>
      </c>
    </row>
    <row r="92" customFormat="false" ht="15" hidden="false" customHeight="false" outlineLevel="0" collapsed="false">
      <c r="A92" s="5" t="s">
        <v>13657</v>
      </c>
      <c r="B92" s="5" t="s">
        <v>174</v>
      </c>
      <c r="C92" s="5" t="s">
        <v>15</v>
      </c>
      <c r="D92" s="5" t="s">
        <v>28</v>
      </c>
      <c r="E92" s="5" t="n">
        <f aca="false">ROUND(6525*1.05,2)</f>
        <v>6851.25</v>
      </c>
      <c r="F92" s="5" t="s">
        <v>29</v>
      </c>
      <c r="G92" s="5" t="s">
        <v>30</v>
      </c>
      <c r="H92" s="5" t="n">
        <f aca="true">ROUND(RAND()*4+6,1)</f>
        <v>7.3</v>
      </c>
      <c r="I92" s="5" t="s">
        <v>31</v>
      </c>
      <c r="J92" s="5" t="str">
        <f aca="false">ROUND(93*1,0)&amp;"%"</f>
        <v>93%</v>
      </c>
    </row>
    <row r="93" customFormat="false" ht="15" hidden="false" customHeight="false" outlineLevel="0" collapsed="false">
      <c r="A93" s="6" t="s">
        <v>13658</v>
      </c>
      <c r="B93" s="6" t="s">
        <v>176</v>
      </c>
      <c r="C93" s="6" t="s">
        <v>15</v>
      </c>
      <c r="D93" s="6" t="s">
        <v>34</v>
      </c>
      <c r="E93" s="6" t="n">
        <f aca="false">ROUND(14389*1.05,2)</f>
        <v>15108.45</v>
      </c>
      <c r="F93" s="6" t="s">
        <v>35</v>
      </c>
      <c r="G93" s="6" t="s">
        <v>18</v>
      </c>
      <c r="H93" s="6" t="n">
        <f aca="true">ROUND(RAND()*4+6,1)</f>
        <v>7.6</v>
      </c>
      <c r="I93" s="6" t="s">
        <v>36</v>
      </c>
      <c r="J93" s="6" t="str">
        <f aca="false">ROUND(71*1,0)&amp;"%"</f>
        <v>71%</v>
      </c>
    </row>
    <row r="94" customFormat="false" ht="15" hidden="false" customHeight="false" outlineLevel="0" collapsed="false">
      <c r="A94" s="5" t="s">
        <v>13659</v>
      </c>
      <c r="B94" s="5" t="s">
        <v>178</v>
      </c>
      <c r="C94" s="5" t="s">
        <v>15</v>
      </c>
      <c r="D94" s="5" t="s">
        <v>39</v>
      </c>
      <c r="E94" s="5" t="n">
        <f aca="false">ROUND(14897*1.05,2)</f>
        <v>15641.85</v>
      </c>
      <c r="F94" s="5" t="s">
        <v>40</v>
      </c>
      <c r="G94" s="5" t="s">
        <v>24</v>
      </c>
      <c r="H94" s="5" t="n">
        <f aca="true">ROUND(RAND()*4+6,1)</f>
        <v>6.3</v>
      </c>
      <c r="I94" s="5" t="s">
        <v>41</v>
      </c>
      <c r="J94" s="5" t="str">
        <f aca="false">ROUND(82*1,0)&amp;"%"</f>
        <v>82%</v>
      </c>
    </row>
    <row r="95" customFormat="false" ht="15" hidden="false" customHeight="false" outlineLevel="0" collapsed="false">
      <c r="A95" s="6" t="s">
        <v>13660</v>
      </c>
      <c r="B95" s="6" t="s">
        <v>180</v>
      </c>
      <c r="C95" s="6" t="s">
        <v>15</v>
      </c>
      <c r="D95" s="6" t="s">
        <v>44</v>
      </c>
      <c r="E95" s="6" t="n">
        <f aca="false">ROUND(8174*1.05,2)</f>
        <v>8582.7</v>
      </c>
      <c r="F95" s="6" t="s">
        <v>45</v>
      </c>
      <c r="G95" s="6" t="s">
        <v>30</v>
      </c>
      <c r="H95" s="6" t="n">
        <f aca="true">ROUND(RAND()*4+6,1)</f>
        <v>7.1</v>
      </c>
      <c r="I95" s="6" t="s">
        <v>46</v>
      </c>
      <c r="J95" s="6" t="str">
        <f aca="false">ROUND(91*1,0)&amp;"%"</f>
        <v>91%</v>
      </c>
    </row>
    <row r="96" customFormat="false" ht="15" hidden="false" customHeight="false" outlineLevel="0" collapsed="false">
      <c r="A96" s="5" t="s">
        <v>13661</v>
      </c>
      <c r="B96" s="5" t="s">
        <v>182</v>
      </c>
      <c r="C96" s="5" t="s">
        <v>15</v>
      </c>
      <c r="D96" s="5" t="s">
        <v>16</v>
      </c>
      <c r="E96" s="5" t="n">
        <f aca="false">ROUND(6977*1.05,2)</f>
        <v>7325.85</v>
      </c>
      <c r="F96" s="5" t="s">
        <v>49</v>
      </c>
      <c r="G96" s="5" t="s">
        <v>18</v>
      </c>
      <c r="H96" s="5" t="n">
        <f aca="true">ROUND(RAND()*4+6,1)</f>
        <v>8.3</v>
      </c>
      <c r="I96" s="5" t="s">
        <v>19</v>
      </c>
      <c r="J96" s="5" t="str">
        <f aca="false">ROUND(93*1,0)&amp;"%"</f>
        <v>93%</v>
      </c>
    </row>
    <row r="97" customFormat="false" ht="15" hidden="false" customHeight="false" outlineLevel="0" collapsed="false">
      <c r="A97" s="6" t="s">
        <v>13662</v>
      </c>
      <c r="B97" s="6" t="s">
        <v>184</v>
      </c>
      <c r="C97" s="6" t="s">
        <v>15</v>
      </c>
      <c r="D97" s="6" t="s">
        <v>22</v>
      </c>
      <c r="E97" s="6" t="n">
        <f aca="false">ROUND(10542*1.05,2)</f>
        <v>11069.1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ROUND(93*1,0)&amp;"%"</f>
        <v>93%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13663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13664</v>
      </c>
      <c r="B102" s="5" t="s">
        <v>188</v>
      </c>
      <c r="C102" s="5" t="s">
        <v>57</v>
      </c>
      <c r="D102" s="5" t="s">
        <v>16</v>
      </c>
      <c r="E102" s="5" t="n">
        <f aca="false">ROUND(10543*1.05,2)</f>
        <v>11070.15</v>
      </c>
      <c r="F102" s="5" t="s">
        <v>17</v>
      </c>
      <c r="G102" s="5" t="s">
        <v>18</v>
      </c>
      <c r="H102" s="5" t="n">
        <f aca="true">ROUND(RAND()*4+6,1)</f>
        <v>8.9</v>
      </c>
      <c r="I102" s="5" t="s">
        <v>19</v>
      </c>
      <c r="J102" s="5" t="str">
        <f aca="false">ROUND(88*1,0)&amp;"%"</f>
        <v>88%</v>
      </c>
    </row>
    <row r="103" customFormat="false" ht="15" hidden="false" customHeight="false" outlineLevel="0" collapsed="false">
      <c r="A103" s="6" t="s">
        <v>13665</v>
      </c>
      <c r="B103" s="6" t="s">
        <v>190</v>
      </c>
      <c r="C103" s="6" t="s">
        <v>57</v>
      </c>
      <c r="D103" s="6" t="s">
        <v>22</v>
      </c>
      <c r="E103" s="6" t="n">
        <f aca="false">ROUND(16550*1.05,2)</f>
        <v>17377.5</v>
      </c>
      <c r="F103" s="6" t="s">
        <v>23</v>
      </c>
      <c r="G103" s="6" t="s">
        <v>24</v>
      </c>
      <c r="H103" s="6" t="n">
        <f aca="true">ROUND(RAND()*4+6,1)</f>
        <v>9.5</v>
      </c>
      <c r="I103" s="6" t="s">
        <v>25</v>
      </c>
      <c r="J103" s="6" t="str">
        <f aca="false">ROUND(83*1,0)&amp;"%"</f>
        <v>83%</v>
      </c>
    </row>
    <row r="104" customFormat="false" ht="15" hidden="false" customHeight="false" outlineLevel="0" collapsed="false">
      <c r="A104" s="5" t="s">
        <v>13666</v>
      </c>
      <c r="B104" s="5" t="s">
        <v>192</v>
      </c>
      <c r="C104" s="5" t="s">
        <v>57</v>
      </c>
      <c r="D104" s="5" t="s">
        <v>28</v>
      </c>
      <c r="E104" s="5" t="n">
        <f aca="false">ROUND(12157*1.05,2)</f>
        <v>12764.85</v>
      </c>
      <c r="F104" s="5" t="s">
        <v>29</v>
      </c>
      <c r="G104" s="5" t="s">
        <v>30</v>
      </c>
      <c r="H104" s="5" t="n">
        <f aca="true">ROUND(RAND()*4+6,1)</f>
        <v>6.9</v>
      </c>
      <c r="I104" s="5" t="s">
        <v>31</v>
      </c>
      <c r="J104" s="5" t="str">
        <f aca="false">ROUND(91*1,0)&amp;"%"</f>
        <v>91%</v>
      </c>
    </row>
    <row r="105" customFormat="false" ht="15" hidden="false" customHeight="false" outlineLevel="0" collapsed="false">
      <c r="A105" s="6" t="s">
        <v>13667</v>
      </c>
      <c r="B105" s="6" t="s">
        <v>194</v>
      </c>
      <c r="C105" s="6" t="s">
        <v>57</v>
      </c>
      <c r="D105" s="6" t="s">
        <v>34</v>
      </c>
      <c r="E105" s="6" t="n">
        <f aca="false">ROUND(15049*1.05,2)</f>
        <v>15801.45</v>
      </c>
      <c r="F105" s="6" t="s">
        <v>35</v>
      </c>
      <c r="G105" s="6" t="s">
        <v>18</v>
      </c>
      <c r="H105" s="6" t="n">
        <f aca="true">ROUND(RAND()*4+6,1)</f>
        <v>6.4</v>
      </c>
      <c r="I105" s="6" t="s">
        <v>36</v>
      </c>
      <c r="J105" s="6" t="str">
        <f aca="false">ROUND(100*1,0)&amp;"%"</f>
        <v>100%</v>
      </c>
    </row>
    <row r="106" customFormat="false" ht="15" hidden="false" customHeight="false" outlineLevel="0" collapsed="false">
      <c r="A106" s="5" t="s">
        <v>13668</v>
      </c>
      <c r="B106" s="5" t="s">
        <v>196</v>
      </c>
      <c r="C106" s="5" t="s">
        <v>57</v>
      </c>
      <c r="D106" s="5" t="s">
        <v>39</v>
      </c>
      <c r="E106" s="5" t="n">
        <f aca="false">ROUND(17849*1.05,2)</f>
        <v>18741.45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ROUND(87*1,0)&amp;"%"</f>
        <v>87%</v>
      </c>
    </row>
    <row r="107" customFormat="false" ht="15" hidden="false" customHeight="false" outlineLevel="0" collapsed="false">
      <c r="A107" s="6" t="s">
        <v>13669</v>
      </c>
      <c r="B107" s="6" t="s">
        <v>198</v>
      </c>
      <c r="C107" s="6" t="s">
        <v>57</v>
      </c>
      <c r="D107" s="6" t="s">
        <v>44</v>
      </c>
      <c r="E107" s="6" t="n">
        <f aca="false">ROUND(12505*1.05,2)</f>
        <v>13130.25</v>
      </c>
      <c r="F107" s="6" t="s">
        <v>45</v>
      </c>
      <c r="G107" s="6" t="s">
        <v>30</v>
      </c>
      <c r="H107" s="6" t="n">
        <f aca="true">ROUND(RAND()*4+6,1)</f>
        <v>7.1</v>
      </c>
      <c r="I107" s="6" t="s">
        <v>46</v>
      </c>
      <c r="J107" s="6" t="str">
        <f aca="false">ROUND(72*1,0)&amp;"%"</f>
        <v>72%</v>
      </c>
    </row>
    <row r="108" customFormat="false" ht="15" hidden="false" customHeight="false" outlineLevel="0" collapsed="false">
      <c r="A108" s="5" t="s">
        <v>13670</v>
      </c>
      <c r="B108" s="5" t="s">
        <v>200</v>
      </c>
      <c r="C108" s="5" t="s">
        <v>57</v>
      </c>
      <c r="D108" s="5" t="s">
        <v>16</v>
      </c>
      <c r="E108" s="5" t="n">
        <f aca="false">ROUND(17152*1.05,2)</f>
        <v>18009.6</v>
      </c>
      <c r="F108" s="5" t="s">
        <v>49</v>
      </c>
      <c r="G108" s="5" t="s">
        <v>18</v>
      </c>
      <c r="H108" s="5" t="n">
        <f aca="true">ROUND(RAND()*4+6,1)</f>
        <v>9.9</v>
      </c>
      <c r="I108" s="5" t="s">
        <v>19</v>
      </c>
      <c r="J108" s="5" t="str">
        <f aca="false">ROUND(68*1,0)&amp;"%"</f>
        <v>68%</v>
      </c>
    </row>
    <row r="109" customFormat="false" ht="15" hidden="false" customHeight="false" outlineLevel="0" collapsed="false">
      <c r="A109" s="6" t="s">
        <v>13671</v>
      </c>
      <c r="B109" s="6" t="s">
        <v>202</v>
      </c>
      <c r="C109" s="6" t="s">
        <v>57</v>
      </c>
      <c r="D109" s="6" t="s">
        <v>22</v>
      </c>
      <c r="E109" s="6" t="n">
        <f aca="false">ROUND(8177*1.05,2)</f>
        <v>8585.85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13672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13673</v>
      </c>
      <c r="B114" s="5" t="s">
        <v>206</v>
      </c>
      <c r="C114" s="5" t="s">
        <v>76</v>
      </c>
      <c r="D114" s="5" t="s">
        <v>16</v>
      </c>
      <c r="E114" s="5" t="n">
        <f aca="false">ROUND(15567*1.05,2)</f>
        <v>16345.35</v>
      </c>
      <c r="F114" s="5" t="s">
        <v>17</v>
      </c>
      <c r="G114" s="5" t="s">
        <v>18</v>
      </c>
      <c r="H114" s="5" t="n">
        <f aca="true">ROUND(RAND()*4+6,1)</f>
        <v>9.2</v>
      </c>
      <c r="I114" s="5" t="s">
        <v>19</v>
      </c>
      <c r="J114" s="5" t="str">
        <f aca="false">ROUND(69*1,0)&amp;"%"</f>
        <v>69%</v>
      </c>
    </row>
    <row r="115" customFormat="false" ht="15" hidden="false" customHeight="false" outlineLevel="0" collapsed="false">
      <c r="A115" s="6" t="s">
        <v>13674</v>
      </c>
      <c r="B115" s="6" t="s">
        <v>208</v>
      </c>
      <c r="C115" s="6" t="s">
        <v>76</v>
      </c>
      <c r="D115" s="6" t="s">
        <v>22</v>
      </c>
      <c r="E115" s="6" t="n">
        <f aca="false">ROUND(17326*1.05,2)</f>
        <v>18192.3</v>
      </c>
      <c r="F115" s="6" t="s">
        <v>23</v>
      </c>
      <c r="G115" s="6" t="s">
        <v>24</v>
      </c>
      <c r="H115" s="6" t="n">
        <f aca="true">ROUND(RAND()*4+6,1)</f>
        <v>7.3</v>
      </c>
      <c r="I115" s="6" t="s">
        <v>25</v>
      </c>
      <c r="J115" s="6" t="str">
        <f aca="false">ROUND(92*1,0)&amp;"%"</f>
        <v>92%</v>
      </c>
    </row>
    <row r="116" customFormat="false" ht="15" hidden="false" customHeight="false" outlineLevel="0" collapsed="false">
      <c r="A116" s="5" t="s">
        <v>13675</v>
      </c>
      <c r="B116" s="5" t="s">
        <v>210</v>
      </c>
      <c r="C116" s="5" t="s">
        <v>76</v>
      </c>
      <c r="D116" s="5" t="s">
        <v>28</v>
      </c>
      <c r="E116" s="5" t="n">
        <f aca="false">ROUND(13447*1.05,2)</f>
        <v>14119.35</v>
      </c>
      <c r="F116" s="5" t="s">
        <v>29</v>
      </c>
      <c r="G116" s="5" t="s">
        <v>30</v>
      </c>
      <c r="H116" s="5" t="n">
        <f aca="true">ROUND(RAND()*4+6,1)</f>
        <v>8.9</v>
      </c>
      <c r="I116" s="5" t="s">
        <v>31</v>
      </c>
      <c r="J116" s="5" t="str">
        <f aca="false">ROUND(68*1,0)&amp;"%"</f>
        <v>68%</v>
      </c>
    </row>
    <row r="117" customFormat="false" ht="15" hidden="false" customHeight="false" outlineLevel="0" collapsed="false">
      <c r="A117" s="6" t="s">
        <v>13676</v>
      </c>
      <c r="B117" s="6" t="s">
        <v>212</v>
      </c>
      <c r="C117" s="6" t="s">
        <v>76</v>
      </c>
      <c r="D117" s="6" t="s">
        <v>34</v>
      </c>
      <c r="E117" s="6" t="n">
        <f aca="false">ROUND(6966*1.05,2)</f>
        <v>7314.3</v>
      </c>
      <c r="F117" s="6" t="s">
        <v>35</v>
      </c>
      <c r="G117" s="6" t="s">
        <v>18</v>
      </c>
      <c r="H117" s="6" t="n">
        <f aca="true">ROUND(RAND()*4+6,1)</f>
        <v>6.1</v>
      </c>
      <c r="I117" s="6" t="s">
        <v>36</v>
      </c>
      <c r="J117" s="6" t="str">
        <f aca="false">ROUND(91*1,0)&amp;"%"</f>
        <v>91%</v>
      </c>
    </row>
    <row r="118" customFormat="false" ht="15" hidden="false" customHeight="false" outlineLevel="0" collapsed="false">
      <c r="A118" s="5" t="s">
        <v>13677</v>
      </c>
      <c r="B118" s="5" t="s">
        <v>214</v>
      </c>
      <c r="C118" s="5" t="s">
        <v>76</v>
      </c>
      <c r="D118" s="5" t="s">
        <v>39</v>
      </c>
      <c r="E118" s="5" t="n">
        <f aca="false">ROUND(12162*1.05,2)</f>
        <v>12770.1</v>
      </c>
      <c r="F118" s="5" t="s">
        <v>40</v>
      </c>
      <c r="G118" s="5" t="s">
        <v>24</v>
      </c>
      <c r="H118" s="5" t="n">
        <f aca="true">ROUND(RAND()*4+6,1)</f>
        <v>6.5</v>
      </c>
      <c r="I118" s="5" t="s">
        <v>41</v>
      </c>
      <c r="J118" s="5" t="str">
        <f aca="false">ROUND(71*1,0)&amp;"%"</f>
        <v>71%</v>
      </c>
    </row>
    <row r="119" customFormat="false" ht="15" hidden="false" customHeight="false" outlineLevel="0" collapsed="false">
      <c r="A119" s="6" t="s">
        <v>13678</v>
      </c>
      <c r="B119" s="6" t="s">
        <v>216</v>
      </c>
      <c r="C119" s="6" t="s">
        <v>76</v>
      </c>
      <c r="D119" s="6" t="s">
        <v>44</v>
      </c>
      <c r="E119" s="6" t="n">
        <f aca="false">ROUND(17638*1.05,2)</f>
        <v>18519.9</v>
      </c>
      <c r="F119" s="6" t="s">
        <v>45</v>
      </c>
      <c r="G119" s="6" t="s">
        <v>30</v>
      </c>
      <c r="H119" s="6" t="n">
        <f aca="true">ROUND(RAND()*4+6,1)</f>
        <v>8</v>
      </c>
      <c r="I119" s="6" t="s">
        <v>46</v>
      </c>
      <c r="J119" s="6" t="str">
        <f aca="false">ROUND(100*1,0)&amp;"%"</f>
        <v>100%</v>
      </c>
    </row>
    <row r="120" customFormat="false" ht="15" hidden="false" customHeight="false" outlineLevel="0" collapsed="false">
      <c r="A120" s="5" t="s">
        <v>13679</v>
      </c>
      <c r="B120" s="5" t="s">
        <v>218</v>
      </c>
      <c r="C120" s="5" t="s">
        <v>76</v>
      </c>
      <c r="D120" s="5" t="s">
        <v>16</v>
      </c>
      <c r="E120" s="5" t="n">
        <f aca="false">ROUND(8159*1.05,2)</f>
        <v>8566.95</v>
      </c>
      <c r="F120" s="5" t="s">
        <v>49</v>
      </c>
      <c r="G120" s="5" t="s">
        <v>18</v>
      </c>
      <c r="H120" s="5" t="n">
        <f aca="true">ROUND(RAND()*4+6,1)</f>
        <v>8.7</v>
      </c>
      <c r="I120" s="5" t="s">
        <v>19</v>
      </c>
      <c r="J120" s="5" t="str">
        <f aca="false">ROUND(75*1,0)&amp;"%"</f>
        <v>75%</v>
      </c>
    </row>
    <row r="121" customFormat="false" ht="15" hidden="false" customHeight="false" outlineLevel="0" collapsed="false">
      <c r="A121" s="6" t="s">
        <v>13680</v>
      </c>
      <c r="B121" s="6" t="s">
        <v>220</v>
      </c>
      <c r="C121" s="6" t="s">
        <v>76</v>
      </c>
      <c r="D121" s="6" t="s">
        <v>22</v>
      </c>
      <c r="E121" s="6" t="n">
        <f aca="false">ROUND(10440*1.05,2)</f>
        <v>10962</v>
      </c>
      <c r="F121" s="6" t="s">
        <v>52</v>
      </c>
      <c r="G121" s="6" t="s">
        <v>24</v>
      </c>
      <c r="H121" s="6" t="n">
        <f aca="true">ROUND(RAND()*4+6,1)</f>
        <v>6.4</v>
      </c>
      <c r="I121" s="6" t="s">
        <v>25</v>
      </c>
      <c r="J121" s="6" t="str">
        <f aca="false">ROUND(96*1,0)&amp;"%"</f>
        <v>96%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13681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13682</v>
      </c>
      <c r="B126" s="5" t="s">
        <v>224</v>
      </c>
      <c r="C126" s="5" t="s">
        <v>95</v>
      </c>
      <c r="D126" s="5" t="s">
        <v>16</v>
      </c>
      <c r="E126" s="5" t="n">
        <f aca="false">ROUND(7076*1.05,2)</f>
        <v>7429.8</v>
      </c>
      <c r="F126" s="5" t="s">
        <v>17</v>
      </c>
      <c r="G126" s="5" t="s">
        <v>18</v>
      </c>
      <c r="H126" s="5" t="n">
        <f aca="true">ROUND(RAND()*4+6,1)</f>
        <v>7.7</v>
      </c>
      <c r="I126" s="5" t="s">
        <v>19</v>
      </c>
      <c r="J126" s="5" t="str">
        <f aca="false">ROUND(67*1,0)&amp;"%"</f>
        <v>67%</v>
      </c>
    </row>
    <row r="127" customFormat="false" ht="15" hidden="false" customHeight="false" outlineLevel="0" collapsed="false">
      <c r="A127" s="6" t="s">
        <v>13683</v>
      </c>
      <c r="B127" s="6" t="s">
        <v>226</v>
      </c>
      <c r="C127" s="6" t="s">
        <v>95</v>
      </c>
      <c r="D127" s="6" t="s">
        <v>22</v>
      </c>
      <c r="E127" s="6" t="n">
        <f aca="false">ROUND(11510*1.05,2)</f>
        <v>12085.5</v>
      </c>
      <c r="F127" s="6" t="s">
        <v>23</v>
      </c>
      <c r="G127" s="6" t="s">
        <v>24</v>
      </c>
      <c r="H127" s="6" t="n">
        <f aca="true">ROUND(RAND()*4+6,1)</f>
        <v>7.6</v>
      </c>
      <c r="I127" s="6" t="s">
        <v>25</v>
      </c>
      <c r="J127" s="6" t="str">
        <f aca="false">ROUND(66*1,0)&amp;"%"</f>
        <v>66%</v>
      </c>
    </row>
    <row r="128" customFormat="false" ht="15" hidden="false" customHeight="false" outlineLevel="0" collapsed="false">
      <c r="A128" s="5" t="s">
        <v>13684</v>
      </c>
      <c r="B128" s="5" t="s">
        <v>228</v>
      </c>
      <c r="C128" s="5" t="s">
        <v>95</v>
      </c>
      <c r="D128" s="5" t="s">
        <v>28</v>
      </c>
      <c r="E128" s="5" t="n">
        <f aca="false">ROUND(6881*1.05,2)</f>
        <v>7225.05</v>
      </c>
      <c r="F128" s="5" t="s">
        <v>29</v>
      </c>
      <c r="G128" s="5" t="s">
        <v>30</v>
      </c>
      <c r="H128" s="5" t="n">
        <f aca="true">ROUND(RAND()*4+6,1)</f>
        <v>6.2</v>
      </c>
      <c r="I128" s="5" t="s">
        <v>31</v>
      </c>
      <c r="J128" s="5" t="str">
        <f aca="false">ROUND(67*1,0)&amp;"%"</f>
        <v>67%</v>
      </c>
    </row>
    <row r="129" customFormat="false" ht="15" hidden="false" customHeight="false" outlineLevel="0" collapsed="false">
      <c r="A129" s="6" t="s">
        <v>13685</v>
      </c>
      <c r="B129" s="6" t="s">
        <v>230</v>
      </c>
      <c r="C129" s="6" t="s">
        <v>95</v>
      </c>
      <c r="D129" s="6" t="s">
        <v>34</v>
      </c>
      <c r="E129" s="6" t="n">
        <f aca="false">ROUND(17744*1.05,2)</f>
        <v>18631.2</v>
      </c>
      <c r="F129" s="6" t="s">
        <v>35</v>
      </c>
      <c r="G129" s="6" t="s">
        <v>18</v>
      </c>
      <c r="H129" s="6" t="n">
        <f aca="true">ROUND(RAND()*4+6,1)</f>
        <v>6.5</v>
      </c>
      <c r="I129" s="6" t="s">
        <v>36</v>
      </c>
      <c r="J129" s="6" t="str">
        <f aca="false">ROUND(79*1,0)&amp;"%"</f>
        <v>79%</v>
      </c>
    </row>
    <row r="130" customFormat="false" ht="15" hidden="false" customHeight="false" outlineLevel="0" collapsed="false">
      <c r="A130" s="5" t="s">
        <v>13686</v>
      </c>
      <c r="B130" s="5" t="s">
        <v>232</v>
      </c>
      <c r="C130" s="5" t="s">
        <v>95</v>
      </c>
      <c r="D130" s="5" t="s">
        <v>39</v>
      </c>
      <c r="E130" s="5" t="n">
        <f aca="false">ROUND(17848*1.05,2)</f>
        <v>18740.4</v>
      </c>
      <c r="F130" s="5" t="s">
        <v>40</v>
      </c>
      <c r="G130" s="5" t="s">
        <v>24</v>
      </c>
      <c r="H130" s="5" t="n">
        <f aca="true">ROUND(RAND()*4+6,1)</f>
        <v>6</v>
      </c>
      <c r="I130" s="5" t="s">
        <v>41</v>
      </c>
      <c r="J130" s="5" t="str">
        <f aca="false">ROUND(69*1,0)&amp;"%"</f>
        <v>69%</v>
      </c>
    </row>
    <row r="131" customFormat="false" ht="15" hidden="false" customHeight="false" outlineLevel="0" collapsed="false">
      <c r="A131" s="6" t="s">
        <v>13687</v>
      </c>
      <c r="B131" s="6" t="s">
        <v>234</v>
      </c>
      <c r="C131" s="6" t="s">
        <v>95</v>
      </c>
      <c r="D131" s="6" t="s">
        <v>44</v>
      </c>
      <c r="E131" s="6" t="n">
        <f aca="false">ROUND(4007*1.05,2)</f>
        <v>4207.35</v>
      </c>
      <c r="F131" s="6" t="s">
        <v>45</v>
      </c>
      <c r="G131" s="6" t="s">
        <v>30</v>
      </c>
      <c r="H131" s="6" t="n">
        <f aca="true">ROUND(RAND()*4+6,1)</f>
        <v>7.8</v>
      </c>
      <c r="I131" s="6" t="s">
        <v>46</v>
      </c>
      <c r="J131" s="6" t="str">
        <f aca="false">ROUND(97*1,0)&amp;"%"</f>
        <v>97%</v>
      </c>
    </row>
    <row r="132" customFormat="false" ht="15" hidden="false" customHeight="false" outlineLevel="0" collapsed="false">
      <c r="A132" s="5" t="s">
        <v>13688</v>
      </c>
      <c r="B132" s="5" t="s">
        <v>236</v>
      </c>
      <c r="C132" s="5" t="s">
        <v>95</v>
      </c>
      <c r="D132" s="5" t="s">
        <v>16</v>
      </c>
      <c r="E132" s="5" t="n">
        <f aca="false">ROUND(14903*1.05,2)</f>
        <v>15648.15</v>
      </c>
      <c r="F132" s="5" t="s">
        <v>49</v>
      </c>
      <c r="G132" s="5" t="s">
        <v>18</v>
      </c>
      <c r="H132" s="5" t="n">
        <f aca="true">ROUND(RAND()*4+6,1)</f>
        <v>7.8</v>
      </c>
      <c r="I132" s="5" t="s">
        <v>19</v>
      </c>
      <c r="J132" s="5" t="str">
        <f aca="false">ROUND(79*1,0)&amp;"%"</f>
        <v>79%</v>
      </c>
    </row>
    <row r="133" customFormat="false" ht="15" hidden="false" customHeight="false" outlineLevel="0" collapsed="false">
      <c r="A133" s="6" t="s">
        <v>13689</v>
      </c>
      <c r="B133" s="6" t="s">
        <v>238</v>
      </c>
      <c r="C133" s="6" t="s">
        <v>95</v>
      </c>
      <c r="D133" s="6" t="s">
        <v>22</v>
      </c>
      <c r="E133" s="6" t="n">
        <f aca="false">ROUND(13664*1.05,2)</f>
        <v>14347.2</v>
      </c>
      <c r="F133" s="6" t="s">
        <v>52</v>
      </c>
      <c r="G133" s="6" t="s">
        <v>24</v>
      </c>
      <c r="H133" s="6" t="n">
        <f aca="true">ROUND(RAND()*4+6,1)</f>
        <v>7</v>
      </c>
      <c r="I133" s="6" t="s">
        <v>25</v>
      </c>
      <c r="J133" s="6" t="str">
        <f aca="false">ROUND(84*1,0)&amp;"%"</f>
        <v>84%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13690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13691</v>
      </c>
      <c r="B138" s="5" t="s">
        <v>242</v>
      </c>
      <c r="C138" s="5" t="s">
        <v>114</v>
      </c>
      <c r="D138" s="5" t="s">
        <v>16</v>
      </c>
      <c r="E138" s="5" t="n">
        <f aca="false">ROUND(10992*1.05,2)</f>
        <v>11541.6</v>
      </c>
      <c r="F138" s="5" t="s">
        <v>17</v>
      </c>
      <c r="G138" s="5" t="s">
        <v>18</v>
      </c>
      <c r="H138" s="5" t="n">
        <f aca="true">ROUND(RAND()*4+6,1)</f>
        <v>7.7</v>
      </c>
      <c r="I138" s="5" t="s">
        <v>19</v>
      </c>
      <c r="J138" s="5" t="str">
        <f aca="false">ROUND(73*1,0)&amp;"%"</f>
        <v>73%</v>
      </c>
    </row>
    <row r="139" customFormat="false" ht="15" hidden="false" customHeight="false" outlineLevel="0" collapsed="false">
      <c r="A139" s="6" t="s">
        <v>13692</v>
      </c>
      <c r="B139" s="6" t="s">
        <v>244</v>
      </c>
      <c r="C139" s="6" t="s">
        <v>114</v>
      </c>
      <c r="D139" s="6" t="s">
        <v>22</v>
      </c>
      <c r="E139" s="6" t="n">
        <f aca="false">ROUND(17058*1.05,2)</f>
        <v>17910.9</v>
      </c>
      <c r="F139" s="6" t="s">
        <v>23</v>
      </c>
      <c r="G139" s="6" t="s">
        <v>24</v>
      </c>
      <c r="H139" s="6" t="n">
        <f aca="true">ROUND(RAND()*4+6,1)</f>
        <v>6.6</v>
      </c>
      <c r="I139" s="6" t="s">
        <v>25</v>
      </c>
      <c r="J139" s="6" t="str">
        <f aca="false">ROUND(99*1,0)&amp;"%"</f>
        <v>99%</v>
      </c>
    </row>
    <row r="140" customFormat="false" ht="15" hidden="false" customHeight="false" outlineLevel="0" collapsed="false">
      <c r="A140" s="5" t="s">
        <v>13693</v>
      </c>
      <c r="B140" s="5" t="s">
        <v>246</v>
      </c>
      <c r="C140" s="5" t="s">
        <v>114</v>
      </c>
      <c r="D140" s="5" t="s">
        <v>28</v>
      </c>
      <c r="E140" s="5" t="n">
        <f aca="false">ROUND(12771*1.05,2)</f>
        <v>13409.55</v>
      </c>
      <c r="F140" s="5" t="s">
        <v>29</v>
      </c>
      <c r="G140" s="5" t="s">
        <v>30</v>
      </c>
      <c r="H140" s="5" t="n">
        <f aca="true">ROUND(RAND()*4+6,1)</f>
        <v>6.8</v>
      </c>
      <c r="I140" s="5" t="s">
        <v>31</v>
      </c>
      <c r="J140" s="5" t="str">
        <f aca="false">ROUND(91*1,0)&amp;"%"</f>
        <v>91%</v>
      </c>
    </row>
    <row r="141" customFormat="false" ht="15" hidden="false" customHeight="false" outlineLevel="0" collapsed="false">
      <c r="A141" s="6" t="s">
        <v>13694</v>
      </c>
      <c r="B141" s="6" t="s">
        <v>248</v>
      </c>
      <c r="C141" s="6" t="s">
        <v>114</v>
      </c>
      <c r="D141" s="6" t="s">
        <v>34</v>
      </c>
      <c r="E141" s="6" t="n">
        <f aca="false">ROUND(9426*1.05,2)</f>
        <v>9897.3</v>
      </c>
      <c r="F141" s="6" t="s">
        <v>35</v>
      </c>
      <c r="G141" s="6" t="s">
        <v>18</v>
      </c>
      <c r="H141" s="6" t="n">
        <f aca="true">ROUND(RAND()*4+6,1)</f>
        <v>8.6</v>
      </c>
      <c r="I141" s="6" t="s">
        <v>36</v>
      </c>
      <c r="J141" s="6" t="str">
        <f aca="false">ROUND(74*1,0)&amp;"%"</f>
        <v>74%</v>
      </c>
    </row>
    <row r="142" customFormat="false" ht="15" hidden="false" customHeight="false" outlineLevel="0" collapsed="false">
      <c r="A142" s="5" t="s">
        <v>13695</v>
      </c>
      <c r="B142" s="5" t="s">
        <v>250</v>
      </c>
      <c r="C142" s="5" t="s">
        <v>114</v>
      </c>
      <c r="D142" s="5" t="s">
        <v>39</v>
      </c>
      <c r="E142" s="5" t="n">
        <f aca="false">ROUND(17211*1.05,2)</f>
        <v>18071.55</v>
      </c>
      <c r="F142" s="5" t="s">
        <v>40</v>
      </c>
      <c r="G142" s="5" t="s">
        <v>24</v>
      </c>
      <c r="H142" s="5" t="n">
        <f aca="true">ROUND(RAND()*4+6,1)</f>
        <v>8.8</v>
      </c>
      <c r="I142" s="5" t="s">
        <v>41</v>
      </c>
      <c r="J142" s="5" t="str">
        <f aca="false">ROUND(73*1,0)&amp;"%"</f>
        <v>73%</v>
      </c>
    </row>
    <row r="143" customFormat="false" ht="15" hidden="false" customHeight="false" outlineLevel="0" collapsed="false">
      <c r="A143" s="6" t="s">
        <v>13696</v>
      </c>
      <c r="B143" s="6" t="s">
        <v>252</v>
      </c>
      <c r="C143" s="6" t="s">
        <v>114</v>
      </c>
      <c r="D143" s="6" t="s">
        <v>44</v>
      </c>
      <c r="E143" s="6" t="n">
        <f aca="false">ROUND(16865*1.05,2)</f>
        <v>17708.25</v>
      </c>
      <c r="F143" s="6" t="s">
        <v>45</v>
      </c>
      <c r="G143" s="6" t="s">
        <v>30</v>
      </c>
      <c r="H143" s="6" t="n">
        <f aca="true">ROUND(RAND()*4+6,1)</f>
        <v>7.5</v>
      </c>
      <c r="I143" s="6" t="s">
        <v>46</v>
      </c>
      <c r="J143" s="6" t="str">
        <f aca="false">ROUND(66*1,0)&amp;"%"</f>
        <v>66%</v>
      </c>
    </row>
    <row r="144" customFormat="false" ht="15" hidden="false" customHeight="false" outlineLevel="0" collapsed="false">
      <c r="A144" s="5" t="s">
        <v>13697</v>
      </c>
      <c r="B144" s="5" t="s">
        <v>254</v>
      </c>
      <c r="C144" s="5" t="s">
        <v>114</v>
      </c>
      <c r="D144" s="5" t="s">
        <v>16</v>
      </c>
      <c r="E144" s="5" t="n">
        <f aca="false">ROUND(15953*1.05,2)</f>
        <v>16750.65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ROUND(87*1,0)&amp;"%"</f>
        <v>87%</v>
      </c>
    </row>
    <row r="145" customFormat="false" ht="15" hidden="false" customHeight="false" outlineLevel="0" collapsed="false">
      <c r="A145" s="6" t="s">
        <v>13698</v>
      </c>
      <c r="B145" s="6" t="s">
        <v>256</v>
      </c>
      <c r="C145" s="6" t="s">
        <v>114</v>
      </c>
      <c r="D145" s="6" t="s">
        <v>22</v>
      </c>
      <c r="E145" s="6" t="n">
        <f aca="false">ROUND(10908*1.05,2)</f>
        <v>11453.4</v>
      </c>
      <c r="F145" s="6" t="s">
        <v>52</v>
      </c>
      <c r="G145" s="6" t="s">
        <v>24</v>
      </c>
      <c r="H145" s="6" t="n">
        <f aca="true">ROUND(RAND()*4+6,1)</f>
        <v>7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13699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13700</v>
      </c>
      <c r="B150" s="5" t="s">
        <v>260</v>
      </c>
      <c r="C150" s="5" t="s">
        <v>133</v>
      </c>
      <c r="D150" s="5" t="s">
        <v>16</v>
      </c>
      <c r="E150" s="5" t="n">
        <f aca="false">ROUND(7995*1.05,2)</f>
        <v>8394.75</v>
      </c>
      <c r="F150" s="5" t="s">
        <v>17</v>
      </c>
      <c r="G150" s="5" t="s">
        <v>18</v>
      </c>
      <c r="H150" s="5" t="n">
        <f aca="true">ROUND(RAND()*4+6,1)</f>
        <v>6.6</v>
      </c>
      <c r="I150" s="5" t="s">
        <v>19</v>
      </c>
      <c r="J150" s="5" t="str">
        <f aca="false">ROUND(87*1,0)&amp;"%"</f>
        <v>87%</v>
      </c>
    </row>
    <row r="151" customFormat="false" ht="15" hidden="false" customHeight="false" outlineLevel="0" collapsed="false">
      <c r="A151" s="6" t="s">
        <v>13701</v>
      </c>
      <c r="B151" s="6" t="s">
        <v>262</v>
      </c>
      <c r="C151" s="6" t="s">
        <v>133</v>
      </c>
      <c r="D151" s="6" t="s">
        <v>22</v>
      </c>
      <c r="E151" s="6" t="n">
        <f aca="false">ROUND(15323*1.05,2)</f>
        <v>16089.15</v>
      </c>
      <c r="F151" s="6" t="s">
        <v>23</v>
      </c>
      <c r="G151" s="6" t="s">
        <v>24</v>
      </c>
      <c r="H151" s="6" t="n">
        <f aca="true">ROUND(RAND()*4+6,1)</f>
        <v>6.9</v>
      </c>
      <c r="I151" s="6" t="s">
        <v>25</v>
      </c>
      <c r="J151" s="6" t="str">
        <f aca="false">ROUND(79*1,0)&amp;"%"</f>
        <v>79%</v>
      </c>
    </row>
    <row r="152" customFormat="false" ht="15" hidden="false" customHeight="false" outlineLevel="0" collapsed="false">
      <c r="A152" s="5" t="s">
        <v>13702</v>
      </c>
      <c r="B152" s="5" t="s">
        <v>264</v>
      </c>
      <c r="C152" s="5" t="s">
        <v>133</v>
      </c>
      <c r="D152" s="5" t="s">
        <v>28</v>
      </c>
      <c r="E152" s="5" t="n">
        <f aca="false">ROUND(15102*1.05,2)</f>
        <v>15857.1</v>
      </c>
      <c r="F152" s="5" t="s">
        <v>29</v>
      </c>
      <c r="G152" s="5" t="s">
        <v>30</v>
      </c>
      <c r="H152" s="5" t="n">
        <f aca="true">ROUND(RAND()*4+6,1)</f>
        <v>6</v>
      </c>
      <c r="I152" s="5" t="s">
        <v>31</v>
      </c>
      <c r="J152" s="5" t="str">
        <f aca="false">ROUND(94*1,0)&amp;"%"</f>
        <v>94%</v>
      </c>
    </row>
    <row r="153" customFormat="false" ht="15" hidden="false" customHeight="false" outlineLevel="0" collapsed="false">
      <c r="A153" s="6" t="s">
        <v>13703</v>
      </c>
      <c r="B153" s="6" t="s">
        <v>266</v>
      </c>
      <c r="C153" s="6" t="s">
        <v>133</v>
      </c>
      <c r="D153" s="6" t="s">
        <v>34</v>
      </c>
      <c r="E153" s="6" t="n">
        <f aca="false">ROUND(12536*1.05,2)</f>
        <v>13162.8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ROUND(69*1,0)&amp;"%"</f>
        <v>69%</v>
      </c>
    </row>
    <row r="154" customFormat="false" ht="15" hidden="false" customHeight="false" outlineLevel="0" collapsed="false">
      <c r="A154" s="5" t="s">
        <v>13704</v>
      </c>
      <c r="B154" s="5" t="s">
        <v>268</v>
      </c>
      <c r="C154" s="5" t="s">
        <v>133</v>
      </c>
      <c r="D154" s="5" t="s">
        <v>39</v>
      </c>
      <c r="E154" s="5" t="n">
        <f aca="false">ROUND(5115*1.05,2)</f>
        <v>5370.75</v>
      </c>
      <c r="F154" s="5" t="s">
        <v>40</v>
      </c>
      <c r="G154" s="5" t="s">
        <v>24</v>
      </c>
      <c r="H154" s="5" t="n">
        <f aca="true">ROUND(RAND()*4+6,1)</f>
        <v>6.8</v>
      </c>
      <c r="I154" s="5" t="s">
        <v>41</v>
      </c>
      <c r="J154" s="5" t="str">
        <f aca="false">ROUND(62*1,0)&amp;"%"</f>
        <v>62%</v>
      </c>
    </row>
    <row r="155" customFormat="false" ht="15" hidden="false" customHeight="false" outlineLevel="0" collapsed="false">
      <c r="A155" s="6" t="s">
        <v>13705</v>
      </c>
      <c r="B155" s="6" t="s">
        <v>270</v>
      </c>
      <c r="C155" s="6" t="s">
        <v>133</v>
      </c>
      <c r="D155" s="6" t="s">
        <v>44</v>
      </c>
      <c r="E155" s="6" t="n">
        <f aca="false">ROUND(4348*1.05,2)</f>
        <v>4565.4</v>
      </c>
      <c r="F155" s="6" t="s">
        <v>45</v>
      </c>
      <c r="G155" s="6" t="s">
        <v>30</v>
      </c>
      <c r="H155" s="6" t="n">
        <f aca="true">ROUND(RAND()*4+6,1)</f>
        <v>9.5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13706</v>
      </c>
      <c r="B156" s="5" t="s">
        <v>272</v>
      </c>
      <c r="C156" s="5" t="s">
        <v>133</v>
      </c>
      <c r="D156" s="5" t="s">
        <v>16</v>
      </c>
      <c r="E156" s="5" t="n">
        <f aca="false">ROUND(6811*1.05,2)</f>
        <v>7151.55</v>
      </c>
      <c r="F156" s="5" t="s">
        <v>49</v>
      </c>
      <c r="G156" s="5" t="s">
        <v>18</v>
      </c>
      <c r="H156" s="5" t="n">
        <f aca="true">ROUND(RAND()*4+6,1)</f>
        <v>6.4</v>
      </c>
      <c r="I156" s="5" t="s">
        <v>19</v>
      </c>
      <c r="J156" s="5" t="str">
        <f aca="false">ROUND(84*1,0)&amp;"%"</f>
        <v>84%</v>
      </c>
    </row>
    <row r="157" customFormat="false" ht="15" hidden="false" customHeight="false" outlineLevel="0" collapsed="false">
      <c r="A157" s="6" t="s">
        <v>13707</v>
      </c>
      <c r="B157" s="6" t="s">
        <v>274</v>
      </c>
      <c r="C157" s="6" t="s">
        <v>133</v>
      </c>
      <c r="D157" s="6" t="s">
        <v>22</v>
      </c>
      <c r="E157" s="6" t="n">
        <f aca="false">ROUND(9144*1.05,2)</f>
        <v>9601.2</v>
      </c>
      <c r="F157" s="6" t="s">
        <v>52</v>
      </c>
      <c r="G157" s="6" t="s">
        <v>24</v>
      </c>
      <c r="H157" s="6" t="n">
        <f aca="true">ROUND(RAND()*4+6,1)</f>
        <v>8.4</v>
      </c>
      <c r="I157" s="6" t="s">
        <v>25</v>
      </c>
      <c r="J157" s="6" t="str">
        <f aca="false">ROUND(86*1,0)&amp;"%"</f>
        <v>86%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13708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13709</v>
      </c>
      <c r="B162" s="5" t="s">
        <v>278</v>
      </c>
      <c r="C162" s="5" t="s">
        <v>152</v>
      </c>
      <c r="D162" s="5" t="s">
        <v>16</v>
      </c>
      <c r="E162" s="5" t="n">
        <f aca="false">ROUND(16998*1.05,2)</f>
        <v>17847.9</v>
      </c>
      <c r="F162" s="5" t="s">
        <v>17</v>
      </c>
      <c r="G162" s="5" t="s">
        <v>18</v>
      </c>
      <c r="H162" s="5" t="n">
        <f aca="true">ROUND(RAND()*4+6,1)</f>
        <v>9.5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13710</v>
      </c>
      <c r="B163" s="6" t="s">
        <v>280</v>
      </c>
      <c r="C163" s="6" t="s">
        <v>152</v>
      </c>
      <c r="D163" s="6" t="s">
        <v>22</v>
      </c>
      <c r="E163" s="6" t="n">
        <f aca="false">ROUND(6165*1.05,2)</f>
        <v>6473.25</v>
      </c>
      <c r="F163" s="6" t="s">
        <v>23</v>
      </c>
      <c r="G163" s="6" t="s">
        <v>24</v>
      </c>
      <c r="H163" s="6" t="n">
        <f aca="true">ROUND(RAND()*4+6,1)</f>
        <v>7.4</v>
      </c>
      <c r="I163" s="6" t="s">
        <v>25</v>
      </c>
      <c r="J163" s="6" t="str">
        <f aca="false">ROUND(77*1,0)&amp;"%"</f>
        <v>77%</v>
      </c>
    </row>
    <row r="164" customFormat="false" ht="15" hidden="false" customHeight="false" outlineLevel="0" collapsed="false">
      <c r="A164" s="5" t="s">
        <v>13711</v>
      </c>
      <c r="B164" s="5" t="s">
        <v>282</v>
      </c>
      <c r="C164" s="5" t="s">
        <v>152</v>
      </c>
      <c r="D164" s="5" t="s">
        <v>28</v>
      </c>
      <c r="E164" s="5" t="n">
        <f aca="false">ROUND(10953*1.05,2)</f>
        <v>11500.65</v>
      </c>
      <c r="F164" s="5" t="s">
        <v>29</v>
      </c>
      <c r="G164" s="5" t="s">
        <v>30</v>
      </c>
      <c r="H164" s="5" t="n">
        <f aca="true">ROUND(RAND()*4+6,1)</f>
        <v>6.1</v>
      </c>
      <c r="I164" s="5" t="s">
        <v>31</v>
      </c>
      <c r="J164" s="5" t="str">
        <f aca="false">ROUND(95*1,0)&amp;"%"</f>
        <v>95%</v>
      </c>
    </row>
    <row r="165" customFormat="false" ht="15" hidden="false" customHeight="false" outlineLevel="0" collapsed="false">
      <c r="A165" s="6" t="s">
        <v>13712</v>
      </c>
      <c r="B165" s="6" t="s">
        <v>284</v>
      </c>
      <c r="C165" s="6" t="s">
        <v>152</v>
      </c>
      <c r="D165" s="6" t="s">
        <v>34</v>
      </c>
      <c r="E165" s="6" t="n">
        <f aca="false">ROUND(7277*1.05,2)</f>
        <v>7640.85</v>
      </c>
      <c r="F165" s="6" t="s">
        <v>35</v>
      </c>
      <c r="G165" s="6" t="s">
        <v>18</v>
      </c>
      <c r="H165" s="6" t="n">
        <f aca="true">ROUND(RAND()*4+6,1)</f>
        <v>7</v>
      </c>
      <c r="I165" s="6" t="s">
        <v>36</v>
      </c>
      <c r="J165" s="6" t="str">
        <f aca="false">ROUND(68*1,0)&amp;"%"</f>
        <v>68%</v>
      </c>
    </row>
    <row r="166" customFormat="false" ht="15" hidden="false" customHeight="false" outlineLevel="0" collapsed="false">
      <c r="A166" s="5" t="s">
        <v>13713</v>
      </c>
      <c r="B166" s="5" t="s">
        <v>286</v>
      </c>
      <c r="C166" s="5" t="s">
        <v>152</v>
      </c>
      <c r="D166" s="5" t="s">
        <v>39</v>
      </c>
      <c r="E166" s="5" t="n">
        <f aca="false">ROUND(8828*1.05,2)</f>
        <v>9269.4</v>
      </c>
      <c r="F166" s="5" t="s">
        <v>40</v>
      </c>
      <c r="G166" s="5" t="s">
        <v>24</v>
      </c>
      <c r="H166" s="5" t="n">
        <f aca="true">ROUND(RAND()*4+6,1)</f>
        <v>6.2</v>
      </c>
      <c r="I166" s="5" t="s">
        <v>41</v>
      </c>
      <c r="J166" s="5" t="str">
        <f aca="false">ROUND(75*1,0)&amp;"%"</f>
        <v>75%</v>
      </c>
    </row>
    <row r="167" customFormat="false" ht="15" hidden="false" customHeight="false" outlineLevel="0" collapsed="false">
      <c r="A167" s="6" t="s">
        <v>13714</v>
      </c>
      <c r="B167" s="6" t="s">
        <v>288</v>
      </c>
      <c r="C167" s="6" t="s">
        <v>152</v>
      </c>
      <c r="D167" s="6" t="s">
        <v>44</v>
      </c>
      <c r="E167" s="6" t="n">
        <f aca="false">ROUND(5200*1.05,2)</f>
        <v>5460</v>
      </c>
      <c r="F167" s="6" t="s">
        <v>45</v>
      </c>
      <c r="G167" s="6" t="s">
        <v>30</v>
      </c>
      <c r="H167" s="6" t="n">
        <f aca="true">ROUND(RAND()*4+6,1)</f>
        <v>7.1</v>
      </c>
      <c r="I167" s="6" t="s">
        <v>46</v>
      </c>
      <c r="J167" s="6" t="str">
        <f aca="false">ROUND(86*1,0)&amp;"%"</f>
        <v>86%</v>
      </c>
    </row>
    <row r="168" customFormat="false" ht="15" hidden="false" customHeight="false" outlineLevel="0" collapsed="false">
      <c r="A168" s="5" t="s">
        <v>13715</v>
      </c>
      <c r="B168" s="5" t="s">
        <v>290</v>
      </c>
      <c r="C168" s="5" t="s">
        <v>152</v>
      </c>
      <c r="D168" s="5" t="s">
        <v>16</v>
      </c>
      <c r="E168" s="5" t="n">
        <f aca="false">ROUND(16137*1.05,2)</f>
        <v>16943.85</v>
      </c>
      <c r="F168" s="5" t="s">
        <v>49</v>
      </c>
      <c r="G168" s="5" t="s">
        <v>18</v>
      </c>
      <c r="H168" s="5" t="n">
        <f aca="true">ROUND(RAND()*4+6,1)</f>
        <v>9.8</v>
      </c>
      <c r="I168" s="5" t="s">
        <v>19</v>
      </c>
      <c r="J168" s="5" t="str">
        <f aca="false">ROUND(98*1,0)&amp;"%"</f>
        <v>98%</v>
      </c>
    </row>
    <row r="169" customFormat="false" ht="15" hidden="false" customHeight="false" outlineLevel="0" collapsed="false">
      <c r="A169" s="6" t="s">
        <v>13716</v>
      </c>
      <c r="B169" s="6" t="s">
        <v>292</v>
      </c>
      <c r="C169" s="6" t="s">
        <v>152</v>
      </c>
      <c r="D169" s="6" t="s">
        <v>22</v>
      </c>
      <c r="E169" s="6" t="n">
        <f aca="false">ROUND(7998*1.05,2)</f>
        <v>8397.9</v>
      </c>
      <c r="F169" s="6" t="s">
        <v>52</v>
      </c>
      <c r="G169" s="6" t="s">
        <v>24</v>
      </c>
      <c r="H169" s="6" t="n">
        <f aca="true">ROUND(RAND()*4+6,1)</f>
        <v>9.1</v>
      </c>
      <c r="I169" s="6" t="s">
        <v>25</v>
      </c>
      <c r="J169" s="6" t="str">
        <f aca="false">ROUND(60*1,0)&amp;"%"</f>
        <v>60%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13717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13718</v>
      </c>
      <c r="B174" s="5" t="s">
        <v>296</v>
      </c>
      <c r="C174" s="5" t="s">
        <v>15</v>
      </c>
      <c r="D174" s="5" t="s">
        <v>16</v>
      </c>
      <c r="E174" s="5" t="n">
        <f aca="false">ROUND(4336*1.05,2)</f>
        <v>4552.8</v>
      </c>
      <c r="F174" s="5" t="s">
        <v>17</v>
      </c>
      <c r="G174" s="5" t="s">
        <v>18</v>
      </c>
      <c r="H174" s="5" t="n">
        <f aca="true">ROUND(RAND()*4+6,1)</f>
        <v>8.6</v>
      </c>
      <c r="I174" s="5" t="s">
        <v>19</v>
      </c>
      <c r="J174" s="5" t="str">
        <f aca="false">ROUND(94*1,0)&amp;"%"</f>
        <v>94%</v>
      </c>
    </row>
    <row r="175" customFormat="false" ht="15" hidden="false" customHeight="false" outlineLevel="0" collapsed="false">
      <c r="A175" s="6" t="s">
        <v>13719</v>
      </c>
      <c r="B175" s="6" t="s">
        <v>298</v>
      </c>
      <c r="C175" s="6" t="s">
        <v>15</v>
      </c>
      <c r="D175" s="6" t="s">
        <v>22</v>
      </c>
      <c r="E175" s="6" t="n">
        <f aca="false">ROUND(17871*1.05,2)</f>
        <v>18764.55</v>
      </c>
      <c r="F175" s="6" t="s">
        <v>23</v>
      </c>
      <c r="G175" s="6" t="s">
        <v>24</v>
      </c>
      <c r="H175" s="6" t="n">
        <f aca="true">ROUND(RAND()*4+6,1)</f>
        <v>9.5</v>
      </c>
      <c r="I175" s="6" t="s">
        <v>25</v>
      </c>
      <c r="J175" s="6" t="str">
        <f aca="false">ROUND(77*1,0)&amp;"%"</f>
        <v>77%</v>
      </c>
    </row>
    <row r="176" customFormat="false" ht="15" hidden="false" customHeight="false" outlineLevel="0" collapsed="false">
      <c r="A176" s="5" t="s">
        <v>13720</v>
      </c>
      <c r="B176" s="5" t="s">
        <v>300</v>
      </c>
      <c r="C176" s="5" t="s">
        <v>15</v>
      </c>
      <c r="D176" s="5" t="s">
        <v>28</v>
      </c>
      <c r="E176" s="5" t="n">
        <f aca="false">ROUND(12124*1.05,2)</f>
        <v>12730.2</v>
      </c>
      <c r="F176" s="5" t="s">
        <v>29</v>
      </c>
      <c r="G176" s="5" t="s">
        <v>30</v>
      </c>
      <c r="H176" s="5" t="n">
        <f aca="true">ROUND(RAND()*4+6,1)</f>
        <v>7.5</v>
      </c>
      <c r="I176" s="5" t="s">
        <v>31</v>
      </c>
      <c r="J176" s="5" t="str">
        <f aca="false">ROUND(98*1,0)&amp;"%"</f>
        <v>98%</v>
      </c>
    </row>
    <row r="177" customFormat="false" ht="15" hidden="false" customHeight="false" outlineLevel="0" collapsed="false">
      <c r="A177" s="6" t="s">
        <v>13721</v>
      </c>
      <c r="B177" s="6" t="s">
        <v>302</v>
      </c>
      <c r="C177" s="6" t="s">
        <v>15</v>
      </c>
      <c r="D177" s="6" t="s">
        <v>34</v>
      </c>
      <c r="E177" s="6" t="n">
        <f aca="false">ROUND(9872*1.05,2)</f>
        <v>10365.6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ROUND(61*1,0)&amp;"%"</f>
        <v>61%</v>
      </c>
    </row>
    <row r="178" customFormat="false" ht="15" hidden="false" customHeight="false" outlineLevel="0" collapsed="false">
      <c r="A178" s="5" t="s">
        <v>13722</v>
      </c>
      <c r="B178" s="5" t="s">
        <v>304</v>
      </c>
      <c r="C178" s="5" t="s">
        <v>15</v>
      </c>
      <c r="D178" s="5" t="s">
        <v>39</v>
      </c>
      <c r="E178" s="5" t="n">
        <f aca="false">ROUND(12335*1.05,2)</f>
        <v>12951.75</v>
      </c>
      <c r="F178" s="5" t="s">
        <v>40</v>
      </c>
      <c r="G178" s="5" t="s">
        <v>24</v>
      </c>
      <c r="H178" s="5" t="n">
        <f aca="true">ROUND(RAND()*4+6,1)</f>
        <v>6.3</v>
      </c>
      <c r="I178" s="5" t="s">
        <v>41</v>
      </c>
      <c r="J178" s="5" t="str">
        <f aca="false">ROUND(91*1,0)&amp;"%"</f>
        <v>91%</v>
      </c>
    </row>
    <row r="179" customFormat="false" ht="15" hidden="false" customHeight="false" outlineLevel="0" collapsed="false">
      <c r="A179" s="6" t="s">
        <v>13723</v>
      </c>
      <c r="B179" s="6" t="s">
        <v>306</v>
      </c>
      <c r="C179" s="6" t="s">
        <v>15</v>
      </c>
      <c r="D179" s="6" t="s">
        <v>44</v>
      </c>
      <c r="E179" s="6" t="n">
        <f aca="false">ROUND(7001*1.05,2)</f>
        <v>7351.05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ROUND(89*1,0)&amp;"%"</f>
        <v>89%</v>
      </c>
    </row>
    <row r="180" customFormat="false" ht="15" hidden="false" customHeight="false" outlineLevel="0" collapsed="false">
      <c r="A180" s="5" t="s">
        <v>13724</v>
      </c>
      <c r="B180" s="5" t="s">
        <v>308</v>
      </c>
      <c r="C180" s="5" t="s">
        <v>15</v>
      </c>
      <c r="D180" s="5" t="s">
        <v>16</v>
      </c>
      <c r="E180" s="5" t="n">
        <f aca="false">ROUND(4870*1.05,2)</f>
        <v>5113.5</v>
      </c>
      <c r="F180" s="5" t="s">
        <v>49</v>
      </c>
      <c r="G180" s="5" t="s">
        <v>18</v>
      </c>
      <c r="H180" s="5" t="n">
        <f aca="true">ROUND(RAND()*4+6,1)</f>
        <v>9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13725</v>
      </c>
      <c r="B181" s="6" t="s">
        <v>310</v>
      </c>
      <c r="C181" s="6" t="s">
        <v>15</v>
      </c>
      <c r="D181" s="6" t="s">
        <v>22</v>
      </c>
      <c r="E181" s="6" t="n">
        <f aca="false">ROUND(12081*1.05,2)</f>
        <v>12685.05</v>
      </c>
      <c r="F181" s="6" t="s">
        <v>52</v>
      </c>
      <c r="G181" s="6" t="s">
        <v>24</v>
      </c>
      <c r="H181" s="6" t="n">
        <f aca="true">ROUND(RAND()*4+6,1)</f>
        <v>6.1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13726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13727</v>
      </c>
      <c r="B186" s="5" t="s">
        <v>314</v>
      </c>
      <c r="C186" s="5" t="s">
        <v>57</v>
      </c>
      <c r="D186" s="5" t="s">
        <v>16</v>
      </c>
      <c r="E186" s="5" t="n">
        <f aca="false">ROUND(13634*1.05,2)</f>
        <v>14315.7</v>
      </c>
      <c r="F186" s="5" t="s">
        <v>17</v>
      </c>
      <c r="G186" s="5" t="s">
        <v>18</v>
      </c>
      <c r="H186" s="5" t="n">
        <f aca="true">ROUND(RAND()*4+6,1)</f>
        <v>7.5</v>
      </c>
      <c r="I186" s="5" t="s">
        <v>19</v>
      </c>
      <c r="J186" s="5" t="str">
        <f aca="false">ROUND(68*1,0)&amp;"%"</f>
        <v>68%</v>
      </c>
    </row>
    <row r="187" customFormat="false" ht="15" hidden="false" customHeight="false" outlineLevel="0" collapsed="false">
      <c r="A187" s="6" t="s">
        <v>13728</v>
      </c>
      <c r="B187" s="6" t="s">
        <v>316</v>
      </c>
      <c r="C187" s="6" t="s">
        <v>57</v>
      </c>
      <c r="D187" s="6" t="s">
        <v>22</v>
      </c>
      <c r="E187" s="6" t="n">
        <f aca="false">ROUND(14091*1.05,2)</f>
        <v>14795.55</v>
      </c>
      <c r="F187" s="6" t="s">
        <v>23</v>
      </c>
      <c r="G187" s="6" t="s">
        <v>24</v>
      </c>
      <c r="H187" s="6" t="n">
        <f aca="true">ROUND(RAND()*4+6,1)</f>
        <v>8.2</v>
      </c>
      <c r="I187" s="6" t="s">
        <v>25</v>
      </c>
      <c r="J187" s="6" t="str">
        <f aca="false">ROUND(64*1,0)&amp;"%"</f>
        <v>64%</v>
      </c>
    </row>
    <row r="188" customFormat="false" ht="15" hidden="false" customHeight="false" outlineLevel="0" collapsed="false">
      <c r="A188" s="5" t="s">
        <v>13729</v>
      </c>
      <c r="B188" s="5" t="s">
        <v>318</v>
      </c>
      <c r="C188" s="5" t="s">
        <v>57</v>
      </c>
      <c r="D188" s="5" t="s">
        <v>28</v>
      </c>
      <c r="E188" s="5" t="n">
        <f aca="false">ROUND(11278*1.05,2)</f>
        <v>11841.9</v>
      </c>
      <c r="F188" s="5" t="s">
        <v>29</v>
      </c>
      <c r="G188" s="5" t="s">
        <v>30</v>
      </c>
      <c r="H188" s="5" t="n">
        <f aca="true">ROUND(RAND()*4+6,1)</f>
        <v>9.6</v>
      </c>
      <c r="I188" s="5" t="s">
        <v>31</v>
      </c>
      <c r="J188" s="5" t="str">
        <f aca="false">ROUND(77*1,0)&amp;"%"</f>
        <v>77%</v>
      </c>
    </row>
    <row r="189" customFormat="false" ht="15" hidden="false" customHeight="false" outlineLevel="0" collapsed="false">
      <c r="A189" s="6" t="s">
        <v>13730</v>
      </c>
      <c r="B189" s="6" t="s">
        <v>320</v>
      </c>
      <c r="C189" s="6" t="s">
        <v>57</v>
      </c>
      <c r="D189" s="6" t="s">
        <v>34</v>
      </c>
      <c r="E189" s="6" t="n">
        <f aca="false">ROUND(4442*1.05,2)</f>
        <v>4664.1</v>
      </c>
      <c r="F189" s="6" t="s">
        <v>35</v>
      </c>
      <c r="G189" s="6" t="s">
        <v>18</v>
      </c>
      <c r="H189" s="6" t="n">
        <f aca="true">ROUND(RAND()*4+6,1)</f>
        <v>8.2</v>
      </c>
      <c r="I189" s="6" t="s">
        <v>36</v>
      </c>
      <c r="J189" s="6" t="str">
        <f aca="false">ROUND(85*1,0)&amp;"%"</f>
        <v>85%</v>
      </c>
    </row>
    <row r="190" customFormat="false" ht="15" hidden="false" customHeight="false" outlineLevel="0" collapsed="false">
      <c r="A190" s="5" t="s">
        <v>13731</v>
      </c>
      <c r="B190" s="5" t="s">
        <v>322</v>
      </c>
      <c r="C190" s="5" t="s">
        <v>57</v>
      </c>
      <c r="D190" s="5" t="s">
        <v>39</v>
      </c>
      <c r="E190" s="5" t="n">
        <f aca="false">ROUND(10830*1.05,2)</f>
        <v>11371.5</v>
      </c>
      <c r="F190" s="5" t="s">
        <v>40</v>
      </c>
      <c r="G190" s="5" t="s">
        <v>24</v>
      </c>
      <c r="H190" s="5" t="n">
        <f aca="true">ROUND(RAND()*4+6,1)</f>
        <v>7.3</v>
      </c>
      <c r="I190" s="5" t="s">
        <v>41</v>
      </c>
      <c r="J190" s="5" t="str">
        <f aca="false">ROUND(66*1,0)&amp;"%"</f>
        <v>66%</v>
      </c>
    </row>
    <row r="191" customFormat="false" ht="15" hidden="false" customHeight="false" outlineLevel="0" collapsed="false">
      <c r="A191" s="6" t="s">
        <v>13732</v>
      </c>
      <c r="B191" s="6" t="s">
        <v>324</v>
      </c>
      <c r="C191" s="6" t="s">
        <v>57</v>
      </c>
      <c r="D191" s="6" t="s">
        <v>44</v>
      </c>
      <c r="E191" s="6" t="n">
        <f aca="false">ROUND(11323*1.05,2)</f>
        <v>11889.15</v>
      </c>
      <c r="F191" s="6" t="s">
        <v>45</v>
      </c>
      <c r="G191" s="6" t="s">
        <v>30</v>
      </c>
      <c r="H191" s="6" t="n">
        <f aca="true">ROUND(RAND()*4+6,1)</f>
        <v>7.5</v>
      </c>
      <c r="I191" s="6" t="s">
        <v>46</v>
      </c>
      <c r="J191" s="6" t="str">
        <f aca="false">ROUND(81*1,0)&amp;"%"</f>
        <v>81%</v>
      </c>
    </row>
    <row r="192" customFormat="false" ht="15" hidden="false" customHeight="false" outlineLevel="0" collapsed="false">
      <c r="A192" s="5" t="s">
        <v>13733</v>
      </c>
      <c r="B192" s="5" t="s">
        <v>326</v>
      </c>
      <c r="C192" s="5" t="s">
        <v>57</v>
      </c>
      <c r="D192" s="5" t="s">
        <v>16</v>
      </c>
      <c r="E192" s="5" t="n">
        <f aca="false">ROUND(16895*1.05,2)</f>
        <v>17739.75</v>
      </c>
      <c r="F192" s="5" t="s">
        <v>49</v>
      </c>
      <c r="G192" s="5" t="s">
        <v>18</v>
      </c>
      <c r="H192" s="5" t="n">
        <f aca="true">ROUND(RAND()*4+6,1)</f>
        <v>7.7</v>
      </c>
      <c r="I192" s="5" t="s">
        <v>19</v>
      </c>
      <c r="J192" s="5" t="str">
        <f aca="false">ROUND(91*1,0)&amp;"%"</f>
        <v>91%</v>
      </c>
    </row>
    <row r="193" customFormat="false" ht="15" hidden="false" customHeight="false" outlineLevel="0" collapsed="false">
      <c r="A193" s="6" t="s">
        <v>13734</v>
      </c>
      <c r="B193" s="6" t="s">
        <v>328</v>
      </c>
      <c r="C193" s="6" t="s">
        <v>57</v>
      </c>
      <c r="D193" s="6" t="s">
        <v>22</v>
      </c>
      <c r="E193" s="6" t="n">
        <f aca="false">ROUND(6778*1.05,2)</f>
        <v>7116.9</v>
      </c>
      <c r="F193" s="6" t="s">
        <v>52</v>
      </c>
      <c r="G193" s="6" t="s">
        <v>24</v>
      </c>
      <c r="H193" s="6" t="n">
        <f aca="true">ROUND(RAND()*4+6,1)</f>
        <v>8.5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13735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13736</v>
      </c>
      <c r="B198" s="5" t="s">
        <v>332</v>
      </c>
      <c r="C198" s="5" t="s">
        <v>76</v>
      </c>
      <c r="D198" s="5" t="s">
        <v>16</v>
      </c>
      <c r="E198" s="5" t="n">
        <f aca="false">ROUND(9928*1.05,2)</f>
        <v>10424.4</v>
      </c>
      <c r="F198" s="5" t="s">
        <v>17</v>
      </c>
      <c r="G198" s="5" t="s">
        <v>18</v>
      </c>
      <c r="H198" s="5" t="n">
        <f aca="true">ROUND(RAND()*4+6,1)</f>
        <v>8.9</v>
      </c>
      <c r="I198" s="5" t="s">
        <v>19</v>
      </c>
      <c r="J198" s="5" t="str">
        <f aca="false">ROUND(91*1,0)&amp;"%"</f>
        <v>91%</v>
      </c>
    </row>
    <row r="199" customFormat="false" ht="15" hidden="false" customHeight="false" outlineLevel="0" collapsed="false">
      <c r="A199" s="6" t="s">
        <v>13737</v>
      </c>
      <c r="B199" s="6" t="s">
        <v>334</v>
      </c>
      <c r="C199" s="6" t="s">
        <v>76</v>
      </c>
      <c r="D199" s="6" t="s">
        <v>22</v>
      </c>
      <c r="E199" s="6" t="n">
        <f aca="false">ROUND(9545*1.05,2)</f>
        <v>10022.25</v>
      </c>
      <c r="F199" s="6" t="s">
        <v>23</v>
      </c>
      <c r="G199" s="6" t="s">
        <v>24</v>
      </c>
      <c r="H199" s="6" t="n">
        <f aca="true">ROUND(RAND()*4+6,1)</f>
        <v>6.1</v>
      </c>
      <c r="I199" s="6" t="s">
        <v>25</v>
      </c>
      <c r="J199" s="6" t="str">
        <f aca="false">ROUND(78*1,0)&amp;"%"</f>
        <v>78%</v>
      </c>
    </row>
    <row r="200" customFormat="false" ht="15" hidden="false" customHeight="false" outlineLevel="0" collapsed="false">
      <c r="A200" s="5" t="s">
        <v>13738</v>
      </c>
      <c r="B200" s="5" t="s">
        <v>336</v>
      </c>
      <c r="C200" s="5" t="s">
        <v>76</v>
      </c>
      <c r="D200" s="5" t="s">
        <v>28</v>
      </c>
      <c r="E200" s="5" t="n">
        <f aca="false">ROUND(4314*1.05,2)</f>
        <v>4529.7</v>
      </c>
      <c r="F200" s="5" t="s">
        <v>29</v>
      </c>
      <c r="G200" s="5" t="s">
        <v>30</v>
      </c>
      <c r="H200" s="5" t="n">
        <f aca="true">ROUND(RAND()*4+6,1)</f>
        <v>7</v>
      </c>
      <c r="I200" s="5" t="s">
        <v>31</v>
      </c>
      <c r="J200" s="5" t="str">
        <f aca="false">ROUND(75*1,0)&amp;"%"</f>
        <v>75%</v>
      </c>
    </row>
    <row r="201" customFormat="false" ht="15" hidden="false" customHeight="false" outlineLevel="0" collapsed="false">
      <c r="A201" s="6" t="s">
        <v>13739</v>
      </c>
      <c r="B201" s="6" t="s">
        <v>338</v>
      </c>
      <c r="C201" s="6" t="s">
        <v>76</v>
      </c>
      <c r="D201" s="6" t="s">
        <v>34</v>
      </c>
      <c r="E201" s="6" t="n">
        <f aca="false">ROUND(17463*1.05,2)</f>
        <v>18336.15</v>
      </c>
      <c r="F201" s="6" t="s">
        <v>35</v>
      </c>
      <c r="G201" s="6" t="s">
        <v>18</v>
      </c>
      <c r="H201" s="6" t="n">
        <f aca="true">ROUND(RAND()*4+6,1)</f>
        <v>8.5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13740</v>
      </c>
      <c r="B202" s="5" t="s">
        <v>340</v>
      </c>
      <c r="C202" s="5" t="s">
        <v>76</v>
      </c>
      <c r="D202" s="5" t="s">
        <v>39</v>
      </c>
      <c r="E202" s="5" t="n">
        <f aca="false">ROUND(11754*1.05,2)</f>
        <v>12341.7</v>
      </c>
      <c r="F202" s="5" t="s">
        <v>40</v>
      </c>
      <c r="G202" s="5" t="s">
        <v>24</v>
      </c>
      <c r="H202" s="5" t="n">
        <f aca="true">ROUND(RAND()*4+6,1)</f>
        <v>9</v>
      </c>
      <c r="I202" s="5" t="s">
        <v>41</v>
      </c>
      <c r="J202" s="5" t="str">
        <f aca="false">ROUND(88*1,0)&amp;"%"</f>
        <v>88%</v>
      </c>
    </row>
    <row r="203" customFormat="false" ht="15" hidden="false" customHeight="false" outlineLevel="0" collapsed="false">
      <c r="A203" s="6" t="s">
        <v>13741</v>
      </c>
      <c r="B203" s="6" t="s">
        <v>342</v>
      </c>
      <c r="C203" s="6" t="s">
        <v>76</v>
      </c>
      <c r="D203" s="6" t="s">
        <v>44</v>
      </c>
      <c r="E203" s="6" t="n">
        <f aca="false">ROUND(13726*1.05,2)</f>
        <v>14412.3</v>
      </c>
      <c r="F203" s="6" t="s">
        <v>45</v>
      </c>
      <c r="G203" s="6" t="s">
        <v>30</v>
      </c>
      <c r="H203" s="6" t="n">
        <f aca="true">ROUND(RAND()*4+6,1)</f>
        <v>8.9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13742</v>
      </c>
      <c r="B204" s="5" t="s">
        <v>344</v>
      </c>
      <c r="C204" s="5" t="s">
        <v>76</v>
      </c>
      <c r="D204" s="5" t="s">
        <v>16</v>
      </c>
      <c r="E204" s="5" t="n">
        <f aca="false">ROUND(12554*1.05,2)</f>
        <v>13181.7</v>
      </c>
      <c r="F204" s="5" t="s">
        <v>49</v>
      </c>
      <c r="G204" s="5" t="s">
        <v>18</v>
      </c>
      <c r="H204" s="5" t="n">
        <f aca="true">ROUND(RAND()*4+6,1)</f>
        <v>7.3</v>
      </c>
      <c r="I204" s="5" t="s">
        <v>19</v>
      </c>
      <c r="J204" s="5" t="str">
        <f aca="false">ROUND(96*1,0)&amp;"%"</f>
        <v>96%</v>
      </c>
    </row>
    <row r="205" customFormat="false" ht="15" hidden="false" customHeight="false" outlineLevel="0" collapsed="false">
      <c r="A205" s="6" t="s">
        <v>13743</v>
      </c>
      <c r="B205" s="6" t="s">
        <v>346</v>
      </c>
      <c r="C205" s="6" t="s">
        <v>76</v>
      </c>
      <c r="D205" s="6" t="s">
        <v>22</v>
      </c>
      <c r="E205" s="6" t="n">
        <f aca="false">ROUND(9696*1.05,2)</f>
        <v>10180.8</v>
      </c>
      <c r="F205" s="6" t="s">
        <v>52</v>
      </c>
      <c r="G205" s="6" t="s">
        <v>24</v>
      </c>
      <c r="H205" s="6" t="n">
        <f aca="true">ROUND(RAND()*4+6,1)</f>
        <v>9.1</v>
      </c>
      <c r="I205" s="6" t="s">
        <v>25</v>
      </c>
      <c r="J205" s="6" t="str">
        <f aca="false">ROUND(76*1,0)&amp;"%"</f>
        <v>76%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13744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13745</v>
      </c>
      <c r="B210" s="5" t="s">
        <v>350</v>
      </c>
      <c r="C210" s="5" t="s">
        <v>95</v>
      </c>
      <c r="D210" s="5" t="s">
        <v>16</v>
      </c>
      <c r="E210" s="5" t="n">
        <f aca="false">ROUND(7017*1.05,2)</f>
        <v>7367.85</v>
      </c>
      <c r="F210" s="5" t="s">
        <v>17</v>
      </c>
      <c r="G210" s="5" t="s">
        <v>18</v>
      </c>
      <c r="H210" s="5" t="n">
        <f aca="true">ROUND(RAND()*4+6,1)</f>
        <v>7.6</v>
      </c>
      <c r="I210" s="5" t="s">
        <v>19</v>
      </c>
      <c r="J210" s="5" t="str">
        <f aca="false">ROUND(85*1,0)&amp;"%"</f>
        <v>85%</v>
      </c>
    </row>
    <row r="211" customFormat="false" ht="15" hidden="false" customHeight="false" outlineLevel="0" collapsed="false">
      <c r="A211" s="6" t="s">
        <v>13746</v>
      </c>
      <c r="B211" s="6" t="s">
        <v>352</v>
      </c>
      <c r="C211" s="6" t="s">
        <v>95</v>
      </c>
      <c r="D211" s="6" t="s">
        <v>22</v>
      </c>
      <c r="E211" s="6" t="n">
        <f aca="false">ROUND(10496*1.05,2)</f>
        <v>11020.8</v>
      </c>
      <c r="F211" s="6" t="s">
        <v>23</v>
      </c>
      <c r="G211" s="6" t="s">
        <v>24</v>
      </c>
      <c r="H211" s="6" t="n">
        <f aca="true">ROUND(RAND()*4+6,1)</f>
        <v>6</v>
      </c>
      <c r="I211" s="6" t="s">
        <v>25</v>
      </c>
      <c r="J211" s="6" t="str">
        <f aca="false">ROUND(69*1,0)&amp;"%"</f>
        <v>69%</v>
      </c>
    </row>
    <row r="212" customFormat="false" ht="15" hidden="false" customHeight="false" outlineLevel="0" collapsed="false">
      <c r="A212" s="5" t="s">
        <v>13747</v>
      </c>
      <c r="B212" s="5" t="s">
        <v>354</v>
      </c>
      <c r="C212" s="5" t="s">
        <v>95</v>
      </c>
      <c r="D212" s="5" t="s">
        <v>28</v>
      </c>
      <c r="E212" s="5" t="n">
        <f aca="false">ROUND(5917*1.05,2)</f>
        <v>6212.85</v>
      </c>
      <c r="F212" s="5" t="s">
        <v>29</v>
      </c>
      <c r="G212" s="5" t="s">
        <v>30</v>
      </c>
      <c r="H212" s="5" t="n">
        <f aca="true">ROUND(RAND()*4+6,1)</f>
        <v>6.2</v>
      </c>
      <c r="I212" s="5" t="s">
        <v>31</v>
      </c>
      <c r="J212" s="5" t="str">
        <f aca="false">ROUND(84*1,0)&amp;"%"</f>
        <v>84%</v>
      </c>
    </row>
    <row r="213" customFormat="false" ht="15" hidden="false" customHeight="false" outlineLevel="0" collapsed="false">
      <c r="A213" s="6" t="s">
        <v>13748</v>
      </c>
      <c r="B213" s="6" t="s">
        <v>356</v>
      </c>
      <c r="C213" s="6" t="s">
        <v>95</v>
      </c>
      <c r="D213" s="6" t="s">
        <v>34</v>
      </c>
      <c r="E213" s="6" t="n">
        <f aca="false">ROUND(17061*1.05,2)</f>
        <v>17914.05</v>
      </c>
      <c r="F213" s="6" t="s">
        <v>35</v>
      </c>
      <c r="G213" s="6" t="s">
        <v>18</v>
      </c>
      <c r="H213" s="6" t="n">
        <f aca="true">ROUND(RAND()*4+6,1)</f>
        <v>7.5</v>
      </c>
      <c r="I213" s="6" t="s">
        <v>36</v>
      </c>
      <c r="J213" s="6" t="str">
        <f aca="false">ROUND(95*1,0)&amp;"%"</f>
        <v>95%</v>
      </c>
    </row>
    <row r="214" customFormat="false" ht="15" hidden="false" customHeight="false" outlineLevel="0" collapsed="false">
      <c r="A214" s="5" t="s">
        <v>13749</v>
      </c>
      <c r="B214" s="5" t="s">
        <v>358</v>
      </c>
      <c r="C214" s="5" t="s">
        <v>95</v>
      </c>
      <c r="D214" s="5" t="s">
        <v>39</v>
      </c>
      <c r="E214" s="5" t="n">
        <f aca="false">ROUND(13244*1.05,2)</f>
        <v>13906.2</v>
      </c>
      <c r="F214" s="5" t="s">
        <v>40</v>
      </c>
      <c r="G214" s="5" t="s">
        <v>24</v>
      </c>
      <c r="H214" s="5" t="n">
        <f aca="true">ROUND(RAND()*4+6,1)</f>
        <v>9.5</v>
      </c>
      <c r="I214" s="5" t="s">
        <v>41</v>
      </c>
      <c r="J214" s="5" t="str">
        <f aca="false">ROUND(77*1,0)&amp;"%"</f>
        <v>77%</v>
      </c>
    </row>
    <row r="215" customFormat="false" ht="15" hidden="false" customHeight="false" outlineLevel="0" collapsed="false">
      <c r="A215" s="6" t="s">
        <v>13750</v>
      </c>
      <c r="B215" s="6" t="s">
        <v>360</v>
      </c>
      <c r="C215" s="6" t="s">
        <v>95</v>
      </c>
      <c r="D215" s="6" t="s">
        <v>44</v>
      </c>
      <c r="E215" s="6" t="n">
        <f aca="false">ROUND(12932*1.05,2)</f>
        <v>13578.6</v>
      </c>
      <c r="F215" s="6" t="s">
        <v>45</v>
      </c>
      <c r="G215" s="6" t="s">
        <v>30</v>
      </c>
      <c r="H215" s="6" t="n">
        <f aca="true">ROUND(RAND()*4+6,1)</f>
        <v>9.6</v>
      </c>
      <c r="I215" s="6" t="s">
        <v>46</v>
      </c>
      <c r="J215" s="6" t="str">
        <f aca="false">ROUND(68*1,0)&amp;"%"</f>
        <v>68%</v>
      </c>
    </row>
    <row r="216" customFormat="false" ht="15" hidden="false" customHeight="false" outlineLevel="0" collapsed="false">
      <c r="A216" s="5" t="s">
        <v>13751</v>
      </c>
      <c r="B216" s="5" t="s">
        <v>362</v>
      </c>
      <c r="C216" s="5" t="s">
        <v>95</v>
      </c>
      <c r="D216" s="5" t="s">
        <v>16</v>
      </c>
      <c r="E216" s="5" t="n">
        <f aca="false">ROUND(7752*1.05,2)</f>
        <v>8139.6</v>
      </c>
      <c r="F216" s="5" t="s">
        <v>49</v>
      </c>
      <c r="G216" s="5" t="s">
        <v>18</v>
      </c>
      <c r="H216" s="5" t="n">
        <f aca="true">ROUND(RAND()*4+6,1)</f>
        <v>6.8</v>
      </c>
      <c r="I216" s="5" t="s">
        <v>19</v>
      </c>
      <c r="J216" s="5" t="str">
        <f aca="false">ROUND(72*1,0)&amp;"%"</f>
        <v>72%</v>
      </c>
    </row>
    <row r="217" customFormat="false" ht="15" hidden="false" customHeight="false" outlineLevel="0" collapsed="false">
      <c r="A217" s="6" t="s">
        <v>13752</v>
      </c>
      <c r="B217" s="6" t="s">
        <v>364</v>
      </c>
      <c r="C217" s="6" t="s">
        <v>95</v>
      </c>
      <c r="D217" s="6" t="s">
        <v>22</v>
      </c>
      <c r="E217" s="6" t="n">
        <f aca="false">ROUND(7054*1.05,2)</f>
        <v>7406.7</v>
      </c>
      <c r="F217" s="6" t="s">
        <v>52</v>
      </c>
      <c r="G217" s="6" t="s">
        <v>24</v>
      </c>
      <c r="H217" s="6" t="n">
        <f aca="true">ROUND(RAND()*4+6,1)</f>
        <v>9.2</v>
      </c>
      <c r="I217" s="6" t="s">
        <v>25</v>
      </c>
      <c r="J217" s="6" t="str">
        <f aca="false">ROUND(76*1,0)&amp;"%"</f>
        <v>76%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13753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13754</v>
      </c>
      <c r="B222" s="5" t="s">
        <v>368</v>
      </c>
      <c r="C222" s="5" t="s">
        <v>114</v>
      </c>
      <c r="D222" s="5" t="s">
        <v>16</v>
      </c>
      <c r="E222" s="5" t="n">
        <f aca="false">ROUND(4807*1.05,2)</f>
        <v>5047.35</v>
      </c>
      <c r="F222" s="5" t="s">
        <v>17</v>
      </c>
      <c r="G222" s="5" t="s">
        <v>18</v>
      </c>
      <c r="H222" s="5" t="n">
        <f aca="true">ROUND(RAND()*4+6,1)</f>
        <v>7.3</v>
      </c>
      <c r="I222" s="5" t="s">
        <v>19</v>
      </c>
      <c r="J222" s="5" t="str">
        <f aca="false">ROUND(88*1,0)&amp;"%"</f>
        <v>88%</v>
      </c>
    </row>
    <row r="223" customFormat="false" ht="15" hidden="false" customHeight="false" outlineLevel="0" collapsed="false">
      <c r="A223" s="6" t="s">
        <v>13755</v>
      </c>
      <c r="B223" s="6" t="s">
        <v>370</v>
      </c>
      <c r="C223" s="6" t="s">
        <v>114</v>
      </c>
      <c r="D223" s="6" t="s">
        <v>22</v>
      </c>
      <c r="E223" s="6" t="n">
        <f aca="false">ROUND(9811*1.05,2)</f>
        <v>10301.55</v>
      </c>
      <c r="F223" s="6" t="s">
        <v>23</v>
      </c>
      <c r="G223" s="6" t="s">
        <v>24</v>
      </c>
      <c r="H223" s="6" t="n">
        <f aca="true">ROUND(RAND()*4+6,1)</f>
        <v>6.1</v>
      </c>
      <c r="I223" s="6" t="s">
        <v>25</v>
      </c>
      <c r="J223" s="6" t="str">
        <f aca="false">ROUND(95*1,0)&amp;"%"</f>
        <v>95%</v>
      </c>
    </row>
    <row r="224" customFormat="false" ht="15" hidden="false" customHeight="false" outlineLevel="0" collapsed="false">
      <c r="A224" s="5" t="s">
        <v>13756</v>
      </c>
      <c r="B224" s="5" t="s">
        <v>372</v>
      </c>
      <c r="C224" s="5" t="s">
        <v>114</v>
      </c>
      <c r="D224" s="5" t="s">
        <v>28</v>
      </c>
      <c r="E224" s="5" t="n">
        <f aca="false">ROUND(7140*1.05,2)</f>
        <v>7497</v>
      </c>
      <c r="F224" s="5" t="s">
        <v>29</v>
      </c>
      <c r="G224" s="5" t="s">
        <v>30</v>
      </c>
      <c r="H224" s="5" t="n">
        <f aca="true">ROUND(RAND()*4+6,1)</f>
        <v>7.1</v>
      </c>
      <c r="I224" s="5" t="s">
        <v>31</v>
      </c>
      <c r="J224" s="5" t="str">
        <f aca="false">ROUND(64*1,0)&amp;"%"</f>
        <v>64%</v>
      </c>
    </row>
    <row r="225" customFormat="false" ht="15" hidden="false" customHeight="false" outlineLevel="0" collapsed="false">
      <c r="A225" s="6" t="s">
        <v>13757</v>
      </c>
      <c r="B225" s="6" t="s">
        <v>374</v>
      </c>
      <c r="C225" s="6" t="s">
        <v>114</v>
      </c>
      <c r="D225" s="6" t="s">
        <v>34</v>
      </c>
      <c r="E225" s="6" t="n">
        <f aca="false">ROUND(15543*1.05,2)</f>
        <v>16320.15</v>
      </c>
      <c r="F225" s="6" t="s">
        <v>35</v>
      </c>
      <c r="G225" s="6" t="s">
        <v>18</v>
      </c>
      <c r="H225" s="6" t="n">
        <f aca="true">ROUND(RAND()*4+6,1)</f>
        <v>6.7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13758</v>
      </c>
      <c r="B226" s="5" t="s">
        <v>376</v>
      </c>
      <c r="C226" s="5" t="s">
        <v>114</v>
      </c>
      <c r="D226" s="5" t="s">
        <v>39</v>
      </c>
      <c r="E226" s="5" t="n">
        <f aca="false">ROUND(5607*1.05,2)</f>
        <v>5887.35</v>
      </c>
      <c r="F226" s="5" t="s">
        <v>40</v>
      </c>
      <c r="G226" s="5" t="s">
        <v>24</v>
      </c>
      <c r="H226" s="5" t="n">
        <f aca="true">ROUND(RAND()*4+6,1)</f>
        <v>7</v>
      </c>
      <c r="I226" s="5" t="s">
        <v>41</v>
      </c>
      <c r="J226" s="5" t="str">
        <f aca="false">ROUND(88*1,0)&amp;"%"</f>
        <v>88%</v>
      </c>
    </row>
    <row r="227" customFormat="false" ht="15" hidden="false" customHeight="false" outlineLevel="0" collapsed="false">
      <c r="A227" s="6" t="s">
        <v>13759</v>
      </c>
      <c r="B227" s="6" t="s">
        <v>378</v>
      </c>
      <c r="C227" s="6" t="s">
        <v>114</v>
      </c>
      <c r="D227" s="6" t="s">
        <v>44</v>
      </c>
      <c r="E227" s="6" t="n">
        <f aca="false">ROUND(14320*1.05,2)</f>
        <v>15036</v>
      </c>
      <c r="F227" s="6" t="s">
        <v>45</v>
      </c>
      <c r="G227" s="6" t="s">
        <v>30</v>
      </c>
      <c r="H227" s="6" t="n">
        <f aca="true">ROUND(RAND()*4+6,1)</f>
        <v>7.5</v>
      </c>
      <c r="I227" s="6" t="s">
        <v>46</v>
      </c>
      <c r="J227" s="6" t="str">
        <f aca="false">ROUND(77*1,0)&amp;"%"</f>
        <v>77%</v>
      </c>
    </row>
    <row r="228" customFormat="false" ht="15" hidden="false" customHeight="false" outlineLevel="0" collapsed="false">
      <c r="A228" s="5" t="s">
        <v>13760</v>
      </c>
      <c r="B228" s="5" t="s">
        <v>380</v>
      </c>
      <c r="C228" s="5" t="s">
        <v>114</v>
      </c>
      <c r="D228" s="5" t="s">
        <v>16</v>
      </c>
      <c r="E228" s="5" t="n">
        <f aca="false">ROUND(16299*1.05,2)</f>
        <v>17113.95</v>
      </c>
      <c r="F228" s="5" t="s">
        <v>49</v>
      </c>
      <c r="G228" s="5" t="s">
        <v>18</v>
      </c>
      <c r="H228" s="5" t="n">
        <f aca="true">ROUND(RAND()*4+6,1)</f>
        <v>8</v>
      </c>
      <c r="I228" s="5" t="s">
        <v>19</v>
      </c>
      <c r="J228" s="5" t="str">
        <f aca="false">ROUND(86*1,0)&amp;"%"</f>
        <v>86%</v>
      </c>
    </row>
    <row r="229" customFormat="false" ht="15" hidden="false" customHeight="false" outlineLevel="0" collapsed="false">
      <c r="A229" s="6" t="s">
        <v>13761</v>
      </c>
      <c r="B229" s="6" t="s">
        <v>382</v>
      </c>
      <c r="C229" s="6" t="s">
        <v>114</v>
      </c>
      <c r="D229" s="6" t="s">
        <v>22</v>
      </c>
      <c r="E229" s="6" t="n">
        <f aca="false">ROUND(6200*1.05,2)</f>
        <v>6510</v>
      </c>
      <c r="F229" s="6" t="s">
        <v>52</v>
      </c>
      <c r="G229" s="6" t="s">
        <v>24</v>
      </c>
      <c r="H229" s="6" t="n">
        <f aca="true">ROUND(RAND()*4+6,1)</f>
        <v>6.4</v>
      </c>
      <c r="I229" s="6" t="s">
        <v>25</v>
      </c>
      <c r="J229" s="6" t="str">
        <f aca="false">ROUND(73*1,0)&amp;"%"</f>
        <v>73%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13762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13763</v>
      </c>
      <c r="B234" s="5" t="s">
        <v>386</v>
      </c>
      <c r="C234" s="5" t="s">
        <v>133</v>
      </c>
      <c r="D234" s="5" t="s">
        <v>16</v>
      </c>
      <c r="E234" s="5" t="n">
        <f aca="false">ROUND(9220*1.05,2)</f>
        <v>9681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ROUND(85*1,0)&amp;"%"</f>
        <v>85%</v>
      </c>
    </row>
    <row r="235" customFormat="false" ht="15" hidden="false" customHeight="false" outlineLevel="0" collapsed="false">
      <c r="A235" s="6" t="s">
        <v>13764</v>
      </c>
      <c r="B235" s="6" t="s">
        <v>388</v>
      </c>
      <c r="C235" s="6" t="s">
        <v>133</v>
      </c>
      <c r="D235" s="6" t="s">
        <v>22</v>
      </c>
      <c r="E235" s="6" t="n">
        <f aca="false">ROUND(14666*1.05,2)</f>
        <v>15399.3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ROUND(65*1,0)&amp;"%"</f>
        <v>65%</v>
      </c>
    </row>
    <row r="236" customFormat="false" ht="15" hidden="false" customHeight="false" outlineLevel="0" collapsed="false">
      <c r="A236" s="5" t="s">
        <v>13765</v>
      </c>
      <c r="B236" s="5" t="s">
        <v>390</v>
      </c>
      <c r="C236" s="5" t="s">
        <v>133</v>
      </c>
      <c r="D236" s="5" t="s">
        <v>28</v>
      </c>
      <c r="E236" s="5" t="n">
        <f aca="false">ROUND(4683*1.05,2)</f>
        <v>4917.15</v>
      </c>
      <c r="F236" s="5" t="s">
        <v>29</v>
      </c>
      <c r="G236" s="5" t="s">
        <v>30</v>
      </c>
      <c r="H236" s="5" t="n">
        <f aca="true">ROUND(RAND()*4+6,1)</f>
        <v>8.4</v>
      </c>
      <c r="I236" s="5" t="s">
        <v>31</v>
      </c>
      <c r="J236" s="5" t="str">
        <f aca="false">ROUND(94*1,0)&amp;"%"</f>
        <v>94%</v>
      </c>
    </row>
    <row r="237" customFormat="false" ht="15" hidden="false" customHeight="false" outlineLevel="0" collapsed="false">
      <c r="A237" s="6" t="s">
        <v>13766</v>
      </c>
      <c r="B237" s="6" t="s">
        <v>392</v>
      </c>
      <c r="C237" s="6" t="s">
        <v>133</v>
      </c>
      <c r="D237" s="6" t="s">
        <v>34</v>
      </c>
      <c r="E237" s="6" t="n">
        <f aca="false">ROUND(9400*1.05,2)</f>
        <v>9870</v>
      </c>
      <c r="F237" s="6" t="s">
        <v>35</v>
      </c>
      <c r="G237" s="6" t="s">
        <v>18</v>
      </c>
      <c r="H237" s="6" t="n">
        <f aca="true">ROUND(RAND()*4+6,1)</f>
        <v>9.8</v>
      </c>
      <c r="I237" s="6" t="s">
        <v>36</v>
      </c>
      <c r="J237" s="6" t="str">
        <f aca="false">ROUND(99*1,0)&amp;"%"</f>
        <v>99%</v>
      </c>
    </row>
    <row r="238" customFormat="false" ht="15" hidden="false" customHeight="false" outlineLevel="0" collapsed="false">
      <c r="A238" s="5" t="s">
        <v>13767</v>
      </c>
      <c r="B238" s="5" t="s">
        <v>394</v>
      </c>
      <c r="C238" s="5" t="s">
        <v>133</v>
      </c>
      <c r="D238" s="5" t="s">
        <v>39</v>
      </c>
      <c r="E238" s="5" t="n">
        <f aca="false">ROUND(16564*1.05,2)</f>
        <v>17392.2</v>
      </c>
      <c r="F238" s="5" t="s">
        <v>40</v>
      </c>
      <c r="G238" s="5" t="s">
        <v>24</v>
      </c>
      <c r="H238" s="5" t="n">
        <f aca="true">ROUND(RAND()*4+6,1)</f>
        <v>7.9</v>
      </c>
      <c r="I238" s="5" t="s">
        <v>41</v>
      </c>
      <c r="J238" s="5" t="str">
        <f aca="false">ROUND(86*1,0)&amp;"%"</f>
        <v>86%</v>
      </c>
    </row>
    <row r="239" customFormat="false" ht="15" hidden="false" customHeight="false" outlineLevel="0" collapsed="false">
      <c r="A239" s="6" t="s">
        <v>13768</v>
      </c>
      <c r="B239" s="6" t="s">
        <v>396</v>
      </c>
      <c r="C239" s="6" t="s">
        <v>133</v>
      </c>
      <c r="D239" s="6" t="s">
        <v>44</v>
      </c>
      <c r="E239" s="6" t="n">
        <f aca="false">ROUND(16712*1.05,2)</f>
        <v>17547.6</v>
      </c>
      <c r="F239" s="6" t="s">
        <v>45</v>
      </c>
      <c r="G239" s="6" t="s">
        <v>30</v>
      </c>
      <c r="H239" s="6" t="n">
        <f aca="true">ROUND(RAND()*4+6,1)</f>
        <v>9.8</v>
      </c>
      <c r="I239" s="6" t="s">
        <v>46</v>
      </c>
      <c r="J239" s="6" t="str">
        <f aca="false">ROUND(70*1,0)&amp;"%"</f>
        <v>70%</v>
      </c>
    </row>
    <row r="240" customFormat="false" ht="15" hidden="false" customHeight="false" outlineLevel="0" collapsed="false">
      <c r="A240" s="5" t="s">
        <v>13769</v>
      </c>
      <c r="B240" s="5" t="s">
        <v>398</v>
      </c>
      <c r="C240" s="5" t="s">
        <v>133</v>
      </c>
      <c r="D240" s="5" t="s">
        <v>16</v>
      </c>
      <c r="E240" s="5" t="n">
        <f aca="false">ROUND(14734*1.05,2)</f>
        <v>15470.7</v>
      </c>
      <c r="F240" s="5" t="s">
        <v>49</v>
      </c>
      <c r="G240" s="5" t="s">
        <v>18</v>
      </c>
      <c r="H240" s="5" t="n">
        <f aca="true">ROUND(RAND()*4+6,1)</f>
        <v>7</v>
      </c>
      <c r="I240" s="5" t="s">
        <v>19</v>
      </c>
      <c r="J240" s="5" t="str">
        <f aca="false">ROUND(77*1,0)&amp;"%"</f>
        <v>77%</v>
      </c>
    </row>
    <row r="241" customFormat="false" ht="15" hidden="false" customHeight="false" outlineLevel="0" collapsed="false">
      <c r="A241" s="6" t="s">
        <v>13770</v>
      </c>
      <c r="B241" s="6" t="s">
        <v>400</v>
      </c>
      <c r="C241" s="6" t="s">
        <v>133</v>
      </c>
      <c r="D241" s="6" t="s">
        <v>22</v>
      </c>
      <c r="E241" s="6" t="n">
        <f aca="false">ROUND(4581*1.05,2)</f>
        <v>4810.05</v>
      </c>
      <c r="F241" s="6" t="s">
        <v>52</v>
      </c>
      <c r="G241" s="6" t="s">
        <v>24</v>
      </c>
      <c r="H241" s="6" t="n">
        <f aca="true">ROUND(RAND()*4+6,1)</f>
        <v>8.1</v>
      </c>
      <c r="I241" s="6" t="s">
        <v>25</v>
      </c>
      <c r="J241" s="6" t="str">
        <f aca="false">ROUND(65*1,0)&amp;"%"</f>
        <v>65%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13771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13772</v>
      </c>
      <c r="B246" s="5" t="s">
        <v>404</v>
      </c>
      <c r="C246" s="5" t="s">
        <v>152</v>
      </c>
      <c r="D246" s="5" t="s">
        <v>16</v>
      </c>
      <c r="E246" s="5" t="n">
        <f aca="false">ROUND(11743*1.05,2)</f>
        <v>12330.15</v>
      </c>
      <c r="F246" s="5" t="s">
        <v>17</v>
      </c>
      <c r="G246" s="5" t="s">
        <v>18</v>
      </c>
      <c r="H246" s="5" t="n">
        <f aca="true">ROUND(RAND()*4+6,1)</f>
        <v>9.6</v>
      </c>
      <c r="I246" s="5" t="s">
        <v>19</v>
      </c>
      <c r="J246" s="5" t="str">
        <f aca="false">ROUND(87*1,0)&amp;"%"</f>
        <v>87%</v>
      </c>
    </row>
    <row r="247" customFormat="false" ht="15" hidden="false" customHeight="false" outlineLevel="0" collapsed="false">
      <c r="A247" s="6" t="s">
        <v>13773</v>
      </c>
      <c r="B247" s="6" t="s">
        <v>406</v>
      </c>
      <c r="C247" s="6" t="s">
        <v>152</v>
      </c>
      <c r="D247" s="6" t="s">
        <v>22</v>
      </c>
      <c r="E247" s="6" t="n">
        <f aca="false">ROUND(8499*1.05,2)</f>
        <v>8923.95</v>
      </c>
      <c r="F247" s="6" t="s">
        <v>23</v>
      </c>
      <c r="G247" s="6" t="s">
        <v>24</v>
      </c>
      <c r="H247" s="6" t="n">
        <f aca="true">ROUND(RAND()*4+6,1)</f>
        <v>8.4</v>
      </c>
      <c r="I247" s="6" t="s">
        <v>25</v>
      </c>
      <c r="J247" s="6" t="str">
        <f aca="false">ROUND(78*1,0)&amp;"%"</f>
        <v>78%</v>
      </c>
    </row>
    <row r="248" customFormat="false" ht="15" hidden="false" customHeight="false" outlineLevel="0" collapsed="false">
      <c r="A248" s="5" t="s">
        <v>13774</v>
      </c>
      <c r="B248" s="5" t="s">
        <v>408</v>
      </c>
      <c r="C248" s="5" t="s">
        <v>152</v>
      </c>
      <c r="D248" s="5" t="s">
        <v>28</v>
      </c>
      <c r="E248" s="5" t="n">
        <f aca="false">ROUND(17610*1.05,2)</f>
        <v>18490.5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ROUND(82*1,0)&amp;"%"</f>
        <v>82%</v>
      </c>
    </row>
    <row r="249" customFormat="false" ht="15" hidden="false" customHeight="false" outlineLevel="0" collapsed="false">
      <c r="A249" s="6" t="s">
        <v>13775</v>
      </c>
      <c r="B249" s="6" t="s">
        <v>410</v>
      </c>
      <c r="C249" s="6" t="s">
        <v>152</v>
      </c>
      <c r="D249" s="6" t="s">
        <v>34</v>
      </c>
      <c r="E249" s="6" t="n">
        <f aca="false">ROUND(4309*1.05,2)</f>
        <v>4524.45</v>
      </c>
      <c r="F249" s="6" t="s">
        <v>35</v>
      </c>
      <c r="G249" s="6" t="s">
        <v>18</v>
      </c>
      <c r="H249" s="6" t="n">
        <f aca="true">ROUND(RAND()*4+6,1)</f>
        <v>8.5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13776</v>
      </c>
      <c r="B250" s="5" t="s">
        <v>412</v>
      </c>
      <c r="C250" s="5" t="s">
        <v>152</v>
      </c>
      <c r="D250" s="5" t="s">
        <v>39</v>
      </c>
      <c r="E250" s="5" t="n">
        <f aca="false">ROUND(6184*1.05,2)</f>
        <v>6493.2</v>
      </c>
      <c r="F250" s="5" t="s">
        <v>40</v>
      </c>
      <c r="G250" s="5" t="s">
        <v>24</v>
      </c>
      <c r="H250" s="5" t="n">
        <f aca="true">ROUND(RAND()*4+6,1)</f>
        <v>8.4</v>
      </c>
      <c r="I250" s="5" t="s">
        <v>41</v>
      </c>
      <c r="J250" s="5" t="str">
        <f aca="false">ROUND(80*1,0)&amp;"%"</f>
        <v>80%</v>
      </c>
    </row>
    <row r="251" customFormat="false" ht="15" hidden="false" customHeight="false" outlineLevel="0" collapsed="false">
      <c r="A251" s="6" t="s">
        <v>13777</v>
      </c>
      <c r="B251" s="6" t="s">
        <v>414</v>
      </c>
      <c r="C251" s="6" t="s">
        <v>152</v>
      </c>
      <c r="D251" s="6" t="s">
        <v>44</v>
      </c>
      <c r="E251" s="6" t="n">
        <f aca="false">ROUND(4367*1.05,2)</f>
        <v>4585.35</v>
      </c>
      <c r="F251" s="6" t="s">
        <v>45</v>
      </c>
      <c r="G251" s="6" t="s">
        <v>30</v>
      </c>
      <c r="H251" s="6" t="n">
        <f aca="true">ROUND(RAND()*4+6,1)</f>
        <v>7.4</v>
      </c>
      <c r="I251" s="6" t="s">
        <v>46</v>
      </c>
      <c r="J251" s="6" t="str">
        <f aca="false">ROUND(90*1,0)&amp;"%"</f>
        <v>90%</v>
      </c>
    </row>
    <row r="252" customFormat="false" ht="15" hidden="false" customHeight="false" outlineLevel="0" collapsed="false">
      <c r="A252" s="5" t="s">
        <v>13778</v>
      </c>
      <c r="B252" s="5" t="s">
        <v>416</v>
      </c>
      <c r="C252" s="5" t="s">
        <v>152</v>
      </c>
      <c r="D252" s="5" t="s">
        <v>16</v>
      </c>
      <c r="E252" s="5" t="n">
        <f aca="false">ROUND(7791*1.05,2)</f>
        <v>8180.55</v>
      </c>
      <c r="F252" s="5" t="s">
        <v>49</v>
      </c>
      <c r="G252" s="5" t="s">
        <v>18</v>
      </c>
      <c r="H252" s="5" t="n">
        <f aca="true">ROUND(RAND()*4+6,1)</f>
        <v>6.7</v>
      </c>
      <c r="I252" s="5" t="s">
        <v>19</v>
      </c>
      <c r="J252" s="5" t="str">
        <f aca="false">ROUND(81*1,0)&amp;"%"</f>
        <v>81%</v>
      </c>
    </row>
    <row r="253" customFormat="false" ht="15" hidden="false" customHeight="false" outlineLevel="0" collapsed="false">
      <c r="A253" s="6" t="s">
        <v>13779</v>
      </c>
      <c r="B253" s="6" t="s">
        <v>418</v>
      </c>
      <c r="C253" s="6" t="s">
        <v>152</v>
      </c>
      <c r="D253" s="6" t="s">
        <v>22</v>
      </c>
      <c r="E253" s="6" t="n">
        <f aca="false">ROUND(16325*1.05,2)</f>
        <v>17141.25</v>
      </c>
      <c r="F253" s="6" t="s">
        <v>52</v>
      </c>
      <c r="G253" s="6" t="s">
        <v>24</v>
      </c>
      <c r="H253" s="6" t="n">
        <f aca="true">ROUND(RAND()*4+6,1)</f>
        <v>8.4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13780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13781</v>
      </c>
      <c r="B258" s="5" t="s">
        <v>422</v>
      </c>
      <c r="C258" s="5" t="s">
        <v>15</v>
      </c>
      <c r="D258" s="5" t="s">
        <v>16</v>
      </c>
      <c r="E258" s="5" t="n">
        <f aca="false">ROUND(16226*1.05,2)</f>
        <v>17037.3</v>
      </c>
      <c r="F258" s="5" t="s">
        <v>17</v>
      </c>
      <c r="G258" s="5" t="s">
        <v>18</v>
      </c>
      <c r="H258" s="5" t="n">
        <f aca="true">ROUND(RAND()*4+6,1)</f>
        <v>8.7</v>
      </c>
      <c r="I258" s="5" t="s">
        <v>19</v>
      </c>
      <c r="J258" s="5" t="str">
        <f aca="false">ROUND(64*1,0)&amp;"%"</f>
        <v>64%</v>
      </c>
    </row>
    <row r="259" customFormat="false" ht="15" hidden="false" customHeight="false" outlineLevel="0" collapsed="false">
      <c r="A259" s="6" t="s">
        <v>13782</v>
      </c>
      <c r="B259" s="6" t="s">
        <v>424</v>
      </c>
      <c r="C259" s="6" t="s">
        <v>15</v>
      </c>
      <c r="D259" s="6" t="s">
        <v>22</v>
      </c>
      <c r="E259" s="6" t="n">
        <f aca="false">ROUND(14322*1.05,2)</f>
        <v>15038.1</v>
      </c>
      <c r="F259" s="6" t="s">
        <v>23</v>
      </c>
      <c r="G259" s="6" t="s">
        <v>24</v>
      </c>
      <c r="H259" s="6" t="n">
        <f aca="true">ROUND(RAND()*4+6,1)</f>
        <v>7.1</v>
      </c>
      <c r="I259" s="6" t="s">
        <v>25</v>
      </c>
      <c r="J259" s="6" t="str">
        <f aca="false">ROUND(74*1,0)&amp;"%"</f>
        <v>74%</v>
      </c>
    </row>
    <row r="260" customFormat="false" ht="15" hidden="false" customHeight="false" outlineLevel="0" collapsed="false">
      <c r="A260" s="5" t="s">
        <v>13783</v>
      </c>
      <c r="B260" s="5" t="s">
        <v>426</v>
      </c>
      <c r="C260" s="5" t="s">
        <v>15</v>
      </c>
      <c r="D260" s="5" t="s">
        <v>28</v>
      </c>
      <c r="E260" s="5" t="n">
        <f aca="false">ROUND(11653*1.05,2)</f>
        <v>12235.65</v>
      </c>
      <c r="F260" s="5" t="s">
        <v>29</v>
      </c>
      <c r="G260" s="5" t="s">
        <v>30</v>
      </c>
      <c r="H260" s="5" t="n">
        <f aca="true">ROUND(RAND()*4+6,1)</f>
        <v>7.1</v>
      </c>
      <c r="I260" s="5" t="s">
        <v>31</v>
      </c>
      <c r="J260" s="5" t="str">
        <f aca="false">ROUND(76*1,0)&amp;"%"</f>
        <v>76%</v>
      </c>
    </row>
    <row r="261" customFormat="false" ht="15" hidden="false" customHeight="false" outlineLevel="0" collapsed="false">
      <c r="A261" s="6" t="s">
        <v>13784</v>
      </c>
      <c r="B261" s="6" t="s">
        <v>428</v>
      </c>
      <c r="C261" s="6" t="s">
        <v>15</v>
      </c>
      <c r="D261" s="6" t="s">
        <v>34</v>
      </c>
      <c r="E261" s="6" t="n">
        <f aca="false">ROUND(7767*1.05,2)</f>
        <v>8155.35</v>
      </c>
      <c r="F261" s="6" t="s">
        <v>35</v>
      </c>
      <c r="G261" s="6" t="s">
        <v>18</v>
      </c>
      <c r="H261" s="6" t="n">
        <f aca="true">ROUND(RAND()*4+6,1)</f>
        <v>9.5</v>
      </c>
      <c r="I261" s="6" t="s">
        <v>36</v>
      </c>
      <c r="J261" s="6" t="str">
        <f aca="false">ROUND(89*1,0)&amp;"%"</f>
        <v>89%</v>
      </c>
    </row>
    <row r="262" customFormat="false" ht="15" hidden="false" customHeight="false" outlineLevel="0" collapsed="false">
      <c r="A262" s="5" t="s">
        <v>13785</v>
      </c>
      <c r="B262" s="5" t="s">
        <v>430</v>
      </c>
      <c r="C262" s="5" t="s">
        <v>15</v>
      </c>
      <c r="D262" s="5" t="s">
        <v>39</v>
      </c>
      <c r="E262" s="5" t="n">
        <f aca="false">ROUND(12775*1.05,2)</f>
        <v>13413.75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ROUND(100*1,0)&amp;"%"</f>
        <v>100%</v>
      </c>
    </row>
    <row r="263" customFormat="false" ht="15" hidden="false" customHeight="false" outlineLevel="0" collapsed="false">
      <c r="A263" s="6" t="s">
        <v>13786</v>
      </c>
      <c r="B263" s="6" t="s">
        <v>432</v>
      </c>
      <c r="C263" s="6" t="s">
        <v>15</v>
      </c>
      <c r="D263" s="6" t="s">
        <v>44</v>
      </c>
      <c r="E263" s="6" t="n">
        <f aca="false">ROUND(8485*1.05,2)</f>
        <v>8909.25</v>
      </c>
      <c r="F263" s="6" t="s">
        <v>45</v>
      </c>
      <c r="G263" s="6" t="s">
        <v>30</v>
      </c>
      <c r="H263" s="6" t="n">
        <f aca="true">ROUND(RAND()*4+6,1)</f>
        <v>6.6</v>
      </c>
      <c r="I263" s="6" t="s">
        <v>46</v>
      </c>
      <c r="J263" s="6" t="str">
        <f aca="false">ROUND(70*1,0)&amp;"%"</f>
        <v>70%</v>
      </c>
    </row>
    <row r="264" customFormat="false" ht="15" hidden="false" customHeight="false" outlineLevel="0" collapsed="false">
      <c r="A264" s="5" t="s">
        <v>13787</v>
      </c>
      <c r="B264" s="5" t="s">
        <v>434</v>
      </c>
      <c r="C264" s="5" t="s">
        <v>15</v>
      </c>
      <c r="D264" s="5" t="s">
        <v>16</v>
      </c>
      <c r="E264" s="5" t="n">
        <f aca="false">ROUND(15156*1.05,2)</f>
        <v>15913.8</v>
      </c>
      <c r="F264" s="5" t="s">
        <v>49</v>
      </c>
      <c r="G264" s="5" t="s">
        <v>18</v>
      </c>
      <c r="H264" s="5" t="n">
        <f aca="true">ROUND(RAND()*4+6,1)</f>
        <v>7.9</v>
      </c>
      <c r="I264" s="5" t="s">
        <v>19</v>
      </c>
      <c r="J264" s="5" t="str">
        <f aca="false">ROUND(74*1,0)&amp;"%"</f>
        <v>74%</v>
      </c>
    </row>
    <row r="265" customFormat="false" ht="15" hidden="false" customHeight="false" outlineLevel="0" collapsed="false">
      <c r="A265" s="6" t="s">
        <v>13788</v>
      </c>
      <c r="B265" s="6" t="s">
        <v>436</v>
      </c>
      <c r="C265" s="6" t="s">
        <v>15</v>
      </c>
      <c r="D265" s="6" t="s">
        <v>22</v>
      </c>
      <c r="E265" s="6" t="n">
        <f aca="false">ROUND(5738*1.05,2)</f>
        <v>6024.9</v>
      </c>
      <c r="F265" s="6" t="s">
        <v>52</v>
      </c>
      <c r="G265" s="6" t="s">
        <v>24</v>
      </c>
      <c r="H265" s="6" t="n">
        <f aca="true">ROUND(RAND()*4+6,1)</f>
        <v>7.7</v>
      </c>
      <c r="I265" s="6" t="s">
        <v>25</v>
      </c>
      <c r="J265" s="6" t="str">
        <f aca="false">ROUND(97*1,0)&amp;"%"</f>
        <v>97%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13789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13790</v>
      </c>
      <c r="B270" s="5" t="s">
        <v>440</v>
      </c>
      <c r="C270" s="5" t="s">
        <v>57</v>
      </c>
      <c r="D270" s="5" t="s">
        <v>16</v>
      </c>
      <c r="E270" s="5" t="n">
        <f aca="false">ROUND(6098*1.05,2)</f>
        <v>6402.9</v>
      </c>
      <c r="F270" s="5" t="s">
        <v>17</v>
      </c>
      <c r="G270" s="5" t="s">
        <v>18</v>
      </c>
      <c r="H270" s="5" t="n">
        <f aca="true">ROUND(RAND()*4+6,1)</f>
        <v>8.8</v>
      </c>
      <c r="I270" s="5" t="s">
        <v>19</v>
      </c>
      <c r="J270" s="5" t="str">
        <f aca="false">ROUND(83*1,0)&amp;"%"</f>
        <v>83%</v>
      </c>
    </row>
    <row r="271" customFormat="false" ht="15" hidden="false" customHeight="false" outlineLevel="0" collapsed="false">
      <c r="A271" s="6" t="s">
        <v>13791</v>
      </c>
      <c r="B271" s="6" t="s">
        <v>442</v>
      </c>
      <c r="C271" s="6" t="s">
        <v>57</v>
      </c>
      <c r="D271" s="6" t="s">
        <v>22</v>
      </c>
      <c r="E271" s="6" t="n">
        <f aca="false">ROUND(7850*1.05,2)</f>
        <v>8242.5</v>
      </c>
      <c r="F271" s="6" t="s">
        <v>23</v>
      </c>
      <c r="G271" s="6" t="s">
        <v>24</v>
      </c>
      <c r="H271" s="6" t="n">
        <f aca="true">ROUND(RAND()*4+6,1)</f>
        <v>7</v>
      </c>
      <c r="I271" s="6" t="s">
        <v>25</v>
      </c>
      <c r="J271" s="6" t="str">
        <f aca="false">ROUND(87*1,0)&amp;"%"</f>
        <v>87%</v>
      </c>
    </row>
    <row r="272" customFormat="false" ht="15" hidden="false" customHeight="false" outlineLevel="0" collapsed="false">
      <c r="A272" s="5" t="s">
        <v>13792</v>
      </c>
      <c r="B272" s="5" t="s">
        <v>444</v>
      </c>
      <c r="C272" s="5" t="s">
        <v>57</v>
      </c>
      <c r="D272" s="5" t="s">
        <v>28</v>
      </c>
      <c r="E272" s="5" t="n">
        <f aca="false">ROUND(6782*1.05,2)</f>
        <v>7121.1</v>
      </c>
      <c r="F272" s="5" t="s">
        <v>29</v>
      </c>
      <c r="G272" s="5" t="s">
        <v>30</v>
      </c>
      <c r="H272" s="5" t="n">
        <f aca="true">ROUND(RAND()*4+6,1)</f>
        <v>7.8</v>
      </c>
      <c r="I272" s="5" t="s">
        <v>31</v>
      </c>
      <c r="J272" s="5" t="str">
        <f aca="false">ROUND(72*1,0)&amp;"%"</f>
        <v>72%</v>
      </c>
    </row>
    <row r="273" customFormat="false" ht="15" hidden="false" customHeight="false" outlineLevel="0" collapsed="false">
      <c r="A273" s="6" t="s">
        <v>13793</v>
      </c>
      <c r="B273" s="6" t="s">
        <v>446</v>
      </c>
      <c r="C273" s="6" t="s">
        <v>57</v>
      </c>
      <c r="D273" s="6" t="s">
        <v>34</v>
      </c>
      <c r="E273" s="6" t="n">
        <f aca="false">ROUND(12704*1.05,2)</f>
        <v>13339.2</v>
      </c>
      <c r="F273" s="6" t="s">
        <v>35</v>
      </c>
      <c r="G273" s="6" t="s">
        <v>18</v>
      </c>
      <c r="H273" s="6" t="n">
        <f aca="true">ROUND(RAND()*4+6,1)</f>
        <v>6.2</v>
      </c>
      <c r="I273" s="6" t="s">
        <v>36</v>
      </c>
      <c r="J273" s="6" t="str">
        <f aca="false">ROUND(74*1,0)&amp;"%"</f>
        <v>74%</v>
      </c>
    </row>
    <row r="274" customFormat="false" ht="15" hidden="false" customHeight="false" outlineLevel="0" collapsed="false">
      <c r="A274" s="5" t="s">
        <v>13794</v>
      </c>
      <c r="B274" s="5" t="s">
        <v>448</v>
      </c>
      <c r="C274" s="5" t="s">
        <v>57</v>
      </c>
      <c r="D274" s="5" t="s">
        <v>39</v>
      </c>
      <c r="E274" s="5" t="n">
        <f aca="false">ROUND(7566*1.05,2)</f>
        <v>7944.3</v>
      </c>
      <c r="F274" s="5" t="s">
        <v>40</v>
      </c>
      <c r="G274" s="5" t="s">
        <v>24</v>
      </c>
      <c r="H274" s="5" t="n">
        <f aca="true">ROUND(RAND()*4+6,1)</f>
        <v>7.5</v>
      </c>
      <c r="I274" s="5" t="s">
        <v>41</v>
      </c>
      <c r="J274" s="5" t="str">
        <f aca="false">ROUND(94*1,0)&amp;"%"</f>
        <v>94%</v>
      </c>
    </row>
    <row r="275" customFormat="false" ht="15" hidden="false" customHeight="false" outlineLevel="0" collapsed="false">
      <c r="A275" s="6" t="s">
        <v>13795</v>
      </c>
      <c r="B275" s="6" t="s">
        <v>450</v>
      </c>
      <c r="C275" s="6" t="s">
        <v>57</v>
      </c>
      <c r="D275" s="6" t="s">
        <v>44</v>
      </c>
      <c r="E275" s="6" t="n">
        <f aca="false">ROUND(11423*1.05,2)</f>
        <v>11994.15</v>
      </c>
      <c r="F275" s="6" t="s">
        <v>45</v>
      </c>
      <c r="G275" s="6" t="s">
        <v>30</v>
      </c>
      <c r="H275" s="6" t="n">
        <f aca="true">ROUND(RAND()*4+6,1)</f>
        <v>9</v>
      </c>
      <c r="I275" s="6" t="s">
        <v>46</v>
      </c>
      <c r="J275" s="6" t="str">
        <f aca="false">ROUND(82*1,0)&amp;"%"</f>
        <v>82%</v>
      </c>
    </row>
    <row r="276" customFormat="false" ht="15" hidden="false" customHeight="false" outlineLevel="0" collapsed="false">
      <c r="A276" s="5" t="s">
        <v>13796</v>
      </c>
      <c r="B276" s="5" t="s">
        <v>452</v>
      </c>
      <c r="C276" s="5" t="s">
        <v>57</v>
      </c>
      <c r="D276" s="5" t="s">
        <v>16</v>
      </c>
      <c r="E276" s="5" t="n">
        <f aca="false">ROUND(5739*1.05,2)</f>
        <v>6025.95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ROUND(69*1,0)&amp;"%"</f>
        <v>69%</v>
      </c>
    </row>
    <row r="277" customFormat="false" ht="15" hidden="false" customHeight="false" outlineLevel="0" collapsed="false">
      <c r="A277" s="6" t="s">
        <v>13797</v>
      </c>
      <c r="B277" s="6" t="s">
        <v>454</v>
      </c>
      <c r="C277" s="6" t="s">
        <v>57</v>
      </c>
      <c r="D277" s="6" t="s">
        <v>22</v>
      </c>
      <c r="E277" s="6" t="n">
        <f aca="false">ROUND(9667*1.05,2)</f>
        <v>10150.35</v>
      </c>
      <c r="F277" s="6" t="s">
        <v>52</v>
      </c>
      <c r="G277" s="6" t="s">
        <v>24</v>
      </c>
      <c r="H277" s="6" t="n">
        <f aca="true">ROUND(RAND()*4+6,1)</f>
        <v>6.3</v>
      </c>
      <c r="I277" s="6" t="s">
        <v>25</v>
      </c>
      <c r="J277" s="6" t="str">
        <f aca="false">ROUND(61*1,0)&amp;"%"</f>
        <v>61%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13798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13799</v>
      </c>
      <c r="B282" s="5" t="s">
        <v>458</v>
      </c>
      <c r="C282" s="5" t="s">
        <v>76</v>
      </c>
      <c r="D282" s="5" t="s">
        <v>16</v>
      </c>
      <c r="E282" s="5" t="n">
        <f aca="false">ROUND(15515*1.05,2)</f>
        <v>16290.75</v>
      </c>
      <c r="F282" s="5" t="s">
        <v>17</v>
      </c>
      <c r="G282" s="5" t="s">
        <v>18</v>
      </c>
      <c r="H282" s="5" t="n">
        <f aca="true">ROUND(RAND()*4+6,1)</f>
        <v>9.4</v>
      </c>
      <c r="I282" s="5" t="s">
        <v>19</v>
      </c>
      <c r="J282" s="5" t="str">
        <f aca="false">ROUND(90*1,0)&amp;"%"</f>
        <v>90%</v>
      </c>
    </row>
    <row r="283" customFormat="false" ht="15" hidden="false" customHeight="false" outlineLevel="0" collapsed="false">
      <c r="A283" s="6" t="s">
        <v>13800</v>
      </c>
      <c r="B283" s="6" t="s">
        <v>460</v>
      </c>
      <c r="C283" s="6" t="s">
        <v>76</v>
      </c>
      <c r="D283" s="6" t="s">
        <v>22</v>
      </c>
      <c r="E283" s="6" t="n">
        <f aca="false">ROUND(7772*1.05,2)</f>
        <v>8160.6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ROUND(71*1,0)&amp;"%"</f>
        <v>71%</v>
      </c>
    </row>
    <row r="284" customFormat="false" ht="15" hidden="false" customHeight="false" outlineLevel="0" collapsed="false">
      <c r="A284" s="5" t="s">
        <v>13801</v>
      </c>
      <c r="B284" s="5" t="s">
        <v>462</v>
      </c>
      <c r="C284" s="5" t="s">
        <v>76</v>
      </c>
      <c r="D284" s="5" t="s">
        <v>28</v>
      </c>
      <c r="E284" s="5" t="n">
        <f aca="false">ROUND(8839*1.05,2)</f>
        <v>9280.95</v>
      </c>
      <c r="F284" s="5" t="s">
        <v>29</v>
      </c>
      <c r="G284" s="5" t="s">
        <v>30</v>
      </c>
      <c r="H284" s="5" t="n">
        <f aca="true">ROUND(RAND()*4+6,1)</f>
        <v>9.1</v>
      </c>
      <c r="I284" s="5" t="s">
        <v>31</v>
      </c>
      <c r="J284" s="5" t="str">
        <f aca="false">ROUND(68*1,0)&amp;"%"</f>
        <v>68%</v>
      </c>
    </row>
    <row r="285" customFormat="false" ht="15" hidden="false" customHeight="false" outlineLevel="0" collapsed="false">
      <c r="A285" s="6" t="s">
        <v>13802</v>
      </c>
      <c r="B285" s="6" t="s">
        <v>464</v>
      </c>
      <c r="C285" s="6" t="s">
        <v>76</v>
      </c>
      <c r="D285" s="6" t="s">
        <v>34</v>
      </c>
      <c r="E285" s="6" t="n">
        <f aca="false">ROUND(9446*1.05,2)</f>
        <v>9918.3</v>
      </c>
      <c r="F285" s="6" t="s">
        <v>35</v>
      </c>
      <c r="G285" s="6" t="s">
        <v>18</v>
      </c>
      <c r="H285" s="6" t="n">
        <f aca="true">ROUND(RAND()*4+6,1)</f>
        <v>6.2</v>
      </c>
      <c r="I285" s="6" t="s">
        <v>36</v>
      </c>
      <c r="J285" s="6" t="str">
        <f aca="false">ROUND(79*1,0)&amp;"%"</f>
        <v>79%</v>
      </c>
    </row>
    <row r="286" customFormat="false" ht="15" hidden="false" customHeight="false" outlineLevel="0" collapsed="false">
      <c r="A286" s="5" t="s">
        <v>13803</v>
      </c>
      <c r="B286" s="5" t="s">
        <v>466</v>
      </c>
      <c r="C286" s="5" t="s">
        <v>76</v>
      </c>
      <c r="D286" s="5" t="s">
        <v>39</v>
      </c>
      <c r="E286" s="5" t="n">
        <f aca="false">ROUND(12603*1.05,2)</f>
        <v>13233.15</v>
      </c>
      <c r="F286" s="5" t="s">
        <v>40</v>
      </c>
      <c r="G286" s="5" t="s">
        <v>24</v>
      </c>
      <c r="H286" s="5" t="n">
        <f aca="true">ROUND(RAND()*4+6,1)</f>
        <v>9.2</v>
      </c>
      <c r="I286" s="5" t="s">
        <v>41</v>
      </c>
      <c r="J286" s="5" t="str">
        <f aca="false">ROUND(90*1,0)&amp;"%"</f>
        <v>90%</v>
      </c>
    </row>
    <row r="287" customFormat="false" ht="15" hidden="false" customHeight="false" outlineLevel="0" collapsed="false">
      <c r="A287" s="6" t="s">
        <v>13804</v>
      </c>
      <c r="B287" s="6" t="s">
        <v>468</v>
      </c>
      <c r="C287" s="6" t="s">
        <v>76</v>
      </c>
      <c r="D287" s="6" t="s">
        <v>44</v>
      </c>
      <c r="E287" s="6" t="n">
        <f aca="false">ROUND(14727*1.05,2)</f>
        <v>15463.35</v>
      </c>
      <c r="F287" s="6" t="s">
        <v>45</v>
      </c>
      <c r="G287" s="6" t="s">
        <v>30</v>
      </c>
      <c r="H287" s="6" t="n">
        <f aca="true">ROUND(RAND()*4+6,1)</f>
        <v>9.8</v>
      </c>
      <c r="I287" s="6" t="s">
        <v>46</v>
      </c>
      <c r="J287" s="6" t="str">
        <f aca="false">ROUND(70*1,0)&amp;"%"</f>
        <v>70%</v>
      </c>
    </row>
    <row r="288" customFormat="false" ht="15" hidden="false" customHeight="false" outlineLevel="0" collapsed="false">
      <c r="A288" s="5" t="s">
        <v>13805</v>
      </c>
      <c r="B288" s="5" t="s">
        <v>470</v>
      </c>
      <c r="C288" s="5" t="s">
        <v>76</v>
      </c>
      <c r="D288" s="5" t="s">
        <v>16</v>
      </c>
      <c r="E288" s="5" t="n">
        <f aca="false">ROUND(14206*1.05,2)</f>
        <v>14916.3</v>
      </c>
      <c r="F288" s="5" t="s">
        <v>49</v>
      </c>
      <c r="G288" s="5" t="s">
        <v>18</v>
      </c>
      <c r="H288" s="5" t="n">
        <f aca="true">ROUND(RAND()*4+6,1)</f>
        <v>10</v>
      </c>
      <c r="I288" s="5" t="s">
        <v>19</v>
      </c>
      <c r="J288" s="5" t="str">
        <f aca="false">ROUND(84*1,0)&amp;"%"</f>
        <v>84%</v>
      </c>
    </row>
    <row r="289" customFormat="false" ht="15" hidden="false" customHeight="false" outlineLevel="0" collapsed="false">
      <c r="A289" s="6" t="s">
        <v>13806</v>
      </c>
      <c r="B289" s="6" t="s">
        <v>472</v>
      </c>
      <c r="C289" s="6" t="s">
        <v>76</v>
      </c>
      <c r="D289" s="6" t="s">
        <v>22</v>
      </c>
      <c r="E289" s="6" t="n">
        <f aca="false">ROUND(4007*1.05,2)</f>
        <v>4207.35</v>
      </c>
      <c r="F289" s="6" t="s">
        <v>52</v>
      </c>
      <c r="G289" s="6" t="s">
        <v>24</v>
      </c>
      <c r="H289" s="6" t="n">
        <f aca="true">ROUND(RAND()*4+6,1)</f>
        <v>8.7</v>
      </c>
      <c r="I289" s="6" t="s">
        <v>25</v>
      </c>
      <c r="J289" s="6" t="str">
        <f aca="false">ROUND(78*1,0)&amp;"%"</f>
        <v>78%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13807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13808</v>
      </c>
      <c r="B294" s="5" t="s">
        <v>476</v>
      </c>
      <c r="C294" s="5" t="s">
        <v>95</v>
      </c>
      <c r="D294" s="5" t="s">
        <v>16</v>
      </c>
      <c r="E294" s="5" t="n">
        <f aca="false">ROUND(6610*1.05,2)</f>
        <v>6940.5</v>
      </c>
      <c r="F294" s="5" t="s">
        <v>17</v>
      </c>
      <c r="G294" s="5" t="s">
        <v>18</v>
      </c>
      <c r="H294" s="5" t="n">
        <f aca="true">ROUND(RAND()*4+6,1)</f>
        <v>7.9</v>
      </c>
      <c r="I294" s="5" t="s">
        <v>19</v>
      </c>
      <c r="J294" s="5" t="str">
        <f aca="false">ROUND(93*1,0)&amp;"%"</f>
        <v>93%</v>
      </c>
    </row>
    <row r="295" customFormat="false" ht="15" hidden="false" customHeight="false" outlineLevel="0" collapsed="false">
      <c r="A295" s="6" t="s">
        <v>13809</v>
      </c>
      <c r="B295" s="6" t="s">
        <v>478</v>
      </c>
      <c r="C295" s="6" t="s">
        <v>95</v>
      </c>
      <c r="D295" s="6" t="s">
        <v>22</v>
      </c>
      <c r="E295" s="6" t="n">
        <f aca="false">ROUND(11387*1.05,2)</f>
        <v>11956.35</v>
      </c>
      <c r="F295" s="6" t="s">
        <v>23</v>
      </c>
      <c r="G295" s="6" t="s">
        <v>24</v>
      </c>
      <c r="H295" s="6" t="n">
        <f aca="true">ROUND(RAND()*4+6,1)</f>
        <v>8.5</v>
      </c>
      <c r="I295" s="6" t="s">
        <v>25</v>
      </c>
      <c r="J295" s="6" t="str">
        <f aca="false">ROUND(76*1,0)&amp;"%"</f>
        <v>76%</v>
      </c>
    </row>
    <row r="296" customFormat="false" ht="15" hidden="false" customHeight="false" outlineLevel="0" collapsed="false">
      <c r="A296" s="5" t="s">
        <v>13810</v>
      </c>
      <c r="B296" s="5" t="s">
        <v>480</v>
      </c>
      <c r="C296" s="5" t="s">
        <v>95</v>
      </c>
      <c r="D296" s="5" t="s">
        <v>28</v>
      </c>
      <c r="E296" s="5" t="n">
        <f aca="false">ROUND(9940*1.05,2)</f>
        <v>10437</v>
      </c>
      <c r="F296" s="5" t="s">
        <v>29</v>
      </c>
      <c r="G296" s="5" t="s">
        <v>30</v>
      </c>
      <c r="H296" s="5" t="n">
        <f aca="true">ROUND(RAND()*4+6,1)</f>
        <v>6.7</v>
      </c>
      <c r="I296" s="5" t="s">
        <v>31</v>
      </c>
      <c r="J296" s="5" t="str">
        <f aca="false">ROUND(95*1,0)&amp;"%"</f>
        <v>95%</v>
      </c>
    </row>
    <row r="297" customFormat="false" ht="15" hidden="false" customHeight="false" outlineLevel="0" collapsed="false">
      <c r="A297" s="6" t="s">
        <v>13811</v>
      </c>
      <c r="B297" s="6" t="s">
        <v>482</v>
      </c>
      <c r="C297" s="6" t="s">
        <v>95</v>
      </c>
      <c r="D297" s="6" t="s">
        <v>34</v>
      </c>
      <c r="E297" s="6" t="n">
        <f aca="false">ROUND(7986*1.05,2)</f>
        <v>8385.3</v>
      </c>
      <c r="F297" s="6" t="s">
        <v>35</v>
      </c>
      <c r="G297" s="6" t="s">
        <v>18</v>
      </c>
      <c r="H297" s="6" t="n">
        <f aca="true">ROUND(RAND()*4+6,1)</f>
        <v>8.9</v>
      </c>
      <c r="I297" s="6" t="s">
        <v>36</v>
      </c>
      <c r="J297" s="6" t="str">
        <f aca="false">ROUND(96*1,0)&amp;"%"</f>
        <v>96%</v>
      </c>
    </row>
    <row r="298" customFormat="false" ht="15" hidden="false" customHeight="false" outlineLevel="0" collapsed="false">
      <c r="A298" s="5" t="s">
        <v>13812</v>
      </c>
      <c r="B298" s="5" t="s">
        <v>484</v>
      </c>
      <c r="C298" s="5" t="s">
        <v>95</v>
      </c>
      <c r="D298" s="5" t="s">
        <v>39</v>
      </c>
      <c r="E298" s="5" t="n">
        <f aca="false">ROUND(16052*1.05,2)</f>
        <v>16854.6</v>
      </c>
      <c r="F298" s="5" t="s">
        <v>40</v>
      </c>
      <c r="G298" s="5" t="s">
        <v>24</v>
      </c>
      <c r="H298" s="5" t="n">
        <f aca="true">ROUND(RAND()*4+6,1)</f>
        <v>8.9</v>
      </c>
      <c r="I298" s="5" t="s">
        <v>41</v>
      </c>
      <c r="J298" s="5" t="str">
        <f aca="false">ROUND(63*1,0)&amp;"%"</f>
        <v>63%</v>
      </c>
    </row>
    <row r="299" customFormat="false" ht="15" hidden="false" customHeight="false" outlineLevel="0" collapsed="false">
      <c r="A299" s="6" t="s">
        <v>13813</v>
      </c>
      <c r="B299" s="6" t="s">
        <v>486</v>
      </c>
      <c r="C299" s="6" t="s">
        <v>95</v>
      </c>
      <c r="D299" s="6" t="s">
        <v>44</v>
      </c>
      <c r="E299" s="6" t="n">
        <f aca="false">ROUND(4043*1.05,2)</f>
        <v>4245.15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ROUND(97*1,0)&amp;"%"</f>
        <v>97%</v>
      </c>
    </row>
    <row r="300" customFormat="false" ht="15" hidden="false" customHeight="false" outlineLevel="0" collapsed="false">
      <c r="A300" s="5" t="s">
        <v>13814</v>
      </c>
      <c r="B300" s="5" t="s">
        <v>488</v>
      </c>
      <c r="C300" s="5" t="s">
        <v>95</v>
      </c>
      <c r="D300" s="5" t="s">
        <v>16</v>
      </c>
      <c r="E300" s="5" t="n">
        <f aca="false">ROUND(8308*1.05,2)</f>
        <v>8723.4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ROUND(78*1,0)&amp;"%"</f>
        <v>78%</v>
      </c>
    </row>
    <row r="301" customFormat="false" ht="15" hidden="false" customHeight="false" outlineLevel="0" collapsed="false">
      <c r="A301" s="6" t="s">
        <v>13815</v>
      </c>
      <c r="B301" s="6" t="s">
        <v>490</v>
      </c>
      <c r="C301" s="6" t="s">
        <v>95</v>
      </c>
      <c r="D301" s="6" t="s">
        <v>22</v>
      </c>
      <c r="E301" s="6" t="n">
        <f aca="false">ROUND(10965*1.05,2)</f>
        <v>11513.25</v>
      </c>
      <c r="F301" s="6" t="s">
        <v>52</v>
      </c>
      <c r="G301" s="6" t="s">
        <v>24</v>
      </c>
      <c r="H301" s="6" t="n">
        <f aca="true">ROUND(RAND()*4+6,1)</f>
        <v>7.2</v>
      </c>
      <c r="I301" s="6" t="s">
        <v>25</v>
      </c>
      <c r="J301" s="6" t="str">
        <f aca="false">ROUND(86*1,0)&amp;"%"</f>
        <v>86%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13816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13817</v>
      </c>
      <c r="B306" s="5" t="s">
        <v>494</v>
      </c>
      <c r="C306" s="5" t="s">
        <v>114</v>
      </c>
      <c r="D306" s="5" t="s">
        <v>16</v>
      </c>
      <c r="E306" s="5" t="n">
        <f aca="false">ROUND(4094*1.05,2)</f>
        <v>4298.7</v>
      </c>
      <c r="F306" s="5" t="s">
        <v>17</v>
      </c>
      <c r="G306" s="5" t="s">
        <v>18</v>
      </c>
      <c r="H306" s="5" t="n">
        <f aca="true">ROUND(RAND()*4+6,1)</f>
        <v>6.4</v>
      </c>
      <c r="I306" s="5" t="s">
        <v>19</v>
      </c>
      <c r="J306" s="5" t="str">
        <f aca="false">ROUND(91*1,0)&amp;"%"</f>
        <v>91%</v>
      </c>
    </row>
    <row r="307" customFormat="false" ht="15" hidden="false" customHeight="false" outlineLevel="0" collapsed="false">
      <c r="A307" s="6" t="s">
        <v>13818</v>
      </c>
      <c r="B307" s="6" t="s">
        <v>496</v>
      </c>
      <c r="C307" s="6" t="s">
        <v>114</v>
      </c>
      <c r="D307" s="6" t="s">
        <v>22</v>
      </c>
      <c r="E307" s="6" t="n">
        <f aca="false">ROUND(11882*1.05,2)</f>
        <v>12476.1</v>
      </c>
      <c r="F307" s="6" t="s">
        <v>23</v>
      </c>
      <c r="G307" s="6" t="s">
        <v>24</v>
      </c>
      <c r="H307" s="6" t="n">
        <f aca="true">ROUND(RAND()*4+6,1)</f>
        <v>7.8</v>
      </c>
      <c r="I307" s="6" t="s">
        <v>25</v>
      </c>
      <c r="J307" s="6" t="str">
        <f aca="false">ROUND(93*1,0)&amp;"%"</f>
        <v>93%</v>
      </c>
    </row>
    <row r="308" customFormat="false" ht="15" hidden="false" customHeight="false" outlineLevel="0" collapsed="false">
      <c r="A308" s="5" t="s">
        <v>13819</v>
      </c>
      <c r="B308" s="5" t="s">
        <v>498</v>
      </c>
      <c r="C308" s="5" t="s">
        <v>114</v>
      </c>
      <c r="D308" s="5" t="s">
        <v>28</v>
      </c>
      <c r="E308" s="5" t="n">
        <f aca="false">ROUND(6553*1.05,2)</f>
        <v>6880.65</v>
      </c>
      <c r="F308" s="5" t="s">
        <v>29</v>
      </c>
      <c r="G308" s="5" t="s">
        <v>30</v>
      </c>
      <c r="H308" s="5" t="n">
        <f aca="true">ROUND(RAND()*4+6,1)</f>
        <v>8.2</v>
      </c>
      <c r="I308" s="5" t="s">
        <v>31</v>
      </c>
      <c r="J308" s="5" t="str">
        <f aca="false">ROUND(73*1,0)&amp;"%"</f>
        <v>73%</v>
      </c>
    </row>
    <row r="309" customFormat="false" ht="15" hidden="false" customHeight="false" outlineLevel="0" collapsed="false">
      <c r="A309" s="6" t="s">
        <v>13820</v>
      </c>
      <c r="B309" s="6" t="s">
        <v>500</v>
      </c>
      <c r="C309" s="6" t="s">
        <v>114</v>
      </c>
      <c r="D309" s="6" t="s">
        <v>34</v>
      </c>
      <c r="E309" s="6" t="n">
        <f aca="false">ROUND(10570*1.05,2)</f>
        <v>11098.5</v>
      </c>
      <c r="F309" s="6" t="s">
        <v>35</v>
      </c>
      <c r="G309" s="6" t="s">
        <v>18</v>
      </c>
      <c r="H309" s="6" t="n">
        <f aca="true">ROUND(RAND()*4+6,1)</f>
        <v>6.5</v>
      </c>
      <c r="I309" s="6" t="s">
        <v>36</v>
      </c>
      <c r="J309" s="6" t="str">
        <f aca="false">ROUND(100*1,0)&amp;"%"</f>
        <v>100%</v>
      </c>
    </row>
    <row r="310" customFormat="false" ht="15" hidden="false" customHeight="false" outlineLevel="0" collapsed="false">
      <c r="A310" s="5" t="s">
        <v>13821</v>
      </c>
      <c r="B310" s="5" t="s">
        <v>502</v>
      </c>
      <c r="C310" s="5" t="s">
        <v>114</v>
      </c>
      <c r="D310" s="5" t="s">
        <v>39</v>
      </c>
      <c r="E310" s="5" t="n">
        <f aca="false">ROUND(16591*1.05,2)</f>
        <v>17420.55</v>
      </c>
      <c r="F310" s="5" t="s">
        <v>40</v>
      </c>
      <c r="G310" s="5" t="s">
        <v>24</v>
      </c>
      <c r="H310" s="5" t="n">
        <f aca="true">ROUND(RAND()*4+6,1)</f>
        <v>9.8</v>
      </c>
      <c r="I310" s="5" t="s">
        <v>41</v>
      </c>
      <c r="J310" s="5" t="str">
        <f aca="false">ROUND(76*1,0)&amp;"%"</f>
        <v>76%</v>
      </c>
    </row>
    <row r="311" customFormat="false" ht="15" hidden="false" customHeight="false" outlineLevel="0" collapsed="false">
      <c r="A311" s="6" t="s">
        <v>13822</v>
      </c>
      <c r="B311" s="6" t="s">
        <v>504</v>
      </c>
      <c r="C311" s="6" t="s">
        <v>114</v>
      </c>
      <c r="D311" s="6" t="s">
        <v>44</v>
      </c>
      <c r="E311" s="6" t="n">
        <f aca="false">ROUND(11075*1.05,2)</f>
        <v>11628.75</v>
      </c>
      <c r="F311" s="6" t="s">
        <v>45</v>
      </c>
      <c r="G311" s="6" t="s">
        <v>30</v>
      </c>
      <c r="H311" s="6" t="n">
        <f aca="true">ROUND(RAND()*4+6,1)</f>
        <v>8.6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13823</v>
      </c>
      <c r="B312" s="5" t="s">
        <v>506</v>
      </c>
      <c r="C312" s="5" t="s">
        <v>114</v>
      </c>
      <c r="D312" s="5" t="s">
        <v>16</v>
      </c>
      <c r="E312" s="5" t="n">
        <f aca="false">ROUND(6784*1.05,2)</f>
        <v>7123.2</v>
      </c>
      <c r="F312" s="5" t="s">
        <v>49</v>
      </c>
      <c r="G312" s="5" t="s">
        <v>18</v>
      </c>
      <c r="H312" s="5" t="n">
        <f aca="true">ROUND(RAND()*4+6,1)</f>
        <v>8.4</v>
      </c>
      <c r="I312" s="5" t="s">
        <v>19</v>
      </c>
      <c r="J312" s="5" t="str">
        <f aca="false">ROUND(95*1,0)&amp;"%"</f>
        <v>95%</v>
      </c>
    </row>
    <row r="313" customFormat="false" ht="15" hidden="false" customHeight="false" outlineLevel="0" collapsed="false">
      <c r="A313" s="6" t="s">
        <v>13824</v>
      </c>
      <c r="B313" s="6" t="s">
        <v>508</v>
      </c>
      <c r="C313" s="6" t="s">
        <v>114</v>
      </c>
      <c r="D313" s="6" t="s">
        <v>22</v>
      </c>
      <c r="E313" s="6" t="n">
        <f aca="false">ROUND(11475*1.05,2)</f>
        <v>12048.75</v>
      </c>
      <c r="F313" s="6" t="s">
        <v>52</v>
      </c>
      <c r="G313" s="6" t="s">
        <v>24</v>
      </c>
      <c r="H313" s="6" t="n">
        <f aca="true">ROUND(RAND()*4+6,1)</f>
        <v>6</v>
      </c>
      <c r="I313" s="6" t="s">
        <v>25</v>
      </c>
      <c r="J313" s="6" t="str">
        <f aca="false">ROUND(63*1,0)&amp;"%"</f>
        <v>63%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13825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13826</v>
      </c>
      <c r="B318" s="5" t="s">
        <v>512</v>
      </c>
      <c r="C318" s="5" t="s">
        <v>133</v>
      </c>
      <c r="D318" s="5" t="s">
        <v>16</v>
      </c>
      <c r="E318" s="5" t="n">
        <f aca="false">ROUND(14200*1.05,2)</f>
        <v>14910</v>
      </c>
      <c r="F318" s="5" t="s">
        <v>17</v>
      </c>
      <c r="G318" s="5" t="s">
        <v>18</v>
      </c>
      <c r="H318" s="5" t="n">
        <f aca="true">ROUND(RAND()*4+6,1)</f>
        <v>9.7</v>
      </c>
      <c r="I318" s="5" t="s">
        <v>19</v>
      </c>
      <c r="J318" s="5" t="str">
        <f aca="false">ROUND(73*1,0)&amp;"%"</f>
        <v>73%</v>
      </c>
    </row>
    <row r="319" customFormat="false" ht="15" hidden="false" customHeight="false" outlineLevel="0" collapsed="false">
      <c r="A319" s="6" t="s">
        <v>13827</v>
      </c>
      <c r="B319" s="6" t="s">
        <v>514</v>
      </c>
      <c r="C319" s="6" t="s">
        <v>133</v>
      </c>
      <c r="D319" s="6" t="s">
        <v>22</v>
      </c>
      <c r="E319" s="6" t="n">
        <f aca="false">ROUND(10942*1.05,2)</f>
        <v>11489.1</v>
      </c>
      <c r="F319" s="6" t="s">
        <v>23</v>
      </c>
      <c r="G319" s="6" t="s">
        <v>24</v>
      </c>
      <c r="H319" s="6" t="n">
        <f aca="true">ROUND(RAND()*4+6,1)</f>
        <v>6.1</v>
      </c>
      <c r="I319" s="6" t="s">
        <v>25</v>
      </c>
      <c r="J319" s="6" t="str">
        <f aca="false">ROUND(66*1,0)&amp;"%"</f>
        <v>66%</v>
      </c>
    </row>
    <row r="320" customFormat="false" ht="15" hidden="false" customHeight="false" outlineLevel="0" collapsed="false">
      <c r="A320" s="5" t="s">
        <v>13828</v>
      </c>
      <c r="B320" s="5" t="s">
        <v>516</v>
      </c>
      <c r="C320" s="5" t="s">
        <v>133</v>
      </c>
      <c r="D320" s="5" t="s">
        <v>28</v>
      </c>
      <c r="E320" s="5" t="n">
        <f aca="false">ROUND(6875*1.05,2)</f>
        <v>7218.75</v>
      </c>
      <c r="F320" s="5" t="s">
        <v>29</v>
      </c>
      <c r="G320" s="5" t="s">
        <v>30</v>
      </c>
      <c r="H320" s="5" t="n">
        <f aca="true">ROUND(RAND()*4+6,1)</f>
        <v>7</v>
      </c>
      <c r="I320" s="5" t="s">
        <v>31</v>
      </c>
      <c r="J320" s="5" t="str">
        <f aca="false">ROUND(72*1,0)&amp;"%"</f>
        <v>72%</v>
      </c>
    </row>
    <row r="321" customFormat="false" ht="15" hidden="false" customHeight="false" outlineLevel="0" collapsed="false">
      <c r="A321" s="6" t="s">
        <v>13829</v>
      </c>
      <c r="B321" s="6" t="s">
        <v>518</v>
      </c>
      <c r="C321" s="6" t="s">
        <v>133</v>
      </c>
      <c r="D321" s="6" t="s">
        <v>34</v>
      </c>
      <c r="E321" s="6" t="n">
        <f aca="false">ROUND(13858*1.05,2)</f>
        <v>14550.9</v>
      </c>
      <c r="F321" s="6" t="s">
        <v>35</v>
      </c>
      <c r="G321" s="6" t="s">
        <v>18</v>
      </c>
      <c r="H321" s="6" t="n">
        <f aca="true">ROUND(RAND()*4+6,1)</f>
        <v>6</v>
      </c>
      <c r="I321" s="6" t="s">
        <v>36</v>
      </c>
      <c r="J321" s="6" t="str">
        <f aca="false">ROUND(70*1,0)&amp;"%"</f>
        <v>70%</v>
      </c>
    </row>
    <row r="322" customFormat="false" ht="15" hidden="false" customHeight="false" outlineLevel="0" collapsed="false">
      <c r="A322" s="5" t="s">
        <v>13830</v>
      </c>
      <c r="B322" s="5" t="s">
        <v>520</v>
      </c>
      <c r="C322" s="5" t="s">
        <v>133</v>
      </c>
      <c r="D322" s="5" t="s">
        <v>39</v>
      </c>
      <c r="E322" s="5" t="n">
        <f aca="false">ROUND(4055*1.05,2)</f>
        <v>4257.75</v>
      </c>
      <c r="F322" s="5" t="s">
        <v>40</v>
      </c>
      <c r="G322" s="5" t="s">
        <v>24</v>
      </c>
      <c r="H322" s="5" t="n">
        <f aca="true">ROUND(RAND()*4+6,1)</f>
        <v>7.8</v>
      </c>
      <c r="I322" s="5" t="s">
        <v>41</v>
      </c>
      <c r="J322" s="5" t="str">
        <f aca="false">ROUND(93*1,0)&amp;"%"</f>
        <v>93%</v>
      </c>
    </row>
    <row r="323" customFormat="false" ht="15" hidden="false" customHeight="false" outlineLevel="0" collapsed="false">
      <c r="A323" s="6" t="s">
        <v>13831</v>
      </c>
      <c r="B323" s="6" t="s">
        <v>522</v>
      </c>
      <c r="C323" s="6" t="s">
        <v>133</v>
      </c>
      <c r="D323" s="6" t="s">
        <v>44</v>
      </c>
      <c r="E323" s="6" t="n">
        <f aca="false">ROUND(12051*1.05,2)</f>
        <v>12653.55</v>
      </c>
      <c r="F323" s="6" t="s">
        <v>45</v>
      </c>
      <c r="G323" s="6" t="s">
        <v>30</v>
      </c>
      <c r="H323" s="6" t="n">
        <f aca="true">ROUND(RAND()*4+6,1)</f>
        <v>9.1</v>
      </c>
      <c r="I323" s="6" t="s">
        <v>46</v>
      </c>
      <c r="J323" s="6" t="str">
        <f aca="false">ROUND(95*1,0)&amp;"%"</f>
        <v>95%</v>
      </c>
    </row>
    <row r="324" customFormat="false" ht="15" hidden="false" customHeight="false" outlineLevel="0" collapsed="false">
      <c r="A324" s="5" t="s">
        <v>13832</v>
      </c>
      <c r="B324" s="5" t="s">
        <v>524</v>
      </c>
      <c r="C324" s="5" t="s">
        <v>133</v>
      </c>
      <c r="D324" s="5" t="s">
        <v>16</v>
      </c>
      <c r="E324" s="5" t="n">
        <f aca="false">ROUND(14233*1.05,2)</f>
        <v>14944.65</v>
      </c>
      <c r="F324" s="5" t="s">
        <v>49</v>
      </c>
      <c r="G324" s="5" t="s">
        <v>18</v>
      </c>
      <c r="H324" s="5" t="n">
        <f aca="true">ROUND(RAND()*4+6,1)</f>
        <v>9.2</v>
      </c>
      <c r="I324" s="5" t="s">
        <v>19</v>
      </c>
      <c r="J324" s="5" t="str">
        <f aca="false">ROUND(81*1,0)&amp;"%"</f>
        <v>81%</v>
      </c>
    </row>
    <row r="325" customFormat="false" ht="15" hidden="false" customHeight="false" outlineLevel="0" collapsed="false">
      <c r="A325" s="6" t="s">
        <v>13833</v>
      </c>
      <c r="B325" s="6" t="s">
        <v>526</v>
      </c>
      <c r="C325" s="6" t="s">
        <v>133</v>
      </c>
      <c r="D325" s="6" t="s">
        <v>22</v>
      </c>
      <c r="E325" s="6" t="n">
        <f aca="false">ROUND(14049*1.05,2)</f>
        <v>14751.45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ROUND(70*1,0)&amp;"%"</f>
        <v>70%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13834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13835</v>
      </c>
      <c r="B330" s="5" t="s">
        <v>530</v>
      </c>
      <c r="C330" s="5" t="s">
        <v>152</v>
      </c>
      <c r="D330" s="5" t="s">
        <v>16</v>
      </c>
      <c r="E330" s="5" t="n">
        <f aca="false">ROUND(6603*1.05,2)</f>
        <v>6933.15</v>
      </c>
      <c r="F330" s="5" t="s">
        <v>17</v>
      </c>
      <c r="G330" s="5" t="s">
        <v>18</v>
      </c>
      <c r="H330" s="5" t="n">
        <f aca="true">ROUND(RAND()*4+6,1)</f>
        <v>8.1</v>
      </c>
      <c r="I330" s="5" t="s">
        <v>19</v>
      </c>
      <c r="J330" s="5" t="str">
        <f aca="false">ROUND(81*1,0)&amp;"%"</f>
        <v>81%</v>
      </c>
    </row>
    <row r="331" customFormat="false" ht="15" hidden="false" customHeight="false" outlineLevel="0" collapsed="false">
      <c r="A331" s="6" t="s">
        <v>13836</v>
      </c>
      <c r="B331" s="6" t="s">
        <v>532</v>
      </c>
      <c r="C331" s="6" t="s">
        <v>152</v>
      </c>
      <c r="D331" s="6" t="s">
        <v>22</v>
      </c>
      <c r="E331" s="6" t="n">
        <f aca="false">ROUND(12081*1.05,2)</f>
        <v>12685.05</v>
      </c>
      <c r="F331" s="6" t="s">
        <v>23</v>
      </c>
      <c r="G331" s="6" t="s">
        <v>24</v>
      </c>
      <c r="H331" s="6" t="n">
        <f aca="true">ROUND(RAND()*4+6,1)</f>
        <v>8</v>
      </c>
      <c r="I331" s="6" t="s">
        <v>25</v>
      </c>
      <c r="J331" s="6" t="str">
        <f aca="false">ROUND(76*1,0)&amp;"%"</f>
        <v>76%</v>
      </c>
    </row>
    <row r="332" customFormat="false" ht="15" hidden="false" customHeight="false" outlineLevel="0" collapsed="false">
      <c r="A332" s="5" t="s">
        <v>13837</v>
      </c>
      <c r="B332" s="5" t="s">
        <v>534</v>
      </c>
      <c r="C332" s="5" t="s">
        <v>152</v>
      </c>
      <c r="D332" s="5" t="s">
        <v>28</v>
      </c>
      <c r="E332" s="5" t="n">
        <f aca="false">ROUND(4350*1.05,2)</f>
        <v>4567.5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13838</v>
      </c>
      <c r="B333" s="6" t="s">
        <v>536</v>
      </c>
      <c r="C333" s="6" t="s">
        <v>152</v>
      </c>
      <c r="D333" s="6" t="s">
        <v>34</v>
      </c>
      <c r="E333" s="6" t="n">
        <f aca="false">ROUND(16916*1.05,2)</f>
        <v>17761.8</v>
      </c>
      <c r="F333" s="6" t="s">
        <v>35</v>
      </c>
      <c r="G333" s="6" t="s">
        <v>18</v>
      </c>
      <c r="H333" s="6" t="n">
        <f aca="true">ROUND(RAND()*4+6,1)</f>
        <v>6.1</v>
      </c>
      <c r="I333" s="6" t="s">
        <v>36</v>
      </c>
      <c r="J333" s="6" t="str">
        <f aca="false">ROUND(76*1,0)&amp;"%"</f>
        <v>76%</v>
      </c>
    </row>
    <row r="334" customFormat="false" ht="15" hidden="false" customHeight="false" outlineLevel="0" collapsed="false">
      <c r="A334" s="5" t="s">
        <v>13839</v>
      </c>
      <c r="B334" s="5" t="s">
        <v>538</v>
      </c>
      <c r="C334" s="5" t="s">
        <v>152</v>
      </c>
      <c r="D334" s="5" t="s">
        <v>39</v>
      </c>
      <c r="E334" s="5" t="n">
        <f aca="false">ROUND(13891*1.05,2)</f>
        <v>14585.55</v>
      </c>
      <c r="F334" s="5" t="s">
        <v>40</v>
      </c>
      <c r="G334" s="5" t="s">
        <v>24</v>
      </c>
      <c r="H334" s="5" t="n">
        <f aca="true">ROUND(RAND()*4+6,1)</f>
        <v>7.8</v>
      </c>
      <c r="I334" s="5" t="s">
        <v>41</v>
      </c>
      <c r="J334" s="5" t="str">
        <f aca="false">ROUND(69*1,0)&amp;"%"</f>
        <v>69%</v>
      </c>
    </row>
    <row r="335" customFormat="false" ht="15" hidden="false" customHeight="false" outlineLevel="0" collapsed="false">
      <c r="A335" s="6" t="s">
        <v>13840</v>
      </c>
      <c r="B335" s="6" t="s">
        <v>540</v>
      </c>
      <c r="C335" s="6" t="s">
        <v>152</v>
      </c>
      <c r="D335" s="6" t="s">
        <v>44</v>
      </c>
      <c r="E335" s="6" t="n">
        <f aca="false">ROUND(12880*1.05,2)</f>
        <v>13524</v>
      </c>
      <c r="F335" s="6" t="s">
        <v>45</v>
      </c>
      <c r="G335" s="6" t="s">
        <v>30</v>
      </c>
      <c r="H335" s="6" t="n">
        <f aca="true">ROUND(RAND()*4+6,1)</f>
        <v>6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13841</v>
      </c>
      <c r="B336" s="5" t="s">
        <v>542</v>
      </c>
      <c r="C336" s="5" t="s">
        <v>152</v>
      </c>
      <c r="D336" s="5" t="s">
        <v>16</v>
      </c>
      <c r="E336" s="5" t="n">
        <f aca="false">ROUND(4354*1.05,2)</f>
        <v>4571.7</v>
      </c>
      <c r="F336" s="5" t="s">
        <v>49</v>
      </c>
      <c r="G336" s="5" t="s">
        <v>18</v>
      </c>
      <c r="H336" s="5" t="n">
        <f aca="true">ROUND(RAND()*4+6,1)</f>
        <v>9.8</v>
      </c>
      <c r="I336" s="5" t="s">
        <v>19</v>
      </c>
      <c r="J336" s="5" t="str">
        <f aca="false">ROUND(97*1,0)&amp;"%"</f>
        <v>97%</v>
      </c>
    </row>
    <row r="337" customFormat="false" ht="15" hidden="false" customHeight="false" outlineLevel="0" collapsed="false">
      <c r="A337" s="6" t="s">
        <v>13842</v>
      </c>
      <c r="B337" s="6" t="s">
        <v>544</v>
      </c>
      <c r="C337" s="6" t="s">
        <v>152</v>
      </c>
      <c r="D337" s="6" t="s">
        <v>22</v>
      </c>
      <c r="E337" s="6" t="n">
        <f aca="false">ROUND(13730*1.05,2)</f>
        <v>14416.5</v>
      </c>
      <c r="F337" s="6" t="s">
        <v>52</v>
      </c>
      <c r="G337" s="6" t="s">
        <v>24</v>
      </c>
      <c r="H337" s="6" t="n">
        <f aca="true">ROUND(RAND()*4+6,1)</f>
        <v>7.1</v>
      </c>
      <c r="I337" s="6" t="s">
        <v>25</v>
      </c>
      <c r="J337" s="6" t="str">
        <f aca="false">ROUND(82*1,0)&amp;"%"</f>
        <v>82%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13843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13844</v>
      </c>
      <c r="B342" s="5" t="s">
        <v>548</v>
      </c>
      <c r="C342" s="5" t="s">
        <v>15</v>
      </c>
      <c r="D342" s="5" t="s">
        <v>16</v>
      </c>
      <c r="E342" s="5" t="n">
        <f aca="false">ROUND(7074*1.05,2)</f>
        <v>7427.7</v>
      </c>
      <c r="F342" s="5" t="s">
        <v>17</v>
      </c>
      <c r="G342" s="5" t="s">
        <v>18</v>
      </c>
      <c r="H342" s="5" t="n">
        <f aca="true">ROUND(RAND()*4+6,1)</f>
        <v>7.1</v>
      </c>
      <c r="I342" s="5" t="s">
        <v>19</v>
      </c>
      <c r="J342" s="5" t="str">
        <f aca="false">ROUND(76*1,0)&amp;"%"</f>
        <v>76%</v>
      </c>
    </row>
    <row r="343" customFormat="false" ht="15" hidden="false" customHeight="false" outlineLevel="0" collapsed="false">
      <c r="A343" s="6" t="s">
        <v>13845</v>
      </c>
      <c r="B343" s="6" t="s">
        <v>550</v>
      </c>
      <c r="C343" s="6" t="s">
        <v>15</v>
      </c>
      <c r="D343" s="6" t="s">
        <v>22</v>
      </c>
      <c r="E343" s="6" t="n">
        <f aca="false">ROUND(6007*1.05,2)</f>
        <v>6307.35</v>
      </c>
      <c r="F343" s="6" t="s">
        <v>23</v>
      </c>
      <c r="G343" s="6" t="s">
        <v>24</v>
      </c>
      <c r="H343" s="6" t="n">
        <f aca="true">ROUND(RAND()*4+6,1)</f>
        <v>9.1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13846</v>
      </c>
      <c r="B344" s="5" t="s">
        <v>552</v>
      </c>
      <c r="C344" s="5" t="s">
        <v>15</v>
      </c>
      <c r="D344" s="5" t="s">
        <v>28</v>
      </c>
      <c r="E344" s="5" t="n">
        <f aca="false">ROUND(4694*1.05,2)</f>
        <v>4928.7</v>
      </c>
      <c r="F344" s="5" t="s">
        <v>29</v>
      </c>
      <c r="G344" s="5" t="s">
        <v>30</v>
      </c>
      <c r="H344" s="5" t="n">
        <f aca="true">ROUND(RAND()*4+6,1)</f>
        <v>10</v>
      </c>
      <c r="I344" s="5" t="s">
        <v>31</v>
      </c>
      <c r="J344" s="5" t="str">
        <f aca="false">ROUND(80*1,0)&amp;"%"</f>
        <v>80%</v>
      </c>
    </row>
    <row r="345" customFormat="false" ht="15" hidden="false" customHeight="false" outlineLevel="0" collapsed="false">
      <c r="A345" s="6" t="s">
        <v>13847</v>
      </c>
      <c r="B345" s="6" t="s">
        <v>554</v>
      </c>
      <c r="C345" s="6" t="s">
        <v>15</v>
      </c>
      <c r="D345" s="6" t="s">
        <v>34</v>
      </c>
      <c r="E345" s="6" t="n">
        <f aca="false">ROUND(6836*1.05,2)</f>
        <v>7177.8</v>
      </c>
      <c r="F345" s="6" t="s">
        <v>35</v>
      </c>
      <c r="G345" s="6" t="s">
        <v>18</v>
      </c>
      <c r="H345" s="6" t="n">
        <f aca="true">ROUND(RAND()*4+6,1)</f>
        <v>8</v>
      </c>
      <c r="I345" s="6" t="s">
        <v>36</v>
      </c>
      <c r="J345" s="6" t="str">
        <f aca="false">ROUND(98*1,0)&amp;"%"</f>
        <v>98%</v>
      </c>
    </row>
    <row r="346" customFormat="false" ht="15" hidden="false" customHeight="false" outlineLevel="0" collapsed="false">
      <c r="A346" s="5" t="s">
        <v>13848</v>
      </c>
      <c r="B346" s="5" t="s">
        <v>556</v>
      </c>
      <c r="C346" s="5" t="s">
        <v>15</v>
      </c>
      <c r="D346" s="5" t="s">
        <v>39</v>
      </c>
      <c r="E346" s="5" t="n">
        <f aca="false">ROUND(15525*1.05,2)</f>
        <v>16301.25</v>
      </c>
      <c r="F346" s="5" t="s">
        <v>40</v>
      </c>
      <c r="G346" s="5" t="s">
        <v>24</v>
      </c>
      <c r="H346" s="5" t="n">
        <f aca="true">ROUND(RAND()*4+6,1)</f>
        <v>8.5</v>
      </c>
      <c r="I346" s="5" t="s">
        <v>41</v>
      </c>
      <c r="J346" s="5" t="str">
        <f aca="false">ROUND(71*1,0)&amp;"%"</f>
        <v>71%</v>
      </c>
    </row>
    <row r="347" customFormat="false" ht="15" hidden="false" customHeight="false" outlineLevel="0" collapsed="false">
      <c r="A347" s="6" t="s">
        <v>13849</v>
      </c>
      <c r="B347" s="6" t="s">
        <v>558</v>
      </c>
      <c r="C347" s="6" t="s">
        <v>15</v>
      </c>
      <c r="D347" s="6" t="s">
        <v>44</v>
      </c>
      <c r="E347" s="6" t="n">
        <f aca="false">ROUND(17392*1.05,2)</f>
        <v>18261.6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ROUND(97*1,0)&amp;"%"</f>
        <v>97%</v>
      </c>
    </row>
    <row r="348" customFormat="false" ht="15" hidden="false" customHeight="false" outlineLevel="0" collapsed="false">
      <c r="A348" s="5" t="s">
        <v>13850</v>
      </c>
      <c r="B348" s="5" t="s">
        <v>560</v>
      </c>
      <c r="C348" s="5" t="s">
        <v>15</v>
      </c>
      <c r="D348" s="5" t="s">
        <v>16</v>
      </c>
      <c r="E348" s="5" t="n">
        <f aca="false">ROUND(11526*1.05,2)</f>
        <v>12102.3</v>
      </c>
      <c r="F348" s="5" t="s">
        <v>49</v>
      </c>
      <c r="G348" s="5" t="s">
        <v>18</v>
      </c>
      <c r="H348" s="5" t="n">
        <f aca="true">ROUND(RAND()*4+6,1)</f>
        <v>8.9</v>
      </c>
      <c r="I348" s="5" t="s">
        <v>19</v>
      </c>
      <c r="J348" s="5" t="str">
        <f aca="false">ROUND(97*1,0)&amp;"%"</f>
        <v>97%</v>
      </c>
    </row>
    <row r="349" customFormat="false" ht="15" hidden="false" customHeight="false" outlineLevel="0" collapsed="false">
      <c r="A349" s="6" t="s">
        <v>13851</v>
      </c>
      <c r="B349" s="6" t="s">
        <v>562</v>
      </c>
      <c r="C349" s="6" t="s">
        <v>15</v>
      </c>
      <c r="D349" s="6" t="s">
        <v>22</v>
      </c>
      <c r="E349" s="6" t="n">
        <f aca="false">ROUND(12918*1.05,2)</f>
        <v>13563.9</v>
      </c>
      <c r="F349" s="6" t="s">
        <v>52</v>
      </c>
      <c r="G349" s="6" t="s">
        <v>24</v>
      </c>
      <c r="H349" s="6" t="n">
        <f aca="true">ROUND(RAND()*4+6,1)</f>
        <v>8.8</v>
      </c>
      <c r="I349" s="6" t="s">
        <v>25</v>
      </c>
      <c r="J349" s="6" t="str">
        <f aca="false">ROUND(79*1,0)&amp;"%"</f>
        <v>79%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13852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13853</v>
      </c>
      <c r="B354" s="5" t="s">
        <v>566</v>
      </c>
      <c r="C354" s="5" t="s">
        <v>57</v>
      </c>
      <c r="D354" s="5" t="s">
        <v>16</v>
      </c>
      <c r="E354" s="5" t="n">
        <f aca="false">ROUND(10583*1.05,2)</f>
        <v>11112.15</v>
      </c>
      <c r="F354" s="5" t="s">
        <v>17</v>
      </c>
      <c r="G354" s="5" t="s">
        <v>18</v>
      </c>
      <c r="H354" s="5" t="n">
        <f aca="true">ROUND(RAND()*4+6,1)</f>
        <v>7.9</v>
      </c>
      <c r="I354" s="5" t="s">
        <v>19</v>
      </c>
      <c r="J354" s="5" t="str">
        <f aca="false">ROUND(85*1,0)&amp;"%"</f>
        <v>85%</v>
      </c>
    </row>
    <row r="355" customFormat="false" ht="15" hidden="false" customHeight="false" outlineLevel="0" collapsed="false">
      <c r="A355" s="6" t="s">
        <v>13854</v>
      </c>
      <c r="B355" s="6" t="s">
        <v>568</v>
      </c>
      <c r="C355" s="6" t="s">
        <v>57</v>
      </c>
      <c r="D355" s="6" t="s">
        <v>22</v>
      </c>
      <c r="E355" s="6" t="n">
        <f aca="false">ROUND(7324*1.05,2)</f>
        <v>7690.2</v>
      </c>
      <c r="F355" s="6" t="s">
        <v>23</v>
      </c>
      <c r="G355" s="6" t="s">
        <v>24</v>
      </c>
      <c r="H355" s="6" t="n">
        <f aca="true">ROUND(RAND()*4+6,1)</f>
        <v>8.6</v>
      </c>
      <c r="I355" s="6" t="s">
        <v>25</v>
      </c>
      <c r="J355" s="6" t="str">
        <f aca="false">ROUND(82*1,0)&amp;"%"</f>
        <v>82%</v>
      </c>
    </row>
    <row r="356" customFormat="false" ht="15" hidden="false" customHeight="false" outlineLevel="0" collapsed="false">
      <c r="A356" s="5" t="s">
        <v>13855</v>
      </c>
      <c r="B356" s="5" t="s">
        <v>570</v>
      </c>
      <c r="C356" s="5" t="s">
        <v>57</v>
      </c>
      <c r="D356" s="5" t="s">
        <v>28</v>
      </c>
      <c r="E356" s="5" t="n">
        <f aca="false">ROUND(14862*1.05,2)</f>
        <v>15605.1</v>
      </c>
      <c r="F356" s="5" t="s">
        <v>29</v>
      </c>
      <c r="G356" s="5" t="s">
        <v>30</v>
      </c>
      <c r="H356" s="5" t="n">
        <f aca="true">ROUND(RAND()*4+6,1)</f>
        <v>8.3</v>
      </c>
      <c r="I356" s="5" t="s">
        <v>31</v>
      </c>
      <c r="J356" s="5" t="str">
        <f aca="false">ROUND(88*1,0)&amp;"%"</f>
        <v>88%</v>
      </c>
    </row>
    <row r="357" customFormat="false" ht="15" hidden="false" customHeight="false" outlineLevel="0" collapsed="false">
      <c r="A357" s="6" t="s">
        <v>13856</v>
      </c>
      <c r="B357" s="6" t="s">
        <v>572</v>
      </c>
      <c r="C357" s="6" t="s">
        <v>57</v>
      </c>
      <c r="D357" s="6" t="s">
        <v>34</v>
      </c>
      <c r="E357" s="6" t="n">
        <f aca="false">ROUND(8868*1.05,2)</f>
        <v>9311.4</v>
      </c>
      <c r="F357" s="6" t="s">
        <v>35</v>
      </c>
      <c r="G357" s="6" t="s">
        <v>18</v>
      </c>
      <c r="H357" s="6" t="n">
        <f aca="true">ROUND(RAND()*4+6,1)</f>
        <v>9.1</v>
      </c>
      <c r="I357" s="6" t="s">
        <v>36</v>
      </c>
      <c r="J357" s="6" t="str">
        <f aca="false">ROUND(99*1,0)&amp;"%"</f>
        <v>99%</v>
      </c>
    </row>
    <row r="358" customFormat="false" ht="15" hidden="false" customHeight="false" outlineLevel="0" collapsed="false">
      <c r="A358" s="5" t="s">
        <v>13857</v>
      </c>
      <c r="B358" s="5" t="s">
        <v>574</v>
      </c>
      <c r="C358" s="5" t="s">
        <v>57</v>
      </c>
      <c r="D358" s="5" t="s">
        <v>39</v>
      </c>
      <c r="E358" s="5" t="n">
        <f aca="false">ROUND(15388*1.05,2)</f>
        <v>16157.4</v>
      </c>
      <c r="F358" s="5" t="s">
        <v>40</v>
      </c>
      <c r="G358" s="5" t="s">
        <v>24</v>
      </c>
      <c r="H358" s="5" t="n">
        <f aca="true">ROUND(RAND()*4+6,1)</f>
        <v>7.9</v>
      </c>
      <c r="I358" s="5" t="s">
        <v>41</v>
      </c>
      <c r="J358" s="5" t="str">
        <f aca="false">ROUND(90*1,0)&amp;"%"</f>
        <v>90%</v>
      </c>
    </row>
    <row r="359" customFormat="false" ht="15" hidden="false" customHeight="false" outlineLevel="0" collapsed="false">
      <c r="A359" s="6" t="s">
        <v>13858</v>
      </c>
      <c r="B359" s="6" t="s">
        <v>576</v>
      </c>
      <c r="C359" s="6" t="s">
        <v>57</v>
      </c>
      <c r="D359" s="6" t="s">
        <v>44</v>
      </c>
      <c r="E359" s="6" t="n">
        <f aca="false">ROUND(4472*1.05,2)</f>
        <v>4695.6</v>
      </c>
      <c r="F359" s="6" t="s">
        <v>45</v>
      </c>
      <c r="G359" s="6" t="s">
        <v>30</v>
      </c>
      <c r="H359" s="6" t="n">
        <f aca="true">ROUND(RAND()*4+6,1)</f>
        <v>7.5</v>
      </c>
      <c r="I359" s="6" t="s">
        <v>46</v>
      </c>
      <c r="J359" s="6" t="str">
        <f aca="false">ROUND(73*1,0)&amp;"%"</f>
        <v>73%</v>
      </c>
    </row>
    <row r="360" customFormat="false" ht="15" hidden="false" customHeight="false" outlineLevel="0" collapsed="false">
      <c r="A360" s="5" t="s">
        <v>13859</v>
      </c>
      <c r="B360" s="5" t="s">
        <v>578</v>
      </c>
      <c r="C360" s="5" t="s">
        <v>57</v>
      </c>
      <c r="D360" s="5" t="s">
        <v>16</v>
      </c>
      <c r="E360" s="5" t="n">
        <f aca="false">ROUND(10074*1.05,2)</f>
        <v>10577.7</v>
      </c>
      <c r="F360" s="5" t="s">
        <v>49</v>
      </c>
      <c r="G360" s="5" t="s">
        <v>18</v>
      </c>
      <c r="H360" s="5" t="n">
        <f aca="true">ROUND(RAND()*4+6,1)</f>
        <v>9.9</v>
      </c>
      <c r="I360" s="5" t="s">
        <v>19</v>
      </c>
      <c r="J360" s="5" t="str">
        <f aca="false">ROUND(66*1,0)&amp;"%"</f>
        <v>66%</v>
      </c>
    </row>
    <row r="361" customFormat="false" ht="15" hidden="false" customHeight="false" outlineLevel="0" collapsed="false">
      <c r="A361" s="6" t="s">
        <v>13860</v>
      </c>
      <c r="B361" s="6" t="s">
        <v>580</v>
      </c>
      <c r="C361" s="6" t="s">
        <v>57</v>
      </c>
      <c r="D361" s="6" t="s">
        <v>22</v>
      </c>
      <c r="E361" s="6" t="n">
        <f aca="false">ROUND(7076*1.05,2)</f>
        <v>7429.8</v>
      </c>
      <c r="F361" s="6" t="s">
        <v>52</v>
      </c>
      <c r="G361" s="6" t="s">
        <v>24</v>
      </c>
      <c r="H361" s="6" t="n">
        <f aca="true">ROUND(RAND()*4+6,1)</f>
        <v>6.6</v>
      </c>
      <c r="I361" s="6" t="s">
        <v>25</v>
      </c>
      <c r="J361" s="6" t="str">
        <f aca="false">ROUND(77*1,0)&amp;"%"</f>
        <v>77%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2026-03-28T00:36:54Z</dcterms:created>
  <dc:creator>openpyxl</dc:creator>
  <dc:description/>
  <dc:language>en-US</dc:language>
  <cp:lastModifiedBy/>
  <dcterms:modified xsi:type="dcterms:W3CDTF">2026-03-28T00:37:01Z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